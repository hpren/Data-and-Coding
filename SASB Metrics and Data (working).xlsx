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Coding\github\Data-and-Coding\"/>
    </mc:Choice>
  </mc:AlternateContent>
  <xr:revisionPtr revIDLastSave="0" documentId="13_ncr:1_{A5949CD8-7734-4BEE-8E8D-7A7B8BABB8D0}" xr6:coauthVersionLast="47" xr6:coauthVersionMax="47" xr10:uidLastSave="{00000000-0000-0000-0000-000000000000}"/>
  <bookViews>
    <workbookView xWindow="6930" yWindow="1695" windowWidth="20445" windowHeight="14580" tabRatio="886" activeTab="3" xr2:uid="{F8EEC6AE-14B6-4CC3-9A1C-D97741347F72}"/>
  </bookViews>
  <sheets>
    <sheet name="Sample" sheetId="1" r:id="rId1"/>
    <sheet name="Compustat Links" sheetId="16" r:id="rId2"/>
    <sheet name="Compustat Controls" sheetId="17" r:id="rId3"/>
    <sheet name="Metrics" sheetId="2" r:id="rId4"/>
    <sheet name="List of Sample Metrics" sheetId="8" r:id="rId5"/>
    <sheet name="List of Sample Metrics (fill)" sheetId="19" r:id="rId6"/>
    <sheet name="Losses" sheetId="10" r:id="rId7"/>
    <sheet name="Violation Tracker" sheetId="12" r:id="rId8"/>
    <sheet name="Industry Descriptive" sheetId="7" r:id="rId9"/>
    <sheet name="Truncated Metrics" sheetId="14" r:id="rId10"/>
    <sheet name="Sheet1" sheetId="18" r:id="rId11"/>
    <sheet name="Consumer exposure" sheetId="15" r:id="rId12"/>
  </sheets>
  <definedNames>
    <definedName name="_xlnm._FilterDatabase" localSheetId="4" hidden="1">'List of Sample Metrics'!$A$1:$H$5726</definedName>
    <definedName name="_xlnm._FilterDatabase" localSheetId="5" hidden="1">'List of Sample Metrics (fill)'!$A$1:$H$5736</definedName>
    <definedName name="_xlnm._FilterDatabase" localSheetId="6" hidden="1">Losses!$A$1:$K$454</definedName>
    <definedName name="_xlnm._FilterDatabase" localSheetId="3" hidden="1">Metrics!$A$1:$F$1000</definedName>
    <definedName name="_xlnm._FilterDatabase" localSheetId="0" hidden="1">Sample!$A$1:$E$305</definedName>
    <definedName name="_xlnm._FilterDatabase" localSheetId="10" hidden="1">Sheet1!$A$1:$I$602</definedName>
    <definedName name="_xlnm._FilterDatabase" localSheetId="7" hidden="1">'Violation Tracker'!#REF!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6" i="16" l="1"/>
  <c r="H157" i="16"/>
  <c r="H101" i="16"/>
  <c r="H23" i="16"/>
  <c r="C74" i="7" l="1"/>
  <c r="H122" i="16"/>
  <c r="H259"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6" i="16"/>
  <c r="H155" i="16"/>
  <c r="H154" i="16"/>
  <c r="H153" i="16"/>
  <c r="H152" i="16"/>
  <c r="H151" i="16"/>
  <c r="H150" i="16"/>
  <c r="H149" i="16"/>
  <c r="H148" i="16"/>
  <c r="H147" i="16"/>
  <c r="H146" i="16"/>
  <c r="H145" i="16"/>
  <c r="H144" i="16"/>
  <c r="H143" i="16"/>
  <c r="H142" i="16"/>
  <c r="H141" i="16"/>
  <c r="H140" i="16"/>
  <c r="H139" i="16"/>
  <c r="H138" i="16"/>
  <c r="H137" i="16"/>
  <c r="H136" i="16"/>
  <c r="H135" i="16"/>
  <c r="H134" i="16"/>
  <c r="H133" i="16"/>
  <c r="H132" i="16"/>
  <c r="H131" i="16"/>
  <c r="H130" i="16"/>
  <c r="H129" i="16"/>
  <c r="H128" i="16"/>
  <c r="H127" i="16"/>
  <c r="H126" i="16"/>
  <c r="H125" i="16"/>
  <c r="H124" i="16"/>
  <c r="H123" i="16"/>
  <c r="H121" i="16"/>
  <c r="H120" i="16"/>
  <c r="H119" i="16"/>
  <c r="H118" i="16"/>
  <c r="H117" i="16"/>
  <c r="H116" i="16"/>
  <c r="H115" i="16"/>
  <c r="H114" i="16"/>
  <c r="H113" i="16"/>
  <c r="H112" i="16"/>
  <c r="H111" i="16"/>
  <c r="H110" i="16"/>
  <c r="H109" i="16"/>
  <c r="H108" i="16"/>
  <c r="H107" i="16"/>
  <c r="H106" i="16"/>
  <c r="H105" i="16"/>
  <c r="H104" i="16"/>
  <c r="H103" i="16"/>
  <c r="H102" i="16"/>
  <c r="H100" i="16"/>
  <c r="H99" i="16"/>
  <c r="H98" i="16"/>
  <c r="H97" i="16"/>
  <c r="H96" i="16"/>
  <c r="H95" i="16"/>
  <c r="H94" i="16"/>
  <c r="H93" i="16"/>
  <c r="H92" i="16"/>
  <c r="H91" i="16"/>
  <c r="H90" i="16"/>
  <c r="H89" i="16"/>
  <c r="H88" i="16"/>
  <c r="H87" i="16"/>
  <c r="H86" i="16"/>
  <c r="H85" i="16"/>
  <c r="H84" i="16"/>
  <c r="H83" i="16"/>
  <c r="H82" i="16"/>
  <c r="H81" i="16"/>
  <c r="H80" i="16"/>
  <c r="H79" i="16"/>
  <c r="H78" i="16"/>
  <c r="H77" i="16"/>
  <c r="H76" i="16"/>
  <c r="H75" i="16"/>
  <c r="H74" i="16"/>
  <c r="H73" i="16"/>
  <c r="H72" i="16"/>
  <c r="H71" i="16"/>
  <c r="H70" i="16"/>
  <c r="H69" i="16"/>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6" i="16"/>
  <c r="H25" i="16"/>
  <c r="H24" i="16"/>
  <c r="H22" i="16"/>
  <c r="H21" i="16"/>
  <c r="H20" i="16"/>
  <c r="H19" i="16"/>
  <c r="H18" i="16"/>
  <c r="H17" i="16"/>
  <c r="H16" i="16"/>
  <c r="H15" i="16"/>
  <c r="H14" i="16"/>
  <c r="H13" i="16"/>
  <c r="H12" i="16"/>
  <c r="H11" i="16"/>
  <c r="H10" i="16"/>
  <c r="H9" i="16"/>
  <c r="H8" i="16"/>
  <c r="H7" i="16"/>
  <c r="H6" i="16"/>
  <c r="H5" i="16"/>
  <c r="H4" i="16"/>
  <c r="H3" i="16"/>
  <c r="H2" i="16"/>
  <c r="F74" i="7"/>
  <c r="G74" i="7"/>
  <c r="E604" i="14"/>
  <c r="E603" i="14"/>
  <c r="B602" i="14"/>
  <c r="E74" i="7"/>
  <c r="D74" i="7"/>
  <c r="B195" i="8"/>
  <c r="A195" i="8"/>
  <c r="B169" i="8"/>
  <c r="A169" i="8"/>
  <c r="B141" i="8"/>
  <c r="A141" i="8"/>
  <c r="B100" i="8"/>
  <c r="A100" i="8"/>
  <c r="B84" i="8"/>
  <c r="A84" i="8"/>
  <c r="B61" i="8"/>
  <c r="A61" i="8"/>
  <c r="B49" i="8"/>
  <c r="A49" i="8"/>
  <c r="B34" i="8"/>
  <c r="A34" i="8"/>
  <c r="B20" i="8"/>
  <c r="A20" i="8"/>
  <c r="B2" i="8"/>
  <c r="A2" i="8"/>
  <c r="C248" i="14" l="1"/>
  <c r="F248" i="14" s="1"/>
  <c r="C195" i="14"/>
  <c r="F195" i="14" s="1"/>
  <c r="C40" i="14"/>
  <c r="F40" i="14" s="1"/>
  <c r="C154" i="14"/>
  <c r="F154" i="14" s="1"/>
  <c r="C320" i="14"/>
  <c r="F320" i="14" s="1"/>
  <c r="C147" i="14"/>
  <c r="F147" i="14" s="1"/>
  <c r="C482" i="14"/>
  <c r="F482" i="14" s="1"/>
  <c r="C495" i="14"/>
  <c r="F495" i="14" s="1"/>
  <c r="C302" i="14"/>
  <c r="F302" i="14" s="1"/>
  <c r="C497" i="14"/>
  <c r="F497" i="14" s="1"/>
  <c r="C540" i="14"/>
  <c r="F540" i="14" s="1"/>
  <c r="C209" i="14"/>
  <c r="F209" i="14" s="1"/>
  <c r="C387" i="14"/>
  <c r="F387" i="14" s="1"/>
  <c r="C74" i="14"/>
  <c r="F74" i="14" s="1"/>
  <c r="C520" i="14"/>
  <c r="F520" i="14" s="1"/>
  <c r="C524" i="14"/>
  <c r="F524" i="14" s="1"/>
  <c r="C292" i="14"/>
  <c r="F292" i="14" s="1"/>
  <c r="C135" i="14"/>
  <c r="F135" i="14" s="1"/>
  <c r="C571" i="14"/>
  <c r="F571" i="14" s="1"/>
  <c r="C126" i="14"/>
  <c r="F126" i="14" s="1"/>
  <c r="C556" i="14"/>
  <c r="F556" i="14" s="1"/>
  <c r="C125" i="14"/>
  <c r="F125" i="14" s="1"/>
  <c r="C395" i="14"/>
  <c r="F395" i="14" s="1"/>
  <c r="C400" i="14"/>
  <c r="F400" i="14" s="1"/>
  <c r="C220" i="14"/>
  <c r="F220" i="14" s="1"/>
  <c r="C347" i="14"/>
  <c r="F347" i="14" s="1"/>
  <c r="C352" i="14"/>
  <c r="F352" i="14" s="1"/>
  <c r="C267" i="14"/>
  <c r="F267" i="14" s="1"/>
  <c r="C367" i="14"/>
  <c r="F367" i="14" s="1"/>
  <c r="C175" i="14"/>
  <c r="F175" i="14" s="1"/>
  <c r="C231" i="14"/>
  <c r="F231" i="14" s="1"/>
  <c r="C119" i="14"/>
  <c r="F119" i="14" s="1"/>
  <c r="C38" i="14"/>
  <c r="F38" i="14" s="1"/>
  <c r="C102" i="14"/>
  <c r="F102" i="14" s="1"/>
  <c r="C202" i="14"/>
  <c r="F202" i="14" s="1"/>
  <c r="C22" i="14"/>
  <c r="F22" i="14" s="1"/>
  <c r="C111" i="14"/>
  <c r="F111" i="14" s="1"/>
  <c r="C14" i="14"/>
  <c r="F14" i="14" s="1"/>
  <c r="C141" i="14"/>
  <c r="F141" i="14" s="1"/>
  <c r="C192" i="14"/>
  <c r="F192" i="14" s="1"/>
  <c r="C326" i="14"/>
  <c r="F326" i="14" s="1"/>
  <c r="C57" i="14"/>
  <c r="F57" i="14" s="1"/>
  <c r="C109" i="14"/>
  <c r="F109" i="14" s="1"/>
  <c r="C93" i="14"/>
  <c r="F93" i="14" s="1"/>
  <c r="C437" i="14"/>
  <c r="F437" i="14" s="1"/>
  <c r="C233" i="14"/>
  <c r="F233" i="14" s="1"/>
  <c r="C461" i="14"/>
  <c r="F461" i="14" s="1"/>
  <c r="C475" i="14"/>
  <c r="F475" i="14" s="1"/>
  <c r="C488" i="14"/>
  <c r="F488" i="14" s="1"/>
  <c r="C167" i="14"/>
  <c r="F167" i="14" s="1"/>
  <c r="C332" i="14"/>
  <c r="F332" i="14" s="1"/>
  <c r="C512" i="14"/>
  <c r="F512" i="14" s="1"/>
  <c r="C304" i="14"/>
  <c r="F304" i="14" s="1"/>
  <c r="C504" i="14"/>
  <c r="F504" i="14" s="1"/>
  <c r="C393" i="14"/>
  <c r="F393" i="14" s="1"/>
  <c r="C531" i="14"/>
  <c r="F531" i="14" s="1"/>
  <c r="C547" i="14"/>
  <c r="F547" i="14" s="1"/>
  <c r="C563" i="14"/>
  <c r="F563" i="14" s="1"/>
  <c r="C579" i="14"/>
  <c r="F579" i="14" s="1"/>
  <c r="C595" i="14"/>
  <c r="F595" i="14" s="1"/>
  <c r="C396" i="14"/>
  <c r="F396" i="14" s="1"/>
  <c r="C221" i="14"/>
  <c r="F221" i="14" s="1"/>
  <c r="C421" i="14"/>
  <c r="F421" i="14" s="1"/>
  <c r="C52" i="14"/>
  <c r="F52" i="14" s="1"/>
  <c r="C3" i="14"/>
  <c r="F3" i="14" s="1"/>
  <c r="C46" i="14"/>
  <c r="F46" i="14" s="1"/>
  <c r="C20" i="14"/>
  <c r="F20" i="14" s="1"/>
  <c r="C183" i="14"/>
  <c r="F183" i="14" s="1"/>
  <c r="C116" i="14"/>
  <c r="F116" i="14" s="1"/>
  <c r="C64" i="14"/>
  <c r="F64" i="14" s="1"/>
  <c r="C53" i="14"/>
  <c r="F53" i="14" s="1"/>
  <c r="C451" i="14"/>
  <c r="F451" i="14" s="1"/>
  <c r="C477" i="14"/>
  <c r="F477" i="14" s="1"/>
  <c r="C92" i="14"/>
  <c r="F92" i="14" s="1"/>
  <c r="C514" i="14"/>
  <c r="F514" i="14" s="1"/>
  <c r="C506" i="14"/>
  <c r="F506" i="14" s="1"/>
  <c r="C533" i="14"/>
  <c r="F533" i="14" s="1"/>
  <c r="C581" i="14"/>
  <c r="F581" i="14" s="1"/>
  <c r="C401" i="14"/>
  <c r="F401" i="14" s="1"/>
  <c r="C47" i="14"/>
  <c r="F47" i="14" s="1"/>
  <c r="C163" i="14"/>
  <c r="F163" i="14" s="1"/>
  <c r="C241" i="14"/>
  <c r="F241" i="14" s="1"/>
  <c r="C309" i="14"/>
  <c r="F309" i="14" s="1"/>
  <c r="C566" i="14"/>
  <c r="F566" i="14" s="1"/>
  <c r="C402" i="14"/>
  <c r="F402" i="14" s="1"/>
  <c r="C289" i="14"/>
  <c r="F289" i="14" s="1"/>
  <c r="C242" i="14"/>
  <c r="F242" i="14" s="1"/>
  <c r="C551" i="14"/>
  <c r="F551" i="14" s="1"/>
  <c r="C269" i="14"/>
  <c r="F269" i="14" s="1"/>
  <c r="C11" i="14"/>
  <c r="F11" i="14" s="1"/>
  <c r="C157" i="14"/>
  <c r="F157" i="14" s="1"/>
  <c r="C58" i="14"/>
  <c r="F58" i="14" s="1"/>
  <c r="C516" i="14"/>
  <c r="F516" i="14" s="1"/>
  <c r="C552" i="14"/>
  <c r="F552" i="14" s="1"/>
  <c r="C418" i="14"/>
  <c r="F418" i="14" s="1"/>
  <c r="C60" i="14"/>
  <c r="F60" i="14" s="1"/>
  <c r="C442" i="14"/>
  <c r="F442" i="14" s="1"/>
  <c r="C188" i="14"/>
  <c r="F188" i="14" s="1"/>
  <c r="C601" i="14"/>
  <c r="C404" i="14"/>
  <c r="F404" i="14" s="1"/>
  <c r="C99" i="14"/>
  <c r="F99" i="14" s="1"/>
  <c r="C104" i="14"/>
  <c r="F104" i="14" s="1"/>
  <c r="C336" i="14"/>
  <c r="F336" i="14" s="1"/>
  <c r="C538" i="14"/>
  <c r="F538" i="14" s="1"/>
  <c r="C263" i="14"/>
  <c r="F263" i="14" s="1"/>
  <c r="C158" i="14"/>
  <c r="F158" i="14" s="1"/>
  <c r="C247" i="14"/>
  <c r="F247" i="14" s="1"/>
  <c r="C171" i="14"/>
  <c r="F171" i="14" s="1"/>
  <c r="C218" i="14"/>
  <c r="F218" i="14" s="1"/>
  <c r="C82" i="14"/>
  <c r="F82" i="14" s="1"/>
  <c r="C414" i="14"/>
  <c r="F414" i="14" s="1"/>
  <c r="C353" i="14"/>
  <c r="F353" i="14" s="1"/>
  <c r="C224" i="14"/>
  <c r="F224" i="14" s="1"/>
  <c r="C368" i="14"/>
  <c r="F368" i="14" s="1"/>
  <c r="C430" i="14"/>
  <c r="F430" i="14" s="1"/>
  <c r="C110" i="14"/>
  <c r="F110" i="14" s="1"/>
  <c r="C120" i="14"/>
  <c r="F120" i="14" s="1"/>
  <c r="C15" i="14"/>
  <c r="F15" i="14" s="1"/>
  <c r="C12" i="14"/>
  <c r="F12" i="14" s="1"/>
  <c r="C83" i="14"/>
  <c r="F83" i="14" s="1"/>
  <c r="C43" i="14"/>
  <c r="F43" i="14" s="1"/>
  <c r="C285" i="14"/>
  <c r="F285" i="14" s="1"/>
  <c r="C182" i="14"/>
  <c r="F182" i="14" s="1"/>
  <c r="C142" i="14"/>
  <c r="F142" i="14" s="1"/>
  <c r="C115" i="14"/>
  <c r="F115" i="14" s="1"/>
  <c r="C23" i="14"/>
  <c r="F23" i="14" s="1"/>
  <c r="C89" i="14"/>
  <c r="F89" i="14" s="1"/>
  <c r="C160" i="14"/>
  <c r="F160" i="14" s="1"/>
  <c r="C170" i="14"/>
  <c r="F170" i="14" s="1"/>
  <c r="C438" i="14"/>
  <c r="F438" i="14" s="1"/>
  <c r="C450" i="14"/>
  <c r="F450" i="14" s="1"/>
  <c r="C462" i="14"/>
  <c r="F462" i="14" s="1"/>
  <c r="C476" i="14"/>
  <c r="F476" i="14" s="1"/>
  <c r="C489" i="14"/>
  <c r="F489" i="14" s="1"/>
  <c r="C168" i="14"/>
  <c r="F168" i="14" s="1"/>
  <c r="C333" i="14"/>
  <c r="F333" i="14" s="1"/>
  <c r="C513" i="14"/>
  <c r="F513" i="14" s="1"/>
  <c r="C307" i="14"/>
  <c r="F307" i="14" s="1"/>
  <c r="C505" i="14"/>
  <c r="F505" i="14" s="1"/>
  <c r="C310" i="14"/>
  <c r="F310" i="14" s="1"/>
  <c r="C532" i="14"/>
  <c r="F532" i="14" s="1"/>
  <c r="C548" i="14"/>
  <c r="F548" i="14" s="1"/>
  <c r="C564" i="14"/>
  <c r="F564" i="14" s="1"/>
  <c r="C580" i="14"/>
  <c r="F580" i="14" s="1"/>
  <c r="C596" i="14"/>
  <c r="F596" i="14" s="1"/>
  <c r="C343" i="14"/>
  <c r="F343" i="14" s="1"/>
  <c r="C415" i="14"/>
  <c r="F415" i="14" s="1"/>
  <c r="C354" i="14"/>
  <c r="F354" i="14" s="1"/>
  <c r="C369" i="14"/>
  <c r="F369" i="14" s="1"/>
  <c r="C373" i="14"/>
  <c r="F373" i="14" s="1"/>
  <c r="C86" i="14"/>
  <c r="F86" i="14" s="1"/>
  <c r="C121" i="14"/>
  <c r="F121" i="14" s="1"/>
  <c r="C286" i="14"/>
  <c r="F286" i="14" s="1"/>
  <c r="C8" i="14"/>
  <c r="F8" i="14" s="1"/>
  <c r="C42" i="14"/>
  <c r="F42" i="14" s="1"/>
  <c r="C297" i="14"/>
  <c r="F297" i="14" s="1"/>
  <c r="C439" i="14"/>
  <c r="F439" i="14" s="1"/>
  <c r="C235" i="14"/>
  <c r="F235" i="14" s="1"/>
  <c r="C490" i="14"/>
  <c r="F490" i="14" s="1"/>
  <c r="C334" i="14"/>
  <c r="F334" i="14" s="1"/>
  <c r="C308" i="14"/>
  <c r="F308" i="14" s="1"/>
  <c r="C382" i="14"/>
  <c r="F382" i="14" s="1"/>
  <c r="C549" i="14"/>
  <c r="F549" i="14" s="1"/>
  <c r="C339" i="14"/>
  <c r="F339" i="14" s="1"/>
  <c r="C87" i="14"/>
  <c r="F87" i="14" s="1"/>
  <c r="C463" i="14"/>
  <c r="F463" i="14" s="1"/>
  <c r="C515" i="14"/>
  <c r="F515" i="14" s="1"/>
  <c r="C582" i="14"/>
  <c r="F582" i="14" s="1"/>
  <c r="C409" i="14"/>
  <c r="F409" i="14" s="1"/>
  <c r="C50" i="14"/>
  <c r="F50" i="14" s="1"/>
  <c r="C75" i="14"/>
  <c r="F75" i="14" s="1"/>
  <c r="C299" i="14"/>
  <c r="F299" i="14" s="1"/>
  <c r="C122" i="14"/>
  <c r="F122" i="14" s="1"/>
  <c r="C567" i="14"/>
  <c r="F567" i="14" s="1"/>
  <c r="C403" i="14"/>
  <c r="F403" i="14" s="1"/>
  <c r="C59" i="14"/>
  <c r="F59" i="14" s="1"/>
  <c r="C243" i="14"/>
  <c r="F243" i="14" s="1"/>
  <c r="C568" i="14"/>
  <c r="F568" i="14" s="1"/>
  <c r="C364" i="14"/>
  <c r="F364" i="14" s="1"/>
  <c r="C250" i="14"/>
  <c r="F250" i="14" s="1"/>
  <c r="C348" i="14"/>
  <c r="F348" i="14" s="1"/>
  <c r="C124" i="14"/>
  <c r="F124" i="14" s="1"/>
  <c r="C300" i="14"/>
  <c r="F300" i="14" s="1"/>
  <c r="C518" i="14"/>
  <c r="F518" i="14" s="1"/>
  <c r="C602" i="14"/>
  <c r="C225" i="14"/>
  <c r="F225" i="14" s="1"/>
  <c r="C146" i="14"/>
  <c r="F146" i="14" s="1"/>
  <c r="C443" i="14"/>
  <c r="F443" i="14" s="1"/>
  <c r="C337" i="14"/>
  <c r="F337" i="14" s="1"/>
  <c r="C555" i="14"/>
  <c r="F555" i="14" s="1"/>
  <c r="C586" i="14"/>
  <c r="F586" i="14" s="1"/>
  <c r="C340" i="14"/>
  <c r="F340" i="14" s="1"/>
  <c r="C97" i="14"/>
  <c r="F97" i="14" s="1"/>
  <c r="C6" i="14"/>
  <c r="F6" i="14" s="1"/>
  <c r="C30" i="14"/>
  <c r="F30" i="14" s="1"/>
  <c r="C208" i="14"/>
  <c r="F208" i="14" s="1"/>
  <c r="C81" i="14"/>
  <c r="F81" i="14" s="1"/>
  <c r="C481" i="14"/>
  <c r="F481" i="14" s="1"/>
  <c r="C252" i="14"/>
  <c r="F252" i="14" s="1"/>
  <c r="C405" i="14"/>
  <c r="F405" i="14" s="1"/>
  <c r="C222" i="14"/>
  <c r="F222" i="14" s="1"/>
  <c r="C264" i="14"/>
  <c r="F264" i="14" s="1"/>
  <c r="C360" i="14"/>
  <c r="F360" i="14" s="1"/>
  <c r="C270" i="14"/>
  <c r="F270" i="14" s="1"/>
  <c r="C428" i="14"/>
  <c r="F428" i="14" s="1"/>
  <c r="C341" i="14"/>
  <c r="F341" i="14" s="1"/>
  <c r="C406" i="14"/>
  <c r="F406" i="14" s="1"/>
  <c r="C172" i="14"/>
  <c r="F172" i="14" s="1"/>
  <c r="C349" i="14"/>
  <c r="F349" i="14" s="1"/>
  <c r="C361" i="14"/>
  <c r="F361" i="14" s="1"/>
  <c r="C424" i="14"/>
  <c r="F424" i="14" s="1"/>
  <c r="C371" i="14"/>
  <c r="F371" i="14" s="1"/>
  <c r="C230" i="14"/>
  <c r="F230" i="14" s="1"/>
  <c r="C9" i="14"/>
  <c r="F9" i="14" s="1"/>
  <c r="C67" i="14"/>
  <c r="F67" i="14" s="1"/>
  <c r="C19" i="14"/>
  <c r="F19" i="14" s="1"/>
  <c r="C196" i="14"/>
  <c r="F196" i="14" s="1"/>
  <c r="C210" i="14"/>
  <c r="F210" i="14" s="1"/>
  <c r="C41" i="14"/>
  <c r="F41" i="14" s="1"/>
  <c r="C127" i="14"/>
  <c r="F127" i="14" s="1"/>
  <c r="C136" i="14"/>
  <c r="F136" i="14" s="1"/>
  <c r="C311" i="14"/>
  <c r="F311" i="14" s="1"/>
  <c r="C321" i="14"/>
  <c r="F321" i="14" s="1"/>
  <c r="C148" i="14"/>
  <c r="F148" i="14" s="1"/>
  <c r="C293" i="14"/>
  <c r="F293" i="14" s="1"/>
  <c r="C61" i="14"/>
  <c r="F61" i="14" s="1"/>
  <c r="C376" i="14"/>
  <c r="F376" i="14" s="1"/>
  <c r="C377" i="14"/>
  <c r="F377" i="14" s="1"/>
  <c r="C455" i="14"/>
  <c r="F455" i="14" s="1"/>
  <c r="C469" i="14"/>
  <c r="F469" i="14" s="1"/>
  <c r="C483" i="14"/>
  <c r="F483" i="14" s="1"/>
  <c r="C381" i="14"/>
  <c r="F381" i="14" s="1"/>
  <c r="C90" i="14"/>
  <c r="F90" i="14" s="1"/>
  <c r="C191" i="14"/>
  <c r="F191" i="14" s="1"/>
  <c r="C306" i="14"/>
  <c r="F306" i="14" s="1"/>
  <c r="C498" i="14"/>
  <c r="F498" i="14" s="1"/>
  <c r="C338" i="14"/>
  <c r="F338" i="14" s="1"/>
  <c r="C525" i="14"/>
  <c r="F525" i="14" s="1"/>
  <c r="C541" i="14"/>
  <c r="F541" i="14" s="1"/>
  <c r="C557" i="14"/>
  <c r="F557" i="14" s="1"/>
  <c r="C573" i="14"/>
  <c r="F573" i="14" s="1"/>
  <c r="C589" i="14"/>
  <c r="F589" i="14" s="1"/>
  <c r="C223" i="14"/>
  <c r="F223" i="14" s="1"/>
  <c r="C73" i="14"/>
  <c r="F73" i="14" s="1"/>
  <c r="C33" i="14"/>
  <c r="F33" i="14" s="1"/>
  <c r="C436" i="14"/>
  <c r="F436" i="14" s="1"/>
  <c r="C331" i="14"/>
  <c r="F331" i="14" s="1"/>
  <c r="C530" i="14"/>
  <c r="F530" i="14" s="1"/>
  <c r="C355" i="14"/>
  <c r="F355" i="14" s="1"/>
  <c r="C203" i="14"/>
  <c r="F203" i="14" s="1"/>
  <c r="C288" i="14"/>
  <c r="F288" i="14" s="1"/>
  <c r="C237" i="14"/>
  <c r="F237" i="14" s="1"/>
  <c r="C550" i="14"/>
  <c r="F550" i="14" s="1"/>
  <c r="C273" i="14"/>
  <c r="F273" i="14" s="1"/>
  <c r="C10" i="14"/>
  <c r="F10" i="14" s="1"/>
  <c r="C131" i="14"/>
  <c r="F131" i="14" s="1"/>
  <c r="C164" i="14"/>
  <c r="F164" i="14" s="1"/>
  <c r="C384" i="14"/>
  <c r="F384" i="14" s="1"/>
  <c r="C426" i="14"/>
  <c r="F426" i="14" s="1"/>
  <c r="C25" i="14"/>
  <c r="F25" i="14" s="1"/>
  <c r="C205" i="14"/>
  <c r="F205" i="14" s="1"/>
  <c r="C144" i="14"/>
  <c r="F144" i="14" s="1"/>
  <c r="C441" i="14"/>
  <c r="F441" i="14" s="1"/>
  <c r="C238" i="14"/>
  <c r="F238" i="14" s="1"/>
  <c r="C509" i="14"/>
  <c r="F509" i="14" s="1"/>
  <c r="C346" i="14"/>
  <c r="F346" i="14" s="1"/>
  <c r="C26" i="14"/>
  <c r="F26" i="14" s="1"/>
  <c r="C206" i="14"/>
  <c r="F206" i="14" s="1"/>
  <c r="C72" i="14"/>
  <c r="F72" i="14" s="1"/>
  <c r="C480" i="14"/>
  <c r="F480" i="14" s="1"/>
  <c r="C427" i="14"/>
  <c r="F427" i="14" s="1"/>
  <c r="C27" i="14"/>
  <c r="F27" i="14" s="1"/>
  <c r="C32" i="14"/>
  <c r="F32" i="14" s="1"/>
  <c r="C35" i="14"/>
  <c r="F35" i="14" s="1"/>
  <c r="C80" i="14"/>
  <c r="F80" i="14" s="1"/>
  <c r="C246" i="14"/>
  <c r="F246" i="14" s="1"/>
  <c r="C523" i="14"/>
  <c r="F523" i="14" s="1"/>
  <c r="C176" i="14"/>
  <c r="F176" i="14" s="1"/>
  <c r="C468" i="14"/>
  <c r="F468" i="14" s="1"/>
  <c r="C394" i="14"/>
  <c r="F394" i="14" s="1"/>
  <c r="C253" i="14"/>
  <c r="F253" i="14" s="1"/>
  <c r="C407" i="14"/>
  <c r="F407" i="14" s="1"/>
  <c r="C261" i="14"/>
  <c r="F261" i="14" s="1"/>
  <c r="C96" i="14"/>
  <c r="F96" i="14" s="1"/>
  <c r="C362" i="14"/>
  <c r="F362" i="14" s="1"/>
  <c r="C271" i="14"/>
  <c r="F271" i="14" s="1"/>
  <c r="C429" i="14"/>
  <c r="F429" i="14" s="1"/>
  <c r="C278" i="14"/>
  <c r="F278" i="14" s="1"/>
  <c r="C49" i="14"/>
  <c r="F49" i="14" s="1"/>
  <c r="C68" i="14"/>
  <c r="F68" i="14" s="1"/>
  <c r="C100" i="14"/>
  <c r="F100" i="14" s="1"/>
  <c r="C197" i="14"/>
  <c r="F197" i="14" s="1"/>
  <c r="C211" i="14"/>
  <c r="F211" i="14" s="1"/>
  <c r="C84" i="14"/>
  <c r="F84" i="14" s="1"/>
  <c r="C128" i="14"/>
  <c r="F128" i="14" s="1"/>
  <c r="C137" i="14"/>
  <c r="F137" i="14" s="1"/>
  <c r="C312" i="14"/>
  <c r="F312" i="14" s="1"/>
  <c r="C194" i="14"/>
  <c r="F194" i="14" s="1"/>
  <c r="C78" i="14"/>
  <c r="F78" i="14" s="1"/>
  <c r="C159" i="14"/>
  <c r="F159" i="14" s="1"/>
  <c r="C239" i="14"/>
  <c r="F239" i="14" s="1"/>
  <c r="C434" i="14"/>
  <c r="F434" i="14" s="1"/>
  <c r="C445" i="14"/>
  <c r="F445" i="14" s="1"/>
  <c r="C456" i="14"/>
  <c r="F456" i="14" s="1"/>
  <c r="C470" i="14"/>
  <c r="F470" i="14" s="1"/>
  <c r="C484" i="14"/>
  <c r="F484" i="14" s="1"/>
  <c r="C496" i="14"/>
  <c r="F496" i="14" s="1"/>
  <c r="C327" i="14"/>
  <c r="F327" i="14" s="1"/>
  <c r="C113" i="14"/>
  <c r="F113" i="14" s="1"/>
  <c r="C521" i="14"/>
  <c r="F521" i="14" s="1"/>
  <c r="C499" i="14"/>
  <c r="F499" i="14" s="1"/>
  <c r="C388" i="14"/>
  <c r="F388" i="14" s="1"/>
  <c r="C526" i="14"/>
  <c r="F526" i="14" s="1"/>
  <c r="C542" i="14"/>
  <c r="F542" i="14" s="1"/>
  <c r="C558" i="14"/>
  <c r="F558" i="14" s="1"/>
  <c r="C574" i="14"/>
  <c r="F574" i="14" s="1"/>
  <c r="C590" i="14"/>
  <c r="F590" i="14" s="1"/>
  <c r="C408" i="14"/>
  <c r="F408" i="14" s="1"/>
  <c r="C228" i="14"/>
  <c r="F228" i="14" s="1"/>
  <c r="C201" i="14"/>
  <c r="F201" i="14" s="1"/>
  <c r="C315" i="14"/>
  <c r="F315" i="14" s="1"/>
  <c r="C36" i="14"/>
  <c r="F36" i="14" s="1"/>
  <c r="C123" i="14"/>
  <c r="F123" i="14" s="1"/>
  <c r="C503" i="14"/>
  <c r="F503" i="14" s="1"/>
  <c r="C594" i="14"/>
  <c r="F594" i="14" s="1"/>
  <c r="C565" i="14"/>
  <c r="F565" i="14" s="1"/>
  <c r="C268" i="14"/>
  <c r="F268" i="14" s="1"/>
  <c r="C374" i="14"/>
  <c r="F374" i="14" s="1"/>
  <c r="C62" i="14"/>
  <c r="F62" i="14" s="1"/>
  <c r="C103" i="14"/>
  <c r="F103" i="14" s="1"/>
  <c r="C161" i="14"/>
  <c r="F161" i="14" s="1"/>
  <c r="C507" i="14"/>
  <c r="F507" i="14" s="1"/>
  <c r="C397" i="14"/>
  <c r="F397" i="14" s="1"/>
  <c r="C112" i="14"/>
  <c r="F112" i="14" s="1"/>
  <c r="C464" i="14"/>
  <c r="F464" i="14" s="1"/>
  <c r="C508" i="14"/>
  <c r="F508" i="14" s="1"/>
  <c r="C599" i="14"/>
  <c r="C357" i="14"/>
  <c r="F357" i="14" s="1"/>
  <c r="C431" i="14"/>
  <c r="F431" i="14" s="1"/>
  <c r="C24" i="14"/>
  <c r="F24" i="14" s="1"/>
  <c r="C317" i="14"/>
  <c r="F317" i="14" s="1"/>
  <c r="C162" i="14"/>
  <c r="F162" i="14" s="1"/>
  <c r="C479" i="14"/>
  <c r="F479" i="14" s="1"/>
  <c r="C536" i="14"/>
  <c r="F536" i="14" s="1"/>
  <c r="C265" i="14"/>
  <c r="F265" i="14" s="1"/>
  <c r="C186" i="14"/>
  <c r="F186" i="14" s="1"/>
  <c r="C2" i="14"/>
  <c r="F2" i="14" s="1"/>
  <c r="C244" i="14"/>
  <c r="F244" i="14" s="1"/>
  <c r="C553" i="14"/>
  <c r="F553" i="14" s="1"/>
  <c r="C260" i="14"/>
  <c r="F260" i="14" s="1"/>
  <c r="C207" i="14"/>
  <c r="F207" i="14" s="1"/>
  <c r="C291" i="14"/>
  <c r="F291" i="14" s="1"/>
  <c r="C467" i="14"/>
  <c r="F467" i="14" s="1"/>
  <c r="C251" i="14"/>
  <c r="F251" i="14" s="1"/>
  <c r="C359" i="14"/>
  <c r="F359" i="14" s="1"/>
  <c r="C149" i="14"/>
  <c r="F149" i="14" s="1"/>
  <c r="C153" i="14"/>
  <c r="F153" i="14" s="1"/>
  <c r="C342" i="14"/>
  <c r="F342" i="14" s="1"/>
  <c r="C219" i="14"/>
  <c r="F219" i="14" s="1"/>
  <c r="C411" i="14"/>
  <c r="F411" i="14" s="1"/>
  <c r="C350" i="14"/>
  <c r="F350" i="14" s="1"/>
  <c r="C363" i="14"/>
  <c r="F363" i="14" s="1"/>
  <c r="C365" i="14"/>
  <c r="F365" i="14" s="1"/>
  <c r="C174" i="14"/>
  <c r="F174" i="14" s="1"/>
  <c r="C279" i="14"/>
  <c r="F279" i="14" s="1"/>
  <c r="C117" i="14"/>
  <c r="F117" i="14" s="1"/>
  <c r="C133" i="14"/>
  <c r="F133" i="14" s="1"/>
  <c r="C180" i="14"/>
  <c r="F180" i="14" s="1"/>
  <c r="C198" i="14"/>
  <c r="F198" i="14" s="1"/>
  <c r="C212" i="14"/>
  <c r="F212" i="14" s="1"/>
  <c r="C85" i="14"/>
  <c r="F85" i="14" s="1"/>
  <c r="C129" i="14"/>
  <c r="F129" i="14" s="1"/>
  <c r="C138" i="14"/>
  <c r="F138" i="14" s="1"/>
  <c r="C313" i="14"/>
  <c r="F313" i="14" s="1"/>
  <c r="C322" i="14"/>
  <c r="F322" i="14" s="1"/>
  <c r="C79" i="14"/>
  <c r="F79" i="14" s="1"/>
  <c r="C294" i="14"/>
  <c r="F294" i="14" s="1"/>
  <c r="C240" i="14"/>
  <c r="F240" i="14" s="1"/>
  <c r="C435" i="14"/>
  <c r="F435" i="14" s="1"/>
  <c r="C446" i="14"/>
  <c r="F446" i="14" s="1"/>
  <c r="C457" i="14"/>
  <c r="F457" i="14" s="1"/>
  <c r="C471" i="14"/>
  <c r="F471" i="14" s="1"/>
  <c r="C485" i="14"/>
  <c r="F485" i="14" s="1"/>
  <c r="C16" i="14"/>
  <c r="F16" i="14" s="1"/>
  <c r="C328" i="14"/>
  <c r="F328" i="14" s="1"/>
  <c r="C187" i="14"/>
  <c r="F187" i="14" s="1"/>
  <c r="C189" i="14"/>
  <c r="F189" i="14" s="1"/>
  <c r="C500" i="14"/>
  <c r="F500" i="14" s="1"/>
  <c r="C389" i="14"/>
  <c r="F389" i="14" s="1"/>
  <c r="C527" i="14"/>
  <c r="F527" i="14" s="1"/>
  <c r="C543" i="14"/>
  <c r="F543" i="14" s="1"/>
  <c r="C559" i="14"/>
  <c r="F559" i="14" s="1"/>
  <c r="C575" i="14"/>
  <c r="F575" i="14" s="1"/>
  <c r="C591" i="14"/>
  <c r="F591" i="14" s="1"/>
  <c r="C351" i="14"/>
  <c r="F351" i="14" s="1"/>
  <c r="C366" i="14"/>
  <c r="F366" i="14" s="1"/>
  <c r="C63" i="14"/>
  <c r="F63" i="14" s="1"/>
  <c r="C44" i="14"/>
  <c r="F44" i="14" s="1"/>
  <c r="C108" i="14"/>
  <c r="F108" i="14" s="1"/>
  <c r="C449" i="14"/>
  <c r="F449" i="14" s="1"/>
  <c r="C166" i="14"/>
  <c r="F166" i="14" s="1"/>
  <c r="C392" i="14"/>
  <c r="F392" i="14" s="1"/>
  <c r="C578" i="14"/>
  <c r="F578" i="14" s="1"/>
  <c r="C416" i="14"/>
  <c r="F416" i="14" s="1"/>
  <c r="C45" i="14"/>
  <c r="F45" i="14" s="1"/>
  <c r="C106" i="14"/>
  <c r="F106" i="14" s="1"/>
  <c r="C478" i="14"/>
  <c r="F478" i="14" s="1"/>
  <c r="C383" i="14"/>
  <c r="F383" i="14" s="1"/>
  <c r="C417" i="14"/>
  <c r="F417" i="14" s="1"/>
  <c r="C316" i="14"/>
  <c r="F316" i="14" s="1"/>
  <c r="C236" i="14"/>
  <c r="F236" i="14" s="1"/>
  <c r="C535" i="14"/>
  <c r="F535" i="14" s="1"/>
  <c r="C398" i="14"/>
  <c r="F398" i="14" s="1"/>
  <c r="C185" i="14"/>
  <c r="F185" i="14" s="1"/>
  <c r="C335" i="14"/>
  <c r="F335" i="14" s="1"/>
  <c r="C584" i="14"/>
  <c r="F584" i="14" s="1"/>
  <c r="C370" i="14"/>
  <c r="F370" i="14" s="1"/>
  <c r="C492" i="14"/>
  <c r="F492" i="14" s="1"/>
  <c r="C358" i="14"/>
  <c r="F358" i="14" s="1"/>
  <c r="C51" i="14"/>
  <c r="F51" i="14" s="1"/>
  <c r="C454" i="14"/>
  <c r="F454" i="14" s="1"/>
  <c r="C190" i="14"/>
  <c r="F190" i="14" s="1"/>
  <c r="C227" i="14"/>
  <c r="F227" i="14" s="1"/>
  <c r="C18" i="14"/>
  <c r="F18" i="14" s="1"/>
  <c r="C379" i="14"/>
  <c r="F379" i="14" s="1"/>
  <c r="C519" i="14"/>
  <c r="F519" i="14" s="1"/>
  <c r="C386" i="14"/>
  <c r="F386" i="14" s="1"/>
  <c r="C217" i="14"/>
  <c r="F217" i="14" s="1"/>
  <c r="C345" i="14"/>
  <c r="F345" i="14" s="1"/>
  <c r="C412" i="14"/>
  <c r="F412" i="14" s="1"/>
  <c r="C173" i="14"/>
  <c r="F173" i="14" s="1"/>
  <c r="C266" i="14"/>
  <c r="F266" i="14" s="1"/>
  <c r="C226" i="14"/>
  <c r="F226" i="14" s="1"/>
  <c r="C372" i="14"/>
  <c r="F372" i="14" s="1"/>
  <c r="C375" i="14"/>
  <c r="F375" i="14" s="1"/>
  <c r="C118" i="14"/>
  <c r="F118" i="14" s="1"/>
  <c r="C134" i="14"/>
  <c r="F134" i="14" s="1"/>
  <c r="C181" i="14"/>
  <c r="F181" i="14" s="1"/>
  <c r="C199" i="14"/>
  <c r="F199" i="14" s="1"/>
  <c r="C37" i="14"/>
  <c r="F37" i="14" s="1"/>
  <c r="C282" i="14"/>
  <c r="F282" i="14" s="1"/>
  <c r="C76" i="14"/>
  <c r="F76" i="14" s="1"/>
  <c r="C139" i="14"/>
  <c r="F139" i="14" s="1"/>
  <c r="C155" i="14"/>
  <c r="F155" i="14" s="1"/>
  <c r="C323" i="14"/>
  <c r="F323" i="14" s="1"/>
  <c r="C177" i="14"/>
  <c r="F177" i="14" s="1"/>
  <c r="C295" i="14"/>
  <c r="F295" i="14" s="1"/>
  <c r="C69" i="14"/>
  <c r="F69" i="14" s="1"/>
  <c r="C70" i="14"/>
  <c r="F70" i="14" s="1"/>
  <c r="C447" i="14"/>
  <c r="F447" i="14" s="1"/>
  <c r="C458" i="14"/>
  <c r="F458" i="14" s="1"/>
  <c r="C472" i="14"/>
  <c r="F472" i="14" s="1"/>
  <c r="C486" i="14"/>
  <c r="F486" i="14" s="1"/>
  <c r="C91" i="14"/>
  <c r="F91" i="14" s="1"/>
  <c r="C329" i="14"/>
  <c r="F329" i="14" s="1"/>
  <c r="C156" i="14"/>
  <c r="F156" i="14" s="1"/>
  <c r="C151" i="14"/>
  <c r="F151" i="14" s="1"/>
  <c r="C501" i="14"/>
  <c r="F501" i="14" s="1"/>
  <c r="C390" i="14"/>
  <c r="F390" i="14" s="1"/>
  <c r="C528" i="14"/>
  <c r="F528" i="14" s="1"/>
  <c r="C544" i="14"/>
  <c r="F544" i="14" s="1"/>
  <c r="C560" i="14"/>
  <c r="F560" i="14" s="1"/>
  <c r="C576" i="14"/>
  <c r="F576" i="14" s="1"/>
  <c r="C592" i="14"/>
  <c r="F592" i="14" s="1"/>
  <c r="C413" i="14"/>
  <c r="F413" i="14" s="1"/>
  <c r="C281" i="14"/>
  <c r="F281" i="14" s="1"/>
  <c r="C7" i="14"/>
  <c r="F7" i="14" s="1"/>
  <c r="C325" i="14"/>
  <c r="F325" i="14" s="1"/>
  <c r="C474" i="14"/>
  <c r="F474" i="14" s="1"/>
  <c r="C303" i="14"/>
  <c r="F303" i="14" s="1"/>
  <c r="C546" i="14"/>
  <c r="F546" i="14" s="1"/>
  <c r="C258" i="14"/>
  <c r="F258" i="14" s="1"/>
  <c r="C287" i="14"/>
  <c r="F287" i="14" s="1"/>
  <c r="C234" i="14"/>
  <c r="F234" i="14" s="1"/>
  <c r="C214" i="14"/>
  <c r="F214" i="14" s="1"/>
  <c r="C534" i="14"/>
  <c r="F534" i="14" s="1"/>
  <c r="C422" i="14"/>
  <c r="F422" i="14" s="1"/>
  <c r="C21" i="14"/>
  <c r="F21" i="14" s="1"/>
  <c r="C204" i="14"/>
  <c r="F204" i="14" s="1"/>
  <c r="C56" i="14"/>
  <c r="F56" i="14" s="1"/>
  <c r="C378" i="14"/>
  <c r="F378" i="14" s="1"/>
  <c r="C491" i="14"/>
  <c r="F491" i="14" s="1"/>
  <c r="C143" i="14"/>
  <c r="F143" i="14" s="1"/>
  <c r="C259" i="14"/>
  <c r="F259" i="14" s="1"/>
  <c r="C28" i="14"/>
  <c r="F28" i="14" s="1"/>
  <c r="C107" i="14"/>
  <c r="F107" i="14" s="1"/>
  <c r="C452" i="14"/>
  <c r="F452" i="14" s="1"/>
  <c r="C249" i="14"/>
  <c r="F249" i="14" s="1"/>
  <c r="C399" i="14"/>
  <c r="F399" i="14" s="1"/>
  <c r="C34" i="14"/>
  <c r="F34" i="14" s="1"/>
  <c r="C65" i="14"/>
  <c r="F65" i="14" s="1"/>
  <c r="C290" i="14"/>
  <c r="F290" i="14" s="1"/>
  <c r="C453" i="14"/>
  <c r="F453" i="14" s="1"/>
  <c r="C215" i="14"/>
  <c r="F215" i="14" s="1"/>
  <c r="C522" i="14"/>
  <c r="F522" i="14" s="1"/>
  <c r="C585" i="14"/>
  <c r="F585" i="14" s="1"/>
  <c r="C216" i="14"/>
  <c r="F216" i="14" s="1"/>
  <c r="C17" i="14"/>
  <c r="F17" i="14" s="1"/>
  <c r="C319" i="14"/>
  <c r="F319" i="14" s="1"/>
  <c r="C380" i="14"/>
  <c r="F380" i="14" s="1"/>
  <c r="C554" i="14"/>
  <c r="F554" i="14" s="1"/>
  <c r="C410" i="14"/>
  <c r="F410" i="14" s="1"/>
  <c r="C94" i="14"/>
  <c r="F94" i="14" s="1"/>
  <c r="C494" i="14"/>
  <c r="F494" i="14" s="1"/>
  <c r="C539" i="14"/>
  <c r="F539" i="14" s="1"/>
  <c r="C254" i="14"/>
  <c r="F254" i="14" s="1"/>
  <c r="C257" i="14"/>
  <c r="F257" i="14" s="1"/>
  <c r="C95" i="14"/>
  <c r="F95" i="14" s="1"/>
  <c r="C419" i="14"/>
  <c r="F419" i="14" s="1"/>
  <c r="C420" i="14"/>
  <c r="F420" i="14" s="1"/>
  <c r="C425" i="14"/>
  <c r="F425" i="14" s="1"/>
  <c r="C274" i="14"/>
  <c r="F274" i="14" s="1"/>
  <c r="C280" i="14"/>
  <c r="F280" i="14" s="1"/>
  <c r="C54" i="14"/>
  <c r="F54" i="14" s="1"/>
  <c r="C13" i="14"/>
  <c r="F13" i="14" s="1"/>
  <c r="C101" i="14"/>
  <c r="F101" i="14" s="1"/>
  <c r="C200" i="14"/>
  <c r="F200" i="14" s="1"/>
  <c r="C213" i="14"/>
  <c r="F213" i="14" s="1"/>
  <c r="C283" i="14"/>
  <c r="F283" i="14" s="1"/>
  <c r="C77" i="14"/>
  <c r="F77" i="14" s="1"/>
  <c r="C140" i="14"/>
  <c r="F140" i="14" s="1"/>
  <c r="C314" i="14"/>
  <c r="F314" i="14" s="1"/>
  <c r="C324" i="14"/>
  <c r="F324" i="14" s="1"/>
  <c r="C178" i="14"/>
  <c r="F178" i="14" s="1"/>
  <c r="C296" i="14"/>
  <c r="F296" i="14" s="1"/>
  <c r="C169" i="14"/>
  <c r="F169" i="14" s="1"/>
  <c r="C232" i="14"/>
  <c r="F232" i="14" s="1"/>
  <c r="C448" i="14"/>
  <c r="F448" i="14" s="1"/>
  <c r="C459" i="14"/>
  <c r="F459" i="14" s="1"/>
  <c r="C473" i="14"/>
  <c r="F473" i="14" s="1"/>
  <c r="C487" i="14"/>
  <c r="F487" i="14" s="1"/>
  <c r="C165" i="14"/>
  <c r="F165" i="14" s="1"/>
  <c r="C330" i="14"/>
  <c r="F330" i="14" s="1"/>
  <c r="C510" i="14"/>
  <c r="F510" i="14" s="1"/>
  <c r="C152" i="14"/>
  <c r="F152" i="14" s="1"/>
  <c r="C502" i="14"/>
  <c r="F502" i="14" s="1"/>
  <c r="C391" i="14"/>
  <c r="F391" i="14" s="1"/>
  <c r="C529" i="14"/>
  <c r="F529" i="14" s="1"/>
  <c r="C545" i="14"/>
  <c r="F545" i="14" s="1"/>
  <c r="C561" i="14"/>
  <c r="F561" i="14" s="1"/>
  <c r="C577" i="14"/>
  <c r="F577" i="14" s="1"/>
  <c r="C593" i="14"/>
  <c r="F593" i="14" s="1"/>
  <c r="C255" i="14"/>
  <c r="F255" i="14" s="1"/>
  <c r="C55" i="14"/>
  <c r="F55" i="14" s="1"/>
  <c r="C284" i="14"/>
  <c r="F284" i="14" s="1"/>
  <c r="C179" i="14"/>
  <c r="F179" i="14" s="1"/>
  <c r="C460" i="14"/>
  <c r="F460" i="14" s="1"/>
  <c r="C511" i="14"/>
  <c r="F511" i="14" s="1"/>
  <c r="C562" i="14"/>
  <c r="F562" i="14" s="1"/>
  <c r="C597" i="14"/>
  <c r="F597" i="14" s="1"/>
  <c r="C272" i="14"/>
  <c r="F272" i="14" s="1"/>
  <c r="C71" i="14"/>
  <c r="F71" i="14" s="1"/>
  <c r="C130" i="14"/>
  <c r="F130" i="14" s="1"/>
  <c r="C193" i="14"/>
  <c r="F193" i="14" s="1"/>
  <c r="C440" i="14"/>
  <c r="F440" i="14" s="1"/>
  <c r="C598" i="14"/>
  <c r="C356" i="14"/>
  <c r="F356" i="14" s="1"/>
  <c r="C229" i="14"/>
  <c r="F229" i="14" s="1"/>
  <c r="C114" i="14"/>
  <c r="F114" i="14" s="1"/>
  <c r="C184" i="14"/>
  <c r="F184" i="14" s="1"/>
  <c r="C298" i="14"/>
  <c r="F298" i="14" s="1"/>
  <c r="C305" i="14"/>
  <c r="F305" i="14" s="1"/>
  <c r="C583" i="14"/>
  <c r="F583" i="14" s="1"/>
  <c r="C262" i="14"/>
  <c r="F262" i="14" s="1"/>
  <c r="C132" i="14"/>
  <c r="F132" i="14" s="1"/>
  <c r="C465" i="14"/>
  <c r="F465" i="14" s="1"/>
  <c r="C385" i="14"/>
  <c r="F385" i="14" s="1"/>
  <c r="C600" i="14"/>
  <c r="C256" i="14"/>
  <c r="F256" i="14" s="1"/>
  <c r="C275" i="14"/>
  <c r="F275" i="14" s="1"/>
  <c r="C29" i="14"/>
  <c r="F29" i="14" s="1"/>
  <c r="C48" i="14"/>
  <c r="F48" i="14" s="1"/>
  <c r="C39" i="14"/>
  <c r="F39" i="14" s="1"/>
  <c r="C318" i="14"/>
  <c r="F318" i="14" s="1"/>
  <c r="C105" i="14"/>
  <c r="F105" i="14" s="1"/>
  <c r="C466" i="14"/>
  <c r="F466" i="14" s="1"/>
  <c r="C517" i="14"/>
  <c r="F517" i="14" s="1"/>
  <c r="C537" i="14"/>
  <c r="F537" i="14" s="1"/>
  <c r="C569" i="14"/>
  <c r="F569" i="14" s="1"/>
  <c r="C423" i="14"/>
  <c r="F423" i="14" s="1"/>
  <c r="C276" i="14"/>
  <c r="F276" i="14" s="1"/>
  <c r="C4" i="14"/>
  <c r="F4" i="14" s="1"/>
  <c r="C145" i="14"/>
  <c r="F145" i="14" s="1"/>
  <c r="C493" i="14"/>
  <c r="F493" i="14" s="1"/>
  <c r="C570" i="14"/>
  <c r="F570" i="14" s="1"/>
  <c r="C344" i="14"/>
  <c r="F344" i="14" s="1"/>
  <c r="C432" i="14"/>
  <c r="F432" i="14" s="1"/>
  <c r="C245" i="14"/>
  <c r="F245" i="14" s="1"/>
  <c r="C31" i="14"/>
  <c r="F31" i="14" s="1"/>
  <c r="C588" i="14"/>
  <c r="F588" i="14" s="1"/>
  <c r="C444" i="14"/>
  <c r="F444" i="14" s="1"/>
  <c r="C66" i="14"/>
  <c r="F66" i="14" s="1"/>
  <c r="C587" i="14"/>
  <c r="F587" i="14" s="1"/>
  <c r="C433" i="14"/>
  <c r="F433" i="14" s="1"/>
  <c r="C98" i="14"/>
  <c r="F98" i="14" s="1"/>
  <c r="C301" i="14"/>
  <c r="F301" i="14" s="1"/>
  <c r="C5" i="14"/>
  <c r="F5" i="14" s="1"/>
  <c r="C88" i="14"/>
  <c r="F88" i="14" s="1"/>
  <c r="C572" i="14"/>
  <c r="F572" i="14" s="1"/>
  <c r="C150" i="14"/>
  <c r="F150" i="14" s="1"/>
  <c r="C277" i="14"/>
  <c r="F27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huiping ren</author>
  </authors>
  <commentList>
    <comment ref="A43" authorId="0" shapeId="0" xr:uid="{19E362AC-6A9C-4EC2-8109-E95AF496364F}">
      <text>
        <r>
          <rPr>
            <b/>
            <sz val="9"/>
            <color indexed="81"/>
            <rFont val="Tahoma"/>
            <family val="2"/>
          </rPr>
          <t>huiping ren:</t>
        </r>
        <r>
          <rPr>
            <sz val="9"/>
            <color indexed="81"/>
            <rFont val="Tahoma"/>
            <family val="2"/>
          </rPr>
          <t xml:space="preserve">
Missing market value</t>
        </r>
      </text>
    </comment>
    <comment ref="A184" authorId="0" shapeId="0" xr:uid="{F83CE3FE-C562-43EF-9D66-0E3EA165D2B6}">
      <text>
        <r>
          <rPr>
            <b/>
            <sz val="9"/>
            <color indexed="81"/>
            <rFont val="Tahoma"/>
            <family val="2"/>
          </rPr>
          <t>huiping ren:</t>
        </r>
        <r>
          <rPr>
            <sz val="9"/>
            <color indexed="81"/>
            <rFont val="Tahoma"/>
            <family val="2"/>
          </rPr>
          <t xml:space="preserve">
missing CEQ</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huiping ren</author>
  </authors>
  <commentList>
    <comment ref="L79" authorId="0" shapeId="0" xr:uid="{B38F93D9-55FB-484B-A492-1970C46088C1}">
      <text>
        <r>
          <rPr>
            <b/>
            <sz val="9"/>
            <color indexed="81"/>
            <rFont val="Tahoma"/>
            <family val="2"/>
          </rPr>
          <t>huiping ren:</t>
        </r>
        <r>
          <rPr>
            <sz val="9"/>
            <color indexed="81"/>
            <rFont val="Tahoma"/>
            <family val="2"/>
          </rPr>
          <t xml:space="preserve">
The company refers to 2019 10-K, which does not include information in 2020.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huiping ren</author>
  </authors>
  <commentList>
    <comment ref="A335" authorId="0" shapeId="0" xr:uid="{1504AE14-0742-450F-A99E-930BC2ED1EE7}">
      <text>
        <r>
          <rPr>
            <b/>
            <sz val="9"/>
            <color indexed="81"/>
            <rFont val="Tahoma"/>
            <family val="2"/>
          </rPr>
          <t>huiping ren:</t>
        </r>
        <r>
          <rPr>
            <sz val="9"/>
            <color indexed="81"/>
            <rFont val="Tahoma"/>
            <family val="2"/>
          </rPr>
          <t xml:space="preserve">
Same violation as previous one
</t>
        </r>
      </text>
    </comment>
  </commentList>
</comments>
</file>

<file path=xl/sharedStrings.xml><?xml version="1.0" encoding="utf-8"?>
<sst xmlns="http://schemas.openxmlformats.org/spreadsheetml/2006/main" count="50658" uniqueCount="4775">
  <si>
    <t>Line in Master</t>
  </si>
  <si>
    <t>Company Name</t>
  </si>
  <si>
    <t>Year</t>
  </si>
  <si>
    <t>AdvanSix Inc</t>
  </si>
  <si>
    <t>Aflac Inc</t>
  </si>
  <si>
    <t>Agilent Technologies Inc</t>
  </si>
  <si>
    <t>AGNC Investment Corp</t>
  </si>
  <si>
    <t>AIG - American International Group Inc</t>
  </si>
  <si>
    <t>Akamai Technologies Inc</t>
  </si>
  <si>
    <t>Albemarle Corp</t>
  </si>
  <si>
    <t>Alliance Data Systems Corp</t>
  </si>
  <si>
    <t>Alliant Energy Corp</t>
  </si>
  <si>
    <t>Allison Transmission Holdings Inc</t>
  </si>
  <si>
    <t>Ameren Corp</t>
  </si>
  <si>
    <t>American Airlines Group Inc</t>
  </si>
  <si>
    <t>American Express Co</t>
  </si>
  <si>
    <t>American Homes 4 Rent</t>
  </si>
  <si>
    <t>American Tower Corp</t>
  </si>
  <si>
    <t>Amphenol Corp</t>
  </si>
  <si>
    <t>Amyris Inc</t>
  </si>
  <si>
    <t>Annaly Capital Management Inc</t>
  </si>
  <si>
    <t>Antero Resources Corp</t>
  </si>
  <si>
    <t>Apache Corp</t>
  </si>
  <si>
    <t>Arconic Corp</t>
  </si>
  <si>
    <t>Arcosa, Inc</t>
  </si>
  <si>
    <t>Arena Pharmaceuticals Inc</t>
  </si>
  <si>
    <t>Ashland LLC</t>
  </si>
  <si>
    <t>Atkore International</t>
  </si>
  <si>
    <t>AvalonBay Communities Inc</t>
  </si>
  <si>
    <t>Barnes Group Inc</t>
  </si>
  <si>
    <t>Baxter International Inc</t>
  </si>
  <si>
    <t>Becton Dickinson and Co</t>
  </si>
  <si>
    <t>Berry Plastics Group Inc</t>
  </si>
  <si>
    <t>Blackbaud, Inc.</t>
  </si>
  <si>
    <t>Bloom Energy Corp</t>
  </si>
  <si>
    <t>Bunge Ltd</t>
  </si>
  <si>
    <t>Burlington Stores Inc</t>
  </si>
  <si>
    <t>Cabot Corp</t>
  </si>
  <si>
    <t>Cabot Oil &amp; Gas Corp</t>
  </si>
  <si>
    <t>Calavo Growers Inc</t>
  </si>
  <si>
    <t>California Water Service Group</t>
  </si>
  <si>
    <t>Callon Petroleum Co</t>
  </si>
  <si>
    <t>Cardinal Health Inc</t>
  </si>
  <si>
    <t>Carrier Global Corp</t>
  </si>
  <si>
    <t>Catalent Inc</t>
  </si>
  <si>
    <t>Caterpillar Inc</t>
  </si>
  <si>
    <t>Century Communities Inc</t>
  </si>
  <si>
    <t>CH Robinson Worldwide Inc</t>
  </si>
  <si>
    <t>Charah Solutions Inc</t>
  </si>
  <si>
    <t>Chart Industries Inc</t>
  </si>
  <si>
    <t>Chemours Co/The</t>
  </si>
  <si>
    <t>Cheniere Energy Partners LP</t>
  </si>
  <si>
    <t>Chipotle Mexican Grill Inc</t>
  </si>
  <si>
    <t>Citigroup Inc (Citi)</t>
  </si>
  <si>
    <t>Citizens Financial Group Inc</t>
  </si>
  <si>
    <t>CNX Resources Corp</t>
  </si>
  <si>
    <t>Coeur Mining Inc</t>
  </si>
  <si>
    <t>Columbia Sportswear Co</t>
  </si>
  <si>
    <t>CommScope Holding Co Inc</t>
  </si>
  <si>
    <t>ConAgra Foods Inc</t>
  </si>
  <si>
    <t>Conduent Inc.</t>
  </si>
  <si>
    <t>Cooper Cos Inc/The</t>
  </si>
  <si>
    <t>Cooper-Standard Holdings Inc</t>
  </si>
  <si>
    <t>Crestwood Equity Partners LP</t>
  </si>
  <si>
    <t>Crown Castle International Corp</t>
  </si>
  <si>
    <t>CSX Corp</t>
  </si>
  <si>
    <t>Cummins Inc.</t>
  </si>
  <si>
    <t>Cushman &amp; Wakefield PLC</t>
  </si>
  <si>
    <t>CVS Health Corp</t>
  </si>
  <si>
    <t>CyrusOne Inc</t>
  </si>
  <si>
    <t>Danaher Corp</t>
  </si>
  <si>
    <t>Darling Ingredients Inc.</t>
  </si>
  <si>
    <t>Deere &amp; Co.</t>
  </si>
  <si>
    <t>Devon Energy Corp</t>
  </si>
  <si>
    <t>DigitalBridge Group Inc</t>
  </si>
  <si>
    <t>Dominion Energy Inc</t>
  </si>
  <si>
    <t>Dow Inc</t>
  </si>
  <si>
    <t>DuPont de Nemours Inc</t>
  </si>
  <si>
    <t>Eagle Bulk Shipping Inc</t>
  </si>
  <si>
    <t>Ecolab Inc</t>
  </si>
  <si>
    <t>eHealth Inc</t>
  </si>
  <si>
    <t>Energy Recovery</t>
  </si>
  <si>
    <t>Envista Holdings Corp</t>
  </si>
  <si>
    <t>Enviva</t>
  </si>
  <si>
    <t>EQT Corp</t>
  </si>
  <si>
    <t>Equitrans Midstream Corp</t>
  </si>
  <si>
    <t>Essential Utilities Inc</t>
  </si>
  <si>
    <t>Essex Property Trust Inc</t>
  </si>
  <si>
    <t>Estee Lauder Cos Inc/The</t>
  </si>
  <si>
    <t>Exelon Corp</t>
  </si>
  <si>
    <t>FedEx Corp</t>
  </si>
  <si>
    <t>Fifth Third Bancorp</t>
  </si>
  <si>
    <t>Flex Ltd</t>
  </si>
  <si>
    <t>Flowserve Corp</t>
  </si>
  <si>
    <t>Foot Locker Inc</t>
  </si>
  <si>
    <t>General Mills Inc</t>
  </si>
  <si>
    <t>General Motors Co (GM)</t>
  </si>
  <si>
    <t>Gentherm Inc</t>
  </si>
  <si>
    <t>Graphic Packaging Holding Co</t>
  </si>
  <si>
    <t>Greenbrier Cos Inc/The</t>
  </si>
  <si>
    <t>Guess?, Inc.</t>
  </si>
  <si>
    <t>Harsco Corp</t>
  </si>
  <si>
    <t>Hawaiian Electric Industries Inc</t>
  </si>
  <si>
    <t>Hawaiian Holdings Inc</t>
  </si>
  <si>
    <t>Healthpeak Properties Inc</t>
  </si>
  <si>
    <t>Hershey Co/The</t>
  </si>
  <si>
    <t>Hess Corp</t>
  </si>
  <si>
    <t>Hewlett Packard Enterprise Co</t>
  </si>
  <si>
    <t>Hologic Inc</t>
  </si>
  <si>
    <t>Home Depot Inc/The</t>
  </si>
  <si>
    <t>Howmet Aerospace Inc</t>
  </si>
  <si>
    <t>HP Inc</t>
  </si>
  <si>
    <t>Huntsman Corp</t>
  </si>
  <si>
    <t>IBM - International Business Machines Corp</t>
  </si>
  <si>
    <t>Incyte Corp</t>
  </si>
  <si>
    <t>Insulet Corp</t>
  </si>
  <si>
    <t>Intel Corp</t>
  </si>
  <si>
    <t>International Flavors &amp; Fragrances Inc (IFF)</t>
  </si>
  <si>
    <t>Interpublic Group of Cos Inc/The</t>
  </si>
  <si>
    <t>JB Hunt Transport Services Inc</t>
  </si>
  <si>
    <t>JBG SMITH Properties</t>
  </si>
  <si>
    <t>Johnson &amp; Johnson</t>
  </si>
  <si>
    <t>Johnson Controls International</t>
  </si>
  <si>
    <t>JPMorgan Chase &amp; Co</t>
  </si>
  <si>
    <t>Kadant Inc.</t>
  </si>
  <si>
    <t>KB Home</t>
  </si>
  <si>
    <t>KBR Inc</t>
  </si>
  <si>
    <t>Kellogg Co</t>
  </si>
  <si>
    <t>Keurig Dr Pepper Inc</t>
  </si>
  <si>
    <t>Kimball International Inc</t>
  </si>
  <si>
    <t>Kimberly-Clark Corp</t>
  </si>
  <si>
    <t>Kinder Morgan Canada Ltd</t>
  </si>
  <si>
    <t>Kroger Co/The</t>
  </si>
  <si>
    <t>Lam Research Corp</t>
  </si>
  <si>
    <t>Lamb Weston Holdings Inc</t>
  </si>
  <si>
    <t>Las Vegas Sands Corp</t>
  </si>
  <si>
    <t>Lear Corporation</t>
  </si>
  <si>
    <t>Liberty Latin America Ltd</t>
  </si>
  <si>
    <t>Livent Corp</t>
  </si>
  <si>
    <t>LKQ Corp</t>
  </si>
  <si>
    <t>LPL Financial Holdings Inc</t>
  </si>
  <si>
    <t>LyondellBasell Industries NV</t>
  </si>
  <si>
    <t>M&amp;T Bank Corp</t>
  </si>
  <si>
    <t>Macerich Co/The</t>
  </si>
  <si>
    <t>Macy's Inc</t>
  </si>
  <si>
    <t>Marathon Petroleum Corp</t>
  </si>
  <si>
    <t>Marriott International Inc/MD</t>
  </si>
  <si>
    <t>Matador Resources Co</t>
  </si>
  <si>
    <t>Medallia Inc</t>
  </si>
  <si>
    <t>Merck &amp; Co Inc</t>
  </si>
  <si>
    <t>MetLife Inc</t>
  </si>
  <si>
    <t>Micron Technology Inc</t>
  </si>
  <si>
    <t>Mission Produce Inc</t>
  </si>
  <si>
    <t>Mondelez International Inc</t>
  </si>
  <si>
    <t>Moody's Corp</t>
  </si>
  <si>
    <t>National Fuel Gas Company</t>
  </si>
  <si>
    <t>Neenah Inc</t>
  </si>
  <si>
    <t>New Jersey Resources Corporation</t>
  </si>
  <si>
    <t>Newmont Corporation</t>
  </si>
  <si>
    <t>Nielsen Holdings PLC</t>
  </si>
  <si>
    <t>Noble Energy Inc</t>
  </si>
  <si>
    <t>Norwegian Cruise Line Holdings Ltd</t>
  </si>
  <si>
    <t>NRG Energy Inc</t>
  </si>
  <si>
    <t>Nuance Communications Inc</t>
  </si>
  <si>
    <t>NVIDIA Corp</t>
  </si>
  <si>
    <t>ON Semiconductor Corp</t>
  </si>
  <si>
    <t>ONEOK Inc</t>
  </si>
  <si>
    <t>Oshkosh Corp</t>
  </si>
  <si>
    <t>Overseas Shipholding Group, Inc</t>
  </si>
  <si>
    <t>Ovintiv Inc.</t>
  </si>
  <si>
    <t>Owens &amp; Minor Inc</t>
  </si>
  <si>
    <t>Owens Corning</t>
  </si>
  <si>
    <t>Park Hotels and Resorts</t>
  </si>
  <si>
    <t>Parsley Energy, Inc.</t>
  </si>
  <si>
    <t>PayPal Holdings Inc</t>
  </si>
  <si>
    <t>PDC Energy, Inc.</t>
  </si>
  <si>
    <t>PepsiCo Inc</t>
  </si>
  <si>
    <t>Philip Morris International Inc</t>
  </si>
  <si>
    <t>Phillips 66</t>
  </si>
  <si>
    <t>Pilgrim's Pride Corp</t>
  </si>
  <si>
    <t>Pioneer Natural Resources Co</t>
  </si>
  <si>
    <t>Plains GP Holdings LP</t>
  </si>
  <si>
    <t>Potlatch Corp</t>
  </si>
  <si>
    <t>PPG Industries Inc</t>
  </si>
  <si>
    <t>PPL Corp</t>
  </si>
  <si>
    <t>Procter &amp; Gamble Co/The</t>
  </si>
  <si>
    <t>Prudential Financial Inc</t>
  </si>
  <si>
    <t>Public Storage</t>
  </si>
  <si>
    <t>PVH Corp</t>
  </si>
  <si>
    <t>QTS Realty Trust Inc</t>
  </si>
  <si>
    <t>Ralph Lauren Corp</t>
  </si>
  <si>
    <t>Range Resources Corp</t>
  </si>
  <si>
    <t>Regency Centers Corp</t>
  </si>
  <si>
    <t>Regions Financial Corp</t>
  </si>
  <si>
    <t>Retail Opportunity Investments Corp</t>
  </si>
  <si>
    <t>Revance Therapeutics Inc</t>
  </si>
  <si>
    <t>Rexnord Corp</t>
  </si>
  <si>
    <t>Rockwell Automation Inc</t>
  </si>
  <si>
    <t>Rogers Corp</t>
  </si>
  <si>
    <t>S&amp;P Global Inc</t>
  </si>
  <si>
    <t>salesforce.com Inc</t>
  </si>
  <si>
    <t>Schnitzer Steel Industries Inc</t>
  </si>
  <si>
    <t>SEACOR Marine Holdings Inc</t>
  </si>
  <si>
    <t>Sempra Energy</t>
  </si>
  <si>
    <t>Sherwin-Williams Co/The</t>
  </si>
  <si>
    <t>SITE Centers Corp</t>
  </si>
  <si>
    <t>SLM Corp</t>
  </si>
  <si>
    <t>Snap Inc.</t>
  </si>
  <si>
    <t>Southern Co/The</t>
  </si>
  <si>
    <t>Southwest Airlines Co</t>
  </si>
  <si>
    <t>Sprouts Farmers Market Inc</t>
  </si>
  <si>
    <t>Sunnova Energy International Inc</t>
  </si>
  <si>
    <t>Sunrun Inc</t>
  </si>
  <si>
    <t>Switch Inc.</t>
  </si>
  <si>
    <t>T. Rowe Price Group Inc</t>
  </si>
  <si>
    <t>Tapestry, Inc.</t>
  </si>
  <si>
    <t>Targa Resources Corp</t>
  </si>
  <si>
    <t>Target Corp</t>
  </si>
  <si>
    <t>Taylor Morrison Homes Corp</t>
  </si>
  <si>
    <t>Teladoc Health Inc</t>
  </si>
  <si>
    <t>Tidewater Inc.</t>
  </si>
  <si>
    <t>Toll Brothers, Inc.</t>
  </si>
  <si>
    <t>TPI Composites Inc</t>
  </si>
  <si>
    <t>Tractor Supply Co</t>
  </si>
  <si>
    <t>Travelers Cos Inc/The</t>
  </si>
  <si>
    <t>TreeHouse Foods Inc</t>
  </si>
  <si>
    <t>Trinity Industries Inc</t>
  </si>
  <si>
    <t>Trinseo SA</t>
  </si>
  <si>
    <t>Truist Financial Corp</t>
  </si>
  <si>
    <t>Tupperware Brands Corp</t>
  </si>
  <si>
    <t>Twitter Inc</t>
  </si>
  <si>
    <t>UDR Inc</t>
  </si>
  <si>
    <t>United Natural Foods Inc</t>
  </si>
  <si>
    <t>United Rentals Inc</t>
  </si>
  <si>
    <t>United Therapeutics Corp</t>
  </si>
  <si>
    <t>VAALCO Energy Inc</t>
  </si>
  <si>
    <t>Vail Resorts Inc</t>
  </si>
  <si>
    <t>ViacomCBS Inc</t>
  </si>
  <si>
    <t>Visa Inc</t>
  </si>
  <si>
    <t>Vistra Corp</t>
  </si>
  <si>
    <t>VMware Inc</t>
  </si>
  <si>
    <t>Vornado Realty Trust</t>
  </si>
  <si>
    <t>W&amp;T Offshore Inc</t>
  </si>
  <si>
    <t>Walgreens Boots Alliance Inc</t>
  </si>
  <si>
    <t>Walt Disney Co/The</t>
  </si>
  <si>
    <t>Warrior Met Coal Inc</t>
  </si>
  <si>
    <t>Wendy's Co/The</t>
  </si>
  <si>
    <t>Western Union Co/The</t>
  </si>
  <si>
    <t>WEX Inc</t>
  </si>
  <si>
    <t>Whirlpool Corp</t>
  </si>
  <si>
    <t>Williams Cos Inc/The</t>
  </si>
  <si>
    <t>Williams-Sonoma Inc</t>
  </si>
  <si>
    <t>Wynn Resorts Ltd</t>
  </si>
  <si>
    <t>XPO Logistics Inc</t>
  </si>
  <si>
    <t>Xylem Inc.</t>
  </si>
  <si>
    <t>Zoetis Inc</t>
  </si>
  <si>
    <t>ADVERTISING &amp; MARKETING</t>
  </si>
  <si>
    <t>SV-AD-220a.1</t>
  </si>
  <si>
    <t>Discussion of policies and practices relating to behavioral advertising and consumer privacy</t>
  </si>
  <si>
    <t>SV-AD-220a.2</t>
  </si>
  <si>
    <t>Percentage of online advertising impressions that are targeted to custom audiences</t>
  </si>
  <si>
    <t>SV-AD-220a.3</t>
  </si>
  <si>
    <t>Total amount of monetary losses as a result of legal proceedings associated with consumer privacy</t>
  </si>
  <si>
    <t>SV-AD-270a.1</t>
  </si>
  <si>
    <t>Total amount of monetary losses as a result of legal proceedings associated with false, deceptive, or unfair advertising</t>
  </si>
  <si>
    <t>SV-AD-270a.2</t>
  </si>
  <si>
    <t>Percentage of campaigns reviewed for adherence with the Advertising Self- Regulatory Council (ASRC) procedures, percentage of those in compliance</t>
  </si>
  <si>
    <t>SV-AD-270a.3</t>
  </si>
  <si>
    <t>Percentage of campaigns that promote alcohol or tobacco products</t>
  </si>
  <si>
    <t>SV-AD-330a.1</t>
  </si>
  <si>
    <t>Percentage of gender and racial/ethnic group representation for (1) management, (2) professionals, and (3) all other employees</t>
  </si>
  <si>
    <t>AEROSPACE &amp; DEFENSE</t>
  </si>
  <si>
    <t>RT-AE-130a.1</t>
  </si>
  <si>
    <t>(1) Total energy consumed, (2) percentage grid electricity, (3) percentage renewable</t>
  </si>
  <si>
    <t>RT-AE-150a.1</t>
  </si>
  <si>
    <t>Amount of hazardous waste generated, percentage recycled</t>
  </si>
  <si>
    <t>RT-AE-150a.2</t>
  </si>
  <si>
    <t>Number and aggregate quantity of reportable spills, quantity recovered</t>
  </si>
  <si>
    <t>RT-AE-230a.1</t>
  </si>
  <si>
    <t>(1) Number of data breaches, (2) percentage involving confidential information</t>
  </si>
  <si>
    <t>RT-AE-230a.2</t>
  </si>
  <si>
    <t>Description of approach to identifying and addressing data security risks in (1) company operations and (2) products</t>
  </si>
  <si>
    <t>RT-AE-250a.1</t>
  </si>
  <si>
    <t>Number of recalls issued, total units recalled</t>
  </si>
  <si>
    <t>RT-AE-250a.2</t>
  </si>
  <si>
    <t>Number of counterfeit parts detected, percentage avoided</t>
  </si>
  <si>
    <t>RT-AE-250a.3</t>
  </si>
  <si>
    <t>Number of Airworthiness Directives received, total units affected</t>
  </si>
  <si>
    <t>RT-AE-250a.4</t>
  </si>
  <si>
    <t>Total amount of monetary losses as a result of legal proceedings associated with product safety</t>
  </si>
  <si>
    <t>RT-AE-410a.1</t>
  </si>
  <si>
    <t>Revenue from alternative energy-related products</t>
  </si>
  <si>
    <t>RT-AE-410a.2</t>
  </si>
  <si>
    <t>Description of approach and discussion of strategy to address fuel economy and greenhouse gas (GHG) emissions of products</t>
  </si>
  <si>
    <t>RT-AE-440a.1</t>
  </si>
  <si>
    <t>Description of the management of risks associated with the use of critical materials</t>
  </si>
  <si>
    <t>RT-AE-510a.1</t>
  </si>
  <si>
    <t>Total amount of monetary losses as a result of legal proceedings associated with incidents of corruption, bribery, and/or illicit international trade</t>
  </si>
  <si>
    <t>RT-AE-510a.2</t>
  </si>
  <si>
    <t>Revenue from countries ranked in the “E” or“F” Band of Transparency International’sGovernment Defence Anti-Corruption Index</t>
  </si>
  <si>
    <t>RT-AE-510a.3</t>
  </si>
  <si>
    <t>Discussion of processes to manage business ethics risks throughout the value chain</t>
  </si>
  <si>
    <t>AGRICULTURAL PRODUCTS</t>
  </si>
  <si>
    <t>FB-AG-110a.1</t>
  </si>
  <si>
    <t>Gross global Scope 1 emissions</t>
  </si>
  <si>
    <t>FB-AG-110a.2</t>
  </si>
  <si>
    <t>Discussion of long-term and short-term strategy or plan to manage Scope 1 emissions, emissions reduction targets, and an analysis of performance against those targets</t>
  </si>
  <si>
    <t>FB-AG-110a.3</t>
  </si>
  <si>
    <t>Fleet fuel consumed, percentage renewable</t>
  </si>
  <si>
    <t>FB-AG-130a.1</t>
  </si>
  <si>
    <t>(1) Operational energy consumed, (2) percentage grid electricity, (3) percentage renewable</t>
  </si>
  <si>
    <t>FB-AG-140a.1</t>
  </si>
  <si>
    <t>(1) Total water withdrawn, (2) total water consumed, percentage of each in regions with High or Extremely High Baseline Water Stress</t>
  </si>
  <si>
    <t>FB-AG-140a.2</t>
  </si>
  <si>
    <t>Description of water management risks and discussion of strategies and practices to mitigate those risks</t>
  </si>
  <si>
    <t>FB-AG-140a.3</t>
  </si>
  <si>
    <t>Number of incidents of non-compliance associated with water quantity and/or quality permits, standards, and regulations</t>
  </si>
  <si>
    <t>FB-AG-250a.1</t>
  </si>
  <si>
    <t>Global Food Safety Initiative (GFSI) audit (1) non-conformance rate and (2) associated corrective action rate for (a) major and (b) minor non-conformances</t>
  </si>
  <si>
    <t>FB-AG-250a.2</t>
  </si>
  <si>
    <t>Percentage of agricultural products sourced from suppliers certified to a Global Food Safety Initiative (GFSI) recognized food safety certification program</t>
  </si>
  <si>
    <t>FB-AG-250a.3</t>
  </si>
  <si>
    <t>(1) Number of recalls issued and (2) total amount of food product recalled</t>
  </si>
  <si>
    <t>FB-AG-320a.1</t>
  </si>
  <si>
    <t>(1) Total recordable incident rate (TRIR), (2) fatality rate, and (3) near miss frequency rate (NMFR) for (a) direct employees and (b) seasonal and migrant employees</t>
  </si>
  <si>
    <t>FB-AG-430a.1</t>
  </si>
  <si>
    <t>Percentage of agricultural products sourced that are certified to a third-party environmental and/or social standard, and percentages by standard</t>
  </si>
  <si>
    <t>FB-AG-430a.2</t>
  </si>
  <si>
    <t>Suppliers’ social and environmental responsibility audit (1) non-conformance rate and (2) associated corrective action rate for (a) major and (b) minor non-conformances</t>
  </si>
  <si>
    <t>FB-AG-430a.3</t>
  </si>
  <si>
    <t>Discussion of strategy to manage environmental and social risks arising from contract growing and commodity sourcing</t>
  </si>
  <si>
    <t>FB-AG-430b.1</t>
  </si>
  <si>
    <t>Discussion of strategies to manage the use of genetically modified organisms (GMOs)</t>
  </si>
  <si>
    <t>FB-AG-440a.1</t>
  </si>
  <si>
    <t>Identification of principal crops and description of risks and opportunities presented by climate change</t>
  </si>
  <si>
    <t>FB-AG-440a.2</t>
  </si>
  <si>
    <t>Percentage of agricultural products sourced from regions with High or Extremely High Baseline Water Stress</t>
  </si>
  <si>
    <t>AIR FREIGHT &amp; LOGISTICS</t>
  </si>
  <si>
    <t>TR-AF-110a.1</t>
  </si>
  <si>
    <t>TR-AF-110a.2</t>
  </si>
  <si>
    <t>TR-AF-110a.3</t>
  </si>
  <si>
    <t>Fuel consumed by (1) road transport, percentage (a) natural gas and (b) renewable, and (2) air transport, percentage (a) alternative and (b) sustainable</t>
  </si>
  <si>
    <t>TR-AF-120a.1</t>
  </si>
  <si>
    <t>Air emissions of the following pollutants: (1) NOx (excluding N2O), (2) SOx, and (3) particulate matter (PM10)</t>
  </si>
  <si>
    <t>TR-AF-310a.1</t>
  </si>
  <si>
    <t>Percentage of drivers classified as independent contractors</t>
  </si>
  <si>
    <t>TR-AF-310a.2</t>
  </si>
  <si>
    <t>Total amount of monetary losses as a result of legal proceedings associated with labor law violations</t>
  </si>
  <si>
    <t>TR-AF-320a.1</t>
  </si>
  <si>
    <t>(1) Total recordable incident rate (TRIR) and (2) fatality rate for (a) direct employees and (b) contract employees</t>
  </si>
  <si>
    <t>TR-AF-430a.1</t>
  </si>
  <si>
    <t>Percentage of carriers with BASIC percentiles above the FMCSA intervention threshold</t>
  </si>
  <si>
    <t>TR-AF-430a.2</t>
  </si>
  <si>
    <t>Total greenhouse gas (GHG) footprint across transport modes</t>
  </si>
  <si>
    <t>TR-AF-540a.1</t>
  </si>
  <si>
    <t>Description of implementation and outcomes of a Safety Management System</t>
  </si>
  <si>
    <t>TR-AF-540a.2</t>
  </si>
  <si>
    <t>Number of aviation accidents</t>
  </si>
  <si>
    <t>TR-AF-540a.3</t>
  </si>
  <si>
    <t>Number of road accidents and incidents</t>
  </si>
  <si>
    <t>TR-AF-540a.4</t>
  </si>
  <si>
    <t>Safety Measurement System BASIC percentiles for: (1) Unsafe Driving, (2) Hours-of-Service Compliance, (3) Driver Fitness, (4) Controlled Substances/Alcohol, (5) Vehicle Maintenance, and (6) Hazardous Materials Compliance</t>
  </si>
  <si>
    <t>AIRLINES</t>
  </si>
  <si>
    <t>TR-AL-110a.1</t>
  </si>
  <si>
    <t>TR-AL-110a.2</t>
  </si>
  <si>
    <t>TR-AL-110a.3</t>
  </si>
  <si>
    <t>(1) Total fuel consumed, (2) percentage alternative, (3) percentage sustainable</t>
  </si>
  <si>
    <t>TR-AL-310a.1</t>
  </si>
  <si>
    <t>Percentage of active workforce covered under collective bargaining agreements</t>
  </si>
  <si>
    <t>TR-AL-310a.2</t>
  </si>
  <si>
    <t>(1) Number of work stoppages and (2) total days idle</t>
  </si>
  <si>
    <t>TR-AL-520a.1</t>
  </si>
  <si>
    <t>Total amount of monetary losses as a result of legal proceedings associated with anti-competitive behavior regulations</t>
  </si>
  <si>
    <t>TR-AL-540a.1</t>
  </si>
  <si>
    <t>TR-AL-540a.2</t>
  </si>
  <si>
    <t>TR-AL-540a.3</t>
  </si>
  <si>
    <t>Number of governmental enforcement actions of aviation safety regulations</t>
  </si>
  <si>
    <t>ALCOHOLIC BEVERAGES</t>
  </si>
  <si>
    <t>Percentage of beverage ingredients sourced from regions with High or Extremely High Baseline Water Stress</t>
  </si>
  <si>
    <t>List of priority beverage ingredients and description of sourcing risks due to environmental and social considerations</t>
  </si>
  <si>
    <t>(1) Total weight of packaging, (2) percentage made from recycled and/or renewable materials, and (3) percentage that is recyclable, reusable, and/or compostable</t>
  </si>
  <si>
    <t>Discussion of strategies to reduce the environmental impact of packaging throughout its lifecycle</t>
  </si>
  <si>
    <t>Percentage of total advertising impressions made on individuals at or above the legal drinking age</t>
  </si>
  <si>
    <t>Number of incidents of non-compliance with industry or regulatory labeling and/or marketing codes</t>
  </si>
  <si>
    <t>Total amount of monetary losses as a result of legal proceedings associated with marketing and/or labeling practices</t>
  </si>
  <si>
    <t>Description of efforts to promote responsible consumption of alcohol</t>
  </si>
  <si>
    <t>APPAREL, ACCESSORIES &amp; FOOTWEAR</t>
  </si>
  <si>
    <t>CG-AA-250a.1</t>
  </si>
  <si>
    <t>Discussion of processes to maintain compliance with restricted substances regulations</t>
  </si>
  <si>
    <t>Note: CG-AA-440a.1 is equivalent to CG-AA-440a.3; CG-AA-440a.2 is equivalent to CG-AA-440a.4 (Company might choose either one pair)</t>
  </si>
  <si>
    <t>CG-AA-250a.2</t>
  </si>
  <si>
    <t>Discussion of processes to assess and manage risks and/or hazards associated with chemicals in products</t>
  </si>
  <si>
    <t>CG-AA-430a.1</t>
  </si>
  <si>
    <t>Percentage of (1) Tier 1 supplier facilities and (2) supplier facilities beyond Tier 1 in compliance with wastewater discharge permits and/or contractual agreements</t>
  </si>
  <si>
    <t>CG-AA-430a.2</t>
  </si>
  <si>
    <t>Percentage of (1) Tier 1 supplier facilities and (2) supplier facilities beyond Tier 1 that have completed the Sustainable Apparel Coalition’s Higg Facility Environmental Module (Higg FEM) assessment or an equivalent environmental data assessment</t>
  </si>
  <si>
    <t>CG-AA-430b.1</t>
  </si>
  <si>
    <t>Percentage of (1) Tier 1 supplier facilities and (2) supplier facilities beyond Tier 1 that have been audited to a labor code of conduct, (3) percentage of total audits conducted by a third-party auditor</t>
  </si>
  <si>
    <t>CG-AA-430b.2</t>
  </si>
  <si>
    <t>Priority non-conformance rate and associated corrective action rate for suppliers’ labor code of conduct audits</t>
  </si>
  <si>
    <t>CG-AA-430b.3</t>
  </si>
  <si>
    <t>Description of the greatest (1) labor and (2) environmental, health, and safety risks in the supply chain</t>
  </si>
  <si>
    <t>CG-AA-440a.1</t>
  </si>
  <si>
    <t>Description of environmental and social risks associated with sourcing priority raw materials</t>
  </si>
  <si>
    <t>CG-AA-440a.2</t>
  </si>
  <si>
    <t>Percentage of raw materials third-party certified to an environmental and/or social sustainability standard, by standard</t>
  </si>
  <si>
    <t>CG-AA-440a.3</t>
  </si>
  <si>
    <t>(1) List of priority raw materials; for each priority raw material: (2) environmental and/or social factor (s) most likely to threaten sourcing, (3) discussion on business risks and/or opportunities associated with environmental and/or social factors, and (4) management strategy for addressing business risks and opportunities</t>
  </si>
  <si>
    <t>CG-AA-440a.4</t>
  </si>
  <si>
    <t>(1) Amount of priority raw materials purchased, by material, and (2) amount of each priority raw material that is certified to a third-party environmental and/or social standard, by standard</t>
  </si>
  <si>
    <t>APPLIANCE MANUFACTURING</t>
  </si>
  <si>
    <t>CG-AM-250a.1</t>
  </si>
  <si>
    <t>Number of (1) recalls issued and (2) total units recalled</t>
  </si>
  <si>
    <t>CG-AM-250a.2</t>
  </si>
  <si>
    <t>Discussion of process to identify and manage safety risks associated with the use of its products</t>
  </si>
  <si>
    <t>CG-AM-250a.3</t>
  </si>
  <si>
    <t>CG-AM-410a.1</t>
  </si>
  <si>
    <t>Percentage of eligible products by revenue certified to the ENERGY STAR® program</t>
  </si>
  <si>
    <t>CG-AM-410a.2</t>
  </si>
  <si>
    <t>Percentage of eligible products certified to an Association of Home Appliance Manufacturers (AHAM) sustainability standard</t>
  </si>
  <si>
    <t>CG-AM-410a.3</t>
  </si>
  <si>
    <t>Description of efforts to manage products’ end-of-life impacts</t>
  </si>
  <si>
    <t>ASSET MANAGEMENT &amp; CUSTODY</t>
  </si>
  <si>
    <t>FN-AC-270a.1</t>
  </si>
  <si>
    <t>(1) Number and (2) percentage of covered employees with a record of investment-related investigations, consumer-initiated complaints, private civil litigations, or other regulatory proceedings</t>
  </si>
  <si>
    <t>FN-AC-270a.2</t>
  </si>
  <si>
    <t>Total amount of monetary losses as a result of legal proceedings associated with marketing and communication of financial product-related information to new and returning customers</t>
  </si>
  <si>
    <t>FN-AC-270a.3</t>
  </si>
  <si>
    <t>Description of approach to informing customers about products and services</t>
  </si>
  <si>
    <t>FN-AC-330a.1</t>
  </si>
  <si>
    <t>Percentage of gender and racial/ethnic group representation for (1) executive management, (2) non-executive management, (3) professionals, and (4) all other employees</t>
  </si>
  <si>
    <t>FN-AC-410a.1</t>
  </si>
  <si>
    <t>Amount of assets under management, by asset class, that employ (1) integration of environmental, social, and governance (ESG) issues, (2) sustainability themed investing, and (3) screening</t>
  </si>
  <si>
    <t>FN-AC-410a.2</t>
  </si>
  <si>
    <t>Description of approach to incorporation of environmental, social, and governance (ESG) factors in investment and/or wealth management processes and strategies</t>
  </si>
  <si>
    <t>FN-AC-410a.3</t>
  </si>
  <si>
    <t>Description of proxy voting and investee engagement policies and procedures</t>
  </si>
  <si>
    <t>FN-AC-510a.1</t>
  </si>
  <si>
    <t>Total amount of monetary losses as a result of legal proceedings associated with fraud, insider trading, anti-trust, anti-competitive behavior, market manipulation, malpractice, or other related financial industry laws or regulations</t>
  </si>
  <si>
    <t>FN-AC-510a.2</t>
  </si>
  <si>
    <t>Description of whistleblower policies and procedures</t>
  </si>
  <si>
    <t>FN-AC-550a.1</t>
  </si>
  <si>
    <t>Percentage of open-end fund assets under management by category of liquidity classification</t>
  </si>
  <si>
    <t>Updated in 2021</t>
  </si>
  <si>
    <t>FN-AC-550a.2</t>
  </si>
  <si>
    <t>Description of approach to incorporation of liquidity risk management programs into portfolio strategy and redemption risk management</t>
  </si>
  <si>
    <t>FN-AC-550a.3</t>
  </si>
  <si>
    <t>Total exposure to securities financing
transactions</t>
  </si>
  <si>
    <t>FN-AC-550a.4</t>
  </si>
  <si>
    <t>Net exposure to written credit derivatives</t>
  </si>
  <si>
    <t>AUTO PARTS</t>
  </si>
  <si>
    <t>TR-AP-130a.1</t>
  </si>
  <si>
    <t>TR-AP-150a.1</t>
  </si>
  <si>
    <t>(1) Total amount of waste from manufacturing, (2) percentage hazardous, (3) percentage recycled</t>
  </si>
  <si>
    <t>TR-AP-250a.1</t>
  </si>
  <si>
    <t>TR-AP-410a.1</t>
  </si>
  <si>
    <t>Revenue from products designed to increase fuel efficiency and/or reduce emissions</t>
  </si>
  <si>
    <t>TR-AP-440a.1</t>
  </si>
  <si>
    <t>TR-AP-440b.1</t>
  </si>
  <si>
    <t>Percentage of products sold that are recyclable</t>
  </si>
  <si>
    <t>TR-AP-440b.2</t>
  </si>
  <si>
    <t>Percentage of input materials from recycled or remanufactured content</t>
  </si>
  <si>
    <t>TR-AP-520a.1</t>
  </si>
  <si>
    <t>AUTOMOBILES</t>
  </si>
  <si>
    <t>TR-AU-250a.1</t>
  </si>
  <si>
    <t>Percentage of vehicle models rated by NCAP programs with an overall 5-star safety rating, by region</t>
  </si>
  <si>
    <t>TR-AU-250a.2</t>
  </si>
  <si>
    <t>Number of safety-related defect complaints, percentage investigated</t>
  </si>
  <si>
    <t>TR-AU-250a.3</t>
  </si>
  <si>
    <t>Number of vehicles recalled</t>
  </si>
  <si>
    <t>TR-AU-310a.1</t>
  </si>
  <si>
    <t>TR-AU-310a.2</t>
  </si>
  <si>
    <t>TR-AU-410a.1</t>
  </si>
  <si>
    <t>Sales-weighted average passenger fleet fuel economy, by region</t>
  </si>
  <si>
    <t>TR-AU-410a.2</t>
  </si>
  <si>
    <t>Number of (1) zero emission vehicles (ZEV), (2) hybrid vehicles, and (3) plug-in hybrid vehicles sold</t>
  </si>
  <si>
    <t>TR-AU-410a.3</t>
  </si>
  <si>
    <t>Discussion of strategy for managing fleet fuel economy and emissions risks and opportunities</t>
  </si>
  <si>
    <t>TR-AU-440a.1</t>
  </si>
  <si>
    <t>TR-AU-440b.1</t>
  </si>
  <si>
    <t>Total amount of waste from manufacturing, percentage recycled</t>
  </si>
  <si>
    <t>TR-AU-440b.2</t>
  </si>
  <si>
    <t>Weight of end-of-life material recovered, percentage recycled</t>
  </si>
  <si>
    <t>TR-AU-440b.3</t>
  </si>
  <si>
    <t>Average recyclability of vehicles sold</t>
  </si>
  <si>
    <t>BIOFUELS</t>
  </si>
  <si>
    <t>RR-BI-120a.1</t>
  </si>
  <si>
    <t>Air emissions of the following pollutants: (1) NOx (excluding N2O), (2) SOx, (3) volatile organic compounds (VOCs), (4) particulate matter (PM10), and (5) hazardous air pollutants (HAPs)</t>
  </si>
  <si>
    <t>RR-BI-120a.2</t>
  </si>
  <si>
    <t>Number of incidents of non-compliance associated with air quality permits, standards, and regulations</t>
  </si>
  <si>
    <t>RR-BI-140a.1</t>
  </si>
  <si>
    <t>RR-BI-140a.2</t>
  </si>
  <si>
    <t>RR-BI-140a.3</t>
  </si>
  <si>
    <t>Number of incidents of non-compliance associated with water quality permits, standards, and regulations</t>
  </si>
  <si>
    <t>RR-BI-410a.1</t>
  </si>
  <si>
    <t>Lifecycle greenhouse gas (GHG) emissions, by biofuel type</t>
  </si>
  <si>
    <t>RR-BI-430a.1</t>
  </si>
  <si>
    <t>Discussion of strategy to manage risks associated with environmental impacts of feedstock production</t>
  </si>
  <si>
    <t>RR-BI-430a.2</t>
  </si>
  <si>
    <t>Percentage of biofuel production third-party certified to an environmental sustainability standard</t>
  </si>
  <si>
    <t>RR-BI-530a.1</t>
  </si>
  <si>
    <t>Amount of subsidies received through government programs</t>
  </si>
  <si>
    <t>RR-BI-530a.2</t>
  </si>
  <si>
    <t>Discussion of corporate positions related to government regulations and/or policy proposals that address environmental and social factors affecting the industry</t>
  </si>
  <si>
    <t>RR-BI-540a.1</t>
  </si>
  <si>
    <t>Process Safety Incidents Count (PSIC), Process Safety Total Incident Rate (PSTIR), and Process Safety Incident Severity Rate (PSISR)</t>
  </si>
  <si>
    <t>BIOTECHNOLOGY &amp; PHARMACEUTICALS</t>
  </si>
  <si>
    <t>HC-BP-210a.1</t>
  </si>
  <si>
    <t>Discussion, by world region, of management process for ensuring quality and patient safety during clinical trials</t>
  </si>
  <si>
    <t>HC-BP-210a.2</t>
  </si>
  <si>
    <t>Number of FDA Sponsor Inspections related to clinical trial management and pharmacovigilance that resulted in: (1) Voluntary Action Indicated (VAI) and (2) Official Action Indicated (OAI)</t>
  </si>
  <si>
    <t>HC-BP-210a.3</t>
  </si>
  <si>
    <t>Total amount of monetary losses as a result of legal proceedings associated with clinical trials in developing countries</t>
  </si>
  <si>
    <t>HC-BP-240a.1</t>
  </si>
  <si>
    <t>Description of actions and initiatives to promote access to health care products for priority diseases and in priority countries as defined by the Access to Medicine Index</t>
  </si>
  <si>
    <t>HC-BP-240a.2</t>
  </si>
  <si>
    <t>List of products on the WHO List of Prequalified Medicinal Products as part of its Prequalification of Medicines Programme (PQP)</t>
  </si>
  <si>
    <t>HC-BP-240b.1</t>
  </si>
  <si>
    <t>Number of settlements of Abbreviated New Drug Application (ANDA) litigation that involved payments and/or provisions to delay bringing an authorized generic product to market for a defined time period</t>
  </si>
  <si>
    <t>HC-BP-240b.2</t>
  </si>
  <si>
    <t>Percentage change in: (1) average list price and (2) average net price across U.S. product portfolio compared to previous year</t>
  </si>
  <si>
    <t>HC-BP-240b.3</t>
  </si>
  <si>
    <t>Percentage change in: (1) list price and (2) net price of product with largest increase compared to previous year</t>
  </si>
  <si>
    <t>HC-BP-250a.1</t>
  </si>
  <si>
    <t>List of products listed in the Food and Drug Administration’s (FDA) MedWatch Safety Alerts for Human Medical Products database</t>
  </si>
  <si>
    <t>HC-BP-250a.2</t>
  </si>
  <si>
    <t>Number of fatalities associated with products as reported in the FDA Adverse Event Reporting System</t>
  </si>
  <si>
    <t>HC-BP-250a.3</t>
  </si>
  <si>
    <t>HC-BP-250a.4</t>
  </si>
  <si>
    <t>Total amount of product accepted for take-back, reuse, or disposal</t>
  </si>
  <si>
    <t>HC-BP-250a.5</t>
  </si>
  <si>
    <t>Number of FDA enforcement actions taken in response to violations of current Good Manufacturing Practices (cGMP), by type</t>
  </si>
  <si>
    <t>HC-BP-260a.1</t>
  </si>
  <si>
    <t>Description of methods and technologies used to maintain traceability of products throughout the supply chain and prevent counterfeiting</t>
  </si>
  <si>
    <t>HC-BP-260a.2</t>
  </si>
  <si>
    <t>Discussion of process for alerting customers and business partners of potential or known risks associated with counterfeit products</t>
  </si>
  <si>
    <t>HC-BP-260a.3</t>
  </si>
  <si>
    <t>Number of actions that led to raids, seizure, arrests, and/or filing of criminal charges related to counterfeit products</t>
  </si>
  <si>
    <t>HC-BP-270a.1</t>
  </si>
  <si>
    <t>Total amount of monetary losses as a result of legal proceedings associated with false marketing claims</t>
  </si>
  <si>
    <t>HC-BP-270a.2</t>
  </si>
  <si>
    <t>Description of code of ethics governing promotion of off-label use of products</t>
  </si>
  <si>
    <t>HC-BP-330a.1</t>
  </si>
  <si>
    <t>Discussion of talent recruitment and retention efforts for scientists and research and development personnel</t>
  </si>
  <si>
    <t>HC-BP-330a.2</t>
  </si>
  <si>
    <t>(1) Voluntary and (2) involuntary turnover rate for: (a) executives/senior managers, (b) mid-level managers, (c) professionals, and (d) all others</t>
  </si>
  <si>
    <t>HC-BP-430a.1</t>
  </si>
  <si>
    <t>Percentage of (1) entity's facilities and (2) Tier I suppliers' facilities participating in the Rx-360 International Pharmaceutical Supply Chain Consortium audit program or equivalent third-party audit programs for integrity of supply chain and ingredients</t>
  </si>
  <si>
    <t>HC-BP-510a.1</t>
  </si>
  <si>
    <t>Total amount of monetary losses as a result of legal proceedings associated with corruption and bribery</t>
  </si>
  <si>
    <t>HC-BP-510a.2</t>
  </si>
  <si>
    <t>Description of code of ethics governing interactions with health care professionals</t>
  </si>
  <si>
    <t>BUILDING PRODUCTS &amp; FURNISHINGS</t>
  </si>
  <si>
    <t>CG-BF-130a.1</t>
  </si>
  <si>
    <t>CG-BF-250a.1</t>
  </si>
  <si>
    <t>CG-BF-250a.2</t>
  </si>
  <si>
    <t>Percentage of eligible products meeting volatile organic compound (VOC) emissions and content standards</t>
  </si>
  <si>
    <t>CG-BF-410a.1</t>
  </si>
  <si>
    <t>Description of efforts to manage product lifecycle impacts and meet demand for sustainable products</t>
  </si>
  <si>
    <t>CG-BF-410a.2</t>
  </si>
  <si>
    <t>(1) Weight of end-of-life material recovered, (2) percentage of recovered materials recycled</t>
  </si>
  <si>
    <t>CG-BF-430a.1</t>
  </si>
  <si>
    <t>(1) Total weight of wood fiber materials purchased, (2) percentage from third-party certified forestlands, (3) percentage by standard, and (4) percentage certified to other wood fiber standards, (5) percentage by standard</t>
  </si>
  <si>
    <t>CAR RENTAL &amp; LEASING</t>
  </si>
  <si>
    <t>Percentage of rental fleet vehicles rated by NCAP programs with an overall 5-star safety rating, by region</t>
  </si>
  <si>
    <t>Rental day-weighted average rental fleet fuel economy, by region</t>
  </si>
  <si>
    <t>Fleet utilization rate</t>
  </si>
  <si>
    <t>CASINOS &amp; GAMING</t>
  </si>
  <si>
    <t>SV-CA-130a.1</t>
  </si>
  <si>
    <t>SV-CA-260a.1</t>
  </si>
  <si>
    <t>Percentage of gaming facilities that implement the Responsible Gambling Index</t>
  </si>
  <si>
    <t>SV-CA-260a.2</t>
  </si>
  <si>
    <t>Percentage of online gaming operations that implement the National Council on Problem Gambling (NCPG) Internet Responsible Gambling Standards</t>
  </si>
  <si>
    <t>SV-CA-320a.1</t>
  </si>
  <si>
    <t>Percentage of gaming floor where smoking is allowed</t>
  </si>
  <si>
    <t>SV-CA-320a.2</t>
  </si>
  <si>
    <t>Percentage of gaming staff who work in areas where smoking is allowed</t>
  </si>
  <si>
    <t>SV-CA-510a.1</t>
  </si>
  <si>
    <t>Description of anti-money laundering policies and practices</t>
  </si>
  <si>
    <t>SV-CA-510a.2</t>
  </si>
  <si>
    <t>Total amount of monetary losses as a result of legal proceedings associated with money laundering</t>
  </si>
  <si>
    <t>CHEMICALS</t>
  </si>
  <si>
    <t>RT-CH-110a.1</t>
  </si>
  <si>
    <t>Gross global Scope 1 emissions, percentage covered under emissions-limiting regulations</t>
  </si>
  <si>
    <t>RT-CH-110a.2</t>
  </si>
  <si>
    <t>RT-CH-120a.1</t>
  </si>
  <si>
    <t>Air emissions of the following pollutants: (1) NOX (excluding N2O), (2) SOX, (3) volatile organic compounds (VOCs), and (4) hazardous air pollutants (HAPs)</t>
  </si>
  <si>
    <t>RT-CH-130a.1</t>
  </si>
  <si>
    <t>(1) Total energy consumed, (2) percentage grid electricity, (3) percentage renewable, (4) total self-generated energy</t>
  </si>
  <si>
    <t>RT-CH-140a.1</t>
  </si>
  <si>
    <t>RT-CH-140a.2</t>
  </si>
  <si>
    <t>RT-CH-140a.3</t>
  </si>
  <si>
    <t>RT-CH-150a.1</t>
  </si>
  <si>
    <t>RT-CH-210a.1</t>
  </si>
  <si>
    <t>Discussion of engagement processes to manage risks and opportunities associated with community interests</t>
  </si>
  <si>
    <t>RT-CH-320a.1</t>
  </si>
  <si>
    <t>RT-CH-320a.2</t>
  </si>
  <si>
    <t>Description of efforts to assess, monitor, and reduce exposure of employees and contract workers to long-term (chronic) health risks</t>
  </si>
  <si>
    <t>RT-CH-410a.1</t>
  </si>
  <si>
    <t>Revenue from products designed for use-phase resource efficiency</t>
  </si>
  <si>
    <t>RT-CH-410b.1</t>
  </si>
  <si>
    <t>(1) Percentage of products that contain Globally Harmonized System of Classification and Labeling of Chemicals (GHS) Category 1 and 2 Health and Environmental Hazardous Substances, (2) percentage of such products that have undergone a hazard assessment</t>
  </si>
  <si>
    <t>RT-CH-410b.2</t>
  </si>
  <si>
    <t>Discussion of strategy to (1) manage chemicals of concern and (2) develop alternatives with reduced human and/or environmental impact</t>
  </si>
  <si>
    <t>RT-CH-410c.1</t>
  </si>
  <si>
    <t>Percentage of products by revenue that contain genetically modified organisms (GMOs)</t>
  </si>
  <si>
    <t>RT-CH-530a.1</t>
  </si>
  <si>
    <t>RT-CH-540a.1</t>
  </si>
  <si>
    <t>RT-CH-540a.2</t>
  </si>
  <si>
    <t>Number of transport incidents</t>
  </si>
  <si>
    <t>COAL OPERATIONS</t>
  </si>
  <si>
    <t>Description of environmental management policies and practices for active sites</t>
  </si>
  <si>
    <t>Percentage of mine sites where acid rock drainage is: (1) predicted to occur, (2) actively mitigated, and (3) under treatment or remediation</t>
  </si>
  <si>
    <t>Percentage of (1) proved and (2) probable reserves in or near sites with protected conservation status or endangered species habitat</t>
  </si>
  <si>
    <t>Discussion of process to manage risks and opportunities associated with community rights and interests</t>
  </si>
  <si>
    <t>Number and duration of non-technical delays</t>
  </si>
  <si>
    <t>Percentage of active workforce covered under collective bargaining agreements, broken down by U.S. and foreign employees</t>
  </si>
  <si>
    <t>Number and duration of strikes and lockouts</t>
  </si>
  <si>
    <t>Sensitivity of coal reserve levels to future price projection scenarios that account for a price on carbon emissions</t>
  </si>
  <si>
    <t>Estimated carbon dioxide emissions embedded in proven coal reserves</t>
  </si>
  <si>
    <t>Discussion of how price and demand for coal and/or climate regulation influence the capital expenditure strategy for exploration, acquisition, and development of assets</t>
  </si>
  <si>
    <t>Percentage of (1) proved and (2) probable reserves in or near indigenous land</t>
  </si>
  <si>
    <t>Discussion of engagement processes and due diligence practices with respect to the management of indigenous rights</t>
  </si>
  <si>
    <t>Tailings storage facility inventory table: (1) facility name, (2) location, (3) ownership status, (4) operational status, (5) construction method, (6) maximum permitted storage capacity, (7) current amount of tailings stored, (8) consequence classification, (9) date of most recent independent technical review, (10) material findings, (11) mitigation measures, (12) site-specific EPRP</t>
  </si>
  <si>
    <t>Summary of tailings management systems and governance structure used to monitor and maintain the stability of tailings storage facilities</t>
  </si>
  <si>
    <t>Approach to development of Emergency Preparedness and Response Plans (EPRPs) for tailings storage facilities</t>
  </si>
  <si>
    <t>Total weight of non-mineral waste generated</t>
  </si>
  <si>
    <t>Total weight of tailings produced</t>
  </si>
  <si>
    <t>Total weight of waste rock generated</t>
  </si>
  <si>
    <t>Total weight of hazardous waste generated</t>
  </si>
  <si>
    <t>Total weight of hazardous waste recycled</t>
  </si>
  <si>
    <t>Number of significant incidents associated with hazardous waste management</t>
  </si>
  <si>
    <t>Description of waste management policies and procedures for active and inactive operations</t>
  </si>
  <si>
    <t>(1) Total fresh water withdrawn, (2) percentage recycled, (3) percentage in regions with High or Extremely High Baseline Water Stress</t>
  </si>
  <si>
    <t>(1) MSHA All-Incidence rate, (2) fatality rate, and (3) near miss frequency rate (NMFR)</t>
  </si>
  <si>
    <t>Discussion of management of accident and safety risks and long-term health and safety risks</t>
  </si>
  <si>
    <t>COMMERCIAL BANKS</t>
  </si>
  <si>
    <t>FN-CB-230a.1</t>
  </si>
  <si>
    <t>(1) Number of data breaches, (2) percentage involving personally identifiable information (PII), (3) number of account holders affected</t>
  </si>
  <si>
    <t>FN-CB-230a.2</t>
  </si>
  <si>
    <t>Description of approach to identifying and addressing data security risks</t>
  </si>
  <si>
    <t>FN-CB-240a.1</t>
  </si>
  <si>
    <t>(1) Number and (2) amount of loans outstanding qualified to programs designed to promote small business and community development</t>
  </si>
  <si>
    <t>FN-CB-240a.2</t>
  </si>
  <si>
    <t>(1) Number and (2) amount of past due and nonaccrual loans qualified to programs designed to promote small business and community development</t>
  </si>
  <si>
    <t>FN-CB-240a.3</t>
  </si>
  <si>
    <t>Number of no-cost retail checking accounts provided to previously unbanked or underbanked customers</t>
  </si>
  <si>
    <t>FN-CB-240a.4</t>
  </si>
  <si>
    <t>Number of participants in financial literacy initiatives for unbanked, underbanked, or underserved customers</t>
  </si>
  <si>
    <t>FN-CB-410a.1</t>
  </si>
  <si>
    <t>Commercial and industrial credit exposure, by industry</t>
  </si>
  <si>
    <t>FN-CB-410a.2</t>
  </si>
  <si>
    <t>Description of approach to incorporation of environmental, social, and governance (ESG) factors in credit analysis</t>
  </si>
  <si>
    <t>FN-CB-510a.1</t>
  </si>
  <si>
    <t>FN-CB-510a.2</t>
  </si>
  <si>
    <t>FN-CB-550a.1</t>
  </si>
  <si>
    <t>Global Systemically Important Bank (G-SIB) score, by category</t>
  </si>
  <si>
    <t>FN-CB-550a.2</t>
  </si>
  <si>
    <t>Description of approach to incorporation of results of mandatory and voluntary stress tests into capital adequacy planning, long-term corporate strategy, and other business activities</t>
  </si>
  <si>
    <t>CONSTRUCTION MATERIALS</t>
  </si>
  <si>
    <t>EM-CM-110a.1</t>
  </si>
  <si>
    <t>EM-CM-110a.2</t>
  </si>
  <si>
    <t>EM-CM-120a.1</t>
  </si>
  <si>
    <t>Air emissions of the following pollutants: (1) NOx (excluding N2O), (2) SOx, (3) particulate matter (PM10), (4) dioxins/furans, (5) volatile organic compounds (VOCs), (6) polycyclic aromatic hydrocarbons (PAHs), and (7) heavy metals</t>
  </si>
  <si>
    <t>EM-CM-130a.1</t>
  </si>
  <si>
    <t>(1) Total energy consumed, (2) percentage grid electricity, (3) percentage alternative, (4) percentage renewable</t>
  </si>
  <si>
    <t>EM-CM-140a.1</t>
  </si>
  <si>
    <t>EM-CM-150a.1</t>
  </si>
  <si>
    <t>Amount of waste generated, percentage hazardous, percentage recycled</t>
  </si>
  <si>
    <t>EM-CM-160a.1</t>
  </si>
  <si>
    <t>EM-CM-160a.2</t>
  </si>
  <si>
    <t>Terrestrial acreage disturbed, percentage of impacted area restored</t>
  </si>
  <si>
    <t>EM-CM-320a.1</t>
  </si>
  <si>
    <t>(1) Total recordable incident rate (TRIR) and (2) near miss frequency rate (NMFR) for (a) full-time employees and (b) contract employees</t>
  </si>
  <si>
    <t>EM-CM-320a.2</t>
  </si>
  <si>
    <t>Number of reported cases of silicosis</t>
  </si>
  <si>
    <t>EM-CM-410a.1</t>
  </si>
  <si>
    <t>Percentage of products that qualify for credits in sustainable building design and construction certifications</t>
  </si>
  <si>
    <t>EM-CM-410a.2</t>
  </si>
  <si>
    <t>Total addressable market and share of market for products that reduce energy, water, and/or material impacts during usage and/or production</t>
  </si>
  <si>
    <t>EM-CM-520a.1</t>
  </si>
  <si>
    <t>Total amount of monetary losses as a result of legal proceedings associated with cartel activities, price fixing, and anti-trust activities</t>
  </si>
  <si>
    <t>CONSUMER FINANCE</t>
  </si>
  <si>
    <t>FN-CF-220a.1</t>
  </si>
  <si>
    <t>Number of account holders whose information is used for secondary purposes</t>
  </si>
  <si>
    <t>FN-CF-220a.2</t>
  </si>
  <si>
    <t>Total amount of monetary losses as a result of legal proceedings associated with customer privacy</t>
  </si>
  <si>
    <t>FN-CF-230a.1</t>
  </si>
  <si>
    <t>FN-CF-230a.2</t>
  </si>
  <si>
    <t>Card-related fraud losses from (1) card-not-present fraud and (2) card-present and other fraud</t>
  </si>
  <si>
    <t>FN-CF-230a.3</t>
  </si>
  <si>
    <t>FN-CF-270a.1</t>
  </si>
  <si>
    <t>Percentage of total remuneration for covered employees that is variable and linked to the amount of products and services sold</t>
  </si>
  <si>
    <t>FN-CF-270a.2</t>
  </si>
  <si>
    <t>Approval rate for (1) credit and (2) pre-paid products for applicants with FICO scores above and below 660</t>
  </si>
  <si>
    <t>FN-CF-270a.3</t>
  </si>
  <si>
    <t>(1) Average fees from add-on products, (2) average APR, (3) average age of accounts, (4) average number of trade lines, and (5) average annual fees for pre-paid products, for customers with FICO scores above and below 660</t>
  </si>
  <si>
    <t>FN-CF-270a.4</t>
  </si>
  <si>
    <t>(1) Number of complaints filed with the Consumer Financial Protection Bureau (CFPB), (2) percentage with monetary or non-monetary relief, (3) percentage disputed by consumer, (4) percentage that resulted in investigation by the CFPB</t>
  </si>
  <si>
    <t>FN-CF-270a.5</t>
  </si>
  <si>
    <t>Total amount of monetary losses as a result of legal proceedings associated with selling and servicing of products</t>
  </si>
  <si>
    <t>CONTAINERS &amp; PACKAGING</t>
  </si>
  <si>
    <t>RT-CP-110a.1</t>
  </si>
  <si>
    <t>RT-CP-110a.2</t>
  </si>
  <si>
    <t>RT-CP-120a.1</t>
  </si>
  <si>
    <t>Air emissions of the following pollutants: (1) NOx (excluding N2O), (2) SOx, (3) volatile organic compounds (VOCs), and (4) particulate matter (PM)</t>
  </si>
  <si>
    <t>RT-CP-130a.1</t>
  </si>
  <si>
    <t>RT-CP-140a.1</t>
  </si>
  <si>
    <t>RT-CP-140a.2</t>
  </si>
  <si>
    <t>RT-CP-140a.3</t>
  </si>
  <si>
    <t>RT-CP-150a.1</t>
  </si>
  <si>
    <t>RT-CP-250a.1</t>
  </si>
  <si>
    <t>RT-CP-250a.2</t>
  </si>
  <si>
    <t>Discussion of process to identify and manage emerging materials and chemicals of concern</t>
  </si>
  <si>
    <t>RT-CP-410a.1</t>
  </si>
  <si>
    <t>Percentage of raw materials from: (1) recycled content, (2) renewable resources, and (3) renewable and recycled content</t>
  </si>
  <si>
    <t>RT-CP-410a.2</t>
  </si>
  <si>
    <t>Revenue from products that are reusable, recyclable, and/or compostable</t>
  </si>
  <si>
    <t>RT-CP-410a.3</t>
  </si>
  <si>
    <t>RT-CP-430a.1</t>
  </si>
  <si>
    <t>Total wood fiber procured, percentage from certified sources</t>
  </si>
  <si>
    <t>RT-CP-430a.2</t>
  </si>
  <si>
    <t>Total aluminum purchased, percentage from certified sources</t>
  </si>
  <si>
    <t>CRUISE LINES</t>
  </si>
  <si>
    <t>TR-CL-110a.1</t>
  </si>
  <si>
    <t>TR-CL-110a.2</t>
  </si>
  <si>
    <t>TR-CL-110a.3</t>
  </si>
  <si>
    <t>(1) Total energy consumed, (2) percentage heavy fuel oil, (3) percentage onshore power supply (OPS), (4) percentage renewable</t>
  </si>
  <si>
    <t>TR-CL-110a.4</t>
  </si>
  <si>
    <t>Average Energy Efficiency Design Index (EEDI) for new ships</t>
  </si>
  <si>
    <t>TR-CL-120a.1</t>
  </si>
  <si>
    <t>TR-CL-160a.1</t>
  </si>
  <si>
    <t>Total amount of ship waste discharged to the environment, percentage treated prior to discharge</t>
  </si>
  <si>
    <t>TR-CL-160a.2</t>
  </si>
  <si>
    <t>Percentage of fleet implementing ballast water (1) exchange and (2) treatment</t>
  </si>
  <si>
    <t>TR-CL-160a.3</t>
  </si>
  <si>
    <t>Cruise duration in marine protected areas or areas of protected conservation status</t>
  </si>
  <si>
    <t>TR-CL-160a.4</t>
  </si>
  <si>
    <t>Number of notices of violations received for dumping</t>
  </si>
  <si>
    <t>TR-CL-250a.1</t>
  </si>
  <si>
    <t>Number of alleged crime incidents involving passengers or employees</t>
  </si>
  <si>
    <t>TR-CL-250a.2</t>
  </si>
  <si>
    <t>Fleet average CDC Vessel Sanitation Program inspection score, percentage of inspections failed</t>
  </si>
  <si>
    <t>TR-CL-250a.3</t>
  </si>
  <si>
    <t>(1) Serious injuries per million passengers and (2) number of voyages with a gastrointestinal illness count exceeding 2%</t>
  </si>
  <si>
    <t>TR-CL-310a.1</t>
  </si>
  <si>
    <t>Average hourly wage for seafarers, by region</t>
  </si>
  <si>
    <t>TR-CL-310a.2</t>
  </si>
  <si>
    <t>Percentage of seafarers working maximum hours</t>
  </si>
  <si>
    <t>TR-CL-310a.3</t>
  </si>
  <si>
    <t>Percentage of seafarers paid for overtime</t>
  </si>
  <si>
    <t>TR-CL-310a.4</t>
  </si>
  <si>
    <t>TR-CL-320a.1</t>
  </si>
  <si>
    <t>Seafarer lost time incident rate (LTIR)</t>
  </si>
  <si>
    <t>TR-CL-540a.1</t>
  </si>
  <si>
    <t>Number of Conditions of Class or Recommendations</t>
  </si>
  <si>
    <t>TR-CL-540a.2</t>
  </si>
  <si>
    <t>Number of port state control (1) deficiencies and (2) detentions</t>
  </si>
  <si>
    <t>TR-CL-540a.3</t>
  </si>
  <si>
    <t>Number of marine casualties, percentage classified as very serious</t>
  </si>
  <si>
    <t>DRUG RETAILERS</t>
  </si>
  <si>
    <t>HC-DR-130a.1</t>
  </si>
  <si>
    <t>HC-DR-230a.1</t>
  </si>
  <si>
    <t>Description of policies and practices to secure customers’ protected health information (PHI) records and other personally identifiable information (PII)</t>
  </si>
  <si>
    <t>HC-DR-230a.2</t>
  </si>
  <si>
    <t>(1) Number of data breaches, (2) percentage involving (a) personally identifiable information (PII) only and (b) protected health information (PHI), (3) number of customers affected in each category, (a) PII only and (b) PHI</t>
  </si>
  <si>
    <t>HC-DR-230a.3</t>
  </si>
  <si>
    <t>Total amount of monetary losses as a result of legal proceedings associated with data security and privacy</t>
  </si>
  <si>
    <t>HC-DR-250a.1</t>
  </si>
  <si>
    <t>Description of efforts to reduce the occurrence of compromised drugs within the supply chain</t>
  </si>
  <si>
    <t>HC-DR-250a.2</t>
  </si>
  <si>
    <t>Number of drug recalls issued, total units recalled, percentage for private-label products</t>
  </si>
  <si>
    <t>HC-DR-260a.1</t>
  </si>
  <si>
    <t>Percentage of controlled substance prescriptions dispensed for which a prescription drug monitoring program (PDMP) database was queried</t>
  </si>
  <si>
    <t>HC-DR-260a.2</t>
  </si>
  <si>
    <t>Total amount of monetary losses as a result of legal proceedings associated with controlled substances</t>
  </si>
  <si>
    <t>HC-DR-260b.1</t>
  </si>
  <si>
    <t>First fill adherence rate</t>
  </si>
  <si>
    <t>HC-DR-260b.2</t>
  </si>
  <si>
    <t>Description of policies and practices to prevent prescription dispensing errors</t>
  </si>
  <si>
    <t>HC-DR-260b.3</t>
  </si>
  <si>
    <t>Total amount of monetary losses as a result of legal proceedings associated with prescription dispensing errors</t>
  </si>
  <si>
    <t>E-COMMERCE</t>
  </si>
  <si>
    <t>CG-EC-220a.1</t>
  </si>
  <si>
    <t>Number of users whose information is used for secondary purposes</t>
  </si>
  <si>
    <t>CG-EC-220a.2</t>
  </si>
  <si>
    <t>Description of policies and practices relating to behavioral advertising and user privacy</t>
  </si>
  <si>
    <t>CG-EC-230a.1</t>
  </si>
  <si>
    <t>CG-EC-230a.2</t>
  </si>
  <si>
    <t>(1) Number of data breaches, (2) percentage involving personally identifiable information (PII), (3) number of users affected</t>
  </si>
  <si>
    <t>CG-EC-330a.1</t>
  </si>
  <si>
    <t>Employee engagement as a percentage</t>
  </si>
  <si>
    <t>CG-EC-330a.2</t>
  </si>
  <si>
    <t>(1) Voluntary and (2) involuntary turnover rate for all employees</t>
  </si>
  <si>
    <t>CG-EC-330a.3</t>
  </si>
  <si>
    <t>Percentage of gender and racial/ethnic group representation for (1) management, (2) technical staff, and (3) all other employees</t>
  </si>
  <si>
    <t>CG-EC-330a.4</t>
  </si>
  <si>
    <t>Percentage of technical employees who are H-1B visa holders</t>
  </si>
  <si>
    <t>CG-EC-130a.1</t>
  </si>
  <si>
    <t>CG-EC-130a.2</t>
  </si>
  <si>
    <t>CG-EC-130a.3</t>
  </si>
  <si>
    <t>Discussion of the integration of environmental considerations into strategic planning for data center needs</t>
  </si>
  <si>
    <t>CG-EC-410a.1</t>
  </si>
  <si>
    <t>Total greenhouse gas (GHG) footprint of product shipments</t>
  </si>
  <si>
    <t>CG-EC-410a.2</t>
  </si>
  <si>
    <t>Discussion of strategies to reduce the environmental impact of product delivery</t>
  </si>
  <si>
    <t>EDUCATION</t>
  </si>
  <si>
    <t>Description of policies and practices relating to collection, usage, and retention of student information</t>
  </si>
  <si>
    <t>(1) Number of data breaches, (2) percentage involving personally identifiable information (PII), (3) number of students affected</t>
  </si>
  <si>
    <t>Description of policies to assure disclosure of key performance statistics to prospective students in advance of collecting any fees and discussion of outcomes</t>
  </si>
  <si>
    <t>Total amount of monetary losses as a result of legal proceedings associated with advertising, marketing, and mandatory disclosures</t>
  </si>
  <si>
    <t>(1) Instruction and student services expenses and (2) marketing and recruiting expenses</t>
  </si>
  <si>
    <t>Revenue from: (1) Title IV funding, (2) GI Bill funding, and (3) private student loans</t>
  </si>
  <si>
    <t>Graduation rate</t>
  </si>
  <si>
    <t>On-time completion rate</t>
  </si>
  <si>
    <t>Job placement rate</t>
  </si>
  <si>
    <t>(1) Debt-to-annual earnings rate and (2) debt-to-discretionary income rate</t>
  </si>
  <si>
    <t>Program cohort default rate</t>
  </si>
  <si>
    <t>ELECTRIC UTILITIES &amp; POWER</t>
  </si>
  <si>
    <t>IF-EU-110a.1</t>
  </si>
  <si>
    <t>(1) Gross global Scope 1 emissions, percentage covered under (2) emissions-limiting regulations, and (3) emissions-reporting regulations</t>
  </si>
  <si>
    <t>IF-EU-110a.2</t>
  </si>
  <si>
    <t>Greenhouse gas (GHG) emissions associated with power deliveries</t>
  </si>
  <si>
    <t>IF-EU-110a.3</t>
  </si>
  <si>
    <t>IF-EU-110a.4</t>
  </si>
  <si>
    <t>(1) Number of customers served in markets subject to renewable portfolio standards (RPS) and (2) percentage fulfillment of RPS target by market</t>
  </si>
  <si>
    <t>IF-EU-120a.1</t>
  </si>
  <si>
    <t>Air emissions of the following pollutants: (1) NOx (excluding N2O), (2) SOx, (3) particulate matter (PM10), (4) lead (Pb), and (5) mercury (Hg); percentage of each in or near areas of dense population</t>
  </si>
  <si>
    <t>IF-EU-140a.1</t>
  </si>
  <si>
    <t>IF-EU-140a.2</t>
  </si>
  <si>
    <t>IF-EU-140a.3</t>
  </si>
  <si>
    <t>IF-EU-150a.1</t>
  </si>
  <si>
    <t>Amount of coal combustion residuals (CCR) generated, percentage recycled</t>
  </si>
  <si>
    <t>IF-EU-150a.2</t>
  </si>
  <si>
    <t>Total number of coal combustion residual (CCR) impoundments, broken down by hazard potential classification and structural integrity assessment</t>
  </si>
  <si>
    <t>IF-EU-240a.1</t>
  </si>
  <si>
    <t>Average retail electric rate for (1) residential, (2) commercial, and (3) industrial customers</t>
  </si>
  <si>
    <t>IF-EU-240a.2</t>
  </si>
  <si>
    <t>Typical monthly electric bill for residential customers for (1) 500 kWh and (2) 1,000 kWh of electricity delivered per month</t>
  </si>
  <si>
    <t>IF-EU-240a.3</t>
  </si>
  <si>
    <t>Number of residential customer electric disconnections for non-payment, percentage reconnected within 30 days</t>
  </si>
  <si>
    <t>IF-EU-240a.4</t>
  </si>
  <si>
    <t>Discussion of impact of external factors on customer affordability of electricity, including the economic conditions of the service territory</t>
  </si>
  <si>
    <t>IF-EU-320a.1</t>
  </si>
  <si>
    <t>(1) Total recordable incident rate (TRIR), (2) fatality rate, and (3) near miss frequency rate (NMFR)</t>
  </si>
  <si>
    <t>IF-EU-420a.1</t>
  </si>
  <si>
    <t>Percentage of electric utility revenues from rate structures that (1) are decoupled and (2) contain a lost revenue adjustment mechanism (LRAM)</t>
  </si>
  <si>
    <t>IF-EU-420a.2</t>
  </si>
  <si>
    <t>Percentage of electric load served by smart grid technology</t>
  </si>
  <si>
    <t>IF-EU-420a.3</t>
  </si>
  <si>
    <t>Customer electricity savings from efficiency measures, by market</t>
  </si>
  <si>
    <t>IF-EU-540a.1</t>
  </si>
  <si>
    <t>Total number of nuclear power units, broken down by U.S. Nuclear Regulatory Commission (NRC) Action Matrix Column</t>
  </si>
  <si>
    <t>IF-EU-540a.2</t>
  </si>
  <si>
    <t>Description of efforts to manage nuclear safety and emergency preparedness</t>
  </si>
  <si>
    <t>IF-EU-550a.1</t>
  </si>
  <si>
    <t>Number of incidents of non-compliance with physical and/or cybersecurity standards or regulations</t>
  </si>
  <si>
    <t>IF-EU-550a.2</t>
  </si>
  <si>
    <t>(1) System Average Interruption Duration Index (SAIDI), (2) System Average Interruption Frequency Index (SAIFI), and (3) Customer Average Interruption Duration Index (CAIDI), inclusive of major event days</t>
  </si>
  <si>
    <t>ELECTRICAL &amp; ELECTRONIC EQUIPMENT</t>
  </si>
  <si>
    <t>RT-EE-130a.1</t>
  </si>
  <si>
    <t>RT-EE-150a.1</t>
  </si>
  <si>
    <t>RT-EE-150a.2</t>
  </si>
  <si>
    <t>RT-EE-250a.1</t>
  </si>
  <si>
    <t>RT-EE-250a.2</t>
  </si>
  <si>
    <t>RT-EE-410a.1</t>
  </si>
  <si>
    <t>Percentage of products by revenue that contain IEC 62474 declarable substances</t>
  </si>
  <si>
    <t>RT-EE-410a.2</t>
  </si>
  <si>
    <t>Percentage of eligible products, by revenue, that meet ENERGY STAR® criteria</t>
  </si>
  <si>
    <t>RT-EE-410a.3</t>
  </si>
  <si>
    <t>Revenue from renewable energy-related and energy efficiency-related products</t>
  </si>
  <si>
    <t>RT-EE-440a.1</t>
  </si>
  <si>
    <t>RT-EE-510a.1</t>
  </si>
  <si>
    <t>Description of policies and practices for prevention of: (1) corruption and bribery and (2) anti-competitive behavior</t>
  </si>
  <si>
    <t>RT-EE-510a.2</t>
  </si>
  <si>
    <t>Total amount of monetary losses as a result of legal proceedings associated with bribery or corruption</t>
  </si>
  <si>
    <t>RT-EE-510a.3</t>
  </si>
  <si>
    <t>ELECTRONIC MANUFACTURING</t>
  </si>
  <si>
    <t>TC-ES-140a.1</t>
  </si>
  <si>
    <t>TC-ES-150a.1</t>
  </si>
  <si>
    <t>Amount of hazardous waste from manufacturing, percentage recycled</t>
  </si>
  <si>
    <t>TC-ES-310a.1</t>
  </si>
  <si>
    <t>TC-ES-320a.1</t>
  </si>
  <si>
    <t>(1) Total recordable incident rate (TRIR) and (2) near miss frequency rate (NMFR) for (a) direct employees and (b) contract employees</t>
  </si>
  <si>
    <t>TC-ES-320a.2</t>
  </si>
  <si>
    <t>Percentage of (1) entity’s facilities and (2) Tier 1 supplier facilities audited in the RBA Validated Audit Process (VAP) or equivalent, by (a) all facilities and (b) high-risk facilities</t>
  </si>
  <si>
    <t>TC-ES-320a.3</t>
  </si>
  <si>
    <t>(1) Non-conformance rate with the RBA Validated Audit Process (VAP) or equivalent and (2) associated corrective action rate for (a) priority non-conformances and (b) other non-conformances, broken down for (i) the entity’s facilities and (ii) the entity’s Tier 1 supplier facilities</t>
  </si>
  <si>
    <t>TC-ES-410a.1</t>
  </si>
  <si>
    <t>Weight of end-of-life products and e-waste recovered, percentage recycled</t>
  </si>
  <si>
    <t>TC-ES-440a.1</t>
  </si>
  <si>
    <t>ENGINEERING &amp; CONSTRUCTION</t>
  </si>
  <si>
    <t>IF-EN-160a.1</t>
  </si>
  <si>
    <t>Number of incidents of non-compliance with environmental permits, standards, and regulations</t>
  </si>
  <si>
    <t>IF-EN-160a.2</t>
  </si>
  <si>
    <t>Discussion of processes to assess and manage environmental risks associated with project design, siting, and construction</t>
  </si>
  <si>
    <t>IF-EN-250a.1</t>
  </si>
  <si>
    <t>Amount of defect- and safety-related rework costs</t>
  </si>
  <si>
    <t>IF-EN-250a.2</t>
  </si>
  <si>
    <t>Total amount of monetary losses as a result of legal proceedings associated with defect- and safety-related incidents</t>
  </si>
  <si>
    <t>IF-EN-320a.1</t>
  </si>
  <si>
    <t>IF-EN-410a.1</t>
  </si>
  <si>
    <t>Number of (1) commissioned projects certified to a third-party multi-attribute sustainability standard and (2) active projects seeking such certification</t>
  </si>
  <si>
    <t>IF-EN-410a.2</t>
  </si>
  <si>
    <t>Discussion of process to incorporate operational-phase energy and water efficiency considerations into project planning and design</t>
  </si>
  <si>
    <t>IF-EN-410b.1</t>
  </si>
  <si>
    <t>Amount of backlog for (1) hydrocarbon-related projects and (2) renewable energy projects</t>
  </si>
  <si>
    <t>IF-EN-410b.2</t>
  </si>
  <si>
    <t>Amount of backlog cancellations associated with hydrocarbon-related projects</t>
  </si>
  <si>
    <t>IF-EN-410b.3</t>
  </si>
  <si>
    <t>Amount of backlog for non-energy projects associated with climate change mitigation</t>
  </si>
  <si>
    <t>IF-EN-510a.1</t>
  </si>
  <si>
    <t>(1) Number of active projects and (2) backlog in countries that have the 20 lowest rankings in Transparency International’s Corruption Perception Index</t>
  </si>
  <si>
    <t>IF-EN-510a.2</t>
  </si>
  <si>
    <t>Total amount of monetary losses as a result of legal proceedings associated with charges of (1) bribery or corruption and (2) anti-competitive practices</t>
  </si>
  <si>
    <t>IF-EN-510a.3</t>
  </si>
  <si>
    <t>Description of policies and practices for prevention of (1) bribery and corruption, and (2) anti-competitive behavior in the project bidding processes</t>
  </si>
  <si>
    <t>FOOD RETAILERS &amp; DISTRIBUTORS</t>
  </si>
  <si>
    <t>FB-FR-110a.1</t>
  </si>
  <si>
    <t>FB-FR-110b.1</t>
  </si>
  <si>
    <t>Gross global Scope 1 emissions from refrigerants</t>
  </si>
  <si>
    <t>FB-FR-110b.2</t>
  </si>
  <si>
    <t>Percentage of refrigerants consumed with zero ozone-depleting potential</t>
  </si>
  <si>
    <t>FB-FR-110b.3</t>
  </si>
  <si>
    <t>Average refrigerant emissions rate</t>
  </si>
  <si>
    <t>FB-FR-130a.1</t>
  </si>
  <si>
    <t>FB-FR-150a.1</t>
  </si>
  <si>
    <t>Amount of food waste generated, percentage diverted from the waste stream</t>
  </si>
  <si>
    <t>FB-FR-230a.1</t>
  </si>
  <si>
    <t>(1) Number of data breaches, (2) percentage involving personally identifiable information (PII), (3) number of customers affected</t>
  </si>
  <si>
    <t>FB-FR-230a.2</t>
  </si>
  <si>
    <t>FB-FR-250a.1</t>
  </si>
  <si>
    <t>High-risk food safety violation rate</t>
  </si>
  <si>
    <t>FB-FR-250a.2</t>
  </si>
  <si>
    <t>(1) Number of recalls, (2) number of units recalled, (3) percentage of units recalled that are private-label products</t>
  </si>
  <si>
    <t>FB-FR-260a.1</t>
  </si>
  <si>
    <t>Revenue from products labeled and/or marketed to promote health and nutrition attributes</t>
  </si>
  <si>
    <t>FB-FR-260a.2</t>
  </si>
  <si>
    <t>Discussion of the process to identify and manage products and ingredients related to nutritional and health concerns among consumers</t>
  </si>
  <si>
    <t>FB-FR-270a.1</t>
  </si>
  <si>
    <t>FB-FR-270a.2</t>
  </si>
  <si>
    <t>FB-FR-270a.3</t>
  </si>
  <si>
    <t>Revenue from products labeled as (1) containing genetically modified organisms (GMOs) and (2) non-GMO</t>
  </si>
  <si>
    <t>FB-FR-310a.1</t>
  </si>
  <si>
    <t>(1) Average hourly wage and (2) percentage of in-store and distribution center employees earning minimum wage, by region</t>
  </si>
  <si>
    <t>FB-FR-310a.2</t>
  </si>
  <si>
    <t>FB-FR-310a.3</t>
  </si>
  <si>
    <t>FB-FR-310a.4</t>
  </si>
  <si>
    <t>Total amount of monetary losses as a result of legal proceedings associated with: (1) labor law violations and (2) employment discrimination</t>
  </si>
  <si>
    <t>FB-FR-430a.1</t>
  </si>
  <si>
    <t>Revenue from products third-party certified to environmental or social sustainability sourcing standards</t>
  </si>
  <si>
    <t>FB-FR-430a.2</t>
  </si>
  <si>
    <t>Percentage of revenue from (1) eggs that originated from a cage-free environment and (2) pork produced without the use of gestation crates</t>
  </si>
  <si>
    <t>FB-FR-430a.3</t>
  </si>
  <si>
    <t>Discussion of strategy to manage environmental and social risks within the supply chain, including animal welfare</t>
  </si>
  <si>
    <t>FB-FR-430a.4</t>
  </si>
  <si>
    <t>Discussion of strategies to reduce the environmental impact of packaging</t>
  </si>
  <si>
    <t>FORESTRY MANAGEMENT</t>
  </si>
  <si>
    <t>RR-FM-160a.1</t>
  </si>
  <si>
    <t>Area of forestland certified to a third-party forest management standard, percentage certified to each standard</t>
  </si>
  <si>
    <t>RR-FM-160a.2</t>
  </si>
  <si>
    <t>Area of forestland with protected conservation status</t>
  </si>
  <si>
    <t>RR-FM-160a.3</t>
  </si>
  <si>
    <t>Area of forestland in endangered species habitat</t>
  </si>
  <si>
    <t>RR-FM-160a.4</t>
  </si>
  <si>
    <t>Description of approach to optimizing opportunities from ecosystem services provided by forestlands</t>
  </si>
  <si>
    <t>RR-FM-210a.1</t>
  </si>
  <si>
    <t>Area of forestland in indigenous land</t>
  </si>
  <si>
    <t>RR-FM-210a.2</t>
  </si>
  <si>
    <t>Description of engagement processes and due diligence practices with respect to human rights, indigenous rights, and the local community</t>
  </si>
  <si>
    <t>RR-FM-450a.1</t>
  </si>
  <si>
    <t>Description of strategy to manage opportunities for and risks to forest management and timber production presented by climate change</t>
  </si>
  <si>
    <t>FUEL CELLS &amp; INDUSTRIAL BATTERIES</t>
  </si>
  <si>
    <t>RR-FC-130a.1</t>
  </si>
  <si>
    <t>RR-FC-440a.1</t>
  </si>
  <si>
    <t>RR-FC-410a.1</t>
  </si>
  <si>
    <t>Average storage capacity of batteries, by product application and technology type</t>
  </si>
  <si>
    <t>RR-FC-410a.2</t>
  </si>
  <si>
    <t>Average energy efficiency of fuel cells as (1) electrical efficiency and (2) thermal efficiency, by product application and technology type</t>
  </si>
  <si>
    <t>RR-FC-410a.3</t>
  </si>
  <si>
    <t>Average battery efficiency as coulombic efficiency, by product application and technology type</t>
  </si>
  <si>
    <t>RR-FC-410a.4</t>
  </si>
  <si>
    <t>Average operating lifetime of fuel cells, by product application and technology type</t>
  </si>
  <si>
    <t>RR-FC-410a.5</t>
  </si>
  <si>
    <t>Average operating lifetime of batteries, by product application and technology type</t>
  </si>
  <si>
    <t>RR-FC-410b.1</t>
  </si>
  <si>
    <t>Percentage of products sold that are recyclable or reusable</t>
  </si>
  <si>
    <t>RR-FC-410b.2</t>
  </si>
  <si>
    <t>RR-FC-410b.3</t>
  </si>
  <si>
    <t>Description of approach to manage use, reclamation, and disposal of hazardous materials</t>
  </si>
  <si>
    <t>RR-FC-320a.1</t>
  </si>
  <si>
    <t>(1) Total recordable incident rate (TRIR) and (2) fatality rate</t>
  </si>
  <si>
    <t>RR-FC-320a.2</t>
  </si>
  <si>
    <t>Description of efforts to assess, monitor, and reduce exposure of workforce to human health hazards</t>
  </si>
  <si>
    <t>GAS UTILITIES &amp; DISTRIBUTORS</t>
  </si>
  <si>
    <t>IF-GU-240a.1</t>
  </si>
  <si>
    <t>Average retail gas rate for (1) residential, (2) commercial, (3) industrial customers, and (4) transportation services only</t>
  </si>
  <si>
    <t>IF-GU-240a.2</t>
  </si>
  <si>
    <t>Typical monthly gas bill for residential customers for (1) 50 MMBtu and (2) 100 MMBtu of gas delivered per year</t>
  </si>
  <si>
    <t>IF-GU-240a.3</t>
  </si>
  <si>
    <t>Number of residential customer gas disconnections for non-payment, percentage reconnected within 30 days</t>
  </si>
  <si>
    <t>IF-GU-240a.4</t>
  </si>
  <si>
    <t>Discussion of impact of external factors on customer affordability of gas, including the economic conditions of the service territory</t>
  </si>
  <si>
    <t>IF-GU-420a.1</t>
  </si>
  <si>
    <t>Percentage of gas utility revenues from rate structures that (1) are decoupled or (2) contain a lost revenue adjustment mechanism (LRAM)</t>
  </si>
  <si>
    <t>IF-GU-420a.2</t>
  </si>
  <si>
    <t>Customer gas savings from efficiency measures by market</t>
  </si>
  <si>
    <t>IF-GU-540a.1</t>
  </si>
  <si>
    <t>Number of (1) reportable pipeline incidents, (2) Corrective Action Orders (CAO), and (3) Notices of Probable Violation (NOPV)</t>
  </si>
  <si>
    <t>IF-GU-540a.2</t>
  </si>
  <si>
    <t>Percentage of distribution pipeline that is (1) cast and/or wrought iron and (2) unprotected steel</t>
  </si>
  <si>
    <t>IF-GU-540a.3</t>
  </si>
  <si>
    <t>Percentage of gas (1) transmission and (2) distribution pipelines inspected</t>
  </si>
  <si>
    <t>IF-GU-540a.4</t>
  </si>
  <si>
    <t>Description of efforts to manage the integrity of gas delivery infrastructure, including risks related to safety and emissions</t>
  </si>
  <si>
    <t>HARDWARE</t>
  </si>
  <si>
    <t>TC-HW-230a.1</t>
  </si>
  <si>
    <t>Description of approach to identifying and addressing data security risks in products</t>
  </si>
  <si>
    <t>TC-HW-330a.1</t>
  </si>
  <si>
    <t>TC-HW-410a.1</t>
  </si>
  <si>
    <t>TC-HW-410a.2</t>
  </si>
  <si>
    <t>Percentage of eligible products, by revenue, meeting the requirements for EPEAT registration or equivalent</t>
  </si>
  <si>
    <t>TC-HW-410a.3</t>
  </si>
  <si>
    <t>Percentage of eligible products, by revenue, meeting ENERGY STAR® criteria</t>
  </si>
  <si>
    <t>TC-HW-410a.4</t>
  </si>
  <si>
    <t>TC-HW-430a.1</t>
  </si>
  <si>
    <t>Percentage of Tier 1 supplier facilities audited in the RBA Validated Audit Process (VAP) or equivalent, by (a) all facilities and (b) high-risk facilities</t>
  </si>
  <si>
    <t>TC-HW-430a.2</t>
  </si>
  <si>
    <t>Tier 1 suppliers’ (1) non-conformance rate with the RBA Validated Audit Process (VAP) or equivalent, and (2) associated corrective action rate for (a) priority non-conformances and (b) other non-conformances</t>
  </si>
  <si>
    <t>TC-HW-440a.1</t>
  </si>
  <si>
    <t>HEALTH CARE DELIVERY</t>
  </si>
  <si>
    <t>HC-DY-130a.1</t>
  </si>
  <si>
    <t>HC-DY-150a.1</t>
  </si>
  <si>
    <t>Total amount of medical waste, percentage (a) incinerated, (b) recycled or treated, and (c) landfilled</t>
  </si>
  <si>
    <t>HC-DY-150a.2</t>
  </si>
  <si>
    <t>Total amount of: (1) hazardous and (2) non-hazardous pharmaceutical waste, percentage (a) incinerated, (b) recycled or treated, and (c) landfilled</t>
  </si>
  <si>
    <t>HC-DY-230a.1</t>
  </si>
  <si>
    <t>Percentage of patient records that are Electronic Health Records (EHR) that meet "meaningful use" requirements</t>
  </si>
  <si>
    <t>HC-DY-230a.2</t>
  </si>
  <si>
    <t>HC-DY-230a.3</t>
  </si>
  <si>
    <t>HC-DY-230a.4</t>
  </si>
  <si>
    <t>HC-DY-240a.1</t>
  </si>
  <si>
    <t>Discussion of strategy to manage the mix of patient insurance status</t>
  </si>
  <si>
    <t>HC-DY-240a.2</t>
  </si>
  <si>
    <t>Amount of Medicare Disproportionate Share Hospital (DSH) adjustment payments received</t>
  </si>
  <si>
    <t>HC-DY-250a.1</t>
  </si>
  <si>
    <t>Average Hospital Value-Based Purchasing Total Performance Score and domain score, across all facilities</t>
  </si>
  <si>
    <t>HC-DY-250a.2</t>
  </si>
  <si>
    <t>Number of Serious Reportable Events (SREs) as defined by the National Quality Forum (NQF)</t>
  </si>
  <si>
    <t>HC-DY-250a.3</t>
  </si>
  <si>
    <t>Hospital-Acquired Condition (HAC) Score per hospital</t>
  </si>
  <si>
    <t>HC-DY-250a.4</t>
  </si>
  <si>
    <t>Excess readmission ratio per hospital</t>
  </si>
  <si>
    <t>HC-DY-250a.5</t>
  </si>
  <si>
    <t>Magnitude of readmissions payment adjustment as part of the Hospital Readmissions Reduction Program (HRRP)</t>
  </si>
  <si>
    <t>HC-DY-260a.1</t>
  </si>
  <si>
    <t>Description of policies and practices to manage the number of prescriptions issued for controlled substances</t>
  </si>
  <si>
    <t>HC-DY-260a.2</t>
  </si>
  <si>
    <t>Percentage of controlled substance prescriptions written for which a prescription drug monitoring program (PDMP) database was queried</t>
  </si>
  <si>
    <t>HC-DY-270a.1</t>
  </si>
  <si>
    <t>Description of policies or initiatives to ensure that patients are adequately informed about price before undergoing a procedure</t>
  </si>
  <si>
    <t>HC-DY-270a.2</t>
  </si>
  <si>
    <t>Discussion of how pricing information for services is made publicly available</t>
  </si>
  <si>
    <t>HC-DY-270a.3</t>
  </si>
  <si>
    <t>Number of the entity’s 25 most common services for which pricing information is publicly available, percentage of total services performed (by volume) that these represent</t>
  </si>
  <si>
    <t>HC-DY-320a.1</t>
  </si>
  <si>
    <t>(1) Total recordable incident rate (TRIR) and (2) days away, restricted, or transferred (DART) rate</t>
  </si>
  <si>
    <t>HC-DY-330a.1</t>
  </si>
  <si>
    <t>(1) Voluntary and (2) involuntary turnover rate for: (a) physicians, (b) non-physician health care practitioners, and (c) all other employees</t>
  </si>
  <si>
    <t>HC-DY-330a.2</t>
  </si>
  <si>
    <t>Description of talent recruitment and retention efforts for health care practitioners</t>
  </si>
  <si>
    <t>HC-DY-450a.1</t>
  </si>
  <si>
    <t>Description of policies and practices to address: (1) the physical risks due to an increased frequency and intensity of extreme weather events and (2) changes in the morbidity and mortality rates of illnesses and diseases, associated with climate change</t>
  </si>
  <si>
    <t>HC-DY-450a.2</t>
  </si>
  <si>
    <t>Percentage of health care facilities that comply with the Centers for Medicare and Medicaid Services (CMS) Emergency Preparedness Rule</t>
  </si>
  <si>
    <t>HC-DY-510a.1</t>
  </si>
  <si>
    <t>Total amount of monetary losses as a result of legal proceedings associated with Medicare and Medicaid fraud under the False Claims Act</t>
  </si>
  <si>
    <t>HEALTH CARE DISTRIBUTORS</t>
  </si>
  <si>
    <t>HC-DI-110a.1</t>
  </si>
  <si>
    <t>Payload fuel economy</t>
  </si>
  <si>
    <t>HC-DI-110a.2</t>
  </si>
  <si>
    <t>Description of efforts to reduce the environmental impact of logistics</t>
  </si>
  <si>
    <t>HC-DI-250a.1</t>
  </si>
  <si>
    <t>HC-DI-250a.2</t>
  </si>
  <si>
    <t>Description of efforts to minimize health and safety risks of products sold associated with toxicity/chemical safety, high abuse potential, or delivery</t>
  </si>
  <si>
    <t>HC-DI-260a.1</t>
  </si>
  <si>
    <t>Description of methods and technologies used to maintain traceability of products throughout the distribution chain and prevent counterfeiting</t>
  </si>
  <si>
    <t>HC-DI-260a.2</t>
  </si>
  <si>
    <t>Discussion of due diligence process to qualify suppliers of drug products and medical equipment and devices</t>
  </si>
  <si>
    <t>HC-DI-260a.3</t>
  </si>
  <si>
    <t>HC-DI-410a.1</t>
  </si>
  <si>
    <t>HC-DI-410a.2</t>
  </si>
  <si>
    <t>Amount (by weight) of products accepted for take-back and reused, recycled, or donated</t>
  </si>
  <si>
    <t>HC-DI-510a.1</t>
  </si>
  <si>
    <t>Description of efforts to minimize conflicts of interest and unethical business practices</t>
  </si>
  <si>
    <t>HC-DI-510a.2</t>
  </si>
  <si>
    <t>Total amount of monetary losses as a result of legal proceedings associated with bribery, corruption, or other unethical business practices</t>
  </si>
  <si>
    <t>HOME BUILDERS</t>
  </si>
  <si>
    <t>IF-HB-160a.1</t>
  </si>
  <si>
    <t>Number of (1) lots and (2) homes delivered on redevelopment sites</t>
  </si>
  <si>
    <t>IF-HB-160a.2</t>
  </si>
  <si>
    <t>Number of (1) lots and (2) homes delivered in regions with High or Extremely High Baseline Water Stress</t>
  </si>
  <si>
    <t>IF-HB-160a.3</t>
  </si>
  <si>
    <t>Total amount of monetary losses as a result of legal proceedings associated with environmental regulations</t>
  </si>
  <si>
    <t>IF-HB-160a.4</t>
  </si>
  <si>
    <t>Discussion of process to integrate environmental considerations into site selection, site design, and site development and construction</t>
  </si>
  <si>
    <t>IF-HB-320a.1</t>
  </si>
  <si>
    <t>IF-HB-410a.1</t>
  </si>
  <si>
    <t>(1) Number of homes that obtained a certified HERS® Index Score and (2) average score</t>
  </si>
  <si>
    <t>IF-HB-410a.2</t>
  </si>
  <si>
    <t>Percentage of installed water fixtures certified to WaterSense® specifications</t>
  </si>
  <si>
    <t>IF-HB-410a.3</t>
  </si>
  <si>
    <t>Number of homes delivered certified to a third-party multi-attribute green building standard</t>
  </si>
  <si>
    <t>IF-HB-410a.4</t>
  </si>
  <si>
    <t>Description of risks and opportunities related to incorporating resource efficiency into home design, and how benefits are communicated to customers</t>
  </si>
  <si>
    <t>IF-HB-410b.1</t>
  </si>
  <si>
    <t>Description of how proximity and access to infrastructure, services, and economic centers affect site selection and development decisions</t>
  </si>
  <si>
    <t>IF-HB-410b.2</t>
  </si>
  <si>
    <t>Number of (1) lots and (2) homes delivered on infill sites</t>
  </si>
  <si>
    <t>IF-HB-410b.3</t>
  </si>
  <si>
    <t>(1) Number of homes delivered in compact developments and (2) average density</t>
  </si>
  <si>
    <t>IF-HB-420a.1</t>
  </si>
  <si>
    <t>Number of lots located in 100-year flood zones</t>
  </si>
  <si>
    <t>IF-HB-420a.2</t>
  </si>
  <si>
    <t>Description of climate change risk exposure analysis, degree of systematic portfolio exposure, and strategies for mitigating risks</t>
  </si>
  <si>
    <t>HOTELS &amp; LODGING</t>
  </si>
  <si>
    <t>SV-HL-130a.1</t>
  </si>
  <si>
    <t>SV-HL-140a.1</t>
  </si>
  <si>
    <t>SV-HL-160a.1</t>
  </si>
  <si>
    <t>Number of lodging facilities located in or near areas of protected conservation status or endangered species habitat</t>
  </si>
  <si>
    <t>SV-HL-160a.2</t>
  </si>
  <si>
    <t>Description of environmental management policies and practices to preserve ecosystem services</t>
  </si>
  <si>
    <t>SV-HL-310a.1</t>
  </si>
  <si>
    <t>(1) Voluntary and (2) involuntary turnover rate for lodging facility employees</t>
  </si>
  <si>
    <t>SV-HL-310a.2</t>
  </si>
  <si>
    <t>SV-HL-310a.3</t>
  </si>
  <si>
    <t>(1) Average hourly wage and (2) percentage of lodging facility employees earning minimum wage, by region</t>
  </si>
  <si>
    <t>SV-HL-310a.4</t>
  </si>
  <si>
    <t>Description of policies and programs to prevent worker harassment</t>
  </si>
  <si>
    <t>SV-HL-450a.1</t>
  </si>
  <si>
    <t>Number of lodging facilities located in 100-year flood zones</t>
  </si>
  <si>
    <t>HOUSEHOLD &amp; PERSONAL PRODUCTS</t>
  </si>
  <si>
    <t>CG-HP-140a.1</t>
  </si>
  <si>
    <t>CG-HP-140a.2</t>
  </si>
  <si>
    <t>CG-HP-250a.1</t>
  </si>
  <si>
    <t>Revenue from products that contain REACH substances of very high concern (SVHC)</t>
  </si>
  <si>
    <t>CG-HP-250a.2</t>
  </si>
  <si>
    <t>Revenue from products that contain substances on the California DTSC Candidate Chemicals List</t>
  </si>
  <si>
    <t>CG-HP-250a.3</t>
  </si>
  <si>
    <t>CG-HP-250a.4</t>
  </si>
  <si>
    <t>Revenue from products designed with green chemistry principles</t>
  </si>
  <si>
    <t>CG-HP-410a.1</t>
  </si>
  <si>
    <t>CG-HP-410a.2</t>
  </si>
  <si>
    <t>CG-HP-430a.1</t>
  </si>
  <si>
    <t>Amount of palm oil sourced, percentage certified through the Roundtable on Sustainable Palm Oil (RSPO) supply chains as (a) Identity Preserved, (b) Segregated, (c) Mass Balance, or (d) Book &amp; Claim</t>
  </si>
  <si>
    <t>INDUSTRIAL MACHINERY &amp; GOODS</t>
  </si>
  <si>
    <t>RT-IG-130a.1</t>
  </si>
  <si>
    <t>RT-IG-320a.1</t>
  </si>
  <si>
    <t>RT-IG-410a.1</t>
  </si>
  <si>
    <t>Sales-weighted fleet fuel efficiency for medium- and heavy-duty vehicles</t>
  </si>
  <si>
    <t>RT-IG-410a.2</t>
  </si>
  <si>
    <t>Sales-weighted fuel efficiency for non-road equipment</t>
  </si>
  <si>
    <t>RT-IG-410a.3</t>
  </si>
  <si>
    <t>Sales-weighted fuel efficiency for stationary generators</t>
  </si>
  <si>
    <t>RT-IG-410a.4</t>
  </si>
  <si>
    <t>Sales-weighted emissions of: (1) nitrogen oxides (NOx) and (2) particulate matter (PM) for: (a) marine diesel engines, (b) locomotive diesel engines, (c) on-road medium- and heavy-duty engines, and (d) other non-road diesel engines</t>
  </si>
  <si>
    <t>RT-IG-440a.1</t>
  </si>
  <si>
    <t>RT-IG-440b.1</t>
  </si>
  <si>
    <t>Revenue from remanufactured products and remanufacturing services</t>
  </si>
  <si>
    <t>INSURANCE</t>
  </si>
  <si>
    <t>FN-IN-270a.1</t>
  </si>
  <si>
    <t>Total amount of monetary losses as a result of legal proceedings associated with marketing and communication of insurance product-related information to new and returning customers</t>
  </si>
  <si>
    <t>FN-IN-270a.2</t>
  </si>
  <si>
    <t>Complaints-to-claims ratio</t>
  </si>
  <si>
    <t>FN-IN-270a.3</t>
  </si>
  <si>
    <t>Customer retention rate</t>
  </si>
  <si>
    <t>FN-IN-270a.4</t>
  </si>
  <si>
    <t>Description of approach to informing customers about products</t>
  </si>
  <si>
    <t>FN-IN-410a.1</t>
  </si>
  <si>
    <t>Total invested assets, by industry and asset class</t>
  </si>
  <si>
    <t>FN-IN-410a.2</t>
  </si>
  <si>
    <t>Description of approach to incorporation of environmental, social, and governance (ESG) factors in investment management processes and strategies</t>
  </si>
  <si>
    <t>FN-IN-410b.1</t>
  </si>
  <si>
    <t>Net premiums written related to energy efficiency and low carbon technology</t>
  </si>
  <si>
    <t>FN-IN-410b.2</t>
  </si>
  <si>
    <t>Discussion of products and/or product features that incentivize health, safety, and/or environmentally responsible actions and/or behaviors</t>
  </si>
  <si>
    <t>FN-IN-450a.1</t>
  </si>
  <si>
    <t>Probable Maximum Loss (PML) of insured products from weather-related natural catastrophes</t>
  </si>
  <si>
    <t>FN-IN-450a.2</t>
  </si>
  <si>
    <t>Total amount of monetary losses attributable to insurance payouts from (1) modeled natural catastrophes and (2) non-modeled natural catastrophes, by type of event and geographic segment (net and gross of reinsurance)</t>
  </si>
  <si>
    <t>FN-IN-450a.3</t>
  </si>
  <si>
    <t>Description of approach to incorporation of environmental risks into (1) the underwriting process for individual contracts and (2) the management of firm-level risks and capital adequacy</t>
  </si>
  <si>
    <t>FN-IN-550a.1</t>
  </si>
  <si>
    <t>Exposure to derivative instruments by category: (1) total potential exposure to non-centrally cleared derivatives, (2) total fair value of acceptable collateral posted with the Central Clearinghouse, and (3) total potential exposure to centrally cleared derivatives</t>
  </si>
  <si>
    <t>FN-IN-550a.2</t>
  </si>
  <si>
    <t>Total fair value of securities lending collateral assets</t>
  </si>
  <si>
    <t>FN-IN-550a.3</t>
  </si>
  <si>
    <t>Description of approach to managing capital- and liquidity-related risks associated with systemic non-insurance activities</t>
  </si>
  <si>
    <t>INTERNET MEDIA &amp; SERVICES</t>
  </si>
  <si>
    <t>TC-IM-130a.1</t>
  </si>
  <si>
    <t>TC-IM-130a.2</t>
  </si>
  <si>
    <t>TC-IM-130a.3</t>
  </si>
  <si>
    <t>TC-IM-220a.1</t>
  </si>
  <si>
    <t>TC-IM-220a.2</t>
  </si>
  <si>
    <t>TC-IM-220a.3</t>
  </si>
  <si>
    <t>Total amount of monetary losses as a result of legal proceedings associated with user privacy</t>
  </si>
  <si>
    <t>TC-IM-220a.4</t>
  </si>
  <si>
    <t>(1) Number of law enforcement requests for user information, (2) number of users whose information was requested, (3) percentage resulting in disclosure</t>
  </si>
  <si>
    <t>TC-IM-220a.5</t>
  </si>
  <si>
    <t>List of countries where core products or services are subject to government-required monitoring, blocking, content filtering, or censoring</t>
  </si>
  <si>
    <t>TC-IM-220a.6</t>
  </si>
  <si>
    <t>Number of government requests to remove content, percentage compliance with requests</t>
  </si>
  <si>
    <t>TC-IM-230a.1</t>
  </si>
  <si>
    <t>TC-IM-230a.2</t>
  </si>
  <si>
    <t>Description of approach to identifying and addressing data security risks, including use of third-party cybersecurity standards</t>
  </si>
  <si>
    <t>TC-IM-330a.1</t>
  </si>
  <si>
    <t>Percentage of employees that are foreign nationals</t>
  </si>
  <si>
    <t>TC-IM-330a.2</t>
  </si>
  <si>
    <t>TC-IM-330a.3</t>
  </si>
  <si>
    <t>TC-IM-520a.1</t>
  </si>
  <si>
    <t>INVESTMENT BANKING &amp; BROKERAGE</t>
  </si>
  <si>
    <t>FN-IB-330a.1</t>
  </si>
  <si>
    <t>FN-IB-410a.1</t>
  </si>
  <si>
    <t>Revenue from (1) underwriting, (2) advisory, and (3) securitization transactions incorporating integration of environmental, social, and governance (ESG) factors, by industry</t>
  </si>
  <si>
    <t>FN-IB-410a.2</t>
  </si>
  <si>
    <t>(1) Number and (2) total value of investments and loans incorporating integration of environmental, social, and governance (ESG) factors, by industry</t>
  </si>
  <si>
    <t>FN-IB-410a.3</t>
  </si>
  <si>
    <t>Description of approach to incorporation of environmental, social, and governance (ESG) factors in investment banking and brokerage activities</t>
  </si>
  <si>
    <t>FN-IB-510a.1</t>
  </si>
  <si>
    <t>FN-IB-510a.2</t>
  </si>
  <si>
    <t>FN-IB-510b.1</t>
  </si>
  <si>
    <t>FN-IB-510b.2</t>
  </si>
  <si>
    <t>Number of mediation and arbitration cases associated with professional integrity, including duty of care, by party</t>
  </si>
  <si>
    <t>FN-IB-510b.3</t>
  </si>
  <si>
    <t>Total amount of monetary losses as a result of legal proceedings associated with professional integrity, including duty of care</t>
  </si>
  <si>
    <t>FN-IB-510b.4</t>
  </si>
  <si>
    <t>Description of approach to ensuring professional integrity, including duty of care</t>
  </si>
  <si>
    <t>FN-IB-550a.1</t>
  </si>
  <si>
    <t>FN-IB-550a.2</t>
  </si>
  <si>
    <t>FN-IB-550b.1</t>
  </si>
  <si>
    <t>Percentage of total remuneration that is variable for Material Risk Takers (MRTs)</t>
  </si>
  <si>
    <t>FN-IB-550b.2</t>
  </si>
  <si>
    <t>Percentage of variable remuneration of Material Risk Takers (MRTs) to which malus or clawback provisions were applied</t>
  </si>
  <si>
    <t>FN-IB-550b.3</t>
  </si>
  <si>
    <t>Discussion of policies around supervision, control, and validation of traders’ pricing of Level 3 assets and liabilities</t>
  </si>
  <si>
    <t>IRON &amp; STEEL PRODUCERS</t>
  </si>
  <si>
    <t>EM-IS-110a.1</t>
  </si>
  <si>
    <t>EM-IS-110a.2</t>
  </si>
  <si>
    <t>EM-IS-120a.1</t>
  </si>
  <si>
    <t>Air emissions of the following pollutants: (1) CO, (2) NOx (excluding N2O), (3) SOx, (4) particulate matter (PM10), (5) manganese (MnO), (6) lead (Pb), (7) volatile organic compounds (VOCs), and (8) polycyclic aromatic hydrocarbons (PAHs)</t>
  </si>
  <si>
    <t>EM-IS-130a.1</t>
  </si>
  <si>
    <t>EM-IS-130a.2</t>
  </si>
  <si>
    <t>(1) Total fuel consumed, (2) percentage coal, (3) percentage natural gas, (4) percentage renewable</t>
  </si>
  <si>
    <t>EM-IS-140a.1</t>
  </si>
  <si>
    <t>EM-IS-150a.1</t>
  </si>
  <si>
    <t>EM-IS-320a.1</t>
  </si>
  <si>
    <t>(1) Total recordable incident rate (TRIR), (2) fatality rate, and (3) near miss frequency rate (NMFR) for (a) full-time employees and (b) contract employees</t>
  </si>
  <si>
    <t>EM-IS-430a.1</t>
  </si>
  <si>
    <t>Discussion of the process for managing iron ore and/or coking coal sourcing risks arising from environmental and social issues</t>
  </si>
  <si>
    <t>LEISURE FACILITIES</t>
  </si>
  <si>
    <t>SV-LF-130a.1</t>
  </si>
  <si>
    <t>SV-LF-250a.1</t>
  </si>
  <si>
    <t>(1) Fatality rate and (2) injury rate for customers</t>
  </si>
  <si>
    <t>SV-LF-250a.2</t>
  </si>
  <si>
    <t>Percentage of facilities inspected for safety, percentage of facilities that failed inspection</t>
  </si>
  <si>
    <t>SV-LF-320a.1</t>
  </si>
  <si>
    <t>(1) Total recordable incident rate (TRIR) and (2) near miss frequency rate (NMFR) for (a) permanent employees and (b) seasonal employees</t>
  </si>
  <si>
    <t>MANAGED CARE</t>
  </si>
  <si>
    <t>HC-MC-240a.1</t>
  </si>
  <si>
    <t>Medical Loss Ratio (MLR)</t>
  </si>
  <si>
    <t>HC-MC-240a.2</t>
  </si>
  <si>
    <t xml:space="preserve">Total amount of rebates accrued and paid due to non-compliance with the Patient Protection and Affordable Care Act for Medical Loss Ratio (MLR)   </t>
  </si>
  <si>
    <t>HC-MC-240a.3</t>
  </si>
  <si>
    <t>Percentage of proposed rate increases receiving “not unreasonable” designation from Health and Human Services (HHS) review or state review</t>
  </si>
  <si>
    <t>HC-MC-450a.1</t>
  </si>
  <si>
    <t>Discussion of the strategy to address the effects of climate change on business operations and how specific risks presented by changes in the geographic incidence, morbidity, and mortality of illnesses and diseases are incorporated into risk models</t>
  </si>
  <si>
    <t>HC-MC-230a.1</t>
  </si>
  <si>
    <t>HC-MC-230a.3</t>
  </si>
  <si>
    <t>HC-MC-260a.1</t>
  </si>
  <si>
    <t>Percentage of enrollees in wellness programs by type: (1) diet and nutrition, (2) exercise, (3) stress management, (4) mental health, (5) smoking or alcohol cessation, or (6) other</t>
  </si>
  <si>
    <t>HC-MC-260a.2</t>
  </si>
  <si>
    <t>Total coverage for preventive health services with no cost sharing for the enrollees, total coverage for preventive health services requiring cost-sharing by the enrollee, percentage of enrollees receiving Initial Preventive Physical Examinations (IPEE) or Annual Wellness Visits (AWV)</t>
  </si>
  <si>
    <t>HC-MC-260a.3</t>
  </si>
  <si>
    <t>Number of customers receiving care from Accountable Care Organizations or enrolled in Patient-Centered Medical Home programs</t>
  </si>
  <si>
    <t>HC-MC-250a.1</t>
  </si>
  <si>
    <t>Average Medicare Advantage plan rating for each of the following plan types: (1) HMO, (2) local PPO, (3) regional PPO, (4) PFFS, and (5) SNP</t>
  </si>
  <si>
    <t>HC-MC-250a.2</t>
  </si>
  <si>
    <t>Enrollee retention rate by plan type, including: (1) HMO, (2) local PPO, (3) regional PPO, (4) PFFS, and (5) SNP</t>
  </si>
  <si>
    <t>HC-MC-250a.3</t>
  </si>
  <si>
    <t>Percentage of claims denied that were appealed by customers and ultimately reversed</t>
  </si>
  <si>
    <t>HC-MC-250a.4</t>
  </si>
  <si>
    <t>Plan enrollee grievance rate</t>
  </si>
  <si>
    <t>MARINE TRANSPORTATION</t>
  </si>
  <si>
    <t>TR-MT-110a.1</t>
  </si>
  <si>
    <t>TR-MT-110a.2</t>
  </si>
  <si>
    <t>TR-MT-110a.3</t>
  </si>
  <si>
    <t>(1) Total energy consumed, (2) percentage heavy fuel oil, (3) percentage renewable</t>
  </si>
  <si>
    <t>TR-MT-110a.4</t>
  </si>
  <si>
    <t>TR-MT-120a.1</t>
  </si>
  <si>
    <t>TR-MT-160a.1</t>
  </si>
  <si>
    <t>Shipping duration in marine protected areas or areas of protected conservation status</t>
  </si>
  <si>
    <t>TR-MT-160a.2</t>
  </si>
  <si>
    <t>TR-MT-160a.3</t>
  </si>
  <si>
    <t>(1) Number and (2) aggregate volume of spills and releases to the environment</t>
  </si>
  <si>
    <t>TR-MT-320a.1</t>
  </si>
  <si>
    <t>Lost time incident rate (LTIR)</t>
  </si>
  <si>
    <t>TR-MT-510a.1</t>
  </si>
  <si>
    <t>Number of calls at ports in countries that have the 20 lowest rankings in Transparency International’s Corruption Perception Index</t>
  </si>
  <si>
    <t>TR-MT-510a.2</t>
  </si>
  <si>
    <t>TR-MT-540a.1</t>
  </si>
  <si>
    <t>TR-MT-540a.2</t>
  </si>
  <si>
    <t>TR-MT-540a.3</t>
  </si>
  <si>
    <t>MEAT, POULTRY &amp; DAIRY</t>
  </si>
  <si>
    <t>FB-MP-110a.1</t>
  </si>
  <si>
    <t>FB-MP-110a.2</t>
  </si>
  <si>
    <t>FB-MP-130a.1</t>
  </si>
  <si>
    <t>FB-MP-140a.1</t>
  </si>
  <si>
    <t>FB-MP-140a.2</t>
  </si>
  <si>
    <t>FB-MP-140a.3</t>
  </si>
  <si>
    <t>Number of incidents of non-compliance with water quality permits, standards, and regulations</t>
  </si>
  <si>
    <t>FB-MP-160a.1</t>
  </si>
  <si>
    <t>Amount of animal litter and manure generated, percentage managed according to a nutrient management plan</t>
  </si>
  <si>
    <t>FB-MP-160a.2</t>
  </si>
  <si>
    <t>Percentage of pasture and grazing land managed to Natural Resources Conservation Service (NRCS) conservation plan criteria</t>
  </si>
  <si>
    <t>FB-MP-160a.3</t>
  </si>
  <si>
    <t>Animal protein production from concentrated animal feeding operations (CAFOs)</t>
  </si>
  <si>
    <t>FB-MP-250a.1</t>
  </si>
  <si>
    <t>FB-MP-250a.2</t>
  </si>
  <si>
    <t>Percentage of supplier facilities certified to a Global Food Safety Initiative (GFSI) food safety certification program</t>
  </si>
  <si>
    <t>FB-MP-250a.3</t>
  </si>
  <si>
    <t>(1) Number of recalls issued and (2) total weight of products recalled</t>
  </si>
  <si>
    <t>FB-MP-250a.4</t>
  </si>
  <si>
    <t>Discussion of markets that ban imports of the entity’s products</t>
  </si>
  <si>
    <t>FB-MP-260a.1</t>
  </si>
  <si>
    <t>Percentage of animal production that received (1) medically important antibiotics and (2) not medically important antibiotics, by animal type</t>
  </si>
  <si>
    <t>FB-MP-320a.1</t>
  </si>
  <si>
    <t>FB-MP-320a.2</t>
  </si>
  <si>
    <t>Description of efforts to assess, monitor, and mitigate acute and chronic respiratory health conditions</t>
  </si>
  <si>
    <t>FB-MP-410a.1</t>
  </si>
  <si>
    <t>Percentage of pork produced without the use of gestation crates</t>
  </si>
  <si>
    <t>FB-MP-410a.2</t>
  </si>
  <si>
    <t>Percentage of cage-free shell egg sales</t>
  </si>
  <si>
    <t>FB-MP-410a.3</t>
  </si>
  <si>
    <t>Percentage of production certified to a third-party animal welfare standard</t>
  </si>
  <si>
    <t>FB-MP-430a.1</t>
  </si>
  <si>
    <t>Percentage of livestock from suppliers implementing the Natural Resources Conservation Service (NRCS) conservation plan criteria or the equivalent</t>
  </si>
  <si>
    <t>FB-MP-430a.2</t>
  </si>
  <si>
    <t>Percentage of supplier and contract production facilities verified to meet animal welfare standards</t>
  </si>
  <si>
    <t>FB-MP-440a.1</t>
  </si>
  <si>
    <t>Percentage of animal feed sourced from regions with High or Extremely High Baseline Water Stress</t>
  </si>
  <si>
    <t>FB-MP-440a.2</t>
  </si>
  <si>
    <t>Percentage of contracts with producers located in regions with High or Extremely High Baseline Water Stress</t>
  </si>
  <si>
    <t>FB-MP-440a.3</t>
  </si>
  <si>
    <t>Discussion of strategy to manage opportunities and risks to feed sourcing and livestock supply presented by climate change</t>
  </si>
  <si>
    <t>MEDIA &amp; ENTERTAINMENT</t>
  </si>
  <si>
    <t>SV-ME-260a.1</t>
  </si>
  <si>
    <t>SV-ME-260a.2</t>
  </si>
  <si>
    <t>Description of policies and procedures to ensuring pluralism in news media content</t>
  </si>
  <si>
    <t>SV-ME-270a.1</t>
  </si>
  <si>
    <t>Total amount of monetary losses as a result of legal proceedings associated with libel or slander</t>
  </si>
  <si>
    <t>SV-ME-270a.2</t>
  </si>
  <si>
    <t>Revenue from embedded advertising</t>
  </si>
  <si>
    <t>SV-ME-270a.3</t>
  </si>
  <si>
    <t>Description of approach for ensuring journalistic integrity of news programming related to: (1) truthfulness, accuracy, objectivity, fairness, and accountability, (2) independence of content and/or transparency of potential bias, and (3) protection of privacy and limitation of harm</t>
  </si>
  <si>
    <t>SV-ME-520a.1</t>
  </si>
  <si>
    <t>Description of approach to ensuring intellectual property (IP) protection</t>
  </si>
  <si>
    <t>MEDICAL EQUIPMENT &amp; SUPPLIES</t>
  </si>
  <si>
    <t>HC-MS-240a.1</t>
  </si>
  <si>
    <t>Ratio of weighted average rate of net price increases (for all products) to the annual increase in the U.S. Consumer Price Index</t>
  </si>
  <si>
    <t>HC-MS-240a.2</t>
  </si>
  <si>
    <t>Description of how price information for each product is disclosed to customers or to their agents</t>
  </si>
  <si>
    <t>HC-MS-250a.1</t>
  </si>
  <si>
    <t>HC-MS-250a.2</t>
  </si>
  <si>
    <t>List of products listed in the FDA’s MedWatch Safety Alerts for Human Medical Products database</t>
  </si>
  <si>
    <t>HC-MS-250a.3</t>
  </si>
  <si>
    <t>Number of fatalities related to products as reported in the FDA Manufacturer and User Facility Device Experiencedatabase</t>
  </si>
  <si>
    <t>HC-MS-250a.4</t>
  </si>
  <si>
    <t>HC-MS-270a.1</t>
  </si>
  <si>
    <t>HC-MS-270a.2</t>
  </si>
  <si>
    <t>HC-MS-410a.1</t>
  </si>
  <si>
    <t>Discussion of process to assess and manage environmental and human health considerations associated with chemicals in products, and meet demand for sustainable products</t>
  </si>
  <si>
    <t>HC-MS-410a.2</t>
  </si>
  <si>
    <t>Total amount of products accepted for take-back and reused, recycled, or donated, broken down by: (1) devices and equipment and (2) supplies</t>
  </si>
  <si>
    <t>HC-MS-430a.1</t>
  </si>
  <si>
    <t>Percentage of (1) entity's facilities and (2) Tier I suppliers' facilities participating in third-party audit programs for manufacturing and product quality</t>
  </si>
  <si>
    <t>HC-MS-430a.2</t>
  </si>
  <si>
    <t>Description of efforts to maintain traceability within the distribution chain</t>
  </si>
  <si>
    <t>HC-MS-430a.3</t>
  </si>
  <si>
    <t>HC-MS-510a.1</t>
  </si>
  <si>
    <t>HC-MS-510a.2</t>
  </si>
  <si>
    <t>METALS &amp; MINING</t>
  </si>
  <si>
    <t>EM-MM-110a.1</t>
  </si>
  <si>
    <t>EM-MM-110a.2</t>
  </si>
  <si>
    <t>EM-MM-120a.1</t>
  </si>
  <si>
    <t>Air emissions of the following pollutants: (1) CO, (2) NOx (excluding N2O), (3) SOx, (4) particulate matter (PM10), (5) mercury (Hg), (6) lead (Pb), and (7) volatile organic compounds (VOCs)</t>
  </si>
  <si>
    <t>EM-MM-130a.1</t>
  </si>
  <si>
    <t>EM-MM-140a.1</t>
  </si>
  <si>
    <t>(1) Total fresh water withdrawn, (2) total fresh water consumed, percentage of each in regions with High or Extremely High Baseline Water Stress</t>
  </si>
  <si>
    <t>EM-MM-140a.2</t>
  </si>
  <si>
    <t xml:space="preserve">2021 Update </t>
  </si>
  <si>
    <t>EM-MM-150a.10</t>
  </si>
  <si>
    <t>Description of waste and hazardous materials management policies and procedures for active and inactive operations</t>
  </si>
  <si>
    <t>EM-MM-150a.1</t>
  </si>
  <si>
    <t>Total weight of tailings waste, percentage recycled</t>
  </si>
  <si>
    <t>EM-MM-150a.4</t>
  </si>
  <si>
    <t>EM-MM-150a.2</t>
  </si>
  <si>
    <t>Total weight of mineral processing waste, percentage recycled</t>
  </si>
  <si>
    <t>EM-MM-150a.5</t>
  </si>
  <si>
    <t>EM-MM-150a.3</t>
  </si>
  <si>
    <t>Number of tailings impoundments, broken down by MSHA hazard potential</t>
  </si>
  <si>
    <t>EM-MM-150a.6</t>
  </si>
  <si>
    <t>EM-MM-150a.7</t>
  </si>
  <si>
    <t>EM-MM-150a.8</t>
  </si>
  <si>
    <t>EM-MM-150a.9</t>
  </si>
  <si>
    <t>Number of significant incidents associated with hazardous materials and waste management</t>
  </si>
  <si>
    <t>EM-MM-160a.1</t>
  </si>
  <si>
    <t>EM-MM-160a.2</t>
  </si>
  <si>
    <t>EM-MM-160a.3</t>
  </si>
  <si>
    <t>EM-MM-210a.1</t>
  </si>
  <si>
    <t>Percentage of (1) proved and (2) probable reserves in or near areas of conflict</t>
  </si>
  <si>
    <t>EM-MM-210a.2</t>
  </si>
  <si>
    <t>EM-MM-210a.3</t>
  </si>
  <si>
    <t>Discussion of engagement processes and due diligence practices with respect to human rights, indigenous rights, and operation in areas of conflict</t>
  </si>
  <si>
    <t>EM-MM-210b.1</t>
  </si>
  <si>
    <t>EM-MM-210b.2</t>
  </si>
  <si>
    <t>EM-MM-310a.1</t>
  </si>
  <si>
    <t>EM-MM-310a.2</t>
  </si>
  <si>
    <t>EM-MM-320a.1</t>
  </si>
  <si>
    <t>(1) MSHA all-incidence rate, (2) fatality rate, (3) near miss frequency rate (NMFR) and (4) average hours of health, safety, and emergency response training for (a) full-time employees and (b) contract employees</t>
  </si>
  <si>
    <t>EM-MM-510a.1</t>
  </si>
  <si>
    <t>Description of the management system for prevention of corruption and bribery throughout the value chain</t>
  </si>
  <si>
    <t>EM-MM-510a.2</t>
  </si>
  <si>
    <t>Production in countries that have the 20 lowest rankings in Transparency International’s Corruption Perception Index</t>
  </si>
  <si>
    <t>EM-MM-540a.1</t>
  </si>
  <si>
    <t>EM-MM-540a.2</t>
  </si>
  <si>
    <t>EM-MM-540a.3</t>
  </si>
  <si>
    <t>MORTGAGE FINANCE</t>
  </si>
  <si>
    <t>FN-MF-270a.1</t>
  </si>
  <si>
    <t>(1) Number and (2) value of residential mortgages of the following types: (a) Hybrid or Option Adjustable-rate Mortgages (ARM), (b) Prepayment Penalty, (c) Higher Rate, (d) Total, by FICO scores above or below 660</t>
  </si>
  <si>
    <t>FN-MF-270a.2</t>
  </si>
  <si>
    <t>(1) Number and (2) value of (a) residential mortgage modifications, (b) foreclosures, and (c) short sales or deeds in lieu of foreclosure, by FICO scores above and below 660</t>
  </si>
  <si>
    <t>FN-MF-270a.3</t>
  </si>
  <si>
    <t>Total amount of monetary losses as a result of legal proceedings associated with communications to customers or remuneration of loan originators</t>
  </si>
  <si>
    <t>FN-MF-270a.4</t>
  </si>
  <si>
    <t>Description of remuneration structure of loan originators</t>
  </si>
  <si>
    <t>FN-MF-270b.1</t>
  </si>
  <si>
    <t>(1) Number, (2) value, and (3) weighted average Loan-to-Value (LTV) ratio of mortgages issued to (a) minority and (b) all other borrowers, by FICO scores above and below 660</t>
  </si>
  <si>
    <t>FN-MF-270b.2</t>
  </si>
  <si>
    <t>Total amount of monetary losses as a result of legal proceedings associated with discriminatory mortgage lending</t>
  </si>
  <si>
    <t>FN-MF-270b.3</t>
  </si>
  <si>
    <t>Description of policies and procedures for ensuring nondiscriminatory mortgage origination</t>
  </si>
  <si>
    <t>FN-MF-450a.1</t>
  </si>
  <si>
    <t>(1) Number and (2) value of mortgage loans in 100-year flood zones</t>
  </si>
  <si>
    <t>FN-MF-450a.2</t>
  </si>
  <si>
    <t>(1) Total expected loss and (2) Loss Given Default (LGD) attributable to mortgage loan default and delinquency due to weather-related natural catastrophes, by geographic region</t>
  </si>
  <si>
    <t>FN-MF-450a.3</t>
  </si>
  <si>
    <t>Description of how climate change and other environmental risks are incorporated into mortgage origination and underwriting</t>
  </si>
  <si>
    <t>MULTILINE AND SPECIALTY RETAILERS &amp; DISTRIBUTORS</t>
  </si>
  <si>
    <t>CG-MR-130a.1</t>
  </si>
  <si>
    <t>CG-MR-230a.1</t>
  </si>
  <si>
    <t>CG-MR-230a.2</t>
  </si>
  <si>
    <t>CG-MR-310a.1</t>
  </si>
  <si>
    <t>(1) Average hourly wage and (2) percentage of in-store employees earning minimum wage, by region</t>
  </si>
  <si>
    <t>CG-MR-310a.2</t>
  </si>
  <si>
    <t>(1) Voluntary and (2) involuntary turnover rate for in-store employees</t>
  </si>
  <si>
    <t>CG-MR-310a.3</t>
  </si>
  <si>
    <t>CG-MR-330a.1</t>
  </si>
  <si>
    <t>Percentage of gender and racial/ethnic group representation for (1) management and (2) all other employees</t>
  </si>
  <si>
    <t>CG-MR-330a.2</t>
  </si>
  <si>
    <t>Total amount of monetary losses as a result of legal proceedings associated with employment discrimination</t>
  </si>
  <si>
    <t>CG-MR-410a.1</t>
  </si>
  <si>
    <t>Revenue from products third-party certified to environmental and/or social sustainability standards</t>
  </si>
  <si>
    <t>CG-MR-410a.2</t>
  </si>
  <si>
    <t>CG-MR-410a.3</t>
  </si>
  <si>
    <t>NON-ALCOHOLIC BEVERAGES</t>
  </si>
  <si>
    <t>FB-NB-110a.1</t>
  </si>
  <si>
    <t>FB-NB-130a.1</t>
  </si>
  <si>
    <t>FB-NB-140a.1</t>
  </si>
  <si>
    <t>FB-NB-140a.2</t>
  </si>
  <si>
    <t>FB-NB-260a.1</t>
  </si>
  <si>
    <t>Revenue from (1) zero- and low-calorie, (2) no-added-sugar, and (3) artificially sweetened beverages</t>
  </si>
  <si>
    <t>FB-NB-260a.2</t>
  </si>
  <si>
    <t>FB-NB-270a.1</t>
  </si>
  <si>
    <t>Percentage of advertising impressions (1) made on children and (2) made on children promoting products that meet dietary guidelines</t>
  </si>
  <si>
    <t>FB-NB-270a.2</t>
  </si>
  <si>
    <t>FB-NB-270a.3</t>
  </si>
  <si>
    <t>FB-NB-270a.4</t>
  </si>
  <si>
    <t>FB-NB-410a.1</t>
  </si>
  <si>
    <t>FB-NB-410a.2</t>
  </si>
  <si>
    <t>FB-NB-430a.1</t>
  </si>
  <si>
    <t>FB-NB-440a.1</t>
  </si>
  <si>
    <t>FB-NB-440a.2</t>
  </si>
  <si>
    <t>OIL &amp; GAS – EXPLORATION &amp; PRODUCTION</t>
  </si>
  <si>
    <t>EM-EP-110a.1</t>
  </si>
  <si>
    <t>Gross global Scope 1 emissions, percentage methane, percentage covered under emissions-limiting regulations</t>
  </si>
  <si>
    <t>EM-EP-110a.2</t>
  </si>
  <si>
    <t>Amount of gross global Scope 1 emissions from: (1) flared hydrocarbons, (2) other combustion, (3) process emissions, (4) other vented emissions, and (5) fugitive emissions</t>
  </si>
  <si>
    <t>EM-EP-110a.3</t>
  </si>
  <si>
    <t>EM-EP-120a.1</t>
  </si>
  <si>
    <t>Air emissions of the following pollutants: (1) NOx (excluding N2O), (2) SOx, (3) volatile organic compounds (VOCs), and (4) particulate matter (PM10)</t>
  </si>
  <si>
    <t>EM-EP-140a.1</t>
  </si>
  <si>
    <t>EM-EP-140a.2</t>
  </si>
  <si>
    <t>Volume of produced water and flowback generated; percentage (1) discharged, (2) injected, (3) recycled; hydrocarbon content in discharged water</t>
  </si>
  <si>
    <t>EM-EP-140a.3</t>
  </si>
  <si>
    <t>Percentage of hydraulically fractured wells for which there is public disclosure of all fracturing fluid chemicals used</t>
  </si>
  <si>
    <t>EM-EP-140a.4</t>
  </si>
  <si>
    <t>Percentage of hydraulic fracturing sites where ground or surface water quality deteriorated compared to a baseline</t>
  </si>
  <si>
    <t>EM-EP-160a.1</t>
  </si>
  <si>
    <t>EM-EP-160a.2</t>
  </si>
  <si>
    <t>Number and aggregate volume of hydrocarbon spills, volume in Arctic, volume impacting shorelines with ESI rankings 8-10, and volume recovered</t>
  </si>
  <si>
    <t>EM-EP-160a.3</t>
  </si>
  <si>
    <t>EM-EP-210a.1</t>
  </si>
  <si>
    <t>EM-EP-210a.2</t>
  </si>
  <si>
    <t>EM-EP-210a.3</t>
  </si>
  <si>
    <t>EM-EP-210b.1</t>
  </si>
  <si>
    <t>EM-EP-210b.2</t>
  </si>
  <si>
    <t>EM-EP-320a.1</t>
  </si>
  <si>
    <t>(1) Total recordable incident rate (TRIR), (2) fatality rate, (3) near miss frequency rate (NMFR), and (4) average hours of health, safety, and emergency response training for (a) full-time employees, (b) contract employees, and (c) short-service employees</t>
  </si>
  <si>
    <t>EM-EP-320a.2</t>
  </si>
  <si>
    <t>Discussion of management systems used to integrate a culture of safety throughout the exploration and production lifecycle</t>
  </si>
  <si>
    <t>EM-EP-420a.1</t>
  </si>
  <si>
    <t>Sensitivity of hydrocarbon reserve levels to future price projection scenarios that account for a price on carbon emissions</t>
  </si>
  <si>
    <t>EM-EP-420a.2</t>
  </si>
  <si>
    <t>Estimated carbon dioxide emissions embedded in proved hydrocarbon reserves</t>
  </si>
  <si>
    <t>EM-EP-420a.3</t>
  </si>
  <si>
    <t>Amount invested in renewable energy, revenue generated by renewable energy sales</t>
  </si>
  <si>
    <t>EM-EP-420a.4</t>
  </si>
  <si>
    <t>Discussion of how price and demand for hydrocarbons and/or climate regulation influence the capital expenditure strategy for exploration, acquisition, and development of assets</t>
  </si>
  <si>
    <t>EM-EP-510a.1</t>
  </si>
  <si>
    <t>Percentage of (1) proved and (2) probable reserves in countries that have the 20 lowest rankings in Transparency International’s Corruption Perception Index</t>
  </si>
  <si>
    <t>EM-EP-510a.2</t>
  </si>
  <si>
    <t>EM-EP-530a.1</t>
  </si>
  <si>
    <t>EM-EP-540a.1</t>
  </si>
  <si>
    <t>Process Safety Event (PSE) rates for Loss of Primary Containment (LOPC) of greater consequence (Tier 1)</t>
  </si>
  <si>
    <t>EM-EP-540a.2</t>
  </si>
  <si>
    <t>Description of management systems used to identify and mitigate catastrophic and tail-end risks</t>
  </si>
  <si>
    <t>OIL &amp; GAS – MIDSTREAM</t>
  </si>
  <si>
    <t>EM-MD-110a.1</t>
  </si>
  <si>
    <t>EM-MD-110a.2</t>
  </si>
  <si>
    <t>EM-MD-120a.1</t>
  </si>
  <si>
    <t>EM-MD-160a.1</t>
  </si>
  <si>
    <t>Description of environmental management policies and practices for active operations</t>
  </si>
  <si>
    <t>EM-MD-160a.2</t>
  </si>
  <si>
    <t>Percentage of land owned, leased, and/or operated within areas of protected conservation status or endangered species habitat</t>
  </si>
  <si>
    <t>EM-MD-160a.3</t>
  </si>
  <si>
    <t>EM-MD-160a.4</t>
  </si>
  <si>
    <t>Number and aggregate volume of hydrocarbon spills, volume in Arctic, volume in Unusually Sensitive Areas (USAs), and volume recovered</t>
  </si>
  <si>
    <t>EM-MD-520a.1</t>
  </si>
  <si>
    <t>Total amount of monetary losses as a result of legal proceedings associated with federal pipeline and storage regulations</t>
  </si>
  <si>
    <t>EM-MD-540a.1</t>
  </si>
  <si>
    <t>Number of reportable pipeline incidents, percentage significant</t>
  </si>
  <si>
    <t>EM-MD-540a.2</t>
  </si>
  <si>
    <t>Percentage of (1) natural gas and (2) hazardous liquid pipelines inspected</t>
  </si>
  <si>
    <t>EM-MD-540a.3</t>
  </si>
  <si>
    <t>Number of (1) accident releases and (2) non-accident releases (NARs) from rail transportation</t>
  </si>
  <si>
    <t>EM-MD-540a.4</t>
  </si>
  <si>
    <t>Discussion of management systems used to integrate a culture of safety and emergency preparedness throughout the value chain and throughout project lifecycles</t>
  </si>
  <si>
    <t>OIL &amp; GAS – REFINING &amp; MARKETING</t>
  </si>
  <si>
    <t>EM-RM-110a.1</t>
  </si>
  <si>
    <t>EM-RM-110a.2</t>
  </si>
  <si>
    <t>EM-RM-120a.1</t>
  </si>
  <si>
    <t>Air emissions of the following pollutants: (1) NOx (excluding N2O), (2) SOx, (3) particulate matter (PM10), (4) H2S, and (5) volatile organic compounds (VOCs)</t>
  </si>
  <si>
    <t>EM-RM-120a.2</t>
  </si>
  <si>
    <t>Number of refineries in or near areas of dense population</t>
  </si>
  <si>
    <t>EM-RM-140a.1</t>
  </si>
  <si>
    <t>EM-RM-140a.2</t>
  </si>
  <si>
    <t>EM-RM-150a.1</t>
  </si>
  <si>
    <t>EM-RM-150a.2</t>
  </si>
  <si>
    <t>(1) Number of underground storage tanks (USTs), (2) number of UST releases requiring cleanup, and (3) percentage in states with UST financial assurance funds</t>
  </si>
  <si>
    <t>EM-RM-320a.1</t>
  </si>
  <si>
    <t>EM-RM-320a.2</t>
  </si>
  <si>
    <t>Discussion of management systems used to integrate a culture of safety</t>
  </si>
  <si>
    <t>EM-RM-410a.1</t>
  </si>
  <si>
    <t>Percentage of Renewable Volume Obligation (RVO) met through: (1) production of renewable fuels, (2) purchase of “separated” renewable identification numbers (RIN)</t>
  </si>
  <si>
    <t>EM-RM-410a.2</t>
  </si>
  <si>
    <t>Total addressable market and share of market for advanced biofuels and associated infrastructure</t>
  </si>
  <si>
    <t>EM-RM-520a.1</t>
  </si>
  <si>
    <t>Total amount of monetary losses as a result of legal proceedings associated with price fixing or price manipulation</t>
  </si>
  <si>
    <t>EM-RM-530a.1</t>
  </si>
  <si>
    <t>EM-RM-540a.1</t>
  </si>
  <si>
    <t>Process Safety Event (PSE) rates for Loss of Primary Containment (LOPC) of greater consequence (Tier 1) and lesser consequence (Tier 2)</t>
  </si>
  <si>
    <t>EM-RM-540a.2</t>
  </si>
  <si>
    <t>Challenges to Safety Systems indicator rate (Tier 3)</t>
  </si>
  <si>
    <t>EM-RM-540a.3</t>
  </si>
  <si>
    <t>Discussion of measurement of Operating Discipline and Management System Performance through Tier 4 Indicators</t>
  </si>
  <si>
    <t>OIL &amp; GAS – SERVICES</t>
  </si>
  <si>
    <t>EM-SV-110a.1</t>
  </si>
  <si>
    <t>Total fuel consumed, percentage renewable, percentage used in: (1) on-road equipment and vehicles and (2) off-road equipment</t>
  </si>
  <si>
    <t>EM-SV-110a.2</t>
  </si>
  <si>
    <t>Discussion of strategy or plans to address air emissions-related risks, opportunities, and impacts</t>
  </si>
  <si>
    <t>EM-SV-110a.3</t>
  </si>
  <si>
    <t>Percentage of engines in service that meet Tier 4 compliance for non-road diesel engine emissions</t>
  </si>
  <si>
    <t>EM-SV-140a.1</t>
  </si>
  <si>
    <t>(1) Total volume of fresh water handled in operations, (2) percentage recycled</t>
  </si>
  <si>
    <t>EM-SV-140a.2</t>
  </si>
  <si>
    <t>Discussion of strategy or plans to address water consumption and disposal-related risks, opportunities, and impacts</t>
  </si>
  <si>
    <t>EM-SV-150a.1</t>
  </si>
  <si>
    <t>Volume of hydraulic fracturing fluid used, percentage hazardous</t>
  </si>
  <si>
    <t>EM-SV-150a.2</t>
  </si>
  <si>
    <t>Discussion of strategy or plans to address chemical-related risks, opportunities, and impacts</t>
  </si>
  <si>
    <t>EM-SV-160a.1</t>
  </si>
  <si>
    <t>Average disturbed acreage per (1) oil and (2) gas well site</t>
  </si>
  <si>
    <t>EM-SV-160a.2</t>
  </si>
  <si>
    <t>Discussion of strategy or plan to address risks and opportunities related to ecological impacts from core activities</t>
  </si>
  <si>
    <t>EM-SV-320a.1</t>
  </si>
  <si>
    <t>(1) Total recordable incident rate (TRIR), (2) fatality rate, (3) near miss frequency rate (NMFR), (4) total vehicle incident rate (TVIR), and (5) average hours of health, safety, and emergency response training for (a) full-time employees, (b) contract employees, and (c) short-service employees</t>
  </si>
  <si>
    <t>EM-SV-320a.2</t>
  </si>
  <si>
    <t>Description of management systems used to integrate a culture of safety throughout the value chain and project lifecycle</t>
  </si>
  <si>
    <t>EM-SV-510a.1</t>
  </si>
  <si>
    <t>Amount of net revenue in countries that have the 20 lowest rankings in Transparency International’s Corruption Perception Index</t>
  </si>
  <si>
    <t>EM-SV-510a.2</t>
  </si>
  <si>
    <t>EM-SV-530a.1</t>
  </si>
  <si>
    <t>EM-SV-540a.1</t>
  </si>
  <si>
    <t>PROCESSED FOODS</t>
  </si>
  <si>
    <t>FB-PF-130a.1</t>
  </si>
  <si>
    <t>FB-PF-140a.1</t>
  </si>
  <si>
    <t>FB-PF-140a.2</t>
  </si>
  <si>
    <t>FB-PF-140a.3</t>
  </si>
  <si>
    <t>FB-PF-250a.1</t>
  </si>
  <si>
    <t>FB-PF-250a.2</t>
  </si>
  <si>
    <t>Percentage of ingredients sourced from Tier 1 supplier facilities certified to a Global Food Safety Initiative (GFSI) recognized food safety certification program</t>
  </si>
  <si>
    <t>FB-PF-250a.3</t>
  </si>
  <si>
    <t>(1) Total number of notices of food safety violation received, (2) percentage corrected</t>
  </si>
  <si>
    <t>FB-PF-250a.4</t>
  </si>
  <si>
    <t>FB-PF-260a.1</t>
  </si>
  <si>
    <t>FB-PF-260a.2</t>
  </si>
  <si>
    <t>FB-PF-270a.1</t>
  </si>
  <si>
    <t>FB-PF-270a.2</t>
  </si>
  <si>
    <t>FB-PF-270a.3</t>
  </si>
  <si>
    <t>FB-PF-270a.4</t>
  </si>
  <si>
    <t>Total amount of monetary losses as a result of legal proceedings associated with labeling and/or marketing practices</t>
  </si>
  <si>
    <t>FB-PF-410a.1</t>
  </si>
  <si>
    <t>FB-PF-410a.2</t>
  </si>
  <si>
    <t>FB-PF-430a.1</t>
  </si>
  <si>
    <t>Percentage of food ingredients sourced from regions with High or Extremely High Baseline Water Stress</t>
  </si>
  <si>
    <t>FB-PF-430a.2</t>
  </si>
  <si>
    <t>FB-PF-440a.1</t>
  </si>
  <si>
    <t>Percentage of food ingredients sourced that are certified to third-party environmental and/or social standards, and percentages by standard</t>
  </si>
  <si>
    <t>FB-PF-440a.2</t>
  </si>
  <si>
    <t>List of priority food ingredients and discussion of sourcing risks due to environmental and social considerations</t>
  </si>
  <si>
    <t>PROFESSIONAL &amp; COMMERCIAL</t>
  </si>
  <si>
    <t>SV-PS-230a.1</t>
  </si>
  <si>
    <t>SV-PS-230a.2</t>
  </si>
  <si>
    <t>Description of policies and practices relating to collection, usage, and retention of customer information</t>
  </si>
  <si>
    <t>SV-PS-230a.3</t>
  </si>
  <si>
    <t>(1) Number of data breaches, (2) percentage involving customers' confidential business information (CBI) or personally identifiable information (PII), (3) number of customers affected</t>
  </si>
  <si>
    <t>SV-PS-330a.1</t>
  </si>
  <si>
    <t>Percentage of gender and racial/ethnic group representation for (1) executive management and (2) all other employees</t>
  </si>
  <si>
    <t>SV-PS-330a.2</t>
  </si>
  <si>
    <t>(1) Voluntary and (2) involuntary turnover rate for employees</t>
  </si>
  <si>
    <t>SV-PS-330a.3</t>
  </si>
  <si>
    <t>SV-PS-510a.1</t>
  </si>
  <si>
    <t>Description of approach to ensuring professional integrity</t>
  </si>
  <si>
    <t>SV-PS-510a.2</t>
  </si>
  <si>
    <t>Total amount of monetary losses as a result of legal proceedings associated with professional integrity</t>
  </si>
  <si>
    <t>PULP &amp; PAPER PRODUCTS</t>
  </si>
  <si>
    <t>RR-PP-110a.1</t>
  </si>
  <si>
    <t>RR-PP-110a.2</t>
  </si>
  <si>
    <t>RR-PP-120a.1</t>
  </si>
  <si>
    <t>Air emissions of the following pollutants: (1) NOx (excluding N2O), (2) SO2, (3) volatile organic compounds (VOCs), (4) particulate matter (PM), and (5) hazardous air pollutants (HAPs)</t>
  </si>
  <si>
    <t>RR-PP-130a.1</t>
  </si>
  <si>
    <t>(1) Total energy consumed, (2) percentage grid electricity, (3) percentage from biomass, (4) percentage from other renewable energy, (5) total self-generated energy</t>
  </si>
  <si>
    <t>RR-PP-140a.1</t>
  </si>
  <si>
    <t>RR-PP-140a.2</t>
  </si>
  <si>
    <t>RR-PP-430a.1</t>
  </si>
  <si>
    <t>Percentage of wood fiber sourced from (1) third-party certified forestlands and percentage to each standard and (2) meeting other fiber sourcing standards and percentage to each standard</t>
  </si>
  <si>
    <t>RR-PP-430a.2</t>
  </si>
  <si>
    <t>Amount of recycled and recovered fiber procured</t>
  </si>
  <si>
    <t>RAIL TRANSPORTATION</t>
  </si>
  <si>
    <t>TR-RA-110a.1</t>
  </si>
  <si>
    <t>TR-RA-110a.2</t>
  </si>
  <si>
    <t>TR-RA-110a.3</t>
  </si>
  <si>
    <t>Total fuel consumed, percentage renewable</t>
  </si>
  <si>
    <t>TR-RA-120a.1</t>
  </si>
  <si>
    <t>Air emissions of the following pollutants: (1) NOx (excluding N2O) and (2) particulate matter (PM10)</t>
  </si>
  <si>
    <t>TR-RA-320a.1</t>
  </si>
  <si>
    <t>TR-RA-520a.1</t>
  </si>
  <si>
    <t>TR-RA-540a.1</t>
  </si>
  <si>
    <t>Number of accidents and incidents</t>
  </si>
  <si>
    <t>TR-RA-540a.2</t>
  </si>
  <si>
    <t>Number of (1) accident releases and (2) non-accident releases (NARs)</t>
  </si>
  <si>
    <t>TR-RA-540a.3</t>
  </si>
  <si>
    <t>Number of Federal Railroad Administration (FRA) Recommended Violation Defects</t>
  </si>
  <si>
    <t>TR-RA-540a.4</t>
  </si>
  <si>
    <t>Frequency of internal railway integrity inspections</t>
  </si>
  <si>
    <t>REAL ESTATE</t>
  </si>
  <si>
    <t>IF-RE-130a.1</t>
  </si>
  <si>
    <t>Energy consumption data coverage as a percentage of total floor area, by property subsector</t>
  </si>
  <si>
    <t>IF-RE-130a.2</t>
  </si>
  <si>
    <t>(1) Total energy consumed by portfolio area with data coverage, (2) percentage grid electricity, and (3) percentage renewable, by property subsector</t>
  </si>
  <si>
    <t>IF-RE-130a.3</t>
  </si>
  <si>
    <t>Like-for-like percentage change in energy consumption for the portfolio area with data coverage, by property subsector</t>
  </si>
  <si>
    <t>IF-RE-130a.4</t>
  </si>
  <si>
    <t>Percentage of eligible portfolio that (1) has an energy rating and (2) is certified to ENERGY STAR, by property subsector</t>
  </si>
  <si>
    <t>IF-RE-130a.5</t>
  </si>
  <si>
    <t>Description of how building energy management considerations are integrated into property investment analysis and operational strategy</t>
  </si>
  <si>
    <t>IF-RE-140a.1</t>
  </si>
  <si>
    <t>Water withdrawal data coverage as a percentage of (1) total floor area and (2) floor area in regions with High or Extremely High Baseline Water Stress, by property subsector</t>
  </si>
  <si>
    <t>IF-RE-140a.2</t>
  </si>
  <si>
    <t>(1) Total water withdrawn by portfolio area with data coverage and (2) percentage in regions with High or Extremely High Baseline Water Stress, by property subsector</t>
  </si>
  <si>
    <t>IF-RE-140a.3</t>
  </si>
  <si>
    <t>Like-for-like percentage change in water withdrawn for portfolio area with data coverage, by property subsector</t>
  </si>
  <si>
    <t>IF-RE-140a.4</t>
  </si>
  <si>
    <t>IF-RE-410a.1</t>
  </si>
  <si>
    <t>(1) Percentage of new leases that contain a cost recovery clause for resource efficiency-related capital improvements and (2) associated leased floor area, by property subsector</t>
  </si>
  <si>
    <t>IF-RE-410a.2</t>
  </si>
  <si>
    <t>Percentage of tenants that are separately metered or submetered for (1) grid electricity consumption and (2) water withdrawals, by property subsector</t>
  </si>
  <si>
    <t>IF-RE-410a.3</t>
  </si>
  <si>
    <t>Discussion of approach to measuring, incentivizing, and improving sustainability impacts of tenants</t>
  </si>
  <si>
    <t>IF-RE-450a.1</t>
  </si>
  <si>
    <t>Area of properties located in 100-year flood zones, by property subsector</t>
  </si>
  <si>
    <t>IF-RE-450a.2</t>
  </si>
  <si>
    <t>REAL ESTATE SERVICES</t>
  </si>
  <si>
    <t>IF-RS-410a.1</t>
  </si>
  <si>
    <t>Revenue from energy and sustainability services</t>
  </si>
  <si>
    <t>IF-RS-410a.2</t>
  </si>
  <si>
    <t>(1) Floor area and (2) number of buildings under management provided with energy and sustainability services</t>
  </si>
  <si>
    <t>IF-RS-410a.3</t>
  </si>
  <si>
    <t>(1) Floor area and (2) number of buildings under management that obtained an energy rating</t>
  </si>
  <si>
    <t>IF-RS-510a.1</t>
  </si>
  <si>
    <t>Brokerage revenue from dual agency transactions</t>
  </si>
  <si>
    <t>Revenue from transactions associated with appraisal services</t>
  </si>
  <si>
    <t>IF-RS-510a.3</t>
  </si>
  <si>
    <t>RESTAURANTS</t>
  </si>
  <si>
    <t>FB-RN-130a.1</t>
  </si>
  <si>
    <t>FB-RN-140a.1</t>
  </si>
  <si>
    <t>FB-RN-150a.1</t>
  </si>
  <si>
    <t>(1) Total amount of waste, (2) percentage food waste, and (3) percentage diverted</t>
  </si>
  <si>
    <t>FB-RN-150a.2</t>
  </si>
  <si>
    <t>FB-RN-250a.1</t>
  </si>
  <si>
    <t>(1) Percentage of restaurants inspected by a food safety oversight body, (2) percentage receiving critical violations</t>
  </si>
  <si>
    <t>FB-RN-250a.2</t>
  </si>
  <si>
    <t>FB-RN-250a.3</t>
  </si>
  <si>
    <t>Number of confirmed foodborne illness outbreaks, percentage resulting in U.S. Centers for Disease Control and Prevention (CDC) investigation</t>
  </si>
  <si>
    <t>FB-RN-260a.1</t>
  </si>
  <si>
    <t>(1) Percentage of meal options consistent with national dietary guidelines and (2) revenue from these options</t>
  </si>
  <si>
    <t>FB-RN-260a.2</t>
  </si>
  <si>
    <t>(1) Percentage of children’s meal options consistent with national dietary guidelines for children and (2) revenue from these options</t>
  </si>
  <si>
    <t>FB-RN-260a.3</t>
  </si>
  <si>
    <t>Number of advertising impressions made on children, percentage promoting products that meet national dietary guidelines for children</t>
  </si>
  <si>
    <t>FB-RN-310a.1</t>
  </si>
  <si>
    <t>(1) Voluntary and (2) involuntary turnover rate for restaurant employees</t>
  </si>
  <si>
    <t>FB-RN-310a.2</t>
  </si>
  <si>
    <t>(1) Average hourly wage, by region and (2) percentage of restaurant employees earning minimum wage, by region</t>
  </si>
  <si>
    <t>FB-RN-310a.3</t>
  </si>
  <si>
    <t>Total amount of monetary losses as a result of legal proceedings associated with (1) labor law violations and (2) employment discrimination</t>
  </si>
  <si>
    <t>FB-RN-430a.1</t>
  </si>
  <si>
    <t>Percentage of food purchased that (1) meets environmental and social sourcing standards and (2) is certified to third-party environmental and/or social standards</t>
  </si>
  <si>
    <t>FB-RN-430a.2</t>
  </si>
  <si>
    <t>Percentage of (1) eggs that originated from a cage-free environment and (2) pork that was produced without the use of gestation crates</t>
  </si>
  <si>
    <t>FB-RN-430a.3</t>
  </si>
  <si>
    <t>ROAD TRANSPORTATION</t>
  </si>
  <si>
    <t>TR-RO-110a.1</t>
  </si>
  <si>
    <t>TR-RO-110a.2</t>
  </si>
  <si>
    <t>TR-RO-110a.3</t>
  </si>
  <si>
    <t>(1) Total fuel consumed, (2) percentage natural gas, (3) percentage renewable</t>
  </si>
  <si>
    <t>TR-RO-120a.1</t>
  </si>
  <si>
    <t>TR-RO-320a.1</t>
  </si>
  <si>
    <t>TR-RO-320a.2</t>
  </si>
  <si>
    <t>TR-RO-320a.3</t>
  </si>
  <si>
    <t>Description of approach to managing short-term and long-term driver health risks</t>
  </si>
  <si>
    <t>TR-RO-540a.1</t>
  </si>
  <si>
    <t>TR-RO-540a.2</t>
  </si>
  <si>
    <t>TR-RO-540a.3</t>
  </si>
  <si>
    <t>SECURITY &amp; COMMODITY EXCHANGES</t>
  </si>
  <si>
    <t>(1) Number of significant market disruptions and (2) duration of downtime</t>
  </si>
  <si>
    <t>Description of efforts to prevent technology errors, security breaches, and market disruptions</t>
  </si>
  <si>
    <t>Discussion of processes for identifying and assessing conflicts of interest</t>
  </si>
  <si>
    <t>(1) Number and (2) average duration of (a) halts related to public release of information and (b) pauses related to volatility</t>
  </si>
  <si>
    <t>Percentage of trades generated from automated trading systems</t>
  </si>
  <si>
    <t>Description of alert policy regarding timing and nature of public release of information</t>
  </si>
  <si>
    <t>Description of policy to encourage or require listed companies to publicly disclose environmental, social, and governance (ESG) information</t>
  </si>
  <si>
    <t>SEMICONDUCTORS</t>
  </si>
  <si>
    <t>TC-SC-110a.1</t>
  </si>
  <si>
    <t>(1) Gross global Scope 1 emissions and (2) amount of total emissions from perfluorinated compounds</t>
  </si>
  <si>
    <t>TC-SC-110a.2</t>
  </si>
  <si>
    <t>TC-SC-130a.1</t>
  </si>
  <si>
    <t>TC-SC-140a.1</t>
  </si>
  <si>
    <t>TC-SC-150a.1</t>
  </si>
  <si>
    <t>TC-SC-320a.1</t>
  </si>
  <si>
    <t>Description of efforts to assess, monitor, and reduce exposure of employees to human health hazards</t>
  </si>
  <si>
    <t>TC-SC-320a.2</t>
  </si>
  <si>
    <t>Total amount of monetary losses as a result of legal proceedings associated with employee health and safety violations</t>
  </si>
  <si>
    <t>TC-SC-330a.1</t>
  </si>
  <si>
    <t>Percentage of employees that are (1) foreign nationals and (2) located offshore</t>
  </si>
  <si>
    <t>TC-SC-410a.1</t>
  </si>
  <si>
    <t>TC-SC-410a.2</t>
  </si>
  <si>
    <t>Processor energy efficiency at a system-level for: (1) servers, (2) desktops, and (3) laptops</t>
  </si>
  <si>
    <t>TC-SC-440a.1</t>
  </si>
  <si>
    <t>TC-SC-520a.1</t>
  </si>
  <si>
    <t>SOFTWARE &amp; IT SERVICES</t>
  </si>
  <si>
    <t>TC-SI-130a.1</t>
  </si>
  <si>
    <t>TC-SI-130a.2</t>
  </si>
  <si>
    <t>TC-SI-130a.3</t>
  </si>
  <si>
    <t>TC-SI-220a.1</t>
  </si>
  <si>
    <t>TC-SI-220a.2</t>
  </si>
  <si>
    <t>TC-SI-220a.3</t>
  </si>
  <si>
    <t>TC-SI-220a.4</t>
  </si>
  <si>
    <t>TC-SI-220a.5</t>
  </si>
  <si>
    <t>TC-SI-230a.1</t>
  </si>
  <si>
    <t>TC-SI-230a.2</t>
  </si>
  <si>
    <t>TC-SI-330a.1</t>
  </si>
  <si>
    <t>TC-SI-330a.2</t>
  </si>
  <si>
    <t>TC-SI-330a.3</t>
  </si>
  <si>
    <t>TC-SI-520a.1</t>
  </si>
  <si>
    <t>TC-SI-550a.1</t>
  </si>
  <si>
    <t>Number of (1) performance issues and (2) service disruptions; (3) total customer downtime</t>
  </si>
  <si>
    <t>TC-SI-550a.2</t>
  </si>
  <si>
    <t>Description of business continuity risks related to disruptions of operations</t>
  </si>
  <si>
    <t>SOLAR TECHNOLOGY &amp; PROJECT DEVELOPERS</t>
  </si>
  <si>
    <t>RR-ST-130a.1</t>
  </si>
  <si>
    <t>RR-ST-140a.1</t>
  </si>
  <si>
    <t>RR-ST-140a.2</t>
  </si>
  <si>
    <t>RR-ST-150a.1</t>
  </si>
  <si>
    <t>RR-ST-150a.2</t>
  </si>
  <si>
    <t>RR-ST-160a.1</t>
  </si>
  <si>
    <t>Number and duration of project delays related to ecological impacts</t>
  </si>
  <si>
    <t>RR-ST-160a.2</t>
  </si>
  <si>
    <t>Description of efforts in solar energy system project development to address community and ecological impacts</t>
  </si>
  <si>
    <t>RR-ST-410a.1</t>
  </si>
  <si>
    <t>Description of risks associated with integration of solar energy into existing energy infrastructure and discussion of efforts to manage those risks</t>
  </si>
  <si>
    <t>RR-ST-410a.2</t>
  </si>
  <si>
    <t>Description of risks and opportunities associated with energy policy and its impact on the integration of solar energy into existing energy infrastructure</t>
  </si>
  <si>
    <t>RR-ST-410b.1</t>
  </si>
  <si>
    <t>RR-ST-410b.2</t>
  </si>
  <si>
    <t>RR-ST-410b.3</t>
  </si>
  <si>
    <t>Percentage of products by revenue that contain IEC 62474 declarable substances, arsenic compounds, antimony compounds, or beryllium compounds</t>
  </si>
  <si>
    <t>RR-ST-410b.4</t>
  </si>
  <si>
    <t>Description of approach and strategies to design products for high-value recycling</t>
  </si>
  <si>
    <t>RR-ST-440a.1</t>
  </si>
  <si>
    <t>RR-ST-440a.2</t>
  </si>
  <si>
    <t>Description of the management of environmental risks associated with the polysilicon supply chain</t>
  </si>
  <si>
    <t>TELECOMMUNICATION SERVICES</t>
  </si>
  <si>
    <t>TC-TL-130a.1</t>
  </si>
  <si>
    <t>TC-TL-220a.1</t>
  </si>
  <si>
    <t>Description of policies and practices relating to behavioral advertising and customer privacy</t>
  </si>
  <si>
    <t>TC-TL-220a.2</t>
  </si>
  <si>
    <t>Number of customers whose information is used for secondary purposes</t>
  </si>
  <si>
    <t>TC-TL-220a.3</t>
  </si>
  <si>
    <t>TC-TL-220a.4</t>
  </si>
  <si>
    <t>(1) Number of law enforcement requests for customer information, (2) number of customers whose information was requested, (3) percentage resulting in disclosure</t>
  </si>
  <si>
    <t>TC-TL-230a.1</t>
  </si>
  <si>
    <t>TC-TL-230a.2</t>
  </si>
  <si>
    <t>TC-TL-440a.1</t>
  </si>
  <si>
    <t>(1) Materials recovered through take back programs, percentage of recovered materials that were (2) reused, (3) recycled, and (4) landfilled</t>
  </si>
  <si>
    <t>TC-TL-520a.1</t>
  </si>
  <si>
    <t>TC-TL-520a.2</t>
  </si>
  <si>
    <t>Average actual sustained download speed of (1) owned and commercially-associated content and (2) non-associated content</t>
  </si>
  <si>
    <t>TC-TL-520a.3</t>
  </si>
  <si>
    <t>Description of risks and opportunities associated with net neutrality, paid peering, zero rating, and related practices</t>
  </si>
  <si>
    <t>TC-TL-550a.1</t>
  </si>
  <si>
    <t>(1) System average interruption frequency and (2) customer average interruption duration</t>
  </si>
  <si>
    <t>TC-TL-550a.2</t>
  </si>
  <si>
    <t>Discussion of systems to provide unimpeded service during service interruptions</t>
  </si>
  <si>
    <t>TOBACCO</t>
  </si>
  <si>
    <t>FB-TB-260a.1</t>
  </si>
  <si>
    <t>(1) Gross revenue and (2) revenue net of excise taxes from (a) non-tobacco nicotine products and (b) heated tobacco products</t>
  </si>
  <si>
    <t>FB-TB-260a.2</t>
  </si>
  <si>
    <t>Discussion of the process to assess risks and opportunities associated with "tobacco harm reduction" products</t>
  </si>
  <si>
    <t>FB-TB-270a.1</t>
  </si>
  <si>
    <t>Total amount of monetary losses as a result of legal proceedings associated with marketing, labeling, and/or advertising practices</t>
  </si>
  <si>
    <t>FB-TB-270a.2</t>
  </si>
  <si>
    <t>Description of the company’s marketing policy and relevant positions on Articles 11 and 13 of the World Health Organization Framework Convention on Tobacco Control (WHO FCTC)</t>
  </si>
  <si>
    <t>TOYS &amp; SPORTING GOODS</t>
  </si>
  <si>
    <t>CG-TS-250a.1</t>
  </si>
  <si>
    <t>Number of (1) recalls and (2) total units recalled</t>
  </si>
  <si>
    <t>CG-TS-250a.2</t>
  </si>
  <si>
    <t>Number of Letters of Advice (LOA) received</t>
  </si>
  <si>
    <t>CG-TS-250a.3</t>
  </si>
  <si>
    <t>CG-TS-250a.4</t>
  </si>
  <si>
    <t>CG-TS-430a.1</t>
  </si>
  <si>
    <t>Number of facilities audited to a social responsibility code of conduct</t>
  </si>
  <si>
    <t>CG-TS-430a.2</t>
  </si>
  <si>
    <t>Direct suppliers’ social responsibility audit (1) non-conformance rate and (2) associated corrective action rate for (a) priority non-conformances and (b) other non-conformances</t>
  </si>
  <si>
    <t>WASTE MANAGEMENT</t>
  </si>
  <si>
    <t>IF-WM-110a.1</t>
  </si>
  <si>
    <t>IF-WM-110a.2</t>
  </si>
  <si>
    <t>(1) Total landfill gas generated, (2) percentage flared, (3) percentage used for energy</t>
  </si>
  <si>
    <t>IF-WM-110a.3</t>
  </si>
  <si>
    <t>Discussion of long-term and short-term strategy or plan to manage Scope 1 and lifecycle emissions, emissions reduction targets, and an analysis of performance against those targets</t>
  </si>
  <si>
    <t>IF-WM-110b.1</t>
  </si>
  <si>
    <t>(1) Fleet fuel consumed, (2) percentage natural gas, (3) percentage renewable</t>
  </si>
  <si>
    <t>Percentage of alternative fuel vehicles in fleet</t>
  </si>
  <si>
    <t>IF-WM-120a.1</t>
  </si>
  <si>
    <t>Air emissions of the following pollutants: (1) NOx (excluding N2O), (2) SOx, (3) volatile organic compounds (VOCs), and (4) hazardous air pollutants (HAPs)</t>
  </si>
  <si>
    <t>IF-WM-120a.2</t>
  </si>
  <si>
    <t>Number of facilities in or near areas of dense population</t>
  </si>
  <si>
    <t>IF-WM-120a.3</t>
  </si>
  <si>
    <t>Number of incidents of non-compliance associated with air emissions</t>
  </si>
  <si>
    <t>IF-WM-150a.1</t>
  </si>
  <si>
    <t>(1) Total Toxic Release Inventory (TRI) releases, (2) percentage released to water</t>
  </si>
  <si>
    <t>IF-WM-150a.2</t>
  </si>
  <si>
    <t>Number of corrective actions implemented for landfill releases</t>
  </si>
  <si>
    <t>IF-WM-150a.3</t>
  </si>
  <si>
    <t>Number of incidents of non-compliance associated with environmental impacts</t>
  </si>
  <si>
    <t>IF-WM-310a.1</t>
  </si>
  <si>
    <t>IF-WM-310a.2</t>
  </si>
  <si>
    <t>IF-WM-320a.1</t>
  </si>
  <si>
    <t>(1) Total recordable incident rate (TRIR), (2) fatality rate, and (3) near miss frequency rate (NMFR) for (a) direct employees and (b) contract employees</t>
  </si>
  <si>
    <t>IF-WM-320a.2</t>
  </si>
  <si>
    <t>IF-WM-320a.3</t>
  </si>
  <si>
    <t>IF-WM-420a.1</t>
  </si>
  <si>
    <t>(1) Amount of waste incinerated, (2) percentage hazardous, (3) percentage used for energy recovery</t>
  </si>
  <si>
    <t>IF-WM-420a.2</t>
  </si>
  <si>
    <t>Percentage of customers receiving (1) recycling and (2) composting services, by customer type</t>
  </si>
  <si>
    <t>IF-WM-420a.3</t>
  </si>
  <si>
    <t>Amount of material (1) recycled, (2) composted, and (3) processed as waste-to-energy</t>
  </si>
  <si>
    <t>IF-WM-420a.4</t>
  </si>
  <si>
    <t>Amount of electronic waste collected, percentage recovered through recycling</t>
  </si>
  <si>
    <t>WATER UTILITIES &amp; SERVICES</t>
  </si>
  <si>
    <t>IF-WU-130a.1</t>
  </si>
  <si>
    <t>IF-WU-140a.1</t>
  </si>
  <si>
    <t>Water main replacement rate</t>
  </si>
  <si>
    <t>IF-WU-140a.2</t>
  </si>
  <si>
    <t>Volume of non-revenue real water losses</t>
  </si>
  <si>
    <t>IF-WU-140b.1</t>
  </si>
  <si>
    <t>Number of incidents of non-compliance associated with water effluent quality permits, standards, and regulations</t>
  </si>
  <si>
    <t>IF-WU-140b.2</t>
  </si>
  <si>
    <t>Discussion of strategies to manage effluents of emerging concern</t>
  </si>
  <si>
    <t>IF-WU-240a.1</t>
  </si>
  <si>
    <t>Average retail water rate for (1) residential, (2) commercial, and (3) industrial customers</t>
  </si>
  <si>
    <t>IF-WU-240a.2</t>
  </si>
  <si>
    <t>Typical monthly water bill for residential customers for 10 Ccf of water delivered per month</t>
  </si>
  <si>
    <t>IF-WU-240a.3</t>
  </si>
  <si>
    <t>Number of residential customer water disconnections for non-payment, percentage reconnected within 30 days</t>
  </si>
  <si>
    <t>IF-WU-240a.4</t>
  </si>
  <si>
    <t>Discussion of impact of external factors on customer affordability of water, including the economic conditions of the service territory</t>
  </si>
  <si>
    <t>IF-WU-250a.1</t>
  </si>
  <si>
    <t>Number of (1) acute health-based, (2) non-acute health-based, and (3) non-health-based drinking water violations</t>
  </si>
  <si>
    <t>IF-WU-250a.2</t>
  </si>
  <si>
    <t>Discussion of strategies to manage drinking water contaminants of emerging concern</t>
  </si>
  <si>
    <t>IF-WU-420a.1</t>
  </si>
  <si>
    <t>Percentage of water utility revenues from rate structures that are designed to promote conservation and revenue resilience</t>
  </si>
  <si>
    <t>IF-WU-420a.2</t>
  </si>
  <si>
    <t>Customer water savings from efficiency measures, by market</t>
  </si>
  <si>
    <t>IF-WU-440a.1</t>
  </si>
  <si>
    <t>Total water sourced from regions with High or Extremely High Baseline Water Stress, percentage purchased from a third party</t>
  </si>
  <si>
    <t>IF-WU-440a.2</t>
  </si>
  <si>
    <t>Volume of recycled water delivered to customers</t>
  </si>
  <si>
    <t>IF-WU-440a.3</t>
  </si>
  <si>
    <t>Discussion of strategies to manage risks associated with the quality and availability of water resources</t>
  </si>
  <si>
    <t>IF-WU-450a.1</t>
  </si>
  <si>
    <t>Wastewater treatment capacity located in 100-year flood zones</t>
  </si>
  <si>
    <t>IF-WU-450a.2</t>
  </si>
  <si>
    <t>(1) Number and (2) volume of sanitary sewer overflows (SSO), (3) percentage of volume recovered</t>
  </si>
  <si>
    <t>IF-WU-450a.3</t>
  </si>
  <si>
    <t>(1) Number of unplanned service disruptions, and (2) customers affected, each by duration category</t>
  </si>
  <si>
    <t>IF-WU-450a.4</t>
  </si>
  <si>
    <t>Description of efforts to identify and manage risks and opportunities related to the impact of climate change on distribution and wastewater infrastructure</t>
  </si>
  <si>
    <t>WIND TECHNOLOGY &amp; PROJECT DEVELOPERS</t>
  </si>
  <si>
    <t>RR-WT-320a.1</t>
  </si>
  <si>
    <t>RR-WT-410a.1</t>
  </si>
  <si>
    <t>Average A-weighted sound power level of wind turbines, by wind turbine class</t>
  </si>
  <si>
    <t>RR-WT-410a.2</t>
  </si>
  <si>
    <t>Backlog cancellations associated with community or ecological impacts</t>
  </si>
  <si>
    <t>RR-WT-410a.3</t>
  </si>
  <si>
    <t>Description of efforts to address ecological and community impacts of wind energy production through turbine design</t>
  </si>
  <si>
    <t>RR-WT-440a.1</t>
  </si>
  <si>
    <t>RR-WT-440b.1</t>
  </si>
  <si>
    <t>Top five materials consumed, by weight</t>
  </si>
  <si>
    <t>RR-WT-440b.2</t>
  </si>
  <si>
    <t>Average top head mass per turbine capacity, by wind turbine class</t>
  </si>
  <si>
    <t>RR-WT-440b.3</t>
  </si>
  <si>
    <t>Description of approach to optimize materials efficiency of wind turbine design</t>
  </si>
  <si>
    <t>Company</t>
  </si>
  <si>
    <t>Industry</t>
  </si>
  <si>
    <t>Code</t>
  </si>
  <si>
    <t>Metrics</t>
  </si>
  <si>
    <t>Reported</t>
  </si>
  <si>
    <t xml:space="preserve">Description of approach to incorporation of liquidity risk management programs into portfolio strategy and redemption risk management </t>
  </si>
  <si>
    <t>Total exposure to securities financing transactions</t>
  </si>
  <si>
    <t xml:space="preserve">Net exposure to written credit derivatives </t>
  </si>
  <si>
    <t xml:space="preserve">American Express Co </t>
  </si>
  <si>
    <t>The firm disclosed FN-AC-550a.2, FN-AC-550a.3, FN-AC-550a.4 but not covered in SASB Metrics</t>
  </si>
  <si>
    <t>Topics</t>
  </si>
  <si>
    <t>Data Privacy</t>
  </si>
  <si>
    <t>Advertising Integrity</t>
  </si>
  <si>
    <t>Workforce Diversity &amp; Inclusion</t>
  </si>
  <si>
    <t>Energy Management</t>
  </si>
  <si>
    <t>Hazardous Waste Management</t>
  </si>
  <si>
    <t>Data Security</t>
  </si>
  <si>
    <t>Product Safety</t>
  </si>
  <si>
    <t>Fuel Economy &amp; Emissions in Use-phase</t>
  </si>
  <si>
    <t>Materials Sourcing</t>
  </si>
  <si>
    <t>Business Ethics</t>
  </si>
  <si>
    <t>Greenhouse Gas Emissions</t>
  </si>
  <si>
    <t>Water Management</t>
  </si>
  <si>
    <t>Food Safety</t>
  </si>
  <si>
    <t>Workforce Health &amp; Safety</t>
  </si>
  <si>
    <t>Environmental &amp; Social Impacts of Ingredient Supply Chain</t>
  </si>
  <si>
    <t>GMO Management</t>
  </si>
  <si>
    <t>Ingredient Sourcing</t>
  </si>
  <si>
    <t>Air Quality</t>
  </si>
  <si>
    <t>Labor Practices</t>
  </si>
  <si>
    <t>Employee Health &amp; Safety</t>
  </si>
  <si>
    <t>Supply Chain Management</t>
  </si>
  <si>
    <t>Accident &amp; Safety Management</t>
  </si>
  <si>
    <t>Competitive Behavior</t>
  </si>
  <si>
    <t>FB-AB-130a.1</t>
  </si>
  <si>
    <t>FB-AB-140a.1</t>
  </si>
  <si>
    <t>FB-AB-140a.2</t>
  </si>
  <si>
    <t>FB-AB-270a.1</t>
  </si>
  <si>
    <t>FB-AB-270a.2</t>
  </si>
  <si>
    <t>FB-AB-270a.3</t>
  </si>
  <si>
    <t>FB-AB-270a.4</t>
  </si>
  <si>
    <t>FB-AB-410a.1</t>
  </si>
  <si>
    <t>FB-AB-410a.2</t>
  </si>
  <si>
    <t>FB-AB-430a.1</t>
  </si>
  <si>
    <t>FB-AB-440a.1</t>
  </si>
  <si>
    <t>FB-AB-440a.2</t>
  </si>
  <si>
    <t>Responsible Drinking &amp; Marketing</t>
  </si>
  <si>
    <t>Packaging Lifecycle Management</t>
  </si>
  <si>
    <t>Management of Chemicals in Products</t>
  </si>
  <si>
    <t>Environmental Impacts in the Supply Chain</t>
  </si>
  <si>
    <t>Labor Conditions in the Supply Chain</t>
  </si>
  <si>
    <t>Raw Materials Sourcing</t>
  </si>
  <si>
    <t>Product Lifecycle Environmental Impacts</t>
  </si>
  <si>
    <t>Transparent Information &amp; Fair Advice for Customers</t>
  </si>
  <si>
    <t>Employee Diversity &amp; Inclusion</t>
  </si>
  <si>
    <t>Incorporation of Environmental, Social, and Governance Factors in Investment Management &amp; Advisory</t>
  </si>
  <si>
    <t>Systemic Risk Management</t>
  </si>
  <si>
    <t>Waste Management</t>
  </si>
  <si>
    <t>Design for Fuel Efficiency</t>
  </si>
  <si>
    <t>Materials Efficiency</t>
  </si>
  <si>
    <t>Fuel Economy &amp; Use-phase Emissions</t>
  </si>
  <si>
    <t>Materials Efficiency &amp; Recycling</t>
  </si>
  <si>
    <t>Water Management in Manufacturing</t>
  </si>
  <si>
    <t>Lifecycle Emissions Balance</t>
  </si>
  <si>
    <t>Sourcing &amp; Environmental Impacts of Feedstock Production</t>
  </si>
  <si>
    <t>Management of the Legal &amp; Regulatory Environment</t>
  </si>
  <si>
    <t>Operational Safety, Emergency Preparedness &amp; Response</t>
  </si>
  <si>
    <t>Safety of Clinical Trial Participants</t>
  </si>
  <si>
    <t>Access to Medicines</t>
  </si>
  <si>
    <t>Affordability &amp; Pricing</t>
  </si>
  <si>
    <t>Drug Safety</t>
  </si>
  <si>
    <t>Counterfeit Drugs</t>
  </si>
  <si>
    <t>Ethical Marketing</t>
  </si>
  <si>
    <t>Employee Recruitment, Development &amp; Retention</t>
  </si>
  <si>
    <t>Energy Management in Manufacturing</t>
  </si>
  <si>
    <t>Wood Supply Chain Management</t>
  </si>
  <si>
    <t>TR-CR-250a.1</t>
  </si>
  <si>
    <t>TR-CR-250a.2</t>
  </si>
  <si>
    <t>TR-CR-410a.1</t>
  </si>
  <si>
    <t>TR-CR-410a.2</t>
  </si>
  <si>
    <t>Customer Safety</t>
  </si>
  <si>
    <t>Fleet Fuel Economy &amp; Utilization</t>
  </si>
  <si>
    <t>Responsible Gaming</t>
  </si>
  <si>
    <t>Smoke-free Casinos</t>
  </si>
  <si>
    <t>Internal Controls on Money Laundering</t>
  </si>
  <si>
    <t>Community Relations</t>
  </si>
  <si>
    <t>Product Design for Use-phase Efficiency</t>
  </si>
  <si>
    <t>Safety &amp; Environmental Stewardship of Chemicals</t>
  </si>
  <si>
    <t>Genetically Modified Organisms</t>
  </si>
  <si>
    <t>EM-CO-110a.1</t>
  </si>
  <si>
    <t>EM-CO-110a.2</t>
  </si>
  <si>
    <t>EM-CO-140a.1</t>
  </si>
  <si>
    <t>EM-CO-140a.2</t>
  </si>
  <si>
    <t>EM-CO-150a.2</t>
  </si>
  <si>
    <t>EM-CO-150a.3</t>
  </si>
  <si>
    <t>EM-CO-150a.4</t>
  </si>
  <si>
    <t>EM-CO-150a.5</t>
  </si>
  <si>
    <t>EM-CO-150a.6</t>
  </si>
  <si>
    <t>EM-CO-150a.7</t>
  </si>
  <si>
    <t>EM-CO-150a.8</t>
  </si>
  <si>
    <t>EM-CO-160a.1</t>
  </si>
  <si>
    <t>EM-CO-160a.2</t>
  </si>
  <si>
    <t>EM-CO-160a.3</t>
  </si>
  <si>
    <t>EM-CO-210a.1</t>
  </si>
  <si>
    <t>EM-CO-210a.2</t>
  </si>
  <si>
    <t>EM-CO-210b.1</t>
  </si>
  <si>
    <t>EM-CO-210b.2</t>
  </si>
  <si>
    <t>EM-CO-310a.1</t>
  </si>
  <si>
    <t>EM-CO-310a.2</t>
  </si>
  <si>
    <t>EM-CO-320a.1</t>
  </si>
  <si>
    <t>EM-CO-320a.2</t>
  </si>
  <si>
    <t>EM-CO-420a.1</t>
  </si>
  <si>
    <t>EM-CO-420a.2</t>
  </si>
  <si>
    <t>EM-CO-420a.3</t>
  </si>
  <si>
    <t>EM-CO-540a.1</t>
  </si>
  <si>
    <t>EM-CO-540a.2</t>
  </si>
  <si>
    <t>EM-CO-540a.3</t>
  </si>
  <si>
    <t>Biodiversity Impacts</t>
  </si>
  <si>
    <t>Rights of Indigenous Peoples</t>
  </si>
  <si>
    <t>Labor Relations</t>
  </si>
  <si>
    <t>Reserves Valuation &amp; Capital Expenditures</t>
  </si>
  <si>
    <t>Tailings Storage Facilities Management</t>
  </si>
  <si>
    <t>Financial Inclusion &amp; Capacity Building</t>
  </si>
  <si>
    <t>Incorporation of Environmental, Social, and Governance Factors in Credit Analysis</t>
  </si>
  <si>
    <t>Product Innovation</t>
  </si>
  <si>
    <t>Pricing Integrity &amp; Transparency</t>
  </si>
  <si>
    <t>Customer Privacy</t>
  </si>
  <si>
    <t>Selling Practices</t>
  </si>
  <si>
    <t>Product Lifecycle Management</t>
  </si>
  <si>
    <t>Discharge Management &amp; Ecological Impacts</t>
  </si>
  <si>
    <t>Customer Health &amp; Safety</t>
  </si>
  <si>
    <t>Accident Management</t>
  </si>
  <si>
    <t>Energy Management in Retail</t>
  </si>
  <si>
    <t>Data Security &amp; Privacy</t>
  </si>
  <si>
    <t>Drug Supply Chain Integrity</t>
  </si>
  <si>
    <t>Management of Controlled Substances</t>
  </si>
  <si>
    <t>Patient Health Outcomes</t>
  </si>
  <si>
    <t>Hardware Infrastructure Energy &amp; Water Management</t>
  </si>
  <si>
    <t>Data Privacy &amp; Advertising Standards</t>
  </si>
  <si>
    <t>Employee Recruitment, Inclusion &amp; Performance</t>
  </si>
  <si>
    <t>Product Packaging &amp; Distribution</t>
  </si>
  <si>
    <t>Greenhouse Gas Emissions &amp; Energy Resource Planning</t>
  </si>
  <si>
    <t>Coal Ash Management</t>
  </si>
  <si>
    <t>Energy Affordability</t>
  </si>
  <si>
    <t>End-Use Efficiency &amp; Demand</t>
  </si>
  <si>
    <t>Nuclear Safety &amp; Emergency Management</t>
  </si>
  <si>
    <t>Grid Resiliency</t>
  </si>
  <si>
    <t>Labor Conditions</t>
  </si>
  <si>
    <t>Environmental Impacts of Project Development</t>
  </si>
  <si>
    <t>Structural Integrity &amp; Safety</t>
  </si>
  <si>
    <t>Lifecycle Impacts of Buildings &amp; Infrastructure</t>
  </si>
  <si>
    <t>Climate Impacts of Business Mix</t>
  </si>
  <si>
    <t>Fleet Fuel Management</t>
  </si>
  <si>
    <t>Air Emissions from Refrigeration</t>
  </si>
  <si>
    <t>Food Waste Management</t>
  </si>
  <si>
    <t>Product Health &amp; Nutrition</t>
  </si>
  <si>
    <t>Product Labeling &amp; Marketing</t>
  </si>
  <si>
    <t>Management of Environmental &amp; Social Impacts in the Supply Chain</t>
  </si>
  <si>
    <t>Ecosystem Services &amp; Impacts</t>
  </si>
  <si>
    <t>Climate Change Adaptation</t>
  </si>
  <si>
    <t>Product Efficiency</t>
  </si>
  <si>
    <t>Product End-of-life Management</t>
  </si>
  <si>
    <t>End-Use Efficiency</t>
  </si>
  <si>
    <t>Integrity of Gas Delivery Infrastructure</t>
  </si>
  <si>
    <t>Product Security</t>
  </si>
  <si>
    <t>Patient Privacy &amp; Electronic Health Records</t>
  </si>
  <si>
    <t>Access for Low-Income Patients</t>
  </si>
  <si>
    <t>Quality of Care &amp; Patient Satisfaction</t>
  </si>
  <si>
    <t>Pricing &amp; Billing Transparency</t>
  </si>
  <si>
    <t>Climate Change Impacts on Human Health &amp; Infrastructure</t>
  </si>
  <si>
    <t>Fraud &amp; Unnecessary Procedures</t>
  </si>
  <si>
    <t>Land Use &amp; Ecological Impacts</t>
  </si>
  <si>
    <t>Design for Resource Efficiency</t>
  </si>
  <si>
    <t>Community Impacts of New Developments</t>
  </si>
  <si>
    <t>Ecological Impacts</t>
  </si>
  <si>
    <t>Product Environmental, Health, and Safety Performance</t>
  </si>
  <si>
    <t>Environmental &amp; Social Impacts of Palm Oil Supply</t>
  </si>
  <si>
    <t>Remanufacturing Design &amp; Services</t>
  </si>
  <si>
    <t>Incorporation of Environmental, Social, and Governance Factors in Investment Management</t>
  </si>
  <si>
    <t>Policies Designed to Incentivize Responsible Behavior</t>
  </si>
  <si>
    <t>Environmental Risk Exposure</t>
  </si>
  <si>
    <t>Environmental Footprint of Hardware Infrastructure</t>
  </si>
  <si>
    <t>Data Privacy, Advertising Standards &amp; Freedom of Expression</t>
  </si>
  <si>
    <t>Intellectual Property Protection &amp; Competitive Behavior</t>
  </si>
  <si>
    <t>Incorporation of Environmental, Social, and Governance Factors in Investment Banking &amp; Brokerage Activities</t>
  </si>
  <si>
    <t>Professional Integrity</t>
  </si>
  <si>
    <t>Employee Incentives &amp; Risk Taking</t>
  </si>
  <si>
    <t>Air Emissions</t>
  </si>
  <si>
    <t>HC-MC-230a.2</t>
  </si>
  <si>
    <t>Waste &amp; Hazardous Materials Management</t>
  </si>
  <si>
    <t>Security, Human Rights &amp; Rights of Indigenous Peoples</t>
  </si>
  <si>
    <t>Business Ethics &amp; Transparency</t>
  </si>
  <si>
    <t>Critical Incident Risk Management</t>
  </si>
  <si>
    <t>Hazardous Materials Management</t>
  </si>
  <si>
    <t>Product Specifications &amp; Clean Fuel Blends</t>
  </si>
  <si>
    <t>Emissions Reduction Services &amp; Fuels Management</t>
  </si>
  <si>
    <t>Chemicals Management</t>
  </si>
  <si>
    <t>Ecological Impact Management</t>
  </si>
  <si>
    <t>Business Ethics &amp; Payments Transparency</t>
  </si>
  <si>
    <t>Workforce Safety</t>
  </si>
  <si>
    <t>Media Pluralism</t>
  </si>
  <si>
    <t>Journalistic Integrity &amp; Sponsorship Identification</t>
  </si>
  <si>
    <t>Intellectual Property Protection &amp; Media Piracy</t>
  </si>
  <si>
    <t>Workforce Diversity &amp; Engagement</t>
  </si>
  <si>
    <t>Customer Privacy &amp; Technology Standards</t>
  </si>
  <si>
    <t>Access to Coverage</t>
  </si>
  <si>
    <t>Plan Performance</t>
  </si>
  <si>
    <t>Improved Outcomes</t>
  </si>
  <si>
    <t>Climate Change Impacts on Human Health</t>
  </si>
  <si>
    <t>Product Design &amp; Lifecycle Management</t>
  </si>
  <si>
    <t xml:space="preserve">Business Ethics </t>
  </si>
  <si>
    <t>IF-WM-110b.2</t>
  </si>
  <si>
    <t>Ecological Impacts of Project Development</t>
  </si>
  <si>
    <t xml:space="preserve">Energy Management </t>
  </si>
  <si>
    <t>Management of Energy Infrastructure Integration &amp; Related Regulations</t>
  </si>
  <si>
    <t>IF-RS-510a.2</t>
  </si>
  <si>
    <t>Driver Working Conditions</t>
  </si>
  <si>
    <t>Distribution Network Efficiency</t>
  </si>
  <si>
    <t>Effluent Quality Management</t>
  </si>
  <si>
    <t>Water Affordability &amp; Access</t>
  </si>
  <si>
    <t>Drinking Water Quality</t>
  </si>
  <si>
    <t>Water Supply Resilience</t>
  </si>
  <si>
    <t>Network Resiliency &amp; Impacts of Climate Change</t>
  </si>
  <si>
    <t>Management of Leachate &amp; Hazardous Waste</t>
  </si>
  <si>
    <t>Recycling &amp; Resource Recovery</t>
  </si>
  <si>
    <t>Management of Tenant Sustainability Impacts</t>
  </si>
  <si>
    <t>Sustainability Services</t>
  </si>
  <si>
    <t>Transparent Information &amp; Management of Conflict of Interest</t>
  </si>
  <si>
    <t>Chemical &amp; Safety Hazards of Products</t>
  </si>
  <si>
    <t>Health &amp; Nutrition</t>
  </si>
  <si>
    <t>Food &amp; Packaging Waste Management</t>
  </si>
  <si>
    <t>Nutritional Content</t>
  </si>
  <si>
    <t>Supply Chain Management &amp; Food Sourcing</t>
  </si>
  <si>
    <t>Public Health</t>
  </si>
  <si>
    <t>Marketing Practices</t>
  </si>
  <si>
    <t>Environmental Footprint of Operations</t>
  </si>
  <si>
    <t>Competitive Behavior &amp; Open Internet</t>
  </si>
  <si>
    <t>Managing Systemic Risks from Technology Disruptions</t>
  </si>
  <si>
    <t>Recruiting &amp; Managing a Global &amp; Skilled Workforce</t>
  </si>
  <si>
    <t>Data Privacy &amp; Freedom of Expression</t>
  </si>
  <si>
    <t>Recruiting &amp; Managing a Global, Diverse &amp; Skilled Workforce</t>
  </si>
  <si>
    <t>Promoting Transparent &amp; Efficient Capital Markets</t>
  </si>
  <si>
    <t>Managing Conflicts of Interest</t>
  </si>
  <si>
    <t>Managing Business Continuity &amp; Technology Risks</t>
  </si>
  <si>
    <t>FN-EX-410a.1</t>
  </si>
  <si>
    <t>FN-EX-410a.2</t>
  </si>
  <si>
    <t>FN-EX-410a.3</t>
  </si>
  <si>
    <t>FN-EX-410a.4</t>
  </si>
  <si>
    <t>FN-EX-510a.1</t>
  </si>
  <si>
    <t>FN-EX-510a.2</t>
  </si>
  <si>
    <t>FN-EX-550a.1</t>
  </si>
  <si>
    <t>FN-EX-550a.2</t>
  </si>
  <si>
    <t>FN-EX-550a.3</t>
  </si>
  <si>
    <t>ind_code</t>
  </si>
  <si>
    <t>CG-AA</t>
  </si>
  <si>
    <t>CG-AM</t>
  </si>
  <si>
    <t>CG-BF</t>
  </si>
  <si>
    <t>CG-EC</t>
  </si>
  <si>
    <t>CG-HP</t>
  </si>
  <si>
    <t>CG-MR</t>
  </si>
  <si>
    <t>CG-TS</t>
  </si>
  <si>
    <t>EM-CM</t>
  </si>
  <si>
    <t>EM-EP</t>
  </si>
  <si>
    <t>EM-IS</t>
  </si>
  <si>
    <t>EM-MD</t>
  </si>
  <si>
    <t>EM-MM</t>
  </si>
  <si>
    <t>EM-RM</t>
  </si>
  <si>
    <t>EM-SV</t>
  </si>
  <si>
    <t>FB-AG</t>
  </si>
  <si>
    <t>FB-FR</t>
  </si>
  <si>
    <t>FB-MP</t>
  </si>
  <si>
    <t>FB-NB</t>
  </si>
  <si>
    <t>FB-PF</t>
  </si>
  <si>
    <t>FB-RN</t>
  </si>
  <si>
    <t>FB-TB</t>
  </si>
  <si>
    <t>FN-AC</t>
  </si>
  <si>
    <t>FN-CB</t>
  </si>
  <si>
    <t>FN-CF</t>
  </si>
  <si>
    <t>FN-IB</t>
  </si>
  <si>
    <t>FN-IN</t>
  </si>
  <si>
    <t>FN-MF</t>
  </si>
  <si>
    <t>HC-BP</t>
  </si>
  <si>
    <t>HC-DI</t>
  </si>
  <si>
    <t>HC-DR</t>
  </si>
  <si>
    <t>HC-DY</t>
  </si>
  <si>
    <t>HC-MC</t>
  </si>
  <si>
    <t>HC-MS</t>
  </si>
  <si>
    <t>IF-EN</t>
  </si>
  <si>
    <t>IF-EU</t>
  </si>
  <si>
    <t>IF-GU</t>
  </si>
  <si>
    <t>IF-HB</t>
  </si>
  <si>
    <t>IF-RE</t>
  </si>
  <si>
    <t>IF-RS</t>
  </si>
  <si>
    <t>IF-WM</t>
  </si>
  <si>
    <t>IF-WU</t>
  </si>
  <si>
    <t>RR-BI</t>
  </si>
  <si>
    <t>RR-FC</t>
  </si>
  <si>
    <t>RR-FM</t>
  </si>
  <si>
    <t>RR-PP</t>
  </si>
  <si>
    <t>RR-ST</t>
  </si>
  <si>
    <t>RR-WT</t>
  </si>
  <si>
    <t>RT-AE</t>
  </si>
  <si>
    <t>RT-CH</t>
  </si>
  <si>
    <t>RT-CP</t>
  </si>
  <si>
    <t>RT-EE</t>
  </si>
  <si>
    <t>RT-IG</t>
  </si>
  <si>
    <t>SV-AD</t>
  </si>
  <si>
    <t>SV-CA</t>
  </si>
  <si>
    <t>SV-HL</t>
  </si>
  <si>
    <t>SV-LF</t>
  </si>
  <si>
    <t>SV-ME</t>
  </si>
  <si>
    <t>SV-PS</t>
  </si>
  <si>
    <t>TC-ES</t>
  </si>
  <si>
    <t>TC-HW</t>
  </si>
  <si>
    <t>TC-IM</t>
  </si>
  <si>
    <t>TC-SC</t>
  </si>
  <si>
    <t>TC-SI</t>
  </si>
  <si>
    <t>TC-TL</t>
  </si>
  <si>
    <t>TR-AF</t>
  </si>
  <si>
    <t>TR-AL</t>
  </si>
  <si>
    <t>TR-AP</t>
  </si>
  <si>
    <t>TR-AU</t>
  </si>
  <si>
    <t>TR-CL</t>
  </si>
  <si>
    <t>TR-MT</t>
  </si>
  <si>
    <t>TR-RA</t>
  </si>
  <si>
    <t>TR-RO</t>
  </si>
  <si>
    <t># of Reports</t>
  </si>
  <si>
    <t># of Metrics</t>
  </si>
  <si>
    <t>OIL &amp; GAS - EXPLORATION &amp; PRODUCTION</t>
  </si>
  <si>
    <t>OIL &amp; GAS - MIDSTREAM</t>
  </si>
  <si>
    <t>OIL &amp; GAS - REFINING &amp; MARKETING</t>
  </si>
  <si>
    <t>OIL &amp; GAS - SERVICES</t>
  </si>
  <si>
    <t>Report_rate</t>
  </si>
  <si>
    <t>code_ind1</t>
  </si>
  <si>
    <t>code_ind2</t>
  </si>
  <si>
    <t>code_topic</t>
  </si>
  <si>
    <t>FN</t>
  </si>
  <si>
    <t>IN</t>
  </si>
  <si>
    <t>HC</t>
  </si>
  <si>
    <t>MS</t>
  </si>
  <si>
    <t>AC</t>
  </si>
  <si>
    <t>TC</t>
  </si>
  <si>
    <t>SI</t>
  </si>
  <si>
    <t>CB</t>
  </si>
  <si>
    <t>TR</t>
  </si>
  <si>
    <t>AL</t>
  </si>
  <si>
    <t>CF</t>
  </si>
  <si>
    <t>TL</t>
  </si>
  <si>
    <t>RT</t>
  </si>
  <si>
    <t>EE</t>
  </si>
  <si>
    <t>MF</t>
  </si>
  <si>
    <t>EM</t>
  </si>
  <si>
    <t>CM</t>
  </si>
  <si>
    <t>BP</t>
  </si>
  <si>
    <t>CG</t>
  </si>
  <si>
    <t>MR</t>
  </si>
  <si>
    <t>FB</t>
  </si>
  <si>
    <t>PF</t>
  </si>
  <si>
    <t>DI</t>
  </si>
  <si>
    <t>IF</t>
  </si>
  <si>
    <t>HB</t>
  </si>
  <si>
    <t>AF</t>
  </si>
  <si>
    <t>EN</t>
  </si>
  <si>
    <t>MD</t>
  </si>
  <si>
    <t>RM</t>
  </si>
  <si>
    <t>RN</t>
  </si>
  <si>
    <t>IB</t>
  </si>
  <si>
    <t>AP</t>
  </si>
  <si>
    <t>RA</t>
  </si>
  <si>
    <t>RS</t>
  </si>
  <si>
    <t>DR</t>
  </si>
  <si>
    <t>DY</t>
  </si>
  <si>
    <t>IM</t>
  </si>
  <si>
    <t>MT</t>
  </si>
  <si>
    <t>SV</t>
  </si>
  <si>
    <t>PS</t>
  </si>
  <si>
    <t>AE</t>
  </si>
  <si>
    <t>AD</t>
  </si>
  <si>
    <t>NB</t>
  </si>
  <si>
    <t>FR</t>
  </si>
  <si>
    <t>SC</t>
  </si>
  <si>
    <t>HL</t>
  </si>
  <si>
    <t>CA</t>
  </si>
  <si>
    <t>CL</t>
  </si>
  <si>
    <t>TB</t>
  </si>
  <si>
    <t>ME</t>
  </si>
  <si>
    <t>TS</t>
  </si>
  <si>
    <t>AM</t>
  </si>
  <si>
    <t>Lending Practices</t>
  </si>
  <si>
    <t>Discriminatory Lending</t>
  </si>
  <si>
    <t>Environmental Risk to Mortgaged Properties</t>
  </si>
  <si>
    <t>Product Sourcing, Packaging &amp; Marketing</t>
  </si>
  <si>
    <t>Violation Tracker</t>
  </si>
  <si>
    <t>Amount</t>
  </si>
  <si>
    <t>Link</t>
  </si>
  <si>
    <t>No</t>
  </si>
  <si>
    <t>Yes</t>
  </si>
  <si>
    <t>https://violationtracker.goodjobsfirst.org/violation-tracker/ma-chipotle-mexican-grill-inc</t>
  </si>
  <si>
    <t>The company provides link to 10-K, does it count as disclosed or not?</t>
  </si>
  <si>
    <t>https://violationtracker.goodjobsfirst.org/violation-tracker/-omnicare-inc-15</t>
  </si>
  <si>
    <t>https://violationtracker.goodjobsfirst.org/violation-tracker/-aetna-life-insurance-company-0</t>
  </si>
  <si>
    <t>https://violationtracker.goodjobsfirst.org/?company_op=starts&amp;company=Home+Depot&amp;order=pen_year&amp;sort=&amp;page=2</t>
  </si>
  <si>
    <t>https://violationtracker.goodjobsfirst.org/violation-tracker/-johnson-and-johnson-13</t>
  </si>
  <si>
    <t>https://violationtracker.goodjobsfirst.org/violation-tracker/-jpmorgan-chase-and-co-21; https://violationtracker.goodjobsfirst.org/violation-tracker/-jpmorgan-chase-and-co-22</t>
  </si>
  <si>
    <t>https://violationtracker.goodjobsfirst.org/violation-tracker/nh-lpl-financial-llc-0</t>
  </si>
  <si>
    <t>https://violationtracker.goodjobsfirst.org/violation-tracker/ny-m-and-t-bank</t>
  </si>
  <si>
    <t>https://violationtracker.goodjobsfirst.org/violation-tracker/-western-refining-logistics-lp</t>
  </si>
  <si>
    <t>https://violationtracker.goodjobsfirst.org/violation-tracker/tx-mission-produce-inc</t>
  </si>
  <si>
    <t>https://violationtracker.goodjobsfirst.org/violation-tracker/mn-paypal-inc-dba-venmo</t>
  </si>
  <si>
    <t>https://violationtracker.goodjobsfirst.org/violation-tracker/-plains-all-american-pipeline-lp-and-plai</t>
  </si>
  <si>
    <t>https://violationtracker.goodjobsfirst.org/violation-tracker/-target-corporation-5</t>
  </si>
  <si>
    <t>https://violationtracker.goodjobsfirst.org/violation-tracker/-target-corporation-0</t>
  </si>
  <si>
    <t>https://violationtracker.goodjobsfirst.org/violation-tracker/ms-tractor-supply-company-1</t>
  </si>
  <si>
    <t>Disclosed Amount</t>
  </si>
  <si>
    <t>Refered to 10K/Q</t>
  </si>
  <si>
    <t>https://violationtracker.goodjobsfirst.org/violation-tracker/-american-airlines-20</t>
  </si>
  <si>
    <t>https://violationtracker.goodjobsfirst.org/violation-tracker/-cardinal-health-inc-4</t>
  </si>
  <si>
    <t>$ 8.8 million</t>
  </si>
  <si>
    <t>Refer to 10K, no amount</t>
  </si>
  <si>
    <t>Antibiotic Use in Animal Production</t>
  </si>
  <si>
    <t>Animal Care &amp; Welfare</t>
  </si>
  <si>
    <t>Environmental &amp; Social Impacts of Animal Supply Chain</t>
  </si>
  <si>
    <t>Animal &amp; Feed Sourcing</t>
  </si>
  <si>
    <t>https://violationtracker.goodjobsfirst.org/violation-tracker/-jp-morgan-securities-llc-5;</t>
  </si>
  <si>
    <t>Refer to 10K</t>
  </si>
  <si>
    <t>https://violationtracker.goodjobsfirst.org/violation-tracker/il-macys</t>
  </si>
  <si>
    <t>https://violationtracker.goodjobsfirst.org/violation-tracker/-metlife-inc-0</t>
  </si>
  <si>
    <t>https://violationtracker.goodjobsfirst.org/violation-tracker/-moodys-investors-service-inc-1</t>
  </si>
  <si>
    <t>https://violationtracker.goodjobsfirst.org/violation-tracker/mn-the-travelers-indemnity-co</t>
  </si>
  <si>
    <t>https://violationtracker.goodjobsfirst.org/violation-tracker/pa-transcontinental-gas-pipe-line-company-l</t>
  </si>
  <si>
    <t>SV-ED-230a.1</t>
  </si>
  <si>
    <t>SV-ED-230a.2</t>
  </si>
  <si>
    <t>SV-ED-230a.3</t>
  </si>
  <si>
    <t>SV-ED-270a.1</t>
  </si>
  <si>
    <t>SV-ED-270a.2</t>
  </si>
  <si>
    <t>SV-ED-270a.3</t>
  </si>
  <si>
    <t>SV-ED-270a.4</t>
  </si>
  <si>
    <t>SV-ED-260a.1</t>
  </si>
  <si>
    <t>SV-ED-260a.2</t>
  </si>
  <si>
    <t>SV-ED-260a.3</t>
  </si>
  <si>
    <t>SV-ED-260a.4</t>
  </si>
  <si>
    <t>SV-ED-260a.5</t>
  </si>
  <si>
    <t>Quality of Education &amp; Gainful Employment</t>
  </si>
  <si>
    <t>Marketing &amp; Recruiting Practices</t>
  </si>
  <si>
    <t>5/30/2020-5/30/2021</t>
  </si>
  <si>
    <t>5/21/2018-5/21/2019</t>
  </si>
  <si>
    <t>11/30/2019-11/30/2020</t>
  </si>
  <si>
    <t>2/3/2019-2/1/2020</t>
  </si>
  <si>
    <t>2/4/2018-2/2/2019</t>
  </si>
  <si>
    <t>2/1/2020-1/31/2021</t>
  </si>
  <si>
    <t>11/1/2019-10/30/2020</t>
  </si>
  <si>
    <t>1/29/2018-2/2/2019</t>
  </si>
  <si>
    <t>8/4/2019-8/1/2020</t>
  </si>
  <si>
    <t>10/1/2018-9/30/2019</t>
  </si>
  <si>
    <t>8/31/2019-8/31/2020</t>
  </si>
  <si>
    <t>9/29/2019-10/3/2020</t>
  </si>
  <si>
    <t>2020 calendar year</t>
  </si>
  <si>
    <t>2020 fiscal year</t>
  </si>
  <si>
    <t>2019 calendar year</t>
  </si>
  <si>
    <t>Report Period</t>
  </si>
  <si>
    <t>11/1/2019 - 10/31/2020</t>
  </si>
  <si>
    <t>Date</t>
  </si>
  <si>
    <t>Primary Offense Type</t>
  </si>
  <si>
    <t xml:space="preserve">price-fixing or anti-competitive practices	</t>
  </si>
  <si>
    <t>Agency</t>
  </si>
  <si>
    <t>private lawsuit-federal</t>
  </si>
  <si>
    <t>Note</t>
  </si>
  <si>
    <t>air pollution violation</t>
  </si>
  <si>
    <t>https://violationtracker.goodjobsfirst.org/violation-tracker/ca-american-tower-corporation</t>
  </si>
  <si>
    <t>South Coast (CA) Air Quality Management District</t>
  </si>
  <si>
    <t>2018 calendar year</t>
  </si>
  <si>
    <t>https://violationtracker.goodjobsfirst.org/violation-tracker/co-arcosa-lwb-llc</t>
  </si>
  <si>
    <t>Colorado Department of Public Health &amp; Environment</t>
  </si>
  <si>
    <t>environmental violation</t>
  </si>
  <si>
    <t>Texas Commission on Environmental Quality</t>
  </si>
  <si>
    <t>https://violationtracker.goodjobsfirst.org/violation-tracker/tx-arcosa-lws-llc-0</t>
  </si>
  <si>
    <t>10/1/2018-9/1/2020</t>
  </si>
  <si>
    <t>10/1/2019-9/30/2020</t>
  </si>
  <si>
    <t>employment discrimination</t>
  </si>
  <si>
    <t>Office of Federal Contract Compliance Programs</t>
  </si>
  <si>
    <t>https://violationtracker.goodjobsfirst.org/violation-tracker/md-becton-dickinson-and-co</t>
  </si>
  <si>
    <t>1/30/202020-1/30/2021</t>
  </si>
  <si>
    <t>workplace safety or health violation</t>
  </si>
  <si>
    <t>Occupational Safety &amp; Health Administration</t>
  </si>
  <si>
    <t>https://violationtracker.goodjobsfirst.org/violation-tracker/wa-burlington-coat-factory-warehouse-of-aub</t>
  </si>
  <si>
    <t>wage and hour violation</t>
  </si>
  <si>
    <t>https://violationtracker.goodjobsfirst.org/violation-tracker/-burlington-coat-factory-warehouse-corpor-1</t>
  </si>
  <si>
    <t>https://violationtracker.goodjobsfirst.org/violation-tracker/nj-calavo-growers-inc</t>
  </si>
  <si>
    <t>https://violationtracker.goodjobsfirst.org/violation-tracker/ca-calavo-growers-inc-1</t>
  </si>
  <si>
    <t>Environmental Protection Agency</t>
  </si>
  <si>
    <t>https://violationtracker.goodjobsfirst.org/violation-tracker/-carrier-corporation</t>
  </si>
  <si>
    <t>https://violationtracker.goodjobsfirst.org/violation-tracker/fl-carrier-enterprise</t>
  </si>
  <si>
    <t>labor relations violation</t>
  </si>
  <si>
    <t>National Labor Relations Board</t>
  </si>
  <si>
    <t>https://violationtracker.goodjobsfirst.org/violation-tracker/tn-carrier-corporation</t>
  </si>
  <si>
    <t>7/1/2019-6/30/2020</t>
  </si>
  <si>
    <t>https://violationtracker.goodjobsfirst.org/violation-tracker/-cardinal-health-3</t>
  </si>
  <si>
    <t>Foreign Corrupt Practices Act</t>
  </si>
  <si>
    <t>Securities and Exchange Commission</t>
  </si>
  <si>
    <t>7/1/2020-6/30/2021</t>
  </si>
  <si>
    <t>7/1/2018-6/30/2019</t>
  </si>
  <si>
    <t>New York Department of Labor</t>
  </si>
  <si>
    <t>https://violationtracker.goodjobsfirst.org/violation-tracker/ny-chipotle-mexican-grill-2602</t>
  </si>
  <si>
    <t>https://violationtracker.goodjobsfirst.org/violation-tracker/ny-chipotle-grill</t>
  </si>
  <si>
    <t>https://violationtracker.goodjobsfirst.org/violation-tracker/az-chipotle-mexican-grill-inc-0</t>
  </si>
  <si>
    <t>consumer protection violation</t>
  </si>
  <si>
    <t>https://violationtracker.goodjobsfirst.org/violation-tracker/-chipotle-mexican-grill-inc-1</t>
  </si>
  <si>
    <t>https://violationtracker.goodjobsfirst.org/violation-tracker/ny-chipotle-mexican-grill-inc-0</t>
  </si>
  <si>
    <t>https://violationtracker.goodjobsfirst.org/violation-tracker/ca-chipotle-mexican-grill-0</t>
  </si>
  <si>
    <t>Labor Department Wage and Hour Division</t>
  </si>
  <si>
    <t>food safety violation</t>
  </si>
  <si>
    <t>Justice Department Civil Division</t>
  </si>
  <si>
    <t>https://violationtracker.goodjobsfirst.org/violation-tracker/-chipotle-mexican-grill-inc</t>
  </si>
  <si>
    <t>Massachusetts Attorney General</t>
  </si>
  <si>
    <t>https://violationtracker.goodjobsfirst.org/violation-tracker/ma-chipotle-mexican-grill-inc-1</t>
  </si>
  <si>
    <t>https://violationtracker.goodjobsfirst.org/violation-tracker/ma-chipotle-mexican-grill-inc-0</t>
  </si>
  <si>
    <t>https://violationtracker.goodjobsfirst.org/violation-tracker/-citigroup-inc-15</t>
  </si>
  <si>
    <t>price-fixing or anti-competitive practices</t>
  </si>
  <si>
    <t>https://violationtracker.goodjobsfirst.org/violation-tracker/-citigroup-global-markets-inc-34</t>
  </si>
  <si>
    <t>https://violationtracker.goodjobsfirst.org/violation-tracker/-citibank-na-15</t>
  </si>
  <si>
    <t>https://violationtracker.goodjobsfirst.org/violation-tracker/-citibank-na-14</t>
  </si>
  <si>
    <t>https://violationtracker.goodjobsfirst.org/violation-tracker/-citibank-national-association</t>
  </si>
  <si>
    <t>banking violation</t>
  </si>
  <si>
    <t>https://violationtracker.goodjobsfirst.org/violation-tracker/-citibank-na-11</t>
  </si>
  <si>
    <t>investor protection violation</t>
  </si>
  <si>
    <t>https://violationtracker.goodjobsfirst.org/violation-tracker/-citibank-na-10</t>
  </si>
  <si>
    <t>https://violationtracker.goodjobsfirst.org/violation-tracker/pa-cnx-gas-company-llc-0</t>
  </si>
  <si>
    <t>Pennsylvania Department of Environmental Protection</t>
  </si>
  <si>
    <t>https://violationtracker.goodjobsfirst.org/violation-tracker/pa-cnx-gas-company-llc-and-cnx-midstream-pa</t>
  </si>
  <si>
    <t>https://violationtracker.goodjobsfirst.org/violation-tracker/pa-cnx-gas-company-llc</t>
  </si>
  <si>
    <t>oil or gas drilling violation</t>
  </si>
  <si>
    <t>https://violationtracker.goodjobsfirst.org/violation-tracker/pa-cnx-gas-co-llc-4</t>
  </si>
  <si>
    <t>2020 Fiscal year (5/25/2019 - 5/25/2020)</t>
  </si>
  <si>
    <t>Equal Employment Opportunity Commission</t>
  </si>
  <si>
    <t>https://violationtracker.goodjobsfirst.org/violation-tracker/nj-conduent-business-services-llc-0</t>
  </si>
  <si>
    <t>10/1/2019-5/1/2020</t>
  </si>
  <si>
    <t>Controlled Substances Act violation</t>
  </si>
  <si>
    <t>Drug Enforcement Administration</t>
  </si>
  <si>
    <t>insurance violation</t>
  </si>
  <si>
    <t>California Department of Managed Health Care</t>
  </si>
  <si>
    <t>https://violationtracker.goodjobsfirst.org/violation-tracker/ca-aetna-health-of-california-inc-64</t>
  </si>
  <si>
    <t>Delaware Department of Insurance</t>
  </si>
  <si>
    <t>https://violationtracker.goodjobsfirst.org/violation-tracker/de-aetna-life-insurance-company</t>
  </si>
  <si>
    <t>https://violationtracker.goodjobsfirst.org/violation-tracker/mo-coventry-health-and-life-insurance-co</t>
  </si>
  <si>
    <t>Missouri Department of Insurance</t>
  </si>
  <si>
    <t>Virginia Bureau of Insurance</t>
  </si>
  <si>
    <t>https://violationtracker.goodjobsfirst.org/violation-tracker/va-aetna-life-insurance-company-1</t>
  </si>
  <si>
    <t>Washington State Office of the Insurance Commissioner</t>
  </si>
  <si>
    <t>https://violationtracker.goodjobsfirst.org/violation-tracker/wa-aetna-life-insurance-company-3</t>
  </si>
  <si>
    <t>Minnesota Department of Commerce</t>
  </si>
  <si>
    <t>https://violationtracker.goodjobsfirst.org/violation-tracker/mn-coventry-health-care-workers-compensatio</t>
  </si>
  <si>
    <t>https://violationtracker.goodjobsfirst.org/violation-tracker/sd-aetna-network-services-llc</t>
  </si>
  <si>
    <t>South Dakota Division of Insurance</t>
  </si>
  <si>
    <t>https://violationtracker.goodjobsfirst.org/violation-tracker/tx-aetna-health-inc-0</t>
  </si>
  <si>
    <t>Texas Department of Insurance</t>
  </si>
  <si>
    <t>https://violationtracker.goodjobsfirst.org/violation-tracker/-omnicare-inc-et-al</t>
  </si>
  <si>
    <t>https://violationtracker.goodjobsfirst.org/violation-tracker/ca-aetna-health-of-california-inc-65</t>
  </si>
  <si>
    <t>https://violationtracker.goodjobsfirst.org/violation-tracker/ca-aetna-health-of-california-inc-66</t>
  </si>
  <si>
    <t>https://violationtracker.goodjobsfirst.org/violation-tracker/ca-aetna-health-of-california-inc-67</t>
  </si>
  <si>
    <t>https://violationtracker.goodjobsfirst.org/violation-tracker/ca-aetna-health-of-california-inc-68</t>
  </si>
  <si>
    <t>https://violationtracker.goodjobsfirst.org/violation-tracker/ca-aetna-health-of-california-inc-69</t>
  </si>
  <si>
    <t>https://violationtracker.goodjobsfirst.org/violation-tracker/de-aetna-health-inc-pa</t>
  </si>
  <si>
    <t>privacy violation</t>
  </si>
  <si>
    <t>Health &amp; Human Services Department Office for Civil Rights</t>
  </si>
  <si>
    <t>https://violationtracker.goodjobsfirst.org/violation-tracker/ma-cvs-pharmacy-inc-2</t>
  </si>
  <si>
    <t>https://violationtracker.goodjobsfirst.org/violation-tracker/wa-aetna-life-insurance-company-4</t>
  </si>
  <si>
    <t>https://violationtracker.goodjobsfirst.org/violation-tracker/ca-garfield-beach-cvs-llc-0</t>
  </si>
  <si>
    <t>California Labor Commissioner's Office</t>
  </si>
  <si>
    <t>https://violationtracker.goodjobsfirst.org/violation-tracker/ri-cvs-health</t>
  </si>
  <si>
    <t>https://violationtracker.goodjobsfirst.org/violation-tracker/ny-cvs-albany-llc-3</t>
  </si>
  <si>
    <t>https://violationtracker.goodjobsfirst.org/violation-tracker/-puerto-rico-cvs-pharmacy-llc</t>
  </si>
  <si>
    <t>https://violationtracker.goodjobsfirst.org/violation-tracker/ia-integrated-dna-technologies-inc</t>
  </si>
  <si>
    <t>https://violationtracker.goodjobsfirst.org/violation-tracker/ia-ehealthinsurance-services-inc</t>
  </si>
  <si>
    <t>Iowa Insurance Division</t>
  </si>
  <si>
    <t>5/31/2018-5/31/2019</t>
  </si>
  <si>
    <t>2/3/2019-1/30/2021</t>
  </si>
  <si>
    <t>https://violationtracker.goodjobsfirst.org/violation-tracker/ca-foot-locker-retail-inc</t>
  </si>
  <si>
    <t>https://violationtracker.goodjobsfirst.org/violation-tracker/nm-general-mills-operations-llc</t>
  </si>
  <si>
    <t>https://violationtracker.goodjobsfirst.org/violation-tracker/oh-general-mills-inc-3</t>
  </si>
  <si>
    <t>https://violationtracker.goodjobsfirst.org/violation-tracker/nm-general-mills-operations-llc-0</t>
  </si>
  <si>
    <t>https://violationtracker.goodjobsfirst.org/violation-tracker/oh-general-mills</t>
  </si>
  <si>
    <t>https://violationtracker.goodjobsfirst.org/violation-tracker/pa-hershey-company-reese-plant</t>
  </si>
  <si>
    <t>https://violationtracker.goodjobsfirst.org/violation-tracker/nc-hershey-creamery-company</t>
  </si>
  <si>
    <t>https://violationtracker.goodjobsfirst.org/violation-tracker/pa-hershey-foods-corporation</t>
  </si>
  <si>
    <t>https://violationtracker.goodjobsfirst.org/violation-tracker/pa-the-hershey-company</t>
  </si>
  <si>
    <t>10/1/2018-10/31/2019</t>
  </si>
  <si>
    <t>2/4/2019-2/2/2020</t>
  </si>
  <si>
    <t>https://violationtracker.goodjobsfirst.org/violation-tracker/-home-depot-inc-2</t>
  </si>
  <si>
    <t>https://violationtracker.goodjobsfirst.org/violation-tracker/ct-the-home-depot-llc</t>
  </si>
  <si>
    <t>https://violationtracker.goodjobsfirst.org/violation-tracker/pa-the-home-depot-inc-0</t>
  </si>
  <si>
    <t>Massachusetts Executive Office of Energy and Environmental Affairs</t>
  </si>
  <si>
    <t>https://violationtracker.goodjobsfirst.org/violation-tracker/ma-the-home-depot-usa-inc</t>
  </si>
  <si>
    <t>https://violationtracker.goodjobsfirst.org/violation-tracker/ca-home-depot-usa-inc-0</t>
  </si>
  <si>
    <t>https://violationtracker.goodjobsfirst.org/violation-tracker/me-hd-supply-construction-supply-ltd</t>
  </si>
  <si>
    <t>https://violationtracker.goodjobsfirst.org/violation-tracker/co-home-depot-usa-inc-dba-home-depot-1502</t>
  </si>
  <si>
    <t>https://violationtracker.goodjobsfirst.org/violation-tracker/pa-the-home-depot</t>
  </si>
  <si>
    <t>https://violationtracker.goodjobsfirst.org/violation-tracker/wa-home-depot-inc-the</t>
  </si>
  <si>
    <t>https://violationtracker.goodjobsfirst.org/violation-tracker/fl-home-depot-usa-inc-2</t>
  </si>
  <si>
    <t>https://violationtracker.goodjobsfirst.org/violation-tracker/wa-home-depot-usa-inc-3</t>
  </si>
  <si>
    <t>https://violationtracker.goodjobsfirst.org/violation-tracker/wa-srs-distribution-inc-0</t>
  </si>
  <si>
    <t>https://violationtracker.goodjobsfirst.org/violation-tracker/il-the-home-depot-3</t>
  </si>
  <si>
    <t>https://violationtracker.goodjobsfirst.org/violation-tracker/pa-the-home-depot-inc</t>
  </si>
  <si>
    <t>https://violationtracker.goodjobsfirst.org/violation-tracker/de-home-depot-1602</t>
  </si>
  <si>
    <t>https://violationtracker.goodjobsfirst.org/violation-tracker/ca-home-depot-13</t>
  </si>
  <si>
    <t>https://violationtracker.goodjobsfirst.org/violation-tracker/ny-home-depot-usa-inc-9</t>
  </si>
  <si>
    <t>https://violationtracker.goodjobsfirst.org/violation-tracker/mo-the-home-depot</t>
  </si>
  <si>
    <t>https://violationtracker.goodjobsfirst.org/violation-tracker/fl-hd-supply-construction-supply-ltd</t>
  </si>
  <si>
    <t>https://violationtracker.goodjobsfirst.org/violation-tracker/ca-interline-brands-inc-1</t>
  </si>
  <si>
    <t>https://violationtracker.goodjobsfirst.org/violation-tracker/fl-the-home-depot</t>
  </si>
  <si>
    <t>https://violationtracker.goodjobsfirst.org/violation-tracker/-interline-brands-inc</t>
  </si>
  <si>
    <t>https://violationtracker.goodjobsfirst.org/violation-tracker/la-interline-brands-inc</t>
  </si>
  <si>
    <t>https://violationtracker.goodjobsfirst.org/violation-tracker/-interline-brand-inc</t>
  </si>
  <si>
    <t>https://violationtracker.goodjobsfirst.org/violation-tracker/-international-business-machines-corporat-1</t>
  </si>
  <si>
    <t>U.S. Attorney-District of Maryland</t>
  </si>
  <si>
    <t>False Claims Act and related</t>
  </si>
  <si>
    <t>https://violationtracker.goodjobsfirst.org/violation-tracker/md-international-business-machines-corporat</t>
  </si>
  <si>
    <t>Maryland Attorney General</t>
  </si>
  <si>
    <t>drug or medical equipment safety violation</t>
  </si>
  <si>
    <t>West Virginia Attorney General</t>
  </si>
  <si>
    <t>https://violationtracker.goodjobsfirst.org/violation-tracker/wv-johnson-and-johnson-0</t>
  </si>
  <si>
    <t>https://violationtracker.goodjobsfirst.org/violation-tracker/ca-depuy-synthes-sales-inc</t>
  </si>
  <si>
    <t>https://violationtracker.goodjobsfirst.org/violation-tracker/-momenta-pharmaceuticals-inc</t>
  </si>
  <si>
    <t>https://violationtracker.goodjobsfirst.org/violation-tracker/tx-ethicon-inc-0</t>
  </si>
  <si>
    <t>North Carolina Department of Insurance</t>
  </si>
  <si>
    <t>https://violationtracker.goodjobsfirst.org/violation-tracker/nc-johnson-and-johnson-inc</t>
  </si>
  <si>
    <t>https://violationtracker.goodjobsfirst.org/violation-tracker/-jp-morgan-securities-llc-5</t>
  </si>
  <si>
    <t>https://violationtracker.goodjobsfirst.org/violation-tracker/ky-jp-morgan-securities-llc</t>
  </si>
  <si>
    <t>Kentucky Department of Financial Institutions</t>
  </si>
  <si>
    <t>https://violationtracker.goodjobsfirst.org/violation-tracker/-jpmorgan-chase-bank-na-6</t>
  </si>
  <si>
    <t>https://violationtracker.goodjobsfirst.org/violation-tracker/-jpmorgan-chase-and-co-9</t>
  </si>
  <si>
    <t>fraud</t>
  </si>
  <si>
    <t>Justice Department Criminal Division</t>
  </si>
  <si>
    <t>https://violationtracker.goodjobsfirst.org/violation-tracker/-jpmorgan-chase-bank-national-association-0</t>
  </si>
  <si>
    <t>Office of the Comptroller of the Currency</t>
  </si>
  <si>
    <t>https://violationtracker.goodjobsfirst.org/violation-tracker/ny-jpmorgan-chase-and-co</t>
  </si>
  <si>
    <t>https://violationtracker.goodjobsfirst.org/violation-tracker/-jp-morgan-securities-llc-6</t>
  </si>
  <si>
    <t>https://violationtracker.goodjobsfirst.org/violation-tracker/-jp-morgan-securities-llc-14</t>
  </si>
  <si>
    <t>Violation Description</t>
  </si>
  <si>
    <t>A group of 12 large banks agreed to pay a total of $250 million to settle their role in litigation alleging they conspired to fix the price of bonds issued by Fannie Mae and other government-sponsored enterprises. The settlement did not specify how much each would pay. Here we assume the total was divided equally among them.</t>
  </si>
  <si>
    <t>JPMorgan Chase agreed to pay $5 million to indirect investors in a case involving manipulation of the LIBOR interest rate benchmark.</t>
  </si>
  <si>
    <t>https://violationtracker.goodjobsfirst.org/violation-tracker/-jpmorgan-chase-and-co-10</t>
  </si>
  <si>
    <t>https://violationtracker.goodjobsfirst.org/violation-tracker/-jpmorgan-chase-and-co-11</t>
  </si>
  <si>
    <t>JPMorgan Chase agreed to pay $6.25 million to bondholders in a case involving manipulation of the LIBOR interest rate benchmark.</t>
  </si>
  <si>
    <t>https://violationtracker.goodjobsfirst.org/violation-tracker/-jpmorgan-chase-and-co-12</t>
  </si>
  <si>
    <t>JPMorgan Chase agreed to pay $1.5 million to futures traders in a case involving manipulation of the LIBOR interest rate benchmark.</t>
  </si>
  <si>
    <t>https://violationtracker.goodjobsfirst.org/violation-tracker/-jpmorgan-chase-and-co-21</t>
  </si>
  <si>
    <t>JPMorgan agreed to pay $2.5 million to settle litigation alleging that it unfairly charged cash-advance fees to credit card customers when they purchased cryptocurrency.</t>
  </si>
  <si>
    <t>https://violationtracker.goodjobsfirst.org/violation-tracker/-jpmorgan-chase-and-co-22</t>
  </si>
  <si>
    <t>JPMorgan agreed to pay more than $60 million to settle litigation alleging it overcharged customers serving in the military, in violation of the Servicemembers Civil Relief Act.</t>
  </si>
  <si>
    <t>JPMorgan Chase &amp; Co. entered into an agreement with the Department of Justice to resolve criminal charges related to two distinct schemes to defraud: the first involving tens of thousands of episodes of unlawful trading in the markets for precious metals futures contracts, and the second involving thousands of episodes of unlawful trading in the markets for U.S. Treasury futures contracts and in the secondary (cash) market for U.S. Treasury notes and bonds. Under the terms of a deferred prosecution agreement, the bank agreed to pay $920 million in a criminal and civil penalties, criminal disgorgement and victim compensation. The case overlaps with an action brought by the Commodity Futures Trading Commission (see separate entry).</t>
  </si>
  <si>
    <t>2017 calendar year</t>
  </si>
  <si>
    <t>https://violationtracker.goodjobsfirst.org/violation-tracker/tx-the-american-bottling-company</t>
  </si>
  <si>
    <t>https://violationtracker.goodjobsfirst.org/violation-tracker/nj-motts-llp</t>
  </si>
  <si>
    <t>New Jersey Department of Environmental Protection</t>
  </si>
  <si>
    <t>https://violationtracker.goodjobsfirst.org/violation-tracker/ia-american-bottling-company-2</t>
  </si>
  <si>
    <t>https://violationtracker.goodjobsfirst.org/violation-tracker/-kinder-morgan-altamont-and-colorado-inte</t>
  </si>
  <si>
    <t>Environmental Protection Agency referral to the Justice Department</t>
  </si>
  <si>
    <t>https://violationtracker.goodjobsfirst.org/violation-tracker/-kinder-morgan-energy-partners-lp-0</t>
  </si>
  <si>
    <t>railroad safety violation</t>
  </si>
  <si>
    <t>Federal Railroad Administration</t>
  </si>
  <si>
    <t>https://violationtracker.goodjobsfirst.org/violation-tracker/or-kinder-morgan-bulk-terminals-llc</t>
  </si>
  <si>
    <t>wastewater violations</t>
  </si>
  <si>
    <t>Oregon Department of Environmental Quality</t>
  </si>
  <si>
    <t>https://violationtracker.goodjobsfirst.org/violation-tracker/tx-km-liquids-terminals-llc</t>
  </si>
  <si>
    <t>https://violationtracker.goodjobsfirst.org/violation-tracker/va-kinder-morgan-operating-lp</t>
  </si>
  <si>
    <t>Virginia Department of Environmental Quality</t>
  </si>
  <si>
    <t>https://violationtracker.goodjobsfirst.org/violation-tracker/va-kinder-morgan-southeast-terminals-llc</t>
  </si>
  <si>
    <t>https://violationtracker.goodjobsfirst.org/violation-tracker/nd-kinder-morgan-inc</t>
  </si>
  <si>
    <t>https://violationtracker.goodjobsfirst.org/violation-tracker/-kinder-morgan-inc-0</t>
  </si>
  <si>
    <t>Primary law: CAA, Violation type: Risk Management Plan (112(r)(7)) - CAA</t>
  </si>
  <si>
    <t>https://violationtracker.goodjobsfirst.org/violation-tracker/wy-kinder-morgan</t>
  </si>
  <si>
    <t>https://violationtracker.goodjobsfirst.org/violation-tracker/ut-kinder-morgan-0</t>
  </si>
  <si>
    <t>Primary law: CAA</t>
  </si>
  <si>
    <t>https://violationtracker.goodjobsfirst.org/violation-tracker/ne-kroger-company</t>
  </si>
  <si>
    <t>5/30/2019-5/29/2020</t>
  </si>
  <si>
    <t>https://violationtracker.goodjobsfirst.org/violation-tracker/nc-lear-corporation</t>
  </si>
  <si>
    <t>https://violationtracker.goodjobsfirst.org/violation-tracker/oh-lear-corporation-inc</t>
  </si>
  <si>
    <t>https://violationtracker.goodjobsfirst.org/violation-tracker/or-lkq-foster-auto-parts-inc</t>
  </si>
  <si>
    <t>hazardous waste violation</t>
  </si>
  <si>
    <t>New Hampshire Bureau of Securities Regulation</t>
  </si>
  <si>
    <t>https://violationtracker.goodjobsfirst.org/violation-tracker/-lpl-financial-llc</t>
  </si>
  <si>
    <t>https://violationtracker.goodjobsfirst.org/violation-tracker/-lpl-financial-llc-1</t>
  </si>
  <si>
    <t>LPL agreed to pay more than $25 million to resolve multistate litigation alleging it sold unregistered securities.</t>
  </si>
  <si>
    <t>Multistate Attorneys General Case</t>
  </si>
  <si>
    <t>https://violationtracker.goodjobsfirst.org/violation-tracker/ak-lpl-financial-llc</t>
  </si>
  <si>
    <t>LPL financial consented to an Administrative Order that it pay $499,000 as part of a settlement of allegations it was negligent in training, supervision and operations it was required to perform to comply with Blue Sky laws.</t>
  </si>
  <si>
    <t>Alaska Division of Banking and Securities</t>
  </si>
  <si>
    <t>https://violationtracker.goodjobsfirst.org/violation-tracker/ar-lpl-financial-llc</t>
  </si>
  <si>
    <t>Arkansas Securities Department</t>
  </si>
  <si>
    <t>https://violationtracker.goodjobsfirst.org/violation-tracker/ma-lpl-financial-llc-3</t>
  </si>
  <si>
    <t>LPL agreed to pay a $1,100,000 administrative fine in settlement of allegations it failed to properly register or supervise its agents in the state, with multiple failures to report events that would impact registration and customer complaints in a timely manner.</t>
  </si>
  <si>
    <t>Massachusetts Securities Division</t>
  </si>
  <si>
    <t>https://violationtracker.goodjobsfirst.org/violation-tracker/md-lpl-financial-llc</t>
  </si>
  <si>
    <t>Maryland Securities Division</t>
  </si>
  <si>
    <t>https://violationtracker.goodjobsfirst.org/violation-tracker/sc-lpl-financial-llc</t>
  </si>
  <si>
    <t>South Carolina Securities Division</t>
  </si>
  <si>
    <t>https://violationtracker.goodjobsfirst.org/violation-tracker/-lpl-financial-llc-3</t>
  </si>
  <si>
    <t>FINRA sanctioned five firms-Citigroup Global Markets Inc.; J.P. Morgan Securities LLC; LPL Financial LLC; Morgan Stanley Smith Barney LLC; and Merrill Lynch, Pierce, Fenner &amp; Smith Incorporated-for failing to reasonably supervise compliance with FINRA Rule 2090, FINRA's Know Your Customer rule. In settling this matter, the five firms paid combined fines totaling $1.4 million, and agreed to review their policies, systems, and procedures to ensure that they are reasonably designed to supervise custodial accounts and to achieve compliance with FINRA Rule 2090. The firms neither admitted nor denied the charges, but consented to the entry of FINRA's findings. FINRA's announcement did not specify how much each firm was fined. Here we assume the $1.4 million was divided equally among them.</t>
  </si>
  <si>
    <t>Financial Industry Regulatory Authority</t>
  </si>
  <si>
    <t>https://violationtracker.goodjobsfirst.org/violation-tracker/md-m-and-t-bank</t>
  </si>
  <si>
    <t>https://violationtracker.goodjobsfirst.org/violation-tracker/-wilmington-trust-na-0</t>
  </si>
  <si>
    <t>benefit plan administrator violation</t>
  </si>
  <si>
    <t>The Labor Department reached an agreement with Wilmington Trust, N.A. requiring it to pay a combined $80 million to 21 employee stock ownership plans (ESOPs) for which it served as trustee and $8 million to the government, and to reimburse plan sponsors of ESOPs for legal costs and expenses advanced in connection with the Department's investigations and litigation.</t>
  </si>
  <si>
    <t>Employee Benefits Security Administration</t>
  </si>
  <si>
    <t>flood insurance violations</t>
  </si>
  <si>
    <t>Federal Reserve</t>
  </si>
  <si>
    <t>https://violationtracker.goodjobsfirst.org/violation-tracker/nj-macys-corporate-services-inc</t>
  </si>
  <si>
    <t>https://violationtracker.goodjobsfirst.org/violation-tracker/nj-macys-logistics-and-operations-0</t>
  </si>
  <si>
    <t>https://violationtracker.goodjobsfirst.org/violation-tracker/ma-macys-inc</t>
  </si>
  <si>
    <t>https://violationtracker.goodjobsfirst.org/violation-tracker/mi-macys</t>
  </si>
  <si>
    <t>https://violationtracker.goodjobsfirst.org/violation-tracker/mn-st-paul-park-refining-co-llc-dba-western</t>
  </si>
  <si>
    <t>pipeline safety violation</t>
  </si>
  <si>
    <t>Pipeline and Hazardous Materials Safety Administration</t>
  </si>
  <si>
    <t>https://violationtracker.goodjobsfirst.org/violation-tracker/-andeavor-llc</t>
  </si>
  <si>
    <t>accounting fraud or deficiencies</t>
  </si>
  <si>
    <t>https://violationtracker.goodjobsfirst.org/violation-tracker/in-marathon-pipe-line</t>
  </si>
  <si>
    <t>wastewater violation</t>
  </si>
  <si>
    <t>Indiana Department of Environmental Management</t>
  </si>
  <si>
    <t>https://violationtracker.goodjobsfirst.org/violation-tracker/tx-blanchard-refining-company-llc</t>
  </si>
  <si>
    <t>https://violationtracker.goodjobsfirst.org/violation-tracker/tx-blanchard-refining-company-llc-0</t>
  </si>
  <si>
    <t>https://violationtracker.goodjobsfirst.org/violation-tracker/tx-blanchard-refining-company-llc-1</t>
  </si>
  <si>
    <t>https://violationtracker.goodjobsfirst.org/violation-tracker/tx-blanchard-refining-company-llc-2</t>
  </si>
  <si>
    <t>https://violationtracker.goodjobsfirst.org/violation-tracker/-tesoro-refining-and-marketing-company-</t>
  </si>
  <si>
    <t>https://violationtracker.goodjobsfirst.org/violation-tracker/-marathon-petroleum-company-5</t>
  </si>
  <si>
    <t>https://violationtracker.goodjobsfirst.org/violation-tracker/-marathon-petroleum-company-6</t>
  </si>
  <si>
    <t>https://violationtracker.goodjobsfirst.org/violation-tracker/-marathon-petroleum-company-7</t>
  </si>
  <si>
    <t>https://violationtracker.goodjobsfirst.org/violation-tracker/tx-marathon-petroleum-company-lp-3</t>
  </si>
  <si>
    <t>https://violationtracker.goodjobsfirst.org/violation-tracker/tx-blanchard-refining-company-llc-11</t>
  </si>
  <si>
    <t>https://violationtracker.goodjobsfirst.org/violation-tracker/-western-refining-company-6</t>
  </si>
  <si>
    <t>https://violationtracker.goodjobsfirst.org/violation-tracker/ca-tesoro-refining-and-marketing-company--9</t>
  </si>
  <si>
    <t>https://violationtracker.goodjobsfirst.org/violation-tracker/ca-tesoro-refining-and-marketing-company--10</t>
  </si>
  <si>
    <t>https://violationtracker.goodjobsfirst.org/violation-tracker/-marriott-international-inc-0</t>
  </si>
  <si>
    <t>https://violationtracker.goodjobsfirst.org/violation-tracker/nm-matador-production-company</t>
  </si>
  <si>
    <t>The Energy, Minerals and Natural Resources Department's Oil Conservation Division settled a notice of violation (NOV) issued to Matador Production Company (Matador) for commingling oil production from different leases without a permit.</t>
  </si>
  <si>
    <t>New Mexico Department of Energy, Minerals and Natural Resources</t>
  </si>
  <si>
    <t>https://violationtracker.goodjobsfirst.org/violation-tracker/pa-merck-and-company-inc</t>
  </si>
  <si>
    <t>https://violationtracker.goodjobsfirst.org/violation-tracker/-merck-and-co-inc-3</t>
  </si>
  <si>
    <t>Merck paid $6.2 million to resolve a class action suit alleging that its practices discriminated against women sales rep who took maternity leave.</t>
  </si>
  <si>
    <t>https://violationtracker.goodjobsfirst.org/violation-tracker/ny-metlife-insurance-company</t>
  </si>
  <si>
    <t>The Department of Financial Services entered into a consent order with MetLife Insurance Company, under which the insurer agereed to pay a penalty of $19,750,000 for violations of New York Insurance Law stemming from a DFS examination which found that the insurer failed to properly locate and pay benefits to thousands of New York insureds and beneficiaries. As part of the consent order, MetLife also agreed to pay retroactive benefits to policyholders in New York State and elsewhere totaling more than $189 million.</t>
  </si>
  <si>
    <t>New York Department of Financial Services</t>
  </si>
  <si>
    <t>https://violationtracker.goodjobsfirst.org/violation-tracker/ri-metropolitan-life-insurance-company</t>
  </si>
  <si>
    <t>Rhode Island Department of Business Regulation</t>
  </si>
  <si>
    <t>8/30/2019-9/3/2020</t>
  </si>
  <si>
    <t>8/30/2018-9/3/2019</t>
  </si>
  <si>
    <t>https://violationtracker.goodjobsfirst.org/violation-tracker/or-mondelez-global-llc</t>
  </si>
  <si>
    <t>https://violationtracker.goodjobsfirst.org/violation-tracker/-mondelez-global-llc-0</t>
  </si>
  <si>
    <t>https://violationtracker.goodjobsfirst.org/violation-tracker/-mondelez-global</t>
  </si>
  <si>
    <t>The CFTC announced that it had gotten a federal court to order Kraft and Mondelez to pay a total of $16 million in a case involving manipulation of the wheat market. The announcement did not indicate how much each company would pay. Here we assume the total was split evenly between them. The press release about the case was removed from the CFTC website. Here we cite an archived version on the Nexis information service.</t>
  </si>
  <si>
    <t>Commodity Futures Trading Commission</t>
  </si>
  <si>
    <t>https://violationtracker.goodjobsfirst.org/violation-tracker/or-mondelez-global-llc-0</t>
  </si>
  <si>
    <t>failure to collect monitoring data</t>
  </si>
  <si>
    <t>https://violationtracker.goodjobsfirst.org/violation-tracker/va-mondelez-global-llc</t>
  </si>
  <si>
    <t>https://violationtracker.goodjobsfirst.org/violation-tracker/ny-national-fuel-gas-distribution</t>
  </si>
  <si>
    <t>utility safety violation</t>
  </si>
  <si>
    <t>New York Public Service Commission</t>
  </si>
  <si>
    <t>2021 calendar year</t>
  </si>
  <si>
    <t>https://violationtracker.goodjobsfirst.org/violation-tracker/-fairchild-semiconductor-corporation</t>
  </si>
  <si>
    <t>https://violationtracker.goodjobsfirst.org/violation-tracker/tx-owens-corning-insulating-systems-llc-3</t>
  </si>
  <si>
    <t>https://violationtracker.goodjobsfirst.org/violation-tracker/ca-masonite-corporation-0</t>
  </si>
  <si>
    <t>https://violationtracker.goodjobsfirst.org/violation-tracker/nj-owens-corning-roofing-and-asphalt-llc</t>
  </si>
  <si>
    <t>https://violationtracker.goodjobsfirst.org/violation-tracker/al-masonite-corporation-0</t>
  </si>
  <si>
    <t>https://violationtracker.goodjobsfirst.org/violation-tracker/co-owens-corning-roofing-and-asphalt-llc</t>
  </si>
  <si>
    <t>https://violationtracker.goodjobsfirst.org/violation-tracker/nc-endura-products-inc</t>
  </si>
  <si>
    <t>https://violationtracker.goodjobsfirst.org/violation-tracker/mo-owens-corning</t>
  </si>
  <si>
    <t>https://violationtracker.goodjobsfirst.org/violation-tracker/nj-owens-corning-roofing-and-asphalt-llc-0</t>
  </si>
  <si>
    <t>https://violationtracker.goodjobsfirst.org/violation-tracker/oh-owens-corning-insulating-systems</t>
  </si>
  <si>
    <t>https://violationtracker.goodjobsfirst.org/violation-tracker/ca-pepsico-inc-1</t>
  </si>
  <si>
    <t>truck pollution</t>
  </si>
  <si>
    <t>https://violationtracker.goodjobsfirst.org/violation-tracker/fl-bottling-group-llc</t>
  </si>
  <si>
    <t>industrial waste violation</t>
  </si>
  <si>
    <t>Florida Department of Environmental Protection</t>
  </si>
  <si>
    <t>https://violationtracker.goodjobsfirst.org/violation-tracker/fl-frito-lay-inc-0</t>
  </si>
  <si>
    <t>https://violationtracker.goodjobsfirst.org/violation-tracker/tx-pepsico</t>
  </si>
  <si>
    <t>https://violationtracker.goodjobsfirst.org/violation-tracker/il-quaker-manufacturing-llc</t>
  </si>
  <si>
    <t>https://violationtracker.goodjobsfirst.org/violation-tracker/ga-bottling-group-llc</t>
  </si>
  <si>
    <t>https://violationtracker.goodjobsfirst.org/violation-tracker/ca-phillips-66-co-0</t>
  </si>
  <si>
    <t>water pollution violation</t>
  </si>
  <si>
    <t>California State Water Resources Control Board</t>
  </si>
  <si>
    <t>https://violationtracker.goodjobsfirst.org/violation-tracker/tx-phillips-66-sweeny-refinery</t>
  </si>
  <si>
    <t>https://violationtracker.goodjobsfirst.org/violation-tracker/tx-phillips-66-pipeline-llc-2</t>
  </si>
  <si>
    <t>oil &amp; gas violation</t>
  </si>
  <si>
    <t>Railroad Commission of Texas</t>
  </si>
  <si>
    <t>https://violationtracker.goodjobsfirst.org/violation-tracker/tx-phillips-66-company-2</t>
  </si>
  <si>
    <t>https://violationtracker.goodjobsfirst.org/violation-tracker/tx-phillips-66-company-1</t>
  </si>
  <si>
    <t>https://violationtracker.goodjobsfirst.org/violation-tracker/tx-phillips-66-company-0</t>
  </si>
  <si>
    <t>https://violationtracker.goodjobsfirst.org/violation-tracker/tx-phillips-66-pipeline-llc</t>
  </si>
  <si>
    <t>https://violationtracker.goodjobsfirst.org/violation-tracker/tx-phillips-66-company</t>
  </si>
  <si>
    <t>https://violationtracker.goodjobsfirst.org/violation-tracker/la-phillips-66-pipeline-llc-0</t>
  </si>
  <si>
    <t>Louisiana Department of Environmental Quality</t>
  </si>
  <si>
    <t>https://violationtracker.goodjobsfirst.org/violation-tracker/la-phillips-66-pipeline-llc</t>
  </si>
  <si>
    <t>https://violationtracker.goodjobsfirst.org/violation-tracker/ca-plains-pipeline-lp</t>
  </si>
  <si>
    <t xml:space="preserve"> California State Water Resources Control Board</t>
  </si>
  <si>
    <t>https://violationtracker.goodjobsfirst.org/violation-tracker/tx-felix-energy-holdings-ii-llc</t>
  </si>
  <si>
    <t>https://violationtracker.goodjobsfirst.org/violation-tracker/la-plains-marketing-lp-0</t>
  </si>
  <si>
    <t>https://violationtracker.goodjobsfirst.org/violation-tracker/nd-van-hook-crude-terminal-llc</t>
  </si>
  <si>
    <t>https://violationtracker.goodjobsfirst.org/violation-tracker/ca-plains-all-american-pipeline</t>
  </si>
  <si>
    <t>Primary law: CWA, Violation type: Oil Spill Violation Under CWA/OPA</t>
  </si>
  <si>
    <t>https://violationtracker.goodjobsfirst.org/violation-tracker/or-the-prudential-insurance-company-of-amer</t>
  </si>
  <si>
    <t>Oregon Division of Financial Regulation</t>
  </si>
  <si>
    <t>https://violationtracker.goodjobsfirst.org/violation-tracker/-pruco-securities-llc</t>
  </si>
  <si>
    <t>https://violationtracker.goodjobsfirst.org/violation-tracker/-prudential-insurance-company-of-america</t>
  </si>
  <si>
    <t>https://violationtracker.goodjobsfirst.org/violation-tracker/-prudential-financial-inc</t>
  </si>
  <si>
    <t>Two subsidiaries of Prudential Financial Inc. -- AST Investment Services Inc. and PGIM Investments LLC -- agrred to pay a $5 million penalty and disgorge $27.6 million -- to settle allegations of failing to disclose conflicts of interest and making misleading disclosures to the boards for 94 funds they advised.</t>
  </si>
  <si>
    <t>https://violationtracker.goodjobsfirst.org/violation-tracker/ny-the-prudential-insurance-company-of-amer</t>
  </si>
  <si>
    <t>https://violationtracker.goodjobsfirst.org/violation-tracker/ut-slm-corporation</t>
  </si>
  <si>
    <t>https://violationtracker.goodjobsfirst.org/violation-tracker/-southwest-airlines-8</t>
  </si>
  <si>
    <t>aviation safety violation</t>
  </si>
  <si>
    <t>incorrect calculations of weight and balance data</t>
  </si>
  <si>
    <t>Federal Aviation Administration</t>
  </si>
  <si>
    <t>https://violationtracker.goodjobsfirst.org/violation-tracker/tx-targa-midstream-services-llc</t>
  </si>
  <si>
    <t>https://violationtracker.goodjobsfirst.org/violation-tracker/tx-targa-midstream-services-llc-0</t>
  </si>
  <si>
    <t>https://violationtracker.goodjobsfirst.org/violation-tracker/tx-targa-midstream-services-llc-1</t>
  </si>
  <si>
    <t>https://violationtracker.goodjobsfirst.org/violation-tracker/tx-targa-midstream-services-llc-14</t>
  </si>
  <si>
    <t>https://violationtracker.goodjobsfirst.org/violation-tracker/tx-targa-midstream-services-llc-15</t>
  </si>
  <si>
    <t>The case alleged that Target's job screening process discriminated against African-American and Latino applicants.</t>
  </si>
  <si>
    <t>https://violationtracker.goodjobsfirst.org/violation-tracker/ca-target-corporation-3</t>
  </si>
  <si>
    <t>California Air Resources Board</t>
  </si>
  <si>
    <t>https://violationtracker.goodjobsfirst.org/violation-tracker/fl-target-corporation-2</t>
  </si>
  <si>
    <t>https://violationtracker.goodjobsfirst.org/violation-tracker/ca-target-corporation-15</t>
  </si>
  <si>
    <t>https://violationtracker.goodjobsfirst.org/violation-tracker/ri-target-corporation</t>
  </si>
  <si>
    <t>https://violationtracker.goodjobsfirst.org/violation-tracker/ny-target-corp</t>
  </si>
  <si>
    <t>https://violationtracker.goodjobsfirst.org/violation-tracker/ma-target-corporation-2</t>
  </si>
  <si>
    <t>https://violationtracker.goodjobsfirst.org/violation-tracker/il-target-corporation-2</t>
  </si>
  <si>
    <t>https://violationtracker.goodjobsfirst.org/violation-tracker/ct-target-corporation-0</t>
  </si>
  <si>
    <t>https://violationtracker.goodjobsfirst.org/violation-tracker/ma-target-corporation-3</t>
  </si>
  <si>
    <t>https://violationtracker.goodjobsfirst.org/violation-tracker/me-target-corporation-0</t>
  </si>
  <si>
    <t>https://violationtracker.goodjobsfirst.org/violation-tracker/ma-target-corporation-4</t>
  </si>
  <si>
    <t>https://violationtracker.goodjobsfirst.org/violation-tracker/tx-target-corporation-0</t>
  </si>
  <si>
    <t>https://violationtracker.goodjobsfirst.org/violation-tracker/ma-target-corporation-5</t>
  </si>
  <si>
    <t>https://violationtracker.goodjobsfirst.org/violation-tracker/tx-target-corporation-1</t>
  </si>
  <si>
    <t>https://violationtracker.goodjobsfirst.org/violation-tracker/me-target-corporation-1</t>
  </si>
  <si>
    <t>The lawsuit alleged that Target's practices regarding criminal background checks on job applicants discriminated against African-Americans and Latinos.</t>
  </si>
  <si>
    <t>https://violationtracker.goodjobsfirst.org/violation-tracker/-target-corporation-1</t>
  </si>
  <si>
    <t>https://violationtracker.goodjobsfirst.org/violation-tracker/-target-corporation-2</t>
  </si>
  <si>
    <t>Target Corporation agreed to pay a total of $3,000,000 to resolve allegations that it violated the federal False Claims Act and Massachusetts False Claims Act by submitting claims for payment to Massachusetts' Medicaid program in violation of rules prohibiting Medicaid prescriptions from being automatically refilled.</t>
  </si>
  <si>
    <t>U.S. Attorney-District of Minnesota</t>
  </si>
  <si>
    <t>Target agreed to pay $3 million in settlement of allegations it improperly billed Medicaid when it automatically refilled prescriptions that were not specifically requested by the patient, violating Medicaid regulations.</t>
  </si>
  <si>
    <t>https://violationtracker.goodjobsfirst.org/violation-tracker/ma-target-corp</t>
  </si>
  <si>
    <t>https://violationtracker.goodjobsfirst.org/violation-tracker/ca-target-corporation-1</t>
  </si>
  <si>
    <t xml:space="preserve"> </t>
  </si>
  <si>
    <t xml:space="preserve"> The California Attorney General, together with 24 local government attorneys, announced a $7.4 million statewide settlement, including enhanced environmental compliance measures and injunctive terms, with Minnesota-based Target Corporation to resolve allegations that Target violated state laws and injunctive terms from a 2011 stipulated judgment regarding the company's handling and disposal of retail hazardous waste.</t>
  </si>
  <si>
    <t>California Attorney General</t>
  </si>
  <si>
    <t>https://violationtracker.goodjobsfirst.org/violation-tracker/nj-target-corporation-1</t>
  </si>
  <si>
    <t>https://violationtracker.goodjobsfirst.org/violation-tracker/ny-target-corporation-2</t>
  </si>
  <si>
    <t>https://violationtracker.goodjobsfirst.org/violation-tracker/ny-target-corporation-3</t>
  </si>
  <si>
    <t>https://violationtracker.goodjobsfirst.org/violation-tracker/ny-target-corporation-4</t>
  </si>
  <si>
    <t>https://violationtracker.goodjobsfirst.org/violation-tracker/il-target-corporation-1</t>
  </si>
  <si>
    <t>https://violationtracker.goodjobsfirst.org/violation-tracker/ny-target-corporation-5</t>
  </si>
  <si>
    <t>https://violationtracker.goodjobsfirst.org/violation-tracker/pa-target-corporation-0</t>
  </si>
  <si>
    <t>https://violationtracker.goodjobsfirst.org/violation-tracker/ct-target-corporation</t>
  </si>
  <si>
    <t>https://violationtracker.goodjobsfirst.org/violation-tracker/tx-taylor-morrison-of-texas-inc</t>
  </si>
  <si>
    <t>https://violationtracker.goodjobsfirst.org/violation-tracker/ca-william-lyon-homes-inc-1</t>
  </si>
  <si>
    <t>11/1/2019-10/31/2020</t>
  </si>
  <si>
    <t>https://violationtracker.goodjobsfirst.org/violation-tracker/de-the-travelers-indemnity-company-of-ameri</t>
  </si>
  <si>
    <t>https://violationtracker.goodjobsfirst.org/violation-tracker/va-the-travelers-indemnity-company-ofameric</t>
  </si>
  <si>
    <t>https://violationtracker.goodjobsfirst.org/violation-tracker/tx-travelers-property-casualty-co-of-americ</t>
  </si>
  <si>
    <t>workers compensation</t>
  </si>
  <si>
    <t>https://violationtracker.goodjobsfirst.org/violation-tracker/tx-standard-fire-insurance-company-1</t>
  </si>
  <si>
    <t>https://violationtracker.goodjobsfirst.org/violation-tracker/tx-the-phoenix-insurance-company-0</t>
  </si>
  <si>
    <t>https://violationtracker.goodjobsfirst.org/violation-tracker/tx-travelers-indemnity-company-2</t>
  </si>
  <si>
    <t>https://violationtracker.goodjobsfirst.org/violation-tracker/ky-treehouse-private-brands-inc-0</t>
  </si>
  <si>
    <t>https://violationtracker.goodjobsfirst.org/violation-tracker/il-treehouse-private-brands-inc</t>
  </si>
  <si>
    <t>https://violationtracker.goodjobsfirst.org/violation-tracker/pa-treehouse-foods</t>
  </si>
  <si>
    <t>https://violationtracker.goodjobsfirst.org/violation-tracker/ny-treehouse-private-brands-inc</t>
  </si>
  <si>
    <t>https://violationtracker.goodjobsfirst.org/violation-tracker/ca-united-natural-foods-inc-0</t>
  </si>
  <si>
    <t>https://violationtracker.goodjobsfirst.org/violation-tracker/wa-united-natural-foods-west-inc-0</t>
  </si>
  <si>
    <t>https://violationtracker.goodjobsfirst.org/violation-tracker/nh-united-natural-foods-inc</t>
  </si>
  <si>
    <t>https://violationtracker.goodjobsfirst.org/violation-tracker/ga-united-natural-foods-inc</t>
  </si>
  <si>
    <t>https://violationtracker.goodjobsfirst.org/violation-tracker/ms-united-natural-foods-inc</t>
  </si>
  <si>
    <t>https://violationtracker.goodjobsfirst.org/violation-tracker/-walt-disney-parks-and-resorts-us-inc</t>
  </si>
  <si>
    <t>https://violationtracker.goodjobsfirst.org/violation-tracker/fl-walt-disney-parks-and-resorts-us-inc-1</t>
  </si>
  <si>
    <t>https://violationtracker.goodjobsfirst.org/violation-tracker/ma-wendys-international-llc</t>
  </si>
  <si>
    <t>https://violationtracker.goodjobsfirst.org/violation-tracker/ny-wendys-4</t>
  </si>
  <si>
    <t>https://violationtracker.goodjobsfirst.org/violation-tracker/ma-whirlpool-corporation-0</t>
  </si>
  <si>
    <t>https://violationtracker.goodjobsfirst.org/violation-tracker/co-bargath-llc-14</t>
  </si>
  <si>
    <t>Colorado Oil &amp; Gas Conservation Commission</t>
  </si>
  <si>
    <t>https://violationtracker.goodjobsfirst.org/violation-tracker/la-transcontinental-gas-pipeline-company-ll</t>
  </si>
  <si>
    <t>https://violationtracker.goodjobsfirst.org/violation-tracker/co-the-williams-companies</t>
  </si>
  <si>
    <t>https://violationtracker.goodjobsfirst.org/violation-tracker/va-transcontinental-gas-pipe-line-companyll</t>
  </si>
  <si>
    <t>https://violationtracker.goodjobsfirst.org/violation-tracker/-williams-companies-inc-0</t>
  </si>
  <si>
    <t>Williams agreed to pay over $4 million to settle its role in litigation involving a conspiracy to raise the price of natural gas in Missouri and Kansas.</t>
  </si>
  <si>
    <t>https://violationtracker.goodjobsfirst.org/violation-tracker/wy-williams-field-service-company-llc-0</t>
  </si>
  <si>
    <t>https://violationtracker.goodjobsfirst.org/violation-tracker/oh-williams-sonoma-inc-0</t>
  </si>
  <si>
    <t>https://violationtracker.goodjobsfirst.org/violation-tracker/oh-williams-sonoma-inc-1</t>
  </si>
  <si>
    <t>https://violationtracker.goodjobsfirst.org/violation-tracker/ma-wynn-resorts-and-wynn-ma-llc</t>
  </si>
  <si>
    <t>Wynn Resorts agreed to pay $35 million to settle allegations the company failed to properly investigate or notify the Commission of sexual misconduct.</t>
  </si>
  <si>
    <t>Massachusetts Gaming Commission</t>
  </si>
  <si>
    <t>https://violationtracker.goodjobsfirst.org/violation-tracker/nv-wynn-las-vegas-llc-3</t>
  </si>
  <si>
    <t>Wynn Las Vegas, LLC agreed to pay $20 million to settle allegations that it failed to investigate sexual misconduct claims made against an executive.</t>
  </si>
  <si>
    <t>Nevada Gaming Commission</t>
  </si>
  <si>
    <t>https://violationtracker.goodjobsfirst.org/violation-tracker/nv-wynn-las-vegas-llc-4</t>
  </si>
  <si>
    <t>https://violationtracker.goodjobsfirst.org/violation-tracker/ca-con-way-freight-inc-0</t>
  </si>
  <si>
    <t>https://violationtracker.goodjobsfirst.org/violation-tracker/ct-xpo-logistics-inc</t>
  </si>
  <si>
    <t>https://violationtracker.goodjobsfirst.org/violation-tracker/in-xpo-logistics</t>
  </si>
  <si>
    <t>https://violationtracker.goodjobsfirst.org/violation-tracker/ct-xpo-logistics-freight-inc</t>
  </si>
  <si>
    <t>https://violationtracker.goodjobsfirst.org/violation-tracker/nm-xpo-logistics</t>
  </si>
  <si>
    <t>https://violationtracker.goodjobsfirst.org/violation-tracker/il-xpo-logistics-freight-inc-0</t>
  </si>
  <si>
    <t>Michigan Department of Environmental Quality</t>
  </si>
  <si>
    <t>https://violationtracker.goodjobsfirst.org/violation-tracker/mi-zoetis-llc</t>
  </si>
  <si>
    <t>Duplicated</t>
  </si>
  <si>
    <t>Johnson &amp; Johnson agreed to pay over $6 million to settle litigation alleging it misled consumers into purchasing Infants' Tylenol when the product had the same medicine as lower-cost Children's Tylenol.</t>
  </si>
  <si>
    <t>Refer to 10K/Q, no amount provided</t>
  </si>
  <si>
    <t>The Department of Financial Services entered into consent orders with six life insurance companies to resolve alleged violations of New York Insurance Regulations in deferred to immediate annuity replacement transactions. The insurers, collectively, agreed to pay $1,152,154 in restitution and $673,000 in penalties.</t>
  </si>
  <si>
    <t>Failed to disclose conflict of interests to customers</t>
  </si>
  <si>
    <t>risk management deficiences</t>
  </si>
  <si>
    <t>Quantitative</t>
  </si>
  <si>
    <t>Total amount of monetary losses as a result of legal proceedings associated with</t>
  </si>
  <si>
    <t>(1) Total energy consumed, (2) percentage grid electricity, (3) percentage renew</t>
  </si>
  <si>
    <t>Discussion of long-term and short-term strategy or plan to manage Scope 1 emissi</t>
  </si>
  <si>
    <t>(1) Total water withdrawn, (2) total water consumed, percentage of each in regio</t>
  </si>
  <si>
    <t>Description of water management risks and discussion of strategies and practices</t>
  </si>
  <si>
    <t>Air emissions of the following pollutants: (1) NOx (excluding N2O), (2) SOx, (3)</t>
  </si>
  <si>
    <t>Description of the management of risks associated with the use of critical mater</t>
  </si>
  <si>
    <t>(1) Number of data breaches, (2) percentage involving personally identifiable in</t>
  </si>
  <si>
    <t>Discussion of corporate positions related to government regulations and/or polic</t>
  </si>
  <si>
    <t xml:space="preserve">(1) Total recordable incident rate (TRIR), (2) fatality rate, and (3) near miss </t>
  </si>
  <si>
    <t>Gross global Scope 1 emissions, percentage covered under emissions-limiting regu</t>
  </si>
  <si>
    <t>Gross global Scope 1 emissions, percentage methane, percentage covered under emi</t>
  </si>
  <si>
    <t>Description of approach to incorporation of environmental, social, and governanc</t>
  </si>
  <si>
    <t xml:space="preserve">Percentage of (1) Tier 1 supplier facilities and (2) supplier facilities beyond </t>
  </si>
  <si>
    <t>Number of incidents of non-compliance associated with water quality permits, sta</t>
  </si>
  <si>
    <t>(1) Total recordable incident rate (TRIR) and (2) fatality rate for (a) direct e</t>
  </si>
  <si>
    <t xml:space="preserve">Percentage of gender and racial/ethnic group representation for (1) management, </t>
  </si>
  <si>
    <t>Description of climate change risk exposure analysis, degree of systematic portf</t>
  </si>
  <si>
    <t>Description of the management system for prevention of corruption and bribery th</t>
  </si>
  <si>
    <t>(1) Total fresh water withdrawn, (2) total fresh water consumed, percentage of e</t>
  </si>
  <si>
    <t>Discussion of process to manage risks and opportunities associated with communit</t>
  </si>
  <si>
    <t>Percentage of (1) proved and (2) probable reserves in or near sites with protect</t>
  </si>
  <si>
    <t>Discussion of strategies to reduce the environmental impact of packaging through</t>
  </si>
  <si>
    <t>(1) Total energy consumed by portfolio area with data coverage, (2) percentage g</t>
  </si>
  <si>
    <t>Description of how building energy management considerations are integrated into</t>
  </si>
  <si>
    <t>Number of incidents of non-compliance associated with water quantity and/or qual</t>
  </si>
  <si>
    <t>(1) Total water withdrawn by portfolio area with data coverage and (2) percentag</t>
  </si>
  <si>
    <t>Discussion of approach to measuring, incentivizing, and improving sustainability</t>
  </si>
  <si>
    <t>Percentage of tenants that are separately metered or submetered for (1) grid ele</t>
  </si>
  <si>
    <t>Process Safety Event (PSE) rates for Loss of Primary Containment (LOPC) of great</t>
  </si>
  <si>
    <t xml:space="preserve">Like-for-like percentage change in water withdrawn for portfolio area with data </t>
  </si>
  <si>
    <t>Like-for-like percentage change in energy consumption for the portfolio area wit</t>
  </si>
  <si>
    <t>Description of approach to identifying and addressing data security risks, inclu</t>
  </si>
  <si>
    <t>Energy consumption data coverage as a percentage of total floor area, by propert</t>
  </si>
  <si>
    <t>Water withdrawal data coverage as a percentage of (1) total floor area and (2) f</t>
  </si>
  <si>
    <t>Discussion of processes to assess and manage risks and/or hazards associated wit</t>
  </si>
  <si>
    <t>Description of policies and practices relating to behavioral advertising and use</t>
  </si>
  <si>
    <t>Discussion of the integration of environmental considerations into strategic pla</t>
  </si>
  <si>
    <t>Discussion of engagement processes and due diligence practices with respect to h</t>
  </si>
  <si>
    <t>(1) Percentage of new leases that contain a cost recovery clause for resource ef</t>
  </si>
  <si>
    <t>(1) Total recordable incident rate (TRIR), (2) fatality rate, (3) near miss freq</t>
  </si>
  <si>
    <t>(1) Total weight of packaging, (2) percentage made from recycled and/or renewabl</t>
  </si>
  <si>
    <t>Description of management systems used to identify and mitigate catastrophic and</t>
  </si>
  <si>
    <t>List of countries where core products or services are subject to government-requ</t>
  </si>
  <si>
    <t>Number and aggregate volume of hydrocarbon spills, volume in Arctic, volume impa</t>
  </si>
  <si>
    <t>Amount of gross global Scope 1 emissions from: (1) flared hydrocarbons, (2) othe</t>
  </si>
  <si>
    <t>Discussion of management systems used to integrate a culture of safety throughou</t>
  </si>
  <si>
    <t>Percentage of hydraulically fractured wells for which there is public disclosure</t>
  </si>
  <si>
    <t xml:space="preserve">Volume of produced water and flowback generated; percentage (1) discharged, (2) </t>
  </si>
  <si>
    <t>Percentage of eligible portfolio that (1) has an energy rating and (2) is certif</t>
  </si>
  <si>
    <t>Discussion of how price and demand for hydrocarbons and/or climate regulation in</t>
  </si>
  <si>
    <t>Sensitivity of hydrocarbon reserve levels to future price projection scenarios t</t>
  </si>
  <si>
    <t>(1) Number of law enforcement requests for user information, (2) number of users</t>
  </si>
  <si>
    <t>Percentage of hydraulic fracturing sites where ground or surface water quality d</t>
  </si>
  <si>
    <t>Number of FDA enforcement actions taken in response to violations of current Goo</t>
  </si>
  <si>
    <t>Description of code of ethics governing interactions with health care profession</t>
  </si>
  <si>
    <t>Percentage of gender and racial/ethnic group representation for (1) executive ma</t>
  </si>
  <si>
    <t>Percentage of (1) entity's facilities and (2) Tier I suppliers' facilities parti</t>
  </si>
  <si>
    <t>Process Safety Incidents Count (PSIC), Process Safety Total Incident Rate (PSTIR</t>
  </si>
  <si>
    <t>Number of incidents of non-compliance with industry or regulatory labeling and/o</t>
  </si>
  <si>
    <t>Revenue from products labeled as (1) containing genetically modified organisms (</t>
  </si>
  <si>
    <t>Percentage of (1) proved and (2) probable reserves in countries that have the 20</t>
  </si>
  <si>
    <t>Air emissions of the following pollutants: (1) NOX (excluding N2O), (2) SOX, (3)</t>
  </si>
  <si>
    <t xml:space="preserve">Discussion of engagement processes to manage risks and opportunities associated </t>
  </si>
  <si>
    <t>Discussion of strategy to (1) manage chemicals of concern and (2) develop altern</t>
  </si>
  <si>
    <t xml:space="preserve">Description of efforts to assess, monitor, and reduce exposure of employees and </t>
  </si>
  <si>
    <t>(1) Percentage of products that contain Globally Harmonized System of Classifica</t>
  </si>
  <si>
    <t>Number of (1) performance issues and (2) service disruptions; (3) total customer</t>
  </si>
  <si>
    <t>Discussion of the process to identify and manage products and ingredients relate</t>
  </si>
  <si>
    <t>Global Food Safety Initiative (GFSI) audit (1) non-conformance rate and (2) asso</t>
  </si>
  <si>
    <t>(1) Gross global Scope 1 emissions, percentage covered under (2) emissions-limit</t>
  </si>
  <si>
    <t>Description of approach to incorporation of results of mandatory and voluntary s</t>
  </si>
  <si>
    <t>Revenue from products labeled and/or marketed to promote health and nutrition at</t>
  </si>
  <si>
    <t>Suppliersâ€™ social and environmental responsibility audit (1) non-conformance rat</t>
  </si>
  <si>
    <t>(1) Number and (2) percentage of covered employees with a record of investment-r</t>
  </si>
  <si>
    <t>Discussion of management systems used to integrate a culture of safety and emerg</t>
  </si>
  <si>
    <t>Number and aggregate volume of hydrocarbon spills, volume in Arctic, volume in U</t>
  </si>
  <si>
    <t>Description of environmental management policies and practices for active operat</t>
  </si>
  <si>
    <t>Percentage of products by revenue that contain genetically modified organisms (G</t>
  </si>
  <si>
    <t>Percentage of land owned, leased, and/or operated within areas of protected cons</t>
  </si>
  <si>
    <t>Number of (1) accident releases and (2) non-accident releases (NARs) from rail t</t>
  </si>
  <si>
    <t>Air emissions of the following pollutants: (1) NOx (excluding N2O), (2) SOx, and</t>
  </si>
  <si>
    <t>Percentage of advertising impressions (1) made on children and (2) made on child</t>
  </si>
  <si>
    <t>Percentage of ingredients sourced from Tier 1 supplier facilities certified to a</t>
  </si>
  <si>
    <t>List of priority food ingredients and discussion of sourcing risks due to enviro</t>
  </si>
  <si>
    <t xml:space="preserve">Description of the greatest (1) labor and (2) environmental, health, and safety </t>
  </si>
  <si>
    <t>(1) Total number of notices of food safety violation received, (2) percentage co</t>
  </si>
  <si>
    <t>Description of methods and technologies used to maintain traceability of product</t>
  </si>
  <si>
    <t>Priority non-conformance rate and associated corrective action rate for supplier</t>
  </si>
  <si>
    <t>Discussion of processes to maintain compliance with restricted substances regula</t>
  </si>
  <si>
    <t xml:space="preserve">Percentage of food ingredients sourced from regions with High or Extremely High </t>
  </si>
  <si>
    <t xml:space="preserve">Discussion of process for alerting customers and business partners of potential </t>
  </si>
  <si>
    <t>Percentage of food ingredients sourced that are certified to third-party environ</t>
  </si>
  <si>
    <t>Amount of assets under management, by asset class, that employ (1) integration o</t>
  </si>
  <si>
    <t>Percentage of gender and racial/ethnic group representation for (1) management a</t>
  </si>
  <si>
    <t>Discussion of process to assess and manage environmental and human health consid</t>
  </si>
  <si>
    <t>(1) Number and (2) amount of loans outstanding qualified to programs designed to</t>
  </si>
  <si>
    <t>Number of participants in financial literacy initiatives for unbanked, underbank</t>
  </si>
  <si>
    <t>Total number of nuclear power units, broken down by U.S. Nuclear Regulatory Comm</t>
  </si>
  <si>
    <t xml:space="preserve">Description of environmental and social risks associated with sourcing priority </t>
  </si>
  <si>
    <t>Number of fatalities related to products as reported in the FDA Manufacturer and</t>
  </si>
  <si>
    <t>List of products listed in the FDAâ€™s MedWatch Safety Alerts for Human Medical Pr</t>
  </si>
  <si>
    <t>Discussion of process to identify and manage emerging materials and chemicals of</t>
  </si>
  <si>
    <t>Total amount of products accepted for take-back and reused, recycled, or donated</t>
  </si>
  <si>
    <t>Number of no-cost retail checking accounts provided to previously unbanked or un</t>
  </si>
  <si>
    <t>(1) Average hourly wage and (2) percentage of in-store employees earning minimum</t>
  </si>
  <si>
    <t xml:space="preserve">Description of how price information for each product is disclosed to customers </t>
  </si>
  <si>
    <t>Percentage of raw materials third-party certified to an environmental and/or soc</t>
  </si>
  <si>
    <t>Revenue from products third-party certified to environmental and/or social susta</t>
  </si>
  <si>
    <t>Sales-weighted emissions of: (1) nitrogen oxides (NOx) and (2) particulate matte</t>
  </si>
  <si>
    <t xml:space="preserve">Ratio of weighted average rate of net price increases (for all products) to the </t>
  </si>
  <si>
    <t>Discussion of talent recruitment and retention efforts for scientists and resear</t>
  </si>
  <si>
    <t>Average retail electric rate for (1) residential, (2) commercial, and (3) indust</t>
  </si>
  <si>
    <t>(1) Operational energy consumed, (2) percentage grid electricity, (3) percentage</t>
  </si>
  <si>
    <t>Discussion, by world region, of management process for ensuring quality and pati</t>
  </si>
  <si>
    <t>(1) Number of customers served in markets subject to renewable portfolio standar</t>
  </si>
  <si>
    <t>Number of residential customer electric disconnections for non-payment, percenta</t>
  </si>
  <si>
    <t>Number of actions that led to raids, seizure, arrests, and/or filing of criminal</t>
  </si>
  <si>
    <t>Discussion of impact of external factors on customer affordability of electricit</t>
  </si>
  <si>
    <t>Number of incidents of non-compliance with physical and/or cybersecurity standar</t>
  </si>
  <si>
    <t>(1) System Average Interruption Duration Index (SAIDI), (2) System Average Inter</t>
  </si>
  <si>
    <t xml:space="preserve">Typical monthly electric bill for residential customers for (1) 500 kWh and (2) </t>
  </si>
  <si>
    <t>Total number of coal combustion residual (CCR) impoundments, broken down by haza</t>
  </si>
  <si>
    <t>(1) Number and (2) amount of past due and nonaccrual loans qualified to programs</t>
  </si>
  <si>
    <t>Safety Measurement System BASIC percentiles for: (1) Unsafe Driving, (2) Hours-o</t>
  </si>
  <si>
    <t>Percentage of electric utility revenues from rate structures that (1) are decoup</t>
  </si>
  <si>
    <t>Description of policies and practices for prevention of: (1) corruption and brib</t>
  </si>
  <si>
    <t xml:space="preserve">Discussion of products and/or product features that incentivize health, safety, </t>
  </si>
  <si>
    <t>(1) Voluntary and (2) involuntary turnover rate for: (a) executives/senior manag</t>
  </si>
  <si>
    <t>Description of approach to managing capital- and liquidity-related risks associa</t>
  </si>
  <si>
    <t>Number of FDA Sponsor Inspections related to clinical trial management and pharm</t>
  </si>
  <si>
    <t xml:space="preserve">Exposure to derivative instruments by category: (1) total potential exposure to </t>
  </si>
  <si>
    <t>Number of fatalities associated with products as reported in the FDA Adverse Eve</t>
  </si>
  <si>
    <t>List of products listed in the Food and Drug Administrationâ€™s (FDA) MedWatch Saf</t>
  </si>
  <si>
    <t>(1) Number of complaints filed with the Consumer Financial Protection Bureau (CF</t>
  </si>
  <si>
    <t>(1) Average fees from add-on products, (2) average APR, (3) average age of accou</t>
  </si>
  <si>
    <t>(1) Total fresh water withdrawn, (2) percentage recycled, (3) percentage in regi</t>
  </si>
  <si>
    <t>Discussion of strategy to manage environmental and social risks within the suppl</t>
  </si>
  <si>
    <t>Description of approach to incorporation of environmental risks into (1) the und</t>
  </si>
  <si>
    <t>List of products on the WHO List of Prequalified Medicinal Products as part of i</t>
  </si>
  <si>
    <t xml:space="preserve">Air emissions of the following pollutants: (1) CO, (2) NOx (excluding N2O), (3) </t>
  </si>
  <si>
    <t xml:space="preserve">Approval rate for (1) credit and (2) pre-paid products for applicants with FICO </t>
  </si>
  <si>
    <t>Card-related fraud losses from (1) card-not-present fraud and (2) card-present a</t>
  </si>
  <si>
    <t>Number of settlements of Abbreviated New Drug Application (ANDA) litigation that</t>
  </si>
  <si>
    <t>Percentage of total remuneration for covered employees that is variable and link</t>
  </si>
  <si>
    <t>Percentage of eligible products, by revenue, that meet ENERGY STARÂ® criteria</t>
  </si>
  <si>
    <t>Production in countries that have the 20 lowest rankings in Transparency Interna</t>
  </si>
  <si>
    <t>Probable Maximum Loss (PML) of insured products from weather-related natural cat</t>
  </si>
  <si>
    <t>Description of actions and initiatives to promote access to health care products</t>
  </si>
  <si>
    <t>Percentage of active workforce covered under collective bargaining agreements, b</t>
  </si>
  <si>
    <t>(1) MSHA all-incidence rate, (2) fatality rate, (3) near miss frequency rate (NM</t>
  </si>
  <si>
    <t>Total amount of monetary losses attributable to insurance payouts from (1) model</t>
  </si>
  <si>
    <t>Percentage change in: (1) average list price and (2) average net price across U.</t>
  </si>
  <si>
    <t>Approach to development of Emergency Preparedness and Response Plans (EPRPs) for</t>
  </si>
  <si>
    <t xml:space="preserve">Summary of tailings management systems and governance structure used to monitor </t>
  </si>
  <si>
    <t xml:space="preserve">Tailings storage facility inventory table: (1) facility name, (2) location, (3) </t>
  </si>
  <si>
    <t>Percentage change in: (1) list price and (2) net price of product with largest i</t>
  </si>
  <si>
    <t>(1) List of priority raw materials; for each priority raw material: (2) environm</t>
  </si>
  <si>
    <t>(1) Amount of priority raw materials purchased, by material, and (2) amount of e</t>
  </si>
  <si>
    <t>Amount of palm oil sourced, percentage certified through the Roundtable on Susta</t>
  </si>
  <si>
    <t>Number of calls at ports in countries that have the 20 lowest rankings in Transp</t>
  </si>
  <si>
    <t>(1) Total energy consumed, (2) percentage heavy fuel oil, (3) percentage renewab</t>
  </si>
  <si>
    <t>(1) Total recordable incident rate (TRIR) and (2) near miss frequency rate (NMFR</t>
  </si>
  <si>
    <t>Percentage of mine sites where acid rock drainage is: (1) predicted to occur, (2</t>
  </si>
  <si>
    <t>Shipping duration in marine protected areas or areas of protected conservation s</t>
  </si>
  <si>
    <t>Revenue from products that contain substances on the California DTSC Candidate C</t>
  </si>
  <si>
    <t>(1) Gross global Scope 1 emissions and (2) amount of total emissions from perflu</t>
  </si>
  <si>
    <t>Description of efforts to assess, monitor, and reduce exposure of employees to h</t>
  </si>
  <si>
    <t>Description of approach to ensuring professional integrity, including duty of ca</t>
  </si>
  <si>
    <t>Description of policies and practices to secure customersâ€™ protected health info</t>
  </si>
  <si>
    <t>Discussion of long-term and short-term strategy or plan to manage Scope 1 and li</t>
  </si>
  <si>
    <t>Revenue from products designed to increase fuel efficiency and/or reduce emissio</t>
  </si>
  <si>
    <t>Description of risks and opportunities related to incorporating resource efficie</t>
  </si>
  <si>
    <t>Number of homes delivered certified to a third-party multi-attribute green build</t>
  </si>
  <si>
    <t>Percentage of raw materials from: (1) recycled content, (2) renewable resources,</t>
  </si>
  <si>
    <t>Number of (1) lots and (2) homes delivered in regions with High or Extremely Hig</t>
  </si>
  <si>
    <t>Discussion of process to integrate environmental considerations into site select</t>
  </si>
  <si>
    <t>(1) Total amount of waste from manufacturing, (2) percentage hazardous, (3) perc</t>
  </si>
  <si>
    <t xml:space="preserve">(1) Number of homes that obtained a certified HERSÂ® Index Score and (2) average </t>
  </si>
  <si>
    <t>Percentage of installed water fixtures certified to WaterSenseÂ® specifications</t>
  </si>
  <si>
    <t>Percentage of variable remuneration of Material Risk Takers (MRTs) to which malu</t>
  </si>
  <si>
    <t>Percentage of total remuneration that is variable for Material Risk Takers (MRTs</t>
  </si>
  <si>
    <t>Description of how proximity and access to infrastructure, services, and economi</t>
  </si>
  <si>
    <t>(1) Number and (2) total value of investments and loans incorporating integratio</t>
  </si>
  <si>
    <t>Discussion of policies around supervision, control, and validation of tradersâ€™ p</t>
  </si>
  <si>
    <t>Revenue from products third-party certified to environmental or social sustainab</t>
  </si>
  <si>
    <t>Number of government requests to remove content, percentage compliance with requ</t>
  </si>
  <si>
    <t>(1) Average hourly wage and (2) percentage of in-store and distribution center e</t>
  </si>
  <si>
    <t>Amount of material (1) recycled, (2) composted, and (3) processed as waste-to-en</t>
  </si>
  <si>
    <t>Number of mediation and arbitration cases associated with professional integrity</t>
  </si>
  <si>
    <t>(1) Number of data breaches, (2) percentage involving (a) personally identifiabl</t>
  </si>
  <si>
    <t>(1) Total Toxic Release Inventory (TRI) releases, (2) percentage released to wat</t>
  </si>
  <si>
    <t>Revenue from (1) underwriting, (2) advisory, and (3) securitization transactions</t>
  </si>
  <si>
    <t xml:space="preserve">Percentage of customers receiving (1) recycling and (2) composting services, by </t>
  </si>
  <si>
    <t>(1) Number of recalls, (2) number of units recalled, (3) percentage of units rec</t>
  </si>
  <si>
    <t>Percentage of distribution pipeline that is (1) cast and/or wrought iron and (2)</t>
  </si>
  <si>
    <t>Number of residential customer gas disconnections for non-payment, percentage re</t>
  </si>
  <si>
    <t>Number of incidents of non-compliance associated with water effluent quality per</t>
  </si>
  <si>
    <t>Number of (1) reportable pipeline incidents, (2) Corrective Action Orders (CAO),</t>
  </si>
  <si>
    <t>Percentage of gas utility revenues from rate structures that (1) are decoupled o</t>
  </si>
  <si>
    <t>Average retail gas rate for (1) residential, (2) commercial, (3) industrial cust</t>
  </si>
  <si>
    <t>Description of policies and practices relating to collection, usage, and retenti</t>
  </si>
  <si>
    <t>Discussion of impact of external factors on customer affordability of gas, inclu</t>
  </si>
  <si>
    <t>Description of efforts to manage the integrity of gas delivery infrastructure, i</t>
  </si>
  <si>
    <t>Description of environmental management policies and practices to preserve ecosy</t>
  </si>
  <si>
    <t xml:space="preserve">Typical monthly gas bill for residential customers for (1) 50 MMBtu and (2) 100 </t>
  </si>
  <si>
    <t xml:space="preserve">Tier 1 suppliersâ€™ (1) non-conformance rate with the RBA Validated Audit Process </t>
  </si>
  <si>
    <t>Percentage of revenue from (1) eggs that originated from a cage-free environment</t>
  </si>
  <si>
    <t>Percentage of Tier 1 supplier facilities audited in the RBA Validated Audit Proc</t>
  </si>
  <si>
    <t>(1) Number of data breaches, (2) percentage involving customers' confidential bu</t>
  </si>
  <si>
    <t>Total addressable market and share of market for advanced biofuels and associate</t>
  </si>
  <si>
    <t xml:space="preserve">Number of lodging facilities located in or near areas of protected conservation </t>
  </si>
  <si>
    <t>(1) Amount of waste incinerated, (2) percentage hazardous, (3) percentage used f</t>
  </si>
  <si>
    <t>(1) Average hourly wage and (2) percentage of lodging facility employees earning</t>
  </si>
  <si>
    <t>(1) Number of underground storage tanks (USTs), (2) number of UST releases requi</t>
  </si>
  <si>
    <t>(1) Total landfill gas generated, (2) percentage flared, (3) percentage used for</t>
  </si>
  <si>
    <t xml:space="preserve">Description of waste and hazardous materials management policies and procedures </t>
  </si>
  <si>
    <t>Percentage of Renewable Volume Obligation (RVO) met through: (1) production of r</t>
  </si>
  <si>
    <t>Number of significant incidents associated with hazardous materials and waste ma</t>
  </si>
  <si>
    <t>Discussion of measurement of Operating Discipline and Management System Performa</t>
  </si>
  <si>
    <t xml:space="preserve">Number of residential customer water disconnections for non-payment, percentage </t>
  </si>
  <si>
    <t>Percentage of eligible products, by revenue, meeting ENERGY STARÂ® criteria</t>
  </si>
  <si>
    <t>Number of (1) zero emission vehicles (ZEV), (2) hybrid vehicles, and (3) plug-in</t>
  </si>
  <si>
    <t>Fuel consumed by (1) road transport, percentage (a) natural gas and (b) renewabl</t>
  </si>
  <si>
    <t>(1) Total amount of waste, (2) percentage food waste, and (3) percentage diverte</t>
  </si>
  <si>
    <t>Discussion of the process to assess risks and opportunities associated with "tob</t>
  </si>
  <si>
    <t>Discussion of strategy for managing fleet fuel economy and emissions risks and o</t>
  </si>
  <si>
    <t>Discussion of strategies to manage risks associated with the quality and availab</t>
  </si>
  <si>
    <t>Average retail water rate for (1) residential, (2) commercial, and (3) industria</t>
  </si>
  <si>
    <t>Description of the companyâ€™s marketing policy and relevant positions on Articles</t>
  </si>
  <si>
    <t>Description of strategy to manage opportunities for and risks to forest manageme</t>
  </si>
  <si>
    <t>Typical monthly water bill for residential customers for 10 Ccf of water deliver</t>
  </si>
  <si>
    <t>Description of approach to identifying and addressing data security risks in pro</t>
  </si>
  <si>
    <t>Description of approach to incorporation of liquidity risk management programs i</t>
  </si>
  <si>
    <t xml:space="preserve">Description of engagement processes and due diligence practices with respect to </t>
  </si>
  <si>
    <t>Description of efforts to identify and manage risks and opportunities related to</t>
  </si>
  <si>
    <t>Percentage of vehicle models rated by NCAP programs with an overall 5-star safet</t>
  </si>
  <si>
    <t>Number of (1) acute health-based, (2) non-acute health-based, and (3) non-health</t>
  </si>
  <si>
    <t>Discussion of strategies to manage drinking water contaminants of emerging conce</t>
  </si>
  <si>
    <t>Description of policies and practices relating to behavioral advertising and cus</t>
  </si>
  <si>
    <t>Percentage of (1) eggs that originated from a cage-free environment and (2) pork</t>
  </si>
  <si>
    <t>(1) Number and (2) volume of sanitary sewer overflows (SSO), (3) percentage of v</t>
  </si>
  <si>
    <t>Processor energy efficiency at a system-level for: (1) servers, (2) desktops, an</t>
  </si>
  <si>
    <t>Percentage of food purchased that (1) meets environmental and social sourcing st</t>
  </si>
  <si>
    <t>Discussion of impact of external factors on customer affordability of water, inc</t>
  </si>
  <si>
    <t xml:space="preserve">Percentage of eligible products, by revenue, meeting the requirements for EPEAT </t>
  </si>
  <si>
    <t>Number of advertising impressions made on children, percentage promoting product</t>
  </si>
  <si>
    <t>(1) Average hourly wage, by region and (2) percentage of restaurant employees ea</t>
  </si>
  <si>
    <t>Percentage of water utility revenues from rate structures that are designed to p</t>
  </si>
  <si>
    <t>(1) Percentage of meal options consistent with national dietary guidelines and (</t>
  </si>
  <si>
    <t>(1) Number of unplanned service disruptions, and (2) customers affected, each by</t>
  </si>
  <si>
    <t>(1) Number of law enforcement requests for customer information, (2) number of c</t>
  </si>
  <si>
    <t>Total water sourced from regions with High or Extremely High Baseline Water Stre</t>
  </si>
  <si>
    <t>(1) Percentage of restaurants inspected by a food safety oversight body, (2) per</t>
  </si>
  <si>
    <t>Number of confirmed foodborne illness outbreaks, percentage resulting in U.S. Ce</t>
  </si>
  <si>
    <t>(1) Percentage of childrenâ€™s meal options consistent with national dietary guide</t>
  </si>
  <si>
    <t>(1) Gross revenue and (2) revenue net of excise taxes from (a) non-tobacco nicot</t>
  </si>
  <si>
    <t>Percentage of carriers with BASIC percentiles above the FMCSA intervention thres</t>
  </si>
  <si>
    <t>Percentage of open-end fund assets under management by category of liquidity cla</t>
  </si>
  <si>
    <t>Percentage of beverage ingredients sourced from regions with High or Extremely H</t>
  </si>
  <si>
    <t>(1) Number, (2) value, and (3) weighted average Loan-to-Value (LTV) ratio of mor</t>
  </si>
  <si>
    <t>Number of incidents of non-compliance with environmental permits, standards, and</t>
  </si>
  <si>
    <t xml:space="preserve">(1) Total energy consumed, (2) percentage grid electricity, (3) percentage from </t>
  </si>
  <si>
    <t>(1) Total energy consumed, (2) percentage grid electricity, (3) percentage alter</t>
  </si>
  <si>
    <t>Discussion of strategy to manage environmental and social risks arising from con</t>
  </si>
  <si>
    <t>Discussion of processes to assess and manage environmental risks associated with</t>
  </si>
  <si>
    <t>Discussion of processes to manage business ethics risks throughout the value cha</t>
  </si>
  <si>
    <t>Area of forestland certified to a third-party forest management standard, percen</t>
  </si>
  <si>
    <t>Amount of backlog for non-energy projects associated with climate change mitigat</t>
  </si>
  <si>
    <t xml:space="preserve">Amount of backlog for (1) hydrocarbon-related projects and (2) renewable energy </t>
  </si>
  <si>
    <t>Revenue from (1) zero- and low-calorie, (2) no-added-sugar, and (3) artificially</t>
  </si>
  <si>
    <t>Description of policies and procedures for ensuring nondiscriminatory mortgage o</t>
  </si>
  <si>
    <t>Description of policies and procedures to ensuring pluralism in news media conte</t>
  </si>
  <si>
    <t>Description of risks and opportunities associated with energy policy and its imp</t>
  </si>
  <si>
    <t>Description of risks associated with integration of solar energy into existing e</t>
  </si>
  <si>
    <t>(1) Non-conformance rate with the RBA Validated Audit Process (VAP) or equivalen</t>
  </si>
  <si>
    <t xml:space="preserve">Description of efforts to minimize conflicts of interest and unethical business </t>
  </si>
  <si>
    <t>Description of efforts to minimize health and safety risks of products sold asso</t>
  </si>
  <si>
    <t>Description of approach to optimizing opportunities from ecosystem services prov</t>
  </si>
  <si>
    <t>Description of approach to identifying and addressing data security risks in (1)</t>
  </si>
  <si>
    <t>Description of approach and discussion of strategy to address fuel economy and g</t>
  </si>
  <si>
    <t>Description of policies and practices for prevention of (1) bribery and corrupti</t>
  </si>
  <si>
    <t xml:space="preserve">Description of approach for ensuring journalistic integrity of news programming </t>
  </si>
  <si>
    <t>(1) Number of active projects and (2) backlog in countries that have the 20 lowe</t>
  </si>
  <si>
    <t>Total amount of ship waste discharged to the environment, percentage treated pri</t>
  </si>
  <si>
    <t>Total amount of: (1) hazardous and (2) non-hazardous pharmaceutical waste, perce</t>
  </si>
  <si>
    <t>(1) Materials recovered through take back programs, percentage of recovered mate</t>
  </si>
  <si>
    <t>List of priority beverage ingredients and description of sourcing risks due to e</t>
  </si>
  <si>
    <t>(1) Serious injuries per million passengers and (2) number of voyages with a gas</t>
  </si>
  <si>
    <t>Percentage of livestock from suppliers implementing the Natural Resources Conser</t>
  </si>
  <si>
    <t>Fleet average CDC Vessel Sanitation Program inspection score, percentage of insp</t>
  </si>
  <si>
    <t>(1) Total fuel consumed, (2) percentage coal, (3) percentage natural gas, (4) pe</t>
  </si>
  <si>
    <t>Amount (by weight) of products accepted for take-back and reused, recycled, or d</t>
  </si>
  <si>
    <t>Air emissions of the following pollutants: (1) NOx (excluding N2O), (2) SO2, (3)</t>
  </si>
  <si>
    <t>Air emissions of the following pollutants: (1) NOx (excluding N2O) and (2) parti</t>
  </si>
  <si>
    <t>(1) Voluntary and (2) involuntary turnover rate for: (a) physicians, (b) non-phy</t>
  </si>
  <si>
    <t>Discussion of strategy to manage opportunities and risks to feed sourcing and li</t>
  </si>
  <si>
    <t>Number of (1) commissioned projects certified to a third-party multi-attribute s</t>
  </si>
  <si>
    <t>Percentage of pasture and grazing land managed to Natural Resources Conservation</t>
  </si>
  <si>
    <t>Percentage of products that qualify for credits in sustainable building design a</t>
  </si>
  <si>
    <t xml:space="preserve">Percentage of products by revenue that contain IEC 62474 declarable substances, </t>
  </si>
  <si>
    <t>Discussion of process to incorporate operational-phase energy and water efficien</t>
  </si>
  <si>
    <t>Description of the management of environmental risks associated with the polysil</t>
  </si>
  <si>
    <t>Discussion of due diligence process to qualify suppliers of drug products and me</t>
  </si>
  <si>
    <t xml:space="preserve">Amount of animal litter and manure generated, percentage managed according to a </t>
  </si>
  <si>
    <t>Number of incidents of non-compliance with water quality permits, standards, and</t>
  </si>
  <si>
    <t>Total addressable market and share of market for products that reduce energy, wa</t>
  </si>
  <si>
    <t>(1) Total recordable incident rate (TRIR) and (2) days away, restricted, or tran</t>
  </si>
  <si>
    <t>Discussion of markets that ban imports of the entityâ€™s products</t>
  </si>
  <si>
    <t>Description of policies or initiatives to ensure that patients are adequately in</t>
  </si>
  <si>
    <t>Description of policies and practices to manage the number of prescriptions issu</t>
  </si>
  <si>
    <t>Revenue from countries ranked in the â€œEâ€ orâ€œFâ€ Band of Transparency Internationa</t>
  </si>
  <si>
    <t>Description of approach and strategies to design products for high-value recycli</t>
  </si>
  <si>
    <t>Description of efforts to address ecological and community impacts of wind energ</t>
  </si>
  <si>
    <t>Description of talent recruitment and retention efforts for health care practiti</t>
  </si>
  <si>
    <t>(1) Total energy consumed, (2) percentage heavy fuel oil, (3) percentage onshore</t>
  </si>
  <si>
    <t>Percentage of (1) entityâ€™s facilities and (2) Tier 1 supplier facilities audited</t>
  </si>
  <si>
    <t xml:space="preserve">Description of policies and practices to address: (1) the physical risks due to </t>
  </si>
  <si>
    <t>Description of efforts in solar energy system project development to address com</t>
  </si>
  <si>
    <t>Description of how climate change and other environmental risks are incorporated</t>
  </si>
  <si>
    <t xml:space="preserve">Percentage of wood fiber sourced from (1) third-party certified forestlands and </t>
  </si>
  <si>
    <t>Percentage of supplier and contract production facilities verified to meet anima</t>
  </si>
  <si>
    <t>(1) Number and (2) value of (a) residential mortgage modifications, (b) foreclos</t>
  </si>
  <si>
    <t>Percentage of supplier facilities certified to a Global Food Safety Initiative (</t>
  </si>
  <si>
    <t>Percentage of agricultural products sourced from suppliers certified to a Global</t>
  </si>
  <si>
    <t xml:space="preserve">Percentage of agricultural products sourced that are certified to a third-party </t>
  </si>
  <si>
    <t>Percentage of contracts with producers located in regions with High or Extremely</t>
  </si>
  <si>
    <t>(1) Number and (2) value of residential mortgages of the following types: (a) Hy</t>
  </si>
  <si>
    <t>Percentage of animal production that received (1) medically important antibiotic</t>
  </si>
  <si>
    <t>Percentage of controlled substance prescriptions dispensed for which a prescript</t>
  </si>
  <si>
    <t>Percentage of animal feed sourced from regions with High or Extremely High Basel</t>
  </si>
  <si>
    <t xml:space="preserve">Number of the entityâ€™s 25 most common services for which pricing information is </t>
  </si>
  <si>
    <t>Percentage of controlled substance prescriptions written for which a prescriptio</t>
  </si>
  <si>
    <t>Cruise duration in marine protected areas or areas of protected conservation sta</t>
  </si>
  <si>
    <t xml:space="preserve">Description of efforts to reduce the occurrence of compromised drugs within the </t>
  </si>
  <si>
    <t>Description of risks and opportunities associated with net neutrality, paid peer</t>
  </si>
  <si>
    <t>Discussion of strategies to manage the use of genetically modified organisms (GM</t>
  </si>
  <si>
    <t>Percentage of patient records that are Electronic Health Records (EHR) that meet</t>
  </si>
  <si>
    <t>Number of Serious Reportable Events (SREs) as defined by the National Quality Fo</t>
  </si>
  <si>
    <t>Number of drug recalls issued, total units recalled, percentage for private-labe</t>
  </si>
  <si>
    <t>Percentage of health care facilities that comply with the Centers for Medicare a</t>
  </si>
  <si>
    <t>Magnitude of readmissions payment adjustment as part of the Hospital Readmission</t>
  </si>
  <si>
    <t>Percentage of facilities inspected for safety, percentage of facilities that fai</t>
  </si>
  <si>
    <t>Amount of Medicare Disproportionate Share Hospital (DSH) adjustment payments rec</t>
  </si>
  <si>
    <t>Average Hospital Value-Based Purchasing Total Performance Score and domain score</t>
  </si>
  <si>
    <t>Average actual sustained download speed of (1) owned and commercially-associated</t>
  </si>
  <si>
    <t>Total amount of medical waste, percentage (a) incinerated, (b) recycled or treat</t>
  </si>
  <si>
    <t>(1) Total expected loss and (2) Loss Given Default (LGD) attributable to mortgag</t>
  </si>
  <si>
    <t xml:space="preserve">(1) System average interruption frequency and (2) customer average interruption </t>
  </si>
  <si>
    <t>(1) Floor area and (2) number of buildings under management provided with energy</t>
  </si>
  <si>
    <t>(1) Floor area and (2) number of buildings under management that obtained an ene</t>
  </si>
  <si>
    <t xml:space="preserve">Percentage of agricultural products sourced from regions with High or Extremely </t>
  </si>
  <si>
    <t>Percentage of biofuel production third-party certified to an environmental susta</t>
  </si>
  <si>
    <t>Percentage of campaigns reviewed for adherence with the Advertising Self- Regula</t>
  </si>
  <si>
    <t>Number of incidents of non-compliance associated with air quality permits, stand</t>
  </si>
  <si>
    <t>Percentage of eligible products by revenue certified to the ENERGY STARÂ® program</t>
  </si>
  <si>
    <t>Percentage of eligible products certified to an Association of Home Appliance Ma</t>
  </si>
  <si>
    <t>Percentage of eligible products meeting volatile organic compound (VOC) emission</t>
  </si>
  <si>
    <t>Identification of principal crops and description of risks and opportunities pre</t>
  </si>
  <si>
    <t>(1) Total weight of wood fiber materials purchased, (2) percentage from third-pa</t>
  </si>
  <si>
    <t xml:space="preserve">Discussion of strategy to manage risks associated with environmental impacts of </t>
  </si>
  <si>
    <t>Discussion of strategy or plans to address water consumption and disposal-relate</t>
  </si>
  <si>
    <t>Discussion of strategy or plans to address chemical-related risks, opportunities</t>
  </si>
  <si>
    <t>Discussion of strategy or plans to address air emissions-related risks, opportun</t>
  </si>
  <si>
    <t>Discussion of strategy or plan to address risks and opportunities related to eco</t>
  </si>
  <si>
    <t>Percentage of online gaming operations that implement the National Council on Pr</t>
  </si>
  <si>
    <t>Discussion of process to identify and manage safety risks associated with the us</t>
  </si>
  <si>
    <t xml:space="preserve">Average operating lifetime of fuel cells, by product application and technology </t>
  </si>
  <si>
    <t>Average energy efficiency of fuel cells as (1) electrical efficiency and (2) the</t>
  </si>
  <si>
    <t>Direct suppliersâ€™ social responsibility audit (1) non-conformance rate and (2) a</t>
  </si>
  <si>
    <t>Discussion of policies and practices relating to behavioral advertising and cons</t>
  </si>
  <si>
    <t>Description of efforts to manage productsâ€™ end-of-life impacts</t>
  </si>
  <si>
    <t>Description of approach to manage use, reclamation, and disposal of hazardous ma</t>
  </si>
  <si>
    <t>Description of management systems used to integrate a culture of safety througho</t>
  </si>
  <si>
    <t>Description of efforts to assess, monitor, and mitigate acute and chronic respir</t>
  </si>
  <si>
    <t>Description of efforts to assess, monitor, and reduce exposure of workforce to h</t>
  </si>
  <si>
    <t>Description of efforts to manage product lifecycle impacts and meet demand for s</t>
  </si>
  <si>
    <t>Percentage of claims denied that were appealed by customers and ultimately rever</t>
  </si>
  <si>
    <t>Average battery efficiency as coulombic efficiency, by product application and t</t>
  </si>
  <si>
    <t>Average operating lifetime of batteries, by product application and technology t</t>
  </si>
  <si>
    <t>Percentage of proposed rate increases receiving â€œnot unreasonableâ€ designation f</t>
  </si>
  <si>
    <t>Discussion of the process for managing iron ore and/or coking coal sourcing risk</t>
  </si>
  <si>
    <t>Enrollee retention rate by plan type, including: (1) HMO, (2) local PPO, (3) reg</t>
  </si>
  <si>
    <t xml:space="preserve">Discussion of the strategy to address the effects of climate change on business </t>
  </si>
  <si>
    <t>Percentage of enrollees in wellness programs by type: (1) diet and nutrition, (2</t>
  </si>
  <si>
    <t>Number of customers receiving care from Accountable Care Organizations or enroll</t>
  </si>
  <si>
    <t>Percentage of online advertising impressions that are targeted to custom audienc</t>
  </si>
  <si>
    <t>Amount of net revenue in countries that have the 20 lowest rankings in Transpare</t>
  </si>
  <si>
    <t>Average storage capacity of batteries, by product application and technology typ</t>
  </si>
  <si>
    <t>Average Medicare Advantage plan rating for each of the following plan types: (1)</t>
  </si>
  <si>
    <t>(1) Weight of end-of-life material recovered, (2) percentage of recovered materi</t>
  </si>
  <si>
    <t xml:space="preserve">Total amount of rebates accrued and paid due to non-compliance with the Patient </t>
  </si>
  <si>
    <t>Total fuel consumed, percentage renewable, percentage used in: (1) on-road equip</t>
  </si>
  <si>
    <t>Total coverage for preventive health services with no cost sharing for the enrol</t>
  </si>
  <si>
    <t>Percentage of engines in service that meet Tier 4 compliance for non-road diesel</t>
  </si>
  <si>
    <t>Total Count</t>
  </si>
  <si>
    <t>Reported Count</t>
  </si>
  <si>
    <t>Report Rate</t>
  </si>
  <si>
    <t>Not Applicable</t>
  </si>
  <si>
    <t>Total</t>
  </si>
  <si>
    <t>%</t>
  </si>
  <si>
    <t>Weighted Report Rate (for ranking)</t>
  </si>
  <si>
    <t>Median</t>
  </si>
  <si>
    <t>Higher than mean</t>
  </si>
  <si>
    <t>Mean</t>
  </si>
  <si>
    <t>Truncated Metrics</t>
  </si>
  <si>
    <t>Mean Quantitative</t>
  </si>
  <si>
    <t>Main Industry</t>
  </si>
  <si>
    <t>SASB Industry</t>
  </si>
  <si>
    <t>Corresponding IO Industry</t>
  </si>
  <si>
    <t>Consumer Goods</t>
  </si>
  <si>
    <t>Apparel and leather and allied products</t>
  </si>
  <si>
    <t>Electrical equipment, appliances, and components</t>
  </si>
  <si>
    <t>Miscellaneous manufacturing</t>
  </si>
  <si>
    <t>Housing</t>
  </si>
  <si>
    <t>Extractives &amp; Minerals</t>
  </si>
  <si>
    <t>Nonmetallic mineral products</t>
  </si>
  <si>
    <t>EM-CO</t>
  </si>
  <si>
    <t>Mining, except oil and gas</t>
  </si>
  <si>
    <t>Oil and gas extraction</t>
  </si>
  <si>
    <t>Food &amp; Beverage</t>
  </si>
  <si>
    <t>FB-AB</t>
  </si>
  <si>
    <t>Food and beverage and tobacco products</t>
  </si>
  <si>
    <t>Food services and drinking places</t>
  </si>
  <si>
    <t>Financials</t>
  </si>
  <si>
    <t>Securities, commodity contracts, and investments</t>
  </si>
  <si>
    <t>Federal Reserve banks, credit intermediation, and related activities</t>
  </si>
  <si>
    <t>FN-EX</t>
  </si>
  <si>
    <t>Insurance carriers and related activities</t>
  </si>
  <si>
    <t>Healthcare</t>
  </si>
  <si>
    <t>Chemical products</t>
  </si>
  <si>
    <t>Ambulatory health care services</t>
  </si>
  <si>
    <t>Other retail</t>
  </si>
  <si>
    <t>Infrastructure</t>
  </si>
  <si>
    <t>Construction</t>
  </si>
  <si>
    <t>Utilities</t>
  </si>
  <si>
    <t>Other real estate</t>
  </si>
  <si>
    <t>Waste management and remediation services</t>
  </si>
  <si>
    <t>Renewable resources &amp; Alternative energy</t>
  </si>
  <si>
    <t>Petroleum and coal products</t>
  </si>
  <si>
    <t>Forestry, fishing, and related activities</t>
  </si>
  <si>
    <t>Paper products</t>
  </si>
  <si>
    <t>Resource Transformation</t>
  </si>
  <si>
    <t>Other transportation equipment</t>
  </si>
  <si>
    <t>Machinery</t>
  </si>
  <si>
    <t>Data processing, internet publishing, and other information services</t>
  </si>
  <si>
    <t>Amusements, gambling, and recreation industries</t>
  </si>
  <si>
    <t>SV-ED</t>
  </si>
  <si>
    <t>Educational services</t>
  </si>
  <si>
    <t>Accommodation</t>
  </si>
  <si>
    <t>Motion picture and sound recording industries</t>
  </si>
  <si>
    <t>Miscellaneous professional, scientific, and technical services</t>
  </si>
  <si>
    <t>Technology &amp; Communication</t>
  </si>
  <si>
    <t>Computer and electronic products</t>
  </si>
  <si>
    <t>Fabricated metal products</t>
  </si>
  <si>
    <t>Computer systems design and related services</t>
  </si>
  <si>
    <t>Broadcasting and telecommunications</t>
  </si>
  <si>
    <t>Transportation</t>
  </si>
  <si>
    <t>Air transportation</t>
  </si>
  <si>
    <t>Motor vehicles, bodies and trailers, and parts</t>
  </si>
  <si>
    <t>Water transportation</t>
  </si>
  <si>
    <t>TR-CR</t>
  </si>
  <si>
    <t>Rental and leasing services and lessors of intangible assets</t>
  </si>
  <si>
    <t>Rail transportation</t>
  </si>
  <si>
    <t>Transit and ground passenger transportation</t>
  </si>
  <si>
    <t>MonetaryLoss</t>
  </si>
  <si>
    <t>Qualitative</t>
  </si>
  <si>
    <t>B2C</t>
  </si>
  <si>
    <t>JM Smucker Co/The</t>
  </si>
  <si>
    <t>SunTrust Banks Inc</t>
  </si>
  <si>
    <t>SMUCKER (JM) CO</t>
  </si>
  <si>
    <t>SASB Sample Name</t>
  </si>
  <si>
    <t>Latest Annual datadate</t>
  </si>
  <si>
    <t>cik</t>
  </si>
  <si>
    <t>Name Match</t>
  </si>
  <si>
    <t>Checked? (1 if the SASB name does match with Compustat name)</t>
  </si>
  <si>
    <t>00773T101</t>
  </si>
  <si>
    <t>028070</t>
  </si>
  <si>
    <t>ADVANSIX INC</t>
  </si>
  <si>
    <t>ASIX</t>
  </si>
  <si>
    <t>001449</t>
  </si>
  <si>
    <t>AFLAC INC</t>
  </si>
  <si>
    <t>AFL</t>
  </si>
  <si>
    <t>00846U101</t>
  </si>
  <si>
    <t>126554</t>
  </si>
  <si>
    <t>AGILENT TECHNOLOGIES INC</t>
  </si>
  <si>
    <t>A</t>
  </si>
  <si>
    <t>00123Q104</t>
  </si>
  <si>
    <t>179889</t>
  </si>
  <si>
    <t>AGNC INVESTMENT CORP</t>
  </si>
  <si>
    <t>AGNC</t>
  </si>
  <si>
    <t>001487</t>
  </si>
  <si>
    <t>AMERICAN INTERNATIONAL GROUP</t>
  </si>
  <si>
    <t>AIG</t>
  </si>
  <si>
    <t>00971T101</t>
  </si>
  <si>
    <t>125595</t>
  </si>
  <si>
    <t>AKAMAI TECHNOLOGIES INC</t>
  </si>
  <si>
    <t>AKAM</t>
  </si>
  <si>
    <t>029751</t>
  </si>
  <si>
    <t>ALBEMARLE CORP</t>
  </si>
  <si>
    <t>ALB</t>
  </si>
  <si>
    <t>143974</t>
  </si>
  <si>
    <t>BREAD FINANCIAL HOLDINGS INC</t>
  </si>
  <si>
    <t>BFH</t>
  </si>
  <si>
    <t>Name change Alliance Data Systems Corporation -&gt; Bread Financial in 2022</t>
  </si>
  <si>
    <t>011554</t>
  </si>
  <si>
    <t>ALLIANT ENERGY CORP</t>
  </si>
  <si>
    <t>LNT</t>
  </si>
  <si>
    <t>01973R101</t>
  </si>
  <si>
    <t>177966</t>
  </si>
  <si>
    <t>ALLISON TRANSMISSION HLDGS</t>
  </si>
  <si>
    <t>ALSN</t>
  </si>
  <si>
    <t>010860</t>
  </si>
  <si>
    <t>AMEREN CORP</t>
  </si>
  <si>
    <t>AEE</t>
  </si>
  <si>
    <t>02376R102</t>
  </si>
  <si>
    <t>001045</t>
  </si>
  <si>
    <t>AMERICAN AIRLINES GROUP INC</t>
  </si>
  <si>
    <t>AAL</t>
  </si>
  <si>
    <t>001447</t>
  </si>
  <si>
    <t>AMERICAN EXPRESS CO</t>
  </si>
  <si>
    <t>AXP</t>
  </si>
  <si>
    <t>02665T306</t>
  </si>
  <si>
    <t>017639</t>
  </si>
  <si>
    <t>AMERICAN HOMES 4 RENT</t>
  </si>
  <si>
    <t>AMH</t>
  </si>
  <si>
    <t>03027X100</t>
  </si>
  <si>
    <t>105365</t>
  </si>
  <si>
    <t>AMERICAN TOWER CORP</t>
  </si>
  <si>
    <t>AMT</t>
  </si>
  <si>
    <t>014282</t>
  </si>
  <si>
    <t>AMPHENOL CORP</t>
  </si>
  <si>
    <t>APH</t>
  </si>
  <si>
    <t>03236M200</t>
  </si>
  <si>
    <t>184717</t>
  </si>
  <si>
    <t>AMYRIS INC</t>
  </si>
  <si>
    <t>AMRSQ</t>
  </si>
  <si>
    <t>065556</t>
  </si>
  <si>
    <t>ANNALY CAPITAL MANAGEMENT</t>
  </si>
  <si>
    <t>NLY</t>
  </si>
  <si>
    <t>Antero Midstream</t>
  </si>
  <si>
    <t>name change - Antero Midstream became Antero Midstream Partners LP in 2014 after IPO</t>
  </si>
  <si>
    <t>03674X106</t>
  </si>
  <si>
    <t>018465</t>
  </si>
  <si>
    <t>ANTERO RESOURCES CORP</t>
  </si>
  <si>
    <t>AR</t>
  </si>
  <si>
    <t>03743Q108</t>
  </si>
  <si>
    <t>001678</t>
  </si>
  <si>
    <t>APA CORP</t>
  </si>
  <si>
    <t>APA</t>
  </si>
  <si>
    <t xml:space="preserve">Apache Corporation is a direct, wholly-owned subsidiary of APA </t>
  </si>
  <si>
    <t>328795</t>
  </si>
  <si>
    <t>ARCOSA INC</t>
  </si>
  <si>
    <t>ACA</t>
  </si>
  <si>
    <t>138122</t>
  </si>
  <si>
    <t>ARENA PHARMACEUTICALS INC</t>
  </si>
  <si>
    <t>ARNA</t>
  </si>
  <si>
    <t>001794</t>
  </si>
  <si>
    <t>ASHLAND INC</t>
  </si>
  <si>
    <t>ASH</t>
  </si>
  <si>
    <t>029875</t>
  </si>
  <si>
    <t>AVALONBAY COMMUNITIES INC</t>
  </si>
  <si>
    <t>AVB</t>
  </si>
  <si>
    <t>002049</t>
  </si>
  <si>
    <t>BARNES GROUP INC</t>
  </si>
  <si>
    <t>B.2</t>
  </si>
  <si>
    <t>002086</t>
  </si>
  <si>
    <t>BAXTER INTERNATIONAL INC</t>
  </si>
  <si>
    <t>BAX</t>
  </si>
  <si>
    <t>002111</t>
  </si>
  <si>
    <t>BECTON DICKINSON &amp; CO</t>
  </si>
  <si>
    <t>BDX</t>
  </si>
  <si>
    <t>08579X101</t>
  </si>
  <si>
    <t>013431</t>
  </si>
  <si>
    <t>BERRY CORP</t>
  </si>
  <si>
    <t>BRY</t>
  </si>
  <si>
    <t>Name change - Berry Plastics Group, Inc. changed its name to Berry Global Group, Inc. in 2017</t>
  </si>
  <si>
    <t>09227Q100</t>
  </si>
  <si>
    <t>260893</t>
  </si>
  <si>
    <t>BLACKBAUD INC</t>
  </si>
  <si>
    <t>BLKB</t>
  </si>
  <si>
    <t>033668</t>
  </si>
  <si>
    <t>BLOOM ENERGY CORP</t>
  </si>
  <si>
    <t>BE</t>
  </si>
  <si>
    <t>H11356104</t>
  </si>
  <si>
    <t>144435</t>
  </si>
  <si>
    <t>BUNGE GLOBAL SA</t>
  </si>
  <si>
    <t>BG</t>
  </si>
  <si>
    <t>Name change - Bunge Ltd changed to Bunge Global SA</t>
  </si>
  <si>
    <t>018675</t>
  </si>
  <si>
    <t>BURLINGTON STORES INC</t>
  </si>
  <si>
    <t>BURL</t>
  </si>
  <si>
    <t>002593</t>
  </si>
  <si>
    <t>CABOT CORP</t>
  </si>
  <si>
    <t>CBT</t>
  </si>
  <si>
    <t>020548</t>
  </si>
  <si>
    <t>COTERRA ENERGY INC</t>
  </si>
  <si>
    <t>CTRA</t>
  </si>
  <si>
    <t>Name change - Cabot Oil &amp; Gas changed to Coterra Energy</t>
  </si>
  <si>
    <t>147708</t>
  </si>
  <si>
    <t>CALAVO GROWERS INC</t>
  </si>
  <si>
    <t>CVGW</t>
  </si>
  <si>
    <t>002628</t>
  </si>
  <si>
    <t>CALIFORNIA WATER SERVICE GP</t>
  </si>
  <si>
    <t>CWT</t>
  </si>
  <si>
    <t>13123X508</t>
  </si>
  <si>
    <t>015060</t>
  </si>
  <si>
    <t>CALLON PETROLEUM CO/DE</t>
  </si>
  <si>
    <t>CPE</t>
  </si>
  <si>
    <t>14149Y108</t>
  </si>
  <si>
    <t>002751</t>
  </si>
  <si>
    <t>CARDINAL HEALTH INC</t>
  </si>
  <si>
    <t>CAH</t>
  </si>
  <si>
    <t>14448C104</t>
  </si>
  <si>
    <t>036191</t>
  </si>
  <si>
    <t>CARRIER GLOBAL CORP</t>
  </si>
  <si>
    <t>CARR</t>
  </si>
  <si>
    <t>020228</t>
  </si>
  <si>
    <t>CATALENT INC</t>
  </si>
  <si>
    <t>CTLT</t>
  </si>
  <si>
    <t>002817</t>
  </si>
  <si>
    <t>CATERPILLAR INC</t>
  </si>
  <si>
    <t>CAT</t>
  </si>
  <si>
    <t>018004</t>
  </si>
  <si>
    <t>CENTURY COMMUNITIES INC</t>
  </si>
  <si>
    <t>CCS</t>
  </si>
  <si>
    <t>12541W209</t>
  </si>
  <si>
    <t>065609</t>
  </si>
  <si>
    <t>C H ROBINSON WORLDWIDE INC</t>
  </si>
  <si>
    <t>CHRW</t>
  </si>
  <si>
    <t>15957P303</t>
  </si>
  <si>
    <t>033596</t>
  </si>
  <si>
    <t>CHARAH SOLUTIONS</t>
  </si>
  <si>
    <t>CHRA</t>
  </si>
  <si>
    <t>16115Q308</t>
  </si>
  <si>
    <t>025964</t>
  </si>
  <si>
    <t>CHART INDUSTRIES INC</t>
  </si>
  <si>
    <t>GTLS</t>
  </si>
  <si>
    <t>022741</t>
  </si>
  <si>
    <t>CHEMOURS CO</t>
  </si>
  <si>
    <t>CC</t>
  </si>
  <si>
    <t>16411Q101</t>
  </si>
  <si>
    <t>176914</t>
  </si>
  <si>
    <t>CHENIERE ENERGY PARTNERS LP</t>
  </si>
  <si>
    <t>CQP</t>
  </si>
  <si>
    <t>165914</t>
  </si>
  <si>
    <t>CHIPOTLE MEXICAN GRILL INC</t>
  </si>
  <si>
    <t>CMG</t>
  </si>
  <si>
    <t>003243</t>
  </si>
  <si>
    <t>CITIGROUP INC</t>
  </si>
  <si>
    <t>C</t>
  </si>
  <si>
    <t>021825</t>
  </si>
  <si>
    <t>CITIZENS FINANCIAL GROUP INC</t>
  </si>
  <si>
    <t>CFG</t>
  </si>
  <si>
    <t>12653C108</t>
  </si>
  <si>
    <t>120093</t>
  </si>
  <si>
    <t>CNX RESOURCES CORP</t>
  </si>
  <si>
    <t>CNX</t>
  </si>
  <si>
    <t>003153</t>
  </si>
  <si>
    <t>COEUR MINING INC</t>
  </si>
  <si>
    <t>CDE</t>
  </si>
  <si>
    <t>105936</t>
  </si>
  <si>
    <t>COLUMBIA SPORTSWEAR CO</t>
  </si>
  <si>
    <t>COLM</t>
  </si>
  <si>
    <t>20337X109</t>
  </si>
  <si>
    <t>018036</t>
  </si>
  <si>
    <t>VISTANCE NETWORKS INC</t>
  </si>
  <si>
    <t>VISN</t>
  </si>
  <si>
    <t>Restructure - CommScope Holding Company, Inc. has restructured and became VISTANCE NETWORKS INC in 2026</t>
  </si>
  <si>
    <t>003362</t>
  </si>
  <si>
    <t>CONAGRA BRANDS INC</t>
  </si>
  <si>
    <t>CAG</t>
  </si>
  <si>
    <t>name change - In 2016, ConAgra changed its name to "Conagra Brands"</t>
  </si>
  <si>
    <t>028719</t>
  </si>
  <si>
    <t>CONDUENT INC</t>
  </si>
  <si>
    <t>CNDT</t>
  </si>
  <si>
    <t>003504</t>
  </si>
  <si>
    <t>COOPER COS INC (THE)</t>
  </si>
  <si>
    <t>COO</t>
  </si>
  <si>
    <t>21676P103</t>
  </si>
  <si>
    <t>163765</t>
  </si>
  <si>
    <t>COOPER-STANDARD HOLDINGS INC</t>
  </si>
  <si>
    <t>CPS</t>
  </si>
  <si>
    <t>162894</t>
  </si>
  <si>
    <t>CRESTWOOD EQUITY PARTNERS LP</t>
  </si>
  <si>
    <t>CEQP</t>
  </si>
  <si>
    <t>22822V101</t>
  </si>
  <si>
    <t>113490</t>
  </si>
  <si>
    <t>CROWN CASTLE INC</t>
  </si>
  <si>
    <t>CCI</t>
  </si>
  <si>
    <t>name change - Crown Castle International Corp changed its name to Crown Castle Inc on August 1, 2022</t>
  </si>
  <si>
    <t>002574</t>
  </si>
  <si>
    <t>CSX CORP</t>
  </si>
  <si>
    <t>CSX</t>
  </si>
  <si>
    <t>003650</t>
  </si>
  <si>
    <t>CUMMINS INC</t>
  </si>
  <si>
    <t>CMI</t>
  </si>
  <si>
    <t>G2717C106</t>
  </si>
  <si>
    <t>033809</t>
  </si>
  <si>
    <t>CUSHMAN &amp; WAKEFIELD</t>
  </si>
  <si>
    <t>CWK</t>
  </si>
  <si>
    <t>007241</t>
  </si>
  <si>
    <t>CVS HEALTH CORP</t>
  </si>
  <si>
    <t>CVS</t>
  </si>
  <si>
    <t>23283R100</t>
  </si>
  <si>
    <t>016116</t>
  </si>
  <si>
    <t>CYRUSONE INC</t>
  </si>
  <si>
    <t>CONE</t>
  </si>
  <si>
    <t>003735</t>
  </si>
  <si>
    <t>DANAHER CORP</t>
  </si>
  <si>
    <t>DHR</t>
  </si>
  <si>
    <t>030651</t>
  </si>
  <si>
    <t>DARLING INGREDIENTS INC</t>
  </si>
  <si>
    <t>DAR</t>
  </si>
  <si>
    <t>003835</t>
  </si>
  <si>
    <t>DEERE &amp; CO</t>
  </si>
  <si>
    <t>DE</t>
  </si>
  <si>
    <t>25179M103</t>
  </si>
  <si>
    <t>014934</t>
  </si>
  <si>
    <t>DEVON ENERGY CORP</t>
  </si>
  <si>
    <t>DVN</t>
  </si>
  <si>
    <t>25401T603</t>
  </si>
  <si>
    <t>183603</t>
  </si>
  <si>
    <t>DIGITALBRIDGE GROUP INC</t>
  </si>
  <si>
    <t>DBRG</t>
  </si>
  <si>
    <t>25746U109</t>
  </si>
  <si>
    <t>004029</t>
  </si>
  <si>
    <t>DOMINION ENERGY INC</t>
  </si>
  <si>
    <t>D</t>
  </si>
  <si>
    <t>034443</t>
  </si>
  <si>
    <t>DOW INC</t>
  </si>
  <si>
    <t>DOW</t>
  </si>
  <si>
    <t>26614N102</t>
  </si>
  <si>
    <t>004060</t>
  </si>
  <si>
    <t>DUPONT DE NEMOURS INC</t>
  </si>
  <si>
    <t>DD</t>
  </si>
  <si>
    <t>Y2187A150</t>
  </si>
  <si>
    <t>163685</t>
  </si>
  <si>
    <t>EAGLE BULK SHIPPING INC</t>
  </si>
  <si>
    <t>EGLE.3</t>
  </si>
  <si>
    <t>004213</t>
  </si>
  <si>
    <t>ECOLAB INC</t>
  </si>
  <si>
    <t>ECL</t>
  </si>
  <si>
    <t>28238P109</t>
  </si>
  <si>
    <t>174389</t>
  </si>
  <si>
    <t>EHEALTH INC</t>
  </si>
  <si>
    <t>EHTH</t>
  </si>
  <si>
    <t>29270J100</t>
  </si>
  <si>
    <t>179738</t>
  </si>
  <si>
    <t>ENERGY RECOVERY INC</t>
  </si>
  <si>
    <t>ERII</t>
  </si>
  <si>
    <t>29415F104</t>
  </si>
  <si>
    <t>035497</t>
  </si>
  <si>
    <t>ENVISTA HOLDINGS CORP</t>
  </si>
  <si>
    <t>NVST</t>
  </si>
  <si>
    <t>29415B103</t>
  </si>
  <si>
    <t>023296</t>
  </si>
  <si>
    <t>ENVIVA INC</t>
  </si>
  <si>
    <t>EVVAQ</t>
  </si>
  <si>
    <t>26884L109</t>
  </si>
  <si>
    <t>004430</t>
  </si>
  <si>
    <t>EQT CORP</t>
  </si>
  <si>
    <t>EQT</t>
  </si>
  <si>
    <t>034337</t>
  </si>
  <si>
    <t>EQUITRANS MID CORP</t>
  </si>
  <si>
    <t>ETRN</t>
  </si>
  <si>
    <t>29670G102</t>
  </si>
  <si>
    <t>008542</t>
  </si>
  <si>
    <t>ESSENTIAL UTILITIES INC</t>
  </si>
  <si>
    <t>WTRG</t>
  </si>
  <si>
    <t>030293</t>
  </si>
  <si>
    <t>ESSEX PROPERTY TRUST</t>
  </si>
  <si>
    <t>ESS</t>
  </si>
  <si>
    <t>061567</t>
  </si>
  <si>
    <t>ESTEE LAUDER COMPANIES INC</t>
  </si>
  <si>
    <t>EL</t>
  </si>
  <si>
    <t>30161N101</t>
  </si>
  <si>
    <t>008539</t>
  </si>
  <si>
    <t>EXELON CORP</t>
  </si>
  <si>
    <t>EXC</t>
  </si>
  <si>
    <t>31428X106</t>
  </si>
  <si>
    <t>004598</t>
  </si>
  <si>
    <t>FEDEX CORP</t>
  </si>
  <si>
    <t>FDX</t>
  </si>
  <si>
    <t>004640</t>
  </si>
  <si>
    <t>FIFTH THIRD BANCORP</t>
  </si>
  <si>
    <t>FITB</t>
  </si>
  <si>
    <t>Y2573F102</t>
  </si>
  <si>
    <t>030170</t>
  </si>
  <si>
    <t>FLEX LTD</t>
  </si>
  <si>
    <t>FLEX</t>
  </si>
  <si>
    <t>34354P105</t>
  </si>
  <si>
    <t>004108</t>
  </si>
  <si>
    <t>FLOWSERVE CORP</t>
  </si>
  <si>
    <t>FLS</t>
  </si>
  <si>
    <t>011584</t>
  </si>
  <si>
    <t>FOOT LOCKER INC</t>
  </si>
  <si>
    <t>FL</t>
  </si>
  <si>
    <t>005071</t>
  </si>
  <si>
    <t>GENERAL MILLS INC</t>
  </si>
  <si>
    <t>GIS</t>
  </si>
  <si>
    <t>37045V100</t>
  </si>
  <si>
    <t>005073</t>
  </si>
  <si>
    <t>GENERAL MOTORS CO</t>
  </si>
  <si>
    <t>GM</t>
  </si>
  <si>
    <t>37253A103</t>
  </si>
  <si>
    <t>028408</t>
  </si>
  <si>
    <t>GENTHERM INC</t>
  </si>
  <si>
    <t>THRM</t>
  </si>
  <si>
    <t>025389</t>
  </si>
  <si>
    <t>GRAPHIC PACKAGING HOLDING CO</t>
  </si>
  <si>
    <t>GPK</t>
  </si>
  <si>
    <t>030463</t>
  </si>
  <si>
    <t>GREENBRIER COS INC (THE)</t>
  </si>
  <si>
    <t>GBX</t>
  </si>
  <si>
    <t>Greif Inc.</t>
  </si>
  <si>
    <t>005338</t>
  </si>
  <si>
    <t>GREIF INC  -CL A</t>
  </si>
  <si>
    <t>GEF</t>
  </si>
  <si>
    <t>005496</t>
  </si>
  <si>
    <t>ENVIRI CORP</t>
  </si>
  <si>
    <t>NVRI</t>
  </si>
  <si>
    <t>Name change - Harsco Corporation has officially changed its name to Enviri Corporation.</t>
  </si>
  <si>
    <t>005526</t>
  </si>
  <si>
    <t>HAWAIIAN ELECTRIC INDS</t>
  </si>
  <si>
    <t>HE</t>
  </si>
  <si>
    <t>060902</t>
  </si>
  <si>
    <t>HAWAIIAN HOLDINGS INC</t>
  </si>
  <si>
    <t>HA</t>
  </si>
  <si>
    <t>42250P103</t>
  </si>
  <si>
    <t>013125</t>
  </si>
  <si>
    <t>HEALTHPEAK PROPERTIES INC</t>
  </si>
  <si>
    <t>DOC</t>
  </si>
  <si>
    <t>005597</t>
  </si>
  <si>
    <t>HERSHEY CO</t>
  </si>
  <si>
    <t>HSY</t>
  </si>
  <si>
    <t>42809H107</t>
  </si>
  <si>
    <t>001380</t>
  </si>
  <si>
    <t>HESS CORP</t>
  </si>
  <si>
    <t>HES</t>
  </si>
  <si>
    <t>42824C109</t>
  </si>
  <si>
    <t>026156</t>
  </si>
  <si>
    <t>HEWLETT PACKARD ENTERPRISE</t>
  </si>
  <si>
    <t>HPE</t>
  </si>
  <si>
    <t>020904</t>
  </si>
  <si>
    <t>HOLOGIC INC</t>
  </si>
  <si>
    <t>HOLX</t>
  </si>
  <si>
    <t>005680</t>
  </si>
  <si>
    <t>HOME DEPOT INC</t>
  </si>
  <si>
    <t>HD</t>
  </si>
  <si>
    <t>028192</t>
  </si>
  <si>
    <t>HOWMET AEROSPACE INC</t>
  </si>
  <si>
    <t>HWM</t>
  </si>
  <si>
    <t>40434L105</t>
  </si>
  <si>
    <t>005606</t>
  </si>
  <si>
    <t>HP INC</t>
  </si>
  <si>
    <t>HPQ</t>
  </si>
  <si>
    <t>162401</t>
  </si>
  <si>
    <t>HUNTSMAN CORP</t>
  </si>
  <si>
    <t>HUN</t>
  </si>
  <si>
    <t>006066</t>
  </si>
  <si>
    <t>INTL BUSINESS MACHINES CORP</t>
  </si>
  <si>
    <t>IBM</t>
  </si>
  <si>
    <t>45337C102</t>
  </si>
  <si>
    <t>029127</t>
  </si>
  <si>
    <t>INCYTE CORP</t>
  </si>
  <si>
    <t>INCY</t>
  </si>
  <si>
    <t>45784P101</t>
  </si>
  <si>
    <t>177227</t>
  </si>
  <si>
    <t>INSULET CORP</t>
  </si>
  <si>
    <t>PODD</t>
  </si>
  <si>
    <t>006008</t>
  </si>
  <si>
    <t>INTEL CORP</t>
  </si>
  <si>
    <t>INTC</t>
  </si>
  <si>
    <t>006078</t>
  </si>
  <si>
    <t>INTL FLAVORS &amp; FRAGRANCES</t>
  </si>
  <si>
    <t>IFF</t>
  </si>
  <si>
    <t>006136</t>
  </si>
  <si>
    <t>INTERPUBLIC GROUP OF COS</t>
  </si>
  <si>
    <t>IPG</t>
  </si>
  <si>
    <t>005783</t>
  </si>
  <si>
    <t>HUNT (JB) TRANSPRT SVCS INC</t>
  </si>
  <si>
    <t>JBHT</t>
  </si>
  <si>
    <t>46590V100</t>
  </si>
  <si>
    <t>032154</t>
  </si>
  <si>
    <t>JBG SMITH PPTYS</t>
  </si>
  <si>
    <t>JBGS</t>
  </si>
  <si>
    <t>006266</t>
  </si>
  <si>
    <t>JOHNSON &amp; JOHNSON</t>
  </si>
  <si>
    <t>JNJ</t>
  </si>
  <si>
    <t>G51502105</t>
  </si>
  <si>
    <t>006268</t>
  </si>
  <si>
    <t>JOHNSON CONTROLS INTL PLC</t>
  </si>
  <si>
    <t>JCI</t>
  </si>
  <si>
    <t>46625H100</t>
  </si>
  <si>
    <t>002968</t>
  </si>
  <si>
    <t>JPMORGAN CHASE &amp; CO</t>
  </si>
  <si>
    <t>JPM</t>
  </si>
  <si>
    <t>48282T104</t>
  </si>
  <si>
    <t>025922</t>
  </si>
  <si>
    <t>KADANT INC</t>
  </si>
  <si>
    <t>KAI</t>
  </si>
  <si>
    <t>48666K109</t>
  </si>
  <si>
    <t>012689</t>
  </si>
  <si>
    <t>KB HOME</t>
  </si>
  <si>
    <t>KBH</t>
  </si>
  <si>
    <t>48242W106</t>
  </si>
  <si>
    <t>174310</t>
  </si>
  <si>
    <t>KBR INC</t>
  </si>
  <si>
    <t>KBR</t>
  </si>
  <si>
    <t>006375</t>
  </si>
  <si>
    <t>KELLANOVA</t>
  </si>
  <si>
    <t>K</t>
  </si>
  <si>
    <t xml:space="preserve">Separate -Kellanova was formerly known as Kellogg Company and underwent a separation in 2023, resulting in two independent companies: Kellanova focusing on snacks and plant-based items, and WK Kellogg Co, which owns the North American cereal division. Following its 2023 spin-off, Kellanova (formerly Kellogg Co) trades under ticker "K" on the NYSE. The North American cereal business is a separate company named WK Kellogg Co, which trades under ticker "KLG" on the NYSE. </t>
  </si>
  <si>
    <t>49271V100</t>
  </si>
  <si>
    <t>028877</t>
  </si>
  <si>
    <t>KEURIG DR PEPPER INC</t>
  </si>
  <si>
    <t>KDP</t>
  </si>
  <si>
    <t>006433</t>
  </si>
  <si>
    <t>KIMBALL INTERNATIONAL  -CL B</t>
  </si>
  <si>
    <t>KBAL</t>
  </si>
  <si>
    <t>006435</t>
  </si>
  <si>
    <t>KIMBERLY-CLARK CORP</t>
  </si>
  <si>
    <t>KMB</t>
  </si>
  <si>
    <t>031553</t>
  </si>
  <si>
    <t>KINDER MORGAN CANADA LIMITED</t>
  </si>
  <si>
    <t>KMLGF</t>
  </si>
  <si>
    <t>006502</t>
  </si>
  <si>
    <t>KROGER CO</t>
  </si>
  <si>
    <t>KR</t>
  </si>
  <si>
    <t>006565</t>
  </si>
  <si>
    <t>LAM RESEARCH CORP</t>
  </si>
  <si>
    <t>LRCX</t>
  </si>
  <si>
    <t>028790</t>
  </si>
  <si>
    <t>LAMB WESTON HOLDINGS INC</t>
  </si>
  <si>
    <t>LW</t>
  </si>
  <si>
    <t>161844</t>
  </si>
  <si>
    <t>LAS VEGAS SANDS CORP</t>
  </si>
  <si>
    <t>LVS</t>
  </si>
  <si>
    <t>016477</t>
  </si>
  <si>
    <t>LEAR CORP</t>
  </si>
  <si>
    <t>LEA</t>
  </si>
  <si>
    <t>G9001E128</t>
  </si>
  <si>
    <t>024724</t>
  </si>
  <si>
    <t>LIBERTY LATIN AMERICA LTD</t>
  </si>
  <si>
    <t>LILAK</t>
  </si>
  <si>
    <t>G0508H110</t>
  </si>
  <si>
    <t>034048</t>
  </si>
  <si>
    <t>RIO TINTO LITHIUM</t>
  </si>
  <si>
    <t>ALTM</t>
  </si>
  <si>
    <t>M&amp;A - Livent was acquired by Rio Tinto in 2024</t>
  </si>
  <si>
    <t>155394</t>
  </si>
  <si>
    <t>LKQ CORP</t>
  </si>
  <si>
    <t>LKQ</t>
  </si>
  <si>
    <t>50212V100</t>
  </si>
  <si>
    <t>178519</t>
  </si>
  <si>
    <t>LPL FINANCIAL HOLDINGS INC</t>
  </si>
  <si>
    <t>LPLA</t>
  </si>
  <si>
    <t>N53745100</t>
  </si>
  <si>
    <t>294524</t>
  </si>
  <si>
    <t>LYONDELLBASELL INDUSTRIES</t>
  </si>
  <si>
    <t>LYB</t>
  </si>
  <si>
    <t>55261F104</t>
  </si>
  <si>
    <t>004699</t>
  </si>
  <si>
    <t>M&amp;T BANK CORP</t>
  </si>
  <si>
    <t>MTB</t>
  </si>
  <si>
    <t>029868</t>
  </si>
  <si>
    <t>MACERICH CO</t>
  </si>
  <si>
    <t>MAC</t>
  </si>
  <si>
    <t>55616P104</t>
  </si>
  <si>
    <t>004611</t>
  </si>
  <si>
    <t>MACY'S INC</t>
  </si>
  <si>
    <t>M</t>
  </si>
  <si>
    <t>56585A102</t>
  </si>
  <si>
    <t>186989</t>
  </si>
  <si>
    <t>MARATHON PETROLEUM CORP</t>
  </si>
  <si>
    <t>MPC</t>
  </si>
  <si>
    <t>028930</t>
  </si>
  <si>
    <t>MARRIOTT INTL INC</t>
  </si>
  <si>
    <t>MAR</t>
  </si>
  <si>
    <t>187812</t>
  </si>
  <si>
    <t>MATADOR RESOURCES CO</t>
  </si>
  <si>
    <t>MTDR</t>
  </si>
  <si>
    <t>035374</t>
  </si>
  <si>
    <t>MEDALLIA INC</t>
  </si>
  <si>
    <t>MDLA</t>
  </si>
  <si>
    <t>58933Y105</t>
  </si>
  <si>
    <t>007257</t>
  </si>
  <si>
    <t>MERCK &amp; CO INC</t>
  </si>
  <si>
    <t>MRK</t>
  </si>
  <si>
    <t>59156R108</t>
  </si>
  <si>
    <t>133768</t>
  </si>
  <si>
    <t>METLIFE INC</t>
  </si>
  <si>
    <t>MET</t>
  </si>
  <si>
    <t>007343</t>
  </si>
  <si>
    <t>MICRON TECHNOLOGY INC</t>
  </si>
  <si>
    <t>MU</t>
  </si>
  <si>
    <t>60510V108</t>
  </si>
  <si>
    <t>037019</t>
  </si>
  <si>
    <t>MISSION PRODUCE INC</t>
  </si>
  <si>
    <t>AVO</t>
  </si>
  <si>
    <t>142953</t>
  </si>
  <si>
    <t>MONDELEZ INTERNATIONAL INC</t>
  </si>
  <si>
    <t>MDLZ</t>
  </si>
  <si>
    <t>139665</t>
  </si>
  <si>
    <t>MOODY'S CORP</t>
  </si>
  <si>
    <t>MCO</t>
  </si>
  <si>
    <t>007733</t>
  </si>
  <si>
    <t>NATIONAL FUEL GAS CO</t>
  </si>
  <si>
    <t>NFG</t>
  </si>
  <si>
    <t>162264</t>
  </si>
  <si>
    <t>NEENAH INC</t>
  </si>
  <si>
    <t>NP.2</t>
  </si>
  <si>
    <t>007849</t>
  </si>
  <si>
    <t>NEW JERSEY RESOURCES CORP</t>
  </si>
  <si>
    <t>NJR</t>
  </si>
  <si>
    <t>007881</t>
  </si>
  <si>
    <t>NEWMONT CORP</t>
  </si>
  <si>
    <t>NEM</t>
  </si>
  <si>
    <t>G6518L108</t>
  </si>
  <si>
    <t>100873</t>
  </si>
  <si>
    <t>NIELSEN HOLDINGS PLC</t>
  </si>
  <si>
    <t>NLSN</t>
  </si>
  <si>
    <t>007912</t>
  </si>
  <si>
    <t>NOBLE ENERGY INC</t>
  </si>
  <si>
    <t>NBL</t>
  </si>
  <si>
    <t>G66721104</t>
  </si>
  <si>
    <t>104432</t>
  </si>
  <si>
    <t>NORWEGIAN CRUISE LINE HLDGS</t>
  </si>
  <si>
    <t>NCLH</t>
  </si>
  <si>
    <t>135990</t>
  </si>
  <si>
    <t>NRG ENERGY INC</t>
  </si>
  <si>
    <t>NRG</t>
  </si>
  <si>
    <t>67020Y100</t>
  </si>
  <si>
    <t>061685</t>
  </si>
  <si>
    <t>NUANCE COMMUNICATIONS INC</t>
  </si>
  <si>
    <t>NUAN</t>
  </si>
  <si>
    <t>67066G104</t>
  </si>
  <si>
    <t>117768</t>
  </si>
  <si>
    <t>NVIDIA CORP</t>
  </si>
  <si>
    <t>NVDA</t>
  </si>
  <si>
    <t>134932</t>
  </si>
  <si>
    <t>ON SEMICONDUCTOR CORP</t>
  </si>
  <si>
    <t>ON</t>
  </si>
  <si>
    <t>008151</t>
  </si>
  <si>
    <t>ONEOK INC</t>
  </si>
  <si>
    <t>OKE</t>
  </si>
  <si>
    <t>011721</t>
  </si>
  <si>
    <t>OSHKOSH CORP</t>
  </si>
  <si>
    <t>OSK</t>
  </si>
  <si>
    <t>69036R863</t>
  </si>
  <si>
    <t>008210</t>
  </si>
  <si>
    <t>OVERSEAS SHIPHOLDING GROUP</t>
  </si>
  <si>
    <t>OSG.1</t>
  </si>
  <si>
    <t>69047Q102</t>
  </si>
  <si>
    <t>011781</t>
  </si>
  <si>
    <t>OVINTIV INC</t>
  </si>
  <si>
    <t>OVV</t>
  </si>
  <si>
    <t>008213</t>
  </si>
  <si>
    <t>ACCENDRA HEALTH INC</t>
  </si>
  <si>
    <t>ACH</t>
  </si>
  <si>
    <t>008214</t>
  </si>
  <si>
    <t>OWENS CORNING</t>
  </si>
  <si>
    <t>OC</t>
  </si>
  <si>
    <t>027394</t>
  </si>
  <si>
    <t>PARK HOTELS &amp; RESORTS</t>
  </si>
  <si>
    <t>PK</t>
  </si>
  <si>
    <t>020298</t>
  </si>
  <si>
    <t>PARSLEY ENERGY INC</t>
  </si>
  <si>
    <t>PE</t>
  </si>
  <si>
    <t>70450Y103</t>
  </si>
  <si>
    <t>024616</t>
  </si>
  <si>
    <t>PAYPAL HOLDINGS INC</t>
  </si>
  <si>
    <t>PYPL</t>
  </si>
  <si>
    <t>69327R101</t>
  </si>
  <si>
    <t>008512</t>
  </si>
  <si>
    <t>PDC ENERGY INC</t>
  </si>
  <si>
    <t>PDCE</t>
  </si>
  <si>
    <t>008479</t>
  </si>
  <si>
    <t>PEPSICO INC</t>
  </si>
  <si>
    <t>PEP</t>
  </si>
  <si>
    <t>179621</t>
  </si>
  <si>
    <t>PHILIP MORRIS INTERNATIONAL</t>
  </si>
  <si>
    <t>PM</t>
  </si>
  <si>
    <t>170841</t>
  </si>
  <si>
    <t>PHILLIPS 66</t>
  </si>
  <si>
    <t>PSX</t>
  </si>
  <si>
    <t>72147K108</t>
  </si>
  <si>
    <t>012785</t>
  </si>
  <si>
    <t>PILGRIM'S PRIDE CORP</t>
  </si>
  <si>
    <t>PPC</t>
  </si>
  <si>
    <t>014359</t>
  </si>
  <si>
    <t>PIONEER NATURAL RESOURCES CO</t>
  </si>
  <si>
    <t>PXD</t>
  </si>
  <si>
    <t>72651A207</t>
  </si>
  <si>
    <t>018468</t>
  </si>
  <si>
    <t>PLAINS GP HOLDINGS LP</t>
  </si>
  <si>
    <t>PAGP</t>
  </si>
  <si>
    <t>008692</t>
  </si>
  <si>
    <t>POTLATCHDELTIC CORP</t>
  </si>
  <si>
    <t>PCH</t>
  </si>
  <si>
    <t xml:space="preserve">M&amp;A - PotlatchDeltic Corporation was formed through the merger of Potlatch Corporation and Deltic Timber Corporation. </t>
  </si>
  <si>
    <t>008247</t>
  </si>
  <si>
    <t>PPG INDUSTRIES INC</t>
  </si>
  <si>
    <t>PPG</t>
  </si>
  <si>
    <t>69351T106</t>
  </si>
  <si>
    <t>008455</t>
  </si>
  <si>
    <t>PPL CORP</t>
  </si>
  <si>
    <t>PPL</t>
  </si>
  <si>
    <t>008762</t>
  </si>
  <si>
    <t>PROCTER &amp; GAMBLE CO</t>
  </si>
  <si>
    <t>PG</t>
  </si>
  <si>
    <t>143356</t>
  </si>
  <si>
    <t>PRUDENTIAL FINANCIAL INC</t>
  </si>
  <si>
    <t>PRU</t>
  </si>
  <si>
    <t>74460D109</t>
  </si>
  <si>
    <t>010096</t>
  </si>
  <si>
    <t>PUBLIC STORAGE</t>
  </si>
  <si>
    <t>PSA</t>
  </si>
  <si>
    <t>008551</t>
  </si>
  <si>
    <t>PVH CORP</t>
  </si>
  <si>
    <t>PVH</t>
  </si>
  <si>
    <t>74736A103</t>
  </si>
  <si>
    <t>018573</t>
  </si>
  <si>
    <t>QTS REALTY TRUST INC</t>
  </si>
  <si>
    <t>QTS</t>
  </si>
  <si>
    <t>064891</t>
  </si>
  <si>
    <t>RALPH LAUREN CORP</t>
  </si>
  <si>
    <t>RL</t>
  </si>
  <si>
    <t>75281A109</t>
  </si>
  <si>
    <t>006788</t>
  </si>
  <si>
    <t>RANGE RESOURCES CORP</t>
  </si>
  <si>
    <t>RRC</t>
  </si>
  <si>
    <t>029099</t>
  </si>
  <si>
    <t>REGENCY CENTERS CORP</t>
  </si>
  <si>
    <t>REG</t>
  </si>
  <si>
    <t>7591EP100</t>
  </si>
  <si>
    <t>004674</t>
  </si>
  <si>
    <t>REGIONS FINANCIAL CORP</t>
  </si>
  <si>
    <t>RF</t>
  </si>
  <si>
    <t>76131N101</t>
  </si>
  <si>
    <t>178539</t>
  </si>
  <si>
    <t>RETAIL OPPORTUNITY INVTS CP</t>
  </si>
  <si>
    <t>ROIC</t>
  </si>
  <si>
    <t>019471</t>
  </si>
  <si>
    <t>REVANCE THERAPEUTICS INC</t>
  </si>
  <si>
    <t>RVNC</t>
  </si>
  <si>
    <t>009016</t>
  </si>
  <si>
    <t>REGAL REXNORD CORP</t>
  </si>
  <si>
    <t>RRX</t>
  </si>
  <si>
    <t>009203</t>
  </si>
  <si>
    <t>ROCKWELL AUTOMATION</t>
  </si>
  <si>
    <t>ROK</t>
  </si>
  <si>
    <t>009216</t>
  </si>
  <si>
    <t>ROGERS CORP</t>
  </si>
  <si>
    <t>ROG</t>
  </si>
  <si>
    <t>78409V104</t>
  </si>
  <si>
    <t>007163</t>
  </si>
  <si>
    <t>S&amp;P GLOBAL INC</t>
  </si>
  <si>
    <t>SPGI</t>
  </si>
  <si>
    <t>79466L302</t>
  </si>
  <si>
    <t>157855</t>
  </si>
  <si>
    <t>SALESFORCE INC</t>
  </si>
  <si>
    <t>CRM</t>
  </si>
  <si>
    <t>029217</t>
  </si>
  <si>
    <t>RADIUS RECYCLING INC</t>
  </si>
  <si>
    <t>RDUS</t>
  </si>
  <si>
    <t xml:space="preserve">name change - Radius Recycling Inc. The company has rebranded from Schnitzer Steel Industries to Radius Recycling </t>
  </si>
  <si>
    <t>78413P101</t>
  </si>
  <si>
    <t>031384</t>
  </si>
  <si>
    <t>SEACOR MARINE HLDGS INC</t>
  </si>
  <si>
    <t>SMHI</t>
  </si>
  <si>
    <t>008272</t>
  </si>
  <si>
    <t>SEMPRA ENERGY</t>
  </si>
  <si>
    <t>SRE</t>
  </si>
  <si>
    <t>009667</t>
  </si>
  <si>
    <t>SHERWIN-WILLIAMS CO</t>
  </si>
  <si>
    <t>SHW</t>
  </si>
  <si>
    <t>82981J851</t>
  </si>
  <si>
    <t>027780</t>
  </si>
  <si>
    <t>SITE CENTERS CORP</t>
  </si>
  <si>
    <t>SITC</t>
  </si>
  <si>
    <t>78442P106</t>
  </si>
  <si>
    <t>020430</t>
  </si>
  <si>
    <t>SLM CORP</t>
  </si>
  <si>
    <t>SLM</t>
  </si>
  <si>
    <t>83304A106</t>
  </si>
  <si>
    <t>030091</t>
  </si>
  <si>
    <t>SNAP INC</t>
  </si>
  <si>
    <t>SNAP</t>
  </si>
  <si>
    <t>009850</t>
  </si>
  <si>
    <t>SOUTHERN CO</t>
  </si>
  <si>
    <t>SO</t>
  </si>
  <si>
    <t>009882</t>
  </si>
  <si>
    <t>SOUTHWEST AIRLINES</t>
  </si>
  <si>
    <t>LUV</t>
  </si>
  <si>
    <t>85208M102</t>
  </si>
  <si>
    <t>017934</t>
  </si>
  <si>
    <t>SPROUTS FARMERS MARKET</t>
  </si>
  <si>
    <t>SFM</t>
  </si>
  <si>
    <t>86745K104</t>
  </si>
  <si>
    <t>035395</t>
  </si>
  <si>
    <t>SUNNOVA ENRGY INTL INC</t>
  </si>
  <si>
    <t>NOVAQ</t>
  </si>
  <si>
    <t>86771W105</t>
  </si>
  <si>
    <t>024905</t>
  </si>
  <si>
    <t>SUNRUN INC</t>
  </si>
  <si>
    <t>RUN</t>
  </si>
  <si>
    <t>87105L104</t>
  </si>
  <si>
    <t>032469</t>
  </si>
  <si>
    <t>SWITCH INC</t>
  </si>
  <si>
    <t>SWCH</t>
  </si>
  <si>
    <t>74144T108</t>
  </si>
  <si>
    <t>012138</t>
  </si>
  <si>
    <t>PRICE (T. ROWE) GROUP</t>
  </si>
  <si>
    <t>TROW</t>
  </si>
  <si>
    <t>140541</t>
  </si>
  <si>
    <t>TAPESTRY INC</t>
  </si>
  <si>
    <t>TPR</t>
  </si>
  <si>
    <t>87612G101</t>
  </si>
  <si>
    <t>185532</t>
  </si>
  <si>
    <t>TARGA RESOURCES CORP</t>
  </si>
  <si>
    <t>TRGP</t>
  </si>
  <si>
    <t>003813</t>
  </si>
  <si>
    <t>TARGET CORP</t>
  </si>
  <si>
    <t>TGT</t>
  </si>
  <si>
    <t>87724P106</t>
  </si>
  <si>
    <t>016653</t>
  </si>
  <si>
    <t>TAYLOR MORRISON HOME CORP</t>
  </si>
  <si>
    <t>TMHC</t>
  </si>
  <si>
    <t>87918A105</t>
  </si>
  <si>
    <t>024249</t>
  </si>
  <si>
    <t>TELADOC HEALTH INC</t>
  </si>
  <si>
    <t>TDOC</t>
  </si>
  <si>
    <t>88642R109</t>
  </si>
  <si>
    <t>010565</t>
  </si>
  <si>
    <t>TIDEWATER INC</t>
  </si>
  <si>
    <t>TDW</t>
  </si>
  <si>
    <t>012395</t>
  </si>
  <si>
    <t>TOLL BROTHERS INC</t>
  </si>
  <si>
    <t>TOL</t>
  </si>
  <si>
    <t>87266J104</t>
  </si>
  <si>
    <t>027574</t>
  </si>
  <si>
    <t>TPI COMPOSITES INC</t>
  </si>
  <si>
    <t>TPICQ</t>
  </si>
  <si>
    <t>029736</t>
  </si>
  <si>
    <t>TRACTOR SUPPLY CO</t>
  </si>
  <si>
    <t>TSCO</t>
  </si>
  <si>
    <t>062689</t>
  </si>
  <si>
    <t>TRAVELERS COS INC</t>
  </si>
  <si>
    <t>TRV</t>
  </si>
  <si>
    <t>89469A104</t>
  </si>
  <si>
    <t>163983</t>
  </si>
  <si>
    <t>TREEHOUSE FOODS INC</t>
  </si>
  <si>
    <t>THS</t>
  </si>
  <si>
    <t>010735</t>
  </si>
  <si>
    <t>TRINITY INDUSTRIES INC</t>
  </si>
  <si>
    <t>TRN</t>
  </si>
  <si>
    <t>G9059U107</t>
  </si>
  <si>
    <t>187551</t>
  </si>
  <si>
    <t>TRINSEO PLC</t>
  </si>
  <si>
    <t>TSEOF</t>
  </si>
  <si>
    <t>M&amp;A - Trinseo PLC is the surviving entity after a merger with Trinseo S.A., which was completed in October 2021.</t>
  </si>
  <si>
    <t>89832Q109</t>
  </si>
  <si>
    <t>011856</t>
  </si>
  <si>
    <t>TRUIST FINANCIAL CORP</t>
  </si>
  <si>
    <t>TFC</t>
  </si>
  <si>
    <t>062897</t>
  </si>
  <si>
    <t>TUPPERWARE BRANDS CORP</t>
  </si>
  <si>
    <t>TUPBQ</t>
  </si>
  <si>
    <t>90184L102</t>
  </si>
  <si>
    <t>018872</t>
  </si>
  <si>
    <t>TWITTER INC</t>
  </si>
  <si>
    <t>TWTR</t>
  </si>
  <si>
    <t>010894</t>
  </si>
  <si>
    <t>UDR INC</t>
  </si>
  <si>
    <t>UDR</t>
  </si>
  <si>
    <t>063927</t>
  </si>
  <si>
    <t>UNITED NATURAL FOODS INC</t>
  </si>
  <si>
    <t>UNFI</t>
  </si>
  <si>
    <t>066065</t>
  </si>
  <si>
    <t>UNITED RENTALS INC</t>
  </si>
  <si>
    <t>URI</t>
  </si>
  <si>
    <t>91307C102</t>
  </si>
  <si>
    <t>121440</t>
  </si>
  <si>
    <t>UNITED THERAPEUTICS CORP</t>
  </si>
  <si>
    <t>UTHR</t>
  </si>
  <si>
    <t>91851C201</t>
  </si>
  <si>
    <t>027199</t>
  </si>
  <si>
    <t>VAALCO ENERGY INC</t>
  </si>
  <si>
    <t>EGY</t>
  </si>
  <si>
    <t>91879Q109</t>
  </si>
  <si>
    <t>064344</t>
  </si>
  <si>
    <t>VAIL RESORTS INC</t>
  </si>
  <si>
    <t>MTN</t>
  </si>
  <si>
    <t>69932A204</t>
  </si>
  <si>
    <t>013714</t>
  </si>
  <si>
    <t>PARAMOUNT SKYDANCE CORP</t>
  </si>
  <si>
    <t>PSKY</t>
  </si>
  <si>
    <t>92826C839</t>
  </si>
  <si>
    <t>179534</t>
  </si>
  <si>
    <t>VISA INC</t>
  </si>
  <si>
    <t>V</t>
  </si>
  <si>
    <t>92840M102</t>
  </si>
  <si>
    <t>157373</t>
  </si>
  <si>
    <t>VISTRA CORP</t>
  </si>
  <si>
    <t>VST</t>
  </si>
  <si>
    <t>928563402</t>
  </si>
  <si>
    <t>178083</t>
  </si>
  <si>
    <t>VMWARE INC -CL A</t>
  </si>
  <si>
    <t>VMW</t>
  </si>
  <si>
    <t>011220</t>
  </si>
  <si>
    <t>VORNADO REALTY TRUST</t>
  </si>
  <si>
    <t>VNO</t>
  </si>
  <si>
    <t>92922P106</t>
  </si>
  <si>
    <t>160341</t>
  </si>
  <si>
    <t>W&amp;T OFFSHORE INC</t>
  </si>
  <si>
    <t>WTI</t>
  </si>
  <si>
    <t>011264</t>
  </si>
  <si>
    <t>WALGREENS BOOTS ALLIANCE INC</t>
  </si>
  <si>
    <t>WBA</t>
  </si>
  <si>
    <t>003980</t>
  </si>
  <si>
    <t>DISNEY (WALT) CO</t>
  </si>
  <si>
    <t>DIS</t>
  </si>
  <si>
    <t>93627C101</t>
  </si>
  <si>
    <t>030397</t>
  </si>
  <si>
    <t>WARRIOR MET COAL INC</t>
  </si>
  <si>
    <t>HCC</t>
  </si>
  <si>
    <t>95058W100</t>
  </si>
  <si>
    <t>003708</t>
  </si>
  <si>
    <t>WENDY'S CO</t>
  </si>
  <si>
    <t>WEN</t>
  </si>
  <si>
    <t>175263</t>
  </si>
  <si>
    <t>WESTERN UNION CO</t>
  </si>
  <si>
    <t>WU</t>
  </si>
  <si>
    <t>96208T104</t>
  </si>
  <si>
    <t>162385</t>
  </si>
  <si>
    <t>WEX INC</t>
  </si>
  <si>
    <t>WEX</t>
  </si>
  <si>
    <t>011465</t>
  </si>
  <si>
    <t>WHIRLPOOL CORP</t>
  </si>
  <si>
    <t>WHR</t>
  </si>
  <si>
    <t>011506</t>
  </si>
  <si>
    <t>WILLIAMS COS INC</t>
  </si>
  <si>
    <t>WMB</t>
  </si>
  <si>
    <t>011511</t>
  </si>
  <si>
    <t>WILLIAMS-SONOMA INC</t>
  </si>
  <si>
    <t>WSM</t>
  </si>
  <si>
    <t>149318</t>
  </si>
  <si>
    <t>WYNN RESORTS LTD</t>
  </si>
  <si>
    <t>WYNN</t>
  </si>
  <si>
    <t>144998</t>
  </si>
  <si>
    <t>XPO INC</t>
  </si>
  <si>
    <t>XPO</t>
  </si>
  <si>
    <t>98419M100</t>
  </si>
  <si>
    <t>189491</t>
  </si>
  <si>
    <t>XYLEM INC</t>
  </si>
  <si>
    <t>XYL</t>
  </si>
  <si>
    <t>98978V103</t>
  </si>
  <si>
    <t>013721</t>
  </si>
  <si>
    <t>ZOETIS INC</t>
  </si>
  <si>
    <t>ZTS</t>
  </si>
  <si>
    <t>832696405</t>
  </si>
  <si>
    <t>009777</t>
  </si>
  <si>
    <t>SJM</t>
  </si>
  <si>
    <t>cusip</t>
  </si>
  <si>
    <t>gvkey</t>
  </si>
  <si>
    <t>conm</t>
  </si>
  <si>
    <t>tic</t>
  </si>
  <si>
    <t>ARNC</t>
  </si>
  <si>
    <t>035978</t>
  </si>
  <si>
    <t>03966V107</t>
  </si>
  <si>
    <t>ARCONIC CORP</t>
  </si>
  <si>
    <t>GES</t>
  </si>
  <si>
    <t>GUESS INC</t>
  </si>
  <si>
    <t>Reporting Period</t>
  </si>
  <si>
    <t>Reporting Year</t>
  </si>
  <si>
    <t>11/1/2018 - 10/31/2020</t>
  </si>
  <si>
    <t>7/1/2018 - 6/30/2019</t>
  </si>
  <si>
    <t>9/1/2018– 8/1/ 2020</t>
  </si>
  <si>
    <t>10/31/2018-10/31/2019</t>
  </si>
  <si>
    <t>10/1/2019 - 9/30/2020</t>
  </si>
  <si>
    <t>10/1/2019 -9/30/2020</t>
  </si>
  <si>
    <t>7/1/2019 - 6/30/2020</t>
  </si>
  <si>
    <t>2019 fiscal year (ended in 2020)</t>
  </si>
  <si>
    <t>2018 fiscal year (ended in 2019)</t>
  </si>
  <si>
    <t>2019 fiscal year (ended in 2019)</t>
  </si>
  <si>
    <t>6/30/2019 - 6/27/2020</t>
  </si>
  <si>
    <t>1/1/2018 - 12/31/2020</t>
  </si>
  <si>
    <t>8/1/2019 -7/31/2020</t>
  </si>
  <si>
    <t>2020 fiscal year (1/30/202020-1/30/2021)</t>
  </si>
  <si>
    <t>12/29/2019-1/2/2021</t>
  </si>
  <si>
    <t>Mylan NV</t>
  </si>
  <si>
    <t>2019 and 2020</t>
  </si>
  <si>
    <t>92556V106</t>
  </si>
  <si>
    <t>007637</t>
  </si>
  <si>
    <t>VIATRIS INC</t>
  </si>
  <si>
    <t>VTRS</t>
  </si>
  <si>
    <t>M&amp;A - Mylan NV was acquired by Viatris Inc</t>
  </si>
  <si>
    <t>063447</t>
  </si>
  <si>
    <t>2018 fiscal year (ended December 29, 2018)</t>
  </si>
  <si>
    <t>2019 fiscal year (February 1, 2018 to January 31, 2019)</t>
  </si>
  <si>
    <t>ATKORE INTERNATIONAL GROUP INC</t>
  </si>
  <si>
    <t>ATKR</t>
  </si>
  <si>
    <t>Check</t>
  </si>
  <si>
    <t>Update</t>
  </si>
  <si>
    <t>031109</t>
  </si>
  <si>
    <t>ANTERO MIDSTREAM CORP</t>
  </si>
  <si>
    <t>03676B102</t>
  </si>
  <si>
    <t>027014</t>
  </si>
  <si>
    <t>2020 calendar year and first half of 2021</t>
  </si>
  <si>
    <t>The company starts to trade in 2020 April, the shares outstanding in March 2019 is replaced as 109,021,376 (disclosed in its 2020 10-K https://www.sec.gov/Archives/edgar/data/1790982/000179098220000022/arconic10k.htm). The stock price is replaced as 6.92, the closing price of the first day of trade (April 1, 2020)</t>
  </si>
  <si>
    <t>starts to trade on April 3 2020 -&gt; The shares outstainding is replaced as 866,158,910 shares as if on the spin-off day (in 10-K https://www.sec.gov/ix?doc=/Archives/edgar/data/0001783180/000178318021000011/carr-20201231.htm), the stock price is replaced as the closing price of the first date of trading (April 3, 2020)</t>
  </si>
  <si>
    <t>No book value of equity -&gt; book value of equity (CEQ) is replaced as SEQ (stockholders equity-parent)</t>
  </si>
  <si>
    <t>lineinmaster</t>
  </si>
  <si>
    <t>reporting year</t>
  </si>
  <si>
    <t>latestannualdatadate</t>
  </si>
  <si>
    <t>datadate</t>
  </si>
  <si>
    <t>at</t>
  </si>
  <si>
    <t>ceq</t>
  </si>
  <si>
    <t>che</t>
  </si>
  <si>
    <t>lt</t>
  </si>
  <si>
    <t>gp</t>
  </si>
  <si>
    <t>ni</t>
  </si>
  <si>
    <t>sale</t>
  </si>
  <si>
    <t>csho</t>
  </si>
  <si>
    <t>prcc_f</t>
  </si>
  <si>
    <t>lnat</t>
  </si>
  <si>
    <t>roa</t>
  </si>
  <si>
    <t>lev</t>
  </si>
  <si>
    <t>gpm</t>
  </si>
  <si>
    <t>cash</t>
  </si>
  <si>
    <t>loss</t>
  </si>
  <si>
    <t>btm</t>
  </si>
  <si>
    <t>2020-12-31</t>
  </si>
  <si>
    <t>1055102</t>
  </si>
  <si>
    <t>2018-12-31</t>
  </si>
  <si>
    <t>2020-10-31</t>
  </si>
  <si>
    <t>26874784</t>
  </si>
  <si>
    <t>12653101</t>
  </si>
  <si>
    <t>2019-12-31</t>
  </si>
  <si>
    <t>18581108</t>
  </si>
  <si>
    <t>18802108</t>
  </si>
  <si>
    <t>23608102</t>
  </si>
  <si>
    <t>25816109</t>
  </si>
  <si>
    <t>32095101</t>
  </si>
  <si>
    <t>35710839</t>
  </si>
  <si>
    <t>39653100</t>
  </si>
  <si>
    <t>40047607</t>
  </si>
  <si>
    <t>44186104</t>
  </si>
  <si>
    <t>2019-09-30</t>
  </si>
  <si>
    <t>47649108</t>
  </si>
  <si>
    <t>2020-09-30</t>
  </si>
  <si>
    <t>53484101</t>
  </si>
  <si>
    <t>67806109</t>
  </si>
  <si>
    <t>71813109</t>
  </si>
  <si>
    <t>75887109</t>
  </si>
  <si>
    <t>93712107</t>
  </si>
  <si>
    <t>122017106</t>
  </si>
  <si>
    <t>2021-01-31</t>
  </si>
  <si>
    <t>127055101</t>
  </si>
  <si>
    <t>127097103</t>
  </si>
  <si>
    <t>128246105</t>
  </si>
  <si>
    <t>130788102</t>
  </si>
  <si>
    <t>2020-06-30</t>
  </si>
  <si>
    <t>starts to trade on April 3 2020 -&gt; The shares outstainding is replaced as 866,158,910 shares as if on the spin-off day (in 10-K https://www.sec.gov/ix?doc=/Archives/edgar/data/0001783180/000178318021000011/carr-20201231.htm), the stock price is replaced as 16.92, the closing price of the first date of trading (April 3, 2020)</t>
  </si>
  <si>
    <t>148806102</t>
  </si>
  <si>
    <t>2021-06-30</t>
  </si>
  <si>
    <t>2019-06-30</t>
  </si>
  <si>
    <t>149123101</t>
  </si>
  <si>
    <t>156504300</t>
  </si>
  <si>
    <t>163851108</t>
  </si>
  <si>
    <t>169656105</t>
  </si>
  <si>
    <t>172967424</t>
  </si>
  <si>
    <t>174610105</t>
  </si>
  <si>
    <t>192108504</t>
  </si>
  <si>
    <t>198516106</t>
  </si>
  <si>
    <t>205887102</t>
  </si>
  <si>
    <t>2020-05-31</t>
  </si>
  <si>
    <t>206787103</t>
  </si>
  <si>
    <t>216648501</t>
  </si>
  <si>
    <t>226344208</t>
  </si>
  <si>
    <t>126408103</t>
  </si>
  <si>
    <t>231021106</t>
  </si>
  <si>
    <t>126650100</t>
  </si>
  <si>
    <t>235851102</t>
  </si>
  <si>
    <t>237266101</t>
  </si>
  <si>
    <t>2021-12-31</t>
  </si>
  <si>
    <t>244199105</t>
  </si>
  <si>
    <t>260557103</t>
  </si>
  <si>
    <t>278865100</t>
  </si>
  <si>
    <t>294600101</t>
  </si>
  <si>
    <t>297178105</t>
  </si>
  <si>
    <t>518439104</t>
  </si>
  <si>
    <t>2019-05-31</t>
  </si>
  <si>
    <t>316773100</t>
  </si>
  <si>
    <t>2019-03-31</t>
  </si>
  <si>
    <t>344849104</t>
  </si>
  <si>
    <t>370334104</t>
  </si>
  <si>
    <t>2021-05-31</t>
  </si>
  <si>
    <t>388689101</t>
  </si>
  <si>
    <t>393657101</t>
  </si>
  <si>
    <t>2020-08-31</t>
  </si>
  <si>
    <t>397624107</t>
  </si>
  <si>
    <t>401617105</t>
  </si>
  <si>
    <t>415864107</t>
  </si>
  <si>
    <t>419870100</t>
  </si>
  <si>
    <t>419879101</t>
  </si>
  <si>
    <t>427866108</t>
  </si>
  <si>
    <t>2019-10-31</t>
  </si>
  <si>
    <t>436440101</t>
  </si>
  <si>
    <t>437076102</t>
  </si>
  <si>
    <t>2020-01-31</t>
  </si>
  <si>
    <t>443201108</t>
  </si>
  <si>
    <t>447011107</t>
  </si>
  <si>
    <t>459200101</t>
  </si>
  <si>
    <t>458140100</t>
  </si>
  <si>
    <t>459506101</t>
  </si>
  <si>
    <t>460690100</t>
  </si>
  <si>
    <t>445658107</t>
  </si>
  <si>
    <t>2020-04-30</t>
  </si>
  <si>
    <t>478160104</t>
  </si>
  <si>
    <t>2020-11-30</t>
  </si>
  <si>
    <t>487836108</t>
  </si>
  <si>
    <t>2017-12-31</t>
  </si>
  <si>
    <t>494274103</t>
  </si>
  <si>
    <t>494368103</t>
  </si>
  <si>
    <t>494549702</t>
  </si>
  <si>
    <t>501044101</t>
  </si>
  <si>
    <t>512807306</t>
  </si>
  <si>
    <t>513272104</t>
  </si>
  <si>
    <t>517834107</t>
  </si>
  <si>
    <t>521865204</t>
  </si>
  <si>
    <t>501889208</t>
  </si>
  <si>
    <t>554382101</t>
  </si>
  <si>
    <t>2019-01-31</t>
  </si>
  <si>
    <t>571903202</t>
  </si>
  <si>
    <t>576485205</t>
  </si>
  <si>
    <t>584021109</t>
  </si>
  <si>
    <t>595112103</t>
  </si>
  <si>
    <t>2019-08-31</t>
  </si>
  <si>
    <t>609207105</t>
  </si>
  <si>
    <t>615369105</t>
  </si>
  <si>
    <t>636180101</t>
  </si>
  <si>
    <t>640079109</t>
  </si>
  <si>
    <t>646025106</t>
  </si>
  <si>
    <t>651639106</t>
  </si>
  <si>
    <t>655044105</t>
  </si>
  <si>
    <t>629377508</t>
  </si>
  <si>
    <t>682189105</t>
  </si>
  <si>
    <t>682680103</t>
  </si>
  <si>
    <t>688239201</t>
  </si>
  <si>
    <t>690732102</t>
  </si>
  <si>
    <t>690742101</t>
  </si>
  <si>
    <t>700517105</t>
  </si>
  <si>
    <t>701877102</t>
  </si>
  <si>
    <t>713448108</t>
  </si>
  <si>
    <t>718172109</t>
  </si>
  <si>
    <t>718546104</t>
  </si>
  <si>
    <t>723787107</t>
  </si>
  <si>
    <t>737630103</t>
  </si>
  <si>
    <t>693506107</t>
  </si>
  <si>
    <t>742718109</t>
  </si>
  <si>
    <t>744320102</t>
  </si>
  <si>
    <t>693656100</t>
  </si>
  <si>
    <t>751212101</t>
  </si>
  <si>
    <t>758849103</t>
  </si>
  <si>
    <t>761330109</t>
  </si>
  <si>
    <t>758750103</t>
  </si>
  <si>
    <t>773903109</t>
  </si>
  <si>
    <t>775133101</t>
  </si>
  <si>
    <t>806882106</t>
  </si>
  <si>
    <t>816851109</t>
  </si>
  <si>
    <t>824348106</t>
  </si>
  <si>
    <t>842587107</t>
  </si>
  <si>
    <t>844741108</t>
  </si>
  <si>
    <t>876030107</t>
  </si>
  <si>
    <t>8.7612000000e+110</t>
  </si>
  <si>
    <t>889478103</t>
  </si>
  <si>
    <t>892356106</t>
  </si>
  <si>
    <t>8.9417000000e+113</t>
  </si>
  <si>
    <t>896522109</t>
  </si>
  <si>
    <t>899896104</t>
  </si>
  <si>
    <t>902653104</t>
  </si>
  <si>
    <t>911163103</t>
  </si>
  <si>
    <t>2020-07-31</t>
  </si>
  <si>
    <t>911363109</t>
  </si>
  <si>
    <t>929042109</t>
  </si>
  <si>
    <t>931427108</t>
  </si>
  <si>
    <t>254687106</t>
  </si>
  <si>
    <t>959802109</t>
  </si>
  <si>
    <t>963320106</t>
  </si>
  <si>
    <t>969457100</t>
  </si>
  <si>
    <t>969904101</t>
  </si>
  <si>
    <t>983134107</t>
  </si>
  <si>
    <t>983793100</t>
  </si>
  <si>
    <t>industries</t>
  </si>
  <si>
    <t>List of products listed in the FDAâ€™s MedWatch Safety Alerts for Human Medical Products database</t>
  </si>
  <si>
    <t>Production in countries that have the 20 lowest rankings in Transparency Internationalâ€™s Corruption Perception Index</t>
  </si>
  <si>
    <t>OIL &amp; GAS â€“ EXPLORATION &amp; PRODUCTION</t>
  </si>
  <si>
    <t>Percentage of (1) proved and (2) probable reserves in countries that have the 20 lowest rankings in Transparency Internationalâ€™s Corruption Perception Index</t>
  </si>
  <si>
    <t>List of products listed in the Food and Drug Administrationâ€™s (FDA) MedWatch Safety Alerts for Human Medical Products database</t>
  </si>
  <si>
    <t>Suppliersâ€™ social and environmental responsibility audit (1) non-conformance rate and (2) associated corrective action rate for (a) major and (b) minor non-conformances</t>
  </si>
  <si>
    <t>Percentage of (1) Tier 1 supplier facilities and (2) supplier facilities beyond Tier 1 that have completed the Sustainable Apparel Coalitionâ€™s Higg Facility Environmental Module (Higg FEM) assessment or an equivalent environmental data assessment</t>
  </si>
  <si>
    <t>Priority non-conformance rate and associated corrective action rate for suppliersâ€™ labor code of conduct audits</t>
  </si>
  <si>
    <t>(1) Number of homes that obtained a certified HERSÂ® Index Score and (2) average score</t>
  </si>
  <si>
    <t>(1) Number of active projects and (2) backlog in countries that have the 20 lowest rankings in Transparency Internationalâ€™s Corruption Perception Index</t>
  </si>
  <si>
    <t>OIL &amp; GAS â€“ MIDSTREAM</t>
  </si>
  <si>
    <t>OIL &amp; GAS â€“ REFINING &amp; MARKETING</t>
  </si>
  <si>
    <t>Percentage of Renewable Volume Obligation (RVO) met through: (1) production of renewable fuels, (2) purchase of â€œseparatedâ€ renewable identification numbers (RIN)</t>
  </si>
  <si>
    <t>(1) Percentage of childrenâ€™s meal options consistent with national dietary guidelines for children and (2) revenue from these options</t>
  </si>
  <si>
    <t>Discussion of policies around supervision, control, and validation of tradersâ€™ pricing of Level 3 assets and liabilities</t>
  </si>
  <si>
    <t>Tier 1 suppliersâ€™ (1) non-conformance rate with the RBA Validated Audit Process (VAP) or equivalent, and (2) associated corrective action rate for (a) priority non-conformances and (b) other non-conformances</t>
  </si>
  <si>
    <t>Description of policies and practices to secure customersâ€™ protected health information (PHI) records and other personally identifiable information (PII)</t>
  </si>
  <si>
    <t>Number of the entityâ€™s 25 most common services for which pricing information is publicly available, percentage of total services performed (by volume) that these represent</t>
  </si>
  <si>
    <t>Percentage of proposed rate increases receiving â€œnot unreasonableâ€ designation from Health and Human Services (HHS) review or state review</t>
  </si>
  <si>
    <t>Number of calls at ports in countries that have the 20 lowest rankings in Transparency Internationalâ€™s Corruption Perception Index</t>
  </si>
  <si>
    <t>Percentage of (1) entityâ€™s facilities and (2) Tier 1 supplier facilities audited in the RBA Validated Audit Process (VAP) or equivalent, by (a) all facilities and (b) high-risk facilities</t>
  </si>
  <si>
    <t>(1) Non-conformance rate with the RBA Validated Audit Process (VAP) or equivalent and (2) associated corrective action rate for (a) priority non-conformances and (b) other non-conformances, broken down for (i) the entityâ€™s facilities and (ii) the entityâ€™s Tier 1 supplier facilities</t>
  </si>
  <si>
    <t>Revenue from countries ranked in the â€œEâ€ orâ€œFâ€ Band of Transparency Internationalâ€™sGovernment Defence Anti-Corruption Index</t>
  </si>
  <si>
    <t>Description of the companyâ€™s marketing policy and relevant positions on Articles 11 and 13 of the World Health Organization Framework Convention on Tobacco Control (WHO FCTC)</t>
  </si>
  <si>
    <t>OIL &amp; GAS â€“ SERVICES</t>
  </si>
  <si>
    <t>Amount of net revenue in countries that have the 20 lowest rankings in Transparency Internationalâ€™s Corruption Perception Index</t>
  </si>
  <si>
    <t>Direct suppliersâ€™ social responsibility audit (1) non-conformance rate and (2) associated corrective action rate for (a) priority non-conformances and (b) other non-conformances</t>
  </si>
  <si>
    <t>AGNC is not an open-end fund and is not subject to redemption obligations with respect to its preferred or common stock.1 Thus, AGNC is not subject to redemption risk.</t>
  </si>
  <si>
    <t>AGNC does not write credit derivatives.</t>
  </si>
  <si>
    <t>Energy ratings and ENERGY STAR certification are not applicable to our communication sites.</t>
  </si>
  <si>
    <t>(1) Not applicable.
(2) Not applicable.</t>
  </si>
  <si>
    <t>As primarily a provider of infrastructure that supports the equipment used in downloading data, this metric is largely not applicable.</t>
  </si>
  <si>
    <t>Not applicable</t>
  </si>
  <si>
    <t>Not applicable. Portions of our business related to this question make up less than one percent of our revenue.</t>
  </si>
  <si>
    <t>Not material</t>
  </si>
  <si>
    <t>Annaly is not a residential mortgage originator and as such does not employ loan originators.</t>
  </si>
  <si>
    <t>Arena is focused on research and development activities and does not currently commercialize or market any prescription drug products.</t>
  </si>
  <si>
    <t>Not applicable. As a CDMO, Catalent has no patient-facing activity.</t>
  </si>
  <si>
    <t>Not applicable. Catalent does not market to consumers, and therefore does not set the retail price for any product.</t>
  </si>
  <si>
    <t>Not applicable. Catalent does not market its own products and therefore cannot initiate any recall.</t>
  </si>
  <si>
    <t>Not applicable.</t>
  </si>
  <si>
    <t>No Catalent product is listed on the FDA’s MedWatch Safety Alerts for Human Medical Products database. As a CDMO, Catalent does not sponsor any product listed on the FDA’s MedWatch Safety Alerts for Human Medical Products database.</t>
  </si>
  <si>
    <t>As a non-asset based logistics platform, C.H. Robinson does not implement a SMS with our contract carriers or suppliers.</t>
  </si>
  <si>
    <t>Not Applicable. Chart does not manufacture medium- and heavy-duty vehicles or non-road equipment.</t>
  </si>
  <si>
    <t>According to the Basel Committee on Banking Supervision's assessment methodology, Citizens is not considered to be a G-SIB and accordingly does not have a G-SIB score.</t>
  </si>
  <si>
    <t>As a “Business-to-Business” provider supporting its clients' end customers, Conduent does not receive requests for user information except in its capacity as a service provider for its clients' customers.</t>
  </si>
  <si>
    <t xml:space="preserve">Floor area is not relevant to our business. Crown Castle reports energy consumption data. </t>
  </si>
  <si>
    <t xml:space="preserve">This is our first year of reporting energy consumption. </t>
  </si>
  <si>
    <t xml:space="preserve">Energy ratings are not applicable for our communication infrastructure. Energy ratings for our offices are discussed in “Environment – Greenhouse Gas (GHG) Emissions.” </t>
  </si>
  <si>
    <t xml:space="preserve">Floor area is not relevant to our business. We report water withdrawal data associated with our owned offices. </t>
  </si>
  <si>
    <t xml:space="preserve">This is our first year of reporting water consumption. </t>
  </si>
  <si>
    <t>Not relevant for Darling Ingredients as the company does not grow or produce agricultural products</t>
  </si>
  <si>
    <t>Not relevant for Darling Ingredients as the company does not source agricultural products. Our business model focuses on converting organic residuals from the agri-food meat producers, restaurants, and other food industry sources into value added natural ingredients, and no other materials are utilized in the conversion process.</t>
  </si>
  <si>
    <t>Not relevant for Darling Ingredients as the company does not grow or produce agricultural products.</t>
  </si>
  <si>
    <t xml:space="preserve">Not relevant for Darling Ingredients as the company does not grow or produce agricultural products. </t>
  </si>
  <si>
    <t>Not applicable to John Deere</t>
  </si>
  <si>
    <t>(1) Our leases to do not include cost recovery clauses. 
(2) Floor area is not a relevant metric for our business.</t>
  </si>
  <si>
    <t>Suggested accounting metrics for Fuel Economy &amp; Emissions in Use-phase are not applicable to Energy Recovery’s business. As disclosed below, Energy Recovery modified suggested accounting metrics to demonstrate the energy efficiency and associated benefits of its pressure exchanger devices, an accounting metric it believes is highly relevant to its business model.</t>
  </si>
  <si>
    <t>Enviva does not own, lease, and/or manage any forestland</t>
  </si>
  <si>
    <t>Enviva does not own, lease, and/or manage any fleet or generator. We do own some non-road equipment in our facilities, but this machinery is not a significant part of our operations. Therefore we felt it was not important to disclose this information</t>
  </si>
  <si>
    <t>Enviva does not remanufacture products and/or services.</t>
  </si>
  <si>
    <t>We do not have any reserves in or near areas of conflict</t>
  </si>
  <si>
    <t>To our knowledge, we do not have any reserves in or near Indigenous land.</t>
  </si>
  <si>
    <t>We do not operate in areas of conflict.</t>
  </si>
  <si>
    <t>Exelon does not own CCR impoundments.</t>
  </si>
  <si>
    <t>Not applicable to Greenbrier</t>
  </si>
  <si>
    <t>(1) Not applicable - no owned or operated landfills
(2) Not applicable - no owned or operated landfills
(3) Not applicable - no owned or operated landfills</t>
  </si>
  <si>
    <t>Not applicable - no owned or operated landfills</t>
  </si>
  <si>
    <t>(1) Not applicable – no owned or operated incinerators
(2) Not applicable – no owned or operated incinerators
(3) Not applicable – no owned or operated incinerators</t>
  </si>
  <si>
    <t xml:space="preserve">Hawaiian Electric does not operate any coal-fired power plants and therefore we do not generate any hazardous coal ash. The only generation facility in our service territory that uses coal is owned and operated by a third-party independent power producer (IPP) that generates and sells power to Hawaiian Electric under a power purchase agreement (PPA). The PPA for that plant is scheduled to expire in September 2022, at which time there will be no more coal generation on our system. In 2020, the IPP’s coal plant provided 12% of our total electricity generated and 12% of electricity sales. </t>
  </si>
  <si>
    <t>Not relevant to Kadant’s products or business</t>
  </si>
  <si>
    <t>While this specific standard disclosure is not a relevant metric for Micron given the breadth of the company’s product portfolio and manufacture of memory and storage (rather than processors), Micron recognizes the importance of product energy efficiency. Our approach to this topic and data about the efficiency of some recent products can be found in Products &amp; Innovation | Product Efficiency and Micron 2020 Form 10-K (pp. 4-8).</t>
  </si>
  <si>
    <t>Not applicable. NRG does not own transmission  or distribution lines.</t>
  </si>
  <si>
    <t>NVIDIA is a fabless semiconductor company and does not have its own manufacturing facilities. See Supplier Environmental Management for how we work with suppliers to track energy, water, and waste.</t>
  </si>
  <si>
    <t>Not applicable for onsemi operations.</t>
  </si>
  <si>
    <t>PDC does not operate in areas of conflict.</t>
  </si>
  <si>
    <t>PDC does not operate in areas within or near indigenous lands.</t>
  </si>
  <si>
    <t>PDC does not operate in areas of conflict. Discussion on engagement processes can be found in Community Engagement.</t>
  </si>
  <si>
    <t>PDC does not operate outside of the U.S.</t>
  </si>
  <si>
    <t>We do not sell eggs.</t>
  </si>
  <si>
    <t>N/A - CONFLICT NOT PRESENT IN OR NEAR RESERVES AREA</t>
  </si>
  <si>
    <t>N/A - INDIGENOUS LAND NOT PRESENT IN OR NEAR RESERVES AREA</t>
  </si>
  <si>
    <t>N/A - AREAS OF CONFLICT NOT PRESENT IN OR NEAR</t>
  </si>
  <si>
    <t>N/A - NOT PRESENT</t>
  </si>
  <si>
    <t>Not applicable to PPG products.</t>
  </si>
  <si>
    <t>As a life insurer this topic is not relevant</t>
  </si>
  <si>
    <t>Not applicable to Rexnord.
Rexnord does not sell medium- and heavyduty vehicles, non-road equipment, stationary generators, marine diesel engines, locomotive diesel engines, onroad engines and other non-road engines.</t>
  </si>
  <si>
    <t>According to the Basel Committee on Banking Supervision's assessment methodology, Regions is not considered to be a Global Systemically Important Bank (G-SIB) and, accordingly, does not have a G-SIB score.</t>
  </si>
  <si>
    <t>Not applicable, Rockwell Automation products are not in scope for ENERGY STAR.</t>
  </si>
  <si>
    <t>Rogers manufactures and sells advanced materials that do not contain or process data, or include embedded software, as delivered to customers, so there are no data security risks inherent to Rogers’ products.</t>
  </si>
  <si>
    <t>Rogers does not manufacture or sell any products containing IEC 62474 Declarable Substances above the applicable reporting thresholds. Rogers manages its handling of potentially hazardous substances (including, as applicable, IEC 62474 Declarable Substances) in accordance with the standards and processes described on pages 14-16, which include safety data sheets, product safety information sheets, product safety testing and product labeling requirements.</t>
  </si>
  <si>
    <t>EPEAT registration or equivalent is not directly applicable to Rogers’ products, because these registration structures are designed for complete end products. Rogers manufactures and sells advanced materials consistent with EPEAT criteria and the core principles of environmentally preferred products, for example, by employing Sustainability by Design principles as described on pages 14-15. Accordingly, Rogers’ advanced materials are specifically designed into end products registered under EPEAT.</t>
  </si>
  <si>
    <t>ENERGY STAR® criteria are not directly applicable to Rogers’ products because these criteria are designed for complete end products. Rogers manufactures and sells advanced materials consistent with ENERGY STAR® criteria and the core principles of energy efficiency, for example, by employing Sustainability by Design principles as described on pages 14-15. Accordingly, Rogers’ advanced materials are specifically designed into end products meeting ENERGY STAR® criteria.</t>
  </si>
  <si>
    <t>Not applicable: We do not report on distinct air emissions of the respective pollutants listed. However, we have reported on some of these emissions (i.e. VOCs) within our gross global Scope 1 emissions, in terms of metric tons of CO2-e.</t>
  </si>
  <si>
    <t>Not applicable: We do not report on rates exclusive to "contract employees."</t>
  </si>
  <si>
    <t>No Tier 4 engines presently in service as all recent newbuild projects have required Tier 2 IMO or Tier 3 EPA standards</t>
  </si>
  <si>
    <t>We do not operate any well sites</t>
  </si>
  <si>
    <t>This is not applicable as we do not have employees who “sell” loans or credit cards.</t>
  </si>
  <si>
    <t>No RPS in Retail Electric states</t>
  </si>
  <si>
    <t>Sprouts incorporates 100% 3rd party logistics companies to deliver product to our stores</t>
  </si>
  <si>
    <t>As stated above, we have not identified this topic as material to our organization. Sunnova does not have significant water inputs or outputs in our operations. Our only water use comes from our office facility water use, which are minimal. Therefore, we do not believe our operations pose significant risks to water management.</t>
  </si>
  <si>
    <t>Trinity does not make equipment with engines for transportation purposes and the fuel efficiency does not apply, and Trinity does not calculate sales-weighted fuel efficiency or emissions in this manner. We continue to invest in research and development aimed at products that generate fewer emissions.</t>
  </si>
  <si>
    <t>This does not apply to our business at this time.</t>
  </si>
  <si>
    <t>This disclosure is not applicable to XPO.</t>
  </si>
  <si>
    <t>The Access to Medicines Index is for human health and not relevant to Zoetis as an animal health company.</t>
  </si>
  <si>
    <t>Disclosed Information</t>
  </si>
  <si>
    <t>Reason Summary</t>
  </si>
  <si>
    <t>Energy ratings and Energy Star are not applicable for many of our portfolio companies’ operations. Our data center investments measure their power usage effectiveness (PUE) and already report that data to their boards of directors, and other companies will begin reporting energy consumption to their boards in 2022. See Vertical Bridge Case Study on page 23 for an example.</t>
  </si>
  <si>
    <t>End-of-life metrics, including e-waste recovery and recycling, are not directly applicable to Rogers’ products, because these metrics are designed for complete end products. Several of Rogers product lines incorporate copper, which is widely recovered and recycled as part of standard end-oflife programs for electronics end products.</t>
  </si>
  <si>
    <t>As an open-air shopping center operator that is responsible for exterior common area electricity, SITE Centers is not eligible for Energy Star. SITE Centers' tenants are eligible for Energy Star Retail certification and that process is driven by the respective tenant. The overall results of our tenant efforts are shown on page 11 of this report and described below.</t>
  </si>
  <si>
    <t>AIR FREIGHT &amp; LOGISTICS; ROAD TRANSPORTATION; WASTE MANAGEMENT</t>
  </si>
  <si>
    <t>E-COMMERCE; INTERNET MEDIA &amp; SERVICES; SOFTWARE &amp; IT SERVICES</t>
  </si>
  <si>
    <t>Doesn't engage underlying activity</t>
  </si>
  <si>
    <t>Not specified</t>
  </si>
  <si>
    <t>Undefined number</t>
  </si>
  <si>
    <t>N/A</t>
  </si>
  <si>
    <t>AIG is in the process of revisiting this metric’s applicability and materiality to
the organization. To the extent these disclosures are deemed relevant and
applicable to the organization, we will continue to enhance our disclosures
in future ESG reports.</t>
  </si>
  <si>
    <t>AIG is in the process of revisiting this metric’s applicability and materiality to the
organization. To the extent these disclosures are deemed relevant and applicable
to the organization, we will continue to enhance our disclosures in future ESG
reports.</t>
  </si>
  <si>
    <t>The majority of our products are used within other materials and do not consume energy. Therefore, the ENERGY
STAR® criteria is not applicable for our products.</t>
  </si>
  <si>
    <t>Following SASB’s proposal to remove this metric, we are omitting it from our report.</t>
  </si>
  <si>
    <t>Annaly does not write credit derivatives. For additional information on our exposure to credit derivatives please see our Annual Report on Form 10 K.</t>
  </si>
  <si>
    <t>Plan to discuss in the future</t>
  </si>
  <si>
    <t>Necessary information to comply with the reporting requirement(s) is not complete or validated at this time.</t>
  </si>
  <si>
    <t>The manufacturing process that Barnes uses to provide
parts and components to its customers contribute to the
overall efficiency of the end product; we do not report
those emissions or savings.</t>
  </si>
  <si>
    <t>Baxter does not disclose this data. See Contractual Arrangements in Baxter’s 2019 Annual Report on Form 10-K (page 3) for information about some factors that impact product pricing.</t>
  </si>
  <si>
    <t>Not reported.</t>
  </si>
  <si>
    <t>The Company recently began tracking this data and expects to report on this metric in future ESG reports.</t>
  </si>
  <si>
    <t>C.H. Robinson does not currently report this metric but will continue to evaluate in the future.</t>
  </si>
  <si>
    <t>Citi does not report this information.</t>
  </si>
  <si>
    <t>Citi does not track this information.</t>
  </si>
  <si>
    <t>Citizens does not track this in a way that is fully correlative with this disclosure metric. We report related information on pages 29–31 of this report.</t>
  </si>
  <si>
    <t>n/a</t>
  </si>
  <si>
    <t>CommScope doesn’t currently have the global data available to disclose a percentage for racial/ethnic group representation as defined by this metric; however, all information on gender representation can be found in the 2021 Sustainability Report appendices.</t>
  </si>
  <si>
    <t>CommScope doesn’t currently have the data available to calculate the percentage of revenue from electrical, electronic and related technology products sold that contain a declarable substance(s). We describe our approach to managing the use of substances that appear as declarable substance groups or declarable substances in IEC 62474 in our Sustainability Report.</t>
  </si>
  <si>
    <t>CommScope isn’t aware of any of our products that fall within the scope of EPEAT or equivalent registration.</t>
  </si>
  <si>
    <t>Conagra Brands fully supports the National Bioengineered Food Disclosure Law, which requires food companies to include information about GMOs on product labels and online. Now that the final National Bioengineered Food Disclosure Standard has been issued by the USDA, we intend to comply fully and are on track to include information about GMOs on product labels and online by the January 2022 compliance deadline.</t>
  </si>
  <si>
    <t>Conduent routinely processes significant volumes of data (including PII and PHI) for a broad, diversified global customer base. Accordingly, we are periodically subjected to unauthorized attempts to compromise or acquire data.
To protect Conduent and our customers, we do not broadly disclose specifics regarding these attempts other than in instances where we are legally required to do so. We maintain an information security program that is aligned with the NIST framework and standards as well as applicable industry regulatory requirements. The program is continuously reviewed and strengthened as necessary to ensure responsiveness to and protection against actual and emerging threats.</t>
  </si>
  <si>
    <t>For competitive and security reasons, we chose not to disclose this information at this time. Conduent continuously improves the quality of its solutions and services to maximize uptime and performance.</t>
  </si>
  <si>
    <t>At this time, Crestwood does not collect this data. We will assess collecting this for future reporting years.</t>
  </si>
  <si>
    <t>We do not track this figure, but new infrastructure is required to undergo an assessment of resiliency, including if the chosen location is in a 100-year floodplain.</t>
  </si>
  <si>
    <t>We do not currently track this figure across our full asset portfolio.</t>
  </si>
  <si>
    <t>We do not currently engage with tenants in our asset portfolio on sustainability impacts.</t>
  </si>
  <si>
    <t>Cummins does not currently calculate sales-weighted emissions, but it has made significant progress in reducing NOx and PM.</t>
  </si>
  <si>
    <t>For owners, we offer a variety of property management services, which include client accounting, engineering and operations, lease compliance administration, project and development services and sustainability services. See the section Sustainability Services for more information on the energy and sustainability services we provide to clients.
We do not currently report revenue from transactions associated with energy and sustainability services separately from reporting of our total revenue.</t>
  </si>
  <si>
    <t>Dual agency occurs when Cushman &amp; Wakefield professionals represent both the owner and prospect with respect to the same property. Our policy is that such dual agency must be properly disclosed and consented to by both the owner and prospect (in accordance with applicable law and our policy). If disclosure is not required by local law, our policy on dual agency still requires our professionals inform both the prospect and owner immediately upon learning of dual agency. Following notification, the professionals involved are required to either receive express, written approval or withdraw from the transaction. If dual agency is approved, our policy requires steps be taken to ensure loyalty and good faith towards both parties.</t>
  </si>
  <si>
    <t>(1) Metric not reported
(2) Metric not reported</t>
  </si>
  <si>
    <t>While our suppliers must acknowledge and abide by our Supplier Code of Conduct, we do not currently audit their conformance with our Code.</t>
  </si>
  <si>
    <t>Not Disclosed</t>
  </si>
  <si>
    <t>As a global investment company with investments in infrastructure operating companies, we do not currently aggregate energy consumption at the full portfolio level. However, as part of our Net Zero 2030 commitment, DigitalBridge has required our portfolio companies to calculate and report their greenhouse gas emissions footprint in 2021.</t>
  </si>
  <si>
    <t>As a global investment company with investments in infrastructure operating companies, we do not currently aggregate energy consumption at the full portfolio level. However, as part of our Net Zero 2030 commitment, DigitalBridge has required our portfolio companies to calculate and report their greenhouse gas emissions footprint in 2021. We expect our portfolio companies to begin reporting energy
consumption data at the board level in 2022.</t>
  </si>
  <si>
    <t>As water management is not a material consideration for the tower, fiber and small cell companies in which we invest, we do not currently track water withdrawal at the full portfolio level. For our data center investments where the business has identified water consumption to be a material environmental issue, we encourage water consumption KPIs (e.g., water usage effectiveness (WUE)) to be tracked and reported to the board of directors to facilitate management of this issue.</t>
  </si>
  <si>
    <t>We advise our portfolio companies to identify, manage, monitor and report their most material environmental issues. Where water resources are included, we would expect the relevant portfolio company to report these metrics at the board level on a quarterly basis. We also advise portfolio companies to assess their physical climate risks, including if any of their locations are in regions with High or Extremely High Baseline Water Stress.</t>
  </si>
  <si>
    <t>DigitalBridge is an investment platform focused on the full spectrum of digital infrastructure, including towers, data centers, fiber and small cells. Water consumption considerations are not applicable to the majority of these assets. We do not currently track this data across the portfolio.</t>
  </si>
  <si>
    <t>This metric is dependent on the business model of the individual operating companies in which DigitalBridge invests. We do not currently track this figure across our portfolio.</t>
  </si>
  <si>
    <t>DigitalBridge is an investment platform focused on the full spectrum of digital infrastructure, including towers, data centers, fiber and small cells. As the data centers in our portfolio seek to reduce their carbon footprint, some are collaborating with tenants to jointly address their emissions reduction goals.</t>
  </si>
  <si>
    <t>We do not track this figure, but relevant prospective new investments undergo an assessment of resiliency, including if the chosen location is in a 100-year floodplain, as part of the due diligence process. We advise all current portfolio companies to assess their physical climate risks and have provided a template for them to do so.</t>
  </si>
  <si>
    <t>N/R</t>
  </si>
  <si>
    <t>Not reported</t>
  </si>
  <si>
    <t>Refer to Biofuel Standard, RR-BI-120a.1 above</t>
  </si>
  <si>
    <t>At certain of our sites, we either use solar technology to generate power or capture natural gas from the field to power fuel cells, generating on-site energy. We do not track the amount of energy produced by these means as it is only used in remote locations and on a limited basis.</t>
  </si>
  <si>
    <t>The Company is in the process of defining and analyzing the potential to measure this aspect.</t>
  </si>
  <si>
    <t>micro-stoppages all the time. We will</t>
  </si>
  <si>
    <t>evaluate the feasibility to track and</t>
  </si>
  <si>
    <t>disclose this data in the short term.</t>
  </si>
  <si>
    <t>Manufacturing experiences many micro-stoppages all the time. We will evaluate the feasibility to track and disclose this data in the short term.</t>
  </si>
  <si>
    <t>Our circular economy team is working to have these metrics in the short-term, and we are exploring to start tracking with the rest of the operational segments. For the majority of our business, we do not make our own products—we are the production provider for our customers. To understand our business model, please see Business Overview in our 2020 Form 10-K.</t>
  </si>
  <si>
    <t>NR</t>
  </si>
  <si>
    <t>Data: This information is not currently provided, but will be considered for future reporting.</t>
  </si>
  <si>
    <t>Data: In FY19 and FY20, we did not identify any serious violations to our GSG or local laws in the audits of Tier 1 factories. When issues are found, Tier 1 suppliers are given the opportunity to remediate any findings after the audit. Our Sourcing team communicates deficiencies identified and then partners with our suppliers on a timeline to implement corrective actions.</t>
  </si>
  <si>
    <t>Data: This information is not currently provided, but will be considered for future reporting. At this time, we are working with our internal teams to explore sustainable fabric and trims in our proprietary brand product development.</t>
  </si>
  <si>
    <t>Data: This information is not currently provided, but will be considered for future reporting. For information on minimum wage by region, see Human Capital Management section. Reference: Human Capital Management (pg. 14)</t>
  </si>
  <si>
    <t>Data: This information is not currently provided, but will be considered for future reporting. For information on minimum wage by region, see Human Capital Management section.
Reference: Human Capital Management (pg. 14)</t>
  </si>
  <si>
    <t>Data: This information is not currently provided, but will be considered for future reporting. Foot Locker, Inc. is currently evaluating processes to track and monitor this information.</t>
  </si>
  <si>
    <t>We label all of our FDA regulated products as either “Produced with” or “Partially Produced with Genetic Engineering” if they contain more than 0.9% GMO ingredients.</t>
  </si>
  <si>
    <t>GM does not compile this information outside of the EU where the End of Life Vehicle (ELV) law requires OEMs to have programs to retrieve and recycle our vehicles. No other region of sale has this requirement. However, the automobile is considered the most reused and recycled product in the marketplace. In North America and other regions, there is a well-established automotive dismantling industry that manages this activity. Per the Automotive Recyclers Association, the professional automotive recycling industry recycles over 4 million motor vehicles annually in the U.S. and Canada alone. The U.S. automotive recycling industry employs over 140,000 people in the United States at more than 9,000 locations around the country, generating $32 billion in sales nationwide. Per The Balance Small Business Sustainable Businesses /Metal Recycling website*, each year, over 25 million tons of materials are recycled from old vehicles.</t>
  </si>
  <si>
    <t>GM does not compile this information outside of the EU where the End of Life Vehicle (ELV) law requires OEMs to have programs to retrieve and recycle our vehicles. No other region of sale has this requirement. However,
the automobile is considered the most reused and recycled product in the marketplace. In North America and other regions, there is a well-established automotive dismantling industry that manages this activity. Per the Automotive Recyclers Association, professional automotive recycling industry recycles over 4 million motor vehicles annually in the U.S. and Canada alone. The U.S. automotive recycling industry employs over 140,000 people in the United States at more than 9,000 locations around the country, generating $32 billion in sales nationwide. Per The Balance Small Business Sustainable Businesses /Metal Recycling website*, each year, over 25 million tons of materials are recycled from old vehicles.</t>
  </si>
  <si>
    <t>GM does not compile this information outside of the EU where the End of Life Vehicle (ELV) law requires OEMs to have programs to retrieve and recycle our vehicles. No other region of sale has this requirement. However, the automobile is considered the most reused and recycled product in the marketplace. In North America and other regions, there is a well-established automotive dismantling industry that manages this activity. Per the Automotive Recyclers Association, professional automotive recycling industry recycles over 4 million motor vehicles annually in the U.S. and Canada alone. The U.S. automotive recycling industry employs over 140,000 people in the United States at more than 9,000 locations around the country, generating $32 billion in sales nationwide. Per The Balance Small Business SUSTAINABLE BUSINESSES / METAL RECYCLING website*, each year, over 25 million tons of materials are recycled from old vehicles.</t>
  </si>
  <si>
    <t>Data tracked by location it is not collected centrally at this time. Data provided to local and state regulatotion. The company is exploring strategies to collect centrally.</t>
  </si>
  <si>
    <t>Currently the data is tracked by location and is provided as required by local and state regulation. The company is exploring strategies to collect detailed waste data centrally. The company is tracking waste diversion at a summary level as presented in the ESG report.</t>
  </si>
  <si>
    <t>Greenbrier does not make equipment with engines for transportation. purposes and the fuel efficiency does not apply. Read more about our focus on fuel economy and emissions on pages 37-41 of this report. Given the diversity of our products and applications in which our products are used, as well as the lack of industry standards to estimate on a per unit of work basis, Greenbrier does not calculate sales-weighted fuel efficiency or emissions in this manner.</t>
  </si>
  <si>
    <t>Hershey has not yet conducted a water risk analysis of our supply chain but doing so is part of our corporate efforts to re-evaluate our sustainability goals to be in line with the best available science and data as per our Environmental Policy. We will be conducting supply chain water risk foot-printing and mapping this year (2021) and believe there will be more to share on this topic next year.</t>
  </si>
  <si>
    <t>Current Hershey data collection protocols do not include this metric.</t>
  </si>
  <si>
    <t>Hershey has not yet conducted a water risk analysis of our supply chain, but doing so is part of our corporate efforts to re-evaluate our sustainability goals to be in line with the best available science and data. We believe over the next two years there will be more to share on this topic.</t>
  </si>
  <si>
    <t>Hologic operates primarily in mature markets, with stable to slightly declining pricing. The SASB metric is not relevant to our business and therefore we do not consider this information to be material to our investors or external stakeholders.</t>
  </si>
  <si>
    <t>NA</t>
  </si>
  <si>
    <t>Data unavailable for disclosure</t>
  </si>
  <si>
    <t>In Europe, we do not source genetically modified raw materials. In North America and other regions, we source raw materials that may contain GMOs, such as corn or soy. However, given the distinction between “presence” versus “detectable protein,” some GM raw materials may not result in the final product being considered GM by regulatory standards due to low levels of detectable GM protein. Because of this complexity, this is a metric that we are continuing to assess.</t>
  </si>
  <si>
    <t>IPG does not track this data across all areas of its business in a manner conducive to a precise and verifiable response to this metric at this time.
IPG believes understanding data and our related obligations and responsibilities is critical to the current and future success of our Company. The incorporation of data expertise and responsibility into the core of the Company has been and continues to be a key market strategy of the Company. IPG’s approximately 100 agencies operate in all major world markets. These agencies include our Media, Data and Technology offerings, comprised of Mediabrands’ global media services, Acxiom’s data and technology capabilities, Kinesso’s data-driven marketing solutions, and Matterkind, an innovative media investment offering. We intend, however, to continue to enhance the technology layer within all of our offerings and to build tech-enabled marketing solutions, informed by a holistic understanding of audiences. This will allow us to deliver personalized user experiences and more accountable marketing for brands. As a fundamental part of this strategic vision, we believe in an ethical and conscious approach that respects consumer privacy and promotes brand safety. While the data we presently collect might permit estimates of targeted digital spend as a percentage of total spend across certain digital specialist agencies or groups, any such calculation would not capture total digital spend across all IPG agency groups and the geographies in which they operate, nor would such calculations of spend necessarily correspond to impressions. We continue to explore methods to expand our reporting boundary of this calculation.</t>
  </si>
  <si>
    <t>We are currently looking to expand the scope of our product take-back program across the organization. This will allow us to track enterprise-wide product take-back metrics and better support the principles of a circular economy.</t>
  </si>
  <si>
    <t>We are members of the Green Chemistry and Commerce Council (GC3), a multistakeholder collaborative that drives the commercial adoption of green chemistry by catalyzing and guiding action across industries, sectors, and supply chains.</t>
  </si>
  <si>
    <t>Not disclosed. 
Lam Research discloses information on our strategy and product value chains. We do not believe that percentage of revenue is a material metric to disclose</t>
  </si>
  <si>
    <t>Information omitted due to confidentiality constraints.</t>
  </si>
  <si>
    <t>Not disclosed – see introduction</t>
  </si>
  <si>
    <t>Not yet publically reported.</t>
  </si>
  <si>
    <t>Currently engaging a third party with plans to report on these metrics in future versions of our Global Impact Report.</t>
  </si>
  <si>
    <t>Medallia does not publicly report this information as it is confidential.</t>
  </si>
  <si>
    <t>MetLife is unable to measure or disclose this metric at this time but will continue to evaluate in the future.</t>
  </si>
  <si>
    <t>MetLife has exited the property and casualty business, so this indicator is no longer applicable. Please take a look at our 2019 Sustainability Report for prior year information.
See also, FN-IN-450a.1., report section Ensuring Confidence for Our Customers/Products and Services for Financial Confidence, and our CDP Climate Change 2020 response.</t>
  </si>
  <si>
    <t>While we do not feel a single percentage by revenue is an effective measure of performance and do not use this specific metric as a key performance indicator, our approach to declarable substances contained in products can be found in Products &amp; Innovation | Product &amp; Trade Compliance.</t>
  </si>
  <si>
    <t>We do not disclose a single percentage defined by this metric. Our approach to product hazardous substances can be found in Products &amp; Innovation | Hazardous Substances.</t>
  </si>
  <si>
    <t xml:space="preserve">We do not disclose the single percentage specified by this metric. Our approach to product efficiency and data about some of our recent products can be found in Products &amp; Innovation | Product Efficiency and Micron 2019 Form 10-K (page 2-4). </t>
  </si>
  <si>
    <t>We do not track these totals</t>
  </si>
  <si>
    <t>We do not track these rates</t>
  </si>
  <si>
    <t>We currently do not have the capability to track this metric but are working with third parties to report air emissions in the near future.</t>
  </si>
  <si>
    <t>We currently do not have a standardized method for recording this data across our fleet. However, we are evaluating options that will allow us to report this in the coming years. The future of our business is closely intertwined with the health of our oceans and the destinations we visit and we continuously seek ways to minimize our environmental impact.</t>
  </si>
  <si>
    <t>We do not currently disclose this information at this time. However, we operate in full compliance with the Maritime Labor Convention (MLC), an international standard which sets seafarers’ rights to minimum working and living conditions.</t>
  </si>
  <si>
    <t>We do not currently disclose this information at this time.</t>
  </si>
  <si>
    <t>The applicability of this metric is under consideration.</t>
  </si>
  <si>
    <t>We are unable to provide water usage data for our colocation facilities at this time.</t>
  </si>
  <si>
    <t>Except as a matter of public record or regulatory compliance, we do not disclose this information.</t>
  </si>
  <si>
    <t>Minimizing performance issues, service disruptions, and total customer downtime is core to our business. We monitor these metrics, review with senior management regularly and provide reporting to our customers on our service levels results.</t>
  </si>
  <si>
    <t>ONEOK does not currently track.</t>
  </si>
  <si>
    <t>Due to the diversity of applications of our non-road products, we do not calculate sales-weighted fuel efficiency for non-road equipment. Nor do we calculate NOx and PM emissions on a sales-weighted basis. We continue to expand our offering of hybrid and electric vehicles. For more information on sustainable products, see page 28 of the 2019 Sustainability Report.</t>
  </si>
  <si>
    <t>Not Reported</t>
  </si>
  <si>
    <t>We currently present total revenues, including and excluding excise taxes. We also present revenues (net of excise taxes) by product category as follows:
- Combustible products3 and
- Reduced-Risk Products (RRPs)4
We currently do not present non-tobacco nicotine products and heated tobacco products revenues on a disaggregated basis.</t>
  </si>
  <si>
    <t>We currently present total revenues, including and excluding excise taxes. We also present revenues (net of excise taxes) by product category as follows:
- Combustible products2 and
- Reduced-Risk Products (RRPs)3
We currently do not present non-tobacco nicotine products and heated tobacco products revenues on a disaggregated basis.</t>
  </si>
  <si>
    <t>We disclose certain legal proceedings in PMI 2019 Form 10-K, as required by U.S. Securities Laws and related regulations. We currently do not present the level of detail set out in the standard.
We report on the number of violations of the PMI Marketing Code or Good Conversion Practices (GCP) resulting in substantiated cases of misconduct in PMI Integrated Report 2019 (p. 79).</t>
  </si>
  <si>
    <t>We currently present total revenues, including and excluding excise taxes. We also present revenues (net of excise taxes) by product category as follows:
- Combustible products and
- Reduced-Risk Products1
We currently do not present non-tobacco nicotine products and heated tobacco products revenues on a disaggregated basis.</t>
  </si>
  <si>
    <t>We disclose our legal proceedings in PMI 2018 Form 10-K, as required by U.S. Securities Laws and related regulations. We currently do not present the level of detail set out in the standard.</t>
  </si>
  <si>
    <t>We are evaluating the feasibility of reporting these metrics in the future.</t>
  </si>
  <si>
    <t>Not currently disclosed.</t>
  </si>
  <si>
    <t>Plans for CCR rule compliance and related data about each of LG&amp;E and KU’s facilities regulated under the Coal Combustion Residuals Rule is publicly available on LG&amp;E and KU’s website at lge-ku.com/CCR.</t>
  </si>
  <si>
    <t>All PPL operating companies use smart grid technology across their networks. For details on smart grid investments, see Corporate Sustainability Report.</t>
  </si>
  <si>
    <t>P&amp;G has comprehensive systems in place to ensure both human and environmental safety of our products. The approach we take to product safety and information on the ingredients used in our products can be found at the following links:
• us.pg.com/product-safety
• us.pg.com/ingredients
Given the robust nature of our safety assurance process and our ongoing commitment to ingredient transparency, we have not historically tracked the metrics identified by SASB as all of our products have passed our safety assurance process and any use of listed substances would be well below safe limits and in full compliance with any applicable regulations. We have also made ingredient information readily available via www.pg.com, our brands’ websites, and the Smartlabel app for those who are interested in learning more about the ingredients used in our products. Recognizing there is growing interest by some stakeholders in chemical footprint information, we will continue to evaluate our current and potential future disclosures.</t>
  </si>
  <si>
    <t>While Prudential does not disclose monetary losses from proceedings, for details on Litigation and Regulatory Matters review Prudential’s 10K filing note 23 Litigation and Regulatory Matters</t>
  </si>
  <si>
    <t>Prudential does not disclose this specific metric. However, the company measures customer satisfaction with a variety of metrics. These include surveys, customer focus groups and net promoter scores that track referrals from existing customers.</t>
  </si>
  <si>
    <t>Prudential does not disclose this calculation but for information on securities lending, please review Prudential’s 10-K</t>
  </si>
  <si>
    <t>While Prudential does not disclose monetary losses from proceedings, for details on Litigation and Regulatory Matters review Prudential’s 10K filing note 22 Litigation and Regulatory Matters</t>
  </si>
  <si>
    <t>The PVH CR Supply Chain Guidelines requires that the quantity and quality of all wastewater complies with relevant permits. Suppliers are asked to maintain valid wastewater permits to ensure compliance with all applicable laws and regulations. (Ref: Supplier Guidelines, pages 106-111)</t>
  </si>
  <si>
    <t>We audit our Tier 1 factories to ensure that their permits are up to date, this includes wastewater. In FY19, 71 percent of our active factories were audited.
Factories use a mix of technology for wastewater discharge, such as filters or baths. Exact technology varies by factory and depends on local regulation. Ralph Lauren does not choose the methods for wastewater discharge at factories, but instead defers to requirements established in permits.</t>
  </si>
  <si>
    <t>We use our Operating Guidelines to measure labor code of conduct compliance. In FY19, 71 percent of our active factories were audited and 97 percent of these were conducted by an independent third party. To reduce duplication of audits, we work with Better Work, an international organization focused on improving working conditions in the garment industry, to conduct audits in some of our factories.
For additional information on our supply chain auditing, including methodology, relationship with suppliers, transparency, and efforts toward capacity building as well as our nonconformance rate, is available the Building a Responsible
Supply Chain section of our 2019 Global Citizenship and Sustainability Report.</t>
  </si>
  <si>
    <t>Due to our leasing arrangements, Regency has water withdrawal data coverage for common areas only. These are typically parking lots and exterior landscaped areas.</t>
  </si>
  <si>
    <t>Due to our leasing arrangements, Regency has energy consumption data coverage for common areas only. These are typically parking lots and exterior landscaped areas.</t>
  </si>
  <si>
    <t>Not disclosed - see introduction.</t>
  </si>
  <si>
    <t>Not disclosed</t>
  </si>
  <si>
    <t>Rexnord tracks near misses and emphasizes the importance of reviewing all work-related health and safety incidents. Near misses are communicated and managed locally using near miss reporting systems. Our tracking system is currently being enhanced to provide a full disclosure in the near future. For information on our health and safety efforts refer to our Health &amp; Safety webpage.</t>
  </si>
  <si>
    <t>Rogers is committed to a diverse and inclusive workplace and is implementing additional processes as part of its continuous improvement initiatives to support this commitment, as described on page 34. At this time, Rogers does not currently report specific percentages of gender and racial/ethnic group representation for our employees.</t>
  </si>
  <si>
    <t>Rogers conducts extensive internal reviews as part of its supplier selection and maintenance processes, but does not currently conduct independent RBA audits with suppliers. In our interactions with suppliers, Rogers seeks to conduct our business with honesty and integrity, fostering mutual respect and collaboration, in accordance with our Code of Business Ethics. We expect our suppliers to comply with all relevant provisions of our Code, including those related to labor and human rights, health and safety, the environment and fair competition. Rogers does not tolerate child labor nor forced or involuntary labor, including bonded, indentured and involuntary prison labor, and will not work with suppliers that do not adhere to these requirements. See page 28 for more details on our supply chain practices.</t>
  </si>
  <si>
    <t>We do not currently disclose this information.</t>
  </si>
  <si>
    <t>We are working to formalize tracking of vessel fuel consumption. Please refer to pages 5 and 17 for further detail</t>
  </si>
  <si>
    <t>We are working to formalize reporting on freshwater consumed by our vessels as referenced on page 13</t>
  </si>
  <si>
    <t>We do not currently track this quantitative data given that the majority of the environmental impact of our products results from raw material extraction and not the use phase.
However, we do calculate and report the number of “sustainably advantaged products” in our portfolio. Please see pages 29-35 of our 2020 Sustainability Report for further information.</t>
  </si>
  <si>
    <t>We are considering these metrics and they may be reported in future disclosures. Please see pages 29-35 of our 2020 Sustainability Report for further information.</t>
  </si>
  <si>
    <t>Sherwin-Williams does not have a political action committee. The Sherwin-Williams Code of Conduct, available at investors.sherwin.com, prohibits employees from making political contributions to any political organization or candidate for political office on behalf of or for the benefit of Sherwin Williams.</t>
  </si>
  <si>
    <t>The Online Privacy Policy describes our practices concerning the collection and use of information gathered from or about our online visitors and registered users.
Safeguarding data and customer privacy</t>
  </si>
  <si>
    <t>Not disclosed.</t>
  </si>
  <si>
    <t>Snap does not calculate and report a metric on the bases specified in the standard. Snap's Privacy Policy describes the information Snap collects from customers and how it is used.</t>
  </si>
  <si>
    <t>Except as required by law, Snap does not report this information.</t>
  </si>
  <si>
    <t>Snap does not report on this metric.</t>
  </si>
  <si>
    <t>Sunnova does not manufacture solar panels. We procure solar panels from leading manufactures who commit to use water responsibly. The only water use in our direct operations is a small amount used in office facilities. At this time, we have not identified this topic as material to our organization, but we will continue to assess its importance to stakeholders.</t>
  </si>
  <si>
    <t>We do not have this data at this time but will seek to report on this topic in the future.</t>
  </si>
  <si>
    <t>Sunnova does not manufacture solar panels or batteries. We do not have this data at this time but will seek to report on this topic in the future.</t>
  </si>
  <si>
    <t>We are omitting a response to this question. In accordance with SASB Standards Application Guidance (Section 2.2 Omissions and Modifications), we are disclosing our rationale for omission. In 2016, the SEC adopted Rule 22e-4 (Investment Company Liquidity Risk Management Programs) under the Investment Company Act of 1940. In 2018, the SEC amended Rule 22e-4 (Investment Company Liquidity Disclosure). In the Investment Company Liquidity Disclosure rule, the SEC amended 22e-4 to no longer require public disclosure of aggregate liquidity classification information at the fund level. The SEC explained that the subjectivity of the classification process, when applied to this public disclosure, may raise concerns for various reasons, including that it “may pose a significant risk of confusing and misleading investors.” In addition, because liquidity for open-end funds is managed at the fund level, aggregate liquidity classifications of all the funds would not necessarily provide meaningful information on fund-level liquidity management.</t>
  </si>
  <si>
    <t>All of Tapestry’s suppliers are required to adhere to all applicable laws and regulations of the regions in which they operate. Suppliers are expected to promptly develop and implement plans and programs to correct any non-compliant environmental practices. Our supplier facilities are influenced by local laws regarding wastewater discharge permits and if the supplier is not in accordance with local regulatory requirements then they will be cited as an issue. Tapestry works closely with suppliers on the remediation process which includes root cause analysis, goal setting, corrective action planning, follow-up and eventually in line with local laws and regulations.</t>
  </si>
  <si>
    <t>Tapestry joined the Sustainable Apparel Coalition at the end of FY2020 and we are in the process of rolling out the Higg Facility Tools. We have requested responses to the Higg Facility Environmental Module (HIGG FEM) from over 100 of our suppliers in which all of them have signed up. Once we have received all responses we will review the data accordingly for our FY2021 Corporate Responsibility Report.</t>
  </si>
  <si>
    <t>We do not believe a complaints-to-claims ratio is a meaningful metric for assessing a company’s claim handling process. For more information for how Travelers assesses our claim handling process, see our SASB Report, pg. 3</t>
  </si>
  <si>
    <t>We do limited marketing directly to consumers as a private label company.</t>
  </si>
  <si>
    <t>We work with our customers to provide them with offerings of certified ingredients and/or finished products. As we move forward, we are developing data reporting tools to track key performance metrics formally.</t>
  </si>
  <si>
    <t>We conduct additional audits on all material risks observed during our Food Safety audits according to our Social Responsibility Policy. We are developing the systems to better track conformance rates and corrective actions across our supply chain.</t>
  </si>
  <si>
    <t>We are currently revamping our internal supplier analytics to better understand the water stress risks associated with our Tier 1 supply base.</t>
  </si>
  <si>
    <t>Trinseo does not currently measure or track this metric. We may explore integrating it into our future reporting.</t>
  </si>
  <si>
    <t>Not material. Minimal at Tupperware factories.</t>
  </si>
  <si>
    <t>Not significant.</t>
  </si>
  <si>
    <t>UNFI is unable to report on average refrigerant emissions rate at this time.</t>
  </si>
  <si>
    <t>UNFI is unable to report on high-risk food safety violation rates at this time.</t>
  </si>
  <si>
    <t>As the vast majority of recalls in FY2019 were from third-party vendors, UNFI is unable to provide information on the total units recalled at this time.</t>
  </si>
  <si>
    <t>UNFI is unable to report on this metric at this time.</t>
  </si>
  <si>
    <t>UNFI does not publicly provide this information.</t>
  </si>
  <si>
    <t>UNFI does not have company-wide information on revenue from cage-free eggs and pork produced without the use of gestation crates. That said, UNFI’s Wild Harvest® brand pork products are all currently produced without the use of antibiotics and are raised in 100% crate free production environments. These processes and claims have been reviewed by USDA and approved for use on our pork product labels.</t>
  </si>
  <si>
    <t>2020 Report: Payers (p. 26). Additional detail on this metric would potentially reveal competitive information given our small portfolio of five FDA-approved medicines as compared to the top 20 largest pharmaceutical companies. We do not control pricing over Adcirca.</t>
  </si>
  <si>
    <t>Not reported.
Please visit the FAERS MedWatch page for more information.</t>
  </si>
  <si>
    <t>This metric was omitted based on the lack of applicability. Williams is not responsible for rail transportation.</t>
  </si>
  <si>
    <t>We are proud to continue to invest in our associates through several initiatives announced in 2020, including increasing the minimum wage for our hourly associates and further enhancements to our parental leave policy. We actively track and report on labor practices, including involuntary and voluntary turnover, internally on a regular basis. We conduct regular trainings to all associates on creating a safe and respectful workplace. See references for partial reporting.</t>
  </si>
  <si>
    <t>XPO will not disclose this figure, except to the extent material and required by SEC rules.</t>
  </si>
  <si>
    <t>This data is not available at this time.</t>
  </si>
  <si>
    <t>We record, assess, investigate and review potential quality defects, and if necessary, effectively and promptly recall products from our distribution network in consultation with Competent Authorities.
Our quality assurance procedures emphasize the need for the cause of quality defect to be investigated and determined, and that appropriate preventative actions are put in place to guard against recurrence.</t>
  </si>
  <si>
    <t>We are not able to report on this metric per the SASB methodology. We are evaluating opportunities to provide this disclosure in future reports.</t>
  </si>
  <si>
    <t>Not reported
We track health authority inspection critical observations, recalls, warning letters and infraction/advice letters from the FDA and provides regular updates to the Zoetis Leadership Team and Global Manufacturing &amp; Supply Quality Council.</t>
  </si>
  <si>
    <t>Current efforts are underway to accurately collect, analyze and report our packaging footprint. This information will be disclosed in the future.</t>
  </si>
  <si>
    <t>At this time, we are not able to report on this metric.
As a leader in the coffee category, we are a major buyer of green coffee and have always been committed to supporting the smallholder farmers across the globe who deliver the commodity and ensure the sustainability of the supply chain. Smucker currently supports certification programs by maintaining our commitment to purchase 10% of our coffee from certified green coffee sources— UTZ Certified and Rainforest Alliance.
We maintain 100% Roundtable on Sustainable Palm Oil (RSPO) certified designation for our direct palm oil and palm-derived ingredients, contributing to the production of certified sustainable palm oil.
For additional information, see our 2020 Corporate Impact Report, pages 17-19 and Supporting Growers and Producers webpage.</t>
  </si>
  <si>
    <t>Supplier facilities are expected to complete a social audit of one of the audit schemes accepted by our Responsible Sourcing Program, including the SEDEX Member Ethical Trade Audit, the Business Social Compliance Initiative, the Social Accountability International SA8000, any Ethical Trade Initiative (ETI)-based audit program, and any scheme recognized by the Consumer Goods Forum’s Sustainable Supply Chain Initiative. For any non-conformances resulting from the audits, third party auditors establish corrective actions in alignment with the standards of the respective audit scheme. Third-party auditors also verify the completion of corrective actions as agreed upon with management of the audited facility.</t>
  </si>
  <si>
    <t>At this time, we are not able to report on this metric.
We are performing an Agriculture Risk Assessment that will include a water risk assessment and will be based on global standards and data, such as that set by the World Resource Institute. This will inform which supply chains we engage, where the focus of the engagement will be based on overlapping areas of risk (water quantity, soil erosion, etc.) where multiple areas of supply chain risk can be mitigated.</t>
  </si>
  <si>
    <t>We will evaluate disclosing this information in the future when we feel we have a more complete data set.</t>
  </si>
  <si>
    <t>At this time, we are not able to report on this metric. See our Responsible Marketing Commitments for our efforts around this topic.</t>
  </si>
  <si>
    <t>At this time, we are not able to report on this metric. However, we understand the importance of knowing what is in your food–including GMOs– so consumer communication has always been, and continues to be, of great importance to our Company. We provide information in a variety of ways including direct communications with consumers via our Consumer Relations team, detailed product information on our websites, interactions with consumers through social media, and by providing consistent information on our product labels.
By January 1, 2022, when the National Bioengineered Food Disclosure Standard goes into effect, products that meet the Standard’s definition must have infor mation on the label indicating they are made with bioengineered ingredients, and Smucker is committed to complying with all applicable requirements in this regard. This information will likely also be communicated on the specific product’s website and when purchased online. Details of the Standard can be found on the U.S. Department of Agriculture’s website.</t>
  </si>
  <si>
    <t>Greif does not currently report this data. We will continue to evaluate our ability to report this data in our 2021 report.</t>
  </si>
  <si>
    <t>American Express does not report a metric on the bases specified in the standard, but information on cyber security regulation, risks and risk management can be found in Form 10-K on pages 12-13, 23-24, 63.</t>
  </si>
  <si>
    <t>Materiality under evaluation</t>
  </si>
  <si>
    <t>American Express does not report a metric on the bases specified in the standard. American Express’s Privacy Policy describes the information we collect from our customers and how we use it.</t>
  </si>
  <si>
    <t>American Express does not report a metric on the bases specified in the standard. See Responsible Lending and Financing on page 63 and Lending and Marketing Responsibly on page 36 in the 2019-2020 ESG Report for related information of responsible lending practices.</t>
  </si>
  <si>
    <t>Omitted following SASB's proposal</t>
  </si>
  <si>
    <t>Plan to disclose in the future</t>
  </si>
  <si>
    <t>Data not available</t>
  </si>
  <si>
    <t>No reason provided</t>
  </si>
  <si>
    <t>As a global investment company with investments in infrastructure operating companies, we do not currently aggregate energy consumption at the full portfolio level. However, as part of our Net Zero 2030 commitment, DigitalBridge has required our portfolio companies to calculate and report their greenhouse gas emissions footprint in 2021.Some of these metrics are tracked by some portfolio companies with higher energy consumption. See Our Portfolio/Environmental on pages 22 and 23 for examples.</t>
  </si>
  <si>
    <t>Do not track the data</t>
  </si>
  <si>
    <t>Feasibility not clear yet</t>
  </si>
  <si>
    <t>Disclosed alternative information</t>
  </si>
  <si>
    <t>Confidential</t>
  </si>
  <si>
    <t>Do not calculate the metrics</t>
  </si>
  <si>
    <t>We disclose certain legal proceedings in PMI 2020 Form 10-K, as required by U.S. Securities Laws and related regulations. We currently do not present the level of detail set out in the standard. We report on the number of violations of the PMI Marketing Code or Good Conversion Practices (GCP) resulting in substantiated cases of misconduct in Integrated Report 2020 (pages 55 and 131).</t>
  </si>
  <si>
    <t>1) Not disclosed SASB Disclosure
2) SLM does not offer pre-paid products
Annual Report on Form 10-K
FICO is one attribute we use in credit underwriting to assess the risk of default as a way to minimize the number of credit accounts in our portfolio that will become past due or delinquent.</t>
  </si>
  <si>
    <t>Not disclosed unless required by law</t>
  </si>
  <si>
    <t>Omitted due to SEC rules</t>
  </si>
  <si>
    <t>Services</t>
  </si>
  <si>
    <t>Publication Year</t>
  </si>
  <si>
    <t>Press Release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</si>
</sst>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00"/>
    <numFmt numFmtId="165" formatCode="&quot;$&quot;#,##0"/>
    <numFmt numFmtId="166" formatCode="0.0000"/>
  </numFmts>
  <fonts count="18" x14ac:knownFonts="1">
    <font>
      <sz val="12"/>
      <color theme="1"/>
      <name val="Aptos Narrow"/>
      <family val="2"/>
      <scheme val="minor"/>
    </font>
    <font>
      <sz val="18"/>
      <color rgb="FF000000"/>
      <name val="Calibri"/>
      <family val="2"/>
    </font>
    <font>
      <sz val="12"/>
      <color rgb="FF000000"/>
      <name val="Calibri"/>
      <family val="2"/>
    </font>
    <font>
      <sz val="12"/>
      <name val="Aptos Narrow"/>
      <family val="2"/>
      <scheme val="minor"/>
    </font>
    <font>
      <sz val="18"/>
      <color rgb="FFFF0000"/>
      <name val="Calibri"/>
      <family val="2"/>
    </font>
    <font>
      <sz val="8"/>
      <name val="Aptos Narrow"/>
      <family val="2"/>
      <scheme val="minor"/>
    </font>
    <font>
      <sz val="12"/>
      <color rgb="FFFF0000"/>
      <name val="Calibri"/>
      <family val="2"/>
    </font>
    <font>
      <u/>
      <sz val="12"/>
      <color theme="10"/>
      <name val="Aptos Narrow"/>
      <family val="2"/>
      <scheme val="minor"/>
    </font>
    <font>
      <b/>
      <sz val="12"/>
      <color theme="1"/>
      <name val="Aptos Narrow"/>
      <family val="2"/>
      <scheme val="minor"/>
    </font>
    <font>
      <sz val="11"/>
      <color rgb="FF000000"/>
      <name val="Arial"/>
      <family val="2"/>
    </font>
    <font>
      <sz val="9"/>
      <color indexed="81"/>
      <name val="Tahoma"/>
      <family val="2"/>
    </font>
    <font>
      <b/>
      <sz val="9"/>
      <color indexed="81"/>
      <name val="Tahoma"/>
      <family val="2"/>
    </font>
    <font>
      <sz val="12"/>
      <color theme="1"/>
      <name val="Times New Roman"/>
      <family val="1"/>
    </font>
    <font>
      <b/>
      <sz val="12"/>
      <color theme="1"/>
      <name val="Times New Roman"/>
      <family val="1"/>
    </font>
    <font>
      <sz val="12"/>
      <color theme="1"/>
      <name val="Aptos Narrow"/>
      <family val="2"/>
      <scheme val="minor"/>
    </font>
    <font>
      <sz val="12"/>
      <color theme="1"/>
      <name val="Aptos Narrow"/>
      <family val="2"/>
    </font>
    <font>
      <sz val="12"/>
      <color theme="1"/>
      <name val="Calibri"/>
      <family val="2"/>
    </font>
    <font>
      <sz val="12"/>
      <color rgb="FF00000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9"/>
        <bgColor indexed="64"/>
      </patternFill>
    </fill>
    <fill>
      <patternFill patternType="solid">
        <fgColor theme="2"/>
        <bgColor indexed="64"/>
      </patternFill>
    </fill>
    <fill>
      <patternFill patternType="solid">
        <fgColor rgb="FFFFC000"/>
        <bgColor indexed="64"/>
      </patternFill>
    </fill>
    <fill>
      <patternFill patternType="solid">
        <fgColor rgb="FFFF0066"/>
        <bgColor indexed="64"/>
      </patternFill>
    </fill>
  </fills>
  <borders count="3">
    <border>
      <left/>
      <right/>
      <top/>
      <bottom/>
      <diagonal/>
    </border>
    <border>
      <left/>
      <right/>
      <top/>
      <bottom style="thin">
        <color indexed="64"/>
      </bottom>
      <diagonal/>
    </border>
    <border>
      <left/>
      <right/>
      <top style="thin">
        <color theme="4"/>
      </top>
      <bottom/>
      <diagonal/>
    </border>
  </borders>
  <cellStyleXfs count="2">
    <xf numFmtId="0" fontId="0" fillId="0" borderId="0"/>
    <xf numFmtId="0" fontId="7" fillId="0" borderId="0" applyNumberFormat="0" applyFill="0" applyBorder="0" applyAlignment="0" applyProtection="0"/>
  </cellStyleXfs>
  <cellXfs count="98">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top" wrapText="1"/>
    </xf>
    <xf numFmtId="0" fontId="0" fillId="2" borderId="0" xfId="0" applyFill="1"/>
    <xf numFmtId="0" fontId="0" fillId="2" borderId="0" xfId="0" applyFill="1" applyAlignment="1">
      <alignment wrapText="1"/>
    </xf>
    <xf numFmtId="0" fontId="0" fillId="3" borderId="0" xfId="0" applyFill="1"/>
    <xf numFmtId="0" fontId="1" fillId="3" borderId="0" xfId="0" applyFont="1" applyFill="1"/>
    <xf numFmtId="0" fontId="4" fillId="0" borderId="0" xfId="0" applyFont="1"/>
    <xf numFmtId="0" fontId="3" fillId="3" borderId="0" xfId="0" applyFont="1" applyFill="1"/>
    <xf numFmtId="0" fontId="0" fillId="3" borderId="0" xfId="0" applyFill="1" applyAlignment="1">
      <alignment wrapText="1"/>
    </xf>
    <xf numFmtId="0" fontId="2" fillId="3" borderId="0" xfId="0" applyFont="1" applyFill="1"/>
    <xf numFmtId="0" fontId="6" fillId="0" borderId="0" xfId="0" applyFont="1"/>
    <xf numFmtId="0" fontId="2" fillId="0" borderId="0" xfId="0" applyFont="1" applyAlignment="1">
      <alignment horizontal="left"/>
    </xf>
    <xf numFmtId="0" fontId="0" fillId="0" borderId="0" xfId="0" applyAlignment="1">
      <alignment horizontal="center" vertical="center"/>
    </xf>
    <xf numFmtId="0" fontId="0" fillId="3" borderId="0" xfId="0" applyFill="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2" fillId="3" borderId="0" xfId="0" applyFont="1" applyFill="1" applyAlignment="1">
      <alignment horizontal="left" vertical="center"/>
    </xf>
    <xf numFmtId="0" fontId="6" fillId="0" borderId="0" xfId="0" applyFont="1" applyAlignment="1">
      <alignment horizontal="left" vertical="center"/>
    </xf>
    <xf numFmtId="0" fontId="3" fillId="0" borderId="0" xfId="0" applyFont="1" applyAlignment="1">
      <alignment horizontal="center" vertical="center"/>
    </xf>
    <xf numFmtId="0" fontId="8" fillId="0" borderId="0" xfId="0" applyFont="1"/>
    <xf numFmtId="165" fontId="0" fillId="0" borderId="0" xfId="0" applyNumberFormat="1"/>
    <xf numFmtId="0" fontId="7" fillId="0" borderId="0" xfId="1" applyAlignment="1">
      <alignment horizontal="left" vertical="center"/>
    </xf>
    <xf numFmtId="165" fontId="7" fillId="0" borderId="0" xfId="1" applyNumberFormat="1" applyAlignment="1">
      <alignment horizontal="left" vertical="center"/>
    </xf>
    <xf numFmtId="0" fontId="7" fillId="0" borderId="0" xfId="1" applyFill="1" applyAlignment="1">
      <alignment horizontal="left" vertical="center"/>
    </xf>
    <xf numFmtId="0" fontId="0" fillId="4" borderId="0" xfId="0" applyFill="1"/>
    <xf numFmtId="0" fontId="7" fillId="0" borderId="0" xfId="1" applyAlignment="1"/>
    <xf numFmtId="165" fontId="7" fillId="0" borderId="0" xfId="1" applyNumberFormat="1" applyAlignment="1"/>
    <xf numFmtId="0" fontId="0" fillId="5" borderId="0" xfId="0" applyFill="1"/>
    <xf numFmtId="6" fontId="0" fillId="4" borderId="0" xfId="0" applyNumberFormat="1" applyFill="1"/>
    <xf numFmtId="14" fontId="0" fillId="0" borderId="0" xfId="0" applyNumberFormat="1"/>
    <xf numFmtId="0" fontId="9" fillId="0" borderId="0" xfId="0" applyFont="1"/>
    <xf numFmtId="0" fontId="7" fillId="0" borderId="0" xfId="1"/>
    <xf numFmtId="165" fontId="7" fillId="0" borderId="0" xfId="1" applyNumberFormat="1"/>
    <xf numFmtId="14" fontId="0" fillId="2" borderId="0" xfId="0" applyNumberFormat="1" applyFill="1"/>
    <xf numFmtId="165" fontId="0" fillId="2" borderId="0" xfId="0" applyNumberFormat="1" applyFill="1"/>
    <xf numFmtId="0" fontId="0" fillId="6" borderId="0" xfId="0" applyFill="1" applyAlignment="1">
      <alignment wrapText="1"/>
    </xf>
    <xf numFmtId="0" fontId="0" fillId="7" borderId="0" xfId="0" applyFill="1"/>
    <xf numFmtId="0" fontId="3" fillId="5" borderId="0" xfId="0" applyFont="1" applyFill="1"/>
    <xf numFmtId="0" fontId="12" fillId="0" borderId="0" xfId="0" applyFont="1"/>
    <xf numFmtId="0" fontId="12" fillId="0" borderId="0" xfId="0" applyFont="1" applyAlignment="1">
      <alignment wrapText="1"/>
    </xf>
    <xf numFmtId="0" fontId="13" fillId="0" borderId="0" xfId="0" applyFont="1"/>
    <xf numFmtId="10" fontId="13" fillId="0" borderId="0" xfId="0" applyNumberFormat="1" applyFont="1"/>
    <xf numFmtId="10" fontId="12" fillId="0" borderId="0" xfId="0" applyNumberFormat="1" applyFont="1"/>
    <xf numFmtId="10" fontId="0" fillId="0" borderId="0" xfId="0" applyNumberFormat="1"/>
    <xf numFmtId="10" fontId="12" fillId="8" borderId="0" xfId="0" applyNumberFormat="1" applyFont="1" applyFill="1"/>
    <xf numFmtId="0" fontId="12" fillId="8" borderId="0" xfId="0" applyFont="1" applyFill="1"/>
    <xf numFmtId="0" fontId="13" fillId="0" borderId="0" xfId="0" applyFont="1" applyAlignment="1">
      <alignment horizontal="center"/>
    </xf>
    <xf numFmtId="0" fontId="12" fillId="0" borderId="1" xfId="0" applyFont="1" applyBorder="1"/>
    <xf numFmtId="10" fontId="12" fillId="0" borderId="1" xfId="0" applyNumberFormat="1" applyFont="1" applyBorder="1"/>
    <xf numFmtId="0" fontId="12" fillId="8" borderId="1" xfId="0" applyFont="1" applyFill="1" applyBorder="1"/>
    <xf numFmtId="10" fontId="12" fillId="8" borderId="1" xfId="0" applyNumberFormat="1" applyFont="1" applyFill="1" applyBorder="1"/>
    <xf numFmtId="164" fontId="12" fillId="0" borderId="0" xfId="0" applyNumberFormat="1" applyFont="1"/>
    <xf numFmtId="166" fontId="13" fillId="0" borderId="0" xfId="0" applyNumberFormat="1" applyFont="1"/>
    <xf numFmtId="166" fontId="12" fillId="0" borderId="0" xfId="0" applyNumberFormat="1" applyFont="1"/>
    <xf numFmtId="0" fontId="16" fillId="0" borderId="0" xfId="0" applyFont="1"/>
    <xf numFmtId="0" fontId="16" fillId="0" borderId="0" xfId="0" applyFont="1" applyAlignment="1">
      <alignment vertical="top" wrapText="1"/>
    </xf>
    <xf numFmtId="0" fontId="16" fillId="0" borderId="0" xfId="0" applyFont="1" applyAlignment="1">
      <alignment wrapText="1"/>
    </xf>
    <xf numFmtId="0" fontId="16" fillId="0" borderId="0" xfId="0" applyFont="1" applyAlignment="1">
      <alignment vertical="top"/>
    </xf>
    <xf numFmtId="0" fontId="15" fillId="0" borderId="0" xfId="0" applyFont="1"/>
    <xf numFmtId="0" fontId="15" fillId="0" borderId="0" xfId="0" applyFont="1" applyAlignment="1">
      <alignment wrapText="1"/>
    </xf>
    <xf numFmtId="0" fontId="8" fillId="2" borderId="0" xfId="0" applyFont="1" applyFill="1"/>
    <xf numFmtId="49" fontId="0" fillId="0" borderId="0" xfId="0" applyNumberFormat="1"/>
    <xf numFmtId="0" fontId="3" fillId="0" borderId="0" xfId="0" applyFont="1"/>
    <xf numFmtId="0" fontId="0" fillId="0" borderId="2" xfId="0" applyBorder="1" applyAlignment="1">
      <alignment vertical="center"/>
    </xf>
    <xf numFmtId="0" fontId="8" fillId="0" borderId="0" xfId="0" applyFont="1" applyAlignment="1">
      <alignment horizontal="right"/>
    </xf>
    <xf numFmtId="0" fontId="0" fillId="0" borderId="0" xfId="0" applyAlignment="1">
      <alignment horizontal="right"/>
    </xf>
    <xf numFmtId="11" fontId="0" fillId="0" borderId="0" xfId="0" applyNumberFormat="1" applyAlignment="1">
      <alignment horizontal="right"/>
    </xf>
    <xf numFmtId="164" fontId="13" fillId="0" borderId="0" xfId="0" applyNumberFormat="1" applyFont="1"/>
    <xf numFmtId="0" fontId="0" fillId="0" borderId="0" xfId="0" applyAlignment="1">
      <alignment vertical="top"/>
    </xf>
    <xf numFmtId="14" fontId="8" fillId="0" borderId="0" xfId="0" applyNumberFormat="1" applyFont="1"/>
    <xf numFmtId="14" fontId="0" fillId="0" borderId="0" xfId="0" applyNumberFormat="1" applyAlignment="1">
      <alignment horizontal="right"/>
    </xf>
    <xf numFmtId="0" fontId="14" fillId="0" borderId="0" xfId="0" applyFont="1" applyAlignment="1">
      <alignment vertical="top"/>
    </xf>
    <xf numFmtId="0" fontId="0" fillId="0" borderId="0" xfId="0" applyAlignment="1">
      <alignment horizontal="left" wrapText="1"/>
    </xf>
    <xf numFmtId="0" fontId="0" fillId="0" borderId="0" xfId="0" applyAlignment="1">
      <alignment horizontal="left"/>
    </xf>
    <xf numFmtId="0" fontId="3" fillId="0" borderId="0" xfId="0" applyFont="1" applyAlignment="1">
      <alignment horizontal="left"/>
    </xf>
    <xf numFmtId="0" fontId="0" fillId="6" borderId="0" xfId="0" applyFill="1"/>
    <xf numFmtId="0" fontId="17" fillId="0" borderId="0" xfId="0" applyFont="1"/>
    <xf numFmtId="0" fontId="17" fillId="0" borderId="0" xfId="0" applyFont="1" applyAlignment="1">
      <alignment horizontal="right"/>
    </xf>
    <xf numFmtId="14" fontId="17" fillId="0" borderId="0" xfId="0" applyNumberFormat="1" applyFont="1"/>
    <xf numFmtId="0" fontId="17" fillId="2" borderId="0" xfId="0" applyFont="1" applyFill="1" applyAlignment="1">
      <alignment vertical="top"/>
    </xf>
    <xf numFmtId="0" fontId="0" fillId="2" borderId="0" xfId="0" applyFill="1" applyAlignment="1">
      <alignment vertical="top" wrapText="1"/>
    </xf>
    <xf numFmtId="2" fontId="0" fillId="0" borderId="0" xfId="0" applyNumberFormat="1"/>
    <xf numFmtId="2" fontId="0" fillId="6" borderId="0" xfId="0" applyNumberFormat="1" applyFill="1"/>
    <xf numFmtId="1" fontId="0" fillId="0" borderId="0" xfId="0" applyNumberFormat="1"/>
    <xf numFmtId="0" fontId="12" fillId="2" borderId="0" xfId="0" applyFont="1" applyFill="1"/>
    <xf numFmtId="0" fontId="13" fillId="2" borderId="0" xfId="0" applyFont="1" applyFill="1"/>
    <xf numFmtId="0" fontId="12" fillId="9" borderId="0" xfId="0" applyFont="1" applyFill="1"/>
    <xf numFmtId="0" fontId="12" fillId="3" borderId="0" xfId="0" applyFont="1" applyFill="1"/>
    <xf numFmtId="0" fontId="2" fillId="2" borderId="0" xfId="0" applyFont="1" applyFill="1"/>
    <xf numFmtId="0" fontId="0" fillId="10" borderId="0" xfId="0" applyFill="1" applyAlignment="1">
      <alignment vertical="top"/>
    </xf>
    <xf numFmtId="14" fontId="0" fillId="0" borderId="0" xfId="0" applyNumberFormat="1" applyAlignment="1">
      <alignment vertical="top"/>
    </xf>
    <xf numFmtId="14" fontId="0" fillId="10" borderId="0" xfId="0" applyNumberFormat="1" applyFill="1" applyAlignment="1">
      <alignment vertical="top"/>
    </xf>
    <xf numFmtId="0" fontId="0" fillId="3" borderId="0" xfId="0" applyFill="1" applyAlignment="1">
      <alignment horizontal="left" vertical="center"/>
    </xf>
  </cellXfs>
  <cellStyles count="2">
    <cellStyle name="Hyperlink" xfId="1" builtinId="8"/>
    <cellStyle name="Normal" xfId="0" builtinId="0"/>
  </cellStyles>
  <dxfs count="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17" Type="http://schemas.openxmlformats.org/officeDocument/2006/relationships/hyperlink" Target="https://violationtracker.goodjobsfirst.org/violation-tracker/-cardinal-health-inc-4" TargetMode="External"/><Relationship Id="rId21" Type="http://schemas.openxmlformats.org/officeDocument/2006/relationships/hyperlink" Target="https://violationtracker.goodjobsfirst.org/violation-tracker/ca-aetna-health-of-california-inc-67" TargetMode="External"/><Relationship Id="rId42" Type="http://schemas.openxmlformats.org/officeDocument/2006/relationships/hyperlink" Target="https://violationtracker.goodjobsfirst.org/violation-tracker/fl-the-home-depot" TargetMode="External"/><Relationship Id="rId63" Type="http://schemas.openxmlformats.org/officeDocument/2006/relationships/hyperlink" Target="https://violationtracker.goodjobsfirst.org/violation-tracker/-marriott-international-inc-0" TargetMode="External"/><Relationship Id="rId84" Type="http://schemas.openxmlformats.org/officeDocument/2006/relationships/hyperlink" Target="https://violationtracker.goodjobsfirst.org/violation-tracker/-target-corporation-5" TargetMode="External"/><Relationship Id="rId138" Type="http://schemas.openxmlformats.org/officeDocument/2006/relationships/comments" Target="../comments2.xml"/><Relationship Id="rId16" Type="http://schemas.openxmlformats.org/officeDocument/2006/relationships/hyperlink" Target="https://violationtracker.goodjobsfirst.org/violation-tracker/ca-aetna-health-of-california-inc-69" TargetMode="External"/><Relationship Id="rId107" Type="http://schemas.openxmlformats.org/officeDocument/2006/relationships/hyperlink" Target="https://violationtracker.goodjobsfirst.org/violation-tracker/ma-wynn-resorts-and-wynn-ma-llc" TargetMode="External"/><Relationship Id="rId11" Type="http://schemas.openxmlformats.org/officeDocument/2006/relationships/hyperlink" Target="https://violationtracker.goodjobsfirst.org/violation-tracker/mo-coventry-health-and-life-insurance-co" TargetMode="External"/><Relationship Id="rId32" Type="http://schemas.openxmlformats.org/officeDocument/2006/relationships/hyperlink" Target="https://violationtracker.goodjobsfirst.org/violation-tracker/wa-home-depot-usa-inc-3" TargetMode="External"/><Relationship Id="rId37" Type="http://schemas.openxmlformats.org/officeDocument/2006/relationships/hyperlink" Target="https://violationtracker.goodjobsfirst.org/violation-tracker/ca-home-depot-13" TargetMode="External"/><Relationship Id="rId53" Type="http://schemas.openxmlformats.org/officeDocument/2006/relationships/hyperlink" Target="https://violationtracker.goodjobsfirst.org/violation-tracker/-jpmorgan-chase-and-co-10" TargetMode="External"/><Relationship Id="rId58" Type="http://schemas.openxmlformats.org/officeDocument/2006/relationships/hyperlink" Target="https://violationtracker.goodjobsfirst.org/violation-tracker/nj-macys-corporate-services-inc" TargetMode="External"/><Relationship Id="rId74" Type="http://schemas.openxmlformats.org/officeDocument/2006/relationships/hyperlink" Target="https://violationtracker.goodjobsfirst.org/violation-tracker/ma-target-corporation-2" TargetMode="External"/><Relationship Id="rId79" Type="http://schemas.openxmlformats.org/officeDocument/2006/relationships/hyperlink" Target="https://violationtracker.goodjobsfirst.org/violation-tracker/ma-target-corporation-4" TargetMode="External"/><Relationship Id="rId102" Type="http://schemas.openxmlformats.org/officeDocument/2006/relationships/hyperlink" Target="https://violationtracker.goodjobsfirst.org/violation-tracker/ma-wendys-international-llc" TargetMode="External"/><Relationship Id="rId123" Type="http://schemas.openxmlformats.org/officeDocument/2006/relationships/hyperlink" Target="https://violationtracker.goodjobsfirst.org/violation-tracker/-citigroup-inc-15" TargetMode="External"/><Relationship Id="rId128" Type="http://schemas.openxmlformats.org/officeDocument/2006/relationships/hyperlink" Target="https://violationtracker.goodjobsfirst.org/violation-tracker/-citibank-na-11" TargetMode="External"/><Relationship Id="rId5" Type="http://schemas.openxmlformats.org/officeDocument/2006/relationships/hyperlink" Target="https://violationtracker.goodjobsfirst.org/violation-tracker/-western-refining-logistics-lp" TargetMode="External"/><Relationship Id="rId90" Type="http://schemas.openxmlformats.org/officeDocument/2006/relationships/hyperlink" Target="https://violationtracker.goodjobsfirst.org/violation-tracker/ny-target-corporation-4" TargetMode="External"/><Relationship Id="rId95" Type="http://schemas.openxmlformats.org/officeDocument/2006/relationships/hyperlink" Target="https://violationtracker.goodjobsfirst.org/violation-tracker/ct-target-corporation" TargetMode="External"/><Relationship Id="rId22" Type="http://schemas.openxmlformats.org/officeDocument/2006/relationships/hyperlink" Target="https://violationtracker.goodjobsfirst.org/violation-tracker/ca-aetna-health-of-california-inc-66" TargetMode="External"/><Relationship Id="rId27" Type="http://schemas.openxmlformats.org/officeDocument/2006/relationships/hyperlink" Target="https://violationtracker.goodjobsfirst.org/violation-tracker/me-hd-supply-construction-supply-ltd" TargetMode="External"/><Relationship Id="rId43" Type="http://schemas.openxmlformats.org/officeDocument/2006/relationships/hyperlink" Target="https://violationtracker.goodjobsfirst.org/violation-tracker/ct-the-home-depot-llc" TargetMode="External"/><Relationship Id="rId48" Type="http://schemas.openxmlformats.org/officeDocument/2006/relationships/hyperlink" Target="https://violationtracker.goodjobsfirst.org/violation-tracker/-momenta-pharmaceuticals-inc" TargetMode="External"/><Relationship Id="rId64" Type="http://schemas.openxmlformats.org/officeDocument/2006/relationships/hyperlink" Target="https://violationtracker.goodjobsfirst.org/violation-tracker/ny-metlife-insurance-company" TargetMode="External"/><Relationship Id="rId69" Type="http://schemas.openxmlformats.org/officeDocument/2006/relationships/hyperlink" Target="https://violationtracker.goodjobsfirst.org/violation-tracker/ny-the-prudential-insurance-company-of-amer" TargetMode="External"/><Relationship Id="rId113" Type="http://schemas.openxmlformats.org/officeDocument/2006/relationships/hyperlink" Target="https://violationtracker.goodjobsfirst.org/violation-tracker/nm-xpo-logistics" TargetMode="External"/><Relationship Id="rId118" Type="http://schemas.openxmlformats.org/officeDocument/2006/relationships/hyperlink" Target="https://violationtracker.goodjobsfirst.org/violation-tracker/ny-chipotle-mexican-grill-inc-0" TargetMode="External"/><Relationship Id="rId134" Type="http://schemas.openxmlformats.org/officeDocument/2006/relationships/hyperlink" Target="https://violationtracker.goodjobsfirst.org/violation-tracker/-jpmorgan-chase-and-co-11" TargetMode="External"/><Relationship Id="rId80" Type="http://schemas.openxmlformats.org/officeDocument/2006/relationships/hyperlink" Target="https://violationtracker.goodjobsfirst.org/violation-tracker/tx-target-corporation-0" TargetMode="External"/><Relationship Id="rId85" Type="http://schemas.openxmlformats.org/officeDocument/2006/relationships/hyperlink" Target="https://violationtracker.goodjobsfirst.org/violation-tracker/-target-corporation-0" TargetMode="External"/><Relationship Id="rId12" Type="http://schemas.openxmlformats.org/officeDocument/2006/relationships/hyperlink" Target="https://violationtracker.goodjobsfirst.org/violation-tracker/ca-aetna-health-of-california-inc-64" TargetMode="External"/><Relationship Id="rId17" Type="http://schemas.openxmlformats.org/officeDocument/2006/relationships/hyperlink" Target="https://violationtracker.goodjobsfirst.org/violation-tracker/wa-aetna-life-insurance-company-3" TargetMode="External"/><Relationship Id="rId33" Type="http://schemas.openxmlformats.org/officeDocument/2006/relationships/hyperlink" Target="https://violationtracker.goodjobsfirst.org/violation-tracker/wa-srs-distribution-inc-0" TargetMode="External"/><Relationship Id="rId38" Type="http://schemas.openxmlformats.org/officeDocument/2006/relationships/hyperlink" Target="https://violationtracker.goodjobsfirst.org/violation-tracker/ny-home-depot-usa-inc-9" TargetMode="External"/><Relationship Id="rId59" Type="http://schemas.openxmlformats.org/officeDocument/2006/relationships/hyperlink" Target="https://violationtracker.goodjobsfirst.org/violation-tracker/nj-macys-logistics-and-operations-0" TargetMode="External"/><Relationship Id="rId103" Type="http://schemas.openxmlformats.org/officeDocument/2006/relationships/hyperlink" Target="https://violationtracker.goodjobsfirst.org/violation-tracker/ny-wendys-4" TargetMode="External"/><Relationship Id="rId108" Type="http://schemas.openxmlformats.org/officeDocument/2006/relationships/hyperlink" Target="https://violationtracker.goodjobsfirst.org/violation-tracker/nv-wynn-las-vegas-llc-3" TargetMode="External"/><Relationship Id="rId124" Type="http://schemas.openxmlformats.org/officeDocument/2006/relationships/hyperlink" Target="https://violationtracker.goodjobsfirst.org/violation-tracker/-citigroup-global-markets-inc-34" TargetMode="External"/><Relationship Id="rId129" Type="http://schemas.openxmlformats.org/officeDocument/2006/relationships/hyperlink" Target="https://violationtracker.goodjobsfirst.org/violation-tracker/-aetna-life-insurance-company-0" TargetMode="External"/><Relationship Id="rId54" Type="http://schemas.openxmlformats.org/officeDocument/2006/relationships/hyperlink" Target="https://violationtracker.goodjobsfirst.org/violation-tracker/-jpmorgan-chase-and-co-11" TargetMode="External"/><Relationship Id="rId70" Type="http://schemas.openxmlformats.org/officeDocument/2006/relationships/hyperlink" Target="https://violationtracker.goodjobsfirst.org/violation-tracker/-target-corporation-5" TargetMode="External"/><Relationship Id="rId75" Type="http://schemas.openxmlformats.org/officeDocument/2006/relationships/hyperlink" Target="https://violationtracker.goodjobsfirst.org/violation-tracker/il-target-corporation-2" TargetMode="External"/><Relationship Id="rId91" Type="http://schemas.openxmlformats.org/officeDocument/2006/relationships/hyperlink" Target="https://violationtracker.goodjobsfirst.org/violation-tracker/il-target-corporation-1" TargetMode="External"/><Relationship Id="rId96" Type="http://schemas.openxmlformats.org/officeDocument/2006/relationships/hyperlink" Target="https://violationtracker.goodjobsfirst.org/violation-tracker/ca-united-natural-foods-inc-0" TargetMode="External"/><Relationship Id="rId1" Type="http://schemas.openxmlformats.org/officeDocument/2006/relationships/hyperlink" Target="https://violationtracker.goodjobsfirst.org/violation-tracker/-jpmorgan-chase-and-co-21" TargetMode="External"/><Relationship Id="rId6" Type="http://schemas.openxmlformats.org/officeDocument/2006/relationships/hyperlink" Target="https://violationtracker.goodjobsfirst.org/violation-tracker/-aetna-life-insurance-company-0" TargetMode="External"/><Relationship Id="rId23" Type="http://schemas.openxmlformats.org/officeDocument/2006/relationships/hyperlink" Target="https://violationtracker.goodjobsfirst.org/violation-tracker/ca-aetna-health-of-california-inc-65" TargetMode="External"/><Relationship Id="rId28" Type="http://schemas.openxmlformats.org/officeDocument/2006/relationships/hyperlink" Target="https://violationtracker.goodjobsfirst.org/violation-tracker/co-home-depot-usa-inc-dba-home-depot-1502" TargetMode="External"/><Relationship Id="rId49" Type="http://schemas.openxmlformats.org/officeDocument/2006/relationships/hyperlink" Target="https://violationtracker.goodjobsfirst.org/violation-tracker/wv-johnson-and-johnson-0" TargetMode="External"/><Relationship Id="rId114" Type="http://schemas.openxmlformats.org/officeDocument/2006/relationships/hyperlink" Target="https://violationtracker.goodjobsfirst.org/violation-tracker/il-xpo-logistics-freight-inc-0" TargetMode="External"/><Relationship Id="rId119" Type="http://schemas.openxmlformats.org/officeDocument/2006/relationships/hyperlink" Target="https://violationtracker.goodjobsfirst.org/violation-tracker/-citigroup-global-markets-inc-34" TargetMode="External"/><Relationship Id="rId44" Type="http://schemas.openxmlformats.org/officeDocument/2006/relationships/hyperlink" Target="https://violationtracker.goodjobsfirst.org/violation-tracker/pa-the-home-depot-inc-0" TargetMode="External"/><Relationship Id="rId60" Type="http://schemas.openxmlformats.org/officeDocument/2006/relationships/hyperlink" Target="https://violationtracker.goodjobsfirst.org/violation-tracker/ma-macys-inc" TargetMode="External"/><Relationship Id="rId65" Type="http://schemas.openxmlformats.org/officeDocument/2006/relationships/hyperlink" Target="https://violationtracker.goodjobsfirst.org/violation-tracker/tx-mission-produce-inc" TargetMode="External"/><Relationship Id="rId81" Type="http://schemas.openxmlformats.org/officeDocument/2006/relationships/hyperlink" Target="https://violationtracker.goodjobsfirst.org/violation-tracker/ma-target-corporation-5" TargetMode="External"/><Relationship Id="rId86" Type="http://schemas.openxmlformats.org/officeDocument/2006/relationships/hyperlink" Target="https://violationtracker.goodjobsfirst.org/violation-tracker/-target-corporation-1" TargetMode="External"/><Relationship Id="rId130" Type="http://schemas.openxmlformats.org/officeDocument/2006/relationships/hyperlink" Target="https://violationtracker.goodjobsfirst.org/violation-tracker/-omnicare-inc-15" TargetMode="External"/><Relationship Id="rId135" Type="http://schemas.openxmlformats.org/officeDocument/2006/relationships/hyperlink" Target="https://violationtracker.goodjobsfirst.org/violation-tracker/-jpmorgan-chase-and-co-9" TargetMode="External"/><Relationship Id="rId13" Type="http://schemas.openxmlformats.org/officeDocument/2006/relationships/hyperlink" Target="https://violationtracker.goodjobsfirst.org/violation-tracker/de-aetna-life-insurance-company" TargetMode="External"/><Relationship Id="rId18" Type="http://schemas.openxmlformats.org/officeDocument/2006/relationships/hyperlink" Target="https://violationtracker.goodjobsfirst.org/violation-tracker/mn-coventry-health-care-workers-compensatio" TargetMode="External"/><Relationship Id="rId39" Type="http://schemas.openxmlformats.org/officeDocument/2006/relationships/hyperlink" Target="https://violationtracker.goodjobsfirst.org/violation-tracker/mo-the-home-depot" TargetMode="External"/><Relationship Id="rId109" Type="http://schemas.openxmlformats.org/officeDocument/2006/relationships/hyperlink" Target="https://violationtracker.goodjobsfirst.org/violation-tracker/nv-wynn-las-vegas-llc-4" TargetMode="External"/><Relationship Id="rId34" Type="http://schemas.openxmlformats.org/officeDocument/2006/relationships/hyperlink" Target="https://violationtracker.goodjobsfirst.org/violation-tracker/il-the-home-depot-3" TargetMode="External"/><Relationship Id="rId50" Type="http://schemas.openxmlformats.org/officeDocument/2006/relationships/hyperlink" Target="https://violationtracker.goodjobsfirst.org/violation-tracker/-momenta-pharmaceuticals-inc" TargetMode="External"/><Relationship Id="rId55" Type="http://schemas.openxmlformats.org/officeDocument/2006/relationships/hyperlink" Target="https://violationtracker.goodjobsfirst.org/violation-tracker/nh-lpl-financial-llc-0" TargetMode="External"/><Relationship Id="rId76" Type="http://schemas.openxmlformats.org/officeDocument/2006/relationships/hyperlink" Target="https://violationtracker.goodjobsfirst.org/violation-tracker/ct-target-corporation-0" TargetMode="External"/><Relationship Id="rId97" Type="http://schemas.openxmlformats.org/officeDocument/2006/relationships/hyperlink" Target="https://violationtracker.goodjobsfirst.org/violation-tracker/wa-united-natural-foods-west-inc-0" TargetMode="External"/><Relationship Id="rId104" Type="http://schemas.openxmlformats.org/officeDocument/2006/relationships/hyperlink" Target="https://violationtracker.goodjobsfirst.org/violation-tracker/pa-transcontinental-gas-pipe-line-company-l" TargetMode="External"/><Relationship Id="rId120" Type="http://schemas.openxmlformats.org/officeDocument/2006/relationships/hyperlink" Target="https://violationtracker.goodjobsfirst.org/violation-tracker/-citibank-na-15" TargetMode="External"/><Relationship Id="rId125" Type="http://schemas.openxmlformats.org/officeDocument/2006/relationships/hyperlink" Target="https://violationtracker.goodjobsfirst.org/violation-tracker/-citibank-na-15" TargetMode="External"/><Relationship Id="rId7" Type="http://schemas.openxmlformats.org/officeDocument/2006/relationships/hyperlink" Target="https://violationtracker.goodjobsfirst.org/violation-tracker/ri-cvs-health" TargetMode="External"/><Relationship Id="rId71" Type="http://schemas.openxmlformats.org/officeDocument/2006/relationships/hyperlink" Target="https://violationtracker.goodjobsfirst.org/violation-tracker/ca-target-corporation-15" TargetMode="External"/><Relationship Id="rId92" Type="http://schemas.openxmlformats.org/officeDocument/2006/relationships/hyperlink" Target="https://violationtracker.goodjobsfirst.org/violation-tracker/fl-target-corporation-2" TargetMode="External"/><Relationship Id="rId2" Type="http://schemas.openxmlformats.org/officeDocument/2006/relationships/hyperlink" Target="https://violationtracker.goodjobsfirst.org/violation-tracker/ms-tractor-supply-company-1" TargetMode="External"/><Relationship Id="rId29" Type="http://schemas.openxmlformats.org/officeDocument/2006/relationships/hyperlink" Target="https://violationtracker.goodjobsfirst.org/violation-tracker/pa-the-home-depot" TargetMode="External"/><Relationship Id="rId24" Type="http://schemas.openxmlformats.org/officeDocument/2006/relationships/hyperlink" Target="https://violationtracker.goodjobsfirst.org/violation-tracker/de-aetna-health-inc-pa" TargetMode="External"/><Relationship Id="rId40" Type="http://schemas.openxmlformats.org/officeDocument/2006/relationships/hyperlink" Target="https://violationtracker.goodjobsfirst.org/violation-tracker/fl-hd-supply-construction-supply-ltd" TargetMode="External"/><Relationship Id="rId45" Type="http://schemas.openxmlformats.org/officeDocument/2006/relationships/hyperlink" Target="https://violationtracker.goodjobsfirst.org/violation-tracker/-johnson-and-johnson-13" TargetMode="External"/><Relationship Id="rId66" Type="http://schemas.openxmlformats.org/officeDocument/2006/relationships/hyperlink" Target="https://violationtracker.goodjobsfirst.org/violation-tracker/-moodys-investors-service-inc-1" TargetMode="External"/><Relationship Id="rId87" Type="http://schemas.openxmlformats.org/officeDocument/2006/relationships/hyperlink" Target="https://violationtracker.goodjobsfirst.org/violation-tracker/nj-target-corporation-1" TargetMode="External"/><Relationship Id="rId110" Type="http://schemas.openxmlformats.org/officeDocument/2006/relationships/hyperlink" Target="https://violationtracker.goodjobsfirst.org/violation-tracker/ct-xpo-logistics-inc" TargetMode="External"/><Relationship Id="rId115" Type="http://schemas.openxmlformats.org/officeDocument/2006/relationships/hyperlink" Target="https://violationtracker.goodjobsfirst.org/violation-tracker/wa-burlington-coat-factory-warehouse-of-aub" TargetMode="External"/><Relationship Id="rId131" Type="http://schemas.openxmlformats.org/officeDocument/2006/relationships/hyperlink" Target="https://violationtracker.goodjobsfirst.org/violation-tracker/-jp-morgan-securities-llc-14" TargetMode="External"/><Relationship Id="rId136" Type="http://schemas.openxmlformats.org/officeDocument/2006/relationships/hyperlink" Target="https://violationtracker.goodjobsfirst.org/violation-tracker/ky-jp-morgan-securities-llc" TargetMode="External"/><Relationship Id="rId61" Type="http://schemas.openxmlformats.org/officeDocument/2006/relationships/hyperlink" Target="https://violationtracker.goodjobsfirst.org/violation-tracker/mi-macys" TargetMode="External"/><Relationship Id="rId82" Type="http://schemas.openxmlformats.org/officeDocument/2006/relationships/hyperlink" Target="https://violationtracker.goodjobsfirst.org/violation-tracker/tx-target-corporation-1" TargetMode="External"/><Relationship Id="rId19" Type="http://schemas.openxmlformats.org/officeDocument/2006/relationships/hyperlink" Target="https://violationtracker.goodjobsfirst.org/violation-tracker/sd-aetna-network-services-llc" TargetMode="External"/><Relationship Id="rId14" Type="http://schemas.openxmlformats.org/officeDocument/2006/relationships/hyperlink" Target="https://violationtracker.goodjobsfirst.org/violation-tracker/va-aetna-life-insurance-company-1" TargetMode="External"/><Relationship Id="rId30" Type="http://schemas.openxmlformats.org/officeDocument/2006/relationships/hyperlink" Target="https://violationtracker.goodjobsfirst.org/violation-tracker/wa-home-depot-inc-the" TargetMode="External"/><Relationship Id="rId35" Type="http://schemas.openxmlformats.org/officeDocument/2006/relationships/hyperlink" Target="https://violationtracker.goodjobsfirst.org/violation-tracker/pa-the-home-depot-inc" TargetMode="External"/><Relationship Id="rId56" Type="http://schemas.openxmlformats.org/officeDocument/2006/relationships/hyperlink" Target="https://violationtracker.goodjobsfirst.org/violation-tracker/-wilmington-trust-na-0" TargetMode="External"/><Relationship Id="rId77" Type="http://schemas.openxmlformats.org/officeDocument/2006/relationships/hyperlink" Target="https://violationtracker.goodjobsfirst.org/violation-tracker/ma-target-corporation-3" TargetMode="External"/><Relationship Id="rId100" Type="http://schemas.openxmlformats.org/officeDocument/2006/relationships/hyperlink" Target="https://violationtracker.goodjobsfirst.org/violation-tracker/-walt-disney-parks-and-resorts-us-inc" TargetMode="External"/><Relationship Id="rId105" Type="http://schemas.openxmlformats.org/officeDocument/2006/relationships/hyperlink" Target="https://violationtracker.goodjobsfirst.org/violation-tracker/oh-williams-sonoma-inc-0" TargetMode="External"/><Relationship Id="rId126" Type="http://schemas.openxmlformats.org/officeDocument/2006/relationships/hyperlink" Target="https://violationtracker.goodjobsfirst.org/violation-tracker/-citibank-na-14" TargetMode="External"/><Relationship Id="rId8" Type="http://schemas.openxmlformats.org/officeDocument/2006/relationships/hyperlink" Target="https://violationtracker.goodjobsfirst.org/violation-tracker/ny-cvs-albany-llc-3" TargetMode="External"/><Relationship Id="rId51" Type="http://schemas.openxmlformats.org/officeDocument/2006/relationships/hyperlink" Target="https://violationtracker.goodjobsfirst.org/violation-tracker/-jp-morgan-securities-llc-14" TargetMode="External"/><Relationship Id="rId72" Type="http://schemas.openxmlformats.org/officeDocument/2006/relationships/hyperlink" Target="https://violationtracker.goodjobsfirst.org/violation-tracker/ri-target-corporation" TargetMode="External"/><Relationship Id="rId93" Type="http://schemas.openxmlformats.org/officeDocument/2006/relationships/hyperlink" Target="https://violationtracker.goodjobsfirst.org/violation-tracker/ny-target-corporation-5" TargetMode="External"/><Relationship Id="rId98" Type="http://schemas.openxmlformats.org/officeDocument/2006/relationships/hyperlink" Target="https://violationtracker.goodjobsfirst.org/violation-tracker/ms-united-natural-foods-inc" TargetMode="External"/><Relationship Id="rId121" Type="http://schemas.openxmlformats.org/officeDocument/2006/relationships/hyperlink" Target="https://violationtracker.goodjobsfirst.org/violation-tracker/-citibank-na-14" TargetMode="External"/><Relationship Id="rId3" Type="http://schemas.openxmlformats.org/officeDocument/2006/relationships/hyperlink" Target="https://violationtracker.goodjobsfirst.org/violation-tracker/-american-airlines-20" TargetMode="External"/><Relationship Id="rId25" Type="http://schemas.openxmlformats.org/officeDocument/2006/relationships/hyperlink" Target="https://violationtracker.goodjobsfirst.org/violation-tracker/wa-aetna-life-insurance-company-4" TargetMode="External"/><Relationship Id="rId46" Type="http://schemas.openxmlformats.org/officeDocument/2006/relationships/hyperlink" Target="https://violationtracker.goodjobsfirst.org/violation-tracker/-johnson-and-johnson-13" TargetMode="External"/><Relationship Id="rId67" Type="http://schemas.openxmlformats.org/officeDocument/2006/relationships/hyperlink" Target="https://violationtracker.goodjobsfirst.org/violation-tracker/mn-paypal-inc-dba-venmo" TargetMode="External"/><Relationship Id="rId116" Type="http://schemas.openxmlformats.org/officeDocument/2006/relationships/hyperlink" Target="https://violationtracker.goodjobsfirst.org/violation-tracker/-burlington-coat-factory-warehouse-corpor-1" TargetMode="External"/><Relationship Id="rId137" Type="http://schemas.openxmlformats.org/officeDocument/2006/relationships/vmlDrawing" Target="../drawings/vmlDrawing2.vml"/><Relationship Id="rId20" Type="http://schemas.openxmlformats.org/officeDocument/2006/relationships/hyperlink" Target="https://violationtracker.goodjobsfirst.org/violation-tracker/tx-aetna-health-inc-0" TargetMode="External"/><Relationship Id="rId41" Type="http://schemas.openxmlformats.org/officeDocument/2006/relationships/hyperlink" Target="https://violationtracker.goodjobsfirst.org/violation-tracker/ca-interline-brands-inc-1" TargetMode="External"/><Relationship Id="rId62" Type="http://schemas.openxmlformats.org/officeDocument/2006/relationships/hyperlink" Target="https://violationtracker.goodjobsfirst.org/violation-tracker/-western-refining-logistics-lp" TargetMode="External"/><Relationship Id="rId83" Type="http://schemas.openxmlformats.org/officeDocument/2006/relationships/hyperlink" Target="https://violationtracker.goodjobsfirst.org/violation-tracker/me-target-corporation-1" TargetMode="External"/><Relationship Id="rId88" Type="http://schemas.openxmlformats.org/officeDocument/2006/relationships/hyperlink" Target="https://violationtracker.goodjobsfirst.org/violation-tracker/ny-target-corporation-2" TargetMode="External"/><Relationship Id="rId111" Type="http://schemas.openxmlformats.org/officeDocument/2006/relationships/hyperlink" Target="https://violationtracker.goodjobsfirst.org/violation-tracker/ca-con-way-freight-inc-0" TargetMode="External"/><Relationship Id="rId132" Type="http://schemas.openxmlformats.org/officeDocument/2006/relationships/hyperlink" Target="https://violationtracker.goodjobsfirst.org/violation-tracker/-jpmorgan-chase-and-co-12" TargetMode="External"/><Relationship Id="rId15" Type="http://schemas.openxmlformats.org/officeDocument/2006/relationships/hyperlink" Target="https://violationtracker.goodjobsfirst.org/violation-tracker/ca-aetna-health-of-california-inc-68" TargetMode="External"/><Relationship Id="rId36" Type="http://schemas.openxmlformats.org/officeDocument/2006/relationships/hyperlink" Target="https://violationtracker.goodjobsfirst.org/violation-tracker/de-home-depot-1602" TargetMode="External"/><Relationship Id="rId57" Type="http://schemas.openxmlformats.org/officeDocument/2006/relationships/hyperlink" Target="https://violationtracker.goodjobsfirst.org/violation-tracker/il-macys" TargetMode="External"/><Relationship Id="rId106" Type="http://schemas.openxmlformats.org/officeDocument/2006/relationships/hyperlink" Target="https://violationtracker.goodjobsfirst.org/violation-tracker/oh-williams-sonoma-inc-1" TargetMode="External"/><Relationship Id="rId127" Type="http://schemas.openxmlformats.org/officeDocument/2006/relationships/hyperlink" Target="https://violationtracker.goodjobsfirst.org/violation-tracker/-citigroup-inc-15" TargetMode="External"/><Relationship Id="rId10" Type="http://schemas.openxmlformats.org/officeDocument/2006/relationships/hyperlink" Target="https://violationtracker.goodjobsfirst.org/violation-tracker/-omnicare-inc-et-al" TargetMode="External"/><Relationship Id="rId31" Type="http://schemas.openxmlformats.org/officeDocument/2006/relationships/hyperlink" Target="https://violationtracker.goodjobsfirst.org/violation-tracker/fl-home-depot-usa-inc-2" TargetMode="External"/><Relationship Id="rId52" Type="http://schemas.openxmlformats.org/officeDocument/2006/relationships/hyperlink" Target="https://violationtracker.goodjobsfirst.org/violation-tracker/-jpmorgan-chase-and-co-12" TargetMode="External"/><Relationship Id="rId73" Type="http://schemas.openxmlformats.org/officeDocument/2006/relationships/hyperlink" Target="https://violationtracker.goodjobsfirst.org/violation-tracker/ny-target-corp" TargetMode="External"/><Relationship Id="rId78" Type="http://schemas.openxmlformats.org/officeDocument/2006/relationships/hyperlink" Target="https://violationtracker.goodjobsfirst.org/violation-tracker/me-target-corporation-0" TargetMode="External"/><Relationship Id="rId94" Type="http://schemas.openxmlformats.org/officeDocument/2006/relationships/hyperlink" Target="https://violationtracker.goodjobsfirst.org/violation-tracker/pa-target-corporation-0" TargetMode="External"/><Relationship Id="rId99" Type="http://schemas.openxmlformats.org/officeDocument/2006/relationships/hyperlink" Target="https://violationtracker.goodjobsfirst.org/violation-tracker/-walt-disney-parks-and-resorts-us-inc" TargetMode="External"/><Relationship Id="rId101" Type="http://schemas.openxmlformats.org/officeDocument/2006/relationships/hyperlink" Target="https://violationtracker.goodjobsfirst.org/violation-tracker/-walt-disney-parks-and-resorts-us-inc" TargetMode="External"/><Relationship Id="rId122" Type="http://schemas.openxmlformats.org/officeDocument/2006/relationships/hyperlink" Target="https://violationtracker.goodjobsfirst.org/violation-tracker/-citibank-na-11" TargetMode="External"/><Relationship Id="rId4" Type="http://schemas.openxmlformats.org/officeDocument/2006/relationships/hyperlink" Target="https://violationtracker.goodjobsfirst.org/violation-tracker/-jp-morgan-securities-llc-5;" TargetMode="External"/><Relationship Id="rId9" Type="http://schemas.openxmlformats.org/officeDocument/2006/relationships/hyperlink" Target="https://violationtracker.goodjobsfirst.org/violation-tracker/ca-garfield-beach-cvs-llc-0" TargetMode="External"/><Relationship Id="rId26" Type="http://schemas.openxmlformats.org/officeDocument/2006/relationships/hyperlink" Target="https://violationtracker.goodjobsfirst.org/violation-tracker/ma-cvs-pharmacy-inc-2" TargetMode="External"/><Relationship Id="rId47" Type="http://schemas.openxmlformats.org/officeDocument/2006/relationships/hyperlink" Target="https://violationtracker.goodjobsfirst.org/violation-tracker/wv-johnson-and-johnson-0" TargetMode="External"/><Relationship Id="rId68" Type="http://schemas.openxmlformats.org/officeDocument/2006/relationships/hyperlink" Target="https://violationtracker.goodjobsfirst.org/violation-tracker/-plains-all-american-pipeline-lp-and-plai" TargetMode="External"/><Relationship Id="rId89" Type="http://schemas.openxmlformats.org/officeDocument/2006/relationships/hyperlink" Target="https://violationtracker.goodjobsfirst.org/violation-tracker/ny-target-corporation-3" TargetMode="External"/><Relationship Id="rId112" Type="http://schemas.openxmlformats.org/officeDocument/2006/relationships/hyperlink" Target="https://violationtracker.goodjobsfirst.org/violation-tracker/ct-xpo-logistics-freight-inc" TargetMode="External"/><Relationship Id="rId133" Type="http://schemas.openxmlformats.org/officeDocument/2006/relationships/hyperlink" Target="https://violationtracker.goodjobsfirst.org/violation-tracker/-jpmorgan-chase-and-co-10"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violationtracker.goodjobsfirst.org/violation-tracker/-jpmorgan-chase-and-co-12" TargetMode="External"/><Relationship Id="rId299" Type="http://schemas.openxmlformats.org/officeDocument/2006/relationships/hyperlink" Target="https://violationtracker.goodjobsfirst.org/violation-tracker/-moodys-investors-service-inc-1" TargetMode="External"/><Relationship Id="rId21" Type="http://schemas.openxmlformats.org/officeDocument/2006/relationships/hyperlink" Target="https://violationtracker.goodjobsfirst.org/violation-tracker/ny-chipotle-grill" TargetMode="External"/><Relationship Id="rId63" Type="http://schemas.openxmlformats.org/officeDocument/2006/relationships/hyperlink" Target="https://violationtracker.goodjobsfirst.org/violation-tracker/-puerto-rico-cvs-pharmacy-llc" TargetMode="External"/><Relationship Id="rId159" Type="http://schemas.openxmlformats.org/officeDocument/2006/relationships/hyperlink" Target="https://violationtracker.goodjobsfirst.org/violation-tracker/tx-blanchard-refining-company-llc-2" TargetMode="External"/><Relationship Id="rId170" Type="http://schemas.openxmlformats.org/officeDocument/2006/relationships/hyperlink" Target="https://violationtracker.goodjobsfirst.org/violation-tracker/pa-merck-and-company-inc" TargetMode="External"/><Relationship Id="rId226" Type="http://schemas.openxmlformats.org/officeDocument/2006/relationships/hyperlink" Target="https://violationtracker.goodjobsfirst.org/violation-tracker/tx-targa-midstream-services-llc-15" TargetMode="External"/><Relationship Id="rId268" Type="http://schemas.openxmlformats.org/officeDocument/2006/relationships/hyperlink" Target="https://violationtracker.goodjobsfirst.org/violation-tracker/pa-treehouse-foods" TargetMode="External"/><Relationship Id="rId32" Type="http://schemas.openxmlformats.org/officeDocument/2006/relationships/hyperlink" Target="https://violationtracker.goodjobsfirst.org/violation-tracker/-citibank-na-15" TargetMode="External"/><Relationship Id="rId74" Type="http://schemas.openxmlformats.org/officeDocument/2006/relationships/hyperlink" Target="https://violationtracker.goodjobsfirst.org/violation-tracker/pa-the-hershey-company" TargetMode="External"/><Relationship Id="rId128" Type="http://schemas.openxmlformats.org/officeDocument/2006/relationships/hyperlink" Target="https://violationtracker.goodjobsfirst.org/violation-tracker/va-kinder-morgan-southeast-terminals-llc" TargetMode="External"/><Relationship Id="rId5" Type="http://schemas.openxmlformats.org/officeDocument/2006/relationships/hyperlink" Target="https://violationtracker.goodjobsfirst.org/violation-tracker/-american-airlines-20" TargetMode="External"/><Relationship Id="rId181" Type="http://schemas.openxmlformats.org/officeDocument/2006/relationships/hyperlink" Target="https://violationtracker.goodjobsfirst.org/violation-tracker/ny-national-fuel-gas-distribution" TargetMode="External"/><Relationship Id="rId237" Type="http://schemas.openxmlformats.org/officeDocument/2006/relationships/hyperlink" Target="https://violationtracker.goodjobsfirst.org/violation-tracker/me-target-corporation-0" TargetMode="External"/><Relationship Id="rId279" Type="http://schemas.openxmlformats.org/officeDocument/2006/relationships/hyperlink" Target="https://violationtracker.goodjobsfirst.org/violation-tracker/ma-whirlpool-corporation-0" TargetMode="External"/><Relationship Id="rId43" Type="http://schemas.openxmlformats.org/officeDocument/2006/relationships/hyperlink" Target="https://violationtracker.goodjobsfirst.org/violation-tracker/de-aetna-life-insurance-company" TargetMode="External"/><Relationship Id="rId139" Type="http://schemas.openxmlformats.org/officeDocument/2006/relationships/hyperlink" Target="https://violationtracker.goodjobsfirst.org/violation-tracker/-lpl-financial-llc-1" TargetMode="External"/><Relationship Id="rId290" Type="http://schemas.openxmlformats.org/officeDocument/2006/relationships/hyperlink" Target="https://violationtracker.goodjobsfirst.org/violation-tracker/nv-wynn-las-vegas-llc-3" TargetMode="External"/><Relationship Id="rId85" Type="http://schemas.openxmlformats.org/officeDocument/2006/relationships/hyperlink" Target="https://violationtracker.goodjobsfirst.org/violation-tracker/wa-home-depot-usa-inc-3" TargetMode="External"/><Relationship Id="rId150" Type="http://schemas.openxmlformats.org/officeDocument/2006/relationships/hyperlink" Target="https://violationtracker.goodjobsfirst.org/violation-tracker/ma-macys-inc" TargetMode="External"/><Relationship Id="rId192" Type="http://schemas.openxmlformats.org/officeDocument/2006/relationships/hyperlink" Target="https://violationtracker.goodjobsfirst.org/violation-tracker/mn-paypal-inc-dba-venmo" TargetMode="External"/><Relationship Id="rId206" Type="http://schemas.openxmlformats.org/officeDocument/2006/relationships/hyperlink" Target="https://violationtracker.goodjobsfirst.org/violation-tracker/tx-phillips-66-company" TargetMode="External"/><Relationship Id="rId248" Type="http://schemas.openxmlformats.org/officeDocument/2006/relationships/hyperlink" Target="https://violationtracker.goodjobsfirst.org/violation-tracker/nj-target-corporation-1" TargetMode="External"/><Relationship Id="rId12" Type="http://schemas.openxmlformats.org/officeDocument/2006/relationships/hyperlink" Target="https://violationtracker.goodjobsfirst.org/violation-tracker/md-becton-dickinson-and-co" TargetMode="External"/><Relationship Id="rId108" Type="http://schemas.openxmlformats.org/officeDocument/2006/relationships/hyperlink" Target="https://violationtracker.goodjobsfirst.org/violation-tracker/ky-jp-morgan-securities-llc" TargetMode="External"/><Relationship Id="rId54" Type="http://schemas.openxmlformats.org/officeDocument/2006/relationships/hyperlink" Target="https://violationtracker.goodjobsfirst.org/violation-tracker/ca-aetna-health-of-california-inc-68" TargetMode="External"/><Relationship Id="rId96" Type="http://schemas.openxmlformats.org/officeDocument/2006/relationships/hyperlink" Target="https://violationtracker.goodjobsfirst.org/violation-tracker/-interline-brands-inc" TargetMode="External"/><Relationship Id="rId161" Type="http://schemas.openxmlformats.org/officeDocument/2006/relationships/hyperlink" Target="https://violationtracker.goodjobsfirst.org/violation-tracker/-marathon-petroleum-company-5" TargetMode="External"/><Relationship Id="rId217" Type="http://schemas.openxmlformats.org/officeDocument/2006/relationships/hyperlink" Target="https://violationtracker.goodjobsfirst.org/violation-tracker/-prudential-insurance-company-of-america" TargetMode="External"/><Relationship Id="rId6" Type="http://schemas.openxmlformats.org/officeDocument/2006/relationships/hyperlink" Target="https://violationtracker.goodjobsfirst.org/violation-tracker/nj-calavo-growers-inc" TargetMode="External"/><Relationship Id="rId238" Type="http://schemas.openxmlformats.org/officeDocument/2006/relationships/hyperlink" Target="https://violationtracker.goodjobsfirst.org/violation-tracker/ma-target-corporation-4" TargetMode="External"/><Relationship Id="rId259" Type="http://schemas.openxmlformats.org/officeDocument/2006/relationships/hyperlink" Target="https://violationtracker.goodjobsfirst.org/violation-tracker/de-the-travelers-indemnity-company-of-ameri" TargetMode="External"/><Relationship Id="rId23" Type="http://schemas.openxmlformats.org/officeDocument/2006/relationships/hyperlink" Target="https://violationtracker.goodjobsfirst.org/violation-tracker/-chipotle-mexican-grill-inc-1" TargetMode="External"/><Relationship Id="rId119" Type="http://schemas.openxmlformats.org/officeDocument/2006/relationships/hyperlink" Target="https://violationtracker.goodjobsfirst.org/violation-tracker/-jpmorgan-chase-and-co-22" TargetMode="External"/><Relationship Id="rId270" Type="http://schemas.openxmlformats.org/officeDocument/2006/relationships/hyperlink" Target="https://violationtracker.goodjobsfirst.org/violation-tracker/ca-united-natural-foods-inc-0" TargetMode="External"/><Relationship Id="rId291" Type="http://schemas.openxmlformats.org/officeDocument/2006/relationships/hyperlink" Target="https://violationtracker.goodjobsfirst.org/violation-tracker/nv-wynn-las-vegas-llc-4" TargetMode="External"/><Relationship Id="rId44" Type="http://schemas.openxmlformats.org/officeDocument/2006/relationships/hyperlink" Target="https://violationtracker.goodjobsfirst.org/violation-tracker/mo-coventry-health-and-life-insurance-co" TargetMode="External"/><Relationship Id="rId65" Type="http://schemas.openxmlformats.org/officeDocument/2006/relationships/hyperlink" Target="https://violationtracker.goodjobsfirst.org/violation-tracker/ia-ehealthinsurance-services-inc" TargetMode="External"/><Relationship Id="rId86" Type="http://schemas.openxmlformats.org/officeDocument/2006/relationships/hyperlink" Target="https://violationtracker.goodjobsfirst.org/violation-tracker/wa-srs-distribution-inc-0" TargetMode="External"/><Relationship Id="rId130" Type="http://schemas.openxmlformats.org/officeDocument/2006/relationships/hyperlink" Target="https://violationtracker.goodjobsfirst.org/violation-tracker/-kinder-morgan-inc-0" TargetMode="External"/><Relationship Id="rId151" Type="http://schemas.openxmlformats.org/officeDocument/2006/relationships/hyperlink" Target="https://violationtracker.goodjobsfirst.org/violation-tracker/mi-macys" TargetMode="External"/><Relationship Id="rId172" Type="http://schemas.openxmlformats.org/officeDocument/2006/relationships/hyperlink" Target="https://violationtracker.goodjobsfirst.org/violation-tracker/-metlife-inc-0" TargetMode="External"/><Relationship Id="rId193" Type="http://schemas.openxmlformats.org/officeDocument/2006/relationships/hyperlink" Target="https://violationtracker.goodjobsfirst.org/violation-tracker/ca-pepsico-inc-1" TargetMode="External"/><Relationship Id="rId207" Type="http://schemas.openxmlformats.org/officeDocument/2006/relationships/hyperlink" Target="https://violationtracker.goodjobsfirst.org/violation-tracker/la-phillips-66-pipeline-llc-0" TargetMode="External"/><Relationship Id="rId228" Type="http://schemas.openxmlformats.org/officeDocument/2006/relationships/hyperlink" Target="https://violationtracker.goodjobsfirst.org/violation-tracker/ca-target-corporation-3" TargetMode="External"/><Relationship Id="rId249" Type="http://schemas.openxmlformats.org/officeDocument/2006/relationships/hyperlink" Target="https://violationtracker.goodjobsfirst.org/violation-tracker/ny-target-corporation-2" TargetMode="External"/><Relationship Id="rId13" Type="http://schemas.openxmlformats.org/officeDocument/2006/relationships/hyperlink" Target="https://violationtracker.goodjobsfirst.org/violation-tracker/wa-burlington-coat-factory-warehouse-of-aub" TargetMode="External"/><Relationship Id="rId109" Type="http://schemas.openxmlformats.org/officeDocument/2006/relationships/hyperlink" Target="https://violationtracker.goodjobsfirst.org/violation-tracker/-jpmorgan-chase-bank-na-6" TargetMode="External"/><Relationship Id="rId260" Type="http://schemas.openxmlformats.org/officeDocument/2006/relationships/hyperlink" Target="https://violationtracker.goodjobsfirst.org/violation-tracker/va-the-travelers-indemnity-company-ofameric" TargetMode="External"/><Relationship Id="rId281" Type="http://schemas.openxmlformats.org/officeDocument/2006/relationships/hyperlink" Target="https://violationtracker.goodjobsfirst.org/violation-tracker/pa-transcontinental-gas-pipe-line-company-l" TargetMode="External"/><Relationship Id="rId34" Type="http://schemas.openxmlformats.org/officeDocument/2006/relationships/hyperlink" Target="https://violationtracker.goodjobsfirst.org/violation-tracker/-citibank-national-association" TargetMode="External"/><Relationship Id="rId55" Type="http://schemas.openxmlformats.org/officeDocument/2006/relationships/hyperlink" Target="https://violationtracker.goodjobsfirst.org/violation-tracker/ca-aetna-health-of-california-inc-69" TargetMode="External"/><Relationship Id="rId76" Type="http://schemas.openxmlformats.org/officeDocument/2006/relationships/hyperlink" Target="https://violationtracker.goodjobsfirst.org/violation-tracker/ct-the-home-depot-llc" TargetMode="External"/><Relationship Id="rId97" Type="http://schemas.openxmlformats.org/officeDocument/2006/relationships/hyperlink" Target="https://violationtracker.goodjobsfirst.org/violation-tracker/la-interline-brands-inc" TargetMode="External"/><Relationship Id="rId120" Type="http://schemas.openxmlformats.org/officeDocument/2006/relationships/hyperlink" Target="https://violationtracker.goodjobsfirst.org/violation-tracker/tx-the-american-bottling-company" TargetMode="External"/><Relationship Id="rId141" Type="http://schemas.openxmlformats.org/officeDocument/2006/relationships/hyperlink" Target="https://violationtracker.goodjobsfirst.org/violation-tracker/ar-lpl-financial-llc" TargetMode="External"/><Relationship Id="rId7" Type="http://schemas.openxmlformats.org/officeDocument/2006/relationships/hyperlink" Target="https://violationtracker.goodjobsfirst.org/violation-tracker/md-m-and-t-bank" TargetMode="External"/><Relationship Id="rId162" Type="http://schemas.openxmlformats.org/officeDocument/2006/relationships/hyperlink" Target="https://violationtracker.goodjobsfirst.org/violation-tracker/-marathon-petroleum-company-6" TargetMode="External"/><Relationship Id="rId183" Type="http://schemas.openxmlformats.org/officeDocument/2006/relationships/hyperlink" Target="https://violationtracker.goodjobsfirst.org/violation-tracker/tx-owens-corning-insulating-systems-llc-3" TargetMode="External"/><Relationship Id="rId218" Type="http://schemas.openxmlformats.org/officeDocument/2006/relationships/hyperlink" Target="https://violationtracker.goodjobsfirst.org/violation-tracker/-prudential-financial-inc" TargetMode="External"/><Relationship Id="rId239" Type="http://schemas.openxmlformats.org/officeDocument/2006/relationships/hyperlink" Target="https://violationtracker.goodjobsfirst.org/violation-tracker/tx-target-corporation-0" TargetMode="External"/><Relationship Id="rId250" Type="http://schemas.openxmlformats.org/officeDocument/2006/relationships/hyperlink" Target="https://violationtracker.goodjobsfirst.org/violation-tracker/ny-target-corporation-3" TargetMode="External"/><Relationship Id="rId271" Type="http://schemas.openxmlformats.org/officeDocument/2006/relationships/hyperlink" Target="https://violationtracker.goodjobsfirst.org/violation-tracker/wa-united-natural-foods-west-inc-0" TargetMode="External"/><Relationship Id="rId292" Type="http://schemas.openxmlformats.org/officeDocument/2006/relationships/hyperlink" Target="https://violationtracker.goodjobsfirst.org/violation-tracker/ca-con-way-freight-inc-0" TargetMode="External"/><Relationship Id="rId24" Type="http://schemas.openxmlformats.org/officeDocument/2006/relationships/hyperlink" Target="https://violationtracker.goodjobsfirst.org/violation-tracker/ny-chipotle-mexican-grill-inc-0" TargetMode="External"/><Relationship Id="rId45" Type="http://schemas.openxmlformats.org/officeDocument/2006/relationships/hyperlink" Target="https://violationtracker.goodjobsfirst.org/violation-tracker/va-aetna-life-insurance-company-1" TargetMode="External"/><Relationship Id="rId66" Type="http://schemas.openxmlformats.org/officeDocument/2006/relationships/hyperlink" Target="https://violationtracker.goodjobsfirst.org/violation-tracker/ca-foot-locker-retail-inc" TargetMode="External"/><Relationship Id="rId87" Type="http://schemas.openxmlformats.org/officeDocument/2006/relationships/hyperlink" Target="https://violationtracker.goodjobsfirst.org/violation-tracker/il-the-home-depot-3" TargetMode="External"/><Relationship Id="rId110" Type="http://schemas.openxmlformats.org/officeDocument/2006/relationships/hyperlink" Target="https://violationtracker.goodjobsfirst.org/violation-tracker/-jpmorgan-chase-and-co-9" TargetMode="External"/><Relationship Id="rId131" Type="http://schemas.openxmlformats.org/officeDocument/2006/relationships/hyperlink" Target="https://violationtracker.goodjobsfirst.org/violation-tracker/wy-kinder-morgan" TargetMode="External"/><Relationship Id="rId152" Type="http://schemas.openxmlformats.org/officeDocument/2006/relationships/hyperlink" Target="https://violationtracker.goodjobsfirst.org/violation-tracker/il-macys" TargetMode="External"/><Relationship Id="rId173" Type="http://schemas.openxmlformats.org/officeDocument/2006/relationships/hyperlink" Target="https://violationtracker.goodjobsfirst.org/violation-tracker/ny-metlife-insurance-company" TargetMode="External"/><Relationship Id="rId194" Type="http://schemas.openxmlformats.org/officeDocument/2006/relationships/hyperlink" Target="https://violationtracker.goodjobsfirst.org/violation-tracker/fl-bottling-group-llc" TargetMode="External"/><Relationship Id="rId208" Type="http://schemas.openxmlformats.org/officeDocument/2006/relationships/hyperlink" Target="https://violationtracker.goodjobsfirst.org/violation-tracker/la-phillips-66-pipeline-llc" TargetMode="External"/><Relationship Id="rId229" Type="http://schemas.openxmlformats.org/officeDocument/2006/relationships/hyperlink" Target="https://violationtracker.goodjobsfirst.org/violation-tracker/fl-target-corporation-2" TargetMode="External"/><Relationship Id="rId240" Type="http://schemas.openxmlformats.org/officeDocument/2006/relationships/hyperlink" Target="https://violationtracker.goodjobsfirst.org/violation-tracker/ma-target-corporation-5" TargetMode="External"/><Relationship Id="rId261" Type="http://schemas.openxmlformats.org/officeDocument/2006/relationships/hyperlink" Target="https://violationtracker.goodjobsfirst.org/violation-tracker/tx-travelers-property-casualty-co-of-americ" TargetMode="External"/><Relationship Id="rId14" Type="http://schemas.openxmlformats.org/officeDocument/2006/relationships/hyperlink" Target="https://violationtracker.goodjobsfirst.org/violation-tracker/-burlington-coat-factory-warehouse-corpor-1" TargetMode="External"/><Relationship Id="rId35" Type="http://schemas.openxmlformats.org/officeDocument/2006/relationships/hyperlink" Target="https://violationtracker.goodjobsfirst.org/violation-tracker/-citibank-na-11" TargetMode="External"/><Relationship Id="rId56" Type="http://schemas.openxmlformats.org/officeDocument/2006/relationships/hyperlink" Target="https://violationtracker.goodjobsfirst.org/violation-tracker/de-aetna-health-inc-pa" TargetMode="External"/><Relationship Id="rId77" Type="http://schemas.openxmlformats.org/officeDocument/2006/relationships/hyperlink" Target="https://violationtracker.goodjobsfirst.org/violation-tracker/pa-the-home-depot-inc-0" TargetMode="External"/><Relationship Id="rId100" Type="http://schemas.openxmlformats.org/officeDocument/2006/relationships/hyperlink" Target="https://violationtracker.goodjobsfirst.org/violation-tracker/md-international-business-machines-corporat" TargetMode="External"/><Relationship Id="rId282" Type="http://schemas.openxmlformats.org/officeDocument/2006/relationships/hyperlink" Target="https://violationtracker.goodjobsfirst.org/violation-tracker/la-transcontinental-gas-pipeline-company-ll" TargetMode="External"/><Relationship Id="rId8" Type="http://schemas.openxmlformats.org/officeDocument/2006/relationships/hyperlink" Target="https://violationtracker.goodjobsfirst.org/violation-tracker/-marriott-international-inc-0" TargetMode="External"/><Relationship Id="rId98" Type="http://schemas.openxmlformats.org/officeDocument/2006/relationships/hyperlink" Target="https://violationtracker.goodjobsfirst.org/violation-tracker/-interline-brand-inc" TargetMode="External"/><Relationship Id="rId121" Type="http://schemas.openxmlformats.org/officeDocument/2006/relationships/hyperlink" Target="https://violationtracker.goodjobsfirst.org/violation-tracker/nj-motts-llp" TargetMode="External"/><Relationship Id="rId142" Type="http://schemas.openxmlformats.org/officeDocument/2006/relationships/hyperlink" Target="https://violationtracker.goodjobsfirst.org/violation-tracker/ma-lpl-financial-llc-3" TargetMode="External"/><Relationship Id="rId163" Type="http://schemas.openxmlformats.org/officeDocument/2006/relationships/hyperlink" Target="https://violationtracker.goodjobsfirst.org/violation-tracker/-marathon-petroleum-company-7" TargetMode="External"/><Relationship Id="rId184" Type="http://schemas.openxmlformats.org/officeDocument/2006/relationships/hyperlink" Target="https://violationtracker.goodjobsfirst.org/violation-tracker/ca-masonite-corporation-0" TargetMode="External"/><Relationship Id="rId219" Type="http://schemas.openxmlformats.org/officeDocument/2006/relationships/hyperlink" Target="https://violationtracker.goodjobsfirst.org/violation-tracker/ny-the-prudential-insurance-company-of-amer" TargetMode="External"/><Relationship Id="rId230" Type="http://schemas.openxmlformats.org/officeDocument/2006/relationships/hyperlink" Target="https://violationtracker.goodjobsfirst.org/violation-tracker/ca-target-corporation-15" TargetMode="External"/><Relationship Id="rId251" Type="http://schemas.openxmlformats.org/officeDocument/2006/relationships/hyperlink" Target="https://violationtracker.goodjobsfirst.org/violation-tracker/ny-target-corporation-4" TargetMode="External"/><Relationship Id="rId25" Type="http://schemas.openxmlformats.org/officeDocument/2006/relationships/hyperlink" Target="https://violationtracker.goodjobsfirst.org/violation-tracker/ca-chipotle-mexican-grill-0" TargetMode="External"/><Relationship Id="rId46" Type="http://schemas.openxmlformats.org/officeDocument/2006/relationships/hyperlink" Target="https://violationtracker.goodjobsfirst.org/violation-tracker/wa-aetna-life-insurance-company-3" TargetMode="External"/><Relationship Id="rId67" Type="http://schemas.openxmlformats.org/officeDocument/2006/relationships/hyperlink" Target="https://violationtracker.goodjobsfirst.org/violation-tracker/nm-general-mills-operations-llc" TargetMode="External"/><Relationship Id="rId272" Type="http://schemas.openxmlformats.org/officeDocument/2006/relationships/hyperlink" Target="https://violationtracker.goodjobsfirst.org/violation-tracker/nh-united-natural-foods-inc" TargetMode="External"/><Relationship Id="rId293" Type="http://schemas.openxmlformats.org/officeDocument/2006/relationships/hyperlink" Target="https://violationtracker.goodjobsfirst.org/violation-tracker/ct-xpo-logistics-inc" TargetMode="External"/><Relationship Id="rId88" Type="http://schemas.openxmlformats.org/officeDocument/2006/relationships/hyperlink" Target="https://violationtracker.goodjobsfirst.org/violation-tracker/pa-the-home-depot-inc" TargetMode="External"/><Relationship Id="rId111" Type="http://schemas.openxmlformats.org/officeDocument/2006/relationships/hyperlink" Target="https://violationtracker.goodjobsfirst.org/violation-tracker/-jpmorgan-chase-bank-national-association-0" TargetMode="External"/><Relationship Id="rId132" Type="http://schemas.openxmlformats.org/officeDocument/2006/relationships/hyperlink" Target="https://violationtracker.goodjobsfirst.org/violation-tracker/ut-kinder-morgan-0" TargetMode="External"/><Relationship Id="rId153" Type="http://schemas.openxmlformats.org/officeDocument/2006/relationships/hyperlink" Target="https://violationtracker.goodjobsfirst.org/violation-tracker/-western-refining-logistics-lp" TargetMode="External"/><Relationship Id="rId174" Type="http://schemas.openxmlformats.org/officeDocument/2006/relationships/hyperlink" Target="https://violationtracker.goodjobsfirst.org/violation-tracker/ri-metropolitan-life-insurance-company" TargetMode="External"/><Relationship Id="rId195" Type="http://schemas.openxmlformats.org/officeDocument/2006/relationships/hyperlink" Target="https://violationtracker.goodjobsfirst.org/violation-tracker/fl-frito-lay-inc-0" TargetMode="External"/><Relationship Id="rId209" Type="http://schemas.openxmlformats.org/officeDocument/2006/relationships/hyperlink" Target="https://violationtracker.goodjobsfirst.org/violation-tracker/-plains-all-american-pipeline-lp-and-plai" TargetMode="External"/><Relationship Id="rId220" Type="http://schemas.openxmlformats.org/officeDocument/2006/relationships/hyperlink" Target="https://violationtracker.goodjobsfirst.org/violation-tracker/ut-slm-corporation" TargetMode="External"/><Relationship Id="rId241" Type="http://schemas.openxmlformats.org/officeDocument/2006/relationships/hyperlink" Target="https://violationtracker.goodjobsfirst.org/violation-tracker/tx-target-corporation-1" TargetMode="External"/><Relationship Id="rId15" Type="http://schemas.openxmlformats.org/officeDocument/2006/relationships/hyperlink" Target="https://violationtracker.goodjobsfirst.org/violation-tracker/ca-calavo-growers-inc-1" TargetMode="External"/><Relationship Id="rId36" Type="http://schemas.openxmlformats.org/officeDocument/2006/relationships/hyperlink" Target="https://violationtracker.goodjobsfirst.org/violation-tracker/-citibank-na-10" TargetMode="External"/><Relationship Id="rId57" Type="http://schemas.openxmlformats.org/officeDocument/2006/relationships/hyperlink" Target="https://violationtracker.goodjobsfirst.org/violation-tracker/-aetna-life-insurance-company-0" TargetMode="External"/><Relationship Id="rId262" Type="http://schemas.openxmlformats.org/officeDocument/2006/relationships/hyperlink" Target="https://violationtracker.goodjobsfirst.org/violation-tracker/mn-the-travelers-indemnity-co" TargetMode="External"/><Relationship Id="rId283" Type="http://schemas.openxmlformats.org/officeDocument/2006/relationships/hyperlink" Target="https://violationtracker.goodjobsfirst.org/violation-tracker/co-the-williams-companies" TargetMode="External"/><Relationship Id="rId78" Type="http://schemas.openxmlformats.org/officeDocument/2006/relationships/hyperlink" Target="https://violationtracker.goodjobsfirst.org/violation-tracker/ma-the-home-depot-usa-inc" TargetMode="External"/><Relationship Id="rId99" Type="http://schemas.openxmlformats.org/officeDocument/2006/relationships/hyperlink" Target="https://violationtracker.goodjobsfirst.org/violation-tracker/-international-business-machines-corporat-1" TargetMode="External"/><Relationship Id="rId101" Type="http://schemas.openxmlformats.org/officeDocument/2006/relationships/hyperlink" Target="https://violationtracker.goodjobsfirst.org/violation-tracker/wv-johnson-and-johnson-0" TargetMode="External"/><Relationship Id="rId122" Type="http://schemas.openxmlformats.org/officeDocument/2006/relationships/hyperlink" Target="https://violationtracker.goodjobsfirst.org/violation-tracker/ia-american-bottling-company-2" TargetMode="External"/><Relationship Id="rId143" Type="http://schemas.openxmlformats.org/officeDocument/2006/relationships/hyperlink" Target="https://violationtracker.goodjobsfirst.org/violation-tracker/md-lpl-financial-llc" TargetMode="External"/><Relationship Id="rId164" Type="http://schemas.openxmlformats.org/officeDocument/2006/relationships/hyperlink" Target="https://violationtracker.goodjobsfirst.org/violation-tracker/tx-marathon-petroleum-company-lp-3" TargetMode="External"/><Relationship Id="rId185" Type="http://schemas.openxmlformats.org/officeDocument/2006/relationships/hyperlink" Target="https://violationtracker.goodjobsfirst.org/violation-tracker/nj-owens-corning-roofing-and-asphalt-llc" TargetMode="External"/><Relationship Id="rId9" Type="http://schemas.openxmlformats.org/officeDocument/2006/relationships/hyperlink" Target="https://violationtracker.goodjobsfirst.org/violation-tracker/ca-american-tower-corporation" TargetMode="External"/><Relationship Id="rId210" Type="http://schemas.openxmlformats.org/officeDocument/2006/relationships/hyperlink" Target="https://violationtracker.goodjobsfirst.org/violation-tracker/ca-plains-pipeline-lp" TargetMode="External"/><Relationship Id="rId26" Type="http://schemas.openxmlformats.org/officeDocument/2006/relationships/hyperlink" Target="https://violationtracker.goodjobsfirst.org/violation-tracker/-chipotle-mexican-grill-inc" TargetMode="External"/><Relationship Id="rId231" Type="http://schemas.openxmlformats.org/officeDocument/2006/relationships/hyperlink" Target="https://violationtracker.goodjobsfirst.org/violation-tracker/ri-target-corporation" TargetMode="External"/><Relationship Id="rId252" Type="http://schemas.openxmlformats.org/officeDocument/2006/relationships/hyperlink" Target="https://violationtracker.goodjobsfirst.org/violation-tracker/il-target-corporation-1" TargetMode="External"/><Relationship Id="rId273" Type="http://schemas.openxmlformats.org/officeDocument/2006/relationships/hyperlink" Target="https://violationtracker.goodjobsfirst.org/violation-tracker/ga-united-natural-foods-inc" TargetMode="External"/><Relationship Id="rId294" Type="http://schemas.openxmlformats.org/officeDocument/2006/relationships/hyperlink" Target="https://violationtracker.goodjobsfirst.org/violation-tracker/in-xpo-logistics" TargetMode="External"/><Relationship Id="rId47" Type="http://schemas.openxmlformats.org/officeDocument/2006/relationships/hyperlink" Target="https://violationtracker.goodjobsfirst.org/violation-tracker/mn-coventry-health-care-workers-compensatio" TargetMode="External"/><Relationship Id="rId68" Type="http://schemas.openxmlformats.org/officeDocument/2006/relationships/hyperlink" Target="https://violationtracker.goodjobsfirst.org/violation-tracker/oh-general-mills-inc-3" TargetMode="External"/><Relationship Id="rId89" Type="http://schemas.openxmlformats.org/officeDocument/2006/relationships/hyperlink" Target="https://violationtracker.goodjobsfirst.org/violation-tracker/de-home-depot-1602" TargetMode="External"/><Relationship Id="rId112" Type="http://schemas.openxmlformats.org/officeDocument/2006/relationships/hyperlink" Target="https://violationtracker.goodjobsfirst.org/violation-tracker/ny-jpmorgan-chase-and-co" TargetMode="External"/><Relationship Id="rId133" Type="http://schemas.openxmlformats.org/officeDocument/2006/relationships/hyperlink" Target="https://violationtracker.goodjobsfirst.org/violation-tracker/ne-kroger-company" TargetMode="External"/><Relationship Id="rId154" Type="http://schemas.openxmlformats.org/officeDocument/2006/relationships/hyperlink" Target="https://violationtracker.goodjobsfirst.org/violation-tracker/-andeavor-llc" TargetMode="External"/><Relationship Id="rId175" Type="http://schemas.openxmlformats.org/officeDocument/2006/relationships/hyperlink" Target="https://violationtracker.goodjobsfirst.org/violation-tracker/tx-mission-produce-inc" TargetMode="External"/><Relationship Id="rId196" Type="http://schemas.openxmlformats.org/officeDocument/2006/relationships/hyperlink" Target="https://violationtracker.goodjobsfirst.org/violation-tracker/tx-pepsico" TargetMode="External"/><Relationship Id="rId200" Type="http://schemas.openxmlformats.org/officeDocument/2006/relationships/hyperlink" Target="https://violationtracker.goodjobsfirst.org/violation-tracker/tx-phillips-66-sweeny-refinery" TargetMode="External"/><Relationship Id="rId16" Type="http://schemas.openxmlformats.org/officeDocument/2006/relationships/hyperlink" Target="https://violationtracker.goodjobsfirst.org/violation-tracker/-carrier-corporation" TargetMode="External"/><Relationship Id="rId221" Type="http://schemas.openxmlformats.org/officeDocument/2006/relationships/hyperlink" Target="https://violationtracker.goodjobsfirst.org/violation-tracker/-southwest-airlines-8" TargetMode="External"/><Relationship Id="rId242" Type="http://schemas.openxmlformats.org/officeDocument/2006/relationships/hyperlink" Target="https://violationtracker.goodjobsfirst.org/violation-tracker/me-target-corporation-1" TargetMode="External"/><Relationship Id="rId263" Type="http://schemas.openxmlformats.org/officeDocument/2006/relationships/hyperlink" Target="https://violationtracker.goodjobsfirst.org/violation-tracker/tx-standard-fire-insurance-company-1" TargetMode="External"/><Relationship Id="rId284" Type="http://schemas.openxmlformats.org/officeDocument/2006/relationships/hyperlink" Target="https://violationtracker.goodjobsfirst.org/violation-tracker/va-transcontinental-gas-pipe-line-companyll" TargetMode="External"/><Relationship Id="rId37" Type="http://schemas.openxmlformats.org/officeDocument/2006/relationships/hyperlink" Target="https://violationtracker.goodjobsfirst.org/violation-tracker/pa-cnx-gas-company-llc-0" TargetMode="External"/><Relationship Id="rId58" Type="http://schemas.openxmlformats.org/officeDocument/2006/relationships/hyperlink" Target="https://violationtracker.goodjobsfirst.org/violation-tracker/ma-cvs-pharmacy-inc-2" TargetMode="External"/><Relationship Id="rId79" Type="http://schemas.openxmlformats.org/officeDocument/2006/relationships/hyperlink" Target="https://violationtracker.goodjobsfirst.org/violation-tracker/ca-home-depot-usa-inc-0" TargetMode="External"/><Relationship Id="rId102" Type="http://schemas.openxmlformats.org/officeDocument/2006/relationships/hyperlink" Target="https://violationtracker.goodjobsfirst.org/violation-tracker/ca-depuy-synthes-sales-inc" TargetMode="External"/><Relationship Id="rId123" Type="http://schemas.openxmlformats.org/officeDocument/2006/relationships/hyperlink" Target="https://violationtracker.goodjobsfirst.org/violation-tracker/-kinder-morgan-altamont-and-colorado-inte" TargetMode="External"/><Relationship Id="rId144" Type="http://schemas.openxmlformats.org/officeDocument/2006/relationships/hyperlink" Target="https://violationtracker.goodjobsfirst.org/violation-tracker/sc-lpl-financial-llc" TargetMode="External"/><Relationship Id="rId90" Type="http://schemas.openxmlformats.org/officeDocument/2006/relationships/hyperlink" Target="https://violationtracker.goodjobsfirst.org/violation-tracker/ca-home-depot-13" TargetMode="External"/><Relationship Id="rId165" Type="http://schemas.openxmlformats.org/officeDocument/2006/relationships/hyperlink" Target="https://violationtracker.goodjobsfirst.org/violation-tracker/tx-blanchard-refining-company-llc-11" TargetMode="External"/><Relationship Id="rId186" Type="http://schemas.openxmlformats.org/officeDocument/2006/relationships/hyperlink" Target="https://violationtracker.goodjobsfirst.org/violation-tracker/al-masonite-corporation-0" TargetMode="External"/><Relationship Id="rId211" Type="http://schemas.openxmlformats.org/officeDocument/2006/relationships/hyperlink" Target="https://violationtracker.goodjobsfirst.org/violation-tracker/tx-felix-energy-holdings-ii-llc" TargetMode="External"/><Relationship Id="rId232" Type="http://schemas.openxmlformats.org/officeDocument/2006/relationships/hyperlink" Target="https://violationtracker.goodjobsfirst.org/violation-tracker/ny-target-corp" TargetMode="External"/><Relationship Id="rId253" Type="http://schemas.openxmlformats.org/officeDocument/2006/relationships/hyperlink" Target="https://violationtracker.goodjobsfirst.org/violation-tracker/ny-target-corporation-5" TargetMode="External"/><Relationship Id="rId274" Type="http://schemas.openxmlformats.org/officeDocument/2006/relationships/hyperlink" Target="https://violationtracker.goodjobsfirst.org/violation-tracker/ms-united-natural-foods-inc" TargetMode="External"/><Relationship Id="rId295" Type="http://schemas.openxmlformats.org/officeDocument/2006/relationships/hyperlink" Target="https://violationtracker.goodjobsfirst.org/violation-tracker/ct-xpo-logistics-freight-inc" TargetMode="External"/><Relationship Id="rId27" Type="http://schemas.openxmlformats.org/officeDocument/2006/relationships/hyperlink" Target="https://violationtracker.goodjobsfirst.org/violation-tracker/ma-chipotle-mexican-grill-inc-1" TargetMode="External"/><Relationship Id="rId48" Type="http://schemas.openxmlformats.org/officeDocument/2006/relationships/hyperlink" Target="https://violationtracker.goodjobsfirst.org/violation-tracker/sd-aetna-network-services-llc" TargetMode="External"/><Relationship Id="rId69" Type="http://schemas.openxmlformats.org/officeDocument/2006/relationships/hyperlink" Target="https://violationtracker.goodjobsfirst.org/violation-tracker/nm-general-mills-operations-llc-0" TargetMode="External"/><Relationship Id="rId113" Type="http://schemas.openxmlformats.org/officeDocument/2006/relationships/hyperlink" Target="https://violationtracker.goodjobsfirst.org/violation-tracker/-jp-morgan-securities-llc-6" TargetMode="External"/><Relationship Id="rId134" Type="http://schemas.openxmlformats.org/officeDocument/2006/relationships/hyperlink" Target="https://violationtracker.goodjobsfirst.org/violation-tracker/nc-lear-corporation" TargetMode="External"/><Relationship Id="rId80" Type="http://schemas.openxmlformats.org/officeDocument/2006/relationships/hyperlink" Target="https://violationtracker.goodjobsfirst.org/violation-tracker/me-hd-supply-construction-supply-ltd" TargetMode="External"/><Relationship Id="rId155" Type="http://schemas.openxmlformats.org/officeDocument/2006/relationships/hyperlink" Target="https://violationtracker.goodjobsfirst.org/violation-tracker/in-marathon-pipe-line" TargetMode="External"/><Relationship Id="rId176" Type="http://schemas.openxmlformats.org/officeDocument/2006/relationships/hyperlink" Target="https://violationtracker.goodjobsfirst.org/violation-tracker/or-mondelez-global-llc" TargetMode="External"/><Relationship Id="rId197" Type="http://schemas.openxmlformats.org/officeDocument/2006/relationships/hyperlink" Target="https://violationtracker.goodjobsfirst.org/violation-tracker/il-quaker-manufacturing-llc" TargetMode="External"/><Relationship Id="rId201" Type="http://schemas.openxmlformats.org/officeDocument/2006/relationships/hyperlink" Target="https://violationtracker.goodjobsfirst.org/violation-tracker/tx-phillips-66-pipeline-llc-2" TargetMode="External"/><Relationship Id="rId222" Type="http://schemas.openxmlformats.org/officeDocument/2006/relationships/hyperlink" Target="https://violationtracker.goodjobsfirst.org/violation-tracker/tx-targa-midstream-services-llc" TargetMode="External"/><Relationship Id="rId243" Type="http://schemas.openxmlformats.org/officeDocument/2006/relationships/hyperlink" Target="https://violationtracker.goodjobsfirst.org/violation-tracker/-target-corporation-0" TargetMode="External"/><Relationship Id="rId264" Type="http://schemas.openxmlformats.org/officeDocument/2006/relationships/hyperlink" Target="https://violationtracker.goodjobsfirst.org/violation-tracker/tx-the-phoenix-insurance-company-0" TargetMode="External"/><Relationship Id="rId285" Type="http://schemas.openxmlformats.org/officeDocument/2006/relationships/hyperlink" Target="https://violationtracker.goodjobsfirst.org/violation-tracker/-williams-companies-inc-0" TargetMode="External"/><Relationship Id="rId17" Type="http://schemas.openxmlformats.org/officeDocument/2006/relationships/hyperlink" Target="https://violationtracker.goodjobsfirst.org/violation-tracker/fl-carrier-enterprise" TargetMode="External"/><Relationship Id="rId38" Type="http://schemas.openxmlformats.org/officeDocument/2006/relationships/hyperlink" Target="https://violationtracker.goodjobsfirst.org/violation-tracker/pa-cnx-gas-company-llc-and-cnx-midstream-pa" TargetMode="External"/><Relationship Id="rId59" Type="http://schemas.openxmlformats.org/officeDocument/2006/relationships/hyperlink" Target="https://violationtracker.goodjobsfirst.org/violation-tracker/wa-aetna-life-insurance-company-4" TargetMode="External"/><Relationship Id="rId103" Type="http://schemas.openxmlformats.org/officeDocument/2006/relationships/hyperlink" Target="https://violationtracker.goodjobsfirst.org/violation-tracker/-momenta-pharmaceuticals-inc" TargetMode="External"/><Relationship Id="rId124" Type="http://schemas.openxmlformats.org/officeDocument/2006/relationships/hyperlink" Target="https://violationtracker.goodjobsfirst.org/violation-tracker/-kinder-morgan-energy-partners-lp-0" TargetMode="External"/><Relationship Id="rId70" Type="http://schemas.openxmlformats.org/officeDocument/2006/relationships/hyperlink" Target="https://violationtracker.goodjobsfirst.org/violation-tracker/oh-general-mills" TargetMode="External"/><Relationship Id="rId91" Type="http://schemas.openxmlformats.org/officeDocument/2006/relationships/hyperlink" Target="https://violationtracker.goodjobsfirst.org/violation-tracker/ny-home-depot-usa-inc-9" TargetMode="External"/><Relationship Id="rId145" Type="http://schemas.openxmlformats.org/officeDocument/2006/relationships/hyperlink" Target="https://violationtracker.goodjobsfirst.org/violation-tracker/-lpl-financial-llc-3" TargetMode="External"/><Relationship Id="rId166" Type="http://schemas.openxmlformats.org/officeDocument/2006/relationships/hyperlink" Target="https://violationtracker.goodjobsfirst.org/violation-tracker/-western-refining-company-6" TargetMode="External"/><Relationship Id="rId187" Type="http://schemas.openxmlformats.org/officeDocument/2006/relationships/hyperlink" Target="https://violationtracker.goodjobsfirst.org/violation-tracker/co-owens-corning-roofing-and-asphalt-llc" TargetMode="External"/><Relationship Id="rId1" Type="http://schemas.openxmlformats.org/officeDocument/2006/relationships/hyperlink" Target="https://violationtracker.goodjobsfirst.org/violation-tracker/ny-chipotle-mexican-grill-2602" TargetMode="External"/><Relationship Id="rId212" Type="http://schemas.openxmlformats.org/officeDocument/2006/relationships/hyperlink" Target="https://violationtracker.goodjobsfirst.org/violation-tracker/la-plains-marketing-lp-0" TargetMode="External"/><Relationship Id="rId233" Type="http://schemas.openxmlformats.org/officeDocument/2006/relationships/hyperlink" Target="https://violationtracker.goodjobsfirst.org/violation-tracker/ma-target-corporation-2" TargetMode="External"/><Relationship Id="rId254" Type="http://schemas.openxmlformats.org/officeDocument/2006/relationships/hyperlink" Target="https://violationtracker.goodjobsfirst.org/violation-tracker/pa-target-corporation-0" TargetMode="External"/><Relationship Id="rId28" Type="http://schemas.openxmlformats.org/officeDocument/2006/relationships/hyperlink" Target="https://violationtracker.goodjobsfirst.org/violation-tracker/ma-chipotle-mexican-grill-inc-0" TargetMode="External"/><Relationship Id="rId49" Type="http://schemas.openxmlformats.org/officeDocument/2006/relationships/hyperlink" Target="https://violationtracker.goodjobsfirst.org/violation-tracker/tx-aetna-health-inc-0" TargetMode="External"/><Relationship Id="rId114" Type="http://schemas.openxmlformats.org/officeDocument/2006/relationships/hyperlink" Target="https://violationtracker.goodjobsfirst.org/violation-tracker/-jp-morgan-securities-llc-14" TargetMode="External"/><Relationship Id="rId275" Type="http://schemas.openxmlformats.org/officeDocument/2006/relationships/hyperlink" Target="https://violationtracker.goodjobsfirst.org/violation-tracker/-walt-disney-parks-and-resorts-us-inc" TargetMode="External"/><Relationship Id="rId296" Type="http://schemas.openxmlformats.org/officeDocument/2006/relationships/hyperlink" Target="https://violationtracker.goodjobsfirst.org/violation-tracker/nm-xpo-logistics" TargetMode="External"/><Relationship Id="rId300" Type="http://schemas.openxmlformats.org/officeDocument/2006/relationships/vmlDrawing" Target="../drawings/vmlDrawing3.vml"/><Relationship Id="rId60" Type="http://schemas.openxmlformats.org/officeDocument/2006/relationships/hyperlink" Target="https://violationtracker.goodjobsfirst.org/violation-tracker/ca-garfield-beach-cvs-llc-0" TargetMode="External"/><Relationship Id="rId81" Type="http://schemas.openxmlformats.org/officeDocument/2006/relationships/hyperlink" Target="https://violationtracker.goodjobsfirst.org/violation-tracker/co-home-depot-usa-inc-dba-home-depot-1502" TargetMode="External"/><Relationship Id="rId135" Type="http://schemas.openxmlformats.org/officeDocument/2006/relationships/hyperlink" Target="https://violationtracker.goodjobsfirst.org/violation-tracker/oh-lear-corporation-inc" TargetMode="External"/><Relationship Id="rId156" Type="http://schemas.openxmlformats.org/officeDocument/2006/relationships/hyperlink" Target="https://violationtracker.goodjobsfirst.org/violation-tracker/tx-blanchard-refining-company-llc" TargetMode="External"/><Relationship Id="rId177" Type="http://schemas.openxmlformats.org/officeDocument/2006/relationships/hyperlink" Target="https://violationtracker.goodjobsfirst.org/violation-tracker/-mondelez-global-llc-0" TargetMode="External"/><Relationship Id="rId198" Type="http://schemas.openxmlformats.org/officeDocument/2006/relationships/hyperlink" Target="https://violationtracker.goodjobsfirst.org/violation-tracker/ga-bottling-group-llc" TargetMode="External"/><Relationship Id="rId202" Type="http://schemas.openxmlformats.org/officeDocument/2006/relationships/hyperlink" Target="https://violationtracker.goodjobsfirst.org/violation-tracker/tx-phillips-66-company-2" TargetMode="External"/><Relationship Id="rId223" Type="http://schemas.openxmlformats.org/officeDocument/2006/relationships/hyperlink" Target="https://violationtracker.goodjobsfirst.org/violation-tracker/tx-targa-midstream-services-llc-0" TargetMode="External"/><Relationship Id="rId244" Type="http://schemas.openxmlformats.org/officeDocument/2006/relationships/hyperlink" Target="https://violationtracker.goodjobsfirst.org/violation-tracker/-target-corporation-1" TargetMode="External"/><Relationship Id="rId18" Type="http://schemas.openxmlformats.org/officeDocument/2006/relationships/hyperlink" Target="https://violationtracker.goodjobsfirst.org/violation-tracker/tn-carrier-corporation" TargetMode="External"/><Relationship Id="rId39" Type="http://schemas.openxmlformats.org/officeDocument/2006/relationships/hyperlink" Target="https://violationtracker.goodjobsfirst.org/violation-tracker/pa-cnx-gas-company-llc" TargetMode="External"/><Relationship Id="rId265" Type="http://schemas.openxmlformats.org/officeDocument/2006/relationships/hyperlink" Target="https://violationtracker.goodjobsfirst.org/violation-tracker/tx-travelers-indemnity-company-2" TargetMode="External"/><Relationship Id="rId286" Type="http://schemas.openxmlformats.org/officeDocument/2006/relationships/hyperlink" Target="https://violationtracker.goodjobsfirst.org/violation-tracker/wy-williams-field-service-company-llc-0" TargetMode="External"/><Relationship Id="rId50" Type="http://schemas.openxmlformats.org/officeDocument/2006/relationships/hyperlink" Target="https://violationtracker.goodjobsfirst.org/violation-tracker/-omnicare-inc-et-al" TargetMode="External"/><Relationship Id="rId104" Type="http://schemas.openxmlformats.org/officeDocument/2006/relationships/hyperlink" Target="https://violationtracker.goodjobsfirst.org/violation-tracker/tx-ethicon-inc-0" TargetMode="External"/><Relationship Id="rId125" Type="http://schemas.openxmlformats.org/officeDocument/2006/relationships/hyperlink" Target="https://violationtracker.goodjobsfirst.org/violation-tracker/or-kinder-morgan-bulk-terminals-llc" TargetMode="External"/><Relationship Id="rId146" Type="http://schemas.openxmlformats.org/officeDocument/2006/relationships/hyperlink" Target="https://violationtracker.goodjobsfirst.org/violation-tracker/-wilmington-trust-na-0" TargetMode="External"/><Relationship Id="rId167" Type="http://schemas.openxmlformats.org/officeDocument/2006/relationships/hyperlink" Target="https://violationtracker.goodjobsfirst.org/violation-tracker/ca-tesoro-refining-and-marketing-company--9" TargetMode="External"/><Relationship Id="rId188" Type="http://schemas.openxmlformats.org/officeDocument/2006/relationships/hyperlink" Target="https://violationtracker.goodjobsfirst.org/violation-tracker/nc-endura-products-inc" TargetMode="External"/><Relationship Id="rId71" Type="http://schemas.openxmlformats.org/officeDocument/2006/relationships/hyperlink" Target="https://violationtracker.goodjobsfirst.org/violation-tracker/pa-hershey-company-reese-plant" TargetMode="External"/><Relationship Id="rId92" Type="http://schemas.openxmlformats.org/officeDocument/2006/relationships/hyperlink" Target="https://violationtracker.goodjobsfirst.org/violation-tracker/mo-the-home-depot" TargetMode="External"/><Relationship Id="rId213" Type="http://schemas.openxmlformats.org/officeDocument/2006/relationships/hyperlink" Target="https://violationtracker.goodjobsfirst.org/violation-tracker/nd-van-hook-crude-terminal-llc" TargetMode="External"/><Relationship Id="rId234" Type="http://schemas.openxmlformats.org/officeDocument/2006/relationships/hyperlink" Target="https://violationtracker.goodjobsfirst.org/violation-tracker/il-target-corporation-2" TargetMode="External"/><Relationship Id="rId2" Type="http://schemas.openxmlformats.org/officeDocument/2006/relationships/hyperlink" Target="https://violationtracker.goodjobsfirst.org/violation-tracker/-omnicare-inc-15" TargetMode="External"/><Relationship Id="rId29" Type="http://schemas.openxmlformats.org/officeDocument/2006/relationships/hyperlink" Target="https://violationtracker.goodjobsfirst.org/violation-tracker/ma-chipotle-mexican-grill-inc" TargetMode="External"/><Relationship Id="rId255" Type="http://schemas.openxmlformats.org/officeDocument/2006/relationships/hyperlink" Target="https://violationtracker.goodjobsfirst.org/violation-tracker/ct-target-corporation" TargetMode="External"/><Relationship Id="rId276" Type="http://schemas.openxmlformats.org/officeDocument/2006/relationships/hyperlink" Target="https://violationtracker.goodjobsfirst.org/violation-tracker/fl-walt-disney-parks-and-resorts-us-inc-1" TargetMode="External"/><Relationship Id="rId297" Type="http://schemas.openxmlformats.org/officeDocument/2006/relationships/hyperlink" Target="https://violationtracker.goodjobsfirst.org/violation-tracker/il-xpo-logistics-freight-inc-0" TargetMode="External"/><Relationship Id="rId40" Type="http://schemas.openxmlformats.org/officeDocument/2006/relationships/hyperlink" Target="https://violationtracker.goodjobsfirst.org/violation-tracker/pa-cnx-gas-co-llc-4" TargetMode="External"/><Relationship Id="rId115" Type="http://schemas.openxmlformats.org/officeDocument/2006/relationships/hyperlink" Target="https://violationtracker.goodjobsfirst.org/violation-tracker/-jpmorgan-chase-and-co-10" TargetMode="External"/><Relationship Id="rId136" Type="http://schemas.openxmlformats.org/officeDocument/2006/relationships/hyperlink" Target="https://violationtracker.goodjobsfirst.org/violation-tracker/or-lkq-foster-auto-parts-inc" TargetMode="External"/><Relationship Id="rId157" Type="http://schemas.openxmlformats.org/officeDocument/2006/relationships/hyperlink" Target="https://violationtracker.goodjobsfirst.org/violation-tracker/tx-blanchard-refining-company-llc-0" TargetMode="External"/><Relationship Id="rId178" Type="http://schemas.openxmlformats.org/officeDocument/2006/relationships/hyperlink" Target="https://violationtracker.goodjobsfirst.org/violation-tracker/-mondelez-global" TargetMode="External"/><Relationship Id="rId301" Type="http://schemas.openxmlformats.org/officeDocument/2006/relationships/comments" Target="../comments3.xml"/><Relationship Id="rId61" Type="http://schemas.openxmlformats.org/officeDocument/2006/relationships/hyperlink" Target="https://violationtracker.goodjobsfirst.org/violation-tracker/ri-cvs-health" TargetMode="External"/><Relationship Id="rId82" Type="http://schemas.openxmlformats.org/officeDocument/2006/relationships/hyperlink" Target="https://violationtracker.goodjobsfirst.org/violation-tracker/pa-the-home-depot" TargetMode="External"/><Relationship Id="rId199" Type="http://schemas.openxmlformats.org/officeDocument/2006/relationships/hyperlink" Target="https://violationtracker.goodjobsfirst.org/violation-tracker/ca-phillips-66-co-0" TargetMode="External"/><Relationship Id="rId203" Type="http://schemas.openxmlformats.org/officeDocument/2006/relationships/hyperlink" Target="https://violationtracker.goodjobsfirst.org/violation-tracker/tx-phillips-66-company-1" TargetMode="External"/><Relationship Id="rId19" Type="http://schemas.openxmlformats.org/officeDocument/2006/relationships/hyperlink" Target="https://violationtracker.goodjobsfirst.org/violation-tracker/-cardinal-health-3" TargetMode="External"/><Relationship Id="rId224" Type="http://schemas.openxmlformats.org/officeDocument/2006/relationships/hyperlink" Target="https://violationtracker.goodjobsfirst.org/violation-tracker/tx-targa-midstream-services-llc-1" TargetMode="External"/><Relationship Id="rId245" Type="http://schemas.openxmlformats.org/officeDocument/2006/relationships/hyperlink" Target="https://violationtracker.goodjobsfirst.org/violation-tracker/-target-corporation-2" TargetMode="External"/><Relationship Id="rId266" Type="http://schemas.openxmlformats.org/officeDocument/2006/relationships/hyperlink" Target="https://violationtracker.goodjobsfirst.org/violation-tracker/ky-treehouse-private-brands-inc-0" TargetMode="External"/><Relationship Id="rId287" Type="http://schemas.openxmlformats.org/officeDocument/2006/relationships/hyperlink" Target="https://violationtracker.goodjobsfirst.org/violation-tracker/oh-williams-sonoma-inc-0" TargetMode="External"/><Relationship Id="rId30" Type="http://schemas.openxmlformats.org/officeDocument/2006/relationships/hyperlink" Target="https://violationtracker.goodjobsfirst.org/violation-tracker/-citigroup-inc-15" TargetMode="External"/><Relationship Id="rId105" Type="http://schemas.openxmlformats.org/officeDocument/2006/relationships/hyperlink" Target="https://violationtracker.goodjobsfirst.org/violation-tracker/nc-johnson-and-johnson-inc" TargetMode="External"/><Relationship Id="rId126" Type="http://schemas.openxmlformats.org/officeDocument/2006/relationships/hyperlink" Target="https://violationtracker.goodjobsfirst.org/violation-tracker/tx-km-liquids-terminals-llc" TargetMode="External"/><Relationship Id="rId147" Type="http://schemas.openxmlformats.org/officeDocument/2006/relationships/hyperlink" Target="https://violationtracker.goodjobsfirst.org/violation-tracker/ny-m-and-t-bank" TargetMode="External"/><Relationship Id="rId168" Type="http://schemas.openxmlformats.org/officeDocument/2006/relationships/hyperlink" Target="https://violationtracker.goodjobsfirst.org/violation-tracker/ca-tesoro-refining-and-marketing-company--10" TargetMode="External"/><Relationship Id="rId51" Type="http://schemas.openxmlformats.org/officeDocument/2006/relationships/hyperlink" Target="https://violationtracker.goodjobsfirst.org/violation-tracker/ca-aetna-health-of-california-inc-65" TargetMode="External"/><Relationship Id="rId72" Type="http://schemas.openxmlformats.org/officeDocument/2006/relationships/hyperlink" Target="https://violationtracker.goodjobsfirst.org/violation-tracker/nc-hershey-creamery-company" TargetMode="External"/><Relationship Id="rId93" Type="http://schemas.openxmlformats.org/officeDocument/2006/relationships/hyperlink" Target="https://violationtracker.goodjobsfirst.org/violation-tracker/fl-hd-supply-construction-supply-ltd" TargetMode="External"/><Relationship Id="rId189" Type="http://schemas.openxmlformats.org/officeDocument/2006/relationships/hyperlink" Target="https://violationtracker.goodjobsfirst.org/violation-tracker/mo-owens-corning" TargetMode="External"/><Relationship Id="rId3" Type="http://schemas.openxmlformats.org/officeDocument/2006/relationships/hyperlink" Target="https://violationtracker.goodjobsfirst.org/?company_op=starts&amp;company=Home+Depot&amp;order=pen_year&amp;sort=&amp;page=2" TargetMode="External"/><Relationship Id="rId214" Type="http://schemas.openxmlformats.org/officeDocument/2006/relationships/hyperlink" Target="https://violationtracker.goodjobsfirst.org/violation-tracker/ca-plains-all-american-pipeline" TargetMode="External"/><Relationship Id="rId235" Type="http://schemas.openxmlformats.org/officeDocument/2006/relationships/hyperlink" Target="https://violationtracker.goodjobsfirst.org/violation-tracker/ct-target-corporation-0" TargetMode="External"/><Relationship Id="rId256" Type="http://schemas.openxmlformats.org/officeDocument/2006/relationships/hyperlink" Target="https://violationtracker.goodjobsfirst.org/violation-tracker/tx-taylor-morrison-of-texas-inc" TargetMode="External"/><Relationship Id="rId277" Type="http://schemas.openxmlformats.org/officeDocument/2006/relationships/hyperlink" Target="https://violationtracker.goodjobsfirst.org/violation-tracker/ma-wendys-international-llc" TargetMode="External"/><Relationship Id="rId298" Type="http://schemas.openxmlformats.org/officeDocument/2006/relationships/hyperlink" Target="https://violationtracker.goodjobsfirst.org/violation-tracker/mi-zoetis-llc" TargetMode="External"/><Relationship Id="rId116" Type="http://schemas.openxmlformats.org/officeDocument/2006/relationships/hyperlink" Target="https://violationtracker.goodjobsfirst.org/violation-tracker/-jpmorgan-chase-and-co-11" TargetMode="External"/><Relationship Id="rId137" Type="http://schemas.openxmlformats.org/officeDocument/2006/relationships/hyperlink" Target="https://violationtracker.goodjobsfirst.org/violation-tracker/nh-lpl-financial-llc-0" TargetMode="External"/><Relationship Id="rId158" Type="http://schemas.openxmlformats.org/officeDocument/2006/relationships/hyperlink" Target="https://violationtracker.goodjobsfirst.org/violation-tracker/tx-blanchard-refining-company-llc-1" TargetMode="External"/><Relationship Id="rId20" Type="http://schemas.openxmlformats.org/officeDocument/2006/relationships/hyperlink" Target="https://violationtracker.goodjobsfirst.org/violation-tracker/-cardinal-health-inc-4" TargetMode="External"/><Relationship Id="rId41" Type="http://schemas.openxmlformats.org/officeDocument/2006/relationships/hyperlink" Target="https://violationtracker.goodjobsfirst.org/violation-tracker/nj-conduent-business-services-llc-0" TargetMode="External"/><Relationship Id="rId62" Type="http://schemas.openxmlformats.org/officeDocument/2006/relationships/hyperlink" Target="https://violationtracker.goodjobsfirst.org/violation-tracker/ny-cvs-albany-llc-3" TargetMode="External"/><Relationship Id="rId83" Type="http://schemas.openxmlformats.org/officeDocument/2006/relationships/hyperlink" Target="https://violationtracker.goodjobsfirst.org/violation-tracker/wa-home-depot-inc-the" TargetMode="External"/><Relationship Id="rId179" Type="http://schemas.openxmlformats.org/officeDocument/2006/relationships/hyperlink" Target="https://violationtracker.goodjobsfirst.org/violation-tracker/or-mondelez-global-llc-0" TargetMode="External"/><Relationship Id="rId190" Type="http://schemas.openxmlformats.org/officeDocument/2006/relationships/hyperlink" Target="https://violationtracker.goodjobsfirst.org/violation-tracker/nj-owens-corning-roofing-and-asphalt-llc-0" TargetMode="External"/><Relationship Id="rId204" Type="http://schemas.openxmlformats.org/officeDocument/2006/relationships/hyperlink" Target="https://violationtracker.goodjobsfirst.org/violation-tracker/tx-phillips-66-company-0" TargetMode="External"/><Relationship Id="rId225" Type="http://schemas.openxmlformats.org/officeDocument/2006/relationships/hyperlink" Target="https://violationtracker.goodjobsfirst.org/violation-tracker/tx-targa-midstream-services-llc-14" TargetMode="External"/><Relationship Id="rId246" Type="http://schemas.openxmlformats.org/officeDocument/2006/relationships/hyperlink" Target="https://violationtracker.goodjobsfirst.org/violation-tracker/ma-target-corp" TargetMode="External"/><Relationship Id="rId267" Type="http://schemas.openxmlformats.org/officeDocument/2006/relationships/hyperlink" Target="https://violationtracker.goodjobsfirst.org/violation-tracker/il-treehouse-private-brands-inc" TargetMode="External"/><Relationship Id="rId288" Type="http://schemas.openxmlformats.org/officeDocument/2006/relationships/hyperlink" Target="https://violationtracker.goodjobsfirst.org/violation-tracker/oh-williams-sonoma-inc-1" TargetMode="External"/><Relationship Id="rId106" Type="http://schemas.openxmlformats.org/officeDocument/2006/relationships/hyperlink" Target="https://violationtracker.goodjobsfirst.org/violation-tracker/-johnson-and-johnson-13" TargetMode="External"/><Relationship Id="rId127" Type="http://schemas.openxmlformats.org/officeDocument/2006/relationships/hyperlink" Target="https://violationtracker.goodjobsfirst.org/violation-tracker/va-kinder-morgan-operating-lp" TargetMode="External"/><Relationship Id="rId10" Type="http://schemas.openxmlformats.org/officeDocument/2006/relationships/hyperlink" Target="https://violationtracker.goodjobsfirst.org/violation-tracker/co-arcosa-lwb-llc" TargetMode="External"/><Relationship Id="rId31" Type="http://schemas.openxmlformats.org/officeDocument/2006/relationships/hyperlink" Target="https://violationtracker.goodjobsfirst.org/violation-tracker/-citigroup-global-markets-inc-34" TargetMode="External"/><Relationship Id="rId52" Type="http://schemas.openxmlformats.org/officeDocument/2006/relationships/hyperlink" Target="https://violationtracker.goodjobsfirst.org/violation-tracker/ca-aetna-health-of-california-inc-66" TargetMode="External"/><Relationship Id="rId73" Type="http://schemas.openxmlformats.org/officeDocument/2006/relationships/hyperlink" Target="https://violationtracker.goodjobsfirst.org/violation-tracker/pa-hershey-foods-corporation" TargetMode="External"/><Relationship Id="rId94" Type="http://schemas.openxmlformats.org/officeDocument/2006/relationships/hyperlink" Target="https://violationtracker.goodjobsfirst.org/violation-tracker/ca-interline-brands-inc-1" TargetMode="External"/><Relationship Id="rId148" Type="http://schemas.openxmlformats.org/officeDocument/2006/relationships/hyperlink" Target="https://violationtracker.goodjobsfirst.org/violation-tracker/nj-macys-corporate-services-inc" TargetMode="External"/><Relationship Id="rId169" Type="http://schemas.openxmlformats.org/officeDocument/2006/relationships/hyperlink" Target="https://violationtracker.goodjobsfirst.org/violation-tracker/nm-matador-production-company" TargetMode="External"/><Relationship Id="rId4" Type="http://schemas.openxmlformats.org/officeDocument/2006/relationships/hyperlink" Target="https://violationtracker.goodjobsfirst.org/violation-tracker/mn-st-paul-park-refining-co-llc-dba-western" TargetMode="External"/><Relationship Id="rId180" Type="http://schemas.openxmlformats.org/officeDocument/2006/relationships/hyperlink" Target="https://violationtracker.goodjobsfirst.org/violation-tracker/va-mondelez-global-llc" TargetMode="External"/><Relationship Id="rId215" Type="http://schemas.openxmlformats.org/officeDocument/2006/relationships/hyperlink" Target="https://violationtracker.goodjobsfirst.org/violation-tracker/or-the-prudential-insurance-company-of-amer" TargetMode="External"/><Relationship Id="rId236" Type="http://schemas.openxmlformats.org/officeDocument/2006/relationships/hyperlink" Target="https://violationtracker.goodjobsfirst.org/violation-tracker/ma-target-corporation-3" TargetMode="External"/><Relationship Id="rId257" Type="http://schemas.openxmlformats.org/officeDocument/2006/relationships/hyperlink" Target="https://violationtracker.goodjobsfirst.org/violation-tracker/ca-william-lyon-homes-inc-1" TargetMode="External"/><Relationship Id="rId278" Type="http://schemas.openxmlformats.org/officeDocument/2006/relationships/hyperlink" Target="https://violationtracker.goodjobsfirst.org/violation-tracker/ny-wendys-4" TargetMode="External"/><Relationship Id="rId42" Type="http://schemas.openxmlformats.org/officeDocument/2006/relationships/hyperlink" Target="https://violationtracker.goodjobsfirst.org/violation-tracker/ca-aetna-health-of-california-inc-64" TargetMode="External"/><Relationship Id="rId84" Type="http://schemas.openxmlformats.org/officeDocument/2006/relationships/hyperlink" Target="https://violationtracker.goodjobsfirst.org/violation-tracker/fl-home-depot-usa-inc-2" TargetMode="External"/><Relationship Id="rId138" Type="http://schemas.openxmlformats.org/officeDocument/2006/relationships/hyperlink" Target="https://violationtracker.goodjobsfirst.org/violation-tracker/-lpl-financial-llc" TargetMode="External"/><Relationship Id="rId191" Type="http://schemas.openxmlformats.org/officeDocument/2006/relationships/hyperlink" Target="https://violationtracker.goodjobsfirst.org/violation-tracker/oh-owens-corning-insulating-systems" TargetMode="External"/><Relationship Id="rId205" Type="http://schemas.openxmlformats.org/officeDocument/2006/relationships/hyperlink" Target="https://violationtracker.goodjobsfirst.org/violation-tracker/tx-phillips-66-pipeline-llc" TargetMode="External"/><Relationship Id="rId247" Type="http://schemas.openxmlformats.org/officeDocument/2006/relationships/hyperlink" Target="https://violationtracker.goodjobsfirst.org/violation-tracker/ca-target-corporation-1" TargetMode="External"/><Relationship Id="rId107" Type="http://schemas.openxmlformats.org/officeDocument/2006/relationships/hyperlink" Target="https://violationtracker.goodjobsfirst.org/violation-tracker/-jp-morgan-securities-llc-5" TargetMode="External"/><Relationship Id="rId289" Type="http://schemas.openxmlformats.org/officeDocument/2006/relationships/hyperlink" Target="https://violationtracker.goodjobsfirst.org/violation-tracker/ma-wynn-resorts-and-wynn-ma-llc" TargetMode="External"/><Relationship Id="rId11" Type="http://schemas.openxmlformats.org/officeDocument/2006/relationships/hyperlink" Target="https://violationtracker.goodjobsfirst.org/violation-tracker/tx-arcosa-lws-llc-0" TargetMode="External"/><Relationship Id="rId53" Type="http://schemas.openxmlformats.org/officeDocument/2006/relationships/hyperlink" Target="https://violationtracker.goodjobsfirst.org/violation-tracker/ca-aetna-health-of-california-inc-67" TargetMode="External"/><Relationship Id="rId149" Type="http://schemas.openxmlformats.org/officeDocument/2006/relationships/hyperlink" Target="https://violationtracker.goodjobsfirst.org/violation-tracker/nj-macys-logistics-and-operations-0" TargetMode="External"/><Relationship Id="rId95" Type="http://schemas.openxmlformats.org/officeDocument/2006/relationships/hyperlink" Target="https://violationtracker.goodjobsfirst.org/violation-tracker/fl-the-home-depot" TargetMode="External"/><Relationship Id="rId160" Type="http://schemas.openxmlformats.org/officeDocument/2006/relationships/hyperlink" Target="https://violationtracker.goodjobsfirst.org/violation-tracker/-tesoro-refining-and-marketing-company-" TargetMode="External"/><Relationship Id="rId216" Type="http://schemas.openxmlformats.org/officeDocument/2006/relationships/hyperlink" Target="https://violationtracker.goodjobsfirst.org/violation-tracker/-pruco-securities-llc" TargetMode="External"/><Relationship Id="rId258" Type="http://schemas.openxmlformats.org/officeDocument/2006/relationships/hyperlink" Target="https://violationtracker.goodjobsfirst.org/violation-tracker/ms-tractor-supply-company-1" TargetMode="External"/><Relationship Id="rId22" Type="http://schemas.openxmlformats.org/officeDocument/2006/relationships/hyperlink" Target="https://violationtracker.goodjobsfirst.org/violation-tracker/az-chipotle-mexican-grill-inc-0" TargetMode="External"/><Relationship Id="rId64" Type="http://schemas.openxmlformats.org/officeDocument/2006/relationships/hyperlink" Target="https://violationtracker.goodjobsfirst.org/violation-tracker/ia-integrated-dna-technologies-inc" TargetMode="External"/><Relationship Id="rId118" Type="http://schemas.openxmlformats.org/officeDocument/2006/relationships/hyperlink" Target="https://violationtracker.goodjobsfirst.org/violation-tracker/-jpmorgan-chase-and-co-21" TargetMode="External"/><Relationship Id="rId171" Type="http://schemas.openxmlformats.org/officeDocument/2006/relationships/hyperlink" Target="https://violationtracker.goodjobsfirst.org/violation-tracker/-merck-and-co-inc-3" TargetMode="External"/><Relationship Id="rId227" Type="http://schemas.openxmlformats.org/officeDocument/2006/relationships/hyperlink" Target="https://violationtracker.goodjobsfirst.org/violation-tracker/-target-corporation-5" TargetMode="External"/><Relationship Id="rId269" Type="http://schemas.openxmlformats.org/officeDocument/2006/relationships/hyperlink" Target="https://violationtracker.goodjobsfirst.org/violation-tracker/ny-treehouse-private-brands-inc" TargetMode="External"/><Relationship Id="rId33" Type="http://schemas.openxmlformats.org/officeDocument/2006/relationships/hyperlink" Target="https://violationtracker.goodjobsfirst.org/violation-tracker/-citibank-na-14" TargetMode="External"/><Relationship Id="rId129" Type="http://schemas.openxmlformats.org/officeDocument/2006/relationships/hyperlink" Target="https://violationtracker.goodjobsfirst.org/violation-tracker/nd-kinder-morgan-inc" TargetMode="External"/><Relationship Id="rId280" Type="http://schemas.openxmlformats.org/officeDocument/2006/relationships/hyperlink" Target="https://violationtracker.goodjobsfirst.org/violation-tracker/co-bargath-llc-14" TargetMode="External"/><Relationship Id="rId75" Type="http://schemas.openxmlformats.org/officeDocument/2006/relationships/hyperlink" Target="https://violationtracker.goodjobsfirst.org/violation-tracker/-home-depot-inc-2" TargetMode="External"/><Relationship Id="rId140" Type="http://schemas.openxmlformats.org/officeDocument/2006/relationships/hyperlink" Target="https://violationtracker.goodjobsfirst.org/violation-tracker/ak-lpl-financial-llc" TargetMode="External"/><Relationship Id="rId182" Type="http://schemas.openxmlformats.org/officeDocument/2006/relationships/hyperlink" Target="https://violationtracker.goodjobsfirst.org/violation-tracker/-fairchild-semiconductor-corpor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9A3E-0222-8D46-A29C-96007FD5B03C}">
  <dimension ref="A1:G305"/>
  <sheetViews>
    <sheetView workbookViewId="0">
      <pane xSplit="3" ySplit="1" topLeftCell="D2" activePane="bottomRight" state="frozen"/>
      <selection pane="topRight" activeCell="D1" sqref="D1"/>
      <selection pane="bottomLeft" activeCell="A2" sqref="A2"/>
      <selection pane="bottomRight" activeCell="H22" sqref="H22"/>
    </sheetView>
  </sheetViews>
  <sheetFormatPr defaultColWidth="11" defaultRowHeight="15.75" x14ac:dyDescent="0.25"/>
  <cols>
    <col min="1" max="1" width="12.375" style="3" bestFit="1" customWidth="1"/>
    <col min="2" max="2" width="37" style="3" bestFit="1" customWidth="1"/>
    <col min="3" max="3" width="11" style="3"/>
    <col min="4" max="4" width="20.25" style="78" customWidth="1"/>
    <col min="5" max="5" width="16.375" customWidth="1"/>
    <col min="6" max="7" width="18.125" customWidth="1"/>
  </cols>
  <sheetData>
    <row r="1" spans="1:7" ht="19.5" customHeight="1" x14ac:dyDescent="0.25">
      <c r="A1" s="3" t="s">
        <v>0</v>
      </c>
      <c r="B1" s="3" t="s">
        <v>1</v>
      </c>
      <c r="C1" s="3" t="s">
        <v>2</v>
      </c>
      <c r="D1" s="77" t="s">
        <v>4246</v>
      </c>
      <c r="E1" s="3" t="s">
        <v>4247</v>
      </c>
      <c r="F1" t="s">
        <v>4773</v>
      </c>
      <c r="G1" t="s">
        <v>4774</v>
      </c>
    </row>
    <row r="2" spans="1:7" x14ac:dyDescent="0.25">
      <c r="A2" s="3">
        <v>10</v>
      </c>
      <c r="B2" s="4" t="s">
        <v>3</v>
      </c>
      <c r="C2" s="4">
        <v>2021</v>
      </c>
      <c r="D2" s="78" t="s">
        <v>2420</v>
      </c>
      <c r="E2">
        <v>2020</v>
      </c>
      <c r="F2" s="73">
        <v>2021</v>
      </c>
      <c r="G2" s="95">
        <v>44326</v>
      </c>
    </row>
    <row r="3" spans="1:7" x14ac:dyDescent="0.25">
      <c r="A3" s="3">
        <v>11</v>
      </c>
      <c r="B3" s="4" t="s">
        <v>4</v>
      </c>
      <c r="C3" s="4">
        <v>2020</v>
      </c>
      <c r="D3" s="78">
        <v>2018</v>
      </c>
      <c r="E3">
        <v>2018</v>
      </c>
      <c r="F3" s="73">
        <v>2020</v>
      </c>
      <c r="G3" s="95">
        <v>43894</v>
      </c>
    </row>
    <row r="4" spans="1:7" x14ac:dyDescent="0.25">
      <c r="A4" s="3">
        <v>12</v>
      </c>
      <c r="B4" s="4" t="s">
        <v>5</v>
      </c>
      <c r="C4" s="4">
        <v>2021</v>
      </c>
      <c r="D4" s="78" t="s">
        <v>2424</v>
      </c>
      <c r="E4">
        <v>2020</v>
      </c>
      <c r="F4" s="73">
        <v>2021</v>
      </c>
      <c r="G4" s="95">
        <v>44399</v>
      </c>
    </row>
    <row r="5" spans="1:7" x14ac:dyDescent="0.25">
      <c r="A5" s="3">
        <v>14</v>
      </c>
      <c r="B5" s="4" t="s">
        <v>6</v>
      </c>
      <c r="C5" s="4">
        <v>2021</v>
      </c>
      <c r="D5" s="78" t="s">
        <v>2420</v>
      </c>
      <c r="E5">
        <v>2020</v>
      </c>
      <c r="F5" s="73">
        <v>2021</v>
      </c>
      <c r="G5" s="95">
        <v>44270</v>
      </c>
    </row>
    <row r="6" spans="1:7" x14ac:dyDescent="0.25">
      <c r="A6" s="3">
        <v>15</v>
      </c>
      <c r="B6" s="4" t="s">
        <v>7</v>
      </c>
      <c r="C6" s="4">
        <v>2021</v>
      </c>
      <c r="D6" s="78" t="s">
        <v>2420</v>
      </c>
      <c r="E6">
        <v>2020</v>
      </c>
      <c r="F6" s="73">
        <v>2021</v>
      </c>
      <c r="G6" s="95">
        <v>44377</v>
      </c>
    </row>
    <row r="7" spans="1:7" x14ac:dyDescent="0.25">
      <c r="A7" s="3">
        <v>17</v>
      </c>
      <c r="B7" s="4" t="s">
        <v>8</v>
      </c>
      <c r="C7" s="4">
        <v>2021</v>
      </c>
      <c r="D7" s="78" t="s">
        <v>2420</v>
      </c>
      <c r="E7">
        <v>2020</v>
      </c>
      <c r="F7" s="73">
        <v>2021</v>
      </c>
      <c r="G7" s="95">
        <v>44221</v>
      </c>
    </row>
    <row r="8" spans="1:7" x14ac:dyDescent="0.25">
      <c r="A8" s="3">
        <v>21</v>
      </c>
      <c r="B8" s="4" t="s">
        <v>9</v>
      </c>
      <c r="C8" s="4">
        <v>2020</v>
      </c>
      <c r="D8" s="78" t="s">
        <v>2422</v>
      </c>
      <c r="E8">
        <v>2019</v>
      </c>
      <c r="F8" s="73">
        <v>2020</v>
      </c>
      <c r="G8" s="95">
        <v>44063</v>
      </c>
    </row>
    <row r="9" spans="1:7" x14ac:dyDescent="0.25">
      <c r="A9" s="3">
        <v>27</v>
      </c>
      <c r="B9" s="4" t="s">
        <v>10</v>
      </c>
      <c r="C9" s="4">
        <v>2020</v>
      </c>
      <c r="D9" s="78" t="s">
        <v>2420</v>
      </c>
      <c r="E9">
        <v>2020</v>
      </c>
      <c r="F9" s="73">
        <v>2020</v>
      </c>
      <c r="G9" s="95">
        <v>43991</v>
      </c>
    </row>
    <row r="10" spans="1:7" x14ac:dyDescent="0.25">
      <c r="A10" s="3">
        <v>28</v>
      </c>
      <c r="B10" s="4" t="s">
        <v>10</v>
      </c>
      <c r="C10" s="4">
        <v>2019</v>
      </c>
      <c r="D10" s="78" t="s">
        <v>2422</v>
      </c>
      <c r="E10">
        <v>2019</v>
      </c>
      <c r="F10" s="73">
        <v>2019</v>
      </c>
      <c r="G10" s="95">
        <v>43643</v>
      </c>
    </row>
    <row r="11" spans="1:7" x14ac:dyDescent="0.25">
      <c r="A11" s="3">
        <v>29</v>
      </c>
      <c r="B11" s="4" t="s">
        <v>11</v>
      </c>
      <c r="C11" s="4">
        <v>2020</v>
      </c>
      <c r="D11" s="78">
        <v>2020</v>
      </c>
      <c r="E11">
        <v>2020</v>
      </c>
      <c r="F11" s="73">
        <v>2020</v>
      </c>
      <c r="G11" s="95">
        <v>44397</v>
      </c>
    </row>
    <row r="12" spans="1:7" x14ac:dyDescent="0.25">
      <c r="A12" s="3">
        <v>30</v>
      </c>
      <c r="B12" s="4" t="s">
        <v>12</v>
      </c>
      <c r="C12" s="4">
        <v>2021</v>
      </c>
      <c r="D12" s="78">
        <v>2020</v>
      </c>
      <c r="E12">
        <v>2020</v>
      </c>
      <c r="F12" s="73">
        <v>2021</v>
      </c>
      <c r="G12" s="95">
        <v>44305</v>
      </c>
    </row>
    <row r="13" spans="1:7" x14ac:dyDescent="0.25">
      <c r="A13" s="3">
        <v>35</v>
      </c>
      <c r="B13" s="4" t="s">
        <v>13</v>
      </c>
      <c r="C13" s="4">
        <v>2021</v>
      </c>
      <c r="D13" s="78" t="s">
        <v>2420</v>
      </c>
      <c r="E13">
        <v>2020</v>
      </c>
      <c r="F13" s="73">
        <v>2021</v>
      </c>
      <c r="G13" s="95">
        <v>44322</v>
      </c>
    </row>
    <row r="14" spans="1:7" x14ac:dyDescent="0.25">
      <c r="A14" s="3">
        <v>36</v>
      </c>
      <c r="B14" s="4" t="s">
        <v>14</v>
      </c>
      <c r="C14" s="4">
        <v>2020</v>
      </c>
      <c r="D14" s="78" t="s">
        <v>2422</v>
      </c>
      <c r="E14">
        <v>2019</v>
      </c>
      <c r="F14" s="73">
        <v>2020</v>
      </c>
      <c r="G14" s="95">
        <v>44119</v>
      </c>
    </row>
    <row r="15" spans="1:7" x14ac:dyDescent="0.25">
      <c r="A15" s="3">
        <v>39</v>
      </c>
      <c r="B15" s="4" t="s">
        <v>15</v>
      </c>
      <c r="C15" s="4">
        <v>2020</v>
      </c>
      <c r="D15" s="78" t="s">
        <v>2422</v>
      </c>
      <c r="E15">
        <v>2019</v>
      </c>
      <c r="F15" s="73">
        <v>2020</v>
      </c>
      <c r="G15" s="95">
        <v>44104</v>
      </c>
    </row>
    <row r="16" spans="1:7" x14ac:dyDescent="0.25">
      <c r="A16" s="3">
        <v>40</v>
      </c>
      <c r="B16" s="4" t="s">
        <v>16</v>
      </c>
      <c r="C16" s="4">
        <v>2021</v>
      </c>
      <c r="D16" s="78" t="s">
        <v>2420</v>
      </c>
      <c r="E16">
        <v>2020</v>
      </c>
      <c r="F16" s="73">
        <v>2021</v>
      </c>
      <c r="G16" s="95">
        <v>44314</v>
      </c>
    </row>
    <row r="17" spans="1:7" x14ac:dyDescent="0.25">
      <c r="A17" s="3">
        <v>42</v>
      </c>
      <c r="B17" s="4" t="s">
        <v>17</v>
      </c>
      <c r="C17" s="4">
        <v>2020</v>
      </c>
      <c r="D17" s="78" t="s">
        <v>2422</v>
      </c>
      <c r="E17">
        <v>2019</v>
      </c>
      <c r="F17" s="73">
        <v>2020</v>
      </c>
      <c r="G17" s="95">
        <v>44036</v>
      </c>
    </row>
    <row r="18" spans="1:7" x14ac:dyDescent="0.25">
      <c r="A18" s="3">
        <v>48</v>
      </c>
      <c r="B18" s="4" t="s">
        <v>18</v>
      </c>
      <c r="C18" s="4">
        <v>2021</v>
      </c>
      <c r="D18" s="78" t="s">
        <v>2420</v>
      </c>
      <c r="E18">
        <v>2020</v>
      </c>
      <c r="F18" s="73">
        <v>2021</v>
      </c>
      <c r="G18" s="95">
        <v>44361</v>
      </c>
    </row>
    <row r="19" spans="1:7" x14ac:dyDescent="0.25">
      <c r="A19" s="3">
        <v>49</v>
      </c>
      <c r="B19" s="4" t="s">
        <v>18</v>
      </c>
      <c r="C19" s="4">
        <v>2020</v>
      </c>
      <c r="D19" s="78" t="s">
        <v>2422</v>
      </c>
      <c r="E19">
        <v>2019</v>
      </c>
      <c r="F19" s="73">
        <v>2020</v>
      </c>
      <c r="G19" s="95">
        <v>43985</v>
      </c>
    </row>
    <row r="20" spans="1:7" x14ac:dyDescent="0.25">
      <c r="A20" s="3">
        <v>50</v>
      </c>
      <c r="B20" s="4" t="s">
        <v>18</v>
      </c>
      <c r="C20" s="4">
        <v>2019</v>
      </c>
      <c r="D20" s="78" t="s">
        <v>2434</v>
      </c>
      <c r="E20">
        <v>2018</v>
      </c>
      <c r="F20" s="73">
        <v>2019</v>
      </c>
      <c r="G20" s="95">
        <v>43711</v>
      </c>
    </row>
    <row r="21" spans="1:7" x14ac:dyDescent="0.25">
      <c r="A21" s="3">
        <v>51</v>
      </c>
      <c r="B21" s="4" t="s">
        <v>19</v>
      </c>
      <c r="C21" s="4">
        <v>2021</v>
      </c>
      <c r="D21" s="78" t="s">
        <v>2420</v>
      </c>
      <c r="E21">
        <v>2020</v>
      </c>
      <c r="F21" s="73">
        <v>2021</v>
      </c>
      <c r="G21" s="95">
        <v>44390</v>
      </c>
    </row>
    <row r="22" spans="1:7" x14ac:dyDescent="0.25">
      <c r="A22" s="3">
        <v>52</v>
      </c>
      <c r="B22" s="4" t="s">
        <v>20</v>
      </c>
      <c r="C22" s="4">
        <v>2021</v>
      </c>
      <c r="D22" s="78" t="s">
        <v>2420</v>
      </c>
      <c r="E22">
        <v>2020</v>
      </c>
      <c r="F22" s="73">
        <v>2021</v>
      </c>
      <c r="G22" s="95">
        <v>44385</v>
      </c>
    </row>
    <row r="23" spans="1:7" x14ac:dyDescent="0.25">
      <c r="A23" s="3">
        <v>53</v>
      </c>
      <c r="B23" s="4" t="s">
        <v>20</v>
      </c>
      <c r="C23" s="4">
        <v>2020</v>
      </c>
      <c r="D23" s="78" t="s">
        <v>2422</v>
      </c>
      <c r="E23">
        <v>2019</v>
      </c>
      <c r="F23" s="73">
        <v>2020</v>
      </c>
      <c r="G23" s="95">
        <v>44112</v>
      </c>
    </row>
    <row r="24" spans="1:7" x14ac:dyDescent="0.25">
      <c r="A24" s="3">
        <v>55</v>
      </c>
      <c r="B24" t="s">
        <v>3411</v>
      </c>
      <c r="C24" s="3">
        <v>2020</v>
      </c>
      <c r="D24" s="79">
        <v>2019</v>
      </c>
      <c r="E24">
        <v>2019</v>
      </c>
      <c r="F24" s="94">
        <v>2020</v>
      </c>
      <c r="G24" s="96">
        <v>44109</v>
      </c>
    </row>
    <row r="25" spans="1:7" x14ac:dyDescent="0.25">
      <c r="A25" s="3">
        <v>56</v>
      </c>
      <c r="B25" s="4" t="s">
        <v>21</v>
      </c>
      <c r="C25" s="4">
        <v>2020</v>
      </c>
      <c r="D25" s="78">
        <v>2019</v>
      </c>
      <c r="E25">
        <v>2019</v>
      </c>
      <c r="F25" s="73">
        <v>2020</v>
      </c>
      <c r="G25" s="95">
        <v>44109</v>
      </c>
    </row>
    <row r="26" spans="1:7" x14ac:dyDescent="0.25">
      <c r="A26" s="3">
        <v>58</v>
      </c>
      <c r="B26" s="4" t="s">
        <v>22</v>
      </c>
      <c r="C26" s="4">
        <v>2020</v>
      </c>
      <c r="D26" s="78" t="s">
        <v>2422</v>
      </c>
      <c r="E26">
        <v>2019</v>
      </c>
      <c r="F26" s="73">
        <v>2020</v>
      </c>
      <c r="G26" s="95">
        <v>44104</v>
      </c>
    </row>
    <row r="27" spans="1:7" x14ac:dyDescent="0.25">
      <c r="A27" s="3">
        <v>69</v>
      </c>
      <c r="B27" s="4" t="s">
        <v>23</v>
      </c>
      <c r="C27" s="4">
        <v>2020</v>
      </c>
      <c r="D27" s="78">
        <v>2019</v>
      </c>
      <c r="E27">
        <v>2019</v>
      </c>
      <c r="F27" s="73">
        <v>2020</v>
      </c>
      <c r="G27" s="95">
        <v>43993</v>
      </c>
    </row>
    <row r="28" spans="1:7" x14ac:dyDescent="0.25">
      <c r="A28" s="3">
        <v>70</v>
      </c>
      <c r="B28" s="4" t="s">
        <v>24</v>
      </c>
      <c r="C28" s="4">
        <v>2021</v>
      </c>
      <c r="D28" s="78">
        <v>2020</v>
      </c>
      <c r="E28">
        <v>2020</v>
      </c>
      <c r="F28" s="73">
        <v>2021</v>
      </c>
      <c r="G28" s="95">
        <v>44305</v>
      </c>
    </row>
    <row r="29" spans="1:7" x14ac:dyDescent="0.25">
      <c r="A29" s="3">
        <v>71</v>
      </c>
      <c r="B29" s="4" t="s">
        <v>25</v>
      </c>
      <c r="C29" s="4">
        <v>2021</v>
      </c>
      <c r="D29" s="78">
        <v>2020</v>
      </c>
      <c r="E29">
        <v>2020</v>
      </c>
      <c r="F29" s="73">
        <v>2021</v>
      </c>
      <c r="G29" s="95">
        <v>44305</v>
      </c>
    </row>
    <row r="30" spans="1:7" x14ac:dyDescent="0.25">
      <c r="A30" s="3">
        <v>75</v>
      </c>
      <c r="B30" s="4" t="s">
        <v>26</v>
      </c>
      <c r="C30" s="4">
        <v>2021</v>
      </c>
      <c r="D30" s="78">
        <v>2019</v>
      </c>
      <c r="E30">
        <v>2019</v>
      </c>
      <c r="F30" s="73">
        <v>2021</v>
      </c>
      <c r="G30" s="95">
        <v>44104</v>
      </c>
    </row>
    <row r="31" spans="1:7" x14ac:dyDescent="0.25">
      <c r="A31" s="3">
        <v>78</v>
      </c>
      <c r="B31" s="4" t="s">
        <v>27</v>
      </c>
      <c r="C31" s="4">
        <v>2021</v>
      </c>
      <c r="D31" s="78" t="s">
        <v>2440</v>
      </c>
      <c r="E31">
        <v>2020</v>
      </c>
      <c r="F31" s="73">
        <v>2021</v>
      </c>
      <c r="G31" s="95">
        <v>44221</v>
      </c>
    </row>
    <row r="32" spans="1:7" x14ac:dyDescent="0.25">
      <c r="A32" s="3">
        <v>82</v>
      </c>
      <c r="B32" s="4" t="s">
        <v>28</v>
      </c>
      <c r="C32" s="4">
        <v>2021</v>
      </c>
      <c r="D32" s="78" t="s">
        <v>2420</v>
      </c>
      <c r="E32">
        <v>2020</v>
      </c>
      <c r="F32" s="73">
        <v>2021</v>
      </c>
      <c r="G32" s="95">
        <v>44390</v>
      </c>
    </row>
    <row r="33" spans="1:7" x14ac:dyDescent="0.25">
      <c r="A33" s="3">
        <v>89</v>
      </c>
      <c r="B33" s="4" t="s">
        <v>29</v>
      </c>
      <c r="C33" s="4">
        <v>2021</v>
      </c>
      <c r="D33" s="78" t="s">
        <v>2420</v>
      </c>
      <c r="E33">
        <v>2020</v>
      </c>
      <c r="F33" s="73">
        <v>2021</v>
      </c>
      <c r="G33" s="95">
        <v>44291</v>
      </c>
    </row>
    <row r="34" spans="1:7" x14ac:dyDescent="0.25">
      <c r="A34" s="3">
        <v>90</v>
      </c>
      <c r="B34" s="4" t="s">
        <v>30</v>
      </c>
      <c r="C34" s="4">
        <v>2020</v>
      </c>
      <c r="D34" s="78" t="s">
        <v>2422</v>
      </c>
      <c r="E34">
        <v>2019</v>
      </c>
      <c r="F34" s="73">
        <v>2020</v>
      </c>
      <c r="G34" s="95">
        <v>44151</v>
      </c>
    </row>
    <row r="35" spans="1:7" x14ac:dyDescent="0.25">
      <c r="A35" s="3">
        <v>91</v>
      </c>
      <c r="B35" s="4" t="s">
        <v>31</v>
      </c>
      <c r="C35" s="4">
        <v>2021</v>
      </c>
      <c r="D35" s="78" t="s">
        <v>2441</v>
      </c>
      <c r="E35">
        <v>2020</v>
      </c>
      <c r="F35" s="73">
        <v>2021</v>
      </c>
      <c r="G35" s="95">
        <v>44369</v>
      </c>
    </row>
    <row r="36" spans="1:7" x14ac:dyDescent="0.25">
      <c r="A36" s="3">
        <v>94</v>
      </c>
      <c r="B36" s="4" t="s">
        <v>32</v>
      </c>
      <c r="C36" s="4">
        <v>2021</v>
      </c>
      <c r="D36" s="78">
        <v>2020</v>
      </c>
      <c r="E36">
        <v>2020</v>
      </c>
      <c r="F36" s="73">
        <v>2021</v>
      </c>
      <c r="G36" s="95">
        <v>44259</v>
      </c>
    </row>
    <row r="37" spans="1:7" x14ac:dyDescent="0.25">
      <c r="A37" s="3">
        <v>98</v>
      </c>
      <c r="B37" s="4" t="s">
        <v>33</v>
      </c>
      <c r="C37" s="4">
        <v>2021</v>
      </c>
      <c r="D37" s="78" t="s">
        <v>2420</v>
      </c>
      <c r="E37">
        <v>2020</v>
      </c>
      <c r="F37" s="73">
        <v>2021</v>
      </c>
      <c r="G37" s="95">
        <v>44305</v>
      </c>
    </row>
    <row r="38" spans="1:7" x14ac:dyDescent="0.25">
      <c r="A38" s="3">
        <v>102</v>
      </c>
      <c r="B38" s="4" t="s">
        <v>34</v>
      </c>
      <c r="C38" s="4">
        <v>2021</v>
      </c>
      <c r="D38" s="78">
        <v>2020</v>
      </c>
      <c r="E38">
        <v>2020</v>
      </c>
      <c r="F38" s="73">
        <v>2021</v>
      </c>
      <c r="G38" s="95">
        <v>44301</v>
      </c>
    </row>
    <row r="39" spans="1:7" x14ac:dyDescent="0.25">
      <c r="A39" s="3">
        <v>119</v>
      </c>
      <c r="B39" s="4" t="s">
        <v>35</v>
      </c>
      <c r="C39" s="4">
        <v>2021</v>
      </c>
      <c r="D39" s="78" t="s">
        <v>2420</v>
      </c>
      <c r="E39">
        <v>2020</v>
      </c>
      <c r="F39" s="73">
        <v>2021</v>
      </c>
      <c r="G39" s="95">
        <v>44342</v>
      </c>
    </row>
    <row r="40" spans="1:7" x14ac:dyDescent="0.25">
      <c r="A40" s="3">
        <v>120</v>
      </c>
      <c r="B40" s="4" t="s">
        <v>36</v>
      </c>
      <c r="C40" s="4">
        <v>2020</v>
      </c>
      <c r="D40" s="78" t="s">
        <v>4261</v>
      </c>
      <c r="E40">
        <v>2021</v>
      </c>
      <c r="F40" s="73">
        <v>2020</v>
      </c>
      <c r="G40" s="95">
        <v>44431</v>
      </c>
    </row>
    <row r="41" spans="1:7" x14ac:dyDescent="0.25">
      <c r="A41" s="3">
        <v>121</v>
      </c>
      <c r="B41" s="4" t="s">
        <v>37</v>
      </c>
      <c r="C41" s="4">
        <v>2021</v>
      </c>
      <c r="D41" s="78" t="s">
        <v>2420</v>
      </c>
      <c r="E41">
        <v>2020</v>
      </c>
      <c r="F41" s="73">
        <v>2021</v>
      </c>
      <c r="G41" s="95">
        <v>44375</v>
      </c>
    </row>
    <row r="42" spans="1:7" x14ac:dyDescent="0.25">
      <c r="A42" s="3">
        <v>123</v>
      </c>
      <c r="B42" s="4" t="s">
        <v>38</v>
      </c>
      <c r="C42" s="4">
        <v>2020</v>
      </c>
      <c r="D42" s="78" t="s">
        <v>2422</v>
      </c>
      <c r="E42">
        <v>2019</v>
      </c>
      <c r="F42" s="73">
        <v>2020</v>
      </c>
      <c r="G42" s="95">
        <v>44012</v>
      </c>
    </row>
    <row r="43" spans="1:7" x14ac:dyDescent="0.25">
      <c r="A43" s="3">
        <v>124</v>
      </c>
      <c r="B43" s="4" t="s">
        <v>39</v>
      </c>
      <c r="C43" s="4">
        <v>2021</v>
      </c>
      <c r="D43" s="78" t="s">
        <v>2420</v>
      </c>
      <c r="E43">
        <v>2020</v>
      </c>
      <c r="F43" s="73">
        <v>2021</v>
      </c>
      <c r="G43" s="95">
        <v>44393</v>
      </c>
    </row>
    <row r="44" spans="1:7" x14ac:dyDescent="0.25">
      <c r="A44" s="3">
        <v>126</v>
      </c>
      <c r="B44" s="4" t="s">
        <v>40</v>
      </c>
      <c r="C44" s="4">
        <v>2021</v>
      </c>
      <c r="D44" s="78" t="s">
        <v>2420</v>
      </c>
      <c r="E44">
        <v>2020</v>
      </c>
      <c r="F44" s="73">
        <v>2021</v>
      </c>
      <c r="G44" s="95">
        <v>44301</v>
      </c>
    </row>
    <row r="45" spans="1:7" x14ac:dyDescent="0.25">
      <c r="A45" s="3">
        <v>127</v>
      </c>
      <c r="B45" s="4" t="s">
        <v>41</v>
      </c>
      <c r="C45" s="4">
        <v>2021</v>
      </c>
      <c r="D45" s="78" t="s">
        <v>2420</v>
      </c>
      <c r="E45">
        <v>2020</v>
      </c>
      <c r="F45" s="73">
        <v>2021</v>
      </c>
      <c r="G45" s="95">
        <v>44405</v>
      </c>
    </row>
    <row r="46" spans="1:7" x14ac:dyDescent="0.25">
      <c r="A46" s="3">
        <v>128</v>
      </c>
      <c r="B46" s="4" t="s">
        <v>41</v>
      </c>
      <c r="C46" s="4">
        <v>2020</v>
      </c>
      <c r="D46" s="78" t="s">
        <v>2422</v>
      </c>
      <c r="E46">
        <v>2019</v>
      </c>
      <c r="F46" s="73">
        <v>2020</v>
      </c>
      <c r="G46" s="95">
        <v>44103</v>
      </c>
    </row>
    <row r="47" spans="1:7" x14ac:dyDescent="0.25">
      <c r="A47" s="3">
        <v>130</v>
      </c>
      <c r="B47" s="4" t="s">
        <v>42</v>
      </c>
      <c r="C47" s="4">
        <v>2021</v>
      </c>
      <c r="D47" s="78" t="s">
        <v>2459</v>
      </c>
      <c r="E47">
        <v>2020</v>
      </c>
      <c r="F47" s="73">
        <v>2021</v>
      </c>
      <c r="G47" s="95">
        <v>44225</v>
      </c>
    </row>
    <row r="48" spans="1:7" x14ac:dyDescent="0.25">
      <c r="A48" s="3">
        <v>131</v>
      </c>
      <c r="B48" s="4" t="s">
        <v>43</v>
      </c>
      <c r="C48" s="4">
        <v>2020</v>
      </c>
      <c r="D48" s="78" t="s">
        <v>2422</v>
      </c>
      <c r="E48">
        <v>2019</v>
      </c>
      <c r="F48" s="73">
        <v>2020</v>
      </c>
      <c r="G48" s="95">
        <v>44039</v>
      </c>
    </row>
    <row r="49" spans="1:7" x14ac:dyDescent="0.25">
      <c r="A49" s="3">
        <v>132</v>
      </c>
      <c r="B49" s="4" t="s">
        <v>44</v>
      </c>
      <c r="C49" s="4">
        <v>2021</v>
      </c>
      <c r="D49" s="78" t="s">
        <v>2463</v>
      </c>
      <c r="E49">
        <v>2021</v>
      </c>
      <c r="F49" s="73">
        <v>2021</v>
      </c>
      <c r="G49" s="95">
        <v>44329</v>
      </c>
    </row>
    <row r="50" spans="1:7" x14ac:dyDescent="0.25">
      <c r="A50" s="3">
        <v>133</v>
      </c>
      <c r="B50" s="4" t="s">
        <v>44</v>
      </c>
      <c r="C50" s="4">
        <v>2020</v>
      </c>
      <c r="D50" s="78" t="s">
        <v>2464</v>
      </c>
      <c r="E50">
        <v>2019</v>
      </c>
      <c r="F50" s="73">
        <v>2020</v>
      </c>
      <c r="G50" s="95">
        <v>43934</v>
      </c>
    </row>
    <row r="51" spans="1:7" x14ac:dyDescent="0.25">
      <c r="A51" s="3">
        <v>134</v>
      </c>
      <c r="B51" s="4" t="s">
        <v>45</v>
      </c>
      <c r="C51" s="4">
        <v>2021</v>
      </c>
      <c r="D51" s="78" t="s">
        <v>2420</v>
      </c>
      <c r="E51">
        <v>2020</v>
      </c>
      <c r="F51" s="73">
        <v>2021</v>
      </c>
      <c r="G51" s="95">
        <v>44327</v>
      </c>
    </row>
    <row r="52" spans="1:7" x14ac:dyDescent="0.25">
      <c r="A52" s="3">
        <v>142</v>
      </c>
      <c r="B52" s="4" t="s">
        <v>46</v>
      </c>
      <c r="C52" s="4">
        <v>2021</v>
      </c>
      <c r="D52" s="78" t="s">
        <v>2420</v>
      </c>
      <c r="E52">
        <v>2020</v>
      </c>
      <c r="F52" s="73">
        <v>2021</v>
      </c>
      <c r="G52" s="95">
        <v>44274</v>
      </c>
    </row>
    <row r="53" spans="1:7" x14ac:dyDescent="0.25">
      <c r="A53" s="3">
        <v>146</v>
      </c>
      <c r="B53" s="4" t="s">
        <v>47</v>
      </c>
      <c r="C53" s="4">
        <v>2021</v>
      </c>
      <c r="D53" s="78" t="s">
        <v>2420</v>
      </c>
      <c r="E53">
        <v>2020</v>
      </c>
      <c r="F53" s="73">
        <v>2021</v>
      </c>
      <c r="G53" s="95">
        <v>44327</v>
      </c>
    </row>
    <row r="54" spans="1:7" x14ac:dyDescent="0.25">
      <c r="A54" s="3">
        <v>147</v>
      </c>
      <c r="B54" s="4" t="s">
        <v>48</v>
      </c>
      <c r="C54" s="4">
        <v>2021</v>
      </c>
      <c r="D54" s="78">
        <v>2020</v>
      </c>
      <c r="E54">
        <v>2020</v>
      </c>
      <c r="F54" s="73">
        <v>2021</v>
      </c>
      <c r="G54" s="95">
        <v>44270</v>
      </c>
    </row>
    <row r="55" spans="1:7" x14ac:dyDescent="0.25">
      <c r="A55" s="3">
        <v>149</v>
      </c>
      <c r="B55" s="4" t="s">
        <v>49</v>
      </c>
      <c r="C55" s="4">
        <v>2021</v>
      </c>
      <c r="D55" s="78">
        <v>2020</v>
      </c>
      <c r="E55">
        <v>2020</v>
      </c>
      <c r="F55" s="73">
        <v>2021</v>
      </c>
      <c r="G55" s="95">
        <v>44293</v>
      </c>
    </row>
    <row r="56" spans="1:7" x14ac:dyDescent="0.25">
      <c r="A56" s="3">
        <v>152</v>
      </c>
      <c r="B56" s="4" t="s">
        <v>50</v>
      </c>
      <c r="C56" s="4">
        <v>2020</v>
      </c>
      <c r="D56" s="78" t="s">
        <v>2422</v>
      </c>
      <c r="E56">
        <v>2019</v>
      </c>
      <c r="F56" s="73">
        <v>2020</v>
      </c>
      <c r="G56" s="95">
        <v>44104</v>
      </c>
    </row>
    <row r="57" spans="1:7" x14ac:dyDescent="0.25">
      <c r="A57" s="3">
        <v>154</v>
      </c>
      <c r="B57" s="4" t="s">
        <v>51</v>
      </c>
      <c r="C57" s="4">
        <v>2021</v>
      </c>
      <c r="D57" s="78" t="s">
        <v>2420</v>
      </c>
      <c r="E57">
        <v>2020</v>
      </c>
      <c r="F57" s="73">
        <v>2021</v>
      </c>
      <c r="G57" s="95">
        <v>44376</v>
      </c>
    </row>
    <row r="58" spans="1:7" x14ac:dyDescent="0.25">
      <c r="A58" s="3">
        <v>157</v>
      </c>
      <c r="B58" s="4" t="s">
        <v>52</v>
      </c>
      <c r="C58" s="4">
        <v>2021</v>
      </c>
      <c r="D58" s="78" t="s">
        <v>2420</v>
      </c>
      <c r="E58">
        <v>2020</v>
      </c>
      <c r="F58" s="73">
        <v>2021</v>
      </c>
      <c r="G58" s="95">
        <v>44301</v>
      </c>
    </row>
    <row r="59" spans="1:7" x14ac:dyDescent="0.25">
      <c r="A59" s="3">
        <v>164</v>
      </c>
      <c r="B59" s="4" t="s">
        <v>53</v>
      </c>
      <c r="C59" s="4">
        <v>2021</v>
      </c>
      <c r="D59" s="78" t="s">
        <v>2420</v>
      </c>
      <c r="E59">
        <v>2020</v>
      </c>
      <c r="F59" s="73">
        <v>2021</v>
      </c>
      <c r="G59" s="95">
        <v>44312</v>
      </c>
    </row>
    <row r="60" spans="1:7" x14ac:dyDescent="0.25">
      <c r="A60" s="3">
        <v>165</v>
      </c>
      <c r="B60" s="4" t="s">
        <v>54</v>
      </c>
      <c r="C60" s="4">
        <v>2021</v>
      </c>
      <c r="D60" s="78" t="s">
        <v>2420</v>
      </c>
      <c r="E60">
        <v>2020</v>
      </c>
      <c r="F60" s="73">
        <v>2021</v>
      </c>
      <c r="G60" s="95">
        <v>44376</v>
      </c>
    </row>
    <row r="61" spans="1:7" x14ac:dyDescent="0.25">
      <c r="A61" s="3">
        <v>173</v>
      </c>
      <c r="B61" s="4" t="s">
        <v>55</v>
      </c>
      <c r="C61" s="4">
        <v>2021</v>
      </c>
      <c r="D61" s="78" t="s">
        <v>2420</v>
      </c>
      <c r="E61">
        <v>2020</v>
      </c>
      <c r="F61" s="73">
        <v>2021</v>
      </c>
      <c r="G61" s="95">
        <v>44399</v>
      </c>
    </row>
    <row r="62" spans="1:7" x14ac:dyDescent="0.25">
      <c r="A62" s="3">
        <v>176</v>
      </c>
      <c r="B62" s="4" t="s">
        <v>56</v>
      </c>
      <c r="C62" s="4">
        <v>2020</v>
      </c>
      <c r="D62" s="78">
        <v>2019</v>
      </c>
      <c r="E62">
        <v>2019</v>
      </c>
      <c r="F62" s="73">
        <v>2020</v>
      </c>
      <c r="G62" s="95">
        <v>43949</v>
      </c>
    </row>
    <row r="63" spans="1:7" x14ac:dyDescent="0.25">
      <c r="A63" s="3">
        <v>178</v>
      </c>
      <c r="B63" s="4" t="s">
        <v>57</v>
      </c>
      <c r="C63" s="4">
        <v>2021</v>
      </c>
      <c r="D63" s="78" t="s">
        <v>2420</v>
      </c>
      <c r="E63">
        <v>2020</v>
      </c>
      <c r="F63" s="73">
        <v>2021</v>
      </c>
      <c r="G63" s="95">
        <v>44405</v>
      </c>
    </row>
    <row r="64" spans="1:7" x14ac:dyDescent="0.25">
      <c r="A64" s="3">
        <v>184</v>
      </c>
      <c r="B64" s="4" t="s">
        <v>58</v>
      </c>
      <c r="C64" s="4">
        <v>2021</v>
      </c>
      <c r="D64" s="78" t="s">
        <v>2420</v>
      </c>
      <c r="E64">
        <v>2020</v>
      </c>
      <c r="F64" s="73">
        <v>2021</v>
      </c>
      <c r="G64" s="95">
        <v>44354</v>
      </c>
    </row>
    <row r="65" spans="1:7" x14ac:dyDescent="0.25">
      <c r="A65" s="3">
        <v>188</v>
      </c>
      <c r="B65" s="4" t="s">
        <v>59</v>
      </c>
      <c r="C65" s="4">
        <v>2020</v>
      </c>
      <c r="D65" s="78" t="s">
        <v>2496</v>
      </c>
      <c r="E65">
        <v>2020</v>
      </c>
      <c r="F65" s="73">
        <v>2020</v>
      </c>
      <c r="G65" s="95">
        <v>44193</v>
      </c>
    </row>
    <row r="66" spans="1:7" x14ac:dyDescent="0.25">
      <c r="A66" s="3">
        <v>190</v>
      </c>
      <c r="B66" s="4" t="s">
        <v>60</v>
      </c>
      <c r="C66" s="4">
        <v>2021</v>
      </c>
      <c r="D66" s="78" t="s">
        <v>2420</v>
      </c>
      <c r="E66">
        <v>2020</v>
      </c>
      <c r="F66" s="73">
        <v>2021</v>
      </c>
      <c r="G66" s="95">
        <v>44228</v>
      </c>
    </row>
    <row r="67" spans="1:7" x14ac:dyDescent="0.25">
      <c r="A67" s="3">
        <v>194</v>
      </c>
      <c r="B67" s="4" t="s">
        <v>61</v>
      </c>
      <c r="C67" s="4">
        <v>2021</v>
      </c>
      <c r="D67" s="78" t="s">
        <v>2499</v>
      </c>
      <c r="E67">
        <v>2020</v>
      </c>
      <c r="F67" s="73">
        <v>2021</v>
      </c>
      <c r="G67" s="95">
        <v>44362</v>
      </c>
    </row>
    <row r="68" spans="1:7" x14ac:dyDescent="0.25">
      <c r="A68" s="3">
        <v>195</v>
      </c>
      <c r="B68" s="4" t="s">
        <v>62</v>
      </c>
      <c r="C68" s="4">
        <v>2021</v>
      </c>
      <c r="D68" s="78" t="s">
        <v>2420</v>
      </c>
      <c r="E68">
        <v>2020</v>
      </c>
      <c r="F68" s="73">
        <v>2021</v>
      </c>
      <c r="G68" s="95">
        <v>44335</v>
      </c>
    </row>
    <row r="69" spans="1:7" x14ac:dyDescent="0.25">
      <c r="A69" s="3">
        <v>200</v>
      </c>
      <c r="B69" s="4" t="s">
        <v>63</v>
      </c>
      <c r="C69" s="4">
        <v>2021</v>
      </c>
      <c r="D69" s="78" t="s">
        <v>2420</v>
      </c>
      <c r="E69">
        <v>2020</v>
      </c>
      <c r="F69" s="73">
        <v>2021</v>
      </c>
      <c r="G69" s="95">
        <v>44354</v>
      </c>
    </row>
    <row r="70" spans="1:7" x14ac:dyDescent="0.25">
      <c r="A70" s="3">
        <v>201</v>
      </c>
      <c r="B70" s="4" t="s">
        <v>63</v>
      </c>
      <c r="C70" s="4">
        <v>2020</v>
      </c>
      <c r="D70" s="78" t="s">
        <v>2422</v>
      </c>
      <c r="E70">
        <v>2019</v>
      </c>
      <c r="F70" s="73">
        <v>2020</v>
      </c>
      <c r="G70" s="95">
        <v>43985</v>
      </c>
    </row>
    <row r="71" spans="1:7" x14ac:dyDescent="0.25">
      <c r="A71" s="3">
        <v>202</v>
      </c>
      <c r="B71" s="4" t="s">
        <v>64</v>
      </c>
      <c r="C71" s="4">
        <v>2020</v>
      </c>
      <c r="D71" s="78" t="s">
        <v>2422</v>
      </c>
      <c r="E71">
        <v>2019</v>
      </c>
      <c r="F71" s="73">
        <v>2020</v>
      </c>
      <c r="G71" s="95">
        <v>44183</v>
      </c>
    </row>
    <row r="72" spans="1:7" x14ac:dyDescent="0.25">
      <c r="A72" s="3">
        <v>205</v>
      </c>
      <c r="B72" s="4" t="s">
        <v>65</v>
      </c>
      <c r="C72" s="4">
        <v>2020</v>
      </c>
      <c r="D72" s="78" t="s">
        <v>2422</v>
      </c>
      <c r="E72">
        <v>2019</v>
      </c>
      <c r="F72" s="73">
        <v>2020</v>
      </c>
      <c r="G72" s="95">
        <v>44043</v>
      </c>
    </row>
    <row r="73" spans="1:7" x14ac:dyDescent="0.25">
      <c r="A73" s="3">
        <v>206</v>
      </c>
      <c r="B73" s="4" t="s">
        <v>66</v>
      </c>
      <c r="C73" s="4">
        <v>2020</v>
      </c>
      <c r="D73" s="78" t="s">
        <v>2422</v>
      </c>
      <c r="E73">
        <v>2019</v>
      </c>
      <c r="F73" s="73">
        <v>2020</v>
      </c>
      <c r="G73" s="95">
        <v>44028</v>
      </c>
    </row>
    <row r="74" spans="1:7" x14ac:dyDescent="0.25">
      <c r="A74" s="3">
        <v>207</v>
      </c>
      <c r="B74" s="4" t="s">
        <v>67</v>
      </c>
      <c r="C74" s="4">
        <v>2021</v>
      </c>
      <c r="D74" s="78" t="s">
        <v>2420</v>
      </c>
      <c r="E74">
        <v>2020</v>
      </c>
      <c r="F74" s="73">
        <v>2021</v>
      </c>
      <c r="G74" s="95">
        <v>44385</v>
      </c>
    </row>
    <row r="75" spans="1:7" x14ac:dyDescent="0.25">
      <c r="A75" s="3">
        <v>208</v>
      </c>
      <c r="B75" s="4" t="s">
        <v>68</v>
      </c>
      <c r="C75" s="4">
        <v>2021</v>
      </c>
      <c r="D75" s="78" t="s">
        <v>2420</v>
      </c>
      <c r="E75">
        <v>2020</v>
      </c>
      <c r="F75" s="73">
        <v>2021</v>
      </c>
      <c r="G75" s="95">
        <v>44286</v>
      </c>
    </row>
    <row r="76" spans="1:7" x14ac:dyDescent="0.25">
      <c r="A76" s="3">
        <v>209</v>
      </c>
      <c r="B76" s="4" t="s">
        <v>69</v>
      </c>
      <c r="C76" s="4">
        <v>2021</v>
      </c>
      <c r="D76" s="78" t="s">
        <v>2422</v>
      </c>
      <c r="E76">
        <v>2019</v>
      </c>
      <c r="F76" s="73">
        <v>2021</v>
      </c>
      <c r="G76" s="95">
        <v>44117</v>
      </c>
    </row>
    <row r="77" spans="1:7" x14ac:dyDescent="0.25">
      <c r="A77" s="3">
        <v>213</v>
      </c>
      <c r="B77" s="4" t="s">
        <v>70</v>
      </c>
      <c r="C77" s="4">
        <v>2021</v>
      </c>
      <c r="D77" s="78" t="s">
        <v>2422</v>
      </c>
      <c r="E77">
        <v>2019</v>
      </c>
      <c r="F77" s="73">
        <v>2021</v>
      </c>
      <c r="G77" s="95">
        <v>44145</v>
      </c>
    </row>
    <row r="78" spans="1:7" x14ac:dyDescent="0.25">
      <c r="A78" s="3">
        <v>214</v>
      </c>
      <c r="B78" s="4" t="s">
        <v>71</v>
      </c>
      <c r="C78" s="4">
        <v>2020</v>
      </c>
      <c r="D78" s="78" t="s">
        <v>4262</v>
      </c>
      <c r="E78">
        <v>2021</v>
      </c>
      <c r="F78" s="73">
        <v>2020</v>
      </c>
      <c r="G78" s="95">
        <v>44075</v>
      </c>
    </row>
    <row r="79" spans="1:7" x14ac:dyDescent="0.25">
      <c r="A79" s="3">
        <v>217</v>
      </c>
      <c r="B79" s="4" t="s">
        <v>72</v>
      </c>
      <c r="C79" s="4">
        <v>2021</v>
      </c>
      <c r="D79" s="78" t="s">
        <v>4248</v>
      </c>
      <c r="E79">
        <v>2020</v>
      </c>
      <c r="F79" s="73">
        <v>2021</v>
      </c>
      <c r="G79" s="95">
        <v>44228</v>
      </c>
    </row>
    <row r="80" spans="1:7" x14ac:dyDescent="0.25">
      <c r="A80" s="3">
        <v>222</v>
      </c>
      <c r="B80" s="4" t="s">
        <v>73</v>
      </c>
      <c r="C80" s="4">
        <v>2020</v>
      </c>
      <c r="D80" s="78" t="s">
        <v>2422</v>
      </c>
      <c r="E80">
        <v>2019</v>
      </c>
      <c r="F80" s="73">
        <v>2020</v>
      </c>
      <c r="G80" s="95">
        <v>44116</v>
      </c>
    </row>
    <row r="81" spans="1:7" x14ac:dyDescent="0.25">
      <c r="A81" s="3">
        <v>228</v>
      </c>
      <c r="B81" s="4" t="s">
        <v>74</v>
      </c>
      <c r="C81" s="4">
        <v>2021</v>
      </c>
      <c r="D81" s="78" t="s">
        <v>2420</v>
      </c>
      <c r="E81">
        <v>2020</v>
      </c>
      <c r="F81" s="73">
        <v>2021</v>
      </c>
      <c r="G81" s="95">
        <v>44383</v>
      </c>
    </row>
    <row r="82" spans="1:7" x14ac:dyDescent="0.25">
      <c r="A82" s="3">
        <v>234</v>
      </c>
      <c r="B82" s="4" t="s">
        <v>75</v>
      </c>
      <c r="C82" s="4">
        <v>2019</v>
      </c>
      <c r="D82" s="78" t="s">
        <v>2420</v>
      </c>
      <c r="E82">
        <v>2020</v>
      </c>
      <c r="F82" s="73">
        <v>2019</v>
      </c>
      <c r="G82" s="95">
        <v>43748</v>
      </c>
    </row>
    <row r="83" spans="1:7" x14ac:dyDescent="0.25">
      <c r="A83" s="3">
        <v>236</v>
      </c>
      <c r="B83" s="4" t="s">
        <v>76</v>
      </c>
      <c r="C83" s="4">
        <v>2021</v>
      </c>
      <c r="D83" s="78" t="s">
        <v>2420</v>
      </c>
      <c r="E83">
        <v>2020</v>
      </c>
      <c r="F83" s="73">
        <v>2021</v>
      </c>
      <c r="G83" s="95">
        <v>44371</v>
      </c>
    </row>
    <row r="84" spans="1:7" x14ac:dyDescent="0.25">
      <c r="A84" s="3">
        <v>241</v>
      </c>
      <c r="B84" s="4" t="s">
        <v>77</v>
      </c>
      <c r="C84" s="4">
        <v>2021</v>
      </c>
      <c r="D84" s="78" t="s">
        <v>2420</v>
      </c>
      <c r="E84">
        <v>2020</v>
      </c>
      <c r="F84" s="73">
        <v>2021</v>
      </c>
      <c r="G84" s="95">
        <v>44368</v>
      </c>
    </row>
    <row r="85" spans="1:7" x14ac:dyDescent="0.25">
      <c r="A85" s="3">
        <v>242</v>
      </c>
      <c r="B85" s="4" t="s">
        <v>77</v>
      </c>
      <c r="C85" s="4">
        <v>2020</v>
      </c>
      <c r="D85" s="78" t="s">
        <v>2422</v>
      </c>
      <c r="E85">
        <v>2019</v>
      </c>
      <c r="F85" s="73">
        <v>2020</v>
      </c>
      <c r="G85" s="95">
        <v>44035</v>
      </c>
    </row>
    <row r="86" spans="1:7" x14ac:dyDescent="0.25">
      <c r="A86" s="3">
        <v>243</v>
      </c>
      <c r="B86" s="4" t="s">
        <v>78</v>
      </c>
      <c r="C86" s="4">
        <v>2021</v>
      </c>
      <c r="D86" s="78" t="s">
        <v>2420</v>
      </c>
      <c r="E86">
        <v>2020</v>
      </c>
      <c r="F86" s="73">
        <v>2021</v>
      </c>
      <c r="G86" s="95">
        <v>44378</v>
      </c>
    </row>
    <row r="87" spans="1:7" x14ac:dyDescent="0.25">
      <c r="A87" s="3">
        <v>244</v>
      </c>
      <c r="B87" s="4" t="s">
        <v>78</v>
      </c>
      <c r="C87" s="4">
        <v>2020</v>
      </c>
      <c r="D87" s="78" t="s">
        <v>2422</v>
      </c>
      <c r="E87">
        <v>2019</v>
      </c>
      <c r="F87" s="73">
        <v>2020</v>
      </c>
      <c r="G87" s="95">
        <v>43971</v>
      </c>
    </row>
    <row r="88" spans="1:7" x14ac:dyDescent="0.25">
      <c r="A88" s="3">
        <v>250</v>
      </c>
      <c r="B88" s="4" t="s">
        <v>79</v>
      </c>
      <c r="C88" s="4">
        <v>2021</v>
      </c>
      <c r="D88" s="78" t="s">
        <v>2420</v>
      </c>
      <c r="E88">
        <v>2020</v>
      </c>
      <c r="F88" s="73">
        <v>2021</v>
      </c>
      <c r="G88" s="95">
        <v>44355</v>
      </c>
    </row>
    <row r="89" spans="1:7" x14ac:dyDescent="0.25">
      <c r="A89" s="3">
        <v>255</v>
      </c>
      <c r="B89" s="4" t="s">
        <v>80</v>
      </c>
      <c r="C89" s="4">
        <v>2021</v>
      </c>
      <c r="D89" s="78" t="s">
        <v>2420</v>
      </c>
      <c r="E89">
        <v>2020</v>
      </c>
      <c r="F89" s="73">
        <v>2021</v>
      </c>
      <c r="G89" s="95">
        <v>44384</v>
      </c>
    </row>
    <row r="90" spans="1:7" x14ac:dyDescent="0.25">
      <c r="A90" s="3">
        <v>261</v>
      </c>
      <c r="B90" s="4" t="s">
        <v>81</v>
      </c>
      <c r="C90" s="4">
        <v>2020</v>
      </c>
      <c r="D90" s="78" t="s">
        <v>2422</v>
      </c>
      <c r="E90">
        <v>2019</v>
      </c>
      <c r="F90" s="73">
        <v>2020</v>
      </c>
      <c r="G90" s="95">
        <v>44083</v>
      </c>
    </row>
    <row r="91" spans="1:7" x14ac:dyDescent="0.25">
      <c r="A91" s="3">
        <v>268</v>
      </c>
      <c r="B91" s="4" t="s">
        <v>82</v>
      </c>
      <c r="C91" s="4">
        <v>2021</v>
      </c>
      <c r="D91" s="78" t="s">
        <v>2420</v>
      </c>
      <c r="E91">
        <v>2020</v>
      </c>
      <c r="F91" s="73">
        <v>2021</v>
      </c>
      <c r="G91" s="95">
        <v>44349</v>
      </c>
    </row>
    <row r="92" spans="1:7" x14ac:dyDescent="0.25">
      <c r="A92" s="3">
        <v>269</v>
      </c>
      <c r="B92" s="4" t="s">
        <v>83</v>
      </c>
      <c r="C92" s="4">
        <v>2020</v>
      </c>
      <c r="D92" s="78" t="s">
        <v>2422</v>
      </c>
      <c r="E92">
        <v>2019</v>
      </c>
      <c r="F92" s="73">
        <v>2020</v>
      </c>
      <c r="G92" s="95">
        <v>44132</v>
      </c>
    </row>
    <row r="93" spans="1:7" x14ac:dyDescent="0.25">
      <c r="A93" s="3">
        <v>271</v>
      </c>
      <c r="B93" s="4" t="s">
        <v>84</v>
      </c>
      <c r="C93" s="4">
        <v>2021</v>
      </c>
      <c r="D93" s="78" t="s">
        <v>2420</v>
      </c>
      <c r="E93">
        <v>2020</v>
      </c>
      <c r="F93" s="73">
        <v>2021</v>
      </c>
      <c r="G93" s="95">
        <v>44376</v>
      </c>
    </row>
    <row r="94" spans="1:7" x14ac:dyDescent="0.25">
      <c r="A94" s="3">
        <v>274</v>
      </c>
      <c r="B94" s="4" t="s">
        <v>85</v>
      </c>
      <c r="C94" s="4">
        <v>2021</v>
      </c>
      <c r="D94" s="78" t="s">
        <v>2420</v>
      </c>
      <c r="E94">
        <v>2020</v>
      </c>
      <c r="F94" s="73">
        <v>2021</v>
      </c>
      <c r="G94" s="95">
        <v>44406</v>
      </c>
    </row>
    <row r="95" spans="1:7" x14ac:dyDescent="0.25">
      <c r="A95" s="3">
        <v>277</v>
      </c>
      <c r="B95" s="4" t="s">
        <v>86</v>
      </c>
      <c r="C95" s="4">
        <v>2020</v>
      </c>
      <c r="D95" s="78" t="s">
        <v>2422</v>
      </c>
      <c r="E95">
        <v>2019</v>
      </c>
      <c r="F95" s="73">
        <v>2020</v>
      </c>
      <c r="G95" s="95">
        <v>44124</v>
      </c>
    </row>
    <row r="96" spans="1:7" x14ac:dyDescent="0.25">
      <c r="A96" s="3">
        <v>278</v>
      </c>
      <c r="B96" s="4" t="s">
        <v>87</v>
      </c>
      <c r="C96" s="4">
        <v>2021</v>
      </c>
      <c r="D96" s="78" t="s">
        <v>2420</v>
      </c>
      <c r="E96">
        <v>2020</v>
      </c>
      <c r="F96" s="73">
        <v>2021</v>
      </c>
      <c r="G96" s="95">
        <v>44322</v>
      </c>
    </row>
    <row r="97" spans="1:7" x14ac:dyDescent="0.25">
      <c r="A97" s="3">
        <v>280</v>
      </c>
      <c r="B97" s="4" t="s">
        <v>88</v>
      </c>
      <c r="C97" s="4">
        <v>2019</v>
      </c>
      <c r="D97" s="78" t="s">
        <v>4249</v>
      </c>
      <c r="E97">
        <v>2019</v>
      </c>
      <c r="F97" s="73">
        <v>2019</v>
      </c>
      <c r="G97" s="95">
        <v>43777</v>
      </c>
    </row>
    <row r="98" spans="1:7" x14ac:dyDescent="0.25">
      <c r="A98" s="3">
        <v>291</v>
      </c>
      <c r="B98" s="4" t="s">
        <v>89</v>
      </c>
      <c r="C98" s="4">
        <v>2021</v>
      </c>
      <c r="D98" s="78" t="s">
        <v>2420</v>
      </c>
      <c r="E98">
        <v>2020</v>
      </c>
      <c r="F98" s="73">
        <v>2021</v>
      </c>
      <c r="G98" s="95">
        <v>44368</v>
      </c>
    </row>
    <row r="99" spans="1:7" x14ac:dyDescent="0.25">
      <c r="A99" s="3">
        <v>295</v>
      </c>
      <c r="B99" s="4" t="s">
        <v>90</v>
      </c>
      <c r="C99" s="4">
        <v>2020</v>
      </c>
      <c r="D99" s="78" t="s">
        <v>2538</v>
      </c>
      <c r="E99">
        <v>2019</v>
      </c>
      <c r="F99" s="73">
        <v>2020</v>
      </c>
      <c r="G99" s="95">
        <v>43958</v>
      </c>
    </row>
    <row r="100" spans="1:7" x14ac:dyDescent="0.25">
      <c r="A100" s="3">
        <v>297</v>
      </c>
      <c r="B100" s="4" t="s">
        <v>91</v>
      </c>
      <c r="C100" s="4">
        <v>2021</v>
      </c>
      <c r="D100" s="78" t="s">
        <v>2420</v>
      </c>
      <c r="E100">
        <v>2020</v>
      </c>
      <c r="F100" s="73">
        <v>2021</v>
      </c>
      <c r="G100" s="95">
        <v>44377</v>
      </c>
    </row>
    <row r="101" spans="1:7" x14ac:dyDescent="0.25">
      <c r="A101" s="3">
        <v>298</v>
      </c>
      <c r="B101" s="4" t="s">
        <v>91</v>
      </c>
      <c r="C101" s="4">
        <v>2020</v>
      </c>
      <c r="D101" s="78" t="s">
        <v>2422</v>
      </c>
      <c r="E101">
        <v>2019</v>
      </c>
      <c r="F101" s="73">
        <v>2020</v>
      </c>
      <c r="G101" s="95">
        <v>44109</v>
      </c>
    </row>
    <row r="102" spans="1:7" x14ac:dyDescent="0.25">
      <c r="A102" s="3">
        <v>304</v>
      </c>
      <c r="B102" s="4" t="s">
        <v>92</v>
      </c>
      <c r="C102" s="4">
        <v>2020</v>
      </c>
      <c r="D102" s="78" t="s">
        <v>2422</v>
      </c>
      <c r="E102">
        <v>2019</v>
      </c>
      <c r="F102" s="73">
        <v>2020</v>
      </c>
      <c r="G102" s="95">
        <v>44055</v>
      </c>
    </row>
    <row r="103" spans="1:7" x14ac:dyDescent="0.25">
      <c r="A103" s="3">
        <v>306</v>
      </c>
      <c r="B103" s="4" t="s">
        <v>93</v>
      </c>
      <c r="C103" s="4">
        <v>2020</v>
      </c>
      <c r="D103" s="78">
        <v>2019</v>
      </c>
      <c r="E103">
        <v>2019</v>
      </c>
      <c r="F103" s="73">
        <v>2020</v>
      </c>
      <c r="G103" s="95">
        <v>44144</v>
      </c>
    </row>
    <row r="104" spans="1:7" x14ac:dyDescent="0.25">
      <c r="A104" s="3">
        <v>310</v>
      </c>
      <c r="B104" s="4" t="s">
        <v>94</v>
      </c>
      <c r="C104" s="4">
        <v>2021</v>
      </c>
      <c r="D104" s="78" t="s">
        <v>2539</v>
      </c>
      <c r="E104">
        <v>2021</v>
      </c>
      <c r="F104" s="73">
        <v>2021</v>
      </c>
      <c r="G104" s="95">
        <v>44294</v>
      </c>
    </row>
    <row r="105" spans="1:7" x14ac:dyDescent="0.25">
      <c r="A105" s="3">
        <v>325</v>
      </c>
      <c r="B105" s="4" t="s">
        <v>95</v>
      </c>
      <c r="C105" s="4">
        <v>2021</v>
      </c>
      <c r="D105" s="78" t="s">
        <v>2408</v>
      </c>
      <c r="E105">
        <v>2021</v>
      </c>
      <c r="F105" s="73">
        <v>2021</v>
      </c>
      <c r="G105" s="95">
        <v>44308</v>
      </c>
    </row>
    <row r="106" spans="1:7" x14ac:dyDescent="0.25">
      <c r="A106" s="3">
        <v>326</v>
      </c>
      <c r="B106" s="4" t="s">
        <v>95</v>
      </c>
      <c r="C106" s="4">
        <v>2020</v>
      </c>
      <c r="D106" s="78" t="s">
        <v>2409</v>
      </c>
      <c r="E106">
        <v>2019</v>
      </c>
      <c r="F106" s="73">
        <v>2020</v>
      </c>
      <c r="G106" s="95">
        <v>43941</v>
      </c>
    </row>
    <row r="107" spans="1:7" x14ac:dyDescent="0.25">
      <c r="A107" s="3">
        <v>328</v>
      </c>
      <c r="B107" s="4" t="s">
        <v>96</v>
      </c>
      <c r="C107" s="4">
        <v>2021</v>
      </c>
      <c r="D107" s="78">
        <v>2020</v>
      </c>
      <c r="E107">
        <v>2020</v>
      </c>
      <c r="F107" s="73">
        <v>2021</v>
      </c>
      <c r="G107" s="95">
        <v>44316</v>
      </c>
    </row>
    <row r="108" spans="1:7" x14ac:dyDescent="0.25">
      <c r="A108" s="3">
        <v>329</v>
      </c>
      <c r="B108" s="4" t="s">
        <v>96</v>
      </c>
      <c r="C108" s="4">
        <v>2020</v>
      </c>
      <c r="D108" s="78">
        <v>2019</v>
      </c>
      <c r="E108">
        <v>2019</v>
      </c>
      <c r="F108" s="73">
        <v>2020</v>
      </c>
      <c r="G108" s="95">
        <v>44028</v>
      </c>
    </row>
    <row r="109" spans="1:7" x14ac:dyDescent="0.25">
      <c r="A109" s="3">
        <v>330</v>
      </c>
      <c r="B109" s="4" t="s">
        <v>96</v>
      </c>
      <c r="C109" s="4">
        <v>2019</v>
      </c>
      <c r="D109" s="78">
        <v>2018</v>
      </c>
      <c r="E109">
        <v>2018</v>
      </c>
      <c r="F109" s="73">
        <v>2019</v>
      </c>
      <c r="G109" s="95">
        <v>43643</v>
      </c>
    </row>
    <row r="110" spans="1:7" x14ac:dyDescent="0.25">
      <c r="A110" s="3">
        <v>333</v>
      </c>
      <c r="B110" s="4" t="s">
        <v>97</v>
      </c>
      <c r="C110" s="4">
        <v>2021</v>
      </c>
      <c r="D110" s="78" t="s">
        <v>2420</v>
      </c>
      <c r="E110">
        <v>2020</v>
      </c>
      <c r="F110" s="73">
        <v>2021</v>
      </c>
      <c r="G110" s="95">
        <v>44293</v>
      </c>
    </row>
    <row r="111" spans="1:7" x14ac:dyDescent="0.25">
      <c r="A111" s="3">
        <v>341</v>
      </c>
      <c r="B111" s="4" t="s">
        <v>98</v>
      </c>
      <c r="C111" s="4">
        <v>2021</v>
      </c>
      <c r="D111" s="78" t="s">
        <v>2420</v>
      </c>
      <c r="E111">
        <v>2020</v>
      </c>
      <c r="F111" s="73">
        <v>2021</v>
      </c>
      <c r="G111" s="95">
        <v>44413</v>
      </c>
    </row>
    <row r="112" spans="1:7" x14ac:dyDescent="0.25">
      <c r="A112" s="3">
        <v>342</v>
      </c>
      <c r="B112" s="4" t="s">
        <v>98</v>
      </c>
      <c r="C112" s="4">
        <v>2020</v>
      </c>
      <c r="D112" s="78" t="s">
        <v>2422</v>
      </c>
      <c r="E112">
        <v>2019</v>
      </c>
      <c r="F112" s="73">
        <v>2020</v>
      </c>
      <c r="G112" s="95">
        <v>44155</v>
      </c>
    </row>
    <row r="113" spans="1:7" x14ac:dyDescent="0.25">
      <c r="A113" s="3">
        <v>343</v>
      </c>
      <c r="B113" s="4" t="s">
        <v>99</v>
      </c>
      <c r="C113" s="4">
        <v>2020</v>
      </c>
      <c r="D113" s="78" t="s">
        <v>4250</v>
      </c>
      <c r="E113">
        <v>2020</v>
      </c>
      <c r="F113" s="73">
        <v>2020</v>
      </c>
      <c r="G113" s="95">
        <v>44137</v>
      </c>
    </row>
    <row r="114" spans="1:7" x14ac:dyDescent="0.25">
      <c r="A114" s="3">
        <v>344</v>
      </c>
      <c r="B114" t="s">
        <v>3686</v>
      </c>
      <c r="C114" s="3">
        <v>2021</v>
      </c>
      <c r="D114" s="78" t="s">
        <v>2424</v>
      </c>
      <c r="E114">
        <v>2020</v>
      </c>
      <c r="F114" s="94">
        <v>2021</v>
      </c>
      <c r="G114" s="96">
        <v>44346</v>
      </c>
    </row>
    <row r="115" spans="1:7" x14ac:dyDescent="0.25">
      <c r="A115" s="3">
        <v>346</v>
      </c>
      <c r="B115" s="4" t="s">
        <v>100</v>
      </c>
      <c r="C115" s="4">
        <v>2021</v>
      </c>
      <c r="D115" s="78">
        <v>2021</v>
      </c>
      <c r="E115">
        <v>2021</v>
      </c>
      <c r="F115" s="73">
        <v>2021</v>
      </c>
      <c r="G115" s="95">
        <v>44397</v>
      </c>
    </row>
    <row r="116" spans="1:7" x14ac:dyDescent="0.25">
      <c r="A116" s="3">
        <v>353</v>
      </c>
      <c r="B116" s="4" t="s">
        <v>101</v>
      </c>
      <c r="C116" s="4">
        <v>2021</v>
      </c>
      <c r="D116" s="78" t="s">
        <v>2420</v>
      </c>
      <c r="E116">
        <v>2020</v>
      </c>
      <c r="F116" s="73">
        <v>2021</v>
      </c>
      <c r="G116" s="95">
        <v>44335</v>
      </c>
    </row>
    <row r="117" spans="1:7" x14ac:dyDescent="0.25">
      <c r="A117" s="3">
        <v>354</v>
      </c>
      <c r="B117" s="4" t="s">
        <v>101</v>
      </c>
      <c r="C117" s="4">
        <v>2020</v>
      </c>
      <c r="D117" s="78" t="s">
        <v>2422</v>
      </c>
      <c r="E117">
        <v>2019</v>
      </c>
      <c r="F117" s="73">
        <v>2020</v>
      </c>
      <c r="G117" s="95">
        <v>44039</v>
      </c>
    </row>
    <row r="118" spans="1:7" x14ac:dyDescent="0.25">
      <c r="A118" s="3">
        <v>356</v>
      </c>
      <c r="B118" s="4" t="s">
        <v>102</v>
      </c>
      <c r="C118" s="4">
        <v>2021</v>
      </c>
      <c r="D118" s="78">
        <v>2020</v>
      </c>
      <c r="E118">
        <v>2020</v>
      </c>
      <c r="F118" s="73">
        <v>2021</v>
      </c>
      <c r="G118" s="95">
        <v>44308</v>
      </c>
    </row>
    <row r="119" spans="1:7" x14ac:dyDescent="0.25">
      <c r="A119" s="3">
        <v>358</v>
      </c>
      <c r="B119" s="4" t="s">
        <v>103</v>
      </c>
      <c r="C119" s="4">
        <v>2020</v>
      </c>
      <c r="D119" s="78">
        <v>2019</v>
      </c>
      <c r="E119">
        <v>2019</v>
      </c>
      <c r="F119" s="73">
        <v>2020</v>
      </c>
      <c r="G119" s="95">
        <v>44181</v>
      </c>
    </row>
    <row r="120" spans="1:7" x14ac:dyDescent="0.25">
      <c r="A120" s="3">
        <v>359</v>
      </c>
      <c r="B120" s="4" t="s">
        <v>104</v>
      </c>
      <c r="C120" s="4">
        <v>2021</v>
      </c>
      <c r="D120" s="78" t="s">
        <v>2420</v>
      </c>
      <c r="E120">
        <v>2020</v>
      </c>
      <c r="F120" s="73">
        <v>2021</v>
      </c>
      <c r="G120" s="95">
        <v>44390</v>
      </c>
    </row>
    <row r="121" spans="1:7" x14ac:dyDescent="0.25">
      <c r="A121" s="3">
        <v>360</v>
      </c>
      <c r="B121" s="4" t="s">
        <v>104</v>
      </c>
      <c r="C121" s="4">
        <v>2020</v>
      </c>
      <c r="D121" s="78" t="s">
        <v>2422</v>
      </c>
      <c r="E121">
        <v>2019</v>
      </c>
      <c r="F121" s="73">
        <v>2020</v>
      </c>
      <c r="G121" s="95">
        <v>44018</v>
      </c>
    </row>
    <row r="122" spans="1:7" x14ac:dyDescent="0.25">
      <c r="A122" s="3">
        <v>366</v>
      </c>
      <c r="B122" s="4" t="s">
        <v>105</v>
      </c>
      <c r="C122" s="4">
        <v>2021</v>
      </c>
      <c r="D122" s="78">
        <v>2020</v>
      </c>
      <c r="E122">
        <v>2020</v>
      </c>
      <c r="F122" s="73">
        <v>2021</v>
      </c>
      <c r="G122" s="95">
        <v>44349</v>
      </c>
    </row>
    <row r="123" spans="1:7" x14ac:dyDescent="0.25">
      <c r="A123" s="3">
        <v>367</v>
      </c>
      <c r="B123" s="4" t="s">
        <v>105</v>
      </c>
      <c r="C123" s="4">
        <v>2020</v>
      </c>
      <c r="D123" s="78">
        <v>2019</v>
      </c>
      <c r="E123">
        <v>2019</v>
      </c>
      <c r="F123" s="73">
        <v>2020</v>
      </c>
      <c r="G123" s="95">
        <v>43984</v>
      </c>
    </row>
    <row r="124" spans="1:7" x14ac:dyDescent="0.25">
      <c r="A124" s="3">
        <v>368</v>
      </c>
      <c r="B124" s="4" t="s">
        <v>106</v>
      </c>
      <c r="C124" s="4">
        <v>2021</v>
      </c>
      <c r="D124" s="78" t="s">
        <v>2420</v>
      </c>
      <c r="E124">
        <v>2020</v>
      </c>
      <c r="F124" s="73">
        <v>2021</v>
      </c>
      <c r="G124" s="95">
        <v>44398</v>
      </c>
    </row>
    <row r="125" spans="1:7" x14ac:dyDescent="0.25">
      <c r="A125" s="3">
        <v>370</v>
      </c>
      <c r="B125" s="4" t="s">
        <v>106</v>
      </c>
      <c r="C125" s="4">
        <v>2019</v>
      </c>
      <c r="D125" s="78" t="s">
        <v>2434</v>
      </c>
      <c r="E125">
        <v>2018</v>
      </c>
      <c r="F125" s="73">
        <v>2019</v>
      </c>
      <c r="G125" s="95">
        <v>43654</v>
      </c>
    </row>
    <row r="126" spans="1:7" x14ac:dyDescent="0.25">
      <c r="A126" s="3">
        <v>372</v>
      </c>
      <c r="B126" s="4" t="s">
        <v>107</v>
      </c>
      <c r="C126" s="4">
        <v>2020</v>
      </c>
      <c r="D126" s="78" t="s">
        <v>2549</v>
      </c>
      <c r="E126">
        <v>2019</v>
      </c>
      <c r="F126" s="73">
        <v>2020</v>
      </c>
      <c r="G126" s="95">
        <v>43997</v>
      </c>
    </row>
    <row r="127" spans="1:7" x14ac:dyDescent="0.25">
      <c r="A127" s="3">
        <v>379</v>
      </c>
      <c r="B127" s="4" t="s">
        <v>108</v>
      </c>
      <c r="C127" s="4">
        <v>2021</v>
      </c>
      <c r="D127" s="78">
        <v>2020</v>
      </c>
      <c r="E127">
        <v>2020</v>
      </c>
      <c r="F127" s="73">
        <v>2021</v>
      </c>
      <c r="G127" s="95">
        <v>44231</v>
      </c>
    </row>
    <row r="128" spans="1:7" x14ac:dyDescent="0.25">
      <c r="A128" s="3">
        <v>381</v>
      </c>
      <c r="B128" s="4" t="s">
        <v>109</v>
      </c>
      <c r="C128" s="4">
        <v>2020</v>
      </c>
      <c r="D128" s="78" t="s">
        <v>2550</v>
      </c>
      <c r="E128">
        <v>2020</v>
      </c>
      <c r="F128" s="73">
        <v>2020</v>
      </c>
      <c r="G128" s="95">
        <v>44035</v>
      </c>
    </row>
    <row r="129" spans="1:7" x14ac:dyDescent="0.25">
      <c r="A129" s="3">
        <v>389</v>
      </c>
      <c r="B129" s="4" t="s">
        <v>110</v>
      </c>
      <c r="C129" s="4">
        <v>2021</v>
      </c>
      <c r="D129" s="78" t="s">
        <v>2420</v>
      </c>
      <c r="E129">
        <v>2020</v>
      </c>
      <c r="F129" s="73">
        <v>2021</v>
      </c>
      <c r="G129" s="95">
        <v>44335</v>
      </c>
    </row>
    <row r="130" spans="1:7" x14ac:dyDescent="0.25">
      <c r="A130" s="3">
        <v>390</v>
      </c>
      <c r="B130" s="4" t="s">
        <v>110</v>
      </c>
      <c r="C130" s="4">
        <v>2020</v>
      </c>
      <c r="D130" s="78" t="s">
        <v>2422</v>
      </c>
      <c r="E130">
        <v>2019</v>
      </c>
      <c r="F130" s="73">
        <v>2020</v>
      </c>
      <c r="G130" s="95">
        <v>44004</v>
      </c>
    </row>
    <row r="131" spans="1:7" x14ac:dyDescent="0.25">
      <c r="A131" s="3">
        <v>392</v>
      </c>
      <c r="B131" s="4" t="s">
        <v>111</v>
      </c>
      <c r="C131" s="4">
        <v>2020</v>
      </c>
      <c r="D131" s="78" t="s">
        <v>4251</v>
      </c>
      <c r="E131">
        <v>2019</v>
      </c>
      <c r="F131" s="73">
        <v>2020</v>
      </c>
      <c r="G131" s="95">
        <v>44006</v>
      </c>
    </row>
    <row r="132" spans="1:7" x14ac:dyDescent="0.25">
      <c r="A132" s="3">
        <v>395</v>
      </c>
      <c r="B132" s="4" t="s">
        <v>112</v>
      </c>
      <c r="C132" s="4">
        <v>2021</v>
      </c>
      <c r="D132" s="78" t="s">
        <v>2420</v>
      </c>
      <c r="E132">
        <v>2020</v>
      </c>
      <c r="F132" s="73">
        <v>2021</v>
      </c>
      <c r="G132" s="95">
        <v>44348</v>
      </c>
    </row>
    <row r="133" spans="1:7" x14ac:dyDescent="0.25">
      <c r="A133" s="3">
        <v>399</v>
      </c>
      <c r="B133" s="4" t="s">
        <v>113</v>
      </c>
      <c r="C133" s="4">
        <v>2020</v>
      </c>
      <c r="D133" s="78" t="s">
        <v>2422</v>
      </c>
      <c r="E133">
        <v>2019</v>
      </c>
      <c r="F133" s="73">
        <v>2020</v>
      </c>
      <c r="G133" s="95">
        <v>44011</v>
      </c>
    </row>
    <row r="134" spans="1:7" x14ac:dyDescent="0.25">
      <c r="A134" s="3">
        <v>406</v>
      </c>
      <c r="B134" s="4" t="s">
        <v>114</v>
      </c>
      <c r="C134" s="4">
        <v>2020</v>
      </c>
      <c r="D134" s="78" t="s">
        <v>2422</v>
      </c>
      <c r="E134">
        <v>2019</v>
      </c>
      <c r="F134" s="73">
        <v>2020</v>
      </c>
      <c r="G134" s="95">
        <v>43997</v>
      </c>
    </row>
    <row r="135" spans="1:7" x14ac:dyDescent="0.25">
      <c r="A135" s="3">
        <v>412</v>
      </c>
      <c r="B135" s="4" t="s">
        <v>115</v>
      </c>
      <c r="C135" s="4">
        <v>2021</v>
      </c>
      <c r="D135" s="78" t="s">
        <v>2420</v>
      </c>
      <c r="E135">
        <v>2020</v>
      </c>
      <c r="F135" s="73">
        <v>2021</v>
      </c>
      <c r="G135" s="95">
        <v>44319</v>
      </c>
    </row>
    <row r="136" spans="1:7" x14ac:dyDescent="0.25">
      <c r="A136" s="3">
        <v>415</v>
      </c>
      <c r="B136" s="4" t="s">
        <v>116</v>
      </c>
      <c r="C136" s="4">
        <v>2019</v>
      </c>
      <c r="D136" s="78" t="s">
        <v>4271</v>
      </c>
      <c r="E136">
        <v>2018</v>
      </c>
      <c r="F136" s="73">
        <v>2019</v>
      </c>
      <c r="G136" s="95">
        <v>43601</v>
      </c>
    </row>
    <row r="137" spans="1:7" x14ac:dyDescent="0.25">
      <c r="A137" s="3">
        <v>419</v>
      </c>
      <c r="B137" s="4" t="s">
        <v>117</v>
      </c>
      <c r="C137" s="4">
        <v>2021</v>
      </c>
      <c r="D137" s="78" t="s">
        <v>2420</v>
      </c>
      <c r="E137">
        <v>2020</v>
      </c>
      <c r="F137" s="73">
        <v>2021</v>
      </c>
      <c r="G137" s="95">
        <v>44329</v>
      </c>
    </row>
    <row r="138" spans="1:7" x14ac:dyDescent="0.25">
      <c r="A138" s="3">
        <v>421</v>
      </c>
      <c r="B138" s="4" t="s">
        <v>118</v>
      </c>
      <c r="C138" s="4">
        <v>2021</v>
      </c>
      <c r="D138" s="78">
        <v>2019</v>
      </c>
      <c r="E138">
        <v>2019</v>
      </c>
      <c r="F138" s="73">
        <v>2021</v>
      </c>
      <c r="G138" s="95">
        <v>44356</v>
      </c>
    </row>
    <row r="139" spans="1:7" x14ac:dyDescent="0.25">
      <c r="A139" s="3">
        <v>428</v>
      </c>
      <c r="B139" s="4" t="s">
        <v>119</v>
      </c>
      <c r="C139" s="4">
        <v>2020</v>
      </c>
      <c r="D139" s="78" t="s">
        <v>2422</v>
      </c>
      <c r="E139">
        <v>2019</v>
      </c>
      <c r="F139" s="73">
        <v>2020</v>
      </c>
      <c r="G139" s="95">
        <v>44050</v>
      </c>
    </row>
    <row r="140" spans="1:7" x14ac:dyDescent="0.25">
      <c r="A140" s="3">
        <v>430</v>
      </c>
      <c r="B140" s="4" t="s">
        <v>120</v>
      </c>
      <c r="C140" s="4">
        <v>2020</v>
      </c>
      <c r="D140" s="78" t="s">
        <v>2422</v>
      </c>
      <c r="E140">
        <v>2019</v>
      </c>
      <c r="F140" s="73">
        <v>2020</v>
      </c>
      <c r="G140" s="95">
        <v>44341</v>
      </c>
    </row>
    <row r="141" spans="1:7" x14ac:dyDescent="0.25">
      <c r="A141" s="63">
        <v>435</v>
      </c>
      <c r="B141" s="76" t="s">
        <v>3339</v>
      </c>
      <c r="C141" s="64">
        <v>2021</v>
      </c>
      <c r="D141" s="79">
        <v>2020</v>
      </c>
      <c r="E141">
        <v>2020</v>
      </c>
      <c r="F141" s="94">
        <v>2021</v>
      </c>
      <c r="G141" s="96">
        <v>44242</v>
      </c>
    </row>
    <row r="142" spans="1:7" x14ac:dyDescent="0.25">
      <c r="A142" s="3">
        <v>436</v>
      </c>
      <c r="B142" s="4" t="s">
        <v>121</v>
      </c>
      <c r="C142" s="4">
        <v>2021</v>
      </c>
      <c r="D142" s="78" t="s">
        <v>2420</v>
      </c>
      <c r="E142">
        <v>2020</v>
      </c>
      <c r="F142" s="73">
        <v>2021</v>
      </c>
      <c r="G142" s="95">
        <v>44356</v>
      </c>
    </row>
    <row r="143" spans="1:7" x14ac:dyDescent="0.25">
      <c r="A143" s="3">
        <v>438</v>
      </c>
      <c r="B143" s="4" t="s">
        <v>122</v>
      </c>
      <c r="C143" s="4">
        <v>2021</v>
      </c>
      <c r="D143" s="78" t="s">
        <v>2441</v>
      </c>
      <c r="E143">
        <v>2020</v>
      </c>
      <c r="F143" s="73">
        <v>2021</v>
      </c>
      <c r="G143" s="95">
        <v>44295</v>
      </c>
    </row>
    <row r="144" spans="1:7" x14ac:dyDescent="0.25">
      <c r="A144" s="3">
        <v>439</v>
      </c>
      <c r="B144" s="4" t="s">
        <v>122</v>
      </c>
      <c r="C144" s="4">
        <v>2020</v>
      </c>
      <c r="D144" s="78" t="s">
        <v>2417</v>
      </c>
      <c r="E144">
        <v>2019</v>
      </c>
      <c r="F144" s="73">
        <v>2020</v>
      </c>
      <c r="G144" s="95">
        <v>43943</v>
      </c>
    </row>
    <row r="145" spans="1:7" x14ac:dyDescent="0.25">
      <c r="A145" s="3">
        <v>443</v>
      </c>
      <c r="B145" s="4" t="s">
        <v>123</v>
      </c>
      <c r="C145" s="4">
        <v>2021</v>
      </c>
      <c r="D145" s="78" t="s">
        <v>2420</v>
      </c>
      <c r="E145">
        <v>2020</v>
      </c>
      <c r="F145" s="73">
        <v>2021</v>
      </c>
      <c r="G145" s="95">
        <v>44329</v>
      </c>
    </row>
    <row r="146" spans="1:7" x14ac:dyDescent="0.25">
      <c r="A146" s="3">
        <v>446</v>
      </c>
      <c r="B146" s="4" t="s">
        <v>124</v>
      </c>
      <c r="C146" s="4">
        <v>2021</v>
      </c>
      <c r="D146" s="78" t="s">
        <v>2420</v>
      </c>
      <c r="E146">
        <v>2020</v>
      </c>
      <c r="F146" s="73">
        <v>2021</v>
      </c>
      <c r="G146" s="95">
        <v>44301</v>
      </c>
    </row>
    <row r="147" spans="1:7" x14ac:dyDescent="0.25">
      <c r="A147" s="3">
        <v>447</v>
      </c>
      <c r="B147" s="4" t="s">
        <v>125</v>
      </c>
      <c r="C147" s="4">
        <v>2021</v>
      </c>
      <c r="D147" s="78" t="s">
        <v>2410</v>
      </c>
      <c r="E147">
        <v>2020</v>
      </c>
      <c r="F147" s="73">
        <v>2021</v>
      </c>
      <c r="G147" s="95">
        <v>44308</v>
      </c>
    </row>
    <row r="148" spans="1:7" x14ac:dyDescent="0.25">
      <c r="A148" s="3">
        <v>448</v>
      </c>
      <c r="B148" s="4" t="s">
        <v>126</v>
      </c>
      <c r="C148" s="4">
        <v>2020</v>
      </c>
      <c r="D148" s="78" t="s">
        <v>2422</v>
      </c>
      <c r="E148">
        <v>2019</v>
      </c>
      <c r="F148" s="73">
        <v>2020</v>
      </c>
      <c r="G148" s="95">
        <v>44182</v>
      </c>
    </row>
    <row r="149" spans="1:7" x14ac:dyDescent="0.25">
      <c r="A149" s="3">
        <v>451</v>
      </c>
      <c r="B149" s="4" t="s">
        <v>127</v>
      </c>
      <c r="C149" s="4">
        <v>2018</v>
      </c>
      <c r="D149" s="78" t="s">
        <v>2614</v>
      </c>
      <c r="E149">
        <v>2017</v>
      </c>
      <c r="F149" s="73">
        <v>2018</v>
      </c>
      <c r="G149" s="95">
        <v>43250</v>
      </c>
    </row>
    <row r="150" spans="1:7" x14ac:dyDescent="0.25">
      <c r="A150" s="3">
        <v>456</v>
      </c>
      <c r="B150" s="4" t="s">
        <v>128</v>
      </c>
      <c r="C150" s="4">
        <v>2021</v>
      </c>
      <c r="D150" s="78" t="s">
        <v>2420</v>
      </c>
      <c r="E150">
        <v>2020</v>
      </c>
      <c r="F150" s="73">
        <v>2021</v>
      </c>
      <c r="G150" s="95">
        <v>44377</v>
      </c>
    </row>
    <row r="151" spans="1:7" x14ac:dyDescent="0.25">
      <c r="A151" s="3">
        <v>461</v>
      </c>
      <c r="B151" s="4" t="s">
        <v>129</v>
      </c>
      <c r="C151" s="4">
        <v>2021</v>
      </c>
      <c r="D151" s="78" t="s">
        <v>2420</v>
      </c>
      <c r="E151">
        <v>2020</v>
      </c>
      <c r="F151" s="73">
        <v>2021</v>
      </c>
      <c r="G151" s="95">
        <v>44371</v>
      </c>
    </row>
    <row r="152" spans="1:7" x14ac:dyDescent="0.25">
      <c r="A152" s="3">
        <v>462</v>
      </c>
      <c r="B152" s="4" t="s">
        <v>130</v>
      </c>
      <c r="C152" s="4">
        <v>2021</v>
      </c>
      <c r="D152" s="78" t="s">
        <v>2420</v>
      </c>
      <c r="E152">
        <v>2020</v>
      </c>
      <c r="F152" s="73">
        <v>2021</v>
      </c>
      <c r="G152" s="95">
        <v>44377</v>
      </c>
    </row>
    <row r="153" spans="1:7" x14ac:dyDescent="0.25">
      <c r="A153" s="3">
        <v>465</v>
      </c>
      <c r="B153" s="4" t="s">
        <v>131</v>
      </c>
      <c r="C153" s="4">
        <v>2020</v>
      </c>
      <c r="D153" s="78">
        <v>2018</v>
      </c>
      <c r="E153">
        <v>2018</v>
      </c>
      <c r="F153" s="73">
        <v>2020</v>
      </c>
      <c r="G153" s="95">
        <v>43762</v>
      </c>
    </row>
    <row r="154" spans="1:7" x14ac:dyDescent="0.25">
      <c r="A154" s="3">
        <v>472</v>
      </c>
      <c r="B154" s="4" t="s">
        <v>132</v>
      </c>
      <c r="C154" s="4">
        <v>2021</v>
      </c>
      <c r="D154" s="78" t="s">
        <v>2411</v>
      </c>
      <c r="E154">
        <v>2020</v>
      </c>
      <c r="F154" s="73">
        <v>2021</v>
      </c>
      <c r="G154" s="95">
        <v>44060</v>
      </c>
    </row>
    <row r="155" spans="1:7" x14ac:dyDescent="0.25">
      <c r="A155" s="3">
        <v>474</v>
      </c>
      <c r="B155" s="4" t="s">
        <v>133</v>
      </c>
      <c r="C155" s="4">
        <v>2021</v>
      </c>
      <c r="D155" s="78" t="s">
        <v>2459</v>
      </c>
      <c r="E155">
        <v>2020</v>
      </c>
      <c r="F155" s="73">
        <v>2021</v>
      </c>
      <c r="G155" s="95">
        <v>44376</v>
      </c>
    </row>
    <row r="156" spans="1:7" x14ac:dyDescent="0.25">
      <c r="A156" s="3">
        <v>476</v>
      </c>
      <c r="B156" s="4" t="s">
        <v>134</v>
      </c>
      <c r="C156" s="4">
        <v>2020</v>
      </c>
      <c r="D156" s="78" t="s">
        <v>2638</v>
      </c>
      <c r="E156">
        <v>2020</v>
      </c>
      <c r="F156" s="73">
        <v>2020</v>
      </c>
      <c r="G156" s="95">
        <v>43984</v>
      </c>
    </row>
    <row r="157" spans="1:7" x14ac:dyDescent="0.25">
      <c r="A157" s="3">
        <v>478</v>
      </c>
      <c r="B157" s="4" t="s">
        <v>135</v>
      </c>
      <c r="C157" s="4">
        <v>2020</v>
      </c>
      <c r="D157" s="78" t="s">
        <v>2422</v>
      </c>
      <c r="E157">
        <v>2019</v>
      </c>
      <c r="F157" s="73">
        <v>2020</v>
      </c>
      <c r="G157" s="95">
        <v>44201</v>
      </c>
    </row>
    <row r="158" spans="1:7" x14ac:dyDescent="0.25">
      <c r="A158" s="3">
        <v>481</v>
      </c>
      <c r="B158" s="4" t="s">
        <v>136</v>
      </c>
      <c r="C158" s="4">
        <v>2021</v>
      </c>
      <c r="D158" s="78" t="s">
        <v>2420</v>
      </c>
      <c r="E158">
        <v>2020</v>
      </c>
      <c r="F158" s="73">
        <v>2021</v>
      </c>
      <c r="G158" s="95">
        <v>44342</v>
      </c>
    </row>
    <row r="159" spans="1:7" x14ac:dyDescent="0.25">
      <c r="A159" s="3">
        <v>485</v>
      </c>
      <c r="B159" s="4" t="s">
        <v>137</v>
      </c>
      <c r="C159" s="4">
        <v>2021</v>
      </c>
      <c r="D159" s="78">
        <v>2020</v>
      </c>
      <c r="E159">
        <v>2020</v>
      </c>
      <c r="F159" s="73">
        <v>2021</v>
      </c>
      <c r="G159" s="95">
        <v>44384</v>
      </c>
    </row>
    <row r="160" spans="1:7" x14ac:dyDescent="0.25">
      <c r="A160" s="3">
        <v>488</v>
      </c>
      <c r="B160" s="4" t="s">
        <v>138</v>
      </c>
      <c r="C160" s="4">
        <v>2021</v>
      </c>
      <c r="D160" s="78">
        <v>2020</v>
      </c>
      <c r="E160">
        <v>2020</v>
      </c>
      <c r="F160" s="73">
        <v>2021</v>
      </c>
      <c r="G160" s="95">
        <v>44377</v>
      </c>
    </row>
    <row r="161" spans="1:7" x14ac:dyDescent="0.25">
      <c r="A161" s="3">
        <v>489</v>
      </c>
      <c r="B161" s="4" t="s">
        <v>139</v>
      </c>
      <c r="C161" s="4">
        <v>2021</v>
      </c>
      <c r="D161" s="78">
        <v>2020</v>
      </c>
      <c r="E161">
        <v>2020</v>
      </c>
      <c r="F161" s="73">
        <v>2021</v>
      </c>
      <c r="G161" s="95">
        <v>44292</v>
      </c>
    </row>
    <row r="162" spans="1:7" x14ac:dyDescent="0.25">
      <c r="A162" s="3">
        <v>493</v>
      </c>
      <c r="B162" s="4" t="s">
        <v>140</v>
      </c>
      <c r="C162" s="4">
        <v>2021</v>
      </c>
      <c r="D162" s="78" t="s">
        <v>2420</v>
      </c>
      <c r="E162">
        <v>2020</v>
      </c>
      <c r="F162" s="73">
        <v>2021</v>
      </c>
      <c r="G162" s="95">
        <v>44308</v>
      </c>
    </row>
    <row r="163" spans="1:7" x14ac:dyDescent="0.25">
      <c r="A163" s="3">
        <v>494</v>
      </c>
      <c r="B163" s="4" t="s">
        <v>140</v>
      </c>
      <c r="C163" s="4">
        <v>2020</v>
      </c>
      <c r="D163" s="78" t="s">
        <v>2422</v>
      </c>
      <c r="E163">
        <v>2019</v>
      </c>
      <c r="F163" s="73">
        <v>2020</v>
      </c>
      <c r="G163" s="95">
        <v>43997</v>
      </c>
    </row>
    <row r="164" spans="1:7" x14ac:dyDescent="0.25">
      <c r="A164" s="3">
        <v>498</v>
      </c>
      <c r="B164" s="4" t="s">
        <v>141</v>
      </c>
      <c r="C164" s="4">
        <v>2021</v>
      </c>
      <c r="D164" s="78" t="s">
        <v>2720</v>
      </c>
      <c r="E164">
        <v>2021</v>
      </c>
      <c r="F164" s="73">
        <v>2021</v>
      </c>
      <c r="G164" s="95">
        <v>44355</v>
      </c>
    </row>
    <row r="165" spans="1:7" x14ac:dyDescent="0.25">
      <c r="A165" s="3">
        <v>500</v>
      </c>
      <c r="B165" s="4" t="s">
        <v>142</v>
      </c>
      <c r="C165" s="4">
        <v>2021</v>
      </c>
      <c r="D165" s="78" t="s">
        <v>2420</v>
      </c>
      <c r="E165">
        <v>2020</v>
      </c>
      <c r="F165" s="73">
        <v>2021</v>
      </c>
      <c r="G165" s="95">
        <v>44355</v>
      </c>
    </row>
    <row r="166" spans="1:7" x14ac:dyDescent="0.25">
      <c r="A166" s="3">
        <v>501</v>
      </c>
      <c r="B166" s="4" t="s">
        <v>143</v>
      </c>
      <c r="C166" s="4">
        <v>2020</v>
      </c>
      <c r="D166" s="78" t="s">
        <v>2422</v>
      </c>
      <c r="E166">
        <v>2019</v>
      </c>
      <c r="F166" s="73">
        <v>2020</v>
      </c>
      <c r="G166" s="95">
        <v>44349</v>
      </c>
    </row>
    <row r="167" spans="1:7" x14ac:dyDescent="0.25">
      <c r="A167" s="3">
        <v>502</v>
      </c>
      <c r="B167" s="4" t="s">
        <v>144</v>
      </c>
      <c r="C167" s="4">
        <v>2019</v>
      </c>
      <c r="D167" s="78" t="s">
        <v>2412</v>
      </c>
      <c r="E167">
        <v>2019</v>
      </c>
      <c r="F167" s="73">
        <v>2019</v>
      </c>
      <c r="G167" s="95">
        <v>43718</v>
      </c>
    </row>
    <row r="168" spans="1:7" x14ac:dyDescent="0.25">
      <c r="A168" s="3">
        <v>507</v>
      </c>
      <c r="B168" s="4" t="s">
        <v>145</v>
      </c>
      <c r="C168" s="4">
        <v>2021</v>
      </c>
      <c r="D168" s="78" t="s">
        <v>2420</v>
      </c>
      <c r="E168">
        <v>2020</v>
      </c>
      <c r="F168" s="73">
        <v>2021</v>
      </c>
      <c r="G168" s="95">
        <v>44371</v>
      </c>
    </row>
    <row r="169" spans="1:7" x14ac:dyDescent="0.25">
      <c r="A169" s="3">
        <v>509</v>
      </c>
      <c r="B169" s="4" t="s">
        <v>146</v>
      </c>
      <c r="C169" s="4">
        <v>2020</v>
      </c>
      <c r="D169" s="78" t="s">
        <v>2422</v>
      </c>
      <c r="E169">
        <v>2019</v>
      </c>
      <c r="F169" s="73">
        <v>2020</v>
      </c>
      <c r="G169" s="95">
        <v>44175</v>
      </c>
    </row>
    <row r="170" spans="1:7" x14ac:dyDescent="0.25">
      <c r="A170" s="3">
        <v>518</v>
      </c>
      <c r="B170" s="4" t="s">
        <v>147</v>
      </c>
      <c r="C170" s="4">
        <v>2021</v>
      </c>
      <c r="D170" s="78" t="s">
        <v>2420</v>
      </c>
      <c r="E170">
        <v>2020</v>
      </c>
      <c r="F170" s="73">
        <v>2021</v>
      </c>
      <c r="G170" s="95">
        <v>44333</v>
      </c>
    </row>
    <row r="171" spans="1:7" x14ac:dyDescent="0.25">
      <c r="A171" s="3">
        <v>521</v>
      </c>
      <c r="B171" s="4" t="s">
        <v>148</v>
      </c>
      <c r="C171" s="4">
        <v>2021</v>
      </c>
      <c r="D171" s="78" t="s">
        <v>2413</v>
      </c>
      <c r="E171">
        <v>2021</v>
      </c>
      <c r="F171" s="73">
        <v>2021</v>
      </c>
      <c r="G171" s="95">
        <v>44321</v>
      </c>
    </row>
    <row r="172" spans="1:7" x14ac:dyDescent="0.25">
      <c r="A172" s="3">
        <v>522</v>
      </c>
      <c r="B172" s="4" t="s">
        <v>149</v>
      </c>
      <c r="C172" s="4">
        <v>2020</v>
      </c>
      <c r="D172" s="78" t="s">
        <v>2422</v>
      </c>
      <c r="E172">
        <v>2019</v>
      </c>
      <c r="F172" s="73">
        <v>2020</v>
      </c>
      <c r="G172" s="95">
        <v>44118</v>
      </c>
    </row>
    <row r="173" spans="1:7" x14ac:dyDescent="0.25">
      <c r="A173" s="3">
        <v>523</v>
      </c>
      <c r="B173" s="4" t="s">
        <v>149</v>
      </c>
      <c r="C173" s="4">
        <v>2019</v>
      </c>
      <c r="D173" s="78" t="s">
        <v>2434</v>
      </c>
      <c r="E173">
        <v>2018</v>
      </c>
      <c r="F173" s="73">
        <v>2019</v>
      </c>
      <c r="G173" s="95">
        <v>43746</v>
      </c>
    </row>
    <row r="174" spans="1:7" x14ac:dyDescent="0.25">
      <c r="A174" s="3">
        <v>527</v>
      </c>
      <c r="B174" s="4" t="s">
        <v>150</v>
      </c>
      <c r="C174" s="4">
        <v>2021</v>
      </c>
      <c r="D174" s="78" t="s">
        <v>2420</v>
      </c>
      <c r="E174">
        <v>2020</v>
      </c>
      <c r="F174" s="73">
        <v>2021</v>
      </c>
      <c r="G174" s="95">
        <v>44369</v>
      </c>
    </row>
    <row r="175" spans="1:7" x14ac:dyDescent="0.25">
      <c r="A175" s="3">
        <v>528</v>
      </c>
      <c r="B175" s="4" t="s">
        <v>150</v>
      </c>
      <c r="C175" s="4">
        <v>2020</v>
      </c>
      <c r="D175" s="78" t="s">
        <v>2422</v>
      </c>
      <c r="E175">
        <v>2019</v>
      </c>
      <c r="F175" s="73">
        <v>2020</v>
      </c>
      <c r="G175" s="95">
        <v>43999</v>
      </c>
    </row>
    <row r="176" spans="1:7" x14ac:dyDescent="0.25">
      <c r="A176" s="3">
        <v>530</v>
      </c>
      <c r="B176" s="4" t="s">
        <v>151</v>
      </c>
      <c r="C176" s="4">
        <v>2021</v>
      </c>
      <c r="D176" s="78" t="s">
        <v>2707</v>
      </c>
      <c r="E176">
        <v>2020</v>
      </c>
      <c r="F176" s="73">
        <v>2021</v>
      </c>
      <c r="G176" s="95">
        <v>44308</v>
      </c>
    </row>
    <row r="177" spans="1:7" x14ac:dyDescent="0.25">
      <c r="A177" s="3">
        <v>532</v>
      </c>
      <c r="B177" s="4" t="s">
        <v>151</v>
      </c>
      <c r="C177" s="4">
        <v>2020</v>
      </c>
      <c r="D177" s="78" t="s">
        <v>2708</v>
      </c>
      <c r="E177">
        <v>2019</v>
      </c>
      <c r="F177" s="73">
        <v>2020</v>
      </c>
      <c r="G177" s="95">
        <v>43991</v>
      </c>
    </row>
    <row r="178" spans="1:7" x14ac:dyDescent="0.25">
      <c r="A178" s="3">
        <v>535</v>
      </c>
      <c r="B178" s="4" t="s">
        <v>152</v>
      </c>
      <c r="C178" s="4">
        <v>2021</v>
      </c>
      <c r="D178" s="78" t="s">
        <v>2414</v>
      </c>
      <c r="E178">
        <v>2020</v>
      </c>
      <c r="F178" s="73">
        <v>2021</v>
      </c>
      <c r="G178" s="95">
        <v>44294</v>
      </c>
    </row>
    <row r="179" spans="1:7" x14ac:dyDescent="0.25">
      <c r="A179" s="3">
        <v>539</v>
      </c>
      <c r="B179" s="4" t="s">
        <v>153</v>
      </c>
      <c r="C179" s="4">
        <v>2021</v>
      </c>
      <c r="D179" s="78">
        <v>2020</v>
      </c>
      <c r="E179">
        <v>2020</v>
      </c>
      <c r="F179" s="73">
        <v>2021</v>
      </c>
      <c r="G179" s="95">
        <v>44329</v>
      </c>
    </row>
    <row r="180" spans="1:7" x14ac:dyDescent="0.25">
      <c r="A180" s="3">
        <v>540</v>
      </c>
      <c r="B180" s="4" t="s">
        <v>153</v>
      </c>
      <c r="C180" s="4">
        <v>2020</v>
      </c>
      <c r="D180" s="78">
        <v>2019</v>
      </c>
      <c r="E180">
        <v>2019</v>
      </c>
      <c r="F180" s="73">
        <v>2020</v>
      </c>
      <c r="G180" s="95">
        <v>43959</v>
      </c>
    </row>
    <row r="181" spans="1:7" x14ac:dyDescent="0.25">
      <c r="A181" s="3">
        <v>542</v>
      </c>
      <c r="B181" s="4" t="s">
        <v>154</v>
      </c>
      <c r="C181" s="4">
        <v>2019</v>
      </c>
      <c r="D181" s="78" t="s">
        <v>2434</v>
      </c>
      <c r="E181">
        <v>2018</v>
      </c>
      <c r="F181" s="73">
        <v>2019</v>
      </c>
      <c r="G181" s="95">
        <v>43584</v>
      </c>
    </row>
    <row r="182" spans="1:7" x14ac:dyDescent="0.25">
      <c r="A182" s="3">
        <v>556</v>
      </c>
      <c r="B182" t="s">
        <v>4263</v>
      </c>
      <c r="C182" s="3">
        <v>2020</v>
      </c>
      <c r="D182" s="78" t="s">
        <v>2422</v>
      </c>
      <c r="E182">
        <v>2019</v>
      </c>
      <c r="F182" s="94">
        <v>2020</v>
      </c>
      <c r="G182" s="96">
        <v>43955</v>
      </c>
    </row>
    <row r="183" spans="1:7" x14ac:dyDescent="0.25">
      <c r="A183" s="3">
        <v>558</v>
      </c>
      <c r="B183" s="4" t="s">
        <v>155</v>
      </c>
      <c r="C183" s="4">
        <v>2020</v>
      </c>
      <c r="D183" s="78">
        <v>2019</v>
      </c>
      <c r="E183">
        <v>2019</v>
      </c>
      <c r="F183" s="73">
        <v>2020</v>
      </c>
      <c r="G183" s="95">
        <v>44082</v>
      </c>
    </row>
    <row r="184" spans="1:7" x14ac:dyDescent="0.25">
      <c r="A184" s="3">
        <v>559</v>
      </c>
      <c r="B184" s="4" t="s">
        <v>156</v>
      </c>
      <c r="C184" s="4">
        <v>2020</v>
      </c>
      <c r="D184" s="78">
        <v>2019</v>
      </c>
      <c r="E184">
        <v>2019</v>
      </c>
      <c r="F184" s="73">
        <v>2020</v>
      </c>
      <c r="G184" s="95">
        <v>43929</v>
      </c>
    </row>
    <row r="185" spans="1:7" x14ac:dyDescent="0.25">
      <c r="A185" s="3">
        <v>563</v>
      </c>
      <c r="B185" s="4" t="s">
        <v>157</v>
      </c>
      <c r="C185" s="4">
        <v>2021</v>
      </c>
      <c r="D185" s="78" t="s">
        <v>4252</v>
      </c>
      <c r="E185">
        <v>2020</v>
      </c>
      <c r="F185" s="73">
        <v>2021</v>
      </c>
      <c r="G185" s="95">
        <v>44216</v>
      </c>
    </row>
    <row r="186" spans="1:7" x14ac:dyDescent="0.25">
      <c r="A186" s="3">
        <v>565</v>
      </c>
      <c r="B186" s="4" t="s">
        <v>158</v>
      </c>
      <c r="C186" s="4">
        <v>2021</v>
      </c>
      <c r="D186" s="78" t="s">
        <v>2420</v>
      </c>
      <c r="E186">
        <v>2020</v>
      </c>
      <c r="F186" s="73">
        <v>2021</v>
      </c>
      <c r="G186" s="95">
        <v>44350</v>
      </c>
    </row>
    <row r="187" spans="1:7" x14ac:dyDescent="0.25">
      <c r="A187" s="3">
        <v>566</v>
      </c>
      <c r="B187" s="4" t="s">
        <v>158</v>
      </c>
      <c r="C187" s="4">
        <v>2020</v>
      </c>
      <c r="D187" s="78" t="s">
        <v>2422</v>
      </c>
      <c r="E187">
        <v>2019</v>
      </c>
      <c r="F187" s="73">
        <v>2020</v>
      </c>
      <c r="G187" s="95">
        <v>43983</v>
      </c>
    </row>
    <row r="188" spans="1:7" x14ac:dyDescent="0.25">
      <c r="A188" s="3">
        <v>569</v>
      </c>
      <c r="B188" s="4" t="s">
        <v>159</v>
      </c>
      <c r="C188" s="4">
        <v>2021</v>
      </c>
      <c r="D188" s="78" t="s">
        <v>2420</v>
      </c>
      <c r="E188">
        <v>2020</v>
      </c>
      <c r="F188" s="73">
        <v>2021</v>
      </c>
      <c r="G188" s="95">
        <v>44354</v>
      </c>
    </row>
    <row r="189" spans="1:7" x14ac:dyDescent="0.25">
      <c r="A189" s="3">
        <v>574</v>
      </c>
      <c r="B189" s="4" t="s">
        <v>160</v>
      </c>
      <c r="C189" s="4">
        <v>2020</v>
      </c>
      <c r="D189" s="78" t="s">
        <v>2422</v>
      </c>
      <c r="E189">
        <v>2019</v>
      </c>
      <c r="F189" s="73">
        <v>2020</v>
      </c>
      <c r="G189" s="95">
        <v>44013</v>
      </c>
    </row>
    <row r="190" spans="1:7" x14ac:dyDescent="0.25">
      <c r="A190" s="3">
        <v>580</v>
      </c>
      <c r="B190" s="4" t="s">
        <v>161</v>
      </c>
      <c r="C190" s="4">
        <v>2021</v>
      </c>
      <c r="D190" s="78" t="s">
        <v>2420</v>
      </c>
      <c r="E190">
        <v>2020</v>
      </c>
      <c r="F190" s="73">
        <v>2021</v>
      </c>
      <c r="G190" s="95">
        <v>44376</v>
      </c>
    </row>
    <row r="191" spans="1:7" x14ac:dyDescent="0.25">
      <c r="A191" s="3">
        <v>582</v>
      </c>
      <c r="B191" s="4" t="s">
        <v>162</v>
      </c>
      <c r="C191" s="4">
        <v>2021</v>
      </c>
      <c r="D191" s="78" t="s">
        <v>2420</v>
      </c>
      <c r="E191">
        <v>2020</v>
      </c>
      <c r="F191" s="73">
        <v>2021</v>
      </c>
      <c r="G191" s="95">
        <v>44370</v>
      </c>
    </row>
    <row r="192" spans="1:7" x14ac:dyDescent="0.25">
      <c r="A192" s="3">
        <v>588</v>
      </c>
      <c r="B192" s="4" t="s">
        <v>163</v>
      </c>
      <c r="C192" s="4">
        <v>2020</v>
      </c>
      <c r="D192" s="78">
        <v>2019</v>
      </c>
      <c r="E192">
        <v>2019</v>
      </c>
      <c r="F192" s="73">
        <v>2020</v>
      </c>
      <c r="G192" s="95">
        <v>44019</v>
      </c>
    </row>
    <row r="193" spans="1:7" x14ac:dyDescent="0.25">
      <c r="A193" s="3">
        <v>590</v>
      </c>
      <c r="B193" s="4" t="s">
        <v>164</v>
      </c>
      <c r="C193" s="4">
        <v>2021</v>
      </c>
      <c r="D193" s="78" t="s">
        <v>2720</v>
      </c>
      <c r="E193">
        <v>2021</v>
      </c>
      <c r="F193" s="73">
        <v>2021</v>
      </c>
      <c r="G193" s="95">
        <v>44372</v>
      </c>
    </row>
    <row r="194" spans="1:7" x14ac:dyDescent="0.25">
      <c r="A194" s="3">
        <v>595</v>
      </c>
      <c r="B194" s="4" t="s">
        <v>165</v>
      </c>
      <c r="C194" s="4">
        <v>2021</v>
      </c>
      <c r="D194" s="78" t="s">
        <v>2420</v>
      </c>
      <c r="E194">
        <v>2020</v>
      </c>
      <c r="F194" s="73">
        <v>2021</v>
      </c>
      <c r="G194" s="95">
        <v>44272</v>
      </c>
    </row>
    <row r="195" spans="1:7" x14ac:dyDescent="0.25">
      <c r="A195" s="3">
        <v>596</v>
      </c>
      <c r="B195" s="4" t="s">
        <v>166</v>
      </c>
      <c r="C195" s="4">
        <v>2020</v>
      </c>
      <c r="D195" s="78">
        <v>2020</v>
      </c>
      <c r="E195">
        <v>2020</v>
      </c>
      <c r="F195" s="73">
        <v>2020</v>
      </c>
      <c r="G195" s="95">
        <v>44056</v>
      </c>
    </row>
    <row r="196" spans="1:7" x14ac:dyDescent="0.25">
      <c r="A196" s="3">
        <v>597</v>
      </c>
      <c r="B196" s="4" t="s">
        <v>167</v>
      </c>
      <c r="C196" s="4">
        <v>2021</v>
      </c>
      <c r="D196" s="78" t="s">
        <v>4253</v>
      </c>
      <c r="E196">
        <v>2020</v>
      </c>
      <c r="F196" s="73">
        <v>2021</v>
      </c>
      <c r="G196" s="95">
        <v>44323</v>
      </c>
    </row>
    <row r="197" spans="1:7" x14ac:dyDescent="0.25">
      <c r="A197" s="3">
        <v>599</v>
      </c>
      <c r="B197" s="4" t="s">
        <v>168</v>
      </c>
      <c r="C197" s="4">
        <v>2021</v>
      </c>
      <c r="D197" s="78">
        <v>2020</v>
      </c>
      <c r="E197">
        <v>2020</v>
      </c>
      <c r="F197" s="73">
        <v>2021</v>
      </c>
      <c r="G197" s="95">
        <v>44300</v>
      </c>
    </row>
    <row r="198" spans="1:7" x14ac:dyDescent="0.25">
      <c r="A198" s="3">
        <v>600</v>
      </c>
      <c r="B198" s="4" t="s">
        <v>169</v>
      </c>
      <c r="C198" s="4">
        <v>2020</v>
      </c>
      <c r="D198" s="78">
        <v>2019</v>
      </c>
      <c r="E198">
        <v>2019</v>
      </c>
      <c r="F198" s="73">
        <v>2020</v>
      </c>
      <c r="G198" s="95">
        <v>44140</v>
      </c>
    </row>
    <row r="199" spans="1:7" x14ac:dyDescent="0.25">
      <c r="A199" s="3">
        <v>601</v>
      </c>
      <c r="B199" s="4" t="s">
        <v>170</v>
      </c>
      <c r="C199" s="4">
        <v>2021</v>
      </c>
      <c r="D199" s="78" t="s">
        <v>2420</v>
      </c>
      <c r="E199">
        <v>2020</v>
      </c>
      <c r="F199" s="73">
        <v>2021</v>
      </c>
      <c r="G199" s="95">
        <v>44369</v>
      </c>
    </row>
    <row r="200" spans="1:7" x14ac:dyDescent="0.25">
      <c r="A200" s="3">
        <v>603</v>
      </c>
      <c r="B200" s="4" t="s">
        <v>171</v>
      </c>
      <c r="C200" s="4">
        <v>2020</v>
      </c>
      <c r="D200" s="78" t="s">
        <v>2422</v>
      </c>
      <c r="E200">
        <v>2019</v>
      </c>
      <c r="F200" s="73">
        <v>2020</v>
      </c>
      <c r="G200" s="95">
        <v>43943</v>
      </c>
    </row>
    <row r="201" spans="1:7" x14ac:dyDescent="0.25">
      <c r="A201" s="3">
        <v>606</v>
      </c>
      <c r="B201" s="4" t="s">
        <v>172</v>
      </c>
      <c r="C201" s="4">
        <v>2021</v>
      </c>
      <c r="D201" s="78" t="s">
        <v>2422</v>
      </c>
      <c r="E201">
        <v>2019</v>
      </c>
      <c r="F201" s="73">
        <v>2021</v>
      </c>
      <c r="G201" s="95">
        <v>44210</v>
      </c>
    </row>
    <row r="202" spans="1:7" x14ac:dyDescent="0.25">
      <c r="A202" s="3">
        <v>607</v>
      </c>
      <c r="B202" s="4" t="s">
        <v>173</v>
      </c>
      <c r="C202" s="4">
        <v>2020</v>
      </c>
      <c r="D202" s="79">
        <v>2019</v>
      </c>
      <c r="E202">
        <v>2019</v>
      </c>
      <c r="F202" s="73">
        <v>2020</v>
      </c>
      <c r="G202" s="95">
        <v>44075</v>
      </c>
    </row>
    <row r="203" spans="1:7" x14ac:dyDescent="0.25">
      <c r="A203" s="3">
        <v>608</v>
      </c>
      <c r="B203" s="4" t="s">
        <v>174</v>
      </c>
      <c r="C203" s="4">
        <v>2021</v>
      </c>
      <c r="D203" s="78" t="s">
        <v>2420</v>
      </c>
      <c r="E203">
        <v>2020</v>
      </c>
      <c r="F203" s="73">
        <v>2021</v>
      </c>
      <c r="G203" s="95">
        <v>44313</v>
      </c>
    </row>
    <row r="204" spans="1:7" x14ac:dyDescent="0.25">
      <c r="A204" s="3">
        <v>609</v>
      </c>
      <c r="B204" s="4" t="s">
        <v>174</v>
      </c>
      <c r="C204" s="4">
        <v>2020</v>
      </c>
      <c r="D204" s="78" t="s">
        <v>2422</v>
      </c>
      <c r="E204">
        <v>2019</v>
      </c>
      <c r="F204" s="73">
        <v>2020</v>
      </c>
      <c r="G204" s="95">
        <v>43948</v>
      </c>
    </row>
    <row r="205" spans="1:7" x14ac:dyDescent="0.25">
      <c r="A205" s="3">
        <v>610</v>
      </c>
      <c r="B205" s="4" t="s">
        <v>175</v>
      </c>
      <c r="C205" s="4">
        <v>2021</v>
      </c>
      <c r="D205" s="79">
        <v>2019</v>
      </c>
      <c r="E205">
        <v>2019</v>
      </c>
      <c r="F205" s="73">
        <v>2021</v>
      </c>
      <c r="G205" s="95">
        <v>44076</v>
      </c>
    </row>
    <row r="206" spans="1:7" x14ac:dyDescent="0.25">
      <c r="A206" s="3">
        <v>616</v>
      </c>
      <c r="B206" s="4" t="s">
        <v>176</v>
      </c>
      <c r="C206" s="4">
        <v>2021</v>
      </c>
      <c r="D206" s="78" t="s">
        <v>2420</v>
      </c>
      <c r="E206">
        <v>2020</v>
      </c>
      <c r="F206" s="73">
        <v>2021</v>
      </c>
      <c r="G206" s="95">
        <v>44376</v>
      </c>
    </row>
    <row r="207" spans="1:7" x14ac:dyDescent="0.25">
      <c r="A207" s="3">
        <v>619</v>
      </c>
      <c r="B207" s="4" t="s">
        <v>177</v>
      </c>
      <c r="C207" s="4">
        <v>2021</v>
      </c>
      <c r="D207" s="78" t="s">
        <v>2420</v>
      </c>
      <c r="E207">
        <v>2020</v>
      </c>
      <c r="F207" s="73">
        <v>2021</v>
      </c>
      <c r="G207" s="95">
        <v>44334</v>
      </c>
    </row>
    <row r="208" spans="1:7" x14ac:dyDescent="0.25">
      <c r="A208" s="3">
        <v>620</v>
      </c>
      <c r="B208" s="4" t="s">
        <v>177</v>
      </c>
      <c r="C208" s="4">
        <v>2020</v>
      </c>
      <c r="D208" s="78" t="s">
        <v>2422</v>
      </c>
      <c r="E208">
        <v>2019</v>
      </c>
      <c r="F208" s="73">
        <v>2020</v>
      </c>
      <c r="G208" s="95">
        <v>44012</v>
      </c>
    </row>
    <row r="209" spans="1:7" x14ac:dyDescent="0.25">
      <c r="A209" s="3">
        <v>621</v>
      </c>
      <c r="B209" s="4" t="s">
        <v>177</v>
      </c>
      <c r="C209" s="4">
        <v>2019</v>
      </c>
      <c r="D209" s="78" t="s">
        <v>2434</v>
      </c>
      <c r="E209">
        <v>2018</v>
      </c>
      <c r="F209" s="73">
        <v>2019</v>
      </c>
      <c r="G209" s="95">
        <v>43600</v>
      </c>
    </row>
    <row r="210" spans="1:7" x14ac:dyDescent="0.25">
      <c r="A210" s="3">
        <v>622</v>
      </c>
      <c r="B210" s="4" t="s">
        <v>178</v>
      </c>
      <c r="C210" s="4">
        <v>2020</v>
      </c>
      <c r="D210" s="78" t="s">
        <v>2420</v>
      </c>
      <c r="E210">
        <v>2020</v>
      </c>
      <c r="F210" s="73">
        <v>2020</v>
      </c>
      <c r="G210" s="95">
        <v>44392</v>
      </c>
    </row>
    <row r="211" spans="1:7" x14ac:dyDescent="0.25">
      <c r="A211" s="3">
        <v>625</v>
      </c>
      <c r="B211" s="4" t="s">
        <v>179</v>
      </c>
      <c r="C211" s="4">
        <v>2021</v>
      </c>
      <c r="D211" s="78" t="s">
        <v>2420</v>
      </c>
      <c r="E211">
        <v>2020</v>
      </c>
      <c r="F211" s="73">
        <v>2021</v>
      </c>
      <c r="G211" s="95">
        <v>44377</v>
      </c>
    </row>
    <row r="212" spans="1:7" x14ac:dyDescent="0.25">
      <c r="A212" s="3">
        <v>626</v>
      </c>
      <c r="B212" s="4" t="s">
        <v>180</v>
      </c>
      <c r="C212" s="4">
        <v>2020</v>
      </c>
      <c r="D212" s="78" t="s">
        <v>2422</v>
      </c>
      <c r="E212">
        <v>2019</v>
      </c>
      <c r="F212" s="73">
        <v>2020</v>
      </c>
      <c r="G212" s="95">
        <v>44167</v>
      </c>
    </row>
    <row r="213" spans="1:7" x14ac:dyDescent="0.25">
      <c r="A213" s="3">
        <v>628</v>
      </c>
      <c r="B213" s="4" t="s">
        <v>181</v>
      </c>
      <c r="C213" s="4">
        <v>2021</v>
      </c>
      <c r="D213" s="78" t="s">
        <v>2420</v>
      </c>
      <c r="E213">
        <v>2020</v>
      </c>
      <c r="F213" s="73">
        <v>2021</v>
      </c>
      <c r="G213" s="95">
        <v>44406</v>
      </c>
    </row>
    <row r="214" spans="1:7" x14ac:dyDescent="0.25">
      <c r="A214" s="3">
        <v>633</v>
      </c>
      <c r="B214" s="4" t="s">
        <v>182</v>
      </c>
      <c r="C214" s="4">
        <v>2021</v>
      </c>
      <c r="D214" s="78" t="s">
        <v>2420</v>
      </c>
      <c r="E214">
        <v>2020</v>
      </c>
      <c r="F214" s="73">
        <v>2021</v>
      </c>
      <c r="G214" s="95">
        <v>44328</v>
      </c>
    </row>
    <row r="215" spans="1:7" x14ac:dyDescent="0.25">
      <c r="A215" s="3">
        <v>634</v>
      </c>
      <c r="B215" s="4" t="s">
        <v>182</v>
      </c>
      <c r="C215" s="4">
        <v>2020</v>
      </c>
      <c r="D215" s="78" t="s">
        <v>2422</v>
      </c>
      <c r="E215">
        <v>2019</v>
      </c>
      <c r="F215" s="73">
        <v>2020</v>
      </c>
      <c r="G215" s="95">
        <v>44083</v>
      </c>
    </row>
    <row r="216" spans="1:7" x14ac:dyDescent="0.25">
      <c r="A216" s="3">
        <v>635</v>
      </c>
      <c r="B216" s="4" t="s">
        <v>183</v>
      </c>
      <c r="C216" s="4">
        <v>2021</v>
      </c>
      <c r="D216" s="78">
        <v>2020</v>
      </c>
      <c r="E216">
        <v>2020</v>
      </c>
      <c r="F216" s="73">
        <v>2021</v>
      </c>
      <c r="G216" s="95">
        <v>44306</v>
      </c>
    </row>
    <row r="217" spans="1:7" x14ac:dyDescent="0.25">
      <c r="A217" s="3">
        <v>636</v>
      </c>
      <c r="B217" s="4" t="s">
        <v>183</v>
      </c>
      <c r="C217" s="4">
        <v>2020</v>
      </c>
      <c r="D217" s="78">
        <v>2019</v>
      </c>
      <c r="E217">
        <v>2019</v>
      </c>
      <c r="F217" s="73">
        <v>2020</v>
      </c>
      <c r="G217" s="95">
        <v>43943</v>
      </c>
    </row>
    <row r="218" spans="1:7" x14ac:dyDescent="0.25">
      <c r="A218" s="3">
        <v>637</v>
      </c>
      <c r="B218" s="4" t="s">
        <v>184</v>
      </c>
      <c r="C218" s="4">
        <v>2021</v>
      </c>
      <c r="D218" s="78" t="s">
        <v>2422</v>
      </c>
      <c r="E218">
        <v>2019</v>
      </c>
      <c r="F218" s="73">
        <v>2021</v>
      </c>
      <c r="G218" s="95">
        <v>43937</v>
      </c>
    </row>
    <row r="219" spans="1:7" x14ac:dyDescent="0.25">
      <c r="A219" s="3">
        <v>638</v>
      </c>
      <c r="B219" s="4" t="s">
        <v>184</v>
      </c>
      <c r="C219" s="4">
        <v>2019</v>
      </c>
      <c r="D219" s="78">
        <v>2018</v>
      </c>
      <c r="E219">
        <v>2018</v>
      </c>
      <c r="F219" s="73">
        <v>2019</v>
      </c>
      <c r="G219" s="95">
        <v>43566</v>
      </c>
    </row>
    <row r="220" spans="1:7" x14ac:dyDescent="0.25">
      <c r="A220" s="3">
        <v>641</v>
      </c>
      <c r="B220" s="4" t="s">
        <v>185</v>
      </c>
      <c r="C220" s="4">
        <v>2020</v>
      </c>
      <c r="D220" s="78" t="s">
        <v>4254</v>
      </c>
      <c r="E220">
        <v>2020</v>
      </c>
      <c r="F220" s="73">
        <v>2020</v>
      </c>
      <c r="G220" s="95">
        <v>44175</v>
      </c>
    </row>
    <row r="221" spans="1:7" x14ac:dyDescent="0.25">
      <c r="A221" s="3">
        <v>643</v>
      </c>
      <c r="B221" s="4" t="s">
        <v>186</v>
      </c>
      <c r="C221" s="4">
        <v>2021</v>
      </c>
      <c r="D221" s="78" t="s">
        <v>2420</v>
      </c>
      <c r="E221">
        <v>2020</v>
      </c>
      <c r="F221" s="73">
        <v>2021</v>
      </c>
      <c r="G221" s="95">
        <v>44372</v>
      </c>
    </row>
    <row r="222" spans="1:7" x14ac:dyDescent="0.25">
      <c r="A222" s="3">
        <v>644</v>
      </c>
      <c r="B222" s="4" t="s">
        <v>186</v>
      </c>
      <c r="C222" s="4">
        <v>2020</v>
      </c>
      <c r="D222" s="78" t="s">
        <v>2422</v>
      </c>
      <c r="E222">
        <v>2019</v>
      </c>
      <c r="F222" s="73">
        <v>2020</v>
      </c>
      <c r="G222" s="95">
        <v>44007</v>
      </c>
    </row>
    <row r="223" spans="1:7" x14ac:dyDescent="0.25">
      <c r="A223" s="3">
        <v>648</v>
      </c>
      <c r="B223" s="4" t="s">
        <v>187</v>
      </c>
      <c r="C223" s="4">
        <v>2021</v>
      </c>
      <c r="D223" s="78">
        <v>2020</v>
      </c>
      <c r="E223">
        <v>2020</v>
      </c>
      <c r="F223" s="73">
        <v>2021</v>
      </c>
      <c r="G223" s="95">
        <v>44376</v>
      </c>
    </row>
    <row r="224" spans="1:7" x14ac:dyDescent="0.25">
      <c r="A224" s="3">
        <v>649</v>
      </c>
      <c r="B224" s="4" t="s">
        <v>187</v>
      </c>
      <c r="C224" s="4">
        <v>2020</v>
      </c>
      <c r="D224" s="78">
        <v>2019</v>
      </c>
      <c r="E224">
        <v>2019</v>
      </c>
      <c r="F224" s="73">
        <v>2020</v>
      </c>
      <c r="G224" s="95">
        <v>44040</v>
      </c>
    </row>
    <row r="225" spans="1:7" x14ac:dyDescent="0.25">
      <c r="A225" s="3">
        <v>652</v>
      </c>
      <c r="B225" s="4" t="s">
        <v>188</v>
      </c>
      <c r="C225" s="4">
        <v>2020</v>
      </c>
      <c r="D225" s="78" t="s">
        <v>4255</v>
      </c>
      <c r="E225">
        <v>2020</v>
      </c>
      <c r="F225" s="73">
        <v>2020</v>
      </c>
      <c r="G225" s="95">
        <v>44020</v>
      </c>
    </row>
    <row r="226" spans="1:7" x14ac:dyDescent="0.25">
      <c r="A226" s="3">
        <v>653</v>
      </c>
      <c r="B226" s="4" t="s">
        <v>188</v>
      </c>
      <c r="C226" s="4">
        <v>2019</v>
      </c>
      <c r="D226" s="78" t="s">
        <v>4256</v>
      </c>
      <c r="E226">
        <v>2019</v>
      </c>
      <c r="F226" s="73">
        <v>2019</v>
      </c>
      <c r="G226" s="95">
        <v>43598</v>
      </c>
    </row>
    <row r="227" spans="1:7" x14ac:dyDescent="0.25">
      <c r="A227" s="3">
        <v>654</v>
      </c>
      <c r="B227" s="4" t="s">
        <v>189</v>
      </c>
      <c r="C227" s="4">
        <v>2021</v>
      </c>
      <c r="D227" s="78" t="s">
        <v>2420</v>
      </c>
      <c r="E227">
        <v>2020</v>
      </c>
      <c r="F227" s="73">
        <v>2021</v>
      </c>
      <c r="G227" s="95">
        <v>44364</v>
      </c>
    </row>
    <row r="228" spans="1:7" x14ac:dyDescent="0.25">
      <c r="A228" s="3">
        <v>655</v>
      </c>
      <c r="B228" s="4" t="s">
        <v>189</v>
      </c>
      <c r="C228" s="4">
        <v>2020</v>
      </c>
      <c r="D228" s="78" t="s">
        <v>2422</v>
      </c>
      <c r="E228">
        <v>2019</v>
      </c>
      <c r="F228" s="73">
        <v>2020</v>
      </c>
      <c r="G228" s="95">
        <v>44034</v>
      </c>
    </row>
    <row r="229" spans="1:7" x14ac:dyDescent="0.25">
      <c r="A229" s="3">
        <v>660</v>
      </c>
      <c r="B229" s="4" t="s">
        <v>190</v>
      </c>
      <c r="C229" s="4">
        <v>2020</v>
      </c>
      <c r="D229" s="78" t="s">
        <v>4257</v>
      </c>
      <c r="E229">
        <v>2019</v>
      </c>
      <c r="F229" s="73">
        <v>2020</v>
      </c>
      <c r="G229" s="95">
        <v>43628</v>
      </c>
    </row>
    <row r="230" spans="1:7" x14ac:dyDescent="0.25">
      <c r="A230" s="3">
        <v>661</v>
      </c>
      <c r="B230" s="4" t="s">
        <v>191</v>
      </c>
      <c r="C230" s="4">
        <v>2020</v>
      </c>
      <c r="D230" s="78" t="s">
        <v>4257</v>
      </c>
      <c r="E230">
        <v>2019</v>
      </c>
      <c r="F230" s="73">
        <v>2020</v>
      </c>
      <c r="G230" s="95">
        <v>44069</v>
      </c>
    </row>
    <row r="231" spans="1:7" x14ac:dyDescent="0.25">
      <c r="A231" s="3">
        <v>667</v>
      </c>
      <c r="B231" s="4" t="s">
        <v>192</v>
      </c>
      <c r="C231" s="4">
        <v>2021</v>
      </c>
      <c r="D231" s="78" t="s">
        <v>2420</v>
      </c>
      <c r="E231">
        <v>2020</v>
      </c>
      <c r="F231" s="73">
        <v>2021</v>
      </c>
      <c r="G231" s="95">
        <v>44354</v>
      </c>
    </row>
    <row r="232" spans="1:7" x14ac:dyDescent="0.25">
      <c r="A232" s="3">
        <v>668</v>
      </c>
      <c r="B232" s="4" t="s">
        <v>192</v>
      </c>
      <c r="C232" s="4">
        <v>2020</v>
      </c>
      <c r="D232" s="78" t="s">
        <v>2422</v>
      </c>
      <c r="E232">
        <v>2019</v>
      </c>
      <c r="F232" s="73">
        <v>2020</v>
      </c>
      <c r="G232" s="95">
        <v>43993</v>
      </c>
    </row>
    <row r="233" spans="1:7" x14ac:dyDescent="0.25">
      <c r="A233" s="3">
        <v>671</v>
      </c>
      <c r="B233" s="4" t="s">
        <v>193</v>
      </c>
      <c r="C233" s="4">
        <v>2019</v>
      </c>
      <c r="D233" s="78" t="s">
        <v>2434</v>
      </c>
      <c r="E233">
        <v>2018</v>
      </c>
      <c r="F233" s="73">
        <v>2019</v>
      </c>
      <c r="G233" s="95">
        <v>43790</v>
      </c>
    </row>
    <row r="234" spans="1:7" x14ac:dyDescent="0.25">
      <c r="A234" s="3">
        <v>675</v>
      </c>
      <c r="B234" s="4" t="s">
        <v>194</v>
      </c>
      <c r="C234" s="4">
        <v>2021</v>
      </c>
      <c r="D234" s="78" t="s">
        <v>2422</v>
      </c>
      <c r="E234">
        <v>2019</v>
      </c>
      <c r="F234" s="73">
        <v>2021</v>
      </c>
      <c r="G234" s="95">
        <v>44200</v>
      </c>
    </row>
    <row r="235" spans="1:7" x14ac:dyDescent="0.25">
      <c r="A235" s="3">
        <v>676</v>
      </c>
      <c r="B235" s="4" t="s">
        <v>195</v>
      </c>
      <c r="C235" s="4">
        <v>2021</v>
      </c>
      <c r="D235" s="78">
        <v>2020</v>
      </c>
      <c r="E235">
        <v>2020</v>
      </c>
      <c r="F235" s="73">
        <v>2021</v>
      </c>
      <c r="G235" s="95">
        <v>44218</v>
      </c>
    </row>
    <row r="236" spans="1:7" x14ac:dyDescent="0.25">
      <c r="A236" s="3">
        <v>677</v>
      </c>
      <c r="B236" s="4" t="s">
        <v>196</v>
      </c>
      <c r="C236" s="4">
        <v>2021</v>
      </c>
      <c r="D236" s="78" t="s">
        <v>2420</v>
      </c>
      <c r="E236">
        <v>2020</v>
      </c>
      <c r="F236" s="73">
        <v>2021</v>
      </c>
      <c r="G236" s="95">
        <v>44273</v>
      </c>
    </row>
    <row r="237" spans="1:7" x14ac:dyDescent="0.25">
      <c r="A237" s="3">
        <v>679</v>
      </c>
      <c r="B237" s="4" t="s">
        <v>197</v>
      </c>
      <c r="C237" s="4">
        <v>2020</v>
      </c>
      <c r="D237" s="78">
        <v>2019</v>
      </c>
      <c r="E237">
        <v>2019</v>
      </c>
      <c r="F237" s="73">
        <v>2020</v>
      </c>
      <c r="G237" s="95">
        <v>43977</v>
      </c>
    </row>
    <row r="238" spans="1:7" x14ac:dyDescent="0.25">
      <c r="A238" s="3">
        <v>681</v>
      </c>
      <c r="B238" s="4" t="s">
        <v>198</v>
      </c>
      <c r="C238" s="4">
        <v>2021</v>
      </c>
      <c r="D238" s="78" t="s">
        <v>2420</v>
      </c>
      <c r="E238">
        <v>2020</v>
      </c>
      <c r="F238" s="73">
        <v>2021</v>
      </c>
      <c r="G238" s="95">
        <v>44256</v>
      </c>
    </row>
    <row r="239" spans="1:7" x14ac:dyDescent="0.25">
      <c r="A239" s="3">
        <v>682</v>
      </c>
      <c r="B239" s="4" t="s">
        <v>199</v>
      </c>
      <c r="C239" s="4">
        <v>2021</v>
      </c>
      <c r="D239" s="78" t="s">
        <v>2420</v>
      </c>
      <c r="E239">
        <v>2020</v>
      </c>
      <c r="F239" s="73">
        <v>2021</v>
      </c>
      <c r="G239" s="95">
        <v>44343</v>
      </c>
    </row>
    <row r="240" spans="1:7" x14ac:dyDescent="0.25">
      <c r="A240" s="3">
        <v>684</v>
      </c>
      <c r="B240" s="4" t="s">
        <v>200</v>
      </c>
      <c r="C240" s="4">
        <v>2021</v>
      </c>
      <c r="D240" s="78" t="s">
        <v>2413</v>
      </c>
      <c r="E240">
        <v>2021</v>
      </c>
      <c r="F240" s="73">
        <v>2021</v>
      </c>
      <c r="G240" s="95">
        <v>44306</v>
      </c>
    </row>
    <row r="241" spans="1:7" x14ac:dyDescent="0.25">
      <c r="A241" s="3">
        <v>693</v>
      </c>
      <c r="B241" s="4" t="s">
        <v>201</v>
      </c>
      <c r="C241" s="4">
        <v>2019</v>
      </c>
      <c r="D241" s="78" t="s">
        <v>4257</v>
      </c>
      <c r="E241">
        <v>2019</v>
      </c>
      <c r="F241" s="73">
        <v>2019</v>
      </c>
      <c r="G241" s="95">
        <v>43816</v>
      </c>
    </row>
    <row r="242" spans="1:7" x14ac:dyDescent="0.25">
      <c r="A242" s="3">
        <v>694</v>
      </c>
      <c r="B242" s="4" t="s">
        <v>202</v>
      </c>
      <c r="C242" s="4">
        <v>2020</v>
      </c>
      <c r="D242" s="78" t="s">
        <v>2420</v>
      </c>
      <c r="E242">
        <v>2020</v>
      </c>
      <c r="F242" s="73">
        <v>2020</v>
      </c>
      <c r="G242" s="95">
        <v>44091</v>
      </c>
    </row>
    <row r="243" spans="1:7" x14ac:dyDescent="0.25">
      <c r="A243" s="3">
        <v>698</v>
      </c>
      <c r="B243" s="4" t="s">
        <v>203</v>
      </c>
      <c r="C243" s="4">
        <v>2021</v>
      </c>
      <c r="D243" s="78" t="s">
        <v>2422</v>
      </c>
      <c r="E243">
        <v>2019</v>
      </c>
      <c r="F243" s="73">
        <v>2021</v>
      </c>
      <c r="G243" s="95">
        <v>44314</v>
      </c>
    </row>
    <row r="244" spans="1:7" x14ac:dyDescent="0.25">
      <c r="A244" s="3">
        <v>699</v>
      </c>
      <c r="B244" s="4" t="s">
        <v>203</v>
      </c>
      <c r="C244" s="4">
        <v>2020</v>
      </c>
      <c r="D244" s="78" t="s">
        <v>2434</v>
      </c>
      <c r="E244">
        <v>2018</v>
      </c>
      <c r="F244" s="73">
        <v>2020</v>
      </c>
      <c r="G244" s="95">
        <v>43971</v>
      </c>
    </row>
    <row r="245" spans="1:7" x14ac:dyDescent="0.25">
      <c r="A245" s="3">
        <v>703</v>
      </c>
      <c r="B245" s="4" t="s">
        <v>204</v>
      </c>
      <c r="C245" s="4">
        <v>2021</v>
      </c>
      <c r="D245" s="78" t="s">
        <v>2420</v>
      </c>
      <c r="E245">
        <v>2020</v>
      </c>
      <c r="F245" s="73">
        <v>2021</v>
      </c>
      <c r="G245" s="95">
        <v>44356</v>
      </c>
    </row>
    <row r="246" spans="1:7" x14ac:dyDescent="0.25">
      <c r="A246" s="3">
        <v>706</v>
      </c>
      <c r="B246" s="4" t="s">
        <v>205</v>
      </c>
      <c r="C246" s="4">
        <v>2021</v>
      </c>
      <c r="D246" s="78" t="s">
        <v>2420</v>
      </c>
      <c r="E246">
        <v>2020</v>
      </c>
      <c r="F246" s="73">
        <v>2021</v>
      </c>
      <c r="G246" s="95">
        <v>44377</v>
      </c>
    </row>
    <row r="247" spans="1:7" x14ac:dyDescent="0.25">
      <c r="A247" s="3">
        <v>707</v>
      </c>
      <c r="B247" s="4" t="s">
        <v>205</v>
      </c>
      <c r="C247" s="4">
        <v>2020</v>
      </c>
      <c r="D247" s="78" t="s">
        <v>2422</v>
      </c>
      <c r="E247">
        <v>2019</v>
      </c>
      <c r="F247" s="73">
        <v>2020</v>
      </c>
      <c r="G247" s="95">
        <v>44012</v>
      </c>
    </row>
    <row r="248" spans="1:7" x14ac:dyDescent="0.25">
      <c r="A248" s="3">
        <v>710</v>
      </c>
      <c r="B248" s="4" t="s">
        <v>206</v>
      </c>
      <c r="C248" s="4">
        <v>2020</v>
      </c>
      <c r="D248" s="78" t="s">
        <v>2420</v>
      </c>
      <c r="E248">
        <v>2020</v>
      </c>
      <c r="F248" s="73">
        <v>2020</v>
      </c>
      <c r="G248" s="95">
        <v>44299</v>
      </c>
    </row>
    <row r="249" spans="1:7" x14ac:dyDescent="0.25">
      <c r="A249" s="3">
        <v>712</v>
      </c>
      <c r="B249" s="4" t="s">
        <v>207</v>
      </c>
      <c r="C249" s="4">
        <v>2021</v>
      </c>
      <c r="D249" s="78" t="s">
        <v>2420</v>
      </c>
      <c r="E249">
        <v>2020</v>
      </c>
      <c r="F249" s="73">
        <v>2021</v>
      </c>
      <c r="G249" s="95">
        <v>44333</v>
      </c>
    </row>
    <row r="250" spans="1:7" x14ac:dyDescent="0.25">
      <c r="A250" s="3">
        <v>715</v>
      </c>
      <c r="B250" s="4" t="s">
        <v>208</v>
      </c>
      <c r="C250" s="4">
        <v>2019</v>
      </c>
      <c r="D250" s="78">
        <v>2018</v>
      </c>
      <c r="E250">
        <v>2018</v>
      </c>
      <c r="F250" s="73">
        <v>2019</v>
      </c>
      <c r="G250" s="95">
        <v>43602</v>
      </c>
    </row>
    <row r="251" spans="1:7" x14ac:dyDescent="0.25">
      <c r="A251" s="3">
        <v>716</v>
      </c>
      <c r="B251" s="4" t="s">
        <v>209</v>
      </c>
      <c r="C251" s="4">
        <v>2021</v>
      </c>
      <c r="D251" s="78" t="s">
        <v>2420</v>
      </c>
      <c r="E251">
        <v>2020</v>
      </c>
      <c r="F251" s="73">
        <v>2021</v>
      </c>
      <c r="G251" s="95">
        <v>44322</v>
      </c>
    </row>
    <row r="252" spans="1:7" x14ac:dyDescent="0.25">
      <c r="A252" s="3">
        <v>722</v>
      </c>
      <c r="B252" s="4" t="s">
        <v>210</v>
      </c>
      <c r="C252" s="4">
        <v>2021</v>
      </c>
      <c r="D252" s="78" t="s">
        <v>2420</v>
      </c>
      <c r="E252">
        <v>2020</v>
      </c>
      <c r="F252" s="73">
        <v>2021</v>
      </c>
      <c r="G252" s="95">
        <v>44314</v>
      </c>
    </row>
    <row r="253" spans="1:7" x14ac:dyDescent="0.25">
      <c r="A253" s="3">
        <v>732</v>
      </c>
      <c r="B253" s="4" t="s">
        <v>211</v>
      </c>
      <c r="C253" s="4">
        <v>2021</v>
      </c>
      <c r="D253" s="78">
        <v>2020</v>
      </c>
      <c r="E253">
        <v>2020</v>
      </c>
      <c r="F253" s="73">
        <v>2021</v>
      </c>
      <c r="G253" s="95">
        <v>44298</v>
      </c>
    </row>
    <row r="254" spans="1:7" x14ac:dyDescent="0.25">
      <c r="A254" s="3">
        <v>733</v>
      </c>
      <c r="B254" s="4" t="s">
        <v>212</v>
      </c>
      <c r="C254" s="4">
        <v>2021</v>
      </c>
      <c r="D254" s="78">
        <v>2020</v>
      </c>
      <c r="E254">
        <v>2020</v>
      </c>
      <c r="F254" s="73">
        <v>2021</v>
      </c>
      <c r="G254" s="95">
        <v>44308</v>
      </c>
    </row>
    <row r="255" spans="1:7" x14ac:dyDescent="0.25">
      <c r="A255" s="64">
        <v>735</v>
      </c>
      <c r="B255" s="84" t="s">
        <v>3340</v>
      </c>
      <c r="C255" s="64">
        <v>2020</v>
      </c>
      <c r="D255" s="79" t="s">
        <v>4264</v>
      </c>
      <c r="E255">
        <v>2020</v>
      </c>
      <c r="F255" s="94">
        <v>2020</v>
      </c>
      <c r="G255" s="96">
        <v>44077</v>
      </c>
    </row>
    <row r="256" spans="1:7" x14ac:dyDescent="0.25">
      <c r="A256" s="3">
        <v>736</v>
      </c>
      <c r="B256" s="4" t="s">
        <v>213</v>
      </c>
      <c r="C256" s="4">
        <v>2021</v>
      </c>
      <c r="D256" s="78" t="s">
        <v>2420</v>
      </c>
      <c r="E256">
        <v>2020</v>
      </c>
      <c r="F256" s="73">
        <v>2021</v>
      </c>
      <c r="G256" s="95">
        <v>44316</v>
      </c>
    </row>
    <row r="257" spans="1:7" x14ac:dyDescent="0.25">
      <c r="A257" s="3">
        <v>739</v>
      </c>
      <c r="B257" s="4" t="s">
        <v>214</v>
      </c>
      <c r="C257" s="4">
        <v>2021</v>
      </c>
      <c r="D257" s="78" t="s">
        <v>2420</v>
      </c>
      <c r="E257">
        <v>2020</v>
      </c>
      <c r="F257" s="73">
        <v>2021</v>
      </c>
      <c r="G257" s="95">
        <v>44385</v>
      </c>
    </row>
    <row r="258" spans="1:7" x14ac:dyDescent="0.25">
      <c r="A258" s="3">
        <v>741</v>
      </c>
      <c r="B258" s="4" t="s">
        <v>215</v>
      </c>
      <c r="C258" s="4">
        <v>2021</v>
      </c>
      <c r="D258" s="78" t="s">
        <v>4258</v>
      </c>
      <c r="E258">
        <v>2020</v>
      </c>
      <c r="F258" s="73">
        <v>2021</v>
      </c>
      <c r="G258" s="95">
        <v>44358</v>
      </c>
    </row>
    <row r="259" spans="1:7" x14ac:dyDescent="0.25">
      <c r="A259" s="3">
        <v>742</v>
      </c>
      <c r="B259" s="4" t="s">
        <v>216</v>
      </c>
      <c r="C259" s="4">
        <v>2020</v>
      </c>
      <c r="D259" s="78" t="s">
        <v>2420</v>
      </c>
      <c r="E259">
        <v>2020</v>
      </c>
      <c r="F259" s="73">
        <v>2020</v>
      </c>
      <c r="G259" s="95">
        <v>44090</v>
      </c>
    </row>
    <row r="260" spans="1:7" x14ac:dyDescent="0.25">
      <c r="A260" s="3">
        <v>744</v>
      </c>
      <c r="B260" s="4" t="s">
        <v>217</v>
      </c>
      <c r="C260" s="4">
        <v>2020</v>
      </c>
      <c r="D260" s="78" t="s">
        <v>2411</v>
      </c>
      <c r="E260">
        <v>2020</v>
      </c>
      <c r="F260" s="73">
        <v>2020</v>
      </c>
      <c r="G260" s="95">
        <v>44103</v>
      </c>
    </row>
    <row r="261" spans="1:7" x14ac:dyDescent="0.25">
      <c r="A261" s="3">
        <v>745</v>
      </c>
      <c r="B261" s="4" t="s">
        <v>217</v>
      </c>
      <c r="C261" s="4">
        <v>2019</v>
      </c>
      <c r="D261" s="78" t="s">
        <v>2415</v>
      </c>
      <c r="E261">
        <v>2019</v>
      </c>
      <c r="F261" s="73">
        <v>2019</v>
      </c>
      <c r="G261" s="95">
        <v>43727</v>
      </c>
    </row>
    <row r="262" spans="1:7" x14ac:dyDescent="0.25">
      <c r="A262" s="3">
        <v>746</v>
      </c>
      <c r="B262" s="4" t="s">
        <v>218</v>
      </c>
      <c r="C262" s="4">
        <v>2021</v>
      </c>
      <c r="D262" s="78" t="s">
        <v>2420</v>
      </c>
      <c r="E262">
        <v>2020</v>
      </c>
      <c r="F262" s="73">
        <v>2021</v>
      </c>
      <c r="G262" s="95">
        <v>44305</v>
      </c>
    </row>
    <row r="263" spans="1:7" x14ac:dyDescent="0.25">
      <c r="A263" s="3">
        <v>748</v>
      </c>
      <c r="B263" s="4" t="s">
        <v>218</v>
      </c>
      <c r="C263" s="4">
        <v>2019</v>
      </c>
      <c r="D263" s="78" t="s">
        <v>2434</v>
      </c>
      <c r="E263">
        <v>2018</v>
      </c>
      <c r="F263" s="73">
        <v>2019</v>
      </c>
      <c r="G263" s="95">
        <v>43577</v>
      </c>
    </row>
    <row r="264" spans="1:7" x14ac:dyDescent="0.25">
      <c r="A264" s="3">
        <v>750</v>
      </c>
      <c r="B264" s="4" t="s">
        <v>219</v>
      </c>
      <c r="C264" s="4">
        <v>2021</v>
      </c>
      <c r="D264" s="78">
        <v>2020</v>
      </c>
      <c r="E264">
        <v>2020</v>
      </c>
      <c r="F264" s="73">
        <v>2021</v>
      </c>
      <c r="G264" s="95">
        <v>44210</v>
      </c>
    </row>
    <row r="265" spans="1:7" x14ac:dyDescent="0.25">
      <c r="A265" s="3">
        <v>752</v>
      </c>
      <c r="B265" s="4" t="s">
        <v>220</v>
      </c>
      <c r="C265" s="4">
        <v>2021</v>
      </c>
      <c r="D265" s="78" t="s">
        <v>2420</v>
      </c>
      <c r="E265">
        <v>2020</v>
      </c>
      <c r="F265" s="73">
        <v>2021</v>
      </c>
      <c r="G265" s="95">
        <v>44312</v>
      </c>
    </row>
    <row r="266" spans="1:7" x14ac:dyDescent="0.25">
      <c r="A266" s="3">
        <v>753</v>
      </c>
      <c r="B266" s="4" t="s">
        <v>221</v>
      </c>
      <c r="C266" s="4">
        <v>2021</v>
      </c>
      <c r="D266" s="78" t="s">
        <v>2817</v>
      </c>
      <c r="E266">
        <v>2020</v>
      </c>
      <c r="F266" s="73">
        <v>2021</v>
      </c>
      <c r="G266" s="95">
        <v>44305</v>
      </c>
    </row>
    <row r="267" spans="1:7" x14ac:dyDescent="0.25">
      <c r="A267" s="3">
        <v>754</v>
      </c>
      <c r="B267" s="4" t="s">
        <v>222</v>
      </c>
      <c r="C267" s="4">
        <v>2020</v>
      </c>
      <c r="D267" s="78" t="s">
        <v>2422</v>
      </c>
      <c r="E267">
        <v>2019</v>
      </c>
      <c r="F267" s="73">
        <v>2020</v>
      </c>
      <c r="G267" s="95">
        <v>43913</v>
      </c>
    </row>
    <row r="268" spans="1:7" x14ac:dyDescent="0.25">
      <c r="A268" s="3">
        <v>756</v>
      </c>
      <c r="B268" s="4" t="s">
        <v>223</v>
      </c>
      <c r="C268" s="4">
        <v>2020</v>
      </c>
      <c r="D268" s="78" t="s">
        <v>2422</v>
      </c>
      <c r="E268">
        <v>2019</v>
      </c>
      <c r="F268" s="73">
        <v>2020</v>
      </c>
      <c r="G268" s="95">
        <v>44007</v>
      </c>
    </row>
    <row r="269" spans="1:7" x14ac:dyDescent="0.25">
      <c r="A269" s="3">
        <v>760</v>
      </c>
      <c r="B269" s="4" t="s">
        <v>224</v>
      </c>
      <c r="C269" s="4">
        <v>2021</v>
      </c>
      <c r="D269" s="78" t="s">
        <v>2420</v>
      </c>
      <c r="E269">
        <v>2020</v>
      </c>
      <c r="F269" s="73">
        <v>2021</v>
      </c>
      <c r="G269" s="95">
        <v>44363</v>
      </c>
    </row>
    <row r="270" spans="1:7" x14ac:dyDescent="0.25">
      <c r="A270" s="3">
        <v>761</v>
      </c>
      <c r="B270" s="4" t="s">
        <v>224</v>
      </c>
      <c r="C270" s="4">
        <v>2020</v>
      </c>
      <c r="D270" s="78" t="s">
        <v>2422</v>
      </c>
      <c r="E270">
        <v>2019</v>
      </c>
      <c r="F270" s="73">
        <v>2020</v>
      </c>
      <c r="G270" s="95">
        <v>44005</v>
      </c>
    </row>
    <row r="271" spans="1:7" x14ac:dyDescent="0.25">
      <c r="A271" s="3">
        <v>763</v>
      </c>
      <c r="B271" s="4" t="s">
        <v>225</v>
      </c>
      <c r="C271" s="4">
        <v>2021</v>
      </c>
      <c r="D271" s="78">
        <v>2019</v>
      </c>
      <c r="E271">
        <v>2019</v>
      </c>
      <c r="F271" s="73">
        <v>2021</v>
      </c>
      <c r="G271" s="95">
        <v>44180</v>
      </c>
    </row>
    <row r="272" spans="1:7" x14ac:dyDescent="0.25">
      <c r="A272" s="3">
        <v>765</v>
      </c>
      <c r="B272" s="4" t="s">
        <v>226</v>
      </c>
      <c r="C272" s="4">
        <v>2021</v>
      </c>
      <c r="D272" s="78" t="s">
        <v>2420</v>
      </c>
      <c r="E272">
        <v>2020</v>
      </c>
      <c r="F272" s="73">
        <v>2021</v>
      </c>
      <c r="G272" s="95">
        <v>44287</v>
      </c>
    </row>
    <row r="273" spans="1:7" x14ac:dyDescent="0.25">
      <c r="A273" s="3">
        <v>766</v>
      </c>
      <c r="B273" s="4" t="s">
        <v>227</v>
      </c>
      <c r="C273" s="4">
        <v>2021</v>
      </c>
      <c r="D273" s="78" t="s">
        <v>2420</v>
      </c>
      <c r="E273">
        <v>2020</v>
      </c>
      <c r="F273" s="73">
        <v>2021</v>
      </c>
      <c r="G273" s="95">
        <v>44390</v>
      </c>
    </row>
    <row r="274" spans="1:7" x14ac:dyDescent="0.25">
      <c r="A274" s="3">
        <v>767</v>
      </c>
      <c r="B274" s="85" t="s">
        <v>228</v>
      </c>
      <c r="C274" s="4">
        <v>2021</v>
      </c>
      <c r="D274" s="78" t="s">
        <v>4281</v>
      </c>
      <c r="E274">
        <v>2021</v>
      </c>
      <c r="F274" s="73">
        <v>2021</v>
      </c>
      <c r="G274" s="95">
        <v>44406</v>
      </c>
    </row>
    <row r="275" spans="1:7" x14ac:dyDescent="0.25">
      <c r="A275" s="3">
        <v>768</v>
      </c>
      <c r="B275" s="4" t="s">
        <v>229</v>
      </c>
      <c r="C275" s="4">
        <v>2021</v>
      </c>
      <c r="D275" s="78" t="s">
        <v>2422</v>
      </c>
      <c r="E275">
        <v>2019</v>
      </c>
      <c r="F275" s="73">
        <v>2021</v>
      </c>
      <c r="G275" s="95">
        <v>44187</v>
      </c>
    </row>
    <row r="276" spans="1:7" x14ac:dyDescent="0.25">
      <c r="A276" s="3">
        <v>769</v>
      </c>
      <c r="B276" s="4" t="s">
        <v>230</v>
      </c>
      <c r="C276" s="4">
        <v>2021</v>
      </c>
      <c r="D276" s="78">
        <v>2020</v>
      </c>
      <c r="E276">
        <v>2020</v>
      </c>
      <c r="F276" s="73">
        <v>2021</v>
      </c>
      <c r="G276" s="95">
        <v>44293</v>
      </c>
    </row>
    <row r="277" spans="1:7" x14ac:dyDescent="0.25">
      <c r="A277" s="3">
        <v>772</v>
      </c>
      <c r="B277" s="4" t="s">
        <v>231</v>
      </c>
      <c r="C277" s="4">
        <v>2020</v>
      </c>
      <c r="D277" s="78">
        <v>2019</v>
      </c>
      <c r="E277">
        <v>2019</v>
      </c>
      <c r="F277" s="73">
        <v>2020</v>
      </c>
      <c r="G277" s="95">
        <v>44123</v>
      </c>
    </row>
    <row r="278" spans="1:7" x14ac:dyDescent="0.25">
      <c r="A278" s="3">
        <v>777</v>
      </c>
      <c r="B278" s="4" t="s">
        <v>232</v>
      </c>
      <c r="C278" s="4">
        <v>2020</v>
      </c>
      <c r="D278" s="78" t="s">
        <v>2416</v>
      </c>
      <c r="E278">
        <v>2020</v>
      </c>
      <c r="F278" s="73">
        <v>2020</v>
      </c>
      <c r="G278" s="95">
        <v>44207</v>
      </c>
    </row>
    <row r="279" spans="1:7" x14ac:dyDescent="0.25">
      <c r="A279" s="3">
        <v>779</v>
      </c>
      <c r="B279" s="4" t="s">
        <v>233</v>
      </c>
      <c r="C279" s="4">
        <v>2019</v>
      </c>
      <c r="D279" s="78" t="s">
        <v>2434</v>
      </c>
      <c r="E279">
        <v>2018</v>
      </c>
      <c r="F279" s="73">
        <v>2019</v>
      </c>
      <c r="G279" s="95">
        <v>43775</v>
      </c>
    </row>
    <row r="280" spans="1:7" x14ac:dyDescent="0.25">
      <c r="A280" s="3">
        <v>780</v>
      </c>
      <c r="B280" s="4" t="s">
        <v>234</v>
      </c>
      <c r="C280" s="4">
        <v>2020</v>
      </c>
      <c r="D280" s="78" t="s">
        <v>2422</v>
      </c>
      <c r="E280">
        <v>2019</v>
      </c>
      <c r="F280" s="73">
        <v>2020</v>
      </c>
      <c r="G280" s="95">
        <v>44159</v>
      </c>
    </row>
    <row r="281" spans="1:7" x14ac:dyDescent="0.25">
      <c r="A281" s="3">
        <v>786</v>
      </c>
      <c r="B281" s="4" t="s">
        <v>235</v>
      </c>
      <c r="C281" s="4">
        <v>2021</v>
      </c>
      <c r="D281" s="78" t="s">
        <v>4259</v>
      </c>
      <c r="E281">
        <v>2020</v>
      </c>
      <c r="F281" s="73">
        <v>2021</v>
      </c>
      <c r="G281" s="95">
        <v>44375</v>
      </c>
    </row>
    <row r="282" spans="1:7" x14ac:dyDescent="0.25">
      <c r="A282" s="3">
        <v>787</v>
      </c>
      <c r="B282" s="4" t="s">
        <v>236</v>
      </c>
      <c r="C282" s="4">
        <v>2020</v>
      </c>
      <c r="D282" s="78" t="s">
        <v>4260</v>
      </c>
      <c r="E282">
        <v>2020</v>
      </c>
      <c r="F282" s="73">
        <v>2020</v>
      </c>
      <c r="G282" s="95">
        <v>44166</v>
      </c>
    </row>
    <row r="283" spans="1:7" x14ac:dyDescent="0.25">
      <c r="A283" s="3">
        <v>797</v>
      </c>
      <c r="B283" s="4" t="s">
        <v>237</v>
      </c>
      <c r="C283" s="4">
        <v>2020</v>
      </c>
      <c r="D283" s="78" t="s">
        <v>2422</v>
      </c>
      <c r="E283">
        <v>2019</v>
      </c>
      <c r="F283" s="73">
        <v>2020</v>
      </c>
      <c r="G283" s="95">
        <v>44167</v>
      </c>
    </row>
    <row r="284" spans="1:7" x14ac:dyDescent="0.25">
      <c r="A284" s="3">
        <v>800</v>
      </c>
      <c r="B284" s="4" t="s">
        <v>238</v>
      </c>
      <c r="C284" s="4">
        <v>2020</v>
      </c>
      <c r="D284" s="78" t="s">
        <v>2417</v>
      </c>
      <c r="E284">
        <v>2019</v>
      </c>
      <c r="F284" s="73">
        <v>2020</v>
      </c>
      <c r="G284" s="95">
        <v>44075</v>
      </c>
    </row>
    <row r="285" spans="1:7" x14ac:dyDescent="0.25">
      <c r="A285" s="3">
        <v>802</v>
      </c>
      <c r="B285" s="4" t="s">
        <v>239</v>
      </c>
      <c r="C285" s="4">
        <v>2021</v>
      </c>
      <c r="D285" s="78" t="s">
        <v>2420</v>
      </c>
      <c r="E285">
        <v>2020</v>
      </c>
      <c r="F285" s="73">
        <v>2021</v>
      </c>
      <c r="G285" s="95">
        <v>44328</v>
      </c>
    </row>
    <row r="286" spans="1:7" x14ac:dyDescent="0.25">
      <c r="A286" s="3">
        <v>803</v>
      </c>
      <c r="B286" s="4" t="s">
        <v>239</v>
      </c>
      <c r="C286" s="4">
        <v>2020</v>
      </c>
      <c r="D286" s="78" t="s">
        <v>2422</v>
      </c>
      <c r="E286">
        <v>2019</v>
      </c>
      <c r="F286" s="73">
        <v>2020</v>
      </c>
      <c r="G286" s="95">
        <v>43987</v>
      </c>
    </row>
    <row r="287" spans="1:7" x14ac:dyDescent="0.25">
      <c r="A287" s="3">
        <v>804</v>
      </c>
      <c r="B287" s="4" t="s">
        <v>240</v>
      </c>
      <c r="C287" s="4">
        <v>2020</v>
      </c>
      <c r="D287" s="78" t="s">
        <v>4272</v>
      </c>
      <c r="E287">
        <v>2019</v>
      </c>
      <c r="F287" s="73">
        <v>2020</v>
      </c>
      <c r="G287" s="95">
        <v>44102</v>
      </c>
    </row>
    <row r="288" spans="1:7" x14ac:dyDescent="0.25">
      <c r="A288" s="3">
        <v>805</v>
      </c>
      <c r="B288" s="4" t="s">
        <v>241</v>
      </c>
      <c r="C288" s="4">
        <v>2021</v>
      </c>
      <c r="D288" s="78" t="s">
        <v>2420</v>
      </c>
      <c r="E288">
        <v>2020</v>
      </c>
      <c r="F288" s="73">
        <v>2021</v>
      </c>
      <c r="G288" s="95">
        <v>44298</v>
      </c>
    </row>
    <row r="289" spans="1:7" x14ac:dyDescent="0.25">
      <c r="A289" s="3">
        <v>806</v>
      </c>
      <c r="B289" s="4" t="s">
        <v>241</v>
      </c>
      <c r="C289" s="4">
        <v>2020</v>
      </c>
      <c r="D289" s="78" t="s">
        <v>2422</v>
      </c>
      <c r="E289">
        <v>2019</v>
      </c>
      <c r="F289" s="73">
        <v>2020</v>
      </c>
      <c r="G289" s="95">
        <v>43927</v>
      </c>
    </row>
    <row r="290" spans="1:7" x14ac:dyDescent="0.25">
      <c r="A290" s="3">
        <v>808</v>
      </c>
      <c r="B290" s="4" t="s">
        <v>241</v>
      </c>
      <c r="C290" s="4">
        <v>2019</v>
      </c>
      <c r="D290" s="78" t="s">
        <v>2434</v>
      </c>
      <c r="E290">
        <v>2018</v>
      </c>
      <c r="F290" s="73">
        <v>2019</v>
      </c>
      <c r="G290" s="95">
        <v>43563</v>
      </c>
    </row>
    <row r="291" spans="1:7" x14ac:dyDescent="0.25">
      <c r="A291" s="3">
        <v>809</v>
      </c>
      <c r="B291" s="4" t="s">
        <v>242</v>
      </c>
      <c r="C291" s="4">
        <v>2021</v>
      </c>
      <c r="D291" s="78" t="s">
        <v>4259</v>
      </c>
      <c r="E291">
        <v>2020</v>
      </c>
      <c r="F291" s="73">
        <v>2021</v>
      </c>
      <c r="G291" s="95">
        <v>44280</v>
      </c>
    </row>
    <row r="292" spans="1:7" x14ac:dyDescent="0.25">
      <c r="A292" s="3">
        <v>814</v>
      </c>
      <c r="B292" s="4" t="s">
        <v>243</v>
      </c>
      <c r="C292" s="4">
        <v>2021</v>
      </c>
      <c r="D292" s="78" t="s">
        <v>2418</v>
      </c>
      <c r="E292">
        <v>2020</v>
      </c>
      <c r="F292" s="73">
        <v>2021</v>
      </c>
      <c r="G292" s="95">
        <v>44237</v>
      </c>
    </row>
    <row r="293" spans="1:7" x14ac:dyDescent="0.25">
      <c r="A293" s="3">
        <v>817</v>
      </c>
      <c r="B293" s="4" t="s">
        <v>244</v>
      </c>
      <c r="C293" s="4">
        <v>2021</v>
      </c>
      <c r="D293" s="78" t="s">
        <v>2419</v>
      </c>
      <c r="E293">
        <v>2020</v>
      </c>
      <c r="F293" s="73">
        <v>2021</v>
      </c>
      <c r="G293" s="95">
        <v>44251</v>
      </c>
    </row>
    <row r="294" spans="1:7" x14ac:dyDescent="0.25">
      <c r="A294" s="3">
        <v>818</v>
      </c>
      <c r="B294" s="4" t="s">
        <v>245</v>
      </c>
      <c r="C294" s="4">
        <v>2021</v>
      </c>
      <c r="D294" s="78">
        <v>2020</v>
      </c>
      <c r="E294">
        <v>2020</v>
      </c>
      <c r="F294" s="73">
        <v>2021</v>
      </c>
      <c r="G294" s="95">
        <v>43864</v>
      </c>
    </row>
    <row r="295" spans="1:7" x14ac:dyDescent="0.25">
      <c r="A295" s="3">
        <v>830</v>
      </c>
      <c r="B295" s="4" t="s">
        <v>246</v>
      </c>
      <c r="C295" s="4">
        <v>2021</v>
      </c>
      <c r="D295" s="78" t="s">
        <v>2420</v>
      </c>
      <c r="E295">
        <v>2020</v>
      </c>
      <c r="F295" s="73">
        <v>2021</v>
      </c>
      <c r="G295" s="95">
        <v>44306</v>
      </c>
    </row>
    <row r="296" spans="1:7" x14ac:dyDescent="0.25">
      <c r="A296" s="3">
        <v>834</v>
      </c>
      <c r="B296" s="4" t="s">
        <v>247</v>
      </c>
      <c r="C296" s="4">
        <v>2021</v>
      </c>
      <c r="D296" s="78" t="s">
        <v>2420</v>
      </c>
      <c r="E296">
        <v>2020</v>
      </c>
      <c r="F296" s="73">
        <v>2021</v>
      </c>
      <c r="G296" s="95">
        <v>44369</v>
      </c>
    </row>
    <row r="297" spans="1:7" x14ac:dyDescent="0.25">
      <c r="A297" s="3">
        <v>838</v>
      </c>
      <c r="B297" s="4" t="s">
        <v>248</v>
      </c>
      <c r="C297" s="4">
        <v>2021</v>
      </c>
      <c r="D297" s="78" t="s">
        <v>2421</v>
      </c>
      <c r="E297">
        <v>2020</v>
      </c>
      <c r="F297" s="73">
        <v>2021</v>
      </c>
      <c r="G297" s="95">
        <v>44343</v>
      </c>
    </row>
    <row r="298" spans="1:7" x14ac:dyDescent="0.25">
      <c r="A298" s="3">
        <v>842</v>
      </c>
      <c r="B298" s="4" t="s">
        <v>249</v>
      </c>
      <c r="C298" s="4">
        <v>2020</v>
      </c>
      <c r="D298" s="78" t="s">
        <v>2422</v>
      </c>
      <c r="E298">
        <v>2019</v>
      </c>
      <c r="F298" s="73">
        <v>2020</v>
      </c>
      <c r="G298" s="95">
        <v>43936</v>
      </c>
    </row>
    <row r="299" spans="1:7" x14ac:dyDescent="0.25">
      <c r="A299" s="3">
        <v>845</v>
      </c>
      <c r="B299" s="4" t="s">
        <v>250</v>
      </c>
      <c r="C299" s="4">
        <v>2021</v>
      </c>
      <c r="D299" s="78" t="s">
        <v>2420</v>
      </c>
      <c r="E299">
        <v>2020</v>
      </c>
      <c r="F299" s="73">
        <v>2021</v>
      </c>
      <c r="G299" s="95">
        <v>44405</v>
      </c>
    </row>
    <row r="300" spans="1:7" x14ac:dyDescent="0.25">
      <c r="A300" s="3">
        <v>846</v>
      </c>
      <c r="B300" s="4" t="s">
        <v>250</v>
      </c>
      <c r="C300" s="4">
        <v>2020</v>
      </c>
      <c r="D300" s="78" t="s">
        <v>2422</v>
      </c>
      <c r="E300">
        <v>2019</v>
      </c>
      <c r="F300" s="73">
        <v>2020</v>
      </c>
      <c r="G300" s="95">
        <v>44039</v>
      </c>
    </row>
    <row r="301" spans="1:7" x14ac:dyDescent="0.25">
      <c r="A301" s="3">
        <v>848</v>
      </c>
      <c r="B301" s="4" t="s">
        <v>251</v>
      </c>
      <c r="C301" s="4">
        <v>2020</v>
      </c>
      <c r="D301" s="78" t="s">
        <v>2422</v>
      </c>
      <c r="E301">
        <v>2019</v>
      </c>
      <c r="F301" s="73">
        <v>2020</v>
      </c>
      <c r="G301" s="95">
        <v>44117</v>
      </c>
    </row>
    <row r="302" spans="1:7" x14ac:dyDescent="0.25">
      <c r="A302" s="3">
        <v>851</v>
      </c>
      <c r="B302" s="4" t="s">
        <v>252</v>
      </c>
      <c r="C302" s="4">
        <v>2020</v>
      </c>
      <c r="D302" s="78" t="s">
        <v>2422</v>
      </c>
      <c r="E302">
        <v>2019</v>
      </c>
      <c r="F302" s="73">
        <v>2020</v>
      </c>
      <c r="G302" s="95">
        <v>44011</v>
      </c>
    </row>
    <row r="303" spans="1:7" x14ac:dyDescent="0.25">
      <c r="A303" s="3">
        <v>856</v>
      </c>
      <c r="B303" s="4" t="s">
        <v>253</v>
      </c>
      <c r="C303" s="4">
        <v>2021</v>
      </c>
      <c r="D303" s="78" t="s">
        <v>2420</v>
      </c>
      <c r="E303">
        <v>2020</v>
      </c>
      <c r="F303" s="73">
        <v>2021</v>
      </c>
      <c r="G303" s="95">
        <v>44299</v>
      </c>
    </row>
    <row r="304" spans="1:7" x14ac:dyDescent="0.25">
      <c r="A304" s="3">
        <v>860</v>
      </c>
      <c r="B304" s="4" t="s">
        <v>254</v>
      </c>
      <c r="C304" s="4">
        <v>2020</v>
      </c>
      <c r="D304" s="78" t="s">
        <v>2422</v>
      </c>
      <c r="E304">
        <v>2019</v>
      </c>
      <c r="F304" s="73">
        <v>2020</v>
      </c>
      <c r="G304" s="95">
        <v>43990</v>
      </c>
    </row>
    <row r="305" spans="1:7" x14ac:dyDescent="0.25">
      <c r="A305" s="3">
        <v>866</v>
      </c>
      <c r="B305" s="4" t="s">
        <v>255</v>
      </c>
      <c r="C305" s="4">
        <v>2020</v>
      </c>
      <c r="D305" s="78" t="s">
        <v>2422</v>
      </c>
      <c r="E305">
        <v>2019</v>
      </c>
      <c r="F305" s="73">
        <v>2020</v>
      </c>
      <c r="G305" s="95">
        <v>44151</v>
      </c>
    </row>
  </sheetData>
  <autoFilter ref="A1:E305" xr:uid="{35F99A3E-0222-8D46-A29C-96007FD5B03C}"/>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41717-6837-4D50-8E61-EC56CA337441}">
  <dimension ref="A1:J259"/>
  <sheetViews>
    <sheetView workbookViewId="0">
      <pane xSplit="1" ySplit="1" topLeftCell="B162" activePane="bottomRight" state="frozen"/>
      <selection pane="topRight" activeCell="B1" sqref="B1"/>
      <selection pane="bottomLeft" activeCell="A2" sqref="A2"/>
      <selection pane="bottomRight" activeCell="J187" sqref="J187"/>
    </sheetView>
  </sheetViews>
  <sheetFormatPr defaultRowHeight="15.75" x14ac:dyDescent="0.25"/>
  <cols>
    <col min="1" max="1" width="27.25" customWidth="1"/>
    <col min="2" max="2" width="25.625" style="70" customWidth="1"/>
    <col min="3" max="3" width="19.125" style="34" customWidth="1"/>
    <col min="4" max="4" width="15.75" customWidth="1"/>
    <col min="5" max="5" width="28.75" customWidth="1"/>
    <col min="6" max="6" width="16.5" customWidth="1"/>
    <col min="7" max="7" width="14.75" customWidth="1"/>
    <col min="8" max="8" width="16.75" customWidth="1"/>
    <col min="9" max="9" width="19.375" customWidth="1"/>
    <col min="10" max="10" width="44.375" customWidth="1"/>
  </cols>
  <sheetData>
    <row r="1" spans="1:10" x14ac:dyDescent="0.25">
      <c r="A1" s="24" t="s">
        <v>3342</v>
      </c>
      <c r="B1" s="69" t="s">
        <v>4236</v>
      </c>
      <c r="C1" s="74" t="s">
        <v>3343</v>
      </c>
      <c r="D1" s="24" t="s">
        <v>4237</v>
      </c>
      <c r="E1" s="24" t="s">
        <v>4238</v>
      </c>
      <c r="F1" s="24" t="s">
        <v>4239</v>
      </c>
      <c r="G1" s="65" t="s">
        <v>3344</v>
      </c>
      <c r="H1" s="24" t="s">
        <v>3345</v>
      </c>
      <c r="I1" s="65" t="s">
        <v>3346</v>
      </c>
      <c r="J1" s="24" t="s">
        <v>2430</v>
      </c>
    </row>
    <row r="2" spans="1:10" x14ac:dyDescent="0.25">
      <c r="A2" s="68" t="s">
        <v>3</v>
      </c>
      <c r="B2" s="70" t="s">
        <v>3347</v>
      </c>
      <c r="C2" s="34">
        <v>46022</v>
      </c>
      <c r="D2" s="66" t="s">
        <v>3348</v>
      </c>
      <c r="E2" t="s">
        <v>3349</v>
      </c>
      <c r="F2" t="s">
        <v>3350</v>
      </c>
      <c r="G2">
        <v>1673985</v>
      </c>
      <c r="H2">
        <f t="shared" ref="H2" si="0">IF(E2=A2,1,"Check")</f>
        <v>1</v>
      </c>
      <c r="I2">
        <v>1</v>
      </c>
    </row>
    <row r="3" spans="1:10" x14ac:dyDescent="0.25">
      <c r="A3" t="s">
        <v>4</v>
      </c>
      <c r="B3" s="70">
        <v>1055102</v>
      </c>
      <c r="C3" s="34">
        <v>46022</v>
      </c>
      <c r="D3" s="66" t="s">
        <v>3351</v>
      </c>
      <c r="E3" t="s">
        <v>3352</v>
      </c>
      <c r="F3" t="s">
        <v>3353</v>
      </c>
      <c r="G3">
        <v>4977</v>
      </c>
      <c r="H3">
        <f t="shared" ref="H3:H66" si="1">IF(E3=A3,1,"Check")</f>
        <v>1</v>
      </c>
      <c r="I3">
        <v>1</v>
      </c>
    </row>
    <row r="4" spans="1:10" x14ac:dyDescent="0.25">
      <c r="A4" t="s">
        <v>5</v>
      </c>
      <c r="B4" s="70" t="s">
        <v>3354</v>
      </c>
      <c r="C4" s="34">
        <v>45961</v>
      </c>
      <c r="D4" s="66" t="s">
        <v>3355</v>
      </c>
      <c r="E4" t="s">
        <v>3356</v>
      </c>
      <c r="F4" t="s">
        <v>3357</v>
      </c>
      <c r="G4">
        <v>1090872</v>
      </c>
      <c r="H4">
        <f t="shared" si="1"/>
        <v>1</v>
      </c>
      <c r="I4">
        <v>1</v>
      </c>
    </row>
    <row r="5" spans="1:10" x14ac:dyDescent="0.25">
      <c r="A5" t="s">
        <v>6</v>
      </c>
      <c r="B5" s="70" t="s">
        <v>3358</v>
      </c>
      <c r="C5" s="34">
        <v>46022</v>
      </c>
      <c r="D5" s="66" t="s">
        <v>3359</v>
      </c>
      <c r="E5" t="s">
        <v>3360</v>
      </c>
      <c r="F5" t="s">
        <v>3361</v>
      </c>
      <c r="G5">
        <v>1423689</v>
      </c>
      <c r="H5">
        <f t="shared" si="1"/>
        <v>1</v>
      </c>
      <c r="I5">
        <v>1</v>
      </c>
    </row>
    <row r="6" spans="1:10" x14ac:dyDescent="0.25">
      <c r="A6" t="s">
        <v>7</v>
      </c>
      <c r="B6" s="70">
        <v>26874784</v>
      </c>
      <c r="C6" s="34">
        <v>46022</v>
      </c>
      <c r="D6" s="66" t="s">
        <v>3362</v>
      </c>
      <c r="E6" t="s">
        <v>3363</v>
      </c>
      <c r="F6" t="s">
        <v>3364</v>
      </c>
      <c r="G6">
        <v>5272</v>
      </c>
      <c r="H6" t="str">
        <f t="shared" si="1"/>
        <v>Check</v>
      </c>
      <c r="I6">
        <v>1</v>
      </c>
    </row>
    <row r="7" spans="1:10" x14ac:dyDescent="0.25">
      <c r="A7" t="s">
        <v>8</v>
      </c>
      <c r="B7" s="70" t="s">
        <v>3365</v>
      </c>
      <c r="C7" s="34">
        <v>46022</v>
      </c>
      <c r="D7" s="66" t="s">
        <v>3366</v>
      </c>
      <c r="E7" t="s">
        <v>3367</v>
      </c>
      <c r="F7" t="s">
        <v>3368</v>
      </c>
      <c r="G7">
        <v>1086222</v>
      </c>
      <c r="H7">
        <f t="shared" si="1"/>
        <v>1</v>
      </c>
      <c r="I7">
        <v>1</v>
      </c>
    </row>
    <row r="8" spans="1:10" x14ac:dyDescent="0.25">
      <c r="A8" t="s">
        <v>9</v>
      </c>
      <c r="B8" s="70">
        <v>12653101</v>
      </c>
      <c r="C8" s="34">
        <v>46022</v>
      </c>
      <c r="D8" s="66" t="s">
        <v>3369</v>
      </c>
      <c r="E8" t="s">
        <v>3370</v>
      </c>
      <c r="F8" t="s">
        <v>3371</v>
      </c>
      <c r="G8">
        <v>915913</v>
      </c>
      <c r="H8">
        <f t="shared" si="1"/>
        <v>1</v>
      </c>
      <c r="I8">
        <v>1</v>
      </c>
    </row>
    <row r="9" spans="1:10" x14ac:dyDescent="0.25">
      <c r="A9" t="s">
        <v>10</v>
      </c>
      <c r="B9" s="70">
        <v>18581108</v>
      </c>
      <c r="C9" s="34">
        <v>46022</v>
      </c>
      <c r="D9" s="66" t="s">
        <v>3372</v>
      </c>
      <c r="E9" t="s">
        <v>3373</v>
      </c>
      <c r="F9" t="s">
        <v>3374</v>
      </c>
      <c r="G9">
        <v>1101215</v>
      </c>
      <c r="H9" t="str">
        <f t="shared" si="1"/>
        <v>Check</v>
      </c>
      <c r="I9" t="s">
        <v>3375</v>
      </c>
    </row>
    <row r="10" spans="1:10" x14ac:dyDescent="0.25">
      <c r="A10" t="s">
        <v>11</v>
      </c>
      <c r="B10" s="70">
        <v>18802108</v>
      </c>
      <c r="C10" s="34">
        <v>46022</v>
      </c>
      <c r="D10" s="66" t="s">
        <v>3376</v>
      </c>
      <c r="E10" t="s">
        <v>3377</v>
      </c>
      <c r="F10" t="s">
        <v>3378</v>
      </c>
      <c r="G10">
        <v>352541</v>
      </c>
      <c r="H10">
        <f t="shared" si="1"/>
        <v>1</v>
      </c>
      <c r="I10">
        <v>1</v>
      </c>
    </row>
    <row r="11" spans="1:10" x14ac:dyDescent="0.25">
      <c r="A11" t="s">
        <v>12</v>
      </c>
      <c r="B11" s="70" t="s">
        <v>3379</v>
      </c>
      <c r="C11" s="34">
        <v>46022</v>
      </c>
      <c r="D11" t="s">
        <v>3380</v>
      </c>
      <c r="E11" t="s">
        <v>3381</v>
      </c>
      <c r="F11" t="s">
        <v>3382</v>
      </c>
      <c r="G11">
        <v>1411207</v>
      </c>
      <c r="H11" t="str">
        <f t="shared" si="1"/>
        <v>Check</v>
      </c>
      <c r="I11">
        <v>1</v>
      </c>
    </row>
    <row r="12" spans="1:10" x14ac:dyDescent="0.25">
      <c r="A12" t="s">
        <v>13</v>
      </c>
      <c r="B12" s="70">
        <v>23608102</v>
      </c>
      <c r="C12" s="34">
        <v>46022</v>
      </c>
      <c r="D12" s="66" t="s">
        <v>3383</v>
      </c>
      <c r="E12" t="s">
        <v>3384</v>
      </c>
      <c r="F12" t="s">
        <v>3385</v>
      </c>
      <c r="G12">
        <v>1002910</v>
      </c>
      <c r="H12">
        <f t="shared" si="1"/>
        <v>1</v>
      </c>
      <c r="I12">
        <v>1</v>
      </c>
    </row>
    <row r="13" spans="1:10" x14ac:dyDescent="0.25">
      <c r="A13" t="s">
        <v>14</v>
      </c>
      <c r="B13" s="70" t="s">
        <v>3386</v>
      </c>
      <c r="C13" s="34">
        <v>46022</v>
      </c>
      <c r="D13" s="66" t="s">
        <v>3387</v>
      </c>
      <c r="E13" t="s">
        <v>3388</v>
      </c>
      <c r="F13" t="s">
        <v>3389</v>
      </c>
      <c r="G13">
        <v>6201</v>
      </c>
      <c r="H13">
        <f t="shared" si="1"/>
        <v>1</v>
      </c>
      <c r="I13">
        <v>1</v>
      </c>
    </row>
    <row r="14" spans="1:10" x14ac:dyDescent="0.25">
      <c r="A14" t="s">
        <v>15</v>
      </c>
      <c r="B14" s="70">
        <v>25816109</v>
      </c>
      <c r="C14" s="34">
        <v>46022</v>
      </c>
      <c r="D14" s="66" t="s">
        <v>3390</v>
      </c>
      <c r="E14" t="s">
        <v>3391</v>
      </c>
      <c r="F14" t="s">
        <v>3392</v>
      </c>
      <c r="G14">
        <v>4962</v>
      </c>
      <c r="H14">
        <f t="shared" si="1"/>
        <v>1</v>
      </c>
      <c r="I14">
        <v>1</v>
      </c>
    </row>
    <row r="15" spans="1:10" x14ac:dyDescent="0.25">
      <c r="A15" t="s">
        <v>16</v>
      </c>
      <c r="B15" s="70" t="s">
        <v>3393</v>
      </c>
      <c r="C15" s="34">
        <v>46022</v>
      </c>
      <c r="D15" s="66" t="s">
        <v>3394</v>
      </c>
      <c r="E15" t="s">
        <v>3395</v>
      </c>
      <c r="F15" t="s">
        <v>3396</v>
      </c>
      <c r="G15">
        <v>1562401</v>
      </c>
      <c r="H15">
        <f t="shared" si="1"/>
        <v>1</v>
      </c>
      <c r="I15">
        <v>1</v>
      </c>
    </row>
    <row r="16" spans="1:10" x14ac:dyDescent="0.25">
      <c r="A16" t="s">
        <v>17</v>
      </c>
      <c r="B16" s="70" t="s">
        <v>3397</v>
      </c>
      <c r="C16" s="34">
        <v>46022</v>
      </c>
      <c r="D16" s="66" t="s">
        <v>3398</v>
      </c>
      <c r="E16" t="s">
        <v>3399</v>
      </c>
      <c r="F16" t="s">
        <v>3400</v>
      </c>
      <c r="G16">
        <v>1053507</v>
      </c>
      <c r="H16">
        <f t="shared" si="1"/>
        <v>1</v>
      </c>
      <c r="I16">
        <v>1</v>
      </c>
    </row>
    <row r="17" spans="1:10" x14ac:dyDescent="0.25">
      <c r="A17" t="s">
        <v>18</v>
      </c>
      <c r="B17" s="70">
        <v>32095101</v>
      </c>
      <c r="C17" s="34">
        <v>46022</v>
      </c>
      <c r="D17" s="66" t="s">
        <v>3401</v>
      </c>
      <c r="E17" t="s">
        <v>3402</v>
      </c>
      <c r="F17" t="s">
        <v>3403</v>
      </c>
      <c r="G17">
        <v>820313</v>
      </c>
      <c r="H17">
        <f t="shared" si="1"/>
        <v>1</v>
      </c>
      <c r="I17">
        <v>1</v>
      </c>
    </row>
    <row r="18" spans="1:10" x14ac:dyDescent="0.25">
      <c r="A18" t="s">
        <v>19</v>
      </c>
      <c r="B18" s="70" t="s">
        <v>3404</v>
      </c>
      <c r="C18" s="34">
        <v>44926</v>
      </c>
      <c r="D18" s="66" t="s">
        <v>3405</v>
      </c>
      <c r="E18" t="s">
        <v>3406</v>
      </c>
      <c r="F18" t="s">
        <v>3407</v>
      </c>
      <c r="G18">
        <v>1365916</v>
      </c>
      <c r="H18">
        <f t="shared" si="1"/>
        <v>1</v>
      </c>
      <c r="I18">
        <v>1</v>
      </c>
    </row>
    <row r="19" spans="1:10" x14ac:dyDescent="0.25">
      <c r="A19" t="s">
        <v>20</v>
      </c>
      <c r="B19" s="70">
        <v>35710839</v>
      </c>
      <c r="C19" s="34">
        <v>46022</v>
      </c>
      <c r="D19" s="66" t="s">
        <v>3408</v>
      </c>
      <c r="E19" t="s">
        <v>3409</v>
      </c>
      <c r="F19" t="s">
        <v>3410</v>
      </c>
      <c r="G19">
        <v>1043219</v>
      </c>
      <c r="H19" t="str">
        <f t="shared" si="1"/>
        <v>Check</v>
      </c>
      <c r="I19">
        <v>1</v>
      </c>
    </row>
    <row r="20" spans="1:10" x14ac:dyDescent="0.25">
      <c r="A20" t="s">
        <v>3411</v>
      </c>
      <c r="B20" s="70" t="s">
        <v>4279</v>
      </c>
      <c r="C20" s="34">
        <v>46022</v>
      </c>
      <c r="D20" s="66" t="s">
        <v>4277</v>
      </c>
      <c r="E20" t="s">
        <v>4278</v>
      </c>
      <c r="F20" t="s">
        <v>2351</v>
      </c>
      <c r="G20">
        <v>1623925</v>
      </c>
      <c r="H20" t="str">
        <f t="shared" si="1"/>
        <v>Check</v>
      </c>
      <c r="I20" t="s">
        <v>3412</v>
      </c>
    </row>
    <row r="21" spans="1:10" x14ac:dyDescent="0.25">
      <c r="A21" t="s">
        <v>21</v>
      </c>
      <c r="B21" s="70" t="s">
        <v>3413</v>
      </c>
      <c r="C21" s="34">
        <v>46022</v>
      </c>
      <c r="D21" s="66" t="s">
        <v>3414</v>
      </c>
      <c r="E21" t="s">
        <v>3415</v>
      </c>
      <c r="F21" t="s">
        <v>3416</v>
      </c>
      <c r="G21">
        <v>1433270</v>
      </c>
      <c r="H21">
        <f t="shared" si="1"/>
        <v>1</v>
      </c>
      <c r="I21">
        <v>1</v>
      </c>
    </row>
    <row r="22" spans="1:10" x14ac:dyDescent="0.25">
      <c r="A22" t="s">
        <v>22</v>
      </c>
      <c r="B22" s="70" t="s">
        <v>3417</v>
      </c>
      <c r="C22" s="34">
        <v>46022</v>
      </c>
      <c r="D22" s="66" t="s">
        <v>3418</v>
      </c>
      <c r="E22" t="s">
        <v>3419</v>
      </c>
      <c r="F22" t="s">
        <v>3420</v>
      </c>
      <c r="G22">
        <v>1841666</v>
      </c>
      <c r="H22" t="str">
        <f t="shared" si="1"/>
        <v>Check</v>
      </c>
      <c r="I22" t="s">
        <v>3421</v>
      </c>
    </row>
    <row r="23" spans="1:10" x14ac:dyDescent="0.25">
      <c r="A23" s="4" t="s">
        <v>23</v>
      </c>
      <c r="B23" s="70" t="s">
        <v>4242</v>
      </c>
      <c r="C23" s="34">
        <v>44926</v>
      </c>
      <c r="D23" s="66" t="s">
        <v>4241</v>
      </c>
      <c r="E23" t="s">
        <v>4243</v>
      </c>
      <c r="F23" t="s">
        <v>4240</v>
      </c>
      <c r="G23">
        <v>1790982</v>
      </c>
      <c r="H23">
        <f t="shared" si="1"/>
        <v>1</v>
      </c>
      <c r="I23">
        <v>1</v>
      </c>
      <c r="J23" s="80" t="s">
        <v>4282</v>
      </c>
    </row>
    <row r="24" spans="1:10" x14ac:dyDescent="0.25">
      <c r="A24" t="s">
        <v>24</v>
      </c>
      <c r="B24" s="70">
        <v>39653100</v>
      </c>
      <c r="C24" s="34">
        <v>46022</v>
      </c>
      <c r="D24" s="66" t="s">
        <v>3422</v>
      </c>
      <c r="E24" t="s">
        <v>3423</v>
      </c>
      <c r="F24" t="s">
        <v>3424</v>
      </c>
      <c r="G24">
        <v>1739445</v>
      </c>
      <c r="H24" t="str">
        <f t="shared" si="1"/>
        <v>Check</v>
      </c>
      <c r="I24">
        <v>1</v>
      </c>
    </row>
    <row r="25" spans="1:10" x14ac:dyDescent="0.25">
      <c r="A25" t="s">
        <v>25</v>
      </c>
      <c r="B25" s="70">
        <v>40047607</v>
      </c>
      <c r="C25" s="34">
        <v>44561</v>
      </c>
      <c r="D25" s="66" t="s">
        <v>3425</v>
      </c>
      <c r="E25" t="s">
        <v>3426</v>
      </c>
      <c r="F25" t="s">
        <v>3427</v>
      </c>
      <c r="G25">
        <v>1080709</v>
      </c>
      <c r="H25">
        <f t="shared" si="1"/>
        <v>1</v>
      </c>
      <c r="I25">
        <v>1</v>
      </c>
    </row>
    <row r="26" spans="1:10" x14ac:dyDescent="0.25">
      <c r="A26" t="s">
        <v>26</v>
      </c>
      <c r="B26" s="70">
        <v>44186104</v>
      </c>
      <c r="C26" s="34">
        <v>45930</v>
      </c>
      <c r="D26" s="66" t="s">
        <v>3428</v>
      </c>
      <c r="E26" t="s">
        <v>3429</v>
      </c>
      <c r="F26" t="s">
        <v>3430</v>
      </c>
      <c r="G26">
        <v>1674862</v>
      </c>
      <c r="H26" t="str">
        <f t="shared" si="1"/>
        <v>Check</v>
      </c>
      <c r="I26">
        <v>1</v>
      </c>
    </row>
    <row r="27" spans="1:10" x14ac:dyDescent="0.25">
      <c r="A27" s="81" t="s">
        <v>27</v>
      </c>
      <c r="B27" s="82">
        <v>47649108</v>
      </c>
      <c r="C27" s="83">
        <v>45930</v>
      </c>
      <c r="D27" s="66" t="s">
        <v>4280</v>
      </c>
      <c r="E27" s="81" t="s">
        <v>4273</v>
      </c>
      <c r="F27" s="81" t="s">
        <v>4274</v>
      </c>
      <c r="G27" s="81">
        <v>1666138</v>
      </c>
      <c r="H27" s="81" t="s">
        <v>4275</v>
      </c>
      <c r="I27" s="81">
        <v>1</v>
      </c>
      <c r="J27" s="81" t="s">
        <v>4276</v>
      </c>
    </row>
    <row r="28" spans="1:10" x14ac:dyDescent="0.25">
      <c r="A28" t="s">
        <v>28</v>
      </c>
      <c r="B28" s="70">
        <v>53484101</v>
      </c>
      <c r="C28" s="34">
        <v>46022</v>
      </c>
      <c r="D28" s="66" t="s">
        <v>3431</v>
      </c>
      <c r="E28" t="s">
        <v>3432</v>
      </c>
      <c r="F28" t="s">
        <v>3433</v>
      </c>
      <c r="G28">
        <v>915912</v>
      </c>
      <c r="H28">
        <f t="shared" si="1"/>
        <v>1</v>
      </c>
      <c r="I28">
        <v>1</v>
      </c>
    </row>
    <row r="29" spans="1:10" x14ac:dyDescent="0.25">
      <c r="A29" t="s">
        <v>29</v>
      </c>
      <c r="B29" s="70">
        <v>67806109</v>
      </c>
      <c r="C29" s="34">
        <v>45291</v>
      </c>
      <c r="D29" s="66" t="s">
        <v>3434</v>
      </c>
      <c r="E29" t="s">
        <v>3435</v>
      </c>
      <c r="F29" t="s">
        <v>3436</v>
      </c>
      <c r="G29">
        <v>9984</v>
      </c>
      <c r="H29">
        <f t="shared" si="1"/>
        <v>1</v>
      </c>
      <c r="I29">
        <v>1</v>
      </c>
    </row>
    <row r="30" spans="1:10" x14ac:dyDescent="0.25">
      <c r="A30" t="s">
        <v>30</v>
      </c>
      <c r="B30" s="70">
        <v>71813109</v>
      </c>
      <c r="C30" s="34">
        <v>46022</v>
      </c>
      <c r="D30" s="66" t="s">
        <v>3437</v>
      </c>
      <c r="E30" t="s">
        <v>3438</v>
      </c>
      <c r="F30" t="s">
        <v>3439</v>
      </c>
      <c r="G30">
        <v>10456</v>
      </c>
      <c r="H30">
        <f t="shared" si="1"/>
        <v>1</v>
      </c>
      <c r="I30">
        <v>1</v>
      </c>
    </row>
    <row r="31" spans="1:10" x14ac:dyDescent="0.25">
      <c r="A31" t="s">
        <v>31</v>
      </c>
      <c r="B31" s="70">
        <v>75887109</v>
      </c>
      <c r="C31" s="34">
        <v>45930</v>
      </c>
      <c r="D31" s="66" t="s">
        <v>3440</v>
      </c>
      <c r="E31" t="s">
        <v>3441</v>
      </c>
      <c r="F31" t="s">
        <v>3442</v>
      </c>
      <c r="G31">
        <v>10795</v>
      </c>
      <c r="H31" t="str">
        <f t="shared" si="1"/>
        <v>Check</v>
      </c>
      <c r="I31">
        <v>1</v>
      </c>
    </row>
    <row r="32" spans="1:10" x14ac:dyDescent="0.25">
      <c r="A32" t="s">
        <v>32</v>
      </c>
      <c r="B32" s="70" t="s">
        <v>3443</v>
      </c>
      <c r="C32" s="34">
        <v>45657</v>
      </c>
      <c r="D32" s="66" t="s">
        <v>3444</v>
      </c>
      <c r="E32" t="s">
        <v>3445</v>
      </c>
      <c r="F32" t="s">
        <v>3446</v>
      </c>
      <c r="G32">
        <v>1705873</v>
      </c>
      <c r="H32" t="str">
        <f t="shared" si="1"/>
        <v>Check</v>
      </c>
      <c r="I32" t="s">
        <v>3447</v>
      </c>
    </row>
    <row r="33" spans="1:10" x14ac:dyDescent="0.25">
      <c r="A33" t="s">
        <v>33</v>
      </c>
      <c r="B33" s="70" t="s">
        <v>3448</v>
      </c>
      <c r="C33" s="34">
        <v>46022</v>
      </c>
      <c r="D33" s="66" t="s">
        <v>3449</v>
      </c>
      <c r="E33" t="s">
        <v>3450</v>
      </c>
      <c r="F33" t="s">
        <v>3451</v>
      </c>
      <c r="G33">
        <v>1280058</v>
      </c>
      <c r="H33" t="str">
        <f t="shared" si="1"/>
        <v>Check</v>
      </c>
      <c r="I33">
        <v>1</v>
      </c>
    </row>
    <row r="34" spans="1:10" x14ac:dyDescent="0.25">
      <c r="A34" t="s">
        <v>34</v>
      </c>
      <c r="B34" s="70">
        <v>93712107</v>
      </c>
      <c r="C34" s="34">
        <v>46022</v>
      </c>
      <c r="D34" s="66" t="s">
        <v>3452</v>
      </c>
      <c r="E34" t="s">
        <v>3453</v>
      </c>
      <c r="F34" t="s">
        <v>3454</v>
      </c>
      <c r="G34">
        <v>1664703</v>
      </c>
      <c r="H34">
        <f t="shared" si="1"/>
        <v>1</v>
      </c>
      <c r="I34">
        <v>1</v>
      </c>
    </row>
    <row r="35" spans="1:10" x14ac:dyDescent="0.25">
      <c r="A35" t="s">
        <v>35</v>
      </c>
      <c r="B35" s="70" t="s">
        <v>3455</v>
      </c>
      <c r="C35" s="34">
        <v>46022</v>
      </c>
      <c r="D35" s="66" t="s">
        <v>3456</v>
      </c>
      <c r="E35" t="s">
        <v>3457</v>
      </c>
      <c r="F35" t="s">
        <v>3458</v>
      </c>
      <c r="G35">
        <v>1996862</v>
      </c>
      <c r="H35" t="str">
        <f t="shared" si="1"/>
        <v>Check</v>
      </c>
      <c r="I35" t="s">
        <v>3459</v>
      </c>
    </row>
    <row r="36" spans="1:10" x14ac:dyDescent="0.25">
      <c r="A36" t="s">
        <v>36</v>
      </c>
      <c r="B36" s="70">
        <v>122017106</v>
      </c>
      <c r="C36" s="34">
        <v>46053</v>
      </c>
      <c r="D36" s="66" t="s">
        <v>3460</v>
      </c>
      <c r="E36" t="s">
        <v>3461</v>
      </c>
      <c r="F36" t="s">
        <v>3462</v>
      </c>
      <c r="G36">
        <v>1579298</v>
      </c>
      <c r="H36">
        <f t="shared" si="1"/>
        <v>1</v>
      </c>
      <c r="I36">
        <v>1</v>
      </c>
    </row>
    <row r="37" spans="1:10" x14ac:dyDescent="0.25">
      <c r="A37" t="s">
        <v>37</v>
      </c>
      <c r="B37" s="70">
        <v>127055101</v>
      </c>
      <c r="C37" s="34">
        <v>45930</v>
      </c>
      <c r="D37" t="s">
        <v>3463</v>
      </c>
      <c r="E37" t="s">
        <v>3464</v>
      </c>
      <c r="F37" t="s">
        <v>3465</v>
      </c>
      <c r="G37">
        <v>16040</v>
      </c>
      <c r="H37">
        <f t="shared" si="1"/>
        <v>1</v>
      </c>
      <c r="I37">
        <v>1</v>
      </c>
    </row>
    <row r="38" spans="1:10" x14ac:dyDescent="0.25">
      <c r="A38" t="s">
        <v>38</v>
      </c>
      <c r="B38" s="70">
        <v>127097103</v>
      </c>
      <c r="C38" s="34">
        <v>46022</v>
      </c>
      <c r="D38" s="66" t="s">
        <v>3466</v>
      </c>
      <c r="E38" t="s">
        <v>3467</v>
      </c>
      <c r="F38" t="s">
        <v>3468</v>
      </c>
      <c r="G38">
        <v>858470</v>
      </c>
      <c r="H38" t="str">
        <f t="shared" si="1"/>
        <v>Check</v>
      </c>
      <c r="I38" t="s">
        <v>3469</v>
      </c>
    </row>
    <row r="39" spans="1:10" x14ac:dyDescent="0.25">
      <c r="A39" t="s">
        <v>39</v>
      </c>
      <c r="B39" s="70">
        <v>128246105</v>
      </c>
      <c r="C39" s="34">
        <v>45961</v>
      </c>
      <c r="D39" s="66" t="s">
        <v>3470</v>
      </c>
      <c r="E39" t="s">
        <v>3471</v>
      </c>
      <c r="F39" t="s">
        <v>3472</v>
      </c>
      <c r="G39">
        <v>1133470</v>
      </c>
      <c r="H39">
        <f t="shared" si="1"/>
        <v>1</v>
      </c>
      <c r="I39">
        <v>1</v>
      </c>
    </row>
    <row r="40" spans="1:10" x14ac:dyDescent="0.25">
      <c r="A40" t="s">
        <v>40</v>
      </c>
      <c r="B40" s="70">
        <v>130788102</v>
      </c>
      <c r="C40" s="34">
        <v>46022</v>
      </c>
      <c r="D40" s="66" t="s">
        <v>3473</v>
      </c>
      <c r="E40" t="s">
        <v>3474</v>
      </c>
      <c r="F40" t="s">
        <v>3475</v>
      </c>
      <c r="G40">
        <v>1035201</v>
      </c>
      <c r="H40" t="str">
        <f t="shared" si="1"/>
        <v>Check</v>
      </c>
      <c r="I40">
        <v>1</v>
      </c>
    </row>
    <row r="41" spans="1:10" x14ac:dyDescent="0.25">
      <c r="A41" t="s">
        <v>41</v>
      </c>
      <c r="B41" s="70" t="s">
        <v>3476</v>
      </c>
      <c r="C41" s="34">
        <v>45291</v>
      </c>
      <c r="D41" s="66" t="s">
        <v>3477</v>
      </c>
      <c r="E41" t="s">
        <v>3478</v>
      </c>
      <c r="F41" t="s">
        <v>3479</v>
      </c>
      <c r="G41">
        <v>928022</v>
      </c>
      <c r="H41" t="str">
        <f t="shared" si="1"/>
        <v>Check</v>
      </c>
      <c r="I41">
        <v>1</v>
      </c>
    </row>
    <row r="42" spans="1:10" x14ac:dyDescent="0.25">
      <c r="A42" t="s">
        <v>42</v>
      </c>
      <c r="B42" s="70" t="s">
        <v>3480</v>
      </c>
      <c r="C42" s="34">
        <v>45838</v>
      </c>
      <c r="D42" s="66" t="s">
        <v>3481</v>
      </c>
      <c r="E42" t="s">
        <v>3482</v>
      </c>
      <c r="F42" t="s">
        <v>3483</v>
      </c>
      <c r="G42">
        <v>721371</v>
      </c>
      <c r="H42">
        <f t="shared" si="1"/>
        <v>1</v>
      </c>
      <c r="I42">
        <v>1</v>
      </c>
    </row>
    <row r="43" spans="1:10" x14ac:dyDescent="0.25">
      <c r="A43" s="80" t="s">
        <v>43</v>
      </c>
      <c r="B43" s="70" t="s">
        <v>3484</v>
      </c>
      <c r="C43" s="34">
        <v>46022</v>
      </c>
      <c r="D43" t="s">
        <v>3485</v>
      </c>
      <c r="E43" t="s">
        <v>3486</v>
      </c>
      <c r="F43" t="s">
        <v>3487</v>
      </c>
      <c r="G43">
        <v>1783180</v>
      </c>
      <c r="H43">
        <f t="shared" si="1"/>
        <v>1</v>
      </c>
      <c r="I43">
        <v>1</v>
      </c>
      <c r="J43" s="80" t="s">
        <v>4283</v>
      </c>
    </row>
    <row r="44" spans="1:10" x14ac:dyDescent="0.25">
      <c r="A44" t="s">
        <v>44</v>
      </c>
      <c r="B44" s="70">
        <v>148806102</v>
      </c>
      <c r="C44" s="34">
        <v>45473</v>
      </c>
      <c r="D44" s="66" t="s">
        <v>3488</v>
      </c>
      <c r="E44" t="s">
        <v>3489</v>
      </c>
      <c r="F44" t="s">
        <v>3490</v>
      </c>
      <c r="G44">
        <v>1596783</v>
      </c>
      <c r="H44">
        <f t="shared" si="1"/>
        <v>1</v>
      </c>
      <c r="I44">
        <v>1</v>
      </c>
    </row>
    <row r="45" spans="1:10" x14ac:dyDescent="0.25">
      <c r="A45" t="s">
        <v>45</v>
      </c>
      <c r="B45" s="70">
        <v>149123101</v>
      </c>
      <c r="C45" s="34">
        <v>46022</v>
      </c>
      <c r="D45" s="66" t="s">
        <v>3491</v>
      </c>
      <c r="E45" t="s">
        <v>3492</v>
      </c>
      <c r="F45" t="s">
        <v>3493</v>
      </c>
      <c r="G45">
        <v>18230</v>
      </c>
      <c r="H45">
        <f t="shared" si="1"/>
        <v>1</v>
      </c>
      <c r="I45">
        <v>1</v>
      </c>
    </row>
    <row r="46" spans="1:10" x14ac:dyDescent="0.25">
      <c r="A46" t="s">
        <v>46</v>
      </c>
      <c r="B46" s="70">
        <v>156504300</v>
      </c>
      <c r="C46" s="34">
        <v>46022</v>
      </c>
      <c r="D46" s="66" t="s">
        <v>3494</v>
      </c>
      <c r="E46" t="s">
        <v>3495</v>
      </c>
      <c r="F46" t="s">
        <v>3496</v>
      </c>
      <c r="G46">
        <v>1576940</v>
      </c>
      <c r="H46">
        <f t="shared" si="1"/>
        <v>1</v>
      </c>
      <c r="I46">
        <v>1</v>
      </c>
    </row>
    <row r="47" spans="1:10" x14ac:dyDescent="0.25">
      <c r="A47" t="s">
        <v>47</v>
      </c>
      <c r="B47" s="70" t="s">
        <v>3497</v>
      </c>
      <c r="C47" s="34">
        <v>45657</v>
      </c>
      <c r="D47" s="66" t="s">
        <v>3498</v>
      </c>
      <c r="E47" t="s">
        <v>3499</v>
      </c>
      <c r="F47" t="s">
        <v>3500</v>
      </c>
      <c r="G47">
        <v>1043277</v>
      </c>
      <c r="H47" t="str">
        <f t="shared" si="1"/>
        <v>Check</v>
      </c>
      <c r="I47">
        <v>1</v>
      </c>
    </row>
    <row r="48" spans="1:10" x14ac:dyDescent="0.25">
      <c r="A48" t="s">
        <v>48</v>
      </c>
      <c r="B48" s="70" t="s">
        <v>3501</v>
      </c>
      <c r="C48" s="34">
        <v>44926</v>
      </c>
      <c r="D48" s="66" t="s">
        <v>3502</v>
      </c>
      <c r="E48" t="s">
        <v>3503</v>
      </c>
      <c r="F48" t="s">
        <v>3504</v>
      </c>
      <c r="G48">
        <v>1730346</v>
      </c>
      <c r="H48" t="str">
        <f t="shared" si="1"/>
        <v>Check</v>
      </c>
      <c r="I48">
        <v>1</v>
      </c>
    </row>
    <row r="49" spans="1:9" x14ac:dyDescent="0.25">
      <c r="A49" t="s">
        <v>49</v>
      </c>
      <c r="B49" s="70" t="s">
        <v>3505</v>
      </c>
      <c r="C49" s="34">
        <v>45657</v>
      </c>
      <c r="D49" s="66" t="s">
        <v>3506</v>
      </c>
      <c r="E49" t="s">
        <v>3507</v>
      </c>
      <c r="F49" t="s">
        <v>3508</v>
      </c>
      <c r="G49">
        <v>892553</v>
      </c>
      <c r="H49">
        <f t="shared" si="1"/>
        <v>1</v>
      </c>
      <c r="I49">
        <v>1</v>
      </c>
    </row>
    <row r="50" spans="1:9" x14ac:dyDescent="0.25">
      <c r="A50" t="s">
        <v>50</v>
      </c>
      <c r="B50" s="70">
        <v>163851108</v>
      </c>
      <c r="C50" s="34">
        <v>46022</v>
      </c>
      <c r="D50" s="66" t="s">
        <v>3509</v>
      </c>
      <c r="E50" t="s">
        <v>3510</v>
      </c>
      <c r="F50" t="s">
        <v>3511</v>
      </c>
      <c r="G50">
        <v>1627223</v>
      </c>
      <c r="H50" t="str">
        <f t="shared" si="1"/>
        <v>Check</v>
      </c>
      <c r="I50">
        <v>1</v>
      </c>
    </row>
    <row r="51" spans="1:9" x14ac:dyDescent="0.25">
      <c r="A51" t="s">
        <v>51</v>
      </c>
      <c r="B51" s="70" t="s">
        <v>3512</v>
      </c>
      <c r="C51" s="34">
        <v>43830</v>
      </c>
      <c r="D51" s="66" t="s">
        <v>3513</v>
      </c>
      <c r="E51" t="s">
        <v>3514</v>
      </c>
      <c r="F51" t="s">
        <v>3515</v>
      </c>
      <c r="G51">
        <v>1383650</v>
      </c>
      <c r="H51">
        <f t="shared" si="1"/>
        <v>1</v>
      </c>
      <c r="I51">
        <v>1</v>
      </c>
    </row>
    <row r="52" spans="1:9" x14ac:dyDescent="0.25">
      <c r="A52" t="s">
        <v>52</v>
      </c>
      <c r="B52" s="70">
        <v>169656105</v>
      </c>
      <c r="C52" s="34">
        <v>46022</v>
      </c>
      <c r="D52" s="66" t="s">
        <v>3516</v>
      </c>
      <c r="E52" t="s">
        <v>3517</v>
      </c>
      <c r="F52" t="s">
        <v>3518</v>
      </c>
      <c r="G52">
        <v>1058090</v>
      </c>
      <c r="H52">
        <f t="shared" si="1"/>
        <v>1</v>
      </c>
      <c r="I52">
        <v>1</v>
      </c>
    </row>
    <row r="53" spans="1:9" x14ac:dyDescent="0.25">
      <c r="A53" t="s">
        <v>53</v>
      </c>
      <c r="B53" s="70">
        <v>172967424</v>
      </c>
      <c r="C53" s="34">
        <v>46022</v>
      </c>
      <c r="D53" s="66" t="s">
        <v>3519</v>
      </c>
      <c r="E53" t="s">
        <v>3520</v>
      </c>
      <c r="F53" t="s">
        <v>3521</v>
      </c>
      <c r="G53">
        <v>831001</v>
      </c>
      <c r="H53" t="str">
        <f t="shared" si="1"/>
        <v>Check</v>
      </c>
      <c r="I53">
        <v>1</v>
      </c>
    </row>
    <row r="54" spans="1:9" x14ac:dyDescent="0.25">
      <c r="A54" t="s">
        <v>54</v>
      </c>
      <c r="B54" s="70">
        <v>174610105</v>
      </c>
      <c r="C54" s="34">
        <v>46022</v>
      </c>
      <c r="D54" s="66" t="s">
        <v>3522</v>
      </c>
      <c r="E54" t="s">
        <v>3523</v>
      </c>
      <c r="F54" t="s">
        <v>3524</v>
      </c>
      <c r="G54">
        <v>759944</v>
      </c>
      <c r="H54">
        <f t="shared" si="1"/>
        <v>1</v>
      </c>
      <c r="I54">
        <v>1</v>
      </c>
    </row>
    <row r="55" spans="1:9" x14ac:dyDescent="0.25">
      <c r="A55" t="s">
        <v>55</v>
      </c>
      <c r="B55" s="70" t="s">
        <v>3525</v>
      </c>
      <c r="C55" s="34">
        <v>46022</v>
      </c>
      <c r="D55" s="66" t="s">
        <v>3526</v>
      </c>
      <c r="E55" t="s">
        <v>3527</v>
      </c>
      <c r="F55" t="s">
        <v>3528</v>
      </c>
      <c r="G55">
        <v>1070412</v>
      </c>
      <c r="H55">
        <f t="shared" si="1"/>
        <v>1</v>
      </c>
      <c r="I55">
        <v>1</v>
      </c>
    </row>
    <row r="56" spans="1:9" x14ac:dyDescent="0.25">
      <c r="A56" t="s">
        <v>56</v>
      </c>
      <c r="B56" s="70">
        <v>192108504</v>
      </c>
      <c r="C56" s="34">
        <v>46022</v>
      </c>
      <c r="D56" s="66" t="s">
        <v>3529</v>
      </c>
      <c r="E56" t="s">
        <v>3530</v>
      </c>
      <c r="F56" t="s">
        <v>3531</v>
      </c>
      <c r="G56">
        <v>215466</v>
      </c>
      <c r="H56">
        <f t="shared" si="1"/>
        <v>1</v>
      </c>
      <c r="I56">
        <v>1</v>
      </c>
    </row>
    <row r="57" spans="1:9" x14ac:dyDescent="0.25">
      <c r="A57" t="s">
        <v>57</v>
      </c>
      <c r="B57" s="70">
        <v>198516106</v>
      </c>
      <c r="C57" s="34">
        <v>46022</v>
      </c>
      <c r="D57" s="66" t="s">
        <v>3532</v>
      </c>
      <c r="E57" t="s">
        <v>3533</v>
      </c>
      <c r="F57" t="s">
        <v>3534</v>
      </c>
      <c r="G57">
        <v>1050797</v>
      </c>
      <c r="H57">
        <f t="shared" si="1"/>
        <v>1</v>
      </c>
      <c r="I57">
        <v>1</v>
      </c>
    </row>
    <row r="58" spans="1:9" x14ac:dyDescent="0.25">
      <c r="A58" t="s">
        <v>58</v>
      </c>
      <c r="B58" s="70" t="s">
        <v>3535</v>
      </c>
      <c r="C58" s="34">
        <v>45657</v>
      </c>
      <c r="D58" s="66" t="s">
        <v>3536</v>
      </c>
      <c r="E58" t="s">
        <v>3537</v>
      </c>
      <c r="F58" t="s">
        <v>3538</v>
      </c>
      <c r="G58">
        <v>1517228</v>
      </c>
      <c r="H58" t="str">
        <f t="shared" si="1"/>
        <v>Check</v>
      </c>
      <c r="I58" t="s">
        <v>3539</v>
      </c>
    </row>
    <row r="59" spans="1:9" x14ac:dyDescent="0.25">
      <c r="A59" t="s">
        <v>59</v>
      </c>
      <c r="B59" s="70">
        <v>205887102</v>
      </c>
      <c r="C59" s="34">
        <v>45808</v>
      </c>
      <c r="D59" s="66" t="s">
        <v>3540</v>
      </c>
      <c r="E59" t="s">
        <v>3541</v>
      </c>
      <c r="F59" t="s">
        <v>3542</v>
      </c>
      <c r="G59">
        <v>23217</v>
      </c>
      <c r="H59" t="str">
        <f t="shared" si="1"/>
        <v>Check</v>
      </c>
      <c r="I59" t="s">
        <v>3543</v>
      </c>
    </row>
    <row r="60" spans="1:9" x14ac:dyDescent="0.25">
      <c r="A60" t="s">
        <v>60</v>
      </c>
      <c r="B60" s="70">
        <v>206787103</v>
      </c>
      <c r="C60" s="34">
        <v>46022</v>
      </c>
      <c r="D60" s="66" t="s">
        <v>3544</v>
      </c>
      <c r="E60" t="s">
        <v>3545</v>
      </c>
      <c r="F60" t="s">
        <v>3546</v>
      </c>
      <c r="G60">
        <v>1677703</v>
      </c>
      <c r="H60" t="str">
        <f t="shared" si="1"/>
        <v>Check</v>
      </c>
      <c r="I60">
        <v>1</v>
      </c>
    </row>
    <row r="61" spans="1:9" x14ac:dyDescent="0.25">
      <c r="A61" t="s">
        <v>61</v>
      </c>
      <c r="B61" s="70">
        <v>216648501</v>
      </c>
      <c r="C61" s="34">
        <v>45961</v>
      </c>
      <c r="D61" s="66" t="s">
        <v>3547</v>
      </c>
      <c r="E61" t="s">
        <v>3548</v>
      </c>
      <c r="F61" t="s">
        <v>3549</v>
      </c>
      <c r="G61">
        <v>711404</v>
      </c>
      <c r="H61" t="str">
        <f t="shared" si="1"/>
        <v>Check</v>
      </c>
      <c r="I61">
        <v>1</v>
      </c>
    </row>
    <row r="62" spans="1:9" x14ac:dyDescent="0.25">
      <c r="A62" t="s">
        <v>62</v>
      </c>
      <c r="B62" s="70" t="s">
        <v>3550</v>
      </c>
      <c r="C62" s="34">
        <v>46022</v>
      </c>
      <c r="D62" s="66" t="s">
        <v>3551</v>
      </c>
      <c r="E62" t="s">
        <v>3552</v>
      </c>
      <c r="F62" t="s">
        <v>3553</v>
      </c>
      <c r="G62">
        <v>1320461</v>
      </c>
      <c r="H62">
        <f t="shared" si="1"/>
        <v>1</v>
      </c>
      <c r="I62">
        <v>1</v>
      </c>
    </row>
    <row r="63" spans="1:9" x14ac:dyDescent="0.25">
      <c r="A63" t="s">
        <v>63</v>
      </c>
      <c r="B63" s="70">
        <v>226344208</v>
      </c>
      <c r="C63" s="34">
        <v>44926</v>
      </c>
      <c r="D63" s="66" t="s">
        <v>3554</v>
      </c>
      <c r="E63" t="s">
        <v>3555</v>
      </c>
      <c r="F63" t="s">
        <v>3556</v>
      </c>
      <c r="G63">
        <v>1136352</v>
      </c>
      <c r="H63">
        <f t="shared" si="1"/>
        <v>1</v>
      </c>
      <c r="I63">
        <v>1</v>
      </c>
    </row>
    <row r="64" spans="1:9" x14ac:dyDescent="0.25">
      <c r="A64" t="s">
        <v>64</v>
      </c>
      <c r="B64" s="70" t="s">
        <v>3557</v>
      </c>
      <c r="C64" s="34">
        <v>46022</v>
      </c>
      <c r="D64" s="66" t="s">
        <v>3558</v>
      </c>
      <c r="E64" t="s">
        <v>3559</v>
      </c>
      <c r="F64" t="s">
        <v>3560</v>
      </c>
      <c r="G64">
        <v>1051470</v>
      </c>
      <c r="H64" t="str">
        <f t="shared" si="1"/>
        <v>Check</v>
      </c>
      <c r="I64" t="s">
        <v>3561</v>
      </c>
    </row>
    <row r="65" spans="1:9" x14ac:dyDescent="0.25">
      <c r="A65" t="s">
        <v>65</v>
      </c>
      <c r="B65" s="70">
        <v>126408103</v>
      </c>
      <c r="C65" s="34">
        <v>46022</v>
      </c>
      <c r="D65" s="66" t="s">
        <v>3562</v>
      </c>
      <c r="E65" t="s">
        <v>3563</v>
      </c>
      <c r="F65" t="s">
        <v>3564</v>
      </c>
      <c r="G65">
        <v>277948</v>
      </c>
      <c r="H65">
        <f t="shared" si="1"/>
        <v>1</v>
      </c>
      <c r="I65">
        <v>1</v>
      </c>
    </row>
    <row r="66" spans="1:9" x14ac:dyDescent="0.25">
      <c r="A66" t="s">
        <v>66</v>
      </c>
      <c r="B66" s="70">
        <v>231021106</v>
      </c>
      <c r="C66" s="34">
        <v>46022</v>
      </c>
      <c r="D66" s="66" t="s">
        <v>3565</v>
      </c>
      <c r="E66" t="s">
        <v>3566</v>
      </c>
      <c r="F66" t="s">
        <v>3567</v>
      </c>
      <c r="G66">
        <v>26172</v>
      </c>
      <c r="H66" t="str">
        <f t="shared" si="1"/>
        <v>Check</v>
      </c>
      <c r="I66">
        <v>1</v>
      </c>
    </row>
    <row r="67" spans="1:9" x14ac:dyDescent="0.25">
      <c r="A67" s="67" t="s">
        <v>67</v>
      </c>
      <c r="B67" s="70" t="s">
        <v>3568</v>
      </c>
      <c r="C67" s="34">
        <v>46022</v>
      </c>
      <c r="D67" s="66" t="s">
        <v>3569</v>
      </c>
      <c r="E67" t="s">
        <v>3570</v>
      </c>
      <c r="F67" t="s">
        <v>3571</v>
      </c>
      <c r="G67">
        <v>1628369</v>
      </c>
      <c r="H67" t="str">
        <f t="shared" ref="H67:H130" si="2">IF(E67=A67,1,"Check")</f>
        <v>Check</v>
      </c>
      <c r="I67">
        <v>1</v>
      </c>
    </row>
    <row r="68" spans="1:9" x14ac:dyDescent="0.25">
      <c r="A68" t="s">
        <v>68</v>
      </c>
      <c r="B68" s="70">
        <v>126650100</v>
      </c>
      <c r="C68" s="34">
        <v>46022</v>
      </c>
      <c r="D68" s="66" t="s">
        <v>3572</v>
      </c>
      <c r="E68" t="s">
        <v>3573</v>
      </c>
      <c r="F68" t="s">
        <v>3574</v>
      </c>
      <c r="G68">
        <v>64803</v>
      </c>
      <c r="H68">
        <f t="shared" si="2"/>
        <v>1</v>
      </c>
      <c r="I68">
        <v>1</v>
      </c>
    </row>
    <row r="69" spans="1:9" x14ac:dyDescent="0.25">
      <c r="A69" t="s">
        <v>69</v>
      </c>
      <c r="B69" s="70" t="s">
        <v>3575</v>
      </c>
      <c r="C69" s="34">
        <v>44561</v>
      </c>
      <c r="D69" s="66" t="s">
        <v>3576</v>
      </c>
      <c r="E69" t="s">
        <v>3577</v>
      </c>
      <c r="F69" t="s">
        <v>3578</v>
      </c>
      <c r="G69">
        <v>1553023</v>
      </c>
      <c r="H69">
        <f t="shared" si="2"/>
        <v>1</v>
      </c>
      <c r="I69">
        <v>1</v>
      </c>
    </row>
    <row r="70" spans="1:9" x14ac:dyDescent="0.25">
      <c r="A70" t="s">
        <v>70</v>
      </c>
      <c r="B70" s="70">
        <v>235851102</v>
      </c>
      <c r="C70" s="34">
        <v>46022</v>
      </c>
      <c r="D70" s="66" t="s">
        <v>3579</v>
      </c>
      <c r="E70" t="s">
        <v>3580</v>
      </c>
      <c r="F70" t="s">
        <v>3581</v>
      </c>
      <c r="G70">
        <v>313616</v>
      </c>
      <c r="H70">
        <f t="shared" si="2"/>
        <v>1</v>
      </c>
      <c r="I70">
        <v>1</v>
      </c>
    </row>
    <row r="71" spans="1:9" x14ac:dyDescent="0.25">
      <c r="A71" t="s">
        <v>71</v>
      </c>
      <c r="B71" s="70">
        <v>237266101</v>
      </c>
      <c r="C71" s="34">
        <v>45657</v>
      </c>
      <c r="D71" s="66" t="s">
        <v>3582</v>
      </c>
      <c r="E71" t="s">
        <v>3583</v>
      </c>
      <c r="F71" t="s">
        <v>3584</v>
      </c>
      <c r="G71">
        <v>916540</v>
      </c>
      <c r="H71" t="str">
        <f t="shared" si="2"/>
        <v>Check</v>
      </c>
      <c r="I71">
        <v>1</v>
      </c>
    </row>
    <row r="72" spans="1:9" x14ac:dyDescent="0.25">
      <c r="A72" t="s">
        <v>72</v>
      </c>
      <c r="B72" s="70">
        <v>244199105</v>
      </c>
      <c r="C72" s="34">
        <v>45961</v>
      </c>
      <c r="D72" s="66" t="s">
        <v>3585</v>
      </c>
      <c r="E72" t="s">
        <v>3586</v>
      </c>
      <c r="F72" t="s">
        <v>3587</v>
      </c>
      <c r="G72">
        <v>315189</v>
      </c>
      <c r="H72" t="str">
        <f t="shared" si="2"/>
        <v>Check</v>
      </c>
      <c r="I72">
        <v>1</v>
      </c>
    </row>
    <row r="73" spans="1:9" x14ac:dyDescent="0.25">
      <c r="A73" t="s">
        <v>73</v>
      </c>
      <c r="B73" s="70" t="s">
        <v>3588</v>
      </c>
      <c r="C73" s="34">
        <v>46022</v>
      </c>
      <c r="D73" s="66" t="s">
        <v>3589</v>
      </c>
      <c r="E73" t="s">
        <v>3590</v>
      </c>
      <c r="F73" t="s">
        <v>3591</v>
      </c>
      <c r="G73">
        <v>1090012</v>
      </c>
      <c r="H73">
        <f t="shared" si="2"/>
        <v>1</v>
      </c>
      <c r="I73">
        <v>1</v>
      </c>
    </row>
    <row r="74" spans="1:9" x14ac:dyDescent="0.25">
      <c r="A74" t="s">
        <v>74</v>
      </c>
      <c r="B74" s="70" t="s">
        <v>3592</v>
      </c>
      <c r="C74" s="34">
        <v>45657</v>
      </c>
      <c r="D74" s="66" t="s">
        <v>3593</v>
      </c>
      <c r="E74" t="s">
        <v>3594</v>
      </c>
      <c r="F74" t="s">
        <v>3595</v>
      </c>
      <c r="G74">
        <v>1679688</v>
      </c>
      <c r="H74">
        <f t="shared" si="2"/>
        <v>1</v>
      </c>
      <c r="I74">
        <v>1</v>
      </c>
    </row>
    <row r="75" spans="1:9" x14ac:dyDescent="0.25">
      <c r="A75" t="s">
        <v>75</v>
      </c>
      <c r="B75" s="70" t="s">
        <v>3596</v>
      </c>
      <c r="C75" s="34">
        <v>46022</v>
      </c>
      <c r="D75" s="66" t="s">
        <v>3597</v>
      </c>
      <c r="E75" t="s">
        <v>3598</v>
      </c>
      <c r="F75" t="s">
        <v>3599</v>
      </c>
      <c r="G75">
        <v>715957</v>
      </c>
      <c r="H75">
        <f t="shared" si="2"/>
        <v>1</v>
      </c>
      <c r="I75">
        <v>1</v>
      </c>
    </row>
    <row r="76" spans="1:9" x14ac:dyDescent="0.25">
      <c r="A76" t="s">
        <v>76</v>
      </c>
      <c r="B76" s="70">
        <v>260557103</v>
      </c>
      <c r="C76" s="34">
        <v>46022</v>
      </c>
      <c r="D76" s="66" t="s">
        <v>3600</v>
      </c>
      <c r="E76" t="s">
        <v>3601</v>
      </c>
      <c r="F76" t="s">
        <v>3602</v>
      </c>
      <c r="G76">
        <v>1751788</v>
      </c>
      <c r="H76">
        <f t="shared" si="2"/>
        <v>1</v>
      </c>
      <c r="I76">
        <v>1</v>
      </c>
    </row>
    <row r="77" spans="1:9" x14ac:dyDescent="0.25">
      <c r="A77" t="s">
        <v>77</v>
      </c>
      <c r="B77" s="70" t="s">
        <v>3603</v>
      </c>
      <c r="C77" s="34">
        <v>46022</v>
      </c>
      <c r="D77" s="66" t="s">
        <v>3604</v>
      </c>
      <c r="E77" t="s">
        <v>3605</v>
      </c>
      <c r="F77" t="s">
        <v>3606</v>
      </c>
      <c r="G77">
        <v>1666700</v>
      </c>
      <c r="H77">
        <f t="shared" si="2"/>
        <v>1</v>
      </c>
      <c r="I77">
        <v>1</v>
      </c>
    </row>
    <row r="78" spans="1:9" x14ac:dyDescent="0.25">
      <c r="A78" t="s">
        <v>78</v>
      </c>
      <c r="B78" s="70" t="s">
        <v>3607</v>
      </c>
      <c r="C78" s="34">
        <v>45291</v>
      </c>
      <c r="D78" s="66" t="s">
        <v>3608</v>
      </c>
      <c r="E78" t="s">
        <v>3609</v>
      </c>
      <c r="F78" t="s">
        <v>3610</v>
      </c>
      <c r="G78">
        <v>1322439</v>
      </c>
      <c r="H78">
        <f t="shared" si="2"/>
        <v>1</v>
      </c>
      <c r="I78">
        <v>1</v>
      </c>
    </row>
    <row r="79" spans="1:9" x14ac:dyDescent="0.25">
      <c r="A79" t="s">
        <v>79</v>
      </c>
      <c r="B79" s="70">
        <v>278865100</v>
      </c>
      <c r="C79" s="34">
        <v>46022</v>
      </c>
      <c r="D79" s="66" t="s">
        <v>3611</v>
      </c>
      <c r="E79" t="s">
        <v>3612</v>
      </c>
      <c r="F79" t="s">
        <v>3613</v>
      </c>
      <c r="G79">
        <v>31462</v>
      </c>
      <c r="H79">
        <f t="shared" si="2"/>
        <v>1</v>
      </c>
      <c r="I79">
        <v>1</v>
      </c>
    </row>
    <row r="80" spans="1:9" x14ac:dyDescent="0.25">
      <c r="A80" t="s">
        <v>80</v>
      </c>
      <c r="B80" s="70" t="s">
        <v>3614</v>
      </c>
      <c r="C80" s="34">
        <v>45657</v>
      </c>
      <c r="D80" s="66" t="s">
        <v>3615</v>
      </c>
      <c r="E80" t="s">
        <v>3616</v>
      </c>
      <c r="F80" t="s">
        <v>3617</v>
      </c>
      <c r="G80">
        <v>1333493</v>
      </c>
      <c r="H80">
        <f t="shared" si="2"/>
        <v>1</v>
      </c>
      <c r="I80">
        <v>1</v>
      </c>
    </row>
    <row r="81" spans="1:9" x14ac:dyDescent="0.25">
      <c r="A81" t="s">
        <v>81</v>
      </c>
      <c r="B81" s="70" t="s">
        <v>3618</v>
      </c>
      <c r="C81" s="34">
        <v>46022</v>
      </c>
      <c r="D81" s="66" t="s">
        <v>3619</v>
      </c>
      <c r="E81" t="s">
        <v>3620</v>
      </c>
      <c r="F81" t="s">
        <v>3621</v>
      </c>
      <c r="G81">
        <v>1421517</v>
      </c>
      <c r="H81" t="str">
        <f t="shared" si="2"/>
        <v>Check</v>
      </c>
      <c r="I81">
        <v>1</v>
      </c>
    </row>
    <row r="82" spans="1:9" x14ac:dyDescent="0.25">
      <c r="A82" t="s">
        <v>82</v>
      </c>
      <c r="B82" s="70" t="s">
        <v>3622</v>
      </c>
      <c r="C82" s="34">
        <v>46022</v>
      </c>
      <c r="D82" s="66" t="s">
        <v>3623</v>
      </c>
      <c r="E82" t="s">
        <v>3624</v>
      </c>
      <c r="F82" t="s">
        <v>3625</v>
      </c>
      <c r="G82">
        <v>1757073</v>
      </c>
      <c r="H82">
        <f t="shared" si="2"/>
        <v>1</v>
      </c>
      <c r="I82">
        <v>1</v>
      </c>
    </row>
    <row r="83" spans="1:9" x14ac:dyDescent="0.25">
      <c r="A83" t="s">
        <v>83</v>
      </c>
      <c r="B83" s="70" t="s">
        <v>3626</v>
      </c>
      <c r="C83" s="34">
        <v>45291</v>
      </c>
      <c r="D83" s="66" t="s">
        <v>3627</v>
      </c>
      <c r="E83" t="s">
        <v>3628</v>
      </c>
      <c r="F83" t="s">
        <v>3629</v>
      </c>
      <c r="G83">
        <v>1592057</v>
      </c>
      <c r="H83" t="str">
        <f t="shared" si="2"/>
        <v>Check</v>
      </c>
      <c r="I83">
        <v>1</v>
      </c>
    </row>
    <row r="84" spans="1:9" x14ac:dyDescent="0.25">
      <c r="A84" t="s">
        <v>84</v>
      </c>
      <c r="B84" s="70" t="s">
        <v>3630</v>
      </c>
      <c r="C84" s="34">
        <v>46022</v>
      </c>
      <c r="D84" s="66" t="s">
        <v>3631</v>
      </c>
      <c r="E84" t="s">
        <v>3632</v>
      </c>
      <c r="F84" t="s">
        <v>3633</v>
      </c>
      <c r="G84">
        <v>33213</v>
      </c>
      <c r="H84">
        <f t="shared" si="2"/>
        <v>1</v>
      </c>
      <c r="I84">
        <v>1</v>
      </c>
    </row>
    <row r="85" spans="1:9" x14ac:dyDescent="0.25">
      <c r="A85" t="s">
        <v>85</v>
      </c>
      <c r="B85" s="70">
        <v>294600101</v>
      </c>
      <c r="C85" s="34">
        <v>45291</v>
      </c>
      <c r="D85" s="66" t="s">
        <v>3634</v>
      </c>
      <c r="E85" t="s">
        <v>3635</v>
      </c>
      <c r="F85" t="s">
        <v>3636</v>
      </c>
      <c r="G85">
        <v>1747009</v>
      </c>
      <c r="H85" t="str">
        <f t="shared" si="2"/>
        <v>Check</v>
      </c>
      <c r="I85">
        <v>1</v>
      </c>
    </row>
    <row r="86" spans="1:9" x14ac:dyDescent="0.25">
      <c r="A86" t="s">
        <v>86</v>
      </c>
      <c r="B86" s="70" t="s">
        <v>3637</v>
      </c>
      <c r="C86" s="34">
        <v>45657</v>
      </c>
      <c r="D86" s="66" t="s">
        <v>3638</v>
      </c>
      <c r="E86" t="s">
        <v>3639</v>
      </c>
      <c r="F86" t="s">
        <v>3640</v>
      </c>
      <c r="G86">
        <v>78128</v>
      </c>
      <c r="H86">
        <f t="shared" si="2"/>
        <v>1</v>
      </c>
      <c r="I86">
        <v>1</v>
      </c>
    </row>
    <row r="87" spans="1:9" x14ac:dyDescent="0.25">
      <c r="A87" t="s">
        <v>87</v>
      </c>
      <c r="B87" s="70">
        <v>297178105</v>
      </c>
      <c r="C87" s="34">
        <v>46022</v>
      </c>
      <c r="D87" s="66" t="s">
        <v>3641</v>
      </c>
      <c r="E87" t="s">
        <v>3642</v>
      </c>
      <c r="F87" t="s">
        <v>3643</v>
      </c>
      <c r="G87">
        <v>920522</v>
      </c>
      <c r="H87" t="str">
        <f t="shared" si="2"/>
        <v>Check</v>
      </c>
      <c r="I87">
        <v>1</v>
      </c>
    </row>
    <row r="88" spans="1:9" x14ac:dyDescent="0.25">
      <c r="A88" t="s">
        <v>88</v>
      </c>
      <c r="B88" s="70">
        <v>518439104</v>
      </c>
      <c r="C88" s="34">
        <v>45838</v>
      </c>
      <c r="D88" s="66" t="s">
        <v>3644</v>
      </c>
      <c r="E88" t="s">
        <v>3645</v>
      </c>
      <c r="F88" t="s">
        <v>3646</v>
      </c>
      <c r="G88">
        <v>1001250</v>
      </c>
      <c r="H88" t="str">
        <f t="shared" si="2"/>
        <v>Check</v>
      </c>
      <c r="I88">
        <v>1</v>
      </c>
    </row>
    <row r="89" spans="1:9" x14ac:dyDescent="0.25">
      <c r="A89" t="s">
        <v>89</v>
      </c>
      <c r="B89" s="70" t="s">
        <v>3647</v>
      </c>
      <c r="C89" s="34">
        <v>46022</v>
      </c>
      <c r="D89" s="66" t="s">
        <v>3648</v>
      </c>
      <c r="E89" t="s">
        <v>3649</v>
      </c>
      <c r="F89" t="s">
        <v>3650</v>
      </c>
      <c r="G89">
        <v>1109357</v>
      </c>
      <c r="H89">
        <f t="shared" si="2"/>
        <v>1</v>
      </c>
      <c r="I89">
        <v>1</v>
      </c>
    </row>
    <row r="90" spans="1:9" x14ac:dyDescent="0.25">
      <c r="A90" t="s">
        <v>90</v>
      </c>
      <c r="B90" s="70" t="s">
        <v>3651</v>
      </c>
      <c r="C90" s="34">
        <v>45808</v>
      </c>
      <c r="D90" s="66" t="s">
        <v>3652</v>
      </c>
      <c r="E90" t="s">
        <v>3653</v>
      </c>
      <c r="F90" t="s">
        <v>3654</v>
      </c>
      <c r="G90">
        <v>1048911</v>
      </c>
      <c r="H90">
        <f t="shared" si="2"/>
        <v>1</v>
      </c>
      <c r="I90">
        <v>1</v>
      </c>
    </row>
    <row r="91" spans="1:9" x14ac:dyDescent="0.25">
      <c r="A91" t="s">
        <v>91</v>
      </c>
      <c r="B91" s="70">
        <v>316773100</v>
      </c>
      <c r="C91" s="34">
        <v>46022</v>
      </c>
      <c r="D91" s="66" t="s">
        <v>3655</v>
      </c>
      <c r="E91" t="s">
        <v>3656</v>
      </c>
      <c r="F91" t="s">
        <v>3657</v>
      </c>
      <c r="G91">
        <v>35527</v>
      </c>
      <c r="H91">
        <f t="shared" si="2"/>
        <v>1</v>
      </c>
      <c r="I91">
        <v>1</v>
      </c>
    </row>
    <row r="92" spans="1:9" x14ac:dyDescent="0.25">
      <c r="A92" t="s">
        <v>92</v>
      </c>
      <c r="B92" s="70" t="s">
        <v>3658</v>
      </c>
      <c r="C92" s="34">
        <v>45747</v>
      </c>
      <c r="D92" s="66" t="s">
        <v>3659</v>
      </c>
      <c r="E92" t="s">
        <v>3660</v>
      </c>
      <c r="F92" t="s">
        <v>3661</v>
      </c>
      <c r="G92">
        <v>866374</v>
      </c>
      <c r="H92">
        <f t="shared" si="2"/>
        <v>1</v>
      </c>
      <c r="I92">
        <v>1</v>
      </c>
    </row>
    <row r="93" spans="1:9" x14ac:dyDescent="0.25">
      <c r="A93" t="s">
        <v>93</v>
      </c>
      <c r="B93" s="70" t="s">
        <v>3662</v>
      </c>
      <c r="C93" s="34">
        <v>46022</v>
      </c>
      <c r="D93" t="s">
        <v>3663</v>
      </c>
      <c r="E93" t="s">
        <v>3664</v>
      </c>
      <c r="F93" t="s">
        <v>3665</v>
      </c>
      <c r="G93">
        <v>30625</v>
      </c>
      <c r="H93">
        <f t="shared" si="2"/>
        <v>1</v>
      </c>
      <c r="I93">
        <v>1</v>
      </c>
    </row>
    <row r="94" spans="1:9" x14ac:dyDescent="0.25">
      <c r="A94" t="s">
        <v>94</v>
      </c>
      <c r="B94" s="70">
        <v>344849104</v>
      </c>
      <c r="C94" s="34">
        <v>45688</v>
      </c>
      <c r="D94" s="66" t="s">
        <v>3666</v>
      </c>
      <c r="E94" t="s">
        <v>3667</v>
      </c>
      <c r="F94" t="s">
        <v>3668</v>
      </c>
      <c r="G94">
        <v>850209</v>
      </c>
      <c r="H94">
        <f t="shared" si="2"/>
        <v>1</v>
      </c>
      <c r="I94">
        <v>1</v>
      </c>
    </row>
    <row r="95" spans="1:9" x14ac:dyDescent="0.25">
      <c r="A95" t="s">
        <v>95</v>
      </c>
      <c r="B95" s="70">
        <v>370334104</v>
      </c>
      <c r="C95" s="34">
        <v>45808</v>
      </c>
      <c r="D95" s="66" t="s">
        <v>3669</v>
      </c>
      <c r="E95" t="s">
        <v>3670</v>
      </c>
      <c r="F95" t="s">
        <v>3671</v>
      </c>
      <c r="G95">
        <v>40704</v>
      </c>
      <c r="H95">
        <f t="shared" si="2"/>
        <v>1</v>
      </c>
      <c r="I95">
        <v>1</v>
      </c>
    </row>
    <row r="96" spans="1:9" x14ac:dyDescent="0.25">
      <c r="A96" t="s">
        <v>96</v>
      </c>
      <c r="B96" s="70" t="s">
        <v>3672</v>
      </c>
      <c r="C96" s="34">
        <v>46022</v>
      </c>
      <c r="D96" s="66" t="s">
        <v>3673</v>
      </c>
      <c r="E96" t="s">
        <v>3674</v>
      </c>
      <c r="F96" t="s">
        <v>3675</v>
      </c>
      <c r="G96">
        <v>1467858</v>
      </c>
      <c r="H96" t="str">
        <f t="shared" si="2"/>
        <v>Check</v>
      </c>
      <c r="I96">
        <v>1</v>
      </c>
    </row>
    <row r="97" spans="1:9" x14ac:dyDescent="0.25">
      <c r="A97" t="s">
        <v>97</v>
      </c>
      <c r="B97" s="70" t="s">
        <v>3676</v>
      </c>
      <c r="C97" s="34">
        <v>46022</v>
      </c>
      <c r="D97" s="66" t="s">
        <v>3677</v>
      </c>
      <c r="E97" t="s">
        <v>3678</v>
      </c>
      <c r="F97" t="s">
        <v>3679</v>
      </c>
      <c r="G97">
        <v>903129</v>
      </c>
      <c r="H97">
        <f t="shared" si="2"/>
        <v>1</v>
      </c>
      <c r="I97">
        <v>1</v>
      </c>
    </row>
    <row r="98" spans="1:9" x14ac:dyDescent="0.25">
      <c r="A98" t="s">
        <v>98</v>
      </c>
      <c r="B98" s="70">
        <v>388689101</v>
      </c>
      <c r="C98" s="34">
        <v>46022</v>
      </c>
      <c r="D98" s="66" t="s">
        <v>3680</v>
      </c>
      <c r="E98" t="s">
        <v>3681</v>
      </c>
      <c r="F98" t="s">
        <v>3682</v>
      </c>
      <c r="G98">
        <v>1408075</v>
      </c>
      <c r="H98">
        <f t="shared" si="2"/>
        <v>1</v>
      </c>
      <c r="I98">
        <v>1</v>
      </c>
    </row>
    <row r="99" spans="1:9" x14ac:dyDescent="0.25">
      <c r="A99" t="s">
        <v>99</v>
      </c>
      <c r="B99" s="70">
        <v>393657101</v>
      </c>
      <c r="C99" s="34">
        <v>45900</v>
      </c>
      <c r="D99" s="66" t="s">
        <v>3683</v>
      </c>
      <c r="E99" t="s">
        <v>3684</v>
      </c>
      <c r="F99" t="s">
        <v>3685</v>
      </c>
      <c r="G99">
        <v>923120</v>
      </c>
      <c r="H99" t="str">
        <f t="shared" si="2"/>
        <v>Check</v>
      </c>
      <c r="I99">
        <v>1</v>
      </c>
    </row>
    <row r="100" spans="1:9" x14ac:dyDescent="0.25">
      <c r="A100" t="s">
        <v>3686</v>
      </c>
      <c r="B100" s="70">
        <v>397624107</v>
      </c>
      <c r="C100" s="34">
        <v>45930</v>
      </c>
      <c r="D100" s="66" t="s">
        <v>3687</v>
      </c>
      <c r="E100" t="s">
        <v>3688</v>
      </c>
      <c r="F100" t="s">
        <v>3689</v>
      </c>
      <c r="G100">
        <v>43920</v>
      </c>
      <c r="H100" t="str">
        <f t="shared" si="2"/>
        <v>Check</v>
      </c>
      <c r="I100">
        <v>1</v>
      </c>
    </row>
    <row r="101" spans="1:9" x14ac:dyDescent="0.25">
      <c r="A101" s="4" t="s">
        <v>100</v>
      </c>
      <c r="B101" s="70">
        <v>401617105</v>
      </c>
      <c r="C101" s="34">
        <v>45688</v>
      </c>
      <c r="D101" s="66" t="s">
        <v>4270</v>
      </c>
      <c r="E101" t="s">
        <v>4245</v>
      </c>
      <c r="F101" t="s">
        <v>4244</v>
      </c>
      <c r="G101">
        <v>912463</v>
      </c>
      <c r="H101" t="str">
        <f t="shared" si="2"/>
        <v>Check</v>
      </c>
      <c r="I101">
        <v>1</v>
      </c>
    </row>
    <row r="102" spans="1:9" x14ac:dyDescent="0.25">
      <c r="A102" t="s">
        <v>101</v>
      </c>
      <c r="B102" s="70">
        <v>415864107</v>
      </c>
      <c r="C102" s="34">
        <v>46022</v>
      </c>
      <c r="D102" s="66" t="s">
        <v>3690</v>
      </c>
      <c r="E102" t="s">
        <v>3691</v>
      </c>
      <c r="F102" t="s">
        <v>3692</v>
      </c>
      <c r="G102">
        <v>45876</v>
      </c>
      <c r="H102" t="str">
        <f t="shared" si="2"/>
        <v>Check</v>
      </c>
      <c r="I102" t="s">
        <v>3693</v>
      </c>
    </row>
    <row r="103" spans="1:9" x14ac:dyDescent="0.25">
      <c r="A103" t="s">
        <v>102</v>
      </c>
      <c r="B103" s="70">
        <v>419870100</v>
      </c>
      <c r="C103" s="34">
        <v>45657</v>
      </c>
      <c r="D103" s="66" t="s">
        <v>3694</v>
      </c>
      <c r="E103" t="s">
        <v>3695</v>
      </c>
      <c r="F103" t="s">
        <v>3696</v>
      </c>
      <c r="G103">
        <v>354707</v>
      </c>
      <c r="H103" t="str">
        <f t="shared" si="2"/>
        <v>Check</v>
      </c>
      <c r="I103">
        <v>1</v>
      </c>
    </row>
    <row r="104" spans="1:9" x14ac:dyDescent="0.25">
      <c r="A104" t="s">
        <v>103</v>
      </c>
      <c r="B104" s="70">
        <v>419879101</v>
      </c>
      <c r="C104" s="34">
        <v>45291</v>
      </c>
      <c r="D104" s="66" t="s">
        <v>3697</v>
      </c>
      <c r="E104" t="s">
        <v>3698</v>
      </c>
      <c r="F104" t="s">
        <v>3699</v>
      </c>
      <c r="G104">
        <v>1172222</v>
      </c>
      <c r="H104">
        <f t="shared" si="2"/>
        <v>1</v>
      </c>
      <c r="I104">
        <v>1</v>
      </c>
    </row>
    <row r="105" spans="1:9" x14ac:dyDescent="0.25">
      <c r="A105" t="s">
        <v>104</v>
      </c>
      <c r="B105" s="70" t="s">
        <v>3700</v>
      </c>
      <c r="C105" s="34">
        <v>46022</v>
      </c>
      <c r="D105" s="66" t="s">
        <v>3701</v>
      </c>
      <c r="E105" t="s">
        <v>3702</v>
      </c>
      <c r="F105" t="s">
        <v>3703</v>
      </c>
      <c r="G105">
        <v>765880</v>
      </c>
      <c r="H105">
        <f t="shared" si="2"/>
        <v>1</v>
      </c>
      <c r="I105">
        <v>1</v>
      </c>
    </row>
    <row r="106" spans="1:9" x14ac:dyDescent="0.25">
      <c r="A106" t="s">
        <v>105</v>
      </c>
      <c r="B106" s="70">
        <v>427866108</v>
      </c>
      <c r="C106" s="34">
        <v>46022</v>
      </c>
      <c r="D106" s="66" t="s">
        <v>3704</v>
      </c>
      <c r="E106" t="s">
        <v>3705</v>
      </c>
      <c r="F106" t="s">
        <v>3706</v>
      </c>
      <c r="G106">
        <v>47111</v>
      </c>
      <c r="H106" t="str">
        <f t="shared" si="2"/>
        <v>Check</v>
      </c>
      <c r="I106">
        <v>1</v>
      </c>
    </row>
    <row r="107" spans="1:9" x14ac:dyDescent="0.25">
      <c r="A107" t="s">
        <v>106</v>
      </c>
      <c r="B107" s="70" t="s">
        <v>3707</v>
      </c>
      <c r="C107" s="34">
        <v>45657</v>
      </c>
      <c r="D107" s="66" t="s">
        <v>3708</v>
      </c>
      <c r="E107" t="s">
        <v>3709</v>
      </c>
      <c r="F107" t="s">
        <v>3710</v>
      </c>
      <c r="G107">
        <v>4447</v>
      </c>
      <c r="H107">
        <f t="shared" si="2"/>
        <v>1</v>
      </c>
      <c r="I107">
        <v>1</v>
      </c>
    </row>
    <row r="108" spans="1:9" x14ac:dyDescent="0.25">
      <c r="A108" t="s">
        <v>107</v>
      </c>
      <c r="B108" s="70" t="s">
        <v>3711</v>
      </c>
      <c r="C108" s="34">
        <v>45961</v>
      </c>
      <c r="D108" s="66" t="s">
        <v>3712</v>
      </c>
      <c r="E108" t="s">
        <v>3713</v>
      </c>
      <c r="F108" t="s">
        <v>3714</v>
      </c>
      <c r="G108">
        <v>1645590</v>
      </c>
      <c r="H108" t="str">
        <f t="shared" si="2"/>
        <v>Check</v>
      </c>
      <c r="I108">
        <v>1</v>
      </c>
    </row>
    <row r="109" spans="1:9" x14ac:dyDescent="0.25">
      <c r="A109" t="s">
        <v>108</v>
      </c>
      <c r="B109" s="70">
        <v>436440101</v>
      </c>
      <c r="C109" s="34">
        <v>45930</v>
      </c>
      <c r="D109" s="66" t="s">
        <v>3715</v>
      </c>
      <c r="E109" t="s">
        <v>3716</v>
      </c>
      <c r="F109" t="s">
        <v>3717</v>
      </c>
      <c r="G109">
        <v>859737</v>
      </c>
      <c r="H109">
        <f t="shared" si="2"/>
        <v>1</v>
      </c>
      <c r="I109">
        <v>1</v>
      </c>
    </row>
    <row r="110" spans="1:9" x14ac:dyDescent="0.25">
      <c r="A110" t="s">
        <v>109</v>
      </c>
      <c r="B110" s="70">
        <v>437076102</v>
      </c>
      <c r="C110" s="34">
        <v>46053</v>
      </c>
      <c r="D110" s="66" t="s">
        <v>3718</v>
      </c>
      <c r="E110" t="s">
        <v>3719</v>
      </c>
      <c r="F110" t="s">
        <v>3720</v>
      </c>
      <c r="G110">
        <v>354950</v>
      </c>
      <c r="H110" t="str">
        <f t="shared" si="2"/>
        <v>Check</v>
      </c>
      <c r="I110">
        <v>1</v>
      </c>
    </row>
    <row r="111" spans="1:9" x14ac:dyDescent="0.25">
      <c r="A111" t="s">
        <v>110</v>
      </c>
      <c r="B111" s="70">
        <v>443201108</v>
      </c>
      <c r="C111" s="34">
        <v>46022</v>
      </c>
      <c r="D111" s="66" t="s">
        <v>3721</v>
      </c>
      <c r="E111" t="s">
        <v>3722</v>
      </c>
      <c r="F111" t="s">
        <v>3723</v>
      </c>
      <c r="G111">
        <v>4281</v>
      </c>
      <c r="H111">
        <f t="shared" si="2"/>
        <v>1</v>
      </c>
      <c r="I111">
        <v>1</v>
      </c>
    </row>
    <row r="112" spans="1:9" x14ac:dyDescent="0.25">
      <c r="A112" t="s">
        <v>111</v>
      </c>
      <c r="B112" s="70" t="s">
        <v>3724</v>
      </c>
      <c r="C112" s="34">
        <v>45961</v>
      </c>
      <c r="D112" s="66" t="s">
        <v>3725</v>
      </c>
      <c r="E112" t="s">
        <v>3726</v>
      </c>
      <c r="F112" t="s">
        <v>3727</v>
      </c>
      <c r="G112">
        <v>47217</v>
      </c>
      <c r="H112">
        <f t="shared" si="2"/>
        <v>1</v>
      </c>
      <c r="I112">
        <v>1</v>
      </c>
    </row>
    <row r="113" spans="1:9" x14ac:dyDescent="0.25">
      <c r="A113" t="s">
        <v>112</v>
      </c>
      <c r="B113" s="70">
        <v>447011107</v>
      </c>
      <c r="C113" s="34">
        <v>46022</v>
      </c>
      <c r="D113" t="s">
        <v>3728</v>
      </c>
      <c r="E113" t="s">
        <v>3729</v>
      </c>
      <c r="F113" t="s">
        <v>3730</v>
      </c>
      <c r="G113">
        <v>1307954</v>
      </c>
      <c r="H113">
        <f t="shared" si="2"/>
        <v>1</v>
      </c>
      <c r="I113">
        <v>1</v>
      </c>
    </row>
    <row r="114" spans="1:9" x14ac:dyDescent="0.25">
      <c r="A114" t="s">
        <v>113</v>
      </c>
      <c r="B114" s="70">
        <v>459200101</v>
      </c>
      <c r="C114" s="34">
        <v>46022</v>
      </c>
      <c r="D114" s="66" t="s">
        <v>3731</v>
      </c>
      <c r="E114" t="s">
        <v>3732</v>
      </c>
      <c r="F114" t="s">
        <v>3733</v>
      </c>
      <c r="G114">
        <v>51143</v>
      </c>
      <c r="H114" t="str">
        <f t="shared" si="2"/>
        <v>Check</v>
      </c>
      <c r="I114">
        <v>1</v>
      </c>
    </row>
    <row r="115" spans="1:9" x14ac:dyDescent="0.25">
      <c r="A115" t="s">
        <v>114</v>
      </c>
      <c r="B115" s="70" t="s">
        <v>3734</v>
      </c>
      <c r="C115" s="34">
        <v>46022</v>
      </c>
      <c r="D115" s="66" t="s">
        <v>3735</v>
      </c>
      <c r="E115" t="s">
        <v>3736</v>
      </c>
      <c r="F115" t="s">
        <v>3737</v>
      </c>
      <c r="G115">
        <v>879169</v>
      </c>
      <c r="H115">
        <f t="shared" si="2"/>
        <v>1</v>
      </c>
      <c r="I115">
        <v>1</v>
      </c>
    </row>
    <row r="116" spans="1:9" x14ac:dyDescent="0.25">
      <c r="A116" t="s">
        <v>115</v>
      </c>
      <c r="B116" s="70" t="s">
        <v>3738</v>
      </c>
      <c r="C116" s="34">
        <v>46022</v>
      </c>
      <c r="D116" s="66" t="s">
        <v>3739</v>
      </c>
      <c r="E116" t="s">
        <v>3740</v>
      </c>
      <c r="F116" t="s">
        <v>3741</v>
      </c>
      <c r="G116">
        <v>1145197</v>
      </c>
      <c r="H116">
        <f t="shared" si="2"/>
        <v>1</v>
      </c>
      <c r="I116">
        <v>1</v>
      </c>
    </row>
    <row r="117" spans="1:9" x14ac:dyDescent="0.25">
      <c r="A117" t="s">
        <v>116</v>
      </c>
      <c r="B117" s="70">
        <v>458140100</v>
      </c>
      <c r="C117" s="34">
        <v>46022</v>
      </c>
      <c r="D117" s="66" t="s">
        <v>3742</v>
      </c>
      <c r="E117" t="s">
        <v>3743</v>
      </c>
      <c r="F117" t="s">
        <v>3744</v>
      </c>
      <c r="G117">
        <v>50863</v>
      </c>
      <c r="H117">
        <f t="shared" si="2"/>
        <v>1</v>
      </c>
      <c r="I117">
        <v>1</v>
      </c>
    </row>
    <row r="118" spans="1:9" x14ac:dyDescent="0.25">
      <c r="A118" t="s">
        <v>117</v>
      </c>
      <c r="B118" s="70">
        <v>459506101</v>
      </c>
      <c r="C118" s="34">
        <v>46022</v>
      </c>
      <c r="D118" s="66" t="s">
        <v>3745</v>
      </c>
      <c r="E118" t="s">
        <v>3746</v>
      </c>
      <c r="F118" t="s">
        <v>3747</v>
      </c>
      <c r="G118">
        <v>51253</v>
      </c>
      <c r="H118" t="str">
        <f t="shared" si="2"/>
        <v>Check</v>
      </c>
      <c r="I118">
        <v>1</v>
      </c>
    </row>
    <row r="119" spans="1:9" x14ac:dyDescent="0.25">
      <c r="A119" t="s">
        <v>118</v>
      </c>
      <c r="B119" s="70">
        <v>460690100</v>
      </c>
      <c r="C119" s="34">
        <v>45657</v>
      </c>
      <c r="D119" s="66" t="s">
        <v>3748</v>
      </c>
      <c r="E119" t="s">
        <v>3749</v>
      </c>
      <c r="F119" t="s">
        <v>3750</v>
      </c>
      <c r="G119">
        <v>51644</v>
      </c>
      <c r="H119" t="str">
        <f t="shared" si="2"/>
        <v>Check</v>
      </c>
      <c r="I119">
        <v>1</v>
      </c>
    </row>
    <row r="120" spans="1:9" x14ac:dyDescent="0.25">
      <c r="A120" t="s">
        <v>119</v>
      </c>
      <c r="B120" s="70">
        <v>445658107</v>
      </c>
      <c r="C120" s="34">
        <v>46022</v>
      </c>
      <c r="D120" s="66" t="s">
        <v>3751</v>
      </c>
      <c r="E120" t="s">
        <v>3752</v>
      </c>
      <c r="F120" t="s">
        <v>3753</v>
      </c>
      <c r="G120">
        <v>728535</v>
      </c>
      <c r="H120" t="str">
        <f t="shared" si="2"/>
        <v>Check</v>
      </c>
      <c r="I120">
        <v>1</v>
      </c>
    </row>
    <row r="121" spans="1:9" x14ac:dyDescent="0.25">
      <c r="A121" t="s">
        <v>120</v>
      </c>
      <c r="B121" s="70" t="s">
        <v>3754</v>
      </c>
      <c r="C121" s="34">
        <v>46022</v>
      </c>
      <c r="D121" s="66" t="s">
        <v>3755</v>
      </c>
      <c r="E121" t="s">
        <v>3756</v>
      </c>
      <c r="F121" t="s">
        <v>3757</v>
      </c>
      <c r="G121">
        <v>1689796</v>
      </c>
      <c r="H121" t="str">
        <f t="shared" si="2"/>
        <v>Check</v>
      </c>
      <c r="I121">
        <v>1</v>
      </c>
    </row>
    <row r="122" spans="1:9" x14ac:dyDescent="0.25">
      <c r="A122" s="73" t="s">
        <v>3339</v>
      </c>
      <c r="B122" s="70" t="s">
        <v>4233</v>
      </c>
      <c r="C122" s="75">
        <v>45777</v>
      </c>
      <c r="D122" t="s">
        <v>4234</v>
      </c>
      <c r="E122" t="s">
        <v>3341</v>
      </c>
      <c r="F122" t="s">
        <v>4235</v>
      </c>
      <c r="G122">
        <v>91419</v>
      </c>
      <c r="H122" t="str">
        <f t="shared" si="2"/>
        <v>Check</v>
      </c>
      <c r="I122">
        <v>1</v>
      </c>
    </row>
    <row r="123" spans="1:9" x14ac:dyDescent="0.25">
      <c r="A123" t="s">
        <v>121</v>
      </c>
      <c r="B123" s="70">
        <v>478160104</v>
      </c>
      <c r="C123" s="34">
        <v>46022</v>
      </c>
      <c r="D123" s="66" t="s">
        <v>3758</v>
      </c>
      <c r="E123" t="s">
        <v>3759</v>
      </c>
      <c r="F123" t="s">
        <v>3760</v>
      </c>
      <c r="G123">
        <v>200406</v>
      </c>
      <c r="H123">
        <f t="shared" si="2"/>
        <v>1</v>
      </c>
      <c r="I123">
        <v>1</v>
      </c>
    </row>
    <row r="124" spans="1:9" x14ac:dyDescent="0.25">
      <c r="A124" t="s">
        <v>122</v>
      </c>
      <c r="B124" s="70" t="s">
        <v>3761</v>
      </c>
      <c r="C124" s="34">
        <v>45930</v>
      </c>
      <c r="D124" s="66" t="s">
        <v>3762</v>
      </c>
      <c r="E124" t="s">
        <v>3763</v>
      </c>
      <c r="F124" t="s">
        <v>3764</v>
      </c>
      <c r="G124">
        <v>833444</v>
      </c>
      <c r="H124" t="str">
        <f t="shared" si="2"/>
        <v>Check</v>
      </c>
      <c r="I124">
        <v>1</v>
      </c>
    </row>
    <row r="125" spans="1:9" x14ac:dyDescent="0.25">
      <c r="A125" t="s">
        <v>123</v>
      </c>
      <c r="B125" s="70" t="s">
        <v>3765</v>
      </c>
      <c r="C125" s="34">
        <v>46022</v>
      </c>
      <c r="D125" s="66" t="s">
        <v>3766</v>
      </c>
      <c r="E125" t="s">
        <v>3767</v>
      </c>
      <c r="F125" t="s">
        <v>3768</v>
      </c>
      <c r="G125">
        <v>19617</v>
      </c>
      <c r="H125">
        <f t="shared" si="2"/>
        <v>1</v>
      </c>
      <c r="I125">
        <v>1</v>
      </c>
    </row>
    <row r="126" spans="1:9" x14ac:dyDescent="0.25">
      <c r="A126" t="s">
        <v>124</v>
      </c>
      <c r="B126" s="70" t="s">
        <v>3769</v>
      </c>
      <c r="C126" s="34">
        <v>45657</v>
      </c>
      <c r="D126" s="66" t="s">
        <v>3770</v>
      </c>
      <c r="E126" t="s">
        <v>3771</v>
      </c>
      <c r="F126" t="s">
        <v>3772</v>
      </c>
      <c r="G126">
        <v>886346</v>
      </c>
      <c r="H126" t="str">
        <f t="shared" si="2"/>
        <v>Check</v>
      </c>
      <c r="I126">
        <v>1</v>
      </c>
    </row>
    <row r="127" spans="1:9" x14ac:dyDescent="0.25">
      <c r="A127" t="s">
        <v>125</v>
      </c>
      <c r="B127" s="70" t="s">
        <v>3773</v>
      </c>
      <c r="C127" s="34">
        <v>45991</v>
      </c>
      <c r="D127" s="66" t="s">
        <v>3774</v>
      </c>
      <c r="E127" t="s">
        <v>3775</v>
      </c>
      <c r="F127" t="s">
        <v>3776</v>
      </c>
      <c r="G127">
        <v>795266</v>
      </c>
      <c r="H127">
        <f t="shared" si="2"/>
        <v>1</v>
      </c>
      <c r="I127">
        <v>1</v>
      </c>
    </row>
    <row r="128" spans="1:9" x14ac:dyDescent="0.25">
      <c r="A128" t="s">
        <v>126</v>
      </c>
      <c r="B128" s="70" t="s">
        <v>3777</v>
      </c>
      <c r="C128" s="34">
        <v>46022</v>
      </c>
      <c r="D128" s="66" t="s">
        <v>3778</v>
      </c>
      <c r="E128" t="s">
        <v>3779</v>
      </c>
      <c r="F128" t="s">
        <v>3780</v>
      </c>
      <c r="G128">
        <v>1357615</v>
      </c>
      <c r="H128">
        <f t="shared" si="2"/>
        <v>1</v>
      </c>
      <c r="I128">
        <v>1</v>
      </c>
    </row>
    <row r="129" spans="1:9" x14ac:dyDescent="0.25">
      <c r="A129" t="s">
        <v>127</v>
      </c>
      <c r="B129" s="70">
        <v>487836108</v>
      </c>
      <c r="C129" s="34">
        <v>45657</v>
      </c>
      <c r="D129" t="s">
        <v>3781</v>
      </c>
      <c r="E129" t="s">
        <v>3782</v>
      </c>
      <c r="F129" t="s">
        <v>3783</v>
      </c>
      <c r="G129">
        <v>55067</v>
      </c>
      <c r="H129" t="str">
        <f t="shared" si="2"/>
        <v>Check</v>
      </c>
      <c r="I129" s="67" t="s">
        <v>3784</v>
      </c>
    </row>
    <row r="130" spans="1:9" x14ac:dyDescent="0.25">
      <c r="A130" t="s">
        <v>128</v>
      </c>
      <c r="B130" s="70" t="s">
        <v>3785</v>
      </c>
      <c r="C130" s="34">
        <v>46022</v>
      </c>
      <c r="D130" s="66" t="s">
        <v>3786</v>
      </c>
      <c r="E130" t="s">
        <v>3787</v>
      </c>
      <c r="F130" t="s">
        <v>3788</v>
      </c>
      <c r="G130">
        <v>1418135</v>
      </c>
      <c r="H130">
        <f t="shared" si="2"/>
        <v>1</v>
      </c>
      <c r="I130">
        <v>1</v>
      </c>
    </row>
    <row r="131" spans="1:9" x14ac:dyDescent="0.25">
      <c r="A131" t="s">
        <v>129</v>
      </c>
      <c r="B131" s="70">
        <v>494274103</v>
      </c>
      <c r="C131" s="34">
        <v>44742</v>
      </c>
      <c r="D131" s="66" t="s">
        <v>3789</v>
      </c>
      <c r="E131" t="s">
        <v>3790</v>
      </c>
      <c r="F131" t="s">
        <v>3791</v>
      </c>
      <c r="G131">
        <v>55772</v>
      </c>
      <c r="H131" t="str">
        <f t="shared" ref="H131:H194" si="3">IF(E131=A131,1,"Check")</f>
        <v>Check</v>
      </c>
      <c r="I131">
        <v>1</v>
      </c>
    </row>
    <row r="132" spans="1:9" x14ac:dyDescent="0.25">
      <c r="A132" t="s">
        <v>130</v>
      </c>
      <c r="B132" s="70">
        <v>494368103</v>
      </c>
      <c r="C132" s="34">
        <v>46022</v>
      </c>
      <c r="D132" s="66" t="s">
        <v>3792</v>
      </c>
      <c r="E132" t="s">
        <v>3793</v>
      </c>
      <c r="F132" t="s">
        <v>3794</v>
      </c>
      <c r="G132">
        <v>55785</v>
      </c>
      <c r="H132">
        <f t="shared" si="3"/>
        <v>1</v>
      </c>
      <c r="I132">
        <v>1</v>
      </c>
    </row>
    <row r="133" spans="1:9" x14ac:dyDescent="0.25">
      <c r="A133" t="s">
        <v>131</v>
      </c>
      <c r="B133" s="70">
        <v>494549702</v>
      </c>
      <c r="C133" s="34">
        <v>43465</v>
      </c>
      <c r="D133" s="66" t="s">
        <v>3795</v>
      </c>
      <c r="E133" t="s">
        <v>3796</v>
      </c>
      <c r="F133" t="s">
        <v>3797</v>
      </c>
      <c r="G133">
        <v>1714973</v>
      </c>
      <c r="H133" t="str">
        <f t="shared" si="3"/>
        <v>Check</v>
      </c>
      <c r="I133">
        <v>1</v>
      </c>
    </row>
    <row r="134" spans="1:9" x14ac:dyDescent="0.25">
      <c r="A134" t="s">
        <v>132</v>
      </c>
      <c r="B134" s="70">
        <v>501044101</v>
      </c>
      <c r="C134" s="34">
        <v>46053</v>
      </c>
      <c r="D134" s="66" t="s">
        <v>3798</v>
      </c>
      <c r="E134" t="s">
        <v>3799</v>
      </c>
      <c r="F134" t="s">
        <v>3800</v>
      </c>
      <c r="G134">
        <v>56873</v>
      </c>
      <c r="H134" t="str">
        <f t="shared" si="3"/>
        <v>Check</v>
      </c>
      <c r="I134">
        <v>1</v>
      </c>
    </row>
    <row r="135" spans="1:9" x14ac:dyDescent="0.25">
      <c r="A135" t="s">
        <v>133</v>
      </c>
      <c r="B135" s="70">
        <v>512807306</v>
      </c>
      <c r="C135" s="34">
        <v>45838</v>
      </c>
      <c r="D135" s="66" t="s">
        <v>3801</v>
      </c>
      <c r="E135" t="s">
        <v>3802</v>
      </c>
      <c r="F135" t="s">
        <v>3803</v>
      </c>
      <c r="G135">
        <v>707549</v>
      </c>
      <c r="H135">
        <f t="shared" si="3"/>
        <v>1</v>
      </c>
      <c r="I135">
        <v>1</v>
      </c>
    </row>
    <row r="136" spans="1:9" x14ac:dyDescent="0.25">
      <c r="A136" t="s">
        <v>134</v>
      </c>
      <c r="B136" s="70">
        <v>513272104</v>
      </c>
      <c r="C136" s="34">
        <v>45808</v>
      </c>
      <c r="D136" s="66" t="s">
        <v>3804</v>
      </c>
      <c r="E136" t="s">
        <v>3805</v>
      </c>
      <c r="F136" t="s">
        <v>3806</v>
      </c>
      <c r="G136">
        <v>1679273</v>
      </c>
      <c r="H136">
        <f t="shared" si="3"/>
        <v>1</v>
      </c>
      <c r="I136">
        <v>1</v>
      </c>
    </row>
    <row r="137" spans="1:9" x14ac:dyDescent="0.25">
      <c r="A137" t="s">
        <v>135</v>
      </c>
      <c r="B137" s="70">
        <v>517834107</v>
      </c>
      <c r="C137" s="34">
        <v>46022</v>
      </c>
      <c r="D137" t="s">
        <v>3807</v>
      </c>
      <c r="E137" t="s">
        <v>3808</v>
      </c>
      <c r="F137" t="s">
        <v>3809</v>
      </c>
      <c r="G137">
        <v>1300514</v>
      </c>
      <c r="H137">
        <f t="shared" si="3"/>
        <v>1</v>
      </c>
      <c r="I137">
        <v>1</v>
      </c>
    </row>
    <row r="138" spans="1:9" x14ac:dyDescent="0.25">
      <c r="A138" t="s">
        <v>136</v>
      </c>
      <c r="B138" s="70">
        <v>521865204</v>
      </c>
      <c r="C138" s="34">
        <v>46022</v>
      </c>
      <c r="D138" s="66" t="s">
        <v>3810</v>
      </c>
      <c r="E138" t="s">
        <v>3811</v>
      </c>
      <c r="F138" t="s">
        <v>3812</v>
      </c>
      <c r="G138">
        <v>842162</v>
      </c>
      <c r="H138" t="str">
        <f t="shared" si="3"/>
        <v>Check</v>
      </c>
      <c r="I138">
        <v>1</v>
      </c>
    </row>
    <row r="139" spans="1:9" x14ac:dyDescent="0.25">
      <c r="A139" t="s">
        <v>137</v>
      </c>
      <c r="B139" s="70" t="s">
        <v>3813</v>
      </c>
      <c r="C139" s="34">
        <v>46022</v>
      </c>
      <c r="D139" s="66" t="s">
        <v>3814</v>
      </c>
      <c r="E139" t="s">
        <v>3815</v>
      </c>
      <c r="F139" t="s">
        <v>3816</v>
      </c>
      <c r="G139">
        <v>1712184</v>
      </c>
      <c r="H139">
        <f t="shared" si="3"/>
        <v>1</v>
      </c>
      <c r="I139">
        <v>1</v>
      </c>
    </row>
    <row r="140" spans="1:9" x14ac:dyDescent="0.25">
      <c r="A140" t="s">
        <v>138</v>
      </c>
      <c r="B140" s="70" t="s">
        <v>3817</v>
      </c>
      <c r="C140" s="34">
        <v>45657</v>
      </c>
      <c r="D140" s="66" t="s">
        <v>3818</v>
      </c>
      <c r="E140" t="s">
        <v>3819</v>
      </c>
      <c r="F140" t="s">
        <v>3820</v>
      </c>
      <c r="G140">
        <v>1977303</v>
      </c>
      <c r="H140" t="str">
        <f t="shared" si="3"/>
        <v>Check</v>
      </c>
      <c r="I140" t="s">
        <v>3821</v>
      </c>
    </row>
    <row r="141" spans="1:9" x14ac:dyDescent="0.25">
      <c r="A141" t="s">
        <v>139</v>
      </c>
      <c r="B141" s="70">
        <v>501889208</v>
      </c>
      <c r="C141" s="34">
        <v>46022</v>
      </c>
      <c r="D141" s="66" t="s">
        <v>3822</v>
      </c>
      <c r="E141" t="s">
        <v>3823</v>
      </c>
      <c r="F141" t="s">
        <v>3824</v>
      </c>
      <c r="G141">
        <v>1065696</v>
      </c>
      <c r="H141">
        <f t="shared" si="3"/>
        <v>1</v>
      </c>
      <c r="I141">
        <v>1</v>
      </c>
    </row>
    <row r="142" spans="1:9" x14ac:dyDescent="0.25">
      <c r="A142" t="s">
        <v>140</v>
      </c>
      <c r="B142" s="70" t="s">
        <v>3825</v>
      </c>
      <c r="C142" s="34">
        <v>46022</v>
      </c>
      <c r="D142" s="66" t="s">
        <v>3826</v>
      </c>
      <c r="E142" t="s">
        <v>3827</v>
      </c>
      <c r="F142" t="s">
        <v>3828</v>
      </c>
      <c r="G142">
        <v>1397911</v>
      </c>
      <c r="H142">
        <f t="shared" si="3"/>
        <v>1</v>
      </c>
      <c r="I142">
        <v>1</v>
      </c>
    </row>
    <row r="143" spans="1:9" x14ac:dyDescent="0.25">
      <c r="A143" t="s">
        <v>141</v>
      </c>
      <c r="B143" s="70" t="s">
        <v>3829</v>
      </c>
      <c r="C143" s="34">
        <v>46022</v>
      </c>
      <c r="D143" s="66" t="s">
        <v>3830</v>
      </c>
      <c r="E143" t="s">
        <v>3831</v>
      </c>
      <c r="F143" t="s">
        <v>3832</v>
      </c>
      <c r="G143">
        <v>1489393</v>
      </c>
      <c r="H143" t="str">
        <f t="shared" si="3"/>
        <v>Check</v>
      </c>
      <c r="I143">
        <v>1</v>
      </c>
    </row>
    <row r="144" spans="1:9" x14ac:dyDescent="0.25">
      <c r="A144" t="s">
        <v>142</v>
      </c>
      <c r="B144" s="70" t="s">
        <v>3833</v>
      </c>
      <c r="C144" s="34">
        <v>46022</v>
      </c>
      <c r="D144" s="66" t="s">
        <v>3834</v>
      </c>
      <c r="E144" t="s">
        <v>3835</v>
      </c>
      <c r="F144" t="s">
        <v>3836</v>
      </c>
      <c r="G144">
        <v>36270</v>
      </c>
      <c r="H144">
        <f t="shared" si="3"/>
        <v>1</v>
      </c>
      <c r="I144">
        <v>1</v>
      </c>
    </row>
    <row r="145" spans="1:9" x14ac:dyDescent="0.25">
      <c r="A145" t="s">
        <v>143</v>
      </c>
      <c r="B145" s="70">
        <v>554382101</v>
      </c>
      <c r="C145" s="34">
        <v>46022</v>
      </c>
      <c r="D145" s="66" t="s">
        <v>3837</v>
      </c>
      <c r="E145" t="s">
        <v>3838</v>
      </c>
      <c r="F145" t="s">
        <v>3839</v>
      </c>
      <c r="G145">
        <v>912242</v>
      </c>
      <c r="H145" t="str">
        <f t="shared" si="3"/>
        <v>Check</v>
      </c>
      <c r="I145">
        <v>1</v>
      </c>
    </row>
    <row r="146" spans="1:9" x14ac:dyDescent="0.25">
      <c r="A146" t="s">
        <v>144</v>
      </c>
      <c r="B146" s="70" t="s">
        <v>3840</v>
      </c>
      <c r="C146" s="34">
        <v>45688</v>
      </c>
      <c r="D146" s="66" t="s">
        <v>3841</v>
      </c>
      <c r="E146" t="s">
        <v>3842</v>
      </c>
      <c r="F146" t="s">
        <v>3843</v>
      </c>
      <c r="G146">
        <v>794367</v>
      </c>
      <c r="H146">
        <f t="shared" si="3"/>
        <v>1</v>
      </c>
      <c r="I146">
        <v>1</v>
      </c>
    </row>
    <row r="147" spans="1:9" x14ac:dyDescent="0.25">
      <c r="A147" t="s">
        <v>145</v>
      </c>
      <c r="B147" s="70" t="s">
        <v>3844</v>
      </c>
      <c r="C147" s="34">
        <v>46022</v>
      </c>
      <c r="D147" s="66" t="s">
        <v>3845</v>
      </c>
      <c r="E147" t="s">
        <v>3846</v>
      </c>
      <c r="F147" t="s">
        <v>3847</v>
      </c>
      <c r="G147">
        <v>1510295</v>
      </c>
      <c r="H147">
        <f t="shared" si="3"/>
        <v>1</v>
      </c>
      <c r="I147">
        <v>1</v>
      </c>
    </row>
    <row r="148" spans="1:9" x14ac:dyDescent="0.25">
      <c r="A148" t="s">
        <v>146</v>
      </c>
      <c r="B148" s="70">
        <v>571903202</v>
      </c>
      <c r="C148" s="34">
        <v>46022</v>
      </c>
      <c r="D148" s="66" t="s">
        <v>3848</v>
      </c>
      <c r="E148" t="s">
        <v>3849</v>
      </c>
      <c r="F148" t="s">
        <v>3850</v>
      </c>
      <c r="G148">
        <v>1048286</v>
      </c>
      <c r="H148" t="str">
        <f t="shared" si="3"/>
        <v>Check</v>
      </c>
      <c r="I148">
        <v>1</v>
      </c>
    </row>
    <row r="149" spans="1:9" x14ac:dyDescent="0.25">
      <c r="A149" t="s">
        <v>147</v>
      </c>
      <c r="B149" s="70">
        <v>576485205</v>
      </c>
      <c r="C149" s="34">
        <v>46022</v>
      </c>
      <c r="D149" s="66" t="s">
        <v>3851</v>
      </c>
      <c r="E149" t="s">
        <v>3852</v>
      </c>
      <c r="F149" t="s">
        <v>3853</v>
      </c>
      <c r="G149">
        <v>1520006</v>
      </c>
      <c r="H149">
        <f t="shared" si="3"/>
        <v>1</v>
      </c>
      <c r="I149">
        <v>1</v>
      </c>
    </row>
    <row r="150" spans="1:9" x14ac:dyDescent="0.25">
      <c r="A150" t="s">
        <v>148</v>
      </c>
      <c r="B150" s="70">
        <v>584021109</v>
      </c>
      <c r="C150" s="34">
        <v>44227</v>
      </c>
      <c r="D150" s="66" t="s">
        <v>3854</v>
      </c>
      <c r="E150" t="s">
        <v>3855</v>
      </c>
      <c r="F150" t="s">
        <v>3856</v>
      </c>
      <c r="G150">
        <v>1540184</v>
      </c>
      <c r="H150">
        <f t="shared" si="3"/>
        <v>1</v>
      </c>
      <c r="I150">
        <v>1</v>
      </c>
    </row>
    <row r="151" spans="1:9" x14ac:dyDescent="0.25">
      <c r="A151" t="s">
        <v>149</v>
      </c>
      <c r="B151" s="70" t="s">
        <v>3857</v>
      </c>
      <c r="C151" s="34">
        <v>46022</v>
      </c>
      <c r="D151" s="66" t="s">
        <v>3858</v>
      </c>
      <c r="E151" t="s">
        <v>3859</v>
      </c>
      <c r="F151" t="s">
        <v>3860</v>
      </c>
      <c r="G151">
        <v>310158</v>
      </c>
      <c r="H151">
        <f t="shared" si="3"/>
        <v>1</v>
      </c>
      <c r="I151">
        <v>1</v>
      </c>
    </row>
    <row r="152" spans="1:9" x14ac:dyDescent="0.25">
      <c r="A152" t="s">
        <v>150</v>
      </c>
      <c r="B152" s="70" t="s">
        <v>3861</v>
      </c>
      <c r="C152" s="34">
        <v>46022</v>
      </c>
      <c r="D152" s="66" t="s">
        <v>3862</v>
      </c>
      <c r="E152" t="s">
        <v>3863</v>
      </c>
      <c r="F152" t="s">
        <v>3864</v>
      </c>
      <c r="G152">
        <v>1099219</v>
      </c>
      <c r="H152">
        <f t="shared" si="3"/>
        <v>1</v>
      </c>
      <c r="I152">
        <v>1</v>
      </c>
    </row>
    <row r="153" spans="1:9" x14ac:dyDescent="0.25">
      <c r="A153" t="s">
        <v>151</v>
      </c>
      <c r="B153" s="70">
        <v>595112103</v>
      </c>
      <c r="C153" s="34">
        <v>45900</v>
      </c>
      <c r="D153" s="66" t="s">
        <v>3865</v>
      </c>
      <c r="E153" t="s">
        <v>3866</v>
      </c>
      <c r="F153" t="s">
        <v>3867</v>
      </c>
      <c r="G153">
        <v>723125</v>
      </c>
      <c r="H153">
        <f t="shared" si="3"/>
        <v>1</v>
      </c>
      <c r="I153">
        <v>1</v>
      </c>
    </row>
    <row r="154" spans="1:9" x14ac:dyDescent="0.25">
      <c r="A154" t="s">
        <v>152</v>
      </c>
      <c r="B154" s="70" t="s">
        <v>3868</v>
      </c>
      <c r="C154" s="34">
        <v>45961</v>
      </c>
      <c r="D154" t="s">
        <v>3869</v>
      </c>
      <c r="E154" t="s">
        <v>3870</v>
      </c>
      <c r="F154" t="s">
        <v>3871</v>
      </c>
      <c r="G154">
        <v>1802974</v>
      </c>
      <c r="H154">
        <f t="shared" si="3"/>
        <v>1</v>
      </c>
      <c r="I154">
        <v>1</v>
      </c>
    </row>
    <row r="155" spans="1:9" x14ac:dyDescent="0.25">
      <c r="A155" t="s">
        <v>153</v>
      </c>
      <c r="B155" s="70">
        <v>609207105</v>
      </c>
      <c r="C155" s="34">
        <v>46022</v>
      </c>
      <c r="D155" s="66" t="s">
        <v>3872</v>
      </c>
      <c r="E155" t="s">
        <v>3873</v>
      </c>
      <c r="F155" t="s">
        <v>3874</v>
      </c>
      <c r="G155">
        <v>1103982</v>
      </c>
      <c r="H155">
        <f t="shared" si="3"/>
        <v>1</v>
      </c>
      <c r="I155">
        <v>1</v>
      </c>
    </row>
    <row r="156" spans="1:9" x14ac:dyDescent="0.25">
      <c r="A156" t="s">
        <v>154</v>
      </c>
      <c r="B156" s="70">
        <v>615369105</v>
      </c>
      <c r="C156" s="34">
        <v>46022</v>
      </c>
      <c r="D156" s="66" t="s">
        <v>3875</v>
      </c>
      <c r="E156" t="s">
        <v>3876</v>
      </c>
      <c r="F156" t="s">
        <v>3877</v>
      </c>
      <c r="G156">
        <v>1059556</v>
      </c>
      <c r="H156">
        <f t="shared" si="3"/>
        <v>1</v>
      </c>
      <c r="I156">
        <v>1</v>
      </c>
    </row>
    <row r="157" spans="1:9" x14ac:dyDescent="0.25">
      <c r="A157" t="s">
        <v>4263</v>
      </c>
      <c r="B157" s="70" t="s">
        <v>4265</v>
      </c>
      <c r="C157" s="34">
        <v>46022</v>
      </c>
      <c r="D157" t="s">
        <v>4266</v>
      </c>
      <c r="E157" t="s">
        <v>4267</v>
      </c>
      <c r="F157" t="s">
        <v>4268</v>
      </c>
      <c r="G157">
        <v>1792044</v>
      </c>
      <c r="H157" t="str">
        <f t="shared" si="3"/>
        <v>Check</v>
      </c>
      <c r="I157" t="s">
        <v>4269</v>
      </c>
    </row>
    <row r="158" spans="1:9" x14ac:dyDescent="0.25">
      <c r="A158" t="s">
        <v>155</v>
      </c>
      <c r="B158" s="70">
        <v>636180101</v>
      </c>
      <c r="C158" s="34">
        <v>45930</v>
      </c>
      <c r="D158" s="66" t="s">
        <v>3878</v>
      </c>
      <c r="E158" t="s">
        <v>3879</v>
      </c>
      <c r="F158" t="s">
        <v>3880</v>
      </c>
      <c r="G158">
        <v>70145</v>
      </c>
      <c r="H158" t="str">
        <f t="shared" si="3"/>
        <v>Check</v>
      </c>
      <c r="I158">
        <v>1</v>
      </c>
    </row>
    <row r="159" spans="1:9" x14ac:dyDescent="0.25">
      <c r="A159" t="s">
        <v>156</v>
      </c>
      <c r="B159" s="70">
        <v>640079109</v>
      </c>
      <c r="C159" s="34">
        <v>44561</v>
      </c>
      <c r="D159" s="66" t="s">
        <v>3881</v>
      </c>
      <c r="E159" t="s">
        <v>3882</v>
      </c>
      <c r="F159" t="s">
        <v>3883</v>
      </c>
      <c r="G159">
        <v>1296435</v>
      </c>
      <c r="H159">
        <f t="shared" si="3"/>
        <v>1</v>
      </c>
      <c r="I159">
        <v>1</v>
      </c>
    </row>
    <row r="160" spans="1:9" x14ac:dyDescent="0.25">
      <c r="A160" t="s">
        <v>157</v>
      </c>
      <c r="B160" s="70">
        <v>646025106</v>
      </c>
      <c r="C160" s="34">
        <v>45930</v>
      </c>
      <c r="D160" s="66" t="s">
        <v>3884</v>
      </c>
      <c r="E160" t="s">
        <v>3885</v>
      </c>
      <c r="F160" t="s">
        <v>3886</v>
      </c>
      <c r="G160">
        <v>356309</v>
      </c>
      <c r="H160" t="str">
        <f t="shared" si="3"/>
        <v>Check</v>
      </c>
      <c r="I160">
        <v>1</v>
      </c>
    </row>
    <row r="161" spans="1:9" x14ac:dyDescent="0.25">
      <c r="A161" t="s">
        <v>158</v>
      </c>
      <c r="B161" s="70">
        <v>651639106</v>
      </c>
      <c r="C161" s="34">
        <v>46022</v>
      </c>
      <c r="D161" s="66" t="s">
        <v>3887</v>
      </c>
      <c r="E161" t="s">
        <v>3888</v>
      </c>
      <c r="F161" t="s">
        <v>3889</v>
      </c>
      <c r="G161">
        <v>1164727</v>
      </c>
      <c r="H161" t="str">
        <f t="shared" si="3"/>
        <v>Check</v>
      </c>
      <c r="I161">
        <v>1</v>
      </c>
    </row>
    <row r="162" spans="1:9" x14ac:dyDescent="0.25">
      <c r="A162" t="s">
        <v>159</v>
      </c>
      <c r="B162" s="70" t="s">
        <v>3890</v>
      </c>
      <c r="C162" s="34">
        <v>44561</v>
      </c>
      <c r="D162" s="66" t="s">
        <v>3891</v>
      </c>
      <c r="E162" t="s">
        <v>3892</v>
      </c>
      <c r="F162" t="s">
        <v>3893</v>
      </c>
      <c r="G162">
        <v>1492633</v>
      </c>
      <c r="H162">
        <f t="shared" si="3"/>
        <v>1</v>
      </c>
      <c r="I162">
        <v>1</v>
      </c>
    </row>
    <row r="163" spans="1:9" x14ac:dyDescent="0.25">
      <c r="A163" t="s">
        <v>160</v>
      </c>
      <c r="B163" s="70">
        <v>655044105</v>
      </c>
      <c r="C163" s="34">
        <v>43830</v>
      </c>
      <c r="D163" s="66" t="s">
        <v>3894</v>
      </c>
      <c r="E163" t="s">
        <v>3895</v>
      </c>
      <c r="F163" t="s">
        <v>3896</v>
      </c>
      <c r="G163" s="3">
        <v>72207</v>
      </c>
      <c r="H163">
        <f t="shared" si="3"/>
        <v>1</v>
      </c>
      <c r="I163">
        <v>1</v>
      </c>
    </row>
    <row r="164" spans="1:9" x14ac:dyDescent="0.25">
      <c r="A164" t="s">
        <v>161</v>
      </c>
      <c r="B164" s="70" t="s">
        <v>3897</v>
      </c>
      <c r="C164" s="34">
        <v>46022</v>
      </c>
      <c r="D164" s="66" t="s">
        <v>3898</v>
      </c>
      <c r="E164" t="s">
        <v>3899</v>
      </c>
      <c r="F164" t="s">
        <v>3900</v>
      </c>
      <c r="G164">
        <v>1513761</v>
      </c>
      <c r="H164" t="str">
        <f t="shared" si="3"/>
        <v>Check</v>
      </c>
      <c r="I164">
        <v>1</v>
      </c>
    </row>
    <row r="165" spans="1:9" x14ac:dyDescent="0.25">
      <c r="A165" t="s">
        <v>162</v>
      </c>
      <c r="B165" s="70">
        <v>629377508</v>
      </c>
      <c r="C165" s="34">
        <v>46022</v>
      </c>
      <c r="D165" s="66" t="s">
        <v>3901</v>
      </c>
      <c r="E165" t="s">
        <v>3902</v>
      </c>
      <c r="F165" t="s">
        <v>3903</v>
      </c>
      <c r="G165">
        <v>1013871</v>
      </c>
      <c r="H165">
        <f t="shared" si="3"/>
        <v>1</v>
      </c>
      <c r="I165">
        <v>1</v>
      </c>
    </row>
    <row r="166" spans="1:9" x14ac:dyDescent="0.25">
      <c r="A166" t="s">
        <v>163</v>
      </c>
      <c r="B166" s="70" t="s">
        <v>3904</v>
      </c>
      <c r="C166" s="34">
        <v>44469</v>
      </c>
      <c r="D166" s="66" t="s">
        <v>3905</v>
      </c>
      <c r="E166" t="s">
        <v>3906</v>
      </c>
      <c r="F166" t="s">
        <v>3907</v>
      </c>
      <c r="G166">
        <v>1002517</v>
      </c>
      <c r="H166">
        <f t="shared" si="3"/>
        <v>1</v>
      </c>
      <c r="I166">
        <v>1</v>
      </c>
    </row>
    <row r="167" spans="1:9" x14ac:dyDescent="0.25">
      <c r="A167" t="s">
        <v>164</v>
      </c>
      <c r="B167" s="70" t="s">
        <v>3908</v>
      </c>
      <c r="C167" s="34">
        <v>46053</v>
      </c>
      <c r="D167" s="66" t="s">
        <v>3909</v>
      </c>
      <c r="E167" t="s">
        <v>3910</v>
      </c>
      <c r="F167" t="s">
        <v>3911</v>
      </c>
      <c r="G167">
        <v>1045810</v>
      </c>
      <c r="H167">
        <f t="shared" si="3"/>
        <v>1</v>
      </c>
      <c r="I167">
        <v>1</v>
      </c>
    </row>
    <row r="168" spans="1:9" x14ac:dyDescent="0.25">
      <c r="A168" t="s">
        <v>165</v>
      </c>
      <c r="B168" s="70">
        <v>682189105</v>
      </c>
      <c r="C168" s="34">
        <v>46022</v>
      </c>
      <c r="D168" s="66" t="s">
        <v>3912</v>
      </c>
      <c r="E168" t="s">
        <v>3913</v>
      </c>
      <c r="F168" t="s">
        <v>3914</v>
      </c>
      <c r="G168">
        <v>1097864</v>
      </c>
      <c r="H168">
        <f t="shared" si="3"/>
        <v>1</v>
      </c>
      <c r="I168">
        <v>1</v>
      </c>
    </row>
    <row r="169" spans="1:9" x14ac:dyDescent="0.25">
      <c r="A169" t="s">
        <v>166</v>
      </c>
      <c r="B169" s="70">
        <v>682680103</v>
      </c>
      <c r="C169" s="34">
        <v>46022</v>
      </c>
      <c r="D169" s="66" t="s">
        <v>3915</v>
      </c>
      <c r="E169" t="s">
        <v>3916</v>
      </c>
      <c r="F169" t="s">
        <v>3917</v>
      </c>
      <c r="G169">
        <v>1039684</v>
      </c>
      <c r="H169">
        <f t="shared" si="3"/>
        <v>1</v>
      </c>
      <c r="I169">
        <v>1</v>
      </c>
    </row>
    <row r="170" spans="1:9" x14ac:dyDescent="0.25">
      <c r="A170" t="s">
        <v>167</v>
      </c>
      <c r="B170" s="70">
        <v>688239201</v>
      </c>
      <c r="C170" s="34">
        <v>46022</v>
      </c>
      <c r="D170" s="66" t="s">
        <v>3918</v>
      </c>
      <c r="E170" t="s">
        <v>3919</v>
      </c>
      <c r="F170" t="s">
        <v>3920</v>
      </c>
      <c r="G170">
        <v>775158</v>
      </c>
      <c r="H170">
        <f t="shared" si="3"/>
        <v>1</v>
      </c>
      <c r="I170">
        <v>1</v>
      </c>
    </row>
    <row r="171" spans="1:9" x14ac:dyDescent="0.25">
      <c r="A171" t="s">
        <v>168</v>
      </c>
      <c r="B171" s="70" t="s">
        <v>3921</v>
      </c>
      <c r="C171" s="34">
        <v>45291</v>
      </c>
      <c r="D171" s="66" t="s">
        <v>3922</v>
      </c>
      <c r="E171" t="s">
        <v>3923</v>
      </c>
      <c r="F171" t="s">
        <v>3924</v>
      </c>
      <c r="G171">
        <v>75208</v>
      </c>
      <c r="H171" t="str">
        <f t="shared" si="3"/>
        <v>Check</v>
      </c>
      <c r="I171">
        <v>1</v>
      </c>
    </row>
    <row r="172" spans="1:9" x14ac:dyDescent="0.25">
      <c r="A172" t="s">
        <v>169</v>
      </c>
      <c r="B172" s="70" t="s">
        <v>3925</v>
      </c>
      <c r="C172" s="34">
        <v>45657</v>
      </c>
      <c r="D172" s="66" t="s">
        <v>3926</v>
      </c>
      <c r="E172" t="s">
        <v>3927</v>
      </c>
      <c r="F172" t="s">
        <v>3928</v>
      </c>
      <c r="G172">
        <v>1792580</v>
      </c>
      <c r="H172" t="str">
        <f t="shared" si="3"/>
        <v>Check</v>
      </c>
      <c r="I172">
        <v>1</v>
      </c>
    </row>
    <row r="173" spans="1:9" x14ac:dyDescent="0.25">
      <c r="A173" t="s">
        <v>170</v>
      </c>
      <c r="B173" s="70">
        <v>690732102</v>
      </c>
      <c r="C173" s="34">
        <v>46022</v>
      </c>
      <c r="D173" s="66" t="s">
        <v>3929</v>
      </c>
      <c r="E173" t="s">
        <v>3930</v>
      </c>
      <c r="F173" t="s">
        <v>3931</v>
      </c>
      <c r="G173">
        <v>75252</v>
      </c>
      <c r="H173" t="str">
        <f t="shared" si="3"/>
        <v>Check</v>
      </c>
      <c r="I173">
        <v>1</v>
      </c>
    </row>
    <row r="174" spans="1:9" x14ac:dyDescent="0.25">
      <c r="A174" t="s">
        <v>171</v>
      </c>
      <c r="B174" s="70">
        <v>690742101</v>
      </c>
      <c r="C174" s="34">
        <v>45657</v>
      </c>
      <c r="D174" s="66" t="s">
        <v>3932</v>
      </c>
      <c r="E174" t="s">
        <v>3933</v>
      </c>
      <c r="F174" t="s">
        <v>3934</v>
      </c>
      <c r="G174">
        <v>1370946</v>
      </c>
      <c r="H174">
        <f t="shared" si="3"/>
        <v>1</v>
      </c>
      <c r="I174">
        <v>1</v>
      </c>
    </row>
    <row r="175" spans="1:9" x14ac:dyDescent="0.25">
      <c r="A175" t="s">
        <v>172</v>
      </c>
      <c r="B175" s="70">
        <v>700517105</v>
      </c>
      <c r="C175" s="34">
        <v>46022</v>
      </c>
      <c r="D175" s="66" t="s">
        <v>3935</v>
      </c>
      <c r="E175" t="s">
        <v>3936</v>
      </c>
      <c r="F175" t="s">
        <v>3937</v>
      </c>
      <c r="G175">
        <v>1617406</v>
      </c>
      <c r="H175" t="str">
        <f t="shared" si="3"/>
        <v>Check</v>
      </c>
      <c r="I175">
        <v>1</v>
      </c>
    </row>
    <row r="176" spans="1:9" x14ac:dyDescent="0.25">
      <c r="A176" t="s">
        <v>173</v>
      </c>
      <c r="B176" s="70">
        <v>701877102</v>
      </c>
      <c r="C176" s="34">
        <v>43830</v>
      </c>
      <c r="D176" s="66" t="s">
        <v>3938</v>
      </c>
      <c r="E176" t="s">
        <v>3939</v>
      </c>
      <c r="F176" t="s">
        <v>3940</v>
      </c>
      <c r="G176">
        <v>1594466</v>
      </c>
      <c r="H176" t="str">
        <f t="shared" si="3"/>
        <v>Check</v>
      </c>
      <c r="I176">
        <v>1</v>
      </c>
    </row>
    <row r="177" spans="1:10" x14ac:dyDescent="0.25">
      <c r="A177" t="s">
        <v>174</v>
      </c>
      <c r="B177" s="70" t="s">
        <v>3941</v>
      </c>
      <c r="C177" s="34">
        <v>46022</v>
      </c>
      <c r="D177" s="66" t="s">
        <v>3942</v>
      </c>
      <c r="E177" t="s">
        <v>3943</v>
      </c>
      <c r="F177" t="s">
        <v>3944</v>
      </c>
      <c r="G177">
        <v>1633917</v>
      </c>
      <c r="H177">
        <f t="shared" si="3"/>
        <v>1</v>
      </c>
      <c r="I177">
        <v>1</v>
      </c>
    </row>
    <row r="178" spans="1:10" x14ac:dyDescent="0.25">
      <c r="A178" t="s">
        <v>175</v>
      </c>
      <c r="B178" s="70" t="s">
        <v>3945</v>
      </c>
      <c r="C178" s="34">
        <v>44926</v>
      </c>
      <c r="D178" s="66" t="s">
        <v>3946</v>
      </c>
      <c r="E178" t="s">
        <v>3947</v>
      </c>
      <c r="F178" t="s">
        <v>3948</v>
      </c>
      <c r="G178">
        <v>77877</v>
      </c>
      <c r="H178" t="str">
        <f t="shared" si="3"/>
        <v>Check</v>
      </c>
      <c r="I178">
        <v>1</v>
      </c>
    </row>
    <row r="179" spans="1:10" x14ac:dyDescent="0.25">
      <c r="A179" t="s">
        <v>176</v>
      </c>
      <c r="B179" s="70">
        <v>713448108</v>
      </c>
      <c r="C179" s="34">
        <v>46022</v>
      </c>
      <c r="D179" s="66" t="s">
        <v>3949</v>
      </c>
      <c r="E179" t="s">
        <v>3950</v>
      </c>
      <c r="F179" t="s">
        <v>3951</v>
      </c>
      <c r="G179">
        <v>77476</v>
      </c>
      <c r="H179">
        <f t="shared" si="3"/>
        <v>1</v>
      </c>
      <c r="I179">
        <v>1</v>
      </c>
    </row>
    <row r="180" spans="1:10" x14ac:dyDescent="0.25">
      <c r="A180" t="s">
        <v>177</v>
      </c>
      <c r="B180" s="70">
        <v>718172109</v>
      </c>
      <c r="C180" s="34">
        <v>46022</v>
      </c>
      <c r="D180" s="66" t="s">
        <v>3952</v>
      </c>
      <c r="E180" t="s">
        <v>3953</v>
      </c>
      <c r="F180" t="s">
        <v>3954</v>
      </c>
      <c r="G180">
        <v>1413329</v>
      </c>
      <c r="H180" t="str">
        <f t="shared" si="3"/>
        <v>Check</v>
      </c>
      <c r="I180">
        <v>1</v>
      </c>
    </row>
    <row r="181" spans="1:10" x14ac:dyDescent="0.25">
      <c r="A181" t="s">
        <v>178</v>
      </c>
      <c r="B181" s="70">
        <v>718546104</v>
      </c>
      <c r="C181" s="34">
        <v>46022</v>
      </c>
      <c r="D181" s="66" t="s">
        <v>3955</v>
      </c>
      <c r="E181" t="s">
        <v>3956</v>
      </c>
      <c r="F181" t="s">
        <v>3957</v>
      </c>
      <c r="G181">
        <v>1534701</v>
      </c>
      <c r="H181">
        <f t="shared" si="3"/>
        <v>1</v>
      </c>
      <c r="I181">
        <v>1</v>
      </c>
    </row>
    <row r="182" spans="1:10" x14ac:dyDescent="0.25">
      <c r="A182" t="s">
        <v>179</v>
      </c>
      <c r="B182" s="70" t="s">
        <v>3958</v>
      </c>
      <c r="C182" s="34">
        <v>46022</v>
      </c>
      <c r="D182" s="66" t="s">
        <v>3959</v>
      </c>
      <c r="E182" t="s">
        <v>3960</v>
      </c>
      <c r="F182" t="s">
        <v>3961</v>
      </c>
      <c r="G182">
        <v>802481</v>
      </c>
      <c r="H182">
        <f t="shared" si="3"/>
        <v>1</v>
      </c>
      <c r="I182">
        <v>1</v>
      </c>
    </row>
    <row r="183" spans="1:10" x14ac:dyDescent="0.25">
      <c r="A183" t="s">
        <v>180</v>
      </c>
      <c r="B183" s="70">
        <v>723787107</v>
      </c>
      <c r="C183" s="34">
        <v>45291</v>
      </c>
      <c r="D183" s="66" t="s">
        <v>3962</v>
      </c>
      <c r="E183" t="s">
        <v>3963</v>
      </c>
      <c r="F183" t="s">
        <v>3964</v>
      </c>
      <c r="G183">
        <v>1038357</v>
      </c>
      <c r="H183">
        <f t="shared" si="3"/>
        <v>1</v>
      </c>
      <c r="I183">
        <v>1</v>
      </c>
    </row>
    <row r="184" spans="1:10" x14ac:dyDescent="0.25">
      <c r="A184" s="80" t="s">
        <v>181</v>
      </c>
      <c r="B184" s="70" t="s">
        <v>3965</v>
      </c>
      <c r="C184" s="34">
        <v>45657</v>
      </c>
      <c r="D184" s="66" t="s">
        <v>3966</v>
      </c>
      <c r="E184" t="s">
        <v>3967</v>
      </c>
      <c r="F184" t="s">
        <v>3968</v>
      </c>
      <c r="G184" s="3">
        <v>1581990</v>
      </c>
      <c r="H184">
        <f t="shared" si="3"/>
        <v>1</v>
      </c>
      <c r="I184">
        <v>1</v>
      </c>
      <c r="J184" s="80" t="s">
        <v>4284</v>
      </c>
    </row>
    <row r="185" spans="1:10" x14ac:dyDescent="0.25">
      <c r="A185" t="s">
        <v>182</v>
      </c>
      <c r="B185" s="70">
        <v>737630103</v>
      </c>
      <c r="C185" s="34">
        <v>45657</v>
      </c>
      <c r="D185" s="66" t="s">
        <v>3969</v>
      </c>
      <c r="E185" t="s">
        <v>3970</v>
      </c>
      <c r="F185" t="s">
        <v>3971</v>
      </c>
      <c r="G185">
        <v>1338749</v>
      </c>
      <c r="H185" t="str">
        <f t="shared" si="3"/>
        <v>Check</v>
      </c>
      <c r="I185" t="s">
        <v>3972</v>
      </c>
    </row>
    <row r="186" spans="1:10" x14ac:dyDescent="0.25">
      <c r="A186" t="s">
        <v>183</v>
      </c>
      <c r="B186" s="70">
        <v>693506107</v>
      </c>
      <c r="C186" s="34">
        <v>46022</v>
      </c>
      <c r="D186" s="66" t="s">
        <v>3973</v>
      </c>
      <c r="E186" t="s">
        <v>3974</v>
      </c>
      <c r="F186" t="s">
        <v>3975</v>
      </c>
      <c r="G186">
        <v>79879</v>
      </c>
      <c r="H186">
        <f t="shared" si="3"/>
        <v>1</v>
      </c>
      <c r="I186">
        <v>1</v>
      </c>
    </row>
    <row r="187" spans="1:10" x14ac:dyDescent="0.25">
      <c r="A187" t="s">
        <v>184</v>
      </c>
      <c r="B187" s="70" t="s">
        <v>3976</v>
      </c>
      <c r="C187" s="34">
        <v>46022</v>
      </c>
      <c r="D187" s="66" t="s">
        <v>3977</v>
      </c>
      <c r="E187" t="s">
        <v>3978</v>
      </c>
      <c r="F187" t="s">
        <v>3979</v>
      </c>
      <c r="G187">
        <v>922224</v>
      </c>
      <c r="H187">
        <f t="shared" si="3"/>
        <v>1</v>
      </c>
      <c r="I187">
        <v>1</v>
      </c>
    </row>
    <row r="188" spans="1:10" x14ac:dyDescent="0.25">
      <c r="A188" t="s">
        <v>185</v>
      </c>
      <c r="B188" s="70">
        <v>742718109</v>
      </c>
      <c r="C188" s="34">
        <v>45838</v>
      </c>
      <c r="D188" s="66" t="s">
        <v>3980</v>
      </c>
      <c r="E188" t="s">
        <v>3981</v>
      </c>
      <c r="F188" t="s">
        <v>3982</v>
      </c>
      <c r="G188">
        <v>80424</v>
      </c>
      <c r="H188" t="str">
        <f t="shared" si="3"/>
        <v>Check</v>
      </c>
      <c r="I188">
        <v>1</v>
      </c>
    </row>
    <row r="189" spans="1:10" x14ac:dyDescent="0.25">
      <c r="A189" t="s">
        <v>186</v>
      </c>
      <c r="B189" s="70">
        <v>744320102</v>
      </c>
      <c r="C189" s="34">
        <v>46022</v>
      </c>
      <c r="D189" s="66" t="s">
        <v>3983</v>
      </c>
      <c r="E189" t="s">
        <v>3984</v>
      </c>
      <c r="F189" t="s">
        <v>3985</v>
      </c>
      <c r="G189">
        <v>1137774</v>
      </c>
      <c r="H189">
        <f t="shared" si="3"/>
        <v>1</v>
      </c>
      <c r="I189">
        <v>1</v>
      </c>
    </row>
    <row r="190" spans="1:10" x14ac:dyDescent="0.25">
      <c r="A190" t="s">
        <v>187</v>
      </c>
      <c r="B190" s="70" t="s">
        <v>3986</v>
      </c>
      <c r="C190" s="34">
        <v>46022</v>
      </c>
      <c r="D190" s="66" t="s">
        <v>3987</v>
      </c>
      <c r="E190" t="s">
        <v>3988</v>
      </c>
      <c r="F190" t="s">
        <v>3989</v>
      </c>
      <c r="G190">
        <v>1393311</v>
      </c>
      <c r="H190">
        <f t="shared" si="3"/>
        <v>1</v>
      </c>
      <c r="I190">
        <v>1</v>
      </c>
    </row>
    <row r="191" spans="1:10" x14ac:dyDescent="0.25">
      <c r="A191" t="s">
        <v>188</v>
      </c>
      <c r="B191" s="70">
        <v>693656100</v>
      </c>
      <c r="C191" s="34">
        <v>45688</v>
      </c>
      <c r="D191" s="66" t="s">
        <v>3990</v>
      </c>
      <c r="E191" t="s">
        <v>3991</v>
      </c>
      <c r="F191" t="s">
        <v>3992</v>
      </c>
      <c r="G191">
        <v>78239</v>
      </c>
      <c r="H191">
        <f t="shared" si="3"/>
        <v>1</v>
      </c>
      <c r="I191">
        <v>1</v>
      </c>
    </row>
    <row r="192" spans="1:10" x14ac:dyDescent="0.25">
      <c r="A192" t="s">
        <v>189</v>
      </c>
      <c r="B192" s="70" t="s">
        <v>3993</v>
      </c>
      <c r="C192" s="34">
        <v>44196</v>
      </c>
      <c r="D192" s="66" t="s">
        <v>3994</v>
      </c>
      <c r="E192" t="s">
        <v>3995</v>
      </c>
      <c r="F192" t="s">
        <v>3996</v>
      </c>
      <c r="G192">
        <v>1577368</v>
      </c>
      <c r="H192">
        <f t="shared" si="3"/>
        <v>1</v>
      </c>
      <c r="I192">
        <v>1</v>
      </c>
    </row>
    <row r="193" spans="1:9" x14ac:dyDescent="0.25">
      <c r="A193" t="s">
        <v>190</v>
      </c>
      <c r="B193" s="70">
        <v>751212101</v>
      </c>
      <c r="C193" s="34">
        <v>45747</v>
      </c>
      <c r="D193" s="66" t="s">
        <v>3997</v>
      </c>
      <c r="E193" t="s">
        <v>3998</v>
      </c>
      <c r="F193" t="s">
        <v>3999</v>
      </c>
      <c r="G193">
        <v>1037038</v>
      </c>
      <c r="H193">
        <f t="shared" si="3"/>
        <v>1</v>
      </c>
      <c r="I193">
        <v>1</v>
      </c>
    </row>
    <row r="194" spans="1:9" x14ac:dyDescent="0.25">
      <c r="A194" t="s">
        <v>191</v>
      </c>
      <c r="B194" s="70" t="s">
        <v>4000</v>
      </c>
      <c r="C194" s="34">
        <v>45657</v>
      </c>
      <c r="D194" s="66" t="s">
        <v>4001</v>
      </c>
      <c r="E194" t="s">
        <v>4002</v>
      </c>
      <c r="F194" t="s">
        <v>4003</v>
      </c>
      <c r="G194">
        <v>315852</v>
      </c>
      <c r="H194">
        <f t="shared" si="3"/>
        <v>1</v>
      </c>
      <c r="I194">
        <v>1</v>
      </c>
    </row>
    <row r="195" spans="1:9" x14ac:dyDescent="0.25">
      <c r="A195" t="s">
        <v>192</v>
      </c>
      <c r="B195" s="70">
        <v>758849103</v>
      </c>
      <c r="C195" s="34">
        <v>46022</v>
      </c>
      <c r="D195" s="66" t="s">
        <v>4004</v>
      </c>
      <c r="E195" t="s">
        <v>4005</v>
      </c>
      <c r="F195" t="s">
        <v>4006</v>
      </c>
      <c r="G195">
        <v>910606</v>
      </c>
      <c r="H195">
        <f t="shared" ref="H195:H259" si="4">IF(E195=A195,1,"Check")</f>
        <v>1</v>
      </c>
      <c r="I195">
        <v>1</v>
      </c>
    </row>
    <row r="196" spans="1:9" x14ac:dyDescent="0.25">
      <c r="A196" t="s">
        <v>193</v>
      </c>
      <c r="B196" s="70" t="s">
        <v>4007</v>
      </c>
      <c r="C196" s="34">
        <v>46022</v>
      </c>
      <c r="D196" s="66" t="s">
        <v>4008</v>
      </c>
      <c r="E196" t="s">
        <v>4009</v>
      </c>
      <c r="F196" t="s">
        <v>4010</v>
      </c>
      <c r="G196">
        <v>1281761</v>
      </c>
      <c r="H196">
        <f t="shared" si="4"/>
        <v>1</v>
      </c>
      <c r="I196">
        <v>1</v>
      </c>
    </row>
    <row r="197" spans="1:9" x14ac:dyDescent="0.25">
      <c r="A197" t="s">
        <v>194</v>
      </c>
      <c r="B197" s="70" t="s">
        <v>4011</v>
      </c>
      <c r="C197" s="34">
        <v>45291</v>
      </c>
      <c r="D197" s="66" t="s">
        <v>4012</v>
      </c>
      <c r="E197" t="s">
        <v>4013</v>
      </c>
      <c r="F197" t="s">
        <v>4014</v>
      </c>
      <c r="G197">
        <v>1407623</v>
      </c>
      <c r="H197" t="str">
        <f t="shared" si="4"/>
        <v>Check</v>
      </c>
      <c r="I197">
        <v>1</v>
      </c>
    </row>
    <row r="198" spans="1:9" x14ac:dyDescent="0.25">
      <c r="A198" t="s">
        <v>195</v>
      </c>
      <c r="B198" s="70">
        <v>761330109</v>
      </c>
      <c r="C198" s="34">
        <v>45291</v>
      </c>
      <c r="D198" s="66" t="s">
        <v>4015</v>
      </c>
      <c r="E198" t="s">
        <v>4016</v>
      </c>
      <c r="F198" t="s">
        <v>4017</v>
      </c>
      <c r="G198">
        <v>1479290</v>
      </c>
      <c r="H198">
        <f t="shared" si="4"/>
        <v>1</v>
      </c>
      <c r="I198">
        <v>1</v>
      </c>
    </row>
    <row r="199" spans="1:9" x14ac:dyDescent="0.25">
      <c r="A199" t="s">
        <v>196</v>
      </c>
      <c r="B199" s="70">
        <v>758750103</v>
      </c>
      <c r="C199" s="34">
        <v>46022</v>
      </c>
      <c r="D199" s="66" t="s">
        <v>4018</v>
      </c>
      <c r="E199" t="s">
        <v>4019</v>
      </c>
      <c r="F199" t="s">
        <v>4020</v>
      </c>
      <c r="G199">
        <v>82811</v>
      </c>
      <c r="H199" t="str">
        <f t="shared" si="4"/>
        <v>Check</v>
      </c>
      <c r="I199">
        <v>1</v>
      </c>
    </row>
    <row r="200" spans="1:9" x14ac:dyDescent="0.25">
      <c r="A200" t="s">
        <v>197</v>
      </c>
      <c r="B200" s="70">
        <v>773903109</v>
      </c>
      <c r="C200" s="34">
        <v>45930</v>
      </c>
      <c r="D200" s="66" t="s">
        <v>4021</v>
      </c>
      <c r="E200" t="s">
        <v>4022</v>
      </c>
      <c r="F200" t="s">
        <v>4023</v>
      </c>
      <c r="G200">
        <v>1024478</v>
      </c>
      <c r="H200" t="str">
        <f t="shared" si="4"/>
        <v>Check</v>
      </c>
      <c r="I200">
        <v>1</v>
      </c>
    </row>
    <row r="201" spans="1:9" x14ac:dyDescent="0.25">
      <c r="A201" t="s">
        <v>198</v>
      </c>
      <c r="B201" s="70">
        <v>775133101</v>
      </c>
      <c r="C201" s="34">
        <v>46022</v>
      </c>
      <c r="D201" s="66" t="s">
        <v>4024</v>
      </c>
      <c r="E201" t="s">
        <v>4025</v>
      </c>
      <c r="F201" t="s">
        <v>4026</v>
      </c>
      <c r="G201">
        <v>84748</v>
      </c>
      <c r="H201">
        <f t="shared" si="4"/>
        <v>1</v>
      </c>
      <c r="I201">
        <v>1</v>
      </c>
    </row>
    <row r="202" spans="1:9" x14ac:dyDescent="0.25">
      <c r="A202" t="s">
        <v>199</v>
      </c>
      <c r="B202" s="70" t="s">
        <v>4027</v>
      </c>
      <c r="C202" s="34">
        <v>46022</v>
      </c>
      <c r="D202" s="66" t="s">
        <v>4028</v>
      </c>
      <c r="E202" t="s">
        <v>4029</v>
      </c>
      <c r="F202" t="s">
        <v>4030</v>
      </c>
      <c r="G202">
        <v>64040</v>
      </c>
      <c r="H202">
        <f t="shared" si="4"/>
        <v>1</v>
      </c>
      <c r="I202">
        <v>1</v>
      </c>
    </row>
    <row r="203" spans="1:9" x14ac:dyDescent="0.25">
      <c r="A203" t="s">
        <v>200</v>
      </c>
      <c r="B203" s="70" t="s">
        <v>4031</v>
      </c>
      <c r="C203" s="34">
        <v>46053</v>
      </c>
      <c r="D203" s="66" t="s">
        <v>4032</v>
      </c>
      <c r="E203" t="s">
        <v>4033</v>
      </c>
      <c r="F203" t="s">
        <v>4034</v>
      </c>
      <c r="G203">
        <v>1108524</v>
      </c>
      <c r="H203" t="str">
        <f t="shared" si="4"/>
        <v>Check</v>
      </c>
      <c r="I203">
        <v>1</v>
      </c>
    </row>
    <row r="204" spans="1:9" x14ac:dyDescent="0.25">
      <c r="A204" t="s">
        <v>201</v>
      </c>
      <c r="B204" s="70">
        <v>806882106</v>
      </c>
      <c r="C204" s="34">
        <v>45535</v>
      </c>
      <c r="D204" s="66" t="s">
        <v>4035</v>
      </c>
      <c r="E204" t="s">
        <v>4036</v>
      </c>
      <c r="F204" t="s">
        <v>4037</v>
      </c>
      <c r="G204">
        <v>912603</v>
      </c>
      <c r="H204" t="str">
        <f t="shared" si="4"/>
        <v>Check</v>
      </c>
      <c r="I204" t="s">
        <v>4038</v>
      </c>
    </row>
    <row r="205" spans="1:9" x14ac:dyDescent="0.25">
      <c r="A205" t="s">
        <v>202</v>
      </c>
      <c r="B205" s="70" t="s">
        <v>4039</v>
      </c>
      <c r="C205" s="34">
        <v>46022</v>
      </c>
      <c r="D205" s="66" t="s">
        <v>4040</v>
      </c>
      <c r="E205" t="s">
        <v>4041</v>
      </c>
      <c r="F205" t="s">
        <v>4042</v>
      </c>
      <c r="G205">
        <v>1690334</v>
      </c>
      <c r="H205" t="str">
        <f t="shared" si="4"/>
        <v>Check</v>
      </c>
      <c r="I205">
        <v>1</v>
      </c>
    </row>
    <row r="206" spans="1:9" x14ac:dyDescent="0.25">
      <c r="A206" t="s">
        <v>203</v>
      </c>
      <c r="B206" s="70">
        <v>816851109</v>
      </c>
      <c r="C206" s="34">
        <v>46022</v>
      </c>
      <c r="D206" s="66" t="s">
        <v>4043</v>
      </c>
      <c r="E206" t="s">
        <v>4044</v>
      </c>
      <c r="F206" t="s">
        <v>4045</v>
      </c>
      <c r="G206">
        <v>1032208</v>
      </c>
      <c r="H206">
        <f t="shared" si="4"/>
        <v>1</v>
      </c>
      <c r="I206">
        <v>1</v>
      </c>
    </row>
    <row r="207" spans="1:9" x14ac:dyDescent="0.25">
      <c r="A207" t="s">
        <v>204</v>
      </c>
      <c r="B207" s="70">
        <v>824348106</v>
      </c>
      <c r="C207" s="34">
        <v>46022</v>
      </c>
      <c r="D207" t="s">
        <v>4046</v>
      </c>
      <c r="E207" t="s">
        <v>4047</v>
      </c>
      <c r="F207" t="s">
        <v>4048</v>
      </c>
      <c r="G207">
        <v>89800</v>
      </c>
      <c r="H207" t="str">
        <f t="shared" si="4"/>
        <v>Check</v>
      </c>
      <c r="I207">
        <v>1</v>
      </c>
    </row>
    <row r="208" spans="1:9" x14ac:dyDescent="0.25">
      <c r="A208" t="s">
        <v>205</v>
      </c>
      <c r="B208" s="70" t="s">
        <v>4049</v>
      </c>
      <c r="C208" s="34">
        <v>45657</v>
      </c>
      <c r="D208" s="66" t="s">
        <v>4050</v>
      </c>
      <c r="E208" t="s">
        <v>4051</v>
      </c>
      <c r="F208" t="s">
        <v>4052</v>
      </c>
      <c r="G208">
        <v>894315</v>
      </c>
      <c r="H208">
        <f t="shared" si="4"/>
        <v>1</v>
      </c>
      <c r="I208">
        <v>1</v>
      </c>
    </row>
    <row r="209" spans="1:9" x14ac:dyDescent="0.25">
      <c r="A209" t="s">
        <v>206</v>
      </c>
      <c r="B209" s="70" t="s">
        <v>4053</v>
      </c>
      <c r="C209" s="34">
        <v>46022</v>
      </c>
      <c r="D209" s="66" t="s">
        <v>4054</v>
      </c>
      <c r="E209" t="s">
        <v>4055</v>
      </c>
      <c r="F209" t="s">
        <v>4056</v>
      </c>
      <c r="G209">
        <v>1032033</v>
      </c>
      <c r="H209">
        <f t="shared" si="4"/>
        <v>1</v>
      </c>
      <c r="I209">
        <v>1</v>
      </c>
    </row>
    <row r="210" spans="1:9" x14ac:dyDescent="0.25">
      <c r="A210" t="s">
        <v>207</v>
      </c>
      <c r="B210" s="70" t="s">
        <v>4057</v>
      </c>
      <c r="C210" s="34">
        <v>46022</v>
      </c>
      <c r="D210" s="66" t="s">
        <v>4058</v>
      </c>
      <c r="E210" t="s">
        <v>4059</v>
      </c>
      <c r="F210" t="s">
        <v>4060</v>
      </c>
      <c r="G210">
        <v>1564408</v>
      </c>
      <c r="H210" t="str">
        <f t="shared" si="4"/>
        <v>Check</v>
      </c>
      <c r="I210">
        <v>1</v>
      </c>
    </row>
    <row r="211" spans="1:9" x14ac:dyDescent="0.25">
      <c r="A211" t="s">
        <v>208</v>
      </c>
      <c r="B211" s="70">
        <v>842587107</v>
      </c>
      <c r="C211" s="34">
        <v>46022</v>
      </c>
      <c r="D211" s="66" t="s">
        <v>4061</v>
      </c>
      <c r="E211" t="s">
        <v>4062</v>
      </c>
      <c r="F211" t="s">
        <v>4063</v>
      </c>
      <c r="G211">
        <v>92122</v>
      </c>
      <c r="H211" t="str">
        <f t="shared" si="4"/>
        <v>Check</v>
      </c>
      <c r="I211">
        <v>1</v>
      </c>
    </row>
    <row r="212" spans="1:9" x14ac:dyDescent="0.25">
      <c r="A212" t="s">
        <v>209</v>
      </c>
      <c r="B212" s="70">
        <v>844741108</v>
      </c>
      <c r="C212" s="34">
        <v>46022</v>
      </c>
      <c r="D212" s="66" t="s">
        <v>4064</v>
      </c>
      <c r="E212" t="s">
        <v>4065</v>
      </c>
      <c r="F212" t="s">
        <v>4066</v>
      </c>
      <c r="G212">
        <v>92380</v>
      </c>
      <c r="H212" t="str">
        <f t="shared" si="4"/>
        <v>Check</v>
      </c>
      <c r="I212">
        <v>1</v>
      </c>
    </row>
    <row r="213" spans="1:9" x14ac:dyDescent="0.25">
      <c r="A213" t="s">
        <v>210</v>
      </c>
      <c r="B213" s="70" t="s">
        <v>4067</v>
      </c>
      <c r="C213" s="34">
        <v>46022</v>
      </c>
      <c r="D213" s="66" t="s">
        <v>4068</v>
      </c>
      <c r="E213" t="s">
        <v>4069</v>
      </c>
      <c r="F213" t="s">
        <v>4070</v>
      </c>
      <c r="G213">
        <v>1575515</v>
      </c>
      <c r="H213" t="str">
        <f t="shared" si="4"/>
        <v>Check</v>
      </c>
      <c r="I213">
        <v>1</v>
      </c>
    </row>
    <row r="214" spans="1:9" x14ac:dyDescent="0.25">
      <c r="A214" t="s">
        <v>211</v>
      </c>
      <c r="B214" s="70" t="s">
        <v>4071</v>
      </c>
      <c r="C214" s="34">
        <v>45657</v>
      </c>
      <c r="D214" s="66" t="s">
        <v>4072</v>
      </c>
      <c r="E214" t="s">
        <v>4073</v>
      </c>
      <c r="F214" t="s">
        <v>4074</v>
      </c>
      <c r="G214">
        <v>1772695</v>
      </c>
      <c r="H214" t="str">
        <f t="shared" si="4"/>
        <v>Check</v>
      </c>
      <c r="I214">
        <v>1</v>
      </c>
    </row>
    <row r="215" spans="1:9" x14ac:dyDescent="0.25">
      <c r="A215" t="s">
        <v>212</v>
      </c>
      <c r="B215" s="70" t="s">
        <v>4075</v>
      </c>
      <c r="C215" s="34">
        <v>45657</v>
      </c>
      <c r="D215" s="66" t="s">
        <v>4076</v>
      </c>
      <c r="E215" t="s">
        <v>4077</v>
      </c>
      <c r="F215" t="s">
        <v>4078</v>
      </c>
      <c r="G215">
        <v>1469367</v>
      </c>
      <c r="H215">
        <f t="shared" si="4"/>
        <v>1</v>
      </c>
      <c r="I215">
        <v>1</v>
      </c>
    </row>
    <row r="216" spans="1:9" x14ac:dyDescent="0.25">
      <c r="A216" t="s">
        <v>3340</v>
      </c>
      <c r="B216" s="70" t="s">
        <v>4134</v>
      </c>
      <c r="C216" s="34">
        <v>46022</v>
      </c>
      <c r="D216" s="66" t="s">
        <v>4135</v>
      </c>
      <c r="E216" t="s">
        <v>4136</v>
      </c>
      <c r="F216" t="s">
        <v>4137</v>
      </c>
      <c r="G216">
        <v>92230</v>
      </c>
      <c r="H216" t="str">
        <f t="shared" ref="H216" si="5">IF(E216=A216,1,"Check")</f>
        <v>Check</v>
      </c>
      <c r="I216">
        <v>1</v>
      </c>
    </row>
    <row r="217" spans="1:9" x14ac:dyDescent="0.25">
      <c r="A217" t="s">
        <v>213</v>
      </c>
      <c r="B217" s="70" t="s">
        <v>4079</v>
      </c>
      <c r="C217" s="34">
        <v>44561</v>
      </c>
      <c r="D217" s="66" t="s">
        <v>4080</v>
      </c>
      <c r="E217" t="s">
        <v>4081</v>
      </c>
      <c r="F217" t="s">
        <v>4082</v>
      </c>
      <c r="G217">
        <v>1710583</v>
      </c>
      <c r="H217" t="str">
        <f t="shared" si="4"/>
        <v>Check</v>
      </c>
      <c r="I217">
        <v>1</v>
      </c>
    </row>
    <row r="218" spans="1:9" x14ac:dyDescent="0.25">
      <c r="A218" t="s">
        <v>214</v>
      </c>
      <c r="B218" s="70" t="s">
        <v>4083</v>
      </c>
      <c r="C218" s="34">
        <v>46022</v>
      </c>
      <c r="D218" t="s">
        <v>4084</v>
      </c>
      <c r="E218" t="s">
        <v>4085</v>
      </c>
      <c r="F218" t="s">
        <v>4086</v>
      </c>
      <c r="G218">
        <v>1113169</v>
      </c>
      <c r="H218" t="str">
        <f t="shared" si="4"/>
        <v>Check</v>
      </c>
      <c r="I218">
        <v>1</v>
      </c>
    </row>
    <row r="219" spans="1:9" x14ac:dyDescent="0.25">
      <c r="A219" t="s">
        <v>215</v>
      </c>
      <c r="B219" s="70">
        <v>876030107</v>
      </c>
      <c r="C219" s="34">
        <v>45838</v>
      </c>
      <c r="D219" s="66" t="s">
        <v>4087</v>
      </c>
      <c r="E219" t="s">
        <v>4088</v>
      </c>
      <c r="F219" t="s">
        <v>4089</v>
      </c>
      <c r="G219">
        <v>1116132</v>
      </c>
      <c r="H219" t="str">
        <f t="shared" si="4"/>
        <v>Check</v>
      </c>
      <c r="I219">
        <v>1</v>
      </c>
    </row>
    <row r="220" spans="1:9" x14ac:dyDescent="0.25">
      <c r="A220" t="s">
        <v>216</v>
      </c>
      <c r="B220" s="70" t="s">
        <v>4090</v>
      </c>
      <c r="C220" s="34">
        <v>46022</v>
      </c>
      <c r="D220" s="66" t="s">
        <v>4091</v>
      </c>
      <c r="E220" t="s">
        <v>4092</v>
      </c>
      <c r="F220" t="s">
        <v>4093</v>
      </c>
      <c r="G220">
        <v>1389170</v>
      </c>
      <c r="H220">
        <f t="shared" si="4"/>
        <v>1</v>
      </c>
      <c r="I220">
        <v>1</v>
      </c>
    </row>
    <row r="221" spans="1:9" x14ac:dyDescent="0.25">
      <c r="A221" t="s">
        <v>217</v>
      </c>
      <c r="B221" s="71">
        <v>8.7611999999999999E+110</v>
      </c>
      <c r="C221" s="34">
        <v>46053</v>
      </c>
      <c r="D221" s="66" t="s">
        <v>4094</v>
      </c>
      <c r="E221" t="s">
        <v>4095</v>
      </c>
      <c r="F221" t="s">
        <v>4096</v>
      </c>
      <c r="G221">
        <v>27419</v>
      </c>
      <c r="H221">
        <f t="shared" si="4"/>
        <v>1</v>
      </c>
      <c r="I221">
        <v>1</v>
      </c>
    </row>
    <row r="222" spans="1:9" x14ac:dyDescent="0.25">
      <c r="A222" t="s">
        <v>218</v>
      </c>
      <c r="B222" s="70" t="s">
        <v>4097</v>
      </c>
      <c r="C222" s="34">
        <v>46022</v>
      </c>
      <c r="D222" s="66" t="s">
        <v>4098</v>
      </c>
      <c r="E222" t="s">
        <v>4099</v>
      </c>
      <c r="F222" t="s">
        <v>4100</v>
      </c>
      <c r="G222">
        <v>1562476</v>
      </c>
      <c r="H222" t="str">
        <f t="shared" si="4"/>
        <v>Check</v>
      </c>
      <c r="I222">
        <v>1</v>
      </c>
    </row>
    <row r="223" spans="1:9" x14ac:dyDescent="0.25">
      <c r="A223" t="s">
        <v>219</v>
      </c>
      <c r="B223" s="70" t="s">
        <v>4101</v>
      </c>
      <c r="C223" s="34">
        <v>46022</v>
      </c>
      <c r="D223" s="66" t="s">
        <v>4102</v>
      </c>
      <c r="E223" t="s">
        <v>4103</v>
      </c>
      <c r="F223" t="s">
        <v>4104</v>
      </c>
      <c r="G223">
        <v>1477449</v>
      </c>
      <c r="H223">
        <f t="shared" si="4"/>
        <v>1</v>
      </c>
      <c r="I223">
        <v>1</v>
      </c>
    </row>
    <row r="224" spans="1:9" x14ac:dyDescent="0.25">
      <c r="A224" t="s">
        <v>220</v>
      </c>
      <c r="B224" s="70" t="s">
        <v>4105</v>
      </c>
      <c r="C224" s="34">
        <v>45657</v>
      </c>
      <c r="D224" s="66" t="s">
        <v>4106</v>
      </c>
      <c r="E224" t="s">
        <v>4107</v>
      </c>
      <c r="F224" t="s">
        <v>4108</v>
      </c>
      <c r="G224">
        <v>98222</v>
      </c>
      <c r="H224" t="str">
        <f t="shared" si="4"/>
        <v>Check</v>
      </c>
      <c r="I224">
        <v>1</v>
      </c>
    </row>
    <row r="225" spans="1:9" x14ac:dyDescent="0.25">
      <c r="A225" t="s">
        <v>221</v>
      </c>
      <c r="B225" s="70">
        <v>889478103</v>
      </c>
      <c r="C225" s="34">
        <v>45961</v>
      </c>
      <c r="D225" s="66" t="s">
        <v>4109</v>
      </c>
      <c r="E225" t="s">
        <v>4110</v>
      </c>
      <c r="F225" t="s">
        <v>4111</v>
      </c>
      <c r="G225">
        <v>794170</v>
      </c>
      <c r="H225" t="str">
        <f t="shared" si="4"/>
        <v>Check</v>
      </c>
      <c r="I225">
        <v>1</v>
      </c>
    </row>
    <row r="226" spans="1:9" x14ac:dyDescent="0.25">
      <c r="A226" t="s">
        <v>222</v>
      </c>
      <c r="B226" s="70" t="s">
        <v>4112</v>
      </c>
      <c r="C226" s="34">
        <v>45657</v>
      </c>
      <c r="D226" s="66" t="s">
        <v>4113</v>
      </c>
      <c r="E226" t="s">
        <v>4114</v>
      </c>
      <c r="F226" t="s">
        <v>4115</v>
      </c>
      <c r="G226">
        <v>1455684</v>
      </c>
      <c r="H226">
        <f t="shared" si="4"/>
        <v>1</v>
      </c>
      <c r="I226">
        <v>1</v>
      </c>
    </row>
    <row r="227" spans="1:9" x14ac:dyDescent="0.25">
      <c r="A227" t="s">
        <v>223</v>
      </c>
      <c r="B227" s="70">
        <v>892356106</v>
      </c>
      <c r="C227" s="34">
        <v>46022</v>
      </c>
      <c r="D227" s="66" t="s">
        <v>4116</v>
      </c>
      <c r="E227" t="s">
        <v>4117</v>
      </c>
      <c r="F227" t="s">
        <v>4118</v>
      </c>
      <c r="G227">
        <v>916365</v>
      </c>
      <c r="H227">
        <f t="shared" si="4"/>
        <v>1</v>
      </c>
      <c r="I227">
        <v>1</v>
      </c>
    </row>
    <row r="228" spans="1:9" x14ac:dyDescent="0.25">
      <c r="A228" t="s">
        <v>224</v>
      </c>
      <c r="B228" s="71">
        <v>8.9417000000000005E+113</v>
      </c>
      <c r="C228" s="34">
        <v>46022</v>
      </c>
      <c r="D228" s="66" t="s">
        <v>4119</v>
      </c>
      <c r="E228" t="s">
        <v>4120</v>
      </c>
      <c r="F228" t="s">
        <v>4121</v>
      </c>
      <c r="G228">
        <v>86312</v>
      </c>
      <c r="H228" t="str">
        <f t="shared" si="4"/>
        <v>Check</v>
      </c>
      <c r="I228">
        <v>1</v>
      </c>
    </row>
    <row r="229" spans="1:9" x14ac:dyDescent="0.25">
      <c r="A229" t="s">
        <v>225</v>
      </c>
      <c r="B229" s="70" t="s">
        <v>4122</v>
      </c>
      <c r="C229" s="34">
        <v>45657</v>
      </c>
      <c r="D229" s="66" t="s">
        <v>4123</v>
      </c>
      <c r="E229" t="s">
        <v>4124</v>
      </c>
      <c r="F229" t="s">
        <v>4125</v>
      </c>
      <c r="G229">
        <v>1320695</v>
      </c>
      <c r="H229">
        <f t="shared" si="4"/>
        <v>1</v>
      </c>
      <c r="I229">
        <v>1</v>
      </c>
    </row>
    <row r="230" spans="1:9" x14ac:dyDescent="0.25">
      <c r="A230" t="s">
        <v>226</v>
      </c>
      <c r="B230" s="70">
        <v>896522109</v>
      </c>
      <c r="C230" s="34">
        <v>46022</v>
      </c>
      <c r="D230" s="66" t="s">
        <v>4126</v>
      </c>
      <c r="E230" t="s">
        <v>4127</v>
      </c>
      <c r="F230" t="s">
        <v>4128</v>
      </c>
      <c r="G230">
        <v>99780</v>
      </c>
      <c r="H230">
        <f t="shared" si="4"/>
        <v>1</v>
      </c>
      <c r="I230">
        <v>1</v>
      </c>
    </row>
    <row r="231" spans="1:9" x14ac:dyDescent="0.25">
      <c r="A231" t="s">
        <v>227</v>
      </c>
      <c r="B231" s="70" t="s">
        <v>4129</v>
      </c>
      <c r="C231" s="34">
        <v>45657</v>
      </c>
      <c r="D231" s="66" t="s">
        <v>4130</v>
      </c>
      <c r="E231" t="s">
        <v>4131</v>
      </c>
      <c r="F231" t="s">
        <v>4132</v>
      </c>
      <c r="G231">
        <v>1519061</v>
      </c>
      <c r="H231" t="str">
        <f t="shared" si="4"/>
        <v>Check</v>
      </c>
      <c r="I231" t="s">
        <v>4133</v>
      </c>
    </row>
    <row r="232" spans="1:9" x14ac:dyDescent="0.25">
      <c r="A232" t="s">
        <v>228</v>
      </c>
      <c r="B232" s="70" t="s">
        <v>4134</v>
      </c>
      <c r="C232" s="34">
        <v>46022</v>
      </c>
      <c r="D232" s="66" t="s">
        <v>4135</v>
      </c>
      <c r="E232" t="s">
        <v>4136</v>
      </c>
      <c r="F232" t="s">
        <v>4137</v>
      </c>
      <c r="G232">
        <v>92230</v>
      </c>
      <c r="H232">
        <f t="shared" si="4"/>
        <v>1</v>
      </c>
      <c r="I232">
        <v>1</v>
      </c>
    </row>
    <row r="233" spans="1:9" x14ac:dyDescent="0.25">
      <c r="A233" t="s">
        <v>229</v>
      </c>
      <c r="B233" s="70">
        <v>899896104</v>
      </c>
      <c r="C233" s="34">
        <v>44926</v>
      </c>
      <c r="D233" s="66" t="s">
        <v>4138</v>
      </c>
      <c r="E233" t="s">
        <v>4139</v>
      </c>
      <c r="F233" t="s">
        <v>4140</v>
      </c>
      <c r="G233">
        <v>1008654</v>
      </c>
      <c r="H233">
        <f t="shared" si="4"/>
        <v>1</v>
      </c>
      <c r="I233">
        <v>1</v>
      </c>
    </row>
    <row r="234" spans="1:9" x14ac:dyDescent="0.25">
      <c r="A234" t="s">
        <v>230</v>
      </c>
      <c r="B234" s="70" t="s">
        <v>4141</v>
      </c>
      <c r="C234" s="34">
        <v>44561</v>
      </c>
      <c r="D234" s="66" t="s">
        <v>4142</v>
      </c>
      <c r="E234" t="s">
        <v>4143</v>
      </c>
      <c r="F234" t="s">
        <v>4144</v>
      </c>
      <c r="G234">
        <v>1418091</v>
      </c>
      <c r="H234">
        <f t="shared" si="4"/>
        <v>1</v>
      </c>
      <c r="I234">
        <v>1</v>
      </c>
    </row>
    <row r="235" spans="1:9" x14ac:dyDescent="0.25">
      <c r="A235" t="s">
        <v>231</v>
      </c>
      <c r="B235" s="70">
        <v>902653104</v>
      </c>
      <c r="C235" s="34">
        <v>46022</v>
      </c>
      <c r="D235" s="66" t="s">
        <v>4145</v>
      </c>
      <c r="E235" t="s">
        <v>4146</v>
      </c>
      <c r="F235" t="s">
        <v>4147</v>
      </c>
      <c r="G235">
        <v>74208</v>
      </c>
      <c r="H235">
        <f t="shared" si="4"/>
        <v>1</v>
      </c>
      <c r="I235">
        <v>1</v>
      </c>
    </row>
    <row r="236" spans="1:9" x14ac:dyDescent="0.25">
      <c r="A236" t="s">
        <v>232</v>
      </c>
      <c r="B236" s="70">
        <v>911163103</v>
      </c>
      <c r="C236" s="34">
        <v>45869</v>
      </c>
      <c r="D236" s="66" t="s">
        <v>4148</v>
      </c>
      <c r="E236" t="s">
        <v>4149</v>
      </c>
      <c r="F236" t="s">
        <v>4150</v>
      </c>
      <c r="G236">
        <v>1020859</v>
      </c>
      <c r="H236">
        <f t="shared" si="4"/>
        <v>1</v>
      </c>
      <c r="I236">
        <v>1</v>
      </c>
    </row>
    <row r="237" spans="1:9" x14ac:dyDescent="0.25">
      <c r="A237" t="s">
        <v>233</v>
      </c>
      <c r="B237" s="70">
        <v>911363109</v>
      </c>
      <c r="C237" s="34">
        <v>46022</v>
      </c>
      <c r="D237" s="66" t="s">
        <v>4151</v>
      </c>
      <c r="E237" t="s">
        <v>4152</v>
      </c>
      <c r="F237" t="s">
        <v>4153</v>
      </c>
      <c r="G237">
        <v>1067701</v>
      </c>
      <c r="H237">
        <f t="shared" si="4"/>
        <v>1</v>
      </c>
      <c r="I237">
        <v>1</v>
      </c>
    </row>
    <row r="238" spans="1:9" x14ac:dyDescent="0.25">
      <c r="A238" t="s">
        <v>234</v>
      </c>
      <c r="B238" s="70" t="s">
        <v>4154</v>
      </c>
      <c r="C238" s="34">
        <v>46022</v>
      </c>
      <c r="D238" s="66" t="s">
        <v>4155</v>
      </c>
      <c r="E238" t="s">
        <v>4156</v>
      </c>
      <c r="F238" t="s">
        <v>4157</v>
      </c>
      <c r="G238">
        <v>1082554</v>
      </c>
      <c r="H238">
        <f t="shared" si="4"/>
        <v>1</v>
      </c>
      <c r="I238">
        <v>1</v>
      </c>
    </row>
    <row r="239" spans="1:9" x14ac:dyDescent="0.25">
      <c r="A239" t="s">
        <v>235</v>
      </c>
      <c r="B239" s="70" t="s">
        <v>4158</v>
      </c>
      <c r="C239" s="34">
        <v>45657</v>
      </c>
      <c r="D239" s="66" t="s">
        <v>4159</v>
      </c>
      <c r="E239" t="s">
        <v>4160</v>
      </c>
      <c r="F239" t="s">
        <v>4161</v>
      </c>
      <c r="G239">
        <v>894627</v>
      </c>
      <c r="H239">
        <f t="shared" si="4"/>
        <v>1</v>
      </c>
      <c r="I239">
        <v>1</v>
      </c>
    </row>
    <row r="240" spans="1:9" x14ac:dyDescent="0.25">
      <c r="A240" t="s">
        <v>236</v>
      </c>
      <c r="B240" s="70" t="s">
        <v>4162</v>
      </c>
      <c r="C240" s="34">
        <v>45869</v>
      </c>
      <c r="D240" s="66" t="s">
        <v>4163</v>
      </c>
      <c r="E240" t="s">
        <v>4164</v>
      </c>
      <c r="F240" t="s">
        <v>4165</v>
      </c>
      <c r="G240">
        <v>812011</v>
      </c>
      <c r="H240">
        <f t="shared" si="4"/>
        <v>1</v>
      </c>
      <c r="I240">
        <v>1</v>
      </c>
    </row>
    <row r="241" spans="1:9" x14ac:dyDescent="0.25">
      <c r="A241" t="s">
        <v>237</v>
      </c>
      <c r="B241" s="70" t="s">
        <v>4166</v>
      </c>
      <c r="C241" s="34">
        <v>46022</v>
      </c>
      <c r="D241" s="66" t="s">
        <v>4167</v>
      </c>
      <c r="E241" t="s">
        <v>4168</v>
      </c>
      <c r="F241" t="s">
        <v>4169</v>
      </c>
      <c r="G241">
        <v>2041610</v>
      </c>
      <c r="H241" t="str">
        <f t="shared" si="4"/>
        <v>Check</v>
      </c>
      <c r="I241">
        <v>1</v>
      </c>
    </row>
    <row r="242" spans="1:9" x14ac:dyDescent="0.25">
      <c r="A242" t="s">
        <v>238</v>
      </c>
      <c r="B242" s="70" t="s">
        <v>4170</v>
      </c>
      <c r="C242" s="34">
        <v>45930</v>
      </c>
      <c r="D242" s="66" t="s">
        <v>4171</v>
      </c>
      <c r="E242" t="s">
        <v>4172</v>
      </c>
      <c r="F242" t="s">
        <v>4173</v>
      </c>
      <c r="G242">
        <v>1403161</v>
      </c>
      <c r="H242">
        <f t="shared" si="4"/>
        <v>1</v>
      </c>
      <c r="I242">
        <v>1</v>
      </c>
    </row>
    <row r="243" spans="1:9" x14ac:dyDescent="0.25">
      <c r="A243" t="s">
        <v>239</v>
      </c>
      <c r="B243" s="70" t="s">
        <v>4174</v>
      </c>
      <c r="C243" s="34">
        <v>45657</v>
      </c>
      <c r="D243" s="66" t="s">
        <v>4175</v>
      </c>
      <c r="E243" t="s">
        <v>4176</v>
      </c>
      <c r="F243" t="s">
        <v>4177</v>
      </c>
      <c r="G243">
        <v>1692819</v>
      </c>
      <c r="H243">
        <f t="shared" si="4"/>
        <v>1</v>
      </c>
      <c r="I243">
        <v>1</v>
      </c>
    </row>
    <row r="244" spans="1:9" x14ac:dyDescent="0.25">
      <c r="A244" t="s">
        <v>240</v>
      </c>
      <c r="B244" s="70" t="s">
        <v>4178</v>
      </c>
      <c r="C244" s="34">
        <v>44957</v>
      </c>
      <c r="D244" s="66" t="s">
        <v>4179</v>
      </c>
      <c r="E244" t="s">
        <v>4180</v>
      </c>
      <c r="F244" t="s">
        <v>4181</v>
      </c>
      <c r="G244">
        <v>1124610</v>
      </c>
      <c r="H244" t="str">
        <f t="shared" si="4"/>
        <v>Check</v>
      </c>
      <c r="I244">
        <v>1</v>
      </c>
    </row>
    <row r="245" spans="1:9" x14ac:dyDescent="0.25">
      <c r="A245" t="s">
        <v>241</v>
      </c>
      <c r="B245" s="70">
        <v>929042109</v>
      </c>
      <c r="C245" s="34">
        <v>46022</v>
      </c>
      <c r="D245" s="66" t="s">
        <v>4182</v>
      </c>
      <c r="E245" t="s">
        <v>4183</v>
      </c>
      <c r="F245" t="s">
        <v>4184</v>
      </c>
      <c r="G245">
        <v>899689</v>
      </c>
      <c r="H245">
        <f t="shared" si="4"/>
        <v>1</v>
      </c>
      <c r="I245">
        <v>1</v>
      </c>
    </row>
    <row r="246" spans="1:9" x14ac:dyDescent="0.25">
      <c r="A246" t="s">
        <v>242</v>
      </c>
      <c r="B246" s="70" t="s">
        <v>4185</v>
      </c>
      <c r="C246" s="34">
        <v>45657</v>
      </c>
      <c r="D246" s="66" t="s">
        <v>4186</v>
      </c>
      <c r="E246" t="s">
        <v>4187</v>
      </c>
      <c r="F246" t="s">
        <v>4188</v>
      </c>
      <c r="G246">
        <v>1288403</v>
      </c>
      <c r="H246">
        <f t="shared" si="4"/>
        <v>1</v>
      </c>
      <c r="I246">
        <v>1</v>
      </c>
    </row>
    <row r="247" spans="1:9" x14ac:dyDescent="0.25">
      <c r="A247" t="s">
        <v>243</v>
      </c>
      <c r="B247" s="70">
        <v>931427108</v>
      </c>
      <c r="C247" s="34">
        <v>45535</v>
      </c>
      <c r="D247" s="66" t="s">
        <v>4189</v>
      </c>
      <c r="E247" t="s">
        <v>4190</v>
      </c>
      <c r="F247" t="s">
        <v>4191</v>
      </c>
      <c r="G247">
        <v>1618921</v>
      </c>
      <c r="H247">
        <f t="shared" si="4"/>
        <v>1</v>
      </c>
      <c r="I247">
        <v>1</v>
      </c>
    </row>
    <row r="248" spans="1:9" x14ac:dyDescent="0.25">
      <c r="A248" t="s">
        <v>244</v>
      </c>
      <c r="B248" s="70">
        <v>254687106</v>
      </c>
      <c r="C248" s="34">
        <v>45930</v>
      </c>
      <c r="D248" s="66" t="s">
        <v>4192</v>
      </c>
      <c r="E248" t="s">
        <v>4193</v>
      </c>
      <c r="F248" t="s">
        <v>4194</v>
      </c>
      <c r="G248">
        <v>1744489</v>
      </c>
      <c r="H248" t="str">
        <f t="shared" si="4"/>
        <v>Check</v>
      </c>
      <c r="I248">
        <v>1</v>
      </c>
    </row>
    <row r="249" spans="1:9" x14ac:dyDescent="0.25">
      <c r="A249" t="s">
        <v>245</v>
      </c>
      <c r="B249" s="70" t="s">
        <v>4195</v>
      </c>
      <c r="C249" s="34">
        <v>46022</v>
      </c>
      <c r="D249" s="66" t="s">
        <v>4196</v>
      </c>
      <c r="E249" t="s">
        <v>4197</v>
      </c>
      <c r="F249" t="s">
        <v>4198</v>
      </c>
      <c r="G249">
        <v>1691303</v>
      </c>
      <c r="H249">
        <f t="shared" si="4"/>
        <v>1</v>
      </c>
      <c r="I249">
        <v>1</v>
      </c>
    </row>
    <row r="250" spans="1:9" x14ac:dyDescent="0.25">
      <c r="A250" t="s">
        <v>246</v>
      </c>
      <c r="B250" s="70" t="s">
        <v>4199</v>
      </c>
      <c r="C250" s="34">
        <v>46022</v>
      </c>
      <c r="D250" s="66" t="s">
        <v>4200</v>
      </c>
      <c r="E250" t="s">
        <v>4201</v>
      </c>
      <c r="F250" t="s">
        <v>4202</v>
      </c>
      <c r="G250">
        <v>30697</v>
      </c>
      <c r="H250" t="str">
        <f t="shared" si="4"/>
        <v>Check</v>
      </c>
      <c r="I250">
        <v>1</v>
      </c>
    </row>
    <row r="251" spans="1:9" x14ac:dyDescent="0.25">
      <c r="A251" t="s">
        <v>247</v>
      </c>
      <c r="B251" s="70">
        <v>959802109</v>
      </c>
      <c r="C251" s="34">
        <v>46022</v>
      </c>
      <c r="D251" s="66" t="s">
        <v>4203</v>
      </c>
      <c r="E251" t="s">
        <v>4204</v>
      </c>
      <c r="F251" t="s">
        <v>4205</v>
      </c>
      <c r="G251">
        <v>1365135</v>
      </c>
      <c r="H251" t="str">
        <f t="shared" si="4"/>
        <v>Check</v>
      </c>
      <c r="I251">
        <v>1</v>
      </c>
    </row>
    <row r="252" spans="1:9" x14ac:dyDescent="0.25">
      <c r="A252" t="s">
        <v>248</v>
      </c>
      <c r="B252" s="70" t="s">
        <v>4206</v>
      </c>
      <c r="C252" s="34">
        <v>46022</v>
      </c>
      <c r="D252" s="66" t="s">
        <v>4207</v>
      </c>
      <c r="E252" t="s">
        <v>4208</v>
      </c>
      <c r="F252" t="s">
        <v>4209</v>
      </c>
      <c r="G252">
        <v>1309108</v>
      </c>
      <c r="H252">
        <f t="shared" si="4"/>
        <v>1</v>
      </c>
      <c r="I252">
        <v>1</v>
      </c>
    </row>
    <row r="253" spans="1:9" x14ac:dyDescent="0.25">
      <c r="A253" t="s">
        <v>249</v>
      </c>
      <c r="B253" s="70">
        <v>963320106</v>
      </c>
      <c r="C253" s="34">
        <v>46022</v>
      </c>
      <c r="D253" s="66" t="s">
        <v>4210</v>
      </c>
      <c r="E253" t="s">
        <v>4211</v>
      </c>
      <c r="F253" t="s">
        <v>4212</v>
      </c>
      <c r="G253">
        <v>106640</v>
      </c>
      <c r="H253">
        <f t="shared" si="4"/>
        <v>1</v>
      </c>
      <c r="I253">
        <v>1</v>
      </c>
    </row>
    <row r="254" spans="1:9" x14ac:dyDescent="0.25">
      <c r="A254" t="s">
        <v>250</v>
      </c>
      <c r="B254" s="70">
        <v>969457100</v>
      </c>
      <c r="C254" s="34">
        <v>46022</v>
      </c>
      <c r="D254" s="66" t="s">
        <v>4213</v>
      </c>
      <c r="E254" t="s">
        <v>4214</v>
      </c>
      <c r="F254" t="s">
        <v>4215</v>
      </c>
      <c r="G254">
        <v>107263</v>
      </c>
      <c r="H254" t="str">
        <f t="shared" si="4"/>
        <v>Check</v>
      </c>
      <c r="I254">
        <v>1</v>
      </c>
    </row>
    <row r="255" spans="1:9" x14ac:dyDescent="0.25">
      <c r="A255" t="s">
        <v>251</v>
      </c>
      <c r="B255" s="70">
        <v>969904101</v>
      </c>
      <c r="C255" s="34">
        <v>45688</v>
      </c>
      <c r="D255" s="66" t="s">
        <v>4216</v>
      </c>
      <c r="E255" t="s">
        <v>4217</v>
      </c>
      <c r="F255" t="s">
        <v>4218</v>
      </c>
      <c r="G255">
        <v>719955</v>
      </c>
      <c r="H255">
        <f t="shared" si="4"/>
        <v>1</v>
      </c>
      <c r="I255">
        <v>1</v>
      </c>
    </row>
    <row r="256" spans="1:9" x14ac:dyDescent="0.25">
      <c r="A256" t="s">
        <v>252</v>
      </c>
      <c r="B256" s="70">
        <v>983134107</v>
      </c>
      <c r="C256" s="34">
        <v>46022</v>
      </c>
      <c r="D256" s="66" t="s">
        <v>4219</v>
      </c>
      <c r="E256" t="s">
        <v>4220</v>
      </c>
      <c r="F256" t="s">
        <v>4221</v>
      </c>
      <c r="G256">
        <v>1174922</v>
      </c>
      <c r="H256">
        <f t="shared" si="4"/>
        <v>1</v>
      </c>
      <c r="I256">
        <v>1</v>
      </c>
    </row>
    <row r="257" spans="1:9" x14ac:dyDescent="0.25">
      <c r="A257" t="s">
        <v>253</v>
      </c>
      <c r="B257" s="70">
        <v>983793100</v>
      </c>
      <c r="C257" s="34">
        <v>46022</v>
      </c>
      <c r="D257" s="66" t="s">
        <v>4222</v>
      </c>
      <c r="E257" t="s">
        <v>4223</v>
      </c>
      <c r="F257" t="s">
        <v>4224</v>
      </c>
      <c r="G257">
        <v>1166003</v>
      </c>
      <c r="H257" t="str">
        <f t="shared" si="4"/>
        <v>Check</v>
      </c>
      <c r="I257">
        <v>1</v>
      </c>
    </row>
    <row r="258" spans="1:9" x14ac:dyDescent="0.25">
      <c r="A258" t="s">
        <v>254</v>
      </c>
      <c r="B258" s="70" t="s">
        <v>4225</v>
      </c>
      <c r="C258" s="34">
        <v>46022</v>
      </c>
      <c r="D258" s="66" t="s">
        <v>4226</v>
      </c>
      <c r="E258" t="s">
        <v>4227</v>
      </c>
      <c r="F258" t="s">
        <v>4228</v>
      </c>
      <c r="G258">
        <v>1524472</v>
      </c>
      <c r="H258" t="str">
        <f t="shared" si="4"/>
        <v>Check</v>
      </c>
      <c r="I258">
        <v>1</v>
      </c>
    </row>
    <row r="259" spans="1:9" x14ac:dyDescent="0.25">
      <c r="A259" t="s">
        <v>255</v>
      </c>
      <c r="B259" s="70" t="s">
        <v>4229</v>
      </c>
      <c r="C259" s="34">
        <v>46022</v>
      </c>
      <c r="D259" s="66" t="s">
        <v>4230</v>
      </c>
      <c r="E259" t="s">
        <v>4231</v>
      </c>
      <c r="F259" t="s">
        <v>4232</v>
      </c>
      <c r="G259">
        <v>1555280</v>
      </c>
      <c r="H259">
        <f t="shared" si="4"/>
        <v>1</v>
      </c>
      <c r="I259">
        <v>1</v>
      </c>
    </row>
  </sheetData>
  <sortState xmlns:xlrd2="http://schemas.microsoft.com/office/spreadsheetml/2017/richdata2" ref="A3:I259">
    <sortCondition ref="A3:A259"/>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8D55-A33D-47FA-8E71-78CC8E22A3F0}">
  <dimension ref="A1:AA305"/>
  <sheetViews>
    <sheetView workbookViewId="0">
      <pane xSplit="5" ySplit="1" topLeftCell="F35" activePane="bottomRight" state="frozen"/>
      <selection pane="topRight" activeCell="F1" sqref="F1"/>
      <selection pane="bottomLeft" activeCell="A2" sqref="A2"/>
      <selection pane="bottomRight" activeCell="I50" sqref="I50"/>
    </sheetView>
  </sheetViews>
  <sheetFormatPr defaultRowHeight="15.75" x14ac:dyDescent="0.25"/>
  <cols>
    <col min="5" max="5" width="12.75" customWidth="1"/>
  </cols>
  <sheetData>
    <row r="1" spans="1:27" x14ac:dyDescent="0.25">
      <c r="A1" t="s">
        <v>4285</v>
      </c>
      <c r="B1" s="24" t="s">
        <v>3342</v>
      </c>
      <c r="C1" t="s">
        <v>4286</v>
      </c>
      <c r="D1" t="s">
        <v>4236</v>
      </c>
      <c r="E1" t="s">
        <v>4287</v>
      </c>
      <c r="F1" t="s">
        <v>4237</v>
      </c>
      <c r="G1" t="s">
        <v>4238</v>
      </c>
      <c r="H1" t="s">
        <v>4239</v>
      </c>
      <c r="I1" t="s">
        <v>3344</v>
      </c>
      <c r="J1" t="s">
        <v>4288</v>
      </c>
      <c r="K1" s="86" t="s">
        <v>4289</v>
      </c>
      <c r="L1" s="86" t="s">
        <v>4290</v>
      </c>
      <c r="M1" s="86" t="s">
        <v>4291</v>
      </c>
      <c r="N1" s="86" t="s">
        <v>4292</v>
      </c>
      <c r="O1" s="86" t="s">
        <v>4293</v>
      </c>
      <c r="P1" s="86" t="s">
        <v>4294</v>
      </c>
      <c r="Q1" s="86" t="s">
        <v>4295</v>
      </c>
      <c r="R1" s="86" t="s">
        <v>4296</v>
      </c>
      <c r="S1" s="86" t="s">
        <v>4297</v>
      </c>
      <c r="T1" s="86" t="s">
        <v>4298</v>
      </c>
      <c r="U1" s="86" t="s">
        <v>4299</v>
      </c>
      <c r="V1" s="86" t="s">
        <v>4300</v>
      </c>
      <c r="W1" s="86" t="s">
        <v>4301</v>
      </c>
      <c r="X1" s="86" t="s">
        <v>4302</v>
      </c>
      <c r="Y1" s="86" t="s">
        <v>4303</v>
      </c>
      <c r="Z1" s="86" t="s">
        <v>4304</v>
      </c>
      <c r="AA1" s="87" t="s">
        <v>2430</v>
      </c>
    </row>
    <row r="2" spans="1:27" x14ac:dyDescent="0.25">
      <c r="A2" s="88">
        <v>10</v>
      </c>
      <c r="B2" t="s">
        <v>3</v>
      </c>
      <c r="C2" s="88">
        <v>2020</v>
      </c>
      <c r="D2" t="s">
        <v>3347</v>
      </c>
      <c r="E2" s="34">
        <v>46022</v>
      </c>
      <c r="F2" s="88">
        <v>28070</v>
      </c>
      <c r="G2" t="s">
        <v>3349</v>
      </c>
      <c r="H2" t="s">
        <v>3350</v>
      </c>
      <c r="I2" s="88">
        <v>1673985</v>
      </c>
      <c r="J2" t="s">
        <v>4305</v>
      </c>
      <c r="K2" s="86">
        <v>1263.406982421875</v>
      </c>
      <c r="L2" s="86">
        <v>444.12298583984375</v>
      </c>
      <c r="M2" s="86">
        <v>10.605999946594238</v>
      </c>
      <c r="N2" s="86">
        <v>819.28399658203125</v>
      </c>
      <c r="O2" s="86">
        <v>190.98800659179688</v>
      </c>
      <c r="P2" s="86">
        <v>46.076999664306641</v>
      </c>
      <c r="Q2" s="86">
        <v>1157.9169921875</v>
      </c>
      <c r="R2" s="86">
        <v>28.033000946044922</v>
      </c>
      <c r="S2" s="86">
        <v>19.989999771118164</v>
      </c>
      <c r="T2" s="86">
        <v>7.1415672302246094</v>
      </c>
      <c r="U2" s="86">
        <v>3.6470431834459305E-2</v>
      </c>
      <c r="V2" s="86">
        <v>0.64847195148468018</v>
      </c>
      <c r="W2" s="86">
        <v>0.16494101285934448</v>
      </c>
      <c r="X2" s="86">
        <v>8.3947610110044479E-3</v>
      </c>
      <c r="Y2" s="86">
        <v>0</v>
      </c>
      <c r="Z2" s="86">
        <v>0.79253941774368286</v>
      </c>
    </row>
    <row r="3" spans="1:27" x14ac:dyDescent="0.25">
      <c r="A3" s="88">
        <v>11</v>
      </c>
      <c r="B3" t="s">
        <v>4</v>
      </c>
      <c r="C3" s="88">
        <v>2018</v>
      </c>
      <c r="D3" t="s">
        <v>4306</v>
      </c>
      <c r="E3" s="34">
        <v>46022</v>
      </c>
      <c r="F3" s="88">
        <v>1449</v>
      </c>
      <c r="G3" t="s">
        <v>3352</v>
      </c>
      <c r="H3" t="s">
        <v>3353</v>
      </c>
      <c r="I3" s="88">
        <v>4977</v>
      </c>
      <c r="J3" t="s">
        <v>4307</v>
      </c>
      <c r="K3" s="86">
        <v>140406</v>
      </c>
      <c r="L3" s="86">
        <v>23462</v>
      </c>
      <c r="M3" s="86">
        <v>5530</v>
      </c>
      <c r="N3" s="86">
        <v>116944</v>
      </c>
      <c r="O3" s="86">
        <v>4338</v>
      </c>
      <c r="P3" s="86">
        <v>2920</v>
      </c>
      <c r="Q3" s="86">
        <v>21768</v>
      </c>
      <c r="R3" s="86">
        <v>755.2860107421875</v>
      </c>
      <c r="S3" s="86">
        <v>45.560001373291016</v>
      </c>
      <c r="T3" s="86">
        <v>11.852293968200684</v>
      </c>
      <c r="U3" s="86">
        <v>2.0796831697225571E-2</v>
      </c>
      <c r="V3" s="86">
        <v>0.83289885520935059</v>
      </c>
      <c r="W3" s="86">
        <v>0.19928334653377533</v>
      </c>
      <c r="X3" s="86">
        <v>3.9385780692100525E-2</v>
      </c>
      <c r="Y3" s="86">
        <v>0</v>
      </c>
      <c r="Z3" s="86">
        <v>0.68182021379470825</v>
      </c>
    </row>
    <row r="4" spans="1:27" x14ac:dyDescent="0.25">
      <c r="A4" s="88">
        <v>12</v>
      </c>
      <c r="B4" t="s">
        <v>5</v>
      </c>
      <c r="C4" s="88">
        <v>2020</v>
      </c>
      <c r="D4" t="s">
        <v>3354</v>
      </c>
      <c r="E4" s="34">
        <v>45961</v>
      </c>
      <c r="F4" s="88">
        <v>126554</v>
      </c>
      <c r="G4" t="s">
        <v>3356</v>
      </c>
      <c r="H4" t="s">
        <v>3357</v>
      </c>
      <c r="I4" s="88">
        <v>1090872</v>
      </c>
      <c r="J4" t="s">
        <v>4308</v>
      </c>
      <c r="K4" s="86">
        <v>9627</v>
      </c>
      <c r="L4" s="86">
        <v>4873</v>
      </c>
      <c r="M4" s="86">
        <v>1441</v>
      </c>
      <c r="N4" s="86">
        <v>4754</v>
      </c>
      <c r="O4" s="86">
        <v>3068</v>
      </c>
      <c r="P4" s="86">
        <v>719</v>
      </c>
      <c r="Q4" s="86">
        <v>5339</v>
      </c>
      <c r="R4" s="86">
        <v>306.197998046875</v>
      </c>
      <c r="S4" s="86">
        <v>102.08999633789063</v>
      </c>
      <c r="T4" s="86">
        <v>9.1723270416259766</v>
      </c>
      <c r="U4" s="86">
        <v>7.4685782194137573E-2</v>
      </c>
      <c r="V4" s="86">
        <v>0.4938194751739502</v>
      </c>
      <c r="W4" s="86">
        <v>0.57463943958282471</v>
      </c>
      <c r="X4" s="86">
        <v>0.14968317747116089</v>
      </c>
      <c r="Y4" s="86">
        <v>0</v>
      </c>
      <c r="Z4" s="86">
        <v>0.15588735044002533</v>
      </c>
    </row>
    <row r="5" spans="1:27" x14ac:dyDescent="0.25">
      <c r="A5" s="88">
        <v>14</v>
      </c>
      <c r="B5" t="s">
        <v>6</v>
      </c>
      <c r="C5" s="88">
        <v>2020</v>
      </c>
      <c r="D5" t="s">
        <v>3358</v>
      </c>
      <c r="E5" s="34">
        <v>46022</v>
      </c>
      <c r="F5" s="88">
        <v>179889</v>
      </c>
      <c r="G5" t="s">
        <v>3360</v>
      </c>
      <c r="H5" t="s">
        <v>3361</v>
      </c>
      <c r="I5" s="88">
        <v>1423689</v>
      </c>
      <c r="J5" t="s">
        <v>4305</v>
      </c>
      <c r="K5" s="86">
        <v>81817</v>
      </c>
      <c r="L5" s="86">
        <v>9590</v>
      </c>
      <c r="M5" s="86">
        <v>2324</v>
      </c>
      <c r="N5" s="86">
        <v>70738</v>
      </c>
      <c r="O5" s="86">
        <v>2871</v>
      </c>
      <c r="P5" s="86">
        <v>-266</v>
      </c>
      <c r="Q5" s="86">
        <v>2964</v>
      </c>
      <c r="R5" s="86">
        <v>539.468994140625</v>
      </c>
      <c r="S5" s="86">
        <v>15.600000381469727</v>
      </c>
      <c r="T5" s="86">
        <v>11.312240600585938</v>
      </c>
      <c r="U5" s="86">
        <v>-3.2511581666767597E-3</v>
      </c>
      <c r="V5" s="86">
        <v>0.86458802223205566</v>
      </c>
      <c r="W5" s="86">
        <v>0.96862345933914185</v>
      </c>
      <c r="X5" s="86">
        <v>2.8404854238033295E-2</v>
      </c>
      <c r="Y5" s="86">
        <v>1</v>
      </c>
      <c r="Z5" s="86">
        <v>1.139534592628479</v>
      </c>
    </row>
    <row r="6" spans="1:27" x14ac:dyDescent="0.25">
      <c r="A6" s="88">
        <v>15</v>
      </c>
      <c r="B6" t="s">
        <v>7</v>
      </c>
      <c r="C6" s="88">
        <v>2020</v>
      </c>
      <c r="D6" t="s">
        <v>4309</v>
      </c>
      <c r="E6" s="34">
        <v>46022</v>
      </c>
      <c r="F6" s="88">
        <v>1487</v>
      </c>
      <c r="G6" t="s">
        <v>3363</v>
      </c>
      <c r="H6" t="s">
        <v>3364</v>
      </c>
      <c r="I6" s="88">
        <v>5272</v>
      </c>
      <c r="J6" t="s">
        <v>4305</v>
      </c>
      <c r="K6" s="86">
        <v>586481</v>
      </c>
      <c r="L6" s="86">
        <v>65877</v>
      </c>
      <c r="M6" s="86">
        <v>31987</v>
      </c>
      <c r="N6" s="86">
        <v>519282</v>
      </c>
      <c r="O6" s="86">
        <v>6985</v>
      </c>
      <c r="P6" s="86">
        <v>-5944</v>
      </c>
      <c r="Q6" s="86">
        <v>43358</v>
      </c>
      <c r="R6" s="86">
        <v>861.5579833984375</v>
      </c>
      <c r="S6" s="86">
        <v>37.860000610351563</v>
      </c>
      <c r="T6" s="86">
        <v>13.281895637512207</v>
      </c>
      <c r="U6" s="86">
        <v>-1.0135025717318058E-2</v>
      </c>
      <c r="V6" s="86">
        <v>0.88541996479034424</v>
      </c>
      <c r="W6" s="86">
        <v>0.1611006110906601</v>
      </c>
      <c r="X6" s="86">
        <v>5.454055592417717E-2</v>
      </c>
      <c r="Y6" s="86">
        <v>1</v>
      </c>
      <c r="Z6" s="86">
        <v>2.0196154117584229</v>
      </c>
    </row>
    <row r="7" spans="1:27" x14ac:dyDescent="0.25">
      <c r="A7" s="88">
        <v>17</v>
      </c>
      <c r="B7" t="s">
        <v>8</v>
      </c>
      <c r="C7" s="88">
        <v>2020</v>
      </c>
      <c r="D7" t="s">
        <v>3365</v>
      </c>
      <c r="E7" s="34">
        <v>46022</v>
      </c>
      <c r="F7" s="88">
        <v>125595</v>
      </c>
      <c r="G7" t="s">
        <v>3367</v>
      </c>
      <c r="H7" t="s">
        <v>3368</v>
      </c>
      <c r="I7" s="88">
        <v>1086222</v>
      </c>
      <c r="J7" t="s">
        <v>4305</v>
      </c>
      <c r="K7" s="86">
        <v>7764.1298828125</v>
      </c>
      <c r="L7" s="86">
        <v>4251.2958984375</v>
      </c>
      <c r="M7" s="86">
        <v>1098.072998046875</v>
      </c>
      <c r="N7" s="86">
        <v>3512.833984375</v>
      </c>
      <c r="O7" s="86">
        <v>2385.77490234375</v>
      </c>
      <c r="P7" s="86">
        <v>557.05401611328125</v>
      </c>
      <c r="Q7" s="86">
        <v>3198.14892578125</v>
      </c>
      <c r="R7" s="86">
        <v>162.71000671386719</v>
      </c>
      <c r="S7" s="86">
        <v>104.98999786376953</v>
      </c>
      <c r="T7" s="86">
        <v>8.9572696685791016</v>
      </c>
      <c r="U7" s="86">
        <v>7.1747124195098877E-2</v>
      </c>
      <c r="V7" s="86">
        <v>0.45244398713111877</v>
      </c>
      <c r="W7" s="86">
        <v>0.74598616361618042</v>
      </c>
      <c r="X7" s="86">
        <v>0.14142897725105286</v>
      </c>
      <c r="Y7" s="86">
        <v>0</v>
      </c>
      <c r="Z7" s="86">
        <v>0.24886232614517212</v>
      </c>
    </row>
    <row r="8" spans="1:27" x14ac:dyDescent="0.25">
      <c r="A8" s="88">
        <v>21</v>
      </c>
      <c r="B8" t="s">
        <v>9</v>
      </c>
      <c r="C8" s="88">
        <v>2019</v>
      </c>
      <c r="D8" t="s">
        <v>4310</v>
      </c>
      <c r="E8" s="34">
        <v>46022</v>
      </c>
      <c r="F8" s="88">
        <v>29751</v>
      </c>
      <c r="G8" t="s">
        <v>3370</v>
      </c>
      <c r="H8" t="s">
        <v>3371</v>
      </c>
      <c r="I8" s="88">
        <v>915913</v>
      </c>
      <c r="J8" t="s">
        <v>4311</v>
      </c>
      <c r="K8" s="86">
        <v>9860.86328125</v>
      </c>
      <c r="L8" s="86">
        <v>3932.25</v>
      </c>
      <c r="M8" s="86">
        <v>613.1099853515625</v>
      </c>
      <c r="N8" s="86">
        <v>5767.283203125</v>
      </c>
      <c r="O8" s="86">
        <v>1472.9620361328125</v>
      </c>
      <c r="P8" s="86">
        <v>533.22802734375</v>
      </c>
      <c r="Q8" s="86">
        <v>3589.427001953125</v>
      </c>
      <c r="R8" s="86">
        <v>106.04000091552734</v>
      </c>
      <c r="S8" s="86">
        <v>73.040000915527344</v>
      </c>
      <c r="T8" s="86">
        <v>9.1963291168212891</v>
      </c>
      <c r="U8" s="86">
        <v>5.4075188934803009E-2</v>
      </c>
      <c r="V8" s="86">
        <v>0.58486592769622803</v>
      </c>
      <c r="W8" s="86">
        <v>0.41036131978034973</v>
      </c>
      <c r="X8" s="86">
        <v>6.2176097184419632E-2</v>
      </c>
      <c r="Y8" s="86">
        <v>0</v>
      </c>
      <c r="Z8" s="86">
        <v>0.50770407915115356</v>
      </c>
    </row>
    <row r="9" spans="1:27" x14ac:dyDescent="0.25">
      <c r="A9" s="88">
        <v>27</v>
      </c>
      <c r="B9" t="s">
        <v>10</v>
      </c>
      <c r="C9" s="88">
        <v>2020</v>
      </c>
      <c r="D9" t="s">
        <v>4312</v>
      </c>
      <c r="E9" s="34">
        <v>46022</v>
      </c>
      <c r="F9" s="88">
        <v>143974</v>
      </c>
      <c r="G9" t="s">
        <v>3373</v>
      </c>
      <c r="H9" t="s">
        <v>3374</v>
      </c>
      <c r="I9" s="88">
        <v>1101215</v>
      </c>
      <c r="J9" t="s">
        <v>4305</v>
      </c>
      <c r="K9" s="86">
        <v>22547.099609375</v>
      </c>
      <c r="L9" s="86">
        <v>1521.5999755859375</v>
      </c>
      <c r="M9" s="86">
        <v>4146.2001953125</v>
      </c>
      <c r="N9" s="86">
        <v>21025.5</v>
      </c>
      <c r="O9" s="86">
        <v>2491.60009765625</v>
      </c>
      <c r="P9" s="86">
        <v>213.69999694824219</v>
      </c>
      <c r="Q9" s="86">
        <v>4521.39990234375</v>
      </c>
      <c r="R9" s="86">
        <v>49.700000762939453</v>
      </c>
      <c r="S9" s="86">
        <v>74.099998474121094</v>
      </c>
      <c r="T9" s="86">
        <v>10.023362159729004</v>
      </c>
      <c r="U9" s="86">
        <v>9.4779375940561295E-3</v>
      </c>
      <c r="V9" s="86">
        <v>0.93251460790634155</v>
      </c>
      <c r="W9" s="86">
        <v>0.55106830596923828</v>
      </c>
      <c r="X9" s="86">
        <v>0.18389062583446503</v>
      </c>
      <c r="Y9" s="86">
        <v>0</v>
      </c>
      <c r="Z9" s="86">
        <v>0.41316726803779602</v>
      </c>
    </row>
    <row r="10" spans="1:27" x14ac:dyDescent="0.25">
      <c r="A10" s="88">
        <v>28</v>
      </c>
      <c r="B10" t="s">
        <v>10</v>
      </c>
      <c r="C10" s="88">
        <v>2019</v>
      </c>
      <c r="D10" t="s">
        <v>4312</v>
      </c>
      <c r="E10" s="34">
        <v>46022</v>
      </c>
      <c r="F10" s="88">
        <v>143974</v>
      </c>
      <c r="G10" t="s">
        <v>3373</v>
      </c>
      <c r="H10" t="s">
        <v>3374</v>
      </c>
      <c r="I10" s="88">
        <v>1101215</v>
      </c>
      <c r="J10" t="s">
        <v>4311</v>
      </c>
      <c r="K10" s="86">
        <v>26494.80078125</v>
      </c>
      <c r="L10" s="86">
        <v>1588.300048828125</v>
      </c>
      <c r="M10" s="86">
        <v>4550.89990234375</v>
      </c>
      <c r="N10" s="86">
        <v>24906.5</v>
      </c>
      <c r="O10" s="86">
        <v>2967.60009765625</v>
      </c>
      <c r="P10" s="86">
        <v>278</v>
      </c>
      <c r="Q10" s="86">
        <v>5581.2998046875</v>
      </c>
      <c r="R10" s="86">
        <v>47.599998474121094</v>
      </c>
      <c r="S10" s="86">
        <v>112.19999694824219</v>
      </c>
      <c r="T10" s="86">
        <v>10.184703826904297</v>
      </c>
      <c r="U10" s="86">
        <v>1.0492624714970589E-2</v>
      </c>
      <c r="V10" s="86">
        <v>0.940052330493927</v>
      </c>
      <c r="W10" s="86">
        <v>0.5317041277885437</v>
      </c>
      <c r="X10" s="86">
        <v>0.1717657744884491</v>
      </c>
      <c r="Y10" s="86">
        <v>0</v>
      </c>
      <c r="Z10" s="86">
        <v>0.29739439487457275</v>
      </c>
    </row>
    <row r="11" spans="1:27" x14ac:dyDescent="0.25">
      <c r="A11" s="88">
        <v>29</v>
      </c>
      <c r="B11" t="s">
        <v>11</v>
      </c>
      <c r="C11" s="88">
        <v>2020</v>
      </c>
      <c r="D11" t="s">
        <v>4313</v>
      </c>
      <c r="E11" s="34">
        <v>46022</v>
      </c>
      <c r="F11" s="88">
        <v>11554</v>
      </c>
      <c r="G11" t="s">
        <v>3377</v>
      </c>
      <c r="H11" t="s">
        <v>3378</v>
      </c>
      <c r="I11" s="88">
        <v>352541</v>
      </c>
      <c r="J11" t="s">
        <v>4305</v>
      </c>
      <c r="K11" s="86">
        <v>17710</v>
      </c>
      <c r="L11" s="86">
        <v>5688</v>
      </c>
      <c r="M11" s="86">
        <v>54</v>
      </c>
      <c r="N11" s="86">
        <v>11822</v>
      </c>
      <c r="O11" s="86">
        <v>1348</v>
      </c>
      <c r="P11" s="86">
        <v>624</v>
      </c>
      <c r="Q11" s="86">
        <v>3416</v>
      </c>
      <c r="R11" s="86">
        <v>249.86799621582031</v>
      </c>
      <c r="S11" s="86">
        <v>51.529998779296875</v>
      </c>
      <c r="T11" s="86">
        <v>9.7818851470947266</v>
      </c>
      <c r="U11" s="86">
        <v>3.5234332084655762E-2</v>
      </c>
      <c r="V11" s="86">
        <v>0.66753244400024414</v>
      </c>
      <c r="W11" s="86">
        <v>0.3946135938167572</v>
      </c>
      <c r="X11" s="86">
        <v>3.0491247307509184E-3</v>
      </c>
      <c r="Y11" s="86">
        <v>0</v>
      </c>
      <c r="Z11" s="86">
        <v>0.44176247715950012</v>
      </c>
    </row>
    <row r="12" spans="1:27" x14ac:dyDescent="0.25">
      <c r="A12" s="88">
        <v>30</v>
      </c>
      <c r="B12" t="s">
        <v>12</v>
      </c>
      <c r="C12" s="88">
        <v>2020</v>
      </c>
      <c r="D12" t="s">
        <v>3379</v>
      </c>
      <c r="E12" s="34">
        <v>46022</v>
      </c>
      <c r="F12" s="88">
        <v>177966</v>
      </c>
      <c r="G12" t="s">
        <v>3381</v>
      </c>
      <c r="H12" t="s">
        <v>3382</v>
      </c>
      <c r="I12" s="88">
        <v>1411207</v>
      </c>
      <c r="J12" t="s">
        <v>4305</v>
      </c>
      <c r="K12" s="86">
        <v>4477</v>
      </c>
      <c r="L12" s="86">
        <v>756</v>
      </c>
      <c r="M12" s="86">
        <v>310</v>
      </c>
      <c r="N12" s="86">
        <v>3721</v>
      </c>
      <c r="O12" s="86">
        <v>1151</v>
      </c>
      <c r="P12" s="86">
        <v>299</v>
      </c>
      <c r="Q12" s="86">
        <v>2081</v>
      </c>
      <c r="R12" s="86">
        <v>112.03299713134766</v>
      </c>
      <c r="S12" s="86">
        <v>43.130001068115234</v>
      </c>
      <c r="T12" s="86">
        <v>8.4067087173461914</v>
      </c>
      <c r="U12" s="86">
        <v>6.6785797476768494E-2</v>
      </c>
      <c r="V12" s="86">
        <v>0.83113694190979004</v>
      </c>
      <c r="W12" s="86">
        <v>0.55309945344924927</v>
      </c>
      <c r="X12" s="86">
        <v>6.9242797791957855E-2</v>
      </c>
      <c r="Y12" s="86">
        <v>0</v>
      </c>
      <c r="Z12" s="86">
        <v>0.15645749866962433</v>
      </c>
    </row>
    <row r="13" spans="1:27" x14ac:dyDescent="0.25">
      <c r="A13" s="88">
        <v>35</v>
      </c>
      <c r="B13" t="s">
        <v>13</v>
      </c>
      <c r="C13" s="88">
        <v>2020</v>
      </c>
      <c r="D13" t="s">
        <v>4314</v>
      </c>
      <c r="E13" s="34">
        <v>46022</v>
      </c>
      <c r="F13" s="88">
        <v>10860</v>
      </c>
      <c r="G13" t="s">
        <v>3384</v>
      </c>
      <c r="H13" t="s">
        <v>3385</v>
      </c>
      <c r="I13" s="88">
        <v>1002910</v>
      </c>
      <c r="J13" t="s">
        <v>4305</v>
      </c>
      <c r="K13" s="86">
        <v>32030</v>
      </c>
      <c r="L13" s="86">
        <v>8938</v>
      </c>
      <c r="M13" s="86">
        <v>156</v>
      </c>
      <c r="N13" s="86">
        <v>22950</v>
      </c>
      <c r="O13" s="86">
        <v>2375</v>
      </c>
      <c r="P13" s="86">
        <v>871</v>
      </c>
      <c r="Q13" s="86">
        <v>5794</v>
      </c>
      <c r="R13" s="86">
        <v>253.30000305175781</v>
      </c>
      <c r="S13" s="86">
        <v>78.05999755859375</v>
      </c>
      <c r="T13" s="86">
        <v>10.374427795410156</v>
      </c>
      <c r="U13" s="86">
        <v>2.7193255722522736E-2</v>
      </c>
      <c r="V13" s="86">
        <v>0.71651577949523926</v>
      </c>
      <c r="W13" s="86">
        <v>0.40990680456161499</v>
      </c>
      <c r="X13" s="86">
        <v>4.8704338259994984E-3</v>
      </c>
      <c r="Y13" s="86">
        <v>0</v>
      </c>
      <c r="Z13" s="86">
        <v>0.45203974843025208</v>
      </c>
    </row>
    <row r="14" spans="1:27" x14ac:dyDescent="0.25">
      <c r="A14" s="88">
        <v>36</v>
      </c>
      <c r="B14" t="s">
        <v>14</v>
      </c>
      <c r="C14" s="88">
        <v>2019</v>
      </c>
      <c r="D14" t="s">
        <v>3386</v>
      </c>
      <c r="E14" s="34">
        <v>46022</v>
      </c>
      <c r="F14" s="88">
        <v>1045</v>
      </c>
      <c r="G14" t="s">
        <v>3388</v>
      </c>
      <c r="H14" t="s">
        <v>3389</v>
      </c>
      <c r="I14" s="88">
        <v>6201</v>
      </c>
      <c r="J14" t="s">
        <v>4311</v>
      </c>
      <c r="K14" s="86">
        <v>59995</v>
      </c>
      <c r="L14" s="86">
        <v>-118</v>
      </c>
      <c r="M14" s="86">
        <v>3984</v>
      </c>
      <c r="N14" s="86">
        <v>60113</v>
      </c>
      <c r="O14" s="86">
        <v>13741</v>
      </c>
      <c r="P14" s="86">
        <v>1686</v>
      </c>
      <c r="Q14" s="86">
        <v>45768</v>
      </c>
      <c r="R14" s="86">
        <v>428.2030029296875</v>
      </c>
      <c r="S14" s="86">
        <v>28.680000305175781</v>
      </c>
      <c r="T14" s="86">
        <v>11.002016067504883</v>
      </c>
      <c r="U14" s="86">
        <v>2.8102342039346695E-2</v>
      </c>
      <c r="V14" s="86">
        <v>1.0019668340682983</v>
      </c>
      <c r="W14" s="86">
        <v>0.30023160576820374</v>
      </c>
      <c r="X14" s="86">
        <v>6.6405534744262695E-2</v>
      </c>
      <c r="Y14" s="86">
        <v>0</v>
      </c>
      <c r="Z14" s="86">
        <v>-9.6084456890821457E-3</v>
      </c>
    </row>
    <row r="15" spans="1:27" x14ac:dyDescent="0.25">
      <c r="A15" s="88">
        <v>39</v>
      </c>
      <c r="B15" t="s">
        <v>15</v>
      </c>
      <c r="C15" s="88">
        <v>2019</v>
      </c>
      <c r="D15" t="s">
        <v>4315</v>
      </c>
      <c r="E15" s="34">
        <v>46022</v>
      </c>
      <c r="F15" s="88">
        <v>1447</v>
      </c>
      <c r="G15" t="s">
        <v>3391</v>
      </c>
      <c r="H15" t="s">
        <v>3392</v>
      </c>
      <c r="I15" s="88">
        <v>4962</v>
      </c>
      <c r="J15" t="s">
        <v>4311</v>
      </c>
      <c r="K15" s="86">
        <v>198321</v>
      </c>
      <c r="L15" s="86">
        <v>23071</v>
      </c>
      <c r="M15" s="86">
        <v>30539</v>
      </c>
      <c r="N15" s="86">
        <v>175250</v>
      </c>
      <c r="O15" s="86">
        <v>10770</v>
      </c>
      <c r="P15" s="86">
        <v>6759</v>
      </c>
      <c r="Q15" s="86">
        <v>47020</v>
      </c>
      <c r="R15" s="86">
        <v>810</v>
      </c>
      <c r="S15" s="86">
        <v>124.48999786376953</v>
      </c>
      <c r="T15" s="86">
        <v>12.19764232635498</v>
      </c>
      <c r="U15" s="86">
        <v>3.4081112593412399E-2</v>
      </c>
      <c r="V15" s="86">
        <v>0.88366842269897461</v>
      </c>
      <c r="W15" s="86">
        <v>0.22905147075653076</v>
      </c>
      <c r="X15" s="86">
        <v>0.15398772060871124</v>
      </c>
      <c r="Y15" s="86">
        <v>0</v>
      </c>
      <c r="Z15" s="86">
        <v>0.22879521548748016</v>
      </c>
    </row>
    <row r="16" spans="1:27" x14ac:dyDescent="0.25">
      <c r="A16" s="88">
        <v>40</v>
      </c>
      <c r="B16" t="s">
        <v>16</v>
      </c>
      <c r="C16" s="88">
        <v>2020</v>
      </c>
      <c r="D16" t="s">
        <v>3393</v>
      </c>
      <c r="E16" s="34">
        <v>46022</v>
      </c>
      <c r="F16" s="88">
        <v>17639</v>
      </c>
      <c r="G16" t="s">
        <v>3395</v>
      </c>
      <c r="H16" t="s">
        <v>3396</v>
      </c>
      <c r="I16" s="88">
        <v>1562401</v>
      </c>
      <c r="J16" t="s">
        <v>4305</v>
      </c>
      <c r="K16" s="86">
        <v>9593.625</v>
      </c>
      <c r="L16" s="86">
        <v>5788.740234375</v>
      </c>
      <c r="M16" s="86">
        <v>265.07699584960938</v>
      </c>
      <c r="N16" s="86">
        <v>3121.195068359375</v>
      </c>
      <c r="O16" s="86">
        <v>318.28799438476563</v>
      </c>
      <c r="P16" s="86">
        <v>140.37399291992188</v>
      </c>
      <c r="Q16" s="86">
        <v>1182.8360595703125</v>
      </c>
      <c r="R16" s="86">
        <v>316.656005859375</v>
      </c>
      <c r="S16" s="86">
        <v>30</v>
      </c>
      <c r="T16" s="86">
        <v>9.168853759765625</v>
      </c>
      <c r="U16" s="86">
        <v>1.4632007107138634E-2</v>
      </c>
      <c r="V16" s="86">
        <v>0.32534053921699524</v>
      </c>
      <c r="W16" s="86">
        <v>0.26908886432647705</v>
      </c>
      <c r="X16" s="86">
        <v>2.7630535885691643E-2</v>
      </c>
      <c r="Y16" s="86">
        <v>0</v>
      </c>
      <c r="Z16" s="86">
        <v>0.60936158895492554</v>
      </c>
    </row>
    <row r="17" spans="1:27" x14ac:dyDescent="0.25">
      <c r="A17" s="88">
        <v>42</v>
      </c>
      <c r="B17" t="s">
        <v>17</v>
      </c>
      <c r="C17" s="88">
        <v>2019</v>
      </c>
      <c r="D17" t="s">
        <v>3397</v>
      </c>
      <c r="E17" s="34">
        <v>46022</v>
      </c>
      <c r="F17" s="88">
        <v>105365</v>
      </c>
      <c r="G17" t="s">
        <v>3399</v>
      </c>
      <c r="H17" t="s">
        <v>3400</v>
      </c>
      <c r="I17" s="88">
        <v>1053507</v>
      </c>
      <c r="J17" t="s">
        <v>4311</v>
      </c>
      <c r="K17" s="86">
        <v>42801.6015625</v>
      </c>
      <c r="L17" s="86">
        <v>5055.39990234375</v>
      </c>
      <c r="M17" s="86">
        <v>1578</v>
      </c>
      <c r="N17" s="86">
        <v>36214.69921875</v>
      </c>
      <c r="O17" s="86">
        <v>5233.89990234375</v>
      </c>
      <c r="P17" s="86">
        <v>1887.800048828125</v>
      </c>
      <c r="Q17" s="86">
        <v>7580.2998046875</v>
      </c>
      <c r="R17" s="86">
        <v>442.8900146484375</v>
      </c>
      <c r="S17" s="86">
        <v>229.82000732421875</v>
      </c>
      <c r="T17" s="86">
        <v>10.66433048248291</v>
      </c>
      <c r="U17" s="86">
        <v>4.4105827808380127E-2</v>
      </c>
      <c r="V17" s="86">
        <v>0.84610617160797119</v>
      </c>
      <c r="W17" s="86">
        <v>0.69046080112457275</v>
      </c>
      <c r="X17" s="86">
        <v>3.6867778748273849E-2</v>
      </c>
      <c r="Y17" s="86">
        <v>0</v>
      </c>
      <c r="Z17" s="86">
        <v>4.9667440354824066E-2</v>
      </c>
    </row>
    <row r="18" spans="1:27" x14ac:dyDescent="0.25">
      <c r="A18" s="88">
        <v>48</v>
      </c>
      <c r="B18" t="s">
        <v>18</v>
      </c>
      <c r="C18" s="88">
        <v>2020</v>
      </c>
      <c r="D18" t="s">
        <v>4316</v>
      </c>
      <c r="E18" s="34">
        <v>46022</v>
      </c>
      <c r="F18" s="88">
        <v>14282</v>
      </c>
      <c r="G18" t="s">
        <v>3402</v>
      </c>
      <c r="H18" t="s">
        <v>3403</v>
      </c>
      <c r="I18" s="88">
        <v>820313</v>
      </c>
      <c r="J18" t="s">
        <v>4305</v>
      </c>
      <c r="K18" s="86">
        <v>12327.2998046875</v>
      </c>
      <c r="L18" s="86">
        <v>5384.89990234375</v>
      </c>
      <c r="M18" s="86">
        <v>1738.0999755859375</v>
      </c>
      <c r="N18" s="86">
        <v>6875.39990234375</v>
      </c>
      <c r="O18" s="86">
        <v>2966.39990234375</v>
      </c>
      <c r="P18" s="86">
        <v>1203.4000244140625</v>
      </c>
      <c r="Q18" s="86">
        <v>8598.900390625</v>
      </c>
      <c r="R18" s="86">
        <v>299.29998779296875</v>
      </c>
      <c r="S18" s="86">
        <v>130.77000427246094</v>
      </c>
      <c r="T18" s="86">
        <v>9.4195718765258789</v>
      </c>
      <c r="U18" s="86">
        <v>9.7620733082294464E-2</v>
      </c>
      <c r="V18" s="86">
        <v>0.55773770809173584</v>
      </c>
      <c r="W18" s="86">
        <v>0.3449743390083313</v>
      </c>
      <c r="X18" s="86">
        <v>0.14099599421024323</v>
      </c>
      <c r="Y18" s="86">
        <v>0</v>
      </c>
      <c r="Z18" s="86">
        <v>0.13758237659931183</v>
      </c>
    </row>
    <row r="19" spans="1:27" x14ac:dyDescent="0.25">
      <c r="A19" s="88">
        <v>49</v>
      </c>
      <c r="B19" t="s">
        <v>18</v>
      </c>
      <c r="C19" s="88">
        <v>2019</v>
      </c>
      <c r="D19" t="s">
        <v>4316</v>
      </c>
      <c r="E19" s="34">
        <v>46022</v>
      </c>
      <c r="F19" s="88">
        <v>14282</v>
      </c>
      <c r="G19" t="s">
        <v>3402</v>
      </c>
      <c r="H19" t="s">
        <v>3403</v>
      </c>
      <c r="I19" s="88">
        <v>820313</v>
      </c>
      <c r="J19" t="s">
        <v>4311</v>
      </c>
      <c r="K19" s="86">
        <v>10815.5</v>
      </c>
      <c r="L19" s="86">
        <v>4530.2998046875</v>
      </c>
      <c r="M19" s="86">
        <v>908.5999755859375</v>
      </c>
      <c r="N19" s="86">
        <v>6219.2998046875</v>
      </c>
      <c r="O19" s="86">
        <v>2907.60009765625</v>
      </c>
      <c r="P19" s="86">
        <v>1155</v>
      </c>
      <c r="Q19" s="86">
        <v>8225.400390625</v>
      </c>
      <c r="R19" s="86">
        <v>297.89999389648438</v>
      </c>
      <c r="S19" s="86">
        <v>108.23000335693359</v>
      </c>
      <c r="T19" s="86">
        <v>9.2887353897094727</v>
      </c>
      <c r="U19" s="86">
        <v>0.1067911759018898</v>
      </c>
      <c r="V19" s="86">
        <v>0.57503581047058105</v>
      </c>
      <c r="W19" s="86">
        <v>0.35349041223526001</v>
      </c>
      <c r="X19" s="86">
        <v>8.4009058773517609E-2</v>
      </c>
      <c r="Y19" s="86">
        <v>0</v>
      </c>
      <c r="Z19" s="86">
        <v>0.14051049947738647</v>
      </c>
    </row>
    <row r="20" spans="1:27" x14ac:dyDescent="0.25">
      <c r="A20" s="88">
        <v>50</v>
      </c>
      <c r="B20" t="s">
        <v>18</v>
      </c>
      <c r="C20" s="88">
        <v>2018</v>
      </c>
      <c r="D20" t="s">
        <v>4316</v>
      </c>
      <c r="E20" s="34">
        <v>46022</v>
      </c>
      <c r="F20" s="88">
        <v>14282</v>
      </c>
      <c r="G20" t="s">
        <v>3402</v>
      </c>
      <c r="H20" t="s">
        <v>3403</v>
      </c>
      <c r="I20" s="88">
        <v>820313</v>
      </c>
      <c r="J20" t="s">
        <v>4307</v>
      </c>
      <c r="K20" s="86">
        <v>10044.900390625</v>
      </c>
      <c r="L20" s="86">
        <v>4017</v>
      </c>
      <c r="M20" s="86">
        <v>1291.699951171875</v>
      </c>
      <c r="N20" s="86">
        <v>5980.7001953125</v>
      </c>
      <c r="O20" s="86">
        <v>2949.39990234375</v>
      </c>
      <c r="P20" s="86">
        <v>1205</v>
      </c>
      <c r="Q20" s="86">
        <v>8202</v>
      </c>
      <c r="R20" s="86">
        <v>298.5</v>
      </c>
      <c r="S20" s="86">
        <v>81.019996643066406</v>
      </c>
      <c r="T20" s="86">
        <v>9.2148199081420898</v>
      </c>
      <c r="U20" s="86">
        <v>0.11996136605739594</v>
      </c>
      <c r="V20" s="86">
        <v>0.59539663791656494</v>
      </c>
      <c r="W20" s="86">
        <v>0.35959520936012268</v>
      </c>
      <c r="X20" s="86">
        <v>0.12859261035919189</v>
      </c>
      <c r="Y20" s="86">
        <v>0</v>
      </c>
      <c r="Z20" s="86">
        <v>0.16609832644462585</v>
      </c>
    </row>
    <row r="21" spans="1:27" x14ac:dyDescent="0.25">
      <c r="A21" s="88">
        <v>51</v>
      </c>
      <c r="B21" t="s">
        <v>19</v>
      </c>
      <c r="C21" s="88">
        <v>2020</v>
      </c>
      <c r="D21" t="s">
        <v>3404</v>
      </c>
      <c r="E21" s="34">
        <v>44926</v>
      </c>
      <c r="F21" s="88">
        <v>184717</v>
      </c>
      <c r="G21" t="s">
        <v>3406</v>
      </c>
      <c r="H21" t="s">
        <v>3407</v>
      </c>
      <c r="I21" s="88">
        <v>1365916</v>
      </c>
      <c r="J21" t="s">
        <v>4305</v>
      </c>
      <c r="K21" s="86">
        <v>222.81399536132813</v>
      </c>
      <c r="L21" s="86">
        <v>-176.81900024414063</v>
      </c>
      <c r="M21" s="86">
        <v>30.461000442504883</v>
      </c>
      <c r="N21" s="86">
        <v>389.8590087890625</v>
      </c>
      <c r="O21" s="86">
        <v>87.8489990234375</v>
      </c>
      <c r="P21" s="86">
        <v>-331.03900146484375</v>
      </c>
      <c r="Q21" s="86">
        <v>173.13699340820313</v>
      </c>
      <c r="R21" s="86">
        <v>244.95100402832031</v>
      </c>
      <c r="S21" s="86">
        <v>6.1750001907348633</v>
      </c>
      <c r="T21" s="86">
        <v>5.4063372611999512</v>
      </c>
      <c r="U21" s="86">
        <v>-1.4857190847396851</v>
      </c>
      <c r="V21" s="86">
        <v>1.7497061491012573</v>
      </c>
      <c r="W21" s="86">
        <v>0.50739586353302002</v>
      </c>
      <c r="X21" s="86">
        <v>0.13671045005321503</v>
      </c>
      <c r="Y21" s="86">
        <v>1</v>
      </c>
      <c r="Z21" s="86">
        <v>-0.1168995201587677</v>
      </c>
    </row>
    <row r="22" spans="1:27" x14ac:dyDescent="0.25">
      <c r="A22" s="88">
        <v>52</v>
      </c>
      <c r="B22" t="s">
        <v>20</v>
      </c>
      <c r="C22" s="88">
        <v>2020</v>
      </c>
      <c r="D22" t="s">
        <v>4317</v>
      </c>
      <c r="E22" s="34">
        <v>46022</v>
      </c>
      <c r="F22" s="88">
        <v>65556</v>
      </c>
      <c r="G22" t="s">
        <v>3409</v>
      </c>
      <c r="H22" t="s">
        <v>3410</v>
      </c>
      <c r="I22" s="88">
        <v>1043219</v>
      </c>
      <c r="J22" t="s">
        <v>4305</v>
      </c>
      <c r="K22" s="86">
        <v>88455.1015625</v>
      </c>
      <c r="L22" s="86">
        <v>12471.7470703125</v>
      </c>
      <c r="M22" s="86">
        <v>1243.7030029296875</v>
      </c>
      <c r="N22" s="86">
        <v>74433.3046875</v>
      </c>
      <c r="O22" s="86">
        <v>2557.673095703125</v>
      </c>
      <c r="P22" s="86">
        <v>-891.16302490234375</v>
      </c>
      <c r="Q22" s="86">
        <v>2944.451904296875</v>
      </c>
      <c r="R22" s="86">
        <v>1398.240966796875</v>
      </c>
      <c r="S22" s="86">
        <v>8.4499998092651367</v>
      </c>
      <c r="T22" s="86">
        <v>11.390250205993652</v>
      </c>
      <c r="U22" s="86">
        <v>-1.007474958896637E-2</v>
      </c>
      <c r="V22" s="86">
        <v>0.84148120880126953</v>
      </c>
      <c r="W22" s="86">
        <v>0.86864149570465088</v>
      </c>
      <c r="X22" s="86">
        <v>1.4060274697840214E-2</v>
      </c>
      <c r="Y22" s="86">
        <v>1</v>
      </c>
      <c r="Z22" s="86">
        <v>1.0555737018585205</v>
      </c>
    </row>
    <row r="23" spans="1:27" x14ac:dyDescent="0.25">
      <c r="A23" s="88">
        <v>53</v>
      </c>
      <c r="B23" t="s">
        <v>20</v>
      </c>
      <c r="C23" s="88">
        <v>2019</v>
      </c>
      <c r="D23" t="s">
        <v>4317</v>
      </c>
      <c r="E23" s="34">
        <v>46022</v>
      </c>
      <c r="F23" s="88">
        <v>65556</v>
      </c>
      <c r="G23" t="s">
        <v>3409</v>
      </c>
      <c r="H23" t="s">
        <v>3410</v>
      </c>
      <c r="I23" s="88">
        <v>1043219</v>
      </c>
      <c r="J23" t="s">
        <v>4311</v>
      </c>
      <c r="K23" s="86">
        <v>130295.078125</v>
      </c>
      <c r="L23" s="86">
        <v>13809.9912109375</v>
      </c>
      <c r="M23" s="86">
        <v>1850.72900390625</v>
      </c>
      <c r="N23" s="86">
        <v>114498.734375</v>
      </c>
      <c r="O23" s="86">
        <v>3557.56298828125</v>
      </c>
      <c r="P23" s="86">
        <v>-2162.864990234375</v>
      </c>
      <c r="Q23" s="86">
        <v>3875.76611328125</v>
      </c>
      <c r="R23" s="86">
        <v>1430.10595703125</v>
      </c>
      <c r="S23" s="86">
        <v>9.4200000762939453</v>
      </c>
      <c r="T23" s="86">
        <v>11.777557373046875</v>
      </c>
      <c r="U23" s="86">
        <v>-1.6599744558334351E-2</v>
      </c>
      <c r="V23" s="86">
        <v>0.87876486778259277</v>
      </c>
      <c r="W23" s="86">
        <v>0.91789931058883667</v>
      </c>
      <c r="X23" s="86">
        <v>1.4204136095941067E-2</v>
      </c>
      <c r="Y23" s="86">
        <v>1</v>
      </c>
      <c r="Z23" s="86">
        <v>1.0251189470291138</v>
      </c>
    </row>
    <row r="24" spans="1:27" x14ac:dyDescent="0.25">
      <c r="A24" s="88">
        <v>55</v>
      </c>
      <c r="B24" t="s">
        <v>3411</v>
      </c>
      <c r="C24" s="88">
        <v>2019</v>
      </c>
      <c r="D24" t="s">
        <v>4279</v>
      </c>
      <c r="E24" s="34">
        <v>46022</v>
      </c>
      <c r="F24" s="88">
        <v>31109</v>
      </c>
      <c r="G24" t="s">
        <v>4278</v>
      </c>
      <c r="H24" t="s">
        <v>2351</v>
      </c>
      <c r="I24" s="88">
        <v>1623925</v>
      </c>
      <c r="J24" t="s">
        <v>4311</v>
      </c>
      <c r="K24" s="86">
        <v>6282.8779296875</v>
      </c>
      <c r="L24" s="86">
        <v>3143.4140625</v>
      </c>
      <c r="M24" s="86">
        <v>1.2350000143051147</v>
      </c>
      <c r="N24" s="86">
        <v>3139.464111328125</v>
      </c>
      <c r="O24" s="86">
        <v>484.65701293945313</v>
      </c>
      <c r="P24" s="86">
        <v>-355.114013671875</v>
      </c>
      <c r="Q24" s="86">
        <v>792.5880126953125</v>
      </c>
      <c r="R24" s="86">
        <v>484.0419921875</v>
      </c>
      <c r="S24" s="86">
        <v>7.5900001525878906</v>
      </c>
      <c r="T24" s="86">
        <v>8.7455835342407227</v>
      </c>
      <c r="U24" s="86">
        <v>-5.6520916521549225E-2</v>
      </c>
      <c r="V24" s="86">
        <v>0.49968567490577698</v>
      </c>
      <c r="W24" s="86">
        <v>0.61148667335510254</v>
      </c>
      <c r="X24" s="86">
        <v>1.9656597578432411E-4</v>
      </c>
      <c r="Y24" s="86">
        <v>1</v>
      </c>
      <c r="Z24" s="86">
        <v>0.85561180114746094</v>
      </c>
    </row>
    <row r="25" spans="1:27" x14ac:dyDescent="0.25">
      <c r="A25" s="88">
        <v>56</v>
      </c>
      <c r="B25" t="s">
        <v>21</v>
      </c>
      <c r="C25" s="88">
        <v>2019</v>
      </c>
      <c r="D25" t="s">
        <v>3413</v>
      </c>
      <c r="E25" s="34">
        <v>46022</v>
      </c>
      <c r="F25" s="88">
        <v>18465</v>
      </c>
      <c r="G25" t="s">
        <v>3415</v>
      </c>
      <c r="H25" t="s">
        <v>3416</v>
      </c>
      <c r="I25" s="88">
        <v>1433270</v>
      </c>
      <c r="J25" t="s">
        <v>4311</v>
      </c>
      <c r="K25" s="86">
        <v>15197.5693359375</v>
      </c>
      <c r="L25" s="86">
        <v>6970.7431640625</v>
      </c>
      <c r="M25" s="86">
        <v>0</v>
      </c>
      <c r="N25" s="86">
        <v>8226.826171875</v>
      </c>
      <c r="O25" s="86">
        <v>1441.366943359375</v>
      </c>
      <c r="P25" s="86">
        <v>-340.12899780273438</v>
      </c>
      <c r="Q25" s="86">
        <v>4408.68994140625</v>
      </c>
      <c r="R25" s="86">
        <v>295.94100952148438</v>
      </c>
      <c r="S25" s="86">
        <v>2.8499999046325684</v>
      </c>
      <c r="T25" s="86">
        <v>9.6288909912109375</v>
      </c>
      <c r="U25" s="86">
        <v>-2.2380486130714417E-2</v>
      </c>
      <c r="V25" s="86">
        <v>0.5413251519203186</v>
      </c>
      <c r="W25" s="86">
        <v>0.32693770527839661</v>
      </c>
      <c r="X25" s="86">
        <v>0</v>
      </c>
      <c r="Y25" s="86">
        <v>1</v>
      </c>
      <c r="Z25" s="86">
        <v>8.2647380828857422</v>
      </c>
    </row>
    <row r="26" spans="1:27" x14ac:dyDescent="0.25">
      <c r="A26" s="88">
        <v>58</v>
      </c>
      <c r="B26" t="s">
        <v>22</v>
      </c>
      <c r="C26" s="88">
        <v>2019</v>
      </c>
      <c r="D26" t="s">
        <v>3417</v>
      </c>
      <c r="E26" s="34">
        <v>46022</v>
      </c>
      <c r="F26" s="88">
        <v>1678</v>
      </c>
      <c r="G26" t="s">
        <v>3419</v>
      </c>
      <c r="H26" t="s">
        <v>3420</v>
      </c>
      <c r="I26" s="88">
        <v>1841666</v>
      </c>
      <c r="J26" t="s">
        <v>4311</v>
      </c>
      <c r="K26" s="86">
        <v>18107</v>
      </c>
      <c r="L26" s="86">
        <v>3255</v>
      </c>
      <c r="M26" s="86">
        <v>247</v>
      </c>
      <c r="N26" s="86">
        <v>13087</v>
      </c>
      <c r="O26" s="86">
        <v>1520</v>
      </c>
      <c r="P26" s="86">
        <v>-3553</v>
      </c>
      <c r="Q26" s="86">
        <v>6280</v>
      </c>
      <c r="R26" s="86">
        <v>376.06298828125</v>
      </c>
      <c r="S26" s="86">
        <v>25.590000152587891</v>
      </c>
      <c r="T26" s="86">
        <v>9.8040542602539063</v>
      </c>
      <c r="U26" s="86">
        <v>-0.1962224543094635</v>
      </c>
      <c r="V26" s="86">
        <v>0.72275912761688232</v>
      </c>
      <c r="W26" s="86">
        <v>0.24203822016716003</v>
      </c>
      <c r="X26" s="86">
        <v>1.3641132973134518E-2</v>
      </c>
      <c r="Y26" s="86">
        <v>1</v>
      </c>
      <c r="Z26" s="86">
        <v>0.33823621273040771</v>
      </c>
    </row>
    <row r="27" spans="1:27" x14ac:dyDescent="0.25">
      <c r="A27" s="88">
        <v>69</v>
      </c>
      <c r="B27" t="s">
        <v>23</v>
      </c>
      <c r="C27" s="88">
        <v>2019</v>
      </c>
      <c r="D27" t="s">
        <v>4242</v>
      </c>
      <c r="E27" s="34">
        <v>44926</v>
      </c>
      <c r="F27" s="88">
        <v>35978</v>
      </c>
      <c r="G27" t="s">
        <v>4243</v>
      </c>
      <c r="H27" t="s">
        <v>4240</v>
      </c>
      <c r="I27" s="88">
        <v>1790982</v>
      </c>
      <c r="J27" t="s">
        <v>4311</v>
      </c>
      <c r="K27" s="86">
        <v>4741</v>
      </c>
      <c r="L27" s="86">
        <v>2714</v>
      </c>
      <c r="M27" s="86">
        <v>72</v>
      </c>
      <c r="N27" s="86">
        <v>2013</v>
      </c>
      <c r="O27" s="86">
        <v>1007</v>
      </c>
      <c r="P27" s="86">
        <v>225</v>
      </c>
      <c r="Q27" s="86">
        <v>7277</v>
      </c>
      <c r="R27" s="86">
        <v>109.01999664306641</v>
      </c>
      <c r="S27" s="86">
        <v>6.9200000762939453</v>
      </c>
      <c r="T27" s="86">
        <v>8.4640035629272461</v>
      </c>
      <c r="U27" s="86">
        <v>4.7458343207836151E-2</v>
      </c>
      <c r="V27" s="86">
        <v>0.42459395527839661</v>
      </c>
      <c r="W27" s="86">
        <v>0.13838119804859161</v>
      </c>
      <c r="X27" s="86">
        <v>1.5186669304966927E-2</v>
      </c>
      <c r="Y27" s="86">
        <v>0</v>
      </c>
      <c r="Z27" s="86">
        <v>3.5974733829498291</v>
      </c>
      <c r="AA27" s="80" t="s">
        <v>4282</v>
      </c>
    </row>
    <row r="28" spans="1:27" x14ac:dyDescent="0.25">
      <c r="A28" s="88">
        <v>70</v>
      </c>
      <c r="B28" t="s">
        <v>24</v>
      </c>
      <c r="C28" s="88">
        <v>2020</v>
      </c>
      <c r="D28" t="s">
        <v>4318</v>
      </c>
      <c r="E28" s="34">
        <v>46022</v>
      </c>
      <c r="F28" s="88">
        <v>328795</v>
      </c>
      <c r="G28" t="s">
        <v>3423</v>
      </c>
      <c r="H28" t="s">
        <v>3424</v>
      </c>
      <c r="I28" s="88">
        <v>1739445</v>
      </c>
      <c r="J28" t="s">
        <v>4305</v>
      </c>
      <c r="K28" s="86">
        <v>2646.699951171875</v>
      </c>
      <c r="L28" s="86">
        <v>1892.199951171875</v>
      </c>
      <c r="M28" s="86">
        <v>95.800003051757813</v>
      </c>
      <c r="N28" s="86">
        <v>754.5</v>
      </c>
      <c r="O28" s="86">
        <v>506.79998779296875</v>
      </c>
      <c r="P28" s="86">
        <v>106.59999847412109</v>
      </c>
      <c r="Q28" s="86">
        <v>1935.5999755859375</v>
      </c>
      <c r="R28" s="86">
        <v>48.200000762939453</v>
      </c>
      <c r="S28" s="86">
        <v>54.930000305175781</v>
      </c>
      <c r="T28" s="86">
        <v>7.8810687065124512</v>
      </c>
      <c r="U28" s="86">
        <v>4.0276572108268738E-2</v>
      </c>
      <c r="V28" s="86">
        <v>0.2850719690322876</v>
      </c>
      <c r="W28" s="86">
        <v>0.26183095574378967</v>
      </c>
      <c r="X28" s="86">
        <v>3.6196019500494003E-2</v>
      </c>
      <c r="Y28" s="86">
        <v>0</v>
      </c>
      <c r="Z28" s="86">
        <v>0.71467792987823486</v>
      </c>
    </row>
    <row r="29" spans="1:27" x14ac:dyDescent="0.25">
      <c r="A29" s="88">
        <v>71</v>
      </c>
      <c r="B29" t="s">
        <v>25</v>
      </c>
      <c r="C29" s="88">
        <v>2020</v>
      </c>
      <c r="D29" t="s">
        <v>4319</v>
      </c>
      <c r="E29" s="34">
        <v>44561</v>
      </c>
      <c r="F29" s="88">
        <v>138122</v>
      </c>
      <c r="G29" t="s">
        <v>3426</v>
      </c>
      <c r="H29" t="s">
        <v>3427</v>
      </c>
      <c r="I29" s="88">
        <v>1080709</v>
      </c>
      <c r="J29" t="s">
        <v>4305</v>
      </c>
      <c r="K29" s="86">
        <v>1190.719970703125</v>
      </c>
      <c r="L29" s="86">
        <v>1080.468994140625</v>
      </c>
      <c r="M29" s="86">
        <v>1104.041015625</v>
      </c>
      <c r="N29" s="86">
        <v>110.25099945068359</v>
      </c>
      <c r="O29" s="86">
        <v>-422.781005859375</v>
      </c>
      <c r="P29" s="86">
        <v>-404.7340087890625</v>
      </c>
      <c r="Q29" s="86">
        <v>0.3190000057220459</v>
      </c>
      <c r="R29" s="86">
        <v>58.611000061035156</v>
      </c>
      <c r="S29" s="86">
        <v>76.830001831054688</v>
      </c>
      <c r="T29" s="86">
        <v>7.0823135375976563</v>
      </c>
      <c r="U29" s="86">
        <v>-0.3399069607257843</v>
      </c>
      <c r="V29" s="86">
        <v>9.259188175201416E-2</v>
      </c>
      <c r="W29" s="86">
        <v>-1325.332275390625</v>
      </c>
      <c r="X29" s="86">
        <v>0.92720460891723633</v>
      </c>
      <c r="Y29" s="86">
        <v>1</v>
      </c>
      <c r="Z29" s="86">
        <v>0.23993982374668121</v>
      </c>
    </row>
    <row r="30" spans="1:27" x14ac:dyDescent="0.25">
      <c r="A30" s="88">
        <v>75</v>
      </c>
      <c r="B30" t="s">
        <v>26</v>
      </c>
      <c r="C30" s="88">
        <v>2019</v>
      </c>
      <c r="D30" t="s">
        <v>4320</v>
      </c>
      <c r="E30" s="34">
        <v>45930</v>
      </c>
      <c r="F30" s="88">
        <v>1794</v>
      </c>
      <c r="G30" t="s">
        <v>3429</v>
      </c>
      <c r="H30" t="s">
        <v>3430</v>
      </c>
      <c r="I30" s="88">
        <v>1674862</v>
      </c>
      <c r="J30" t="s">
        <v>4321</v>
      </c>
      <c r="K30" s="86">
        <v>7251</v>
      </c>
      <c r="L30" s="86">
        <v>3571</v>
      </c>
      <c r="M30" s="86">
        <v>256</v>
      </c>
      <c r="N30" s="86">
        <v>3680</v>
      </c>
      <c r="O30" s="86">
        <v>980</v>
      </c>
      <c r="P30" s="86">
        <v>505</v>
      </c>
      <c r="Q30" s="86">
        <v>2493</v>
      </c>
      <c r="R30" s="86">
        <v>60</v>
      </c>
      <c r="S30" s="86">
        <v>77.050003051757813</v>
      </c>
      <c r="T30" s="86">
        <v>8.8888950347900391</v>
      </c>
      <c r="U30" s="86">
        <v>6.964556872844696E-2</v>
      </c>
      <c r="V30" s="86">
        <v>0.50751620531082153</v>
      </c>
      <c r="W30" s="86">
        <v>0.39310067892074585</v>
      </c>
      <c r="X30" s="86">
        <v>3.5305473953485489E-2</v>
      </c>
      <c r="Y30" s="86">
        <v>0</v>
      </c>
      <c r="Z30" s="86">
        <v>0.77244210243225098</v>
      </c>
    </row>
    <row r="31" spans="1:27" x14ac:dyDescent="0.25">
      <c r="A31" s="88">
        <v>78</v>
      </c>
      <c r="B31" t="s">
        <v>27</v>
      </c>
      <c r="C31" s="88">
        <v>2020</v>
      </c>
      <c r="D31" t="s">
        <v>4322</v>
      </c>
      <c r="E31" s="34">
        <v>45930</v>
      </c>
      <c r="F31" s="88">
        <v>27014</v>
      </c>
      <c r="G31" t="s">
        <v>4273</v>
      </c>
      <c r="H31" t="s">
        <v>4274</v>
      </c>
      <c r="I31" s="88">
        <v>1666138</v>
      </c>
      <c r="J31" t="s">
        <v>4323</v>
      </c>
      <c r="K31" s="86">
        <v>1558.5250244140625</v>
      </c>
      <c r="L31" s="86">
        <v>378.41000366210938</v>
      </c>
      <c r="M31" s="86">
        <v>284.47100830078125</v>
      </c>
      <c r="N31" s="86">
        <v>1180.114990234375</v>
      </c>
      <c r="O31" s="86">
        <v>533.52197265625</v>
      </c>
      <c r="P31" s="86">
        <v>152.302001953125</v>
      </c>
      <c r="Q31" s="86">
        <v>1765.4210205078125</v>
      </c>
      <c r="R31" s="86">
        <v>47.407001495361328</v>
      </c>
      <c r="S31" s="86">
        <v>22.729999542236328</v>
      </c>
      <c r="T31" s="86">
        <v>7.3514952659606934</v>
      </c>
      <c r="U31" s="86">
        <v>9.7721882164478302E-2</v>
      </c>
      <c r="V31" s="86">
        <v>0.75719988346099854</v>
      </c>
      <c r="W31" s="86">
        <v>0.30220663547515869</v>
      </c>
      <c r="X31" s="86">
        <v>0.18252578377723694</v>
      </c>
      <c r="Y31" s="86">
        <v>0</v>
      </c>
      <c r="Z31" s="86">
        <v>0.35117265582084656</v>
      </c>
    </row>
    <row r="32" spans="1:27" x14ac:dyDescent="0.25">
      <c r="A32" s="88">
        <v>82</v>
      </c>
      <c r="B32" t="s">
        <v>28</v>
      </c>
      <c r="C32" s="88">
        <v>2020</v>
      </c>
      <c r="D32" t="s">
        <v>4324</v>
      </c>
      <c r="E32" s="34">
        <v>46022</v>
      </c>
      <c r="F32" s="88">
        <v>29875</v>
      </c>
      <c r="G32" t="s">
        <v>3432</v>
      </c>
      <c r="H32" t="s">
        <v>3433</v>
      </c>
      <c r="I32" s="88">
        <v>915912</v>
      </c>
      <c r="J32" t="s">
        <v>4305</v>
      </c>
      <c r="K32" s="86">
        <v>19199.14453125</v>
      </c>
      <c r="L32" s="86">
        <v>10751.5830078125</v>
      </c>
      <c r="M32" s="86">
        <v>313.53201293945313</v>
      </c>
      <c r="N32" s="86">
        <v>8444.29296875</v>
      </c>
      <c r="O32" s="86">
        <v>776.864990234375</v>
      </c>
      <c r="P32" s="86">
        <v>827.6300048828125</v>
      </c>
      <c r="Q32" s="86">
        <v>2307.298095703125</v>
      </c>
      <c r="R32" s="86">
        <v>139.52699279785156</v>
      </c>
      <c r="S32" s="86">
        <v>160.42999267578125</v>
      </c>
      <c r="T32" s="86">
        <v>9.8626213073730469</v>
      </c>
      <c r="U32" s="86">
        <v>4.3107651174068451E-2</v>
      </c>
      <c r="V32" s="86">
        <v>0.43982651829719543</v>
      </c>
      <c r="W32" s="86">
        <v>0.33669900894165039</v>
      </c>
      <c r="X32" s="86">
        <v>1.6330519691109657E-2</v>
      </c>
      <c r="Y32" s="86">
        <v>0</v>
      </c>
      <c r="Z32" s="86">
        <v>0.48031771183013916</v>
      </c>
    </row>
    <row r="33" spans="1:27" x14ac:dyDescent="0.25">
      <c r="A33" s="88">
        <v>89</v>
      </c>
      <c r="B33" t="s">
        <v>29</v>
      </c>
      <c r="C33" s="88">
        <v>2020</v>
      </c>
      <c r="D33" t="s">
        <v>4325</v>
      </c>
      <c r="E33" s="34">
        <v>45291</v>
      </c>
      <c r="F33" s="88">
        <v>2049</v>
      </c>
      <c r="G33" t="s">
        <v>3435</v>
      </c>
      <c r="H33" t="s">
        <v>3436</v>
      </c>
      <c r="I33" s="88">
        <v>9984</v>
      </c>
      <c r="J33" t="s">
        <v>4305</v>
      </c>
      <c r="K33" s="86">
        <v>2676.22607421875</v>
      </c>
      <c r="L33" s="86">
        <v>1382.677001953125</v>
      </c>
      <c r="M33" s="86">
        <v>84.088996887207031</v>
      </c>
      <c r="N33" s="86">
        <v>1293.5489501953125</v>
      </c>
      <c r="O33" s="86">
        <v>490.80899047851563</v>
      </c>
      <c r="P33" s="86">
        <v>63.375</v>
      </c>
      <c r="Q33" s="86">
        <v>1124.3909912109375</v>
      </c>
      <c r="R33" s="86">
        <v>50.640998840332031</v>
      </c>
      <c r="S33" s="86">
        <v>50.689998626708984</v>
      </c>
      <c r="T33" s="86">
        <v>7.8921627998352051</v>
      </c>
      <c r="U33" s="86">
        <v>2.3680735379457474E-2</v>
      </c>
      <c r="V33" s="86">
        <v>0.48334816098213196</v>
      </c>
      <c r="W33" s="86">
        <v>0.43651095032691956</v>
      </c>
      <c r="X33" s="86">
        <v>3.1420737504959106E-2</v>
      </c>
      <c r="Y33" s="86">
        <v>0</v>
      </c>
      <c r="Z33" s="86">
        <v>0.53863704204559326</v>
      </c>
    </row>
    <row r="34" spans="1:27" x14ac:dyDescent="0.25">
      <c r="A34" s="88">
        <v>90</v>
      </c>
      <c r="B34" t="s">
        <v>30</v>
      </c>
      <c r="C34" s="88">
        <v>2019</v>
      </c>
      <c r="D34" t="s">
        <v>4326</v>
      </c>
      <c r="E34" s="34">
        <v>46022</v>
      </c>
      <c r="F34" s="88">
        <v>2086</v>
      </c>
      <c r="G34" t="s">
        <v>3438</v>
      </c>
      <c r="H34" t="s">
        <v>3439</v>
      </c>
      <c r="I34" s="88">
        <v>10456</v>
      </c>
      <c r="J34" t="s">
        <v>4311</v>
      </c>
      <c r="K34" s="86">
        <v>18193</v>
      </c>
      <c r="L34" s="86">
        <v>7882</v>
      </c>
      <c r="M34" s="86">
        <v>3335</v>
      </c>
      <c r="N34" s="86">
        <v>10281</v>
      </c>
      <c r="O34" s="86">
        <v>5705</v>
      </c>
      <c r="P34" s="86">
        <v>1001</v>
      </c>
      <c r="Q34" s="86">
        <v>11362</v>
      </c>
      <c r="R34" s="86">
        <v>506.15499877929688</v>
      </c>
      <c r="S34" s="86">
        <v>83.620002746582031</v>
      </c>
      <c r="T34" s="86">
        <v>9.8087921142578125</v>
      </c>
      <c r="U34" s="86">
        <v>5.5021163076162338E-2</v>
      </c>
      <c r="V34" s="86">
        <v>0.56510746479034424</v>
      </c>
      <c r="W34" s="86">
        <v>0.50211232900619507</v>
      </c>
      <c r="X34" s="86">
        <v>0.18331226706504822</v>
      </c>
      <c r="Y34" s="86">
        <v>0</v>
      </c>
      <c r="Z34" s="86">
        <v>0.18622703850269318</v>
      </c>
    </row>
    <row r="35" spans="1:27" x14ac:dyDescent="0.25">
      <c r="A35" s="88">
        <v>91</v>
      </c>
      <c r="B35" t="s">
        <v>31</v>
      </c>
      <c r="C35" s="88">
        <v>2020</v>
      </c>
      <c r="D35" t="s">
        <v>4327</v>
      </c>
      <c r="E35" s="34">
        <v>45930</v>
      </c>
      <c r="F35" s="88">
        <v>2111</v>
      </c>
      <c r="G35" t="s">
        <v>3441</v>
      </c>
      <c r="H35" t="s">
        <v>3442</v>
      </c>
      <c r="I35" s="88">
        <v>10795</v>
      </c>
      <c r="J35" t="s">
        <v>4323</v>
      </c>
      <c r="K35" s="86">
        <v>54012</v>
      </c>
      <c r="L35" s="86">
        <v>23763</v>
      </c>
      <c r="M35" s="86">
        <v>2937</v>
      </c>
      <c r="N35" s="86">
        <v>30247</v>
      </c>
      <c r="O35" s="86">
        <v>9875</v>
      </c>
      <c r="P35" s="86">
        <v>874</v>
      </c>
      <c r="Q35" s="86">
        <v>17117</v>
      </c>
      <c r="R35" s="86">
        <v>290.01699829101563</v>
      </c>
      <c r="S35" s="86">
        <v>232.67999267578125</v>
      </c>
      <c r="T35" s="86">
        <v>10.896961212158203</v>
      </c>
      <c r="U35" s="86">
        <v>1.6181590035557747E-2</v>
      </c>
      <c r="V35" s="86">
        <v>0.56000518798828125</v>
      </c>
      <c r="W35" s="86">
        <v>0.57691186666488647</v>
      </c>
      <c r="X35" s="86">
        <v>5.4376803338527679E-2</v>
      </c>
      <c r="Y35" s="86">
        <v>0</v>
      </c>
      <c r="Z35" s="86">
        <v>0.35214278101921082</v>
      </c>
    </row>
    <row r="36" spans="1:27" x14ac:dyDescent="0.25">
      <c r="A36" s="88">
        <v>94</v>
      </c>
      <c r="B36" t="s">
        <v>32</v>
      </c>
      <c r="C36" s="88">
        <v>2020</v>
      </c>
      <c r="D36" t="s">
        <v>3443</v>
      </c>
      <c r="E36" s="34">
        <v>45657</v>
      </c>
      <c r="F36" s="88">
        <v>13431</v>
      </c>
      <c r="G36" t="s">
        <v>3445</v>
      </c>
      <c r="H36" t="s">
        <v>3446</v>
      </c>
      <c r="I36" s="88">
        <v>1705873</v>
      </c>
      <c r="J36" t="s">
        <v>4305</v>
      </c>
      <c r="K36" s="86">
        <v>1419.81005859375</v>
      </c>
      <c r="L36" s="86">
        <v>714.0360107421875</v>
      </c>
      <c r="M36" s="86">
        <v>80.556999206542969</v>
      </c>
      <c r="N36" s="86">
        <v>705.77398681640625</v>
      </c>
      <c r="O36" s="86">
        <v>-12.097999572753906</v>
      </c>
      <c r="P36" s="86">
        <v>-262.89498901367188</v>
      </c>
      <c r="Q36" s="86">
        <v>523.8330078125</v>
      </c>
      <c r="R36" s="86">
        <v>79.929000854492188</v>
      </c>
      <c r="S36" s="86">
        <v>3.6800000667572021</v>
      </c>
      <c r="T36" s="86">
        <v>7.2582783699035645</v>
      </c>
      <c r="U36" s="86">
        <v>-0.18516208231449127</v>
      </c>
      <c r="V36" s="86">
        <v>0.49709042906761169</v>
      </c>
      <c r="W36" s="86">
        <v>-2.309514582157135E-2</v>
      </c>
      <c r="X36" s="86">
        <v>5.673786997795105E-2</v>
      </c>
      <c r="Y36" s="86">
        <v>1</v>
      </c>
      <c r="Z36" s="86">
        <v>2.4275484085083008</v>
      </c>
    </row>
    <row r="37" spans="1:27" x14ac:dyDescent="0.25">
      <c r="A37" s="88">
        <v>98</v>
      </c>
      <c r="B37" t="s">
        <v>33</v>
      </c>
      <c r="C37" s="88">
        <v>2020</v>
      </c>
      <c r="D37" t="s">
        <v>3448</v>
      </c>
      <c r="E37" s="34">
        <v>46022</v>
      </c>
      <c r="F37" s="88">
        <v>260893</v>
      </c>
      <c r="G37" t="s">
        <v>3450</v>
      </c>
      <c r="H37" t="s">
        <v>3451</v>
      </c>
      <c r="I37" s="88">
        <v>1280058</v>
      </c>
      <c r="J37" t="s">
        <v>4305</v>
      </c>
      <c r="K37" s="86">
        <v>2044.7340087890625</v>
      </c>
      <c r="L37" s="86">
        <v>426.14999389648438</v>
      </c>
      <c r="M37" s="86">
        <v>644.968994140625</v>
      </c>
      <c r="N37" s="86">
        <v>1618.583984375</v>
      </c>
      <c r="O37" s="86">
        <v>579.27398681640625</v>
      </c>
      <c r="P37" s="86">
        <v>7.7170000076293945</v>
      </c>
      <c r="Q37" s="86">
        <v>913.218994140625</v>
      </c>
      <c r="R37" s="86">
        <v>48.849998474121094</v>
      </c>
      <c r="S37" s="86">
        <v>57.560001373291016</v>
      </c>
      <c r="T37" s="86">
        <v>7.6230230331420898</v>
      </c>
      <c r="U37" s="86">
        <v>3.7740850821137428E-3</v>
      </c>
      <c r="V37" s="86">
        <v>0.79158657789230347</v>
      </c>
      <c r="W37" s="86">
        <v>0.63432097434997559</v>
      </c>
      <c r="X37" s="86">
        <v>0.31542930006980896</v>
      </c>
      <c r="Y37" s="86">
        <v>0</v>
      </c>
      <c r="Z37" s="86">
        <v>0.15155740082263947</v>
      </c>
    </row>
    <row r="38" spans="1:27" x14ac:dyDescent="0.25">
      <c r="A38" s="88">
        <v>102</v>
      </c>
      <c r="B38" t="s">
        <v>34</v>
      </c>
      <c r="C38" s="88">
        <v>2020</v>
      </c>
      <c r="D38" t="s">
        <v>4328</v>
      </c>
      <c r="E38" s="34">
        <v>46022</v>
      </c>
      <c r="F38" s="88">
        <v>33668</v>
      </c>
      <c r="G38" t="s">
        <v>3453</v>
      </c>
      <c r="H38" t="s">
        <v>3454</v>
      </c>
      <c r="I38" s="88">
        <v>1664703</v>
      </c>
      <c r="J38" t="s">
        <v>4305</v>
      </c>
      <c r="K38" s="86">
        <v>1454.386962890625</v>
      </c>
      <c r="L38" s="86">
        <v>78.823997497558594</v>
      </c>
      <c r="M38" s="86">
        <v>299.4169921875</v>
      </c>
      <c r="N38" s="86">
        <v>1312.990966796875</v>
      </c>
      <c r="O38" s="86">
        <v>218.07200622558594</v>
      </c>
      <c r="P38" s="86">
        <v>-157.55299377441406</v>
      </c>
      <c r="Q38" s="86">
        <v>794.24700927734375</v>
      </c>
      <c r="R38" s="86">
        <v>168.00300598144531</v>
      </c>
      <c r="S38" s="86">
        <v>28.659999847412109</v>
      </c>
      <c r="T38" s="86">
        <v>7.2823395729064941</v>
      </c>
      <c r="U38" s="86">
        <v>-0.10832948982715607</v>
      </c>
      <c r="V38" s="86">
        <v>0.90277963876724243</v>
      </c>
      <c r="W38" s="86">
        <v>0.2745644748210907</v>
      </c>
      <c r="X38" s="86">
        <v>0.20587161183357239</v>
      </c>
      <c r="Y38" s="86">
        <v>1</v>
      </c>
      <c r="Z38" s="86">
        <v>1.6370624303817749E-2</v>
      </c>
    </row>
    <row r="39" spans="1:27" x14ac:dyDescent="0.25">
      <c r="A39" s="88">
        <v>119</v>
      </c>
      <c r="B39" t="s">
        <v>35</v>
      </c>
      <c r="C39" s="88">
        <v>2020</v>
      </c>
      <c r="D39" t="s">
        <v>3455</v>
      </c>
      <c r="E39" s="34">
        <v>46022</v>
      </c>
      <c r="F39" s="88">
        <v>144435</v>
      </c>
      <c r="G39" t="s">
        <v>3457</v>
      </c>
      <c r="H39" t="s">
        <v>3458</v>
      </c>
      <c r="I39" s="88">
        <v>1996862</v>
      </c>
      <c r="J39" t="s">
        <v>4305</v>
      </c>
      <c r="K39" s="86">
        <v>23655</v>
      </c>
      <c r="L39" s="86">
        <v>5379</v>
      </c>
      <c r="M39" s="86">
        <v>1544</v>
      </c>
      <c r="N39" s="86">
        <v>17035</v>
      </c>
      <c r="O39" s="86">
        <v>3169</v>
      </c>
      <c r="P39" s="86">
        <v>1145</v>
      </c>
      <c r="Q39" s="86">
        <v>41355</v>
      </c>
      <c r="R39" s="86">
        <v>139.78999328613281</v>
      </c>
      <c r="S39" s="86">
        <v>65.580001831054688</v>
      </c>
      <c r="T39" s="86">
        <v>10.071330070495605</v>
      </c>
      <c r="U39" s="86">
        <v>4.8404142260551453E-2</v>
      </c>
      <c r="V39" s="86">
        <v>0.72014373540878296</v>
      </c>
      <c r="W39" s="86">
        <v>7.6629184186458588E-2</v>
      </c>
      <c r="X39" s="86">
        <v>6.5271615982055664E-2</v>
      </c>
      <c r="Y39" s="86">
        <v>0</v>
      </c>
      <c r="Z39" s="86">
        <v>0.58675128221511841</v>
      </c>
    </row>
    <row r="40" spans="1:27" x14ac:dyDescent="0.25">
      <c r="A40" s="88">
        <v>120</v>
      </c>
      <c r="B40" t="s">
        <v>36</v>
      </c>
      <c r="C40" s="88">
        <v>2021</v>
      </c>
      <c r="D40" t="s">
        <v>4329</v>
      </c>
      <c r="E40" s="34">
        <v>46053</v>
      </c>
      <c r="F40" s="88">
        <v>18675</v>
      </c>
      <c r="G40" t="s">
        <v>3461</v>
      </c>
      <c r="H40" t="s">
        <v>3462</v>
      </c>
      <c r="I40" s="88">
        <v>1579298</v>
      </c>
      <c r="J40" t="s">
        <v>4330</v>
      </c>
      <c r="K40" s="86">
        <v>6781.091796875</v>
      </c>
      <c r="L40" s="86">
        <v>464.75399780273438</v>
      </c>
      <c r="M40" s="86">
        <v>1386.8580322265625</v>
      </c>
      <c r="N40" s="86">
        <v>6316.337890625</v>
      </c>
      <c r="O40" s="86">
        <v>2483.56591796875</v>
      </c>
      <c r="P40" s="86">
        <v>-216.49899291992188</v>
      </c>
      <c r="Q40" s="86">
        <v>5763.97998046875</v>
      </c>
      <c r="R40" s="86">
        <v>66.386001586914063</v>
      </c>
      <c r="S40" s="86">
        <v>248.89999389648438</v>
      </c>
      <c r="T40" s="86">
        <v>8.8218936920166016</v>
      </c>
      <c r="U40" s="86">
        <v>-3.1926862895488739E-2</v>
      </c>
      <c r="V40" s="86">
        <v>0.93146324157714844</v>
      </c>
      <c r="W40" s="86">
        <v>0.43087691068649292</v>
      </c>
      <c r="X40" s="86">
        <v>0.2045183926820755</v>
      </c>
      <c r="Y40" s="86">
        <v>1</v>
      </c>
      <c r="Z40" s="86">
        <v>2.8126891702413559E-2</v>
      </c>
    </row>
    <row r="41" spans="1:27" x14ac:dyDescent="0.25">
      <c r="A41" s="88">
        <v>121</v>
      </c>
      <c r="B41" t="s">
        <v>37</v>
      </c>
      <c r="C41" s="88">
        <v>2020</v>
      </c>
      <c r="D41" t="s">
        <v>4331</v>
      </c>
      <c r="E41" s="34">
        <v>45930</v>
      </c>
      <c r="F41" s="88">
        <v>2593</v>
      </c>
      <c r="G41" t="s">
        <v>3464</v>
      </c>
      <c r="H41" t="s">
        <v>3465</v>
      </c>
      <c r="I41" s="88">
        <v>16040</v>
      </c>
      <c r="J41" t="s">
        <v>4323</v>
      </c>
      <c r="K41" s="86">
        <v>2781</v>
      </c>
      <c r="L41" s="86">
        <v>691</v>
      </c>
      <c r="M41" s="86">
        <v>151</v>
      </c>
      <c r="N41" s="86">
        <v>1967</v>
      </c>
      <c r="O41" s="86">
        <v>664</v>
      </c>
      <c r="P41" s="86">
        <v>-238</v>
      </c>
      <c r="Q41" s="86">
        <v>2614</v>
      </c>
      <c r="R41" s="86">
        <v>56.466999053955078</v>
      </c>
      <c r="S41" s="86">
        <v>36.029998779296875</v>
      </c>
      <c r="T41" s="86">
        <v>7.9305658340454102</v>
      </c>
      <c r="U41" s="86">
        <v>-8.5580728948116302E-2</v>
      </c>
      <c r="V41" s="86">
        <v>0.70729953050613403</v>
      </c>
      <c r="W41" s="86">
        <v>0.25401684641838074</v>
      </c>
      <c r="X41" s="86">
        <v>5.4297015070915222E-2</v>
      </c>
      <c r="Y41" s="86">
        <v>1</v>
      </c>
      <c r="Z41" s="86">
        <v>0.33964020013809204</v>
      </c>
    </row>
    <row r="42" spans="1:27" x14ac:dyDescent="0.25">
      <c r="A42" s="88">
        <v>123</v>
      </c>
      <c r="B42" t="s">
        <v>38</v>
      </c>
      <c r="C42" s="88">
        <v>2019</v>
      </c>
      <c r="D42" t="s">
        <v>4332</v>
      </c>
      <c r="E42" s="34">
        <v>46022</v>
      </c>
      <c r="F42" s="88">
        <v>20548</v>
      </c>
      <c r="G42" t="s">
        <v>3467</v>
      </c>
      <c r="H42" t="s">
        <v>3468</v>
      </c>
      <c r="I42" s="88">
        <v>858470</v>
      </c>
      <c r="J42" t="s">
        <v>4311</v>
      </c>
      <c r="K42" s="86">
        <v>4487.2451171875</v>
      </c>
      <c r="L42" s="86">
        <v>2151.487060546875</v>
      </c>
      <c r="M42" s="86">
        <v>213.78300476074219</v>
      </c>
      <c r="N42" s="86">
        <v>2335.758056640625</v>
      </c>
      <c r="O42" s="86">
        <v>1397.5889892578125</v>
      </c>
      <c r="P42" s="86">
        <v>681.07000732421875</v>
      </c>
      <c r="Q42" s="86">
        <v>2066.277099609375</v>
      </c>
      <c r="R42" s="86">
        <v>397.92498779296875</v>
      </c>
      <c r="S42" s="86">
        <v>17.409999847412109</v>
      </c>
      <c r="T42" s="86">
        <v>8.4089946746826172</v>
      </c>
      <c r="U42" s="86">
        <v>0.15177910029888153</v>
      </c>
      <c r="V42" s="86">
        <v>0.52053272724151611</v>
      </c>
      <c r="W42" s="86">
        <v>0.6763802170753479</v>
      </c>
      <c r="X42" s="86">
        <v>4.764237254858017E-2</v>
      </c>
      <c r="Y42" s="86">
        <v>0</v>
      </c>
      <c r="Z42" s="86">
        <v>0.31055516004562378</v>
      </c>
    </row>
    <row r="43" spans="1:27" x14ac:dyDescent="0.25">
      <c r="A43" s="88">
        <v>124</v>
      </c>
      <c r="B43" t="s">
        <v>39</v>
      </c>
      <c r="C43" s="88">
        <v>2020</v>
      </c>
      <c r="D43" t="s">
        <v>4333</v>
      </c>
      <c r="E43" s="34">
        <v>45961</v>
      </c>
      <c r="F43" s="88">
        <v>147708</v>
      </c>
      <c r="G43" t="s">
        <v>3471</v>
      </c>
      <c r="H43" t="s">
        <v>3472</v>
      </c>
      <c r="I43" s="88">
        <v>1133470</v>
      </c>
      <c r="J43" t="s">
        <v>4308</v>
      </c>
      <c r="K43" s="86">
        <v>429.62399291992188</v>
      </c>
      <c r="L43" s="86">
        <v>254.52999877929688</v>
      </c>
      <c r="M43" s="86">
        <v>4.054999828338623</v>
      </c>
      <c r="N43" s="86">
        <v>173.62199401855469</v>
      </c>
      <c r="O43" s="86">
        <v>105.99099731445313</v>
      </c>
      <c r="P43" s="86">
        <v>-13.625</v>
      </c>
      <c r="Q43" s="86">
        <v>1059.3709716796875</v>
      </c>
      <c r="R43" s="86">
        <v>17.660999298095703</v>
      </c>
      <c r="S43" s="86">
        <v>67.129997253417969</v>
      </c>
      <c r="T43" s="86">
        <v>6.0629105567932129</v>
      </c>
      <c r="U43" s="86">
        <v>-3.1713776290416718E-2</v>
      </c>
      <c r="V43" s="86">
        <v>0.40412545204162598</v>
      </c>
      <c r="W43" s="86">
        <v>0.10005088150501251</v>
      </c>
      <c r="X43" s="86">
        <v>9.4384858384728432E-3</v>
      </c>
      <c r="Y43" s="86">
        <v>1</v>
      </c>
      <c r="Z43" s="86">
        <v>0.21468766033649445</v>
      </c>
    </row>
    <row r="44" spans="1:27" x14ac:dyDescent="0.25">
      <c r="A44" s="88">
        <v>126</v>
      </c>
      <c r="B44" t="s">
        <v>40</v>
      </c>
      <c r="C44" s="88">
        <v>2020</v>
      </c>
      <c r="D44" t="s">
        <v>4334</v>
      </c>
      <c r="E44" s="34">
        <v>46022</v>
      </c>
      <c r="F44" s="88">
        <v>2628</v>
      </c>
      <c r="G44" t="s">
        <v>3474</v>
      </c>
      <c r="H44" t="s">
        <v>3475</v>
      </c>
      <c r="I44" s="88">
        <v>1035201</v>
      </c>
      <c r="J44" t="s">
        <v>4305</v>
      </c>
      <c r="K44" s="86">
        <v>3394.248046875</v>
      </c>
      <c r="L44" s="86">
        <v>921.343994140625</v>
      </c>
      <c r="M44" s="86">
        <v>45.129001617431641</v>
      </c>
      <c r="N44" s="86">
        <v>2472.904052734375</v>
      </c>
      <c r="O44" s="86">
        <v>246.60600280761719</v>
      </c>
      <c r="P44" s="86">
        <v>96.831001281738281</v>
      </c>
      <c r="Q44" s="86">
        <v>794.3070068359375</v>
      </c>
      <c r="R44" s="86">
        <v>50.333999633789063</v>
      </c>
      <c r="S44" s="86">
        <v>54.029998779296875</v>
      </c>
      <c r="T44" s="86">
        <v>8.1298379898071289</v>
      </c>
      <c r="U44" s="86">
        <v>2.8527967631816864E-2</v>
      </c>
      <c r="V44" s="86">
        <v>0.72855722904205322</v>
      </c>
      <c r="W44" s="86">
        <v>0.31046685576438904</v>
      </c>
      <c r="X44" s="86">
        <v>1.3295728713274002E-2</v>
      </c>
      <c r="Y44" s="86">
        <v>0</v>
      </c>
      <c r="Z44" s="86">
        <v>0.33878597617149353</v>
      </c>
    </row>
    <row r="45" spans="1:27" x14ac:dyDescent="0.25">
      <c r="A45" s="88">
        <v>127</v>
      </c>
      <c r="B45" t="s">
        <v>41</v>
      </c>
      <c r="C45" s="88">
        <v>2020</v>
      </c>
      <c r="D45" t="s">
        <v>3476</v>
      </c>
      <c r="E45" s="34">
        <v>45291</v>
      </c>
      <c r="F45" s="88">
        <v>15060</v>
      </c>
      <c r="G45" t="s">
        <v>3478</v>
      </c>
      <c r="H45" t="s">
        <v>3479</v>
      </c>
      <c r="I45" s="88">
        <v>928022</v>
      </c>
      <c r="J45" t="s">
        <v>4305</v>
      </c>
      <c r="K45" s="86">
        <v>4362.8681640625</v>
      </c>
      <c r="L45" s="86">
        <v>711.00201416015625</v>
      </c>
      <c r="M45" s="86">
        <v>20.236000061035156</v>
      </c>
      <c r="N45" s="86">
        <v>3651.865966796875</v>
      </c>
      <c r="O45" s="86">
        <v>-1910.552001953125</v>
      </c>
      <c r="P45" s="86">
        <v>-2533.62109375</v>
      </c>
      <c r="Q45" s="86">
        <v>1033.14697265625</v>
      </c>
      <c r="R45" s="86">
        <v>39.758998870849609</v>
      </c>
      <c r="S45" s="86">
        <v>13.159999847412109</v>
      </c>
      <c r="T45" s="86">
        <v>8.380885124206543</v>
      </c>
      <c r="U45" s="86">
        <v>-0.58072376251220703</v>
      </c>
      <c r="V45" s="86">
        <v>0.83703333139419556</v>
      </c>
      <c r="W45" s="86">
        <v>-1.849254846572876</v>
      </c>
      <c r="X45" s="86">
        <v>4.6382332220673561E-3</v>
      </c>
      <c r="Y45" s="86">
        <v>1</v>
      </c>
      <c r="Z45" s="86">
        <v>1.358875036239624</v>
      </c>
    </row>
    <row r="46" spans="1:27" x14ac:dyDescent="0.25">
      <c r="A46" s="88">
        <v>128</v>
      </c>
      <c r="B46" t="s">
        <v>41</v>
      </c>
      <c r="C46" s="88">
        <v>2019</v>
      </c>
      <c r="D46" t="s">
        <v>3476</v>
      </c>
      <c r="E46" s="34">
        <v>45291</v>
      </c>
      <c r="F46" s="88">
        <v>15060</v>
      </c>
      <c r="G46" t="s">
        <v>3478</v>
      </c>
      <c r="H46" t="s">
        <v>3479</v>
      </c>
      <c r="I46" s="88">
        <v>928022</v>
      </c>
      <c r="J46" t="s">
        <v>4311</v>
      </c>
      <c r="K46" s="86">
        <v>7194.837890625</v>
      </c>
      <c r="L46" s="86">
        <v>3223.30810546875</v>
      </c>
      <c r="M46" s="86">
        <v>13.340999603271484</v>
      </c>
      <c r="N46" s="86">
        <v>3971.530029296875</v>
      </c>
      <c r="O46" s="86">
        <v>532.9940185546875</v>
      </c>
      <c r="P46" s="86">
        <v>67.928001403808594</v>
      </c>
      <c r="Q46" s="86">
        <v>671.572021484375</v>
      </c>
      <c r="R46" s="86">
        <v>396.60000610351563</v>
      </c>
      <c r="S46" s="86">
        <v>4.8299999237060547</v>
      </c>
      <c r="T46" s="86">
        <v>8.8811187744140625</v>
      </c>
      <c r="U46" s="86">
        <v>9.4412136822938919E-3</v>
      </c>
      <c r="V46" s="86">
        <v>0.55199712514877319</v>
      </c>
      <c r="W46" s="86">
        <v>0.79365134239196777</v>
      </c>
      <c r="X46" s="86">
        <v>1.8542460165917873E-3</v>
      </c>
      <c r="Y46" s="86">
        <v>0</v>
      </c>
      <c r="Z46" s="86">
        <v>1.682681679725647</v>
      </c>
    </row>
    <row r="47" spans="1:27" x14ac:dyDescent="0.25">
      <c r="A47" s="88">
        <v>130</v>
      </c>
      <c r="B47" t="s">
        <v>42</v>
      </c>
      <c r="C47" s="88">
        <v>2020</v>
      </c>
      <c r="D47" t="s">
        <v>3480</v>
      </c>
      <c r="E47" s="34">
        <v>45838</v>
      </c>
      <c r="F47" s="88">
        <v>2751</v>
      </c>
      <c r="G47" t="s">
        <v>3482</v>
      </c>
      <c r="H47" t="s">
        <v>3483</v>
      </c>
      <c r="I47" s="88">
        <v>721371</v>
      </c>
      <c r="J47" t="s">
        <v>4335</v>
      </c>
      <c r="K47" s="86">
        <v>40766</v>
      </c>
      <c r="L47" s="86">
        <v>1789</v>
      </c>
      <c r="M47" s="86">
        <v>2771</v>
      </c>
      <c r="N47" s="86">
        <v>38974</v>
      </c>
      <c r="O47" s="86">
        <v>7268</v>
      </c>
      <c r="P47" s="86">
        <v>-3696</v>
      </c>
      <c r="Q47" s="86">
        <v>152922</v>
      </c>
      <c r="R47" s="86">
        <v>293</v>
      </c>
      <c r="S47" s="86">
        <v>52.189998626708984</v>
      </c>
      <c r="T47" s="86">
        <v>10.615603446960449</v>
      </c>
      <c r="U47" s="86">
        <v>-9.0663790702819824E-2</v>
      </c>
      <c r="V47" s="86">
        <v>0.95604181289672852</v>
      </c>
      <c r="W47" s="86">
        <v>4.7527499496936798E-2</v>
      </c>
      <c r="X47" s="86">
        <v>6.7973308265209198E-2</v>
      </c>
      <c r="Y47" s="86">
        <v>1</v>
      </c>
      <c r="Z47" s="86">
        <v>0.1169918030500412</v>
      </c>
    </row>
    <row r="48" spans="1:27" x14ac:dyDescent="0.25">
      <c r="A48" s="88">
        <v>131</v>
      </c>
      <c r="B48" t="s">
        <v>43</v>
      </c>
      <c r="C48" s="88">
        <v>2019</v>
      </c>
      <c r="D48" t="s">
        <v>3484</v>
      </c>
      <c r="E48" s="34">
        <v>46022</v>
      </c>
      <c r="F48" s="88">
        <v>36191</v>
      </c>
      <c r="G48" t="s">
        <v>3486</v>
      </c>
      <c r="H48" t="s">
        <v>3487</v>
      </c>
      <c r="I48" s="88">
        <v>1783180</v>
      </c>
      <c r="J48" t="s">
        <v>4311</v>
      </c>
      <c r="K48" s="86">
        <v>22406</v>
      </c>
      <c r="L48" s="86">
        <v>14102</v>
      </c>
      <c r="M48" s="86">
        <v>957</v>
      </c>
      <c r="N48" s="86">
        <v>7971</v>
      </c>
      <c r="O48" s="86">
        <v>5790</v>
      </c>
      <c r="P48" s="86">
        <v>2116</v>
      </c>
      <c r="Q48" s="86">
        <v>18608</v>
      </c>
      <c r="R48" s="86">
        <v>866.15997314453125</v>
      </c>
      <c r="S48" s="86">
        <v>16.920000076293945</v>
      </c>
      <c r="T48" s="86">
        <v>10.017084121704102</v>
      </c>
      <c r="U48" s="86">
        <v>9.4438992440700531E-2</v>
      </c>
      <c r="V48" s="86">
        <v>0.35575291514396667</v>
      </c>
      <c r="W48" s="86">
        <v>0.31115648150444031</v>
      </c>
      <c r="X48" s="86">
        <v>4.27117720246315E-2</v>
      </c>
      <c r="Y48" s="86">
        <v>0</v>
      </c>
      <c r="Z48" s="86">
        <v>0.96223741769790649</v>
      </c>
      <c r="AA48" s="80" t="s">
        <v>4336</v>
      </c>
    </row>
    <row r="49" spans="1:26" x14ac:dyDescent="0.25">
      <c r="A49" s="88">
        <v>132</v>
      </c>
      <c r="B49" t="s">
        <v>44</v>
      </c>
      <c r="C49" s="88">
        <v>2021</v>
      </c>
      <c r="D49" t="s">
        <v>4337</v>
      </c>
      <c r="E49" s="34">
        <v>45473</v>
      </c>
      <c r="F49" s="88">
        <v>20228</v>
      </c>
      <c r="G49" t="s">
        <v>3489</v>
      </c>
      <c r="H49" t="s">
        <v>3490</v>
      </c>
      <c r="I49" s="88">
        <v>1596783</v>
      </c>
      <c r="J49" t="s">
        <v>4338</v>
      </c>
      <c r="K49" s="86">
        <v>9112</v>
      </c>
      <c r="L49" s="86">
        <v>3915</v>
      </c>
      <c r="M49" s="86">
        <v>967</v>
      </c>
      <c r="N49" s="86">
        <v>4838</v>
      </c>
      <c r="O49" s="86">
        <v>1673</v>
      </c>
      <c r="P49" s="86">
        <v>585</v>
      </c>
      <c r="Q49" s="86">
        <v>3998</v>
      </c>
      <c r="R49" s="86">
        <v>170.54899597167969</v>
      </c>
      <c r="S49" s="86">
        <v>108.12000274658203</v>
      </c>
      <c r="T49" s="86">
        <v>9.1173477172851563</v>
      </c>
      <c r="U49" s="86">
        <v>6.4201056957244873E-2</v>
      </c>
      <c r="V49" s="86">
        <v>0.5309482216835022</v>
      </c>
      <c r="W49" s="86">
        <v>0.41845923662185669</v>
      </c>
      <c r="X49" s="86">
        <v>0.10612379014492035</v>
      </c>
      <c r="Y49" s="86">
        <v>0</v>
      </c>
      <c r="Z49" s="86">
        <v>0.2123129814863205</v>
      </c>
    </row>
    <row r="50" spans="1:26" x14ac:dyDescent="0.25">
      <c r="A50" s="88">
        <v>133</v>
      </c>
      <c r="B50" t="s">
        <v>44</v>
      </c>
      <c r="C50" s="88">
        <v>2019</v>
      </c>
      <c r="D50" t="s">
        <v>4337</v>
      </c>
      <c r="E50" s="34">
        <v>45473</v>
      </c>
      <c r="F50" s="88">
        <v>20228</v>
      </c>
      <c r="G50" t="s">
        <v>3489</v>
      </c>
      <c r="H50" t="s">
        <v>3490</v>
      </c>
      <c r="I50" s="88">
        <v>1596783</v>
      </c>
      <c r="J50" t="s">
        <v>4339</v>
      </c>
      <c r="K50" s="86">
        <v>6184</v>
      </c>
      <c r="L50" s="86">
        <v>1681.5999755859375</v>
      </c>
      <c r="M50" s="86">
        <v>345.39999389648438</v>
      </c>
      <c r="N50" s="86">
        <v>3895.800048828125</v>
      </c>
      <c r="O50" s="86">
        <v>1033.699951171875</v>
      </c>
      <c r="P50" s="86">
        <v>137.39999389648438</v>
      </c>
      <c r="Q50" s="86">
        <v>2518</v>
      </c>
      <c r="R50" s="86">
        <v>145.73800659179688</v>
      </c>
      <c r="S50" s="86">
        <v>54.209999084472656</v>
      </c>
      <c r="T50" s="86">
        <v>8.7297201156616211</v>
      </c>
      <c r="U50" s="86">
        <v>2.2218627855181694E-2</v>
      </c>
      <c r="V50" s="86">
        <v>0.62998062372207642</v>
      </c>
      <c r="W50" s="86">
        <v>0.41052421927452087</v>
      </c>
      <c r="X50" s="86">
        <v>5.5853813886642456E-2</v>
      </c>
      <c r="Y50" s="86">
        <v>0</v>
      </c>
      <c r="Z50" s="86">
        <v>0.21284843981266022</v>
      </c>
    </row>
    <row r="51" spans="1:26" x14ac:dyDescent="0.25">
      <c r="A51" s="88">
        <v>134</v>
      </c>
      <c r="B51" t="s">
        <v>45</v>
      </c>
      <c r="C51" s="88">
        <v>2020</v>
      </c>
      <c r="D51" t="s">
        <v>4340</v>
      </c>
      <c r="E51" s="34">
        <v>46022</v>
      </c>
      <c r="F51" s="88">
        <v>2817</v>
      </c>
      <c r="G51" t="s">
        <v>3492</v>
      </c>
      <c r="H51" t="s">
        <v>3493</v>
      </c>
      <c r="I51" s="88">
        <v>18230</v>
      </c>
      <c r="J51" t="s">
        <v>4305</v>
      </c>
      <c r="K51" s="86">
        <v>78324</v>
      </c>
      <c r="L51" s="86">
        <v>15331</v>
      </c>
      <c r="M51" s="86">
        <v>9502</v>
      </c>
      <c r="N51" s="86">
        <v>62946</v>
      </c>
      <c r="O51" s="86">
        <v>14384</v>
      </c>
      <c r="P51" s="86">
        <v>2998</v>
      </c>
      <c r="Q51" s="86">
        <v>41748</v>
      </c>
      <c r="R51" s="86">
        <v>545.30401611328125</v>
      </c>
      <c r="S51" s="86">
        <v>182.02000427246094</v>
      </c>
      <c r="T51" s="86">
        <v>11.268609046936035</v>
      </c>
      <c r="U51" s="86">
        <v>3.8276899605989456E-2</v>
      </c>
      <c r="V51" s="86">
        <v>0.80366170406341553</v>
      </c>
      <c r="W51" s="86">
        <v>0.34454345703125</v>
      </c>
      <c r="X51" s="86">
        <v>0.1213165819644928</v>
      </c>
      <c r="Y51" s="86">
        <v>0</v>
      </c>
      <c r="Z51" s="86">
        <v>0.15445880591869354</v>
      </c>
    </row>
    <row r="52" spans="1:26" x14ac:dyDescent="0.25">
      <c r="A52" s="88">
        <v>142</v>
      </c>
      <c r="B52" t="s">
        <v>46</v>
      </c>
      <c r="C52" s="88">
        <v>2020</v>
      </c>
      <c r="D52" t="s">
        <v>4341</v>
      </c>
      <c r="E52" s="34">
        <v>46022</v>
      </c>
      <c r="F52" s="88">
        <v>18004</v>
      </c>
      <c r="G52" t="s">
        <v>3495</v>
      </c>
      <c r="H52" t="s">
        <v>3496</v>
      </c>
      <c r="I52" s="88">
        <v>1576940</v>
      </c>
      <c r="J52" t="s">
        <v>4305</v>
      </c>
      <c r="K52" s="86">
        <v>2845.093017578125</v>
      </c>
      <c r="L52" s="86">
        <v>1280.7049560546875</v>
      </c>
      <c r="M52" s="86">
        <v>421.23001098632813</v>
      </c>
      <c r="N52" s="86">
        <v>1564.387939453125</v>
      </c>
      <c r="O52" s="86">
        <v>630.302001953125</v>
      </c>
      <c r="P52" s="86">
        <v>206.15699768066406</v>
      </c>
      <c r="Q52" s="86">
        <v>3161.19189453125</v>
      </c>
      <c r="R52" s="86">
        <v>33.351001739501953</v>
      </c>
      <c r="S52" s="86">
        <v>43.779998779296875</v>
      </c>
      <c r="T52" s="86">
        <v>7.9533510208129883</v>
      </c>
      <c r="U52" s="86">
        <v>7.2460547089576721E-2</v>
      </c>
      <c r="V52" s="86">
        <v>0.54985475540161133</v>
      </c>
      <c r="W52" s="86">
        <v>0.19938746094703674</v>
      </c>
      <c r="X52" s="86">
        <v>0.14805491268634796</v>
      </c>
      <c r="Y52" s="86">
        <v>0</v>
      </c>
      <c r="Z52" s="86">
        <v>0.87713098526000977</v>
      </c>
    </row>
    <row r="53" spans="1:26" x14ac:dyDescent="0.25">
      <c r="A53" s="88">
        <v>146</v>
      </c>
      <c r="B53" t="s">
        <v>47</v>
      </c>
      <c r="C53" s="88">
        <v>2020</v>
      </c>
      <c r="D53" t="s">
        <v>3497</v>
      </c>
      <c r="E53" s="34">
        <v>45657</v>
      </c>
      <c r="F53" s="88">
        <v>65609</v>
      </c>
      <c r="G53" t="s">
        <v>3499</v>
      </c>
      <c r="H53" t="s">
        <v>3500</v>
      </c>
      <c r="I53" s="88">
        <v>1043277</v>
      </c>
      <c r="J53" t="s">
        <v>4305</v>
      </c>
      <c r="K53" s="86">
        <v>5144.2578125</v>
      </c>
      <c r="L53" s="86">
        <v>1879.9329833984375</v>
      </c>
      <c r="M53" s="86">
        <v>243.79600524902344</v>
      </c>
      <c r="N53" s="86">
        <v>3264.324951171875</v>
      </c>
      <c r="O53" s="86">
        <v>2513.98388671875</v>
      </c>
      <c r="P53" s="86">
        <v>506.42098999023438</v>
      </c>
      <c r="Q53" s="86">
        <v>16207.1064453125</v>
      </c>
      <c r="R53" s="86">
        <v>134.29800415039063</v>
      </c>
      <c r="S53" s="86">
        <v>93.870002746582031</v>
      </c>
      <c r="T53" s="86">
        <v>8.5456361770629883</v>
      </c>
      <c r="U53" s="86">
        <v>9.8443940281867981E-2</v>
      </c>
      <c r="V53" s="86">
        <v>0.63455700874328613</v>
      </c>
      <c r="W53" s="86">
        <v>0.15511614084243774</v>
      </c>
      <c r="X53" s="86">
        <v>4.7391872853040695E-2</v>
      </c>
      <c r="Y53" s="86">
        <v>0</v>
      </c>
      <c r="Z53" s="86">
        <v>0.14912346005439758</v>
      </c>
    </row>
    <row r="54" spans="1:26" x14ac:dyDescent="0.25">
      <c r="A54" s="88">
        <v>147</v>
      </c>
      <c r="B54" t="s">
        <v>48</v>
      </c>
      <c r="C54" s="88">
        <v>2020</v>
      </c>
      <c r="D54" t="s">
        <v>3501</v>
      </c>
      <c r="E54" s="34">
        <v>44926</v>
      </c>
      <c r="F54" s="88">
        <v>33596</v>
      </c>
      <c r="G54" t="s">
        <v>3503</v>
      </c>
      <c r="H54" t="s">
        <v>3504</v>
      </c>
      <c r="I54" s="88">
        <v>1730346</v>
      </c>
      <c r="J54" t="s">
        <v>4305</v>
      </c>
      <c r="K54" s="86">
        <v>280.95999145507813</v>
      </c>
      <c r="L54" s="86">
        <v>19.906000137329102</v>
      </c>
      <c r="M54" s="86">
        <v>29.211000442504883</v>
      </c>
      <c r="N54" s="86">
        <v>233.22099304199219</v>
      </c>
      <c r="O54" s="86">
        <v>41.937999725341797</v>
      </c>
      <c r="P54" s="86">
        <v>-55.862998962402344</v>
      </c>
      <c r="Q54" s="86">
        <v>232.37699890136719</v>
      </c>
      <c r="R54" s="86">
        <v>30.076999664306641</v>
      </c>
      <c r="S54" s="86">
        <v>2.869999885559082</v>
      </c>
      <c r="T54" s="86">
        <v>5.6382122039794922</v>
      </c>
      <c r="U54" s="86">
        <v>-0.19882901012897491</v>
      </c>
      <c r="V54" s="86">
        <v>0.8300861120223999</v>
      </c>
      <c r="W54" s="86">
        <v>0.18047396838665009</v>
      </c>
      <c r="X54" s="86">
        <v>0.1039685383439064</v>
      </c>
      <c r="Y54" s="86">
        <v>1</v>
      </c>
      <c r="Z54" s="86">
        <v>0.23060441017150879</v>
      </c>
    </row>
    <row r="55" spans="1:26" x14ac:dyDescent="0.25">
      <c r="A55" s="88">
        <v>149</v>
      </c>
      <c r="B55" t="s">
        <v>49</v>
      </c>
      <c r="C55" s="88">
        <v>2020</v>
      </c>
      <c r="D55" t="s">
        <v>3505</v>
      </c>
      <c r="E55" s="34">
        <v>45657</v>
      </c>
      <c r="F55" s="88">
        <v>25964</v>
      </c>
      <c r="G55" t="s">
        <v>3507</v>
      </c>
      <c r="H55" t="s">
        <v>3508</v>
      </c>
      <c r="I55" s="88">
        <v>892553</v>
      </c>
      <c r="J55" t="s">
        <v>4305</v>
      </c>
      <c r="K55" s="86">
        <v>2570.5</v>
      </c>
      <c r="L55" s="86">
        <v>1572.699951171875</v>
      </c>
      <c r="M55" s="86">
        <v>126.09999847412109</v>
      </c>
      <c r="N55" s="86">
        <v>991.20001220703125</v>
      </c>
      <c r="O55" s="86">
        <v>376.60000610351563</v>
      </c>
      <c r="P55" s="86">
        <v>308.10000610351563</v>
      </c>
      <c r="Q55" s="86">
        <v>1177.0999755859375</v>
      </c>
      <c r="R55" s="86">
        <v>35.424999237060547</v>
      </c>
      <c r="S55" s="86">
        <v>117.79000091552734</v>
      </c>
      <c r="T55" s="86">
        <v>7.8518557548522949</v>
      </c>
      <c r="U55" s="86">
        <v>0.11985994875431061</v>
      </c>
      <c r="V55" s="86">
        <v>0.38560593128204346</v>
      </c>
      <c r="W55" s="86">
        <v>0.31993883848190308</v>
      </c>
      <c r="X55" s="86">
        <v>4.9056604504585266E-2</v>
      </c>
      <c r="Y55" s="86">
        <v>0</v>
      </c>
      <c r="Z55" s="86">
        <v>0.37690126895904541</v>
      </c>
    </row>
    <row r="56" spans="1:26" x14ac:dyDescent="0.25">
      <c r="A56" s="88">
        <v>152</v>
      </c>
      <c r="B56" t="s">
        <v>50</v>
      </c>
      <c r="C56" s="88">
        <v>2019</v>
      </c>
      <c r="D56" t="s">
        <v>4342</v>
      </c>
      <c r="E56" s="34">
        <v>46022</v>
      </c>
      <c r="F56" s="88">
        <v>22741</v>
      </c>
      <c r="G56" t="s">
        <v>3510</v>
      </c>
      <c r="H56" t="s">
        <v>3511</v>
      </c>
      <c r="I56" s="88">
        <v>1627223</v>
      </c>
      <c r="J56" t="s">
        <v>4311</v>
      </c>
      <c r="K56" s="86">
        <v>7258</v>
      </c>
      <c r="L56" s="86">
        <v>689</v>
      </c>
      <c r="M56" s="86">
        <v>943</v>
      </c>
      <c r="N56" s="86">
        <v>6563</v>
      </c>
      <c r="O56" s="86">
        <v>1524</v>
      </c>
      <c r="P56" s="86">
        <v>-52</v>
      </c>
      <c r="Q56" s="86">
        <v>5526</v>
      </c>
      <c r="R56" s="86">
        <v>163.57400512695313</v>
      </c>
      <c r="S56" s="86">
        <v>18.090000152587891</v>
      </c>
      <c r="T56" s="86">
        <v>8.8898591995239258</v>
      </c>
      <c r="U56" s="86">
        <v>-7.1645081043243408E-3</v>
      </c>
      <c r="V56" s="86">
        <v>0.9042435884475708</v>
      </c>
      <c r="W56" s="86">
        <v>0.27578717470169067</v>
      </c>
      <c r="X56" s="86">
        <v>0.12992559373378754</v>
      </c>
      <c r="Y56" s="86">
        <v>1</v>
      </c>
      <c r="Z56" s="86">
        <v>0.23284471035003662</v>
      </c>
    </row>
    <row r="57" spans="1:26" x14ac:dyDescent="0.25">
      <c r="A57" s="88">
        <v>154</v>
      </c>
      <c r="B57" t="s">
        <v>51</v>
      </c>
      <c r="C57" s="88">
        <v>2020</v>
      </c>
      <c r="D57" t="s">
        <v>3512</v>
      </c>
      <c r="E57" s="34">
        <v>43830</v>
      </c>
      <c r="F57" s="88">
        <v>176914</v>
      </c>
      <c r="G57" t="s">
        <v>3514</v>
      </c>
      <c r="H57" t="s">
        <v>3515</v>
      </c>
      <c r="I57" s="88">
        <v>1383650</v>
      </c>
      <c r="J57" t="s">
        <v>4305</v>
      </c>
      <c r="K57" s="86">
        <v>19145</v>
      </c>
      <c r="L57" s="86">
        <v>539</v>
      </c>
      <c r="M57" s="86">
        <v>1307</v>
      </c>
      <c r="N57" s="86">
        <v>18606</v>
      </c>
      <c r="O57" s="86">
        <v>2827</v>
      </c>
      <c r="P57" s="86">
        <v>1183</v>
      </c>
      <c r="Q57" s="86">
        <v>6167</v>
      </c>
      <c r="R57" s="86">
        <v>484</v>
      </c>
      <c r="S57" s="86">
        <v>35.25</v>
      </c>
      <c r="T57" s="86">
        <v>9.8597965240478516</v>
      </c>
      <c r="U57" s="86">
        <v>6.1791591346263885E-2</v>
      </c>
      <c r="V57" s="86">
        <v>0.97184646129608154</v>
      </c>
      <c r="W57" s="86">
        <v>0.45840764045715332</v>
      </c>
      <c r="X57" s="86">
        <v>6.8268477916717529E-2</v>
      </c>
      <c r="Y57" s="86">
        <v>0</v>
      </c>
      <c r="Z57" s="86">
        <v>3.1592521816492081E-2</v>
      </c>
    </row>
    <row r="58" spans="1:26" x14ac:dyDescent="0.25">
      <c r="A58" s="88">
        <v>157</v>
      </c>
      <c r="B58" t="s">
        <v>52</v>
      </c>
      <c r="C58" s="88">
        <v>2020</v>
      </c>
      <c r="D58" t="s">
        <v>4343</v>
      </c>
      <c r="E58" s="34">
        <v>46022</v>
      </c>
      <c r="F58" s="88">
        <v>165914</v>
      </c>
      <c r="G58" t="s">
        <v>3517</v>
      </c>
      <c r="H58" t="s">
        <v>3518</v>
      </c>
      <c r="I58" s="88">
        <v>1058090</v>
      </c>
      <c r="J58" t="s">
        <v>4305</v>
      </c>
      <c r="K58" s="86">
        <v>5982.89599609375</v>
      </c>
      <c r="L58" s="86">
        <v>2020.135009765625</v>
      </c>
      <c r="M58" s="86">
        <v>951.60302734375</v>
      </c>
      <c r="N58" s="86">
        <v>3962.760986328125</v>
      </c>
      <c r="O58" s="86">
        <v>1035.6500244140625</v>
      </c>
      <c r="P58" s="86">
        <v>355.7659912109375</v>
      </c>
      <c r="Q58" s="86">
        <v>5984.6337890625</v>
      </c>
      <c r="R58" s="86">
        <v>28.000999450683594</v>
      </c>
      <c r="S58" s="86">
        <v>1386.7099609375</v>
      </c>
      <c r="T58" s="86">
        <v>8.696660041809082</v>
      </c>
      <c r="U58" s="86">
        <v>5.9463843703269958E-2</v>
      </c>
      <c r="V58" s="86">
        <v>0.66234827041625977</v>
      </c>
      <c r="W58" s="86">
        <v>0.17305152118206024</v>
      </c>
      <c r="X58" s="86">
        <v>0.15905392169952393</v>
      </c>
      <c r="Y58" s="86">
        <v>0</v>
      </c>
      <c r="Z58" s="86">
        <v>5.2026093006134033E-2</v>
      </c>
    </row>
    <row r="59" spans="1:26" x14ac:dyDescent="0.25">
      <c r="A59" s="88">
        <v>164</v>
      </c>
      <c r="B59" t="s">
        <v>53</v>
      </c>
      <c r="C59" s="88">
        <v>2020</v>
      </c>
      <c r="D59" t="s">
        <v>4344</v>
      </c>
      <c r="E59" s="34">
        <v>46022</v>
      </c>
      <c r="F59" s="88">
        <v>3243</v>
      </c>
      <c r="G59" t="s">
        <v>3520</v>
      </c>
      <c r="H59" t="s">
        <v>3521</v>
      </c>
      <c r="I59" s="88">
        <v>831001</v>
      </c>
      <c r="J59" t="s">
        <v>4305</v>
      </c>
      <c r="K59" s="86">
        <v>2260090</v>
      </c>
      <c r="L59" s="86">
        <v>179962</v>
      </c>
      <c r="M59" s="86">
        <v>605047</v>
      </c>
      <c r="N59" s="86">
        <v>2059890</v>
      </c>
      <c r="O59" s="86">
        <v>25573</v>
      </c>
      <c r="P59" s="86">
        <v>11047</v>
      </c>
      <c r="Q59" s="86">
        <v>88839</v>
      </c>
      <c r="R59" s="86">
        <v>2082.090087890625</v>
      </c>
      <c r="S59" s="86">
        <v>61.659999847412109</v>
      </c>
      <c r="T59" s="86">
        <v>14.630915641784668</v>
      </c>
      <c r="U59" s="86">
        <v>4.8878584057092667E-3</v>
      </c>
      <c r="V59" s="86">
        <v>0.91141945123672485</v>
      </c>
      <c r="W59" s="86">
        <v>0.28785780072212219</v>
      </c>
      <c r="X59" s="86">
        <v>0.26770925521850586</v>
      </c>
      <c r="Y59" s="86">
        <v>0</v>
      </c>
      <c r="Z59" s="86">
        <v>1.40177321434021</v>
      </c>
    </row>
    <row r="60" spans="1:26" x14ac:dyDescent="0.25">
      <c r="A60" s="88">
        <v>165</v>
      </c>
      <c r="B60" t="s">
        <v>54</v>
      </c>
      <c r="C60" s="88">
        <v>2020</v>
      </c>
      <c r="D60" t="s">
        <v>4345</v>
      </c>
      <c r="E60" s="34">
        <v>46022</v>
      </c>
      <c r="F60" s="88">
        <v>21825</v>
      </c>
      <c r="G60" t="s">
        <v>3523</v>
      </c>
      <c r="H60" t="s">
        <v>3524</v>
      </c>
      <c r="I60" s="88">
        <v>759944</v>
      </c>
      <c r="J60" t="s">
        <v>4305</v>
      </c>
      <c r="K60" s="86">
        <v>183349</v>
      </c>
      <c r="L60" s="86">
        <v>20708</v>
      </c>
      <c r="M60" s="86">
        <v>13039</v>
      </c>
      <c r="N60" s="86">
        <v>160676</v>
      </c>
      <c r="O60" s="86">
        <v>5289</v>
      </c>
      <c r="P60" s="86">
        <v>1057</v>
      </c>
      <c r="Q60" s="86">
        <v>7676</v>
      </c>
      <c r="R60" s="86">
        <v>427.20999145507813</v>
      </c>
      <c r="S60" s="86">
        <v>35.759998321533203</v>
      </c>
      <c r="T60" s="86">
        <v>12.119146347045898</v>
      </c>
      <c r="U60" s="86">
        <v>5.7649617083370686E-3</v>
      </c>
      <c r="V60" s="86">
        <v>0.87633967399597168</v>
      </c>
      <c r="W60" s="86">
        <v>0.68903076648712158</v>
      </c>
      <c r="X60" s="86">
        <v>7.1115739643573761E-2</v>
      </c>
      <c r="Y60" s="86">
        <v>0</v>
      </c>
      <c r="Z60" s="86">
        <v>1.3554991483688354</v>
      </c>
    </row>
    <row r="61" spans="1:26" x14ac:dyDescent="0.25">
      <c r="A61" s="88">
        <v>173</v>
      </c>
      <c r="B61" t="s">
        <v>55</v>
      </c>
      <c r="C61" s="88">
        <v>2020</v>
      </c>
      <c r="D61" t="s">
        <v>3525</v>
      </c>
      <c r="E61" s="34">
        <v>46022</v>
      </c>
      <c r="F61" s="88">
        <v>120093</v>
      </c>
      <c r="G61" t="s">
        <v>3527</v>
      </c>
      <c r="H61" t="s">
        <v>3528</v>
      </c>
      <c r="I61" s="88">
        <v>1070412</v>
      </c>
      <c r="J61" t="s">
        <v>4305</v>
      </c>
      <c r="K61" s="86">
        <v>8041.76416015625</v>
      </c>
      <c r="L61" s="86">
        <v>4422.43701171875</v>
      </c>
      <c r="M61" s="86">
        <v>16.351999282836914</v>
      </c>
      <c r="N61" s="86">
        <v>3619.326904296875</v>
      </c>
      <c r="O61" s="86">
        <v>534.78802490234375</v>
      </c>
      <c r="P61" s="86">
        <v>-483.77499389648438</v>
      </c>
      <c r="Q61" s="86">
        <v>1258.666015625</v>
      </c>
      <c r="R61" s="86">
        <v>220.44099426269531</v>
      </c>
      <c r="S61" s="86">
        <v>10.800000190734863</v>
      </c>
      <c r="T61" s="86">
        <v>8.9924039840698242</v>
      </c>
      <c r="U61" s="86">
        <v>-6.0157820582389832E-2</v>
      </c>
      <c r="V61" s="86">
        <v>0.45006626844406128</v>
      </c>
      <c r="W61" s="86">
        <v>0.42488476634025574</v>
      </c>
      <c r="X61" s="86">
        <v>2.0333845168352127E-3</v>
      </c>
      <c r="Y61" s="86">
        <v>1</v>
      </c>
      <c r="Z61" s="86">
        <v>1.8575714826583862</v>
      </c>
    </row>
    <row r="62" spans="1:26" x14ac:dyDescent="0.25">
      <c r="A62" s="88">
        <v>176</v>
      </c>
      <c r="B62" t="s">
        <v>56</v>
      </c>
      <c r="C62" s="88">
        <v>2019</v>
      </c>
      <c r="D62" t="s">
        <v>4346</v>
      </c>
      <c r="E62" s="34">
        <v>46022</v>
      </c>
      <c r="F62" s="88">
        <v>3153</v>
      </c>
      <c r="G62" t="s">
        <v>3530</v>
      </c>
      <c r="H62" t="s">
        <v>3531</v>
      </c>
      <c r="I62" s="88">
        <v>215466</v>
      </c>
      <c r="J62" t="s">
        <v>4311</v>
      </c>
      <c r="K62" s="86">
        <v>1378.635986328125</v>
      </c>
      <c r="L62" s="86">
        <v>667.0040283203125</v>
      </c>
      <c r="M62" s="86">
        <v>55.645000457763672</v>
      </c>
      <c r="N62" s="86">
        <v>711.63201904296875</v>
      </c>
      <c r="O62" s="86">
        <v>-90.492996215820313</v>
      </c>
      <c r="P62" s="86">
        <v>-341.2030029296875</v>
      </c>
      <c r="Q62" s="86">
        <v>711.50201416015625</v>
      </c>
      <c r="R62" s="86">
        <v>241.52900695800781</v>
      </c>
      <c r="S62" s="86">
        <v>8.0799999237060547</v>
      </c>
      <c r="T62" s="86">
        <v>7.2288498878479004</v>
      </c>
      <c r="U62" s="86">
        <v>-0.24749317765235901</v>
      </c>
      <c r="V62" s="86">
        <v>0.51618558168411255</v>
      </c>
      <c r="W62" s="86">
        <v>-0.12718586623668671</v>
      </c>
      <c r="X62" s="86">
        <v>4.0362358093261719E-2</v>
      </c>
      <c r="Y62" s="86">
        <v>1</v>
      </c>
      <c r="Z62" s="86">
        <v>0.3417809009552002</v>
      </c>
    </row>
    <row r="63" spans="1:26" x14ac:dyDescent="0.25">
      <c r="A63" s="88">
        <v>178</v>
      </c>
      <c r="B63" t="s">
        <v>57</v>
      </c>
      <c r="C63" s="88">
        <v>2020</v>
      </c>
      <c r="D63" t="s">
        <v>4347</v>
      </c>
      <c r="E63" s="34">
        <v>46022</v>
      </c>
      <c r="F63" s="88">
        <v>105936</v>
      </c>
      <c r="G63" t="s">
        <v>3533</v>
      </c>
      <c r="H63" t="s">
        <v>3534</v>
      </c>
      <c r="I63" s="88">
        <v>1050797</v>
      </c>
      <c r="J63" t="s">
        <v>4305</v>
      </c>
      <c r="K63" s="86">
        <v>2836.571044921875</v>
      </c>
      <c r="L63" s="86">
        <v>1832.77099609375</v>
      </c>
      <c r="M63" s="86">
        <v>791.948974609375</v>
      </c>
      <c r="N63" s="86">
        <v>1003.7999877929688</v>
      </c>
      <c r="O63" s="86">
        <v>1236.4129638671875</v>
      </c>
      <c r="P63" s="86">
        <v>108.01300048828125</v>
      </c>
      <c r="Q63" s="86">
        <v>2513.662109375</v>
      </c>
      <c r="R63" s="86">
        <v>66.251998901367188</v>
      </c>
      <c r="S63" s="86">
        <v>87.379997253417969</v>
      </c>
      <c r="T63" s="86">
        <v>7.9503512382507324</v>
      </c>
      <c r="U63" s="86">
        <v>3.8078721612691879E-2</v>
      </c>
      <c r="V63" s="86">
        <v>0.3538779616355896</v>
      </c>
      <c r="W63" s="86">
        <v>0.49187716841697693</v>
      </c>
      <c r="X63" s="86">
        <v>0.27919235825538635</v>
      </c>
      <c r="Y63" s="86">
        <v>0</v>
      </c>
      <c r="Z63" s="86">
        <v>0.31659001111984253</v>
      </c>
    </row>
    <row r="64" spans="1:26" x14ac:dyDescent="0.25">
      <c r="A64" s="88">
        <v>184</v>
      </c>
      <c r="B64" t="s">
        <v>58</v>
      </c>
      <c r="C64" s="88">
        <v>2020</v>
      </c>
      <c r="D64" t="s">
        <v>3535</v>
      </c>
      <c r="E64" s="34">
        <v>45657</v>
      </c>
      <c r="F64" s="88">
        <v>18036</v>
      </c>
      <c r="G64" t="s">
        <v>3537</v>
      </c>
      <c r="H64" t="s">
        <v>3538</v>
      </c>
      <c r="I64" s="88">
        <v>1517228</v>
      </c>
      <c r="J64" t="s">
        <v>4305</v>
      </c>
      <c r="K64" s="86">
        <v>13576.7998046875</v>
      </c>
      <c r="L64" s="86">
        <v>355</v>
      </c>
      <c r="M64" s="86">
        <v>521.9000244140625</v>
      </c>
      <c r="N64" s="86">
        <v>12180</v>
      </c>
      <c r="O64" s="86">
        <v>2922.39990234375</v>
      </c>
      <c r="P64" s="86">
        <v>-573.4000244140625</v>
      </c>
      <c r="Q64" s="86">
        <v>8435.900390625</v>
      </c>
      <c r="R64" s="86">
        <v>200.09500122070313</v>
      </c>
      <c r="S64" s="86">
        <v>13.399999618530273</v>
      </c>
      <c r="T64" s="86">
        <v>9.516118049621582</v>
      </c>
      <c r="U64" s="86">
        <v>-4.2233813554048538E-2</v>
      </c>
      <c r="V64" s="86">
        <v>0.89711862802505493</v>
      </c>
      <c r="W64" s="86">
        <v>0.34642419219017029</v>
      </c>
      <c r="X64" s="86">
        <v>3.8440577685832977E-2</v>
      </c>
      <c r="Y64" s="86">
        <v>1</v>
      </c>
      <c r="Z64" s="86">
        <v>0.1323997974395752</v>
      </c>
    </row>
    <row r="65" spans="1:26" x14ac:dyDescent="0.25">
      <c r="A65" s="88">
        <v>188</v>
      </c>
      <c r="B65" t="s">
        <v>59</v>
      </c>
      <c r="C65" s="88">
        <v>2020</v>
      </c>
      <c r="D65" t="s">
        <v>4348</v>
      </c>
      <c r="E65" s="34">
        <v>45808</v>
      </c>
      <c r="F65" s="88">
        <v>3362</v>
      </c>
      <c r="G65" t="s">
        <v>3541</v>
      </c>
      <c r="H65" t="s">
        <v>3542</v>
      </c>
      <c r="I65" s="88">
        <v>23217</v>
      </c>
      <c r="J65" t="s">
        <v>4349</v>
      </c>
      <c r="K65" s="86">
        <v>22304</v>
      </c>
      <c r="L65" s="86">
        <v>7876.10009765625</v>
      </c>
      <c r="M65" s="86">
        <v>553.29998779296875</v>
      </c>
      <c r="N65" s="86">
        <v>14353.2998046875</v>
      </c>
      <c r="O65" s="86">
        <v>3491.699951171875</v>
      </c>
      <c r="P65" s="86">
        <v>840.0999755859375</v>
      </c>
      <c r="Q65" s="86">
        <v>11054.400390625</v>
      </c>
      <c r="R65" s="86">
        <v>487.1619873046875</v>
      </c>
      <c r="S65" s="86">
        <v>34.790000915527344</v>
      </c>
      <c r="T65" s="86">
        <v>10.012521743774414</v>
      </c>
      <c r="U65" s="86">
        <v>3.7665888667106628E-2</v>
      </c>
      <c r="V65" s="86">
        <v>0.64353030920028687</v>
      </c>
      <c r="W65" s="86">
        <v>0.315865159034729</v>
      </c>
      <c r="X65" s="86">
        <v>2.4807209149003029E-2</v>
      </c>
      <c r="Y65" s="86">
        <v>0</v>
      </c>
      <c r="Z65" s="86">
        <v>0.46471145749092102</v>
      </c>
    </row>
    <row r="66" spans="1:26" x14ac:dyDescent="0.25">
      <c r="A66" s="88">
        <v>190</v>
      </c>
      <c r="B66" t="s">
        <v>60</v>
      </c>
      <c r="C66" s="88">
        <v>2020</v>
      </c>
      <c r="D66" t="s">
        <v>4350</v>
      </c>
      <c r="E66" s="34">
        <v>46022</v>
      </c>
      <c r="F66" s="88">
        <v>28719</v>
      </c>
      <c r="G66" t="s">
        <v>3545</v>
      </c>
      <c r="H66" t="s">
        <v>3546</v>
      </c>
      <c r="I66" s="88">
        <v>1677703</v>
      </c>
      <c r="J66" t="s">
        <v>4305</v>
      </c>
      <c r="K66" s="86">
        <v>4256</v>
      </c>
      <c r="L66" s="86">
        <v>1190</v>
      </c>
      <c r="M66" s="86">
        <v>458</v>
      </c>
      <c r="N66" s="86">
        <v>2924</v>
      </c>
      <c r="O66" s="86">
        <v>954</v>
      </c>
      <c r="P66" s="86">
        <v>-118</v>
      </c>
      <c r="Q66" s="86">
        <v>4163</v>
      </c>
      <c r="R66" s="86">
        <v>212.07400512695313</v>
      </c>
      <c r="S66" s="86">
        <v>4.8000001907348633</v>
      </c>
      <c r="T66" s="86">
        <v>8.3560848236083984</v>
      </c>
      <c r="U66" s="86">
        <v>-2.7725564315915108E-2</v>
      </c>
      <c r="V66" s="86">
        <v>0.68703007698059082</v>
      </c>
      <c r="W66" s="86">
        <v>0.22916166484355927</v>
      </c>
      <c r="X66" s="86">
        <v>0.10761278122663498</v>
      </c>
      <c r="Y66" s="86">
        <v>1</v>
      </c>
      <c r="Z66" s="86">
        <v>1.1690101623535156</v>
      </c>
    </row>
    <row r="67" spans="1:26" x14ac:dyDescent="0.25">
      <c r="A67" s="88">
        <v>194</v>
      </c>
      <c r="B67" t="s">
        <v>61</v>
      </c>
      <c r="C67" s="88">
        <v>2020</v>
      </c>
      <c r="D67" t="s">
        <v>4351</v>
      </c>
      <c r="E67" s="34">
        <v>45961</v>
      </c>
      <c r="F67" s="88">
        <v>3504</v>
      </c>
      <c r="G67" t="s">
        <v>3548</v>
      </c>
      <c r="H67" t="s">
        <v>3549</v>
      </c>
      <c r="I67" s="88">
        <v>711404</v>
      </c>
      <c r="J67" t="s">
        <v>4308</v>
      </c>
      <c r="K67" s="86">
        <v>6737.5</v>
      </c>
      <c r="L67" s="86">
        <v>3824.60009765625</v>
      </c>
      <c r="M67" s="86">
        <v>116.80000305175781</v>
      </c>
      <c r="N67" s="86">
        <v>2912.699951171875</v>
      </c>
      <c r="O67" s="86">
        <v>1774.800048828125</v>
      </c>
      <c r="P67" s="86">
        <v>238.39999389648438</v>
      </c>
      <c r="Q67" s="86">
        <v>2430.89990234375</v>
      </c>
      <c r="R67" s="86">
        <v>49.099998474121094</v>
      </c>
      <c r="S67" s="86">
        <v>319.04998779296875</v>
      </c>
      <c r="T67" s="86">
        <v>8.8154439926147461</v>
      </c>
      <c r="U67" s="86">
        <v>3.5384044051170349E-2</v>
      </c>
      <c r="V67" s="86">
        <v>0.43231168389320374</v>
      </c>
      <c r="W67" s="86">
        <v>0.73010003566741943</v>
      </c>
      <c r="X67" s="86">
        <v>1.7335807904601097E-2</v>
      </c>
      <c r="Y67" s="86">
        <v>0</v>
      </c>
      <c r="Z67" s="86">
        <v>0.24414387345314026</v>
      </c>
    </row>
    <row r="68" spans="1:26" x14ac:dyDescent="0.25">
      <c r="A68" s="88">
        <v>195</v>
      </c>
      <c r="B68" t="s">
        <v>62</v>
      </c>
      <c r="C68" s="88">
        <v>2020</v>
      </c>
      <c r="D68" t="s">
        <v>3550</v>
      </c>
      <c r="E68" s="34">
        <v>46022</v>
      </c>
      <c r="F68" s="88">
        <v>163765</v>
      </c>
      <c r="G68" t="s">
        <v>3552</v>
      </c>
      <c r="H68" t="s">
        <v>3553</v>
      </c>
      <c r="I68" s="88">
        <v>1320461</v>
      </c>
      <c r="J68" t="s">
        <v>4305</v>
      </c>
      <c r="K68" s="86">
        <v>2611.944091796875</v>
      </c>
      <c r="L68" s="86">
        <v>607.1099853515625</v>
      </c>
      <c r="M68" s="86">
        <v>442.52700805664063</v>
      </c>
      <c r="N68" s="86">
        <v>1987.8330078125</v>
      </c>
      <c r="O68" s="86">
        <v>290.16500854492188</v>
      </c>
      <c r="P68" s="86">
        <v>-267.60501098632813</v>
      </c>
      <c r="Q68" s="86">
        <v>2375.43896484375</v>
      </c>
      <c r="R68" s="86">
        <v>16.896999359130859</v>
      </c>
      <c r="S68" s="86">
        <v>34.669998168945313</v>
      </c>
      <c r="T68" s="86">
        <v>7.8678503036499023</v>
      </c>
      <c r="U68" s="86">
        <v>-0.10245434194803238</v>
      </c>
      <c r="V68" s="86">
        <v>0.76105493307113647</v>
      </c>
      <c r="W68" s="86">
        <v>0.12215216457843781</v>
      </c>
      <c r="X68" s="86">
        <v>0.1694243848323822</v>
      </c>
      <c r="Y68" s="86">
        <v>1</v>
      </c>
      <c r="Z68" s="86">
        <v>1.036344051361084</v>
      </c>
    </row>
    <row r="69" spans="1:26" x14ac:dyDescent="0.25">
      <c r="A69" s="88">
        <v>200</v>
      </c>
      <c r="B69" t="s">
        <v>63</v>
      </c>
      <c r="C69" s="88">
        <v>2020</v>
      </c>
      <c r="D69" t="s">
        <v>4352</v>
      </c>
      <c r="E69" s="34">
        <v>44926</v>
      </c>
      <c r="F69" s="88">
        <v>162894</v>
      </c>
      <c r="G69" t="s">
        <v>3555</v>
      </c>
      <c r="H69" t="s">
        <v>3556</v>
      </c>
      <c r="I69" s="88">
        <v>1136352</v>
      </c>
      <c r="J69" t="s">
        <v>4305</v>
      </c>
      <c r="K69" s="86">
        <v>5243.7001953125</v>
      </c>
      <c r="L69" s="86">
        <v>1043.4000244140625</v>
      </c>
      <c r="M69" s="86">
        <v>14</v>
      </c>
      <c r="N69" s="86">
        <v>3155.60009765625</v>
      </c>
      <c r="O69" s="86">
        <v>653.79998779296875</v>
      </c>
      <c r="P69" s="86">
        <v>-56.099998474121094</v>
      </c>
      <c r="Q69" s="86">
        <v>2254.300048828125</v>
      </c>
      <c r="R69" s="86">
        <v>73.970001220703125</v>
      </c>
      <c r="S69" s="86">
        <v>18.979999542236328</v>
      </c>
      <c r="T69" s="86">
        <v>8.5647830963134766</v>
      </c>
      <c r="U69" s="86">
        <v>-1.0698552243411541E-2</v>
      </c>
      <c r="V69" s="86">
        <v>0.60178881883621216</v>
      </c>
      <c r="W69" s="86">
        <v>0.29002350568771362</v>
      </c>
      <c r="X69" s="86">
        <v>2.669870387762785E-3</v>
      </c>
      <c r="Y69" s="86">
        <v>1</v>
      </c>
      <c r="Z69" s="86">
        <v>0.74318856000900269</v>
      </c>
    </row>
    <row r="70" spans="1:26" x14ac:dyDescent="0.25">
      <c r="A70" s="88">
        <v>201</v>
      </c>
      <c r="B70" t="s">
        <v>63</v>
      </c>
      <c r="C70" s="88">
        <v>2019</v>
      </c>
      <c r="D70" t="s">
        <v>4352</v>
      </c>
      <c r="E70" s="34">
        <v>44926</v>
      </c>
      <c r="F70" s="88">
        <v>162894</v>
      </c>
      <c r="G70" t="s">
        <v>3555</v>
      </c>
      <c r="H70" t="s">
        <v>3556</v>
      </c>
      <c r="I70" s="88">
        <v>1136352</v>
      </c>
      <c r="J70" t="s">
        <v>4311</v>
      </c>
      <c r="K70" s="86">
        <v>5349.2998046875</v>
      </c>
      <c r="L70" s="86">
        <v>1320.800048828125</v>
      </c>
      <c r="M70" s="86">
        <v>25.700000762939453</v>
      </c>
      <c r="N70" s="86">
        <v>2990.300048828125</v>
      </c>
      <c r="O70" s="86">
        <v>637</v>
      </c>
      <c r="P70" s="86">
        <v>283.70001220703125</v>
      </c>
      <c r="Q70" s="86">
        <v>3181.89990234375</v>
      </c>
      <c r="R70" s="86">
        <v>72.282997131347656</v>
      </c>
      <c r="S70" s="86">
        <v>30.819999694824219</v>
      </c>
      <c r="T70" s="86">
        <v>8.5847206115722656</v>
      </c>
      <c r="U70" s="86">
        <v>5.3034979850053787E-2</v>
      </c>
      <c r="V70" s="86">
        <v>0.55900776386260986</v>
      </c>
      <c r="W70" s="86">
        <v>0.20019486546516418</v>
      </c>
      <c r="X70" s="86">
        <v>4.8043671995401382E-3</v>
      </c>
      <c r="Y70" s="86">
        <v>0</v>
      </c>
      <c r="Z70" s="86">
        <v>0.59288203716278076</v>
      </c>
    </row>
    <row r="71" spans="1:26" x14ac:dyDescent="0.25">
      <c r="A71" s="88">
        <v>202</v>
      </c>
      <c r="B71" t="s">
        <v>64</v>
      </c>
      <c r="C71" s="88">
        <v>2019</v>
      </c>
      <c r="D71" t="s">
        <v>3557</v>
      </c>
      <c r="E71" s="34">
        <v>46022</v>
      </c>
      <c r="F71" s="88">
        <v>113490</v>
      </c>
      <c r="G71" t="s">
        <v>3559</v>
      </c>
      <c r="H71" t="s">
        <v>3560</v>
      </c>
      <c r="I71" s="88">
        <v>1051470</v>
      </c>
      <c r="J71" t="s">
        <v>4311</v>
      </c>
      <c r="K71" s="86">
        <v>38457</v>
      </c>
      <c r="L71" s="86">
        <v>10489</v>
      </c>
      <c r="M71" s="86">
        <v>333</v>
      </c>
      <c r="N71" s="86">
        <v>27968</v>
      </c>
      <c r="O71" s="86">
        <v>3777</v>
      </c>
      <c r="P71" s="86">
        <v>860</v>
      </c>
      <c r="Q71" s="86">
        <v>5763</v>
      </c>
      <c r="R71" s="86">
        <v>416</v>
      </c>
      <c r="S71" s="86">
        <v>142.14999389648438</v>
      </c>
      <c r="T71" s="86">
        <v>10.557295799255371</v>
      </c>
      <c r="U71" s="86">
        <v>2.2362638264894485E-2</v>
      </c>
      <c r="V71" s="86">
        <v>0.72725379467010498</v>
      </c>
      <c r="W71" s="86">
        <v>0.65538781881332397</v>
      </c>
      <c r="X71" s="86">
        <v>8.6590219289064407E-3</v>
      </c>
      <c r="Y71" s="86">
        <v>0</v>
      </c>
      <c r="Z71" s="86">
        <v>0.17737561464309692</v>
      </c>
    </row>
    <row r="72" spans="1:26" x14ac:dyDescent="0.25">
      <c r="A72" s="88">
        <v>205</v>
      </c>
      <c r="B72" t="s">
        <v>65</v>
      </c>
      <c r="C72" s="88">
        <v>2019</v>
      </c>
      <c r="D72" t="s">
        <v>4353</v>
      </c>
      <c r="E72" s="34">
        <v>46022</v>
      </c>
      <c r="F72" s="88">
        <v>2574</v>
      </c>
      <c r="G72" t="s">
        <v>3563</v>
      </c>
      <c r="H72" t="s">
        <v>3564</v>
      </c>
      <c r="I72" s="88">
        <v>277948</v>
      </c>
      <c r="J72" t="s">
        <v>4311</v>
      </c>
      <c r="K72" s="86">
        <v>38257</v>
      </c>
      <c r="L72" s="86">
        <v>11848</v>
      </c>
      <c r="M72" s="86">
        <v>1954</v>
      </c>
      <c r="N72" s="86">
        <v>26394</v>
      </c>
      <c r="O72" s="86">
        <v>6223</v>
      </c>
      <c r="P72" s="86">
        <v>3331</v>
      </c>
      <c r="Q72" s="86">
        <v>11937</v>
      </c>
      <c r="R72" s="86">
        <v>773.47100830078125</v>
      </c>
      <c r="S72" s="86">
        <v>72.360000610351563</v>
      </c>
      <c r="T72" s="86">
        <v>10.552082061767578</v>
      </c>
      <c r="U72" s="86">
        <v>8.7069034576416016E-2</v>
      </c>
      <c r="V72" s="86">
        <v>0.68991297483444214</v>
      </c>
      <c r="W72" s="86">
        <v>0.52132028341293335</v>
      </c>
      <c r="X72" s="86">
        <v>5.1075618714094162E-2</v>
      </c>
      <c r="Y72" s="86">
        <v>0</v>
      </c>
      <c r="Z72" s="86">
        <v>0.21169102191925049</v>
      </c>
    </row>
    <row r="73" spans="1:26" x14ac:dyDescent="0.25">
      <c r="A73" s="88">
        <v>206</v>
      </c>
      <c r="B73" t="s">
        <v>66</v>
      </c>
      <c r="C73" s="88">
        <v>2019</v>
      </c>
      <c r="D73" t="s">
        <v>4354</v>
      </c>
      <c r="E73" s="34">
        <v>46022</v>
      </c>
      <c r="F73" s="88">
        <v>3650</v>
      </c>
      <c r="G73" t="s">
        <v>3566</v>
      </c>
      <c r="H73" t="s">
        <v>3567</v>
      </c>
      <c r="I73" s="88">
        <v>26172</v>
      </c>
      <c r="J73" t="s">
        <v>4311</v>
      </c>
      <c r="K73" s="86">
        <v>19737</v>
      </c>
      <c r="L73" s="86">
        <v>7507</v>
      </c>
      <c r="M73" s="86">
        <v>1470</v>
      </c>
      <c r="N73" s="86">
        <v>11272</v>
      </c>
      <c r="O73" s="86">
        <v>6629</v>
      </c>
      <c r="P73" s="86">
        <v>2260</v>
      </c>
      <c r="Q73" s="86">
        <v>23571</v>
      </c>
      <c r="R73" s="86">
        <v>150.5</v>
      </c>
      <c r="S73" s="86">
        <v>178.96000671386719</v>
      </c>
      <c r="T73" s="86">
        <v>9.8902502059936523</v>
      </c>
      <c r="U73" s="86">
        <v>0.11450575292110443</v>
      </c>
      <c r="V73" s="86">
        <v>0.5711100697517395</v>
      </c>
      <c r="W73" s="86">
        <v>0.28123542666435242</v>
      </c>
      <c r="X73" s="86">
        <v>7.4479401111602783E-2</v>
      </c>
      <c r="Y73" s="86">
        <v>0</v>
      </c>
      <c r="Z73" s="86">
        <v>0.27872371673583984</v>
      </c>
    </row>
    <row r="74" spans="1:26" x14ac:dyDescent="0.25">
      <c r="A74" s="88">
        <v>207</v>
      </c>
      <c r="B74" t="s">
        <v>67</v>
      </c>
      <c r="C74" s="88">
        <v>2020</v>
      </c>
      <c r="D74" t="s">
        <v>3568</v>
      </c>
      <c r="E74" s="34">
        <v>46022</v>
      </c>
      <c r="F74" s="88">
        <v>33809</v>
      </c>
      <c r="G74" t="s">
        <v>3570</v>
      </c>
      <c r="H74" t="s">
        <v>3571</v>
      </c>
      <c r="I74" s="88">
        <v>1628369</v>
      </c>
      <c r="J74" t="s">
        <v>4305</v>
      </c>
      <c r="K74" s="86">
        <v>7337.89990234375</v>
      </c>
      <c r="L74" s="86">
        <v>1094.699951171875</v>
      </c>
      <c r="M74" s="86">
        <v>1164.0999755859375</v>
      </c>
      <c r="N74" s="86">
        <v>6242.2998046875</v>
      </c>
      <c r="O74" s="86">
        <v>1388.4000244140625</v>
      </c>
      <c r="P74" s="86">
        <v>-220.5</v>
      </c>
      <c r="Q74" s="86">
        <v>7843.7001953125</v>
      </c>
      <c r="R74" s="86">
        <v>222</v>
      </c>
      <c r="S74" s="86">
        <v>14.829999923706055</v>
      </c>
      <c r="T74" s="86">
        <v>8.9008083343505859</v>
      </c>
      <c r="U74" s="86">
        <v>-3.0049469321966171E-2</v>
      </c>
      <c r="V74" s="86">
        <v>0.8506929874420166</v>
      </c>
      <c r="W74" s="86">
        <v>0.17700830101966858</v>
      </c>
      <c r="X74" s="86">
        <v>0.15864211320877075</v>
      </c>
      <c r="Y74" s="86">
        <v>1</v>
      </c>
      <c r="Z74" s="86">
        <v>0.33250713348388672</v>
      </c>
    </row>
    <row r="75" spans="1:26" x14ac:dyDescent="0.25">
      <c r="A75" s="88">
        <v>208</v>
      </c>
      <c r="B75" t="s">
        <v>68</v>
      </c>
      <c r="C75" s="88">
        <v>2020</v>
      </c>
      <c r="D75" t="s">
        <v>4355</v>
      </c>
      <c r="E75" s="34">
        <v>46022</v>
      </c>
      <c r="F75" s="88">
        <v>7241</v>
      </c>
      <c r="G75" t="s">
        <v>3573</v>
      </c>
      <c r="H75" t="s">
        <v>3574</v>
      </c>
      <c r="I75" s="88">
        <v>64803</v>
      </c>
      <c r="J75" t="s">
        <v>4305</v>
      </c>
      <c r="K75" s="86">
        <v>230715</v>
      </c>
      <c r="L75" s="86">
        <v>69389</v>
      </c>
      <c r="M75" s="86">
        <v>10854</v>
      </c>
      <c r="N75" s="86">
        <v>161014</v>
      </c>
      <c r="O75" s="86">
        <v>50839</v>
      </c>
      <c r="P75" s="86">
        <v>7179</v>
      </c>
      <c r="Q75" s="86">
        <v>268399</v>
      </c>
      <c r="R75" s="86">
        <v>1310</v>
      </c>
      <c r="S75" s="86">
        <v>68.300003051757813</v>
      </c>
      <c r="T75" s="86">
        <v>12.34893798828125</v>
      </c>
      <c r="U75" s="86">
        <v>3.1116312369704247E-2</v>
      </c>
      <c r="V75" s="86">
        <v>0.69789135456085205</v>
      </c>
      <c r="W75" s="86">
        <v>0.18941575288772583</v>
      </c>
      <c r="X75" s="86">
        <v>4.7045055776834488E-2</v>
      </c>
      <c r="Y75" s="86">
        <v>0</v>
      </c>
      <c r="Z75" s="86">
        <v>0.77553004026412964</v>
      </c>
    </row>
    <row r="76" spans="1:26" x14ac:dyDescent="0.25">
      <c r="A76" s="88">
        <v>209</v>
      </c>
      <c r="B76" t="s">
        <v>69</v>
      </c>
      <c r="C76" s="88">
        <v>2019</v>
      </c>
      <c r="D76" t="s">
        <v>3575</v>
      </c>
      <c r="E76" s="34">
        <v>44561</v>
      </c>
      <c r="F76" s="88">
        <v>16116</v>
      </c>
      <c r="G76" t="s">
        <v>3577</v>
      </c>
      <c r="H76" t="s">
        <v>3578</v>
      </c>
      <c r="I76" s="88">
        <v>1553023</v>
      </c>
      <c r="J76" t="s">
        <v>4311</v>
      </c>
      <c r="K76" s="86">
        <v>6142</v>
      </c>
      <c r="L76" s="86">
        <v>2434.60009765625</v>
      </c>
      <c r="M76" s="86">
        <v>77.699996948242188</v>
      </c>
      <c r="N76" s="86">
        <v>3707.39990234375</v>
      </c>
      <c r="O76" s="86">
        <v>179.5</v>
      </c>
      <c r="P76" s="86">
        <v>41.400001525878906</v>
      </c>
      <c r="Q76" s="86">
        <v>981.29998779296875</v>
      </c>
      <c r="R76" s="86">
        <v>114.80899810791016</v>
      </c>
      <c r="S76" s="86">
        <v>65.430000305175781</v>
      </c>
      <c r="T76" s="86">
        <v>8.7229061126708984</v>
      </c>
      <c r="U76" s="86">
        <v>6.7404755391180515E-3</v>
      </c>
      <c r="V76" s="86">
        <v>0.6036144495010376</v>
      </c>
      <c r="W76" s="86">
        <v>0.18292061984539032</v>
      </c>
      <c r="X76" s="86">
        <v>1.265060156583786E-2</v>
      </c>
      <c r="Y76" s="86">
        <v>0</v>
      </c>
      <c r="Z76" s="86">
        <v>0.32409682869911194</v>
      </c>
    </row>
    <row r="77" spans="1:26" x14ac:dyDescent="0.25">
      <c r="A77" s="88">
        <v>213</v>
      </c>
      <c r="B77" t="s">
        <v>70</v>
      </c>
      <c r="C77" s="88">
        <v>2019</v>
      </c>
      <c r="D77" t="s">
        <v>4356</v>
      </c>
      <c r="E77" s="34">
        <v>46022</v>
      </c>
      <c r="F77" s="88">
        <v>3735</v>
      </c>
      <c r="G77" t="s">
        <v>3580</v>
      </c>
      <c r="H77" t="s">
        <v>3581</v>
      </c>
      <c r="I77" s="88">
        <v>313616</v>
      </c>
      <c r="J77" t="s">
        <v>4311</v>
      </c>
      <c r="K77" s="86">
        <v>62081.6015625</v>
      </c>
      <c r="L77" s="86">
        <v>28671</v>
      </c>
      <c r="M77" s="86">
        <v>19912.30078125</v>
      </c>
      <c r="N77" s="86">
        <v>31799.69921875</v>
      </c>
      <c r="O77" s="86">
        <v>11173.2001953125</v>
      </c>
      <c r="P77" s="86">
        <v>3008.199951171875</v>
      </c>
      <c r="Q77" s="86">
        <v>17911.099609375</v>
      </c>
      <c r="R77" s="86">
        <v>695.5</v>
      </c>
      <c r="S77" s="86">
        <v>153.47999572753906</v>
      </c>
      <c r="T77" s="86">
        <v>11.036205291748047</v>
      </c>
      <c r="U77" s="86">
        <v>4.8455577343702316E-2</v>
      </c>
      <c r="V77" s="86">
        <v>0.51222419738769531</v>
      </c>
      <c r="W77" s="86">
        <v>0.62381428480148315</v>
      </c>
      <c r="X77" s="86">
        <v>0.32074400782585144</v>
      </c>
      <c r="Y77" s="86">
        <v>0</v>
      </c>
      <c r="Z77" s="86">
        <v>0.26859253644943237</v>
      </c>
    </row>
    <row r="78" spans="1:26" x14ac:dyDescent="0.25">
      <c r="A78" s="88">
        <v>214</v>
      </c>
      <c r="B78" t="s">
        <v>71</v>
      </c>
      <c r="C78" s="88">
        <v>2021</v>
      </c>
      <c r="D78" t="s">
        <v>4357</v>
      </c>
      <c r="E78" s="34">
        <v>45657</v>
      </c>
      <c r="F78" s="88">
        <v>30651</v>
      </c>
      <c r="G78" t="s">
        <v>3583</v>
      </c>
      <c r="H78" t="s">
        <v>3584</v>
      </c>
      <c r="I78" s="88">
        <v>916540</v>
      </c>
      <c r="J78" t="s">
        <v>4358</v>
      </c>
      <c r="K78" s="86">
        <v>6133.72802734375</v>
      </c>
      <c r="L78" s="86">
        <v>3280.9599609375</v>
      </c>
      <c r="M78" s="86">
        <v>69.071998596191406</v>
      </c>
      <c r="N78" s="86">
        <v>2785.943115234375</v>
      </c>
      <c r="O78" s="86">
        <v>1241.9840087890625</v>
      </c>
      <c r="P78" s="86">
        <v>650.91400146484375</v>
      </c>
      <c r="Q78" s="86">
        <v>4741.369140625</v>
      </c>
      <c r="R78" s="86">
        <v>160.79200744628906</v>
      </c>
      <c r="S78" s="86">
        <v>69.290000915527344</v>
      </c>
      <c r="T78" s="86">
        <v>8.7215576171875</v>
      </c>
      <c r="U78" s="86">
        <v>0.10612045228481293</v>
      </c>
      <c r="V78" s="86">
        <v>0.4542006254196167</v>
      </c>
      <c r="W78" s="86">
        <v>0.26194629073143005</v>
      </c>
      <c r="X78" s="86">
        <v>1.1261014267802238E-2</v>
      </c>
      <c r="Y78" s="86">
        <v>0</v>
      </c>
      <c r="Z78" s="86">
        <v>0.29448685050010681</v>
      </c>
    </row>
    <row r="79" spans="1:26" x14ac:dyDescent="0.25">
      <c r="A79" s="88">
        <v>217</v>
      </c>
      <c r="B79" t="s">
        <v>72</v>
      </c>
      <c r="C79" s="88">
        <v>2020</v>
      </c>
      <c r="D79" t="s">
        <v>4359</v>
      </c>
      <c r="E79" s="34">
        <v>45961</v>
      </c>
      <c r="F79" s="88">
        <v>3835</v>
      </c>
      <c r="G79" t="s">
        <v>3586</v>
      </c>
      <c r="H79" t="s">
        <v>3587</v>
      </c>
      <c r="I79" s="88">
        <v>315189</v>
      </c>
      <c r="J79" t="s">
        <v>4308</v>
      </c>
      <c r="K79" s="86">
        <v>75091</v>
      </c>
      <c r="L79" s="86">
        <v>12937</v>
      </c>
      <c r="M79" s="86">
        <v>7190</v>
      </c>
      <c r="N79" s="86">
        <v>62147</v>
      </c>
      <c r="O79" s="86">
        <v>12628</v>
      </c>
      <c r="P79" s="86">
        <v>2751</v>
      </c>
      <c r="Q79" s="86">
        <v>35540</v>
      </c>
      <c r="R79" s="86">
        <v>313.656005859375</v>
      </c>
      <c r="S79" s="86">
        <v>225.91000366210938</v>
      </c>
      <c r="T79" s="86">
        <v>11.226455688476563</v>
      </c>
      <c r="U79" s="86">
        <v>3.6635547876358032E-2</v>
      </c>
      <c r="V79" s="86">
        <v>0.82762247323989868</v>
      </c>
      <c r="W79" s="86">
        <v>0.35531795024871826</v>
      </c>
      <c r="X79" s="86">
        <v>9.5750488340854645E-2</v>
      </c>
      <c r="Y79" s="86">
        <v>0</v>
      </c>
      <c r="Z79" s="86">
        <v>0.18257634341716766</v>
      </c>
    </row>
    <row r="80" spans="1:26" x14ac:dyDescent="0.25">
      <c r="A80" s="88">
        <v>222</v>
      </c>
      <c r="B80" t="s">
        <v>73</v>
      </c>
      <c r="C80" s="88">
        <v>2019</v>
      </c>
      <c r="D80" t="s">
        <v>3588</v>
      </c>
      <c r="E80" s="34">
        <v>46022</v>
      </c>
      <c r="F80" s="88">
        <v>14934</v>
      </c>
      <c r="G80" t="s">
        <v>3590</v>
      </c>
      <c r="H80" t="s">
        <v>3591</v>
      </c>
      <c r="I80" s="88">
        <v>1090012</v>
      </c>
      <c r="J80" t="s">
        <v>4311</v>
      </c>
      <c r="K80" s="86">
        <v>13717</v>
      </c>
      <c r="L80" s="86">
        <v>5802</v>
      </c>
      <c r="M80" s="86">
        <v>1464</v>
      </c>
      <c r="N80" s="86">
        <v>7797</v>
      </c>
      <c r="O80" s="86">
        <v>2211</v>
      </c>
      <c r="P80" s="86">
        <v>-355</v>
      </c>
      <c r="Q80" s="86">
        <v>6220</v>
      </c>
      <c r="R80" s="86">
        <v>382</v>
      </c>
      <c r="S80" s="86">
        <v>25.969999313354492</v>
      </c>
      <c r="T80" s="86">
        <v>9.5263910293579102</v>
      </c>
      <c r="U80" s="86">
        <v>-2.5880293920636177E-2</v>
      </c>
      <c r="V80" s="86">
        <v>0.56841874122619629</v>
      </c>
      <c r="W80" s="86">
        <v>0.35546624660491943</v>
      </c>
      <c r="X80" s="86">
        <v>0.10672887414693832</v>
      </c>
      <c r="Y80" s="86">
        <v>1</v>
      </c>
      <c r="Z80" s="86">
        <v>0.58484721183776855</v>
      </c>
    </row>
    <row r="81" spans="1:26" x14ac:dyDescent="0.25">
      <c r="A81" s="88">
        <v>228</v>
      </c>
      <c r="B81" t="s">
        <v>74</v>
      </c>
      <c r="C81" s="88">
        <v>2020</v>
      </c>
      <c r="D81" t="s">
        <v>3592</v>
      </c>
      <c r="E81" s="34">
        <v>45657</v>
      </c>
      <c r="F81" s="88">
        <v>183603</v>
      </c>
      <c r="G81" t="s">
        <v>3594</v>
      </c>
      <c r="H81" t="s">
        <v>3595</v>
      </c>
      <c r="I81" s="88">
        <v>1679688</v>
      </c>
      <c r="J81" t="s">
        <v>4305</v>
      </c>
      <c r="K81" s="86">
        <v>20200.560546875</v>
      </c>
      <c r="L81" s="86">
        <v>1501.98095703125</v>
      </c>
      <c r="M81" s="86">
        <v>865.4630126953125</v>
      </c>
      <c r="N81" s="86">
        <v>12910.6923828125</v>
      </c>
      <c r="O81" s="86">
        <v>-1299.1949462890625</v>
      </c>
      <c r="P81" s="86">
        <v>-2675.759033203125</v>
      </c>
      <c r="Q81" s="86">
        <v>772.72802734375</v>
      </c>
      <c r="R81" s="86">
        <v>484.1400146484375</v>
      </c>
      <c r="S81" s="86">
        <v>4.809999942779541</v>
      </c>
      <c r="T81" s="86">
        <v>9.9134654998779297</v>
      </c>
      <c r="U81" s="86">
        <v>-0.13245964050292969</v>
      </c>
      <c r="V81" s="86">
        <v>0.63912546634674072</v>
      </c>
      <c r="W81" s="86">
        <v>-1.6813094615936279</v>
      </c>
      <c r="X81" s="86">
        <v>4.2843513190746307E-2</v>
      </c>
      <c r="Y81" s="86">
        <v>1</v>
      </c>
      <c r="Z81" s="86">
        <v>0.64498317241668701</v>
      </c>
    </row>
    <row r="82" spans="1:26" x14ac:dyDescent="0.25">
      <c r="A82" s="88">
        <v>234</v>
      </c>
      <c r="B82" t="s">
        <v>75</v>
      </c>
      <c r="C82" s="88">
        <v>2020</v>
      </c>
      <c r="D82" t="s">
        <v>3596</v>
      </c>
      <c r="E82" s="34">
        <v>46022</v>
      </c>
      <c r="F82" s="88">
        <v>4029</v>
      </c>
      <c r="G82" t="s">
        <v>3598</v>
      </c>
      <c r="H82" t="s">
        <v>3599</v>
      </c>
      <c r="I82" s="88">
        <v>715957</v>
      </c>
      <c r="J82" t="s">
        <v>4305</v>
      </c>
      <c r="K82" s="86">
        <v>95905</v>
      </c>
      <c r="L82" s="86">
        <v>23730</v>
      </c>
      <c r="M82" s="86">
        <v>237</v>
      </c>
      <c r="N82" s="86">
        <v>69444</v>
      </c>
      <c r="O82" s="86">
        <v>6359</v>
      </c>
      <c r="P82" s="86">
        <v>-401</v>
      </c>
      <c r="Q82" s="86">
        <v>14172</v>
      </c>
      <c r="R82" s="86">
        <v>806</v>
      </c>
      <c r="S82" s="86">
        <v>75.199996948242188</v>
      </c>
      <c r="T82" s="86">
        <v>11.471113204956055</v>
      </c>
      <c r="U82" s="86">
        <v>-4.1812211275100708E-3</v>
      </c>
      <c r="V82" s="86">
        <v>0.72409152984619141</v>
      </c>
      <c r="W82" s="86">
        <v>0.44870167970657349</v>
      </c>
      <c r="X82" s="86">
        <v>2.4711955338716507E-3</v>
      </c>
      <c r="Y82" s="86">
        <v>1</v>
      </c>
      <c r="Z82" s="86">
        <v>0.39151182770729065</v>
      </c>
    </row>
    <row r="83" spans="1:26" x14ac:dyDescent="0.25">
      <c r="A83" s="88">
        <v>236</v>
      </c>
      <c r="B83" t="s">
        <v>76</v>
      </c>
      <c r="C83" s="88">
        <v>2020</v>
      </c>
      <c r="D83" t="s">
        <v>4360</v>
      </c>
      <c r="E83" s="34">
        <v>46022</v>
      </c>
      <c r="F83" s="88">
        <v>34443</v>
      </c>
      <c r="G83" t="s">
        <v>3601</v>
      </c>
      <c r="H83" t="s">
        <v>3602</v>
      </c>
      <c r="I83" s="88">
        <v>1751788</v>
      </c>
      <c r="J83" t="s">
        <v>4305</v>
      </c>
      <c r="K83" s="86">
        <v>61470</v>
      </c>
      <c r="L83" s="86">
        <v>12435</v>
      </c>
      <c r="M83" s="86">
        <v>5153</v>
      </c>
      <c r="N83" s="86">
        <v>48465</v>
      </c>
      <c r="O83" s="86">
        <v>7383</v>
      </c>
      <c r="P83" s="86">
        <v>1225</v>
      </c>
      <c r="Q83" s="86">
        <v>38542</v>
      </c>
      <c r="R83" s="86">
        <v>743.19000244140625</v>
      </c>
      <c r="S83" s="86">
        <v>55.5</v>
      </c>
      <c r="T83" s="86">
        <v>11.026304244995117</v>
      </c>
      <c r="U83" s="86">
        <v>1.9928419962525368E-2</v>
      </c>
      <c r="V83" s="86">
        <v>0.78843337297439575</v>
      </c>
      <c r="W83" s="86">
        <v>0.19155725836753845</v>
      </c>
      <c r="X83" s="86">
        <v>8.3829507231712341E-2</v>
      </c>
      <c r="Y83" s="86">
        <v>0</v>
      </c>
      <c r="Z83" s="86">
        <v>0.30147615075111389</v>
      </c>
    </row>
    <row r="84" spans="1:26" x14ac:dyDescent="0.25">
      <c r="A84" s="88">
        <v>241</v>
      </c>
      <c r="B84" t="s">
        <v>77</v>
      </c>
      <c r="C84" s="88">
        <v>2020</v>
      </c>
      <c r="D84" t="s">
        <v>3603</v>
      </c>
      <c r="E84" s="34">
        <v>46022</v>
      </c>
      <c r="F84" s="88">
        <v>4060</v>
      </c>
      <c r="G84" t="s">
        <v>3605</v>
      </c>
      <c r="H84" t="s">
        <v>3606</v>
      </c>
      <c r="I84" s="88">
        <v>1666700</v>
      </c>
      <c r="J84" t="s">
        <v>4305</v>
      </c>
      <c r="K84" s="86">
        <v>70904</v>
      </c>
      <c r="L84" s="86">
        <v>38504</v>
      </c>
      <c r="M84" s="86">
        <v>2569</v>
      </c>
      <c r="N84" s="86">
        <v>31834</v>
      </c>
      <c r="O84" s="86">
        <v>7850</v>
      </c>
      <c r="P84" s="86">
        <v>-2951</v>
      </c>
      <c r="Q84" s="86">
        <v>20397</v>
      </c>
      <c r="R84" s="86">
        <v>734.2039794921875</v>
      </c>
      <c r="S84" s="86">
        <v>71.110000610351563</v>
      </c>
      <c r="T84" s="86">
        <v>11.169081687927246</v>
      </c>
      <c r="U84" s="86">
        <v>-4.161965474486351E-2</v>
      </c>
      <c r="V84" s="86">
        <v>0.44897326827049255</v>
      </c>
      <c r="W84" s="86">
        <v>0.38486051559448242</v>
      </c>
      <c r="X84" s="86">
        <v>3.6232087761163712E-2</v>
      </c>
      <c r="Y84" s="86">
        <v>1</v>
      </c>
      <c r="Z84" s="86">
        <v>0.73749387264251709</v>
      </c>
    </row>
    <row r="85" spans="1:26" x14ac:dyDescent="0.25">
      <c r="A85" s="88">
        <v>242</v>
      </c>
      <c r="B85" t="s">
        <v>77</v>
      </c>
      <c r="C85" s="88">
        <v>2019</v>
      </c>
      <c r="D85" t="s">
        <v>3603</v>
      </c>
      <c r="E85" s="34">
        <v>46022</v>
      </c>
      <c r="F85" s="88">
        <v>4060</v>
      </c>
      <c r="G85" t="s">
        <v>3605</v>
      </c>
      <c r="H85" t="s">
        <v>3606</v>
      </c>
      <c r="I85" s="88">
        <v>1666700</v>
      </c>
      <c r="J85" t="s">
        <v>4311</v>
      </c>
      <c r="K85" s="86">
        <v>69396</v>
      </c>
      <c r="L85" s="86">
        <v>40987</v>
      </c>
      <c r="M85" s="86">
        <v>1577</v>
      </c>
      <c r="N85" s="86">
        <v>27840</v>
      </c>
      <c r="O85" s="86">
        <v>8472</v>
      </c>
      <c r="P85" s="86">
        <v>498</v>
      </c>
      <c r="Q85" s="86">
        <v>21512</v>
      </c>
      <c r="R85" s="86">
        <v>738.56500244140625</v>
      </c>
      <c r="S85" s="86">
        <v>64.199996948242188</v>
      </c>
      <c r="T85" s="86">
        <v>11.147584915161133</v>
      </c>
      <c r="U85" s="86">
        <v>7.1762059815227985E-3</v>
      </c>
      <c r="V85" s="86">
        <v>0.401175856590271</v>
      </c>
      <c r="W85" s="86">
        <v>0.3938266932964325</v>
      </c>
      <c r="X85" s="86">
        <v>2.2724652662873268E-2</v>
      </c>
      <c r="Y85" s="86">
        <v>0</v>
      </c>
      <c r="Z85" s="86">
        <v>0.86441522836685181</v>
      </c>
    </row>
    <row r="86" spans="1:26" x14ac:dyDescent="0.25">
      <c r="A86" s="88">
        <v>243</v>
      </c>
      <c r="B86" t="s">
        <v>78</v>
      </c>
      <c r="C86" s="88">
        <v>2020</v>
      </c>
      <c r="D86" t="s">
        <v>3607</v>
      </c>
      <c r="E86" s="34">
        <v>45291</v>
      </c>
      <c r="F86" s="88">
        <v>163685</v>
      </c>
      <c r="G86" t="s">
        <v>3609</v>
      </c>
      <c r="H86" t="s">
        <v>3610</v>
      </c>
      <c r="I86" s="88">
        <v>1322439</v>
      </c>
      <c r="J86" t="s">
        <v>4305</v>
      </c>
      <c r="K86" s="86">
        <v>967.12701416015625</v>
      </c>
      <c r="L86" s="86">
        <v>470.41799926757813</v>
      </c>
      <c r="M86" s="86">
        <v>88.774002075195313</v>
      </c>
      <c r="N86" s="86">
        <v>496.70901489257813</v>
      </c>
      <c r="O86" s="86">
        <v>71.398002624511719</v>
      </c>
      <c r="P86" s="86">
        <v>-35.062999725341797</v>
      </c>
      <c r="Q86" s="86">
        <v>275.13299560546875</v>
      </c>
      <c r="R86" s="86">
        <v>11.661999702453613</v>
      </c>
      <c r="S86" s="86">
        <v>19</v>
      </c>
      <c r="T86" s="86">
        <v>6.8743300437927246</v>
      </c>
      <c r="U86" s="86">
        <v>-3.6254804581403732E-2</v>
      </c>
      <c r="V86" s="86">
        <v>0.51359230279922485</v>
      </c>
      <c r="W86" s="86">
        <v>0.25950360298156738</v>
      </c>
      <c r="X86" s="86">
        <v>9.1791458427906036E-2</v>
      </c>
      <c r="Y86" s="86">
        <v>1</v>
      </c>
      <c r="Z86" s="86">
        <v>2.1230356693267822</v>
      </c>
    </row>
    <row r="87" spans="1:26" x14ac:dyDescent="0.25">
      <c r="A87" s="88">
        <v>244</v>
      </c>
      <c r="B87" t="s">
        <v>78</v>
      </c>
      <c r="C87" s="88">
        <v>2019</v>
      </c>
      <c r="D87" t="s">
        <v>3607</v>
      </c>
      <c r="E87" s="34">
        <v>45291</v>
      </c>
      <c r="F87" s="88">
        <v>163685</v>
      </c>
      <c r="G87" t="s">
        <v>3609</v>
      </c>
      <c r="H87" t="s">
        <v>3610</v>
      </c>
      <c r="I87" s="88">
        <v>1322439</v>
      </c>
      <c r="J87" t="s">
        <v>4311</v>
      </c>
      <c r="K87" s="86">
        <v>1002.0869750976563</v>
      </c>
      <c r="L87" s="86">
        <v>481.50299072265625</v>
      </c>
      <c r="M87" s="86">
        <v>59.055999755859375</v>
      </c>
      <c r="N87" s="86">
        <v>520.583984375</v>
      </c>
      <c r="O87" s="86">
        <v>73.938003540039063</v>
      </c>
      <c r="P87" s="86">
        <v>-21.697000503540039</v>
      </c>
      <c r="Q87" s="86">
        <v>292.37799072265625</v>
      </c>
      <c r="R87" s="86">
        <v>71.501998901367188</v>
      </c>
      <c r="S87" s="86">
        <v>4.5999999046325684</v>
      </c>
      <c r="T87" s="86">
        <v>6.9098401069641113</v>
      </c>
      <c r="U87" s="86">
        <v>-2.1651813760399818E-2</v>
      </c>
      <c r="V87" s="86">
        <v>0.51949977874755859</v>
      </c>
      <c r="W87" s="86">
        <v>0.25288498401641846</v>
      </c>
      <c r="X87" s="86">
        <v>5.8933008462190628E-2</v>
      </c>
      <c r="Y87" s="86">
        <v>1</v>
      </c>
      <c r="Z87" s="86">
        <v>1.4639389514923096</v>
      </c>
    </row>
    <row r="88" spans="1:26" x14ac:dyDescent="0.25">
      <c r="A88" s="88">
        <v>250</v>
      </c>
      <c r="B88" t="s">
        <v>79</v>
      </c>
      <c r="C88" s="88">
        <v>2020</v>
      </c>
      <c r="D88" t="s">
        <v>4361</v>
      </c>
      <c r="E88" s="34">
        <v>46022</v>
      </c>
      <c r="F88" s="88">
        <v>4213</v>
      </c>
      <c r="G88" t="s">
        <v>3612</v>
      </c>
      <c r="H88" t="s">
        <v>3613</v>
      </c>
      <c r="I88" s="88">
        <v>31462</v>
      </c>
      <c r="J88" t="s">
        <v>4305</v>
      </c>
      <c r="K88" s="86">
        <v>18126</v>
      </c>
      <c r="L88" s="86">
        <v>6166.5</v>
      </c>
      <c r="M88" s="86">
        <v>1260.199951171875</v>
      </c>
      <c r="N88" s="86">
        <v>11924.5</v>
      </c>
      <c r="O88" s="86">
        <v>5745.2998046875</v>
      </c>
      <c r="P88" s="86">
        <v>-1205.0999755859375</v>
      </c>
      <c r="Q88" s="86">
        <v>11790.2001953125</v>
      </c>
      <c r="R88" s="86">
        <v>285.75201416015625</v>
      </c>
      <c r="S88" s="86">
        <v>216.36000061035156</v>
      </c>
      <c r="T88" s="86">
        <v>9.8051023483276367</v>
      </c>
      <c r="U88" s="86">
        <v>-6.6484607756137848E-2</v>
      </c>
      <c r="V88" s="86">
        <v>0.65786713361740112</v>
      </c>
      <c r="W88" s="86">
        <v>0.48729449510574341</v>
      </c>
      <c r="X88" s="86">
        <v>6.9524437189102173E-2</v>
      </c>
      <c r="Y88" s="86">
        <v>1</v>
      </c>
      <c r="Z88" s="86">
        <v>9.9740713834762573E-2</v>
      </c>
    </row>
    <row r="89" spans="1:26" x14ac:dyDescent="0.25">
      <c r="A89" s="88">
        <v>255</v>
      </c>
      <c r="B89" t="s">
        <v>80</v>
      </c>
      <c r="C89" s="88">
        <v>2020</v>
      </c>
      <c r="D89" t="s">
        <v>3614</v>
      </c>
      <c r="E89" s="34">
        <v>45657</v>
      </c>
      <c r="F89" s="88">
        <v>174389</v>
      </c>
      <c r="G89" t="s">
        <v>3616</v>
      </c>
      <c r="H89" t="s">
        <v>3617</v>
      </c>
      <c r="I89" s="88">
        <v>1333493</v>
      </c>
      <c r="J89" t="s">
        <v>4305</v>
      </c>
      <c r="K89" s="86">
        <v>1040.02197265625</v>
      </c>
      <c r="L89" s="86">
        <v>837.5579833984375</v>
      </c>
      <c r="M89" s="86">
        <v>93.378997802734375</v>
      </c>
      <c r="N89" s="86">
        <v>202.46400451660156</v>
      </c>
      <c r="O89" s="86">
        <v>66.265998840332031</v>
      </c>
      <c r="P89" s="86">
        <v>45.450000762939453</v>
      </c>
      <c r="Q89" s="86">
        <v>582.77398681640625</v>
      </c>
      <c r="R89" s="86">
        <v>25.923999786376953</v>
      </c>
      <c r="S89" s="86">
        <v>70.610000610351563</v>
      </c>
      <c r="T89" s="86">
        <v>6.9469971656799316</v>
      </c>
      <c r="U89" s="86">
        <v>4.3701000511646271E-2</v>
      </c>
      <c r="V89" s="86">
        <v>0.19467280805110931</v>
      </c>
      <c r="W89" s="86">
        <v>0.11370788514614105</v>
      </c>
      <c r="X89" s="86">
        <v>8.978559821844101E-2</v>
      </c>
      <c r="Y89" s="86">
        <v>0</v>
      </c>
      <c r="Z89" s="86">
        <v>0.45755854249000549</v>
      </c>
    </row>
    <row r="90" spans="1:26" x14ac:dyDescent="0.25">
      <c r="A90" s="88">
        <v>261</v>
      </c>
      <c r="B90" t="s">
        <v>81</v>
      </c>
      <c r="C90" s="88">
        <v>2019</v>
      </c>
      <c r="D90" t="s">
        <v>3618</v>
      </c>
      <c r="E90" s="34">
        <v>46022</v>
      </c>
      <c r="F90" s="88">
        <v>179738</v>
      </c>
      <c r="G90" t="s">
        <v>3620</v>
      </c>
      <c r="H90" t="s">
        <v>3621</v>
      </c>
      <c r="I90" s="88">
        <v>1421517</v>
      </c>
      <c r="J90" t="s">
        <v>4311</v>
      </c>
      <c r="K90" s="86">
        <v>188.77400207519531</v>
      </c>
      <c r="L90" s="86">
        <v>136.01300048828125</v>
      </c>
      <c r="M90" s="86">
        <v>85.123001098632813</v>
      </c>
      <c r="N90" s="86">
        <v>52.761001586914063</v>
      </c>
      <c r="O90" s="86">
        <v>70.427001953125</v>
      </c>
      <c r="P90" s="86">
        <v>10.913000106811523</v>
      </c>
      <c r="Q90" s="86">
        <v>86.942001342773438</v>
      </c>
      <c r="R90" s="86">
        <v>55.262001037597656</v>
      </c>
      <c r="S90" s="86">
        <v>9.7899999618530273</v>
      </c>
      <c r="T90" s="86">
        <v>5.2405505180358887</v>
      </c>
      <c r="U90" s="86">
        <v>5.7809866964817047E-2</v>
      </c>
      <c r="V90" s="86">
        <v>0.27949294447898865</v>
      </c>
      <c r="W90" s="86">
        <v>0.81004577875137329</v>
      </c>
      <c r="X90" s="86">
        <v>0.45092543959617615</v>
      </c>
      <c r="Y90" s="86">
        <v>0</v>
      </c>
      <c r="Z90" s="86">
        <v>0.25140339136123657</v>
      </c>
    </row>
    <row r="91" spans="1:26" x14ac:dyDescent="0.25">
      <c r="A91" s="88">
        <v>268</v>
      </c>
      <c r="B91" t="s">
        <v>82</v>
      </c>
      <c r="C91" s="88">
        <v>2020</v>
      </c>
      <c r="D91" t="s">
        <v>3622</v>
      </c>
      <c r="E91" s="34">
        <v>46022</v>
      </c>
      <c r="F91" s="88">
        <v>35497</v>
      </c>
      <c r="G91" t="s">
        <v>3624</v>
      </c>
      <c r="H91" t="s">
        <v>3625</v>
      </c>
      <c r="I91" s="88">
        <v>1757073</v>
      </c>
      <c r="J91" t="s">
        <v>4305</v>
      </c>
      <c r="K91" s="86">
        <v>6876</v>
      </c>
      <c r="L91" s="86">
        <v>3720.60009765625</v>
      </c>
      <c r="M91" s="86">
        <v>888.9000244140625</v>
      </c>
      <c r="N91" s="86">
        <v>3155</v>
      </c>
      <c r="O91" s="86">
        <v>1335.5999755859375</v>
      </c>
      <c r="P91" s="86">
        <v>33.299999237060547</v>
      </c>
      <c r="Q91" s="86">
        <v>2282</v>
      </c>
      <c r="R91" s="86">
        <v>160.02699279785156</v>
      </c>
      <c r="S91" s="86">
        <v>33.729999542236328</v>
      </c>
      <c r="T91" s="86">
        <v>8.8357925415039063</v>
      </c>
      <c r="U91" s="86">
        <v>4.8429318703711033E-3</v>
      </c>
      <c r="V91" s="86">
        <v>0.45884233713150024</v>
      </c>
      <c r="W91" s="86">
        <v>0.58527606725692749</v>
      </c>
      <c r="X91" s="86">
        <v>0.12927573919296265</v>
      </c>
      <c r="Y91" s="86">
        <v>0</v>
      </c>
      <c r="Z91" s="86">
        <v>0.68929225206375122</v>
      </c>
    </row>
    <row r="92" spans="1:26" x14ac:dyDescent="0.25">
      <c r="A92" s="88">
        <v>269</v>
      </c>
      <c r="B92" t="s">
        <v>83</v>
      </c>
      <c r="C92" s="88">
        <v>2019</v>
      </c>
      <c r="D92" t="s">
        <v>3626</v>
      </c>
      <c r="E92" s="34">
        <v>45291</v>
      </c>
      <c r="F92" s="88">
        <v>23296</v>
      </c>
      <c r="G92" t="s">
        <v>3628</v>
      </c>
      <c r="H92" t="s">
        <v>3629</v>
      </c>
      <c r="I92" s="88">
        <v>1592057</v>
      </c>
      <c r="J92" t="s">
        <v>4311</v>
      </c>
      <c r="K92" s="86">
        <v>994.8179931640625</v>
      </c>
      <c r="L92" s="86">
        <v>280.76800537109375</v>
      </c>
      <c r="M92" s="86">
        <v>9.0530004501342773</v>
      </c>
      <c r="N92" s="86">
        <v>762.24200439453125</v>
      </c>
      <c r="O92" s="86">
        <v>142.90299987792969</v>
      </c>
      <c r="P92" s="86">
        <v>-2.9430000782012939</v>
      </c>
      <c r="Q92" s="86">
        <v>684.39300537109375</v>
      </c>
      <c r="R92" s="86">
        <v>33.457000732421875</v>
      </c>
      <c r="S92" s="86">
        <v>37.310001373291016</v>
      </c>
      <c r="T92" s="86">
        <v>6.902559757232666</v>
      </c>
      <c r="U92" s="86">
        <v>-2.9583300929516554E-3</v>
      </c>
      <c r="V92" s="86">
        <v>0.76621252298355103</v>
      </c>
      <c r="W92" s="86">
        <v>0.20880253612995148</v>
      </c>
      <c r="X92" s="86">
        <v>9.100157767534256E-3</v>
      </c>
      <c r="Y92" s="86">
        <v>1</v>
      </c>
      <c r="Z92" s="86">
        <v>0.2249237596988678</v>
      </c>
    </row>
    <row r="93" spans="1:26" x14ac:dyDescent="0.25">
      <c r="A93" s="88">
        <v>271</v>
      </c>
      <c r="B93" t="s">
        <v>84</v>
      </c>
      <c r="C93" s="88">
        <v>2020</v>
      </c>
      <c r="D93" t="s">
        <v>3630</v>
      </c>
      <c r="E93" s="34">
        <v>46022</v>
      </c>
      <c r="F93" s="88">
        <v>4430</v>
      </c>
      <c r="G93" t="s">
        <v>3632</v>
      </c>
      <c r="H93" t="s">
        <v>3633</v>
      </c>
      <c r="I93" s="88">
        <v>33213</v>
      </c>
      <c r="J93" t="s">
        <v>4305</v>
      </c>
      <c r="K93" s="86">
        <v>18113.46875</v>
      </c>
      <c r="L93" s="86">
        <v>9255.240234375</v>
      </c>
      <c r="M93" s="86">
        <v>18.209999084472656</v>
      </c>
      <c r="N93" s="86">
        <v>8850.7392578125</v>
      </c>
      <c r="O93" s="86">
        <v>605.0360107421875</v>
      </c>
      <c r="P93" s="86">
        <v>-967.166015625</v>
      </c>
      <c r="Q93" s="86">
        <v>3058.843017578125</v>
      </c>
      <c r="R93" s="86">
        <v>278.34500122070313</v>
      </c>
      <c r="S93" s="86">
        <v>12.710000038146973</v>
      </c>
      <c r="T93" s="86">
        <v>9.8044109344482422</v>
      </c>
      <c r="U93" s="86">
        <v>-5.3394854068756104E-2</v>
      </c>
      <c r="V93" s="86">
        <v>0.48862752318382263</v>
      </c>
      <c r="W93" s="86">
        <v>0.1977989673614502</v>
      </c>
      <c r="X93" s="86">
        <v>1.0053291916847229E-3</v>
      </c>
      <c r="Y93" s="86">
        <v>1</v>
      </c>
      <c r="Z93" s="86">
        <v>2.6161262989044189</v>
      </c>
    </row>
    <row r="94" spans="1:26" x14ac:dyDescent="0.25">
      <c r="A94" s="88">
        <v>274</v>
      </c>
      <c r="B94" t="s">
        <v>85</v>
      </c>
      <c r="C94" s="88">
        <v>2020</v>
      </c>
      <c r="D94" t="s">
        <v>4362</v>
      </c>
      <c r="E94" s="34">
        <v>45291</v>
      </c>
      <c r="F94" s="88">
        <v>34337</v>
      </c>
      <c r="G94" t="s">
        <v>3635</v>
      </c>
      <c r="H94" t="s">
        <v>3636</v>
      </c>
      <c r="I94" s="88">
        <v>1747009</v>
      </c>
      <c r="J94" t="s">
        <v>4305</v>
      </c>
      <c r="K94" s="86">
        <v>12725.8515625</v>
      </c>
      <c r="L94" s="86">
        <v>3210.10693359375</v>
      </c>
      <c r="M94" s="86">
        <v>208.02299499511719</v>
      </c>
      <c r="N94" s="86">
        <v>8362.73828125</v>
      </c>
      <c r="O94" s="86">
        <v>1226.7469482421875</v>
      </c>
      <c r="P94" s="86">
        <v>423.13198852539063</v>
      </c>
      <c r="Q94" s="86">
        <v>1510.824951171875</v>
      </c>
      <c r="R94" s="86">
        <v>432.47000122070313</v>
      </c>
      <c r="S94" s="86">
        <v>8.0399999618530273</v>
      </c>
      <c r="T94" s="86">
        <v>9.4513912200927734</v>
      </c>
      <c r="U94" s="86">
        <v>3.3249799162149429E-2</v>
      </c>
      <c r="V94" s="86">
        <v>0.65714567899703979</v>
      </c>
      <c r="W94" s="86">
        <v>0.81197160482406616</v>
      </c>
      <c r="X94" s="86">
        <v>1.6346490010619164E-2</v>
      </c>
      <c r="Y94" s="86">
        <v>0</v>
      </c>
      <c r="Z94" s="86">
        <v>0.9232248067855835</v>
      </c>
    </row>
    <row r="95" spans="1:26" x14ac:dyDescent="0.25">
      <c r="A95" s="88">
        <v>277</v>
      </c>
      <c r="B95" t="s">
        <v>86</v>
      </c>
      <c r="C95" s="88">
        <v>2019</v>
      </c>
      <c r="D95" t="s">
        <v>3637</v>
      </c>
      <c r="E95" s="34">
        <v>45657</v>
      </c>
      <c r="F95" s="88">
        <v>8542</v>
      </c>
      <c r="G95" t="s">
        <v>3639</v>
      </c>
      <c r="H95" t="s">
        <v>3640</v>
      </c>
      <c r="I95" s="88">
        <v>78128</v>
      </c>
      <c r="J95" t="s">
        <v>4311</v>
      </c>
      <c r="K95" s="86">
        <v>9361.9853515625</v>
      </c>
      <c r="L95" s="86">
        <v>3880.860107421875</v>
      </c>
      <c r="M95" s="86">
        <v>1868.9219970703125</v>
      </c>
      <c r="N95" s="86">
        <v>5481.125</v>
      </c>
      <c r="O95" s="86">
        <v>540.6619873046875</v>
      </c>
      <c r="P95" s="86">
        <v>224.54299926757813</v>
      </c>
      <c r="Q95" s="86">
        <v>889.6920166015625</v>
      </c>
      <c r="R95" s="86">
        <v>220.75900268554688</v>
      </c>
      <c r="S95" s="86">
        <v>46.939998626708984</v>
      </c>
      <c r="T95" s="86">
        <v>9.1444129943847656</v>
      </c>
      <c r="U95" s="86">
        <v>2.3984549567103386E-2</v>
      </c>
      <c r="V95" s="86">
        <v>0.58546608686447144</v>
      </c>
      <c r="W95" s="86">
        <v>0.60769569873809814</v>
      </c>
      <c r="X95" s="86">
        <v>0.19962881505489349</v>
      </c>
      <c r="Y95" s="86">
        <v>0</v>
      </c>
      <c r="Z95" s="86">
        <v>0.37451264262199402</v>
      </c>
    </row>
    <row r="96" spans="1:26" x14ac:dyDescent="0.25">
      <c r="A96" s="88">
        <v>278</v>
      </c>
      <c r="B96" t="s">
        <v>87</v>
      </c>
      <c r="C96" s="88">
        <v>2020</v>
      </c>
      <c r="D96" t="s">
        <v>4363</v>
      </c>
      <c r="E96" s="34">
        <v>46022</v>
      </c>
      <c r="F96" s="88">
        <v>30293</v>
      </c>
      <c r="G96" t="s">
        <v>3642</v>
      </c>
      <c r="H96" t="s">
        <v>3643</v>
      </c>
      <c r="I96" s="88">
        <v>920522</v>
      </c>
      <c r="J96" t="s">
        <v>4305</v>
      </c>
      <c r="K96" s="86">
        <v>12936.1767578125</v>
      </c>
      <c r="L96" s="86">
        <v>6000.41015625</v>
      </c>
      <c r="M96" s="86">
        <v>84.041000366210938</v>
      </c>
      <c r="N96" s="86">
        <v>6720.74609375</v>
      </c>
      <c r="O96" s="86">
        <v>600.9639892578125</v>
      </c>
      <c r="P96" s="86">
        <v>568.8699951171875</v>
      </c>
      <c r="Q96" s="86">
        <v>1603.259033203125</v>
      </c>
      <c r="R96" s="86">
        <v>64.999000549316406</v>
      </c>
      <c r="S96" s="86">
        <v>237.41999816894531</v>
      </c>
      <c r="T96" s="86">
        <v>9.4677829742431641</v>
      </c>
      <c r="U96" s="86">
        <v>4.3975125998258591E-2</v>
      </c>
      <c r="V96" s="86">
        <v>0.51953107118606567</v>
      </c>
      <c r="W96" s="86">
        <v>0.37483897805213928</v>
      </c>
      <c r="X96" s="86">
        <v>6.4965873025357723E-3</v>
      </c>
      <c r="Y96" s="86">
        <v>0</v>
      </c>
      <c r="Z96" s="86">
        <v>0.38882750272750854</v>
      </c>
    </row>
    <row r="97" spans="1:26" x14ac:dyDescent="0.25">
      <c r="A97" s="88">
        <v>280</v>
      </c>
      <c r="B97" t="s">
        <v>88</v>
      </c>
      <c r="C97" s="88">
        <v>2019</v>
      </c>
      <c r="D97" t="s">
        <v>4364</v>
      </c>
      <c r="E97" s="34">
        <v>45838</v>
      </c>
      <c r="F97" s="88">
        <v>61567</v>
      </c>
      <c r="G97" t="s">
        <v>3645</v>
      </c>
      <c r="H97" t="s">
        <v>3646</v>
      </c>
      <c r="I97" s="88">
        <v>1001250</v>
      </c>
      <c r="J97" t="s">
        <v>4339</v>
      </c>
      <c r="K97" s="86">
        <v>13156</v>
      </c>
      <c r="L97" s="86">
        <v>4386</v>
      </c>
      <c r="M97" s="86">
        <v>2987</v>
      </c>
      <c r="N97" s="86">
        <v>8745</v>
      </c>
      <c r="O97" s="86">
        <v>12047</v>
      </c>
      <c r="P97" s="86">
        <v>1785</v>
      </c>
      <c r="Q97" s="86">
        <v>14866</v>
      </c>
      <c r="R97" s="86">
        <v>361.10198974609375</v>
      </c>
      <c r="S97" s="86">
        <v>183.11000061035156</v>
      </c>
      <c r="T97" s="86">
        <v>9.4846334457397461</v>
      </c>
      <c r="U97" s="86">
        <v>0.13567954301834106</v>
      </c>
      <c r="V97" s="86">
        <v>0.66471570730209351</v>
      </c>
      <c r="W97" s="86">
        <v>0.81037265062332153</v>
      </c>
      <c r="X97" s="86">
        <v>0.22704470157623291</v>
      </c>
      <c r="Y97" s="86">
        <v>0</v>
      </c>
      <c r="Z97" s="86">
        <v>6.6332548856735229E-2</v>
      </c>
    </row>
    <row r="98" spans="1:26" x14ac:dyDescent="0.25">
      <c r="A98" s="88">
        <v>291</v>
      </c>
      <c r="B98" t="s">
        <v>89</v>
      </c>
      <c r="C98" s="88">
        <v>2020</v>
      </c>
      <c r="D98" t="s">
        <v>3647</v>
      </c>
      <c r="E98" s="34">
        <v>46022</v>
      </c>
      <c r="F98" s="88">
        <v>8539</v>
      </c>
      <c r="G98" t="s">
        <v>3649</v>
      </c>
      <c r="H98" t="s">
        <v>3650</v>
      </c>
      <c r="I98" s="88">
        <v>1109357</v>
      </c>
      <c r="J98" t="s">
        <v>4305</v>
      </c>
      <c r="K98" s="86">
        <v>129317</v>
      </c>
      <c r="L98" s="86">
        <v>32585</v>
      </c>
      <c r="M98" s="86">
        <v>1101</v>
      </c>
      <c r="N98" s="86">
        <v>94449</v>
      </c>
      <c r="O98" s="86">
        <v>9639</v>
      </c>
      <c r="P98" s="86">
        <v>1963</v>
      </c>
      <c r="Q98" s="86">
        <v>33039</v>
      </c>
      <c r="R98" s="86">
        <v>975.63397216796875</v>
      </c>
      <c r="S98" s="86">
        <v>42.220001220703125</v>
      </c>
      <c r="T98" s="86">
        <v>11.770022392272949</v>
      </c>
      <c r="U98" s="86">
        <v>1.5179752372205257E-2</v>
      </c>
      <c r="V98" s="86">
        <v>0.73036801815032959</v>
      </c>
      <c r="W98" s="86">
        <v>0.2917461097240448</v>
      </c>
      <c r="X98" s="86">
        <v>8.5139619186520576E-3</v>
      </c>
      <c r="Y98" s="86">
        <v>0</v>
      </c>
      <c r="Z98" s="86">
        <v>0.7910657525062561</v>
      </c>
    </row>
    <row r="99" spans="1:26" x14ac:dyDescent="0.25">
      <c r="A99" s="88">
        <v>295</v>
      </c>
      <c r="B99" t="s">
        <v>90</v>
      </c>
      <c r="C99" s="88">
        <v>2019</v>
      </c>
      <c r="D99" t="s">
        <v>3651</v>
      </c>
      <c r="E99" s="34">
        <v>45808</v>
      </c>
      <c r="F99" s="88">
        <v>4598</v>
      </c>
      <c r="G99" t="s">
        <v>3653</v>
      </c>
      <c r="H99" t="s">
        <v>3654</v>
      </c>
      <c r="I99" s="88">
        <v>1048911</v>
      </c>
      <c r="J99" t="s">
        <v>4365</v>
      </c>
      <c r="K99" s="86">
        <v>54403</v>
      </c>
      <c r="L99" s="86">
        <v>17757</v>
      </c>
      <c r="M99" s="86">
        <v>2319</v>
      </c>
      <c r="N99" s="86">
        <v>36646</v>
      </c>
      <c r="O99" s="86">
        <v>18180</v>
      </c>
      <c r="P99" s="86">
        <v>540</v>
      </c>
      <c r="Q99" s="86">
        <v>69693</v>
      </c>
      <c r="R99" s="86">
        <v>260.62701416015625</v>
      </c>
      <c r="S99" s="86">
        <v>154.27999877929688</v>
      </c>
      <c r="T99" s="86">
        <v>10.9041748046875</v>
      </c>
      <c r="U99" s="86">
        <v>9.9259233102202415E-3</v>
      </c>
      <c r="V99" s="86">
        <v>0.67360258102416992</v>
      </c>
      <c r="W99" s="86">
        <v>0.26085832715034485</v>
      </c>
      <c r="X99" s="86">
        <v>4.2626325041055679E-2</v>
      </c>
      <c r="Y99" s="86">
        <v>0</v>
      </c>
      <c r="Z99" s="86">
        <v>0.44161167740821838</v>
      </c>
    </row>
    <row r="100" spans="1:26" x14ac:dyDescent="0.25">
      <c r="A100" s="88">
        <v>297</v>
      </c>
      <c r="B100" t="s">
        <v>91</v>
      </c>
      <c r="C100" s="88">
        <v>2020</v>
      </c>
      <c r="D100" t="s">
        <v>4366</v>
      </c>
      <c r="E100" s="34">
        <v>46022</v>
      </c>
      <c r="F100" s="88">
        <v>4640</v>
      </c>
      <c r="G100" t="s">
        <v>3656</v>
      </c>
      <c r="H100" t="s">
        <v>3657</v>
      </c>
      <c r="I100" s="88">
        <v>35527</v>
      </c>
      <c r="J100" t="s">
        <v>4305</v>
      </c>
      <c r="K100" s="86">
        <v>204680</v>
      </c>
      <c r="L100" s="86">
        <v>20995</v>
      </c>
      <c r="M100" s="86">
        <v>36546</v>
      </c>
      <c r="N100" s="86">
        <v>181569</v>
      </c>
      <c r="O100" s="86">
        <v>6504</v>
      </c>
      <c r="P100" s="86">
        <v>1427</v>
      </c>
      <c r="Q100" s="86">
        <v>8391</v>
      </c>
      <c r="R100" s="86">
        <v>712.760009765625</v>
      </c>
      <c r="S100" s="86">
        <v>27.569999694824219</v>
      </c>
      <c r="T100" s="86">
        <v>12.229203224182129</v>
      </c>
      <c r="U100" s="86">
        <v>6.9718584418296814E-3</v>
      </c>
      <c r="V100" s="86">
        <v>0.88708716630935669</v>
      </c>
      <c r="W100" s="86">
        <v>0.7751162052154541</v>
      </c>
      <c r="X100" s="86">
        <v>0.17855188250541687</v>
      </c>
      <c r="Y100" s="86">
        <v>0</v>
      </c>
      <c r="Z100" s="86">
        <v>1.0684046745300293</v>
      </c>
    </row>
    <row r="101" spans="1:26" x14ac:dyDescent="0.25">
      <c r="A101" s="88">
        <v>298</v>
      </c>
      <c r="B101" t="s">
        <v>91</v>
      </c>
      <c r="C101" s="88">
        <v>2019</v>
      </c>
      <c r="D101" t="s">
        <v>4366</v>
      </c>
      <c r="E101" s="34">
        <v>46022</v>
      </c>
      <c r="F101" s="88">
        <v>4640</v>
      </c>
      <c r="G101" t="s">
        <v>3656</v>
      </c>
      <c r="H101" t="s">
        <v>3657</v>
      </c>
      <c r="I101" s="88">
        <v>35527</v>
      </c>
      <c r="J101" t="s">
        <v>4311</v>
      </c>
      <c r="K101" s="86">
        <v>169369</v>
      </c>
      <c r="L101" s="86">
        <v>19433</v>
      </c>
      <c r="M101" s="86">
        <v>5228</v>
      </c>
      <c r="N101" s="86">
        <v>148166</v>
      </c>
      <c r="O101" s="86">
        <v>6972</v>
      </c>
      <c r="P101" s="86">
        <v>2512</v>
      </c>
      <c r="Q101" s="86">
        <v>8900</v>
      </c>
      <c r="R101" s="86">
        <v>708.916015625</v>
      </c>
      <c r="S101" s="86">
        <v>30.739999771118164</v>
      </c>
      <c r="T101" s="86">
        <v>12.039834976196289</v>
      </c>
      <c r="U101" s="86">
        <v>1.4831521548330784E-2</v>
      </c>
      <c r="V101" s="86">
        <v>0.87481182813644409</v>
      </c>
      <c r="W101" s="86">
        <v>0.78337079286575317</v>
      </c>
      <c r="X101" s="86">
        <v>3.086751326918602E-2</v>
      </c>
      <c r="Y101" s="86">
        <v>0</v>
      </c>
      <c r="Z101" s="86">
        <v>0.89174604415893555</v>
      </c>
    </row>
    <row r="102" spans="1:26" x14ac:dyDescent="0.25">
      <c r="A102" s="88">
        <v>304</v>
      </c>
      <c r="B102" t="s">
        <v>92</v>
      </c>
      <c r="C102" s="88">
        <v>2019</v>
      </c>
      <c r="D102" t="s">
        <v>3658</v>
      </c>
      <c r="E102" s="34">
        <v>45747</v>
      </c>
      <c r="F102" s="88">
        <v>30170</v>
      </c>
      <c r="G102" t="s">
        <v>3660</v>
      </c>
      <c r="H102" t="s">
        <v>3661</v>
      </c>
      <c r="I102" s="88">
        <v>866374</v>
      </c>
      <c r="J102" t="s">
        <v>4367</v>
      </c>
      <c r="K102" s="86">
        <v>13499.3671875</v>
      </c>
      <c r="L102" s="86">
        <v>2972.360107421875</v>
      </c>
      <c r="M102" s="86">
        <v>1696.625</v>
      </c>
      <c r="N102" s="86">
        <v>10527.0068359375</v>
      </c>
      <c r="O102" s="86">
        <v>2065.31591796875</v>
      </c>
      <c r="P102" s="86">
        <v>93.399002075195313</v>
      </c>
      <c r="Q102" s="86">
        <v>26210.51171875</v>
      </c>
      <c r="R102" s="86">
        <v>516.5479736328125</v>
      </c>
      <c r="S102" s="86">
        <v>10</v>
      </c>
      <c r="T102" s="86">
        <v>9.5103979110717773</v>
      </c>
      <c r="U102" s="86">
        <v>6.9187688641250134E-3</v>
      </c>
      <c r="V102" s="86">
        <v>0.77981483936309814</v>
      </c>
      <c r="W102" s="86">
        <v>7.8797236084938049E-2</v>
      </c>
      <c r="X102" s="86">
        <v>0.12568181753158569</v>
      </c>
      <c r="Y102" s="86">
        <v>0</v>
      </c>
      <c r="Z102" s="86">
        <v>0.57542771100997925</v>
      </c>
    </row>
    <row r="103" spans="1:26" x14ac:dyDescent="0.25">
      <c r="A103" s="88">
        <v>306</v>
      </c>
      <c r="B103" t="s">
        <v>93</v>
      </c>
      <c r="C103" s="88">
        <v>2019</v>
      </c>
      <c r="D103" t="s">
        <v>3662</v>
      </c>
      <c r="E103" s="34">
        <v>46022</v>
      </c>
      <c r="F103" s="88">
        <v>4108</v>
      </c>
      <c r="G103" t="s">
        <v>3664</v>
      </c>
      <c r="H103" t="s">
        <v>3665</v>
      </c>
      <c r="I103" s="88">
        <v>30625</v>
      </c>
      <c r="J103" t="s">
        <v>4311</v>
      </c>
      <c r="K103" s="86">
        <v>4919.64208984375</v>
      </c>
      <c r="L103" s="86">
        <v>1790.3570556640625</v>
      </c>
      <c r="M103" s="86">
        <v>670.97998046875</v>
      </c>
      <c r="N103" s="86">
        <v>3103.68310546875</v>
      </c>
      <c r="O103" s="86">
        <v>1416.9949951171875</v>
      </c>
      <c r="P103" s="86">
        <v>253.66799926757813</v>
      </c>
      <c r="Q103" s="86">
        <v>3944.85009765625</v>
      </c>
      <c r="R103" s="86">
        <v>130.531005859375</v>
      </c>
      <c r="S103" s="86">
        <v>49.770000457763672</v>
      </c>
      <c r="T103" s="86">
        <v>8.5009908676147461</v>
      </c>
      <c r="U103" s="86">
        <v>5.1562286913394928E-2</v>
      </c>
      <c r="V103" s="86">
        <v>0.63087576627731323</v>
      </c>
      <c r="W103" s="86">
        <v>0.35920122265815735</v>
      </c>
      <c r="X103" s="86">
        <v>0.13638795912265778</v>
      </c>
      <c r="Y103" s="86">
        <v>0</v>
      </c>
      <c r="Z103" s="86">
        <v>0.27558675408363342</v>
      </c>
    </row>
    <row r="104" spans="1:26" x14ac:dyDescent="0.25">
      <c r="A104" s="88">
        <v>310</v>
      </c>
      <c r="B104" t="s">
        <v>94</v>
      </c>
      <c r="C104" s="88">
        <v>2021</v>
      </c>
      <c r="D104" t="s">
        <v>4368</v>
      </c>
      <c r="E104" s="34">
        <v>45688</v>
      </c>
      <c r="F104" s="88">
        <v>11584</v>
      </c>
      <c r="G104" t="s">
        <v>3667</v>
      </c>
      <c r="H104" t="s">
        <v>3668</v>
      </c>
      <c r="I104" s="88">
        <v>850209</v>
      </c>
      <c r="J104" t="s">
        <v>4330</v>
      </c>
      <c r="K104" s="86">
        <v>7043</v>
      </c>
      <c r="L104" s="86">
        <v>2771</v>
      </c>
      <c r="M104" s="86">
        <v>1688</v>
      </c>
      <c r="N104" s="86">
        <v>4267</v>
      </c>
      <c r="O104" s="86">
        <v>2183</v>
      </c>
      <c r="P104" s="86">
        <v>323</v>
      </c>
      <c r="Q104" s="86">
        <v>7548</v>
      </c>
      <c r="R104" s="86">
        <v>103.69300079345703</v>
      </c>
      <c r="S104" s="86">
        <v>43.819999694824219</v>
      </c>
      <c r="T104" s="86">
        <v>8.8597898483276367</v>
      </c>
      <c r="U104" s="86">
        <v>4.5861139893531799E-2</v>
      </c>
      <c r="V104" s="86">
        <v>0.60584980249404907</v>
      </c>
      <c r="W104" s="86">
        <v>0.28921568393707275</v>
      </c>
      <c r="X104" s="86">
        <v>0.23967058956623077</v>
      </c>
      <c r="Y104" s="86">
        <v>0</v>
      </c>
      <c r="Z104" s="86">
        <v>0.60983830690383911</v>
      </c>
    </row>
    <row r="105" spans="1:26" x14ac:dyDescent="0.25">
      <c r="A105" s="88">
        <v>325</v>
      </c>
      <c r="B105" t="s">
        <v>95</v>
      </c>
      <c r="C105" s="88">
        <v>2021</v>
      </c>
      <c r="D105" t="s">
        <v>4369</v>
      </c>
      <c r="E105" s="34">
        <v>45808</v>
      </c>
      <c r="F105" s="88">
        <v>5071</v>
      </c>
      <c r="G105" t="s">
        <v>3670</v>
      </c>
      <c r="H105" t="s">
        <v>3671</v>
      </c>
      <c r="I105" s="88">
        <v>40704</v>
      </c>
      <c r="J105" t="s">
        <v>4370</v>
      </c>
      <c r="K105" s="86">
        <v>31841.900390625</v>
      </c>
      <c r="L105" s="86">
        <v>9470.400390625</v>
      </c>
      <c r="M105" s="86">
        <v>1865.199951171875</v>
      </c>
      <c r="N105" s="86">
        <v>21463.80078125</v>
      </c>
      <c r="O105" s="86">
        <v>7049.39990234375</v>
      </c>
      <c r="P105" s="86">
        <v>2339.800048828125</v>
      </c>
      <c r="Q105" s="86">
        <v>18127</v>
      </c>
      <c r="R105" s="86">
        <v>607.70001220703125</v>
      </c>
      <c r="S105" s="86">
        <v>62.860000610351563</v>
      </c>
      <c r="T105" s="86">
        <v>10.368537902832031</v>
      </c>
      <c r="U105" s="86">
        <v>7.348179817199707E-2</v>
      </c>
      <c r="V105" s="86">
        <v>0.67407411336898804</v>
      </c>
      <c r="W105" s="86">
        <v>0.38888949155807495</v>
      </c>
      <c r="X105" s="86">
        <v>5.8576904237270355E-2</v>
      </c>
      <c r="Y105" s="86">
        <v>0</v>
      </c>
      <c r="Z105" s="86">
        <v>0.2479160875082016</v>
      </c>
    </row>
    <row r="106" spans="1:26" x14ac:dyDescent="0.25">
      <c r="A106" s="88">
        <v>326</v>
      </c>
      <c r="B106" t="s">
        <v>95</v>
      </c>
      <c r="C106" s="88">
        <v>2019</v>
      </c>
      <c r="D106" t="s">
        <v>4369</v>
      </c>
      <c r="E106" s="34">
        <v>45808</v>
      </c>
      <c r="F106" s="88">
        <v>5071</v>
      </c>
      <c r="G106" t="s">
        <v>3670</v>
      </c>
      <c r="H106" t="s">
        <v>3671</v>
      </c>
      <c r="I106" s="88">
        <v>40704</v>
      </c>
      <c r="J106" t="s">
        <v>4365</v>
      </c>
      <c r="K106" s="86">
        <v>30111.19921875</v>
      </c>
      <c r="L106" s="86">
        <v>7054.5</v>
      </c>
      <c r="M106" s="86">
        <v>450</v>
      </c>
      <c r="N106" s="86">
        <v>22191.80078125</v>
      </c>
      <c r="O106" s="86">
        <v>6442.5</v>
      </c>
      <c r="P106" s="86">
        <v>1752.699951171875</v>
      </c>
      <c r="Q106" s="86">
        <v>16865.19921875</v>
      </c>
      <c r="R106" s="86">
        <v>601.9000244140625</v>
      </c>
      <c r="S106" s="86">
        <v>49.439998626708984</v>
      </c>
      <c r="T106" s="86">
        <v>10.312652587890625</v>
      </c>
      <c r="U106" s="86">
        <v>5.8207578957080841E-2</v>
      </c>
      <c r="V106" s="86">
        <v>0.73699492216110229</v>
      </c>
      <c r="W106" s="86">
        <v>0.38199964165687561</v>
      </c>
      <c r="X106" s="86">
        <v>1.4944605529308319E-2</v>
      </c>
      <c r="Y106" s="86">
        <v>0</v>
      </c>
      <c r="Z106" s="86">
        <v>0.23706281185150146</v>
      </c>
    </row>
    <row r="107" spans="1:26" x14ac:dyDescent="0.25">
      <c r="A107" s="88">
        <v>328</v>
      </c>
      <c r="B107" t="s">
        <v>96</v>
      </c>
      <c r="C107" s="88">
        <v>2020</v>
      </c>
      <c r="D107" t="s">
        <v>3672</v>
      </c>
      <c r="E107" s="34">
        <v>46022</v>
      </c>
      <c r="F107" s="88">
        <v>5073</v>
      </c>
      <c r="G107" t="s">
        <v>3674</v>
      </c>
      <c r="H107" t="s">
        <v>3675</v>
      </c>
      <c r="I107" s="88">
        <v>1467858</v>
      </c>
      <c r="J107" t="s">
        <v>4305</v>
      </c>
      <c r="K107" s="86">
        <v>235194</v>
      </c>
      <c r="L107" s="86">
        <v>45030</v>
      </c>
      <c r="M107" s="86">
        <v>31619</v>
      </c>
      <c r="N107" s="86">
        <v>185517</v>
      </c>
      <c r="O107" s="86">
        <v>30054</v>
      </c>
      <c r="P107" s="86">
        <v>6427</v>
      </c>
      <c r="Q107" s="86">
        <v>122485</v>
      </c>
      <c r="R107" s="86">
        <v>1400</v>
      </c>
      <c r="S107" s="86">
        <v>41.639999389648438</v>
      </c>
      <c r="T107" s="86">
        <v>12.368165969848633</v>
      </c>
      <c r="U107" s="86">
        <v>2.7326377108693123E-2</v>
      </c>
      <c r="V107" s="86">
        <v>0.78878289461135864</v>
      </c>
      <c r="W107" s="86">
        <v>0.24536882340908051</v>
      </c>
      <c r="X107" s="86">
        <v>0.13443794846534729</v>
      </c>
      <c r="Y107" s="86">
        <v>0</v>
      </c>
      <c r="Z107" s="86">
        <v>0.77243721485137939</v>
      </c>
    </row>
    <row r="108" spans="1:26" x14ac:dyDescent="0.25">
      <c r="A108" s="88">
        <v>329</v>
      </c>
      <c r="B108" t="s">
        <v>96</v>
      </c>
      <c r="C108" s="88">
        <v>2019</v>
      </c>
      <c r="D108" t="s">
        <v>3672</v>
      </c>
      <c r="E108" s="34">
        <v>46022</v>
      </c>
      <c r="F108" s="88">
        <v>5073</v>
      </c>
      <c r="G108" t="s">
        <v>3674</v>
      </c>
      <c r="H108" t="s">
        <v>3675</v>
      </c>
      <c r="I108" s="88">
        <v>1467858</v>
      </c>
      <c r="J108" t="s">
        <v>4311</v>
      </c>
      <c r="K108" s="86">
        <v>228037</v>
      </c>
      <c r="L108" s="86">
        <v>41792</v>
      </c>
      <c r="M108" s="86">
        <v>26595</v>
      </c>
      <c r="N108" s="86">
        <v>182080</v>
      </c>
      <c r="O108" s="86">
        <v>30848</v>
      </c>
      <c r="P108" s="86">
        <v>6732</v>
      </c>
      <c r="Q108" s="86">
        <v>137237</v>
      </c>
      <c r="R108" s="86">
        <v>1400</v>
      </c>
      <c r="S108" s="86">
        <v>36.599998474121094</v>
      </c>
      <c r="T108" s="86">
        <v>12.337263107299805</v>
      </c>
      <c r="U108" s="86">
        <v>2.9521524906158447E-2</v>
      </c>
      <c r="V108" s="86">
        <v>0.79846692085266113</v>
      </c>
      <c r="W108" s="86">
        <v>0.22477902472019196</v>
      </c>
      <c r="X108" s="86">
        <v>0.11662580817937851</v>
      </c>
      <c r="Y108" s="86">
        <v>0</v>
      </c>
      <c r="Z108" s="86">
        <v>0.81561285257339478</v>
      </c>
    </row>
    <row r="109" spans="1:26" x14ac:dyDescent="0.25">
      <c r="A109" s="88">
        <v>330</v>
      </c>
      <c r="B109" t="s">
        <v>96</v>
      </c>
      <c r="C109" s="88">
        <v>2018</v>
      </c>
      <c r="D109" t="s">
        <v>3672</v>
      </c>
      <c r="E109" s="34">
        <v>46022</v>
      </c>
      <c r="F109" s="88">
        <v>5073</v>
      </c>
      <c r="G109" t="s">
        <v>3674</v>
      </c>
      <c r="H109" t="s">
        <v>3675</v>
      </c>
      <c r="I109" s="88">
        <v>1467858</v>
      </c>
      <c r="J109" t="s">
        <v>4307</v>
      </c>
      <c r="K109" s="86">
        <v>227339</v>
      </c>
      <c r="L109" s="86">
        <v>38860</v>
      </c>
      <c r="M109" s="86">
        <v>28893</v>
      </c>
      <c r="N109" s="86">
        <v>184562</v>
      </c>
      <c r="O109" s="86">
        <v>31789</v>
      </c>
      <c r="P109" s="86">
        <v>8014</v>
      </c>
      <c r="Q109" s="86">
        <v>147049</v>
      </c>
      <c r="R109" s="86">
        <v>1400</v>
      </c>
      <c r="S109" s="86">
        <v>33.450000762939453</v>
      </c>
      <c r="T109" s="86">
        <v>12.334197998046875</v>
      </c>
      <c r="U109" s="86">
        <v>3.5251319408416748E-2</v>
      </c>
      <c r="V109" s="86">
        <v>0.81183606386184692</v>
      </c>
      <c r="W109" s="86">
        <v>0.21617963910102844</v>
      </c>
      <c r="X109" s="86">
        <v>0.1270921379327774</v>
      </c>
      <c r="Y109" s="86">
        <v>0</v>
      </c>
      <c r="Z109" s="86">
        <v>0.82980990409851074</v>
      </c>
    </row>
    <row r="110" spans="1:26" x14ac:dyDescent="0.25">
      <c r="A110" s="88">
        <v>333</v>
      </c>
      <c r="B110" t="s">
        <v>97</v>
      </c>
      <c r="C110" s="88">
        <v>2020</v>
      </c>
      <c r="D110" t="s">
        <v>3676</v>
      </c>
      <c r="E110" s="34">
        <v>46022</v>
      </c>
      <c r="F110" s="88">
        <v>28408</v>
      </c>
      <c r="G110" t="s">
        <v>3678</v>
      </c>
      <c r="H110" t="s">
        <v>3679</v>
      </c>
      <c r="I110" s="88">
        <v>903129</v>
      </c>
      <c r="J110" t="s">
        <v>4305</v>
      </c>
      <c r="K110" s="86">
        <v>1022.8389892578125</v>
      </c>
      <c r="L110" s="86">
        <v>586.33099365234375</v>
      </c>
      <c r="M110" s="86">
        <v>268.34500122070313</v>
      </c>
      <c r="N110" s="86">
        <v>436.50799560546875</v>
      </c>
      <c r="O110" s="86">
        <v>308.36700439453125</v>
      </c>
      <c r="P110" s="86">
        <v>59.689998626708984</v>
      </c>
      <c r="Q110" s="86">
        <v>913.0980224609375</v>
      </c>
      <c r="R110" s="86">
        <v>32.921001434326172</v>
      </c>
      <c r="S110" s="86">
        <v>65.220001220703125</v>
      </c>
      <c r="T110" s="86">
        <v>6.9303374290466309</v>
      </c>
      <c r="U110" s="86">
        <v>5.8357179164886475E-2</v>
      </c>
      <c r="V110" s="86">
        <v>0.4267612099647522</v>
      </c>
      <c r="W110" s="86">
        <v>0.33771511912345886</v>
      </c>
      <c r="X110" s="86">
        <v>0.26235312223434448</v>
      </c>
      <c r="Y110" s="86">
        <v>0</v>
      </c>
      <c r="Z110" s="86">
        <v>0.27307945489883423</v>
      </c>
    </row>
    <row r="111" spans="1:26" x14ac:dyDescent="0.25">
      <c r="A111" s="88">
        <v>341</v>
      </c>
      <c r="B111" t="s">
        <v>98</v>
      </c>
      <c r="C111" s="88">
        <v>2020</v>
      </c>
      <c r="D111" t="s">
        <v>4371</v>
      </c>
      <c r="E111" s="34">
        <v>46022</v>
      </c>
      <c r="F111" s="88">
        <v>25389</v>
      </c>
      <c r="G111" t="s">
        <v>3681</v>
      </c>
      <c r="H111" t="s">
        <v>3682</v>
      </c>
      <c r="I111" s="88">
        <v>1408075</v>
      </c>
      <c r="J111" t="s">
        <v>4305</v>
      </c>
      <c r="K111" s="86">
        <v>7804.60009765625</v>
      </c>
      <c r="L111" s="86">
        <v>1424.300048828125</v>
      </c>
      <c r="M111" s="86">
        <v>179</v>
      </c>
      <c r="N111" s="86">
        <v>5964.2998046875</v>
      </c>
      <c r="O111" s="86">
        <v>1576.5999755859375</v>
      </c>
      <c r="P111" s="86">
        <v>167.30000305175781</v>
      </c>
      <c r="Q111" s="86">
        <v>6559.89990234375</v>
      </c>
      <c r="R111" s="86">
        <v>267.72601318359375</v>
      </c>
      <c r="S111" s="86">
        <v>16.940000534057617</v>
      </c>
      <c r="T111" s="86">
        <v>8.962468147277832</v>
      </c>
      <c r="U111" s="86">
        <v>2.1436076611280441E-2</v>
      </c>
      <c r="V111" s="86">
        <v>0.76420313119888306</v>
      </c>
      <c r="W111" s="86">
        <v>0.24033902585506439</v>
      </c>
      <c r="X111" s="86">
        <v>2.2935191169381142E-2</v>
      </c>
      <c r="Y111" s="86">
        <v>0</v>
      </c>
      <c r="Z111" s="86">
        <v>0.31404906511306763</v>
      </c>
    </row>
    <row r="112" spans="1:26" x14ac:dyDescent="0.25">
      <c r="A112" s="88">
        <v>342</v>
      </c>
      <c r="B112" t="s">
        <v>98</v>
      </c>
      <c r="C112" s="88">
        <v>2019</v>
      </c>
      <c r="D112" t="s">
        <v>4371</v>
      </c>
      <c r="E112" s="34">
        <v>46022</v>
      </c>
      <c r="F112" s="88">
        <v>25389</v>
      </c>
      <c r="G112" t="s">
        <v>3681</v>
      </c>
      <c r="H112" t="s">
        <v>3682</v>
      </c>
      <c r="I112" s="88">
        <v>1408075</v>
      </c>
      <c r="J112" t="s">
        <v>4311</v>
      </c>
      <c r="K112" s="86">
        <v>7289.89990234375</v>
      </c>
      <c r="L112" s="86">
        <v>1570.199951171875</v>
      </c>
      <c r="M112" s="86">
        <v>152.89999389648438</v>
      </c>
      <c r="N112" s="86">
        <v>4927.60009765625</v>
      </c>
      <c r="O112" s="86">
        <v>1540.5999755859375</v>
      </c>
      <c r="P112" s="86">
        <v>206.80000305175781</v>
      </c>
      <c r="Q112" s="86">
        <v>6160.10009765625</v>
      </c>
      <c r="R112" s="86">
        <v>290.24700927734375</v>
      </c>
      <c r="S112" s="86">
        <v>16.649999618530273</v>
      </c>
      <c r="T112" s="86">
        <v>8.8942451477050781</v>
      </c>
      <c r="U112" s="86">
        <v>2.8368016704916954E-2</v>
      </c>
      <c r="V112" s="86">
        <v>0.67594891786575317</v>
      </c>
      <c r="W112" s="86">
        <v>0.25009334087371826</v>
      </c>
      <c r="X112" s="86">
        <v>2.0974224433302879E-2</v>
      </c>
      <c r="Y112" s="86">
        <v>0</v>
      </c>
      <c r="Z112" s="86">
        <v>0.32491740584373474</v>
      </c>
    </row>
    <row r="113" spans="1:26" x14ac:dyDescent="0.25">
      <c r="A113" s="88">
        <v>343</v>
      </c>
      <c r="B113" t="s">
        <v>99</v>
      </c>
      <c r="C113" s="88">
        <v>2020</v>
      </c>
      <c r="D113" t="s">
        <v>4372</v>
      </c>
      <c r="E113" s="34">
        <v>45900</v>
      </c>
      <c r="F113" s="88">
        <v>30463</v>
      </c>
      <c r="G113" t="s">
        <v>3684</v>
      </c>
      <c r="H113" t="s">
        <v>3685</v>
      </c>
      <c r="I113" s="88">
        <v>923120</v>
      </c>
      <c r="J113" t="s">
        <v>4373</v>
      </c>
      <c r="K113" s="86">
        <v>3173.833984375</v>
      </c>
      <c r="L113" s="86">
        <v>1293.04296875</v>
      </c>
      <c r="M113" s="86">
        <v>842.08697509765625</v>
      </c>
      <c r="N113" s="86">
        <v>1669.6619873046875</v>
      </c>
      <c r="O113" s="86">
        <v>466.83099365234375</v>
      </c>
      <c r="P113" s="86">
        <v>48.966999053955078</v>
      </c>
      <c r="Q113" s="86">
        <v>2792.18896484375</v>
      </c>
      <c r="R113" s="86">
        <v>32.701000213623047</v>
      </c>
      <c r="S113" s="86">
        <v>27.190000534057617</v>
      </c>
      <c r="T113" s="86">
        <v>8.0626955032348633</v>
      </c>
      <c r="U113" s="86">
        <v>1.542834285646677E-2</v>
      </c>
      <c r="V113" s="86">
        <v>0.52607101202011108</v>
      </c>
      <c r="W113" s="86">
        <v>0.1671917587518692</v>
      </c>
      <c r="X113" s="86">
        <v>0.26532167196273804</v>
      </c>
      <c r="Y113" s="86">
        <v>0</v>
      </c>
      <c r="Z113" s="86">
        <v>1.4542621374130249</v>
      </c>
    </row>
    <row r="114" spans="1:26" x14ac:dyDescent="0.25">
      <c r="A114" s="88">
        <v>344</v>
      </c>
      <c r="B114" t="s">
        <v>3686</v>
      </c>
      <c r="C114" s="88">
        <v>2020</v>
      </c>
      <c r="D114" t="s">
        <v>4374</v>
      </c>
      <c r="E114" s="34">
        <v>45930</v>
      </c>
      <c r="F114" s="88">
        <v>5338</v>
      </c>
      <c r="G114" t="s">
        <v>3688</v>
      </c>
      <c r="H114" t="s">
        <v>3689</v>
      </c>
      <c r="I114" s="88">
        <v>43920</v>
      </c>
      <c r="J114" t="s">
        <v>4308</v>
      </c>
      <c r="K114" s="86">
        <v>5510.89990234375</v>
      </c>
      <c r="L114" s="86">
        <v>1152.199951171875</v>
      </c>
      <c r="M114" s="86">
        <v>105.90000152587891</v>
      </c>
      <c r="N114" s="86">
        <v>4290.2001953125</v>
      </c>
      <c r="O114" s="86">
        <v>1156.9000244140625</v>
      </c>
      <c r="P114" s="86">
        <v>108.80000305175781</v>
      </c>
      <c r="Q114" s="86">
        <v>4515</v>
      </c>
      <c r="R114" s="86">
        <v>48.450000762939453</v>
      </c>
      <c r="S114" s="86">
        <v>40.590000152587891</v>
      </c>
      <c r="T114" s="86">
        <v>8.6144828796386719</v>
      </c>
      <c r="U114" s="86">
        <v>1.9742691889405251E-2</v>
      </c>
      <c r="V114" s="86">
        <v>0.77849358320236206</v>
      </c>
      <c r="W114" s="86">
        <v>0.25623476505279541</v>
      </c>
      <c r="X114" s="86">
        <v>1.9216462969779968E-2</v>
      </c>
      <c r="Y114" s="86">
        <v>0</v>
      </c>
      <c r="Z114" s="86">
        <v>0.5858885645866394</v>
      </c>
    </row>
    <row r="115" spans="1:26" x14ac:dyDescent="0.25">
      <c r="A115" s="88">
        <v>346</v>
      </c>
      <c r="B115" t="s">
        <v>100</v>
      </c>
      <c r="C115" s="88">
        <v>2021</v>
      </c>
      <c r="D115" t="s">
        <v>4375</v>
      </c>
      <c r="E115" s="34">
        <v>45688</v>
      </c>
      <c r="F115" s="88">
        <v>63447</v>
      </c>
      <c r="G115" t="s">
        <v>4245</v>
      </c>
      <c r="H115" t="s">
        <v>4244</v>
      </c>
      <c r="I115" s="88">
        <v>912463</v>
      </c>
      <c r="J115" t="s">
        <v>4330</v>
      </c>
      <c r="K115" s="86">
        <v>2465.867919921875</v>
      </c>
      <c r="L115" s="86">
        <v>543.66302490234375</v>
      </c>
      <c r="M115" s="86">
        <v>469.1099853515625</v>
      </c>
      <c r="N115" s="86">
        <v>1896.3680419921875</v>
      </c>
      <c r="O115" s="86">
        <v>682.77301025390625</v>
      </c>
      <c r="P115" s="86">
        <v>-81.228996276855469</v>
      </c>
      <c r="Q115" s="86">
        <v>1802.532958984375</v>
      </c>
      <c r="R115" s="86">
        <v>64.230003356933594</v>
      </c>
      <c r="S115" s="86">
        <v>23.219999313354492</v>
      </c>
      <c r="T115" s="86">
        <v>7.8102989196777344</v>
      </c>
      <c r="U115" s="86">
        <v>-3.2941341400146484E-2</v>
      </c>
      <c r="V115" s="86">
        <v>0.76904690265655518</v>
      </c>
      <c r="W115" s="86">
        <v>0.37878531217575073</v>
      </c>
      <c r="X115" s="86">
        <v>0.19024132192134857</v>
      </c>
      <c r="Y115" s="86">
        <v>1</v>
      </c>
      <c r="Z115" s="86">
        <v>0.36452695727348328</v>
      </c>
    </row>
    <row r="116" spans="1:26" x14ac:dyDescent="0.25">
      <c r="A116" s="88">
        <v>353</v>
      </c>
      <c r="B116" t="s">
        <v>101</v>
      </c>
      <c r="C116" s="88">
        <v>2020</v>
      </c>
      <c r="D116" t="s">
        <v>4376</v>
      </c>
      <c r="E116" s="34">
        <v>46022</v>
      </c>
      <c r="F116" s="88">
        <v>5496</v>
      </c>
      <c r="G116" t="s">
        <v>3691</v>
      </c>
      <c r="H116" t="s">
        <v>3692</v>
      </c>
      <c r="I116" s="88">
        <v>45876</v>
      </c>
      <c r="J116" t="s">
        <v>4305</v>
      </c>
      <c r="K116" s="86">
        <v>2993.287109375</v>
      </c>
      <c r="L116" s="86">
        <v>657.15399169921875</v>
      </c>
      <c r="M116" s="86">
        <v>79.668998718261719</v>
      </c>
      <c r="N116" s="86">
        <v>2279.887939453125</v>
      </c>
      <c r="O116" s="86">
        <v>519.8179931640625</v>
      </c>
      <c r="P116" s="86">
        <v>-26.340999603271484</v>
      </c>
      <c r="Q116" s="86">
        <v>1863.864013671875</v>
      </c>
      <c r="R116" s="86">
        <v>78.924003601074219</v>
      </c>
      <c r="S116" s="86">
        <v>17.979999542236328</v>
      </c>
      <c r="T116" s="86">
        <v>8.0041275024414063</v>
      </c>
      <c r="U116" s="86">
        <v>-8.8000241667032242E-3</v>
      </c>
      <c r="V116" s="86">
        <v>0.76166695356369019</v>
      </c>
      <c r="W116" s="86">
        <v>0.27889266610145569</v>
      </c>
      <c r="X116" s="86">
        <v>2.6615889742970467E-2</v>
      </c>
      <c r="Y116" s="86">
        <v>1</v>
      </c>
      <c r="Z116" s="86">
        <v>0.46309316158294678</v>
      </c>
    </row>
    <row r="117" spans="1:26" x14ac:dyDescent="0.25">
      <c r="A117" s="88">
        <v>354</v>
      </c>
      <c r="B117" t="s">
        <v>101</v>
      </c>
      <c r="C117" s="88">
        <v>2019</v>
      </c>
      <c r="D117" t="s">
        <v>4376</v>
      </c>
      <c r="E117" s="34">
        <v>46022</v>
      </c>
      <c r="F117" s="88">
        <v>5496</v>
      </c>
      <c r="G117" t="s">
        <v>3691</v>
      </c>
      <c r="H117" t="s">
        <v>3692</v>
      </c>
      <c r="I117" s="88">
        <v>45876</v>
      </c>
      <c r="J117" t="s">
        <v>4311</v>
      </c>
      <c r="K117" s="86">
        <v>2367.467041015625</v>
      </c>
      <c r="L117" s="86">
        <v>741.58001708984375</v>
      </c>
      <c r="M117" s="86">
        <v>59.731998443603516</v>
      </c>
      <c r="N117" s="86">
        <v>1577.8079833984375</v>
      </c>
      <c r="O117" s="86">
        <v>494.7550048828125</v>
      </c>
      <c r="P117" s="86">
        <v>503.91900634765625</v>
      </c>
      <c r="Q117" s="86">
        <v>1503.741943359375</v>
      </c>
      <c r="R117" s="86">
        <v>78.514999389648438</v>
      </c>
      <c r="S117" s="86">
        <v>23.010000228881836</v>
      </c>
      <c r="T117" s="86">
        <v>7.7695760726928711</v>
      </c>
      <c r="U117" s="86">
        <v>0.21285153925418854</v>
      </c>
      <c r="V117" s="86">
        <v>0.666454017162323</v>
      </c>
      <c r="W117" s="86">
        <v>0.32901591062545776</v>
      </c>
      <c r="X117" s="86">
        <v>2.5230340659618378E-2</v>
      </c>
      <c r="Y117" s="86">
        <v>0</v>
      </c>
      <c r="Z117" s="86">
        <v>0.41047695279121399</v>
      </c>
    </row>
    <row r="118" spans="1:26" x14ac:dyDescent="0.25">
      <c r="A118" s="88">
        <v>356</v>
      </c>
      <c r="B118" t="s">
        <v>102</v>
      </c>
      <c r="C118" s="88">
        <v>2020</v>
      </c>
      <c r="D118" t="s">
        <v>4377</v>
      </c>
      <c r="E118" s="34">
        <v>45657</v>
      </c>
      <c r="F118" s="88">
        <v>5526</v>
      </c>
      <c r="G118" t="s">
        <v>3695</v>
      </c>
      <c r="H118" t="s">
        <v>3696</v>
      </c>
      <c r="I118" s="88">
        <v>354707</v>
      </c>
      <c r="J118" t="s">
        <v>4305</v>
      </c>
      <c r="K118" s="86">
        <v>15004.0068359375</v>
      </c>
      <c r="L118" s="86">
        <v>2337.501953125</v>
      </c>
      <c r="M118" s="86">
        <v>358.97900390625</v>
      </c>
      <c r="N118" s="86">
        <v>12632.2119140625</v>
      </c>
      <c r="O118" s="86">
        <v>602.27099609375</v>
      </c>
      <c r="P118" s="86">
        <v>199.71400451660156</v>
      </c>
      <c r="Q118" s="86">
        <v>2579.77490234375</v>
      </c>
      <c r="R118" s="86">
        <v>109.18099975585938</v>
      </c>
      <c r="S118" s="86">
        <v>35.389999389648438</v>
      </c>
      <c r="T118" s="86">
        <v>9.6160726547241211</v>
      </c>
      <c r="U118" s="86">
        <v>1.3310711830854416E-2</v>
      </c>
      <c r="V118" s="86">
        <v>0.8419225811958313</v>
      </c>
      <c r="W118" s="86">
        <v>0.2334587424993515</v>
      </c>
      <c r="X118" s="86">
        <v>2.3925542831420898E-2</v>
      </c>
      <c r="Y118" s="86">
        <v>0</v>
      </c>
      <c r="Z118" s="86">
        <v>0.60495680570602417</v>
      </c>
    </row>
    <row r="119" spans="1:26" x14ac:dyDescent="0.25">
      <c r="A119" s="88">
        <v>358</v>
      </c>
      <c r="B119" t="s">
        <v>103</v>
      </c>
      <c r="C119" s="88">
        <v>2019</v>
      </c>
      <c r="D119" t="s">
        <v>4378</v>
      </c>
      <c r="E119" s="34">
        <v>45291</v>
      </c>
      <c r="F119" s="88">
        <v>60902</v>
      </c>
      <c r="G119" t="s">
        <v>3698</v>
      </c>
      <c r="H119" t="s">
        <v>3699</v>
      </c>
      <c r="I119" s="88">
        <v>1172222</v>
      </c>
      <c r="J119" t="s">
        <v>4311</v>
      </c>
      <c r="K119" s="86">
        <v>4126.6240234375</v>
      </c>
      <c r="L119" s="86">
        <v>1081.7960205078125</v>
      </c>
      <c r="M119" s="86">
        <v>618.655029296875</v>
      </c>
      <c r="N119" s="86">
        <v>3044.827880859375</v>
      </c>
      <c r="O119" s="86">
        <v>771.8590087890625</v>
      </c>
      <c r="P119" s="86">
        <v>223.98399353027344</v>
      </c>
      <c r="Q119" s="86">
        <v>2832.22802734375</v>
      </c>
      <c r="R119" s="86">
        <v>46.122001647949219</v>
      </c>
      <c r="S119" s="86">
        <v>29.290000915527344</v>
      </c>
      <c r="T119" s="86">
        <v>8.3252153396606445</v>
      </c>
      <c r="U119" s="86">
        <v>5.4277781397104263E-2</v>
      </c>
      <c r="V119" s="86">
        <v>0.73784959316253662</v>
      </c>
      <c r="W119" s="86">
        <v>0.27252712845802307</v>
      </c>
      <c r="X119" s="86">
        <v>0.14991796016693115</v>
      </c>
      <c r="Y119" s="86">
        <v>0</v>
      </c>
      <c r="Z119" s="86">
        <v>0.8007885217666626</v>
      </c>
    </row>
    <row r="120" spans="1:26" x14ac:dyDescent="0.25">
      <c r="A120" s="88">
        <v>359</v>
      </c>
      <c r="B120" t="s">
        <v>104</v>
      </c>
      <c r="C120" s="88">
        <v>2020</v>
      </c>
      <c r="D120" t="s">
        <v>3700</v>
      </c>
      <c r="E120" s="34">
        <v>46022</v>
      </c>
      <c r="F120" s="88">
        <v>13125</v>
      </c>
      <c r="G120" t="s">
        <v>3702</v>
      </c>
      <c r="H120" t="s">
        <v>3703</v>
      </c>
      <c r="I120" s="88">
        <v>765880</v>
      </c>
      <c r="J120" t="s">
        <v>4305</v>
      </c>
      <c r="K120" s="86">
        <v>15920.0888671875</v>
      </c>
      <c r="L120" s="86">
        <v>6788.34521484375</v>
      </c>
      <c r="M120" s="86">
        <v>111.43199920654297</v>
      </c>
      <c r="N120" s="86">
        <v>8575.5166015625</v>
      </c>
      <c r="O120" s="86">
        <v>198.87699890136719</v>
      </c>
      <c r="P120" s="86">
        <v>413.56298828125</v>
      </c>
      <c r="Q120" s="86">
        <v>1578.2760009765625</v>
      </c>
      <c r="R120" s="86">
        <v>538.405029296875</v>
      </c>
      <c r="S120" s="86">
        <v>30.229999542236328</v>
      </c>
      <c r="T120" s="86">
        <v>9.6753368377685547</v>
      </c>
      <c r="U120" s="86">
        <v>2.5977429002523422E-2</v>
      </c>
      <c r="V120" s="86">
        <v>0.53866010904312134</v>
      </c>
      <c r="W120" s="86">
        <v>0.1260090172290802</v>
      </c>
      <c r="X120" s="86">
        <v>6.9994581863284111E-3</v>
      </c>
      <c r="Y120" s="86">
        <v>0</v>
      </c>
      <c r="Z120" s="86">
        <v>0.41707742214202881</v>
      </c>
    </row>
    <row r="121" spans="1:26" x14ac:dyDescent="0.25">
      <c r="A121" s="88">
        <v>360</v>
      </c>
      <c r="B121" t="s">
        <v>104</v>
      </c>
      <c r="C121" s="88">
        <v>2019</v>
      </c>
      <c r="D121" t="s">
        <v>3700</v>
      </c>
      <c r="E121" s="34">
        <v>46022</v>
      </c>
      <c r="F121" s="88">
        <v>13125</v>
      </c>
      <c r="G121" t="s">
        <v>3702</v>
      </c>
      <c r="H121" t="s">
        <v>3703</v>
      </c>
      <c r="I121" s="88">
        <v>765880</v>
      </c>
      <c r="J121" t="s">
        <v>4311</v>
      </c>
      <c r="K121" s="86">
        <v>14032.890625</v>
      </c>
      <c r="L121" s="86">
        <v>6085.05810546875</v>
      </c>
      <c r="M121" s="86">
        <v>184.65699768066406</v>
      </c>
      <c r="N121" s="86">
        <v>7365.4169921875</v>
      </c>
      <c r="O121" s="86">
        <v>223.46200561523438</v>
      </c>
      <c r="P121" s="86">
        <v>45.529998779296875</v>
      </c>
      <c r="Q121" s="86">
        <v>1988.758056640625</v>
      </c>
      <c r="R121" s="86">
        <v>505.22198486328125</v>
      </c>
      <c r="S121" s="86">
        <v>34.470001220703125</v>
      </c>
      <c r="T121" s="86">
        <v>9.549159049987793</v>
      </c>
      <c r="U121" s="86">
        <v>3.2445203978568316E-3</v>
      </c>
      <c r="V121" s="86">
        <v>0.52486813068389893</v>
      </c>
      <c r="W121" s="86">
        <v>0.11236259341239929</v>
      </c>
      <c r="X121" s="86">
        <v>1.3158870860934258E-2</v>
      </c>
      <c r="Y121" s="86">
        <v>0</v>
      </c>
      <c r="Z121" s="86">
        <v>0.34941470623016357</v>
      </c>
    </row>
    <row r="122" spans="1:26" x14ac:dyDescent="0.25">
      <c r="A122" s="88">
        <v>366</v>
      </c>
      <c r="B122" t="s">
        <v>105</v>
      </c>
      <c r="C122" s="88">
        <v>2020</v>
      </c>
      <c r="D122" t="s">
        <v>4379</v>
      </c>
      <c r="E122" s="34">
        <v>46022</v>
      </c>
      <c r="F122" s="88">
        <v>5597</v>
      </c>
      <c r="G122" t="s">
        <v>3705</v>
      </c>
      <c r="H122" t="s">
        <v>3706</v>
      </c>
      <c r="I122" s="88">
        <v>47111</v>
      </c>
      <c r="J122" t="s">
        <v>4305</v>
      </c>
      <c r="K122" s="86">
        <v>9131.8447265625</v>
      </c>
      <c r="L122" s="86">
        <v>2234.35205078125</v>
      </c>
      <c r="M122" s="86">
        <v>1143.987060546875</v>
      </c>
      <c r="N122" s="86">
        <v>6893.9619140625</v>
      </c>
      <c r="O122" s="86">
        <v>3968.970947265625</v>
      </c>
      <c r="P122" s="86">
        <v>1278.7080078125</v>
      </c>
      <c r="Q122" s="86">
        <v>8149.71923828125</v>
      </c>
      <c r="R122" s="86">
        <v>208.22700500488281</v>
      </c>
      <c r="S122" s="86">
        <v>152.33000183105469</v>
      </c>
      <c r="T122" s="86">
        <v>9.1195230484008789</v>
      </c>
      <c r="U122" s="86">
        <v>0.14002734422683716</v>
      </c>
      <c r="V122" s="86">
        <v>0.75493639707565308</v>
      </c>
      <c r="W122" s="86">
        <v>0.48700708150863647</v>
      </c>
      <c r="X122" s="86">
        <v>0.12527447938919067</v>
      </c>
      <c r="Y122" s="86">
        <v>0</v>
      </c>
      <c r="Z122" s="86">
        <v>7.0441581308841705E-2</v>
      </c>
    </row>
    <row r="123" spans="1:26" x14ac:dyDescent="0.25">
      <c r="A123" s="88">
        <v>367</v>
      </c>
      <c r="B123" t="s">
        <v>105</v>
      </c>
      <c r="C123" s="88">
        <v>2019</v>
      </c>
      <c r="D123" t="s">
        <v>4379</v>
      </c>
      <c r="E123" s="34">
        <v>46022</v>
      </c>
      <c r="F123" s="88">
        <v>5597</v>
      </c>
      <c r="G123" t="s">
        <v>3705</v>
      </c>
      <c r="H123" t="s">
        <v>3706</v>
      </c>
      <c r="I123" s="88">
        <v>47111</v>
      </c>
      <c r="J123" t="s">
        <v>4311</v>
      </c>
      <c r="K123" s="86">
        <v>8140.39501953125</v>
      </c>
      <c r="L123" s="86">
        <v>1739.2220458984375</v>
      </c>
      <c r="M123" s="86">
        <v>493.26199340820313</v>
      </c>
      <c r="N123" s="86">
        <v>6395.40087890625</v>
      </c>
      <c r="O123" s="86">
        <v>3889.241943359375</v>
      </c>
      <c r="P123" s="86">
        <v>1149.6920166015625</v>
      </c>
      <c r="Q123" s="86">
        <v>7986.251953125</v>
      </c>
      <c r="R123" s="86">
        <v>208.82899475097656</v>
      </c>
      <c r="S123" s="86">
        <v>146.97999572753906</v>
      </c>
      <c r="T123" s="86">
        <v>9.0045938491821289</v>
      </c>
      <c r="U123" s="86">
        <v>0.14123295247554779</v>
      </c>
      <c r="V123" s="86">
        <v>0.78563767671585083</v>
      </c>
      <c r="W123" s="86">
        <v>0.48699215054512024</v>
      </c>
      <c r="X123" s="86">
        <v>6.0594357550144196E-2</v>
      </c>
      <c r="Y123" s="86">
        <v>0</v>
      </c>
      <c r="Z123" s="86">
        <v>5.6663841009140015E-2</v>
      </c>
    </row>
    <row r="124" spans="1:26" x14ac:dyDescent="0.25">
      <c r="A124" s="88">
        <v>368</v>
      </c>
      <c r="B124" t="s">
        <v>106</v>
      </c>
      <c r="C124" s="88">
        <v>2020</v>
      </c>
      <c r="D124" t="s">
        <v>3707</v>
      </c>
      <c r="E124" s="34">
        <v>45657</v>
      </c>
      <c r="F124" s="88">
        <v>1380</v>
      </c>
      <c r="G124" t="s">
        <v>3709</v>
      </c>
      <c r="H124" t="s">
        <v>3710</v>
      </c>
      <c r="I124" s="88">
        <v>4447</v>
      </c>
      <c r="J124" t="s">
        <v>4305</v>
      </c>
      <c r="K124" s="86">
        <v>18821</v>
      </c>
      <c r="L124" s="86">
        <v>5366</v>
      </c>
      <c r="M124" s="86">
        <v>1739</v>
      </c>
      <c r="N124" s="86">
        <v>12486</v>
      </c>
      <c r="O124" s="86">
        <v>304</v>
      </c>
      <c r="P124" s="86">
        <v>-3093</v>
      </c>
      <c r="Q124" s="86">
        <v>4667</v>
      </c>
      <c r="R124" s="86">
        <v>306.98001098632813</v>
      </c>
      <c r="S124" s="86">
        <v>52.790000915527344</v>
      </c>
      <c r="T124" s="86">
        <v>9.8427286148071289</v>
      </c>
      <c r="U124" s="86">
        <v>-0.16433770954608917</v>
      </c>
      <c r="V124" s="86">
        <v>0.66340792179107666</v>
      </c>
      <c r="W124" s="86">
        <v>6.5138205885887146E-2</v>
      </c>
      <c r="X124" s="86">
        <v>9.239678829908371E-2</v>
      </c>
      <c r="Y124" s="86">
        <v>1</v>
      </c>
      <c r="Z124" s="86">
        <v>0.33112266659736633</v>
      </c>
    </row>
    <row r="125" spans="1:26" x14ac:dyDescent="0.25">
      <c r="A125" s="88">
        <v>370</v>
      </c>
      <c r="B125" t="s">
        <v>106</v>
      </c>
      <c r="C125" s="88">
        <v>2018</v>
      </c>
      <c r="D125" t="s">
        <v>3707</v>
      </c>
      <c r="E125" s="34">
        <v>45657</v>
      </c>
      <c r="F125" s="88">
        <v>1380</v>
      </c>
      <c r="G125" t="s">
        <v>3709</v>
      </c>
      <c r="H125" t="s">
        <v>3710</v>
      </c>
      <c r="I125" s="88">
        <v>4447</v>
      </c>
      <c r="J125" t="s">
        <v>4307</v>
      </c>
      <c r="K125" s="86">
        <v>21433</v>
      </c>
      <c r="L125" s="86">
        <v>9628</v>
      </c>
      <c r="M125" s="86">
        <v>2694</v>
      </c>
      <c r="N125" s="86">
        <v>10545</v>
      </c>
      <c r="O125" s="86">
        <v>3266</v>
      </c>
      <c r="P125" s="86">
        <v>-282</v>
      </c>
      <c r="Q125" s="86">
        <v>6323</v>
      </c>
      <c r="R125" s="86">
        <v>291.43499755859375</v>
      </c>
      <c r="S125" s="86">
        <v>40.5</v>
      </c>
      <c r="T125" s="86">
        <v>9.972686767578125</v>
      </c>
      <c r="U125" s="86">
        <v>-1.3157281093299389E-2</v>
      </c>
      <c r="V125" s="86">
        <v>0.49199831485748291</v>
      </c>
      <c r="W125" s="86">
        <v>0.51652693748474121</v>
      </c>
      <c r="X125" s="86">
        <v>0.12569402158260345</v>
      </c>
      <c r="Y125" s="86">
        <v>1</v>
      </c>
      <c r="Z125" s="86">
        <v>0.81571668386459351</v>
      </c>
    </row>
    <row r="126" spans="1:26" x14ac:dyDescent="0.25">
      <c r="A126" s="88">
        <v>372</v>
      </c>
      <c r="B126" t="s">
        <v>107</v>
      </c>
      <c r="C126" s="88">
        <v>2019</v>
      </c>
      <c r="D126" t="s">
        <v>3711</v>
      </c>
      <c r="E126" s="34">
        <v>45961</v>
      </c>
      <c r="F126" s="88">
        <v>26156</v>
      </c>
      <c r="G126" t="s">
        <v>3713</v>
      </c>
      <c r="H126" t="s">
        <v>3714</v>
      </c>
      <c r="I126" s="88">
        <v>1645590</v>
      </c>
      <c r="J126" t="s">
        <v>4380</v>
      </c>
      <c r="K126" s="86">
        <v>51803</v>
      </c>
      <c r="L126" s="86">
        <v>17098</v>
      </c>
      <c r="M126" s="86">
        <v>4076</v>
      </c>
      <c r="N126" s="86">
        <v>34654</v>
      </c>
      <c r="O126" s="86">
        <v>11768</v>
      </c>
      <c r="P126" s="86">
        <v>1049</v>
      </c>
      <c r="Q126" s="86">
        <v>29135</v>
      </c>
      <c r="R126" s="86">
        <v>1294.3690185546875</v>
      </c>
      <c r="S126" s="86">
        <v>16.409999847412109</v>
      </c>
      <c r="T126" s="86">
        <v>10.855203628540039</v>
      </c>
      <c r="U126" s="86">
        <v>2.024979330599308E-2</v>
      </c>
      <c r="V126" s="86">
        <v>0.6689574122428894</v>
      </c>
      <c r="W126" s="86">
        <v>0.40391281247138977</v>
      </c>
      <c r="X126" s="86">
        <v>7.8682698309421539E-2</v>
      </c>
      <c r="Y126" s="86">
        <v>0</v>
      </c>
      <c r="Z126" s="86">
        <v>0.80496799945831299</v>
      </c>
    </row>
    <row r="127" spans="1:26" x14ac:dyDescent="0.25">
      <c r="A127" s="88">
        <v>379</v>
      </c>
      <c r="B127" t="s">
        <v>108</v>
      </c>
      <c r="C127" s="88">
        <v>2020</v>
      </c>
      <c r="D127" t="s">
        <v>4381</v>
      </c>
      <c r="E127" s="34">
        <v>45930</v>
      </c>
      <c r="F127" s="88">
        <v>20904</v>
      </c>
      <c r="G127" t="s">
        <v>3716</v>
      </c>
      <c r="H127" t="s">
        <v>3717</v>
      </c>
      <c r="I127" s="88">
        <v>859737</v>
      </c>
      <c r="J127" t="s">
        <v>4323</v>
      </c>
      <c r="K127" s="86">
        <v>7195.7998046875</v>
      </c>
      <c r="L127" s="86">
        <v>2705.199951171875</v>
      </c>
      <c r="M127" s="86">
        <v>701</v>
      </c>
      <c r="N127" s="86">
        <v>4488.5</v>
      </c>
      <c r="O127" s="86">
        <v>2599.5</v>
      </c>
      <c r="P127" s="86">
        <v>1115.199951171875</v>
      </c>
      <c r="Q127" s="86">
        <v>3776.39990234375</v>
      </c>
      <c r="R127" s="86">
        <v>257.49798583984375</v>
      </c>
      <c r="S127" s="86">
        <v>66.470001220703125</v>
      </c>
      <c r="T127" s="86">
        <v>8.8812532424926758</v>
      </c>
      <c r="U127" s="86">
        <v>0.15497928857803345</v>
      </c>
      <c r="V127" s="86">
        <v>0.62376666069030762</v>
      </c>
      <c r="W127" s="86">
        <v>0.6883540153503418</v>
      </c>
      <c r="X127" s="86">
        <v>9.7417943179607391E-2</v>
      </c>
      <c r="Y127" s="86">
        <v>0</v>
      </c>
      <c r="Z127" s="86">
        <v>0.15805195271968842</v>
      </c>
    </row>
    <row r="128" spans="1:26" x14ac:dyDescent="0.25">
      <c r="A128" s="88">
        <v>381</v>
      </c>
      <c r="B128" t="s">
        <v>109</v>
      </c>
      <c r="C128" s="88">
        <v>2020</v>
      </c>
      <c r="D128" t="s">
        <v>4382</v>
      </c>
      <c r="E128" s="34">
        <v>46053</v>
      </c>
      <c r="F128" s="88">
        <v>5680</v>
      </c>
      <c r="G128" t="s">
        <v>3719</v>
      </c>
      <c r="H128" t="s">
        <v>3720</v>
      </c>
      <c r="I128" s="88">
        <v>354950</v>
      </c>
      <c r="J128" t="s">
        <v>4383</v>
      </c>
      <c r="K128" s="86">
        <v>51236</v>
      </c>
      <c r="L128" s="86">
        <v>-3116</v>
      </c>
      <c r="M128" s="86">
        <v>2133</v>
      </c>
      <c r="N128" s="86">
        <v>54352</v>
      </c>
      <c r="O128" s="86">
        <v>37806</v>
      </c>
      <c r="P128" s="86">
        <v>11242</v>
      </c>
      <c r="Q128" s="86">
        <v>110225</v>
      </c>
      <c r="R128" s="86">
        <v>1077</v>
      </c>
      <c r="S128" s="86">
        <v>228.10000610351563</v>
      </c>
      <c r="T128" s="86">
        <v>10.844197273254395</v>
      </c>
      <c r="U128" s="86">
        <v>0.21941603720188141</v>
      </c>
      <c r="V128" s="86">
        <v>1.0608166456222534</v>
      </c>
      <c r="W128" s="86">
        <v>0.34298932552337646</v>
      </c>
      <c r="X128" s="86">
        <v>4.1630882769823074E-2</v>
      </c>
      <c r="Y128" s="86">
        <v>0</v>
      </c>
      <c r="Z128" s="86">
        <v>-1.2684006243944168E-2</v>
      </c>
    </row>
    <row r="129" spans="1:26" x14ac:dyDescent="0.25">
      <c r="A129" s="88">
        <v>389</v>
      </c>
      <c r="B129" t="s">
        <v>110</v>
      </c>
      <c r="C129" s="88">
        <v>2020</v>
      </c>
      <c r="D129" t="s">
        <v>4384</v>
      </c>
      <c r="E129" s="34">
        <v>46022</v>
      </c>
      <c r="F129" s="88">
        <v>28192</v>
      </c>
      <c r="G129" t="s">
        <v>3722</v>
      </c>
      <c r="H129" t="s">
        <v>3723</v>
      </c>
      <c r="I129" s="88">
        <v>4281</v>
      </c>
      <c r="J129" t="s">
        <v>4305</v>
      </c>
      <c r="K129" s="86">
        <v>11443</v>
      </c>
      <c r="L129" s="86">
        <v>3522</v>
      </c>
      <c r="M129" s="86">
        <v>1611</v>
      </c>
      <c r="N129" s="86">
        <v>7866</v>
      </c>
      <c r="O129" s="86">
        <v>1387</v>
      </c>
      <c r="P129" s="86">
        <v>261</v>
      </c>
      <c r="Q129" s="86">
        <v>5259</v>
      </c>
      <c r="R129" s="86">
        <v>432.906005859375</v>
      </c>
      <c r="S129" s="86">
        <v>28.540000915527344</v>
      </c>
      <c r="T129" s="86">
        <v>9.3451337814331055</v>
      </c>
      <c r="U129" s="86">
        <v>2.2808704525232315E-2</v>
      </c>
      <c r="V129" s="86">
        <v>0.68740713596343994</v>
      </c>
      <c r="W129" s="86">
        <v>0.26373836398124695</v>
      </c>
      <c r="X129" s="86">
        <v>0.14078475534915924</v>
      </c>
      <c r="Y129" s="86">
        <v>0</v>
      </c>
      <c r="Z129" s="86">
        <v>0.28506359457969666</v>
      </c>
    </row>
    <row r="130" spans="1:26" x14ac:dyDescent="0.25">
      <c r="A130" s="88">
        <v>390</v>
      </c>
      <c r="B130" t="s">
        <v>110</v>
      </c>
      <c r="C130" s="88">
        <v>2019</v>
      </c>
      <c r="D130" t="s">
        <v>4384</v>
      </c>
      <c r="E130" s="34">
        <v>46022</v>
      </c>
      <c r="F130" s="88">
        <v>28192</v>
      </c>
      <c r="G130" t="s">
        <v>3722</v>
      </c>
      <c r="H130" t="s">
        <v>3723</v>
      </c>
      <c r="I130" s="88">
        <v>4281</v>
      </c>
      <c r="J130" t="s">
        <v>4311</v>
      </c>
      <c r="K130" s="86">
        <v>17578</v>
      </c>
      <c r="L130" s="86">
        <v>4552</v>
      </c>
      <c r="M130" s="86">
        <v>1703</v>
      </c>
      <c r="N130" s="86">
        <v>12957</v>
      </c>
      <c r="O130" s="86">
        <v>2993</v>
      </c>
      <c r="P130" s="86">
        <v>470</v>
      </c>
      <c r="Q130" s="86">
        <v>14192</v>
      </c>
      <c r="R130" s="86">
        <v>432.85501098632813</v>
      </c>
      <c r="S130" s="86">
        <v>30.770000457763672</v>
      </c>
      <c r="T130" s="86">
        <v>9.7744035720825195</v>
      </c>
      <c r="U130" s="86">
        <v>2.6737967506051064E-2</v>
      </c>
      <c r="V130" s="86">
        <v>0.7371145486831665</v>
      </c>
      <c r="W130" s="86">
        <v>0.21089346706867218</v>
      </c>
      <c r="X130" s="86">
        <v>9.6882469952106476E-2</v>
      </c>
      <c r="Y130" s="86">
        <v>0</v>
      </c>
      <c r="Z130" s="86">
        <v>0.34176871180534363</v>
      </c>
    </row>
    <row r="131" spans="1:26" x14ac:dyDescent="0.25">
      <c r="A131" s="88">
        <v>392</v>
      </c>
      <c r="B131" t="s">
        <v>111</v>
      </c>
      <c r="C131" s="88">
        <v>2019</v>
      </c>
      <c r="D131" t="s">
        <v>3724</v>
      </c>
      <c r="E131" s="34">
        <v>45961</v>
      </c>
      <c r="F131" s="88">
        <v>5606</v>
      </c>
      <c r="G131" t="s">
        <v>3726</v>
      </c>
      <c r="H131" t="s">
        <v>3727</v>
      </c>
      <c r="I131" s="88">
        <v>47217</v>
      </c>
      <c r="J131" t="s">
        <v>4380</v>
      </c>
      <c r="K131" s="86">
        <v>33467</v>
      </c>
      <c r="L131" s="86">
        <v>-1193</v>
      </c>
      <c r="M131" s="86">
        <v>4537</v>
      </c>
      <c r="N131" s="86">
        <v>34660</v>
      </c>
      <c r="O131" s="86">
        <v>11793</v>
      </c>
      <c r="P131" s="86">
        <v>3152</v>
      </c>
      <c r="Q131" s="86">
        <v>58756</v>
      </c>
      <c r="R131" s="86">
        <v>1457.718994140625</v>
      </c>
      <c r="S131" s="86">
        <v>17.370000839233398</v>
      </c>
      <c r="T131" s="86">
        <v>10.418314933776855</v>
      </c>
      <c r="U131" s="86">
        <v>9.4182327389717102E-2</v>
      </c>
      <c r="V131" s="86">
        <v>1.0356470346450806</v>
      </c>
      <c r="W131" s="86">
        <v>0.20071141421794891</v>
      </c>
      <c r="X131" s="86">
        <v>0.13556638360023499</v>
      </c>
      <c r="Y131" s="86">
        <v>0</v>
      </c>
      <c r="Z131" s="86">
        <v>-4.7115825116634369E-2</v>
      </c>
    </row>
    <row r="132" spans="1:26" x14ac:dyDescent="0.25">
      <c r="A132" s="88">
        <v>395</v>
      </c>
      <c r="B132" t="s">
        <v>112</v>
      </c>
      <c r="C132" s="88">
        <v>2020</v>
      </c>
      <c r="D132" t="s">
        <v>4385</v>
      </c>
      <c r="E132" s="34">
        <v>46022</v>
      </c>
      <c r="F132" s="88">
        <v>162401</v>
      </c>
      <c r="G132" t="s">
        <v>3729</v>
      </c>
      <c r="H132" t="s">
        <v>3730</v>
      </c>
      <c r="I132" s="88">
        <v>1307954</v>
      </c>
      <c r="J132" t="s">
        <v>4305</v>
      </c>
      <c r="K132" s="86">
        <v>8713</v>
      </c>
      <c r="L132" s="86">
        <v>3519</v>
      </c>
      <c r="M132" s="86">
        <v>1593</v>
      </c>
      <c r="N132" s="86">
        <v>5040</v>
      </c>
      <c r="O132" s="86">
        <v>1375</v>
      </c>
      <c r="P132" s="86">
        <v>1034</v>
      </c>
      <c r="Q132" s="86">
        <v>6018</v>
      </c>
      <c r="R132" s="86">
        <v>220.04600524902344</v>
      </c>
      <c r="S132" s="86">
        <v>25.139999389648438</v>
      </c>
      <c r="T132" s="86">
        <v>9.0725717544555664</v>
      </c>
      <c r="U132" s="86">
        <v>0.11867325007915497</v>
      </c>
      <c r="V132" s="86">
        <v>0.57844597101211548</v>
      </c>
      <c r="W132" s="86">
        <v>0.22848121821880341</v>
      </c>
      <c r="X132" s="86">
        <v>0.18283025920391083</v>
      </c>
      <c r="Y132" s="86">
        <v>0</v>
      </c>
      <c r="Z132" s="86">
        <v>0.63612216711044312</v>
      </c>
    </row>
    <row r="133" spans="1:26" x14ac:dyDescent="0.25">
      <c r="A133" s="88">
        <v>399</v>
      </c>
      <c r="B133" t="s">
        <v>113</v>
      </c>
      <c r="C133" s="88">
        <v>2019</v>
      </c>
      <c r="D133" t="s">
        <v>4386</v>
      </c>
      <c r="E133" s="34">
        <v>46022</v>
      </c>
      <c r="F133" s="88">
        <v>6066</v>
      </c>
      <c r="G133" t="s">
        <v>3732</v>
      </c>
      <c r="H133" t="s">
        <v>3733</v>
      </c>
      <c r="I133" s="88">
        <v>51143</v>
      </c>
      <c r="J133" t="s">
        <v>4311</v>
      </c>
      <c r="K133" s="86">
        <v>152186</v>
      </c>
      <c r="L133" s="86">
        <v>20841</v>
      </c>
      <c r="M133" s="86">
        <v>9009</v>
      </c>
      <c r="N133" s="86">
        <v>131201</v>
      </c>
      <c r="O133" s="86">
        <v>42404</v>
      </c>
      <c r="P133" s="86">
        <v>9431</v>
      </c>
      <c r="Q133" s="86">
        <v>77147</v>
      </c>
      <c r="R133" s="86">
        <v>887.1099853515625</v>
      </c>
      <c r="S133" s="86">
        <v>134.03999328613281</v>
      </c>
      <c r="T133" s="86">
        <v>11.932858467102051</v>
      </c>
      <c r="U133" s="86">
        <v>6.1970219016075134E-2</v>
      </c>
      <c r="V133" s="86">
        <v>0.86210954189300537</v>
      </c>
      <c r="W133" s="86">
        <v>0.54965198040008545</v>
      </c>
      <c r="X133" s="86">
        <v>5.9197299182415009E-2</v>
      </c>
      <c r="Y133" s="86">
        <v>0</v>
      </c>
      <c r="Z133" s="86">
        <v>0.17526963353157043</v>
      </c>
    </row>
    <row r="134" spans="1:26" x14ac:dyDescent="0.25">
      <c r="A134" s="88">
        <v>406</v>
      </c>
      <c r="B134" t="s">
        <v>114</v>
      </c>
      <c r="C134" s="88">
        <v>2019</v>
      </c>
      <c r="D134" t="s">
        <v>3734</v>
      </c>
      <c r="E134" s="34">
        <v>46022</v>
      </c>
      <c r="F134" s="88">
        <v>29127</v>
      </c>
      <c r="G134" t="s">
        <v>3736</v>
      </c>
      <c r="H134" t="s">
        <v>3737</v>
      </c>
      <c r="I134" s="88">
        <v>879169</v>
      </c>
      <c r="J134" t="s">
        <v>4311</v>
      </c>
      <c r="K134" s="86">
        <v>3426.75</v>
      </c>
      <c r="L134" s="86">
        <v>2598.406005859375</v>
      </c>
      <c r="M134" s="86">
        <v>2117.553955078125</v>
      </c>
      <c r="N134" s="86">
        <v>828.343994140625</v>
      </c>
      <c r="O134" s="86">
        <v>2098.110107421875</v>
      </c>
      <c r="P134" s="86">
        <v>446.906005859375</v>
      </c>
      <c r="Q134" s="86">
        <v>2158.759033203125</v>
      </c>
      <c r="R134" s="86">
        <v>216.17799377441406</v>
      </c>
      <c r="S134" s="86">
        <v>87.319999694824219</v>
      </c>
      <c r="T134" s="86">
        <v>8.1393671035766602</v>
      </c>
      <c r="U134" s="86">
        <v>0.1304168701171875</v>
      </c>
      <c r="V134" s="86">
        <v>0.24172875285148621</v>
      </c>
      <c r="W134" s="86">
        <v>0.97190564870834351</v>
      </c>
      <c r="X134" s="86">
        <v>0.61794817447662354</v>
      </c>
      <c r="Y134" s="86">
        <v>0</v>
      </c>
      <c r="Z134" s="86">
        <v>0.13765177130699158</v>
      </c>
    </row>
    <row r="135" spans="1:26" x14ac:dyDescent="0.25">
      <c r="A135" s="88">
        <v>412</v>
      </c>
      <c r="B135" t="s">
        <v>115</v>
      </c>
      <c r="C135" s="88">
        <v>2020</v>
      </c>
      <c r="D135" t="s">
        <v>3738</v>
      </c>
      <c r="E135" s="34">
        <v>46022</v>
      </c>
      <c r="F135" s="88">
        <v>177227</v>
      </c>
      <c r="G135" t="s">
        <v>3740</v>
      </c>
      <c r="H135" t="s">
        <v>3741</v>
      </c>
      <c r="I135" s="88">
        <v>1145197</v>
      </c>
      <c r="J135" t="s">
        <v>4305</v>
      </c>
      <c r="K135" s="86">
        <v>1872.9000244140625</v>
      </c>
      <c r="L135" s="86">
        <v>603.5999755859375</v>
      </c>
      <c r="M135" s="86">
        <v>947.5999755859375</v>
      </c>
      <c r="N135" s="86">
        <v>1269.300048828125</v>
      </c>
      <c r="O135" s="86">
        <v>628.79998779296875</v>
      </c>
      <c r="P135" s="86">
        <v>6.8000001907348633</v>
      </c>
      <c r="Q135" s="86">
        <v>904.4000244140625</v>
      </c>
      <c r="R135" s="86">
        <v>66.016998291015625</v>
      </c>
      <c r="S135" s="86">
        <v>255.6300048828125</v>
      </c>
      <c r="T135" s="86">
        <v>7.5352435111999512</v>
      </c>
      <c r="U135" s="86">
        <v>3.6307331174612045E-3</v>
      </c>
      <c r="V135" s="86">
        <v>0.67771905660629272</v>
      </c>
      <c r="W135" s="86">
        <v>0.69526755809783936</v>
      </c>
      <c r="X135" s="86">
        <v>0.50595331192016602</v>
      </c>
      <c r="Y135" s="86">
        <v>0</v>
      </c>
      <c r="Z135" s="86">
        <v>3.5766925662755966E-2</v>
      </c>
    </row>
    <row r="136" spans="1:26" x14ac:dyDescent="0.25">
      <c r="A136" s="88">
        <v>415</v>
      </c>
      <c r="B136" t="s">
        <v>116</v>
      </c>
      <c r="C136" s="88">
        <v>2018</v>
      </c>
      <c r="D136" t="s">
        <v>4387</v>
      </c>
      <c r="E136" s="34">
        <v>46022</v>
      </c>
      <c r="F136" s="88">
        <v>6008</v>
      </c>
      <c r="G136" t="s">
        <v>3743</v>
      </c>
      <c r="H136" t="s">
        <v>3744</v>
      </c>
      <c r="I136" s="88">
        <v>50863</v>
      </c>
      <c r="J136" t="s">
        <v>4307</v>
      </c>
      <c r="K136" s="86">
        <v>127963</v>
      </c>
      <c r="L136" s="86">
        <v>74563</v>
      </c>
      <c r="M136" s="86">
        <v>11650</v>
      </c>
      <c r="N136" s="86">
        <v>52981</v>
      </c>
      <c r="O136" s="86">
        <v>52622</v>
      </c>
      <c r="P136" s="86">
        <v>21053</v>
      </c>
      <c r="Q136" s="86">
        <v>70848</v>
      </c>
      <c r="R136" s="86">
        <v>4516</v>
      </c>
      <c r="S136" s="86">
        <v>46.930000305175781</v>
      </c>
      <c r="T136" s="86">
        <v>11.759496688842773</v>
      </c>
      <c r="U136" s="86">
        <v>0.16452412307262421</v>
      </c>
      <c r="V136" s="86">
        <v>0.41403374075889587</v>
      </c>
      <c r="W136" s="86">
        <v>0.742745041847229</v>
      </c>
      <c r="X136" s="86">
        <v>9.1041944921016693E-2</v>
      </c>
      <c r="Y136" s="86">
        <v>0</v>
      </c>
      <c r="Z136" s="86">
        <v>0.35181868076324463</v>
      </c>
    </row>
    <row r="137" spans="1:26" x14ac:dyDescent="0.25">
      <c r="A137" s="88">
        <v>419</v>
      </c>
      <c r="B137" t="s">
        <v>117</v>
      </c>
      <c r="C137" s="88">
        <v>2020</v>
      </c>
      <c r="D137" t="s">
        <v>4388</v>
      </c>
      <c r="E137" s="34">
        <v>46022</v>
      </c>
      <c r="F137" s="88">
        <v>6078</v>
      </c>
      <c r="G137" t="s">
        <v>3746</v>
      </c>
      <c r="H137" t="s">
        <v>3747</v>
      </c>
      <c r="I137" s="88">
        <v>51253</v>
      </c>
      <c r="J137" t="s">
        <v>4305</v>
      </c>
      <c r="K137" s="86">
        <v>13555.6708984375</v>
      </c>
      <c r="L137" s="86">
        <v>6311.15283203125</v>
      </c>
      <c r="M137" s="86">
        <v>656.83599853515625</v>
      </c>
      <c r="N137" s="86">
        <v>7135.083984375</v>
      </c>
      <c r="O137" s="86">
        <v>2219.81494140625</v>
      </c>
      <c r="P137" s="86">
        <v>363.22799682617188</v>
      </c>
      <c r="Q137" s="86">
        <v>5084.23876953125</v>
      </c>
      <c r="R137" s="86">
        <v>106.93800354003906</v>
      </c>
      <c r="S137" s="86">
        <v>108.83999633789063</v>
      </c>
      <c r="T137" s="86">
        <v>9.5145606994628906</v>
      </c>
      <c r="U137" s="86">
        <v>2.6795279234647751E-2</v>
      </c>
      <c r="V137" s="86">
        <v>0.52635419368743896</v>
      </c>
      <c r="W137" s="86">
        <v>0.43660715222358704</v>
      </c>
      <c r="X137" s="86">
        <v>4.8454701900482178E-2</v>
      </c>
      <c r="Y137" s="86">
        <v>0</v>
      </c>
      <c r="Z137" s="86">
        <v>0.54223567247390747</v>
      </c>
    </row>
    <row r="138" spans="1:26" x14ac:dyDescent="0.25">
      <c r="A138" s="88">
        <v>421</v>
      </c>
      <c r="B138" t="s">
        <v>118</v>
      </c>
      <c r="C138" s="88">
        <v>2019</v>
      </c>
      <c r="D138" t="s">
        <v>4389</v>
      </c>
      <c r="E138" s="34">
        <v>45657</v>
      </c>
      <c r="F138" s="88">
        <v>6136</v>
      </c>
      <c r="G138" t="s">
        <v>3749</v>
      </c>
      <c r="H138" t="s">
        <v>3750</v>
      </c>
      <c r="I138" s="88">
        <v>51644</v>
      </c>
      <c r="J138" t="s">
        <v>4311</v>
      </c>
      <c r="K138" s="86">
        <v>17751.900390625</v>
      </c>
      <c r="L138" s="86">
        <v>2775.89990234375</v>
      </c>
      <c r="M138" s="86">
        <v>1192.199951171875</v>
      </c>
      <c r="N138" s="86">
        <v>14761.599609375</v>
      </c>
      <c r="O138" s="86">
        <v>1492.199951171875</v>
      </c>
      <c r="P138" s="86">
        <v>656</v>
      </c>
      <c r="Q138" s="86">
        <v>10221.2998046875</v>
      </c>
      <c r="R138" s="86">
        <v>387</v>
      </c>
      <c r="S138" s="86">
        <v>23.100000381469727</v>
      </c>
      <c r="T138" s="86">
        <v>9.7842473983764648</v>
      </c>
      <c r="U138" s="86">
        <v>3.6953788250684738E-2</v>
      </c>
      <c r="V138" s="86">
        <v>0.83155035972595215</v>
      </c>
      <c r="W138" s="86">
        <v>0.14598925411701202</v>
      </c>
      <c r="X138" s="86">
        <v>6.7159004509449005E-2</v>
      </c>
      <c r="Y138" s="86">
        <v>0</v>
      </c>
      <c r="Z138" s="86">
        <v>0.31051376461982727</v>
      </c>
    </row>
    <row r="139" spans="1:26" x14ac:dyDescent="0.25">
      <c r="A139" s="88">
        <v>428</v>
      </c>
      <c r="B139" t="s">
        <v>119</v>
      </c>
      <c r="C139" s="88">
        <v>2019</v>
      </c>
      <c r="D139" t="s">
        <v>4390</v>
      </c>
      <c r="E139" s="34">
        <v>46022</v>
      </c>
      <c r="F139" s="88">
        <v>5783</v>
      </c>
      <c r="G139" t="s">
        <v>3752</v>
      </c>
      <c r="H139" t="s">
        <v>3753</v>
      </c>
      <c r="I139" s="88">
        <v>728535</v>
      </c>
      <c r="J139" t="s">
        <v>4311</v>
      </c>
      <c r="K139" s="86">
        <v>5470.85400390625</v>
      </c>
      <c r="L139" s="86">
        <v>2267.029052734375</v>
      </c>
      <c r="M139" s="86">
        <v>35</v>
      </c>
      <c r="N139" s="86">
        <v>3203.824951171875</v>
      </c>
      <c r="O139" s="86">
        <v>1523.9000244140625</v>
      </c>
      <c r="P139" s="86">
        <v>516.32000732421875</v>
      </c>
      <c r="Q139" s="86">
        <v>9165.2578125</v>
      </c>
      <c r="R139" s="86">
        <v>106.21299743652344</v>
      </c>
      <c r="S139" s="86">
        <v>116.77999877929688</v>
      </c>
      <c r="T139" s="86">
        <v>8.6071901321411133</v>
      </c>
      <c r="U139" s="86">
        <v>9.4376489520072937E-2</v>
      </c>
      <c r="V139" s="86">
        <v>0.58561694622039795</v>
      </c>
      <c r="W139" s="86">
        <v>0.16626919806003571</v>
      </c>
      <c r="X139" s="86">
        <v>6.3975388184189796E-3</v>
      </c>
      <c r="Y139" s="86">
        <v>0</v>
      </c>
      <c r="Z139" s="86">
        <v>0.18277254700660706</v>
      </c>
    </row>
    <row r="140" spans="1:26" x14ac:dyDescent="0.25">
      <c r="A140" s="88">
        <v>430</v>
      </c>
      <c r="B140" t="s">
        <v>120</v>
      </c>
      <c r="C140" s="88">
        <v>2019</v>
      </c>
      <c r="D140" t="s">
        <v>3754</v>
      </c>
      <c r="E140" s="34">
        <v>46022</v>
      </c>
      <c r="F140" s="88">
        <v>32154</v>
      </c>
      <c r="G140" t="s">
        <v>3756</v>
      </c>
      <c r="H140" t="s">
        <v>3757</v>
      </c>
      <c r="I140" s="88">
        <v>1689796</v>
      </c>
      <c r="J140" t="s">
        <v>4311</v>
      </c>
      <c r="K140" s="86">
        <v>5986.2509765625</v>
      </c>
      <c r="L140" s="86">
        <v>3386.47607421875</v>
      </c>
      <c r="M140" s="86">
        <v>142.51600646972656</v>
      </c>
      <c r="N140" s="86">
        <v>1986.8160400390625</v>
      </c>
      <c r="O140" s="86">
        <v>252.06500244140625</v>
      </c>
      <c r="P140" s="86">
        <v>65.570999145507813</v>
      </c>
      <c r="Q140" s="86">
        <v>651.760009765625</v>
      </c>
      <c r="R140" s="86">
        <v>134.14799499511719</v>
      </c>
      <c r="S140" s="86">
        <v>39.889999389648438</v>
      </c>
      <c r="T140" s="86">
        <v>8.6972208023071289</v>
      </c>
      <c r="U140" s="86">
        <v>1.0953600518405437E-2</v>
      </c>
      <c r="V140" s="86">
        <v>0.33189654350280762</v>
      </c>
      <c r="W140" s="86">
        <v>0.38674512505531311</v>
      </c>
      <c r="X140" s="86">
        <v>2.38072220236063E-2</v>
      </c>
      <c r="Y140" s="86">
        <v>0</v>
      </c>
      <c r="Z140" s="86">
        <v>0.63284856081008911</v>
      </c>
    </row>
    <row r="141" spans="1:26" x14ac:dyDescent="0.25">
      <c r="A141" s="88">
        <v>435</v>
      </c>
      <c r="B141" t="s">
        <v>3339</v>
      </c>
      <c r="C141" s="88">
        <v>2020</v>
      </c>
      <c r="D141" t="s">
        <v>4233</v>
      </c>
      <c r="E141" s="34">
        <v>45777</v>
      </c>
      <c r="F141" s="88">
        <v>9777</v>
      </c>
      <c r="G141" t="s">
        <v>3341</v>
      </c>
      <c r="H141" t="s">
        <v>4235</v>
      </c>
      <c r="I141" s="88">
        <v>91419</v>
      </c>
      <c r="J141" t="s">
        <v>4391</v>
      </c>
      <c r="K141" s="86">
        <v>16970.400390625</v>
      </c>
      <c r="L141" s="86">
        <v>8190.89990234375</v>
      </c>
      <c r="M141" s="86">
        <v>434.29998779296875</v>
      </c>
      <c r="N141" s="86">
        <v>8779.5</v>
      </c>
      <c r="O141" s="86">
        <v>3211.199951171875</v>
      </c>
      <c r="P141" s="86">
        <v>779.5</v>
      </c>
      <c r="Q141" s="86">
        <v>7801</v>
      </c>
      <c r="R141" s="86">
        <v>114.072998046875</v>
      </c>
      <c r="S141" s="86">
        <v>114.91000366210938</v>
      </c>
      <c r="T141" s="86">
        <v>9.7392263412475586</v>
      </c>
      <c r="U141" s="86">
        <v>4.5932918787002563E-2</v>
      </c>
      <c r="V141" s="86">
        <v>0.5173419713973999</v>
      </c>
      <c r="W141" s="86">
        <v>0.41163954138755798</v>
      </c>
      <c r="X141" s="86">
        <v>2.5591617450118065E-2</v>
      </c>
      <c r="Y141" s="86">
        <v>0</v>
      </c>
      <c r="Z141" s="86">
        <v>0.62487179040908813</v>
      </c>
    </row>
    <row r="142" spans="1:26" x14ac:dyDescent="0.25">
      <c r="A142" s="88">
        <v>436</v>
      </c>
      <c r="B142" t="s">
        <v>121</v>
      </c>
      <c r="C142" s="88">
        <v>2020</v>
      </c>
      <c r="D142" t="s">
        <v>4392</v>
      </c>
      <c r="E142" s="34">
        <v>46022</v>
      </c>
      <c r="F142" s="88">
        <v>6266</v>
      </c>
      <c r="G142" t="s">
        <v>3759</v>
      </c>
      <c r="H142" t="s">
        <v>3760</v>
      </c>
      <c r="I142" s="88">
        <v>200406</v>
      </c>
      <c r="J142" t="s">
        <v>4305</v>
      </c>
      <c r="K142" s="86">
        <v>174894</v>
      </c>
      <c r="L142" s="86">
        <v>63278</v>
      </c>
      <c r="M142" s="86">
        <v>25185</v>
      </c>
      <c r="N142" s="86">
        <v>111616</v>
      </c>
      <c r="O142" s="86">
        <v>61536</v>
      </c>
      <c r="P142" s="86">
        <v>14714</v>
      </c>
      <c r="Q142" s="86">
        <v>82584</v>
      </c>
      <c r="R142" s="86">
        <v>2632.511962890625</v>
      </c>
      <c r="S142" s="86">
        <v>157.3800048828125</v>
      </c>
      <c r="T142" s="86">
        <v>12.071935653686523</v>
      </c>
      <c r="U142" s="86">
        <v>8.4130957722663879E-2</v>
      </c>
      <c r="V142" s="86">
        <v>0.63819229602813721</v>
      </c>
      <c r="W142" s="86">
        <v>0.7451322078704834</v>
      </c>
      <c r="X142" s="86">
        <v>0.14400151371955872</v>
      </c>
      <c r="Y142" s="86">
        <v>0</v>
      </c>
      <c r="Z142" s="86">
        <v>0.15273298323154449</v>
      </c>
    </row>
    <row r="143" spans="1:26" x14ac:dyDescent="0.25">
      <c r="A143" s="88">
        <v>438</v>
      </c>
      <c r="B143" t="s">
        <v>122</v>
      </c>
      <c r="C143" s="88">
        <v>2020</v>
      </c>
      <c r="D143" t="s">
        <v>3761</v>
      </c>
      <c r="E143" s="34">
        <v>45930</v>
      </c>
      <c r="F143" s="88">
        <v>6268</v>
      </c>
      <c r="G143" t="s">
        <v>3763</v>
      </c>
      <c r="H143" t="s">
        <v>3764</v>
      </c>
      <c r="I143" s="88">
        <v>833444</v>
      </c>
      <c r="J143" t="s">
        <v>4323</v>
      </c>
      <c r="K143" s="86">
        <v>40815</v>
      </c>
      <c r="L143" s="86">
        <v>17447</v>
      </c>
      <c r="M143" s="86">
        <v>1960</v>
      </c>
      <c r="N143" s="86">
        <v>22282</v>
      </c>
      <c r="O143" s="86">
        <v>8233</v>
      </c>
      <c r="P143" s="86">
        <v>631</v>
      </c>
      <c r="Q143" s="86">
        <v>22317</v>
      </c>
      <c r="R143" s="86">
        <v>726.2230224609375</v>
      </c>
      <c r="S143" s="86">
        <v>40.849998474121094</v>
      </c>
      <c r="T143" s="86">
        <v>10.616805076599121</v>
      </c>
      <c r="U143" s="86">
        <v>1.5460002236068249E-2</v>
      </c>
      <c r="V143" s="86">
        <v>0.54592674970626831</v>
      </c>
      <c r="W143" s="86">
        <v>0.36891159415245056</v>
      </c>
      <c r="X143" s="86">
        <v>4.8021562397480011E-2</v>
      </c>
      <c r="Y143" s="86">
        <v>0</v>
      </c>
      <c r="Z143" s="86">
        <v>0.58811020851135254</v>
      </c>
    </row>
    <row r="144" spans="1:26" x14ac:dyDescent="0.25">
      <c r="A144" s="88">
        <v>439</v>
      </c>
      <c r="B144" t="s">
        <v>122</v>
      </c>
      <c r="C144" s="88">
        <v>2019</v>
      </c>
      <c r="D144" t="s">
        <v>3761</v>
      </c>
      <c r="E144" s="34">
        <v>45930</v>
      </c>
      <c r="F144" s="88">
        <v>6268</v>
      </c>
      <c r="G144" t="s">
        <v>3763</v>
      </c>
      <c r="H144" t="s">
        <v>3764</v>
      </c>
      <c r="I144" s="88">
        <v>833444</v>
      </c>
      <c r="J144" t="s">
        <v>4321</v>
      </c>
      <c r="K144" s="86">
        <v>42287</v>
      </c>
      <c r="L144" s="86">
        <v>19766</v>
      </c>
      <c r="M144" s="86">
        <v>2821</v>
      </c>
      <c r="N144" s="86">
        <v>21458</v>
      </c>
      <c r="O144" s="86">
        <v>8518</v>
      </c>
      <c r="P144" s="86">
        <v>5674</v>
      </c>
      <c r="Q144" s="86">
        <v>23968</v>
      </c>
      <c r="R144" s="86">
        <v>777.6309814453125</v>
      </c>
      <c r="S144" s="86">
        <v>43.889999389648438</v>
      </c>
      <c r="T144" s="86">
        <v>10.65223503112793</v>
      </c>
      <c r="U144" s="86">
        <v>0.13417835533618927</v>
      </c>
      <c r="V144" s="86">
        <v>0.50743728876113892</v>
      </c>
      <c r="W144" s="86">
        <v>0.3553905189037323</v>
      </c>
      <c r="X144" s="86">
        <v>6.6710807383060455E-2</v>
      </c>
      <c r="Y144" s="86">
        <v>0</v>
      </c>
      <c r="Z144" s="86">
        <v>0.57913482189178467</v>
      </c>
    </row>
    <row r="145" spans="1:26" x14ac:dyDescent="0.25">
      <c r="A145" s="88">
        <v>443</v>
      </c>
      <c r="B145" t="s">
        <v>123</v>
      </c>
      <c r="C145" s="88">
        <v>2020</v>
      </c>
      <c r="D145" t="s">
        <v>3765</v>
      </c>
      <c r="E145" s="34">
        <v>46022</v>
      </c>
      <c r="F145" s="88">
        <v>2968</v>
      </c>
      <c r="G145" t="s">
        <v>3767</v>
      </c>
      <c r="H145" t="s">
        <v>3768</v>
      </c>
      <c r="I145" s="88">
        <v>19617</v>
      </c>
      <c r="J145" t="s">
        <v>4305</v>
      </c>
      <c r="K145" s="86">
        <v>3386071</v>
      </c>
      <c r="L145" s="86">
        <v>249291</v>
      </c>
      <c r="M145" s="86">
        <v>823893</v>
      </c>
      <c r="N145" s="86">
        <v>3106717</v>
      </c>
      <c r="O145" s="86">
        <v>102063</v>
      </c>
      <c r="P145" s="86">
        <v>29131</v>
      </c>
      <c r="Q145" s="86">
        <v>129503</v>
      </c>
      <c r="R145" s="86">
        <v>3049.43408203125</v>
      </c>
      <c r="S145" s="86">
        <v>127.06999969482422</v>
      </c>
      <c r="T145" s="86">
        <v>15.035181045532227</v>
      </c>
      <c r="U145" s="86">
        <v>8.603186346590519E-3</v>
      </c>
      <c r="V145" s="86">
        <v>0.91749906539916992</v>
      </c>
      <c r="W145" s="86">
        <v>0.78811299800872803</v>
      </c>
      <c r="X145" s="86">
        <v>0.24331828951835632</v>
      </c>
      <c r="Y145" s="86">
        <v>0</v>
      </c>
      <c r="Z145" s="86">
        <v>0.64334559440612793</v>
      </c>
    </row>
    <row r="146" spans="1:26" x14ac:dyDescent="0.25">
      <c r="A146" s="88">
        <v>446</v>
      </c>
      <c r="B146" t="s">
        <v>124</v>
      </c>
      <c r="C146" s="88">
        <v>2020</v>
      </c>
      <c r="D146" t="s">
        <v>3769</v>
      </c>
      <c r="E146" s="34">
        <v>45657</v>
      </c>
      <c r="F146" s="88">
        <v>25922</v>
      </c>
      <c r="G146" t="s">
        <v>3771</v>
      </c>
      <c r="H146" t="s">
        <v>3772</v>
      </c>
      <c r="I146" s="88">
        <v>886346</v>
      </c>
      <c r="J146" t="s">
        <v>4305</v>
      </c>
      <c r="K146" s="86">
        <v>927.57098388671875</v>
      </c>
      <c r="L146" s="86">
        <v>495.3590087890625</v>
      </c>
      <c r="M146" s="86">
        <v>66.639999389648438</v>
      </c>
      <c r="N146" s="86">
        <v>430.66598510742188</v>
      </c>
      <c r="O146" s="86">
        <v>289.5150146484375</v>
      </c>
      <c r="P146" s="86">
        <v>55.195999145507813</v>
      </c>
      <c r="Q146" s="86">
        <v>635.02801513671875</v>
      </c>
      <c r="R146" s="86">
        <v>11.541999816894531</v>
      </c>
      <c r="S146" s="86">
        <v>140.97999572753906</v>
      </c>
      <c r="T146" s="86">
        <v>6.8325691223144531</v>
      </c>
      <c r="U146" s="86">
        <v>5.950595811009407E-2</v>
      </c>
      <c r="V146" s="86">
        <v>0.46429437398910522</v>
      </c>
      <c r="W146" s="86">
        <v>0.45590904355049133</v>
      </c>
      <c r="X146" s="86">
        <v>7.1843557059764862E-2</v>
      </c>
      <c r="Y146" s="86">
        <v>0</v>
      </c>
      <c r="Z146" s="86">
        <v>0.30442583560943604</v>
      </c>
    </row>
    <row r="147" spans="1:26" x14ac:dyDescent="0.25">
      <c r="A147" s="88">
        <v>447</v>
      </c>
      <c r="B147" t="s">
        <v>125</v>
      </c>
      <c r="C147" s="88">
        <v>2020</v>
      </c>
      <c r="D147" t="s">
        <v>3773</v>
      </c>
      <c r="E147" s="34">
        <v>45991</v>
      </c>
      <c r="F147" s="88">
        <v>12689</v>
      </c>
      <c r="G147" t="s">
        <v>3775</v>
      </c>
      <c r="H147" t="s">
        <v>3776</v>
      </c>
      <c r="I147" s="88">
        <v>795266</v>
      </c>
      <c r="J147" t="s">
        <v>4393</v>
      </c>
      <c r="K147" s="86">
        <v>5356.44189453125</v>
      </c>
      <c r="L147" s="86">
        <v>2665.76904296875</v>
      </c>
      <c r="M147" s="86">
        <v>682.52899169921875</v>
      </c>
      <c r="N147" s="86">
        <v>2690.673095703125</v>
      </c>
      <c r="O147" s="86">
        <v>831.1190185546875</v>
      </c>
      <c r="P147" s="86">
        <v>296.24301147460938</v>
      </c>
      <c r="Q147" s="86">
        <v>4183.173828125</v>
      </c>
      <c r="R147" s="86">
        <v>91.63800048828125</v>
      </c>
      <c r="S147" s="86">
        <v>35.200000762939453</v>
      </c>
      <c r="T147" s="86">
        <v>8.586054801940918</v>
      </c>
      <c r="U147" s="86">
        <v>5.5305931717157364E-2</v>
      </c>
      <c r="V147" s="86">
        <v>0.50232470035552979</v>
      </c>
      <c r="W147" s="86">
        <v>0.19868144392967224</v>
      </c>
      <c r="X147" s="86">
        <v>0.12742207944393158</v>
      </c>
      <c r="Y147" s="86">
        <v>0</v>
      </c>
      <c r="Z147" s="86">
        <v>0.82642650604248047</v>
      </c>
    </row>
    <row r="148" spans="1:26" x14ac:dyDescent="0.25">
      <c r="A148" s="88">
        <v>448</v>
      </c>
      <c r="B148" t="s">
        <v>126</v>
      </c>
      <c r="C148" s="88">
        <v>2019</v>
      </c>
      <c r="D148" t="s">
        <v>3777</v>
      </c>
      <c r="E148" s="34">
        <v>46022</v>
      </c>
      <c r="F148" s="88">
        <v>174310</v>
      </c>
      <c r="G148" t="s">
        <v>3779</v>
      </c>
      <c r="H148" t="s">
        <v>3780</v>
      </c>
      <c r="I148" s="88">
        <v>1357615</v>
      </c>
      <c r="J148" t="s">
        <v>4311</v>
      </c>
      <c r="K148" s="86">
        <v>5364</v>
      </c>
      <c r="L148" s="86">
        <v>1843</v>
      </c>
      <c r="M148" s="86">
        <v>712</v>
      </c>
      <c r="N148" s="86">
        <v>3507</v>
      </c>
      <c r="O148" s="86">
        <v>719</v>
      </c>
      <c r="P148" s="86">
        <v>202</v>
      </c>
      <c r="Q148" s="86">
        <v>5639</v>
      </c>
      <c r="R148" s="86">
        <v>141.81900024414063</v>
      </c>
      <c r="S148" s="86">
        <v>30.5</v>
      </c>
      <c r="T148" s="86">
        <v>8.5874652862548828</v>
      </c>
      <c r="U148" s="86">
        <v>3.7658464163541794E-2</v>
      </c>
      <c r="V148" s="86">
        <v>0.65380311012268066</v>
      </c>
      <c r="W148" s="86">
        <v>0.1275048702955246</v>
      </c>
      <c r="X148" s="86">
        <v>0.13273675739765167</v>
      </c>
      <c r="Y148" s="86">
        <v>0</v>
      </c>
      <c r="Z148" s="86">
        <v>0.42607992887496948</v>
      </c>
    </row>
    <row r="149" spans="1:26" x14ac:dyDescent="0.25">
      <c r="A149" s="88">
        <v>451</v>
      </c>
      <c r="B149" t="s">
        <v>127</v>
      </c>
      <c r="C149" s="88">
        <v>2017</v>
      </c>
      <c r="D149" t="s">
        <v>4394</v>
      </c>
      <c r="E149" s="34">
        <v>45657</v>
      </c>
      <c r="F149" s="88">
        <v>6375</v>
      </c>
      <c r="G149" t="s">
        <v>3782</v>
      </c>
      <c r="H149" t="s">
        <v>3783</v>
      </c>
      <c r="I149" s="88">
        <v>55067</v>
      </c>
      <c r="J149" t="s">
        <v>4395</v>
      </c>
      <c r="K149" s="86">
        <v>16350</v>
      </c>
      <c r="L149" s="86">
        <v>2212</v>
      </c>
      <c r="M149" s="86">
        <v>281</v>
      </c>
      <c r="N149" s="86">
        <v>14122</v>
      </c>
      <c r="O149" s="86">
        <v>5550</v>
      </c>
      <c r="P149" s="86">
        <v>1269</v>
      </c>
      <c r="Q149" s="86">
        <v>12923</v>
      </c>
      <c r="R149" s="86">
        <v>345.60299682617188</v>
      </c>
      <c r="S149" s="86">
        <v>67.980003356933594</v>
      </c>
      <c r="T149" s="86">
        <v>9.7019834518432617</v>
      </c>
      <c r="U149" s="86">
        <v>7.7614679932594299E-2</v>
      </c>
      <c r="V149" s="86">
        <v>0.86373090744018555</v>
      </c>
      <c r="W149" s="86">
        <v>0.4294668436050415</v>
      </c>
      <c r="X149" s="86">
        <v>1.7186544835567474E-2</v>
      </c>
      <c r="Y149" s="86">
        <v>0</v>
      </c>
      <c r="Z149" s="86">
        <v>9.4151325523853302E-2</v>
      </c>
    </row>
    <row r="150" spans="1:26" x14ac:dyDescent="0.25">
      <c r="A150" s="88">
        <v>456</v>
      </c>
      <c r="B150" t="s">
        <v>128</v>
      </c>
      <c r="C150" s="88">
        <v>2020</v>
      </c>
      <c r="D150" t="s">
        <v>3785</v>
      </c>
      <c r="E150" s="34">
        <v>46022</v>
      </c>
      <c r="F150" s="88">
        <v>28877</v>
      </c>
      <c r="G150" t="s">
        <v>3787</v>
      </c>
      <c r="H150" t="s">
        <v>3788</v>
      </c>
      <c r="I150" s="88">
        <v>1418135</v>
      </c>
      <c r="J150" t="s">
        <v>4305</v>
      </c>
      <c r="K150" s="86">
        <v>49779</v>
      </c>
      <c r="L150" s="86">
        <v>23829</v>
      </c>
      <c r="M150" s="86">
        <v>255</v>
      </c>
      <c r="N150" s="86">
        <v>25949</v>
      </c>
      <c r="O150" s="86">
        <v>6753</v>
      </c>
      <c r="P150" s="86">
        <v>1325</v>
      </c>
      <c r="Q150" s="86">
        <v>11618</v>
      </c>
      <c r="R150" s="86">
        <v>1407.260986328125</v>
      </c>
      <c r="S150" s="86">
        <v>32</v>
      </c>
      <c r="T150" s="86">
        <v>10.815348625183105</v>
      </c>
      <c r="U150" s="86">
        <v>2.661764994263649E-2</v>
      </c>
      <c r="V150" s="86">
        <v>0.52128410339355469</v>
      </c>
      <c r="W150" s="86">
        <v>0.58125323057174683</v>
      </c>
      <c r="X150" s="86">
        <v>5.1226420328021049E-3</v>
      </c>
      <c r="Y150" s="86">
        <v>0</v>
      </c>
      <c r="Z150" s="86">
        <v>0.52915292978286743</v>
      </c>
    </row>
    <row r="151" spans="1:26" x14ac:dyDescent="0.25">
      <c r="A151" s="88">
        <v>461</v>
      </c>
      <c r="B151" t="s">
        <v>129</v>
      </c>
      <c r="C151" s="88">
        <v>2020</v>
      </c>
      <c r="D151" t="s">
        <v>4396</v>
      </c>
      <c r="E151" s="34">
        <v>44742</v>
      </c>
      <c r="F151" s="88">
        <v>6433</v>
      </c>
      <c r="G151" t="s">
        <v>3790</v>
      </c>
      <c r="H151" t="s">
        <v>3791</v>
      </c>
      <c r="I151" s="88">
        <v>55772</v>
      </c>
      <c r="J151" t="s">
        <v>4335</v>
      </c>
      <c r="K151" s="86">
        <v>386.26699829101563</v>
      </c>
      <c r="L151" s="86">
        <v>244.79600524902344</v>
      </c>
      <c r="M151" s="86">
        <v>97.092002868652344</v>
      </c>
      <c r="N151" s="86">
        <v>141.47099304199219</v>
      </c>
      <c r="O151" s="86">
        <v>268.26998901367188</v>
      </c>
      <c r="P151" s="86">
        <v>41.054000854492188</v>
      </c>
      <c r="Q151" s="86">
        <v>727.8590087890625</v>
      </c>
      <c r="R151" s="86">
        <v>36.912998199462891</v>
      </c>
      <c r="S151" s="86">
        <v>11.560000419616699</v>
      </c>
      <c r="T151" s="86">
        <v>5.9565286636352539</v>
      </c>
      <c r="U151" s="86">
        <v>0.106283999979496</v>
      </c>
      <c r="V151" s="86">
        <v>0.36625182628631592</v>
      </c>
      <c r="W151" s="86">
        <v>0.3685741126537323</v>
      </c>
      <c r="X151" s="86">
        <v>0.25135982036590576</v>
      </c>
      <c r="Y151" s="86">
        <v>0</v>
      </c>
      <c r="Z151" s="86">
        <v>0.57367664575576782</v>
      </c>
    </row>
    <row r="152" spans="1:26" x14ac:dyDescent="0.25">
      <c r="A152" s="88">
        <v>462</v>
      </c>
      <c r="B152" t="s">
        <v>130</v>
      </c>
      <c r="C152" s="88">
        <v>2020</v>
      </c>
      <c r="D152" t="s">
        <v>4397</v>
      </c>
      <c r="E152" s="34">
        <v>46022</v>
      </c>
      <c r="F152" s="88">
        <v>6435</v>
      </c>
      <c r="G152" t="s">
        <v>3793</v>
      </c>
      <c r="H152" t="s">
        <v>3794</v>
      </c>
      <c r="I152" s="88">
        <v>55785</v>
      </c>
      <c r="J152" t="s">
        <v>4305</v>
      </c>
      <c r="K152" s="86">
        <v>17523</v>
      </c>
      <c r="L152" s="86">
        <v>626</v>
      </c>
      <c r="M152" s="86">
        <v>303</v>
      </c>
      <c r="N152" s="86">
        <v>16626</v>
      </c>
      <c r="O152" s="86">
        <v>7901</v>
      </c>
      <c r="P152" s="86">
        <v>2352</v>
      </c>
      <c r="Q152" s="86">
        <v>19140</v>
      </c>
      <c r="R152" s="86">
        <v>338.7239990234375</v>
      </c>
      <c r="S152" s="86">
        <v>134.83000183105469</v>
      </c>
      <c r="T152" s="86">
        <v>9.7712697982788086</v>
      </c>
      <c r="U152" s="86">
        <v>0.13422359526157379</v>
      </c>
      <c r="V152" s="86">
        <v>0.9488101601600647</v>
      </c>
      <c r="W152" s="86">
        <v>0.41280043125152588</v>
      </c>
      <c r="X152" s="86">
        <v>1.7291558906435966E-2</v>
      </c>
      <c r="Y152" s="86">
        <v>0</v>
      </c>
      <c r="Z152" s="86">
        <v>1.370698120445013E-2</v>
      </c>
    </row>
    <row r="153" spans="1:26" x14ac:dyDescent="0.25">
      <c r="A153" s="88">
        <v>465</v>
      </c>
      <c r="B153" t="s">
        <v>131</v>
      </c>
      <c r="C153" s="88">
        <v>2018</v>
      </c>
      <c r="D153" t="s">
        <v>4398</v>
      </c>
      <c r="E153" s="34">
        <v>43465</v>
      </c>
      <c r="F153" s="88">
        <v>31553</v>
      </c>
      <c r="G153" t="s">
        <v>3796</v>
      </c>
      <c r="H153" t="s">
        <v>3797</v>
      </c>
      <c r="I153" s="88">
        <v>1714973</v>
      </c>
      <c r="J153" t="s">
        <v>4307</v>
      </c>
      <c r="K153" s="86">
        <v>5369.60009765625</v>
      </c>
      <c r="L153" s="86">
        <v>112.30000305175781</v>
      </c>
      <c r="M153" s="86">
        <v>4338.60009765625</v>
      </c>
      <c r="N153" s="86">
        <v>4477.10009765625</v>
      </c>
      <c r="O153" s="86">
        <v>223.10000610351563</v>
      </c>
      <c r="P153" s="86">
        <v>444.60000610351563</v>
      </c>
      <c r="Q153" s="86">
        <v>383.79998779296875</v>
      </c>
      <c r="R153" s="86">
        <v>104.83499908447266</v>
      </c>
      <c r="S153" s="86">
        <v>15.930000305175781</v>
      </c>
      <c r="T153" s="86">
        <v>8.5885086059570313</v>
      </c>
      <c r="U153" s="86">
        <v>8.2799464464187622E-2</v>
      </c>
      <c r="V153" s="86">
        <v>0.8337864875793457</v>
      </c>
      <c r="W153" s="86">
        <v>0.58129239082336426</v>
      </c>
      <c r="X153" s="86">
        <v>0.80799317359924316</v>
      </c>
      <c r="Y153" s="86">
        <v>0</v>
      </c>
      <c r="Z153" s="86">
        <v>6.7244641482830048E-2</v>
      </c>
    </row>
    <row r="154" spans="1:26" x14ac:dyDescent="0.25">
      <c r="A154" s="88">
        <v>472</v>
      </c>
      <c r="B154" t="s">
        <v>132</v>
      </c>
      <c r="C154" s="88">
        <v>2020</v>
      </c>
      <c r="D154" t="s">
        <v>4399</v>
      </c>
      <c r="E154" s="34">
        <v>46053</v>
      </c>
      <c r="F154" s="88">
        <v>6502</v>
      </c>
      <c r="G154" t="s">
        <v>3799</v>
      </c>
      <c r="H154" t="s">
        <v>3800</v>
      </c>
      <c r="I154" s="88">
        <v>56873</v>
      </c>
      <c r="J154" t="s">
        <v>4383</v>
      </c>
      <c r="K154" s="86">
        <v>45256</v>
      </c>
      <c r="L154" s="86">
        <v>8602</v>
      </c>
      <c r="M154" s="86">
        <v>1578</v>
      </c>
      <c r="N154" s="86">
        <v>36683</v>
      </c>
      <c r="O154" s="86">
        <v>26992</v>
      </c>
      <c r="P154" s="86">
        <v>1659</v>
      </c>
      <c r="Q154" s="86">
        <v>122286</v>
      </c>
      <c r="R154" s="86">
        <v>788</v>
      </c>
      <c r="S154" s="86">
        <v>26.860000610351563</v>
      </c>
      <c r="T154" s="86">
        <v>10.720090866088867</v>
      </c>
      <c r="U154" s="86">
        <v>3.6658123135566711E-2</v>
      </c>
      <c r="V154" s="86">
        <v>0.81056654453277588</v>
      </c>
      <c r="W154" s="86">
        <v>0.22072845697402954</v>
      </c>
      <c r="X154" s="86">
        <v>3.4868303686380386E-2</v>
      </c>
      <c r="Y154" s="86">
        <v>0</v>
      </c>
      <c r="Z154" s="86">
        <v>0.40641263127326965</v>
      </c>
    </row>
    <row r="155" spans="1:26" x14ac:dyDescent="0.25">
      <c r="A155" s="88">
        <v>474</v>
      </c>
      <c r="B155" t="s">
        <v>133</v>
      </c>
      <c r="C155" s="88">
        <v>2020</v>
      </c>
      <c r="D155" t="s">
        <v>4400</v>
      </c>
      <c r="E155" s="34">
        <v>45838</v>
      </c>
      <c r="F155" s="88">
        <v>6565</v>
      </c>
      <c r="G155" t="s">
        <v>3802</v>
      </c>
      <c r="H155" t="s">
        <v>3803</v>
      </c>
      <c r="I155" s="88">
        <v>707549</v>
      </c>
      <c r="J155" t="s">
        <v>4335</v>
      </c>
      <c r="K155" s="86">
        <v>14559.046875</v>
      </c>
      <c r="L155" s="86">
        <v>5172.494140625</v>
      </c>
      <c r="M155" s="86">
        <v>6710.251953125</v>
      </c>
      <c r="N155" s="86">
        <v>9375.5576171875</v>
      </c>
      <c r="O155" s="86">
        <v>4824.26513671875</v>
      </c>
      <c r="P155" s="86">
        <v>2251.7529296875</v>
      </c>
      <c r="Q155" s="86">
        <v>10044.736328125</v>
      </c>
      <c r="R155" s="86">
        <v>145.33099365234375</v>
      </c>
      <c r="S155" s="86">
        <v>323.45999145507813</v>
      </c>
      <c r="T155" s="86">
        <v>9.585968017578125</v>
      </c>
      <c r="U155" s="86">
        <v>0.15466348826885223</v>
      </c>
      <c r="V155" s="86">
        <v>0.64396780729293823</v>
      </c>
      <c r="W155" s="86">
        <v>0.48027792572975159</v>
      </c>
      <c r="X155" s="86">
        <v>0.46089911460876465</v>
      </c>
      <c r="Y155" s="86">
        <v>0</v>
      </c>
      <c r="Z155" s="86">
        <v>0.11003255099058151</v>
      </c>
    </row>
    <row r="156" spans="1:26" x14ac:dyDescent="0.25">
      <c r="A156" s="88">
        <v>476</v>
      </c>
      <c r="B156" t="s">
        <v>134</v>
      </c>
      <c r="C156" s="88">
        <v>2020</v>
      </c>
      <c r="D156" t="s">
        <v>4401</v>
      </c>
      <c r="E156" s="34">
        <v>45808</v>
      </c>
      <c r="F156" s="88">
        <v>28790</v>
      </c>
      <c r="G156" t="s">
        <v>3805</v>
      </c>
      <c r="H156" t="s">
        <v>3806</v>
      </c>
      <c r="I156" s="88">
        <v>1679273</v>
      </c>
      <c r="J156" t="s">
        <v>4349</v>
      </c>
      <c r="K156" s="86">
        <v>4662.2998046875</v>
      </c>
      <c r="L156" s="86">
        <v>240</v>
      </c>
      <c r="M156" s="86">
        <v>1364</v>
      </c>
      <c r="N156" s="86">
        <v>4422.2998046875</v>
      </c>
      <c r="O156" s="86">
        <v>1121.5999755859375</v>
      </c>
      <c r="P156" s="86">
        <v>365.89999389648438</v>
      </c>
      <c r="Q156" s="86">
        <v>3794</v>
      </c>
      <c r="R156" s="86">
        <v>146.03900146484375</v>
      </c>
      <c r="S156" s="86">
        <v>60.060001373291016</v>
      </c>
      <c r="T156" s="86">
        <v>8.4472637176513672</v>
      </c>
      <c r="U156" s="86">
        <v>7.848057895898819E-2</v>
      </c>
      <c r="V156" s="86">
        <v>0.94852328300476074</v>
      </c>
      <c r="W156" s="86">
        <v>0.29562467336654663</v>
      </c>
      <c r="X156" s="86">
        <v>0.29255947470664978</v>
      </c>
      <c r="Y156" s="86">
        <v>0</v>
      </c>
      <c r="Z156" s="86">
        <v>2.7362579479813576E-2</v>
      </c>
    </row>
    <row r="157" spans="1:26" x14ac:dyDescent="0.25">
      <c r="A157" s="88">
        <v>478</v>
      </c>
      <c r="B157" t="s">
        <v>135</v>
      </c>
      <c r="C157" s="88">
        <v>2019</v>
      </c>
      <c r="D157" t="s">
        <v>4402</v>
      </c>
      <c r="E157" s="34">
        <v>46022</v>
      </c>
      <c r="F157" s="88">
        <v>161844</v>
      </c>
      <c r="G157" t="s">
        <v>3808</v>
      </c>
      <c r="H157" t="s">
        <v>3809</v>
      </c>
      <c r="I157" s="88">
        <v>1300514</v>
      </c>
      <c r="J157" t="s">
        <v>4311</v>
      </c>
      <c r="K157" s="86">
        <v>23199</v>
      </c>
      <c r="L157" s="86">
        <v>5187</v>
      </c>
      <c r="M157" s="86">
        <v>4242</v>
      </c>
      <c r="N157" s="86">
        <v>16692</v>
      </c>
      <c r="O157" s="86">
        <v>6907</v>
      </c>
      <c r="P157" s="86">
        <v>2698</v>
      </c>
      <c r="Q157" s="86">
        <v>13739</v>
      </c>
      <c r="R157" s="86">
        <v>763.4849853515625</v>
      </c>
      <c r="S157" s="86">
        <v>69.040000915527344</v>
      </c>
      <c r="T157" s="86">
        <v>10.051864624023438</v>
      </c>
      <c r="U157" s="86">
        <v>0.11629811674356461</v>
      </c>
      <c r="V157" s="86">
        <v>0.71951377391815186</v>
      </c>
      <c r="W157" s="86">
        <v>0.50272947549819946</v>
      </c>
      <c r="X157" s="86">
        <v>0.18285271525382996</v>
      </c>
      <c r="Y157" s="86">
        <v>0</v>
      </c>
      <c r="Z157" s="86">
        <v>9.8404496908187866E-2</v>
      </c>
    </row>
    <row r="158" spans="1:26" x14ac:dyDescent="0.25">
      <c r="A158" s="88">
        <v>481</v>
      </c>
      <c r="B158" t="s">
        <v>136</v>
      </c>
      <c r="C158" s="88">
        <v>2020</v>
      </c>
      <c r="D158" t="s">
        <v>4403</v>
      </c>
      <c r="E158" s="34">
        <v>46022</v>
      </c>
      <c r="F158" s="88">
        <v>16477</v>
      </c>
      <c r="G158" t="s">
        <v>3811</v>
      </c>
      <c r="H158" t="s">
        <v>3812</v>
      </c>
      <c r="I158" s="88">
        <v>842162</v>
      </c>
      <c r="J158" t="s">
        <v>4305</v>
      </c>
      <c r="K158" s="86">
        <v>13198.599609375</v>
      </c>
      <c r="L158" s="86">
        <v>4467.2998046875</v>
      </c>
      <c r="M158" s="86">
        <v>1321.0999755859375</v>
      </c>
      <c r="N158" s="86">
        <v>8583.7001953125</v>
      </c>
      <c r="O158" s="86">
        <v>1705.199951171875</v>
      </c>
      <c r="P158" s="86">
        <v>158.5</v>
      </c>
      <c r="Q158" s="86">
        <v>17045.5</v>
      </c>
      <c r="R158" s="86">
        <v>60.050998687744141</v>
      </c>
      <c r="S158" s="86">
        <v>159.02999877929688</v>
      </c>
      <c r="T158" s="86">
        <v>9.4878664016723633</v>
      </c>
      <c r="U158" s="86">
        <v>1.2008849531412125E-2</v>
      </c>
      <c r="V158" s="86">
        <v>0.65034931898117065</v>
      </c>
      <c r="W158" s="86">
        <v>0.10003813356161118</v>
      </c>
      <c r="X158" s="86">
        <v>0.10009395331144333</v>
      </c>
      <c r="Y158" s="86">
        <v>0</v>
      </c>
      <c r="Z158" s="86">
        <v>0.46778449416160583</v>
      </c>
    </row>
    <row r="159" spans="1:26" x14ac:dyDescent="0.25">
      <c r="A159" s="88">
        <v>485</v>
      </c>
      <c r="B159" t="s">
        <v>137</v>
      </c>
      <c r="C159" s="88">
        <v>2020</v>
      </c>
      <c r="D159" t="s">
        <v>3813</v>
      </c>
      <c r="E159" s="34">
        <v>46022</v>
      </c>
      <c r="F159" s="88">
        <v>24724</v>
      </c>
      <c r="G159" t="s">
        <v>3815</v>
      </c>
      <c r="H159" t="s">
        <v>3816</v>
      </c>
      <c r="I159" s="88">
        <v>1712184</v>
      </c>
      <c r="J159" t="s">
        <v>4305</v>
      </c>
      <c r="K159" s="86">
        <v>15230</v>
      </c>
      <c r="L159" s="86">
        <v>2714.699951171875</v>
      </c>
      <c r="M159" s="86">
        <v>894.20001220703125</v>
      </c>
      <c r="N159" s="86">
        <v>11786.2998046875</v>
      </c>
      <c r="O159" s="86">
        <v>1387.199951171875</v>
      </c>
      <c r="P159" s="86">
        <v>-687.20001220703125</v>
      </c>
      <c r="Q159" s="86">
        <v>3764.60009765625</v>
      </c>
      <c r="R159" s="86">
        <v>232.05499267578125</v>
      </c>
      <c r="S159" s="86">
        <v>11.090000152587891</v>
      </c>
      <c r="T159" s="86">
        <v>9.6310224533081055</v>
      </c>
      <c r="U159" s="86">
        <v>-4.5121472328901291E-2</v>
      </c>
      <c r="V159" s="86">
        <v>0.773887038230896</v>
      </c>
      <c r="W159" s="86">
        <v>0.36848533153533936</v>
      </c>
      <c r="X159" s="86">
        <v>5.8713067322969437E-2</v>
      </c>
      <c r="Y159" s="86">
        <v>1</v>
      </c>
      <c r="Z159" s="86">
        <v>1.0548710823059082</v>
      </c>
    </row>
    <row r="160" spans="1:26" x14ac:dyDescent="0.25">
      <c r="A160" s="88">
        <v>488</v>
      </c>
      <c r="B160" t="s">
        <v>138</v>
      </c>
      <c r="C160" s="88">
        <v>2020</v>
      </c>
      <c r="D160" t="s">
        <v>3817</v>
      </c>
      <c r="E160" s="34">
        <v>45657</v>
      </c>
      <c r="F160" s="88">
        <v>34048</v>
      </c>
      <c r="G160" t="s">
        <v>3819</v>
      </c>
      <c r="H160" t="s">
        <v>3820</v>
      </c>
      <c r="I160" s="88">
        <v>1977303</v>
      </c>
      <c r="J160" t="s">
        <v>4305</v>
      </c>
      <c r="K160" s="86">
        <v>936.79998779296875</v>
      </c>
      <c r="L160" s="86">
        <v>565.79998779296875</v>
      </c>
      <c r="M160" s="86">
        <v>11.600000381469727</v>
      </c>
      <c r="N160" s="86">
        <v>371</v>
      </c>
      <c r="O160" s="86">
        <v>68.599998474121094</v>
      </c>
      <c r="P160" s="86">
        <v>-18.899999618530273</v>
      </c>
      <c r="Q160" s="86">
        <v>288.20001220703125</v>
      </c>
      <c r="R160" s="86">
        <v>146.36199951171875</v>
      </c>
      <c r="S160" s="86">
        <v>18.840000152587891</v>
      </c>
      <c r="T160" s="86">
        <v>6.8424696922302246</v>
      </c>
      <c r="U160" s="86">
        <v>-2.0175063982605934E-2</v>
      </c>
      <c r="V160" s="86">
        <v>0.3960290253162384</v>
      </c>
      <c r="W160" s="86">
        <v>0.23802913725376129</v>
      </c>
      <c r="X160" s="86">
        <v>1.238257996737957E-2</v>
      </c>
      <c r="Y160" s="86">
        <v>1</v>
      </c>
      <c r="Z160" s="86">
        <v>0.20518882572650909</v>
      </c>
    </row>
    <row r="161" spans="1:26" x14ac:dyDescent="0.25">
      <c r="A161" s="88">
        <v>489</v>
      </c>
      <c r="B161" t="s">
        <v>139</v>
      </c>
      <c r="C161" s="88">
        <v>2020</v>
      </c>
      <c r="D161" t="s">
        <v>4404</v>
      </c>
      <c r="E161" s="34">
        <v>46022</v>
      </c>
      <c r="F161" s="88">
        <v>155394</v>
      </c>
      <c r="G161" t="s">
        <v>3823</v>
      </c>
      <c r="H161" t="s">
        <v>3824</v>
      </c>
      <c r="I161" s="88">
        <v>1065696</v>
      </c>
      <c r="J161" t="s">
        <v>4305</v>
      </c>
      <c r="K161" s="86">
        <v>12360.533203125</v>
      </c>
      <c r="L161" s="86">
        <v>5655.7177734375</v>
      </c>
      <c r="M161" s="86">
        <v>312.15399169921875</v>
      </c>
      <c r="N161" s="86">
        <v>6665.15576171875</v>
      </c>
      <c r="O161" s="86">
        <v>4620.7421875</v>
      </c>
      <c r="P161" s="86">
        <v>638.4229736328125</v>
      </c>
      <c r="Q161" s="86">
        <v>11628.830078125</v>
      </c>
      <c r="R161" s="86">
        <v>303.55300903320313</v>
      </c>
      <c r="S161" s="86">
        <v>35.240001678466797</v>
      </c>
      <c r="T161" s="86">
        <v>9.4222640991210938</v>
      </c>
      <c r="U161" s="86">
        <v>5.1650114357471466E-2</v>
      </c>
      <c r="V161" s="86">
        <v>0.53922879695892334</v>
      </c>
      <c r="W161" s="86">
        <v>0.39735227823257446</v>
      </c>
      <c r="X161" s="86">
        <v>2.5254087522625923E-2</v>
      </c>
      <c r="Y161" s="86">
        <v>0</v>
      </c>
      <c r="Z161" s="86">
        <v>0.52870970964431763</v>
      </c>
    </row>
    <row r="162" spans="1:26" x14ac:dyDescent="0.25">
      <c r="A162" s="88">
        <v>493</v>
      </c>
      <c r="B162" t="s">
        <v>140</v>
      </c>
      <c r="C162" s="88">
        <v>2020</v>
      </c>
      <c r="D162" t="s">
        <v>3825</v>
      </c>
      <c r="E162" s="34">
        <v>46022</v>
      </c>
      <c r="F162" s="88">
        <v>178519</v>
      </c>
      <c r="G162" t="s">
        <v>3827</v>
      </c>
      <c r="H162" t="s">
        <v>3828</v>
      </c>
      <c r="I162" s="88">
        <v>1397911</v>
      </c>
      <c r="J162" t="s">
        <v>4305</v>
      </c>
      <c r="K162" s="86">
        <v>6523.57080078125</v>
      </c>
      <c r="L162" s="86">
        <v>1314.85400390625</v>
      </c>
      <c r="M162" s="86">
        <v>1804.029052734375</v>
      </c>
      <c r="N162" s="86">
        <v>5208.716796875</v>
      </c>
      <c r="O162" s="86">
        <v>908.927978515625</v>
      </c>
      <c r="P162" s="86">
        <v>472.6400146484375</v>
      </c>
      <c r="Q162" s="86">
        <v>5871.64013671875</v>
      </c>
      <c r="R162" s="86">
        <v>79.471000671386719</v>
      </c>
      <c r="S162" s="86">
        <v>104.22000122070313</v>
      </c>
      <c r="T162" s="86">
        <v>8.783177375793457</v>
      </c>
      <c r="U162" s="86">
        <v>7.2451122105121613E-2</v>
      </c>
      <c r="V162" s="86">
        <v>0.79844564199447632</v>
      </c>
      <c r="W162" s="86">
        <v>0.15479966998100281</v>
      </c>
      <c r="X162" s="86">
        <v>0.2765401303768158</v>
      </c>
      <c r="Y162" s="86">
        <v>0</v>
      </c>
      <c r="Z162" s="86">
        <v>0.1587514728307724</v>
      </c>
    </row>
    <row r="163" spans="1:26" x14ac:dyDescent="0.25">
      <c r="A163" s="88">
        <v>494</v>
      </c>
      <c r="B163" t="s">
        <v>140</v>
      </c>
      <c r="C163" s="88">
        <v>2019</v>
      </c>
      <c r="D163" t="s">
        <v>3825</v>
      </c>
      <c r="E163" s="34">
        <v>46022</v>
      </c>
      <c r="F163" s="88">
        <v>178519</v>
      </c>
      <c r="G163" t="s">
        <v>3827</v>
      </c>
      <c r="H163" t="s">
        <v>3828</v>
      </c>
      <c r="I163" s="88">
        <v>1397911</v>
      </c>
      <c r="J163" t="s">
        <v>4311</v>
      </c>
      <c r="K163" s="86">
        <v>5880.23779296875</v>
      </c>
      <c r="L163" s="86">
        <v>1023.8729858398438</v>
      </c>
      <c r="M163" s="86">
        <v>1476.85205078125</v>
      </c>
      <c r="N163" s="86">
        <v>4856.365234375</v>
      </c>
      <c r="O163" s="86">
        <v>1039.10498046875</v>
      </c>
      <c r="P163" s="86">
        <v>559.8800048828125</v>
      </c>
      <c r="Q163" s="86">
        <v>5624.85595703125</v>
      </c>
      <c r="R163" s="86">
        <v>80.234001159667969</v>
      </c>
      <c r="S163" s="86">
        <v>92.25</v>
      </c>
      <c r="T163" s="86">
        <v>8.6793527603149414</v>
      </c>
      <c r="U163" s="86">
        <v>9.5213837921619415E-2</v>
      </c>
      <c r="V163" s="86">
        <v>0.82587903738021851</v>
      </c>
      <c r="W163" s="86">
        <v>0.18473450839519501</v>
      </c>
      <c r="X163" s="86">
        <v>0.25115516781806946</v>
      </c>
      <c r="Y163" s="86">
        <v>0</v>
      </c>
      <c r="Z163" s="86">
        <v>0.13833156228065491</v>
      </c>
    </row>
    <row r="164" spans="1:26" x14ac:dyDescent="0.25">
      <c r="A164" s="88">
        <v>498</v>
      </c>
      <c r="B164" t="s">
        <v>141</v>
      </c>
      <c r="C164" s="88">
        <v>2021</v>
      </c>
      <c r="D164" t="s">
        <v>3829</v>
      </c>
      <c r="E164" s="34">
        <v>46022</v>
      </c>
      <c r="F164" s="88">
        <v>294524</v>
      </c>
      <c r="G164" t="s">
        <v>3831</v>
      </c>
      <c r="H164" t="s">
        <v>3832</v>
      </c>
      <c r="I164" s="88">
        <v>1489393</v>
      </c>
      <c r="J164" t="s">
        <v>4358</v>
      </c>
      <c r="K164" s="86">
        <v>36742</v>
      </c>
      <c r="L164" s="86">
        <v>11858</v>
      </c>
      <c r="M164" s="86">
        <v>1486</v>
      </c>
      <c r="N164" s="86">
        <v>24754</v>
      </c>
      <c r="O164" s="86">
        <v>10013</v>
      </c>
      <c r="P164" s="86">
        <v>5610</v>
      </c>
      <c r="Q164" s="86">
        <v>46173</v>
      </c>
      <c r="R164" s="86">
        <v>329.5360107421875</v>
      </c>
      <c r="S164" s="86">
        <v>92.230003356933594</v>
      </c>
      <c r="T164" s="86">
        <v>10.511675834655762</v>
      </c>
      <c r="U164" s="86">
        <v>0.15268629789352417</v>
      </c>
      <c r="V164" s="86">
        <v>0.67372488975524902</v>
      </c>
      <c r="W164" s="86">
        <v>0.21685834228992462</v>
      </c>
      <c r="X164" s="86">
        <v>4.0444176644086838E-2</v>
      </c>
      <c r="Y164" s="86">
        <v>0</v>
      </c>
      <c r="Z164" s="86">
        <v>0.39015424251556396</v>
      </c>
    </row>
    <row r="165" spans="1:26" x14ac:dyDescent="0.25">
      <c r="A165" s="88">
        <v>500</v>
      </c>
      <c r="B165" t="s">
        <v>142</v>
      </c>
      <c r="C165" s="88">
        <v>2020</v>
      </c>
      <c r="D165" t="s">
        <v>3833</v>
      </c>
      <c r="E165" s="34">
        <v>46022</v>
      </c>
      <c r="F165" s="88">
        <v>4699</v>
      </c>
      <c r="G165" t="s">
        <v>3835</v>
      </c>
      <c r="H165" t="s">
        <v>3836</v>
      </c>
      <c r="I165" s="88">
        <v>36270</v>
      </c>
      <c r="J165" t="s">
        <v>4305</v>
      </c>
      <c r="K165" s="86">
        <v>142601.109375</v>
      </c>
      <c r="L165" s="86">
        <v>14937.283203125</v>
      </c>
      <c r="M165" s="86">
        <v>25216.552734375</v>
      </c>
      <c r="N165" s="86">
        <v>126413.8203125</v>
      </c>
      <c r="O165" s="86">
        <v>5154.76123046875</v>
      </c>
      <c r="P165" s="86">
        <v>1353.1519775390625</v>
      </c>
      <c r="Q165" s="86">
        <v>6281.15576171875</v>
      </c>
      <c r="R165" s="86">
        <v>128.31500244140625</v>
      </c>
      <c r="S165" s="86">
        <v>127.30000305175781</v>
      </c>
      <c r="T165" s="86">
        <v>11.867806434631348</v>
      </c>
      <c r="U165" s="86">
        <v>9.4890706241130829E-3</v>
      </c>
      <c r="V165" s="86">
        <v>0.8864855170249939</v>
      </c>
      <c r="W165" s="86">
        <v>0.82067084312438965</v>
      </c>
      <c r="X165" s="86">
        <v>0.17683279514312744</v>
      </c>
      <c r="Y165" s="86">
        <v>0</v>
      </c>
      <c r="Z165" s="86">
        <v>0.91446220874786377</v>
      </c>
    </row>
    <row r="166" spans="1:26" x14ac:dyDescent="0.25">
      <c r="A166" s="88">
        <v>501</v>
      </c>
      <c r="B166" t="s">
        <v>143</v>
      </c>
      <c r="C166" s="88">
        <v>2019</v>
      </c>
      <c r="D166" t="s">
        <v>4405</v>
      </c>
      <c r="E166" s="34">
        <v>46022</v>
      </c>
      <c r="F166" s="88">
        <v>29868</v>
      </c>
      <c r="G166" t="s">
        <v>3838</v>
      </c>
      <c r="H166" t="s">
        <v>3839</v>
      </c>
      <c r="I166" s="88">
        <v>912242</v>
      </c>
      <c r="J166" t="s">
        <v>4311</v>
      </c>
      <c r="K166" s="86">
        <v>8853.5712890625</v>
      </c>
      <c r="L166" s="86">
        <v>2632.261962890625</v>
      </c>
      <c r="M166" s="86">
        <v>114.21600341796875</v>
      </c>
      <c r="N166" s="86">
        <v>6022.60107421875</v>
      </c>
      <c r="O166" s="86">
        <v>277.29098510742188</v>
      </c>
      <c r="P166" s="86">
        <v>96.819999694824219</v>
      </c>
      <c r="Q166" s="86">
        <v>975.969970703125</v>
      </c>
      <c r="R166" s="86">
        <v>141.40800476074219</v>
      </c>
      <c r="S166" s="86">
        <v>26.920000076293945</v>
      </c>
      <c r="T166" s="86">
        <v>9.0885763168334961</v>
      </c>
      <c r="U166" s="86">
        <v>1.0935699567198753E-2</v>
      </c>
      <c r="V166" s="86">
        <v>0.68024539947509766</v>
      </c>
      <c r="W166" s="86">
        <v>0.28411835432052612</v>
      </c>
      <c r="X166" s="86">
        <v>1.2900557368993759E-2</v>
      </c>
      <c r="Y166" s="86">
        <v>0</v>
      </c>
      <c r="Z166" s="86">
        <v>0.69148069620132446</v>
      </c>
    </row>
    <row r="167" spans="1:26" x14ac:dyDescent="0.25">
      <c r="A167" s="88">
        <v>502</v>
      </c>
      <c r="B167" t="s">
        <v>144</v>
      </c>
      <c r="C167" s="88">
        <v>2019</v>
      </c>
      <c r="D167" t="s">
        <v>3840</v>
      </c>
      <c r="E167" s="34">
        <v>45688</v>
      </c>
      <c r="F167" s="88">
        <v>4611</v>
      </c>
      <c r="G167" t="s">
        <v>3842</v>
      </c>
      <c r="H167" t="s">
        <v>3843</v>
      </c>
      <c r="I167" s="88">
        <v>794367</v>
      </c>
      <c r="J167" t="s">
        <v>4406</v>
      </c>
      <c r="K167" s="86">
        <v>19194</v>
      </c>
      <c r="L167" s="86">
        <v>6436</v>
      </c>
      <c r="M167" s="86">
        <v>1199</v>
      </c>
      <c r="N167" s="86">
        <v>12758</v>
      </c>
      <c r="O167" s="86">
        <v>11486</v>
      </c>
      <c r="P167" s="86">
        <v>1108</v>
      </c>
      <c r="Q167" s="86">
        <v>25739</v>
      </c>
      <c r="R167" s="86">
        <v>307.51998901367188</v>
      </c>
      <c r="S167" s="86">
        <v>26.299999237060547</v>
      </c>
      <c r="T167" s="86">
        <v>9.8623533248901367</v>
      </c>
      <c r="U167" s="86">
        <v>5.772637203335762E-2</v>
      </c>
      <c r="V167" s="86">
        <v>0.66468685865402222</v>
      </c>
      <c r="W167" s="86">
        <v>0.44624888896942139</v>
      </c>
      <c r="X167" s="86">
        <v>6.2467437237501144E-2</v>
      </c>
      <c r="Y167" s="86">
        <v>0</v>
      </c>
      <c r="Z167" s="86">
        <v>0.7957688570022583</v>
      </c>
    </row>
    <row r="168" spans="1:26" x14ac:dyDescent="0.25">
      <c r="A168" s="88">
        <v>507</v>
      </c>
      <c r="B168" t="s">
        <v>145</v>
      </c>
      <c r="C168" s="88">
        <v>2020</v>
      </c>
      <c r="D168" t="s">
        <v>3844</v>
      </c>
      <c r="E168" s="34">
        <v>46022</v>
      </c>
      <c r="F168" s="88">
        <v>186989</v>
      </c>
      <c r="G168" t="s">
        <v>3846</v>
      </c>
      <c r="H168" t="s">
        <v>3847</v>
      </c>
      <c r="I168" s="88">
        <v>1510295</v>
      </c>
      <c r="J168" t="s">
        <v>4305</v>
      </c>
      <c r="K168" s="86">
        <v>85158</v>
      </c>
      <c r="L168" s="86">
        <v>22199</v>
      </c>
      <c r="M168" s="86">
        <v>416</v>
      </c>
      <c r="N168" s="86">
        <v>54938</v>
      </c>
      <c r="O168" s="86">
        <v>3378</v>
      </c>
      <c r="P168" s="86">
        <v>-9826</v>
      </c>
      <c r="Q168" s="86">
        <v>69779</v>
      </c>
      <c r="R168" s="86">
        <v>651</v>
      </c>
      <c r="S168" s="86">
        <v>41.360000610351563</v>
      </c>
      <c r="T168" s="86">
        <v>11.352263450622559</v>
      </c>
      <c r="U168" s="86">
        <v>-0.1153855174779892</v>
      </c>
      <c r="V168" s="86">
        <v>0.6451302170753479</v>
      </c>
      <c r="W168" s="86">
        <v>4.8409979790449142E-2</v>
      </c>
      <c r="X168" s="86">
        <v>4.8850374296307564E-3</v>
      </c>
      <c r="Y168" s="86">
        <v>1</v>
      </c>
      <c r="Z168" s="86">
        <v>0.82446438074111938</v>
      </c>
    </row>
    <row r="169" spans="1:26" x14ac:dyDescent="0.25">
      <c r="A169" s="88">
        <v>509</v>
      </c>
      <c r="B169" t="s">
        <v>146</v>
      </c>
      <c r="C169" s="88">
        <v>2019</v>
      </c>
      <c r="D169" t="s">
        <v>4407</v>
      </c>
      <c r="E169" s="34">
        <v>46022</v>
      </c>
      <c r="F169" s="88">
        <v>28930</v>
      </c>
      <c r="G169" t="s">
        <v>3849</v>
      </c>
      <c r="H169" t="s">
        <v>3850</v>
      </c>
      <c r="I169" s="88">
        <v>1048286</v>
      </c>
      <c r="J169" t="s">
        <v>4311</v>
      </c>
      <c r="K169" s="86">
        <v>25051</v>
      </c>
      <c r="L169" s="86">
        <v>703</v>
      </c>
      <c r="M169" s="86">
        <v>225</v>
      </c>
      <c r="N169" s="86">
        <v>24348</v>
      </c>
      <c r="O169" s="86">
        <v>2400</v>
      </c>
      <c r="P169" s="86">
        <v>1273</v>
      </c>
      <c r="Q169" s="86">
        <v>20972</v>
      </c>
      <c r="R169" s="86">
        <v>324</v>
      </c>
      <c r="S169" s="86">
        <v>151.42999267578125</v>
      </c>
      <c r="T169" s="86">
        <v>10.128668785095215</v>
      </c>
      <c r="U169" s="86">
        <v>5.0816334784030914E-2</v>
      </c>
      <c r="V169" s="86">
        <v>0.97193723917007446</v>
      </c>
      <c r="W169" s="86">
        <v>0.11443829536437988</v>
      </c>
      <c r="X169" s="86">
        <v>8.9816777035593987E-3</v>
      </c>
      <c r="Y169" s="86">
        <v>0</v>
      </c>
      <c r="Z169" s="86">
        <v>1.4328423887491226E-2</v>
      </c>
    </row>
    <row r="170" spans="1:26" x14ac:dyDescent="0.25">
      <c r="A170" s="88">
        <v>518</v>
      </c>
      <c r="B170" t="s">
        <v>147</v>
      </c>
      <c r="C170" s="88">
        <v>2020</v>
      </c>
      <c r="D170" t="s">
        <v>4408</v>
      </c>
      <c r="E170" s="34">
        <v>46022</v>
      </c>
      <c r="F170" s="88">
        <v>187812</v>
      </c>
      <c r="G170" t="s">
        <v>3852</v>
      </c>
      <c r="H170" t="s">
        <v>3853</v>
      </c>
      <c r="I170" s="88">
        <v>1520006</v>
      </c>
      <c r="J170" t="s">
        <v>4305</v>
      </c>
      <c r="K170" s="86">
        <v>3687.280029296875</v>
      </c>
      <c r="L170" s="86">
        <v>1286.530029296875</v>
      </c>
      <c r="M170" s="86">
        <v>91.383003234863281</v>
      </c>
      <c r="N170" s="86">
        <v>2174.2548828125</v>
      </c>
      <c r="O170" s="86">
        <v>-95.141998291015625</v>
      </c>
      <c r="P170" s="86">
        <v>-593.20501708984375</v>
      </c>
      <c r="Q170" s="86">
        <v>862.1259765625</v>
      </c>
      <c r="R170" s="86">
        <v>116.84500122070313</v>
      </c>
      <c r="S170" s="86">
        <v>12.060000419616699</v>
      </c>
      <c r="T170" s="86">
        <v>8.2126445770263672</v>
      </c>
      <c r="U170" s="86">
        <v>-0.1608787477016449</v>
      </c>
      <c r="V170" s="86">
        <v>0.58966362476348877</v>
      </c>
      <c r="W170" s="86">
        <v>-0.11035741865634918</v>
      </c>
      <c r="X170" s="86">
        <v>2.4783309549093246E-2</v>
      </c>
      <c r="Y170" s="86">
        <v>1</v>
      </c>
      <c r="Z170" s="86">
        <v>0.9129825234413147</v>
      </c>
    </row>
    <row r="171" spans="1:26" x14ac:dyDescent="0.25">
      <c r="A171" s="88">
        <v>521</v>
      </c>
      <c r="B171" t="s">
        <v>148</v>
      </c>
      <c r="C171" s="88">
        <v>2021</v>
      </c>
      <c r="D171" t="s">
        <v>4409</v>
      </c>
      <c r="E171" s="34">
        <v>44227</v>
      </c>
      <c r="F171" s="88">
        <v>35374</v>
      </c>
      <c r="G171" t="s">
        <v>3855</v>
      </c>
      <c r="H171" t="s">
        <v>3856</v>
      </c>
      <c r="I171" s="88">
        <v>1540184</v>
      </c>
      <c r="J171" t="s">
        <v>4330</v>
      </c>
      <c r="K171" s="86">
        <v>1401.6490478515625</v>
      </c>
      <c r="L171" s="86">
        <v>508.24099731445313</v>
      </c>
      <c r="M171" s="86">
        <v>682.38897705078125</v>
      </c>
      <c r="N171" s="86">
        <v>893.40802001953125</v>
      </c>
      <c r="O171" s="86">
        <v>335.58401489257813</v>
      </c>
      <c r="P171" s="86">
        <v>-148.656005859375</v>
      </c>
      <c r="Q171" s="86">
        <v>477.22100830078125</v>
      </c>
      <c r="R171" s="86">
        <v>154.99600219726563</v>
      </c>
      <c r="S171" s="86">
        <v>41.5</v>
      </c>
      <c r="T171" s="86">
        <v>7.2454047203063965</v>
      </c>
      <c r="U171" s="86">
        <v>-0.10605793446302414</v>
      </c>
      <c r="V171" s="86">
        <v>0.63739782571792603</v>
      </c>
      <c r="W171" s="86">
        <v>0.70320463180541992</v>
      </c>
      <c r="X171" s="86">
        <v>0.48684725165367126</v>
      </c>
      <c r="Y171" s="86">
        <v>1</v>
      </c>
      <c r="Z171" s="86">
        <v>7.9013466835021973E-2</v>
      </c>
    </row>
    <row r="172" spans="1:26" x14ac:dyDescent="0.25">
      <c r="A172" s="88">
        <v>522</v>
      </c>
      <c r="B172" t="s">
        <v>149</v>
      </c>
      <c r="C172" s="88">
        <v>2019</v>
      </c>
      <c r="D172" t="s">
        <v>3857</v>
      </c>
      <c r="E172" s="34">
        <v>46022</v>
      </c>
      <c r="F172" s="88">
        <v>7257</v>
      </c>
      <c r="G172" t="s">
        <v>3859</v>
      </c>
      <c r="H172" t="s">
        <v>3860</v>
      </c>
      <c r="I172" s="88">
        <v>310158</v>
      </c>
      <c r="J172" t="s">
        <v>4311</v>
      </c>
      <c r="K172" s="86">
        <v>84397</v>
      </c>
      <c r="L172" s="86">
        <v>25907</v>
      </c>
      <c r="M172" s="86">
        <v>10706</v>
      </c>
      <c r="N172" s="86">
        <v>58396</v>
      </c>
      <c r="O172" s="86">
        <v>37165</v>
      </c>
      <c r="P172" s="86">
        <v>9843</v>
      </c>
      <c r="Q172" s="86">
        <v>46840</v>
      </c>
      <c r="R172" s="86">
        <v>2539.01708984375</v>
      </c>
      <c r="S172" s="86">
        <v>90.949996948242188</v>
      </c>
      <c r="T172" s="86">
        <v>11.343287467956543</v>
      </c>
      <c r="U172" s="86">
        <v>0.11662736535072327</v>
      </c>
      <c r="V172" s="86">
        <v>0.69192034006118774</v>
      </c>
      <c r="W172" s="86">
        <v>0.79344576597213745</v>
      </c>
      <c r="X172" s="86">
        <v>0.1268528550863266</v>
      </c>
      <c r="Y172" s="86">
        <v>0</v>
      </c>
      <c r="Z172" s="86">
        <v>0.11218862235546112</v>
      </c>
    </row>
    <row r="173" spans="1:26" x14ac:dyDescent="0.25">
      <c r="A173" s="88">
        <v>523</v>
      </c>
      <c r="B173" t="s">
        <v>149</v>
      </c>
      <c r="C173" s="88">
        <v>2018</v>
      </c>
      <c r="D173" t="s">
        <v>3857</v>
      </c>
      <c r="E173" s="34">
        <v>46022</v>
      </c>
      <c r="F173" s="88">
        <v>7257</v>
      </c>
      <c r="G173" t="s">
        <v>3859</v>
      </c>
      <c r="H173" t="s">
        <v>3860</v>
      </c>
      <c r="I173" s="88">
        <v>310158</v>
      </c>
      <c r="J173" t="s">
        <v>4307</v>
      </c>
      <c r="K173" s="86">
        <v>82637</v>
      </c>
      <c r="L173" s="86">
        <v>26701</v>
      </c>
      <c r="M173" s="86">
        <v>8864</v>
      </c>
      <c r="N173" s="86">
        <v>55755</v>
      </c>
      <c r="O173" s="86">
        <v>33123</v>
      </c>
      <c r="P173" s="86">
        <v>6220</v>
      </c>
      <c r="Q173" s="86">
        <v>42294</v>
      </c>
      <c r="R173" s="86">
        <v>2592.56005859375</v>
      </c>
      <c r="S173" s="86">
        <v>76.410003662109375</v>
      </c>
      <c r="T173" s="86">
        <v>11.322213172912598</v>
      </c>
      <c r="U173" s="86">
        <v>7.5268946588039398E-2</v>
      </c>
      <c r="V173" s="86">
        <v>0.67469775676727295</v>
      </c>
      <c r="W173" s="86">
        <v>0.7831607460975647</v>
      </c>
      <c r="X173" s="86">
        <v>0.10726430267095566</v>
      </c>
      <c r="Y173" s="86">
        <v>0</v>
      </c>
      <c r="Z173" s="86">
        <v>0.13478714227676392</v>
      </c>
    </row>
    <row r="174" spans="1:26" x14ac:dyDescent="0.25">
      <c r="A174" s="88">
        <v>527</v>
      </c>
      <c r="B174" t="s">
        <v>150</v>
      </c>
      <c r="C174" s="88">
        <v>2020</v>
      </c>
      <c r="D174" t="s">
        <v>3861</v>
      </c>
      <c r="E174" s="34">
        <v>46022</v>
      </c>
      <c r="F174" s="88">
        <v>133768</v>
      </c>
      <c r="G174" t="s">
        <v>3863</v>
      </c>
      <c r="H174" t="s">
        <v>3864</v>
      </c>
      <c r="I174" s="88">
        <v>1099219</v>
      </c>
      <c r="J174" t="s">
        <v>4305</v>
      </c>
      <c r="K174" s="86">
        <v>795146</v>
      </c>
      <c r="L174" s="86">
        <v>74558</v>
      </c>
      <c r="M174" s="86">
        <v>38634</v>
      </c>
      <c r="N174" s="86">
        <v>720329</v>
      </c>
      <c r="O174" s="86">
        <v>12468</v>
      </c>
      <c r="P174" s="86">
        <v>5407</v>
      </c>
      <c r="Q174" s="86">
        <v>67077</v>
      </c>
      <c r="R174" s="86">
        <v>892.9110107421875</v>
      </c>
      <c r="S174" s="86">
        <v>46.950000762939453</v>
      </c>
      <c r="T174" s="86">
        <v>13.586280822753906</v>
      </c>
      <c r="U174" s="86">
        <v>6.8000089377164841E-3</v>
      </c>
      <c r="V174" s="86">
        <v>0.90590786933898926</v>
      </c>
      <c r="W174" s="86">
        <v>0.18587593734264374</v>
      </c>
      <c r="X174" s="86">
        <v>4.858730360865593E-2</v>
      </c>
      <c r="Y174" s="86">
        <v>0</v>
      </c>
      <c r="Z174" s="86">
        <v>1.7784860134124756</v>
      </c>
    </row>
    <row r="175" spans="1:26" x14ac:dyDescent="0.25">
      <c r="A175" s="88">
        <v>528</v>
      </c>
      <c r="B175" t="s">
        <v>150</v>
      </c>
      <c r="C175" s="88">
        <v>2019</v>
      </c>
      <c r="D175" t="s">
        <v>3861</v>
      </c>
      <c r="E175" s="34">
        <v>46022</v>
      </c>
      <c r="F175" s="88">
        <v>133768</v>
      </c>
      <c r="G175" t="s">
        <v>3863</v>
      </c>
      <c r="H175" t="s">
        <v>3864</v>
      </c>
      <c r="I175" s="88">
        <v>1099219</v>
      </c>
      <c r="J175" t="s">
        <v>4311</v>
      </c>
      <c r="K175" s="86">
        <v>740463</v>
      </c>
      <c r="L175" s="86">
        <v>66144</v>
      </c>
      <c r="M175" s="86">
        <v>38408</v>
      </c>
      <c r="N175" s="86">
        <v>674081</v>
      </c>
      <c r="O175" s="86">
        <v>13891</v>
      </c>
      <c r="P175" s="86">
        <v>5899</v>
      </c>
      <c r="Q175" s="86">
        <v>69744</v>
      </c>
      <c r="R175" s="86">
        <v>915.3380126953125</v>
      </c>
      <c r="S175" s="86">
        <v>50.970001220703125</v>
      </c>
      <c r="T175" s="86">
        <v>13.515030860900879</v>
      </c>
      <c r="U175" s="86">
        <v>7.9666366800665855E-3</v>
      </c>
      <c r="V175" s="86">
        <v>0.91035068035125732</v>
      </c>
      <c r="W175" s="86">
        <v>0.19917125999927521</v>
      </c>
      <c r="X175" s="86">
        <v>5.1870249211788177E-2</v>
      </c>
      <c r="Y175" s="86">
        <v>0</v>
      </c>
      <c r="Z175" s="86">
        <v>1.4177325963973999</v>
      </c>
    </row>
    <row r="176" spans="1:26" x14ac:dyDescent="0.25">
      <c r="A176" s="88">
        <v>530</v>
      </c>
      <c r="B176" t="s">
        <v>151</v>
      </c>
      <c r="C176" s="88">
        <v>2020</v>
      </c>
      <c r="D176" t="s">
        <v>4410</v>
      </c>
      <c r="E176" s="34">
        <v>45900</v>
      </c>
      <c r="F176" s="88">
        <v>7343</v>
      </c>
      <c r="G176" t="s">
        <v>3866</v>
      </c>
      <c r="H176" t="s">
        <v>3867</v>
      </c>
      <c r="I176" s="88">
        <v>723125</v>
      </c>
      <c r="J176" t="s">
        <v>4373</v>
      </c>
      <c r="K176" s="86">
        <v>53678</v>
      </c>
      <c r="L176" s="86">
        <v>38996</v>
      </c>
      <c r="M176" s="86">
        <v>8142</v>
      </c>
      <c r="N176" s="86">
        <v>14682</v>
      </c>
      <c r="O176" s="86">
        <v>12122</v>
      </c>
      <c r="P176" s="86">
        <v>2687</v>
      </c>
      <c r="Q176" s="86">
        <v>21435</v>
      </c>
      <c r="R176" s="86">
        <v>1113</v>
      </c>
      <c r="S176" s="86">
        <v>45.509998321533203</v>
      </c>
      <c r="T176" s="86">
        <v>10.890758514404297</v>
      </c>
      <c r="U176" s="86">
        <v>5.0057750195264816E-2</v>
      </c>
      <c r="V176" s="86">
        <v>0.27351987361907959</v>
      </c>
      <c r="W176" s="86">
        <v>0.56552368402481079</v>
      </c>
      <c r="X176" s="86">
        <v>0.15168225765228271</v>
      </c>
      <c r="Y176" s="86">
        <v>0</v>
      </c>
      <c r="Z176" s="86">
        <v>0.76987123489379883</v>
      </c>
    </row>
    <row r="177" spans="1:26" x14ac:dyDescent="0.25">
      <c r="A177" s="88">
        <v>532</v>
      </c>
      <c r="B177" t="s">
        <v>151</v>
      </c>
      <c r="C177" s="88">
        <v>2019</v>
      </c>
      <c r="D177" t="s">
        <v>4410</v>
      </c>
      <c r="E177" s="34">
        <v>45900</v>
      </c>
      <c r="F177" s="88">
        <v>7343</v>
      </c>
      <c r="G177" t="s">
        <v>3866</v>
      </c>
      <c r="H177" t="s">
        <v>3867</v>
      </c>
      <c r="I177" s="88">
        <v>723125</v>
      </c>
      <c r="J177" t="s">
        <v>4411</v>
      </c>
      <c r="K177" s="86">
        <v>48887</v>
      </c>
      <c r="L177" s="86">
        <v>35881</v>
      </c>
      <c r="M177" s="86">
        <v>7955</v>
      </c>
      <c r="N177" s="86">
        <v>12019</v>
      </c>
      <c r="O177" s="86">
        <v>16042</v>
      </c>
      <c r="P177" s="86">
        <v>6313</v>
      </c>
      <c r="Q177" s="86">
        <v>23406</v>
      </c>
      <c r="R177" s="86">
        <v>1106</v>
      </c>
      <c r="S177" s="86">
        <v>45.270000457763672</v>
      </c>
      <c r="T177" s="86">
        <v>10.797266960144043</v>
      </c>
      <c r="U177" s="86">
        <v>0.12913453578948975</v>
      </c>
      <c r="V177" s="86">
        <v>0.24585267901420593</v>
      </c>
      <c r="W177" s="86">
        <v>0.68537980318069458</v>
      </c>
      <c r="X177" s="86">
        <v>0.16272220015525818</v>
      </c>
      <c r="Y177" s="86">
        <v>0</v>
      </c>
      <c r="Z177" s="86">
        <v>0.71663647890090942</v>
      </c>
    </row>
    <row r="178" spans="1:26" x14ac:dyDescent="0.25">
      <c r="A178" s="88">
        <v>535</v>
      </c>
      <c r="B178" t="s">
        <v>152</v>
      </c>
      <c r="C178" s="88">
        <v>2020</v>
      </c>
      <c r="D178" t="s">
        <v>3868</v>
      </c>
      <c r="E178" s="34">
        <v>45961</v>
      </c>
      <c r="F178" s="88">
        <v>37019</v>
      </c>
      <c r="G178" t="s">
        <v>3870</v>
      </c>
      <c r="H178" t="s">
        <v>3871</v>
      </c>
      <c r="I178" s="88">
        <v>1802974</v>
      </c>
      <c r="J178" t="s">
        <v>4308</v>
      </c>
      <c r="K178" s="86">
        <v>777.29998779296875</v>
      </c>
      <c r="L178" s="86">
        <v>473.5</v>
      </c>
      <c r="M178" s="86">
        <v>125.40000152587891</v>
      </c>
      <c r="N178" s="86">
        <v>303.79998779296875</v>
      </c>
      <c r="O178" s="86">
        <v>142.69999694824219</v>
      </c>
      <c r="P178" s="86">
        <v>28.799999237060547</v>
      </c>
      <c r="Q178" s="86">
        <v>862.29998779296875</v>
      </c>
      <c r="R178" s="86">
        <v>70.551002502441406</v>
      </c>
      <c r="S178" s="86">
        <v>13.189999580383301</v>
      </c>
      <c r="T178" s="86">
        <v>6.6558265686035156</v>
      </c>
      <c r="U178" s="86">
        <v>3.7051331251859665E-2</v>
      </c>
      <c r="V178" s="86">
        <v>0.390840083360672</v>
      </c>
      <c r="W178" s="86">
        <v>0.16548764705657959</v>
      </c>
      <c r="X178" s="86">
        <v>0.16132767498493195</v>
      </c>
      <c r="Y178" s="86">
        <v>0</v>
      </c>
      <c r="Z178" s="86">
        <v>0.50882917642593384</v>
      </c>
    </row>
    <row r="179" spans="1:26" x14ac:dyDescent="0.25">
      <c r="A179" s="88">
        <v>539</v>
      </c>
      <c r="B179" t="s">
        <v>153</v>
      </c>
      <c r="C179" s="88">
        <v>2020</v>
      </c>
      <c r="D179" t="s">
        <v>4412</v>
      </c>
      <c r="E179" s="34">
        <v>46022</v>
      </c>
      <c r="F179" s="88">
        <v>142953</v>
      </c>
      <c r="G179" t="s">
        <v>3873</v>
      </c>
      <c r="H179" t="s">
        <v>3874</v>
      </c>
      <c r="I179" s="88">
        <v>1103982</v>
      </c>
      <c r="J179" t="s">
        <v>4305</v>
      </c>
      <c r="K179" s="86">
        <v>67810</v>
      </c>
      <c r="L179" s="86">
        <v>27578</v>
      </c>
      <c r="M179" s="86">
        <v>3650</v>
      </c>
      <c r="N179" s="86">
        <v>40156</v>
      </c>
      <c r="O179" s="86">
        <v>11189</v>
      </c>
      <c r="P179" s="86">
        <v>3555</v>
      </c>
      <c r="Q179" s="86">
        <v>26581</v>
      </c>
      <c r="R179" s="86">
        <v>1419.1739501953125</v>
      </c>
      <c r="S179" s="86">
        <v>58.470001220703125</v>
      </c>
      <c r="T179" s="86">
        <v>11.124464988708496</v>
      </c>
      <c r="U179" s="86">
        <v>5.2425894886255264E-2</v>
      </c>
      <c r="V179" s="86">
        <v>0.59218406677246094</v>
      </c>
      <c r="W179" s="86">
        <v>0.42093977332115173</v>
      </c>
      <c r="X179" s="86">
        <v>5.3826868534088135E-2</v>
      </c>
      <c r="Y179" s="86">
        <v>0</v>
      </c>
      <c r="Z179" s="86">
        <v>0.33234873414039612</v>
      </c>
    </row>
    <row r="180" spans="1:26" x14ac:dyDescent="0.25">
      <c r="A180" s="88">
        <v>540</v>
      </c>
      <c r="B180" t="s">
        <v>153</v>
      </c>
      <c r="C180" s="88">
        <v>2019</v>
      </c>
      <c r="D180" t="s">
        <v>4412</v>
      </c>
      <c r="E180" s="34">
        <v>46022</v>
      </c>
      <c r="F180" s="88">
        <v>142953</v>
      </c>
      <c r="G180" t="s">
        <v>3873</v>
      </c>
      <c r="H180" t="s">
        <v>3874</v>
      </c>
      <c r="I180" s="88">
        <v>1103982</v>
      </c>
      <c r="J180" t="s">
        <v>4311</v>
      </c>
      <c r="K180" s="86">
        <v>64549</v>
      </c>
      <c r="L180" s="86">
        <v>27275</v>
      </c>
      <c r="M180" s="86">
        <v>1328</v>
      </c>
      <c r="N180" s="86">
        <v>37198</v>
      </c>
      <c r="O180" s="86">
        <v>11084</v>
      </c>
      <c r="P180" s="86">
        <v>3870</v>
      </c>
      <c r="Q180" s="86">
        <v>25868</v>
      </c>
      <c r="R180" s="86">
        <v>1435.0059814453125</v>
      </c>
      <c r="S180" s="86">
        <v>55.080001831054688</v>
      </c>
      <c r="T180" s="86">
        <v>11.075180053710938</v>
      </c>
      <c r="U180" s="86">
        <v>5.9954453259706497E-2</v>
      </c>
      <c r="V180" s="86">
        <v>0.57627540826797485</v>
      </c>
      <c r="W180" s="86">
        <v>0.42848306894302368</v>
      </c>
      <c r="X180" s="86">
        <v>2.0573517307639122E-2</v>
      </c>
      <c r="Y180" s="86">
        <v>0</v>
      </c>
      <c r="Z180" s="86">
        <v>0.34507787227630615</v>
      </c>
    </row>
    <row r="181" spans="1:26" x14ac:dyDescent="0.25">
      <c r="A181" s="88">
        <v>542</v>
      </c>
      <c r="B181" t="s">
        <v>154</v>
      </c>
      <c r="C181" s="88">
        <v>2018</v>
      </c>
      <c r="D181" t="s">
        <v>4413</v>
      </c>
      <c r="E181" s="34">
        <v>46022</v>
      </c>
      <c r="F181" s="88">
        <v>139665</v>
      </c>
      <c r="G181" t="s">
        <v>3876</v>
      </c>
      <c r="H181" t="s">
        <v>3877</v>
      </c>
      <c r="I181" s="88">
        <v>1059556</v>
      </c>
      <c r="J181" t="s">
        <v>4307</v>
      </c>
      <c r="K181" s="86">
        <v>9526.2001953125</v>
      </c>
      <c r="L181" s="86">
        <v>459.89999389648438</v>
      </c>
      <c r="M181" s="86">
        <v>1817.5</v>
      </c>
      <c r="N181" s="86">
        <v>8869.7001953125</v>
      </c>
      <c r="O181" s="86">
        <v>3197.199951171875</v>
      </c>
      <c r="P181" s="86">
        <v>1309.5999755859375</v>
      </c>
      <c r="Q181" s="86">
        <v>4442.7001953125</v>
      </c>
      <c r="R181" s="86">
        <v>191.30400085449219</v>
      </c>
      <c r="S181" s="86">
        <v>140.03999328613281</v>
      </c>
      <c r="T181" s="86">
        <v>9.1618013381958008</v>
      </c>
      <c r="U181" s="86">
        <v>0.13747349381446838</v>
      </c>
      <c r="V181" s="86">
        <v>0.93108481168746948</v>
      </c>
      <c r="W181" s="86">
        <v>0.71965241432189941</v>
      </c>
      <c r="X181" s="86">
        <v>0.1907896101474762</v>
      </c>
      <c r="Y181" s="86">
        <v>0</v>
      </c>
      <c r="Z181" s="86">
        <v>1.7166716977953911E-2</v>
      </c>
    </row>
    <row r="182" spans="1:26" x14ac:dyDescent="0.25">
      <c r="A182" s="88">
        <v>556</v>
      </c>
      <c r="B182" t="s">
        <v>4263</v>
      </c>
      <c r="C182" s="88">
        <v>2019</v>
      </c>
      <c r="D182" t="s">
        <v>4265</v>
      </c>
      <c r="E182" s="34">
        <v>46022</v>
      </c>
      <c r="F182" s="88">
        <v>7637</v>
      </c>
      <c r="G182" t="s">
        <v>4267</v>
      </c>
      <c r="H182" t="s">
        <v>4268</v>
      </c>
      <c r="I182" s="88">
        <v>1792044</v>
      </c>
      <c r="J182" t="s">
        <v>4311</v>
      </c>
      <c r="K182" s="86">
        <v>31255.5</v>
      </c>
      <c r="L182" s="86">
        <v>11883.7998046875</v>
      </c>
      <c r="M182" s="86">
        <v>556.9000244140625</v>
      </c>
      <c r="N182" s="86">
        <v>19371.69921875</v>
      </c>
      <c r="O182" s="86">
        <v>6210.10009765625</v>
      </c>
      <c r="P182" s="86">
        <v>16.799999237060547</v>
      </c>
      <c r="Q182" s="86">
        <v>11500.5</v>
      </c>
      <c r="R182" s="86">
        <v>516.14898681640625</v>
      </c>
      <c r="S182" s="86">
        <v>20.100000381469727</v>
      </c>
      <c r="T182" s="86">
        <v>10.349950790405273</v>
      </c>
      <c r="U182" s="86">
        <v>5.375053733587265E-4</v>
      </c>
      <c r="V182" s="86">
        <v>0.61978530883789063</v>
      </c>
      <c r="W182" s="86">
        <v>0.53998523950576782</v>
      </c>
      <c r="X182" s="86">
        <v>1.78176648914814E-2</v>
      </c>
      <c r="Y182" s="86">
        <v>0</v>
      </c>
      <c r="Z182" s="86">
        <v>1.1454712152481079</v>
      </c>
    </row>
    <row r="183" spans="1:26" x14ac:dyDescent="0.25">
      <c r="A183" s="88">
        <v>558</v>
      </c>
      <c r="B183" t="s">
        <v>155</v>
      </c>
      <c r="C183" s="88">
        <v>2019</v>
      </c>
      <c r="D183" t="s">
        <v>4414</v>
      </c>
      <c r="E183" s="34">
        <v>45930</v>
      </c>
      <c r="F183" s="88">
        <v>7733</v>
      </c>
      <c r="G183" t="s">
        <v>3879</v>
      </c>
      <c r="H183" t="s">
        <v>3880</v>
      </c>
      <c r="I183" s="88">
        <v>70145</v>
      </c>
      <c r="J183" t="s">
        <v>4321</v>
      </c>
      <c r="K183" s="86">
        <v>6462.1572265625</v>
      </c>
      <c r="L183" s="86">
        <v>2139.02490234375</v>
      </c>
      <c r="M183" s="86">
        <v>20.427999496459961</v>
      </c>
      <c r="N183" s="86">
        <v>4323.1318359375</v>
      </c>
      <c r="O183" s="86">
        <v>787.468994140625</v>
      </c>
      <c r="P183" s="86">
        <v>304.29000854492188</v>
      </c>
      <c r="Q183" s="86">
        <v>1693.33203125</v>
      </c>
      <c r="R183" s="86">
        <v>86.31500244140625</v>
      </c>
      <c r="S183" s="86">
        <v>46.919998168945313</v>
      </c>
      <c r="T183" s="86">
        <v>8.7737188339233398</v>
      </c>
      <c r="U183" s="86">
        <v>4.708799347281456E-2</v>
      </c>
      <c r="V183" s="86">
        <v>0.66899204254150391</v>
      </c>
      <c r="W183" s="86">
        <v>0.46504110097885132</v>
      </c>
      <c r="X183" s="86">
        <v>3.1611733138561249E-3</v>
      </c>
      <c r="Y183" s="86">
        <v>0</v>
      </c>
      <c r="Z183" s="86">
        <v>0.52816736698150635</v>
      </c>
    </row>
    <row r="184" spans="1:26" x14ac:dyDescent="0.25">
      <c r="A184" s="88">
        <v>559</v>
      </c>
      <c r="B184" t="s">
        <v>156</v>
      </c>
      <c r="C184" s="88">
        <v>2019</v>
      </c>
      <c r="D184" t="s">
        <v>4415</v>
      </c>
      <c r="E184" s="34">
        <v>44561</v>
      </c>
      <c r="F184" s="88">
        <v>162264</v>
      </c>
      <c r="G184" t="s">
        <v>3882</v>
      </c>
      <c r="H184" t="s">
        <v>3883</v>
      </c>
      <c r="I184" s="88">
        <v>1296435</v>
      </c>
      <c r="J184" t="s">
        <v>4311</v>
      </c>
      <c r="K184" s="86">
        <v>827.79998779296875</v>
      </c>
      <c r="L184" s="86">
        <v>406.29998779296875</v>
      </c>
      <c r="M184" s="86">
        <v>10.399999618530273</v>
      </c>
      <c r="N184" s="86">
        <v>421.5</v>
      </c>
      <c r="O184" s="86">
        <v>221.19999694824219</v>
      </c>
      <c r="P184" s="86">
        <v>55.400001525878906</v>
      </c>
      <c r="Q184" s="86">
        <v>938.5</v>
      </c>
      <c r="R184" s="86">
        <v>16.843000411987305</v>
      </c>
      <c r="S184" s="86">
        <v>70.430000305175781</v>
      </c>
      <c r="T184" s="86">
        <v>6.7187714576721191</v>
      </c>
      <c r="U184" s="86">
        <v>6.6924378275871277E-2</v>
      </c>
      <c r="V184" s="86">
        <v>0.50918096303939819</v>
      </c>
      <c r="W184" s="86">
        <v>0.2356952577829361</v>
      </c>
      <c r="X184" s="86">
        <v>1.2563420459628105E-2</v>
      </c>
      <c r="Y184" s="86">
        <v>0</v>
      </c>
      <c r="Z184" s="86">
        <v>0.34250715374946594</v>
      </c>
    </row>
    <row r="185" spans="1:26" x14ac:dyDescent="0.25">
      <c r="A185" s="88">
        <v>563</v>
      </c>
      <c r="B185" t="s">
        <v>157</v>
      </c>
      <c r="C185" s="88">
        <v>2020</v>
      </c>
      <c r="D185" t="s">
        <v>4416</v>
      </c>
      <c r="E185" s="34">
        <v>45930</v>
      </c>
      <c r="F185" s="88">
        <v>7849</v>
      </c>
      <c r="G185" t="s">
        <v>3885</v>
      </c>
      <c r="H185" t="s">
        <v>3886</v>
      </c>
      <c r="I185" s="88">
        <v>356309</v>
      </c>
      <c r="J185" t="s">
        <v>4323</v>
      </c>
      <c r="K185" s="86">
        <v>5569.8017578125</v>
      </c>
      <c r="L185" s="86">
        <v>1844.6920166015625</v>
      </c>
      <c r="M185" s="86">
        <v>117.01200103759766</v>
      </c>
      <c r="N185" s="86">
        <v>3725.110107421875</v>
      </c>
      <c r="O185" s="86">
        <v>336.27700805664063</v>
      </c>
      <c r="P185" s="86">
        <v>193.91900634765625</v>
      </c>
      <c r="Q185" s="86">
        <v>1953.66796875</v>
      </c>
      <c r="R185" s="86">
        <v>95.948997497558594</v>
      </c>
      <c r="S185" s="86">
        <v>27.020000457763672</v>
      </c>
      <c r="T185" s="86">
        <v>8.6251144409179688</v>
      </c>
      <c r="U185" s="86">
        <v>3.4816142171621323E-2</v>
      </c>
      <c r="V185" s="86">
        <v>0.66880476474761963</v>
      </c>
      <c r="W185" s="86">
        <v>0.17212598025798798</v>
      </c>
      <c r="X185" s="86">
        <v>2.1008288487792015E-2</v>
      </c>
      <c r="Y185" s="86">
        <v>0</v>
      </c>
      <c r="Z185" s="86">
        <v>0.71153795719146729</v>
      </c>
    </row>
    <row r="186" spans="1:26" x14ac:dyDescent="0.25">
      <c r="A186" s="88">
        <v>565</v>
      </c>
      <c r="B186" t="s">
        <v>158</v>
      </c>
      <c r="C186" s="88">
        <v>2020</v>
      </c>
      <c r="D186" t="s">
        <v>4417</v>
      </c>
      <c r="E186" s="34">
        <v>46022</v>
      </c>
      <c r="F186" s="88">
        <v>7881</v>
      </c>
      <c r="G186" t="s">
        <v>3888</v>
      </c>
      <c r="H186" t="s">
        <v>3889</v>
      </c>
      <c r="I186" s="88">
        <v>1164727</v>
      </c>
      <c r="J186" t="s">
        <v>4305</v>
      </c>
      <c r="K186" s="86">
        <v>41369</v>
      </c>
      <c r="L186" s="86">
        <v>23008</v>
      </c>
      <c r="M186" s="86">
        <v>5832</v>
      </c>
      <c r="N186" s="86">
        <v>17490</v>
      </c>
      <c r="O186" s="86">
        <v>6468</v>
      </c>
      <c r="P186" s="86">
        <v>2829</v>
      </c>
      <c r="Q186" s="86">
        <v>11497</v>
      </c>
      <c r="R186" s="86">
        <v>800</v>
      </c>
      <c r="S186" s="86">
        <v>59.889999389648438</v>
      </c>
      <c r="T186" s="86">
        <v>10.630287170410156</v>
      </c>
      <c r="U186" s="86">
        <v>6.8384535610675812E-2</v>
      </c>
      <c r="V186" s="86">
        <v>0.42278033494949341</v>
      </c>
      <c r="W186" s="86">
        <v>0.56258153915405273</v>
      </c>
      <c r="X186" s="86">
        <v>0.14097513258457184</v>
      </c>
      <c r="Y186" s="86">
        <v>0</v>
      </c>
      <c r="Z186" s="86">
        <v>0.48021373152732849</v>
      </c>
    </row>
    <row r="187" spans="1:26" x14ac:dyDescent="0.25">
      <c r="A187" s="88">
        <v>566</v>
      </c>
      <c r="B187" t="s">
        <v>158</v>
      </c>
      <c r="C187" s="88">
        <v>2019</v>
      </c>
      <c r="D187" t="s">
        <v>4417</v>
      </c>
      <c r="E187" s="34">
        <v>46022</v>
      </c>
      <c r="F187" s="88">
        <v>7881</v>
      </c>
      <c r="G187" t="s">
        <v>3888</v>
      </c>
      <c r="H187" t="s">
        <v>3889</v>
      </c>
      <c r="I187" s="88">
        <v>1164727</v>
      </c>
      <c r="J187" t="s">
        <v>4311</v>
      </c>
      <c r="K187" s="86">
        <v>39974</v>
      </c>
      <c r="L187" s="86">
        <v>21420</v>
      </c>
      <c r="M187" s="86">
        <v>2482</v>
      </c>
      <c r="N187" s="86">
        <v>17557</v>
      </c>
      <c r="O187" s="86">
        <v>4509</v>
      </c>
      <c r="P187" s="86">
        <v>2805</v>
      </c>
      <c r="Q187" s="86">
        <v>9740</v>
      </c>
      <c r="R187" s="86">
        <v>808</v>
      </c>
      <c r="S187" s="86">
        <v>43.450000762939453</v>
      </c>
      <c r="T187" s="86">
        <v>10.59598445892334</v>
      </c>
      <c r="U187" s="86">
        <v>7.0170611143112183E-2</v>
      </c>
      <c r="V187" s="86">
        <v>0.43921047449111938</v>
      </c>
      <c r="W187" s="86">
        <v>0.46293634176254272</v>
      </c>
      <c r="X187" s="86">
        <v>6.2090359628200531E-2</v>
      </c>
      <c r="Y187" s="86">
        <v>0</v>
      </c>
      <c r="Z187" s="86">
        <v>0.61012428998947144</v>
      </c>
    </row>
    <row r="188" spans="1:26" x14ac:dyDescent="0.25">
      <c r="A188" s="88">
        <v>569</v>
      </c>
      <c r="B188" t="s">
        <v>159</v>
      </c>
      <c r="C188" s="88">
        <v>2020</v>
      </c>
      <c r="D188" t="s">
        <v>3890</v>
      </c>
      <c r="E188" s="34">
        <v>44561</v>
      </c>
      <c r="F188" s="88">
        <v>100873</v>
      </c>
      <c r="G188" t="s">
        <v>3892</v>
      </c>
      <c r="H188" t="s">
        <v>3893</v>
      </c>
      <c r="I188" s="88">
        <v>1492633</v>
      </c>
      <c r="J188" t="s">
        <v>4305</v>
      </c>
      <c r="K188" s="86">
        <v>14135</v>
      </c>
      <c r="L188" s="86">
        <v>2051</v>
      </c>
      <c r="M188" s="86">
        <v>610</v>
      </c>
      <c r="N188" s="86">
        <v>11892</v>
      </c>
      <c r="O188" s="86">
        <v>3514</v>
      </c>
      <c r="P188" s="86">
        <v>-6</v>
      </c>
      <c r="Q188" s="86">
        <v>6290</v>
      </c>
      <c r="R188" s="86">
        <v>357.64498901367188</v>
      </c>
      <c r="S188" s="86">
        <v>20.870000839233398</v>
      </c>
      <c r="T188" s="86">
        <v>9.5564088821411133</v>
      </c>
      <c r="U188" s="86">
        <v>-4.2447823216207325E-4</v>
      </c>
      <c r="V188" s="86">
        <v>0.8413158655166626</v>
      </c>
      <c r="W188" s="86">
        <v>0.55866456031799316</v>
      </c>
      <c r="X188" s="86">
        <v>4.3155286461114883E-2</v>
      </c>
      <c r="Y188" s="86">
        <v>1</v>
      </c>
      <c r="Z188" s="86">
        <v>0.27478376030921936</v>
      </c>
    </row>
    <row r="189" spans="1:26" x14ac:dyDescent="0.25">
      <c r="A189" s="88">
        <v>574</v>
      </c>
      <c r="B189" t="s">
        <v>160</v>
      </c>
      <c r="C189" s="88">
        <v>2019</v>
      </c>
      <c r="D189" t="s">
        <v>4418</v>
      </c>
      <c r="E189" s="34">
        <v>43830</v>
      </c>
      <c r="F189" s="88">
        <v>7912</v>
      </c>
      <c r="G189" t="s">
        <v>3895</v>
      </c>
      <c r="H189" t="s">
        <v>3896</v>
      </c>
      <c r="I189" s="88">
        <v>72207</v>
      </c>
      <c r="J189" t="s">
        <v>4311</v>
      </c>
      <c r="K189" s="86">
        <v>20647</v>
      </c>
      <c r="L189" s="86">
        <v>8410</v>
      </c>
      <c r="M189" s="86">
        <v>484</v>
      </c>
      <c r="N189" s="86">
        <v>11486</v>
      </c>
      <c r="O189" s="86">
        <v>1059</v>
      </c>
      <c r="P189" s="86">
        <v>-1512</v>
      </c>
      <c r="Q189" s="86">
        <v>3904</v>
      </c>
      <c r="R189" s="86">
        <v>484.93399047851563</v>
      </c>
      <c r="S189" s="86">
        <v>24.840000152587891</v>
      </c>
      <c r="T189" s="86">
        <v>9.9353256225585938</v>
      </c>
      <c r="U189" s="86">
        <v>-7.323097437620163E-2</v>
      </c>
      <c r="V189" s="86">
        <v>0.55630356073379517</v>
      </c>
      <c r="W189" s="86">
        <v>0.27126023173332214</v>
      </c>
      <c r="X189" s="86">
        <v>2.3441663011908531E-2</v>
      </c>
      <c r="Y189" s="86">
        <v>1</v>
      </c>
      <c r="Z189" s="86">
        <v>0.69817095994949341</v>
      </c>
    </row>
    <row r="190" spans="1:26" x14ac:dyDescent="0.25">
      <c r="A190" s="88">
        <v>580</v>
      </c>
      <c r="B190" t="s">
        <v>161</v>
      </c>
      <c r="C190" s="88">
        <v>2020</v>
      </c>
      <c r="D190" t="s">
        <v>3897</v>
      </c>
      <c r="E190" s="34">
        <v>46022</v>
      </c>
      <c r="F190" s="88">
        <v>104432</v>
      </c>
      <c r="G190" t="s">
        <v>3899</v>
      </c>
      <c r="H190" t="s">
        <v>3900</v>
      </c>
      <c r="I190" s="88">
        <v>1513761</v>
      </c>
      <c r="J190" t="s">
        <v>4305</v>
      </c>
      <c r="K190" s="86">
        <v>18399.31640625</v>
      </c>
      <c r="L190" s="86">
        <v>4354.10498046875</v>
      </c>
      <c r="M190" s="86">
        <v>3300.48193359375</v>
      </c>
      <c r="N190" s="86">
        <v>14045.2119140625</v>
      </c>
      <c r="O190" s="86">
        <v>-413.15301513671875</v>
      </c>
      <c r="P190" s="86">
        <v>-4012.513916015625</v>
      </c>
      <c r="Q190" s="86">
        <v>1279.907958984375</v>
      </c>
      <c r="R190" s="86">
        <v>315.635986328125</v>
      </c>
      <c r="S190" s="86">
        <v>25.430000305175781</v>
      </c>
      <c r="T190" s="86">
        <v>9.820068359375</v>
      </c>
      <c r="U190" s="86">
        <v>-0.21807950735092163</v>
      </c>
      <c r="V190" s="86">
        <v>0.7633550763130188</v>
      </c>
      <c r="W190" s="86">
        <v>-0.32279899716377258</v>
      </c>
      <c r="X190" s="86">
        <v>0.17938068509101868</v>
      </c>
      <c r="Y190" s="86">
        <v>1</v>
      </c>
      <c r="Z190" s="86">
        <v>0.54245787858963013</v>
      </c>
    </row>
    <row r="191" spans="1:26" x14ac:dyDescent="0.25">
      <c r="A191" s="88">
        <v>582</v>
      </c>
      <c r="B191" t="s">
        <v>162</v>
      </c>
      <c r="C191" s="88">
        <v>2020</v>
      </c>
      <c r="D191" t="s">
        <v>4419</v>
      </c>
      <c r="E191" s="34">
        <v>46022</v>
      </c>
      <c r="F191" s="88">
        <v>135990</v>
      </c>
      <c r="G191" t="s">
        <v>3902</v>
      </c>
      <c r="H191" t="s">
        <v>3903</v>
      </c>
      <c r="I191" s="88">
        <v>1013871</v>
      </c>
      <c r="J191" t="s">
        <v>4305</v>
      </c>
      <c r="K191" s="86">
        <v>14902</v>
      </c>
      <c r="L191" s="86">
        <v>1680</v>
      </c>
      <c r="M191" s="86">
        <v>3930</v>
      </c>
      <c r="N191" s="86">
        <v>13222</v>
      </c>
      <c r="O191" s="86">
        <v>1565</v>
      </c>
      <c r="P191" s="86">
        <v>510</v>
      </c>
      <c r="Q191" s="86">
        <v>9093</v>
      </c>
      <c r="R191" s="86">
        <v>244.23199462890625</v>
      </c>
      <c r="S191" s="86">
        <v>37.549999237060547</v>
      </c>
      <c r="T191" s="86">
        <v>9.6092510223388672</v>
      </c>
      <c r="U191" s="86">
        <v>3.4223593771457672E-2</v>
      </c>
      <c r="V191" s="86">
        <v>0.88726347684860229</v>
      </c>
      <c r="W191" s="86">
        <v>0.17211040854454041</v>
      </c>
      <c r="X191" s="86">
        <v>0.2637229859828949</v>
      </c>
      <c r="Y191" s="86">
        <v>0</v>
      </c>
      <c r="Z191" s="86">
        <v>0.18318790197372437</v>
      </c>
    </row>
    <row r="192" spans="1:26" x14ac:dyDescent="0.25">
      <c r="A192" s="88">
        <v>588</v>
      </c>
      <c r="B192" t="s">
        <v>163</v>
      </c>
      <c r="C192" s="88">
        <v>2019</v>
      </c>
      <c r="D192" t="s">
        <v>3904</v>
      </c>
      <c r="E192" s="34">
        <v>44469</v>
      </c>
      <c r="F192" s="88">
        <v>61685</v>
      </c>
      <c r="G192" t="s">
        <v>3906</v>
      </c>
      <c r="H192" t="s">
        <v>3907</v>
      </c>
      <c r="I192" s="88">
        <v>1002517</v>
      </c>
      <c r="J192" t="s">
        <v>4321</v>
      </c>
      <c r="K192" s="86">
        <v>5365.79296875</v>
      </c>
      <c r="L192" s="86">
        <v>2155.006103515625</v>
      </c>
      <c r="M192" s="86">
        <v>747.5159912109375</v>
      </c>
      <c r="N192" s="86">
        <v>3192.64306640625</v>
      </c>
      <c r="O192" s="86">
        <v>1135.2330322265625</v>
      </c>
      <c r="P192" s="86">
        <v>213.80999755859375</v>
      </c>
      <c r="Q192" s="86">
        <v>1823.092041015625</v>
      </c>
      <c r="R192" s="86">
        <v>285.92999267578125</v>
      </c>
      <c r="S192" s="86">
        <v>16.309999465942383</v>
      </c>
      <c r="T192" s="86">
        <v>8.587799072265625</v>
      </c>
      <c r="U192" s="86">
        <v>3.9846859872341156E-2</v>
      </c>
      <c r="V192" s="86">
        <v>0.59499931335449219</v>
      </c>
      <c r="W192" s="86">
        <v>0.62269651889801025</v>
      </c>
      <c r="X192" s="86">
        <v>0.13931137323379517</v>
      </c>
      <c r="Y192" s="86">
        <v>0</v>
      </c>
      <c r="Z192" s="86">
        <v>0.46209880709648132</v>
      </c>
    </row>
    <row r="193" spans="1:26" x14ac:dyDescent="0.25">
      <c r="A193" s="88">
        <v>590</v>
      </c>
      <c r="B193" t="s">
        <v>164</v>
      </c>
      <c r="C193" s="88">
        <v>2021</v>
      </c>
      <c r="D193" t="s">
        <v>3908</v>
      </c>
      <c r="E193" s="34">
        <v>46053</v>
      </c>
      <c r="F193" s="88">
        <v>117768</v>
      </c>
      <c r="G193" t="s">
        <v>3910</v>
      </c>
      <c r="H193" t="s">
        <v>3911</v>
      </c>
      <c r="I193" s="88">
        <v>1045810</v>
      </c>
      <c r="J193" t="s">
        <v>4330</v>
      </c>
      <c r="K193" s="86">
        <v>28791</v>
      </c>
      <c r="L193" s="86">
        <v>16893</v>
      </c>
      <c r="M193" s="86">
        <v>11561</v>
      </c>
      <c r="N193" s="86">
        <v>11898</v>
      </c>
      <c r="O193" s="86">
        <v>11693</v>
      </c>
      <c r="P193" s="86">
        <v>4332</v>
      </c>
      <c r="Q193" s="86">
        <v>16675</v>
      </c>
      <c r="R193" s="86">
        <v>620</v>
      </c>
      <c r="S193" s="86">
        <v>519.59002685546875</v>
      </c>
      <c r="T193" s="86">
        <v>10.267818450927734</v>
      </c>
      <c r="U193" s="86">
        <v>0.15046368539333344</v>
      </c>
      <c r="V193" s="86">
        <v>0.41325414180755615</v>
      </c>
      <c r="W193" s="86">
        <v>0.70122939348220825</v>
      </c>
      <c r="X193" s="86">
        <v>0.40154910087585449</v>
      </c>
      <c r="Y193" s="86">
        <v>0</v>
      </c>
      <c r="Z193" s="86">
        <v>5.2438985556364059E-2</v>
      </c>
    </row>
    <row r="194" spans="1:26" x14ac:dyDescent="0.25">
      <c r="A194" s="88">
        <v>595</v>
      </c>
      <c r="B194" t="s">
        <v>165</v>
      </c>
      <c r="C194" s="88">
        <v>2020</v>
      </c>
      <c r="D194" t="s">
        <v>4420</v>
      </c>
      <c r="E194" s="34">
        <v>46022</v>
      </c>
      <c r="F194" s="88">
        <v>134932</v>
      </c>
      <c r="G194" t="s">
        <v>3913</v>
      </c>
      <c r="H194" t="s">
        <v>3914</v>
      </c>
      <c r="I194" s="88">
        <v>1097864</v>
      </c>
      <c r="J194" t="s">
        <v>4305</v>
      </c>
      <c r="K194" s="86">
        <v>8668</v>
      </c>
      <c r="L194" s="86">
        <v>3538.5</v>
      </c>
      <c r="M194" s="86">
        <v>1081.5</v>
      </c>
      <c r="N194" s="86">
        <v>5109.89990234375</v>
      </c>
      <c r="O194" s="86">
        <v>2159.89990234375</v>
      </c>
      <c r="P194" s="86">
        <v>234.19999694824219</v>
      </c>
      <c r="Q194" s="86">
        <v>5255</v>
      </c>
      <c r="R194" s="86">
        <v>411.84201049804688</v>
      </c>
      <c r="S194" s="86">
        <v>32.729999542236328</v>
      </c>
      <c r="T194" s="86">
        <v>9.0673933029174805</v>
      </c>
      <c r="U194" s="86">
        <v>2.7018919587135315E-2</v>
      </c>
      <c r="V194" s="86">
        <v>0.58951312303543091</v>
      </c>
      <c r="W194" s="86">
        <v>0.41101807355880737</v>
      </c>
      <c r="X194" s="86">
        <v>0.12476926296949387</v>
      </c>
      <c r="Y194" s="86">
        <v>0</v>
      </c>
      <c r="Z194" s="86">
        <v>0.26250800490379333</v>
      </c>
    </row>
    <row r="195" spans="1:26" x14ac:dyDescent="0.25">
      <c r="A195" s="88">
        <v>596</v>
      </c>
      <c r="B195" t="s">
        <v>166</v>
      </c>
      <c r="C195" s="88">
        <v>2020</v>
      </c>
      <c r="D195" t="s">
        <v>4421</v>
      </c>
      <c r="E195" s="34">
        <v>46022</v>
      </c>
      <c r="F195" s="88">
        <v>8151</v>
      </c>
      <c r="G195" t="s">
        <v>3916</v>
      </c>
      <c r="H195" t="s">
        <v>3917</v>
      </c>
      <c r="I195" s="88">
        <v>1039684</v>
      </c>
      <c r="J195" t="s">
        <v>4305</v>
      </c>
      <c r="K195" s="86">
        <v>23078.75390625</v>
      </c>
      <c r="L195" s="86">
        <v>6042.39794921875</v>
      </c>
      <c r="M195" s="86">
        <v>524.4959716796875</v>
      </c>
      <c r="N195" s="86">
        <v>17036.35546875</v>
      </c>
      <c r="O195" s="86">
        <v>2545.89208984375</v>
      </c>
      <c r="P195" s="86">
        <v>612.80902099609375</v>
      </c>
      <c r="Q195" s="86">
        <v>8542.2421875</v>
      </c>
      <c r="R195" s="86">
        <v>444.87200927734375</v>
      </c>
      <c r="S195" s="86">
        <v>38.380001068115234</v>
      </c>
      <c r="T195" s="86">
        <v>10.04666805267334</v>
      </c>
      <c r="U195" s="86">
        <v>2.6552950963377953E-2</v>
      </c>
      <c r="V195" s="86">
        <v>0.73818349838256836</v>
      </c>
      <c r="W195" s="86">
        <v>0.29803559184074402</v>
      </c>
      <c r="X195" s="86">
        <v>2.2726355120539665E-2</v>
      </c>
      <c r="Y195" s="86">
        <v>0</v>
      </c>
      <c r="Z195" s="86">
        <v>0.35389077663421631</v>
      </c>
    </row>
    <row r="196" spans="1:26" x14ac:dyDescent="0.25">
      <c r="A196" s="88">
        <v>597</v>
      </c>
      <c r="B196" t="s">
        <v>167</v>
      </c>
      <c r="C196" s="88">
        <v>2020</v>
      </c>
      <c r="D196" t="s">
        <v>4422</v>
      </c>
      <c r="E196" s="34">
        <v>46022</v>
      </c>
      <c r="F196" s="88">
        <v>11721</v>
      </c>
      <c r="G196" t="s">
        <v>3919</v>
      </c>
      <c r="H196" t="s">
        <v>3920</v>
      </c>
      <c r="I196" s="88">
        <v>775158</v>
      </c>
      <c r="J196" t="s">
        <v>4323</v>
      </c>
      <c r="K196" s="86">
        <v>5815.89990234375</v>
      </c>
      <c r="L196" s="86">
        <v>2850.699951171875</v>
      </c>
      <c r="M196" s="86">
        <v>586.4000244140625</v>
      </c>
      <c r="N196" s="86">
        <v>2965.199951171875</v>
      </c>
      <c r="O196" s="86">
        <v>1202.5</v>
      </c>
      <c r="P196" s="86">
        <v>324.5</v>
      </c>
      <c r="Q196" s="86">
        <v>6856.7998046875</v>
      </c>
      <c r="R196" s="86">
        <v>68.1510009765625</v>
      </c>
      <c r="S196" s="86">
        <v>73.5</v>
      </c>
      <c r="T196" s="86">
        <v>8.6683511734008789</v>
      </c>
      <c r="U196" s="86">
        <v>5.5795319378376007E-2</v>
      </c>
      <c r="V196" s="86">
        <v>0.50984370708465576</v>
      </c>
      <c r="W196" s="86">
        <v>0.17537336051464081</v>
      </c>
      <c r="X196" s="86">
        <v>0.10082704573869705</v>
      </c>
      <c r="Y196" s="86">
        <v>0</v>
      </c>
      <c r="Z196" s="86">
        <v>0.56910437345504761</v>
      </c>
    </row>
    <row r="197" spans="1:26" x14ac:dyDescent="0.25">
      <c r="A197" s="88">
        <v>599</v>
      </c>
      <c r="B197" t="s">
        <v>168</v>
      </c>
      <c r="C197" s="88">
        <v>2020</v>
      </c>
      <c r="D197" t="s">
        <v>3921</v>
      </c>
      <c r="E197" s="34">
        <v>45291</v>
      </c>
      <c r="F197" s="88">
        <v>8210</v>
      </c>
      <c r="G197" t="s">
        <v>3923</v>
      </c>
      <c r="H197" t="s">
        <v>3924</v>
      </c>
      <c r="I197" s="88">
        <v>75208</v>
      </c>
      <c r="J197" t="s">
        <v>4305</v>
      </c>
      <c r="K197" s="86">
        <v>1231.737060546875</v>
      </c>
      <c r="L197" s="86">
        <v>379.81100463867188</v>
      </c>
      <c r="M197" s="86">
        <v>69.746002197265625</v>
      </c>
      <c r="N197" s="86">
        <v>851.926025390625</v>
      </c>
      <c r="O197" s="86">
        <v>111.80699920654297</v>
      </c>
      <c r="P197" s="86">
        <v>30.003999710083008</v>
      </c>
      <c r="Q197" s="86">
        <v>418.69198608398438</v>
      </c>
      <c r="R197" s="86">
        <v>86.364997863769531</v>
      </c>
      <c r="S197" s="86">
        <v>2.1400001049041748</v>
      </c>
      <c r="T197" s="86">
        <v>7.1161808967590332</v>
      </c>
      <c r="U197" s="86">
        <v>2.4359093979001045E-2</v>
      </c>
      <c r="V197" s="86">
        <v>0.6916460394859314</v>
      </c>
      <c r="W197" s="86">
        <v>0.26703879237174988</v>
      </c>
      <c r="X197" s="86">
        <v>5.6624099612236023E-2</v>
      </c>
      <c r="Y197" s="86">
        <v>0</v>
      </c>
      <c r="Z197" s="86">
        <v>2.0550196170806885</v>
      </c>
    </row>
    <row r="198" spans="1:26" x14ac:dyDescent="0.25">
      <c r="A198" s="88">
        <v>600</v>
      </c>
      <c r="B198" t="s">
        <v>169</v>
      </c>
      <c r="C198" s="88">
        <v>2019</v>
      </c>
      <c r="D198" t="s">
        <v>3925</v>
      </c>
      <c r="E198" s="34">
        <v>45657</v>
      </c>
      <c r="F198" s="88">
        <v>11781</v>
      </c>
      <c r="G198" t="s">
        <v>3927</v>
      </c>
      <c r="H198" t="s">
        <v>3928</v>
      </c>
      <c r="I198" s="88">
        <v>1792580</v>
      </c>
      <c r="J198" t="s">
        <v>4311</v>
      </c>
      <c r="K198" s="86">
        <v>21487</v>
      </c>
      <c r="L198" s="86">
        <v>9930</v>
      </c>
      <c r="M198" s="86">
        <v>190</v>
      </c>
      <c r="N198" s="86">
        <v>11557</v>
      </c>
      <c r="O198" s="86">
        <v>3139</v>
      </c>
      <c r="P198" s="86">
        <v>234</v>
      </c>
      <c r="Q198" s="86">
        <v>6726</v>
      </c>
      <c r="R198" s="86">
        <v>1299</v>
      </c>
      <c r="S198" s="86">
        <v>4.690000057220459</v>
      </c>
      <c r="T198" s="86">
        <v>9.9752035140991211</v>
      </c>
      <c r="U198" s="86">
        <v>1.089030597358942E-2</v>
      </c>
      <c r="V198" s="86">
        <v>0.53786009550094604</v>
      </c>
      <c r="W198" s="86">
        <v>0.46669641137123108</v>
      </c>
      <c r="X198" s="86">
        <v>8.8425558060407639E-3</v>
      </c>
      <c r="Y198" s="86">
        <v>0</v>
      </c>
      <c r="Z198" s="86">
        <v>1.6299235820770264</v>
      </c>
    </row>
    <row r="199" spans="1:26" x14ac:dyDescent="0.25">
      <c r="A199" s="88">
        <v>601</v>
      </c>
      <c r="B199" t="s">
        <v>170</v>
      </c>
      <c r="C199" s="88">
        <v>2020</v>
      </c>
      <c r="D199" t="s">
        <v>4423</v>
      </c>
      <c r="E199" s="34">
        <v>46022</v>
      </c>
      <c r="F199" s="88">
        <v>8213</v>
      </c>
      <c r="G199" t="s">
        <v>3930</v>
      </c>
      <c r="H199" t="s">
        <v>3931</v>
      </c>
      <c r="I199" s="88">
        <v>75252</v>
      </c>
      <c r="J199" t="s">
        <v>4305</v>
      </c>
      <c r="K199" s="86">
        <v>3335.638916015625</v>
      </c>
      <c r="L199" s="86">
        <v>712.05401611328125</v>
      </c>
      <c r="M199" s="86">
        <v>118.18399810791016</v>
      </c>
      <c r="N199" s="86">
        <v>2623.5849609375</v>
      </c>
      <c r="O199" s="86">
        <v>1280.833984375</v>
      </c>
      <c r="P199" s="86">
        <v>29.871000289916992</v>
      </c>
      <c r="Q199" s="86">
        <v>8480.1767578125</v>
      </c>
      <c r="R199" s="86">
        <v>73.472000122070313</v>
      </c>
      <c r="S199" s="86">
        <v>27.049999237060547</v>
      </c>
      <c r="T199" s="86">
        <v>8.1124191284179688</v>
      </c>
      <c r="U199" s="86">
        <v>8.9551061391830444E-3</v>
      </c>
      <c r="V199" s="86">
        <v>0.78653144836425781</v>
      </c>
      <c r="W199" s="86">
        <v>0.15103860199451447</v>
      </c>
      <c r="X199" s="86">
        <v>3.5430692136287689E-2</v>
      </c>
      <c r="Y199" s="86">
        <v>0</v>
      </c>
      <c r="Z199" s="86">
        <v>0.35828104615211487</v>
      </c>
    </row>
    <row r="200" spans="1:26" x14ac:dyDescent="0.25">
      <c r="A200" s="88">
        <v>603</v>
      </c>
      <c r="B200" t="s">
        <v>171</v>
      </c>
      <c r="C200" s="88">
        <v>2019</v>
      </c>
      <c r="D200" t="s">
        <v>4424</v>
      </c>
      <c r="E200" s="34">
        <v>45657</v>
      </c>
      <c r="F200" s="88">
        <v>8214</v>
      </c>
      <c r="G200" t="s">
        <v>3933</v>
      </c>
      <c r="H200" t="s">
        <v>3934</v>
      </c>
      <c r="I200" s="88">
        <v>1370946</v>
      </c>
      <c r="J200" t="s">
        <v>4311</v>
      </c>
      <c r="K200" s="86">
        <v>10006</v>
      </c>
      <c r="L200" s="86">
        <v>4631</v>
      </c>
      <c r="M200" s="86">
        <v>179</v>
      </c>
      <c r="N200" s="86">
        <v>5335</v>
      </c>
      <c r="O200" s="86">
        <v>2072</v>
      </c>
      <c r="P200" s="86">
        <v>405</v>
      </c>
      <c r="Q200" s="86">
        <v>7160</v>
      </c>
      <c r="R200" s="86">
        <v>109</v>
      </c>
      <c r="S200" s="86">
        <v>65.120002746582031</v>
      </c>
      <c r="T200" s="86">
        <v>9.2109403610229492</v>
      </c>
      <c r="U200" s="86">
        <v>4.0475714951753616E-2</v>
      </c>
      <c r="V200" s="86">
        <v>0.5331801176071167</v>
      </c>
      <c r="W200" s="86">
        <v>0.28938546776771545</v>
      </c>
      <c r="X200" s="86">
        <v>1.7889266833662987E-2</v>
      </c>
      <c r="Y200" s="86">
        <v>0</v>
      </c>
      <c r="Z200" s="86">
        <v>0.65242993831634521</v>
      </c>
    </row>
    <row r="201" spans="1:26" x14ac:dyDescent="0.25">
      <c r="A201" s="88">
        <v>606</v>
      </c>
      <c r="B201" t="s">
        <v>172</v>
      </c>
      <c r="C201" s="88">
        <v>2019</v>
      </c>
      <c r="D201" t="s">
        <v>4425</v>
      </c>
      <c r="E201" s="34">
        <v>46022</v>
      </c>
      <c r="F201" s="88">
        <v>27394</v>
      </c>
      <c r="G201" t="s">
        <v>3936</v>
      </c>
      <c r="H201" t="s">
        <v>3937</v>
      </c>
      <c r="I201" s="88">
        <v>1617406</v>
      </c>
      <c r="J201" t="s">
        <v>4311</v>
      </c>
      <c r="K201" s="86">
        <v>11290</v>
      </c>
      <c r="L201" s="86">
        <v>6496</v>
      </c>
      <c r="M201" s="86">
        <v>386</v>
      </c>
      <c r="N201" s="86">
        <v>4839</v>
      </c>
      <c r="O201" s="86">
        <v>471</v>
      </c>
      <c r="P201" s="86">
        <v>306</v>
      </c>
      <c r="Q201" s="86">
        <v>2794</v>
      </c>
      <c r="R201" s="86">
        <v>239.38699340820313</v>
      </c>
      <c r="S201" s="86">
        <v>25.870000839233398</v>
      </c>
      <c r="T201" s="86">
        <v>9.3316726684570313</v>
      </c>
      <c r="U201" s="86">
        <v>2.710363082587719E-2</v>
      </c>
      <c r="V201" s="86">
        <v>0.42860940098762512</v>
      </c>
      <c r="W201" s="86">
        <v>0.16857552528381348</v>
      </c>
      <c r="X201" s="86">
        <v>3.4189548343420029E-2</v>
      </c>
      <c r="Y201" s="86">
        <v>0</v>
      </c>
      <c r="Z201" s="86">
        <v>1.048936128616333</v>
      </c>
    </row>
    <row r="202" spans="1:26" x14ac:dyDescent="0.25">
      <c r="A202" s="88">
        <v>607</v>
      </c>
      <c r="B202" t="s">
        <v>173</v>
      </c>
      <c r="C202" s="88">
        <v>2019</v>
      </c>
      <c r="D202" t="s">
        <v>4426</v>
      </c>
      <c r="E202" s="34">
        <v>43830</v>
      </c>
      <c r="F202" s="88">
        <v>20298</v>
      </c>
      <c r="G202" t="s">
        <v>3939</v>
      </c>
      <c r="H202" t="s">
        <v>3940</v>
      </c>
      <c r="I202" s="88">
        <v>1594466</v>
      </c>
      <c r="J202" t="s">
        <v>4311</v>
      </c>
      <c r="K202" s="86">
        <v>9856.2138671875</v>
      </c>
      <c r="L202" s="86">
        <v>5757.078125</v>
      </c>
      <c r="M202" s="86">
        <v>20.73900032043457</v>
      </c>
      <c r="N202" s="86">
        <v>3333.56591796875</v>
      </c>
      <c r="O202" s="86">
        <v>1606.718994140625</v>
      </c>
      <c r="P202" s="86">
        <v>175.21200561523438</v>
      </c>
      <c r="Q202" s="86">
        <v>1958.81396484375</v>
      </c>
      <c r="R202" s="86">
        <v>281.24099731445313</v>
      </c>
      <c r="S202" s="86">
        <v>18.909999847412109</v>
      </c>
      <c r="T202" s="86">
        <v>9.195857048034668</v>
      </c>
      <c r="U202" s="86">
        <v>1.7776805907487869E-2</v>
      </c>
      <c r="V202" s="86">
        <v>0.33821973204612732</v>
      </c>
      <c r="W202" s="86">
        <v>0.82025092840194702</v>
      </c>
      <c r="X202" s="86">
        <v>2.1041547879576683E-3</v>
      </c>
      <c r="Y202" s="86">
        <v>0</v>
      </c>
      <c r="Z202" s="86">
        <v>1.0825101137161255</v>
      </c>
    </row>
    <row r="203" spans="1:26" x14ac:dyDescent="0.25">
      <c r="A203" s="88">
        <v>608</v>
      </c>
      <c r="B203" t="s">
        <v>174</v>
      </c>
      <c r="C203" s="88">
        <v>2020</v>
      </c>
      <c r="D203" t="s">
        <v>3941</v>
      </c>
      <c r="E203" s="34">
        <v>46022</v>
      </c>
      <c r="F203" s="88">
        <v>24616</v>
      </c>
      <c r="G203" t="s">
        <v>3943</v>
      </c>
      <c r="H203" t="s">
        <v>3944</v>
      </c>
      <c r="I203" s="88">
        <v>1633917</v>
      </c>
      <c r="J203" t="s">
        <v>4305</v>
      </c>
      <c r="K203" s="86">
        <v>70379</v>
      </c>
      <c r="L203" s="86">
        <v>20019</v>
      </c>
      <c r="M203" s="86">
        <v>13423</v>
      </c>
      <c r="N203" s="86">
        <v>50316</v>
      </c>
      <c r="O203" s="86">
        <v>12931</v>
      </c>
      <c r="P203" s="86">
        <v>4202</v>
      </c>
      <c r="Q203" s="86">
        <v>21454</v>
      </c>
      <c r="R203" s="86">
        <v>1172</v>
      </c>
      <c r="S203" s="86">
        <v>234.19999694824219</v>
      </c>
      <c r="T203" s="86">
        <v>11.161650657653809</v>
      </c>
      <c r="U203" s="86">
        <v>5.9705309569835663E-2</v>
      </c>
      <c r="V203" s="86">
        <v>0.71492916345596313</v>
      </c>
      <c r="W203" s="86">
        <v>0.60273140668869019</v>
      </c>
      <c r="X203" s="86">
        <v>0.19072450697422028</v>
      </c>
      <c r="Y203" s="86">
        <v>0</v>
      </c>
      <c r="Z203" s="86">
        <v>7.2933636605739594E-2</v>
      </c>
    </row>
    <row r="204" spans="1:26" x14ac:dyDescent="0.25">
      <c r="A204" s="88">
        <v>609</v>
      </c>
      <c r="B204" t="s">
        <v>174</v>
      </c>
      <c r="C204" s="88">
        <v>2019</v>
      </c>
      <c r="D204" t="s">
        <v>3941</v>
      </c>
      <c r="E204" s="34">
        <v>46022</v>
      </c>
      <c r="F204" s="88">
        <v>24616</v>
      </c>
      <c r="G204" t="s">
        <v>3943</v>
      </c>
      <c r="H204" t="s">
        <v>3944</v>
      </c>
      <c r="I204" s="88">
        <v>1633917</v>
      </c>
      <c r="J204" t="s">
        <v>4311</v>
      </c>
      <c r="K204" s="86">
        <v>51333</v>
      </c>
      <c r="L204" s="86">
        <v>16885</v>
      </c>
      <c r="M204" s="86">
        <v>10761</v>
      </c>
      <c r="N204" s="86">
        <v>34404</v>
      </c>
      <c r="O204" s="86">
        <v>10279</v>
      </c>
      <c r="P204" s="86">
        <v>2459</v>
      </c>
      <c r="Q204" s="86">
        <v>17772</v>
      </c>
      <c r="R204" s="86">
        <v>1173</v>
      </c>
      <c r="S204" s="86">
        <v>108.16999816894531</v>
      </c>
      <c r="T204" s="86">
        <v>10.846089363098145</v>
      </c>
      <c r="U204" s="86">
        <v>4.7902908176183701E-2</v>
      </c>
      <c r="V204" s="86">
        <v>0.67021214962005615</v>
      </c>
      <c r="W204" s="86">
        <v>0.57838171720504761</v>
      </c>
      <c r="X204" s="86">
        <v>0.20963123440742493</v>
      </c>
      <c r="Y204" s="86">
        <v>0</v>
      </c>
      <c r="Z204" s="86">
        <v>0.13307492434978485</v>
      </c>
    </row>
    <row r="205" spans="1:26" x14ac:dyDescent="0.25">
      <c r="A205" s="88">
        <v>610</v>
      </c>
      <c r="B205" t="s">
        <v>175</v>
      </c>
      <c r="C205" s="88">
        <v>2019</v>
      </c>
      <c r="D205" t="s">
        <v>3945</v>
      </c>
      <c r="E205" s="34">
        <v>44926</v>
      </c>
      <c r="F205" s="88">
        <v>8512</v>
      </c>
      <c r="G205" t="s">
        <v>3947</v>
      </c>
      <c r="H205" t="s">
        <v>3948</v>
      </c>
      <c r="I205" s="88">
        <v>77877</v>
      </c>
      <c r="J205" t="s">
        <v>4311</v>
      </c>
      <c r="K205" s="86">
        <v>4448.68017578125</v>
      </c>
      <c r="L205" s="86">
        <v>2335.507080078125</v>
      </c>
      <c r="M205" s="86">
        <v>0.96299999952316284</v>
      </c>
      <c r="N205" s="86">
        <v>2113.173095703125</v>
      </c>
      <c r="O205" s="86">
        <v>875.45098876953125</v>
      </c>
      <c r="P205" s="86">
        <v>-56.672000885009766</v>
      </c>
      <c r="Q205" s="86">
        <v>1156.123046875</v>
      </c>
      <c r="R205" s="86">
        <v>61.617000579833984</v>
      </c>
      <c r="S205" s="86">
        <v>26.170000076293945</v>
      </c>
      <c r="T205" s="86">
        <v>8.4003629684448242</v>
      </c>
      <c r="U205" s="86">
        <v>-1.2739059515297413E-2</v>
      </c>
      <c r="V205" s="86">
        <v>0.47501122951507568</v>
      </c>
      <c r="W205" s="86">
        <v>0.75722992420196533</v>
      </c>
      <c r="X205" s="86">
        <v>2.1646870300173759E-4</v>
      </c>
      <c r="Y205" s="86">
        <v>1</v>
      </c>
      <c r="Z205" s="86">
        <v>1.4483612775802612</v>
      </c>
    </row>
    <row r="206" spans="1:26" x14ac:dyDescent="0.25">
      <c r="A206" s="88">
        <v>616</v>
      </c>
      <c r="B206" t="s">
        <v>176</v>
      </c>
      <c r="C206" s="88">
        <v>2020</v>
      </c>
      <c r="D206" t="s">
        <v>4427</v>
      </c>
      <c r="E206" s="34">
        <v>46022</v>
      </c>
      <c r="F206" s="88">
        <v>8479</v>
      </c>
      <c r="G206" t="s">
        <v>3950</v>
      </c>
      <c r="H206" t="s">
        <v>3951</v>
      </c>
      <c r="I206" s="88">
        <v>77476</v>
      </c>
      <c r="J206" t="s">
        <v>4305</v>
      </c>
      <c r="K206" s="86">
        <v>92918</v>
      </c>
      <c r="L206" s="86">
        <v>13454</v>
      </c>
      <c r="M206" s="86">
        <v>9551</v>
      </c>
      <c r="N206" s="86">
        <v>79366</v>
      </c>
      <c r="O206" s="86">
        <v>41062</v>
      </c>
      <c r="P206" s="86">
        <v>7120</v>
      </c>
      <c r="Q206" s="86">
        <v>70372</v>
      </c>
      <c r="R206" s="86">
        <v>1380</v>
      </c>
      <c r="S206" s="86">
        <v>148.30000305175781</v>
      </c>
      <c r="T206" s="86">
        <v>11.439472198486328</v>
      </c>
      <c r="U206" s="86">
        <v>7.6626703143119812E-2</v>
      </c>
      <c r="V206" s="86">
        <v>0.85415095090866089</v>
      </c>
      <c r="W206" s="86">
        <v>0.58349913358688354</v>
      </c>
      <c r="X206" s="86">
        <v>0.10278955847024918</v>
      </c>
      <c r="Y206" s="86">
        <v>0</v>
      </c>
      <c r="Z206" s="86">
        <v>6.5740220248699188E-2</v>
      </c>
    </row>
    <row r="207" spans="1:26" x14ac:dyDescent="0.25">
      <c r="A207" s="88">
        <v>619</v>
      </c>
      <c r="B207" t="s">
        <v>177</v>
      </c>
      <c r="C207" s="88">
        <v>2020</v>
      </c>
      <c r="D207" t="s">
        <v>4428</v>
      </c>
      <c r="E207" s="34">
        <v>46022</v>
      </c>
      <c r="F207" s="88">
        <v>179621</v>
      </c>
      <c r="G207" t="s">
        <v>3953</v>
      </c>
      <c r="H207" t="s">
        <v>3954</v>
      </c>
      <c r="I207" s="88">
        <v>1413329</v>
      </c>
      <c r="J207" t="s">
        <v>4305</v>
      </c>
      <c r="K207" s="86">
        <v>44815</v>
      </c>
      <c r="L207" s="86">
        <v>-12567</v>
      </c>
      <c r="M207" s="86">
        <v>7285</v>
      </c>
      <c r="N207" s="86">
        <v>55446</v>
      </c>
      <c r="O207" s="86">
        <v>20033</v>
      </c>
      <c r="P207" s="86">
        <v>8056</v>
      </c>
      <c r="Q207" s="86">
        <v>28694</v>
      </c>
      <c r="R207" s="86">
        <v>1557.3740234375</v>
      </c>
      <c r="S207" s="86">
        <v>82.790000915527344</v>
      </c>
      <c r="T207" s="86">
        <v>10.710298538208008</v>
      </c>
      <c r="U207" s="86">
        <v>0.17976124584674835</v>
      </c>
      <c r="V207" s="86">
        <v>1.2372196912765503</v>
      </c>
      <c r="W207" s="86">
        <v>0.69815987348556519</v>
      </c>
      <c r="X207" s="86">
        <v>0.16255718469619751</v>
      </c>
      <c r="Y207" s="86">
        <v>0</v>
      </c>
      <c r="Z207" s="86">
        <v>-9.7467720508575439E-2</v>
      </c>
    </row>
    <row r="208" spans="1:26" x14ac:dyDescent="0.25">
      <c r="A208" s="88">
        <v>620</v>
      </c>
      <c r="B208" t="s">
        <v>177</v>
      </c>
      <c r="C208" s="88">
        <v>2019</v>
      </c>
      <c r="D208" t="s">
        <v>4428</v>
      </c>
      <c r="E208" s="34">
        <v>46022</v>
      </c>
      <c r="F208" s="88">
        <v>179621</v>
      </c>
      <c r="G208" t="s">
        <v>3953</v>
      </c>
      <c r="H208" t="s">
        <v>3954</v>
      </c>
      <c r="I208" s="88">
        <v>1413329</v>
      </c>
      <c r="J208" t="s">
        <v>4311</v>
      </c>
      <c r="K208" s="86">
        <v>42875</v>
      </c>
      <c r="L208" s="86">
        <v>-11577</v>
      </c>
      <c r="M208" s="86">
        <v>6865</v>
      </c>
      <c r="N208" s="86">
        <v>52474</v>
      </c>
      <c r="O208" s="86">
        <v>20190</v>
      </c>
      <c r="P208" s="86">
        <v>7185</v>
      </c>
      <c r="Q208" s="86">
        <v>29805</v>
      </c>
      <c r="R208" s="86">
        <v>1555.89501953125</v>
      </c>
      <c r="S208" s="86">
        <v>85.089996337890625</v>
      </c>
      <c r="T208" s="86">
        <v>10.666044235229492</v>
      </c>
      <c r="U208" s="86">
        <v>0.16758017241954803</v>
      </c>
      <c r="V208" s="86">
        <v>1.2238833904266357</v>
      </c>
      <c r="W208" s="86">
        <v>0.67740309238433838</v>
      </c>
      <c r="X208" s="86">
        <v>0.16011661291122437</v>
      </c>
      <c r="Y208" s="86">
        <v>0</v>
      </c>
      <c r="Z208" s="86">
        <v>-8.7445452809333801E-2</v>
      </c>
    </row>
    <row r="209" spans="1:27" x14ac:dyDescent="0.25">
      <c r="A209" s="88">
        <v>621</v>
      </c>
      <c r="B209" t="s">
        <v>177</v>
      </c>
      <c r="C209" s="88">
        <v>2018</v>
      </c>
      <c r="D209" t="s">
        <v>4428</v>
      </c>
      <c r="E209" s="34">
        <v>46022</v>
      </c>
      <c r="F209" s="88">
        <v>179621</v>
      </c>
      <c r="G209" t="s">
        <v>3953</v>
      </c>
      <c r="H209" t="s">
        <v>3954</v>
      </c>
      <c r="I209" s="88">
        <v>1413329</v>
      </c>
      <c r="J209" t="s">
        <v>4307</v>
      </c>
      <c r="K209" s="86">
        <v>39801</v>
      </c>
      <c r="L209" s="86">
        <v>-12459</v>
      </c>
      <c r="M209" s="86">
        <v>6620</v>
      </c>
      <c r="N209" s="86">
        <v>50540</v>
      </c>
      <c r="O209" s="86">
        <v>19774</v>
      </c>
      <c r="P209" s="86">
        <v>7911</v>
      </c>
      <c r="Q209" s="86">
        <v>29625</v>
      </c>
      <c r="R209" s="86">
        <v>1554.5799560546875</v>
      </c>
      <c r="S209" s="86">
        <v>66.760002136230469</v>
      </c>
      <c r="T209" s="86">
        <v>10.591647148132324</v>
      </c>
      <c r="U209" s="86">
        <v>0.19876384735107422</v>
      </c>
      <c r="V209" s="86">
        <v>1.2698173522949219</v>
      </c>
      <c r="W209" s="86">
        <v>0.66747677326202393</v>
      </c>
      <c r="X209" s="86">
        <v>0.16632747650146484</v>
      </c>
      <c r="Y209" s="86">
        <v>0</v>
      </c>
      <c r="Z209" s="86">
        <v>-0.1200476810336113</v>
      </c>
    </row>
    <row r="210" spans="1:27" x14ac:dyDescent="0.25">
      <c r="A210" s="88">
        <v>622</v>
      </c>
      <c r="B210" t="s">
        <v>178</v>
      </c>
      <c r="C210" s="88">
        <v>2020</v>
      </c>
      <c r="D210" t="s">
        <v>4429</v>
      </c>
      <c r="E210" s="34">
        <v>46022</v>
      </c>
      <c r="F210" s="88">
        <v>170841</v>
      </c>
      <c r="G210" t="s">
        <v>3956</v>
      </c>
      <c r="H210" t="s">
        <v>3957</v>
      </c>
      <c r="I210" s="88">
        <v>1534701</v>
      </c>
      <c r="J210" t="s">
        <v>4305</v>
      </c>
      <c r="K210" s="86">
        <v>54721</v>
      </c>
      <c r="L210" s="86">
        <v>18984</v>
      </c>
      <c r="M210" s="86">
        <v>2514</v>
      </c>
      <c r="N210" s="86">
        <v>33198</v>
      </c>
      <c r="O210" s="86">
        <v>1395</v>
      </c>
      <c r="P210" s="86">
        <v>-3975</v>
      </c>
      <c r="Q210" s="86">
        <v>64129</v>
      </c>
      <c r="R210" s="86">
        <v>436.87100219726563</v>
      </c>
      <c r="S210" s="86">
        <v>69.94000244140625</v>
      </c>
      <c r="T210" s="86">
        <v>10.910002708435059</v>
      </c>
      <c r="U210" s="86">
        <v>-7.2641216218471527E-2</v>
      </c>
      <c r="V210" s="86">
        <v>0.60667753219604492</v>
      </c>
      <c r="W210" s="86">
        <v>2.1753029897809029E-2</v>
      </c>
      <c r="X210" s="86">
        <v>4.5942142605781555E-2</v>
      </c>
      <c r="Y210" s="86">
        <v>1</v>
      </c>
      <c r="Z210" s="86">
        <v>0.6213107705116272</v>
      </c>
    </row>
    <row r="211" spans="1:27" x14ac:dyDescent="0.25">
      <c r="A211" s="88">
        <v>625</v>
      </c>
      <c r="B211" t="s">
        <v>179</v>
      </c>
      <c r="C211" s="88">
        <v>2020</v>
      </c>
      <c r="D211" t="s">
        <v>3958</v>
      </c>
      <c r="E211" s="34">
        <v>46022</v>
      </c>
      <c r="F211" s="88">
        <v>12785</v>
      </c>
      <c r="G211" t="s">
        <v>3960</v>
      </c>
      <c r="H211" t="s">
        <v>3961</v>
      </c>
      <c r="I211" s="88">
        <v>802481</v>
      </c>
      <c r="J211" t="s">
        <v>4305</v>
      </c>
      <c r="K211" s="86">
        <v>7474.4970703125</v>
      </c>
      <c r="L211" s="86">
        <v>2563.760986328125</v>
      </c>
      <c r="M211" s="86">
        <v>548.406005859375</v>
      </c>
      <c r="N211" s="86">
        <v>4899.14990234375</v>
      </c>
      <c r="O211" s="86">
        <v>1175.300048828125</v>
      </c>
      <c r="P211" s="86">
        <v>94.757003784179688</v>
      </c>
      <c r="Q211" s="86">
        <v>12091.9013671875</v>
      </c>
      <c r="R211" s="86">
        <v>243.51199340820313</v>
      </c>
      <c r="S211" s="86">
        <v>19.610000610351563</v>
      </c>
      <c r="T211" s="86">
        <v>8.9192523956298828</v>
      </c>
      <c r="U211" s="86">
        <v>1.2677375227212906E-2</v>
      </c>
      <c r="V211" s="86">
        <v>0.6554487943649292</v>
      </c>
      <c r="W211" s="86">
        <v>9.7197286784648895E-2</v>
      </c>
      <c r="X211" s="86">
        <v>7.3370285332202911E-2</v>
      </c>
      <c r="Y211" s="86">
        <v>0</v>
      </c>
      <c r="Z211" s="86">
        <v>0.53688287734985352</v>
      </c>
    </row>
    <row r="212" spans="1:27" x14ac:dyDescent="0.25">
      <c r="A212" s="88">
        <v>626</v>
      </c>
      <c r="B212" t="s">
        <v>180</v>
      </c>
      <c r="C212" s="88">
        <v>2019</v>
      </c>
      <c r="D212" t="s">
        <v>4430</v>
      </c>
      <c r="E212" s="34">
        <v>45291</v>
      </c>
      <c r="F212" s="88">
        <v>14359</v>
      </c>
      <c r="G212" t="s">
        <v>3963</v>
      </c>
      <c r="H212" t="s">
        <v>3964</v>
      </c>
      <c r="I212" s="88">
        <v>1038357</v>
      </c>
      <c r="J212" t="s">
        <v>4311</v>
      </c>
      <c r="K212" s="86">
        <v>19067</v>
      </c>
      <c r="L212" s="86">
        <v>12119</v>
      </c>
      <c r="M212" s="86">
        <v>705</v>
      </c>
      <c r="N212" s="86">
        <v>6948</v>
      </c>
      <c r="O212" s="86">
        <v>3889</v>
      </c>
      <c r="P212" s="86">
        <v>756</v>
      </c>
      <c r="Q212" s="86">
        <v>9671</v>
      </c>
      <c r="R212" s="86">
        <v>165.5469970703125</v>
      </c>
      <c r="S212" s="86">
        <v>151.3699951171875</v>
      </c>
      <c r="T212" s="86">
        <v>9.8557147979736328</v>
      </c>
      <c r="U212" s="86">
        <v>3.9649657905101776E-2</v>
      </c>
      <c r="V212" s="86">
        <v>0.36439922451972961</v>
      </c>
      <c r="W212" s="86">
        <v>0.40213006734848022</v>
      </c>
      <c r="X212" s="86">
        <v>3.6974877119064331E-2</v>
      </c>
      <c r="Y212" s="86">
        <v>0</v>
      </c>
      <c r="Z212" s="86">
        <v>0.48362159729003906</v>
      </c>
    </row>
    <row r="213" spans="1:27" x14ac:dyDescent="0.25">
      <c r="A213" s="88">
        <v>628</v>
      </c>
      <c r="B213" t="s">
        <v>181</v>
      </c>
      <c r="C213" s="88">
        <v>2020</v>
      </c>
      <c r="D213" t="s">
        <v>3965</v>
      </c>
      <c r="E213" s="34">
        <v>45657</v>
      </c>
      <c r="F213" s="88">
        <v>18468</v>
      </c>
      <c r="G213" t="s">
        <v>3967</v>
      </c>
      <c r="H213" t="s">
        <v>3968</v>
      </c>
      <c r="I213" s="88">
        <v>1581990</v>
      </c>
      <c r="J213" t="s">
        <v>4305</v>
      </c>
      <c r="K213" s="86">
        <v>25951</v>
      </c>
      <c r="L213" s="86">
        <v>1464</v>
      </c>
      <c r="M213" s="86">
        <v>63</v>
      </c>
      <c r="N213" s="86">
        <v>14761</v>
      </c>
      <c r="O213" s="86">
        <v>1783</v>
      </c>
      <c r="P213" s="86">
        <v>-568</v>
      </c>
      <c r="Q213" s="86">
        <v>23290</v>
      </c>
      <c r="R213" s="86">
        <v>194.05099487304688</v>
      </c>
      <c r="S213" s="86">
        <v>8.4499998092651367</v>
      </c>
      <c r="T213" s="86">
        <v>10.163965225219727</v>
      </c>
      <c r="U213" s="86">
        <v>-2.1887402981519699E-2</v>
      </c>
      <c r="V213" s="86">
        <v>0.56880271434783936</v>
      </c>
      <c r="W213" s="86">
        <v>7.6556459069252014E-2</v>
      </c>
      <c r="X213" s="86">
        <v>2.4276520125567913E-3</v>
      </c>
      <c r="Y213" s="86">
        <v>1</v>
      </c>
      <c r="Z213" s="86">
        <v>0.89282941818237305</v>
      </c>
      <c r="AA213" s="80" t="s">
        <v>4284</v>
      </c>
    </row>
    <row r="214" spans="1:27" x14ac:dyDescent="0.25">
      <c r="A214" s="88">
        <v>633</v>
      </c>
      <c r="B214" t="s">
        <v>182</v>
      </c>
      <c r="C214" s="88">
        <v>2020</v>
      </c>
      <c r="D214" t="s">
        <v>4431</v>
      </c>
      <c r="E214" s="34">
        <v>45657</v>
      </c>
      <c r="F214" s="88">
        <v>8692</v>
      </c>
      <c r="G214" t="s">
        <v>3970</v>
      </c>
      <c r="H214" t="s">
        <v>3971</v>
      </c>
      <c r="I214" s="88">
        <v>1338749</v>
      </c>
      <c r="J214" t="s">
        <v>4305</v>
      </c>
      <c r="K214" s="86">
        <v>2381.06494140625</v>
      </c>
      <c r="L214" s="86">
        <v>1304.9530029296875</v>
      </c>
      <c r="M214" s="86">
        <v>252.33999633789063</v>
      </c>
      <c r="N214" s="86">
        <v>1076.112060546875</v>
      </c>
      <c r="O214" s="86">
        <v>429.41000366210938</v>
      </c>
      <c r="P214" s="86">
        <v>166.83000183105469</v>
      </c>
      <c r="Q214" s="86">
        <v>1040.9300537109375</v>
      </c>
      <c r="R214" s="86">
        <v>66.875999450683594</v>
      </c>
      <c r="S214" s="86">
        <v>50.020000457763672</v>
      </c>
      <c r="T214" s="86">
        <v>7.7753028869628906</v>
      </c>
      <c r="U214" s="86">
        <v>7.0065289735794067E-2</v>
      </c>
      <c r="V214" s="86">
        <v>0.45194569230079651</v>
      </c>
      <c r="W214" s="86">
        <v>0.41252532601356506</v>
      </c>
      <c r="X214" s="86">
        <v>0.10597778856754303</v>
      </c>
      <c r="Y214" s="86">
        <v>0</v>
      </c>
      <c r="Z214" s="86">
        <v>0.39010444283485413</v>
      </c>
    </row>
    <row r="215" spans="1:27" x14ac:dyDescent="0.25">
      <c r="A215" s="88">
        <v>634</v>
      </c>
      <c r="B215" t="s">
        <v>182</v>
      </c>
      <c r="C215" s="88">
        <v>2019</v>
      </c>
      <c r="D215" t="s">
        <v>4431</v>
      </c>
      <c r="E215" s="34">
        <v>45657</v>
      </c>
      <c r="F215" s="88">
        <v>8692</v>
      </c>
      <c r="G215" t="s">
        <v>3970</v>
      </c>
      <c r="H215" t="s">
        <v>3971</v>
      </c>
      <c r="I215" s="88">
        <v>1338749</v>
      </c>
      <c r="J215" t="s">
        <v>4311</v>
      </c>
      <c r="K215" s="86">
        <v>2235.05908203125</v>
      </c>
      <c r="L215" s="86">
        <v>1226.8310546875</v>
      </c>
      <c r="M215" s="86">
        <v>83.30999755859375</v>
      </c>
      <c r="N215" s="86">
        <v>1008.22802734375</v>
      </c>
      <c r="O215" s="86">
        <v>215.44900512695313</v>
      </c>
      <c r="P215" s="86">
        <v>55.660999298095703</v>
      </c>
      <c r="Q215" s="86">
        <v>827.0980224609375</v>
      </c>
      <c r="R215" s="86">
        <v>67.221000671386719</v>
      </c>
      <c r="S215" s="86">
        <v>43.270000457763672</v>
      </c>
      <c r="T215" s="86">
        <v>7.7120227813720703</v>
      </c>
      <c r="U215" s="86">
        <v>2.4903591722249985E-2</v>
      </c>
      <c r="V215" s="86">
        <v>0.4510968029499054</v>
      </c>
      <c r="W215" s="86">
        <v>0.2604878842830658</v>
      </c>
      <c r="X215" s="86">
        <v>3.7274181842803955E-2</v>
      </c>
      <c r="Y215" s="86">
        <v>0</v>
      </c>
      <c r="Z215" s="86">
        <v>0.42178669571876526</v>
      </c>
    </row>
    <row r="216" spans="1:27" x14ac:dyDescent="0.25">
      <c r="A216" s="88">
        <v>635</v>
      </c>
      <c r="B216" t="s">
        <v>183</v>
      </c>
      <c r="C216" s="88">
        <v>2020</v>
      </c>
      <c r="D216" t="s">
        <v>4432</v>
      </c>
      <c r="E216" s="34">
        <v>46022</v>
      </c>
      <c r="F216" s="88">
        <v>8247</v>
      </c>
      <c r="G216" t="s">
        <v>3974</v>
      </c>
      <c r="H216" t="s">
        <v>3975</v>
      </c>
      <c r="I216" s="88">
        <v>79879</v>
      </c>
      <c r="J216" t="s">
        <v>4305</v>
      </c>
      <c r="K216" s="86">
        <v>19556</v>
      </c>
      <c r="L216" s="86">
        <v>5689</v>
      </c>
      <c r="M216" s="86">
        <v>1928</v>
      </c>
      <c r="N216" s="86">
        <v>13741</v>
      </c>
      <c r="O216" s="86">
        <v>6064</v>
      </c>
      <c r="P216" s="86">
        <v>1059</v>
      </c>
      <c r="Q216" s="86">
        <v>13841</v>
      </c>
      <c r="R216" s="86">
        <v>236.68600463867188</v>
      </c>
      <c r="S216" s="86">
        <v>144.22000122070313</v>
      </c>
      <c r="T216" s="86">
        <v>9.881037712097168</v>
      </c>
      <c r="U216" s="86">
        <v>5.4152179509401321E-2</v>
      </c>
      <c r="V216" s="86">
        <v>0.7026488184928894</v>
      </c>
      <c r="W216" s="86">
        <v>0.43811863660812378</v>
      </c>
      <c r="X216" s="86">
        <v>9.8588667809963226E-2</v>
      </c>
      <c r="Y216" s="86">
        <v>0</v>
      </c>
      <c r="Z216" s="86">
        <v>0.16666248440742493</v>
      </c>
    </row>
    <row r="217" spans="1:27" x14ac:dyDescent="0.25">
      <c r="A217" s="88">
        <v>636</v>
      </c>
      <c r="B217" t="s">
        <v>183</v>
      </c>
      <c r="C217" s="88">
        <v>2019</v>
      </c>
      <c r="D217" t="s">
        <v>4432</v>
      </c>
      <c r="E217" s="34">
        <v>46022</v>
      </c>
      <c r="F217" s="88">
        <v>8247</v>
      </c>
      <c r="G217" t="s">
        <v>3974</v>
      </c>
      <c r="H217" t="s">
        <v>3975</v>
      </c>
      <c r="I217" s="88">
        <v>79879</v>
      </c>
      <c r="J217" t="s">
        <v>4311</v>
      </c>
      <c r="K217" s="86">
        <v>17708</v>
      </c>
      <c r="L217" s="86">
        <v>5284</v>
      </c>
      <c r="M217" s="86">
        <v>1278</v>
      </c>
      <c r="N217" s="86">
        <v>12305</v>
      </c>
      <c r="O217" s="86">
        <v>6501</v>
      </c>
      <c r="P217" s="86">
        <v>1243</v>
      </c>
      <c r="Q217" s="86">
        <v>15154</v>
      </c>
      <c r="R217" s="86">
        <v>235.67999267578125</v>
      </c>
      <c r="S217" s="86">
        <v>133.49000549316406</v>
      </c>
      <c r="T217" s="86">
        <v>9.7817716598510742</v>
      </c>
      <c r="U217" s="86">
        <v>7.0194259285926819E-2</v>
      </c>
      <c r="V217" s="86">
        <v>0.69488364458084106</v>
      </c>
      <c r="W217" s="86">
        <v>0.42899563908576965</v>
      </c>
      <c r="X217" s="86">
        <v>7.2170771658420563E-2</v>
      </c>
      <c r="Y217" s="86">
        <v>0</v>
      </c>
      <c r="Z217" s="86">
        <v>0.16795438528060913</v>
      </c>
    </row>
    <row r="218" spans="1:27" x14ac:dyDescent="0.25">
      <c r="A218" s="88">
        <v>637</v>
      </c>
      <c r="B218" t="s">
        <v>184</v>
      </c>
      <c r="C218" s="88">
        <v>2019</v>
      </c>
      <c r="D218" t="s">
        <v>3976</v>
      </c>
      <c r="E218" s="34">
        <v>46022</v>
      </c>
      <c r="F218" s="88">
        <v>8455</v>
      </c>
      <c r="G218" t="s">
        <v>3978</v>
      </c>
      <c r="H218" t="s">
        <v>3979</v>
      </c>
      <c r="I218" s="88">
        <v>922224</v>
      </c>
      <c r="J218" t="s">
        <v>4311</v>
      </c>
      <c r="K218" s="86">
        <v>45680</v>
      </c>
      <c r="L218" s="86">
        <v>12991</v>
      </c>
      <c r="M218" s="86">
        <v>818</v>
      </c>
      <c r="N218" s="86">
        <v>32689</v>
      </c>
      <c r="O218" s="86">
        <v>4044</v>
      </c>
      <c r="P218" s="86">
        <v>1746</v>
      </c>
      <c r="Q218" s="86">
        <v>7769</v>
      </c>
      <c r="R218" s="86">
        <v>767.23297119140625</v>
      </c>
      <c r="S218" s="86">
        <v>35.880001068115234</v>
      </c>
      <c r="T218" s="86">
        <v>10.729415893554688</v>
      </c>
      <c r="U218" s="86">
        <v>3.8222417235374451E-2</v>
      </c>
      <c r="V218" s="86">
        <v>0.71560859680175781</v>
      </c>
      <c r="W218" s="86">
        <v>0.52053028345108032</v>
      </c>
      <c r="X218" s="86">
        <v>1.7907179892063141E-2</v>
      </c>
      <c r="Y218" s="86">
        <v>0</v>
      </c>
      <c r="Z218" s="86">
        <v>0.47191402316093445</v>
      </c>
    </row>
    <row r="219" spans="1:27" x14ac:dyDescent="0.25">
      <c r="A219" s="88">
        <v>638</v>
      </c>
      <c r="B219" t="s">
        <v>184</v>
      </c>
      <c r="C219" s="88">
        <v>2018</v>
      </c>
      <c r="D219" t="s">
        <v>3976</v>
      </c>
      <c r="E219" s="34">
        <v>46022</v>
      </c>
      <c r="F219" s="88">
        <v>8455</v>
      </c>
      <c r="G219" t="s">
        <v>3978</v>
      </c>
      <c r="H219" t="s">
        <v>3979</v>
      </c>
      <c r="I219" s="88">
        <v>922224</v>
      </c>
      <c r="J219" t="s">
        <v>4307</v>
      </c>
      <c r="K219" s="86">
        <v>43396</v>
      </c>
      <c r="L219" s="86">
        <v>11657</v>
      </c>
      <c r="M219" s="86">
        <v>624</v>
      </c>
      <c r="N219" s="86">
        <v>31739</v>
      </c>
      <c r="O219" s="86">
        <v>3959</v>
      </c>
      <c r="P219" s="86">
        <v>1827</v>
      </c>
      <c r="Q219" s="86">
        <v>7785</v>
      </c>
      <c r="R219" s="86">
        <v>720.322998046875</v>
      </c>
      <c r="S219" s="86">
        <v>28.329999923706055</v>
      </c>
      <c r="T219" s="86">
        <v>10.678122520446777</v>
      </c>
      <c r="U219" s="86">
        <v>4.2100653052330017E-2</v>
      </c>
      <c r="V219" s="86">
        <v>0.73138076066970825</v>
      </c>
      <c r="W219" s="86">
        <v>0.50854206085205078</v>
      </c>
      <c r="X219" s="86">
        <v>1.437920518219471E-2</v>
      </c>
      <c r="Y219" s="86">
        <v>0</v>
      </c>
      <c r="Z219" s="86">
        <v>0.57123255729675293</v>
      </c>
    </row>
    <row r="220" spans="1:27" x14ac:dyDescent="0.25">
      <c r="A220" s="88">
        <v>641</v>
      </c>
      <c r="B220" t="s">
        <v>185</v>
      </c>
      <c r="C220" s="88">
        <v>2020</v>
      </c>
      <c r="D220" t="s">
        <v>4433</v>
      </c>
      <c r="E220" s="34">
        <v>45838</v>
      </c>
      <c r="F220" s="88">
        <v>8762</v>
      </c>
      <c r="G220" t="s">
        <v>3981</v>
      </c>
      <c r="H220" t="s">
        <v>3982</v>
      </c>
      <c r="I220" s="88">
        <v>80424</v>
      </c>
      <c r="J220" t="s">
        <v>4335</v>
      </c>
      <c r="K220" s="86">
        <v>120700</v>
      </c>
      <c r="L220" s="86">
        <v>46704</v>
      </c>
      <c r="M220" s="86">
        <v>16181</v>
      </c>
      <c r="N220" s="86">
        <v>73822</v>
      </c>
      <c r="O220" s="86">
        <v>39327</v>
      </c>
      <c r="P220" s="86">
        <v>13027</v>
      </c>
      <c r="Q220" s="86">
        <v>70950</v>
      </c>
      <c r="R220" s="86">
        <v>2479.74609375</v>
      </c>
      <c r="S220" s="86">
        <v>119.56999969482422</v>
      </c>
      <c r="T220" s="86">
        <v>11.70106315612793</v>
      </c>
      <c r="U220" s="86">
        <v>0.10792874544858932</v>
      </c>
      <c r="V220" s="86">
        <v>0.61161559820175171</v>
      </c>
      <c r="W220" s="86">
        <v>0.55429172515869141</v>
      </c>
      <c r="X220" s="86">
        <v>0.13405965268611908</v>
      </c>
      <c r="Y220" s="86">
        <v>0</v>
      </c>
      <c r="Z220" s="86">
        <v>0.1575159877538681</v>
      </c>
    </row>
    <row r="221" spans="1:27" x14ac:dyDescent="0.25">
      <c r="A221" s="88">
        <v>643</v>
      </c>
      <c r="B221" t="s">
        <v>186</v>
      </c>
      <c r="C221" s="88">
        <v>2020</v>
      </c>
      <c r="D221" t="s">
        <v>4434</v>
      </c>
      <c r="E221" s="34">
        <v>46022</v>
      </c>
      <c r="F221" s="88">
        <v>143356</v>
      </c>
      <c r="G221" t="s">
        <v>3984</v>
      </c>
      <c r="H221" t="s">
        <v>3985</v>
      </c>
      <c r="I221" s="88">
        <v>1137774</v>
      </c>
      <c r="J221" t="s">
        <v>4305</v>
      </c>
      <c r="K221" s="86">
        <v>940722</v>
      </c>
      <c r="L221" s="86">
        <v>67425</v>
      </c>
      <c r="M221" s="86">
        <v>61904</v>
      </c>
      <c r="N221" s="86">
        <v>872512</v>
      </c>
      <c r="O221" s="86">
        <v>13588</v>
      </c>
      <c r="P221" s="86">
        <v>-374</v>
      </c>
      <c r="Q221" s="86">
        <v>57031</v>
      </c>
      <c r="R221" s="86">
        <v>396.43701171875</v>
      </c>
      <c r="S221" s="86">
        <v>78.069999694824219</v>
      </c>
      <c r="T221" s="86">
        <v>13.754403114318848</v>
      </c>
      <c r="U221" s="86">
        <v>-3.9756696787662804E-4</v>
      </c>
      <c r="V221" s="86">
        <v>0.92749184370040894</v>
      </c>
      <c r="W221" s="86">
        <v>0.23825637996196747</v>
      </c>
      <c r="X221" s="86">
        <v>6.5804772078990936E-2</v>
      </c>
      <c r="Y221" s="86">
        <v>1</v>
      </c>
      <c r="Z221" s="86">
        <v>2.1785252094268799</v>
      </c>
    </row>
    <row r="222" spans="1:27" x14ac:dyDescent="0.25">
      <c r="A222" s="88">
        <v>644</v>
      </c>
      <c r="B222" t="s">
        <v>186</v>
      </c>
      <c r="C222" s="88">
        <v>2019</v>
      </c>
      <c r="D222" t="s">
        <v>4434</v>
      </c>
      <c r="E222" s="34">
        <v>46022</v>
      </c>
      <c r="F222" s="88">
        <v>143356</v>
      </c>
      <c r="G222" t="s">
        <v>3984</v>
      </c>
      <c r="H222" t="s">
        <v>3985</v>
      </c>
      <c r="I222" s="88">
        <v>1137774</v>
      </c>
      <c r="J222" t="s">
        <v>4311</v>
      </c>
      <c r="K222" s="86">
        <v>896552</v>
      </c>
      <c r="L222" s="86">
        <v>63115</v>
      </c>
      <c r="M222" s="86">
        <v>60267</v>
      </c>
      <c r="N222" s="86">
        <v>832833</v>
      </c>
      <c r="O222" s="86">
        <v>18539</v>
      </c>
      <c r="P222" s="86">
        <v>4186</v>
      </c>
      <c r="Q222" s="86">
        <v>64845</v>
      </c>
      <c r="R222" s="86">
        <v>398.83200073242188</v>
      </c>
      <c r="S222" s="86">
        <v>93.739997863769531</v>
      </c>
      <c r="T222" s="86">
        <v>13.706311225891113</v>
      </c>
      <c r="U222" s="86">
        <v>4.6689985319972038E-3</v>
      </c>
      <c r="V222" s="86">
        <v>0.92892885208129883</v>
      </c>
      <c r="W222" s="86">
        <v>0.28589713573455811</v>
      </c>
      <c r="X222" s="86">
        <v>6.7220866680145264E-2</v>
      </c>
      <c r="Y222" s="86">
        <v>0</v>
      </c>
      <c r="Z222" s="86">
        <v>1.6881756782531738</v>
      </c>
    </row>
    <row r="223" spans="1:27" x14ac:dyDescent="0.25">
      <c r="A223" s="88">
        <v>648</v>
      </c>
      <c r="B223" t="s">
        <v>187</v>
      </c>
      <c r="C223" s="88">
        <v>2020</v>
      </c>
      <c r="D223" t="s">
        <v>3986</v>
      </c>
      <c r="E223" s="34">
        <v>46022</v>
      </c>
      <c r="F223" s="88">
        <v>10096</v>
      </c>
      <c r="G223" t="s">
        <v>3988</v>
      </c>
      <c r="H223" t="s">
        <v>3989</v>
      </c>
      <c r="I223" s="88">
        <v>1393311</v>
      </c>
      <c r="J223" t="s">
        <v>4305</v>
      </c>
      <c r="K223" s="86">
        <v>11816.5458984375</v>
      </c>
      <c r="L223" s="86">
        <v>4766.3671875</v>
      </c>
      <c r="M223" s="86">
        <v>282.60000610351563</v>
      </c>
      <c r="N223" s="86">
        <v>3239.64697265625</v>
      </c>
      <c r="O223" s="86">
        <v>1597.1689453125</v>
      </c>
      <c r="P223" s="86">
        <v>1357.2130126953125</v>
      </c>
      <c r="Q223" s="86">
        <v>3017.887939453125</v>
      </c>
      <c r="R223" s="86">
        <v>174.58200073242188</v>
      </c>
      <c r="S223" s="86">
        <v>230.92999267578125</v>
      </c>
      <c r="T223" s="86">
        <v>9.3772563934326172</v>
      </c>
      <c r="U223" s="86">
        <v>0.11485700309276581</v>
      </c>
      <c r="V223" s="86">
        <v>0.2741619348526001</v>
      </c>
      <c r="W223" s="86">
        <v>0.52923399209976196</v>
      </c>
      <c r="X223" s="86">
        <v>2.3915618658065796E-2</v>
      </c>
      <c r="Y223" s="86">
        <v>0</v>
      </c>
      <c r="Z223" s="86">
        <v>0.11822455376386642</v>
      </c>
    </row>
    <row r="224" spans="1:27" x14ac:dyDescent="0.25">
      <c r="A224" s="88">
        <v>649</v>
      </c>
      <c r="B224" t="s">
        <v>187</v>
      </c>
      <c r="C224" s="88">
        <v>2019</v>
      </c>
      <c r="D224" t="s">
        <v>3986</v>
      </c>
      <c r="E224" s="34">
        <v>46022</v>
      </c>
      <c r="F224" s="88">
        <v>10096</v>
      </c>
      <c r="G224" t="s">
        <v>3988</v>
      </c>
      <c r="H224" t="s">
        <v>3989</v>
      </c>
      <c r="I224" s="88">
        <v>1393311</v>
      </c>
      <c r="J224" t="s">
        <v>4311</v>
      </c>
      <c r="K224" s="86">
        <v>11365.4443359375</v>
      </c>
      <c r="L224" s="86">
        <v>4997.9111328125</v>
      </c>
      <c r="M224" s="86">
        <v>433.55398559570313</v>
      </c>
      <c r="N224" s="86">
        <v>2285.777099609375</v>
      </c>
      <c r="O224" s="86">
        <v>1635.10498046875</v>
      </c>
      <c r="P224" s="86">
        <v>1520.5340576171875</v>
      </c>
      <c r="Q224" s="86">
        <v>2944.805908203125</v>
      </c>
      <c r="R224" s="86">
        <v>174.41900634765625</v>
      </c>
      <c r="S224" s="86">
        <v>212.96000671386719</v>
      </c>
      <c r="T224" s="86">
        <v>9.3383331298828125</v>
      </c>
      <c r="U224" s="86">
        <v>0.13378570973873138</v>
      </c>
      <c r="V224" s="86">
        <v>0.20111638307571411</v>
      </c>
      <c r="W224" s="86">
        <v>0.55525052547454834</v>
      </c>
      <c r="X224" s="86">
        <v>3.814668208360672E-2</v>
      </c>
      <c r="Y224" s="86">
        <v>0</v>
      </c>
      <c r="Z224" s="86">
        <v>0.13455401360988617</v>
      </c>
    </row>
    <row r="225" spans="1:26" x14ac:dyDescent="0.25">
      <c r="A225" s="88">
        <v>652</v>
      </c>
      <c r="B225" t="s">
        <v>188</v>
      </c>
      <c r="C225" s="88">
        <v>2020</v>
      </c>
      <c r="D225" t="s">
        <v>4435</v>
      </c>
      <c r="E225" s="34">
        <v>45688</v>
      </c>
      <c r="F225" s="88">
        <v>8551</v>
      </c>
      <c r="G225" t="s">
        <v>3991</v>
      </c>
      <c r="H225" t="s">
        <v>3992</v>
      </c>
      <c r="I225" s="88">
        <v>78239</v>
      </c>
      <c r="J225" t="s">
        <v>4383</v>
      </c>
      <c r="K225" s="86">
        <v>13631</v>
      </c>
      <c r="L225" s="86">
        <v>5811.5</v>
      </c>
      <c r="M225" s="86">
        <v>503.39999389648438</v>
      </c>
      <c r="N225" s="86">
        <v>7821.5</v>
      </c>
      <c r="O225" s="86">
        <v>5417.7998046875</v>
      </c>
      <c r="P225" s="86">
        <v>417.29998779296875</v>
      </c>
      <c r="Q225" s="86">
        <v>9909</v>
      </c>
      <c r="R225" s="86">
        <v>72.292999267578125</v>
      </c>
      <c r="S225" s="86">
        <v>87.169998168945313</v>
      </c>
      <c r="T225" s="86">
        <v>9.5201015472412109</v>
      </c>
      <c r="U225" s="86">
        <v>3.0614040791988373E-2</v>
      </c>
      <c r="V225" s="86">
        <v>0.57380235195159912</v>
      </c>
      <c r="W225" s="86">
        <v>0.54675543308258057</v>
      </c>
      <c r="X225" s="86">
        <v>3.6930523812770844E-2</v>
      </c>
      <c r="Y225" s="86">
        <v>0</v>
      </c>
      <c r="Z225" s="86">
        <v>0.92219966650009155</v>
      </c>
    </row>
    <row r="226" spans="1:26" x14ac:dyDescent="0.25">
      <c r="A226" s="88">
        <v>653</v>
      </c>
      <c r="B226" t="s">
        <v>188</v>
      </c>
      <c r="C226" s="88">
        <v>2019</v>
      </c>
      <c r="D226" t="s">
        <v>4435</v>
      </c>
      <c r="E226" s="34">
        <v>45688</v>
      </c>
      <c r="F226" s="88">
        <v>8551</v>
      </c>
      <c r="G226" t="s">
        <v>3991</v>
      </c>
      <c r="H226" t="s">
        <v>3992</v>
      </c>
      <c r="I226" s="88">
        <v>78239</v>
      </c>
      <c r="J226" t="s">
        <v>4406</v>
      </c>
      <c r="K226" s="86">
        <v>11863.7001953125</v>
      </c>
      <c r="L226" s="86">
        <v>5827.7998046875</v>
      </c>
      <c r="M226" s="86">
        <v>452</v>
      </c>
      <c r="N226" s="86">
        <v>6035.7001953125</v>
      </c>
      <c r="O226" s="86">
        <v>5310.5</v>
      </c>
      <c r="P226" s="86">
        <v>746.4000244140625</v>
      </c>
      <c r="Q226" s="86">
        <v>9656.7998046875</v>
      </c>
      <c r="R226" s="86">
        <v>75.402999877929688</v>
      </c>
      <c r="S226" s="86">
        <v>109.11000061035156</v>
      </c>
      <c r="T226" s="86">
        <v>9.3812389373779297</v>
      </c>
      <c r="U226" s="86">
        <v>6.291460245847702E-2</v>
      </c>
      <c r="V226" s="86">
        <v>0.50875359773635864</v>
      </c>
      <c r="W226" s="86">
        <v>0.5499233603477478</v>
      </c>
      <c r="X226" s="86">
        <v>3.8099411875009537E-2</v>
      </c>
      <c r="Y226" s="86">
        <v>0</v>
      </c>
      <c r="Z226" s="86">
        <v>0.70835578441619873</v>
      </c>
    </row>
    <row r="227" spans="1:26" x14ac:dyDescent="0.25">
      <c r="A227" s="88">
        <v>654</v>
      </c>
      <c r="B227" t="s">
        <v>189</v>
      </c>
      <c r="C227" s="88">
        <v>2020</v>
      </c>
      <c r="D227" t="s">
        <v>3993</v>
      </c>
      <c r="E227" s="34">
        <v>44196</v>
      </c>
      <c r="F227" s="88">
        <v>18573</v>
      </c>
      <c r="G227" t="s">
        <v>3995</v>
      </c>
      <c r="H227" t="s">
        <v>3996</v>
      </c>
      <c r="I227" s="88">
        <v>1577368</v>
      </c>
      <c r="J227" t="s">
        <v>4305</v>
      </c>
      <c r="K227" s="86">
        <v>3898.572021484375</v>
      </c>
      <c r="L227" s="86">
        <v>1068.739013671875</v>
      </c>
      <c r="M227" s="86">
        <v>22.774999618530273</v>
      </c>
      <c r="N227" s="86">
        <v>2313.8740234375</v>
      </c>
      <c r="O227" s="86">
        <v>152.91999816894531</v>
      </c>
      <c r="P227" s="86">
        <v>15.906000137329102</v>
      </c>
      <c r="Q227" s="86">
        <v>537.32598876953125</v>
      </c>
      <c r="R227" s="86">
        <v>64.580001831054688</v>
      </c>
      <c r="S227" s="86">
        <v>61.880001068115234</v>
      </c>
      <c r="T227" s="86">
        <v>8.2683658599853516</v>
      </c>
      <c r="U227" s="86">
        <v>4.079955630004406E-3</v>
      </c>
      <c r="V227" s="86">
        <v>0.59351837635040283</v>
      </c>
      <c r="W227" s="86">
        <v>0.28459444642066956</v>
      </c>
      <c r="X227" s="86">
        <v>5.8418824337422848E-3</v>
      </c>
      <c r="Y227" s="86">
        <v>0</v>
      </c>
      <c r="Z227" s="86">
        <v>0.26743811368942261</v>
      </c>
    </row>
    <row r="228" spans="1:26" x14ac:dyDescent="0.25">
      <c r="A228" s="88">
        <v>655</v>
      </c>
      <c r="B228" t="s">
        <v>189</v>
      </c>
      <c r="C228" s="88">
        <v>2019</v>
      </c>
      <c r="D228" t="s">
        <v>3993</v>
      </c>
      <c r="E228" s="34">
        <v>44196</v>
      </c>
      <c r="F228" s="88">
        <v>18573</v>
      </c>
      <c r="G228" t="s">
        <v>3995</v>
      </c>
      <c r="H228" t="s">
        <v>3996</v>
      </c>
      <c r="I228" s="88">
        <v>1577368</v>
      </c>
      <c r="J228" t="s">
        <v>4311</v>
      </c>
      <c r="K228" s="86">
        <v>3223.532958984375</v>
      </c>
      <c r="L228" s="86">
        <v>930.38201904296875</v>
      </c>
      <c r="M228" s="86">
        <v>15.652999877929688</v>
      </c>
      <c r="N228" s="86">
        <v>1779.08203125</v>
      </c>
      <c r="O228" s="86">
        <v>140.60000610351563</v>
      </c>
      <c r="P228" s="86">
        <v>31.291000366210938</v>
      </c>
      <c r="Q228" s="86">
        <v>479.45599365234375</v>
      </c>
      <c r="R228" s="86">
        <v>58.228000640869141</v>
      </c>
      <c r="S228" s="86">
        <v>54.270000457763672</v>
      </c>
      <c r="T228" s="86">
        <v>8.0782327651977539</v>
      </c>
      <c r="U228" s="86">
        <v>9.7070513293147087E-3</v>
      </c>
      <c r="V228" s="86">
        <v>0.55190438032150269</v>
      </c>
      <c r="W228" s="86">
        <v>0.29324904084205627</v>
      </c>
      <c r="X228" s="86">
        <v>4.8558521084487438E-3</v>
      </c>
      <c r="Y228" s="86">
        <v>0</v>
      </c>
      <c r="Z228" s="86">
        <v>0.29442155361175537</v>
      </c>
    </row>
    <row r="229" spans="1:26" x14ac:dyDescent="0.25">
      <c r="A229" s="88">
        <v>660</v>
      </c>
      <c r="B229" t="s">
        <v>190</v>
      </c>
      <c r="C229" s="88">
        <v>2019</v>
      </c>
      <c r="D229" t="s">
        <v>4436</v>
      </c>
      <c r="E229" s="34">
        <v>45747</v>
      </c>
      <c r="F229" s="88">
        <v>64891</v>
      </c>
      <c r="G229" t="s">
        <v>3998</v>
      </c>
      <c r="H229" t="s">
        <v>3999</v>
      </c>
      <c r="I229" s="88">
        <v>1037038</v>
      </c>
      <c r="J229" t="s">
        <v>4367</v>
      </c>
      <c r="K229" s="86">
        <v>5942.7998046875</v>
      </c>
      <c r="L229" s="86">
        <v>3287.199951171875</v>
      </c>
      <c r="M229" s="86">
        <v>1999.4000244140625</v>
      </c>
      <c r="N229" s="86">
        <v>2655.60009765625</v>
      </c>
      <c r="O229" s="86">
        <v>3893.199951171875</v>
      </c>
      <c r="P229" s="86">
        <v>430.89999389648438</v>
      </c>
      <c r="Q229" s="86">
        <v>6313</v>
      </c>
      <c r="R229" s="86">
        <v>78.099998474121094</v>
      </c>
      <c r="S229" s="86">
        <v>129.67999267578125</v>
      </c>
      <c r="T229" s="86">
        <v>8.6899356842041016</v>
      </c>
      <c r="U229" s="86">
        <v>7.2507910430431366E-2</v>
      </c>
      <c r="V229" s="86">
        <v>0.44686010479927063</v>
      </c>
      <c r="W229" s="86">
        <v>0.61669570207595825</v>
      </c>
      <c r="X229" s="86">
        <v>0.33644074201583862</v>
      </c>
      <c r="Y229" s="86">
        <v>0</v>
      </c>
      <c r="Z229" s="86">
        <v>0.32456532120704651</v>
      </c>
    </row>
    <row r="230" spans="1:26" x14ac:dyDescent="0.25">
      <c r="A230" s="88">
        <v>661</v>
      </c>
      <c r="B230" t="s">
        <v>191</v>
      </c>
      <c r="C230" s="88">
        <v>2019</v>
      </c>
      <c r="D230" t="s">
        <v>4000</v>
      </c>
      <c r="E230" s="34">
        <v>45657</v>
      </c>
      <c r="F230" s="88">
        <v>6788</v>
      </c>
      <c r="G230" t="s">
        <v>4002</v>
      </c>
      <c r="H230" t="s">
        <v>4003</v>
      </c>
      <c r="I230" s="88">
        <v>315852</v>
      </c>
      <c r="J230" t="s">
        <v>4311</v>
      </c>
      <c r="K230" s="86">
        <v>6612.40283203125</v>
      </c>
      <c r="L230" s="86">
        <v>2347.488037109375</v>
      </c>
      <c r="M230" s="86">
        <v>0.54600000381469727</v>
      </c>
      <c r="N230" s="86">
        <v>4264.9150390625</v>
      </c>
      <c r="O230" s="86">
        <v>-2.5880000591278076</v>
      </c>
      <c r="P230" s="86">
        <v>-1716.2969970703125</v>
      </c>
      <c r="Q230" s="86">
        <v>2826.47802734375</v>
      </c>
      <c r="R230" s="86">
        <v>249.63099670410156</v>
      </c>
      <c r="S230" s="86">
        <v>4.8499999046325684</v>
      </c>
      <c r="T230" s="86">
        <v>8.7967023849487305</v>
      </c>
      <c r="U230" s="86">
        <v>-0.25955724716186523</v>
      </c>
      <c r="V230" s="86">
        <v>0.64498716592788696</v>
      </c>
      <c r="W230" s="86">
        <v>-9.156271698884666E-4</v>
      </c>
      <c r="X230" s="86">
        <v>8.2572099927347153E-5</v>
      </c>
      <c r="Y230" s="86">
        <v>1</v>
      </c>
      <c r="Z230" s="86">
        <v>1.9389345645904541</v>
      </c>
    </row>
    <row r="231" spans="1:26" x14ac:dyDescent="0.25">
      <c r="A231" s="88">
        <v>667</v>
      </c>
      <c r="B231" t="s">
        <v>192</v>
      </c>
      <c r="C231" s="88">
        <v>2020</v>
      </c>
      <c r="D231" t="s">
        <v>4437</v>
      </c>
      <c r="E231" s="34">
        <v>46022</v>
      </c>
      <c r="F231" s="88">
        <v>29099</v>
      </c>
      <c r="G231" t="s">
        <v>4005</v>
      </c>
      <c r="H231" t="s">
        <v>4006</v>
      </c>
      <c r="I231" s="88">
        <v>910606</v>
      </c>
      <c r="J231" t="s">
        <v>4305</v>
      </c>
      <c r="K231" s="86">
        <v>10936.904296875</v>
      </c>
      <c r="L231" s="86">
        <v>5984.912109375</v>
      </c>
      <c r="M231" s="86">
        <v>419.41400146484375</v>
      </c>
      <c r="N231" s="86">
        <v>4878.7568359375</v>
      </c>
      <c r="O231" s="86">
        <v>361.43399047851563</v>
      </c>
      <c r="P231" s="86">
        <v>44.888999938964844</v>
      </c>
      <c r="Q231" s="86">
        <v>1051.9439697265625</v>
      </c>
      <c r="R231" s="86">
        <v>169.22000122070313</v>
      </c>
      <c r="S231" s="86">
        <v>45.590000152587891</v>
      </c>
      <c r="T231" s="86">
        <v>9.2998981475830078</v>
      </c>
      <c r="U231" s="86">
        <v>4.1043604724109173E-3</v>
      </c>
      <c r="V231" s="86">
        <v>0.44608205556869507</v>
      </c>
      <c r="W231" s="86">
        <v>0.34358674287796021</v>
      </c>
      <c r="X231" s="86">
        <v>3.834851086139679E-2</v>
      </c>
      <c r="Y231" s="86">
        <v>0</v>
      </c>
      <c r="Z231" s="86">
        <v>0.77577626705169678</v>
      </c>
    </row>
    <row r="232" spans="1:26" x14ac:dyDescent="0.25">
      <c r="A232" s="88">
        <v>668</v>
      </c>
      <c r="B232" t="s">
        <v>192</v>
      </c>
      <c r="C232" s="88">
        <v>2019</v>
      </c>
      <c r="D232" t="s">
        <v>4437</v>
      </c>
      <c r="E232" s="34">
        <v>46022</v>
      </c>
      <c r="F232" s="88">
        <v>29099</v>
      </c>
      <c r="G232" t="s">
        <v>4005</v>
      </c>
      <c r="H232" t="s">
        <v>4006</v>
      </c>
      <c r="I232" s="88">
        <v>910606</v>
      </c>
      <c r="J232" t="s">
        <v>4311</v>
      </c>
      <c r="K232" s="86">
        <v>11132.2529296875</v>
      </c>
      <c r="L232" s="86">
        <v>6213.34814453125</v>
      </c>
      <c r="M232" s="86">
        <v>152.41099548339844</v>
      </c>
      <c r="N232" s="86">
        <v>4842.2919921875</v>
      </c>
      <c r="O232" s="86">
        <v>456.60400390625</v>
      </c>
      <c r="P232" s="86">
        <v>239.42999267578125</v>
      </c>
      <c r="Q232" s="86">
        <v>1195.1629638671875</v>
      </c>
      <c r="R232" s="86">
        <v>167.13099670410156</v>
      </c>
      <c r="S232" s="86">
        <v>63.090000152587891</v>
      </c>
      <c r="T232" s="86">
        <v>9.3176021575927734</v>
      </c>
      <c r="U232" s="86">
        <v>2.1507775411009789E-2</v>
      </c>
      <c r="V232" s="86">
        <v>0.43497860431671143</v>
      </c>
      <c r="W232" s="86">
        <v>0.38204330205917358</v>
      </c>
      <c r="X232" s="86">
        <v>1.3690939173102379E-2</v>
      </c>
      <c r="Y232" s="86">
        <v>0</v>
      </c>
      <c r="Z232" s="86">
        <v>0.58926165103912354</v>
      </c>
    </row>
    <row r="233" spans="1:26" x14ac:dyDescent="0.25">
      <c r="A233" s="88">
        <v>671</v>
      </c>
      <c r="B233" t="s">
        <v>193</v>
      </c>
      <c r="C233" s="88">
        <v>2018</v>
      </c>
      <c r="D233" t="s">
        <v>4007</v>
      </c>
      <c r="E233" s="34">
        <v>46022</v>
      </c>
      <c r="F233" s="88">
        <v>4674</v>
      </c>
      <c r="G233" t="s">
        <v>4009</v>
      </c>
      <c r="H233" t="s">
        <v>4010</v>
      </c>
      <c r="I233" s="88">
        <v>1281761</v>
      </c>
      <c r="J233" t="s">
        <v>4307</v>
      </c>
      <c r="K233" s="86">
        <v>125688</v>
      </c>
      <c r="L233" s="86">
        <v>14270</v>
      </c>
      <c r="M233" s="86">
        <v>3538</v>
      </c>
      <c r="N233" s="86">
        <v>110598</v>
      </c>
      <c r="O233" s="86">
        <v>5525</v>
      </c>
      <c r="P233" s="86">
        <v>1759</v>
      </c>
      <c r="Q233" s="86">
        <v>6412</v>
      </c>
      <c r="R233" s="86">
        <v>1024.8260498046875</v>
      </c>
      <c r="S233" s="86">
        <v>13.380000114440918</v>
      </c>
      <c r="T233" s="86">
        <v>11.741558074951172</v>
      </c>
      <c r="U233" s="86">
        <v>1.3994971290230751E-2</v>
      </c>
      <c r="V233" s="86">
        <v>0.87994080781936646</v>
      </c>
      <c r="W233" s="86">
        <v>0.86166560649871826</v>
      </c>
      <c r="X233" s="86">
        <v>2.8149068355560303E-2</v>
      </c>
      <c r="Y233" s="86">
        <v>0</v>
      </c>
      <c r="Z233" s="86">
        <v>1.0406811237335205</v>
      </c>
    </row>
    <row r="234" spans="1:26" x14ac:dyDescent="0.25">
      <c r="A234" s="88">
        <v>675</v>
      </c>
      <c r="B234" t="s">
        <v>194</v>
      </c>
      <c r="C234" s="88">
        <v>2019</v>
      </c>
      <c r="D234" t="s">
        <v>4011</v>
      </c>
      <c r="E234" s="34">
        <v>45291</v>
      </c>
      <c r="F234" s="88">
        <v>178539</v>
      </c>
      <c r="G234" t="s">
        <v>4013</v>
      </c>
      <c r="H234" t="s">
        <v>4014</v>
      </c>
      <c r="I234" s="88">
        <v>1407623</v>
      </c>
      <c r="J234" t="s">
        <v>4311</v>
      </c>
      <c r="K234" s="86">
        <v>2913.757080078125</v>
      </c>
      <c r="L234" s="86">
        <v>1179.3480224609375</v>
      </c>
      <c r="M234" s="86">
        <v>5.4580001831054688</v>
      </c>
      <c r="N234" s="86">
        <v>1621.928955078125</v>
      </c>
      <c r="O234" s="86">
        <v>120.97599792480469</v>
      </c>
      <c r="P234" s="86">
        <v>48.844001770019531</v>
      </c>
      <c r="Q234" s="86">
        <v>295.04000854492188</v>
      </c>
      <c r="R234" s="86">
        <v>116.49600219726563</v>
      </c>
      <c r="S234" s="86">
        <v>17.659999847412109</v>
      </c>
      <c r="T234" s="86">
        <v>7.977198600769043</v>
      </c>
      <c r="U234" s="86">
        <v>1.6763238236308098E-2</v>
      </c>
      <c r="V234" s="86">
        <v>0.55664521455764771</v>
      </c>
      <c r="W234" s="86">
        <v>0.41003251075744629</v>
      </c>
      <c r="X234" s="86">
        <v>1.8731829477474093E-3</v>
      </c>
      <c r="Y234" s="86">
        <v>0</v>
      </c>
      <c r="Z234" s="86">
        <v>0.57324498891830444</v>
      </c>
    </row>
    <row r="235" spans="1:26" x14ac:dyDescent="0.25">
      <c r="A235" s="88">
        <v>676</v>
      </c>
      <c r="B235" t="s">
        <v>195</v>
      </c>
      <c r="C235" s="88">
        <v>2020</v>
      </c>
      <c r="D235" t="s">
        <v>4438</v>
      </c>
      <c r="E235" s="34">
        <v>45291</v>
      </c>
      <c r="F235" s="88">
        <v>19471</v>
      </c>
      <c r="G235" t="s">
        <v>4016</v>
      </c>
      <c r="H235" t="s">
        <v>4017</v>
      </c>
      <c r="I235" s="88">
        <v>1479290</v>
      </c>
      <c r="J235" t="s">
        <v>4305</v>
      </c>
      <c r="K235" s="86">
        <v>720.219970703125</v>
      </c>
      <c r="L235" s="86">
        <v>374.29000854492188</v>
      </c>
      <c r="M235" s="86">
        <v>436.5050048828125</v>
      </c>
      <c r="N235" s="86">
        <v>345.92999267578125</v>
      </c>
      <c r="O235" s="86">
        <v>-247.8280029296875</v>
      </c>
      <c r="P235" s="86">
        <v>-282.0889892578125</v>
      </c>
      <c r="Q235" s="86">
        <v>15.324999809265137</v>
      </c>
      <c r="R235" s="86">
        <v>69.179000854492188</v>
      </c>
      <c r="S235" s="86">
        <v>28.340000152587891</v>
      </c>
      <c r="T235" s="86">
        <v>6.5795564651489258</v>
      </c>
      <c r="U235" s="86">
        <v>-0.39167061448097229</v>
      </c>
      <c r="V235" s="86">
        <v>0.48031157255172729</v>
      </c>
      <c r="W235" s="86">
        <v>-16.171483993530273</v>
      </c>
      <c r="X235" s="86">
        <v>0.60607177019119263</v>
      </c>
      <c r="Y235" s="86">
        <v>1</v>
      </c>
      <c r="Z235" s="86">
        <v>0.19091238081455231</v>
      </c>
    </row>
    <row r="236" spans="1:26" x14ac:dyDescent="0.25">
      <c r="A236" s="88">
        <v>677</v>
      </c>
      <c r="B236" t="s">
        <v>196</v>
      </c>
      <c r="C236" s="88">
        <v>2020</v>
      </c>
      <c r="D236" t="s">
        <v>4439</v>
      </c>
      <c r="E236" s="34">
        <v>46022</v>
      </c>
      <c r="F236" s="88">
        <v>9016</v>
      </c>
      <c r="G236" t="s">
        <v>4019</v>
      </c>
      <c r="H236" t="s">
        <v>4020</v>
      </c>
      <c r="I236" s="88">
        <v>82811</v>
      </c>
      <c r="J236" t="s">
        <v>4305</v>
      </c>
      <c r="K236" s="86">
        <v>4589</v>
      </c>
      <c r="L236" s="86">
        <v>2544.39990234375</v>
      </c>
      <c r="M236" s="86">
        <v>611.29998779296875</v>
      </c>
      <c r="N236" s="86">
        <v>2012</v>
      </c>
      <c r="O236" s="86">
        <v>958.29998779296875</v>
      </c>
      <c r="P236" s="86">
        <v>189.30000305175781</v>
      </c>
      <c r="Q236" s="86">
        <v>2907</v>
      </c>
      <c r="R236" s="86">
        <v>40.599998474121094</v>
      </c>
      <c r="S236" s="86">
        <v>122.80999755859375</v>
      </c>
      <c r="T236" s="86">
        <v>8.4314174652099609</v>
      </c>
      <c r="U236" s="86">
        <v>4.1250817477703094E-2</v>
      </c>
      <c r="V236" s="86">
        <v>0.4384397566318512</v>
      </c>
      <c r="W236" s="86">
        <v>0.32965254783630371</v>
      </c>
      <c r="X236" s="86">
        <v>0.13320985436439514</v>
      </c>
      <c r="Y236" s="86">
        <v>0</v>
      </c>
      <c r="Z236" s="86">
        <v>0.51030009984970093</v>
      </c>
    </row>
    <row r="237" spans="1:26" x14ac:dyDescent="0.25">
      <c r="A237" s="88">
        <v>679</v>
      </c>
      <c r="B237" t="s">
        <v>197</v>
      </c>
      <c r="C237" s="88">
        <v>2019</v>
      </c>
      <c r="D237" t="s">
        <v>4440</v>
      </c>
      <c r="E237" s="34">
        <v>45930</v>
      </c>
      <c r="F237" s="88">
        <v>9203</v>
      </c>
      <c r="G237" t="s">
        <v>4022</v>
      </c>
      <c r="H237" t="s">
        <v>4023</v>
      </c>
      <c r="I237" s="88">
        <v>1024478</v>
      </c>
      <c r="J237" t="s">
        <v>4321</v>
      </c>
      <c r="K237" s="86">
        <v>6113</v>
      </c>
      <c r="L237" s="86">
        <v>404.20001220703125</v>
      </c>
      <c r="M237" s="86">
        <v>1058</v>
      </c>
      <c r="N237" s="86">
        <v>5708.7998046875</v>
      </c>
      <c r="O237" s="86">
        <v>3052.300048828125</v>
      </c>
      <c r="P237" s="86">
        <v>695.79998779296875</v>
      </c>
      <c r="Q237" s="86">
        <v>6694.7998046875</v>
      </c>
      <c r="R237" s="86">
        <v>115.69999694824219</v>
      </c>
      <c r="S237" s="86">
        <v>164.80000305175781</v>
      </c>
      <c r="T237" s="86">
        <v>8.7181730270385742</v>
      </c>
      <c r="U237" s="86">
        <v>0.11382299661636353</v>
      </c>
      <c r="V237" s="86">
        <v>0.93387860059738159</v>
      </c>
      <c r="W237" s="86">
        <v>0.45592102408409119</v>
      </c>
      <c r="X237" s="86">
        <v>0.17307378351688385</v>
      </c>
      <c r="Y237" s="86">
        <v>0</v>
      </c>
      <c r="Z237" s="86">
        <v>2.1198529750108719E-2</v>
      </c>
    </row>
    <row r="238" spans="1:26" x14ac:dyDescent="0.25">
      <c r="A238" s="88">
        <v>681</v>
      </c>
      <c r="B238" t="s">
        <v>198</v>
      </c>
      <c r="C238" s="88">
        <v>2020</v>
      </c>
      <c r="D238" t="s">
        <v>4441</v>
      </c>
      <c r="E238" s="34">
        <v>46022</v>
      </c>
      <c r="F238" s="88">
        <v>9216</v>
      </c>
      <c r="G238" t="s">
        <v>4025</v>
      </c>
      <c r="H238" t="s">
        <v>4026</v>
      </c>
      <c r="I238" s="88">
        <v>84748</v>
      </c>
      <c r="J238" t="s">
        <v>4305</v>
      </c>
      <c r="K238" s="86">
        <v>1264.0050048828125</v>
      </c>
      <c r="L238" s="86">
        <v>1020.7550048828125</v>
      </c>
      <c r="M238" s="86">
        <v>191.78500366210938</v>
      </c>
      <c r="N238" s="86">
        <v>243.25</v>
      </c>
      <c r="O238" s="86">
        <v>368.14498901367188</v>
      </c>
      <c r="P238" s="86">
        <v>49.990001678466797</v>
      </c>
      <c r="Q238" s="86">
        <v>802.5830078125</v>
      </c>
      <c r="R238" s="86">
        <v>18.677000045776367</v>
      </c>
      <c r="S238" s="86">
        <v>155.28999328613281</v>
      </c>
      <c r="T238" s="86">
        <v>7.1420407295227051</v>
      </c>
      <c r="U238" s="86">
        <v>3.9548896253108978E-2</v>
      </c>
      <c r="V238" s="86">
        <v>0.19244386255741119</v>
      </c>
      <c r="W238" s="86">
        <v>0.45870020985603333</v>
      </c>
      <c r="X238" s="86">
        <v>0.15172803401947021</v>
      </c>
      <c r="Y238" s="86">
        <v>0</v>
      </c>
      <c r="Z238" s="86">
        <v>0.35194185376167297</v>
      </c>
    </row>
    <row r="239" spans="1:26" x14ac:dyDescent="0.25">
      <c r="A239" s="88">
        <v>682</v>
      </c>
      <c r="B239" t="s">
        <v>199</v>
      </c>
      <c r="C239" s="88">
        <v>2020</v>
      </c>
      <c r="D239" t="s">
        <v>4027</v>
      </c>
      <c r="E239" s="34">
        <v>46022</v>
      </c>
      <c r="F239" s="88">
        <v>7163</v>
      </c>
      <c r="G239" t="s">
        <v>4029</v>
      </c>
      <c r="H239" t="s">
        <v>4030</v>
      </c>
      <c r="I239" s="88">
        <v>64040</v>
      </c>
      <c r="J239" t="s">
        <v>4305</v>
      </c>
      <c r="K239" s="86">
        <v>12537</v>
      </c>
      <c r="L239" s="86">
        <v>509</v>
      </c>
      <c r="M239" s="86">
        <v>4131</v>
      </c>
      <c r="N239" s="86">
        <v>9185</v>
      </c>
      <c r="O239" s="86">
        <v>5350</v>
      </c>
      <c r="P239" s="86">
        <v>2339</v>
      </c>
      <c r="Q239" s="86">
        <v>7442</v>
      </c>
      <c r="R239" s="86">
        <v>240.60000610351563</v>
      </c>
      <c r="S239" s="86">
        <v>328.73001098632813</v>
      </c>
      <c r="T239" s="86">
        <v>9.4364395141601563</v>
      </c>
      <c r="U239" s="86">
        <v>0.1865677535533905</v>
      </c>
      <c r="V239" s="86">
        <v>0.7326313853263855</v>
      </c>
      <c r="W239" s="86">
        <v>0.71889275312423706</v>
      </c>
      <c r="X239" s="86">
        <v>0.32950466871261597</v>
      </c>
      <c r="Y239" s="86">
        <v>0</v>
      </c>
      <c r="Z239" s="86">
        <v>6.4355074428021908E-3</v>
      </c>
    </row>
    <row r="240" spans="1:26" x14ac:dyDescent="0.25">
      <c r="A240" s="88">
        <v>684</v>
      </c>
      <c r="B240" t="s">
        <v>200</v>
      </c>
      <c r="C240" s="88">
        <v>2021</v>
      </c>
      <c r="D240" t="s">
        <v>4031</v>
      </c>
      <c r="E240" s="34">
        <v>46053</v>
      </c>
      <c r="F240" s="88">
        <v>157855</v>
      </c>
      <c r="G240" t="s">
        <v>4033</v>
      </c>
      <c r="H240" t="s">
        <v>4034</v>
      </c>
      <c r="I240" s="88">
        <v>1108524</v>
      </c>
      <c r="J240" t="s">
        <v>4330</v>
      </c>
      <c r="K240" s="86">
        <v>66301</v>
      </c>
      <c r="L240" s="86">
        <v>41493</v>
      </c>
      <c r="M240" s="86">
        <v>11966</v>
      </c>
      <c r="N240" s="86">
        <v>24808</v>
      </c>
      <c r="O240" s="86">
        <v>17034</v>
      </c>
      <c r="P240" s="86">
        <v>4072</v>
      </c>
      <c r="Q240" s="86">
        <v>21252</v>
      </c>
      <c r="R240" s="86">
        <v>919</v>
      </c>
      <c r="S240" s="86">
        <v>225.55999755859375</v>
      </c>
      <c r="T240" s="86">
        <v>11.101960182189941</v>
      </c>
      <c r="U240" s="86">
        <v>6.1416871845722198E-2</v>
      </c>
      <c r="V240" s="86">
        <v>0.37417232990264893</v>
      </c>
      <c r="W240" s="86">
        <v>0.8015245795249939</v>
      </c>
      <c r="X240" s="86">
        <v>0.18047992885112762</v>
      </c>
      <c r="Y240" s="86">
        <v>0</v>
      </c>
      <c r="Z240" s="86">
        <v>0.20016919076442719</v>
      </c>
    </row>
    <row r="241" spans="1:26" x14ac:dyDescent="0.25">
      <c r="A241" s="88">
        <v>693</v>
      </c>
      <c r="B241" t="s">
        <v>201</v>
      </c>
      <c r="C241" s="88">
        <v>2019</v>
      </c>
      <c r="D241" t="s">
        <v>4442</v>
      </c>
      <c r="E241" s="34">
        <v>45535</v>
      </c>
      <c r="F241" s="88">
        <v>29217</v>
      </c>
      <c r="G241" t="s">
        <v>4036</v>
      </c>
      <c r="H241" t="s">
        <v>4037</v>
      </c>
      <c r="I241" s="88">
        <v>912603</v>
      </c>
      <c r="J241" t="s">
        <v>4411</v>
      </c>
      <c r="K241" s="86">
        <v>1160.7459716796875</v>
      </c>
      <c r="L241" s="86">
        <v>696.9639892578125</v>
      </c>
      <c r="M241" s="86">
        <v>12.376999855041504</v>
      </c>
      <c r="N241" s="86">
        <v>459.45001220703125</v>
      </c>
      <c r="O241" s="86">
        <v>327.58200073242188</v>
      </c>
      <c r="P241" s="86">
        <v>56.345001220703125</v>
      </c>
      <c r="Q241" s="86">
        <v>2132.781005859375</v>
      </c>
      <c r="R241" s="86">
        <v>26.663999557495117</v>
      </c>
      <c r="S241" s="86">
        <v>22.139999389648438</v>
      </c>
      <c r="T241" s="86">
        <v>7.0568180084228516</v>
      </c>
      <c r="U241" s="86">
        <v>4.854205995798111E-2</v>
      </c>
      <c r="V241" s="86">
        <v>0.39582306146621704</v>
      </c>
      <c r="W241" s="86">
        <v>0.15359382331371307</v>
      </c>
      <c r="X241" s="86">
        <v>1.0662970133125782E-2</v>
      </c>
      <c r="Y241" s="86">
        <v>0</v>
      </c>
      <c r="Z241" s="86">
        <v>1.1806126832962036</v>
      </c>
    </row>
    <row r="242" spans="1:26" x14ac:dyDescent="0.25">
      <c r="A242" s="88">
        <v>694</v>
      </c>
      <c r="B242" t="s">
        <v>202</v>
      </c>
      <c r="C242" s="88">
        <v>2020</v>
      </c>
      <c r="D242" t="s">
        <v>4039</v>
      </c>
      <c r="E242" s="34">
        <v>46022</v>
      </c>
      <c r="F242" s="88">
        <v>31384</v>
      </c>
      <c r="G242" t="s">
        <v>4041</v>
      </c>
      <c r="H242" t="s">
        <v>4042</v>
      </c>
      <c r="I242" s="88">
        <v>1690334</v>
      </c>
      <c r="J242" t="s">
        <v>4305</v>
      </c>
      <c r="K242" s="86">
        <v>1017.6630249023438</v>
      </c>
      <c r="L242" s="86">
        <v>401.51699829101563</v>
      </c>
      <c r="M242" s="86">
        <v>36.018001556396484</v>
      </c>
      <c r="N242" s="86">
        <v>615.8270263671875</v>
      </c>
      <c r="O242" s="86">
        <v>43.166999816894531</v>
      </c>
      <c r="P242" s="86">
        <v>-78.915000915527344</v>
      </c>
      <c r="Q242" s="86">
        <v>141.83700561523438</v>
      </c>
      <c r="R242" s="86">
        <v>23.430999755859375</v>
      </c>
      <c r="S242" s="86">
        <v>2.7100000381469727</v>
      </c>
      <c r="T242" s="86">
        <v>6.9252643585205078</v>
      </c>
      <c r="U242" s="86">
        <v>-7.7545315027236938E-2</v>
      </c>
      <c r="V242" s="86">
        <v>0.60513842105865479</v>
      </c>
      <c r="W242" s="86">
        <v>0.30434229969978333</v>
      </c>
      <c r="X242" s="86">
        <v>3.539285808801651E-2</v>
      </c>
      <c r="Y242" s="86">
        <v>1</v>
      </c>
      <c r="Z242" s="86">
        <v>6.3233003616333008</v>
      </c>
    </row>
    <row r="243" spans="1:26" x14ac:dyDescent="0.25">
      <c r="A243" s="88">
        <v>698</v>
      </c>
      <c r="B243" t="s">
        <v>203</v>
      </c>
      <c r="C243" s="88">
        <v>2019</v>
      </c>
      <c r="D243" t="s">
        <v>4443</v>
      </c>
      <c r="E243" s="34">
        <v>46022</v>
      </c>
      <c r="F243" s="88">
        <v>8272</v>
      </c>
      <c r="G243" t="s">
        <v>4044</v>
      </c>
      <c r="H243" t="s">
        <v>4045</v>
      </c>
      <c r="I243" s="88">
        <v>1032208</v>
      </c>
      <c r="J243" t="s">
        <v>4311</v>
      </c>
      <c r="K243" s="86">
        <v>65665</v>
      </c>
      <c r="L243" s="86">
        <v>17671</v>
      </c>
      <c r="M243" s="86">
        <v>139</v>
      </c>
      <c r="N243" s="86">
        <v>43860</v>
      </c>
      <c r="O243" s="86">
        <v>4196</v>
      </c>
      <c r="P243" s="86">
        <v>2198</v>
      </c>
      <c r="Q243" s="86">
        <v>10829</v>
      </c>
      <c r="R243" s="86">
        <v>291.7130126953125</v>
      </c>
      <c r="S243" s="86">
        <v>151.47999572753906</v>
      </c>
      <c r="T243" s="86">
        <v>11.092321395874023</v>
      </c>
      <c r="U243" s="86">
        <v>3.3472929149866104E-2</v>
      </c>
      <c r="V243" s="86">
        <v>0.66793572902679443</v>
      </c>
      <c r="W243" s="86">
        <v>0.3874780535697937</v>
      </c>
      <c r="X243" s="86">
        <v>2.1168049424886703E-3</v>
      </c>
      <c r="Y243" s="86">
        <v>0</v>
      </c>
      <c r="Z243" s="86">
        <v>0.39989873766899109</v>
      </c>
    </row>
    <row r="244" spans="1:26" x14ac:dyDescent="0.25">
      <c r="A244" s="88">
        <v>699</v>
      </c>
      <c r="B244" t="s">
        <v>203</v>
      </c>
      <c r="C244" s="88">
        <v>2018</v>
      </c>
      <c r="D244" t="s">
        <v>4443</v>
      </c>
      <c r="E244" s="34">
        <v>46022</v>
      </c>
      <c r="F244" s="88">
        <v>8272</v>
      </c>
      <c r="G244" t="s">
        <v>4044</v>
      </c>
      <c r="H244" t="s">
        <v>4045</v>
      </c>
      <c r="I244" s="88">
        <v>1032208</v>
      </c>
      <c r="J244" t="s">
        <v>4307</v>
      </c>
      <c r="K244" s="86">
        <v>60638</v>
      </c>
      <c r="L244" s="86">
        <v>14880</v>
      </c>
      <c r="M244" s="86">
        <v>225</v>
      </c>
      <c r="N244" s="86">
        <v>41390</v>
      </c>
      <c r="O244" s="86">
        <v>4142</v>
      </c>
      <c r="P244" s="86">
        <v>1050</v>
      </c>
      <c r="Q244" s="86">
        <v>11687</v>
      </c>
      <c r="R244" s="86">
        <v>273.76998901367188</v>
      </c>
      <c r="S244" s="86">
        <v>108.19000244140625</v>
      </c>
      <c r="T244" s="86">
        <v>11.012677192687988</v>
      </c>
      <c r="U244" s="86">
        <v>1.7315873876214027E-2</v>
      </c>
      <c r="V244" s="86">
        <v>0.6825752854347229</v>
      </c>
      <c r="W244" s="86">
        <v>0.35441088676452637</v>
      </c>
      <c r="X244" s="86">
        <v>3.7105444353073835E-3</v>
      </c>
      <c r="Y244" s="86">
        <v>0</v>
      </c>
      <c r="Z244" s="86">
        <v>0.50237727165222168</v>
      </c>
    </row>
    <row r="245" spans="1:26" x14ac:dyDescent="0.25">
      <c r="A245" s="88">
        <v>703</v>
      </c>
      <c r="B245" t="s">
        <v>204</v>
      </c>
      <c r="C245" s="88">
        <v>2020</v>
      </c>
      <c r="D245" t="s">
        <v>4444</v>
      </c>
      <c r="E245" s="34">
        <v>46022</v>
      </c>
      <c r="F245" s="88">
        <v>9667</v>
      </c>
      <c r="G245" t="s">
        <v>4047</v>
      </c>
      <c r="H245" t="s">
        <v>4048</v>
      </c>
      <c r="I245" s="88">
        <v>89800</v>
      </c>
      <c r="J245" t="s">
        <v>4305</v>
      </c>
      <c r="K245" s="86">
        <v>20401.599609375</v>
      </c>
      <c r="L245" s="86">
        <v>3610.800048828125</v>
      </c>
      <c r="M245" s="86">
        <v>226.60000610351563</v>
      </c>
      <c r="N245" s="86">
        <v>16790.80078125</v>
      </c>
      <c r="O245" s="86">
        <v>8950.599609375</v>
      </c>
      <c r="P245" s="86">
        <v>2030.4000244140625</v>
      </c>
      <c r="Q245" s="86">
        <v>18361.69921875</v>
      </c>
      <c r="R245" s="86">
        <v>89.558998107910156</v>
      </c>
      <c r="S245" s="86">
        <v>734.90997314453125</v>
      </c>
      <c r="T245" s="86">
        <v>9.9233684539794922</v>
      </c>
      <c r="U245" s="86">
        <v>9.9521607160568237E-2</v>
      </c>
      <c r="V245" s="86">
        <v>0.82301396131515503</v>
      </c>
      <c r="W245" s="86">
        <v>0.48746031522750854</v>
      </c>
      <c r="X245" s="86">
        <v>1.1106972582638264E-2</v>
      </c>
      <c r="Y245" s="86">
        <v>0</v>
      </c>
      <c r="Z245" s="86">
        <v>5.4860539734363556E-2</v>
      </c>
    </row>
    <row r="246" spans="1:26" x14ac:dyDescent="0.25">
      <c r="A246" s="88">
        <v>706</v>
      </c>
      <c r="B246" t="s">
        <v>205</v>
      </c>
      <c r="C246" s="88">
        <v>2020</v>
      </c>
      <c r="D246" t="s">
        <v>4049</v>
      </c>
      <c r="E246" s="34">
        <v>45657</v>
      </c>
      <c r="F246" s="88">
        <v>27780</v>
      </c>
      <c r="G246" t="s">
        <v>4051</v>
      </c>
      <c r="H246" t="s">
        <v>4052</v>
      </c>
      <c r="I246" s="88">
        <v>894315</v>
      </c>
      <c r="J246" t="s">
        <v>4305</v>
      </c>
      <c r="K246" s="86">
        <v>4108.2841796875</v>
      </c>
      <c r="L246" s="86">
        <v>1616.508056640625</v>
      </c>
      <c r="M246" s="86">
        <v>74.41400146484375</v>
      </c>
      <c r="N246" s="86">
        <v>2163.4609375</v>
      </c>
      <c r="O246" s="86">
        <v>158.37399291992188</v>
      </c>
      <c r="P246" s="86">
        <v>35.721000671386719</v>
      </c>
      <c r="Q246" s="86">
        <v>473.73699951171875</v>
      </c>
      <c r="R246" s="86">
        <v>193.09700012207031</v>
      </c>
      <c r="S246" s="86">
        <v>10.119999885559082</v>
      </c>
      <c r="T246" s="86">
        <v>8.3207607269287109</v>
      </c>
      <c r="U246" s="86">
        <v>8.6948713287711143E-3</v>
      </c>
      <c r="V246" s="86">
        <v>0.52660936117172241</v>
      </c>
      <c r="W246" s="86">
        <v>0.33430784940719604</v>
      </c>
      <c r="X246" s="86">
        <v>1.8113158643245697E-2</v>
      </c>
      <c r="Y246" s="86">
        <v>0</v>
      </c>
      <c r="Z246" s="86">
        <v>0.8272215723991394</v>
      </c>
    </row>
    <row r="247" spans="1:26" x14ac:dyDescent="0.25">
      <c r="A247" s="88">
        <v>707</v>
      </c>
      <c r="B247" t="s">
        <v>205</v>
      </c>
      <c r="C247" s="88">
        <v>2019</v>
      </c>
      <c r="D247" t="s">
        <v>4049</v>
      </c>
      <c r="E247" s="34">
        <v>45657</v>
      </c>
      <c r="F247" s="88">
        <v>27780</v>
      </c>
      <c r="G247" t="s">
        <v>4051</v>
      </c>
      <c r="H247" t="s">
        <v>4052</v>
      </c>
      <c r="I247" s="88">
        <v>894315</v>
      </c>
      <c r="J247" t="s">
        <v>4311</v>
      </c>
      <c r="K247" s="86">
        <v>4093.6220703125</v>
      </c>
      <c r="L247" s="86">
        <v>1653.4139404296875</v>
      </c>
      <c r="M247" s="86">
        <v>19.132999420166016</v>
      </c>
      <c r="N247" s="86">
        <v>2112.14404296875</v>
      </c>
      <c r="O247" s="86">
        <v>227.88600158691406</v>
      </c>
      <c r="P247" s="86">
        <v>100.69899749755859</v>
      </c>
      <c r="Q247" s="86">
        <v>536.6309814453125</v>
      </c>
      <c r="R247" s="86">
        <v>193.49800109863281</v>
      </c>
      <c r="S247" s="86">
        <v>14.020000457763672</v>
      </c>
      <c r="T247" s="86">
        <v>8.3171854019165039</v>
      </c>
      <c r="U247" s="86">
        <v>2.4598997086286545E-2</v>
      </c>
      <c r="V247" s="86">
        <v>0.51595968008041382</v>
      </c>
      <c r="W247" s="86">
        <v>0.42466053366661072</v>
      </c>
      <c r="X247" s="86">
        <v>4.6738558448851109E-3</v>
      </c>
      <c r="Y247" s="86">
        <v>0</v>
      </c>
      <c r="Z247" s="86">
        <v>0.60947668552398682</v>
      </c>
    </row>
    <row r="248" spans="1:26" x14ac:dyDescent="0.25">
      <c r="A248" s="88">
        <v>710</v>
      </c>
      <c r="B248" t="s">
        <v>206</v>
      </c>
      <c r="C248" s="88">
        <v>2020</v>
      </c>
      <c r="D248" t="s">
        <v>4053</v>
      </c>
      <c r="E248" s="34">
        <v>46022</v>
      </c>
      <c r="F248" s="88">
        <v>20430</v>
      </c>
      <c r="G248" t="s">
        <v>4055</v>
      </c>
      <c r="H248" t="s">
        <v>4056</v>
      </c>
      <c r="I248" s="88">
        <v>1032033</v>
      </c>
      <c r="J248" t="s">
        <v>4305</v>
      </c>
      <c r="K248" s="86">
        <v>30770.423828125</v>
      </c>
      <c r="L248" s="86">
        <v>2311.764892578125</v>
      </c>
      <c r="M248" s="86">
        <v>5081.81689453125</v>
      </c>
      <c r="N248" s="86">
        <v>28207.587890625</v>
      </c>
      <c r="O248" s="86">
        <v>1282.885009765625</v>
      </c>
      <c r="P248" s="86">
        <v>880.69000244140625</v>
      </c>
      <c r="Q248" s="86">
        <v>2292.23388671875</v>
      </c>
      <c r="R248" s="86">
        <v>375.28799438476563</v>
      </c>
      <c r="S248" s="86">
        <v>12.390000343322754</v>
      </c>
      <c r="T248" s="86">
        <v>10.334309577941895</v>
      </c>
      <c r="U248" s="86">
        <v>2.8621315956115723E-2</v>
      </c>
      <c r="V248" s="86">
        <v>0.91671103239059448</v>
      </c>
      <c r="W248" s="86">
        <v>0.55966585874557495</v>
      </c>
      <c r="X248" s="86">
        <v>0.16515263915061951</v>
      </c>
      <c r="Y248" s="86">
        <v>0</v>
      </c>
      <c r="Z248" s="86">
        <v>0.49717316031455994</v>
      </c>
    </row>
    <row r="249" spans="1:26" x14ac:dyDescent="0.25">
      <c r="A249" s="88">
        <v>712</v>
      </c>
      <c r="B249" t="s">
        <v>207</v>
      </c>
      <c r="C249" s="88">
        <v>2020</v>
      </c>
      <c r="D249" t="s">
        <v>4057</v>
      </c>
      <c r="E249" s="34">
        <v>46022</v>
      </c>
      <c r="F249" s="88">
        <v>30091</v>
      </c>
      <c r="G249" t="s">
        <v>4059</v>
      </c>
      <c r="H249" t="s">
        <v>4060</v>
      </c>
      <c r="I249" s="88">
        <v>1564408</v>
      </c>
      <c r="J249" t="s">
        <v>4305</v>
      </c>
      <c r="K249" s="86">
        <v>5024.23779296875</v>
      </c>
      <c r="L249" s="86">
        <v>2329.97607421875</v>
      </c>
      <c r="M249" s="86">
        <v>2537.5400390625</v>
      </c>
      <c r="N249" s="86">
        <v>2694.261962890625</v>
      </c>
      <c r="O249" s="86">
        <v>1346.3260498046875</v>
      </c>
      <c r="P249" s="86">
        <v>-944.8389892578125</v>
      </c>
      <c r="Q249" s="86">
        <v>2506.6259765625</v>
      </c>
      <c r="R249" s="86">
        <v>1503.3330078125</v>
      </c>
      <c r="S249" s="86">
        <v>50.069999694824219</v>
      </c>
      <c r="T249" s="86">
        <v>8.522028923034668</v>
      </c>
      <c r="U249" s="86">
        <v>-0.18805618584156036</v>
      </c>
      <c r="V249" s="86">
        <v>0.53625285625457764</v>
      </c>
      <c r="W249" s="86">
        <v>0.53710687160491943</v>
      </c>
      <c r="X249" s="86">
        <v>0.50505971908569336</v>
      </c>
      <c r="Y249" s="86">
        <v>1</v>
      </c>
      <c r="Z249" s="86">
        <v>3.0954135581851006E-2</v>
      </c>
    </row>
    <row r="250" spans="1:26" x14ac:dyDescent="0.25">
      <c r="A250" s="88">
        <v>715</v>
      </c>
      <c r="B250" t="s">
        <v>208</v>
      </c>
      <c r="C250" s="88">
        <v>2018</v>
      </c>
      <c r="D250" t="s">
        <v>4445</v>
      </c>
      <c r="E250" s="34">
        <v>46022</v>
      </c>
      <c r="F250" s="88">
        <v>9850</v>
      </c>
      <c r="G250" t="s">
        <v>4062</v>
      </c>
      <c r="H250" t="s">
        <v>4063</v>
      </c>
      <c r="I250" s="88">
        <v>92122</v>
      </c>
      <c r="J250" t="s">
        <v>4307</v>
      </c>
      <c r="K250" s="86">
        <v>116914</v>
      </c>
      <c r="L250" s="86">
        <v>24723</v>
      </c>
      <c r="M250" s="86">
        <v>1396</v>
      </c>
      <c r="N250" s="86">
        <v>87584</v>
      </c>
      <c r="O250" s="86">
        <v>8384</v>
      </c>
      <c r="P250" s="86">
        <v>2242</v>
      </c>
      <c r="Q250" s="86">
        <v>23495</v>
      </c>
      <c r="R250" s="86">
        <v>1033.7879638671875</v>
      </c>
      <c r="S250" s="86">
        <v>43.919998168945313</v>
      </c>
      <c r="T250" s="86">
        <v>11.669194221496582</v>
      </c>
      <c r="U250" s="86">
        <v>1.9176488742232323E-2</v>
      </c>
      <c r="V250" s="86">
        <v>0.74913185834884644</v>
      </c>
      <c r="W250" s="86">
        <v>0.35684189200401306</v>
      </c>
      <c r="X250" s="86">
        <v>1.1940401047468185E-2</v>
      </c>
      <c r="Y250" s="86">
        <v>0</v>
      </c>
      <c r="Z250" s="86">
        <v>0.54451191425323486</v>
      </c>
    </row>
    <row r="251" spans="1:26" x14ac:dyDescent="0.25">
      <c r="A251" s="88">
        <v>716</v>
      </c>
      <c r="B251" t="s">
        <v>209</v>
      </c>
      <c r="C251" s="88">
        <v>2020</v>
      </c>
      <c r="D251" t="s">
        <v>4446</v>
      </c>
      <c r="E251" s="34">
        <v>46022</v>
      </c>
      <c r="F251" s="88">
        <v>9882</v>
      </c>
      <c r="G251" t="s">
        <v>4065</v>
      </c>
      <c r="H251" t="s">
        <v>4066</v>
      </c>
      <c r="I251" s="88">
        <v>92380</v>
      </c>
      <c r="J251" t="s">
        <v>4305</v>
      </c>
      <c r="K251" s="86">
        <v>34588</v>
      </c>
      <c r="L251" s="86">
        <v>8876</v>
      </c>
      <c r="M251" s="86">
        <v>13334</v>
      </c>
      <c r="N251" s="86">
        <v>25712</v>
      </c>
      <c r="O251" s="86">
        <v>-1602</v>
      </c>
      <c r="P251" s="86">
        <v>-3074</v>
      </c>
      <c r="Q251" s="86">
        <v>9048</v>
      </c>
      <c r="R251" s="86">
        <v>590.4739990234375</v>
      </c>
      <c r="S251" s="86">
        <v>46.610000610351563</v>
      </c>
      <c r="T251" s="86">
        <v>10.451262474060059</v>
      </c>
      <c r="U251" s="86">
        <v>-8.8874757289886475E-2</v>
      </c>
      <c r="V251" s="86">
        <v>0.74337923526763916</v>
      </c>
      <c r="W251" s="86">
        <v>-0.17705570161342621</v>
      </c>
      <c r="X251" s="86">
        <v>0.3855094313621521</v>
      </c>
      <c r="Y251" s="86">
        <v>1</v>
      </c>
      <c r="Z251" s="86">
        <v>0.32250571250915527</v>
      </c>
    </row>
    <row r="252" spans="1:26" x14ac:dyDescent="0.25">
      <c r="A252" s="88">
        <v>722</v>
      </c>
      <c r="B252" t="s">
        <v>210</v>
      </c>
      <c r="C252" s="88">
        <v>2020</v>
      </c>
      <c r="D252" t="s">
        <v>4067</v>
      </c>
      <c r="E252" s="34">
        <v>46022</v>
      </c>
      <c r="F252" s="88">
        <v>17934</v>
      </c>
      <c r="G252" t="s">
        <v>4069</v>
      </c>
      <c r="H252" t="s">
        <v>4070</v>
      </c>
      <c r="I252" s="88">
        <v>1575515</v>
      </c>
      <c r="J252" t="s">
        <v>4305</v>
      </c>
      <c r="K252" s="86">
        <v>2806.404052734375</v>
      </c>
      <c r="L252" s="86">
        <v>881.29302978515625</v>
      </c>
      <c r="M252" s="86">
        <v>171.44099426269531</v>
      </c>
      <c r="N252" s="86">
        <v>1925.1109619140625</v>
      </c>
      <c r="O252" s="86">
        <v>2380.364990234375</v>
      </c>
      <c r="P252" s="86">
        <v>287.45001220703125</v>
      </c>
      <c r="Q252" s="86">
        <v>6468.7587890625</v>
      </c>
      <c r="R252" s="86">
        <v>117.9530029296875</v>
      </c>
      <c r="S252" s="86">
        <v>20.100000381469727</v>
      </c>
      <c r="T252" s="86">
        <v>7.9396591186523438</v>
      </c>
      <c r="U252" s="86">
        <v>0.10242645442485809</v>
      </c>
      <c r="V252" s="86">
        <v>0.6859707236289978</v>
      </c>
      <c r="W252" s="86">
        <v>0.36797863245010376</v>
      </c>
      <c r="X252" s="86">
        <v>6.1089206486940384E-2</v>
      </c>
      <c r="Y252" s="86">
        <v>0</v>
      </c>
      <c r="Z252" s="86">
        <v>0.37171941995620728</v>
      </c>
    </row>
    <row r="253" spans="1:26" x14ac:dyDescent="0.25">
      <c r="A253" s="88">
        <v>732</v>
      </c>
      <c r="B253" t="s">
        <v>211</v>
      </c>
      <c r="C253" s="88">
        <v>2020</v>
      </c>
      <c r="D253" t="s">
        <v>4071</v>
      </c>
      <c r="E253" s="34">
        <v>45657</v>
      </c>
      <c r="F253" s="88">
        <v>35395</v>
      </c>
      <c r="G253" t="s">
        <v>4073</v>
      </c>
      <c r="H253" t="s">
        <v>4074</v>
      </c>
      <c r="I253" s="88">
        <v>1772695</v>
      </c>
      <c r="J253" t="s">
        <v>4305</v>
      </c>
      <c r="K253" s="86">
        <v>3587.58203125</v>
      </c>
      <c r="L253" s="86">
        <v>951.73101806640625</v>
      </c>
      <c r="M253" s="86">
        <v>282.87899780273438</v>
      </c>
      <c r="N253" s="86">
        <v>2306.90087890625</v>
      </c>
      <c r="O253" s="86">
        <v>140.00900268554688</v>
      </c>
      <c r="P253" s="86">
        <v>-252.28399658203125</v>
      </c>
      <c r="Q253" s="86">
        <v>160.82000732421875</v>
      </c>
      <c r="R253" s="86">
        <v>100.41200256347656</v>
      </c>
      <c r="S253" s="86">
        <v>45.130001068115234</v>
      </c>
      <c r="T253" s="86">
        <v>8.1852340698242188</v>
      </c>
      <c r="U253" s="86">
        <v>-7.0321455597877502E-2</v>
      </c>
      <c r="V253" s="86">
        <v>0.64302384853363037</v>
      </c>
      <c r="W253" s="86">
        <v>0.87059444189071655</v>
      </c>
      <c r="X253" s="86">
        <v>7.8849487006664276E-2</v>
      </c>
      <c r="Y253" s="86">
        <v>1</v>
      </c>
      <c r="Z253" s="86">
        <v>0.2100212574005127</v>
      </c>
    </row>
    <row r="254" spans="1:26" x14ac:dyDescent="0.25">
      <c r="A254" s="88">
        <v>733</v>
      </c>
      <c r="B254" t="s">
        <v>212</v>
      </c>
      <c r="C254" s="88">
        <v>2020</v>
      </c>
      <c r="D254" t="s">
        <v>4075</v>
      </c>
      <c r="E254" s="34">
        <v>45657</v>
      </c>
      <c r="F254" s="88">
        <v>24905</v>
      </c>
      <c r="G254" t="s">
        <v>4077</v>
      </c>
      <c r="H254" t="s">
        <v>4078</v>
      </c>
      <c r="I254" s="88">
        <v>1469367</v>
      </c>
      <c r="J254" t="s">
        <v>4305</v>
      </c>
      <c r="K254" s="86">
        <v>14382.943359375</v>
      </c>
      <c r="L254" s="86">
        <v>6077.9111328125</v>
      </c>
      <c r="M254" s="86">
        <v>708.05999755859375</v>
      </c>
      <c r="N254" s="86">
        <v>7093.57177734375</v>
      </c>
      <c r="O254" s="86">
        <v>424.56500244140625</v>
      </c>
      <c r="P254" s="86">
        <v>-173.39399719238281</v>
      </c>
      <c r="Q254" s="86">
        <v>922.19097900390625</v>
      </c>
      <c r="R254" s="86">
        <v>201.406005859375</v>
      </c>
      <c r="S254" s="86">
        <v>69.379997253417969</v>
      </c>
      <c r="T254" s="86">
        <v>9.5737981796264648</v>
      </c>
      <c r="U254" s="86">
        <v>-1.2055529281497002E-2</v>
      </c>
      <c r="V254" s="86">
        <v>0.49319332838058472</v>
      </c>
      <c r="W254" s="86">
        <v>0.46038728952407837</v>
      </c>
      <c r="X254" s="86">
        <v>4.9229145050048828E-2</v>
      </c>
      <c r="Y254" s="86">
        <v>1</v>
      </c>
      <c r="Z254" s="86">
        <v>0.43495833873748779</v>
      </c>
    </row>
    <row r="255" spans="1:26" x14ac:dyDescent="0.25">
      <c r="A255" s="88">
        <v>735</v>
      </c>
      <c r="B255" t="s">
        <v>3340</v>
      </c>
      <c r="C255" s="88">
        <v>2020</v>
      </c>
      <c r="D255" t="s">
        <v>4134</v>
      </c>
      <c r="E255" s="34">
        <v>46022</v>
      </c>
      <c r="F255" s="88">
        <v>11856</v>
      </c>
      <c r="G255" t="s">
        <v>4136</v>
      </c>
      <c r="H255" t="s">
        <v>4137</v>
      </c>
      <c r="I255" s="88">
        <v>92230</v>
      </c>
      <c r="J255" t="s">
        <v>4305</v>
      </c>
      <c r="K255" s="86">
        <v>509228</v>
      </c>
      <c r="L255" s="86">
        <v>62759</v>
      </c>
      <c r="M255" s="86">
        <v>20026</v>
      </c>
      <c r="N255" s="86">
        <v>438316</v>
      </c>
      <c r="O255" s="86">
        <v>20376</v>
      </c>
      <c r="P255" s="86">
        <v>4482</v>
      </c>
      <c r="Q255" s="86">
        <v>24433</v>
      </c>
      <c r="R255" s="86">
        <v>1348.9610595703125</v>
      </c>
      <c r="S255" s="86">
        <v>47.930000305175781</v>
      </c>
      <c r="T255" s="86">
        <v>13.140650749206543</v>
      </c>
      <c r="U255" s="86">
        <v>8.8015580549836159E-3</v>
      </c>
      <c r="V255" s="86">
        <v>0.86074608564376831</v>
      </c>
      <c r="W255" s="86">
        <v>0.8339540958404541</v>
      </c>
      <c r="X255" s="86">
        <v>3.9326194673776627E-2</v>
      </c>
      <c r="Y255" s="86">
        <v>0</v>
      </c>
      <c r="Z255" s="86">
        <v>0.97066456079483032</v>
      </c>
    </row>
    <row r="256" spans="1:26" x14ac:dyDescent="0.25">
      <c r="A256" s="88">
        <v>736</v>
      </c>
      <c r="B256" t="s">
        <v>213</v>
      </c>
      <c r="C256" s="88">
        <v>2020</v>
      </c>
      <c r="D256" t="s">
        <v>4079</v>
      </c>
      <c r="E256" s="34">
        <v>44561</v>
      </c>
      <c r="F256" s="88">
        <v>32469</v>
      </c>
      <c r="G256" t="s">
        <v>4081</v>
      </c>
      <c r="H256" t="s">
        <v>4082</v>
      </c>
      <c r="I256" s="88">
        <v>1710583</v>
      </c>
      <c r="J256" t="s">
        <v>4305</v>
      </c>
      <c r="K256" s="86">
        <v>2114.4560546875</v>
      </c>
      <c r="L256" s="86">
        <v>266.33599853515625</v>
      </c>
      <c r="M256" s="86">
        <v>90.719001770019531</v>
      </c>
      <c r="N256" s="86">
        <v>1503.489013671875</v>
      </c>
      <c r="O256" s="86">
        <v>371.40701293945313</v>
      </c>
      <c r="P256" s="86">
        <v>15.538999557495117</v>
      </c>
      <c r="Q256" s="86">
        <v>511.5469970703125</v>
      </c>
      <c r="R256" s="86">
        <v>119.00900268554688</v>
      </c>
      <c r="S256" s="86">
        <v>16.370000839233398</v>
      </c>
      <c r="T256" s="86">
        <v>7.656552791595459</v>
      </c>
      <c r="U256" s="86">
        <v>7.3489346541464329E-3</v>
      </c>
      <c r="V256" s="86">
        <v>0.71105235815048218</v>
      </c>
      <c r="W256" s="86">
        <v>0.72604668140411377</v>
      </c>
      <c r="X256" s="86">
        <v>4.290417954325676E-2</v>
      </c>
      <c r="Y256" s="86">
        <v>0</v>
      </c>
      <c r="Z256" s="86">
        <v>0.13671033084392548</v>
      </c>
    </row>
    <row r="257" spans="1:26" x14ac:dyDescent="0.25">
      <c r="A257" s="88">
        <v>739</v>
      </c>
      <c r="B257" t="s">
        <v>214</v>
      </c>
      <c r="C257" s="88">
        <v>2020</v>
      </c>
      <c r="D257" t="s">
        <v>4083</v>
      </c>
      <c r="E257" s="34">
        <v>46022</v>
      </c>
      <c r="F257" s="88">
        <v>12138</v>
      </c>
      <c r="G257" t="s">
        <v>4085</v>
      </c>
      <c r="H257" t="s">
        <v>4086</v>
      </c>
      <c r="I257" s="88">
        <v>1113169</v>
      </c>
      <c r="J257" t="s">
        <v>4305</v>
      </c>
      <c r="K257" s="86">
        <v>10659</v>
      </c>
      <c r="L257" s="86">
        <v>7707</v>
      </c>
      <c r="M257" s="86">
        <v>2256.5</v>
      </c>
      <c r="N257" s="86">
        <v>1390.300048828125</v>
      </c>
      <c r="O257" s="86">
        <v>2935.300048828125</v>
      </c>
      <c r="P257" s="86">
        <v>2372.699951171875</v>
      </c>
      <c r="Q257" s="86">
        <v>6206.7001953125</v>
      </c>
      <c r="R257" s="86">
        <v>227.96499633789063</v>
      </c>
      <c r="S257" s="86">
        <v>151.38999938964844</v>
      </c>
      <c r="T257" s="86">
        <v>9.2741594314575195</v>
      </c>
      <c r="U257" s="86">
        <v>0.22260060906410217</v>
      </c>
      <c r="V257" s="86">
        <v>0.13043437898159027</v>
      </c>
      <c r="W257" s="86">
        <v>0.47292441129684448</v>
      </c>
      <c r="X257" s="86">
        <v>0.21169903874397278</v>
      </c>
      <c r="Y257" s="86">
        <v>0</v>
      </c>
      <c r="Z257" s="86">
        <v>0.22331608831882477</v>
      </c>
    </row>
    <row r="258" spans="1:26" x14ac:dyDescent="0.25">
      <c r="A258" s="88">
        <v>741</v>
      </c>
      <c r="B258" t="s">
        <v>215</v>
      </c>
      <c r="C258" s="88">
        <v>2020</v>
      </c>
      <c r="D258" t="s">
        <v>4447</v>
      </c>
      <c r="E258" s="34">
        <v>45838</v>
      </c>
      <c r="F258" s="88">
        <v>140541</v>
      </c>
      <c r="G258" t="s">
        <v>4088</v>
      </c>
      <c r="H258" t="s">
        <v>4089</v>
      </c>
      <c r="I258" s="88">
        <v>1116132</v>
      </c>
      <c r="J258" t="s">
        <v>4335</v>
      </c>
      <c r="K258" s="86">
        <v>7924.2001953125</v>
      </c>
      <c r="L258" s="86">
        <v>2276.39990234375</v>
      </c>
      <c r="M258" s="86">
        <v>1434.4000244140625</v>
      </c>
      <c r="N258" s="86">
        <v>5647.7998046875</v>
      </c>
      <c r="O258" s="86">
        <v>3605.60009765625</v>
      </c>
      <c r="P258" s="86">
        <v>-652.0999755859375</v>
      </c>
      <c r="Q258" s="86">
        <v>4961.39990234375</v>
      </c>
      <c r="R258" s="86">
        <v>276.20001220703125</v>
      </c>
      <c r="S258" s="86">
        <v>13.279999732971191</v>
      </c>
      <c r="T258" s="86">
        <v>8.9776763916015625</v>
      </c>
      <c r="U258" s="86">
        <v>-8.2292214035987854E-2</v>
      </c>
      <c r="V258" s="86">
        <v>0.71272808313369751</v>
      </c>
      <c r="W258" s="86">
        <v>0.72673040628433228</v>
      </c>
      <c r="X258" s="86">
        <v>0.18101511895656586</v>
      </c>
      <c r="Y258" s="86">
        <v>1</v>
      </c>
      <c r="Z258" s="86">
        <v>0.62062150239944458</v>
      </c>
    </row>
    <row r="259" spans="1:26" x14ac:dyDescent="0.25">
      <c r="A259" s="88">
        <v>742</v>
      </c>
      <c r="B259" t="s">
        <v>216</v>
      </c>
      <c r="C259" s="88">
        <v>2020</v>
      </c>
      <c r="D259" t="s">
        <v>4090</v>
      </c>
      <c r="E259" s="34">
        <v>46022</v>
      </c>
      <c r="F259" s="88">
        <v>185532</v>
      </c>
      <c r="G259" t="s">
        <v>4092</v>
      </c>
      <c r="H259" t="s">
        <v>4093</v>
      </c>
      <c r="I259" s="88">
        <v>1389170</v>
      </c>
      <c r="J259" t="s">
        <v>4305</v>
      </c>
      <c r="K259" s="86">
        <v>15875.7001953125</v>
      </c>
      <c r="L259" s="86">
        <v>2653.89990234375</v>
      </c>
      <c r="M259" s="86">
        <v>242.80000305175781</v>
      </c>
      <c r="N259" s="86">
        <v>9671.099609375</v>
      </c>
      <c r="O259" s="86">
        <v>2007.800048828125</v>
      </c>
      <c r="P259" s="86">
        <v>-1553.9000244140625</v>
      </c>
      <c r="Q259" s="86">
        <v>8260.2998046875</v>
      </c>
      <c r="R259" s="86">
        <v>228.06199645996094</v>
      </c>
      <c r="S259" s="86">
        <v>26.379999160766602</v>
      </c>
      <c r="T259" s="86">
        <v>9.6725444793701172</v>
      </c>
      <c r="U259" s="86">
        <v>-9.787914901971817E-2</v>
      </c>
      <c r="V259" s="86">
        <v>0.60917627811431885</v>
      </c>
      <c r="W259" s="86">
        <v>0.24306625127792358</v>
      </c>
      <c r="X259" s="86">
        <v>1.5293814241886139E-2</v>
      </c>
      <c r="Y259" s="86">
        <v>1</v>
      </c>
      <c r="Z259" s="86">
        <v>0.44112008810043335</v>
      </c>
    </row>
    <row r="260" spans="1:26" x14ac:dyDescent="0.25">
      <c r="A260" s="88">
        <v>744</v>
      </c>
      <c r="B260" t="s">
        <v>217</v>
      </c>
      <c r="C260" s="88">
        <v>2020</v>
      </c>
      <c r="D260" t="s">
        <v>4448</v>
      </c>
      <c r="E260" s="34">
        <v>46053</v>
      </c>
      <c r="F260" s="88">
        <v>3813</v>
      </c>
      <c r="G260" t="s">
        <v>4095</v>
      </c>
      <c r="H260" t="s">
        <v>4096</v>
      </c>
      <c r="I260" s="88">
        <v>27419</v>
      </c>
      <c r="J260" t="s">
        <v>4383</v>
      </c>
      <c r="K260" s="86">
        <v>42779</v>
      </c>
      <c r="L260" s="86">
        <v>11833</v>
      </c>
      <c r="M260" s="86">
        <v>2577</v>
      </c>
      <c r="N260" s="86">
        <v>30946</v>
      </c>
      <c r="O260" s="86">
        <v>23495</v>
      </c>
      <c r="P260" s="86">
        <v>3281</v>
      </c>
      <c r="Q260" s="86">
        <v>78112</v>
      </c>
      <c r="R260" s="86">
        <v>504.19900512695313</v>
      </c>
      <c r="S260" s="86">
        <v>110.73999786376953</v>
      </c>
      <c r="T260" s="86">
        <v>10.663802146911621</v>
      </c>
      <c r="U260" s="86">
        <v>7.6696507632732391E-2</v>
      </c>
      <c r="V260" s="86">
        <v>0.7233923077583313</v>
      </c>
      <c r="W260" s="86">
        <v>0.30078604817390442</v>
      </c>
      <c r="X260" s="86">
        <v>6.0239836573600769E-2</v>
      </c>
      <c r="Y260" s="86">
        <v>0</v>
      </c>
      <c r="Z260" s="86">
        <v>0.21192800998687744</v>
      </c>
    </row>
    <row r="261" spans="1:26" x14ac:dyDescent="0.25">
      <c r="A261" s="88">
        <v>745</v>
      </c>
      <c r="B261" t="s">
        <v>217</v>
      </c>
      <c r="C261" s="88">
        <v>2019</v>
      </c>
      <c r="D261" t="s">
        <v>4448</v>
      </c>
      <c r="E261" s="34">
        <v>46053</v>
      </c>
      <c r="F261" s="88">
        <v>3813</v>
      </c>
      <c r="G261" t="s">
        <v>4095</v>
      </c>
      <c r="H261" t="s">
        <v>4096</v>
      </c>
      <c r="I261" s="88">
        <v>27419</v>
      </c>
      <c r="J261" t="s">
        <v>4406</v>
      </c>
      <c r="K261" s="86">
        <v>41290</v>
      </c>
      <c r="L261" s="86">
        <v>11297</v>
      </c>
      <c r="M261" s="86">
        <v>1556</v>
      </c>
      <c r="N261" s="86">
        <v>29993</v>
      </c>
      <c r="O261" s="86">
        <v>22307</v>
      </c>
      <c r="P261" s="86">
        <v>2937</v>
      </c>
      <c r="Q261" s="86">
        <v>75356</v>
      </c>
      <c r="R261" s="86">
        <v>517.76202392578125</v>
      </c>
      <c r="S261" s="86">
        <v>73</v>
      </c>
      <c r="T261" s="86">
        <v>10.628376007080078</v>
      </c>
      <c r="U261" s="86">
        <v>7.1131020784378052E-2</v>
      </c>
      <c r="V261" s="86">
        <v>0.72639864683151245</v>
      </c>
      <c r="W261" s="86">
        <v>0.29602155089378357</v>
      </c>
      <c r="X261" s="86">
        <v>3.7684667855501175E-2</v>
      </c>
      <c r="Y261" s="86">
        <v>0</v>
      </c>
      <c r="Z261" s="86">
        <v>0.29888910055160522</v>
      </c>
    </row>
    <row r="262" spans="1:26" x14ac:dyDescent="0.25">
      <c r="A262" s="88">
        <v>746</v>
      </c>
      <c r="B262" t="s">
        <v>218</v>
      </c>
      <c r="C262" s="88">
        <v>2020</v>
      </c>
      <c r="D262" t="s">
        <v>4097</v>
      </c>
      <c r="E262" s="34">
        <v>46022</v>
      </c>
      <c r="F262" s="88">
        <v>16653</v>
      </c>
      <c r="G262" t="s">
        <v>4099</v>
      </c>
      <c r="H262" t="s">
        <v>4100</v>
      </c>
      <c r="I262" s="88">
        <v>1562476</v>
      </c>
      <c r="J262" t="s">
        <v>4305</v>
      </c>
      <c r="K262" s="86">
        <v>7737.9951171875</v>
      </c>
      <c r="L262" s="86">
        <v>3504.541015625</v>
      </c>
      <c r="M262" s="86">
        <v>534.1090087890625</v>
      </c>
      <c r="N262" s="86">
        <v>4144.2451171875</v>
      </c>
      <c r="O262" s="86">
        <v>1044.218994140625</v>
      </c>
      <c r="P262" s="86">
        <v>243.43899536132813</v>
      </c>
      <c r="Q262" s="86">
        <v>6129.31982421875</v>
      </c>
      <c r="R262" s="86">
        <v>129.47700500488281</v>
      </c>
      <c r="S262" s="86">
        <v>25.649999618530273</v>
      </c>
      <c r="T262" s="86">
        <v>8.9538974761962891</v>
      </c>
      <c r="U262" s="86">
        <v>3.1460214406251907E-2</v>
      </c>
      <c r="V262" s="86">
        <v>0.53557091951370239</v>
      </c>
      <c r="W262" s="86">
        <v>0.17036457359790802</v>
      </c>
      <c r="X262" s="86">
        <v>6.9024212658405304E-2</v>
      </c>
      <c r="Y262" s="86">
        <v>0</v>
      </c>
      <c r="Z262" s="86">
        <v>1.0552397966384888</v>
      </c>
    </row>
    <row r="263" spans="1:26" x14ac:dyDescent="0.25">
      <c r="A263" s="88">
        <v>748</v>
      </c>
      <c r="B263" t="s">
        <v>218</v>
      </c>
      <c r="C263" s="88">
        <v>2018</v>
      </c>
      <c r="D263" t="s">
        <v>4097</v>
      </c>
      <c r="E263" s="34">
        <v>46022</v>
      </c>
      <c r="F263" s="88">
        <v>16653</v>
      </c>
      <c r="G263" t="s">
        <v>4099</v>
      </c>
      <c r="H263" t="s">
        <v>4100</v>
      </c>
      <c r="I263" s="88">
        <v>1562476</v>
      </c>
      <c r="J263" t="s">
        <v>4307</v>
      </c>
      <c r="K263" s="86">
        <v>5264.44091796875</v>
      </c>
      <c r="L263" s="86">
        <v>2415.19189453125</v>
      </c>
      <c r="M263" s="86">
        <v>331.8590087890625</v>
      </c>
      <c r="N263" s="86">
        <v>2845.7060546875</v>
      </c>
      <c r="O263" s="86">
        <v>777.5260009765625</v>
      </c>
      <c r="P263" s="86">
        <v>206.36399841308594</v>
      </c>
      <c r="Q263" s="86">
        <v>4227.39306640625</v>
      </c>
      <c r="R263" s="86">
        <v>112.96600341796875</v>
      </c>
      <c r="S263" s="86">
        <v>15.899999618530273</v>
      </c>
      <c r="T263" s="86">
        <v>8.568730354309082</v>
      </c>
      <c r="U263" s="86">
        <v>3.9199605584144592E-2</v>
      </c>
      <c r="V263" s="86">
        <v>0.54055237770080566</v>
      </c>
      <c r="W263" s="86">
        <v>0.18392564356327057</v>
      </c>
      <c r="X263" s="86">
        <v>6.3037842512130737E-2</v>
      </c>
      <c r="Y263" s="86">
        <v>0</v>
      </c>
      <c r="Z263" s="86">
        <v>1.3446422815322876</v>
      </c>
    </row>
    <row r="264" spans="1:26" x14ac:dyDescent="0.25">
      <c r="A264" s="88">
        <v>750</v>
      </c>
      <c r="B264" t="s">
        <v>219</v>
      </c>
      <c r="C264" s="88">
        <v>2020</v>
      </c>
      <c r="D264" t="s">
        <v>4101</v>
      </c>
      <c r="E264" s="34">
        <v>46022</v>
      </c>
      <c r="F264" s="88">
        <v>24249</v>
      </c>
      <c r="G264" t="s">
        <v>4103</v>
      </c>
      <c r="H264" t="s">
        <v>4104</v>
      </c>
      <c r="I264" s="88">
        <v>1477449</v>
      </c>
      <c r="J264" t="s">
        <v>4305</v>
      </c>
      <c r="K264" s="86">
        <v>17755.28125</v>
      </c>
      <c r="L264" s="86">
        <v>15883.8037109375</v>
      </c>
      <c r="M264" s="86">
        <v>786.5689697265625</v>
      </c>
      <c r="N264" s="86">
        <v>1871.47705078125</v>
      </c>
      <c r="O264" s="86">
        <v>704.83001708984375</v>
      </c>
      <c r="P264" s="86">
        <v>-485.135986328125</v>
      </c>
      <c r="Q264" s="86">
        <v>1093.9620361328125</v>
      </c>
      <c r="R264" s="86">
        <v>150.281005859375</v>
      </c>
      <c r="S264" s="86">
        <v>199.96000671386719</v>
      </c>
      <c r="T264" s="86">
        <v>9.7844381332397461</v>
      </c>
      <c r="U264" s="86">
        <v>-2.7323475107550621E-2</v>
      </c>
      <c r="V264" s="86">
        <v>0.10540396720170975</v>
      </c>
      <c r="W264" s="86">
        <v>0.64429110288619995</v>
      </c>
      <c r="X264" s="86">
        <v>4.4300563633441925E-2</v>
      </c>
      <c r="Y264" s="86">
        <v>1</v>
      </c>
      <c r="Z264" s="86">
        <v>0.52857577800750732</v>
      </c>
    </row>
    <row r="265" spans="1:26" x14ac:dyDescent="0.25">
      <c r="A265" s="88">
        <v>752</v>
      </c>
      <c r="B265" t="s">
        <v>220</v>
      </c>
      <c r="C265" s="88">
        <v>2020</v>
      </c>
      <c r="D265" t="s">
        <v>4105</v>
      </c>
      <c r="E265" s="34">
        <v>45657</v>
      </c>
      <c r="F265" s="88">
        <v>10565</v>
      </c>
      <c r="G265" t="s">
        <v>4107</v>
      </c>
      <c r="H265" t="s">
        <v>4108</v>
      </c>
      <c r="I265" s="88">
        <v>98222</v>
      </c>
      <c r="J265" t="s">
        <v>4305</v>
      </c>
      <c r="K265" s="86">
        <v>1251.177001953125</v>
      </c>
      <c r="L265" s="86">
        <v>822.114990234375</v>
      </c>
      <c r="M265" s="86">
        <v>152.01199340820313</v>
      </c>
      <c r="N265" s="86">
        <v>427.90499877929688</v>
      </c>
      <c r="O265" s="86">
        <v>124.85299682617188</v>
      </c>
      <c r="P265" s="86">
        <v>-196.24200439453125</v>
      </c>
      <c r="Q265" s="86">
        <v>397.03799438476563</v>
      </c>
      <c r="R265" s="86">
        <v>40.705001831054688</v>
      </c>
      <c r="S265" s="86">
        <v>8.6400003433227539</v>
      </c>
      <c r="T265" s="86">
        <v>7.1318397521972656</v>
      </c>
      <c r="U265" s="86">
        <v>-0.15684591233730316</v>
      </c>
      <c r="V265" s="86">
        <v>0.34200197458267212</v>
      </c>
      <c r="W265" s="86">
        <v>0.31446108222007751</v>
      </c>
      <c r="X265" s="86">
        <v>0.12149519473314285</v>
      </c>
      <c r="Y265" s="86">
        <v>1</v>
      </c>
      <c r="Z265" s="86">
        <v>2.3376045227050781</v>
      </c>
    </row>
    <row r="266" spans="1:26" x14ac:dyDescent="0.25">
      <c r="A266" s="88">
        <v>753</v>
      </c>
      <c r="B266" t="s">
        <v>221</v>
      </c>
      <c r="C266" s="88">
        <v>2020</v>
      </c>
      <c r="D266" t="s">
        <v>4449</v>
      </c>
      <c r="E266" s="34">
        <v>45961</v>
      </c>
      <c r="F266" s="88">
        <v>12395</v>
      </c>
      <c r="G266" t="s">
        <v>4110</v>
      </c>
      <c r="H266" t="s">
        <v>4111</v>
      </c>
      <c r="I266" s="88">
        <v>794170</v>
      </c>
      <c r="J266" t="s">
        <v>4308</v>
      </c>
      <c r="K266" s="86">
        <v>11065.7333984375</v>
      </c>
      <c r="L266" s="86">
        <v>4875.23486328125</v>
      </c>
      <c r="M266" s="86">
        <v>1395.656005859375</v>
      </c>
      <c r="N266" s="86">
        <v>6138.2568359375</v>
      </c>
      <c r="O266" s="86">
        <v>1524.487060546875</v>
      </c>
      <c r="P266" s="86">
        <v>446.62399291992188</v>
      </c>
      <c r="Q266" s="86">
        <v>7223.12890625</v>
      </c>
      <c r="R266" s="86">
        <v>126.52700042724609</v>
      </c>
      <c r="S266" s="86">
        <v>42.279998779296875</v>
      </c>
      <c r="T266" s="86">
        <v>9.3116083145141602</v>
      </c>
      <c r="U266" s="86">
        <v>4.0360994637012482E-2</v>
      </c>
      <c r="V266" s="86">
        <v>0.55470854043960571</v>
      </c>
      <c r="W266" s="86">
        <v>0.21105632185935974</v>
      </c>
      <c r="X266" s="86">
        <v>0.12612412869930267</v>
      </c>
      <c r="Y266" s="86">
        <v>0</v>
      </c>
      <c r="Z266" s="86">
        <v>0.91133356094360352</v>
      </c>
    </row>
    <row r="267" spans="1:26" x14ac:dyDescent="0.25">
      <c r="A267" s="88">
        <v>754</v>
      </c>
      <c r="B267" t="s">
        <v>222</v>
      </c>
      <c r="C267" s="88">
        <v>2019</v>
      </c>
      <c r="D267" t="s">
        <v>4112</v>
      </c>
      <c r="E267" s="34">
        <v>45657</v>
      </c>
      <c r="F267" s="88">
        <v>27574</v>
      </c>
      <c r="G267" t="s">
        <v>4114</v>
      </c>
      <c r="H267" t="s">
        <v>4115</v>
      </c>
      <c r="I267" s="88">
        <v>1455684</v>
      </c>
      <c r="J267" t="s">
        <v>4311</v>
      </c>
      <c r="K267" s="86">
        <v>826.677001953125</v>
      </c>
      <c r="L267" s="86">
        <v>205.05000305175781</v>
      </c>
      <c r="M267" s="86">
        <v>71.274002075195313</v>
      </c>
      <c r="N267" s="86">
        <v>621.62701416015625</v>
      </c>
      <c r="O267" s="86">
        <v>114.54799652099609</v>
      </c>
      <c r="P267" s="86">
        <v>-15.708000183105469</v>
      </c>
      <c r="Q267" s="86">
        <v>1436.5</v>
      </c>
      <c r="R267" s="86">
        <v>35.180999755859375</v>
      </c>
      <c r="S267" s="86">
        <v>18.510000228881836</v>
      </c>
      <c r="T267" s="86">
        <v>6.7174139022827148</v>
      </c>
      <c r="U267" s="86">
        <v>-1.9001375883817673E-2</v>
      </c>
      <c r="V267" s="86">
        <v>0.75195878744125366</v>
      </c>
      <c r="W267" s="86">
        <v>7.9741038382053375E-2</v>
      </c>
      <c r="X267" s="86">
        <v>8.6217470467090607E-2</v>
      </c>
      <c r="Y267" s="86">
        <v>1</v>
      </c>
      <c r="Z267" s="86">
        <v>0.31488007307052612</v>
      </c>
    </row>
    <row r="268" spans="1:26" x14ac:dyDescent="0.25">
      <c r="A268" s="88">
        <v>756</v>
      </c>
      <c r="B268" t="s">
        <v>223</v>
      </c>
      <c r="C268" s="88">
        <v>2019</v>
      </c>
      <c r="D268" t="s">
        <v>4450</v>
      </c>
      <c r="E268" s="34">
        <v>46022</v>
      </c>
      <c r="F268" s="88">
        <v>29736</v>
      </c>
      <c r="G268" t="s">
        <v>4117</v>
      </c>
      <c r="H268" t="s">
        <v>4118</v>
      </c>
      <c r="I268" s="88">
        <v>916365</v>
      </c>
      <c r="J268" t="s">
        <v>4311</v>
      </c>
      <c r="K268" s="86">
        <v>5289.26806640625</v>
      </c>
      <c r="L268" s="86">
        <v>1567.123046875</v>
      </c>
      <c r="M268" s="86">
        <v>84.240997314453125</v>
      </c>
      <c r="N268" s="86">
        <v>3722.14501953125</v>
      </c>
      <c r="O268" s="86">
        <v>2871.77001953125</v>
      </c>
      <c r="P268" s="86">
        <v>562.35400390625</v>
      </c>
      <c r="Q268" s="86">
        <v>8351.9306640625</v>
      </c>
      <c r="R268" s="86">
        <v>118.16500091552734</v>
      </c>
      <c r="S268" s="86">
        <v>93.44000244140625</v>
      </c>
      <c r="T268" s="86">
        <v>8.5734348297119141</v>
      </c>
      <c r="U268" s="86">
        <v>0.10631981492042542</v>
      </c>
      <c r="V268" s="86">
        <v>0.7037164568901062</v>
      </c>
      <c r="W268" s="86">
        <v>0.34384503960609436</v>
      </c>
      <c r="X268" s="86">
        <v>1.5926778316497803E-2</v>
      </c>
      <c r="Y268" s="86">
        <v>0</v>
      </c>
      <c r="Z268" s="86">
        <v>0.14193235337734222</v>
      </c>
    </row>
    <row r="269" spans="1:26" x14ac:dyDescent="0.25">
      <c r="A269" s="88">
        <v>760</v>
      </c>
      <c r="B269" t="s">
        <v>224</v>
      </c>
      <c r="C269" s="88">
        <v>2020</v>
      </c>
      <c r="D269" t="s">
        <v>4451</v>
      </c>
      <c r="E269" s="34">
        <v>46022</v>
      </c>
      <c r="F269" s="88">
        <v>62689</v>
      </c>
      <c r="G269" t="s">
        <v>4120</v>
      </c>
      <c r="H269" t="s">
        <v>4121</v>
      </c>
      <c r="I269" s="88">
        <v>86312</v>
      </c>
      <c r="J269" t="s">
        <v>4305</v>
      </c>
      <c r="K269" s="86">
        <v>116764</v>
      </c>
      <c r="L269" s="86">
        <v>29201</v>
      </c>
      <c r="M269" s="86">
        <v>11359</v>
      </c>
      <c r="N269" s="86">
        <v>87563</v>
      </c>
      <c r="O269" s="86">
        <v>8041</v>
      </c>
      <c r="P269" s="86">
        <v>2697</v>
      </c>
      <c r="Q269" s="86">
        <v>31851</v>
      </c>
      <c r="R269" s="86">
        <v>252.39999389648438</v>
      </c>
      <c r="S269" s="86">
        <v>140.3699951171875</v>
      </c>
      <c r="T269" s="86">
        <v>11.667909622192383</v>
      </c>
      <c r="U269" s="86">
        <v>2.3097872734069824E-2</v>
      </c>
      <c r="V269" s="86">
        <v>0.74991434812545776</v>
      </c>
      <c r="W269" s="86">
        <v>0.25245675444602966</v>
      </c>
      <c r="X269" s="86">
        <v>9.7281694412231445E-2</v>
      </c>
      <c r="Y269" s="86">
        <v>0</v>
      </c>
      <c r="Z269" s="86">
        <v>0.82420283555984497</v>
      </c>
    </row>
    <row r="270" spans="1:26" x14ac:dyDescent="0.25">
      <c r="A270" s="88">
        <v>761</v>
      </c>
      <c r="B270" t="s">
        <v>224</v>
      </c>
      <c r="C270" s="88">
        <v>2019</v>
      </c>
      <c r="D270" t="s">
        <v>4451</v>
      </c>
      <c r="E270" s="34">
        <v>46022</v>
      </c>
      <c r="F270" s="88">
        <v>62689</v>
      </c>
      <c r="G270" t="s">
        <v>4120</v>
      </c>
      <c r="H270" t="s">
        <v>4121</v>
      </c>
      <c r="I270" s="88">
        <v>86312</v>
      </c>
      <c r="J270" t="s">
        <v>4311</v>
      </c>
      <c r="K270" s="86">
        <v>110122</v>
      </c>
      <c r="L270" s="86">
        <v>25943</v>
      </c>
      <c r="M270" s="86">
        <v>9197</v>
      </c>
      <c r="N270" s="86">
        <v>84179</v>
      </c>
      <c r="O270" s="86">
        <v>7596</v>
      </c>
      <c r="P270" s="86">
        <v>2622</v>
      </c>
      <c r="Q270" s="86">
        <v>31330</v>
      </c>
      <c r="R270" s="86">
        <v>255.5</v>
      </c>
      <c r="S270" s="86">
        <v>136.94999694824219</v>
      </c>
      <c r="T270" s="86">
        <v>11.609344482421875</v>
      </c>
      <c r="U270" s="86">
        <v>2.3809956386685371E-2</v>
      </c>
      <c r="V270" s="86">
        <v>0.76441580057144165</v>
      </c>
      <c r="W270" s="86">
        <v>0.24245132505893707</v>
      </c>
      <c r="X270" s="86">
        <v>8.351646363735199E-2</v>
      </c>
      <c r="Y270" s="86">
        <v>0</v>
      </c>
      <c r="Z270" s="86">
        <v>0.7414250373840332</v>
      </c>
    </row>
    <row r="271" spans="1:26" x14ac:dyDescent="0.25">
      <c r="A271" s="88">
        <v>763</v>
      </c>
      <c r="B271" t="s">
        <v>225</v>
      </c>
      <c r="C271" s="88">
        <v>2019</v>
      </c>
      <c r="D271" t="s">
        <v>4122</v>
      </c>
      <c r="E271" s="34">
        <v>45657</v>
      </c>
      <c r="F271" s="88">
        <v>163983</v>
      </c>
      <c r="G271" t="s">
        <v>4124</v>
      </c>
      <c r="H271" t="s">
        <v>4125</v>
      </c>
      <c r="I271" s="88">
        <v>1320695</v>
      </c>
      <c r="J271" t="s">
        <v>4311</v>
      </c>
      <c r="K271" s="86">
        <v>5139.39990234375</v>
      </c>
      <c r="L271" s="86">
        <v>1830.9000244140625</v>
      </c>
      <c r="M271" s="86">
        <v>202.30000305175781</v>
      </c>
      <c r="N271" s="86">
        <v>3308.5</v>
      </c>
      <c r="O271" s="86">
        <v>953.4000244140625</v>
      </c>
      <c r="P271" s="86">
        <v>-361</v>
      </c>
      <c r="Q271" s="86">
        <v>4288.89990234375</v>
      </c>
      <c r="R271" s="86">
        <v>56.200000762939453</v>
      </c>
      <c r="S271" s="86">
        <v>48.5</v>
      </c>
      <c r="T271" s="86">
        <v>8.5446920394897461</v>
      </c>
      <c r="U271" s="86">
        <v>-7.0241667330265045E-2</v>
      </c>
      <c r="V271" s="86">
        <v>0.64375221729278564</v>
      </c>
      <c r="W271" s="86">
        <v>0.22229477763175964</v>
      </c>
      <c r="X271" s="86">
        <v>3.9362572133541107E-2</v>
      </c>
      <c r="Y271" s="86">
        <v>1</v>
      </c>
      <c r="Z271" s="86">
        <v>0.67171734571456909</v>
      </c>
    </row>
    <row r="272" spans="1:26" x14ac:dyDescent="0.25">
      <c r="A272" s="88">
        <v>765</v>
      </c>
      <c r="B272" t="s">
        <v>226</v>
      </c>
      <c r="C272" s="88">
        <v>2020</v>
      </c>
      <c r="D272" t="s">
        <v>4452</v>
      </c>
      <c r="E272" s="34">
        <v>46022</v>
      </c>
      <c r="F272" s="88">
        <v>10735</v>
      </c>
      <c r="G272" t="s">
        <v>4127</v>
      </c>
      <c r="H272" t="s">
        <v>4128</v>
      </c>
      <c r="I272" s="88">
        <v>99780</v>
      </c>
      <c r="J272" t="s">
        <v>4305</v>
      </c>
      <c r="K272" s="86">
        <v>8701.7998046875</v>
      </c>
      <c r="L272" s="86">
        <v>1738.800048828125</v>
      </c>
      <c r="M272" s="86">
        <v>228.39999389648438</v>
      </c>
      <c r="N272" s="86">
        <v>6685.7998046875</v>
      </c>
      <c r="O272" s="86">
        <v>757</v>
      </c>
      <c r="P272" s="86">
        <v>-147.30000305175781</v>
      </c>
      <c r="Q272" s="86">
        <v>1999.4000244140625</v>
      </c>
      <c r="R272" s="86">
        <v>111.09999847412109</v>
      </c>
      <c r="S272" s="86">
        <v>26.389999389648438</v>
      </c>
      <c r="T272" s="86">
        <v>9.0712852478027344</v>
      </c>
      <c r="U272" s="86">
        <v>-1.6927532851696014E-2</v>
      </c>
      <c r="V272" s="86">
        <v>0.76832377910614014</v>
      </c>
      <c r="W272" s="86">
        <v>0.37861359119415283</v>
      </c>
      <c r="X272" s="86">
        <v>2.6247443631291389E-2</v>
      </c>
      <c r="Y272" s="86">
        <v>1</v>
      </c>
      <c r="Z272" s="86">
        <v>0.59305667877197266</v>
      </c>
    </row>
    <row r="273" spans="1:26" x14ac:dyDescent="0.25">
      <c r="A273" s="88">
        <v>766</v>
      </c>
      <c r="B273" t="s">
        <v>227</v>
      </c>
      <c r="C273" s="88">
        <v>2020</v>
      </c>
      <c r="D273" t="s">
        <v>4129</v>
      </c>
      <c r="E273" s="34">
        <v>45657</v>
      </c>
      <c r="F273" s="88">
        <v>187551</v>
      </c>
      <c r="G273" t="s">
        <v>4131</v>
      </c>
      <c r="H273" t="s">
        <v>4132</v>
      </c>
      <c r="I273" s="88">
        <v>1519061</v>
      </c>
      <c r="J273" t="s">
        <v>4305</v>
      </c>
      <c r="K273" s="86">
        <v>2845.199951171875</v>
      </c>
      <c r="L273" s="86">
        <v>590.29998779296875</v>
      </c>
      <c r="M273" s="86">
        <v>589.9000244140625</v>
      </c>
      <c r="N273" s="86">
        <v>2254.89990234375</v>
      </c>
      <c r="O273" s="86">
        <v>436.70001220703125</v>
      </c>
      <c r="P273" s="86">
        <v>7.9000000953674316</v>
      </c>
      <c r="Q273" s="86">
        <v>3035.5</v>
      </c>
      <c r="R273" s="86">
        <v>38.400001525878906</v>
      </c>
      <c r="S273" s="86">
        <v>51.209999084472656</v>
      </c>
      <c r="T273" s="86">
        <v>7.9533886909484863</v>
      </c>
      <c r="U273" s="86">
        <v>2.7766062412410975E-3</v>
      </c>
      <c r="V273" s="86">
        <v>0.79252773523330688</v>
      </c>
      <c r="W273" s="86">
        <v>0.14386427402496338</v>
      </c>
      <c r="X273" s="86">
        <v>0.20733165740966797</v>
      </c>
      <c r="Y273" s="86">
        <v>0</v>
      </c>
      <c r="Z273" s="86">
        <v>0.30018347501754761</v>
      </c>
    </row>
    <row r="274" spans="1:26" x14ac:dyDescent="0.25">
      <c r="A274" s="88">
        <v>767</v>
      </c>
      <c r="B274" t="s">
        <v>228</v>
      </c>
      <c r="C274" s="88">
        <v>2021</v>
      </c>
      <c r="D274" t="s">
        <v>4134</v>
      </c>
      <c r="E274" s="34">
        <v>46022</v>
      </c>
      <c r="F274" s="88">
        <v>11856</v>
      </c>
      <c r="G274" t="s">
        <v>4136</v>
      </c>
      <c r="H274" t="s">
        <v>4137</v>
      </c>
      <c r="I274" s="88">
        <v>92230</v>
      </c>
      <c r="J274" t="s">
        <v>4358</v>
      </c>
      <c r="K274" s="86">
        <v>541241</v>
      </c>
      <c r="L274" s="86">
        <v>62598</v>
      </c>
      <c r="M274" s="86">
        <v>23755</v>
      </c>
      <c r="N274" s="86">
        <v>471970</v>
      </c>
      <c r="O274" s="86">
        <v>23072</v>
      </c>
      <c r="P274" s="86">
        <v>6440</v>
      </c>
      <c r="Q274" s="86">
        <v>23027</v>
      </c>
      <c r="R274" s="86">
        <v>1327.8179931640625</v>
      </c>
      <c r="S274" s="86">
        <v>58.549999237060547</v>
      </c>
      <c r="T274" s="86">
        <v>13.201620101928711</v>
      </c>
      <c r="U274" s="86">
        <v>1.1898580938577652E-2</v>
      </c>
      <c r="V274" s="86">
        <v>0.87201452255249023</v>
      </c>
      <c r="W274" s="86">
        <v>1.001954197883606</v>
      </c>
      <c r="X274" s="86">
        <v>4.3889876455068588E-2</v>
      </c>
      <c r="Y274" s="86">
        <v>0</v>
      </c>
      <c r="Z274" s="86">
        <v>0.8051837682723999</v>
      </c>
    </row>
    <row r="275" spans="1:26" x14ac:dyDescent="0.25">
      <c r="A275" s="88">
        <v>768</v>
      </c>
      <c r="B275" t="s">
        <v>229</v>
      </c>
      <c r="C275" s="88">
        <v>2019</v>
      </c>
      <c r="D275" t="s">
        <v>4453</v>
      </c>
      <c r="E275" s="34">
        <v>44926</v>
      </c>
      <c r="F275" s="88">
        <v>62897</v>
      </c>
      <c r="G275" t="s">
        <v>4139</v>
      </c>
      <c r="H275" t="s">
        <v>4140</v>
      </c>
      <c r="I275" s="88">
        <v>1008654</v>
      </c>
      <c r="J275" t="s">
        <v>4311</v>
      </c>
      <c r="K275" s="86">
        <v>1262.4000244140625</v>
      </c>
      <c r="L275" s="86">
        <v>-277</v>
      </c>
      <c r="M275" s="86">
        <v>123.19999694824219</v>
      </c>
      <c r="N275" s="86">
        <v>1539.4000244140625</v>
      </c>
      <c r="O275" s="86">
        <v>1243</v>
      </c>
      <c r="P275" s="86">
        <v>12.399999618530273</v>
      </c>
      <c r="Q275" s="86">
        <v>1797.9000244140625</v>
      </c>
      <c r="R275" s="86">
        <v>48.928001403808594</v>
      </c>
      <c r="S275" s="86">
        <v>8.5799999237060547</v>
      </c>
      <c r="T275" s="86">
        <v>7.1407699584960938</v>
      </c>
      <c r="U275" s="86">
        <v>9.822559542953968E-3</v>
      </c>
      <c r="V275" s="86">
        <v>1.2194232940673828</v>
      </c>
      <c r="W275" s="86">
        <v>0.69136214256286621</v>
      </c>
      <c r="X275" s="86">
        <v>9.7591884434223175E-2</v>
      </c>
      <c r="Y275" s="86">
        <v>0</v>
      </c>
      <c r="Z275" s="86">
        <v>-0.65983450412750244</v>
      </c>
    </row>
    <row r="276" spans="1:26" x14ac:dyDescent="0.25">
      <c r="A276" s="88">
        <v>769</v>
      </c>
      <c r="B276" t="s">
        <v>230</v>
      </c>
      <c r="C276" s="88">
        <v>2020</v>
      </c>
      <c r="D276" t="s">
        <v>4141</v>
      </c>
      <c r="E276" s="34">
        <v>44561</v>
      </c>
      <c r="F276" s="88">
        <v>18872</v>
      </c>
      <c r="G276" t="s">
        <v>4143</v>
      </c>
      <c r="H276" t="s">
        <v>4144</v>
      </c>
      <c r="I276" s="88">
        <v>1418091</v>
      </c>
      <c r="J276" t="s">
        <v>4305</v>
      </c>
      <c r="K276" s="86">
        <v>13379.08984375</v>
      </c>
      <c r="L276" s="86">
        <v>7970.08203125</v>
      </c>
      <c r="M276" s="86">
        <v>7474.5888671875</v>
      </c>
      <c r="N276" s="86">
        <v>5409.0078125</v>
      </c>
      <c r="O276" s="86">
        <v>2845.137939453125</v>
      </c>
      <c r="P276" s="86">
        <v>-1135.6259765625</v>
      </c>
      <c r="Q276" s="86">
        <v>3716.34912109375</v>
      </c>
      <c r="R276" s="86">
        <v>796</v>
      </c>
      <c r="S276" s="86">
        <v>54.150001525878906</v>
      </c>
      <c r="T276" s="86">
        <v>9.5014486312866211</v>
      </c>
      <c r="U276" s="86">
        <v>-8.4880657494068146E-2</v>
      </c>
      <c r="V276" s="86">
        <v>0.40428817272186279</v>
      </c>
      <c r="W276" s="86">
        <v>0.76557338237762451</v>
      </c>
      <c r="X276" s="86">
        <v>0.55867695808410645</v>
      </c>
      <c r="Y276" s="86">
        <v>1</v>
      </c>
      <c r="Z276" s="86">
        <v>0.18490611016750336</v>
      </c>
    </row>
    <row r="277" spans="1:26" x14ac:dyDescent="0.25">
      <c r="A277" s="88">
        <v>772</v>
      </c>
      <c r="B277" t="s">
        <v>231</v>
      </c>
      <c r="C277" s="88">
        <v>2019</v>
      </c>
      <c r="D277" t="s">
        <v>4454</v>
      </c>
      <c r="E277" s="34">
        <v>46022</v>
      </c>
      <c r="F277" s="88">
        <v>10894</v>
      </c>
      <c r="G277" t="s">
        <v>4146</v>
      </c>
      <c r="H277" t="s">
        <v>4147</v>
      </c>
      <c r="I277" s="88">
        <v>74208</v>
      </c>
      <c r="J277" t="s">
        <v>4311</v>
      </c>
      <c r="K277" s="86">
        <v>9636.4716796875</v>
      </c>
      <c r="L277" s="86">
        <v>3312.341064453125</v>
      </c>
      <c r="M277" s="86">
        <v>33.291000366210938</v>
      </c>
      <c r="N277" s="86">
        <v>5228.4931640625</v>
      </c>
      <c r="O277" s="86">
        <v>427.72500610351563</v>
      </c>
      <c r="P277" s="86">
        <v>184.96499633789063</v>
      </c>
      <c r="Q277" s="86">
        <v>1305.469970703125</v>
      </c>
      <c r="R277" s="86">
        <v>294.5880126953125</v>
      </c>
      <c r="S277" s="86">
        <v>46.700000762939453</v>
      </c>
      <c r="T277" s="86">
        <v>9.1733102798461914</v>
      </c>
      <c r="U277" s="86">
        <v>1.9194265827536583E-2</v>
      </c>
      <c r="V277" s="86">
        <v>0.54257339239120483</v>
      </c>
      <c r="W277" s="86">
        <v>0.32764062285423279</v>
      </c>
      <c r="X277" s="86">
        <v>3.4546877723187208E-3</v>
      </c>
      <c r="Y277" s="86">
        <v>0</v>
      </c>
      <c r="Z277" s="86">
        <v>0.24077039957046509</v>
      </c>
    </row>
    <row r="278" spans="1:26" x14ac:dyDescent="0.25">
      <c r="A278" s="88">
        <v>777</v>
      </c>
      <c r="B278" t="s">
        <v>232</v>
      </c>
      <c r="C278" s="88">
        <v>2020</v>
      </c>
      <c r="D278" t="s">
        <v>4455</v>
      </c>
      <c r="E278" s="34">
        <v>45869</v>
      </c>
      <c r="F278" s="88">
        <v>63927</v>
      </c>
      <c r="G278" t="s">
        <v>4149</v>
      </c>
      <c r="H278" t="s">
        <v>4150</v>
      </c>
      <c r="I278" s="88">
        <v>1020859</v>
      </c>
      <c r="J278" t="s">
        <v>4456</v>
      </c>
      <c r="K278" s="86">
        <v>7586.97216796875</v>
      </c>
      <c r="L278" s="86">
        <v>1144.7449951171875</v>
      </c>
      <c r="M278" s="86">
        <v>46.993000030517578</v>
      </c>
      <c r="N278" s="86">
        <v>6444.7138671875</v>
      </c>
      <c r="O278" s="86">
        <v>4163.2919921875</v>
      </c>
      <c r="P278" s="86">
        <v>-274.1400146484375</v>
      </c>
      <c r="Q278" s="86">
        <v>26514.267578125</v>
      </c>
      <c r="R278" s="86">
        <v>54.691001892089844</v>
      </c>
      <c r="S278" s="86">
        <v>19.850000381469727</v>
      </c>
      <c r="T278" s="86">
        <v>8.9341878890991211</v>
      </c>
      <c r="U278" s="86">
        <v>-3.6132995039224625E-2</v>
      </c>
      <c r="V278" s="86">
        <v>0.84944474697113037</v>
      </c>
      <c r="W278" s="86">
        <v>0.15702082216739655</v>
      </c>
      <c r="X278" s="86">
        <v>6.1939070001244545E-3</v>
      </c>
      <c r="Y278" s="86">
        <v>1</v>
      </c>
      <c r="Z278" s="86">
        <v>1.0544654130935669</v>
      </c>
    </row>
    <row r="279" spans="1:26" x14ac:dyDescent="0.25">
      <c r="A279" s="88">
        <v>779</v>
      </c>
      <c r="B279" t="s">
        <v>233</v>
      </c>
      <c r="C279" s="88">
        <v>2018</v>
      </c>
      <c r="D279" t="s">
        <v>4457</v>
      </c>
      <c r="E279" s="34">
        <v>46022</v>
      </c>
      <c r="F279" s="88">
        <v>66065</v>
      </c>
      <c r="G279" t="s">
        <v>4152</v>
      </c>
      <c r="H279" t="s">
        <v>4153</v>
      </c>
      <c r="I279" s="88">
        <v>1067701</v>
      </c>
      <c r="J279" t="s">
        <v>4307</v>
      </c>
      <c r="K279" s="86">
        <v>18133</v>
      </c>
      <c r="L279" s="86">
        <v>3403</v>
      </c>
      <c r="M279" s="86">
        <v>43</v>
      </c>
      <c r="N279" s="86">
        <v>14730</v>
      </c>
      <c r="O279" s="86">
        <v>4793</v>
      </c>
      <c r="P279" s="86">
        <v>1096</v>
      </c>
      <c r="Q279" s="86">
        <v>8047</v>
      </c>
      <c r="R279" s="86">
        <v>79.873001098632813</v>
      </c>
      <c r="S279" s="86">
        <v>102.52999877929688</v>
      </c>
      <c r="T279" s="86">
        <v>9.8054885864257813</v>
      </c>
      <c r="U279" s="86">
        <v>6.0442287474870682E-2</v>
      </c>
      <c r="V279" s="86">
        <v>0.81233108043670654</v>
      </c>
      <c r="W279" s="86">
        <v>0.59562569856643677</v>
      </c>
      <c r="X279" s="86">
        <v>2.3713670670986176E-3</v>
      </c>
      <c r="Y279" s="86">
        <v>0</v>
      </c>
      <c r="Z279" s="86">
        <v>0.4155382513999939</v>
      </c>
    </row>
    <row r="280" spans="1:26" x14ac:dyDescent="0.25">
      <c r="A280" s="88">
        <v>780</v>
      </c>
      <c r="B280" t="s">
        <v>234</v>
      </c>
      <c r="C280" s="88">
        <v>2019</v>
      </c>
      <c r="D280" t="s">
        <v>4154</v>
      </c>
      <c r="E280" s="34">
        <v>46022</v>
      </c>
      <c r="F280" s="88">
        <v>121440</v>
      </c>
      <c r="G280" t="s">
        <v>4156</v>
      </c>
      <c r="H280" t="s">
        <v>4157</v>
      </c>
      <c r="I280" s="88">
        <v>1082554</v>
      </c>
      <c r="J280" t="s">
        <v>4311</v>
      </c>
      <c r="K280" s="86">
        <v>3913.39990234375</v>
      </c>
      <c r="L280" s="86">
        <v>2780.39990234375</v>
      </c>
      <c r="M280" s="86">
        <v>1485.9000244140625</v>
      </c>
      <c r="N280" s="86">
        <v>1133</v>
      </c>
      <c r="O280" s="86">
        <v>1377.0999755859375</v>
      </c>
      <c r="P280" s="86">
        <v>-104.5</v>
      </c>
      <c r="Q280" s="86">
        <v>1448.800048828125</v>
      </c>
      <c r="R280" s="86">
        <v>43.884998321533203</v>
      </c>
      <c r="S280" s="86">
        <v>88.080001831054688</v>
      </c>
      <c r="T280" s="86">
        <v>8.2721614837646484</v>
      </c>
      <c r="U280" s="86">
        <v>-2.67031230032444E-2</v>
      </c>
      <c r="V280" s="86">
        <v>0.2895180881023407</v>
      </c>
      <c r="W280" s="86">
        <v>0.95051074028015137</v>
      </c>
      <c r="X280" s="86">
        <v>0.37969541549682617</v>
      </c>
      <c r="Y280" s="86">
        <v>1</v>
      </c>
      <c r="Z280" s="86">
        <v>0.71930629014968872</v>
      </c>
    </row>
    <row r="281" spans="1:26" x14ac:dyDescent="0.25">
      <c r="A281" s="88">
        <v>786</v>
      </c>
      <c r="B281" t="s">
        <v>235</v>
      </c>
      <c r="C281" s="88">
        <v>2020</v>
      </c>
      <c r="D281" t="s">
        <v>4158</v>
      </c>
      <c r="E281" s="34">
        <v>45657</v>
      </c>
      <c r="F281" s="88">
        <v>27199</v>
      </c>
      <c r="G281" t="s">
        <v>4160</v>
      </c>
      <c r="H281" t="s">
        <v>4161</v>
      </c>
      <c r="I281" s="88">
        <v>894627</v>
      </c>
      <c r="J281" t="s">
        <v>4305</v>
      </c>
      <c r="K281" s="86">
        <v>141.23199462890625</v>
      </c>
      <c r="L281" s="86">
        <v>61.458000183105469</v>
      </c>
      <c r="M281" s="86">
        <v>47.938999176025391</v>
      </c>
      <c r="N281" s="86">
        <v>79.774002075195313</v>
      </c>
      <c r="O281" s="86">
        <v>0.83600002527236938</v>
      </c>
      <c r="P281" s="86">
        <v>-48.180999755859375</v>
      </c>
      <c r="Q281" s="86">
        <v>67.176002502441406</v>
      </c>
      <c r="R281" s="86">
        <v>57.530998229980469</v>
      </c>
      <c r="S281" s="86">
        <v>1.7699999809265137</v>
      </c>
      <c r="T281" s="86">
        <v>4.9504036903381348</v>
      </c>
      <c r="U281" s="86">
        <v>-0.34114789962768555</v>
      </c>
      <c r="V281" s="86">
        <v>0.56484371423721313</v>
      </c>
      <c r="W281" s="86">
        <v>1.2444920837879181E-2</v>
      </c>
      <c r="X281" s="86">
        <v>0.339434415102005</v>
      </c>
      <c r="Y281" s="86">
        <v>1</v>
      </c>
      <c r="Z281" s="86">
        <v>0.60353612899780273</v>
      </c>
    </row>
    <row r="282" spans="1:26" x14ac:dyDescent="0.25">
      <c r="A282" s="88">
        <v>787</v>
      </c>
      <c r="B282" t="s">
        <v>236</v>
      </c>
      <c r="C282" s="88">
        <v>2020</v>
      </c>
      <c r="D282" t="s">
        <v>4162</v>
      </c>
      <c r="E282" s="34">
        <v>45869</v>
      </c>
      <c r="F282" s="88">
        <v>64344</v>
      </c>
      <c r="G282" t="s">
        <v>4164</v>
      </c>
      <c r="H282" t="s">
        <v>4165</v>
      </c>
      <c r="I282" s="88">
        <v>812011</v>
      </c>
      <c r="J282" t="s">
        <v>4456</v>
      </c>
      <c r="K282" s="86">
        <v>5244.23193359375</v>
      </c>
      <c r="L282" s="86">
        <v>1316.741943359375</v>
      </c>
      <c r="M282" s="86">
        <v>402.08599853515625</v>
      </c>
      <c r="N282" s="86">
        <v>3712.56494140625</v>
      </c>
      <c r="O282" s="86">
        <v>789.6190185546875</v>
      </c>
      <c r="P282" s="86">
        <v>98.833000183105469</v>
      </c>
      <c r="Q282" s="86">
        <v>1963.7039794921875</v>
      </c>
      <c r="R282" s="86">
        <v>40.224998474121094</v>
      </c>
      <c r="S282" s="86">
        <v>192.02999877929688</v>
      </c>
      <c r="T282" s="86">
        <v>8.5648841857910156</v>
      </c>
      <c r="U282" s="86">
        <v>1.8846038728952408E-2</v>
      </c>
      <c r="V282" s="86">
        <v>0.70793300867080688</v>
      </c>
      <c r="W282" s="86">
        <v>0.40210694074630737</v>
      </c>
      <c r="X282" s="86">
        <v>7.667204737663269E-2</v>
      </c>
      <c r="Y282" s="86">
        <v>0</v>
      </c>
      <c r="Z282" s="86">
        <v>0.1704651266336441</v>
      </c>
    </row>
    <row r="283" spans="1:26" x14ac:dyDescent="0.25">
      <c r="A283" s="88">
        <v>797</v>
      </c>
      <c r="B283" t="s">
        <v>237</v>
      </c>
      <c r="C283" s="88">
        <v>2019</v>
      </c>
      <c r="D283" t="s">
        <v>4166</v>
      </c>
      <c r="E283" s="34">
        <v>46022</v>
      </c>
      <c r="F283" s="88">
        <v>13714</v>
      </c>
      <c r="G283" t="s">
        <v>4168</v>
      </c>
      <c r="H283" t="s">
        <v>4169</v>
      </c>
      <c r="I283" s="88">
        <v>2041610</v>
      </c>
      <c r="J283" t="s">
        <v>4311</v>
      </c>
      <c r="K283" s="86">
        <v>49519</v>
      </c>
      <c r="L283" s="86">
        <v>13207</v>
      </c>
      <c r="M283" s="86">
        <v>632</v>
      </c>
      <c r="N283" s="86">
        <v>35976</v>
      </c>
      <c r="O283" s="86">
        <v>11178</v>
      </c>
      <c r="P283" s="86">
        <v>3308</v>
      </c>
      <c r="Q283" s="86">
        <v>27812</v>
      </c>
      <c r="R283" s="86">
        <v>615</v>
      </c>
      <c r="S283" s="86">
        <v>41.970001220703125</v>
      </c>
      <c r="T283" s="86">
        <v>10.810111999511719</v>
      </c>
      <c r="U283" s="86">
        <v>6.6802643239498138E-2</v>
      </c>
      <c r="V283" s="86">
        <v>0.72650903463363647</v>
      </c>
      <c r="W283" s="86">
        <v>0.40191283822059631</v>
      </c>
      <c r="X283" s="86">
        <v>1.2762777507305145E-2</v>
      </c>
      <c r="Y283" s="86">
        <v>0</v>
      </c>
      <c r="Z283" s="86">
        <v>0.51167017221450806</v>
      </c>
    </row>
    <row r="284" spans="1:26" x14ac:dyDescent="0.25">
      <c r="A284" s="88">
        <v>800</v>
      </c>
      <c r="B284" t="s">
        <v>238</v>
      </c>
      <c r="C284" s="88">
        <v>2019</v>
      </c>
      <c r="D284" t="s">
        <v>4170</v>
      </c>
      <c r="E284" s="34">
        <v>45930</v>
      </c>
      <c r="F284" s="88">
        <v>179534</v>
      </c>
      <c r="G284" t="s">
        <v>4172</v>
      </c>
      <c r="H284" t="s">
        <v>4173</v>
      </c>
      <c r="I284" s="88">
        <v>1403161</v>
      </c>
      <c r="J284" t="s">
        <v>4321</v>
      </c>
      <c r="K284" s="86">
        <v>72574</v>
      </c>
      <c r="L284" s="86">
        <v>29222</v>
      </c>
      <c r="M284" s="86">
        <v>15068</v>
      </c>
      <c r="N284" s="86">
        <v>37890</v>
      </c>
      <c r="O284" s="86">
        <v>16057</v>
      </c>
      <c r="P284" s="86">
        <v>12080</v>
      </c>
      <c r="Q284" s="86">
        <v>22977</v>
      </c>
      <c r="R284" s="86">
        <v>2161</v>
      </c>
      <c r="S284" s="86">
        <v>172.00999450683594</v>
      </c>
      <c r="T284" s="86">
        <v>11.192361831665039</v>
      </c>
      <c r="U284" s="86">
        <v>0.16645079851150513</v>
      </c>
      <c r="V284" s="86">
        <v>0.52208781242370605</v>
      </c>
      <c r="W284" s="86">
        <v>0.6988292932510376</v>
      </c>
      <c r="X284" s="86">
        <v>0.20762255787849426</v>
      </c>
      <c r="Y284" s="86">
        <v>0</v>
      </c>
      <c r="Z284" s="86">
        <v>7.8614287078380585E-2</v>
      </c>
    </row>
    <row r="285" spans="1:26" x14ac:dyDescent="0.25">
      <c r="A285" s="88">
        <v>802</v>
      </c>
      <c r="B285" t="s">
        <v>239</v>
      </c>
      <c r="C285" s="88">
        <v>2020</v>
      </c>
      <c r="D285" t="s">
        <v>4174</v>
      </c>
      <c r="E285" s="34">
        <v>45657</v>
      </c>
      <c r="F285" s="88">
        <v>157373</v>
      </c>
      <c r="G285" t="s">
        <v>4176</v>
      </c>
      <c r="H285" t="s">
        <v>4177</v>
      </c>
      <c r="I285" s="88">
        <v>1692819</v>
      </c>
      <c r="J285" t="s">
        <v>4305</v>
      </c>
      <c r="K285" s="86">
        <v>25208</v>
      </c>
      <c r="L285" s="86">
        <v>8371</v>
      </c>
      <c r="M285" s="86">
        <v>425</v>
      </c>
      <c r="N285" s="86">
        <v>16847</v>
      </c>
      <c r="O285" s="86">
        <v>3335</v>
      </c>
      <c r="P285" s="86">
        <v>636</v>
      </c>
      <c r="Q285" s="86">
        <v>11443</v>
      </c>
      <c r="R285" s="86">
        <v>489.30599975585938</v>
      </c>
      <c r="S285" s="86">
        <v>19.659999847412109</v>
      </c>
      <c r="T285" s="86">
        <v>10.134916305541992</v>
      </c>
      <c r="U285" s="86">
        <v>2.5230085477232933E-2</v>
      </c>
      <c r="V285" s="86">
        <v>0.66831958293914795</v>
      </c>
      <c r="W285" s="86">
        <v>0.29144454002380371</v>
      </c>
      <c r="X285" s="86">
        <v>1.685972698032856E-2</v>
      </c>
      <c r="Y285" s="86">
        <v>0</v>
      </c>
      <c r="Z285" s="86">
        <v>0.87018841505050659</v>
      </c>
    </row>
    <row r="286" spans="1:26" x14ac:dyDescent="0.25">
      <c r="A286" s="88">
        <v>803</v>
      </c>
      <c r="B286" t="s">
        <v>239</v>
      </c>
      <c r="C286" s="88">
        <v>2019</v>
      </c>
      <c r="D286" t="s">
        <v>4174</v>
      </c>
      <c r="E286" s="34">
        <v>45657</v>
      </c>
      <c r="F286" s="88">
        <v>157373</v>
      </c>
      <c r="G286" t="s">
        <v>4176</v>
      </c>
      <c r="H286" t="s">
        <v>4177</v>
      </c>
      <c r="I286" s="88">
        <v>1692819</v>
      </c>
      <c r="J286" t="s">
        <v>4311</v>
      </c>
      <c r="K286" s="86">
        <v>26616</v>
      </c>
      <c r="L286" s="86">
        <v>7959</v>
      </c>
      <c r="M286" s="86">
        <v>447</v>
      </c>
      <c r="N286" s="86">
        <v>18656</v>
      </c>
      <c r="O286" s="86">
        <v>3778</v>
      </c>
      <c r="P286" s="86">
        <v>928</v>
      </c>
      <c r="Q286" s="86">
        <v>11809</v>
      </c>
      <c r="R286" s="86">
        <v>487.697998046875</v>
      </c>
      <c r="S286" s="86">
        <v>22.989999771118164</v>
      </c>
      <c r="T286" s="86">
        <v>10.189268112182617</v>
      </c>
      <c r="U286" s="86">
        <v>3.4866247326135635E-2</v>
      </c>
      <c r="V286" s="86">
        <v>0.70093178749084473</v>
      </c>
      <c r="W286" s="86">
        <v>0.31992548704147339</v>
      </c>
      <c r="X286" s="86">
        <v>1.6794409602880478E-2</v>
      </c>
      <c r="Y286" s="86">
        <v>0</v>
      </c>
      <c r="Z286" s="86">
        <v>0.70985323190689087</v>
      </c>
    </row>
    <row r="287" spans="1:26" x14ac:dyDescent="0.25">
      <c r="A287" s="88">
        <v>804</v>
      </c>
      <c r="B287" t="s">
        <v>240</v>
      </c>
      <c r="C287" s="88">
        <v>2019</v>
      </c>
      <c r="D287" t="s">
        <v>4178</v>
      </c>
      <c r="E287" s="34">
        <v>44957</v>
      </c>
      <c r="F287" s="88">
        <v>178083</v>
      </c>
      <c r="G287" t="s">
        <v>4180</v>
      </c>
      <c r="H287" t="s">
        <v>4181</v>
      </c>
      <c r="I287" s="88">
        <v>1124610</v>
      </c>
      <c r="J287" t="s">
        <v>4406</v>
      </c>
      <c r="K287" s="86">
        <v>14662</v>
      </c>
      <c r="L287" s="86">
        <v>551</v>
      </c>
      <c r="M287" s="86">
        <v>2884</v>
      </c>
      <c r="N287" s="86">
        <v>14111</v>
      </c>
      <c r="O287" s="86">
        <v>8045</v>
      </c>
      <c r="P287" s="86">
        <v>2422</v>
      </c>
      <c r="Q287" s="86">
        <v>8974</v>
      </c>
      <c r="R287" s="86">
        <v>410.71499633789063</v>
      </c>
      <c r="S287" s="86">
        <v>151.07000732421875</v>
      </c>
      <c r="T287" s="86">
        <v>9.5930147171020508</v>
      </c>
      <c r="U287" s="86">
        <v>0.16518892347812653</v>
      </c>
      <c r="V287" s="86">
        <v>0.96241986751556396</v>
      </c>
      <c r="W287" s="86">
        <v>0.89647871255874634</v>
      </c>
      <c r="X287" s="86">
        <v>0.19669894874095917</v>
      </c>
      <c r="Y287" s="86">
        <v>0</v>
      </c>
      <c r="Z287" s="86">
        <v>8.8804056867957115E-3</v>
      </c>
    </row>
    <row r="288" spans="1:26" x14ac:dyDescent="0.25">
      <c r="A288" s="88">
        <v>805</v>
      </c>
      <c r="B288" t="s">
        <v>241</v>
      </c>
      <c r="C288" s="88">
        <v>2020</v>
      </c>
      <c r="D288" t="s">
        <v>4458</v>
      </c>
      <c r="E288" s="34">
        <v>46022</v>
      </c>
      <c r="F288" s="88">
        <v>11220</v>
      </c>
      <c r="G288" t="s">
        <v>4183</v>
      </c>
      <c r="H288" t="s">
        <v>4184</v>
      </c>
      <c r="I288" s="88">
        <v>899689</v>
      </c>
      <c r="J288" t="s">
        <v>4305</v>
      </c>
      <c r="K288" s="86">
        <v>16221.822265625</v>
      </c>
      <c r="L288" s="86">
        <v>5350.85888671875</v>
      </c>
      <c r="M288" s="86">
        <v>1730.3690185546875</v>
      </c>
      <c r="N288" s="86">
        <v>8667.400390625</v>
      </c>
      <c r="O288" s="86">
        <v>-199.13299560546875</v>
      </c>
      <c r="P288" s="86">
        <v>-297.0050048828125</v>
      </c>
      <c r="Q288" s="86">
        <v>980.38201904296875</v>
      </c>
      <c r="R288" s="86">
        <v>191.35499572753906</v>
      </c>
      <c r="S288" s="86">
        <v>37.340000152587891</v>
      </c>
      <c r="T288" s="86">
        <v>9.6941127777099609</v>
      </c>
      <c r="U288" s="86">
        <v>-1.8308978527784348E-2</v>
      </c>
      <c r="V288" s="86">
        <v>0.53430497646331787</v>
      </c>
      <c r="W288" s="86">
        <v>-0.20311775803565979</v>
      </c>
      <c r="X288" s="86">
        <v>0.10666920989751816</v>
      </c>
      <c r="Y288" s="86">
        <v>1</v>
      </c>
      <c r="Z288" s="86">
        <v>0.74887508153915405</v>
      </c>
    </row>
    <row r="289" spans="1:26" x14ac:dyDescent="0.25">
      <c r="A289" s="88">
        <v>806</v>
      </c>
      <c r="B289" t="s">
        <v>241</v>
      </c>
      <c r="C289" s="88">
        <v>2019</v>
      </c>
      <c r="D289" t="s">
        <v>4458</v>
      </c>
      <c r="E289" s="34">
        <v>46022</v>
      </c>
      <c r="F289" s="88">
        <v>11220</v>
      </c>
      <c r="G289" t="s">
        <v>4183</v>
      </c>
      <c r="H289" t="s">
        <v>4184</v>
      </c>
      <c r="I289" s="88">
        <v>899689</v>
      </c>
      <c r="J289" t="s">
        <v>4311</v>
      </c>
      <c r="K289" s="86">
        <v>18287.013671875</v>
      </c>
      <c r="L289" s="86">
        <v>5840.81591796875</v>
      </c>
      <c r="M289" s="86">
        <v>1607.1309814453125</v>
      </c>
      <c r="N289" s="86">
        <v>10087.1201171875</v>
      </c>
      <c r="O289" s="86">
        <v>482.28900146484375</v>
      </c>
      <c r="P289" s="86">
        <v>3147.93701171875</v>
      </c>
      <c r="Q289" s="86">
        <v>1921.302001953125</v>
      </c>
      <c r="R289" s="86">
        <v>190.98599243164063</v>
      </c>
      <c r="S289" s="86">
        <v>66.5</v>
      </c>
      <c r="T289" s="86">
        <v>9.8139467239379883</v>
      </c>
      <c r="U289" s="86">
        <v>0.17214056849479675</v>
      </c>
      <c r="V289" s="86">
        <v>0.55160015821456909</v>
      </c>
      <c r="W289" s="86">
        <v>0.25102195143699646</v>
      </c>
      <c r="X289" s="86">
        <v>8.7883733212947845E-2</v>
      </c>
      <c r="Y289" s="86">
        <v>0</v>
      </c>
      <c r="Z289" s="86">
        <v>0.45988619327545166</v>
      </c>
    </row>
    <row r="290" spans="1:26" x14ac:dyDescent="0.25">
      <c r="A290" s="88">
        <v>808</v>
      </c>
      <c r="B290" t="s">
        <v>241</v>
      </c>
      <c r="C290" s="88">
        <v>2018</v>
      </c>
      <c r="D290" t="s">
        <v>4458</v>
      </c>
      <c r="E290" s="34">
        <v>46022</v>
      </c>
      <c r="F290" s="88">
        <v>11220</v>
      </c>
      <c r="G290" t="s">
        <v>4183</v>
      </c>
      <c r="H290" t="s">
        <v>4184</v>
      </c>
      <c r="I290" s="88">
        <v>899689</v>
      </c>
      <c r="J290" t="s">
        <v>4307</v>
      </c>
      <c r="K290" s="86">
        <v>17180.794921875</v>
      </c>
      <c r="L290" s="86">
        <v>3573.93701171875</v>
      </c>
      <c r="M290" s="86">
        <v>716.905029296875</v>
      </c>
      <c r="N290" s="86">
        <v>11289.3486328125</v>
      </c>
      <c r="O290" s="86">
        <v>678.64697265625</v>
      </c>
      <c r="P290" s="86">
        <v>449.95401000976563</v>
      </c>
      <c r="Q290" s="86">
        <v>2100.695068359375</v>
      </c>
      <c r="R290" s="86">
        <v>190.53500366210938</v>
      </c>
      <c r="S290" s="86">
        <v>62.029998779296875</v>
      </c>
      <c r="T290" s="86">
        <v>9.7515478134155273</v>
      </c>
      <c r="U290" s="86">
        <v>2.6189358904957771E-2</v>
      </c>
      <c r="V290" s="86">
        <v>0.65709114074707031</v>
      </c>
      <c r="W290" s="86">
        <v>0.32305830717086792</v>
      </c>
      <c r="X290" s="86">
        <v>4.1727118194103241E-2</v>
      </c>
      <c r="Y290" s="86">
        <v>0</v>
      </c>
      <c r="Z290" s="86">
        <v>0.30239203572273254</v>
      </c>
    </row>
    <row r="291" spans="1:26" x14ac:dyDescent="0.25">
      <c r="A291" s="88">
        <v>809</v>
      </c>
      <c r="B291" t="s">
        <v>242</v>
      </c>
      <c r="C291" s="88">
        <v>2020</v>
      </c>
      <c r="D291" t="s">
        <v>4185</v>
      </c>
      <c r="E291" s="34">
        <v>45657</v>
      </c>
      <c r="F291" s="88">
        <v>160341</v>
      </c>
      <c r="G291" t="s">
        <v>4187</v>
      </c>
      <c r="H291" t="s">
        <v>4188</v>
      </c>
      <c r="I291" s="88">
        <v>1288403</v>
      </c>
      <c r="J291" t="s">
        <v>4305</v>
      </c>
      <c r="K291" s="86">
        <v>940.58197021484375</v>
      </c>
      <c r="L291" s="86">
        <v>-208.28599548339844</v>
      </c>
      <c r="M291" s="86">
        <v>43.726001739501953</v>
      </c>
      <c r="N291" s="86">
        <v>1148.8680419921875</v>
      </c>
      <c r="O291" s="86">
        <v>167.52999877929688</v>
      </c>
      <c r="P291" s="86">
        <v>37.790000915527344</v>
      </c>
      <c r="Q291" s="86">
        <v>346.63400268554688</v>
      </c>
      <c r="R291" s="86">
        <v>142.30499267578125</v>
      </c>
      <c r="S291" s="86">
        <v>2.1700000762939453</v>
      </c>
      <c r="T291" s="86">
        <v>6.846498966217041</v>
      </c>
      <c r="U291" s="86">
        <v>4.0177255868911743E-2</v>
      </c>
      <c r="V291" s="86">
        <v>1.221443772315979</v>
      </c>
      <c r="W291" s="86">
        <v>0.48330515623092651</v>
      </c>
      <c r="X291" s="86">
        <v>4.6488240361213684E-2</v>
      </c>
      <c r="Y291" s="86">
        <v>0</v>
      </c>
      <c r="Z291" s="86">
        <v>-0.67449724674224854</v>
      </c>
    </row>
    <row r="292" spans="1:26" x14ac:dyDescent="0.25">
      <c r="A292" s="88">
        <v>814</v>
      </c>
      <c r="B292" t="s">
        <v>243</v>
      </c>
      <c r="C292" s="88">
        <v>2020</v>
      </c>
      <c r="D292" t="s">
        <v>4459</v>
      </c>
      <c r="E292" s="34">
        <v>45535</v>
      </c>
      <c r="F292" s="88">
        <v>11264</v>
      </c>
      <c r="G292" t="s">
        <v>4190</v>
      </c>
      <c r="H292" t="s">
        <v>4191</v>
      </c>
      <c r="I292" s="88">
        <v>1618921</v>
      </c>
      <c r="J292" t="s">
        <v>4373</v>
      </c>
      <c r="K292" s="86">
        <v>87174</v>
      </c>
      <c r="L292" s="86">
        <v>20637</v>
      </c>
      <c r="M292" s="86">
        <v>746</v>
      </c>
      <c r="N292" s="86">
        <v>66038</v>
      </c>
      <c r="O292" s="86">
        <v>30071</v>
      </c>
      <c r="P292" s="86">
        <v>456</v>
      </c>
      <c r="Q292" s="86">
        <v>139537</v>
      </c>
      <c r="R292" s="86">
        <v>865.60400390625</v>
      </c>
      <c r="S292" s="86">
        <v>38.020000457763672</v>
      </c>
      <c r="T292" s="86">
        <v>11.375661849975586</v>
      </c>
      <c r="U292" s="86">
        <v>5.2309175953269005E-3</v>
      </c>
      <c r="V292" s="86">
        <v>0.75754237174987793</v>
      </c>
      <c r="W292" s="86">
        <v>0.21550557017326355</v>
      </c>
      <c r="X292" s="86">
        <v>8.5575971752405167E-3</v>
      </c>
      <c r="Y292" s="86">
        <v>0</v>
      </c>
      <c r="Z292" s="86">
        <v>0.62706881761550903</v>
      </c>
    </row>
    <row r="293" spans="1:26" x14ac:dyDescent="0.25">
      <c r="A293" s="88">
        <v>817</v>
      </c>
      <c r="B293" t="s">
        <v>244</v>
      </c>
      <c r="C293" s="88">
        <v>2020</v>
      </c>
      <c r="D293" t="s">
        <v>4460</v>
      </c>
      <c r="E293" s="34">
        <v>45930</v>
      </c>
      <c r="F293" s="88">
        <v>3980</v>
      </c>
      <c r="G293" t="s">
        <v>4193</v>
      </c>
      <c r="H293" t="s">
        <v>4194</v>
      </c>
      <c r="I293" s="88">
        <v>1744489</v>
      </c>
      <c r="J293" t="s">
        <v>4323</v>
      </c>
      <c r="K293" s="86">
        <v>201549</v>
      </c>
      <c r="L293" s="86">
        <v>83583</v>
      </c>
      <c r="M293" s="86">
        <v>17917</v>
      </c>
      <c r="N293" s="86">
        <v>104037</v>
      </c>
      <c r="O293" s="86">
        <v>21508</v>
      </c>
      <c r="P293" s="86">
        <v>-2864</v>
      </c>
      <c r="Q293" s="86">
        <v>65388</v>
      </c>
      <c r="R293" s="86">
        <v>1810</v>
      </c>
      <c r="S293" s="86">
        <v>124.08000183105469</v>
      </c>
      <c r="T293" s="86">
        <v>12.213788032531738</v>
      </c>
      <c r="U293" s="86">
        <v>-1.4209943823516369E-2</v>
      </c>
      <c r="V293" s="86">
        <v>0.51618713140487671</v>
      </c>
      <c r="W293" s="86">
        <v>0.32892885804176331</v>
      </c>
      <c r="X293" s="86">
        <v>8.8896498084068298E-2</v>
      </c>
      <c r="Y293" s="86">
        <v>1</v>
      </c>
      <c r="Z293" s="86">
        <v>0.37216675281524658</v>
      </c>
    </row>
    <row r="294" spans="1:26" x14ac:dyDescent="0.25">
      <c r="A294" s="88">
        <v>818</v>
      </c>
      <c r="B294" t="s">
        <v>245</v>
      </c>
      <c r="C294" s="88">
        <v>2020</v>
      </c>
      <c r="D294" t="s">
        <v>4195</v>
      </c>
      <c r="E294" s="34">
        <v>46022</v>
      </c>
      <c r="F294" s="88">
        <v>30397</v>
      </c>
      <c r="G294" t="s">
        <v>4197</v>
      </c>
      <c r="H294" t="s">
        <v>4198</v>
      </c>
      <c r="I294" s="88">
        <v>1691303</v>
      </c>
      <c r="J294" t="s">
        <v>4305</v>
      </c>
      <c r="K294" s="86">
        <v>1393.93603515625</v>
      </c>
      <c r="L294" s="86">
        <v>725.24102783203125</v>
      </c>
      <c r="M294" s="86">
        <v>220.41999816894531</v>
      </c>
      <c r="N294" s="86">
        <v>668.69500732421875</v>
      </c>
      <c r="O294" s="86">
        <v>126.83599853515625</v>
      </c>
      <c r="P294" s="86">
        <v>-35.761001586914063</v>
      </c>
      <c r="Q294" s="86">
        <v>782.73797607421875</v>
      </c>
      <c r="R294" s="86">
        <v>51.186000823974609</v>
      </c>
      <c r="S294" s="86">
        <v>21.319999694824219</v>
      </c>
      <c r="T294" s="86">
        <v>7.2398867607116699</v>
      </c>
      <c r="U294" s="86">
        <v>-2.5654694065451622E-2</v>
      </c>
      <c r="V294" s="86">
        <v>0.47971713542938232</v>
      </c>
      <c r="W294" s="86">
        <v>0.16204145550727844</v>
      </c>
      <c r="X294" s="86">
        <v>0.15812776982784271</v>
      </c>
      <c r="Y294" s="86">
        <v>1</v>
      </c>
      <c r="Z294" s="86">
        <v>0.66457498073577881</v>
      </c>
    </row>
    <row r="295" spans="1:26" x14ac:dyDescent="0.25">
      <c r="A295" s="88">
        <v>830</v>
      </c>
      <c r="B295" t="s">
        <v>246</v>
      </c>
      <c r="C295" s="88">
        <v>2020</v>
      </c>
      <c r="D295" t="s">
        <v>4199</v>
      </c>
      <c r="E295" s="34">
        <v>46022</v>
      </c>
      <c r="F295" s="88">
        <v>3708</v>
      </c>
      <c r="G295" t="s">
        <v>4201</v>
      </c>
      <c r="H295" t="s">
        <v>4202</v>
      </c>
      <c r="I295" s="88">
        <v>30697</v>
      </c>
      <c r="J295" t="s">
        <v>4305</v>
      </c>
      <c r="K295" s="86">
        <v>5040.005859375</v>
      </c>
      <c r="L295" s="86">
        <v>549.59600830078125</v>
      </c>
      <c r="M295" s="86">
        <v>340.96200561523438</v>
      </c>
      <c r="N295" s="86">
        <v>4490.41015625</v>
      </c>
      <c r="O295" s="86">
        <v>621.48101806640625</v>
      </c>
      <c r="P295" s="86">
        <v>117.83200073242188</v>
      </c>
      <c r="Q295" s="86">
        <v>1733.824951171875</v>
      </c>
      <c r="R295" s="86">
        <v>224.26800537109375</v>
      </c>
      <c r="S295" s="86">
        <v>21.920000076293945</v>
      </c>
      <c r="T295" s="86">
        <v>8.5251626968383789</v>
      </c>
      <c r="U295" s="86">
        <v>2.3379338905215263E-2</v>
      </c>
      <c r="V295" s="86">
        <v>0.89095336198806763</v>
      </c>
      <c r="W295" s="86">
        <v>0.35844507813453674</v>
      </c>
      <c r="X295" s="86">
        <v>6.7651115357875824E-2</v>
      </c>
      <c r="Y295" s="86">
        <v>0</v>
      </c>
      <c r="Z295" s="86">
        <v>0.11179842799901962</v>
      </c>
    </row>
    <row r="296" spans="1:26" x14ac:dyDescent="0.25">
      <c r="A296" s="88">
        <v>834</v>
      </c>
      <c r="B296" t="s">
        <v>247</v>
      </c>
      <c r="C296" s="88">
        <v>2020</v>
      </c>
      <c r="D296" t="s">
        <v>4461</v>
      </c>
      <c r="E296" s="34">
        <v>46022</v>
      </c>
      <c r="F296" s="88">
        <v>175263</v>
      </c>
      <c r="G296" t="s">
        <v>4204</v>
      </c>
      <c r="H296" t="s">
        <v>4205</v>
      </c>
      <c r="I296" s="88">
        <v>1365135</v>
      </c>
      <c r="J296" t="s">
        <v>4305</v>
      </c>
      <c r="K296" s="86">
        <v>9496.2998046875</v>
      </c>
      <c r="L296" s="86">
        <v>186.60000610351563</v>
      </c>
      <c r="M296" s="86">
        <v>1447.4000244140625</v>
      </c>
      <c r="N296" s="86">
        <v>9309.7001953125</v>
      </c>
      <c r="O296" s="86">
        <v>2238.60009765625</v>
      </c>
      <c r="P296" s="86">
        <v>744.29998779296875</v>
      </c>
      <c r="Q296" s="86">
        <v>4835</v>
      </c>
      <c r="R296" s="86">
        <v>411.20001220703125</v>
      </c>
      <c r="S296" s="86">
        <v>21.940000534057617</v>
      </c>
      <c r="T296" s="86">
        <v>9.1586570739746094</v>
      </c>
      <c r="U296" s="86">
        <v>7.8377895057201385E-2</v>
      </c>
      <c r="V296" s="86">
        <v>0.98035025596618652</v>
      </c>
      <c r="W296" s="86">
        <v>0.46299898624420166</v>
      </c>
      <c r="X296" s="86">
        <v>0.15241725742816925</v>
      </c>
      <c r="Y296" s="86">
        <v>0</v>
      </c>
      <c r="Z296" s="86">
        <v>2.0683398470282555E-2</v>
      </c>
    </row>
    <row r="297" spans="1:26" x14ac:dyDescent="0.25">
      <c r="A297" s="88">
        <v>838</v>
      </c>
      <c r="B297" t="s">
        <v>248</v>
      </c>
      <c r="C297" s="88">
        <v>2020</v>
      </c>
      <c r="D297" t="s">
        <v>4206</v>
      </c>
      <c r="E297" s="34">
        <v>46022</v>
      </c>
      <c r="F297" s="88">
        <v>162385</v>
      </c>
      <c r="G297" t="s">
        <v>4208</v>
      </c>
      <c r="H297" t="s">
        <v>4209</v>
      </c>
      <c r="I297" s="88">
        <v>1309108</v>
      </c>
      <c r="J297" t="s">
        <v>4305</v>
      </c>
      <c r="K297" s="86">
        <v>8183.36083984375</v>
      </c>
      <c r="L297" s="86">
        <v>1904.89501953125</v>
      </c>
      <c r="M297" s="86">
        <v>1329.6529541015625</v>
      </c>
      <c r="N297" s="86">
        <v>6148.22509765625</v>
      </c>
      <c r="O297" s="86">
        <v>991.2860107421875</v>
      </c>
      <c r="P297" s="86">
        <v>-243.63800048828125</v>
      </c>
      <c r="Q297" s="86">
        <v>1559.8690185546875</v>
      </c>
      <c r="R297" s="86">
        <v>44.187999725341797</v>
      </c>
      <c r="S297" s="86">
        <v>203.52999877929688</v>
      </c>
      <c r="T297" s="86">
        <v>9.0098581314086914</v>
      </c>
      <c r="U297" s="86">
        <v>-2.9772363603115082E-2</v>
      </c>
      <c r="V297" s="86">
        <v>0.75130808353424072</v>
      </c>
      <c r="W297" s="86">
        <v>0.63549309968948364</v>
      </c>
      <c r="X297" s="86">
        <v>0.16248250007629395</v>
      </c>
      <c r="Y297" s="86">
        <v>1</v>
      </c>
      <c r="Z297" s="86">
        <v>0.21180601418018341</v>
      </c>
    </row>
    <row r="298" spans="1:26" x14ac:dyDescent="0.25">
      <c r="A298" s="88">
        <v>842</v>
      </c>
      <c r="B298" t="s">
        <v>249</v>
      </c>
      <c r="C298" s="88">
        <v>2019</v>
      </c>
      <c r="D298" t="s">
        <v>4462</v>
      </c>
      <c r="E298" s="34">
        <v>46022</v>
      </c>
      <c r="F298" s="88">
        <v>11465</v>
      </c>
      <c r="G298" t="s">
        <v>4211</v>
      </c>
      <c r="H298" t="s">
        <v>4212</v>
      </c>
      <c r="I298" s="88">
        <v>106640</v>
      </c>
      <c r="J298" t="s">
        <v>4311</v>
      </c>
      <c r="K298" s="86">
        <v>18881</v>
      </c>
      <c r="L298" s="86">
        <v>3195</v>
      </c>
      <c r="M298" s="86">
        <v>1952</v>
      </c>
      <c r="N298" s="86">
        <v>14763</v>
      </c>
      <c r="O298" s="86">
        <v>3956</v>
      </c>
      <c r="P298" s="86">
        <v>1184</v>
      </c>
      <c r="Q298" s="86">
        <v>20419</v>
      </c>
      <c r="R298" s="86">
        <v>62.894001007080078</v>
      </c>
      <c r="S298" s="86">
        <v>147.52999877929688</v>
      </c>
      <c r="T298" s="86">
        <v>9.8459110260009766</v>
      </c>
      <c r="U298" s="86">
        <v>6.2708541750907898E-2</v>
      </c>
      <c r="V298" s="86">
        <v>0.78189712762832642</v>
      </c>
      <c r="W298" s="86">
        <v>0.19374112784862518</v>
      </c>
      <c r="X298" s="86">
        <v>0.1033843532204628</v>
      </c>
      <c r="Y298" s="86">
        <v>0</v>
      </c>
      <c r="Z298" s="86">
        <v>0.34433510899543762</v>
      </c>
    </row>
    <row r="299" spans="1:26" x14ac:dyDescent="0.25">
      <c r="A299" s="88">
        <v>845</v>
      </c>
      <c r="B299" t="s">
        <v>250</v>
      </c>
      <c r="C299" s="88">
        <v>2020</v>
      </c>
      <c r="D299" t="s">
        <v>4463</v>
      </c>
      <c r="E299" s="34">
        <v>46022</v>
      </c>
      <c r="F299" s="88">
        <v>11506</v>
      </c>
      <c r="G299" t="s">
        <v>4214</v>
      </c>
      <c r="H299" t="s">
        <v>4215</v>
      </c>
      <c r="I299" s="88">
        <v>107263</v>
      </c>
      <c r="J299" t="s">
        <v>4305</v>
      </c>
      <c r="K299" s="86">
        <v>44165</v>
      </c>
      <c r="L299" s="86">
        <v>11734</v>
      </c>
      <c r="M299" s="86">
        <v>142</v>
      </c>
      <c r="N299" s="86">
        <v>29582</v>
      </c>
      <c r="O299" s="86">
        <v>4780</v>
      </c>
      <c r="P299" s="86">
        <v>211</v>
      </c>
      <c r="Q299" s="86">
        <v>7719</v>
      </c>
      <c r="R299" s="86">
        <v>1213</v>
      </c>
      <c r="S299" s="86">
        <v>20.049999237060547</v>
      </c>
      <c r="T299" s="86">
        <v>10.695688247680664</v>
      </c>
      <c r="U299" s="86">
        <v>4.7775385901331902E-3</v>
      </c>
      <c r="V299" s="86">
        <v>0.66980642080307007</v>
      </c>
      <c r="W299" s="86">
        <v>0.61925119161605835</v>
      </c>
      <c r="X299" s="86">
        <v>3.2152156345546246E-3</v>
      </c>
      <c r="Y299" s="86">
        <v>0</v>
      </c>
      <c r="Z299" s="86">
        <v>0.48247066140174866</v>
      </c>
    </row>
    <row r="300" spans="1:26" x14ac:dyDescent="0.25">
      <c r="A300" s="88">
        <v>846</v>
      </c>
      <c r="B300" t="s">
        <v>250</v>
      </c>
      <c r="C300" s="88">
        <v>2019</v>
      </c>
      <c r="D300" t="s">
        <v>4463</v>
      </c>
      <c r="E300" s="34">
        <v>46022</v>
      </c>
      <c r="F300" s="88">
        <v>11506</v>
      </c>
      <c r="G300" t="s">
        <v>4214</v>
      </c>
      <c r="H300" t="s">
        <v>4215</v>
      </c>
      <c r="I300" s="88">
        <v>107263</v>
      </c>
      <c r="J300" t="s">
        <v>4311</v>
      </c>
      <c r="K300" s="86">
        <v>46040</v>
      </c>
      <c r="L300" s="86">
        <v>13328</v>
      </c>
      <c r="M300" s="86">
        <v>289</v>
      </c>
      <c r="N300" s="86">
        <v>29676</v>
      </c>
      <c r="O300" s="86">
        <v>4667</v>
      </c>
      <c r="P300" s="86">
        <v>850</v>
      </c>
      <c r="Q300" s="86">
        <v>8201</v>
      </c>
      <c r="R300" s="86">
        <v>1212</v>
      </c>
      <c r="S300" s="86">
        <v>23.719999313354492</v>
      </c>
      <c r="T300" s="86">
        <v>10.737265586853027</v>
      </c>
      <c r="U300" s="86">
        <v>1.8462207168340683E-2</v>
      </c>
      <c r="V300" s="86">
        <v>0.64456993341445923</v>
      </c>
      <c r="W300" s="86">
        <v>0.56907695531845093</v>
      </c>
      <c r="X300" s="86">
        <v>6.2771504744887352E-3</v>
      </c>
      <c r="Y300" s="86">
        <v>0</v>
      </c>
      <c r="Z300" s="86">
        <v>0.46360453963279724</v>
      </c>
    </row>
    <row r="301" spans="1:26" x14ac:dyDescent="0.25">
      <c r="A301" s="88">
        <v>848</v>
      </c>
      <c r="B301" t="s">
        <v>251</v>
      </c>
      <c r="C301" s="88">
        <v>2019</v>
      </c>
      <c r="D301" t="s">
        <v>4464</v>
      </c>
      <c r="E301" s="34">
        <v>45688</v>
      </c>
      <c r="F301" s="88">
        <v>11511</v>
      </c>
      <c r="G301" t="s">
        <v>4217</v>
      </c>
      <c r="H301" t="s">
        <v>4218</v>
      </c>
      <c r="I301" s="88">
        <v>719955</v>
      </c>
      <c r="J301" t="s">
        <v>4406</v>
      </c>
      <c r="K301" s="86">
        <v>2812.843994140625</v>
      </c>
      <c r="L301" s="86">
        <v>1155.7139892578125</v>
      </c>
      <c r="M301" s="86">
        <v>338.95401000976563</v>
      </c>
      <c r="N301" s="86">
        <v>1657.1300048828125</v>
      </c>
      <c r="O301" s="86">
        <v>2289.821044921875</v>
      </c>
      <c r="P301" s="86">
        <v>333.68399047851563</v>
      </c>
      <c r="Q301" s="86">
        <v>5671.5927734375</v>
      </c>
      <c r="R301" s="86">
        <v>78.813003540039063</v>
      </c>
      <c r="S301" s="86">
        <v>54.430000305175781</v>
      </c>
      <c r="T301" s="86">
        <v>7.9419512748718262</v>
      </c>
      <c r="U301" s="86">
        <v>0.11862868815660477</v>
      </c>
      <c r="V301" s="86">
        <v>0.5891297459602356</v>
      </c>
      <c r="W301" s="86">
        <v>0.40373510122299194</v>
      </c>
      <c r="X301" s="86">
        <v>0.12050224095582962</v>
      </c>
      <c r="Y301" s="86">
        <v>0</v>
      </c>
      <c r="Z301" s="86">
        <v>0.26941028237342834</v>
      </c>
    </row>
    <row r="302" spans="1:26" x14ac:dyDescent="0.25">
      <c r="A302" s="88">
        <v>851</v>
      </c>
      <c r="B302" t="s">
        <v>252</v>
      </c>
      <c r="C302" s="88">
        <v>2019</v>
      </c>
      <c r="D302" t="s">
        <v>4465</v>
      </c>
      <c r="E302" s="34">
        <v>46022</v>
      </c>
      <c r="F302" s="88">
        <v>149318</v>
      </c>
      <c r="G302" t="s">
        <v>4220</v>
      </c>
      <c r="H302" t="s">
        <v>4221</v>
      </c>
      <c r="I302" s="88">
        <v>1174922</v>
      </c>
      <c r="J302" t="s">
        <v>4311</v>
      </c>
      <c r="K302" s="86">
        <v>13871.28125</v>
      </c>
      <c r="L302" s="86">
        <v>1743.0450439453125</v>
      </c>
      <c r="M302" s="86">
        <v>2351.904052734375</v>
      </c>
      <c r="N302" s="86">
        <v>12329.80859375</v>
      </c>
      <c r="O302" s="86">
        <v>2544.0458984375</v>
      </c>
      <c r="P302" s="86">
        <v>122.98500061035156</v>
      </c>
      <c r="Q302" s="86">
        <v>6611.09912109375</v>
      </c>
      <c r="R302" s="86">
        <v>107.36399841308594</v>
      </c>
      <c r="S302" s="86">
        <v>138.8699951171875</v>
      </c>
      <c r="T302" s="86">
        <v>9.5375757217407227</v>
      </c>
      <c r="U302" s="86">
        <v>8.8661601766943932E-3</v>
      </c>
      <c r="V302" s="86">
        <v>0.88887310028076172</v>
      </c>
      <c r="W302" s="86">
        <v>0.38481435179710388</v>
      </c>
      <c r="X302" s="86">
        <v>0.1695520430803299</v>
      </c>
      <c r="Y302" s="86">
        <v>0</v>
      </c>
      <c r="Z302" s="86">
        <v>0.1169072687625885</v>
      </c>
    </row>
    <row r="303" spans="1:26" x14ac:dyDescent="0.25">
      <c r="A303" s="88">
        <v>856</v>
      </c>
      <c r="B303" t="s">
        <v>253</v>
      </c>
      <c r="C303" s="88">
        <v>2020</v>
      </c>
      <c r="D303" t="s">
        <v>4466</v>
      </c>
      <c r="E303" s="34">
        <v>46022</v>
      </c>
      <c r="F303" s="88">
        <v>144998</v>
      </c>
      <c r="G303" t="s">
        <v>4223</v>
      </c>
      <c r="H303" t="s">
        <v>4224</v>
      </c>
      <c r="I303" s="88">
        <v>1166003</v>
      </c>
      <c r="J303" t="s">
        <v>4305</v>
      </c>
      <c r="K303" s="86">
        <v>16169</v>
      </c>
      <c r="L303" s="86">
        <v>2708</v>
      </c>
      <c r="M303" s="86">
        <v>2054</v>
      </c>
      <c r="N303" s="86">
        <v>13320</v>
      </c>
      <c r="O303" s="86">
        <v>3023</v>
      </c>
      <c r="P303" s="86">
        <v>110</v>
      </c>
      <c r="Q303" s="86">
        <v>16252</v>
      </c>
      <c r="R303" s="86">
        <v>102.052001953125</v>
      </c>
      <c r="S303" s="86">
        <v>119.19999694824219</v>
      </c>
      <c r="T303" s="86">
        <v>9.6908512115478516</v>
      </c>
      <c r="U303" s="86">
        <v>6.8031419068574905E-3</v>
      </c>
      <c r="V303" s="86">
        <v>0.82379865646362305</v>
      </c>
      <c r="W303" s="86">
        <v>0.18600787222385406</v>
      </c>
      <c r="X303" s="86">
        <v>0.12703321874141693</v>
      </c>
      <c r="Y303" s="86">
        <v>0</v>
      </c>
      <c r="Z303" s="86">
        <v>0.22261318564414978</v>
      </c>
    </row>
    <row r="304" spans="1:26" x14ac:dyDescent="0.25">
      <c r="A304" s="88">
        <v>860</v>
      </c>
      <c r="B304" t="s">
        <v>254</v>
      </c>
      <c r="C304" s="88">
        <v>2019</v>
      </c>
      <c r="D304" t="s">
        <v>4225</v>
      </c>
      <c r="E304" s="34">
        <v>46022</v>
      </c>
      <c r="F304" s="88">
        <v>189491</v>
      </c>
      <c r="G304" t="s">
        <v>4227</v>
      </c>
      <c r="H304" t="s">
        <v>4228</v>
      </c>
      <c r="I304" s="88">
        <v>1524472</v>
      </c>
      <c r="J304" t="s">
        <v>4311</v>
      </c>
      <c r="K304" s="86">
        <v>7710</v>
      </c>
      <c r="L304" s="86">
        <v>2957</v>
      </c>
      <c r="M304" s="86">
        <v>724</v>
      </c>
      <c r="N304" s="86">
        <v>4743</v>
      </c>
      <c r="O304" s="86">
        <v>2308</v>
      </c>
      <c r="P304" s="86">
        <v>401</v>
      </c>
      <c r="Q304" s="86">
        <v>5249</v>
      </c>
      <c r="R304" s="86">
        <v>180.13999938964844</v>
      </c>
      <c r="S304" s="86">
        <v>78.790000915527344</v>
      </c>
      <c r="T304" s="86">
        <v>8.9502735137939453</v>
      </c>
      <c r="U304" s="86">
        <v>5.2010376006364822E-2</v>
      </c>
      <c r="V304" s="86">
        <v>0.61517506837844849</v>
      </c>
      <c r="W304" s="86">
        <v>0.43970280885696411</v>
      </c>
      <c r="X304" s="86">
        <v>9.3904018402099609E-2</v>
      </c>
      <c r="Y304" s="86">
        <v>0</v>
      </c>
      <c r="Z304" s="86">
        <v>0.20833875238895416</v>
      </c>
    </row>
    <row r="305" spans="1:26" x14ac:dyDescent="0.25">
      <c r="A305" s="88">
        <v>866</v>
      </c>
      <c r="B305" t="s">
        <v>255</v>
      </c>
      <c r="C305" s="88">
        <v>2019</v>
      </c>
      <c r="D305" t="s">
        <v>4229</v>
      </c>
      <c r="E305" s="34">
        <v>46022</v>
      </c>
      <c r="F305" s="88">
        <v>13721</v>
      </c>
      <c r="G305" t="s">
        <v>4231</v>
      </c>
      <c r="H305" t="s">
        <v>4232</v>
      </c>
      <c r="I305" s="88">
        <v>1555280</v>
      </c>
      <c r="J305" t="s">
        <v>4311</v>
      </c>
      <c r="K305" s="86">
        <v>11545</v>
      </c>
      <c r="L305" s="86">
        <v>2708</v>
      </c>
      <c r="M305" s="86">
        <v>1934</v>
      </c>
      <c r="N305" s="86">
        <v>8837</v>
      </c>
      <c r="O305" s="86">
        <v>4620</v>
      </c>
      <c r="P305" s="86">
        <v>1500</v>
      </c>
      <c r="Q305" s="86">
        <v>6276</v>
      </c>
      <c r="R305" s="86">
        <v>475.52801513671875</v>
      </c>
      <c r="S305" s="86">
        <v>132.35000610351563</v>
      </c>
      <c r="T305" s="86">
        <v>9.3540077209472656</v>
      </c>
      <c r="U305" s="86">
        <v>0.12992636859416962</v>
      </c>
      <c r="V305" s="86">
        <v>0.76543956995010376</v>
      </c>
      <c r="W305" s="86">
        <v>0.73613768815994263</v>
      </c>
      <c r="X305" s="86">
        <v>0.16751840710639954</v>
      </c>
      <c r="Y305" s="86">
        <v>0</v>
      </c>
      <c r="Z305" s="86">
        <v>4.3027743697166443E-2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89EA-3BAF-0D4E-9BC1-7A02A0530CC0}">
  <dimension ref="A1:N1000"/>
  <sheetViews>
    <sheetView tabSelected="1" topLeftCell="A655" workbookViewId="0">
      <selection activeCell="B676" sqref="B676"/>
    </sheetView>
  </sheetViews>
  <sheetFormatPr defaultColWidth="11" defaultRowHeight="15.75" x14ac:dyDescent="0.25"/>
  <cols>
    <col min="1" max="1" width="32.625" customWidth="1"/>
    <col min="2" max="2" width="30" customWidth="1"/>
    <col min="3" max="3" width="15.375" customWidth="1"/>
    <col min="4" max="4" width="8.75" customWidth="1"/>
    <col min="5" max="5" width="33.5" customWidth="1"/>
    <col min="7" max="7" width="24.5" customWidth="1"/>
    <col min="8" max="8" width="16.25" customWidth="1"/>
    <col min="9" max="9" width="25" customWidth="1"/>
    <col min="14" max="14" width="56.125" customWidth="1"/>
  </cols>
  <sheetData>
    <row r="1" spans="1:6" x14ac:dyDescent="0.25">
      <c r="A1" t="s">
        <v>1965</v>
      </c>
      <c r="B1" t="s">
        <v>1974</v>
      </c>
      <c r="C1" t="s">
        <v>1966</v>
      </c>
      <c r="D1" t="s">
        <v>2870</v>
      </c>
      <c r="E1" s="3" t="s">
        <v>1967</v>
      </c>
      <c r="F1" t="s">
        <v>3336</v>
      </c>
    </row>
    <row r="2" spans="1:6" x14ac:dyDescent="0.25">
      <c r="A2" s="2" t="s">
        <v>256</v>
      </c>
      <c r="B2" s="2" t="s">
        <v>1975</v>
      </c>
      <c r="C2" s="2" t="s">
        <v>257</v>
      </c>
      <c r="D2" s="2">
        <v>0</v>
      </c>
      <c r="E2" s="2" t="s">
        <v>258</v>
      </c>
    </row>
    <row r="3" spans="1:6" x14ac:dyDescent="0.25">
      <c r="A3" s="2"/>
      <c r="B3" s="2" t="s">
        <v>1975</v>
      </c>
      <c r="C3" s="2" t="s">
        <v>259</v>
      </c>
      <c r="D3" s="2">
        <v>1</v>
      </c>
      <c r="E3" s="2" t="s">
        <v>260</v>
      </c>
    </row>
    <row r="4" spans="1:6" x14ac:dyDescent="0.25">
      <c r="A4" s="2"/>
      <c r="B4" s="2" t="s">
        <v>1975</v>
      </c>
      <c r="C4" s="2" t="s">
        <v>261</v>
      </c>
      <c r="D4" s="2">
        <v>1</v>
      </c>
      <c r="E4" s="2" t="s">
        <v>262</v>
      </c>
      <c r="F4">
        <v>1</v>
      </c>
    </row>
    <row r="5" spans="1:6" x14ac:dyDescent="0.25">
      <c r="A5" s="2"/>
      <c r="B5" s="2" t="s">
        <v>1976</v>
      </c>
      <c r="C5" s="2" t="s">
        <v>263</v>
      </c>
      <c r="D5" s="2">
        <v>1</v>
      </c>
      <c r="E5" s="2" t="s">
        <v>264</v>
      </c>
      <c r="F5">
        <v>1</v>
      </c>
    </row>
    <row r="6" spans="1:6" x14ac:dyDescent="0.25">
      <c r="A6" s="2"/>
      <c r="B6" s="2" t="s">
        <v>1976</v>
      </c>
      <c r="C6" s="2" t="s">
        <v>265</v>
      </c>
      <c r="D6" s="2">
        <v>1</v>
      </c>
      <c r="E6" s="2" t="s">
        <v>266</v>
      </c>
    </row>
    <row r="7" spans="1:6" x14ac:dyDescent="0.25">
      <c r="A7" s="2"/>
      <c r="B7" s="2" t="s">
        <v>1976</v>
      </c>
      <c r="C7" s="2" t="s">
        <v>267</v>
      </c>
      <c r="D7" s="2">
        <v>1</v>
      </c>
      <c r="E7" s="2" t="s">
        <v>268</v>
      </c>
    </row>
    <row r="8" spans="1:6" x14ac:dyDescent="0.25">
      <c r="A8" s="2"/>
      <c r="B8" s="2" t="s">
        <v>1977</v>
      </c>
      <c r="C8" s="2" t="s">
        <v>269</v>
      </c>
      <c r="D8" s="2">
        <v>1</v>
      </c>
      <c r="E8" s="2" t="s">
        <v>270</v>
      </c>
    </row>
    <row r="9" spans="1:6" x14ac:dyDescent="0.25">
      <c r="A9" s="2" t="s">
        <v>271</v>
      </c>
      <c r="B9" s="2" t="s">
        <v>1978</v>
      </c>
      <c r="C9" s="2" t="s">
        <v>272</v>
      </c>
      <c r="D9" s="2">
        <v>1</v>
      </c>
      <c r="E9" s="2" t="s">
        <v>273</v>
      </c>
    </row>
    <row r="10" spans="1:6" x14ac:dyDescent="0.25">
      <c r="A10" s="2"/>
      <c r="B10" s="2" t="s">
        <v>1979</v>
      </c>
      <c r="C10" s="2" t="s">
        <v>274</v>
      </c>
      <c r="D10" s="2">
        <v>1</v>
      </c>
      <c r="E10" s="2" t="s">
        <v>275</v>
      </c>
    </row>
    <row r="11" spans="1:6" x14ac:dyDescent="0.25">
      <c r="A11" s="2"/>
      <c r="B11" s="2" t="s">
        <v>1979</v>
      </c>
      <c r="C11" s="2" t="s">
        <v>276</v>
      </c>
      <c r="D11" s="2">
        <v>1</v>
      </c>
      <c r="E11" s="2" t="s">
        <v>277</v>
      </c>
    </row>
    <row r="12" spans="1:6" x14ac:dyDescent="0.25">
      <c r="A12" s="2"/>
      <c r="B12" s="2" t="s">
        <v>1980</v>
      </c>
      <c r="C12" s="2" t="s">
        <v>278</v>
      </c>
      <c r="D12" s="2">
        <v>1</v>
      </c>
      <c r="E12" s="2" t="s">
        <v>279</v>
      </c>
    </row>
    <row r="13" spans="1:6" x14ac:dyDescent="0.25">
      <c r="A13" s="2"/>
      <c r="B13" s="2" t="s">
        <v>1980</v>
      </c>
      <c r="C13" s="2" t="s">
        <v>280</v>
      </c>
      <c r="D13" s="2">
        <v>0</v>
      </c>
      <c r="E13" s="2" t="s">
        <v>281</v>
      </c>
    </row>
    <row r="14" spans="1:6" x14ac:dyDescent="0.25">
      <c r="A14" s="2"/>
      <c r="B14" s="2" t="s">
        <v>1981</v>
      </c>
      <c r="C14" s="2" t="s">
        <v>282</v>
      </c>
      <c r="D14" s="2">
        <v>1</v>
      </c>
      <c r="E14" s="2" t="s">
        <v>283</v>
      </c>
    </row>
    <row r="15" spans="1:6" x14ac:dyDescent="0.25">
      <c r="A15" s="2"/>
      <c r="B15" s="2" t="s">
        <v>1981</v>
      </c>
      <c r="C15" s="2" t="s">
        <v>284</v>
      </c>
      <c r="D15" s="2">
        <v>1</v>
      </c>
      <c r="E15" s="2" t="s">
        <v>285</v>
      </c>
    </row>
    <row r="16" spans="1:6" x14ac:dyDescent="0.25">
      <c r="A16" s="2"/>
      <c r="B16" s="2" t="s">
        <v>1981</v>
      </c>
      <c r="C16" s="2" t="s">
        <v>286</v>
      </c>
      <c r="D16" s="2">
        <v>1</v>
      </c>
      <c r="E16" s="2" t="s">
        <v>287</v>
      </c>
    </row>
    <row r="17" spans="1:6" x14ac:dyDescent="0.25">
      <c r="A17" s="2"/>
      <c r="B17" s="2" t="s">
        <v>1981</v>
      </c>
      <c r="C17" s="2" t="s">
        <v>288</v>
      </c>
      <c r="D17" s="2">
        <v>1</v>
      </c>
      <c r="E17" s="2" t="s">
        <v>289</v>
      </c>
      <c r="F17">
        <v>1</v>
      </c>
    </row>
    <row r="18" spans="1:6" x14ac:dyDescent="0.25">
      <c r="A18" s="2"/>
      <c r="B18" s="2" t="s">
        <v>1982</v>
      </c>
      <c r="C18" s="2" t="s">
        <v>290</v>
      </c>
      <c r="D18" s="2">
        <v>1</v>
      </c>
      <c r="E18" s="2" t="s">
        <v>291</v>
      </c>
    </row>
    <row r="19" spans="1:6" x14ac:dyDescent="0.25">
      <c r="A19" s="2"/>
      <c r="B19" s="2" t="s">
        <v>1982</v>
      </c>
      <c r="C19" s="2" t="s">
        <v>292</v>
      </c>
      <c r="D19" s="2">
        <v>0</v>
      </c>
      <c r="E19" s="2" t="s">
        <v>293</v>
      </c>
    </row>
    <row r="20" spans="1:6" x14ac:dyDescent="0.25">
      <c r="A20" s="2"/>
      <c r="B20" s="2" t="s">
        <v>1983</v>
      </c>
      <c r="C20" s="2" t="s">
        <v>294</v>
      </c>
      <c r="D20" s="2">
        <v>0</v>
      </c>
      <c r="E20" s="2" t="s">
        <v>295</v>
      </c>
    </row>
    <row r="21" spans="1:6" x14ac:dyDescent="0.25">
      <c r="A21" s="2"/>
      <c r="B21" s="2" t="s">
        <v>1984</v>
      </c>
      <c r="C21" s="2" t="s">
        <v>296</v>
      </c>
      <c r="D21" s="2">
        <v>1</v>
      </c>
      <c r="E21" s="2" t="s">
        <v>297</v>
      </c>
      <c r="F21">
        <v>1</v>
      </c>
    </row>
    <row r="22" spans="1:6" x14ac:dyDescent="0.25">
      <c r="A22" s="2"/>
      <c r="B22" s="2" t="s">
        <v>1984</v>
      </c>
      <c r="C22" s="2" t="s">
        <v>298</v>
      </c>
      <c r="D22" s="2">
        <v>1</v>
      </c>
      <c r="E22" s="2" t="s">
        <v>299</v>
      </c>
    </row>
    <row r="23" spans="1:6" x14ac:dyDescent="0.25">
      <c r="A23" s="2"/>
      <c r="B23" s="2" t="s">
        <v>1984</v>
      </c>
      <c r="C23" s="2" t="s">
        <v>300</v>
      </c>
      <c r="D23" s="2">
        <v>0</v>
      </c>
      <c r="E23" s="2" t="s">
        <v>301</v>
      </c>
    </row>
    <row r="24" spans="1:6" x14ac:dyDescent="0.25">
      <c r="A24" s="2" t="s">
        <v>302</v>
      </c>
      <c r="B24" s="2" t="s">
        <v>1985</v>
      </c>
      <c r="C24" s="2" t="s">
        <v>303</v>
      </c>
      <c r="D24" s="2">
        <v>1</v>
      </c>
      <c r="E24" s="2" t="s">
        <v>304</v>
      </c>
    </row>
    <row r="25" spans="1:6" x14ac:dyDescent="0.25">
      <c r="A25" s="2"/>
      <c r="B25" s="2" t="s">
        <v>1985</v>
      </c>
      <c r="C25" s="2" t="s">
        <v>305</v>
      </c>
      <c r="D25" s="2">
        <v>0</v>
      </c>
      <c r="E25" s="2" t="s">
        <v>306</v>
      </c>
    </row>
    <row r="26" spans="1:6" x14ac:dyDescent="0.25">
      <c r="A26" s="2"/>
      <c r="B26" s="2" t="s">
        <v>1985</v>
      </c>
      <c r="C26" s="2" t="s">
        <v>307</v>
      </c>
      <c r="D26" s="2">
        <v>1</v>
      </c>
      <c r="E26" s="2" t="s">
        <v>308</v>
      </c>
    </row>
    <row r="27" spans="1:6" x14ac:dyDescent="0.25">
      <c r="A27" s="2"/>
      <c r="B27" s="2" t="s">
        <v>1978</v>
      </c>
      <c r="C27" s="2" t="s">
        <v>309</v>
      </c>
      <c r="D27" s="2">
        <v>1</v>
      </c>
      <c r="E27" s="2" t="s">
        <v>310</v>
      </c>
    </row>
    <row r="28" spans="1:6" x14ac:dyDescent="0.25">
      <c r="A28" s="2"/>
      <c r="B28" s="2" t="s">
        <v>1986</v>
      </c>
      <c r="C28" s="2" t="s">
        <v>311</v>
      </c>
      <c r="D28" s="2">
        <v>1</v>
      </c>
      <c r="E28" s="2" t="s">
        <v>312</v>
      </c>
    </row>
    <row r="29" spans="1:6" x14ac:dyDescent="0.25">
      <c r="A29" s="2"/>
      <c r="B29" s="2" t="s">
        <v>1986</v>
      </c>
      <c r="C29" s="2" t="s">
        <v>313</v>
      </c>
      <c r="D29" s="2">
        <v>0</v>
      </c>
      <c r="E29" s="2" t="s">
        <v>314</v>
      </c>
    </row>
    <row r="30" spans="1:6" x14ac:dyDescent="0.25">
      <c r="A30" s="2"/>
      <c r="B30" s="2" t="s">
        <v>1986</v>
      </c>
      <c r="C30" s="2" t="s">
        <v>315</v>
      </c>
      <c r="D30" s="2">
        <v>1</v>
      </c>
      <c r="E30" s="2" t="s">
        <v>316</v>
      </c>
    </row>
    <row r="31" spans="1:6" x14ac:dyDescent="0.25">
      <c r="A31" s="2"/>
      <c r="B31" s="2" t="s">
        <v>1987</v>
      </c>
      <c r="C31" s="2" t="s">
        <v>317</v>
      </c>
      <c r="D31" s="2">
        <v>1</v>
      </c>
      <c r="E31" s="2" t="s">
        <v>318</v>
      </c>
    </row>
    <row r="32" spans="1:6" x14ac:dyDescent="0.25">
      <c r="A32" s="2"/>
      <c r="B32" s="2" t="s">
        <v>1987</v>
      </c>
      <c r="C32" s="2" t="s">
        <v>319</v>
      </c>
      <c r="D32" s="2">
        <v>1</v>
      </c>
      <c r="E32" s="2" t="s">
        <v>320</v>
      </c>
    </row>
    <row r="33" spans="1:6" x14ac:dyDescent="0.25">
      <c r="A33" s="2"/>
      <c r="B33" s="2" t="s">
        <v>1987</v>
      </c>
      <c r="C33" s="2" t="s">
        <v>321</v>
      </c>
      <c r="D33" s="2">
        <v>1</v>
      </c>
      <c r="E33" s="2" t="s">
        <v>322</v>
      </c>
    </row>
    <row r="34" spans="1:6" x14ac:dyDescent="0.25">
      <c r="A34" s="2"/>
      <c r="B34" s="2" t="s">
        <v>1988</v>
      </c>
      <c r="C34" s="2" t="s">
        <v>323</v>
      </c>
      <c r="D34" s="2">
        <v>1</v>
      </c>
      <c r="E34" s="2" t="s">
        <v>324</v>
      </c>
    </row>
    <row r="35" spans="1:6" x14ac:dyDescent="0.25">
      <c r="A35" s="2"/>
      <c r="B35" s="2" t="s">
        <v>1989</v>
      </c>
      <c r="C35" s="2" t="s">
        <v>325</v>
      </c>
      <c r="D35" s="2">
        <v>1</v>
      </c>
      <c r="E35" s="2" t="s">
        <v>326</v>
      </c>
    </row>
    <row r="36" spans="1:6" x14ac:dyDescent="0.25">
      <c r="A36" s="2"/>
      <c r="B36" s="2" t="s">
        <v>1989</v>
      </c>
      <c r="C36" s="2" t="s">
        <v>327</v>
      </c>
      <c r="D36" s="2">
        <v>1</v>
      </c>
      <c r="E36" s="2" t="s">
        <v>328</v>
      </c>
    </row>
    <row r="37" spans="1:6" x14ac:dyDescent="0.25">
      <c r="A37" s="2"/>
      <c r="B37" s="2" t="s">
        <v>1989</v>
      </c>
      <c r="C37" s="2" t="s">
        <v>329</v>
      </c>
      <c r="D37" s="2">
        <v>0</v>
      </c>
      <c r="E37" s="2" t="s">
        <v>330</v>
      </c>
    </row>
    <row r="38" spans="1:6" x14ac:dyDescent="0.25">
      <c r="A38" s="2"/>
      <c r="B38" s="2" t="s">
        <v>1990</v>
      </c>
      <c r="C38" s="2" t="s">
        <v>331</v>
      </c>
      <c r="D38" s="2">
        <v>0</v>
      </c>
      <c r="E38" s="2" t="s">
        <v>332</v>
      </c>
    </row>
    <row r="39" spans="1:6" x14ac:dyDescent="0.25">
      <c r="A39" s="2"/>
      <c r="B39" s="2" t="s">
        <v>1991</v>
      </c>
      <c r="C39" s="2" t="s">
        <v>333</v>
      </c>
      <c r="D39" s="2">
        <v>0</v>
      </c>
      <c r="E39" s="2" t="s">
        <v>334</v>
      </c>
    </row>
    <row r="40" spans="1:6" x14ac:dyDescent="0.25">
      <c r="A40" s="2"/>
      <c r="B40" s="2" t="s">
        <v>1991</v>
      </c>
      <c r="C40" s="2" t="s">
        <v>335</v>
      </c>
      <c r="D40" s="2">
        <v>1</v>
      </c>
      <c r="E40" s="2" t="s">
        <v>336</v>
      </c>
    </row>
    <row r="41" spans="1:6" x14ac:dyDescent="0.25">
      <c r="A41" s="2" t="s">
        <v>337</v>
      </c>
      <c r="B41" s="2" t="s">
        <v>1985</v>
      </c>
      <c r="C41" s="2" t="s">
        <v>338</v>
      </c>
      <c r="D41" s="2">
        <v>1</v>
      </c>
      <c r="E41" s="2" t="s">
        <v>304</v>
      </c>
    </row>
    <row r="42" spans="1:6" x14ac:dyDescent="0.25">
      <c r="A42" s="2"/>
      <c r="B42" s="2" t="s">
        <v>1985</v>
      </c>
      <c r="C42" s="2" t="s">
        <v>339</v>
      </c>
      <c r="D42" s="2">
        <v>0</v>
      </c>
      <c r="E42" s="2" t="s">
        <v>306</v>
      </c>
    </row>
    <row r="43" spans="1:6" x14ac:dyDescent="0.25">
      <c r="A43" s="2"/>
      <c r="B43" s="2" t="s">
        <v>1985</v>
      </c>
      <c r="C43" s="2" t="s">
        <v>340</v>
      </c>
      <c r="D43" s="2">
        <v>1</v>
      </c>
      <c r="E43" s="2" t="s">
        <v>341</v>
      </c>
    </row>
    <row r="44" spans="1:6" x14ac:dyDescent="0.25">
      <c r="A44" s="2"/>
      <c r="B44" s="2" t="s">
        <v>1992</v>
      </c>
      <c r="C44" s="2" t="s">
        <v>342</v>
      </c>
      <c r="D44" s="2">
        <v>1</v>
      </c>
      <c r="E44" s="2" t="s">
        <v>343</v>
      </c>
    </row>
    <row r="45" spans="1:6" x14ac:dyDescent="0.25">
      <c r="A45" s="2"/>
      <c r="B45" s="2" t="s">
        <v>1993</v>
      </c>
      <c r="C45" s="2" t="s">
        <v>344</v>
      </c>
      <c r="D45" s="2">
        <v>1</v>
      </c>
      <c r="E45" s="2" t="s">
        <v>345</v>
      </c>
    </row>
    <row r="46" spans="1:6" x14ac:dyDescent="0.25">
      <c r="A46" s="2"/>
      <c r="B46" s="2" t="s">
        <v>1993</v>
      </c>
      <c r="C46" s="2" t="s">
        <v>346</v>
      </c>
      <c r="D46" s="2">
        <v>1</v>
      </c>
      <c r="E46" s="2" t="s">
        <v>347</v>
      </c>
      <c r="F46">
        <v>1</v>
      </c>
    </row>
    <row r="47" spans="1:6" x14ac:dyDescent="0.25">
      <c r="A47" s="2"/>
      <c r="B47" s="2" t="s">
        <v>1994</v>
      </c>
      <c r="C47" s="2" t="s">
        <v>348</v>
      </c>
      <c r="D47" s="2">
        <v>1</v>
      </c>
      <c r="E47" s="2" t="s">
        <v>349</v>
      </c>
    </row>
    <row r="48" spans="1:6" x14ac:dyDescent="0.25">
      <c r="A48" s="2"/>
      <c r="B48" s="2" t="s">
        <v>1995</v>
      </c>
      <c r="C48" s="2" t="s">
        <v>350</v>
      </c>
      <c r="D48" s="2">
        <v>1</v>
      </c>
      <c r="E48" s="2" t="s">
        <v>351</v>
      </c>
    </row>
    <row r="49" spans="1:6" x14ac:dyDescent="0.25">
      <c r="A49" s="2"/>
      <c r="B49" s="2" t="s">
        <v>1995</v>
      </c>
      <c r="C49" s="2" t="s">
        <v>352</v>
      </c>
      <c r="D49" s="2">
        <v>1</v>
      </c>
      <c r="E49" s="2" t="s">
        <v>353</v>
      </c>
    </row>
    <row r="50" spans="1:6" x14ac:dyDescent="0.25">
      <c r="A50" s="2"/>
      <c r="B50" s="2" t="s">
        <v>1996</v>
      </c>
      <c r="C50" s="2" t="s">
        <v>354</v>
      </c>
      <c r="D50" s="2">
        <v>0</v>
      </c>
      <c r="E50" s="2" t="s">
        <v>355</v>
      </c>
    </row>
    <row r="51" spans="1:6" x14ac:dyDescent="0.25">
      <c r="A51" s="2"/>
      <c r="B51" s="2" t="s">
        <v>1996</v>
      </c>
      <c r="C51" s="2" t="s">
        <v>356</v>
      </c>
      <c r="D51" s="2">
        <v>1</v>
      </c>
      <c r="E51" s="2" t="s">
        <v>357</v>
      </c>
    </row>
    <row r="52" spans="1:6" x14ac:dyDescent="0.25">
      <c r="A52" s="2"/>
      <c r="B52" s="2" t="s">
        <v>1996</v>
      </c>
      <c r="C52" s="2" t="s">
        <v>358</v>
      </c>
      <c r="D52" s="2">
        <v>1</v>
      </c>
      <c r="E52" s="2" t="s">
        <v>359</v>
      </c>
    </row>
    <row r="53" spans="1:6" x14ac:dyDescent="0.25">
      <c r="A53" s="2"/>
      <c r="B53" s="2" t="s">
        <v>1996</v>
      </c>
      <c r="C53" s="2" t="s">
        <v>360</v>
      </c>
      <c r="D53" s="2">
        <v>1</v>
      </c>
      <c r="E53" s="2" t="s">
        <v>361</v>
      </c>
    </row>
    <row r="54" spans="1:6" x14ac:dyDescent="0.25">
      <c r="A54" s="2" t="s">
        <v>362</v>
      </c>
      <c r="B54" s="2" t="s">
        <v>1985</v>
      </c>
      <c r="C54" s="2" t="s">
        <v>363</v>
      </c>
      <c r="D54" s="2">
        <v>1</v>
      </c>
      <c r="E54" s="2" t="s">
        <v>304</v>
      </c>
    </row>
    <row r="55" spans="1:6" x14ac:dyDescent="0.25">
      <c r="A55" s="2"/>
      <c r="B55" s="2" t="s">
        <v>1985</v>
      </c>
      <c r="C55" s="2" t="s">
        <v>364</v>
      </c>
      <c r="D55" s="2">
        <v>0</v>
      </c>
      <c r="E55" s="2" t="s">
        <v>306</v>
      </c>
    </row>
    <row r="56" spans="1:6" x14ac:dyDescent="0.25">
      <c r="A56" s="2"/>
      <c r="B56" s="2" t="s">
        <v>1985</v>
      </c>
      <c r="C56" s="2" t="s">
        <v>365</v>
      </c>
      <c r="D56" s="2">
        <v>1</v>
      </c>
      <c r="E56" s="2" t="s">
        <v>366</v>
      </c>
    </row>
    <row r="57" spans="1:6" x14ac:dyDescent="0.25">
      <c r="A57" s="2"/>
      <c r="B57" s="2" t="s">
        <v>1993</v>
      </c>
      <c r="C57" s="2" t="s">
        <v>367</v>
      </c>
      <c r="D57" s="2">
        <v>1</v>
      </c>
      <c r="E57" s="2" t="s">
        <v>368</v>
      </c>
    </row>
    <row r="58" spans="1:6" x14ac:dyDescent="0.25">
      <c r="A58" s="2"/>
      <c r="B58" s="2" t="s">
        <v>1993</v>
      </c>
      <c r="C58" s="2" t="s">
        <v>369</v>
      </c>
      <c r="D58" s="2">
        <v>1</v>
      </c>
      <c r="E58" s="2" t="s">
        <v>370</v>
      </c>
    </row>
    <row r="59" spans="1:6" x14ac:dyDescent="0.25">
      <c r="A59" s="2"/>
      <c r="B59" s="2" t="s">
        <v>1997</v>
      </c>
      <c r="C59" s="2" t="s">
        <v>371</v>
      </c>
      <c r="D59" s="2">
        <v>1</v>
      </c>
      <c r="E59" s="2" t="s">
        <v>372</v>
      </c>
      <c r="F59">
        <v>1</v>
      </c>
    </row>
    <row r="60" spans="1:6" x14ac:dyDescent="0.25">
      <c r="A60" s="2"/>
      <c r="B60" s="2" t="s">
        <v>1996</v>
      </c>
      <c r="C60" s="2" t="s">
        <v>373</v>
      </c>
      <c r="D60" s="2">
        <v>0</v>
      </c>
      <c r="E60" s="2" t="s">
        <v>355</v>
      </c>
    </row>
    <row r="61" spans="1:6" x14ac:dyDescent="0.25">
      <c r="A61" s="2"/>
      <c r="B61" s="2" t="s">
        <v>1996</v>
      </c>
      <c r="C61" s="2" t="s">
        <v>374</v>
      </c>
      <c r="D61" s="2">
        <v>1</v>
      </c>
      <c r="E61" s="2" t="s">
        <v>357</v>
      </c>
    </row>
    <row r="62" spans="1:6" x14ac:dyDescent="0.25">
      <c r="A62" s="2"/>
      <c r="B62" s="2" t="s">
        <v>1996</v>
      </c>
      <c r="C62" s="2" t="s">
        <v>375</v>
      </c>
      <c r="D62" s="2">
        <v>1</v>
      </c>
      <c r="E62" s="2" t="s">
        <v>376</v>
      </c>
    </row>
    <row r="63" spans="1:6" x14ac:dyDescent="0.25">
      <c r="A63" s="2" t="s">
        <v>377</v>
      </c>
      <c r="B63" s="2" t="s">
        <v>1978</v>
      </c>
      <c r="C63" s="2" t="s">
        <v>1998</v>
      </c>
      <c r="D63" s="2">
        <v>1</v>
      </c>
      <c r="E63" s="2" t="s">
        <v>273</v>
      </c>
    </row>
    <row r="64" spans="1:6" x14ac:dyDescent="0.25">
      <c r="A64" s="2"/>
      <c r="B64" s="2" t="s">
        <v>1986</v>
      </c>
      <c r="C64" s="2" t="s">
        <v>1999</v>
      </c>
      <c r="D64" s="2">
        <v>1</v>
      </c>
      <c r="E64" s="2" t="s">
        <v>312</v>
      </c>
    </row>
    <row r="65" spans="1:14" x14ac:dyDescent="0.25">
      <c r="A65" s="2"/>
      <c r="B65" s="2" t="s">
        <v>1986</v>
      </c>
      <c r="C65" s="2" t="s">
        <v>2000</v>
      </c>
      <c r="D65" s="2">
        <v>0</v>
      </c>
      <c r="E65" s="2" t="s">
        <v>314</v>
      </c>
    </row>
    <row r="66" spans="1:14" x14ac:dyDescent="0.25">
      <c r="A66" s="2"/>
      <c r="B66" s="2" t="s">
        <v>2010</v>
      </c>
      <c r="C66" s="2" t="s">
        <v>2001</v>
      </c>
      <c r="D66" s="2">
        <v>1</v>
      </c>
      <c r="E66" s="2" t="s">
        <v>382</v>
      </c>
    </row>
    <row r="67" spans="1:14" x14ac:dyDescent="0.25">
      <c r="A67" s="2"/>
      <c r="B67" s="2" t="s">
        <v>2010</v>
      </c>
      <c r="C67" s="2" t="s">
        <v>2002</v>
      </c>
      <c r="D67" s="2">
        <v>1</v>
      </c>
      <c r="E67" s="2" t="s">
        <v>383</v>
      </c>
    </row>
    <row r="68" spans="1:14" x14ac:dyDescent="0.25">
      <c r="A68" s="2"/>
      <c r="B68" s="2" t="s">
        <v>2010</v>
      </c>
      <c r="C68" s="2" t="s">
        <v>2003</v>
      </c>
      <c r="D68" s="2">
        <v>1</v>
      </c>
      <c r="E68" s="2" t="s">
        <v>384</v>
      </c>
    </row>
    <row r="69" spans="1:14" x14ac:dyDescent="0.25">
      <c r="A69" s="2"/>
      <c r="B69" s="2" t="s">
        <v>2010</v>
      </c>
      <c r="C69" s="2" t="s">
        <v>2004</v>
      </c>
      <c r="D69" s="2">
        <v>0</v>
      </c>
      <c r="E69" s="2" t="s">
        <v>385</v>
      </c>
    </row>
    <row r="70" spans="1:14" x14ac:dyDescent="0.25">
      <c r="A70" s="2"/>
      <c r="B70" s="2" t="s">
        <v>2011</v>
      </c>
      <c r="C70" s="2" t="s">
        <v>2005</v>
      </c>
      <c r="D70" s="2">
        <v>1</v>
      </c>
      <c r="E70" s="2" t="s">
        <v>380</v>
      </c>
    </row>
    <row r="71" spans="1:14" x14ac:dyDescent="0.25">
      <c r="A71" s="2"/>
      <c r="B71" s="2" t="s">
        <v>2011</v>
      </c>
      <c r="C71" s="2" t="s">
        <v>2006</v>
      </c>
      <c r="D71" s="2">
        <v>0</v>
      </c>
      <c r="E71" s="2" t="s">
        <v>381</v>
      </c>
      <c r="F71">
        <v>1</v>
      </c>
    </row>
    <row r="72" spans="1:14" x14ac:dyDescent="0.25">
      <c r="A72" s="2"/>
      <c r="B72" s="2" t="s">
        <v>1989</v>
      </c>
      <c r="C72" t="s">
        <v>2007</v>
      </c>
      <c r="D72" s="2">
        <v>1</v>
      </c>
      <c r="E72" s="2" t="s">
        <v>328</v>
      </c>
    </row>
    <row r="73" spans="1:14" x14ac:dyDescent="0.25">
      <c r="A73" s="2"/>
      <c r="B73" s="2" t="s">
        <v>1991</v>
      </c>
      <c r="C73" t="s">
        <v>2008</v>
      </c>
      <c r="D73" s="2">
        <v>1</v>
      </c>
      <c r="E73" s="2" t="s">
        <v>378</v>
      </c>
    </row>
    <row r="74" spans="1:14" x14ac:dyDescent="0.25">
      <c r="A74" s="2"/>
      <c r="B74" s="2" t="s">
        <v>1991</v>
      </c>
      <c r="C74" t="s">
        <v>2009</v>
      </c>
      <c r="D74" s="2">
        <v>0</v>
      </c>
      <c r="E74" s="2" t="s">
        <v>379</v>
      </c>
    </row>
    <row r="75" spans="1:14" ht="19.5" customHeight="1" x14ac:dyDescent="0.25">
      <c r="A75" s="2" t="s">
        <v>386</v>
      </c>
      <c r="B75" s="2" t="s">
        <v>2012</v>
      </c>
      <c r="C75" s="2" t="s">
        <v>387</v>
      </c>
      <c r="D75" s="2">
        <v>0</v>
      </c>
      <c r="E75" s="2" t="s">
        <v>388</v>
      </c>
      <c r="N75" s="6" t="s">
        <v>389</v>
      </c>
    </row>
    <row r="76" spans="1:14" x14ac:dyDescent="0.25">
      <c r="A76" s="13"/>
      <c r="B76" s="2" t="s">
        <v>2012</v>
      </c>
      <c r="C76" s="2" t="s">
        <v>390</v>
      </c>
      <c r="D76" s="2">
        <v>0</v>
      </c>
      <c r="E76" s="2" t="s">
        <v>391</v>
      </c>
    </row>
    <row r="77" spans="1:14" x14ac:dyDescent="0.25">
      <c r="A77" s="2"/>
      <c r="B77" s="2" t="s">
        <v>2013</v>
      </c>
      <c r="C77" s="12" t="s">
        <v>392</v>
      </c>
      <c r="D77" s="12">
        <v>1</v>
      </c>
      <c r="E77" s="2" t="s">
        <v>393</v>
      </c>
    </row>
    <row r="78" spans="1:14" x14ac:dyDescent="0.25">
      <c r="A78" s="2"/>
      <c r="B78" s="2" t="s">
        <v>2013</v>
      </c>
      <c r="C78" s="2" t="s">
        <v>394</v>
      </c>
      <c r="D78" s="2">
        <v>1</v>
      </c>
      <c r="E78" s="2" t="s">
        <v>395</v>
      </c>
    </row>
    <row r="79" spans="1:14" x14ac:dyDescent="0.25">
      <c r="A79" s="2"/>
      <c r="B79" s="2" t="s">
        <v>2014</v>
      </c>
      <c r="C79" s="2" t="s">
        <v>396</v>
      </c>
      <c r="D79" s="2">
        <v>1</v>
      </c>
      <c r="E79" s="2" t="s">
        <v>397</v>
      </c>
    </row>
    <row r="80" spans="1:14" x14ac:dyDescent="0.25">
      <c r="A80" s="2"/>
      <c r="B80" s="2" t="s">
        <v>2014</v>
      </c>
      <c r="C80" s="2" t="s">
        <v>398</v>
      </c>
      <c r="D80" s="2">
        <v>1</v>
      </c>
      <c r="E80" s="2" t="s">
        <v>399</v>
      </c>
    </row>
    <row r="81" spans="1:6" x14ac:dyDescent="0.25">
      <c r="A81" s="2"/>
      <c r="B81" s="2" t="s">
        <v>2014</v>
      </c>
      <c r="C81" s="2" t="s">
        <v>400</v>
      </c>
      <c r="D81" s="2">
        <v>0</v>
      </c>
      <c r="E81" s="2" t="s">
        <v>401</v>
      </c>
    </row>
    <row r="82" spans="1:6" x14ac:dyDescent="0.25">
      <c r="A82" s="2"/>
      <c r="B82" s="2" t="s">
        <v>2015</v>
      </c>
      <c r="C82" s="2" t="s">
        <v>402</v>
      </c>
      <c r="D82" s="2">
        <v>0</v>
      </c>
      <c r="E82" s="2" t="s">
        <v>403</v>
      </c>
    </row>
    <row r="83" spans="1:6" x14ac:dyDescent="0.25">
      <c r="A83" s="2"/>
      <c r="B83" s="2" t="s">
        <v>2015</v>
      </c>
      <c r="C83" s="2" t="s">
        <v>404</v>
      </c>
      <c r="D83" s="2">
        <v>1</v>
      </c>
      <c r="E83" s="2" t="s">
        <v>405</v>
      </c>
    </row>
    <row r="84" spans="1:6" x14ac:dyDescent="0.25">
      <c r="A84" s="2"/>
      <c r="B84" s="2" t="s">
        <v>2015</v>
      </c>
      <c r="C84" s="2" t="s">
        <v>406</v>
      </c>
      <c r="D84" s="2">
        <v>0</v>
      </c>
      <c r="E84" s="2" t="s">
        <v>407</v>
      </c>
    </row>
    <row r="85" spans="1:6" x14ac:dyDescent="0.25">
      <c r="A85" s="2"/>
      <c r="B85" s="2" t="s">
        <v>2015</v>
      </c>
      <c r="C85" s="2" t="s">
        <v>408</v>
      </c>
      <c r="D85" s="2">
        <v>1</v>
      </c>
      <c r="E85" s="2" t="s">
        <v>409</v>
      </c>
    </row>
    <row r="86" spans="1:6" x14ac:dyDescent="0.25">
      <c r="A86" s="2" t="s">
        <v>410</v>
      </c>
      <c r="B86" s="2" t="s">
        <v>1981</v>
      </c>
      <c r="C86" s="2" t="s">
        <v>411</v>
      </c>
      <c r="D86" s="2">
        <v>1</v>
      </c>
      <c r="E86" s="2" t="s">
        <v>412</v>
      </c>
    </row>
    <row r="87" spans="1:6" x14ac:dyDescent="0.25">
      <c r="A87" s="2"/>
      <c r="B87" s="2" t="s">
        <v>1981</v>
      </c>
      <c r="C87" s="2" t="s">
        <v>413</v>
      </c>
      <c r="D87" s="2">
        <v>0</v>
      </c>
      <c r="E87" s="2" t="s">
        <v>414</v>
      </c>
    </row>
    <row r="88" spans="1:6" x14ac:dyDescent="0.25">
      <c r="A88" s="2"/>
      <c r="B88" s="2" t="s">
        <v>1981</v>
      </c>
      <c r="C88" s="2" t="s">
        <v>415</v>
      </c>
      <c r="D88" s="2">
        <v>1</v>
      </c>
      <c r="E88" s="2" t="s">
        <v>289</v>
      </c>
      <c r="F88">
        <v>1</v>
      </c>
    </row>
    <row r="89" spans="1:6" x14ac:dyDescent="0.25">
      <c r="A89" s="2"/>
      <c r="B89" s="2" t="s">
        <v>2016</v>
      </c>
      <c r="C89" s="2" t="s">
        <v>416</v>
      </c>
      <c r="D89" s="2">
        <v>1</v>
      </c>
      <c r="E89" s="2" t="s">
        <v>417</v>
      </c>
    </row>
    <row r="90" spans="1:6" x14ac:dyDescent="0.25">
      <c r="A90" s="2"/>
      <c r="B90" s="2" t="s">
        <v>2016</v>
      </c>
      <c r="C90" s="2" t="s">
        <v>418</v>
      </c>
      <c r="D90" s="2">
        <v>1</v>
      </c>
      <c r="E90" s="2" t="s">
        <v>419</v>
      </c>
    </row>
    <row r="91" spans="1:6" x14ac:dyDescent="0.25">
      <c r="A91" s="2"/>
      <c r="B91" s="2" t="s">
        <v>2016</v>
      </c>
      <c r="C91" s="2" t="s">
        <v>420</v>
      </c>
      <c r="D91" s="2">
        <v>0</v>
      </c>
      <c r="E91" s="2" t="s">
        <v>421</v>
      </c>
    </row>
    <row r="92" spans="1:6" x14ac:dyDescent="0.25">
      <c r="A92" s="2" t="s">
        <v>422</v>
      </c>
      <c r="B92" s="2" t="s">
        <v>2017</v>
      </c>
      <c r="C92" s="2" t="s">
        <v>423</v>
      </c>
      <c r="D92" s="2">
        <v>1</v>
      </c>
      <c r="E92" s="2" t="s">
        <v>424</v>
      </c>
    </row>
    <row r="93" spans="1:6" x14ac:dyDescent="0.25">
      <c r="A93" s="2"/>
      <c r="B93" s="2" t="s">
        <v>2017</v>
      </c>
      <c r="C93" s="2" t="s">
        <v>425</v>
      </c>
      <c r="D93" s="2">
        <v>1</v>
      </c>
      <c r="E93" s="2" t="s">
        <v>426</v>
      </c>
      <c r="F93">
        <v>1</v>
      </c>
    </row>
    <row r="94" spans="1:6" x14ac:dyDescent="0.25">
      <c r="A94" s="2"/>
      <c r="B94" s="2" t="s">
        <v>2017</v>
      </c>
      <c r="C94" s="2" t="s">
        <v>427</v>
      </c>
      <c r="D94" s="2">
        <v>0</v>
      </c>
      <c r="E94" s="2" t="s">
        <v>428</v>
      </c>
    </row>
    <row r="95" spans="1:6" x14ac:dyDescent="0.25">
      <c r="A95" s="2"/>
      <c r="B95" s="2" t="s">
        <v>2018</v>
      </c>
      <c r="C95" s="2" t="s">
        <v>429</v>
      </c>
      <c r="D95" s="2">
        <v>1</v>
      </c>
      <c r="E95" s="2" t="s">
        <v>430</v>
      </c>
    </row>
    <row r="96" spans="1:6" x14ac:dyDescent="0.25">
      <c r="A96" s="2"/>
      <c r="B96" s="2" t="s">
        <v>2019</v>
      </c>
      <c r="C96" s="2" t="s">
        <v>431</v>
      </c>
      <c r="D96" s="2">
        <v>1</v>
      </c>
      <c r="E96" s="2" t="s">
        <v>432</v>
      </c>
    </row>
    <row r="97" spans="1:9" x14ac:dyDescent="0.25">
      <c r="A97" s="2"/>
      <c r="B97" s="2" t="s">
        <v>2019</v>
      </c>
      <c r="C97" s="2" t="s">
        <v>433</v>
      </c>
      <c r="D97" s="2">
        <v>0</v>
      </c>
      <c r="E97" s="2" t="s">
        <v>434</v>
      </c>
    </row>
    <row r="98" spans="1:9" x14ac:dyDescent="0.25">
      <c r="A98" s="2"/>
      <c r="B98" s="2" t="s">
        <v>2019</v>
      </c>
      <c r="C98" s="2" t="s">
        <v>435</v>
      </c>
      <c r="D98" s="2">
        <v>0</v>
      </c>
      <c r="E98" s="2" t="s">
        <v>436</v>
      </c>
    </row>
    <row r="99" spans="1:9" x14ac:dyDescent="0.25">
      <c r="A99" s="2"/>
      <c r="B99" s="2" t="s">
        <v>1984</v>
      </c>
      <c r="C99" s="2" t="s">
        <v>437</v>
      </c>
      <c r="D99" s="2">
        <v>1</v>
      </c>
      <c r="E99" s="2" t="s">
        <v>438</v>
      </c>
      <c r="F99">
        <v>1</v>
      </c>
    </row>
    <row r="100" spans="1:9" x14ac:dyDescent="0.25">
      <c r="A100" s="2"/>
      <c r="B100" s="2" t="s">
        <v>1984</v>
      </c>
      <c r="C100" s="2" t="s">
        <v>439</v>
      </c>
      <c r="D100" s="2">
        <v>0</v>
      </c>
      <c r="E100" s="2" t="s">
        <v>440</v>
      </c>
    </row>
    <row r="101" spans="1:9" x14ac:dyDescent="0.25">
      <c r="A101" s="2"/>
      <c r="B101" s="2" t="s">
        <v>2020</v>
      </c>
      <c r="C101" s="2" t="s">
        <v>441</v>
      </c>
      <c r="D101" s="2">
        <v>1</v>
      </c>
      <c r="E101" s="2" t="s">
        <v>442</v>
      </c>
      <c r="I101" s="5" t="s">
        <v>443</v>
      </c>
    </row>
    <row r="102" spans="1:9" x14ac:dyDescent="0.25">
      <c r="A102" s="2"/>
      <c r="B102" s="2" t="s">
        <v>2020</v>
      </c>
      <c r="C102" s="2" t="s">
        <v>444</v>
      </c>
      <c r="D102" s="2">
        <v>0</v>
      </c>
      <c r="E102" s="2" t="s">
        <v>445</v>
      </c>
      <c r="I102" s="5" t="s">
        <v>443</v>
      </c>
    </row>
    <row r="103" spans="1:9" x14ac:dyDescent="0.25">
      <c r="A103" s="2"/>
      <c r="B103" s="2" t="s">
        <v>2020</v>
      </c>
      <c r="C103" s="2" t="s">
        <v>446</v>
      </c>
      <c r="D103" s="2">
        <v>1</v>
      </c>
      <c r="E103" s="2" t="s">
        <v>447</v>
      </c>
      <c r="I103" s="5" t="s">
        <v>443</v>
      </c>
    </row>
    <row r="104" spans="1:9" x14ac:dyDescent="0.25">
      <c r="A104" s="2"/>
      <c r="B104" s="2" t="s">
        <v>2020</v>
      </c>
      <c r="C104" s="2" t="s">
        <v>448</v>
      </c>
      <c r="D104" s="2">
        <v>1</v>
      </c>
      <c r="E104" s="2" t="s">
        <v>449</v>
      </c>
      <c r="I104" s="5" t="s">
        <v>443</v>
      </c>
    </row>
    <row r="105" spans="1:9" x14ac:dyDescent="0.25">
      <c r="A105" s="2" t="s">
        <v>450</v>
      </c>
      <c r="B105" s="2" t="s">
        <v>1978</v>
      </c>
      <c r="C105" s="2" t="s">
        <v>451</v>
      </c>
      <c r="D105" s="2">
        <v>1</v>
      </c>
      <c r="E105" s="2" t="s">
        <v>273</v>
      </c>
    </row>
    <row r="106" spans="1:9" x14ac:dyDescent="0.25">
      <c r="A106" s="2"/>
      <c r="B106" s="2" t="s">
        <v>2021</v>
      </c>
      <c r="C106" s="2" t="s">
        <v>452</v>
      </c>
      <c r="D106" s="2">
        <v>1</v>
      </c>
      <c r="E106" s="2" t="s">
        <v>453</v>
      </c>
    </row>
    <row r="107" spans="1:9" x14ac:dyDescent="0.25">
      <c r="A107" s="2"/>
      <c r="B107" s="2" t="s">
        <v>1981</v>
      </c>
      <c r="C107" s="2" t="s">
        <v>454</v>
      </c>
      <c r="D107" s="2">
        <v>1</v>
      </c>
      <c r="E107" s="2" t="s">
        <v>283</v>
      </c>
    </row>
    <row r="108" spans="1:9" x14ac:dyDescent="0.25">
      <c r="A108" s="2"/>
      <c r="B108" s="2" t="s">
        <v>2022</v>
      </c>
      <c r="C108" s="2" t="s">
        <v>455</v>
      </c>
      <c r="D108" s="2">
        <v>1</v>
      </c>
      <c r="E108" s="2" t="s">
        <v>456</v>
      </c>
    </row>
    <row r="109" spans="1:9" x14ac:dyDescent="0.25">
      <c r="A109" s="2"/>
      <c r="B109" s="2" t="s">
        <v>1983</v>
      </c>
      <c r="C109" s="2" t="s">
        <v>457</v>
      </c>
      <c r="D109" s="2">
        <v>0</v>
      </c>
      <c r="E109" s="2" t="s">
        <v>295</v>
      </c>
    </row>
    <row r="110" spans="1:9" x14ac:dyDescent="0.25">
      <c r="A110" s="2"/>
      <c r="B110" s="2" t="s">
        <v>2023</v>
      </c>
      <c r="C110" s="2" t="s">
        <v>458</v>
      </c>
      <c r="D110" s="2">
        <v>1</v>
      </c>
      <c r="E110" s="2" t="s">
        <v>459</v>
      </c>
    </row>
    <row r="111" spans="1:9" x14ac:dyDescent="0.25">
      <c r="A111" s="2"/>
      <c r="B111" s="2" t="s">
        <v>2023</v>
      </c>
      <c r="C111" s="2" t="s">
        <v>460</v>
      </c>
      <c r="D111" s="2">
        <v>1</v>
      </c>
      <c r="E111" s="2" t="s">
        <v>461</v>
      </c>
    </row>
    <row r="112" spans="1:9" x14ac:dyDescent="0.25">
      <c r="A112" s="2"/>
      <c r="B112" s="2" t="s">
        <v>1997</v>
      </c>
      <c r="C112" s="2" t="s">
        <v>462</v>
      </c>
      <c r="D112" s="2">
        <v>1</v>
      </c>
      <c r="E112" s="2" t="s">
        <v>372</v>
      </c>
      <c r="F112">
        <v>1</v>
      </c>
    </row>
    <row r="113" spans="1:5" x14ac:dyDescent="0.25">
      <c r="A113" s="2" t="s">
        <v>463</v>
      </c>
      <c r="B113" s="2" t="s">
        <v>1981</v>
      </c>
      <c r="C113" s="2" t="s">
        <v>464</v>
      </c>
      <c r="D113" s="2">
        <v>1</v>
      </c>
      <c r="E113" s="2" t="s">
        <v>465</v>
      </c>
    </row>
    <row r="114" spans="1:5" x14ac:dyDescent="0.25">
      <c r="A114" s="2"/>
      <c r="B114" s="2" t="s">
        <v>1981</v>
      </c>
      <c r="C114" s="2" t="s">
        <v>466</v>
      </c>
      <c r="D114" s="2">
        <v>1</v>
      </c>
      <c r="E114" s="2" t="s">
        <v>467</v>
      </c>
    </row>
    <row r="115" spans="1:5" x14ac:dyDescent="0.25">
      <c r="A115" s="2"/>
      <c r="B115" s="2" t="s">
        <v>1981</v>
      </c>
      <c r="C115" s="2" t="s">
        <v>468</v>
      </c>
      <c r="D115" s="2">
        <v>1</v>
      </c>
      <c r="E115" s="2" t="s">
        <v>469</v>
      </c>
    </row>
    <row r="116" spans="1:5" x14ac:dyDescent="0.25">
      <c r="A116" s="2"/>
      <c r="B116" s="2" t="s">
        <v>1993</v>
      </c>
      <c r="C116" s="2" t="s">
        <v>470</v>
      </c>
      <c r="D116" s="2">
        <v>1</v>
      </c>
      <c r="E116" s="2" t="s">
        <v>368</v>
      </c>
    </row>
    <row r="117" spans="1:5" x14ac:dyDescent="0.25">
      <c r="A117" s="2"/>
      <c r="B117" s="2" t="s">
        <v>1993</v>
      </c>
      <c r="C117" s="2" t="s">
        <v>471</v>
      </c>
      <c r="D117" s="2">
        <v>1</v>
      </c>
      <c r="E117" s="2" t="s">
        <v>370</v>
      </c>
    </row>
    <row r="118" spans="1:5" x14ac:dyDescent="0.25">
      <c r="A118" s="2"/>
      <c r="B118" s="2" t="s">
        <v>2024</v>
      </c>
      <c r="C118" s="2" t="s">
        <v>472</v>
      </c>
      <c r="D118" s="2">
        <v>1</v>
      </c>
      <c r="E118" s="2" t="s">
        <v>473</v>
      </c>
    </row>
    <row r="119" spans="1:5" x14ac:dyDescent="0.25">
      <c r="A119" s="2"/>
      <c r="B119" s="2" t="s">
        <v>2024</v>
      </c>
      <c r="C119" s="2" t="s">
        <v>474</v>
      </c>
      <c r="D119" s="2">
        <v>1</v>
      </c>
      <c r="E119" s="2" t="s">
        <v>475</v>
      </c>
    </row>
    <row r="120" spans="1:5" x14ac:dyDescent="0.25">
      <c r="A120" s="2"/>
      <c r="B120" s="2" t="s">
        <v>2024</v>
      </c>
      <c r="C120" s="2" t="s">
        <v>476</v>
      </c>
      <c r="D120" s="2">
        <v>0</v>
      </c>
      <c r="E120" s="2" t="s">
        <v>477</v>
      </c>
    </row>
    <row r="121" spans="1:5" x14ac:dyDescent="0.25">
      <c r="A121" s="2"/>
      <c r="B121" s="2" t="s">
        <v>1983</v>
      </c>
      <c r="C121" s="2" t="s">
        <v>478</v>
      </c>
      <c r="D121" s="2">
        <v>0</v>
      </c>
      <c r="E121" s="2" t="s">
        <v>295</v>
      </c>
    </row>
    <row r="122" spans="1:5" x14ac:dyDescent="0.25">
      <c r="A122" s="2"/>
      <c r="B122" s="2" t="s">
        <v>2025</v>
      </c>
      <c r="C122" s="2" t="s">
        <v>479</v>
      </c>
      <c r="D122" s="2">
        <v>1</v>
      </c>
      <c r="E122" s="2" t="s">
        <v>480</v>
      </c>
    </row>
    <row r="123" spans="1:5" x14ac:dyDescent="0.25">
      <c r="A123" s="2"/>
      <c r="B123" s="2" t="s">
        <v>2025</v>
      </c>
      <c r="C123" s="2" t="s">
        <v>481</v>
      </c>
      <c r="D123" s="2">
        <v>1</v>
      </c>
      <c r="E123" s="2" t="s">
        <v>482</v>
      </c>
    </row>
    <row r="124" spans="1:5" x14ac:dyDescent="0.25">
      <c r="A124" s="2"/>
      <c r="B124" s="2" t="s">
        <v>2025</v>
      </c>
      <c r="C124" s="2" t="s">
        <v>483</v>
      </c>
      <c r="D124" s="2">
        <v>1</v>
      </c>
      <c r="E124" s="2" t="s">
        <v>484</v>
      </c>
    </row>
    <row r="125" spans="1:5" x14ac:dyDescent="0.25">
      <c r="A125" s="2" t="s">
        <v>485</v>
      </c>
      <c r="B125" s="2" t="s">
        <v>1992</v>
      </c>
      <c r="C125" s="2" t="s">
        <v>486</v>
      </c>
      <c r="D125" s="2">
        <v>1</v>
      </c>
      <c r="E125" s="2" t="s">
        <v>487</v>
      </c>
    </row>
    <row r="126" spans="1:5" x14ac:dyDescent="0.25">
      <c r="A126" s="2"/>
      <c r="B126" s="2" t="s">
        <v>1992</v>
      </c>
      <c r="C126" s="2" t="s">
        <v>488</v>
      </c>
      <c r="D126" s="2">
        <v>1</v>
      </c>
      <c r="E126" s="2" t="s">
        <v>489</v>
      </c>
    </row>
    <row r="127" spans="1:5" x14ac:dyDescent="0.25">
      <c r="A127" s="2"/>
      <c r="B127" s="2" t="s">
        <v>2026</v>
      </c>
      <c r="C127" s="2" t="s">
        <v>490</v>
      </c>
      <c r="D127" s="2">
        <v>1</v>
      </c>
      <c r="E127" s="2" t="s">
        <v>312</v>
      </c>
    </row>
    <row r="128" spans="1:5" x14ac:dyDescent="0.25">
      <c r="A128" s="2"/>
      <c r="B128" s="2" t="s">
        <v>2026</v>
      </c>
      <c r="C128" s="2" t="s">
        <v>491</v>
      </c>
      <c r="D128" s="2">
        <v>0</v>
      </c>
      <c r="E128" s="2" t="s">
        <v>314</v>
      </c>
    </row>
    <row r="129" spans="1:6" x14ac:dyDescent="0.25">
      <c r="A129" s="2"/>
      <c r="B129" s="2" t="s">
        <v>2026</v>
      </c>
      <c r="C129" s="2" t="s">
        <v>492</v>
      </c>
      <c r="D129" s="2">
        <v>1</v>
      </c>
      <c r="E129" s="2" t="s">
        <v>493</v>
      </c>
    </row>
    <row r="130" spans="1:6" x14ac:dyDescent="0.25">
      <c r="A130" s="2"/>
      <c r="B130" s="2" t="s">
        <v>2027</v>
      </c>
      <c r="C130" s="2" t="s">
        <v>494</v>
      </c>
      <c r="D130" s="2">
        <v>1</v>
      </c>
      <c r="E130" s="2" t="s">
        <v>495</v>
      </c>
    </row>
    <row r="131" spans="1:6" x14ac:dyDescent="0.25">
      <c r="A131" s="2"/>
      <c r="B131" s="2" t="s">
        <v>2028</v>
      </c>
      <c r="C131" s="2" t="s">
        <v>496</v>
      </c>
      <c r="D131" s="2">
        <v>0</v>
      </c>
      <c r="E131" s="2" t="s">
        <v>497</v>
      </c>
    </row>
    <row r="132" spans="1:6" x14ac:dyDescent="0.25">
      <c r="A132" s="2"/>
      <c r="B132" s="2" t="s">
        <v>2028</v>
      </c>
      <c r="C132" s="2" t="s">
        <v>498</v>
      </c>
      <c r="D132" s="2">
        <v>1</v>
      </c>
      <c r="E132" s="2" t="s">
        <v>499</v>
      </c>
    </row>
    <row r="133" spans="1:6" x14ac:dyDescent="0.25">
      <c r="A133" s="2"/>
      <c r="B133" s="2" t="s">
        <v>2029</v>
      </c>
      <c r="C133" s="2" t="s">
        <v>500</v>
      </c>
      <c r="D133" s="2">
        <v>1</v>
      </c>
      <c r="E133" s="2" t="s">
        <v>501</v>
      </c>
    </row>
    <row r="134" spans="1:6" x14ac:dyDescent="0.25">
      <c r="A134" s="2"/>
      <c r="B134" s="2" t="s">
        <v>2029</v>
      </c>
      <c r="C134" s="2" t="s">
        <v>502</v>
      </c>
      <c r="D134" s="2">
        <v>0</v>
      </c>
      <c r="E134" s="2" t="s">
        <v>503</v>
      </c>
    </row>
    <row r="135" spans="1:6" x14ac:dyDescent="0.25">
      <c r="A135" s="2"/>
      <c r="B135" s="2" t="s">
        <v>2030</v>
      </c>
      <c r="C135" s="2" t="s">
        <v>504</v>
      </c>
      <c r="D135" s="2">
        <v>1</v>
      </c>
      <c r="E135" s="2" t="s">
        <v>505</v>
      </c>
    </row>
    <row r="136" spans="1:6" x14ac:dyDescent="0.25">
      <c r="A136" s="2" t="s">
        <v>506</v>
      </c>
      <c r="B136" s="2" t="s">
        <v>2031</v>
      </c>
      <c r="C136" s="2" t="s">
        <v>507</v>
      </c>
      <c r="D136" s="2">
        <v>0</v>
      </c>
      <c r="E136" s="2" t="s">
        <v>508</v>
      </c>
    </row>
    <row r="137" spans="1:6" x14ac:dyDescent="0.25">
      <c r="A137" s="2"/>
      <c r="B137" s="2" t="s">
        <v>2031</v>
      </c>
      <c r="C137" s="2" t="s">
        <v>509</v>
      </c>
      <c r="D137" s="2">
        <v>1</v>
      </c>
      <c r="E137" s="2" t="s">
        <v>510</v>
      </c>
    </row>
    <row r="138" spans="1:6" x14ac:dyDescent="0.25">
      <c r="A138" s="2"/>
      <c r="B138" s="2" t="s">
        <v>2031</v>
      </c>
      <c r="C138" s="2" t="s">
        <v>511</v>
      </c>
      <c r="D138" s="2">
        <v>1</v>
      </c>
      <c r="E138" s="2" t="s">
        <v>512</v>
      </c>
      <c r="F138">
        <v>1</v>
      </c>
    </row>
    <row r="139" spans="1:6" x14ac:dyDescent="0.25">
      <c r="A139" s="2"/>
      <c r="B139" s="2" t="s">
        <v>2032</v>
      </c>
      <c r="C139" s="2" t="s">
        <v>513</v>
      </c>
      <c r="D139" s="2">
        <v>0</v>
      </c>
      <c r="E139" s="2" t="s">
        <v>514</v>
      </c>
    </row>
    <row r="140" spans="1:6" x14ac:dyDescent="0.25">
      <c r="A140" s="2"/>
      <c r="B140" s="2" t="s">
        <v>2032</v>
      </c>
      <c r="C140" s="2" t="s">
        <v>515</v>
      </c>
      <c r="D140" s="2">
        <v>0</v>
      </c>
      <c r="E140" s="2" t="s">
        <v>516</v>
      </c>
    </row>
    <row r="141" spans="1:6" x14ac:dyDescent="0.25">
      <c r="A141" s="2"/>
      <c r="B141" s="2" t="s">
        <v>2033</v>
      </c>
      <c r="C141" s="2" t="s">
        <v>517</v>
      </c>
      <c r="D141" s="2">
        <v>1</v>
      </c>
      <c r="E141" s="2" t="s">
        <v>518</v>
      </c>
    </row>
    <row r="142" spans="1:6" x14ac:dyDescent="0.25">
      <c r="A142" s="2"/>
      <c r="B142" s="2" t="s">
        <v>2033</v>
      </c>
      <c r="C142" s="2" t="s">
        <v>519</v>
      </c>
      <c r="D142" s="2">
        <v>1</v>
      </c>
      <c r="E142" s="2" t="s">
        <v>520</v>
      </c>
    </row>
    <row r="143" spans="1:6" x14ac:dyDescent="0.25">
      <c r="A143" s="2"/>
      <c r="B143" s="2" t="s">
        <v>2033</v>
      </c>
      <c r="C143" s="2" t="s">
        <v>521</v>
      </c>
      <c r="D143" s="2">
        <v>1</v>
      </c>
      <c r="E143" s="2" t="s">
        <v>522</v>
      </c>
    </row>
    <row r="144" spans="1:6" x14ac:dyDescent="0.25">
      <c r="A144" s="2"/>
      <c r="B144" s="2" t="s">
        <v>2034</v>
      </c>
      <c r="C144" s="2" t="s">
        <v>523</v>
      </c>
      <c r="D144" s="2">
        <v>0</v>
      </c>
      <c r="E144" s="2" t="s">
        <v>524</v>
      </c>
    </row>
    <row r="145" spans="1:6" x14ac:dyDescent="0.25">
      <c r="A145" s="2"/>
      <c r="B145" s="2" t="s">
        <v>2034</v>
      </c>
      <c r="C145" s="2" t="s">
        <v>525</v>
      </c>
      <c r="D145" s="2">
        <v>1</v>
      </c>
      <c r="E145" s="2" t="s">
        <v>526</v>
      </c>
    </row>
    <row r="146" spans="1:6" x14ac:dyDescent="0.25">
      <c r="A146" s="2"/>
      <c r="B146" s="2" t="s">
        <v>2034</v>
      </c>
      <c r="C146" s="2" t="s">
        <v>527</v>
      </c>
      <c r="D146" s="2">
        <v>1</v>
      </c>
      <c r="E146" s="2" t="s">
        <v>283</v>
      </c>
    </row>
    <row r="147" spans="1:6" x14ac:dyDescent="0.25">
      <c r="A147" s="2"/>
      <c r="B147" s="2" t="s">
        <v>2034</v>
      </c>
      <c r="C147" s="2" t="s">
        <v>528</v>
      </c>
      <c r="D147" s="2">
        <v>1</v>
      </c>
      <c r="E147" s="2" t="s">
        <v>529</v>
      </c>
    </row>
    <row r="148" spans="1:6" x14ac:dyDescent="0.25">
      <c r="A148" s="2"/>
      <c r="B148" s="2" t="s">
        <v>2034</v>
      </c>
      <c r="C148" s="2" t="s">
        <v>530</v>
      </c>
      <c r="D148" s="2">
        <v>1</v>
      </c>
      <c r="E148" s="2" t="s">
        <v>531</v>
      </c>
    </row>
    <row r="149" spans="1:6" x14ac:dyDescent="0.25">
      <c r="A149" s="2"/>
      <c r="B149" s="2" t="s">
        <v>2035</v>
      </c>
      <c r="C149" s="2" t="s">
        <v>532</v>
      </c>
      <c r="D149" s="2">
        <v>0</v>
      </c>
      <c r="E149" s="2" t="s">
        <v>533</v>
      </c>
    </row>
    <row r="150" spans="1:6" x14ac:dyDescent="0.25">
      <c r="A150" s="2"/>
      <c r="B150" s="2" t="s">
        <v>2035</v>
      </c>
      <c r="C150" s="2" t="s">
        <v>534</v>
      </c>
      <c r="D150" s="2">
        <v>0</v>
      </c>
      <c r="E150" s="2" t="s">
        <v>535</v>
      </c>
    </row>
    <row r="151" spans="1:6" x14ac:dyDescent="0.25">
      <c r="A151" s="2"/>
      <c r="B151" s="2" t="s">
        <v>2035</v>
      </c>
      <c r="C151" s="2" t="s">
        <v>536</v>
      </c>
      <c r="D151" s="2">
        <v>1</v>
      </c>
      <c r="E151" s="2" t="s">
        <v>537</v>
      </c>
    </row>
    <row r="152" spans="1:6" x14ac:dyDescent="0.25">
      <c r="A152" s="2"/>
      <c r="B152" s="2" t="s">
        <v>2036</v>
      </c>
      <c r="C152" s="2" t="s">
        <v>538</v>
      </c>
      <c r="D152" s="2">
        <v>1</v>
      </c>
      <c r="E152" s="2" t="s">
        <v>539</v>
      </c>
      <c r="F152">
        <v>1</v>
      </c>
    </row>
    <row r="153" spans="1:6" x14ac:dyDescent="0.25">
      <c r="A153" s="2"/>
      <c r="B153" s="2" t="s">
        <v>2036</v>
      </c>
      <c r="C153" s="2" t="s">
        <v>540</v>
      </c>
      <c r="D153" s="2">
        <v>0</v>
      </c>
      <c r="E153" s="2" t="s">
        <v>541</v>
      </c>
    </row>
    <row r="154" spans="1:6" x14ac:dyDescent="0.25">
      <c r="A154" s="2"/>
      <c r="B154" s="2" t="s">
        <v>2037</v>
      </c>
      <c r="C154" s="2" t="s">
        <v>542</v>
      </c>
      <c r="D154" s="2">
        <v>0</v>
      </c>
      <c r="E154" s="2" t="s">
        <v>543</v>
      </c>
    </row>
    <row r="155" spans="1:6" x14ac:dyDescent="0.25">
      <c r="A155" s="2"/>
      <c r="B155" s="2" t="s">
        <v>2037</v>
      </c>
      <c r="C155" s="2" t="s">
        <v>544</v>
      </c>
      <c r="D155" s="2">
        <v>1</v>
      </c>
      <c r="E155" s="2" t="s">
        <v>545</v>
      </c>
    </row>
    <row r="156" spans="1:6" x14ac:dyDescent="0.25">
      <c r="A156" s="2"/>
      <c r="B156" s="2" t="s">
        <v>1995</v>
      </c>
      <c r="C156" s="2" t="s">
        <v>546</v>
      </c>
      <c r="D156" s="2">
        <v>1</v>
      </c>
      <c r="E156" s="2" t="s">
        <v>547</v>
      </c>
    </row>
    <row r="157" spans="1:6" x14ac:dyDescent="0.25">
      <c r="A157" s="2"/>
      <c r="B157" s="2" t="s">
        <v>1984</v>
      </c>
      <c r="C157" s="2" t="s">
        <v>548</v>
      </c>
      <c r="D157" s="2">
        <v>1</v>
      </c>
      <c r="E157" s="2" t="s">
        <v>549</v>
      </c>
      <c r="F157">
        <v>1</v>
      </c>
    </row>
    <row r="158" spans="1:6" x14ac:dyDescent="0.25">
      <c r="A158" s="2"/>
      <c r="B158" s="2" t="s">
        <v>1984</v>
      </c>
      <c r="C158" s="2" t="s">
        <v>550</v>
      </c>
      <c r="D158" s="2">
        <v>0</v>
      </c>
      <c r="E158" s="2" t="s">
        <v>551</v>
      </c>
    </row>
    <row r="159" spans="1:6" x14ac:dyDescent="0.25">
      <c r="A159" s="2" t="s">
        <v>552</v>
      </c>
      <c r="B159" s="2" t="s">
        <v>2038</v>
      </c>
      <c r="C159" s="2" t="s">
        <v>553</v>
      </c>
      <c r="D159" s="2">
        <v>1</v>
      </c>
      <c r="E159" s="2" t="s">
        <v>273</v>
      </c>
    </row>
    <row r="160" spans="1:6" x14ac:dyDescent="0.25">
      <c r="A160" s="2"/>
      <c r="B160" s="2" t="s">
        <v>2012</v>
      </c>
      <c r="C160" s="2" t="s">
        <v>554</v>
      </c>
      <c r="D160" s="2">
        <v>0</v>
      </c>
      <c r="E160" s="2" t="s">
        <v>391</v>
      </c>
    </row>
    <row r="161" spans="1:6" x14ac:dyDescent="0.25">
      <c r="A161" s="2"/>
      <c r="B161" s="2" t="s">
        <v>2012</v>
      </c>
      <c r="C161" s="2" t="s">
        <v>555</v>
      </c>
      <c r="D161" s="2">
        <v>1</v>
      </c>
      <c r="E161" s="2" t="s">
        <v>556</v>
      </c>
    </row>
    <row r="162" spans="1:6" x14ac:dyDescent="0.25">
      <c r="A162" s="2"/>
      <c r="B162" s="2" t="s">
        <v>2016</v>
      </c>
      <c r="C162" s="2" t="s">
        <v>557</v>
      </c>
      <c r="D162" s="2">
        <v>0</v>
      </c>
      <c r="E162" s="2" t="s">
        <v>558</v>
      </c>
    </row>
    <row r="163" spans="1:6" x14ac:dyDescent="0.25">
      <c r="A163" s="2"/>
      <c r="B163" s="2" t="s">
        <v>2016</v>
      </c>
      <c r="C163" s="2" t="s">
        <v>559</v>
      </c>
      <c r="D163" s="2">
        <v>1</v>
      </c>
      <c r="E163" s="2" t="s">
        <v>560</v>
      </c>
    </row>
    <row r="164" spans="1:6" x14ac:dyDescent="0.25">
      <c r="A164" s="2"/>
      <c r="B164" s="2" t="s">
        <v>2039</v>
      </c>
      <c r="C164" s="2" t="s">
        <v>561</v>
      </c>
      <c r="D164" s="2">
        <v>1</v>
      </c>
      <c r="E164" s="2" t="s">
        <v>562</v>
      </c>
    </row>
    <row r="165" spans="1:6" x14ac:dyDescent="0.25">
      <c r="A165" s="2" t="s">
        <v>563</v>
      </c>
      <c r="B165" s="2" t="s">
        <v>2044</v>
      </c>
      <c r="C165" s="2" t="s">
        <v>2040</v>
      </c>
      <c r="D165" s="2">
        <v>1</v>
      </c>
      <c r="E165" s="2" t="s">
        <v>564</v>
      </c>
    </row>
    <row r="166" spans="1:6" x14ac:dyDescent="0.25">
      <c r="A166" s="2"/>
      <c r="B166" s="2" t="s">
        <v>2044</v>
      </c>
      <c r="C166" s="2" t="s">
        <v>2041</v>
      </c>
      <c r="D166" s="2">
        <v>1</v>
      </c>
      <c r="E166" s="2" t="s">
        <v>469</v>
      </c>
    </row>
    <row r="167" spans="1:6" x14ac:dyDescent="0.25">
      <c r="A167" s="2"/>
      <c r="B167" s="2" t="s">
        <v>2045</v>
      </c>
      <c r="C167" s="2" t="s">
        <v>2042</v>
      </c>
      <c r="D167" s="2">
        <v>1</v>
      </c>
      <c r="E167" s="2" t="s">
        <v>565</v>
      </c>
    </row>
    <row r="168" spans="1:6" x14ac:dyDescent="0.25">
      <c r="A168" s="2"/>
      <c r="B168" s="2" t="s">
        <v>2045</v>
      </c>
      <c r="C168" s="2" t="s">
        <v>2043</v>
      </c>
      <c r="D168" s="2">
        <v>1</v>
      </c>
      <c r="E168" s="2" t="s">
        <v>566</v>
      </c>
    </row>
    <row r="169" spans="1:6" x14ac:dyDescent="0.25">
      <c r="A169" s="2" t="s">
        <v>567</v>
      </c>
      <c r="B169" s="2" t="s">
        <v>1978</v>
      </c>
      <c r="C169" s="2" t="s">
        <v>568</v>
      </c>
      <c r="D169" s="2">
        <v>1</v>
      </c>
      <c r="E169" s="2" t="s">
        <v>273</v>
      </c>
    </row>
    <row r="170" spans="1:6" x14ac:dyDescent="0.25">
      <c r="A170" s="2"/>
      <c r="B170" s="2" t="s">
        <v>2046</v>
      </c>
      <c r="C170" s="2" t="s">
        <v>569</v>
      </c>
      <c r="D170" s="2">
        <v>1</v>
      </c>
      <c r="E170" s="2" t="s">
        <v>570</v>
      </c>
    </row>
    <row r="171" spans="1:6" x14ac:dyDescent="0.25">
      <c r="A171" s="2"/>
      <c r="B171" s="2" t="s">
        <v>2046</v>
      </c>
      <c r="C171" s="2" t="s">
        <v>571</v>
      </c>
      <c r="D171" s="2">
        <v>1</v>
      </c>
      <c r="E171" s="2" t="s">
        <v>572</v>
      </c>
    </row>
    <row r="172" spans="1:6" x14ac:dyDescent="0.25">
      <c r="A172" s="2"/>
      <c r="B172" s="2" t="s">
        <v>2047</v>
      </c>
      <c r="C172" s="2" t="s">
        <v>573</v>
      </c>
      <c r="D172" s="2">
        <v>1</v>
      </c>
      <c r="E172" s="2" t="s">
        <v>574</v>
      </c>
    </row>
    <row r="173" spans="1:6" x14ac:dyDescent="0.25">
      <c r="A173" s="2"/>
      <c r="B173" s="2" t="s">
        <v>2047</v>
      </c>
      <c r="C173" s="2" t="s">
        <v>575</v>
      </c>
      <c r="D173" s="2">
        <v>1</v>
      </c>
      <c r="E173" s="2" t="s">
        <v>576</v>
      </c>
    </row>
    <row r="174" spans="1:6" x14ac:dyDescent="0.25">
      <c r="A174" s="2"/>
      <c r="B174" s="2" t="s">
        <v>2048</v>
      </c>
      <c r="C174" s="2" t="s">
        <v>577</v>
      </c>
      <c r="D174" s="2">
        <v>0</v>
      </c>
      <c r="E174" s="2" t="s">
        <v>578</v>
      </c>
    </row>
    <row r="175" spans="1:6" x14ac:dyDescent="0.25">
      <c r="A175" s="2"/>
      <c r="B175" s="2" t="s">
        <v>2048</v>
      </c>
      <c r="C175" s="2" t="s">
        <v>579</v>
      </c>
      <c r="D175" s="2">
        <v>1</v>
      </c>
      <c r="E175" s="2" t="s">
        <v>580</v>
      </c>
      <c r="F175">
        <v>1</v>
      </c>
    </row>
    <row r="176" spans="1:6" x14ac:dyDescent="0.25">
      <c r="A176" s="2" t="s">
        <v>581</v>
      </c>
      <c r="B176" s="2" t="s">
        <v>1985</v>
      </c>
      <c r="C176" s="2" t="s">
        <v>582</v>
      </c>
      <c r="D176" s="2">
        <v>1</v>
      </c>
      <c r="E176" s="2" t="s">
        <v>583</v>
      </c>
    </row>
    <row r="177" spans="1:5" x14ac:dyDescent="0.25">
      <c r="A177" s="2"/>
      <c r="B177" s="2" t="s">
        <v>1985</v>
      </c>
      <c r="C177" s="2" t="s">
        <v>584</v>
      </c>
      <c r="D177" s="2">
        <v>0</v>
      </c>
      <c r="E177" s="2" t="s">
        <v>306</v>
      </c>
    </row>
    <row r="178" spans="1:5" x14ac:dyDescent="0.25">
      <c r="A178" s="2"/>
      <c r="B178" s="2" t="s">
        <v>1992</v>
      </c>
      <c r="C178" s="2" t="s">
        <v>585</v>
      </c>
      <c r="D178" s="2">
        <v>0</v>
      </c>
      <c r="E178" s="2" t="s">
        <v>586</v>
      </c>
    </row>
    <row r="179" spans="1:5" x14ac:dyDescent="0.25">
      <c r="A179" s="2"/>
      <c r="B179" s="2" t="s">
        <v>1978</v>
      </c>
      <c r="C179" s="2" t="s">
        <v>587</v>
      </c>
      <c r="D179" s="2">
        <v>1</v>
      </c>
      <c r="E179" s="2" t="s">
        <v>588</v>
      </c>
    </row>
    <row r="180" spans="1:5" x14ac:dyDescent="0.25">
      <c r="A180" s="2"/>
      <c r="B180" s="2" t="s">
        <v>1986</v>
      </c>
      <c r="C180" s="2" t="s">
        <v>589</v>
      </c>
      <c r="D180" s="2">
        <v>1</v>
      </c>
      <c r="E180" s="2" t="s">
        <v>312</v>
      </c>
    </row>
    <row r="181" spans="1:5" x14ac:dyDescent="0.25">
      <c r="A181" s="2"/>
      <c r="B181" s="2" t="s">
        <v>1986</v>
      </c>
      <c r="C181" s="2" t="s">
        <v>590</v>
      </c>
      <c r="D181" s="2">
        <v>1</v>
      </c>
      <c r="E181" s="2" t="s">
        <v>493</v>
      </c>
    </row>
    <row r="182" spans="1:5" x14ac:dyDescent="0.25">
      <c r="A182" s="2"/>
      <c r="B182" s="2" t="s">
        <v>1986</v>
      </c>
      <c r="C182" s="2" t="s">
        <v>591</v>
      </c>
      <c r="D182" s="2">
        <v>0</v>
      </c>
      <c r="E182" s="2" t="s">
        <v>314</v>
      </c>
    </row>
    <row r="183" spans="1:5" x14ac:dyDescent="0.25">
      <c r="A183" s="2"/>
      <c r="B183" s="2" t="s">
        <v>1979</v>
      </c>
      <c r="C183" s="2" t="s">
        <v>592</v>
      </c>
      <c r="D183" s="2">
        <v>1</v>
      </c>
      <c r="E183" s="2" t="s">
        <v>275</v>
      </c>
    </row>
    <row r="184" spans="1:5" x14ac:dyDescent="0.25">
      <c r="A184" s="2"/>
      <c r="B184" s="2" t="s">
        <v>2049</v>
      </c>
      <c r="C184" s="2" t="s">
        <v>593</v>
      </c>
      <c r="D184" s="2">
        <v>0</v>
      </c>
      <c r="E184" s="2" t="s">
        <v>594</v>
      </c>
    </row>
    <row r="185" spans="1:5" x14ac:dyDescent="0.25">
      <c r="A185" s="2"/>
      <c r="B185" s="2" t="s">
        <v>1988</v>
      </c>
      <c r="C185" s="2" t="s">
        <v>595</v>
      </c>
      <c r="D185" s="2">
        <v>1</v>
      </c>
      <c r="E185" s="2" t="s">
        <v>349</v>
      </c>
    </row>
    <row r="186" spans="1:5" x14ac:dyDescent="0.25">
      <c r="A186" s="2"/>
      <c r="B186" s="2" t="s">
        <v>1988</v>
      </c>
      <c r="C186" s="2" t="s">
        <v>596</v>
      </c>
      <c r="D186" s="2">
        <v>1</v>
      </c>
      <c r="E186" s="2" t="s">
        <v>597</v>
      </c>
    </row>
    <row r="187" spans="1:5" x14ac:dyDescent="0.25">
      <c r="A187" s="2"/>
      <c r="B187" s="2" t="s">
        <v>2050</v>
      </c>
      <c r="C187" s="2" t="s">
        <v>598</v>
      </c>
      <c r="D187" s="2">
        <v>1</v>
      </c>
      <c r="E187" s="2" t="s">
        <v>599</v>
      </c>
    </row>
    <row r="188" spans="1:5" x14ac:dyDescent="0.25">
      <c r="A188" s="2"/>
      <c r="B188" s="2" t="s">
        <v>2051</v>
      </c>
      <c r="C188" s="2" t="s">
        <v>600</v>
      </c>
      <c r="D188" s="2">
        <v>1</v>
      </c>
      <c r="E188" s="2" t="s">
        <v>601</v>
      </c>
    </row>
    <row r="189" spans="1:5" x14ac:dyDescent="0.25">
      <c r="A189" s="2"/>
      <c r="B189" s="2" t="s">
        <v>2051</v>
      </c>
      <c r="C189" s="2" t="s">
        <v>602</v>
      </c>
      <c r="D189" s="2">
        <v>0</v>
      </c>
      <c r="E189" s="2" t="s">
        <v>603</v>
      </c>
    </row>
    <row r="190" spans="1:5" x14ac:dyDescent="0.25">
      <c r="A190" s="2"/>
      <c r="B190" s="2" t="s">
        <v>2052</v>
      </c>
      <c r="C190" s="2" t="s">
        <v>604</v>
      </c>
      <c r="D190" s="2">
        <v>1</v>
      </c>
      <c r="E190" s="2" t="s">
        <v>605</v>
      </c>
    </row>
    <row r="191" spans="1:5" x14ac:dyDescent="0.25">
      <c r="A191" s="2"/>
      <c r="B191" s="2" t="s">
        <v>2029</v>
      </c>
      <c r="C191" s="2" t="s">
        <v>606</v>
      </c>
      <c r="D191" s="2">
        <v>0</v>
      </c>
      <c r="E191" s="2" t="s">
        <v>503</v>
      </c>
    </row>
    <row r="192" spans="1:5" x14ac:dyDescent="0.25">
      <c r="A192" s="2"/>
      <c r="B192" s="2" t="s">
        <v>2030</v>
      </c>
      <c r="C192" s="2" t="s">
        <v>607</v>
      </c>
      <c r="D192" s="2">
        <v>1</v>
      </c>
      <c r="E192" s="2" t="s">
        <v>505</v>
      </c>
    </row>
    <row r="193" spans="1:5" x14ac:dyDescent="0.25">
      <c r="A193" s="2"/>
      <c r="B193" s="2" t="s">
        <v>2030</v>
      </c>
      <c r="C193" s="2" t="s">
        <v>608</v>
      </c>
      <c r="D193" s="2">
        <v>1</v>
      </c>
      <c r="E193" s="2" t="s">
        <v>609</v>
      </c>
    </row>
    <row r="194" spans="1:5" x14ac:dyDescent="0.25">
      <c r="A194" s="2" t="s">
        <v>610</v>
      </c>
      <c r="B194" s="2" t="s">
        <v>1985</v>
      </c>
      <c r="C194" s="2" t="s">
        <v>2053</v>
      </c>
      <c r="D194" s="2">
        <v>1</v>
      </c>
      <c r="E194" s="2" t="s">
        <v>583</v>
      </c>
    </row>
    <row r="195" spans="1:5" x14ac:dyDescent="0.25">
      <c r="A195" s="2"/>
      <c r="B195" s="2" t="s">
        <v>1985</v>
      </c>
      <c r="C195" s="2" t="s">
        <v>2054</v>
      </c>
      <c r="D195" s="2">
        <v>0</v>
      </c>
      <c r="E195" s="2" t="s">
        <v>306</v>
      </c>
    </row>
    <row r="196" spans="1:5" x14ac:dyDescent="0.25">
      <c r="A196" s="2"/>
      <c r="B196" s="2" t="s">
        <v>1986</v>
      </c>
      <c r="C196" s="2" t="s">
        <v>2055</v>
      </c>
      <c r="D196" s="2">
        <v>1</v>
      </c>
      <c r="E196" s="2" t="s">
        <v>633</v>
      </c>
    </row>
    <row r="197" spans="1:5" x14ac:dyDescent="0.25">
      <c r="A197" s="2"/>
      <c r="B197" s="2" t="s">
        <v>1986</v>
      </c>
      <c r="C197" s="2" t="s">
        <v>2056</v>
      </c>
      <c r="D197" s="2">
        <v>1</v>
      </c>
      <c r="E197" s="2" t="s">
        <v>493</v>
      </c>
    </row>
    <row r="198" spans="1:5" x14ac:dyDescent="0.25">
      <c r="A198" s="2"/>
      <c r="B198" s="2" t="s">
        <v>2021</v>
      </c>
      <c r="C198" s="2" t="s">
        <v>2057</v>
      </c>
      <c r="D198" s="2">
        <v>1</v>
      </c>
      <c r="E198" s="2" t="s">
        <v>626</v>
      </c>
    </row>
    <row r="199" spans="1:5" x14ac:dyDescent="0.25">
      <c r="A199" s="2"/>
      <c r="B199" s="2" t="s">
        <v>2021</v>
      </c>
      <c r="C199" s="2" t="s">
        <v>2058</v>
      </c>
      <c r="D199" s="2">
        <v>1</v>
      </c>
      <c r="E199" s="2" t="s">
        <v>627</v>
      </c>
    </row>
    <row r="200" spans="1:5" x14ac:dyDescent="0.25">
      <c r="A200" s="2"/>
      <c r="B200" s="2" t="s">
        <v>2021</v>
      </c>
      <c r="C200" s="2" t="s">
        <v>2059</v>
      </c>
      <c r="D200" s="2">
        <v>1</v>
      </c>
      <c r="E200" s="2" t="s">
        <v>628</v>
      </c>
    </row>
    <row r="201" spans="1:5" x14ac:dyDescent="0.25">
      <c r="A201" s="2"/>
      <c r="B201" s="2" t="s">
        <v>2021</v>
      </c>
      <c r="C201" s="2" t="s">
        <v>2060</v>
      </c>
      <c r="D201" s="2">
        <v>1</v>
      </c>
      <c r="E201" s="2" t="s">
        <v>629</v>
      </c>
    </row>
    <row r="202" spans="1:5" x14ac:dyDescent="0.25">
      <c r="A202" s="2"/>
      <c r="B202" s="2" t="s">
        <v>2021</v>
      </c>
      <c r="C202" s="2" t="s">
        <v>2061</v>
      </c>
      <c r="D202" s="2">
        <v>1</v>
      </c>
      <c r="E202" s="2" t="s">
        <v>630</v>
      </c>
    </row>
    <row r="203" spans="1:5" x14ac:dyDescent="0.25">
      <c r="A203" s="2"/>
      <c r="B203" s="2" t="s">
        <v>2021</v>
      </c>
      <c r="C203" s="2" t="s">
        <v>2062</v>
      </c>
      <c r="D203" s="2">
        <v>1</v>
      </c>
      <c r="E203" s="2" t="s">
        <v>631</v>
      </c>
    </row>
    <row r="204" spans="1:5" x14ac:dyDescent="0.25">
      <c r="A204" s="2"/>
      <c r="B204" s="2" t="s">
        <v>2021</v>
      </c>
      <c r="C204" s="2" t="s">
        <v>2063</v>
      </c>
      <c r="D204" s="2">
        <v>0</v>
      </c>
      <c r="E204" s="2" t="s">
        <v>632</v>
      </c>
    </row>
    <row r="205" spans="1:5" x14ac:dyDescent="0.25">
      <c r="A205" s="2"/>
      <c r="B205" s="2" t="s">
        <v>2081</v>
      </c>
      <c r="C205" s="2" t="s">
        <v>2064</v>
      </c>
      <c r="D205" s="2">
        <v>0</v>
      </c>
      <c r="E205" s="2" t="s">
        <v>611</v>
      </c>
    </row>
    <row r="206" spans="1:5" x14ac:dyDescent="0.25">
      <c r="A206" s="2"/>
      <c r="B206" s="2" t="s">
        <v>2081</v>
      </c>
      <c r="C206" s="2" t="s">
        <v>2065</v>
      </c>
      <c r="D206" s="2">
        <v>1</v>
      </c>
      <c r="E206" s="2" t="s">
        <v>612</v>
      </c>
    </row>
    <row r="207" spans="1:5" x14ac:dyDescent="0.25">
      <c r="A207" s="2"/>
      <c r="B207" s="2" t="s">
        <v>2081</v>
      </c>
      <c r="C207" s="2" t="s">
        <v>2066</v>
      </c>
      <c r="D207" s="2">
        <v>1</v>
      </c>
      <c r="E207" s="2" t="s">
        <v>613</v>
      </c>
    </row>
    <row r="208" spans="1:5" x14ac:dyDescent="0.25">
      <c r="A208" s="2"/>
      <c r="B208" s="2" t="s">
        <v>2082</v>
      </c>
      <c r="C208" s="2" t="s">
        <v>2067</v>
      </c>
      <c r="D208" s="2">
        <v>1</v>
      </c>
      <c r="E208" s="2" t="s">
        <v>621</v>
      </c>
    </row>
    <row r="209" spans="1:5" x14ac:dyDescent="0.25">
      <c r="A209" s="2"/>
      <c r="B209" s="2" t="s">
        <v>2082</v>
      </c>
      <c r="C209" s="2" t="s">
        <v>2068</v>
      </c>
      <c r="D209" s="2">
        <v>0</v>
      </c>
      <c r="E209" s="2" t="s">
        <v>622</v>
      </c>
    </row>
    <row r="210" spans="1:5" x14ac:dyDescent="0.25">
      <c r="A210" s="2"/>
      <c r="B210" s="2" t="s">
        <v>2049</v>
      </c>
      <c r="C210" s="2" t="s">
        <v>2069</v>
      </c>
      <c r="D210" s="2">
        <v>0</v>
      </c>
      <c r="E210" s="2" t="s">
        <v>614</v>
      </c>
    </row>
    <row r="211" spans="1:5" x14ac:dyDescent="0.25">
      <c r="A211" s="2"/>
      <c r="B211" s="2" t="s">
        <v>2049</v>
      </c>
      <c r="C211" s="2" t="s">
        <v>2070</v>
      </c>
      <c r="D211" s="2">
        <v>1</v>
      </c>
      <c r="E211" s="2" t="s">
        <v>615</v>
      </c>
    </row>
    <row r="212" spans="1:5" x14ac:dyDescent="0.25">
      <c r="A212" s="2"/>
      <c r="B212" s="2" t="s">
        <v>2083</v>
      </c>
      <c r="C212" s="2" t="s">
        <v>2071</v>
      </c>
      <c r="D212" s="2">
        <v>1</v>
      </c>
      <c r="E212" s="2" t="s">
        <v>616</v>
      </c>
    </row>
    <row r="213" spans="1:5" x14ac:dyDescent="0.25">
      <c r="A213" s="2"/>
      <c r="B213" s="2" t="s">
        <v>2083</v>
      </c>
      <c r="C213" s="2" t="s">
        <v>2072</v>
      </c>
      <c r="D213" s="2">
        <v>1</v>
      </c>
      <c r="E213" s="2" t="s">
        <v>617</v>
      </c>
    </row>
    <row r="214" spans="1:5" x14ac:dyDescent="0.25">
      <c r="A214" s="2"/>
      <c r="B214" s="2" t="s">
        <v>1988</v>
      </c>
      <c r="C214" s="2" t="s">
        <v>2073</v>
      </c>
      <c r="D214" s="2">
        <v>1</v>
      </c>
      <c r="E214" s="2" t="s">
        <v>634</v>
      </c>
    </row>
    <row r="215" spans="1:5" x14ac:dyDescent="0.25">
      <c r="A215" s="2"/>
      <c r="B215" s="2" t="s">
        <v>1988</v>
      </c>
      <c r="C215" s="2" t="s">
        <v>2074</v>
      </c>
      <c r="D215" s="2">
        <v>0</v>
      </c>
      <c r="E215" s="2" t="s">
        <v>635</v>
      </c>
    </row>
    <row r="216" spans="1:5" x14ac:dyDescent="0.25">
      <c r="A216" s="2"/>
      <c r="B216" s="2" t="s">
        <v>2084</v>
      </c>
      <c r="C216" s="2" t="s">
        <v>2075</v>
      </c>
      <c r="D216" s="2">
        <v>1</v>
      </c>
      <c r="E216" s="2" t="s">
        <v>618</v>
      </c>
    </row>
    <row r="217" spans="1:5" x14ac:dyDescent="0.25">
      <c r="A217" s="2"/>
      <c r="B217" s="2" t="s">
        <v>2084</v>
      </c>
      <c r="C217" s="2" t="s">
        <v>2076</v>
      </c>
      <c r="D217" s="2">
        <v>1</v>
      </c>
      <c r="E217" s="2" t="s">
        <v>619</v>
      </c>
    </row>
    <row r="218" spans="1:5" x14ac:dyDescent="0.25">
      <c r="A218" s="2"/>
      <c r="B218" s="2" t="s">
        <v>2084</v>
      </c>
      <c r="C218" s="2" t="s">
        <v>2077</v>
      </c>
      <c r="D218" s="2">
        <v>0</v>
      </c>
      <c r="E218" s="2" t="s">
        <v>620</v>
      </c>
    </row>
    <row r="219" spans="1:5" x14ac:dyDescent="0.25">
      <c r="A219" s="2"/>
      <c r="B219" s="2" t="s">
        <v>2085</v>
      </c>
      <c r="C219" s="2" t="s">
        <v>2078</v>
      </c>
      <c r="D219" s="2">
        <v>1</v>
      </c>
      <c r="E219" s="2" t="s">
        <v>623</v>
      </c>
    </row>
    <row r="220" spans="1:5" x14ac:dyDescent="0.25">
      <c r="A220" s="2"/>
      <c r="B220" s="2" t="s">
        <v>2085</v>
      </c>
      <c r="C220" s="2" t="s">
        <v>2079</v>
      </c>
      <c r="D220" s="2">
        <v>0</v>
      </c>
      <c r="E220" s="2" t="s">
        <v>624</v>
      </c>
    </row>
    <row r="221" spans="1:5" x14ac:dyDescent="0.25">
      <c r="A221" s="2"/>
      <c r="B221" s="2" t="s">
        <v>2085</v>
      </c>
      <c r="C221" s="2" t="s">
        <v>2080</v>
      </c>
      <c r="D221" s="2">
        <v>0</v>
      </c>
      <c r="E221" s="2" t="s">
        <v>625</v>
      </c>
    </row>
    <row r="222" spans="1:5" x14ac:dyDescent="0.25">
      <c r="A222" s="2" t="s">
        <v>636</v>
      </c>
      <c r="B222" s="2" t="s">
        <v>1980</v>
      </c>
      <c r="C222" s="2" t="s">
        <v>637</v>
      </c>
      <c r="D222" s="2">
        <v>1</v>
      </c>
      <c r="E222" s="2" t="s">
        <v>638</v>
      </c>
    </row>
    <row r="223" spans="1:5" x14ac:dyDescent="0.25">
      <c r="A223" s="2"/>
      <c r="B223" s="2" t="s">
        <v>1980</v>
      </c>
      <c r="C223" s="2" t="s">
        <v>639</v>
      </c>
      <c r="D223" s="2">
        <v>0</v>
      </c>
      <c r="E223" s="2" t="s">
        <v>640</v>
      </c>
    </row>
    <row r="224" spans="1:5" x14ac:dyDescent="0.25">
      <c r="A224" s="2"/>
      <c r="B224" s="2" t="s">
        <v>2086</v>
      </c>
      <c r="C224" s="2" t="s">
        <v>641</v>
      </c>
      <c r="D224" s="2">
        <v>1</v>
      </c>
      <c r="E224" s="2" t="s">
        <v>642</v>
      </c>
    </row>
    <row r="225" spans="1:6" x14ac:dyDescent="0.25">
      <c r="A225" s="2"/>
      <c r="B225" s="2" t="s">
        <v>2086</v>
      </c>
      <c r="C225" s="2" t="s">
        <v>643</v>
      </c>
      <c r="D225" s="2">
        <v>1</v>
      </c>
      <c r="E225" s="2" t="s">
        <v>644</v>
      </c>
    </row>
    <row r="226" spans="1:6" x14ac:dyDescent="0.25">
      <c r="A226" s="2"/>
      <c r="B226" s="2" t="s">
        <v>2086</v>
      </c>
      <c r="C226" s="2" t="s">
        <v>645</v>
      </c>
      <c r="D226" s="2">
        <v>1</v>
      </c>
      <c r="E226" s="2" t="s">
        <v>646</v>
      </c>
    </row>
    <row r="227" spans="1:6" x14ac:dyDescent="0.25">
      <c r="A227" s="2"/>
      <c r="B227" s="2" t="s">
        <v>2086</v>
      </c>
      <c r="C227" s="2" t="s">
        <v>647</v>
      </c>
      <c r="D227" s="2">
        <v>1</v>
      </c>
      <c r="E227" s="2" t="s">
        <v>648</v>
      </c>
    </row>
    <row r="228" spans="1:6" x14ac:dyDescent="0.25">
      <c r="A228" s="2"/>
      <c r="B228" s="2" t="s">
        <v>2087</v>
      </c>
      <c r="C228" s="2" t="s">
        <v>649</v>
      </c>
      <c r="D228" s="2">
        <v>1</v>
      </c>
      <c r="E228" s="2" t="s">
        <v>650</v>
      </c>
    </row>
    <row r="229" spans="1:6" x14ac:dyDescent="0.25">
      <c r="A229" s="2"/>
      <c r="B229" s="2" t="s">
        <v>2087</v>
      </c>
      <c r="C229" s="2" t="s">
        <v>651</v>
      </c>
      <c r="D229" s="2">
        <v>0</v>
      </c>
      <c r="E229" s="2" t="s">
        <v>652</v>
      </c>
    </row>
    <row r="230" spans="1:6" x14ac:dyDescent="0.25">
      <c r="A230" s="2"/>
      <c r="B230" s="2" t="s">
        <v>1984</v>
      </c>
      <c r="C230" s="2" t="s">
        <v>653</v>
      </c>
      <c r="D230" s="2">
        <v>1</v>
      </c>
      <c r="E230" s="2" t="s">
        <v>438</v>
      </c>
      <c r="F230">
        <v>1</v>
      </c>
    </row>
    <row r="231" spans="1:6" x14ac:dyDescent="0.25">
      <c r="A231" s="2"/>
      <c r="B231" s="2" t="s">
        <v>1984</v>
      </c>
      <c r="C231" s="2" t="s">
        <v>654</v>
      </c>
      <c r="D231" s="2">
        <v>0</v>
      </c>
      <c r="E231" s="2" t="s">
        <v>440</v>
      </c>
    </row>
    <row r="232" spans="1:6" x14ac:dyDescent="0.25">
      <c r="A232" s="2"/>
      <c r="B232" s="2" t="s">
        <v>2020</v>
      </c>
      <c r="C232" s="2" t="s">
        <v>655</v>
      </c>
      <c r="D232" s="2">
        <v>1</v>
      </c>
      <c r="E232" s="2" t="s">
        <v>656</v>
      </c>
    </row>
    <row r="233" spans="1:6" x14ac:dyDescent="0.25">
      <c r="A233" s="2"/>
      <c r="B233" s="2" t="s">
        <v>2020</v>
      </c>
      <c r="C233" s="2" t="s">
        <v>657</v>
      </c>
      <c r="D233" s="2">
        <v>0</v>
      </c>
      <c r="E233" s="2" t="s">
        <v>658</v>
      </c>
    </row>
    <row r="234" spans="1:6" x14ac:dyDescent="0.25">
      <c r="A234" s="2" t="s">
        <v>659</v>
      </c>
      <c r="B234" s="2" t="s">
        <v>1985</v>
      </c>
      <c r="C234" s="2" t="s">
        <v>660</v>
      </c>
      <c r="D234" s="2">
        <v>1</v>
      </c>
      <c r="E234" s="2" t="s">
        <v>583</v>
      </c>
    </row>
    <row r="235" spans="1:6" x14ac:dyDescent="0.25">
      <c r="A235" s="2"/>
      <c r="B235" s="2" t="s">
        <v>1985</v>
      </c>
      <c r="C235" s="2" t="s">
        <v>661</v>
      </c>
      <c r="D235" s="2">
        <v>0</v>
      </c>
      <c r="E235" s="2" t="s">
        <v>306</v>
      </c>
    </row>
    <row r="236" spans="1:6" x14ac:dyDescent="0.25">
      <c r="A236" s="2"/>
      <c r="B236" s="2" t="s">
        <v>1992</v>
      </c>
      <c r="C236" s="2" t="s">
        <v>662</v>
      </c>
      <c r="D236" s="2">
        <v>1</v>
      </c>
      <c r="E236" s="2" t="s">
        <v>663</v>
      </c>
    </row>
    <row r="237" spans="1:6" x14ac:dyDescent="0.25">
      <c r="A237" s="2"/>
      <c r="B237" s="2" t="s">
        <v>1978</v>
      </c>
      <c r="C237" s="2" t="s">
        <v>664</v>
      </c>
      <c r="D237" s="2">
        <v>1</v>
      </c>
      <c r="E237" s="2" t="s">
        <v>665</v>
      </c>
    </row>
    <row r="238" spans="1:6" x14ac:dyDescent="0.25">
      <c r="A238" s="2"/>
      <c r="B238" s="2" t="s">
        <v>1986</v>
      </c>
      <c r="C238" s="2" t="s">
        <v>666</v>
      </c>
      <c r="D238" s="2">
        <v>1</v>
      </c>
      <c r="E238" s="2" t="s">
        <v>633</v>
      </c>
    </row>
    <row r="239" spans="1:6" x14ac:dyDescent="0.25">
      <c r="A239" s="2"/>
      <c r="B239" s="2" t="s">
        <v>2021</v>
      </c>
      <c r="C239" s="2" t="s">
        <v>667</v>
      </c>
      <c r="D239" s="2">
        <v>1</v>
      </c>
      <c r="E239" s="2" t="s">
        <v>668</v>
      </c>
    </row>
    <row r="240" spans="1:6" x14ac:dyDescent="0.25">
      <c r="A240" s="2"/>
      <c r="B240" s="2" t="s">
        <v>2081</v>
      </c>
      <c r="C240" s="2" t="s">
        <v>669</v>
      </c>
      <c r="D240" s="2">
        <v>0</v>
      </c>
      <c r="E240" s="2" t="s">
        <v>611</v>
      </c>
    </row>
    <row r="241" spans="1:6" x14ac:dyDescent="0.25">
      <c r="A241" s="2"/>
      <c r="B241" s="2" t="s">
        <v>2081</v>
      </c>
      <c r="C241" s="2" t="s">
        <v>670</v>
      </c>
      <c r="D241" s="2">
        <v>1</v>
      </c>
      <c r="E241" s="2" t="s">
        <v>671</v>
      </c>
    </row>
    <row r="242" spans="1:6" x14ac:dyDescent="0.25">
      <c r="A242" s="2"/>
      <c r="B242" s="2" t="s">
        <v>1988</v>
      </c>
      <c r="C242" s="2" t="s">
        <v>672</v>
      </c>
      <c r="D242" s="2">
        <v>1</v>
      </c>
      <c r="E242" s="2" t="s">
        <v>673</v>
      </c>
    </row>
    <row r="243" spans="1:6" x14ac:dyDescent="0.25">
      <c r="A243" s="2"/>
      <c r="B243" s="2" t="s">
        <v>1988</v>
      </c>
      <c r="C243" s="2" t="s">
        <v>674</v>
      </c>
      <c r="D243" s="2">
        <v>1</v>
      </c>
      <c r="E243" s="2" t="s">
        <v>675</v>
      </c>
    </row>
    <row r="244" spans="1:6" x14ac:dyDescent="0.25">
      <c r="A244" s="2"/>
      <c r="B244" s="2" t="s">
        <v>2088</v>
      </c>
      <c r="C244" s="2" t="s">
        <v>676</v>
      </c>
      <c r="D244" s="2">
        <v>1</v>
      </c>
      <c r="E244" s="2" t="s">
        <v>677</v>
      </c>
    </row>
    <row r="245" spans="1:6" x14ac:dyDescent="0.25">
      <c r="A245" s="2"/>
      <c r="B245" s="2" t="s">
        <v>2088</v>
      </c>
      <c r="C245" s="2" t="s">
        <v>678</v>
      </c>
      <c r="D245" s="2">
        <v>1</v>
      </c>
      <c r="E245" s="2" t="s">
        <v>679</v>
      </c>
    </row>
    <row r="246" spans="1:6" x14ac:dyDescent="0.25">
      <c r="A246" s="2"/>
      <c r="B246" s="14" t="s">
        <v>2089</v>
      </c>
      <c r="C246" s="2" t="s">
        <v>680</v>
      </c>
      <c r="D246" s="2">
        <v>1</v>
      </c>
      <c r="E246" s="2" t="s">
        <v>681</v>
      </c>
      <c r="F246">
        <v>1</v>
      </c>
    </row>
    <row r="247" spans="1:6" x14ac:dyDescent="0.25">
      <c r="A247" s="2" t="s">
        <v>682</v>
      </c>
      <c r="B247" s="2" t="s">
        <v>2090</v>
      </c>
      <c r="C247" s="2" t="s">
        <v>683</v>
      </c>
      <c r="D247" s="2">
        <v>1</v>
      </c>
      <c r="E247" s="2" t="s">
        <v>684</v>
      </c>
    </row>
    <row r="248" spans="1:6" x14ac:dyDescent="0.25">
      <c r="A248" s="2"/>
      <c r="B248" s="2" t="s">
        <v>2090</v>
      </c>
      <c r="C248" s="2" t="s">
        <v>685</v>
      </c>
      <c r="D248" s="2">
        <v>1</v>
      </c>
      <c r="E248" s="2" t="s">
        <v>686</v>
      </c>
      <c r="F248">
        <v>1</v>
      </c>
    </row>
    <row r="249" spans="1:6" x14ac:dyDescent="0.25">
      <c r="A249" s="2"/>
      <c r="B249" s="2" t="s">
        <v>1980</v>
      </c>
      <c r="C249" s="2" t="s">
        <v>687</v>
      </c>
      <c r="D249" s="2">
        <v>1</v>
      </c>
      <c r="E249" s="2" t="s">
        <v>638</v>
      </c>
    </row>
    <row r="250" spans="1:6" x14ac:dyDescent="0.25">
      <c r="A250" s="2"/>
      <c r="B250" s="2" t="s">
        <v>1980</v>
      </c>
      <c r="C250" s="2" t="s">
        <v>688</v>
      </c>
      <c r="D250" s="2">
        <v>1</v>
      </c>
      <c r="E250" s="2" t="s">
        <v>689</v>
      </c>
    </row>
    <row r="251" spans="1:6" x14ac:dyDescent="0.25">
      <c r="A251" s="2"/>
      <c r="B251" s="2" t="s">
        <v>1980</v>
      </c>
      <c r="C251" s="2" t="s">
        <v>690</v>
      </c>
      <c r="D251" s="2">
        <v>0</v>
      </c>
      <c r="E251" s="2" t="s">
        <v>640</v>
      </c>
    </row>
    <row r="252" spans="1:6" x14ac:dyDescent="0.25">
      <c r="A252" s="2"/>
      <c r="B252" s="2" t="s">
        <v>2091</v>
      </c>
      <c r="C252" s="2" t="s">
        <v>691</v>
      </c>
      <c r="D252" s="2">
        <v>1</v>
      </c>
      <c r="E252" s="2" t="s">
        <v>692</v>
      </c>
    </row>
    <row r="253" spans="1:6" x14ac:dyDescent="0.25">
      <c r="A253" s="2"/>
      <c r="B253" s="2" t="s">
        <v>2091</v>
      </c>
      <c r="C253" s="2" t="s">
        <v>693</v>
      </c>
      <c r="D253" s="2">
        <v>1</v>
      </c>
      <c r="E253" s="2" t="s">
        <v>694</v>
      </c>
    </row>
    <row r="254" spans="1:6" x14ac:dyDescent="0.25">
      <c r="A254" s="2"/>
      <c r="B254" s="2" t="s">
        <v>2091</v>
      </c>
      <c r="C254" s="2" t="s">
        <v>695</v>
      </c>
      <c r="D254" s="2">
        <v>1</v>
      </c>
      <c r="E254" s="2" t="s">
        <v>696</v>
      </c>
    </row>
    <row r="255" spans="1:6" x14ac:dyDescent="0.25">
      <c r="A255" s="2"/>
      <c r="B255" s="2" t="s">
        <v>2091</v>
      </c>
      <c r="C255" s="2" t="s">
        <v>697</v>
      </c>
      <c r="D255" s="2">
        <v>1</v>
      </c>
      <c r="E255" s="2" t="s">
        <v>698</v>
      </c>
      <c r="F255">
        <v>1</v>
      </c>
    </row>
    <row r="256" spans="1:6" x14ac:dyDescent="0.25">
      <c r="A256" s="2"/>
      <c r="B256" s="2" t="s">
        <v>2091</v>
      </c>
      <c r="C256" s="2" t="s">
        <v>699</v>
      </c>
      <c r="D256" s="2">
        <v>1</v>
      </c>
      <c r="E256" s="2" t="s">
        <v>700</v>
      </c>
      <c r="F256">
        <v>1</v>
      </c>
    </row>
    <row r="257" spans="1:5" x14ac:dyDescent="0.25">
      <c r="A257" s="2" t="s">
        <v>701</v>
      </c>
      <c r="B257" s="2" t="s">
        <v>1985</v>
      </c>
      <c r="C257" s="2" t="s">
        <v>702</v>
      </c>
      <c r="D257" s="2">
        <v>1</v>
      </c>
      <c r="E257" s="2" t="s">
        <v>583</v>
      </c>
    </row>
    <row r="258" spans="1:5" x14ac:dyDescent="0.25">
      <c r="A258" s="2"/>
      <c r="B258" s="2" t="s">
        <v>1985</v>
      </c>
      <c r="C258" s="2" t="s">
        <v>703</v>
      </c>
      <c r="D258" s="2">
        <v>0</v>
      </c>
      <c r="E258" s="2" t="s">
        <v>306</v>
      </c>
    </row>
    <row r="259" spans="1:5" x14ac:dyDescent="0.25">
      <c r="A259" s="2"/>
      <c r="B259" s="2" t="s">
        <v>1992</v>
      </c>
      <c r="C259" s="2" t="s">
        <v>704</v>
      </c>
      <c r="D259" s="2">
        <v>1</v>
      </c>
      <c r="E259" s="2" t="s">
        <v>705</v>
      </c>
    </row>
    <row r="260" spans="1:5" x14ac:dyDescent="0.25">
      <c r="A260" s="2"/>
      <c r="B260" s="2" t="s">
        <v>1978</v>
      </c>
      <c r="C260" s="2" t="s">
        <v>706</v>
      </c>
      <c r="D260" s="2">
        <v>1</v>
      </c>
      <c r="E260" s="2" t="s">
        <v>588</v>
      </c>
    </row>
    <row r="261" spans="1:5" x14ac:dyDescent="0.25">
      <c r="A261" s="2"/>
      <c r="B261" s="2" t="s">
        <v>1986</v>
      </c>
      <c r="C261" s="2" t="s">
        <v>707</v>
      </c>
      <c r="D261" s="2">
        <v>1</v>
      </c>
      <c r="E261" s="2" t="s">
        <v>312</v>
      </c>
    </row>
    <row r="262" spans="1:5" x14ac:dyDescent="0.25">
      <c r="A262" s="2"/>
      <c r="B262" s="2" t="s">
        <v>1986</v>
      </c>
      <c r="C262" s="2" t="s">
        <v>708</v>
      </c>
      <c r="D262" s="2">
        <v>1</v>
      </c>
      <c r="E262" s="2" t="s">
        <v>314</v>
      </c>
    </row>
    <row r="263" spans="1:5" x14ac:dyDescent="0.25">
      <c r="A263" s="2"/>
      <c r="B263" s="2" t="s">
        <v>1986</v>
      </c>
      <c r="C263" s="2" t="s">
        <v>709</v>
      </c>
      <c r="D263" s="2">
        <v>1</v>
      </c>
      <c r="E263" s="2" t="s">
        <v>493</v>
      </c>
    </row>
    <row r="264" spans="1:5" x14ac:dyDescent="0.25">
      <c r="A264" s="2"/>
      <c r="B264" s="2" t="s">
        <v>2021</v>
      </c>
      <c r="C264" s="2" t="s">
        <v>710</v>
      </c>
      <c r="D264" s="2">
        <v>1</v>
      </c>
      <c r="E264" s="2" t="s">
        <v>275</v>
      </c>
    </row>
    <row r="265" spans="1:5" x14ac:dyDescent="0.25">
      <c r="A265" s="2"/>
      <c r="B265" s="2" t="s">
        <v>1981</v>
      </c>
      <c r="C265" s="2" t="s">
        <v>711</v>
      </c>
      <c r="D265" s="2">
        <v>1</v>
      </c>
      <c r="E265" s="2" t="s">
        <v>283</v>
      </c>
    </row>
    <row r="266" spans="1:5" x14ac:dyDescent="0.25">
      <c r="A266" s="2"/>
      <c r="B266" s="2" t="s">
        <v>1981</v>
      </c>
      <c r="C266" s="2" t="s">
        <v>712</v>
      </c>
      <c r="D266" s="2">
        <v>0</v>
      </c>
      <c r="E266" s="2" t="s">
        <v>713</v>
      </c>
    </row>
    <row r="267" spans="1:5" x14ac:dyDescent="0.25">
      <c r="A267" s="2"/>
      <c r="B267" s="2" t="s">
        <v>2092</v>
      </c>
      <c r="C267" s="2" t="s">
        <v>714</v>
      </c>
      <c r="D267" s="2">
        <v>1</v>
      </c>
      <c r="E267" s="2" t="s">
        <v>715</v>
      </c>
    </row>
    <row r="268" spans="1:5" x14ac:dyDescent="0.25">
      <c r="A268" s="2"/>
      <c r="B268" s="2" t="s">
        <v>2092</v>
      </c>
      <c r="C268" s="2" t="s">
        <v>716</v>
      </c>
      <c r="D268" s="2">
        <v>1</v>
      </c>
      <c r="E268" s="2" t="s">
        <v>717</v>
      </c>
    </row>
    <row r="269" spans="1:5" x14ac:dyDescent="0.25">
      <c r="A269" s="2"/>
      <c r="B269" s="2" t="s">
        <v>2092</v>
      </c>
      <c r="C269" s="2" t="s">
        <v>718</v>
      </c>
      <c r="D269" s="2">
        <v>0</v>
      </c>
      <c r="E269" s="2" t="s">
        <v>381</v>
      </c>
    </row>
    <row r="270" spans="1:5" x14ac:dyDescent="0.25">
      <c r="A270" s="2"/>
      <c r="B270" s="2" t="s">
        <v>1995</v>
      </c>
      <c r="C270" s="2" t="s">
        <v>719</v>
      </c>
      <c r="D270" s="2">
        <v>1</v>
      </c>
      <c r="E270" s="2" t="s">
        <v>720</v>
      </c>
    </row>
    <row r="271" spans="1:5" x14ac:dyDescent="0.25">
      <c r="A271" s="2"/>
      <c r="B271" s="2" t="s">
        <v>1995</v>
      </c>
      <c r="C271" s="2" t="s">
        <v>721</v>
      </c>
      <c r="D271" s="2">
        <v>1</v>
      </c>
      <c r="E271" s="2" t="s">
        <v>722</v>
      </c>
    </row>
    <row r="272" spans="1:5" x14ac:dyDescent="0.25">
      <c r="A272" s="2" t="s">
        <v>723</v>
      </c>
      <c r="B272" s="2" t="s">
        <v>1985</v>
      </c>
      <c r="C272" s="2" t="s">
        <v>724</v>
      </c>
      <c r="D272" s="2">
        <v>1</v>
      </c>
      <c r="E272" s="2" t="s">
        <v>304</v>
      </c>
    </row>
    <row r="273" spans="1:6" x14ac:dyDescent="0.25">
      <c r="A273" s="2"/>
      <c r="B273" s="2" t="s">
        <v>1985</v>
      </c>
      <c r="C273" s="2" t="s">
        <v>725</v>
      </c>
      <c r="D273" s="2">
        <v>0</v>
      </c>
      <c r="E273" s="2" t="s">
        <v>306</v>
      </c>
    </row>
    <row r="274" spans="1:6" x14ac:dyDescent="0.25">
      <c r="A274" s="2"/>
      <c r="B274" s="2" t="s">
        <v>1985</v>
      </c>
      <c r="C274" s="2" t="s">
        <v>726</v>
      </c>
      <c r="D274" s="2">
        <v>1</v>
      </c>
      <c r="E274" s="2" t="s">
        <v>727</v>
      </c>
    </row>
    <row r="275" spans="1:6" x14ac:dyDescent="0.25">
      <c r="A275" s="2"/>
      <c r="B275" s="2" t="s">
        <v>1985</v>
      </c>
      <c r="C275" s="2" t="s">
        <v>728</v>
      </c>
      <c r="D275" s="2">
        <v>1</v>
      </c>
      <c r="E275" s="2" t="s">
        <v>729</v>
      </c>
    </row>
    <row r="276" spans="1:6" x14ac:dyDescent="0.25">
      <c r="A276" s="2"/>
      <c r="B276" s="2" t="s">
        <v>1992</v>
      </c>
      <c r="C276" s="2" t="s">
        <v>730</v>
      </c>
      <c r="D276" s="2">
        <v>1</v>
      </c>
      <c r="E276" s="2" t="s">
        <v>343</v>
      </c>
    </row>
    <row r="277" spans="1:6" x14ac:dyDescent="0.25">
      <c r="A277" s="2"/>
      <c r="B277" s="2" t="s">
        <v>2093</v>
      </c>
      <c r="C277" s="2" t="s">
        <v>731</v>
      </c>
      <c r="D277" s="2">
        <v>1</v>
      </c>
      <c r="E277" s="2" t="s">
        <v>732</v>
      </c>
    </row>
    <row r="278" spans="1:6" x14ac:dyDescent="0.25">
      <c r="A278" s="2"/>
      <c r="B278" s="2" t="s">
        <v>2093</v>
      </c>
      <c r="C278" s="2" t="s">
        <v>733</v>
      </c>
      <c r="D278" s="2">
        <v>1</v>
      </c>
      <c r="E278" s="2" t="s">
        <v>734</v>
      </c>
    </row>
    <row r="279" spans="1:6" x14ac:dyDescent="0.25">
      <c r="A279" s="2"/>
      <c r="B279" s="2" t="s">
        <v>2093</v>
      </c>
      <c r="C279" s="2" t="s">
        <v>735</v>
      </c>
      <c r="D279" s="2">
        <v>1</v>
      </c>
      <c r="E279" s="2" t="s">
        <v>736</v>
      </c>
    </row>
    <row r="280" spans="1:6" x14ac:dyDescent="0.25">
      <c r="A280" s="2"/>
      <c r="B280" s="2" t="s">
        <v>2093</v>
      </c>
      <c r="C280" s="2" t="s">
        <v>737</v>
      </c>
      <c r="D280" s="2">
        <v>1</v>
      </c>
      <c r="E280" s="2" t="s">
        <v>738</v>
      </c>
    </row>
    <row r="281" spans="1:6" x14ac:dyDescent="0.25">
      <c r="A281" s="2"/>
      <c r="B281" s="2" t="s">
        <v>2094</v>
      </c>
      <c r="C281" s="2" t="s">
        <v>739</v>
      </c>
      <c r="D281" s="2">
        <v>1</v>
      </c>
      <c r="E281" s="2" t="s">
        <v>740</v>
      </c>
    </row>
    <row r="282" spans="1:6" x14ac:dyDescent="0.25">
      <c r="A282" s="2"/>
      <c r="B282" s="2" t="s">
        <v>2094</v>
      </c>
      <c r="C282" s="2" t="s">
        <v>741</v>
      </c>
      <c r="D282" s="2">
        <v>1</v>
      </c>
      <c r="E282" s="2" t="s">
        <v>742</v>
      </c>
    </row>
    <row r="283" spans="1:6" x14ac:dyDescent="0.25">
      <c r="A283" s="2"/>
      <c r="B283" s="2" t="s">
        <v>2094</v>
      </c>
      <c r="C283" s="2" t="s">
        <v>743</v>
      </c>
      <c r="D283" s="2">
        <v>1</v>
      </c>
      <c r="E283" s="2" t="s">
        <v>744</v>
      </c>
    </row>
    <row r="284" spans="1:6" x14ac:dyDescent="0.25">
      <c r="A284" s="2"/>
      <c r="B284" s="2" t="s">
        <v>1993</v>
      </c>
      <c r="C284" s="2" t="s">
        <v>745</v>
      </c>
      <c r="D284" s="2">
        <v>1</v>
      </c>
      <c r="E284" s="2" t="s">
        <v>746</v>
      </c>
    </row>
    <row r="285" spans="1:6" x14ac:dyDescent="0.25">
      <c r="A285" s="2"/>
      <c r="B285" s="2" t="s">
        <v>1993</v>
      </c>
      <c r="C285" s="2" t="s">
        <v>747</v>
      </c>
      <c r="D285" s="2">
        <v>1</v>
      </c>
      <c r="E285" s="2" t="s">
        <v>748</v>
      </c>
    </row>
    <row r="286" spans="1:6" x14ac:dyDescent="0.25">
      <c r="A286" s="2"/>
      <c r="B286" s="2" t="s">
        <v>1993</v>
      </c>
      <c r="C286" s="2" t="s">
        <v>749</v>
      </c>
      <c r="D286" s="2">
        <v>1</v>
      </c>
      <c r="E286" s="2" t="s">
        <v>750</v>
      </c>
    </row>
    <row r="287" spans="1:6" x14ac:dyDescent="0.25">
      <c r="A287" s="2"/>
      <c r="B287" s="2" t="s">
        <v>1993</v>
      </c>
      <c r="C287" s="2" t="s">
        <v>751</v>
      </c>
      <c r="D287" s="2">
        <v>1</v>
      </c>
      <c r="E287" s="2" t="s">
        <v>347</v>
      </c>
      <c r="F287">
        <v>1</v>
      </c>
    </row>
    <row r="288" spans="1:6" x14ac:dyDescent="0.25">
      <c r="A288" s="2"/>
      <c r="B288" s="2" t="s">
        <v>1994</v>
      </c>
      <c r="C288" s="2" t="s">
        <v>752</v>
      </c>
      <c r="D288" s="2">
        <v>1</v>
      </c>
      <c r="E288" s="2" t="s">
        <v>753</v>
      </c>
    </row>
    <row r="289" spans="1:6" x14ac:dyDescent="0.25">
      <c r="A289" s="2"/>
      <c r="B289" s="2" t="s">
        <v>2095</v>
      </c>
      <c r="C289" s="2" t="s">
        <v>754</v>
      </c>
      <c r="D289" s="2">
        <v>1</v>
      </c>
      <c r="E289" s="2" t="s">
        <v>755</v>
      </c>
    </row>
    <row r="290" spans="1:6" x14ac:dyDescent="0.25">
      <c r="A290" s="2"/>
      <c r="B290" s="2" t="s">
        <v>2095</v>
      </c>
      <c r="C290" s="2" t="s">
        <v>756</v>
      </c>
      <c r="D290" s="2">
        <v>1</v>
      </c>
      <c r="E290" s="2" t="s">
        <v>757</v>
      </c>
    </row>
    <row r="291" spans="1:6" x14ac:dyDescent="0.25">
      <c r="A291" s="2"/>
      <c r="B291" s="2" t="s">
        <v>2095</v>
      </c>
      <c r="C291" s="2" t="s">
        <v>758</v>
      </c>
      <c r="D291" s="2">
        <v>1</v>
      </c>
      <c r="E291" s="2" t="s">
        <v>759</v>
      </c>
    </row>
    <row r="292" spans="1:6" x14ac:dyDescent="0.25">
      <c r="A292" s="2" t="s">
        <v>760</v>
      </c>
      <c r="B292" s="2" t="s">
        <v>2096</v>
      </c>
      <c r="C292" s="2" t="s">
        <v>761</v>
      </c>
      <c r="D292" s="2">
        <v>1</v>
      </c>
      <c r="E292" s="2" t="s">
        <v>273</v>
      </c>
    </row>
    <row r="293" spans="1:6" x14ac:dyDescent="0.25">
      <c r="A293" s="2"/>
      <c r="B293" s="2" t="s">
        <v>2097</v>
      </c>
      <c r="C293" s="2" t="s">
        <v>762</v>
      </c>
      <c r="D293" s="2">
        <v>0</v>
      </c>
      <c r="E293" s="2" t="s">
        <v>763</v>
      </c>
    </row>
    <row r="294" spans="1:6" x14ac:dyDescent="0.25">
      <c r="A294" s="2"/>
      <c r="B294" s="2" t="s">
        <v>2097</v>
      </c>
      <c r="C294" s="2" t="s">
        <v>764</v>
      </c>
      <c r="D294" s="2">
        <v>1</v>
      </c>
      <c r="E294" s="2" t="s">
        <v>765</v>
      </c>
    </row>
    <row r="295" spans="1:6" x14ac:dyDescent="0.25">
      <c r="A295" s="2"/>
      <c r="B295" s="2" t="s">
        <v>2097</v>
      </c>
      <c r="C295" s="2" t="s">
        <v>766</v>
      </c>
      <c r="D295" s="2">
        <v>1</v>
      </c>
      <c r="E295" s="2" t="s">
        <v>767</v>
      </c>
      <c r="F295">
        <v>1</v>
      </c>
    </row>
    <row r="296" spans="1:6" x14ac:dyDescent="0.25">
      <c r="A296" s="2"/>
      <c r="B296" s="2" t="s">
        <v>2098</v>
      </c>
      <c r="C296" s="2" t="s">
        <v>768</v>
      </c>
      <c r="D296" s="2">
        <v>0</v>
      </c>
      <c r="E296" s="2" t="s">
        <v>769</v>
      </c>
    </row>
    <row r="297" spans="1:6" x14ac:dyDescent="0.25">
      <c r="A297" s="2"/>
      <c r="B297" s="2" t="s">
        <v>2098</v>
      </c>
      <c r="C297" s="2" t="s">
        <v>770</v>
      </c>
      <c r="D297" s="2">
        <v>1</v>
      </c>
      <c r="E297" s="2" t="s">
        <v>771</v>
      </c>
    </row>
    <row r="298" spans="1:6" x14ac:dyDescent="0.25">
      <c r="A298" s="2"/>
      <c r="B298" s="2" t="s">
        <v>2099</v>
      </c>
      <c r="C298" s="2" t="s">
        <v>772</v>
      </c>
      <c r="D298" s="2">
        <v>1</v>
      </c>
      <c r="E298" s="2" t="s">
        <v>773</v>
      </c>
    </row>
    <row r="299" spans="1:6" x14ac:dyDescent="0.25">
      <c r="A299" s="2"/>
      <c r="B299" s="2" t="s">
        <v>2099</v>
      </c>
      <c r="C299" s="2" t="s">
        <v>774</v>
      </c>
      <c r="D299" s="2">
        <v>1</v>
      </c>
      <c r="E299" s="2" t="s">
        <v>775</v>
      </c>
      <c r="F299">
        <v>1</v>
      </c>
    </row>
    <row r="300" spans="1:6" x14ac:dyDescent="0.25">
      <c r="A300" s="2"/>
      <c r="B300" s="2" t="s">
        <v>2100</v>
      </c>
      <c r="C300" s="2" t="s">
        <v>776</v>
      </c>
      <c r="D300" s="2">
        <v>1</v>
      </c>
      <c r="E300" s="2" t="s">
        <v>777</v>
      </c>
    </row>
    <row r="301" spans="1:6" x14ac:dyDescent="0.25">
      <c r="A301" s="2"/>
      <c r="B301" s="2" t="s">
        <v>2100</v>
      </c>
      <c r="C301" s="2" t="s">
        <v>778</v>
      </c>
      <c r="D301" s="2">
        <v>0</v>
      </c>
      <c r="E301" s="2" t="s">
        <v>779</v>
      </c>
    </row>
    <row r="302" spans="1:6" x14ac:dyDescent="0.25">
      <c r="A302" s="2"/>
      <c r="B302" s="2" t="s">
        <v>2100</v>
      </c>
      <c r="C302" s="2" t="s">
        <v>780</v>
      </c>
      <c r="D302" s="2">
        <v>1</v>
      </c>
      <c r="E302" s="2" t="s">
        <v>781</v>
      </c>
      <c r="F302">
        <v>1</v>
      </c>
    </row>
    <row r="303" spans="1:6" x14ac:dyDescent="0.25">
      <c r="A303" s="2" t="s">
        <v>782</v>
      </c>
      <c r="B303" s="2" t="s">
        <v>2101</v>
      </c>
      <c r="C303" s="2" t="s">
        <v>798</v>
      </c>
      <c r="D303" s="2">
        <v>1</v>
      </c>
      <c r="E303" s="2" t="s">
        <v>273</v>
      </c>
    </row>
    <row r="304" spans="1:6" x14ac:dyDescent="0.25">
      <c r="A304" s="2"/>
      <c r="B304" s="2" t="s">
        <v>2101</v>
      </c>
      <c r="C304" s="2" t="s">
        <v>799</v>
      </c>
      <c r="D304" s="2">
        <v>1</v>
      </c>
      <c r="E304" s="2" t="s">
        <v>312</v>
      </c>
    </row>
    <row r="305" spans="1:6" x14ac:dyDescent="0.25">
      <c r="A305" s="2"/>
      <c r="B305" s="2" t="s">
        <v>2101</v>
      </c>
      <c r="C305" s="2" t="s">
        <v>800</v>
      </c>
      <c r="D305" s="2">
        <v>0</v>
      </c>
      <c r="E305" s="2" t="s">
        <v>801</v>
      </c>
    </row>
    <row r="306" spans="1:6" x14ac:dyDescent="0.25">
      <c r="A306" s="2"/>
      <c r="B306" s="2" t="s">
        <v>2102</v>
      </c>
      <c r="C306" s="2" t="s">
        <v>783</v>
      </c>
      <c r="D306" s="2">
        <v>1</v>
      </c>
      <c r="E306" s="2" t="s">
        <v>784</v>
      </c>
    </row>
    <row r="307" spans="1:6" x14ac:dyDescent="0.25">
      <c r="A307" s="2"/>
      <c r="B307" s="2" t="s">
        <v>2102</v>
      </c>
      <c r="C307" s="2" t="s">
        <v>785</v>
      </c>
      <c r="D307" s="2">
        <v>0</v>
      </c>
      <c r="E307" s="2" t="s">
        <v>786</v>
      </c>
    </row>
    <row r="308" spans="1:6" x14ac:dyDescent="0.25">
      <c r="A308" s="2"/>
      <c r="B308" s="2" t="s">
        <v>1980</v>
      </c>
      <c r="C308" s="2" t="s">
        <v>787</v>
      </c>
      <c r="D308" s="2">
        <v>0</v>
      </c>
      <c r="E308" s="2" t="s">
        <v>640</v>
      </c>
    </row>
    <row r="309" spans="1:6" x14ac:dyDescent="0.25">
      <c r="A309" s="2"/>
      <c r="B309" s="2" t="s">
        <v>1980</v>
      </c>
      <c r="C309" s="2" t="s">
        <v>788</v>
      </c>
      <c r="D309" s="2">
        <v>1</v>
      </c>
      <c r="E309" s="2" t="s">
        <v>789</v>
      </c>
    </row>
    <row r="310" spans="1:6" x14ac:dyDescent="0.25">
      <c r="A310" s="2"/>
      <c r="B310" s="2" t="s">
        <v>2103</v>
      </c>
      <c r="C310" s="2" t="s">
        <v>790</v>
      </c>
      <c r="D310" s="2">
        <v>1</v>
      </c>
      <c r="E310" s="2" t="s">
        <v>791</v>
      </c>
    </row>
    <row r="311" spans="1:6" x14ac:dyDescent="0.25">
      <c r="A311" s="2"/>
      <c r="B311" s="2" t="s">
        <v>2103</v>
      </c>
      <c r="C311" s="2" t="s">
        <v>792</v>
      </c>
      <c r="D311" s="2">
        <v>1</v>
      </c>
      <c r="E311" s="2" t="s">
        <v>793</v>
      </c>
    </row>
    <row r="312" spans="1:6" x14ac:dyDescent="0.25">
      <c r="A312" s="2"/>
      <c r="B312" s="2" t="s">
        <v>2103</v>
      </c>
      <c r="C312" s="2" t="s">
        <v>794</v>
      </c>
      <c r="D312" s="2">
        <v>1</v>
      </c>
      <c r="E312" s="2" t="s">
        <v>795</v>
      </c>
    </row>
    <row r="313" spans="1:6" x14ac:dyDescent="0.25">
      <c r="A313" s="2"/>
      <c r="B313" s="2" t="s">
        <v>2103</v>
      </c>
      <c r="C313" s="2" t="s">
        <v>796</v>
      </c>
      <c r="D313" s="2">
        <v>1</v>
      </c>
      <c r="E313" s="2" t="s">
        <v>797</v>
      </c>
    </row>
    <row r="314" spans="1:6" x14ac:dyDescent="0.25">
      <c r="A314" s="2"/>
      <c r="B314" s="2" t="s">
        <v>2104</v>
      </c>
      <c r="C314" s="2" t="s">
        <v>802</v>
      </c>
      <c r="D314" s="2">
        <v>1</v>
      </c>
      <c r="E314" s="2" t="s">
        <v>803</v>
      </c>
    </row>
    <row r="315" spans="1:6" x14ac:dyDescent="0.25">
      <c r="A315" s="2"/>
      <c r="B315" s="2" t="s">
        <v>2104</v>
      </c>
      <c r="C315" s="2" t="s">
        <v>804</v>
      </c>
      <c r="D315" s="2">
        <v>0</v>
      </c>
      <c r="E315" s="2" t="s">
        <v>805</v>
      </c>
    </row>
    <row r="316" spans="1:6" x14ac:dyDescent="0.25">
      <c r="A316" s="2" t="s">
        <v>806</v>
      </c>
      <c r="B316" s="2" t="s">
        <v>1980</v>
      </c>
      <c r="C316" s="2" t="s">
        <v>2394</v>
      </c>
      <c r="D316" s="2">
        <v>0</v>
      </c>
      <c r="E316" s="2" t="s">
        <v>640</v>
      </c>
    </row>
    <row r="317" spans="1:6" x14ac:dyDescent="0.25">
      <c r="A317" s="2"/>
      <c r="B317" s="2" t="s">
        <v>1980</v>
      </c>
      <c r="C317" s="2" t="s">
        <v>2395</v>
      </c>
      <c r="D317" s="2">
        <v>0</v>
      </c>
      <c r="E317" s="2" t="s">
        <v>807</v>
      </c>
    </row>
    <row r="318" spans="1:6" x14ac:dyDescent="0.25">
      <c r="A318" s="2"/>
      <c r="B318" s="2" t="s">
        <v>1980</v>
      </c>
      <c r="C318" s="2" t="s">
        <v>2396</v>
      </c>
      <c r="D318" s="2">
        <v>1</v>
      </c>
      <c r="E318" s="2" t="s">
        <v>808</v>
      </c>
    </row>
    <row r="319" spans="1:6" x14ac:dyDescent="0.25">
      <c r="A319" s="2"/>
      <c r="B319" s="2" t="s">
        <v>2406</v>
      </c>
      <c r="C319" s="2" t="s">
        <v>2401</v>
      </c>
      <c r="D319" s="2">
        <v>1</v>
      </c>
      <c r="E319" s="2" t="s">
        <v>813</v>
      </c>
    </row>
    <row r="320" spans="1:6" x14ac:dyDescent="0.25">
      <c r="A320" s="2"/>
      <c r="B320" s="2" t="s">
        <v>2406</v>
      </c>
      <c r="C320" s="2" t="s">
        <v>2402</v>
      </c>
      <c r="D320" s="2">
        <v>1</v>
      </c>
      <c r="E320" s="2" t="s">
        <v>814</v>
      </c>
      <c r="F320">
        <v>1</v>
      </c>
    </row>
    <row r="321" spans="1:5" x14ac:dyDescent="0.25">
      <c r="A321" s="2"/>
      <c r="B321" s="2" t="s">
        <v>2406</v>
      </c>
      <c r="C321" s="2" t="s">
        <v>2403</v>
      </c>
      <c r="D321" s="2">
        <v>1</v>
      </c>
      <c r="E321" s="2" t="s">
        <v>815</v>
      </c>
    </row>
    <row r="322" spans="1:5" x14ac:dyDescent="0.25">
      <c r="A322" s="2"/>
      <c r="B322" s="2" t="s">
        <v>2406</v>
      </c>
      <c r="C322" s="2" t="s">
        <v>2404</v>
      </c>
      <c r="D322" s="2">
        <v>1</v>
      </c>
      <c r="E322" s="2" t="s">
        <v>816</v>
      </c>
    </row>
    <row r="323" spans="1:5" x14ac:dyDescent="0.25">
      <c r="A323" s="2"/>
      <c r="B323" s="2" t="s">
        <v>2406</v>
      </c>
      <c r="C323" s="2" t="s">
        <v>2405</v>
      </c>
      <c r="D323" s="2">
        <v>1</v>
      </c>
      <c r="E323" s="2" t="s">
        <v>817</v>
      </c>
    </row>
    <row r="324" spans="1:5" x14ac:dyDescent="0.25">
      <c r="A324" s="2"/>
      <c r="B324" s="2" t="s">
        <v>2407</v>
      </c>
      <c r="C324" s="2" t="s">
        <v>2397</v>
      </c>
      <c r="D324" s="2">
        <v>0</v>
      </c>
      <c r="E324" s="2" t="s">
        <v>809</v>
      </c>
    </row>
    <row r="325" spans="1:5" x14ac:dyDescent="0.25">
      <c r="A325" s="2"/>
      <c r="B325" s="2" t="s">
        <v>2407</v>
      </c>
      <c r="C325" s="2" t="s">
        <v>2398</v>
      </c>
      <c r="D325" s="2">
        <v>1</v>
      </c>
      <c r="E325" s="2" t="s">
        <v>810</v>
      </c>
    </row>
    <row r="326" spans="1:5" x14ac:dyDescent="0.25">
      <c r="A326" s="2"/>
      <c r="B326" s="2" t="s">
        <v>2407</v>
      </c>
      <c r="C326" s="2" t="s">
        <v>2399</v>
      </c>
      <c r="D326" s="2">
        <v>1</v>
      </c>
      <c r="E326" s="2" t="s">
        <v>811</v>
      </c>
    </row>
    <row r="327" spans="1:5" x14ac:dyDescent="0.25">
      <c r="A327" s="2"/>
      <c r="B327" s="2" t="s">
        <v>2407</v>
      </c>
      <c r="C327" s="2" t="s">
        <v>2400</v>
      </c>
      <c r="D327" s="2">
        <v>1</v>
      </c>
      <c r="E327" s="2" t="s">
        <v>812</v>
      </c>
    </row>
    <row r="328" spans="1:5" x14ac:dyDescent="0.25">
      <c r="A328" s="2" t="s">
        <v>818</v>
      </c>
      <c r="B328" s="2" t="s">
        <v>2105</v>
      </c>
      <c r="C328" s="2" t="s">
        <v>819</v>
      </c>
      <c r="D328" s="2">
        <v>1</v>
      </c>
      <c r="E328" s="2" t="s">
        <v>820</v>
      </c>
    </row>
    <row r="329" spans="1:5" x14ac:dyDescent="0.25">
      <c r="A329" s="2"/>
      <c r="B329" s="2" t="s">
        <v>2105</v>
      </c>
      <c r="C329" s="2" t="s">
        <v>821</v>
      </c>
      <c r="D329" s="2">
        <v>1</v>
      </c>
      <c r="E329" s="2" t="s">
        <v>822</v>
      </c>
    </row>
    <row r="330" spans="1:5" x14ac:dyDescent="0.25">
      <c r="A330" s="2"/>
      <c r="B330" s="2" t="s">
        <v>2105</v>
      </c>
      <c r="C330" s="2" t="s">
        <v>823</v>
      </c>
      <c r="D330" s="2">
        <v>0</v>
      </c>
      <c r="E330" s="2" t="s">
        <v>306</v>
      </c>
    </row>
    <row r="331" spans="1:5" x14ac:dyDescent="0.25">
      <c r="A331" s="2"/>
      <c r="B331" s="2" t="s">
        <v>2105</v>
      </c>
      <c r="C331" s="2" t="s">
        <v>824</v>
      </c>
      <c r="D331" s="2">
        <v>1</v>
      </c>
      <c r="E331" s="2" t="s">
        <v>825</v>
      </c>
    </row>
    <row r="332" spans="1:5" x14ac:dyDescent="0.25">
      <c r="A332" s="2"/>
      <c r="B332" s="2" t="s">
        <v>1992</v>
      </c>
      <c r="C332" s="2" t="s">
        <v>826</v>
      </c>
      <c r="D332" s="2">
        <v>1</v>
      </c>
      <c r="E332" s="2" t="s">
        <v>827</v>
      </c>
    </row>
    <row r="333" spans="1:5" x14ac:dyDescent="0.25">
      <c r="A333" s="2"/>
      <c r="B333" s="2" t="s">
        <v>1986</v>
      </c>
      <c r="C333" s="2" t="s">
        <v>828</v>
      </c>
      <c r="D333" s="2">
        <v>1</v>
      </c>
      <c r="E333" s="2" t="s">
        <v>312</v>
      </c>
    </row>
    <row r="334" spans="1:5" x14ac:dyDescent="0.25">
      <c r="A334" s="2"/>
      <c r="B334" s="2" t="s">
        <v>1986</v>
      </c>
      <c r="C334" s="2" t="s">
        <v>829</v>
      </c>
      <c r="D334" s="2">
        <v>1</v>
      </c>
      <c r="E334" s="2" t="s">
        <v>316</v>
      </c>
    </row>
    <row r="335" spans="1:5" x14ac:dyDescent="0.25">
      <c r="A335" s="2"/>
      <c r="B335" s="2" t="s">
        <v>1986</v>
      </c>
      <c r="C335" s="2" t="s">
        <v>830</v>
      </c>
      <c r="D335" s="2">
        <v>0</v>
      </c>
      <c r="E335" s="2" t="s">
        <v>314</v>
      </c>
    </row>
    <row r="336" spans="1:5" x14ac:dyDescent="0.25">
      <c r="A336" s="2"/>
      <c r="B336" s="2" t="s">
        <v>2106</v>
      </c>
      <c r="C336" s="2" t="s">
        <v>831</v>
      </c>
      <c r="D336" s="2">
        <v>1</v>
      </c>
      <c r="E336" s="2" t="s">
        <v>832</v>
      </c>
    </row>
    <row r="337" spans="1:5" x14ac:dyDescent="0.25">
      <c r="A337" s="2"/>
      <c r="B337" s="2" t="s">
        <v>2106</v>
      </c>
      <c r="C337" s="2" t="s">
        <v>833</v>
      </c>
      <c r="D337" s="2">
        <v>1</v>
      </c>
      <c r="E337" s="2" t="s">
        <v>834</v>
      </c>
    </row>
    <row r="338" spans="1:5" x14ac:dyDescent="0.25">
      <c r="A338" s="2"/>
      <c r="B338" s="2" t="s">
        <v>2107</v>
      </c>
      <c r="C338" s="2" t="s">
        <v>835</v>
      </c>
      <c r="D338" s="2">
        <v>1</v>
      </c>
      <c r="E338" s="2" t="s">
        <v>836</v>
      </c>
    </row>
    <row r="339" spans="1:5" x14ac:dyDescent="0.25">
      <c r="A339" s="2"/>
      <c r="B339" s="2" t="s">
        <v>2107</v>
      </c>
      <c r="C339" s="2" t="s">
        <v>837</v>
      </c>
      <c r="D339" s="2">
        <v>1</v>
      </c>
      <c r="E339" s="2" t="s">
        <v>838</v>
      </c>
    </row>
    <row r="340" spans="1:5" x14ac:dyDescent="0.25">
      <c r="A340" s="2"/>
      <c r="B340" s="2" t="s">
        <v>2107</v>
      </c>
      <c r="C340" s="2" t="s">
        <v>839</v>
      </c>
      <c r="D340" s="2">
        <v>1</v>
      </c>
      <c r="E340" s="2" t="s">
        <v>840</v>
      </c>
    </row>
    <row r="341" spans="1:5" x14ac:dyDescent="0.25">
      <c r="A341" s="2"/>
      <c r="B341" s="2" t="s">
        <v>2107</v>
      </c>
      <c r="C341" s="2" t="s">
        <v>841</v>
      </c>
      <c r="D341" s="2">
        <v>0</v>
      </c>
      <c r="E341" s="2" t="s">
        <v>842</v>
      </c>
    </row>
    <row r="342" spans="1:5" x14ac:dyDescent="0.25">
      <c r="A342" s="2"/>
      <c r="B342" s="2" t="s">
        <v>1988</v>
      </c>
      <c r="C342" s="2" t="s">
        <v>843</v>
      </c>
      <c r="D342" s="2">
        <v>1</v>
      </c>
      <c r="E342" s="2" t="s">
        <v>844</v>
      </c>
    </row>
    <row r="343" spans="1:5" x14ac:dyDescent="0.25">
      <c r="A343" s="2"/>
      <c r="B343" s="2" t="s">
        <v>2108</v>
      </c>
      <c r="C343" s="2" t="s">
        <v>845</v>
      </c>
      <c r="D343" s="2">
        <v>1</v>
      </c>
      <c r="E343" s="2" t="s">
        <v>846</v>
      </c>
    </row>
    <row r="344" spans="1:5" x14ac:dyDescent="0.25">
      <c r="A344" s="2"/>
      <c r="B344" s="2" t="s">
        <v>2108</v>
      </c>
      <c r="C344" s="2" t="s">
        <v>847</v>
      </c>
      <c r="D344" s="2">
        <v>1</v>
      </c>
      <c r="E344" s="2" t="s">
        <v>848</v>
      </c>
    </row>
    <row r="345" spans="1:5" x14ac:dyDescent="0.25">
      <c r="A345" s="2"/>
      <c r="B345" s="2" t="s">
        <v>2108</v>
      </c>
      <c r="C345" s="2" t="s">
        <v>849</v>
      </c>
      <c r="D345" s="2">
        <v>1</v>
      </c>
      <c r="E345" s="2" t="s">
        <v>850</v>
      </c>
    </row>
    <row r="346" spans="1:5" x14ac:dyDescent="0.25">
      <c r="A346" s="2"/>
      <c r="B346" s="2" t="s">
        <v>2109</v>
      </c>
      <c r="C346" s="2" t="s">
        <v>851</v>
      </c>
      <c r="D346" s="2">
        <v>1</v>
      </c>
      <c r="E346" s="2" t="s">
        <v>852</v>
      </c>
    </row>
    <row r="347" spans="1:5" x14ac:dyDescent="0.25">
      <c r="A347" s="2"/>
      <c r="B347" s="2" t="s">
        <v>2109</v>
      </c>
      <c r="C347" s="2" t="s">
        <v>853</v>
      </c>
      <c r="D347" s="2">
        <v>0</v>
      </c>
      <c r="E347" s="2" t="s">
        <v>854</v>
      </c>
    </row>
    <row r="348" spans="1:5" x14ac:dyDescent="0.25">
      <c r="A348" s="2"/>
      <c r="B348" s="2" t="s">
        <v>2110</v>
      </c>
      <c r="C348" s="2" t="s">
        <v>855</v>
      </c>
      <c r="D348" s="2">
        <v>1</v>
      </c>
      <c r="E348" s="2" t="s">
        <v>856</v>
      </c>
    </row>
    <row r="349" spans="1:5" x14ac:dyDescent="0.25">
      <c r="A349" s="2"/>
      <c r="B349" s="2" t="s">
        <v>2110</v>
      </c>
      <c r="C349" s="2" t="s">
        <v>857</v>
      </c>
      <c r="D349" s="2">
        <v>1</v>
      </c>
      <c r="E349" s="2" t="s">
        <v>858</v>
      </c>
    </row>
    <row r="350" spans="1:5" x14ac:dyDescent="0.25">
      <c r="A350" s="2" t="s">
        <v>859</v>
      </c>
      <c r="B350" s="2" t="s">
        <v>1978</v>
      </c>
      <c r="C350" s="2" t="s">
        <v>860</v>
      </c>
      <c r="D350" s="2">
        <v>1</v>
      </c>
      <c r="E350" s="2" t="s">
        <v>273</v>
      </c>
    </row>
    <row r="351" spans="1:5" x14ac:dyDescent="0.25">
      <c r="A351" s="2"/>
      <c r="B351" s="2" t="s">
        <v>1979</v>
      </c>
      <c r="C351" s="2" t="s">
        <v>861</v>
      </c>
      <c r="D351" s="2">
        <v>1</v>
      </c>
      <c r="E351" s="2" t="s">
        <v>275</v>
      </c>
    </row>
    <row r="352" spans="1:5" x14ac:dyDescent="0.25">
      <c r="A352" s="2"/>
      <c r="B352" s="2" t="s">
        <v>1979</v>
      </c>
      <c r="C352" s="2" t="s">
        <v>862</v>
      </c>
      <c r="D352" s="2">
        <v>1</v>
      </c>
      <c r="E352" s="2" t="s">
        <v>277</v>
      </c>
    </row>
    <row r="353" spans="1:6" x14ac:dyDescent="0.25">
      <c r="A353" s="2"/>
      <c r="B353" s="2" t="s">
        <v>1981</v>
      </c>
      <c r="C353" s="2" t="s">
        <v>863</v>
      </c>
      <c r="D353" s="2">
        <v>1</v>
      </c>
      <c r="E353" s="2" t="s">
        <v>283</v>
      </c>
    </row>
    <row r="354" spans="1:6" x14ac:dyDescent="0.25">
      <c r="A354" s="2"/>
      <c r="B354" s="2" t="s">
        <v>1981</v>
      </c>
      <c r="C354" s="2" t="s">
        <v>864</v>
      </c>
      <c r="D354" s="2">
        <v>1</v>
      </c>
      <c r="E354" s="2" t="s">
        <v>289</v>
      </c>
      <c r="F354">
        <v>1</v>
      </c>
    </row>
    <row r="355" spans="1:6" x14ac:dyDescent="0.25">
      <c r="A355" s="2"/>
      <c r="B355" s="2" t="s">
        <v>2092</v>
      </c>
      <c r="C355" s="2" t="s">
        <v>865</v>
      </c>
      <c r="D355" s="2">
        <v>1</v>
      </c>
      <c r="E355" s="2" t="s">
        <v>866</v>
      </c>
    </row>
    <row r="356" spans="1:6" x14ac:dyDescent="0.25">
      <c r="A356" s="2"/>
      <c r="B356" s="2" t="s">
        <v>2092</v>
      </c>
      <c r="C356" s="2" t="s">
        <v>867</v>
      </c>
      <c r="D356" s="2">
        <v>1</v>
      </c>
      <c r="E356" s="2" t="s">
        <v>868</v>
      </c>
    </row>
    <row r="357" spans="1:6" x14ac:dyDescent="0.25">
      <c r="A357" s="2"/>
      <c r="B357" s="2" t="s">
        <v>2092</v>
      </c>
      <c r="C357" s="2" t="s">
        <v>869</v>
      </c>
      <c r="D357" s="2">
        <v>1</v>
      </c>
      <c r="E357" s="2" t="s">
        <v>870</v>
      </c>
    </row>
    <row r="358" spans="1:6" x14ac:dyDescent="0.25">
      <c r="A358" s="2"/>
      <c r="B358" s="2" t="s">
        <v>1983</v>
      </c>
      <c r="C358" s="2" t="s">
        <v>871</v>
      </c>
      <c r="D358" s="2">
        <v>0</v>
      </c>
      <c r="E358" s="2" t="s">
        <v>295</v>
      </c>
    </row>
    <row r="359" spans="1:6" x14ac:dyDescent="0.25">
      <c r="A359" s="2"/>
      <c r="B359" s="2" t="s">
        <v>1984</v>
      </c>
      <c r="C359" s="2" t="s">
        <v>872</v>
      </c>
      <c r="D359" s="2">
        <v>0</v>
      </c>
      <c r="E359" s="2" t="s">
        <v>873</v>
      </c>
    </row>
    <row r="360" spans="1:6" x14ac:dyDescent="0.25">
      <c r="A360" s="2"/>
      <c r="B360" s="2" t="s">
        <v>1984</v>
      </c>
      <c r="C360" s="2" t="s">
        <v>874</v>
      </c>
      <c r="D360" s="2">
        <v>1</v>
      </c>
      <c r="E360" s="2" t="s">
        <v>875</v>
      </c>
      <c r="F360">
        <v>1</v>
      </c>
    </row>
    <row r="361" spans="1:6" x14ac:dyDescent="0.25">
      <c r="A361" s="2"/>
      <c r="B361" s="2" t="s">
        <v>1984</v>
      </c>
      <c r="C361" s="2" t="s">
        <v>876</v>
      </c>
      <c r="D361" s="2">
        <v>1</v>
      </c>
      <c r="E361" s="2" t="s">
        <v>372</v>
      </c>
      <c r="F361">
        <v>1</v>
      </c>
    </row>
    <row r="362" spans="1:6" x14ac:dyDescent="0.25">
      <c r="A362" s="2" t="s">
        <v>877</v>
      </c>
      <c r="B362" s="2" t="s">
        <v>1986</v>
      </c>
      <c r="C362" s="2" t="s">
        <v>878</v>
      </c>
      <c r="D362" s="2">
        <v>1</v>
      </c>
      <c r="E362" s="2" t="s">
        <v>312</v>
      </c>
    </row>
    <row r="363" spans="1:6" x14ac:dyDescent="0.25">
      <c r="A363" s="2"/>
      <c r="B363" s="2" t="s">
        <v>2021</v>
      </c>
      <c r="C363" s="2" t="s">
        <v>879</v>
      </c>
      <c r="D363" s="2">
        <v>1</v>
      </c>
      <c r="E363" s="2" t="s">
        <v>880</v>
      </c>
    </row>
    <row r="364" spans="1:6" x14ac:dyDescent="0.25">
      <c r="A364" s="2"/>
      <c r="B364" s="2" t="s">
        <v>1993</v>
      </c>
      <c r="C364" s="2" t="s">
        <v>881</v>
      </c>
      <c r="D364" s="2">
        <v>1</v>
      </c>
      <c r="E364" s="2" t="s">
        <v>370</v>
      </c>
    </row>
    <row r="365" spans="1:6" x14ac:dyDescent="0.25">
      <c r="A365" s="2"/>
      <c r="B365" s="2" t="s">
        <v>2111</v>
      </c>
      <c r="C365" s="2" t="s">
        <v>882</v>
      </c>
      <c r="D365" s="2">
        <v>1</v>
      </c>
      <c r="E365" s="2" t="s">
        <v>883</v>
      </c>
    </row>
    <row r="366" spans="1:6" x14ac:dyDescent="0.25">
      <c r="A366" s="2"/>
      <c r="B366" s="2" t="s">
        <v>2111</v>
      </c>
      <c r="C366" s="2" t="s">
        <v>884</v>
      </c>
      <c r="D366" s="2">
        <v>1</v>
      </c>
      <c r="E366" s="2" t="s">
        <v>885</v>
      </c>
    </row>
    <row r="367" spans="1:6" x14ac:dyDescent="0.25">
      <c r="A367" s="2"/>
      <c r="B367" s="2" t="s">
        <v>2111</v>
      </c>
      <c r="C367" s="2" t="s">
        <v>886</v>
      </c>
      <c r="D367" s="2">
        <v>1</v>
      </c>
      <c r="E367" s="2" t="s">
        <v>887</v>
      </c>
    </row>
    <row r="368" spans="1:6" x14ac:dyDescent="0.25">
      <c r="A368" s="2"/>
      <c r="B368" s="2" t="s">
        <v>2092</v>
      </c>
      <c r="C368" s="2" t="s">
        <v>888</v>
      </c>
      <c r="D368" s="2">
        <v>1</v>
      </c>
      <c r="E368" s="2" t="s">
        <v>889</v>
      </c>
    </row>
    <row r="369" spans="1:6" x14ac:dyDescent="0.25">
      <c r="A369" s="2"/>
      <c r="B369" s="2" t="s">
        <v>1983</v>
      </c>
      <c r="C369" s="2" t="s">
        <v>890</v>
      </c>
      <c r="D369" s="2">
        <v>0</v>
      </c>
      <c r="E369" s="2" t="s">
        <v>295</v>
      </c>
    </row>
    <row r="370" spans="1:6" x14ac:dyDescent="0.25">
      <c r="A370" s="2" t="s">
        <v>891</v>
      </c>
      <c r="B370" s="2" t="s">
        <v>2112</v>
      </c>
      <c r="C370" s="2" t="s">
        <v>892</v>
      </c>
      <c r="D370" s="2">
        <v>1</v>
      </c>
      <c r="E370" s="2" t="s">
        <v>893</v>
      </c>
    </row>
    <row r="371" spans="1:6" x14ac:dyDescent="0.25">
      <c r="A371" s="2"/>
      <c r="B371" s="2" t="s">
        <v>2112</v>
      </c>
      <c r="C371" s="2" t="s">
        <v>894</v>
      </c>
      <c r="D371" s="2">
        <v>0</v>
      </c>
      <c r="E371" s="2" t="s">
        <v>895</v>
      </c>
    </row>
    <row r="372" spans="1:6" x14ac:dyDescent="0.25">
      <c r="A372" s="2"/>
      <c r="B372" s="2" t="s">
        <v>2113</v>
      </c>
      <c r="C372" s="2" t="s">
        <v>896</v>
      </c>
      <c r="D372" s="2">
        <v>1</v>
      </c>
      <c r="E372" s="2" t="s">
        <v>897</v>
      </c>
    </row>
    <row r="373" spans="1:6" x14ac:dyDescent="0.25">
      <c r="A373" s="2"/>
      <c r="B373" s="2" t="s">
        <v>2113</v>
      </c>
      <c r="C373" s="2" t="s">
        <v>898</v>
      </c>
      <c r="D373" s="2">
        <v>1</v>
      </c>
      <c r="E373" s="2" t="s">
        <v>899</v>
      </c>
      <c r="F373">
        <v>1</v>
      </c>
    </row>
    <row r="374" spans="1:6" x14ac:dyDescent="0.25">
      <c r="A374" s="2"/>
      <c r="B374" s="2" t="s">
        <v>1988</v>
      </c>
      <c r="C374" s="2" t="s">
        <v>900</v>
      </c>
      <c r="D374" s="2">
        <v>1</v>
      </c>
      <c r="E374" s="2" t="s">
        <v>349</v>
      </c>
    </row>
    <row r="375" spans="1:6" x14ac:dyDescent="0.25">
      <c r="A375" s="2"/>
      <c r="B375" s="2" t="s">
        <v>2114</v>
      </c>
      <c r="C375" s="2" t="s">
        <v>901</v>
      </c>
      <c r="D375" s="2">
        <v>1</v>
      </c>
      <c r="E375" s="2" t="s">
        <v>902</v>
      </c>
    </row>
    <row r="376" spans="1:6" x14ac:dyDescent="0.25">
      <c r="A376" s="2"/>
      <c r="B376" s="2" t="s">
        <v>2114</v>
      </c>
      <c r="C376" s="2" t="s">
        <v>903</v>
      </c>
      <c r="D376" s="2">
        <v>0</v>
      </c>
      <c r="E376" s="2" t="s">
        <v>904</v>
      </c>
    </row>
    <row r="377" spans="1:6" x14ac:dyDescent="0.25">
      <c r="A377" s="2"/>
      <c r="B377" s="2" t="s">
        <v>2115</v>
      </c>
      <c r="C377" s="2" t="s">
        <v>905</v>
      </c>
      <c r="D377" s="2">
        <v>1</v>
      </c>
      <c r="E377" s="2" t="s">
        <v>906</v>
      </c>
    </row>
    <row r="378" spans="1:6" x14ac:dyDescent="0.25">
      <c r="A378" s="2"/>
      <c r="B378" s="2" t="s">
        <v>2115</v>
      </c>
      <c r="C378" s="2" t="s">
        <v>907</v>
      </c>
      <c r="D378" s="2">
        <v>1</v>
      </c>
      <c r="E378" s="2" t="s">
        <v>908</v>
      </c>
    </row>
    <row r="379" spans="1:6" x14ac:dyDescent="0.25">
      <c r="A379" s="2"/>
      <c r="B379" s="2" t="s">
        <v>2115</v>
      </c>
      <c r="C379" s="2" t="s">
        <v>909</v>
      </c>
      <c r="D379" s="2">
        <v>1</v>
      </c>
      <c r="E379" s="2" t="s">
        <v>910</v>
      </c>
    </row>
    <row r="380" spans="1:6" x14ac:dyDescent="0.25">
      <c r="A380" s="2"/>
      <c r="B380" s="2" t="s">
        <v>1984</v>
      </c>
      <c r="C380" s="2" t="s">
        <v>911</v>
      </c>
      <c r="D380" s="2">
        <v>1</v>
      </c>
      <c r="E380" s="2" t="s">
        <v>912</v>
      </c>
    </row>
    <row r="381" spans="1:6" x14ac:dyDescent="0.25">
      <c r="A381" s="2"/>
      <c r="B381" s="2" t="s">
        <v>1984</v>
      </c>
      <c r="C381" s="2" t="s">
        <v>913</v>
      </c>
      <c r="D381" s="2">
        <v>1</v>
      </c>
      <c r="E381" s="2" t="s">
        <v>914</v>
      </c>
      <c r="F381">
        <v>1</v>
      </c>
    </row>
    <row r="382" spans="1:6" x14ac:dyDescent="0.25">
      <c r="A382" s="2"/>
      <c r="B382" s="2" t="s">
        <v>1984</v>
      </c>
      <c r="C382" s="2" t="s">
        <v>915</v>
      </c>
      <c r="D382" s="2">
        <v>0</v>
      </c>
      <c r="E382" s="2" t="s">
        <v>916</v>
      </c>
    </row>
    <row r="383" spans="1:6" x14ac:dyDescent="0.25">
      <c r="A383" s="2" t="s">
        <v>917</v>
      </c>
      <c r="B383" s="2" t="s">
        <v>2116</v>
      </c>
      <c r="C383" s="2" t="s">
        <v>918</v>
      </c>
      <c r="D383" s="2">
        <v>1</v>
      </c>
      <c r="E383" s="2" t="s">
        <v>308</v>
      </c>
    </row>
    <row r="384" spans="1:6" x14ac:dyDescent="0.25">
      <c r="A384" s="2"/>
      <c r="B384" s="2" t="s">
        <v>2117</v>
      </c>
      <c r="C384" s="2" t="s">
        <v>919</v>
      </c>
      <c r="D384" s="2">
        <v>1</v>
      </c>
      <c r="E384" s="2" t="s">
        <v>920</v>
      </c>
    </row>
    <row r="385" spans="1:6" x14ac:dyDescent="0.25">
      <c r="A385" s="2"/>
      <c r="B385" s="2" t="s">
        <v>2117</v>
      </c>
      <c r="C385" s="2" t="s">
        <v>921</v>
      </c>
      <c r="D385" s="2">
        <v>1</v>
      </c>
      <c r="E385" s="2" t="s">
        <v>922</v>
      </c>
    </row>
    <row r="386" spans="1:6" x14ac:dyDescent="0.25">
      <c r="A386" s="2"/>
      <c r="B386" s="2" t="s">
        <v>2117</v>
      </c>
      <c r="C386" s="2" t="s">
        <v>923</v>
      </c>
      <c r="D386" s="2">
        <v>1</v>
      </c>
      <c r="E386" s="2" t="s">
        <v>924</v>
      </c>
    </row>
    <row r="387" spans="1:6" x14ac:dyDescent="0.25">
      <c r="A387" s="2"/>
      <c r="B387" s="2" t="s">
        <v>1978</v>
      </c>
      <c r="C387" s="2" t="s">
        <v>925</v>
      </c>
      <c r="D387" s="2">
        <v>1</v>
      </c>
      <c r="E387" s="2" t="s">
        <v>310</v>
      </c>
    </row>
    <row r="388" spans="1:6" x14ac:dyDescent="0.25">
      <c r="A388" s="2"/>
      <c r="B388" s="2" t="s">
        <v>2118</v>
      </c>
      <c r="C388" s="2" t="s">
        <v>926</v>
      </c>
      <c r="D388" s="2">
        <v>1</v>
      </c>
      <c r="E388" s="2" t="s">
        <v>927</v>
      </c>
    </row>
    <row r="389" spans="1:6" x14ac:dyDescent="0.25">
      <c r="A389" s="2"/>
      <c r="B389" s="2" t="s">
        <v>1980</v>
      </c>
      <c r="C389" s="2" t="s">
        <v>928</v>
      </c>
      <c r="D389" s="2">
        <v>1</v>
      </c>
      <c r="E389" s="2" t="s">
        <v>929</v>
      </c>
    </row>
    <row r="390" spans="1:6" x14ac:dyDescent="0.25">
      <c r="A390" s="2"/>
      <c r="B390" s="2" t="s">
        <v>1980</v>
      </c>
      <c r="C390" s="2" t="s">
        <v>930</v>
      </c>
      <c r="D390" s="2">
        <v>0</v>
      </c>
      <c r="E390" s="2" t="s">
        <v>640</v>
      </c>
    </row>
    <row r="391" spans="1:6" x14ac:dyDescent="0.25">
      <c r="A391" s="2"/>
      <c r="B391" s="2" t="s">
        <v>1987</v>
      </c>
      <c r="C391" s="2" t="s">
        <v>931</v>
      </c>
      <c r="D391" s="2">
        <v>1</v>
      </c>
      <c r="E391" s="2" t="s">
        <v>932</v>
      </c>
    </row>
    <row r="392" spans="1:6" x14ac:dyDescent="0.25">
      <c r="A392" s="2"/>
      <c r="B392" s="2" t="s">
        <v>1987</v>
      </c>
      <c r="C392" s="2" t="s">
        <v>933</v>
      </c>
      <c r="D392" s="2">
        <v>1</v>
      </c>
      <c r="E392" s="2" t="s">
        <v>934</v>
      </c>
    </row>
    <row r="393" spans="1:6" x14ac:dyDescent="0.25">
      <c r="A393" s="2"/>
      <c r="B393" s="2" t="s">
        <v>2119</v>
      </c>
      <c r="C393" s="2" t="s">
        <v>935</v>
      </c>
      <c r="D393" s="2">
        <v>1</v>
      </c>
      <c r="E393" s="2" t="s">
        <v>936</v>
      </c>
    </row>
    <row r="394" spans="1:6" x14ac:dyDescent="0.25">
      <c r="A394" s="2"/>
      <c r="B394" s="2" t="s">
        <v>2119</v>
      </c>
      <c r="C394" s="2" t="s">
        <v>937</v>
      </c>
      <c r="D394" s="2">
        <v>0</v>
      </c>
      <c r="E394" s="2" t="s">
        <v>938</v>
      </c>
    </row>
    <row r="395" spans="1:6" x14ac:dyDescent="0.25">
      <c r="A395" s="2"/>
      <c r="B395" s="2" t="s">
        <v>2120</v>
      </c>
      <c r="C395" s="2" t="s">
        <v>939</v>
      </c>
      <c r="D395" s="2">
        <v>1</v>
      </c>
      <c r="E395" s="2" t="s">
        <v>383</v>
      </c>
    </row>
    <row r="396" spans="1:6" x14ac:dyDescent="0.25">
      <c r="A396" s="2"/>
      <c r="B396" s="2" t="s">
        <v>2120</v>
      </c>
      <c r="C396" s="2" t="s">
        <v>940</v>
      </c>
      <c r="D396" s="2">
        <v>1</v>
      </c>
      <c r="E396" s="2" t="s">
        <v>384</v>
      </c>
      <c r="F396">
        <v>1</v>
      </c>
    </row>
    <row r="397" spans="1:6" x14ac:dyDescent="0.25">
      <c r="A397" s="2"/>
      <c r="B397" s="2" t="s">
        <v>2120</v>
      </c>
      <c r="C397" s="2" t="s">
        <v>941</v>
      </c>
      <c r="D397" s="2">
        <v>1</v>
      </c>
      <c r="E397" s="2" t="s">
        <v>942</v>
      </c>
    </row>
    <row r="398" spans="1:6" x14ac:dyDescent="0.25">
      <c r="A398" s="2"/>
      <c r="B398" s="2" t="s">
        <v>1993</v>
      </c>
      <c r="C398" s="2" t="s">
        <v>943</v>
      </c>
      <c r="D398" s="2">
        <v>1</v>
      </c>
      <c r="E398" s="2" t="s">
        <v>944</v>
      </c>
    </row>
    <row r="399" spans="1:6" x14ac:dyDescent="0.25">
      <c r="A399" s="2"/>
      <c r="B399" s="2" t="s">
        <v>1993</v>
      </c>
      <c r="C399" s="2" t="s">
        <v>945</v>
      </c>
      <c r="D399" s="2">
        <v>1</v>
      </c>
      <c r="E399" s="2" t="s">
        <v>368</v>
      </c>
    </row>
    <row r="400" spans="1:6" x14ac:dyDescent="0.25">
      <c r="A400" s="2"/>
      <c r="B400" s="2" t="s">
        <v>1993</v>
      </c>
      <c r="C400" s="2" t="s">
        <v>946</v>
      </c>
      <c r="D400" s="2">
        <v>1</v>
      </c>
      <c r="E400" s="2" t="s">
        <v>370</v>
      </c>
    </row>
    <row r="401" spans="1:6" x14ac:dyDescent="0.25">
      <c r="A401" s="2"/>
      <c r="B401" s="2" t="s">
        <v>1993</v>
      </c>
      <c r="C401" s="2" t="s">
        <v>947</v>
      </c>
      <c r="D401" s="2">
        <v>1</v>
      </c>
      <c r="E401" s="2" t="s">
        <v>948</v>
      </c>
      <c r="F401">
        <v>1</v>
      </c>
    </row>
    <row r="402" spans="1:6" x14ac:dyDescent="0.25">
      <c r="A402" s="2"/>
      <c r="B402" s="2" t="s">
        <v>2121</v>
      </c>
      <c r="C402" s="2" t="s">
        <v>949</v>
      </c>
      <c r="D402" s="2">
        <v>1</v>
      </c>
      <c r="E402" s="2" t="s">
        <v>950</v>
      </c>
    </row>
    <row r="403" spans="1:6" x14ac:dyDescent="0.25">
      <c r="A403" s="2"/>
      <c r="B403" s="2" t="s">
        <v>2121</v>
      </c>
      <c r="C403" s="2" t="s">
        <v>951</v>
      </c>
      <c r="D403" s="2">
        <v>1</v>
      </c>
      <c r="E403" s="2" t="s">
        <v>952</v>
      </c>
    </row>
    <row r="404" spans="1:6" x14ac:dyDescent="0.25">
      <c r="A404" s="2"/>
      <c r="B404" s="2" t="s">
        <v>2121</v>
      </c>
      <c r="C404" s="2" t="s">
        <v>953</v>
      </c>
      <c r="D404" s="2">
        <v>0</v>
      </c>
      <c r="E404" s="2" t="s">
        <v>954</v>
      </c>
    </row>
    <row r="405" spans="1:6" x14ac:dyDescent="0.25">
      <c r="A405" s="2"/>
      <c r="B405" s="2" t="s">
        <v>2121</v>
      </c>
      <c r="C405" s="2" t="s">
        <v>955</v>
      </c>
      <c r="D405" s="2">
        <v>0</v>
      </c>
      <c r="E405" s="2" t="s">
        <v>956</v>
      </c>
    </row>
    <row r="406" spans="1:6" x14ac:dyDescent="0.25">
      <c r="A406" s="2" t="s">
        <v>957</v>
      </c>
      <c r="B406" s="2" t="s">
        <v>2122</v>
      </c>
      <c r="C406" s="2" t="s">
        <v>958</v>
      </c>
      <c r="D406" s="2">
        <v>1</v>
      </c>
      <c r="E406" s="2" t="s">
        <v>959</v>
      </c>
    </row>
    <row r="407" spans="1:6" x14ac:dyDescent="0.25">
      <c r="A407" s="2"/>
      <c r="B407" s="2" t="s">
        <v>2122</v>
      </c>
      <c r="C407" s="2" t="s">
        <v>960</v>
      </c>
      <c r="D407" s="2">
        <v>1</v>
      </c>
      <c r="E407" s="2" t="s">
        <v>961</v>
      </c>
    </row>
    <row r="408" spans="1:6" x14ac:dyDescent="0.25">
      <c r="A408" s="2"/>
      <c r="B408" s="2" t="s">
        <v>2122</v>
      </c>
      <c r="C408" s="2" t="s">
        <v>962</v>
      </c>
      <c r="D408" s="2">
        <v>1</v>
      </c>
      <c r="E408" s="2" t="s">
        <v>963</v>
      </c>
    </row>
    <row r="409" spans="1:6" x14ac:dyDescent="0.25">
      <c r="A409" s="2"/>
      <c r="B409" s="2" t="s">
        <v>2122</v>
      </c>
      <c r="C409" s="2" t="s">
        <v>964</v>
      </c>
      <c r="D409" s="2">
        <v>0</v>
      </c>
      <c r="E409" s="2" t="s">
        <v>965</v>
      </c>
    </row>
    <row r="410" spans="1:6" x14ac:dyDescent="0.25">
      <c r="A410" s="2"/>
      <c r="B410" s="2" t="s">
        <v>2082</v>
      </c>
      <c r="C410" s="2" t="s">
        <v>966</v>
      </c>
      <c r="D410" s="2">
        <v>1</v>
      </c>
      <c r="E410" s="2" t="s">
        <v>967</v>
      </c>
    </row>
    <row r="411" spans="1:6" x14ac:dyDescent="0.25">
      <c r="A411" s="2"/>
      <c r="B411" s="2" t="s">
        <v>2082</v>
      </c>
      <c r="C411" s="2" t="s">
        <v>968</v>
      </c>
      <c r="D411" s="2">
        <v>0</v>
      </c>
      <c r="E411" s="2" t="s">
        <v>969</v>
      </c>
    </row>
    <row r="412" spans="1:6" x14ac:dyDescent="0.25">
      <c r="A412" s="2"/>
      <c r="B412" s="2" t="s">
        <v>2123</v>
      </c>
      <c r="C412" s="2" t="s">
        <v>970</v>
      </c>
      <c r="D412" s="2">
        <v>0</v>
      </c>
      <c r="E412" s="2" t="s">
        <v>971</v>
      </c>
    </row>
    <row r="413" spans="1:6" x14ac:dyDescent="0.25">
      <c r="A413" s="2" t="s">
        <v>972</v>
      </c>
      <c r="B413" s="2" t="s">
        <v>1978</v>
      </c>
      <c r="C413" s="2" t="s">
        <v>973</v>
      </c>
      <c r="D413" s="2">
        <v>1</v>
      </c>
      <c r="E413" s="2" t="s">
        <v>273</v>
      </c>
    </row>
    <row r="414" spans="1:6" x14ac:dyDescent="0.25">
      <c r="A414" s="2"/>
      <c r="B414" s="2" t="s">
        <v>1988</v>
      </c>
      <c r="C414" s="2" t="s">
        <v>974</v>
      </c>
      <c r="D414" s="2">
        <v>1</v>
      </c>
      <c r="E414" s="2" t="s">
        <v>295</v>
      </c>
    </row>
    <row r="415" spans="1:6" x14ac:dyDescent="0.25">
      <c r="A415" s="2"/>
      <c r="B415" s="2" t="s">
        <v>1988</v>
      </c>
      <c r="C415" s="2" t="s">
        <v>975</v>
      </c>
      <c r="D415" s="2">
        <v>1</v>
      </c>
      <c r="E415" s="2" t="s">
        <v>976</v>
      </c>
    </row>
    <row r="416" spans="1:6" x14ac:dyDescent="0.25">
      <c r="A416" s="2"/>
      <c r="B416" s="2" t="s">
        <v>2124</v>
      </c>
      <c r="C416" s="2" t="s">
        <v>977</v>
      </c>
      <c r="D416" s="2">
        <v>1</v>
      </c>
      <c r="E416" s="2" t="s">
        <v>978</v>
      </c>
    </row>
    <row r="417" spans="1:5" x14ac:dyDescent="0.25">
      <c r="A417" s="2"/>
      <c r="B417" s="2" t="s">
        <v>2124</v>
      </c>
      <c r="C417" s="2" t="s">
        <v>979</v>
      </c>
      <c r="D417" s="2">
        <v>1</v>
      </c>
      <c r="E417" s="2" t="s">
        <v>980</v>
      </c>
    </row>
    <row r="418" spans="1:5" x14ac:dyDescent="0.25">
      <c r="A418" s="2"/>
      <c r="B418" s="2" t="s">
        <v>2124</v>
      </c>
      <c r="C418" s="2" t="s">
        <v>981</v>
      </c>
      <c r="D418" s="2">
        <v>1</v>
      </c>
      <c r="E418" s="2" t="s">
        <v>982</v>
      </c>
    </row>
    <row r="419" spans="1:5" x14ac:dyDescent="0.25">
      <c r="A419" s="2"/>
      <c r="B419" s="2" t="s">
        <v>2124</v>
      </c>
      <c r="C419" s="2" t="s">
        <v>983</v>
      </c>
      <c r="D419" s="2">
        <v>1</v>
      </c>
      <c r="E419" s="2" t="s">
        <v>984</v>
      </c>
    </row>
    <row r="420" spans="1:5" x14ac:dyDescent="0.25">
      <c r="A420" s="2"/>
      <c r="B420" s="2" t="s">
        <v>2125</v>
      </c>
      <c r="C420" s="2" t="s">
        <v>985</v>
      </c>
      <c r="D420" s="2">
        <v>1</v>
      </c>
      <c r="E420" s="2" t="s">
        <v>986</v>
      </c>
    </row>
    <row r="421" spans="1:5" x14ac:dyDescent="0.25">
      <c r="A421" s="2"/>
      <c r="B421" s="2" t="s">
        <v>2125</v>
      </c>
      <c r="C421" s="2" t="s">
        <v>987</v>
      </c>
      <c r="D421" s="2">
        <v>1</v>
      </c>
      <c r="E421" s="2" t="s">
        <v>482</v>
      </c>
    </row>
    <row r="422" spans="1:5" x14ac:dyDescent="0.25">
      <c r="A422" s="2"/>
      <c r="B422" s="2" t="s">
        <v>2125</v>
      </c>
      <c r="C422" s="2" t="s">
        <v>988</v>
      </c>
      <c r="D422" s="2">
        <v>0</v>
      </c>
      <c r="E422" s="2" t="s">
        <v>989</v>
      </c>
    </row>
    <row r="423" spans="1:5" x14ac:dyDescent="0.25">
      <c r="A423" s="2"/>
      <c r="B423" s="2" t="s">
        <v>1983</v>
      </c>
      <c r="C423" s="2" t="s">
        <v>990</v>
      </c>
      <c r="D423" s="2">
        <v>1</v>
      </c>
      <c r="E423" s="2" t="s">
        <v>991</v>
      </c>
    </row>
    <row r="424" spans="1:5" x14ac:dyDescent="0.25">
      <c r="A424" s="2"/>
      <c r="B424" s="2" t="s">
        <v>1983</v>
      </c>
      <c r="C424" s="2" t="s">
        <v>992</v>
      </c>
      <c r="D424" s="2">
        <v>0</v>
      </c>
      <c r="E424" s="2" t="s">
        <v>993</v>
      </c>
    </row>
    <row r="425" spans="1:5" x14ac:dyDescent="0.25">
      <c r="A425" s="2" t="s">
        <v>994</v>
      </c>
      <c r="B425" s="2" t="s">
        <v>2107</v>
      </c>
      <c r="C425" s="2" t="s">
        <v>995</v>
      </c>
      <c r="D425" s="2">
        <v>1</v>
      </c>
      <c r="E425" s="2" t="s">
        <v>996</v>
      </c>
    </row>
    <row r="426" spans="1:5" x14ac:dyDescent="0.25">
      <c r="A426" s="2"/>
      <c r="B426" s="2" t="s">
        <v>2107</v>
      </c>
      <c r="C426" s="2" t="s">
        <v>997</v>
      </c>
      <c r="D426" s="2">
        <v>1</v>
      </c>
      <c r="E426" s="2" t="s">
        <v>998</v>
      </c>
    </row>
    <row r="427" spans="1:5" x14ac:dyDescent="0.25">
      <c r="A427" s="2"/>
      <c r="B427" s="2" t="s">
        <v>2107</v>
      </c>
      <c r="C427" s="2" t="s">
        <v>999</v>
      </c>
      <c r="D427" s="2">
        <v>1</v>
      </c>
      <c r="E427" s="2" t="s">
        <v>1000</v>
      </c>
    </row>
    <row r="428" spans="1:5" x14ac:dyDescent="0.25">
      <c r="A428" s="2"/>
      <c r="B428" s="2" t="s">
        <v>2107</v>
      </c>
      <c r="C428" s="2" t="s">
        <v>1001</v>
      </c>
      <c r="D428" s="2">
        <v>0</v>
      </c>
      <c r="E428" s="2" t="s">
        <v>1002</v>
      </c>
    </row>
    <row r="429" spans="1:5" x14ac:dyDescent="0.25">
      <c r="A429" s="2"/>
      <c r="B429" s="2" t="s">
        <v>2126</v>
      </c>
      <c r="C429" s="2" t="s">
        <v>1003</v>
      </c>
      <c r="D429" s="2">
        <v>1</v>
      </c>
      <c r="E429" s="2" t="s">
        <v>1004</v>
      </c>
    </row>
    <row r="430" spans="1:5" x14ac:dyDescent="0.25">
      <c r="A430" s="2"/>
      <c r="B430" s="2" t="s">
        <v>2126</v>
      </c>
      <c r="C430" s="2" t="s">
        <v>1005</v>
      </c>
      <c r="D430" s="2">
        <v>1</v>
      </c>
      <c r="E430" s="2" t="s">
        <v>1006</v>
      </c>
    </row>
    <row r="431" spans="1:5" x14ac:dyDescent="0.25">
      <c r="A431" s="2"/>
      <c r="B431" s="2" t="s">
        <v>2127</v>
      </c>
      <c r="C431" s="2" t="s">
        <v>1007</v>
      </c>
      <c r="D431" s="2">
        <v>1</v>
      </c>
      <c r="E431" s="2" t="s">
        <v>1008</v>
      </c>
    </row>
    <row r="432" spans="1:5" x14ac:dyDescent="0.25">
      <c r="A432" s="2"/>
      <c r="B432" s="2" t="s">
        <v>2127</v>
      </c>
      <c r="C432" s="2" t="s">
        <v>1009</v>
      </c>
      <c r="D432" s="2">
        <v>1</v>
      </c>
      <c r="E432" s="2" t="s">
        <v>1010</v>
      </c>
    </row>
    <row r="433" spans="1:5" x14ac:dyDescent="0.25">
      <c r="A433" s="2"/>
      <c r="B433" s="2" t="s">
        <v>2127</v>
      </c>
      <c r="C433" s="2" t="s">
        <v>1011</v>
      </c>
      <c r="D433" s="2">
        <v>1</v>
      </c>
      <c r="E433" s="2" t="s">
        <v>1012</v>
      </c>
    </row>
    <row r="434" spans="1:5" x14ac:dyDescent="0.25">
      <c r="A434" s="2"/>
      <c r="B434" s="2" t="s">
        <v>2127</v>
      </c>
      <c r="C434" s="2" t="s">
        <v>1013</v>
      </c>
      <c r="D434" s="2">
        <v>0</v>
      </c>
      <c r="E434" s="2" t="s">
        <v>1014</v>
      </c>
    </row>
    <row r="435" spans="1:5" x14ac:dyDescent="0.25">
      <c r="A435" s="2" t="s">
        <v>1015</v>
      </c>
      <c r="B435" s="2" t="s">
        <v>2128</v>
      </c>
      <c r="C435" s="2" t="s">
        <v>1016</v>
      </c>
      <c r="D435" s="2">
        <v>0</v>
      </c>
      <c r="E435" s="2" t="s">
        <v>1017</v>
      </c>
    </row>
    <row r="436" spans="1:5" x14ac:dyDescent="0.25">
      <c r="A436" s="2"/>
      <c r="B436" s="2" t="s">
        <v>2018</v>
      </c>
      <c r="C436" s="2" t="s">
        <v>1018</v>
      </c>
      <c r="D436" s="2">
        <v>1</v>
      </c>
      <c r="E436" s="2" t="s">
        <v>795</v>
      </c>
    </row>
    <row r="437" spans="1:5" x14ac:dyDescent="0.25">
      <c r="A437" s="2"/>
      <c r="B437" s="2" t="s">
        <v>2092</v>
      </c>
      <c r="C437" s="2" t="s">
        <v>1019</v>
      </c>
      <c r="D437" s="2">
        <v>1</v>
      </c>
      <c r="E437" s="2" t="s">
        <v>866</v>
      </c>
    </row>
    <row r="438" spans="1:5" x14ac:dyDescent="0.25">
      <c r="A438" s="2"/>
      <c r="B438" s="2" t="s">
        <v>2092</v>
      </c>
      <c r="C438" s="2" t="s">
        <v>1020</v>
      </c>
      <c r="D438" s="2">
        <v>1</v>
      </c>
      <c r="E438" s="2" t="s">
        <v>1021</v>
      </c>
    </row>
    <row r="439" spans="1:5" x14ac:dyDescent="0.25">
      <c r="A439" s="2"/>
      <c r="B439" s="2" t="s">
        <v>2092</v>
      </c>
      <c r="C439" s="2" t="s">
        <v>1022</v>
      </c>
      <c r="D439" s="2">
        <v>1</v>
      </c>
      <c r="E439" s="2" t="s">
        <v>1023</v>
      </c>
    </row>
    <row r="440" spans="1:5" x14ac:dyDescent="0.25">
      <c r="A440" s="2"/>
      <c r="B440" s="2" t="s">
        <v>2092</v>
      </c>
      <c r="C440" s="2" t="s">
        <v>1024</v>
      </c>
      <c r="D440" s="2">
        <v>1</v>
      </c>
      <c r="E440" s="2" t="s">
        <v>889</v>
      </c>
    </row>
    <row r="441" spans="1:5" x14ac:dyDescent="0.25">
      <c r="A441" s="2"/>
      <c r="B441" s="2" t="s">
        <v>1995</v>
      </c>
      <c r="C441" s="2" t="s">
        <v>1025</v>
      </c>
      <c r="D441" s="2">
        <v>1</v>
      </c>
      <c r="E441" s="2" t="s">
        <v>1026</v>
      </c>
    </row>
    <row r="442" spans="1:5" x14ac:dyDescent="0.25">
      <c r="A442" s="2"/>
      <c r="B442" s="2" t="s">
        <v>1995</v>
      </c>
      <c r="C442" s="2" t="s">
        <v>1027</v>
      </c>
      <c r="D442" s="2">
        <v>1</v>
      </c>
      <c r="E442" s="2" t="s">
        <v>1028</v>
      </c>
    </row>
    <row r="443" spans="1:5" x14ac:dyDescent="0.25">
      <c r="A443" s="2"/>
      <c r="B443" s="2" t="s">
        <v>1983</v>
      </c>
      <c r="C443" s="2" t="s">
        <v>1029</v>
      </c>
      <c r="D443" s="2">
        <v>0</v>
      </c>
      <c r="E443" s="2" t="s">
        <v>295</v>
      </c>
    </row>
    <row r="444" spans="1:5" x14ac:dyDescent="0.25">
      <c r="A444" s="2" t="s">
        <v>1030</v>
      </c>
      <c r="B444" s="2" t="s">
        <v>1978</v>
      </c>
      <c r="C444" s="2" t="s">
        <v>1031</v>
      </c>
      <c r="D444" s="2">
        <v>1</v>
      </c>
      <c r="E444" s="2" t="s">
        <v>273</v>
      </c>
    </row>
    <row r="445" spans="1:5" x14ac:dyDescent="0.25">
      <c r="A445" s="2"/>
      <c r="B445" s="2" t="s">
        <v>2021</v>
      </c>
      <c r="C445" s="2" t="s">
        <v>1032</v>
      </c>
      <c r="D445" s="2">
        <v>1</v>
      </c>
      <c r="E445" s="2" t="s">
        <v>1033</v>
      </c>
    </row>
    <row r="446" spans="1:5" x14ac:dyDescent="0.25">
      <c r="A446" s="2"/>
      <c r="B446" s="2" t="s">
        <v>2021</v>
      </c>
      <c r="C446" s="2" t="s">
        <v>1034</v>
      </c>
      <c r="D446" s="2">
        <v>1</v>
      </c>
      <c r="E446" s="2" t="s">
        <v>1035</v>
      </c>
    </row>
    <row r="447" spans="1:5" x14ac:dyDescent="0.25">
      <c r="A447" s="2"/>
      <c r="B447" s="2" t="s">
        <v>2129</v>
      </c>
      <c r="C447" s="2" t="s">
        <v>1036</v>
      </c>
      <c r="D447" s="2">
        <v>1</v>
      </c>
      <c r="E447" s="2" t="s">
        <v>1037</v>
      </c>
    </row>
    <row r="448" spans="1:5" x14ac:dyDescent="0.25">
      <c r="A448" s="2"/>
      <c r="B448" s="2" t="s">
        <v>2129</v>
      </c>
      <c r="C448" s="2" t="s">
        <v>1038</v>
      </c>
      <c r="D448" s="2">
        <v>0</v>
      </c>
      <c r="E448" s="2" t="s">
        <v>763</v>
      </c>
    </row>
    <row r="449" spans="1:6" x14ac:dyDescent="0.25">
      <c r="A449" s="2"/>
      <c r="B449" s="2" t="s">
        <v>2129</v>
      </c>
      <c r="C449" s="2" t="s">
        <v>1039</v>
      </c>
      <c r="D449" s="2">
        <v>1</v>
      </c>
      <c r="E449" s="2" t="s">
        <v>765</v>
      </c>
    </row>
    <row r="450" spans="1:6" x14ac:dyDescent="0.25">
      <c r="A450" s="2"/>
      <c r="B450" s="2" t="s">
        <v>2129</v>
      </c>
      <c r="C450" s="2" t="s">
        <v>1040</v>
      </c>
      <c r="D450" s="2">
        <v>1</v>
      </c>
      <c r="E450" s="2" t="s">
        <v>767</v>
      </c>
      <c r="F450">
        <v>1</v>
      </c>
    </row>
    <row r="451" spans="1:6" x14ac:dyDescent="0.25">
      <c r="A451" s="2"/>
      <c r="B451" s="2" t="s">
        <v>2130</v>
      </c>
      <c r="C451" s="2" t="s">
        <v>1041</v>
      </c>
      <c r="D451" s="2">
        <v>0</v>
      </c>
      <c r="E451" s="2" t="s">
        <v>1042</v>
      </c>
    </row>
    <row r="452" spans="1:6" x14ac:dyDescent="0.25">
      <c r="A452" s="2"/>
      <c r="B452" s="2" t="s">
        <v>2130</v>
      </c>
      <c r="C452" s="2" t="s">
        <v>1043</v>
      </c>
      <c r="D452" s="2">
        <v>1</v>
      </c>
      <c r="E452" s="2" t="s">
        <v>1044</v>
      </c>
    </row>
    <row r="453" spans="1:6" x14ac:dyDescent="0.25">
      <c r="A453" s="2"/>
      <c r="B453" s="2" t="s">
        <v>2131</v>
      </c>
      <c r="C453" s="2" t="s">
        <v>1045</v>
      </c>
      <c r="D453" s="2">
        <v>1</v>
      </c>
      <c r="E453" s="2" t="s">
        <v>1046</v>
      </c>
    </row>
    <row r="454" spans="1:6" x14ac:dyDescent="0.25">
      <c r="A454" s="2"/>
      <c r="B454" s="2" t="s">
        <v>2131</v>
      </c>
      <c r="C454" s="2" t="s">
        <v>1047</v>
      </c>
      <c r="D454" s="2">
        <v>1</v>
      </c>
      <c r="E454" s="2" t="s">
        <v>1048</v>
      </c>
    </row>
    <row r="455" spans="1:6" x14ac:dyDescent="0.25">
      <c r="A455" s="2"/>
      <c r="B455" s="2" t="s">
        <v>2131</v>
      </c>
      <c r="C455" s="2" t="s">
        <v>1049</v>
      </c>
      <c r="D455" s="2">
        <v>1</v>
      </c>
      <c r="E455" s="2" t="s">
        <v>1050</v>
      </c>
    </row>
    <row r="456" spans="1:6" x14ac:dyDescent="0.25">
      <c r="A456" s="2"/>
      <c r="B456" s="2" t="s">
        <v>2131</v>
      </c>
      <c r="C456" s="2" t="s">
        <v>1051</v>
      </c>
      <c r="D456" s="2">
        <v>1</v>
      </c>
      <c r="E456" s="2" t="s">
        <v>1052</v>
      </c>
    </row>
    <row r="457" spans="1:6" x14ac:dyDescent="0.25">
      <c r="A457" s="2"/>
      <c r="B457" s="2" t="s">
        <v>2131</v>
      </c>
      <c r="C457" s="2" t="s">
        <v>1053</v>
      </c>
      <c r="D457" s="2">
        <v>1</v>
      </c>
      <c r="E457" s="2" t="s">
        <v>1054</v>
      </c>
    </row>
    <row r="458" spans="1:6" x14ac:dyDescent="0.25">
      <c r="A458" s="2"/>
      <c r="B458" s="2" t="s">
        <v>2099</v>
      </c>
      <c r="C458" s="2" t="s">
        <v>1055</v>
      </c>
      <c r="D458" s="2">
        <v>0</v>
      </c>
      <c r="E458" s="2" t="s">
        <v>1056</v>
      </c>
    </row>
    <row r="459" spans="1:6" x14ac:dyDescent="0.25">
      <c r="A459" s="2"/>
      <c r="B459" s="2" t="s">
        <v>2099</v>
      </c>
      <c r="C459" s="2" t="s">
        <v>1057</v>
      </c>
      <c r="D459" s="2">
        <v>1</v>
      </c>
      <c r="E459" s="2" t="s">
        <v>1058</v>
      </c>
    </row>
    <row r="460" spans="1:6" x14ac:dyDescent="0.25">
      <c r="A460" s="2"/>
      <c r="B460" s="2" t="s">
        <v>2132</v>
      </c>
      <c r="C460" s="2" t="s">
        <v>1059</v>
      </c>
      <c r="D460" s="2">
        <v>0</v>
      </c>
      <c r="E460" s="2" t="s">
        <v>1060</v>
      </c>
    </row>
    <row r="461" spans="1:6" x14ac:dyDescent="0.25">
      <c r="A461" s="2"/>
      <c r="B461" s="2" t="s">
        <v>2132</v>
      </c>
      <c r="C461" s="2" t="s">
        <v>1061</v>
      </c>
      <c r="D461" s="2">
        <v>0</v>
      </c>
      <c r="E461" s="2" t="s">
        <v>1062</v>
      </c>
    </row>
    <row r="462" spans="1:6" x14ac:dyDescent="0.25">
      <c r="A462" s="2"/>
      <c r="B462" s="2" t="s">
        <v>2132</v>
      </c>
      <c r="C462" s="2" t="s">
        <v>1063</v>
      </c>
      <c r="D462" s="2">
        <v>1</v>
      </c>
      <c r="E462" s="2" t="s">
        <v>1064</v>
      </c>
    </row>
    <row r="463" spans="1:6" x14ac:dyDescent="0.25">
      <c r="A463" s="2"/>
      <c r="B463" s="2" t="s">
        <v>1994</v>
      </c>
      <c r="C463" s="2" t="s">
        <v>1065</v>
      </c>
      <c r="D463" s="2">
        <v>1</v>
      </c>
      <c r="E463" s="2" t="s">
        <v>1066</v>
      </c>
    </row>
    <row r="464" spans="1:6" x14ac:dyDescent="0.25">
      <c r="A464" s="2"/>
      <c r="B464" s="2" t="s">
        <v>2037</v>
      </c>
      <c r="C464" s="2" t="s">
        <v>1067</v>
      </c>
      <c r="D464" s="2">
        <v>1</v>
      </c>
      <c r="E464" s="2" t="s">
        <v>1068</v>
      </c>
    </row>
    <row r="465" spans="1:6" x14ac:dyDescent="0.25">
      <c r="A465" s="2"/>
      <c r="B465" s="2" t="s">
        <v>2037</v>
      </c>
      <c r="C465" s="2" t="s">
        <v>1069</v>
      </c>
      <c r="D465" s="2">
        <v>0</v>
      </c>
      <c r="E465" s="2" t="s">
        <v>1070</v>
      </c>
    </row>
    <row r="466" spans="1:6" x14ac:dyDescent="0.25">
      <c r="A466" s="2"/>
      <c r="B466" s="2" t="s">
        <v>2133</v>
      </c>
      <c r="C466" s="2" t="s">
        <v>1071</v>
      </c>
      <c r="D466" s="2">
        <v>0</v>
      </c>
      <c r="E466" s="2" t="s">
        <v>1072</v>
      </c>
    </row>
    <row r="467" spans="1:6" x14ac:dyDescent="0.25">
      <c r="A467" s="2"/>
      <c r="B467" s="2" t="s">
        <v>2133</v>
      </c>
      <c r="C467" s="2" t="s">
        <v>1073</v>
      </c>
      <c r="D467" s="2">
        <v>1</v>
      </c>
      <c r="E467" s="2" t="s">
        <v>1074</v>
      </c>
    </row>
    <row r="468" spans="1:6" x14ac:dyDescent="0.25">
      <c r="A468" s="2"/>
      <c r="B468" s="2" t="s">
        <v>2134</v>
      </c>
      <c r="C468" s="2" t="s">
        <v>1075</v>
      </c>
      <c r="D468" s="2">
        <v>1</v>
      </c>
      <c r="E468" s="2" t="s">
        <v>1076</v>
      </c>
      <c r="F468">
        <v>1</v>
      </c>
    </row>
    <row r="469" spans="1:6" x14ac:dyDescent="0.25">
      <c r="A469" s="2" t="s">
        <v>1077</v>
      </c>
      <c r="B469" s="2" t="s">
        <v>2116</v>
      </c>
      <c r="C469" s="2" t="s">
        <v>1078</v>
      </c>
      <c r="D469" s="2">
        <v>1</v>
      </c>
      <c r="E469" s="2" t="s">
        <v>1079</v>
      </c>
    </row>
    <row r="470" spans="1:6" x14ac:dyDescent="0.25">
      <c r="A470" s="2"/>
      <c r="B470" s="2" t="s">
        <v>2116</v>
      </c>
      <c r="C470" s="2" t="s">
        <v>1080</v>
      </c>
      <c r="D470" s="2">
        <v>0</v>
      </c>
      <c r="E470" s="2" t="s">
        <v>1081</v>
      </c>
    </row>
    <row r="471" spans="1:6" x14ac:dyDescent="0.25">
      <c r="A471" s="2"/>
      <c r="B471" s="2" t="s">
        <v>1981</v>
      </c>
      <c r="C471" s="2" t="s">
        <v>1082</v>
      </c>
      <c r="D471" s="2">
        <v>1</v>
      </c>
      <c r="E471" s="2" t="s">
        <v>289</v>
      </c>
      <c r="F471">
        <v>1</v>
      </c>
    </row>
    <row r="472" spans="1:6" x14ac:dyDescent="0.25">
      <c r="A472" s="2"/>
      <c r="B472" s="2" t="s">
        <v>1981</v>
      </c>
      <c r="C472" s="2" t="s">
        <v>1083</v>
      </c>
      <c r="D472" s="2">
        <v>0</v>
      </c>
      <c r="E472" s="2" t="s">
        <v>1084</v>
      </c>
    </row>
    <row r="473" spans="1:6" x14ac:dyDescent="0.25">
      <c r="A473" s="2"/>
      <c r="B473" s="2" t="s">
        <v>2035</v>
      </c>
      <c r="C473" s="2" t="s">
        <v>1085</v>
      </c>
      <c r="D473" s="2">
        <v>0</v>
      </c>
      <c r="E473" s="2" t="s">
        <v>1086</v>
      </c>
    </row>
    <row r="474" spans="1:6" x14ac:dyDescent="0.25">
      <c r="A474" s="2"/>
      <c r="B474" s="2" t="s">
        <v>2035</v>
      </c>
      <c r="C474" s="2" t="s">
        <v>1087</v>
      </c>
      <c r="D474" s="2">
        <v>0</v>
      </c>
      <c r="E474" s="2" t="s">
        <v>1088</v>
      </c>
    </row>
    <row r="475" spans="1:6" x14ac:dyDescent="0.25">
      <c r="A475" s="2"/>
      <c r="B475" s="2" t="s">
        <v>2035</v>
      </c>
      <c r="C475" s="2" t="s">
        <v>1089</v>
      </c>
      <c r="D475" s="2">
        <v>0</v>
      </c>
      <c r="E475" s="2" t="s">
        <v>535</v>
      </c>
    </row>
    <row r="476" spans="1:6" x14ac:dyDescent="0.25">
      <c r="A476" s="2"/>
      <c r="B476" s="2" t="s">
        <v>2092</v>
      </c>
      <c r="C476" s="2" t="s">
        <v>1090</v>
      </c>
      <c r="D476" s="2">
        <v>0</v>
      </c>
      <c r="E476" s="2" t="s">
        <v>381</v>
      </c>
    </row>
    <row r="477" spans="1:6" x14ac:dyDescent="0.25">
      <c r="A477" s="2"/>
      <c r="B477" s="2" t="s">
        <v>2092</v>
      </c>
      <c r="C477" s="2" t="s">
        <v>1091</v>
      </c>
      <c r="D477" s="2">
        <v>1</v>
      </c>
      <c r="E477" s="2" t="s">
        <v>1092</v>
      </c>
    </row>
    <row r="478" spans="1:6" x14ac:dyDescent="0.25">
      <c r="A478" s="2"/>
      <c r="B478" s="2" t="s">
        <v>1984</v>
      </c>
      <c r="C478" s="2" t="s">
        <v>1093</v>
      </c>
      <c r="D478" s="2">
        <v>0</v>
      </c>
      <c r="E478" s="2" t="s">
        <v>1094</v>
      </c>
    </row>
    <row r="479" spans="1:6" x14ac:dyDescent="0.25">
      <c r="A479" s="2"/>
      <c r="B479" s="2" t="s">
        <v>1984</v>
      </c>
      <c r="C479" s="2" t="s">
        <v>1095</v>
      </c>
      <c r="D479" s="2">
        <v>1</v>
      </c>
      <c r="E479" s="2" t="s">
        <v>1096</v>
      </c>
      <c r="F479">
        <v>1</v>
      </c>
    </row>
    <row r="480" spans="1:6" x14ac:dyDescent="0.25">
      <c r="A480" s="2" t="s">
        <v>1097</v>
      </c>
      <c r="B480" s="2" t="s">
        <v>2135</v>
      </c>
      <c r="C480" s="2" t="s">
        <v>1098</v>
      </c>
      <c r="D480" s="2">
        <v>1</v>
      </c>
      <c r="E480" s="2" t="s">
        <v>1099</v>
      </c>
    </row>
    <row r="481" spans="1:6" x14ac:dyDescent="0.25">
      <c r="A481" s="2"/>
      <c r="B481" s="2" t="s">
        <v>2135</v>
      </c>
      <c r="C481" s="2" t="s">
        <v>1100</v>
      </c>
      <c r="D481" s="2">
        <v>1</v>
      </c>
      <c r="E481" s="2" t="s">
        <v>1101</v>
      </c>
    </row>
    <row r="482" spans="1:6" x14ac:dyDescent="0.25">
      <c r="A482" s="2"/>
      <c r="B482" s="2" t="s">
        <v>2135</v>
      </c>
      <c r="C482" s="2" t="s">
        <v>1102</v>
      </c>
      <c r="D482" s="2">
        <v>1</v>
      </c>
      <c r="E482" s="2" t="s">
        <v>1103</v>
      </c>
      <c r="F482">
        <v>1</v>
      </c>
    </row>
    <row r="483" spans="1:6" x14ac:dyDescent="0.25">
      <c r="A483" s="2"/>
      <c r="B483" s="2" t="s">
        <v>2135</v>
      </c>
      <c r="C483" s="2" t="s">
        <v>1104</v>
      </c>
      <c r="D483" s="2">
        <v>0</v>
      </c>
      <c r="E483" s="2" t="s">
        <v>1105</v>
      </c>
    </row>
    <row r="484" spans="1:6" x14ac:dyDescent="0.25">
      <c r="A484" s="2"/>
      <c r="B484" s="2" t="s">
        <v>1988</v>
      </c>
      <c r="C484" s="2" t="s">
        <v>1106</v>
      </c>
      <c r="D484" s="2">
        <v>1</v>
      </c>
      <c r="E484" s="2" t="s">
        <v>349</v>
      </c>
    </row>
    <row r="485" spans="1:6" x14ac:dyDescent="0.25">
      <c r="A485" s="2"/>
      <c r="B485" s="2" t="s">
        <v>2136</v>
      </c>
      <c r="C485" s="2" t="s">
        <v>1107</v>
      </c>
      <c r="D485" s="2">
        <v>1</v>
      </c>
      <c r="E485" s="2" t="s">
        <v>1108</v>
      </c>
    </row>
    <row r="486" spans="1:6" x14ac:dyDescent="0.25">
      <c r="A486" s="2"/>
      <c r="B486" s="2" t="s">
        <v>2136</v>
      </c>
      <c r="C486" s="2" t="s">
        <v>1109</v>
      </c>
      <c r="D486" s="2">
        <v>1</v>
      </c>
      <c r="E486" s="2" t="s">
        <v>1110</v>
      </c>
    </row>
    <row r="487" spans="1:6" x14ac:dyDescent="0.25">
      <c r="A487" s="2"/>
      <c r="B487" s="2" t="s">
        <v>2136</v>
      </c>
      <c r="C487" s="2" t="s">
        <v>1111</v>
      </c>
      <c r="D487" s="2">
        <v>1</v>
      </c>
      <c r="E487" s="2" t="s">
        <v>1112</v>
      </c>
    </row>
    <row r="488" spans="1:6" x14ac:dyDescent="0.25">
      <c r="A488" s="2"/>
      <c r="B488" s="2" t="s">
        <v>2136</v>
      </c>
      <c r="C488" s="2" t="s">
        <v>1113</v>
      </c>
      <c r="D488" s="2">
        <v>0</v>
      </c>
      <c r="E488" s="2" t="s">
        <v>1114</v>
      </c>
    </row>
    <row r="489" spans="1:6" x14ac:dyDescent="0.25">
      <c r="A489" s="2"/>
      <c r="B489" s="2" t="s">
        <v>2137</v>
      </c>
      <c r="C489" s="2" t="s">
        <v>1115</v>
      </c>
      <c r="D489" s="2">
        <v>0</v>
      </c>
      <c r="E489" s="2" t="s">
        <v>1116</v>
      </c>
    </row>
    <row r="490" spans="1:6" x14ac:dyDescent="0.25">
      <c r="A490" s="2"/>
      <c r="B490" s="2" t="s">
        <v>2137</v>
      </c>
      <c r="C490" s="2" t="s">
        <v>1117</v>
      </c>
      <c r="D490" s="2">
        <v>1</v>
      </c>
      <c r="E490" s="2" t="s">
        <v>1118</v>
      </c>
    </row>
    <row r="491" spans="1:6" x14ac:dyDescent="0.25">
      <c r="A491" s="2"/>
      <c r="B491" s="2" t="s">
        <v>2137</v>
      </c>
      <c r="C491" s="2" t="s">
        <v>1119</v>
      </c>
      <c r="D491" s="2">
        <v>1</v>
      </c>
      <c r="E491" s="2" t="s">
        <v>1120</v>
      </c>
    </row>
    <row r="492" spans="1:6" x14ac:dyDescent="0.25">
      <c r="A492" s="2"/>
      <c r="B492" s="2" t="s">
        <v>2123</v>
      </c>
      <c r="C492" s="2" t="s">
        <v>1121</v>
      </c>
      <c r="D492" s="2">
        <v>1</v>
      </c>
      <c r="E492" s="2" t="s">
        <v>1122</v>
      </c>
    </row>
    <row r="493" spans="1:6" x14ac:dyDescent="0.25">
      <c r="A493" s="2"/>
      <c r="B493" s="2" t="s">
        <v>2123</v>
      </c>
      <c r="C493" s="2" t="s">
        <v>1123</v>
      </c>
      <c r="D493" s="2">
        <v>0</v>
      </c>
      <c r="E493" s="2" t="s">
        <v>1124</v>
      </c>
    </row>
    <row r="494" spans="1:6" x14ac:dyDescent="0.25">
      <c r="A494" s="2" t="s">
        <v>1125</v>
      </c>
      <c r="B494" s="2" t="s">
        <v>1978</v>
      </c>
      <c r="C494" s="2" t="s">
        <v>1126</v>
      </c>
      <c r="D494" s="2">
        <v>1</v>
      </c>
      <c r="E494" s="2" t="s">
        <v>273</v>
      </c>
    </row>
    <row r="495" spans="1:6" x14ac:dyDescent="0.25">
      <c r="A495" s="2"/>
      <c r="B495" s="2" t="s">
        <v>1986</v>
      </c>
      <c r="C495" s="2" t="s">
        <v>1127</v>
      </c>
      <c r="D495" s="2">
        <v>1</v>
      </c>
      <c r="E495" s="2" t="s">
        <v>312</v>
      </c>
    </row>
    <row r="496" spans="1:6" x14ac:dyDescent="0.25">
      <c r="A496" s="2"/>
      <c r="B496" s="2" t="s">
        <v>2138</v>
      </c>
      <c r="C496" s="2" t="s">
        <v>1128</v>
      </c>
      <c r="D496" s="2">
        <v>1</v>
      </c>
      <c r="E496" s="2" t="s">
        <v>1129</v>
      </c>
    </row>
    <row r="497" spans="1:6" x14ac:dyDescent="0.25">
      <c r="A497" s="2"/>
      <c r="B497" s="2" t="s">
        <v>1993</v>
      </c>
      <c r="C497" s="2" t="s">
        <v>1130</v>
      </c>
      <c r="D497" s="2">
        <v>0</v>
      </c>
      <c r="E497" s="2" t="s">
        <v>1131</v>
      </c>
    </row>
    <row r="498" spans="1:6" x14ac:dyDescent="0.25">
      <c r="A498" s="2"/>
      <c r="B498" s="2" t="s">
        <v>1993</v>
      </c>
      <c r="C498" s="2" t="s">
        <v>1132</v>
      </c>
      <c r="D498" s="2">
        <v>1</v>
      </c>
      <c r="E498" s="2" t="s">
        <v>1133</v>
      </c>
    </row>
    <row r="499" spans="1:6" x14ac:dyDescent="0.25">
      <c r="A499" s="2"/>
      <c r="B499" s="2" t="s">
        <v>1993</v>
      </c>
      <c r="C499" s="2" t="s">
        <v>1134</v>
      </c>
      <c r="D499" s="2">
        <v>1</v>
      </c>
      <c r="E499" s="2" t="s">
        <v>347</v>
      </c>
      <c r="F499">
        <v>1</v>
      </c>
    </row>
    <row r="500" spans="1:6" x14ac:dyDescent="0.25">
      <c r="A500" s="2"/>
      <c r="B500" s="2" t="s">
        <v>1993</v>
      </c>
      <c r="C500" s="2" t="s">
        <v>1135</v>
      </c>
      <c r="D500" s="2">
        <v>1</v>
      </c>
      <c r="E500" s="2" t="s">
        <v>1136</v>
      </c>
    </row>
    <row r="501" spans="1:6" x14ac:dyDescent="0.25">
      <c r="A501" s="2"/>
      <c r="B501" s="2" t="s">
        <v>2123</v>
      </c>
      <c r="C501" s="2" t="s">
        <v>1137</v>
      </c>
      <c r="D501" s="2">
        <v>0</v>
      </c>
      <c r="E501" s="2" t="s">
        <v>1138</v>
      </c>
    </row>
    <row r="502" spans="1:6" x14ac:dyDescent="0.25">
      <c r="A502" s="2"/>
      <c r="B502" s="2" t="s">
        <v>2123</v>
      </c>
      <c r="C502" s="2" t="s">
        <v>1139</v>
      </c>
      <c r="D502" s="2">
        <v>1</v>
      </c>
      <c r="E502" s="2" t="s">
        <v>1140</v>
      </c>
    </row>
    <row r="503" spans="1:6" x14ac:dyDescent="0.25">
      <c r="A503" s="2" t="s">
        <v>1141</v>
      </c>
      <c r="B503" s="2" t="s">
        <v>1986</v>
      </c>
      <c r="C503" s="2" t="s">
        <v>1142</v>
      </c>
      <c r="D503" s="2">
        <v>1</v>
      </c>
      <c r="E503" s="2" t="s">
        <v>312</v>
      </c>
    </row>
    <row r="504" spans="1:6" x14ac:dyDescent="0.25">
      <c r="A504" s="2"/>
      <c r="B504" s="2" t="s">
        <v>1986</v>
      </c>
      <c r="C504" s="2" t="s">
        <v>1143</v>
      </c>
      <c r="D504" s="2">
        <v>0</v>
      </c>
      <c r="E504" s="2" t="s">
        <v>314</v>
      </c>
    </row>
    <row r="505" spans="1:6" x14ac:dyDescent="0.25">
      <c r="A505" s="2"/>
      <c r="B505" s="2" t="s">
        <v>2139</v>
      </c>
      <c r="C505" s="2" t="s">
        <v>1144</v>
      </c>
      <c r="D505" s="2">
        <v>1</v>
      </c>
      <c r="E505" s="2" t="s">
        <v>1145</v>
      </c>
    </row>
    <row r="506" spans="1:6" x14ac:dyDescent="0.25">
      <c r="A506" s="2"/>
      <c r="B506" s="2" t="s">
        <v>2139</v>
      </c>
      <c r="C506" s="2" t="s">
        <v>1146</v>
      </c>
      <c r="D506" s="2">
        <v>1</v>
      </c>
      <c r="E506" s="2" t="s">
        <v>1147</v>
      </c>
    </row>
    <row r="507" spans="1:6" x14ac:dyDescent="0.25">
      <c r="A507" s="2"/>
      <c r="B507" s="2" t="s">
        <v>2139</v>
      </c>
      <c r="C507" s="2" t="s">
        <v>1148</v>
      </c>
      <c r="D507" s="2">
        <v>0</v>
      </c>
      <c r="E507" s="2" t="s">
        <v>713</v>
      </c>
    </row>
    <row r="508" spans="1:6" x14ac:dyDescent="0.25">
      <c r="A508" s="2"/>
      <c r="B508" s="2" t="s">
        <v>2139</v>
      </c>
      <c r="C508" s="2" t="s">
        <v>1149</v>
      </c>
      <c r="D508" s="2">
        <v>1</v>
      </c>
      <c r="E508" s="2" t="s">
        <v>1150</v>
      </c>
    </row>
    <row r="509" spans="1:6" x14ac:dyDescent="0.25">
      <c r="A509" s="2"/>
      <c r="B509" s="2" t="s">
        <v>2011</v>
      </c>
      <c r="C509" s="2" t="s">
        <v>1151</v>
      </c>
      <c r="D509" s="2">
        <v>1</v>
      </c>
      <c r="E509" s="2" t="s">
        <v>380</v>
      </c>
    </row>
    <row r="510" spans="1:6" x14ac:dyDescent="0.25">
      <c r="A510" s="2"/>
      <c r="B510" s="2" t="s">
        <v>2011</v>
      </c>
      <c r="C510" s="2" t="s">
        <v>1152</v>
      </c>
      <c r="D510" s="2">
        <v>0</v>
      </c>
      <c r="E510" s="2" t="s">
        <v>381</v>
      </c>
    </row>
    <row r="511" spans="1:6" x14ac:dyDescent="0.25">
      <c r="A511" s="2"/>
      <c r="B511" s="2" t="s">
        <v>2140</v>
      </c>
      <c r="C511" s="2" t="s">
        <v>1153</v>
      </c>
      <c r="D511" s="2">
        <v>1</v>
      </c>
      <c r="E511" s="2" t="s">
        <v>1154</v>
      </c>
    </row>
    <row r="512" spans="1:6" x14ac:dyDescent="0.25">
      <c r="A512" s="2" t="s">
        <v>1155</v>
      </c>
      <c r="B512" s="2" t="s">
        <v>1978</v>
      </c>
      <c r="C512" s="2" t="s">
        <v>1156</v>
      </c>
      <c r="D512" s="2">
        <v>1</v>
      </c>
      <c r="E512" s="2" t="s">
        <v>273</v>
      </c>
    </row>
    <row r="513" spans="1:6" x14ac:dyDescent="0.25">
      <c r="A513" s="2"/>
      <c r="B513" s="2" t="s">
        <v>1994</v>
      </c>
      <c r="C513" s="2" t="s">
        <v>1157</v>
      </c>
      <c r="D513" s="2">
        <v>1</v>
      </c>
      <c r="E513" s="2" t="s">
        <v>844</v>
      </c>
    </row>
    <row r="514" spans="1:6" x14ac:dyDescent="0.25">
      <c r="A514" s="2"/>
      <c r="B514" s="2" t="s">
        <v>1982</v>
      </c>
      <c r="C514" s="2" t="s">
        <v>1158</v>
      </c>
      <c r="D514" s="2">
        <v>1</v>
      </c>
      <c r="E514" s="2" t="s">
        <v>1159</v>
      </c>
    </row>
    <row r="515" spans="1:6" x14ac:dyDescent="0.25">
      <c r="A515" s="2"/>
      <c r="B515" s="2" t="s">
        <v>1982</v>
      </c>
      <c r="C515" s="2" t="s">
        <v>1160</v>
      </c>
      <c r="D515" s="2">
        <v>1</v>
      </c>
      <c r="E515" s="2" t="s">
        <v>1161</v>
      </c>
    </row>
    <row r="516" spans="1:6" x14ac:dyDescent="0.25">
      <c r="A516" s="2"/>
      <c r="B516" s="2" t="s">
        <v>1982</v>
      </c>
      <c r="C516" s="2" t="s">
        <v>1162</v>
      </c>
      <c r="D516" s="2">
        <v>1</v>
      </c>
      <c r="E516" s="2" t="s">
        <v>1163</v>
      </c>
    </row>
    <row r="517" spans="1:6" x14ac:dyDescent="0.25">
      <c r="A517" s="2"/>
      <c r="B517" s="2" t="s">
        <v>1982</v>
      </c>
      <c r="C517" s="2" t="s">
        <v>1164</v>
      </c>
      <c r="D517" s="2">
        <v>1</v>
      </c>
      <c r="E517" s="2" t="s">
        <v>1165</v>
      </c>
    </row>
    <row r="518" spans="1:6" x14ac:dyDescent="0.25">
      <c r="A518" s="2"/>
      <c r="B518" s="2" t="s">
        <v>1983</v>
      </c>
      <c r="C518" s="2" t="s">
        <v>1166</v>
      </c>
      <c r="D518" s="2">
        <v>0</v>
      </c>
      <c r="E518" s="2" t="s">
        <v>295</v>
      </c>
    </row>
    <row r="519" spans="1:6" x14ac:dyDescent="0.25">
      <c r="A519" s="2"/>
      <c r="B519" s="2" t="s">
        <v>2141</v>
      </c>
      <c r="C519" s="2" t="s">
        <v>1167</v>
      </c>
      <c r="D519" s="2">
        <v>1</v>
      </c>
      <c r="E519" s="2" t="s">
        <v>1168</v>
      </c>
    </row>
    <row r="520" spans="1:6" x14ac:dyDescent="0.25">
      <c r="A520" s="2" t="s">
        <v>1169</v>
      </c>
      <c r="B520" s="2" t="s">
        <v>2017</v>
      </c>
      <c r="C520" s="2" t="s">
        <v>1170</v>
      </c>
      <c r="D520" s="2">
        <v>1</v>
      </c>
      <c r="E520" s="2" t="s">
        <v>1171</v>
      </c>
      <c r="F520">
        <v>1</v>
      </c>
    </row>
    <row r="521" spans="1:6" x14ac:dyDescent="0.25">
      <c r="A521" s="2"/>
      <c r="B521" s="2" t="s">
        <v>2017</v>
      </c>
      <c r="C521" s="2" t="s">
        <v>1172</v>
      </c>
      <c r="D521" s="2">
        <v>1</v>
      </c>
      <c r="E521" s="2" t="s">
        <v>1173</v>
      </c>
    </row>
    <row r="522" spans="1:6" x14ac:dyDescent="0.25">
      <c r="A522" s="2"/>
      <c r="B522" s="2" t="s">
        <v>2017</v>
      </c>
      <c r="C522" s="2" t="s">
        <v>1174</v>
      </c>
      <c r="D522" s="2">
        <v>1</v>
      </c>
      <c r="E522" s="2" t="s">
        <v>1175</v>
      </c>
    </row>
    <row r="523" spans="1:6" x14ac:dyDescent="0.25">
      <c r="A523" s="2"/>
      <c r="B523" s="2" t="s">
        <v>2017</v>
      </c>
      <c r="C523" s="2" t="s">
        <v>1176</v>
      </c>
      <c r="D523" s="2">
        <v>0</v>
      </c>
      <c r="E523" s="2" t="s">
        <v>1177</v>
      </c>
    </row>
    <row r="524" spans="1:6" x14ac:dyDescent="0.25">
      <c r="A524" s="2"/>
      <c r="B524" s="2" t="s">
        <v>2142</v>
      </c>
      <c r="C524" s="2" t="s">
        <v>1178</v>
      </c>
      <c r="D524" s="2">
        <v>1</v>
      </c>
      <c r="E524" s="2" t="s">
        <v>1179</v>
      </c>
    </row>
    <row r="525" spans="1:6" x14ac:dyDescent="0.25">
      <c r="A525" s="2"/>
      <c r="B525" s="2" t="s">
        <v>2142</v>
      </c>
      <c r="C525" s="2" t="s">
        <v>1180</v>
      </c>
      <c r="D525" s="2">
        <v>0</v>
      </c>
      <c r="E525" s="2" t="s">
        <v>1181</v>
      </c>
    </row>
    <row r="526" spans="1:6" x14ac:dyDescent="0.25">
      <c r="A526" s="2"/>
      <c r="B526" s="2" t="s">
        <v>2143</v>
      </c>
      <c r="C526" s="2" t="s">
        <v>1182</v>
      </c>
      <c r="D526" s="2">
        <v>1</v>
      </c>
      <c r="E526" s="2" t="s">
        <v>1183</v>
      </c>
    </row>
    <row r="527" spans="1:6" x14ac:dyDescent="0.25">
      <c r="A527" s="2"/>
      <c r="B527" s="2" t="s">
        <v>2143</v>
      </c>
      <c r="C527" s="2" t="s">
        <v>1184</v>
      </c>
      <c r="D527" s="2">
        <v>0</v>
      </c>
      <c r="E527" s="2" t="s">
        <v>1185</v>
      </c>
    </row>
    <row r="528" spans="1:6" x14ac:dyDescent="0.25">
      <c r="A528" s="2"/>
      <c r="B528" s="2" t="s">
        <v>2144</v>
      </c>
      <c r="C528" s="2" t="s">
        <v>1186</v>
      </c>
      <c r="D528" s="2">
        <v>1</v>
      </c>
      <c r="E528" s="2" t="s">
        <v>1187</v>
      </c>
    </row>
    <row r="529" spans="1:6" x14ac:dyDescent="0.25">
      <c r="A529" s="2"/>
      <c r="B529" s="2" t="s">
        <v>2144</v>
      </c>
      <c r="C529" s="2" t="s">
        <v>1188</v>
      </c>
      <c r="D529" s="2">
        <v>1</v>
      </c>
      <c r="E529" s="2" t="s">
        <v>1189</v>
      </c>
      <c r="F529">
        <v>1</v>
      </c>
    </row>
    <row r="530" spans="1:6" x14ac:dyDescent="0.25">
      <c r="A530" s="2"/>
      <c r="B530" s="2" t="s">
        <v>2144</v>
      </c>
      <c r="C530" s="2" t="s">
        <v>1190</v>
      </c>
      <c r="D530" s="2">
        <v>0</v>
      </c>
      <c r="E530" s="2" t="s">
        <v>1191</v>
      </c>
    </row>
    <row r="531" spans="1:6" x14ac:dyDescent="0.25">
      <c r="A531" s="2"/>
      <c r="B531" s="2" t="s">
        <v>2020</v>
      </c>
      <c r="C531" s="2" t="s">
        <v>1192</v>
      </c>
      <c r="D531" s="2">
        <v>1</v>
      </c>
      <c r="E531" s="2" t="s">
        <v>1193</v>
      </c>
    </row>
    <row r="532" spans="1:6" x14ac:dyDescent="0.25">
      <c r="A532" s="2"/>
      <c r="B532" s="2" t="s">
        <v>2020</v>
      </c>
      <c r="C532" s="2" t="s">
        <v>1194</v>
      </c>
      <c r="D532" s="2">
        <v>1</v>
      </c>
      <c r="E532" s="2" t="s">
        <v>1195</v>
      </c>
    </row>
    <row r="533" spans="1:6" x14ac:dyDescent="0.25">
      <c r="A533" s="2"/>
      <c r="B533" s="2" t="s">
        <v>2020</v>
      </c>
      <c r="C533" s="2" t="s">
        <v>1196</v>
      </c>
      <c r="D533" s="2">
        <v>0</v>
      </c>
      <c r="E533" s="2" t="s">
        <v>1197</v>
      </c>
    </row>
    <row r="534" spans="1:6" x14ac:dyDescent="0.25">
      <c r="A534" s="2" t="s">
        <v>1198</v>
      </c>
      <c r="B534" s="2" t="s">
        <v>2145</v>
      </c>
      <c r="C534" s="2" t="s">
        <v>1199</v>
      </c>
      <c r="D534" s="2">
        <v>1</v>
      </c>
      <c r="E534" s="2" t="s">
        <v>273</v>
      </c>
    </row>
    <row r="535" spans="1:6" x14ac:dyDescent="0.25">
      <c r="A535" s="2"/>
      <c r="B535" s="2" t="s">
        <v>2145</v>
      </c>
      <c r="C535" s="2" t="s">
        <v>1200</v>
      </c>
      <c r="D535" s="2">
        <v>1</v>
      </c>
      <c r="E535" s="2" t="s">
        <v>312</v>
      </c>
    </row>
    <row r="536" spans="1:6" x14ac:dyDescent="0.25">
      <c r="A536" s="2"/>
      <c r="B536" s="2" t="s">
        <v>2145</v>
      </c>
      <c r="C536" s="2" t="s">
        <v>1201</v>
      </c>
      <c r="D536" s="2">
        <v>0</v>
      </c>
      <c r="E536" s="2" t="s">
        <v>801</v>
      </c>
    </row>
    <row r="537" spans="1:6" x14ac:dyDescent="0.25">
      <c r="A537" s="2"/>
      <c r="B537" s="2" t="s">
        <v>2146</v>
      </c>
      <c r="C537" s="2" t="s">
        <v>1202</v>
      </c>
      <c r="D537" s="2">
        <v>0</v>
      </c>
      <c r="E537" s="2" t="s">
        <v>786</v>
      </c>
    </row>
    <row r="538" spans="1:6" x14ac:dyDescent="0.25">
      <c r="A538" s="2"/>
      <c r="B538" s="2" t="s">
        <v>2146</v>
      </c>
      <c r="C538" s="2" t="s">
        <v>1203</v>
      </c>
      <c r="D538" s="2">
        <v>1</v>
      </c>
      <c r="E538" s="2" t="s">
        <v>784</v>
      </c>
    </row>
    <row r="539" spans="1:6" x14ac:dyDescent="0.25">
      <c r="A539" s="2"/>
      <c r="B539" s="2" t="s">
        <v>2146</v>
      </c>
      <c r="C539" s="2" t="s">
        <v>1204</v>
      </c>
      <c r="D539" s="2">
        <v>1</v>
      </c>
      <c r="E539" s="2" t="s">
        <v>1205</v>
      </c>
      <c r="F539">
        <v>1</v>
      </c>
    </row>
    <row r="540" spans="1:6" x14ac:dyDescent="0.25">
      <c r="A540" s="2"/>
      <c r="B540" s="2" t="s">
        <v>2146</v>
      </c>
      <c r="C540" s="2" t="s">
        <v>1206</v>
      </c>
      <c r="D540" s="2">
        <v>1</v>
      </c>
      <c r="E540" s="2" t="s">
        <v>1207</v>
      </c>
    </row>
    <row r="541" spans="1:6" x14ac:dyDescent="0.25">
      <c r="A541" s="2"/>
      <c r="B541" s="2" t="s">
        <v>2146</v>
      </c>
      <c r="C541" s="2" t="s">
        <v>1208</v>
      </c>
      <c r="D541" s="2">
        <v>0</v>
      </c>
      <c r="E541" s="2" t="s">
        <v>1209</v>
      </c>
    </row>
    <row r="542" spans="1:6" x14ac:dyDescent="0.25">
      <c r="A542" s="2"/>
      <c r="B542" s="2" t="s">
        <v>2146</v>
      </c>
      <c r="C542" s="2" t="s">
        <v>1210</v>
      </c>
      <c r="D542" s="2">
        <v>1</v>
      </c>
      <c r="E542" s="2" t="s">
        <v>1211</v>
      </c>
    </row>
    <row r="543" spans="1:6" x14ac:dyDescent="0.25">
      <c r="A543" s="2"/>
      <c r="B543" s="2" t="s">
        <v>1980</v>
      </c>
      <c r="C543" s="2" t="s">
        <v>1212</v>
      </c>
      <c r="D543" s="2">
        <v>1</v>
      </c>
      <c r="E543" s="2" t="s">
        <v>789</v>
      </c>
    </row>
    <row r="544" spans="1:6" x14ac:dyDescent="0.25">
      <c r="A544" s="2"/>
      <c r="B544" s="2" t="s">
        <v>1980</v>
      </c>
      <c r="C544" s="2" t="s">
        <v>1213</v>
      </c>
      <c r="D544" s="2">
        <v>0</v>
      </c>
      <c r="E544" s="2" t="s">
        <v>1214</v>
      </c>
    </row>
    <row r="545" spans="1:6" x14ac:dyDescent="0.25">
      <c r="A545" s="2"/>
      <c r="B545" s="2" t="s">
        <v>2103</v>
      </c>
      <c r="C545" s="2" t="s">
        <v>1215</v>
      </c>
      <c r="D545" s="2">
        <v>1</v>
      </c>
      <c r="E545" s="2" t="s">
        <v>1216</v>
      </c>
    </row>
    <row r="546" spans="1:6" x14ac:dyDescent="0.25">
      <c r="A546" s="2"/>
      <c r="B546" s="2" t="s">
        <v>2103</v>
      </c>
      <c r="C546" s="2" t="s">
        <v>1217</v>
      </c>
      <c r="D546" s="2">
        <v>1</v>
      </c>
      <c r="E546" s="2" t="s">
        <v>791</v>
      </c>
    </row>
    <row r="547" spans="1:6" x14ac:dyDescent="0.25">
      <c r="A547" s="2"/>
      <c r="B547" s="2" t="s">
        <v>2103</v>
      </c>
      <c r="C547" s="2" t="s">
        <v>1218</v>
      </c>
      <c r="D547" s="2">
        <v>1</v>
      </c>
      <c r="E547" s="2" t="s">
        <v>795</v>
      </c>
    </row>
    <row r="548" spans="1:6" x14ac:dyDescent="0.25">
      <c r="A548" s="2"/>
      <c r="B548" s="2" t="s">
        <v>2147</v>
      </c>
      <c r="C548" s="2" t="s">
        <v>1219</v>
      </c>
      <c r="D548" s="2">
        <v>1</v>
      </c>
      <c r="E548" s="2" t="s">
        <v>372</v>
      </c>
      <c r="F548">
        <v>1</v>
      </c>
    </row>
    <row r="549" spans="1:6" x14ac:dyDescent="0.25">
      <c r="A549" s="2" t="s">
        <v>1220</v>
      </c>
      <c r="B549" s="2" t="s">
        <v>2018</v>
      </c>
      <c r="C549" s="2" t="s">
        <v>1221</v>
      </c>
      <c r="D549" s="2">
        <v>1</v>
      </c>
      <c r="E549" s="2" t="s">
        <v>430</v>
      </c>
    </row>
    <row r="550" spans="1:6" x14ac:dyDescent="0.25">
      <c r="A550" s="2"/>
      <c r="B550" s="2" t="s">
        <v>2148</v>
      </c>
      <c r="C550" s="2" t="s">
        <v>1222</v>
      </c>
      <c r="D550" s="2">
        <v>1</v>
      </c>
      <c r="E550" s="2" t="s">
        <v>1223</v>
      </c>
    </row>
    <row r="551" spans="1:6" x14ac:dyDescent="0.25">
      <c r="A551" s="2"/>
      <c r="B551" s="2" t="s">
        <v>2148</v>
      </c>
      <c r="C551" s="2" t="s">
        <v>1224</v>
      </c>
      <c r="D551" s="2">
        <v>1</v>
      </c>
      <c r="E551" s="2" t="s">
        <v>1225</v>
      </c>
    </row>
    <row r="552" spans="1:6" x14ac:dyDescent="0.25">
      <c r="A552" s="2"/>
      <c r="B552" s="2" t="s">
        <v>2148</v>
      </c>
      <c r="C552" s="2" t="s">
        <v>1226</v>
      </c>
      <c r="D552" s="2">
        <v>0</v>
      </c>
      <c r="E552" s="2" t="s">
        <v>1227</v>
      </c>
    </row>
    <row r="553" spans="1:6" x14ac:dyDescent="0.25">
      <c r="A553" s="2"/>
      <c r="B553" s="2" t="s">
        <v>1984</v>
      </c>
      <c r="C553" s="2" t="s">
        <v>1228</v>
      </c>
      <c r="D553" s="2">
        <v>1</v>
      </c>
      <c r="E553" s="2" t="s">
        <v>438</v>
      </c>
      <c r="F553">
        <v>1</v>
      </c>
    </row>
    <row r="554" spans="1:6" x14ac:dyDescent="0.25">
      <c r="A554" s="2"/>
      <c r="B554" s="2" t="s">
        <v>1984</v>
      </c>
      <c r="C554" s="2" t="s">
        <v>1229</v>
      </c>
      <c r="D554" s="2">
        <v>0</v>
      </c>
      <c r="E554" s="2" t="s">
        <v>440</v>
      </c>
    </row>
    <row r="555" spans="1:6" x14ac:dyDescent="0.25">
      <c r="A555" s="2"/>
      <c r="B555" s="2" t="s">
        <v>2149</v>
      </c>
      <c r="C555" s="2" t="s">
        <v>1230</v>
      </c>
      <c r="D555" s="2">
        <v>1</v>
      </c>
      <c r="E555" s="2" t="s">
        <v>424</v>
      </c>
    </row>
    <row r="556" spans="1:6" x14ac:dyDescent="0.25">
      <c r="A556" s="2"/>
      <c r="B556" s="2" t="s">
        <v>2149</v>
      </c>
      <c r="C556" s="2" t="s">
        <v>1231</v>
      </c>
      <c r="D556" s="2">
        <v>1</v>
      </c>
      <c r="E556" s="2" t="s">
        <v>1232</v>
      </c>
    </row>
    <row r="557" spans="1:6" x14ac:dyDescent="0.25">
      <c r="A557" s="2"/>
      <c r="B557" s="2" t="s">
        <v>2149</v>
      </c>
      <c r="C557" s="2" t="s">
        <v>1233</v>
      </c>
      <c r="D557" s="2">
        <v>1</v>
      </c>
      <c r="E557" s="2" t="s">
        <v>1234</v>
      </c>
      <c r="F557">
        <v>1</v>
      </c>
    </row>
    <row r="558" spans="1:6" x14ac:dyDescent="0.25">
      <c r="A558" s="2"/>
      <c r="B558" s="2" t="s">
        <v>2149</v>
      </c>
      <c r="C558" s="2" t="s">
        <v>1235</v>
      </c>
      <c r="D558" s="2">
        <v>0</v>
      </c>
      <c r="E558" s="2" t="s">
        <v>1236</v>
      </c>
    </row>
    <row r="559" spans="1:6" x14ac:dyDescent="0.25">
      <c r="A559" s="2"/>
      <c r="B559" s="2" t="s">
        <v>2020</v>
      </c>
      <c r="C559" s="2" t="s">
        <v>1237</v>
      </c>
      <c r="D559" s="2">
        <v>1</v>
      </c>
      <c r="E559" s="2" t="s">
        <v>656</v>
      </c>
    </row>
    <row r="560" spans="1:6" x14ac:dyDescent="0.25">
      <c r="A560" s="2"/>
      <c r="B560" s="2" t="s">
        <v>2020</v>
      </c>
      <c r="C560" s="2" t="s">
        <v>1238</v>
      </c>
      <c r="D560" s="2">
        <v>0</v>
      </c>
      <c r="E560" s="2" t="s">
        <v>658</v>
      </c>
    </row>
    <row r="561" spans="1:5" x14ac:dyDescent="0.25">
      <c r="A561" s="2"/>
      <c r="B561" s="2" t="s">
        <v>2150</v>
      </c>
      <c r="C561" s="2" t="s">
        <v>1239</v>
      </c>
      <c r="D561" s="2">
        <v>1</v>
      </c>
      <c r="E561" s="2" t="s">
        <v>1240</v>
      </c>
    </row>
    <row r="562" spans="1:5" x14ac:dyDescent="0.25">
      <c r="A562" s="2"/>
      <c r="B562" s="2" t="s">
        <v>2150</v>
      </c>
      <c r="C562" s="2" t="s">
        <v>1241</v>
      </c>
      <c r="D562" s="2">
        <v>1</v>
      </c>
      <c r="E562" s="2" t="s">
        <v>1242</v>
      </c>
    </row>
    <row r="563" spans="1:5" x14ac:dyDescent="0.25">
      <c r="A563" s="2"/>
      <c r="B563" s="2" t="s">
        <v>2150</v>
      </c>
      <c r="C563" s="2" t="s">
        <v>1243</v>
      </c>
      <c r="D563" s="2">
        <v>0</v>
      </c>
      <c r="E563" s="2" t="s">
        <v>1244</v>
      </c>
    </row>
    <row r="564" spans="1:5" x14ac:dyDescent="0.25">
      <c r="A564" s="2" t="s">
        <v>1245</v>
      </c>
      <c r="B564" s="2" t="s">
        <v>1985</v>
      </c>
      <c r="C564" s="2" t="s">
        <v>1246</v>
      </c>
      <c r="D564" s="2">
        <v>1</v>
      </c>
      <c r="E564" s="2" t="s">
        <v>583</v>
      </c>
    </row>
    <row r="565" spans="1:5" x14ac:dyDescent="0.25">
      <c r="A565" s="2"/>
      <c r="B565" s="2" t="s">
        <v>1985</v>
      </c>
      <c r="C565" s="2" t="s">
        <v>1247</v>
      </c>
      <c r="D565" s="2">
        <v>0</v>
      </c>
      <c r="E565" s="2" t="s">
        <v>306</v>
      </c>
    </row>
    <row r="566" spans="1:5" x14ac:dyDescent="0.25">
      <c r="A566" s="2"/>
      <c r="B566" s="2" t="s">
        <v>2151</v>
      </c>
      <c r="C566" s="2" t="s">
        <v>1248</v>
      </c>
      <c r="D566" s="2">
        <v>1</v>
      </c>
      <c r="E566" s="2" t="s">
        <v>1249</v>
      </c>
    </row>
    <row r="567" spans="1:5" x14ac:dyDescent="0.25">
      <c r="A567" s="2"/>
      <c r="B567" s="2" t="s">
        <v>1978</v>
      </c>
      <c r="C567" s="2" t="s">
        <v>1250</v>
      </c>
      <c r="D567" s="2">
        <v>1</v>
      </c>
      <c r="E567" s="2" t="s">
        <v>273</v>
      </c>
    </row>
    <row r="568" spans="1:5" x14ac:dyDescent="0.25">
      <c r="A568" s="2"/>
      <c r="B568" s="2" t="s">
        <v>1978</v>
      </c>
      <c r="C568" s="2" t="s">
        <v>1251</v>
      </c>
      <c r="D568" s="2">
        <v>1</v>
      </c>
      <c r="E568" s="2" t="s">
        <v>1252</v>
      </c>
    </row>
    <row r="569" spans="1:5" x14ac:dyDescent="0.25">
      <c r="A569" s="2"/>
      <c r="B569" s="2" t="s">
        <v>1986</v>
      </c>
      <c r="C569" s="2" t="s">
        <v>1253</v>
      </c>
      <c r="D569" s="2">
        <v>1</v>
      </c>
      <c r="E569" s="2" t="s">
        <v>633</v>
      </c>
    </row>
    <row r="570" spans="1:5" x14ac:dyDescent="0.25">
      <c r="A570" s="2"/>
      <c r="B570" s="2" t="s">
        <v>2021</v>
      </c>
      <c r="C570" s="2" t="s">
        <v>1254</v>
      </c>
      <c r="D570" s="2">
        <v>1</v>
      </c>
      <c r="E570" s="2" t="s">
        <v>668</v>
      </c>
    </row>
    <row r="571" spans="1:5" x14ac:dyDescent="0.25">
      <c r="A571" s="2"/>
      <c r="B571" s="2" t="s">
        <v>1988</v>
      </c>
      <c r="C571" s="2" t="s">
        <v>1255</v>
      </c>
      <c r="D571" s="2">
        <v>1</v>
      </c>
      <c r="E571" s="2" t="s">
        <v>1256</v>
      </c>
    </row>
    <row r="572" spans="1:5" x14ac:dyDescent="0.25">
      <c r="A572" s="2"/>
      <c r="B572" s="2" t="s">
        <v>1995</v>
      </c>
      <c r="C572" s="2" t="s">
        <v>1257</v>
      </c>
      <c r="D572" s="2">
        <v>0</v>
      </c>
      <c r="E572" s="2" t="s">
        <v>1258</v>
      </c>
    </row>
    <row r="573" spans="1:5" x14ac:dyDescent="0.25">
      <c r="A573" s="2" t="s">
        <v>1259</v>
      </c>
      <c r="B573" s="2" t="s">
        <v>1978</v>
      </c>
      <c r="C573" s="2" t="s">
        <v>1260</v>
      </c>
      <c r="D573" s="2">
        <v>1</v>
      </c>
      <c r="E573" s="2" t="s">
        <v>273</v>
      </c>
    </row>
    <row r="574" spans="1:5" x14ac:dyDescent="0.25">
      <c r="A574" s="2"/>
      <c r="B574" s="2" t="s">
        <v>2044</v>
      </c>
      <c r="C574" s="2" t="s">
        <v>1261</v>
      </c>
      <c r="D574" s="2">
        <v>1</v>
      </c>
      <c r="E574" s="2" t="s">
        <v>1262</v>
      </c>
    </row>
    <row r="575" spans="1:5" x14ac:dyDescent="0.25">
      <c r="A575" s="2"/>
      <c r="B575" s="2" t="s">
        <v>2044</v>
      </c>
      <c r="C575" s="2" t="s">
        <v>1263</v>
      </c>
      <c r="D575" s="2">
        <v>1</v>
      </c>
      <c r="E575" s="2" t="s">
        <v>1264</v>
      </c>
    </row>
    <row r="576" spans="1:5" x14ac:dyDescent="0.25">
      <c r="A576" s="2"/>
      <c r="B576" s="2" t="s">
        <v>2163</v>
      </c>
      <c r="C576" s="2" t="s">
        <v>1265</v>
      </c>
      <c r="D576" s="2">
        <v>1</v>
      </c>
      <c r="E576" s="2" t="s">
        <v>1266</v>
      </c>
    </row>
    <row r="577" spans="1:5" x14ac:dyDescent="0.25">
      <c r="A577" s="2" t="s">
        <v>1267</v>
      </c>
      <c r="B577" s="2" t="s">
        <v>2168</v>
      </c>
      <c r="C577" s="2" t="s">
        <v>1276</v>
      </c>
      <c r="D577" s="2">
        <v>0</v>
      </c>
      <c r="E577" s="2" t="s">
        <v>763</v>
      </c>
    </row>
    <row r="578" spans="1:5" x14ac:dyDescent="0.25">
      <c r="A578" s="2"/>
      <c r="B578" s="2" t="s">
        <v>2168</v>
      </c>
      <c r="C578" s="2" t="s">
        <v>2152</v>
      </c>
      <c r="D578" s="2">
        <v>1</v>
      </c>
      <c r="E578" s="2" t="s">
        <v>765</v>
      </c>
    </row>
    <row r="579" spans="1:5" x14ac:dyDescent="0.25">
      <c r="A579" s="2"/>
      <c r="B579" s="2" t="s">
        <v>2168</v>
      </c>
      <c r="C579" s="2" t="s">
        <v>1277</v>
      </c>
      <c r="D579" s="2">
        <v>1</v>
      </c>
      <c r="E579" s="2" t="s">
        <v>767</v>
      </c>
    </row>
    <row r="580" spans="1:5" x14ac:dyDescent="0.25">
      <c r="A580" s="2"/>
      <c r="B580" s="2" t="s">
        <v>2169</v>
      </c>
      <c r="C580" s="2" t="s">
        <v>1268</v>
      </c>
      <c r="D580" s="2">
        <v>1</v>
      </c>
      <c r="E580" s="2" t="s">
        <v>1269</v>
      </c>
    </row>
    <row r="581" spans="1:5" x14ac:dyDescent="0.25">
      <c r="A581" s="2"/>
      <c r="B581" s="2" t="s">
        <v>2169</v>
      </c>
      <c r="C581" s="2" t="s">
        <v>1270</v>
      </c>
      <c r="D581" s="2">
        <v>1</v>
      </c>
      <c r="E581" s="2" t="s">
        <v>1271</v>
      </c>
    </row>
    <row r="582" spans="1:5" x14ac:dyDescent="0.25">
      <c r="A582" s="2"/>
      <c r="B582" s="2" t="s">
        <v>2169</v>
      </c>
      <c r="C582" s="2" t="s">
        <v>1272</v>
      </c>
      <c r="D582" s="2">
        <v>1</v>
      </c>
      <c r="E582" s="2" t="s">
        <v>1273</v>
      </c>
    </row>
    <row r="583" spans="1:5" x14ac:dyDescent="0.25">
      <c r="A583" s="2"/>
      <c r="B583" s="2" t="s">
        <v>2170</v>
      </c>
      <c r="C583" s="2" t="s">
        <v>1284</v>
      </c>
      <c r="D583" s="2">
        <v>1</v>
      </c>
      <c r="E583" s="2" t="s">
        <v>1285</v>
      </c>
    </row>
    <row r="584" spans="1:5" x14ac:dyDescent="0.25">
      <c r="A584" s="2"/>
      <c r="B584" s="2" t="s">
        <v>2170</v>
      </c>
      <c r="C584" s="2" t="s">
        <v>1286</v>
      </c>
      <c r="D584" s="2">
        <v>1</v>
      </c>
      <c r="E584" s="2" t="s">
        <v>1287</v>
      </c>
    </row>
    <row r="585" spans="1:5" x14ac:dyDescent="0.25">
      <c r="A585" s="2"/>
      <c r="B585" s="2" t="s">
        <v>2170</v>
      </c>
      <c r="C585" s="2" t="s">
        <v>1288</v>
      </c>
      <c r="D585" s="2">
        <v>1</v>
      </c>
      <c r="E585" s="2" t="s">
        <v>1289</v>
      </c>
    </row>
    <row r="586" spans="1:5" x14ac:dyDescent="0.25">
      <c r="A586" s="2"/>
      <c r="B586" s="2" t="s">
        <v>2170</v>
      </c>
      <c r="C586" s="2" t="s">
        <v>1290</v>
      </c>
      <c r="D586" s="2">
        <v>1</v>
      </c>
      <c r="E586" s="2" t="s">
        <v>1291</v>
      </c>
    </row>
    <row r="587" spans="1:5" x14ac:dyDescent="0.25">
      <c r="A587" s="2"/>
      <c r="B587" s="2" t="s">
        <v>2171</v>
      </c>
      <c r="C587" s="2" t="s">
        <v>1278</v>
      </c>
      <c r="D587" s="2">
        <v>1</v>
      </c>
      <c r="E587" s="2" t="s">
        <v>1279</v>
      </c>
    </row>
    <row r="588" spans="1:5" x14ac:dyDescent="0.25">
      <c r="A588" s="2"/>
      <c r="B588" s="2" t="s">
        <v>2171</v>
      </c>
      <c r="C588" s="2" t="s">
        <v>1280</v>
      </c>
      <c r="D588" s="2">
        <v>1</v>
      </c>
      <c r="E588" s="2" t="s">
        <v>1281</v>
      </c>
    </row>
    <row r="589" spans="1:5" x14ac:dyDescent="0.25">
      <c r="A589" s="2"/>
      <c r="B589" s="2" t="s">
        <v>2171</v>
      </c>
      <c r="C589" s="2" t="s">
        <v>1282</v>
      </c>
      <c r="D589" s="2">
        <v>1</v>
      </c>
      <c r="E589" s="2" t="s">
        <v>1283</v>
      </c>
    </row>
    <row r="590" spans="1:5" x14ac:dyDescent="0.25">
      <c r="A590" s="2"/>
      <c r="B590" s="2" t="s">
        <v>2172</v>
      </c>
      <c r="C590" s="2" t="s">
        <v>1274</v>
      </c>
      <c r="D590" s="2">
        <v>0</v>
      </c>
      <c r="E590" s="2" t="s">
        <v>1275</v>
      </c>
    </row>
    <row r="591" spans="1:5" x14ac:dyDescent="0.25">
      <c r="A591" s="2" t="s">
        <v>1292</v>
      </c>
      <c r="B591" s="2" t="s">
        <v>1985</v>
      </c>
      <c r="C591" s="2" t="s">
        <v>1293</v>
      </c>
      <c r="D591" s="2">
        <v>1</v>
      </c>
      <c r="E591" s="2" t="s">
        <v>304</v>
      </c>
    </row>
    <row r="592" spans="1:5" x14ac:dyDescent="0.25">
      <c r="A592" s="2"/>
      <c r="B592" s="2" t="s">
        <v>1985</v>
      </c>
      <c r="C592" s="2" t="s">
        <v>1294</v>
      </c>
      <c r="D592" s="2">
        <v>0</v>
      </c>
      <c r="E592" s="2" t="s">
        <v>306</v>
      </c>
    </row>
    <row r="593" spans="1:6" x14ac:dyDescent="0.25">
      <c r="A593" s="2"/>
      <c r="B593" s="2" t="s">
        <v>1985</v>
      </c>
      <c r="C593" s="2" t="s">
        <v>1295</v>
      </c>
      <c r="D593" s="2">
        <v>1</v>
      </c>
      <c r="E593" s="2" t="s">
        <v>1296</v>
      </c>
    </row>
    <row r="594" spans="1:6" x14ac:dyDescent="0.25">
      <c r="A594" s="2"/>
      <c r="B594" s="2" t="s">
        <v>1985</v>
      </c>
      <c r="C594" s="2" t="s">
        <v>1297</v>
      </c>
      <c r="D594" s="2">
        <v>1</v>
      </c>
      <c r="E594" s="2" t="s">
        <v>729</v>
      </c>
    </row>
    <row r="595" spans="1:6" x14ac:dyDescent="0.25">
      <c r="A595" s="2"/>
      <c r="B595" s="2" t="s">
        <v>1992</v>
      </c>
      <c r="C595" s="2" t="s">
        <v>1298</v>
      </c>
      <c r="D595" s="2">
        <v>1</v>
      </c>
      <c r="E595" s="2" t="s">
        <v>343</v>
      </c>
    </row>
    <row r="596" spans="1:6" x14ac:dyDescent="0.25">
      <c r="A596" s="2"/>
      <c r="B596" s="2" t="s">
        <v>2138</v>
      </c>
      <c r="C596" s="2" t="s">
        <v>1299</v>
      </c>
      <c r="D596" s="2">
        <v>1</v>
      </c>
      <c r="E596" s="2" t="s">
        <v>1300</v>
      </c>
    </row>
    <row r="597" spans="1:6" x14ac:dyDescent="0.25">
      <c r="A597" s="2"/>
      <c r="B597" s="2" t="s">
        <v>2138</v>
      </c>
      <c r="C597" s="2" t="s">
        <v>1301</v>
      </c>
      <c r="D597" s="2">
        <v>1</v>
      </c>
      <c r="E597" s="2" t="s">
        <v>734</v>
      </c>
    </row>
    <row r="598" spans="1:6" x14ac:dyDescent="0.25">
      <c r="A598" s="2"/>
      <c r="B598" s="2" t="s">
        <v>2138</v>
      </c>
      <c r="C598" s="2" t="s">
        <v>1302</v>
      </c>
      <c r="D598" s="2">
        <v>1</v>
      </c>
      <c r="E598" s="2" t="s">
        <v>1303</v>
      </c>
    </row>
    <row r="599" spans="1:6" x14ac:dyDescent="0.25">
      <c r="A599" s="2"/>
      <c r="B599" s="2" t="s">
        <v>1994</v>
      </c>
      <c r="C599" s="2" t="s">
        <v>1304</v>
      </c>
      <c r="D599" s="2">
        <v>1</v>
      </c>
      <c r="E599" s="2" t="s">
        <v>1305</v>
      </c>
    </row>
    <row r="600" spans="1:6" x14ac:dyDescent="0.25">
      <c r="A600" s="2"/>
      <c r="B600" s="2" t="s">
        <v>1984</v>
      </c>
      <c r="C600" s="2" t="s">
        <v>1306</v>
      </c>
      <c r="D600" s="2">
        <v>1</v>
      </c>
      <c r="E600" s="2" t="s">
        <v>1307</v>
      </c>
    </row>
    <row r="601" spans="1:6" x14ac:dyDescent="0.25">
      <c r="A601" s="2"/>
      <c r="B601" s="2" t="s">
        <v>1984</v>
      </c>
      <c r="C601" s="2" t="s">
        <v>1308</v>
      </c>
      <c r="D601" s="2">
        <v>1</v>
      </c>
      <c r="E601" s="2" t="s">
        <v>875</v>
      </c>
      <c r="F601">
        <v>1</v>
      </c>
    </row>
    <row r="602" spans="1:6" x14ac:dyDescent="0.25">
      <c r="A602" s="2"/>
      <c r="B602" s="2" t="s">
        <v>1996</v>
      </c>
      <c r="C602" s="2" t="s">
        <v>1309</v>
      </c>
      <c r="D602" s="2">
        <v>1</v>
      </c>
      <c r="E602" s="2" t="s">
        <v>759</v>
      </c>
    </row>
    <row r="603" spans="1:6" x14ac:dyDescent="0.25">
      <c r="A603" s="2"/>
      <c r="B603" s="2" t="s">
        <v>1996</v>
      </c>
      <c r="C603" s="2" t="s">
        <v>1310</v>
      </c>
      <c r="D603" s="2">
        <v>1</v>
      </c>
      <c r="E603" s="2" t="s">
        <v>755</v>
      </c>
    </row>
    <row r="604" spans="1:6" x14ac:dyDescent="0.25">
      <c r="A604" s="2"/>
      <c r="B604" s="2" t="s">
        <v>1996</v>
      </c>
      <c r="C604" s="2" t="s">
        <v>1311</v>
      </c>
      <c r="D604" s="2">
        <v>1</v>
      </c>
      <c r="E604" s="2" t="s">
        <v>757</v>
      </c>
    </row>
    <row r="605" spans="1:6" x14ac:dyDescent="0.25">
      <c r="A605" s="2" t="s">
        <v>1312</v>
      </c>
      <c r="B605" s="2" t="s">
        <v>1985</v>
      </c>
      <c r="C605" s="2" t="s">
        <v>1313</v>
      </c>
      <c r="D605" s="2">
        <v>1</v>
      </c>
      <c r="E605" s="2" t="s">
        <v>304</v>
      </c>
    </row>
    <row r="606" spans="1:6" x14ac:dyDescent="0.25">
      <c r="A606" s="2"/>
      <c r="B606" s="2" t="s">
        <v>1985</v>
      </c>
      <c r="C606" s="2" t="s">
        <v>1314</v>
      </c>
      <c r="D606" s="2">
        <v>0</v>
      </c>
      <c r="E606" s="2" t="s">
        <v>306</v>
      </c>
    </row>
    <row r="607" spans="1:6" x14ac:dyDescent="0.25">
      <c r="A607" s="2"/>
      <c r="B607" s="2" t="s">
        <v>1978</v>
      </c>
      <c r="C607" s="2" t="s">
        <v>1315</v>
      </c>
      <c r="D607" s="2">
        <v>1</v>
      </c>
      <c r="E607" s="2" t="s">
        <v>273</v>
      </c>
    </row>
    <row r="608" spans="1:6" x14ac:dyDescent="0.25">
      <c r="A608" s="2"/>
      <c r="B608" s="2" t="s">
        <v>1986</v>
      </c>
      <c r="C608" s="2" t="s">
        <v>1316</v>
      </c>
      <c r="D608" s="2">
        <v>1</v>
      </c>
      <c r="E608" s="2" t="s">
        <v>312</v>
      </c>
    </row>
    <row r="609" spans="1:5" x14ac:dyDescent="0.25">
      <c r="A609" s="2"/>
      <c r="B609" s="2" t="s">
        <v>1986</v>
      </c>
      <c r="C609" s="2" t="s">
        <v>1317</v>
      </c>
      <c r="D609" s="2">
        <v>0</v>
      </c>
      <c r="E609" s="2" t="s">
        <v>314</v>
      </c>
    </row>
    <row r="610" spans="1:5" x14ac:dyDescent="0.25">
      <c r="A610" s="2"/>
      <c r="B610" s="2" t="s">
        <v>1986</v>
      </c>
      <c r="C610" s="2" t="s">
        <v>1318</v>
      </c>
      <c r="D610" s="2">
        <v>1</v>
      </c>
      <c r="E610" s="2" t="s">
        <v>1319</v>
      </c>
    </row>
    <row r="611" spans="1:5" x14ac:dyDescent="0.25">
      <c r="A611" s="2"/>
      <c r="B611" s="2" t="s">
        <v>2135</v>
      </c>
      <c r="C611" s="2" t="s">
        <v>1320</v>
      </c>
      <c r="D611" s="2">
        <v>1</v>
      </c>
      <c r="E611" s="2" t="s">
        <v>1321</v>
      </c>
    </row>
    <row r="612" spans="1:5" x14ac:dyDescent="0.25">
      <c r="A612" s="2"/>
      <c r="B612" s="2" t="s">
        <v>2135</v>
      </c>
      <c r="C612" s="2" t="s">
        <v>1322</v>
      </c>
      <c r="D612" s="2">
        <v>1</v>
      </c>
      <c r="E612" s="2" t="s">
        <v>1323</v>
      </c>
    </row>
    <row r="613" spans="1:5" x14ac:dyDescent="0.25">
      <c r="A613" s="2"/>
      <c r="B613" s="2" t="s">
        <v>2135</v>
      </c>
      <c r="C613" s="2" t="s">
        <v>1324</v>
      </c>
      <c r="D613" s="2">
        <v>1</v>
      </c>
      <c r="E613" s="2" t="s">
        <v>1325</v>
      </c>
    </row>
    <row r="614" spans="1:5" x14ac:dyDescent="0.25">
      <c r="A614" s="2"/>
      <c r="B614" s="2" t="s">
        <v>1987</v>
      </c>
      <c r="C614" s="2" t="s">
        <v>1326</v>
      </c>
      <c r="D614" s="2">
        <v>1</v>
      </c>
      <c r="E614" s="2" t="s">
        <v>318</v>
      </c>
    </row>
    <row r="615" spans="1:5" x14ac:dyDescent="0.25">
      <c r="A615" s="2"/>
      <c r="B615" s="2" t="s">
        <v>1987</v>
      </c>
      <c r="C615" s="2" t="s">
        <v>1327</v>
      </c>
      <c r="D615" s="2">
        <v>1</v>
      </c>
      <c r="E615" s="2" t="s">
        <v>1328</v>
      </c>
    </row>
    <row r="616" spans="1:5" x14ac:dyDescent="0.25">
      <c r="A616" s="2"/>
      <c r="B616" s="2" t="s">
        <v>1987</v>
      </c>
      <c r="C616" s="2" t="s">
        <v>1329</v>
      </c>
      <c r="D616" s="2">
        <v>1</v>
      </c>
      <c r="E616" s="2" t="s">
        <v>1330</v>
      </c>
    </row>
    <row r="617" spans="1:5" x14ac:dyDescent="0.25">
      <c r="A617" s="2"/>
      <c r="B617" s="2" t="s">
        <v>1987</v>
      </c>
      <c r="C617" s="2" t="s">
        <v>1331</v>
      </c>
      <c r="D617" s="2">
        <v>0</v>
      </c>
      <c r="E617" s="2" t="s">
        <v>1332</v>
      </c>
    </row>
    <row r="618" spans="1:5" x14ac:dyDescent="0.25">
      <c r="A618" s="2"/>
      <c r="B618" s="2" t="s">
        <v>2383</v>
      </c>
      <c r="C618" s="2" t="s">
        <v>1333</v>
      </c>
      <c r="D618" s="2">
        <v>1</v>
      </c>
      <c r="E618" s="2" t="s">
        <v>1334</v>
      </c>
    </row>
    <row r="619" spans="1:5" x14ac:dyDescent="0.25">
      <c r="A619" s="2"/>
      <c r="B619" s="2" t="s">
        <v>1988</v>
      </c>
      <c r="C619" s="2" t="s">
        <v>1335</v>
      </c>
      <c r="D619" s="2">
        <v>1</v>
      </c>
      <c r="E619" s="2" t="s">
        <v>991</v>
      </c>
    </row>
    <row r="620" spans="1:5" x14ac:dyDescent="0.25">
      <c r="A620" s="2"/>
      <c r="B620" s="2" t="s">
        <v>1988</v>
      </c>
      <c r="C620" s="2" t="s">
        <v>1336</v>
      </c>
      <c r="D620" s="2">
        <v>0</v>
      </c>
      <c r="E620" s="2" t="s">
        <v>1337</v>
      </c>
    </row>
    <row r="621" spans="1:5" x14ac:dyDescent="0.25">
      <c r="A621" s="2"/>
      <c r="B621" s="2" t="s">
        <v>2384</v>
      </c>
      <c r="C621" s="2" t="s">
        <v>1338</v>
      </c>
      <c r="D621" s="2">
        <v>1</v>
      </c>
      <c r="E621" s="2" t="s">
        <v>1339</v>
      </c>
    </row>
    <row r="622" spans="1:5" x14ac:dyDescent="0.25">
      <c r="A622" s="2"/>
      <c r="B622" s="2" t="s">
        <v>2384</v>
      </c>
      <c r="C622" s="2" t="s">
        <v>1340</v>
      </c>
      <c r="D622" s="2">
        <v>1</v>
      </c>
      <c r="E622" s="2" t="s">
        <v>1341</v>
      </c>
    </row>
    <row r="623" spans="1:5" x14ac:dyDescent="0.25">
      <c r="A623" s="2"/>
      <c r="B623" s="2" t="s">
        <v>2384</v>
      </c>
      <c r="C623" s="2" t="s">
        <v>1342</v>
      </c>
      <c r="D623" s="2">
        <v>1</v>
      </c>
      <c r="E623" s="2" t="s">
        <v>1343</v>
      </c>
    </row>
    <row r="624" spans="1:5" x14ac:dyDescent="0.25">
      <c r="A624" s="2"/>
      <c r="B624" s="2" t="s">
        <v>2385</v>
      </c>
      <c r="C624" s="2" t="s">
        <v>1344</v>
      </c>
      <c r="D624" s="2">
        <v>1</v>
      </c>
      <c r="E624" s="2" t="s">
        <v>1345</v>
      </c>
    </row>
    <row r="625" spans="1:6" x14ac:dyDescent="0.25">
      <c r="A625" s="2"/>
      <c r="B625" s="2" t="s">
        <v>2385</v>
      </c>
      <c r="C625" s="2" t="s">
        <v>1346</v>
      </c>
      <c r="D625" s="2">
        <v>1</v>
      </c>
      <c r="E625" s="2" t="s">
        <v>1347</v>
      </c>
    </row>
    <row r="626" spans="1:6" x14ac:dyDescent="0.25">
      <c r="A626" s="2"/>
      <c r="B626" s="2" t="s">
        <v>2386</v>
      </c>
      <c r="C626" s="2" t="s">
        <v>1348</v>
      </c>
      <c r="D626" s="2">
        <v>1</v>
      </c>
      <c r="E626" s="2" t="s">
        <v>1349</v>
      </c>
    </row>
    <row r="627" spans="1:6" x14ac:dyDescent="0.25">
      <c r="A627" s="2"/>
      <c r="B627" s="2" t="s">
        <v>2386</v>
      </c>
      <c r="C627" s="2" t="s">
        <v>1350</v>
      </c>
      <c r="D627" s="2">
        <v>1</v>
      </c>
      <c r="E627" s="2" t="s">
        <v>1351</v>
      </c>
    </row>
    <row r="628" spans="1:6" x14ac:dyDescent="0.25">
      <c r="A628" s="2"/>
      <c r="B628" s="2" t="s">
        <v>2386</v>
      </c>
      <c r="C628" s="2" t="s">
        <v>1352</v>
      </c>
      <c r="D628" s="2">
        <v>0</v>
      </c>
      <c r="E628" s="2" t="s">
        <v>1353</v>
      </c>
    </row>
    <row r="629" spans="1:6" x14ac:dyDescent="0.25">
      <c r="A629" s="2" t="s">
        <v>1354</v>
      </c>
      <c r="B629" s="2" t="s">
        <v>2164</v>
      </c>
      <c r="C629" s="2" t="s">
        <v>1355</v>
      </c>
      <c r="D629" s="2">
        <v>1</v>
      </c>
      <c r="E629" s="2" t="s">
        <v>270</v>
      </c>
    </row>
    <row r="630" spans="1:6" x14ac:dyDescent="0.25">
      <c r="A630" s="2"/>
      <c r="B630" s="2" t="s">
        <v>2164</v>
      </c>
      <c r="C630" s="2" t="s">
        <v>1356</v>
      </c>
      <c r="D630" s="2">
        <v>0</v>
      </c>
      <c r="E630" s="2" t="s">
        <v>1357</v>
      </c>
    </row>
    <row r="631" spans="1:6" x14ac:dyDescent="0.25">
      <c r="A631" s="2"/>
      <c r="B631" s="2" t="s">
        <v>2165</v>
      </c>
      <c r="C631" s="2" t="s">
        <v>1358</v>
      </c>
      <c r="D631" s="2">
        <v>1</v>
      </c>
      <c r="E631" s="2" t="s">
        <v>1359</v>
      </c>
      <c r="F631">
        <v>1</v>
      </c>
    </row>
    <row r="632" spans="1:6" x14ac:dyDescent="0.25">
      <c r="A632" s="2"/>
      <c r="B632" s="2" t="s">
        <v>2165</v>
      </c>
      <c r="C632" s="2" t="s">
        <v>1360</v>
      </c>
      <c r="D632" s="2">
        <v>1</v>
      </c>
      <c r="E632" s="2" t="s">
        <v>1361</v>
      </c>
    </row>
    <row r="633" spans="1:6" x14ac:dyDescent="0.25">
      <c r="A633" s="2"/>
      <c r="B633" s="2" t="s">
        <v>2165</v>
      </c>
      <c r="C633" s="2" t="s">
        <v>1362</v>
      </c>
      <c r="D633" s="2">
        <v>0</v>
      </c>
      <c r="E633" s="2" t="s">
        <v>1363</v>
      </c>
    </row>
    <row r="634" spans="1:6" x14ac:dyDescent="0.25">
      <c r="A634" s="2"/>
      <c r="B634" s="2" t="s">
        <v>2166</v>
      </c>
      <c r="C634" s="2" t="s">
        <v>1364</v>
      </c>
      <c r="D634" s="2">
        <v>0</v>
      </c>
      <c r="E634" s="2" t="s">
        <v>1365</v>
      </c>
    </row>
    <row r="635" spans="1:6" x14ac:dyDescent="0.25">
      <c r="A635" s="2" t="s">
        <v>1366</v>
      </c>
      <c r="B635" s="2" t="s">
        <v>2033</v>
      </c>
      <c r="C635" s="2" t="s">
        <v>1367</v>
      </c>
      <c r="D635" s="93">
        <v>1</v>
      </c>
      <c r="E635" s="2" t="s">
        <v>1368</v>
      </c>
    </row>
    <row r="636" spans="1:6" x14ac:dyDescent="0.25">
      <c r="A636" s="2"/>
      <c r="B636" s="2" t="s">
        <v>2033</v>
      </c>
      <c r="C636" s="2" t="s">
        <v>1369</v>
      </c>
      <c r="D636" s="93">
        <v>0</v>
      </c>
      <c r="E636" s="2" t="s">
        <v>1370</v>
      </c>
    </row>
    <row r="637" spans="1:6" x14ac:dyDescent="0.25">
      <c r="A637" s="2"/>
      <c r="B637" s="2" t="s">
        <v>1981</v>
      </c>
      <c r="C637" s="2" t="s">
        <v>1371</v>
      </c>
      <c r="D637" s="2">
        <v>1</v>
      </c>
      <c r="E637" s="2" t="s">
        <v>283</v>
      </c>
    </row>
    <row r="638" spans="1:6" x14ac:dyDescent="0.25">
      <c r="A638" s="2"/>
      <c r="B638" s="2" t="s">
        <v>1981</v>
      </c>
      <c r="C638" s="2" t="s">
        <v>1372</v>
      </c>
      <c r="D638" s="2">
        <v>1</v>
      </c>
      <c r="E638" s="2" t="s">
        <v>1373</v>
      </c>
    </row>
    <row r="639" spans="1:6" x14ac:dyDescent="0.25">
      <c r="A639" s="2"/>
      <c r="B639" s="2" t="s">
        <v>1981</v>
      </c>
      <c r="C639" s="2" t="s">
        <v>1374</v>
      </c>
      <c r="D639" s="2">
        <v>1</v>
      </c>
      <c r="E639" s="2" t="s">
        <v>1375</v>
      </c>
    </row>
    <row r="640" spans="1:6" x14ac:dyDescent="0.25">
      <c r="A640" s="2"/>
      <c r="B640" s="2" t="s">
        <v>1981</v>
      </c>
      <c r="C640" s="2" t="s">
        <v>1376</v>
      </c>
      <c r="D640" s="2">
        <v>1</v>
      </c>
      <c r="E640" s="2" t="s">
        <v>531</v>
      </c>
    </row>
    <row r="641" spans="1:9" x14ac:dyDescent="0.25">
      <c r="A641" s="2"/>
      <c r="B641" s="2" t="s">
        <v>2036</v>
      </c>
      <c r="C641" s="2" t="s">
        <v>1377</v>
      </c>
      <c r="D641" s="2">
        <v>1</v>
      </c>
      <c r="E641" s="2" t="s">
        <v>539</v>
      </c>
      <c r="F641">
        <v>1</v>
      </c>
    </row>
    <row r="642" spans="1:9" x14ac:dyDescent="0.25">
      <c r="A642" s="2"/>
      <c r="B642" s="2" t="s">
        <v>2036</v>
      </c>
      <c r="C642" s="2" t="s">
        <v>1378</v>
      </c>
      <c r="D642" s="2">
        <v>0</v>
      </c>
      <c r="E642" s="2" t="s">
        <v>541</v>
      </c>
    </row>
    <row r="643" spans="1:9" x14ac:dyDescent="0.25">
      <c r="A643" s="2"/>
      <c r="B643" s="2" t="s">
        <v>2173</v>
      </c>
      <c r="C643" s="2" t="s">
        <v>1379</v>
      </c>
      <c r="D643" s="2">
        <v>1</v>
      </c>
      <c r="E643" s="2" t="s">
        <v>1380</v>
      </c>
    </row>
    <row r="644" spans="1:9" x14ac:dyDescent="0.25">
      <c r="A644" s="2"/>
      <c r="B644" s="2" t="s">
        <v>2173</v>
      </c>
      <c r="C644" s="2" t="s">
        <v>1381</v>
      </c>
      <c r="D644" s="2">
        <v>1</v>
      </c>
      <c r="E644" s="2" t="s">
        <v>1382</v>
      </c>
    </row>
    <row r="645" spans="1:9" x14ac:dyDescent="0.25">
      <c r="A645" s="2"/>
      <c r="B645" s="2" t="s">
        <v>1995</v>
      </c>
      <c r="C645" s="2" t="s">
        <v>1383</v>
      </c>
      <c r="D645" s="2">
        <v>1</v>
      </c>
      <c r="E645" s="2" t="s">
        <v>1384</v>
      </c>
    </row>
    <row r="646" spans="1:9" x14ac:dyDescent="0.25">
      <c r="A646" s="2"/>
      <c r="B646" s="2" t="s">
        <v>1995</v>
      </c>
      <c r="C646" s="2" t="s">
        <v>1385</v>
      </c>
      <c r="D646" s="2">
        <v>1</v>
      </c>
      <c r="E646" s="2" t="s">
        <v>1386</v>
      </c>
    </row>
    <row r="647" spans="1:9" x14ac:dyDescent="0.25">
      <c r="A647" s="2"/>
      <c r="B647" s="2" t="s">
        <v>1995</v>
      </c>
      <c r="C647" s="2" t="s">
        <v>1387</v>
      </c>
      <c r="D647" s="2">
        <v>0</v>
      </c>
      <c r="E647" s="2" t="s">
        <v>295</v>
      </c>
    </row>
    <row r="648" spans="1:9" x14ac:dyDescent="0.25">
      <c r="A648" s="2"/>
      <c r="B648" s="2" t="s">
        <v>2174</v>
      </c>
      <c r="C648" s="2" t="s">
        <v>1388</v>
      </c>
      <c r="D648" s="2">
        <v>1</v>
      </c>
      <c r="E648" s="2" t="s">
        <v>875</v>
      </c>
      <c r="F648">
        <v>1</v>
      </c>
    </row>
    <row r="649" spans="1:9" x14ac:dyDescent="0.25">
      <c r="A649" s="2"/>
      <c r="B649" s="2" t="s">
        <v>2174</v>
      </c>
      <c r="C649" s="2" t="s">
        <v>1389</v>
      </c>
      <c r="D649" s="2">
        <v>0</v>
      </c>
      <c r="E649" s="2" t="s">
        <v>551</v>
      </c>
    </row>
    <row r="650" spans="1:9" x14ac:dyDescent="0.25">
      <c r="A650" s="2" t="s">
        <v>1390</v>
      </c>
      <c r="B650" s="2" t="s">
        <v>1985</v>
      </c>
      <c r="C650" s="2" t="s">
        <v>1391</v>
      </c>
      <c r="D650" s="2">
        <v>1</v>
      </c>
      <c r="E650" s="2" t="s">
        <v>583</v>
      </c>
    </row>
    <row r="651" spans="1:9" x14ac:dyDescent="0.25">
      <c r="A651" s="2"/>
      <c r="B651" s="2" t="s">
        <v>1985</v>
      </c>
      <c r="C651" s="2" t="s">
        <v>1392</v>
      </c>
      <c r="D651" s="2">
        <v>0</v>
      </c>
      <c r="E651" s="2" t="s">
        <v>306</v>
      </c>
    </row>
    <row r="652" spans="1:9" x14ac:dyDescent="0.25">
      <c r="A652" s="2"/>
      <c r="B652" s="2" t="s">
        <v>1992</v>
      </c>
      <c r="C652" s="2" t="s">
        <v>1393</v>
      </c>
      <c r="D652" s="2">
        <v>1</v>
      </c>
      <c r="E652" s="2" t="s">
        <v>1394</v>
      </c>
    </row>
    <row r="653" spans="1:9" x14ac:dyDescent="0.25">
      <c r="A653" s="2"/>
      <c r="B653" s="2" t="s">
        <v>1978</v>
      </c>
      <c r="C653" s="2" t="s">
        <v>1395</v>
      </c>
      <c r="D653" s="2">
        <v>1</v>
      </c>
      <c r="E653" s="2" t="s">
        <v>273</v>
      </c>
    </row>
    <row r="654" spans="1:9" x14ac:dyDescent="0.25">
      <c r="A654" s="2"/>
      <c r="B654" s="2" t="s">
        <v>1986</v>
      </c>
      <c r="C654" s="2" t="s">
        <v>1396</v>
      </c>
      <c r="D654" s="2">
        <v>1</v>
      </c>
      <c r="E654" s="2" t="s">
        <v>1397</v>
      </c>
    </row>
    <row r="655" spans="1:9" x14ac:dyDescent="0.25">
      <c r="A655" s="2"/>
      <c r="B655" s="2" t="s">
        <v>1986</v>
      </c>
      <c r="C655" s="2" t="s">
        <v>1398</v>
      </c>
      <c r="D655" s="2">
        <v>1</v>
      </c>
      <c r="E655" s="2" t="s">
        <v>493</v>
      </c>
      <c r="H655" s="5" t="s">
        <v>1399</v>
      </c>
    </row>
    <row r="656" spans="1:9" x14ac:dyDescent="0.25">
      <c r="A656" s="2"/>
      <c r="B656" s="2" t="s">
        <v>2153</v>
      </c>
      <c r="C656" s="2" t="s">
        <v>1400</v>
      </c>
      <c r="D656" s="2">
        <v>1</v>
      </c>
      <c r="E656" s="2" t="s">
        <v>1401</v>
      </c>
      <c r="H656" s="2" t="s">
        <v>1402</v>
      </c>
      <c r="I656" t="s">
        <v>1403</v>
      </c>
    </row>
    <row r="657" spans="1:9" x14ac:dyDescent="0.25">
      <c r="A657" s="2"/>
      <c r="B657" s="2" t="s">
        <v>2153</v>
      </c>
      <c r="C657" s="2" t="s">
        <v>1404</v>
      </c>
      <c r="D657" s="2">
        <v>1</v>
      </c>
      <c r="E657" s="2" t="s">
        <v>626</v>
      </c>
      <c r="H657" s="2" t="s">
        <v>1405</v>
      </c>
      <c r="I657" t="s">
        <v>1406</v>
      </c>
    </row>
    <row r="658" spans="1:9" x14ac:dyDescent="0.25">
      <c r="A658" s="2"/>
      <c r="B658" s="2" t="s">
        <v>2153</v>
      </c>
      <c r="C658" s="2" t="s">
        <v>1407</v>
      </c>
      <c r="D658" s="2">
        <v>1</v>
      </c>
      <c r="E658" s="2" t="s">
        <v>627</v>
      </c>
      <c r="H658" s="2" t="s">
        <v>1408</v>
      </c>
      <c r="I658" t="s">
        <v>1409</v>
      </c>
    </row>
    <row r="659" spans="1:9" x14ac:dyDescent="0.25">
      <c r="A659" s="2"/>
      <c r="B659" s="2" t="s">
        <v>2153</v>
      </c>
      <c r="C659" s="2" t="s">
        <v>1410</v>
      </c>
      <c r="D659" s="2">
        <v>1</v>
      </c>
      <c r="E659" s="2" t="s">
        <v>628</v>
      </c>
    </row>
    <row r="660" spans="1:9" x14ac:dyDescent="0.25">
      <c r="A660" s="2"/>
      <c r="B660" s="2" t="s">
        <v>2153</v>
      </c>
      <c r="C660" s="2" t="s">
        <v>1411</v>
      </c>
      <c r="D660" s="2">
        <v>1</v>
      </c>
      <c r="E660" s="2" t="s">
        <v>629</v>
      </c>
    </row>
    <row r="661" spans="1:9" x14ac:dyDescent="0.25">
      <c r="A661" s="2"/>
      <c r="B661" s="2" t="s">
        <v>2153</v>
      </c>
      <c r="C661" s="2" t="s">
        <v>1412</v>
      </c>
      <c r="D661" s="2">
        <v>1</v>
      </c>
      <c r="E661" s="2" t="s">
        <v>630</v>
      </c>
    </row>
    <row r="662" spans="1:9" x14ac:dyDescent="0.25">
      <c r="A662" s="2"/>
      <c r="B662" s="2" t="s">
        <v>2153</v>
      </c>
      <c r="C662" s="2" t="s">
        <v>1413</v>
      </c>
      <c r="D662" s="2">
        <v>1</v>
      </c>
      <c r="E662" s="2" t="s">
        <v>1414</v>
      </c>
    </row>
    <row r="663" spans="1:9" x14ac:dyDescent="0.25">
      <c r="A663" s="2"/>
      <c r="B663" s="2" t="s">
        <v>2081</v>
      </c>
      <c r="C663" s="2" t="s">
        <v>1415</v>
      </c>
      <c r="D663" s="2">
        <v>0</v>
      </c>
      <c r="E663" s="2" t="s">
        <v>611</v>
      </c>
    </row>
    <row r="664" spans="1:9" x14ac:dyDescent="0.25">
      <c r="A664" s="2"/>
      <c r="B664" s="2" t="s">
        <v>2081</v>
      </c>
      <c r="C664" s="2" t="s">
        <v>1416</v>
      </c>
      <c r="D664" s="2">
        <v>1</v>
      </c>
      <c r="E664" s="2" t="s">
        <v>612</v>
      </c>
    </row>
    <row r="665" spans="1:9" x14ac:dyDescent="0.25">
      <c r="A665" s="2"/>
      <c r="B665" s="2" t="s">
        <v>2081</v>
      </c>
      <c r="C665" s="2" t="s">
        <v>1417</v>
      </c>
      <c r="D665" s="2">
        <v>1</v>
      </c>
      <c r="E665" s="2" t="s">
        <v>613</v>
      </c>
    </row>
    <row r="666" spans="1:9" x14ac:dyDescent="0.25">
      <c r="A666" s="2"/>
      <c r="B666" s="2" t="s">
        <v>2154</v>
      </c>
      <c r="C666" s="2" t="s">
        <v>1418</v>
      </c>
      <c r="D666" s="2">
        <v>1</v>
      </c>
      <c r="E666" s="2" t="s">
        <v>1419</v>
      </c>
    </row>
    <row r="667" spans="1:9" x14ac:dyDescent="0.25">
      <c r="A667" s="2"/>
      <c r="B667" s="2" t="s">
        <v>2154</v>
      </c>
      <c r="C667" s="2" t="s">
        <v>1420</v>
      </c>
      <c r="D667" s="2">
        <v>1</v>
      </c>
      <c r="E667" s="2" t="s">
        <v>621</v>
      </c>
    </row>
    <row r="668" spans="1:9" x14ac:dyDescent="0.25">
      <c r="A668" s="2"/>
      <c r="B668" s="2" t="s">
        <v>2154</v>
      </c>
      <c r="C668" s="2" t="s">
        <v>1421</v>
      </c>
      <c r="D668" s="2">
        <v>0</v>
      </c>
      <c r="E668" s="2" t="s">
        <v>1422</v>
      </c>
    </row>
    <row r="669" spans="1:9" x14ac:dyDescent="0.25">
      <c r="A669" s="2"/>
      <c r="B669" s="2" t="s">
        <v>2049</v>
      </c>
      <c r="C669" s="2" t="s">
        <v>1423</v>
      </c>
      <c r="D669" s="2">
        <v>0</v>
      </c>
      <c r="E669" s="2" t="s">
        <v>614</v>
      </c>
    </row>
    <row r="670" spans="1:9" x14ac:dyDescent="0.25">
      <c r="A670" s="2"/>
      <c r="B670" s="2" t="s">
        <v>2049</v>
      </c>
      <c r="C670" s="2" t="s">
        <v>1424</v>
      </c>
      <c r="D670" s="2">
        <v>1</v>
      </c>
      <c r="E670" s="2" t="s">
        <v>615</v>
      </c>
    </row>
    <row r="671" spans="1:9" x14ac:dyDescent="0.25">
      <c r="A671" s="2"/>
      <c r="B671" s="2" t="s">
        <v>2083</v>
      </c>
      <c r="C671" s="2" t="s">
        <v>1425</v>
      </c>
      <c r="D671" s="2">
        <v>1</v>
      </c>
      <c r="E671" s="2" t="s">
        <v>616</v>
      </c>
    </row>
    <row r="672" spans="1:9" x14ac:dyDescent="0.25">
      <c r="A672" s="2"/>
      <c r="B672" s="2" t="s">
        <v>2083</v>
      </c>
      <c r="C672" s="2" t="s">
        <v>1426</v>
      </c>
      <c r="D672" s="2">
        <v>1</v>
      </c>
      <c r="E672" s="2" t="s">
        <v>617</v>
      </c>
    </row>
    <row r="673" spans="1:6" x14ac:dyDescent="0.25">
      <c r="A673" s="2"/>
      <c r="B673" s="2" t="s">
        <v>1988</v>
      </c>
      <c r="C673" s="2" t="s">
        <v>1427</v>
      </c>
      <c r="D673" s="2">
        <v>1</v>
      </c>
      <c r="E673" s="2" t="s">
        <v>1428</v>
      </c>
    </row>
    <row r="674" spans="1:6" x14ac:dyDescent="0.25">
      <c r="A674" s="2"/>
      <c r="B674" s="2" t="s">
        <v>2155</v>
      </c>
      <c r="C674" s="2" t="s">
        <v>1429</v>
      </c>
      <c r="D674" s="2">
        <v>0</v>
      </c>
      <c r="E674" s="2" t="s">
        <v>1430</v>
      </c>
    </row>
    <row r="675" spans="1:6" x14ac:dyDescent="0.25">
      <c r="A675" s="2"/>
      <c r="B675" s="2" t="s">
        <v>2155</v>
      </c>
      <c r="C675" s="2" t="s">
        <v>1431</v>
      </c>
      <c r="D675" s="2">
        <v>1</v>
      </c>
      <c r="E675" s="2" t="s">
        <v>1432</v>
      </c>
    </row>
    <row r="676" spans="1:6" x14ac:dyDescent="0.25">
      <c r="A676" s="2"/>
      <c r="B676" s="2" t="s">
        <v>2085</v>
      </c>
      <c r="C676" s="2" t="s">
        <v>1433</v>
      </c>
      <c r="D676" s="2">
        <v>1</v>
      </c>
      <c r="E676" s="2" t="s">
        <v>623</v>
      </c>
    </row>
    <row r="677" spans="1:6" x14ac:dyDescent="0.25">
      <c r="A677" s="2"/>
      <c r="B677" s="2" t="s">
        <v>2085</v>
      </c>
      <c r="C677" s="2" t="s">
        <v>1434</v>
      </c>
      <c r="D677" s="2">
        <v>0</v>
      </c>
      <c r="E677" s="2" t="s">
        <v>624</v>
      </c>
    </row>
    <row r="678" spans="1:6" x14ac:dyDescent="0.25">
      <c r="A678" s="2"/>
      <c r="B678" s="2" t="s">
        <v>2085</v>
      </c>
      <c r="C678" s="2" t="s">
        <v>1435</v>
      </c>
      <c r="D678" s="2">
        <v>0</v>
      </c>
      <c r="E678" s="2" t="s">
        <v>625</v>
      </c>
    </row>
    <row r="679" spans="1:6" x14ac:dyDescent="0.25">
      <c r="A679" s="2" t="s">
        <v>1436</v>
      </c>
      <c r="B679" s="2" t="s">
        <v>2352</v>
      </c>
      <c r="C679" s="2" t="s">
        <v>1437</v>
      </c>
      <c r="D679" s="2">
        <v>1</v>
      </c>
      <c r="E679" s="2" t="s">
        <v>1438</v>
      </c>
    </row>
    <row r="680" spans="1:6" x14ac:dyDescent="0.25">
      <c r="A680" s="2"/>
      <c r="B680" s="2" t="s">
        <v>2352</v>
      </c>
      <c r="C680" s="2" t="s">
        <v>1439</v>
      </c>
      <c r="D680" s="2">
        <v>1</v>
      </c>
      <c r="E680" s="2" t="s">
        <v>1440</v>
      </c>
    </row>
    <row r="681" spans="1:6" x14ac:dyDescent="0.25">
      <c r="A681" s="2"/>
      <c r="B681" s="2" t="s">
        <v>2352</v>
      </c>
      <c r="C681" s="2" t="s">
        <v>1441</v>
      </c>
      <c r="D681" s="2">
        <v>1</v>
      </c>
      <c r="E681" s="2" t="s">
        <v>1442</v>
      </c>
      <c r="F681">
        <v>1</v>
      </c>
    </row>
    <row r="682" spans="1:6" x14ac:dyDescent="0.25">
      <c r="A682" s="2"/>
      <c r="B682" s="2" t="s">
        <v>2352</v>
      </c>
      <c r="C682" s="2" t="s">
        <v>1443</v>
      </c>
      <c r="D682" s="2">
        <v>0</v>
      </c>
      <c r="E682" s="2" t="s">
        <v>1444</v>
      </c>
    </row>
    <row r="683" spans="1:6" x14ac:dyDescent="0.25">
      <c r="A683" s="2"/>
      <c r="B683" s="2" t="s">
        <v>2353</v>
      </c>
      <c r="C683" s="2" t="s">
        <v>1445</v>
      </c>
      <c r="D683" s="2">
        <v>1</v>
      </c>
      <c r="E683" s="2" t="s">
        <v>1446</v>
      </c>
    </row>
    <row r="684" spans="1:6" x14ac:dyDescent="0.25">
      <c r="A684" s="2"/>
      <c r="B684" s="2" t="s">
        <v>2353</v>
      </c>
      <c r="C684" s="2" t="s">
        <v>1447</v>
      </c>
      <c r="D684" s="2">
        <v>1</v>
      </c>
      <c r="E684" s="2" t="s">
        <v>1448</v>
      </c>
      <c r="F684">
        <v>1</v>
      </c>
    </row>
    <row r="685" spans="1:6" x14ac:dyDescent="0.25">
      <c r="A685" s="2"/>
      <c r="B685" s="2" t="s">
        <v>2353</v>
      </c>
      <c r="C685" s="2" t="s">
        <v>1449</v>
      </c>
      <c r="D685" s="2">
        <v>0</v>
      </c>
      <c r="E685" s="2" t="s">
        <v>1450</v>
      </c>
    </row>
    <row r="686" spans="1:6" x14ac:dyDescent="0.25">
      <c r="A686" s="2"/>
      <c r="B686" s="2" t="s">
        <v>2354</v>
      </c>
      <c r="C686" s="2" t="s">
        <v>1451</v>
      </c>
      <c r="D686" s="2">
        <v>1</v>
      </c>
      <c r="E686" s="2" t="s">
        <v>1452</v>
      </c>
    </row>
    <row r="687" spans="1:6" x14ac:dyDescent="0.25">
      <c r="A687" s="2"/>
      <c r="B687" s="2" t="s">
        <v>2354</v>
      </c>
      <c r="C687" s="2" t="s">
        <v>1453</v>
      </c>
      <c r="D687" s="2">
        <v>1</v>
      </c>
      <c r="E687" s="2" t="s">
        <v>1454</v>
      </c>
    </row>
    <row r="688" spans="1:6" x14ac:dyDescent="0.25">
      <c r="A688" s="2"/>
      <c r="B688" s="2" t="s">
        <v>2354</v>
      </c>
      <c r="C688" s="2" t="s">
        <v>1455</v>
      </c>
      <c r="D688" s="2">
        <v>0</v>
      </c>
      <c r="E688" s="2" t="s">
        <v>1456</v>
      </c>
    </row>
    <row r="689" spans="1:6" x14ac:dyDescent="0.25">
      <c r="A689" s="2" t="s">
        <v>1457</v>
      </c>
      <c r="B689" s="2" t="s">
        <v>2177</v>
      </c>
      <c r="C689" s="2" t="s">
        <v>1458</v>
      </c>
      <c r="D689" s="2">
        <v>1</v>
      </c>
      <c r="E689" s="2" t="s">
        <v>273</v>
      </c>
    </row>
    <row r="690" spans="1:6" x14ac:dyDescent="0.25">
      <c r="A690" s="2"/>
      <c r="B690" s="2" t="s">
        <v>1980</v>
      </c>
      <c r="C690" s="2" t="s">
        <v>1459</v>
      </c>
      <c r="D690" s="2">
        <v>0</v>
      </c>
      <c r="E690" s="2" t="s">
        <v>640</v>
      </c>
    </row>
    <row r="691" spans="1:6" x14ac:dyDescent="0.25">
      <c r="A691" s="2"/>
      <c r="B691" s="2" t="s">
        <v>1980</v>
      </c>
      <c r="C691" s="2" t="s">
        <v>1460</v>
      </c>
      <c r="D691" s="2">
        <v>1</v>
      </c>
      <c r="E691" s="2" t="s">
        <v>929</v>
      </c>
    </row>
    <row r="692" spans="1:6" x14ac:dyDescent="0.25">
      <c r="A692" s="2"/>
      <c r="B692" s="2" t="s">
        <v>1993</v>
      </c>
      <c r="C692" s="2" t="s">
        <v>1461</v>
      </c>
      <c r="D692" s="2">
        <v>1</v>
      </c>
      <c r="E692" s="2" t="s">
        <v>1462</v>
      </c>
    </row>
    <row r="693" spans="1:6" x14ac:dyDescent="0.25">
      <c r="A693" s="2"/>
      <c r="B693" s="2" t="s">
        <v>1993</v>
      </c>
      <c r="C693" s="2" t="s">
        <v>1463</v>
      </c>
      <c r="D693" s="2">
        <v>1</v>
      </c>
      <c r="E693" s="2" t="s">
        <v>1464</v>
      </c>
    </row>
    <row r="694" spans="1:6" x14ac:dyDescent="0.25">
      <c r="A694" s="2"/>
      <c r="B694" s="2" t="s">
        <v>1993</v>
      </c>
      <c r="C694" s="2" t="s">
        <v>1465</v>
      </c>
      <c r="D694" s="2">
        <v>1</v>
      </c>
      <c r="E694" s="2" t="s">
        <v>347</v>
      </c>
      <c r="F694">
        <v>1</v>
      </c>
    </row>
    <row r="695" spans="1:6" x14ac:dyDescent="0.25">
      <c r="A695" s="2"/>
      <c r="B695" s="2" t="s">
        <v>1977</v>
      </c>
      <c r="C695" s="2" t="s">
        <v>1466</v>
      </c>
      <c r="D695" s="2">
        <v>1</v>
      </c>
      <c r="E695" s="2" t="s">
        <v>1467</v>
      </c>
    </row>
    <row r="696" spans="1:6" x14ac:dyDescent="0.25">
      <c r="A696" s="2"/>
      <c r="B696" s="2" t="s">
        <v>1977</v>
      </c>
      <c r="C696" s="2" t="s">
        <v>1468</v>
      </c>
      <c r="D696" s="2">
        <v>1</v>
      </c>
      <c r="E696" s="2" t="s">
        <v>1469</v>
      </c>
      <c r="F696">
        <v>1</v>
      </c>
    </row>
    <row r="697" spans="1:6" x14ac:dyDescent="0.25">
      <c r="A697" s="2"/>
      <c r="B697" s="2" t="s">
        <v>2355</v>
      </c>
      <c r="C697" s="2" t="s">
        <v>1470</v>
      </c>
      <c r="D697" s="2">
        <v>1</v>
      </c>
      <c r="E697" s="2" t="s">
        <v>1471</v>
      </c>
    </row>
    <row r="698" spans="1:6" x14ac:dyDescent="0.25">
      <c r="A698" s="2"/>
      <c r="B698" s="2" t="s">
        <v>2355</v>
      </c>
      <c r="C698" s="2" t="s">
        <v>1472</v>
      </c>
      <c r="D698" s="2">
        <v>0</v>
      </c>
      <c r="E698" s="2" t="s">
        <v>391</v>
      </c>
    </row>
    <row r="699" spans="1:6" x14ac:dyDescent="0.25">
      <c r="A699" s="2"/>
      <c r="B699" s="2" t="s">
        <v>2355</v>
      </c>
      <c r="C699" s="2" t="s">
        <v>1473</v>
      </c>
      <c r="D699" s="2">
        <v>0</v>
      </c>
      <c r="E699" s="2" t="s">
        <v>956</v>
      </c>
    </row>
    <row r="700" spans="1:6" x14ac:dyDescent="0.25">
      <c r="A700" s="2" t="s">
        <v>1474</v>
      </c>
      <c r="B700" s="2" t="s">
        <v>2116</v>
      </c>
      <c r="C700" s="2" t="s">
        <v>1475</v>
      </c>
      <c r="D700" s="2">
        <v>1</v>
      </c>
      <c r="E700" s="2" t="s">
        <v>308</v>
      </c>
    </row>
    <row r="701" spans="1:6" x14ac:dyDescent="0.25">
      <c r="A701" s="2"/>
      <c r="B701" s="2" t="s">
        <v>1978</v>
      </c>
      <c r="C701" s="2" t="s">
        <v>1476</v>
      </c>
      <c r="D701" s="2">
        <v>1</v>
      </c>
      <c r="E701" s="2" t="s">
        <v>310</v>
      </c>
    </row>
    <row r="702" spans="1:6" x14ac:dyDescent="0.25">
      <c r="A702" s="2"/>
      <c r="B702" s="2" t="s">
        <v>1986</v>
      </c>
      <c r="C702" s="2" t="s">
        <v>1477</v>
      </c>
      <c r="D702" s="2">
        <v>1</v>
      </c>
      <c r="E702" s="2" t="s">
        <v>312</v>
      </c>
    </row>
    <row r="703" spans="1:6" x14ac:dyDescent="0.25">
      <c r="A703" s="2"/>
      <c r="B703" s="2" t="s">
        <v>1986</v>
      </c>
      <c r="C703" s="2" t="s">
        <v>1478</v>
      </c>
      <c r="D703" s="2">
        <v>0</v>
      </c>
      <c r="E703" s="2" t="s">
        <v>314</v>
      </c>
    </row>
    <row r="704" spans="1:6" x14ac:dyDescent="0.25">
      <c r="A704" s="2"/>
      <c r="B704" s="2" t="s">
        <v>2193</v>
      </c>
      <c r="C704" s="2" t="s">
        <v>1479</v>
      </c>
      <c r="D704" s="2">
        <v>1</v>
      </c>
      <c r="E704" s="2" t="s">
        <v>1480</v>
      </c>
    </row>
    <row r="705" spans="1:6" x14ac:dyDescent="0.25">
      <c r="A705" s="2"/>
      <c r="B705" s="2" t="s">
        <v>2193</v>
      </c>
      <c r="C705" s="2" t="s">
        <v>1481</v>
      </c>
      <c r="D705" s="2">
        <v>0</v>
      </c>
      <c r="E705" s="2" t="s">
        <v>938</v>
      </c>
    </row>
    <row r="706" spans="1:6" x14ac:dyDescent="0.25">
      <c r="A706" s="2"/>
      <c r="B706" s="2" t="s">
        <v>2120</v>
      </c>
      <c r="C706" s="2" t="s">
        <v>1482</v>
      </c>
      <c r="D706" s="2">
        <v>1</v>
      </c>
      <c r="E706" s="2" t="s">
        <v>1483</v>
      </c>
    </row>
    <row r="707" spans="1:6" x14ac:dyDescent="0.25">
      <c r="A707" s="2"/>
      <c r="B707" s="2" t="s">
        <v>2120</v>
      </c>
      <c r="C707" s="2" t="s">
        <v>1484</v>
      </c>
      <c r="D707" s="2">
        <v>1</v>
      </c>
      <c r="E707" s="2" t="s">
        <v>942</v>
      </c>
    </row>
    <row r="708" spans="1:6" x14ac:dyDescent="0.25">
      <c r="A708" s="2"/>
      <c r="B708" s="2" t="s">
        <v>2120</v>
      </c>
      <c r="C708" s="2" t="s">
        <v>1485</v>
      </c>
      <c r="D708" s="2">
        <v>1</v>
      </c>
      <c r="E708" s="2" t="s">
        <v>383</v>
      </c>
    </row>
    <row r="709" spans="1:6" x14ac:dyDescent="0.25">
      <c r="A709" s="2"/>
      <c r="B709" s="2" t="s">
        <v>2120</v>
      </c>
      <c r="C709" s="2" t="s">
        <v>1486</v>
      </c>
      <c r="D709" s="2">
        <v>1</v>
      </c>
      <c r="E709" s="2" t="s">
        <v>384</v>
      </c>
      <c r="F709">
        <v>1</v>
      </c>
    </row>
    <row r="710" spans="1:6" x14ac:dyDescent="0.25">
      <c r="A710" s="2"/>
      <c r="B710" s="2" t="s">
        <v>2011</v>
      </c>
      <c r="C710" s="2" t="s">
        <v>1487</v>
      </c>
      <c r="D710" s="2">
        <v>1</v>
      </c>
      <c r="E710" s="2" t="s">
        <v>380</v>
      </c>
    </row>
    <row r="711" spans="1:6" x14ac:dyDescent="0.25">
      <c r="A711" s="2"/>
      <c r="B711" s="2" t="s">
        <v>2011</v>
      </c>
      <c r="C711" s="2" t="s">
        <v>1488</v>
      </c>
      <c r="D711" s="2">
        <v>0</v>
      </c>
      <c r="E711" s="2" t="s">
        <v>381</v>
      </c>
    </row>
    <row r="712" spans="1:6" x14ac:dyDescent="0.25">
      <c r="A712" s="2"/>
      <c r="B712" s="2" t="s">
        <v>1989</v>
      </c>
      <c r="C712" s="2" t="s">
        <v>1489</v>
      </c>
      <c r="D712" s="2">
        <v>1</v>
      </c>
      <c r="E712" s="2" t="s">
        <v>328</v>
      </c>
    </row>
    <row r="713" spans="1:6" x14ac:dyDescent="0.25">
      <c r="A713" s="2"/>
      <c r="B713" s="2" t="s">
        <v>1991</v>
      </c>
      <c r="C713" s="2" t="s">
        <v>1490</v>
      </c>
      <c r="D713" s="2">
        <v>1</v>
      </c>
      <c r="E713" s="2" t="s">
        <v>378</v>
      </c>
    </row>
    <row r="714" spans="1:6" x14ac:dyDescent="0.25">
      <c r="A714" s="2"/>
      <c r="B714" s="2" t="s">
        <v>1991</v>
      </c>
      <c r="C714" s="2" t="s">
        <v>1491</v>
      </c>
      <c r="D714" s="2">
        <v>0</v>
      </c>
      <c r="E714" s="2" t="s">
        <v>379</v>
      </c>
    </row>
    <row r="715" spans="1:6" x14ac:dyDescent="0.25">
      <c r="A715" s="2" t="s">
        <v>1492</v>
      </c>
      <c r="B715" s="2" t="s">
        <v>1985</v>
      </c>
      <c r="C715" s="2" t="s">
        <v>1493</v>
      </c>
      <c r="D715" s="2">
        <v>1</v>
      </c>
      <c r="E715" s="2" t="s">
        <v>1494</v>
      </c>
    </row>
    <row r="716" spans="1:6" x14ac:dyDescent="0.25">
      <c r="A716" s="2"/>
      <c r="B716" s="2" t="s">
        <v>1985</v>
      </c>
      <c r="C716" s="2" t="s">
        <v>1495</v>
      </c>
      <c r="D716" s="2">
        <v>1</v>
      </c>
      <c r="E716" s="2" t="s">
        <v>1496</v>
      </c>
    </row>
    <row r="717" spans="1:6" x14ac:dyDescent="0.25">
      <c r="A717" s="2"/>
      <c r="B717" s="2" t="s">
        <v>1985</v>
      </c>
      <c r="C717" s="2" t="s">
        <v>1497</v>
      </c>
      <c r="D717" s="2">
        <v>0</v>
      </c>
      <c r="E717" s="2" t="s">
        <v>306</v>
      </c>
    </row>
    <row r="718" spans="1:6" x14ac:dyDescent="0.25">
      <c r="A718" s="2"/>
      <c r="B718" s="2" t="s">
        <v>1992</v>
      </c>
      <c r="C718" s="2" t="s">
        <v>1498</v>
      </c>
      <c r="D718" s="2">
        <v>1</v>
      </c>
      <c r="E718" s="2" t="s">
        <v>1499</v>
      </c>
    </row>
    <row r="719" spans="1:6" x14ac:dyDescent="0.25">
      <c r="A719" s="2"/>
      <c r="B719" s="2" t="s">
        <v>1986</v>
      </c>
      <c r="C719" s="2" t="s">
        <v>1500</v>
      </c>
      <c r="D719" s="2">
        <v>1</v>
      </c>
      <c r="E719" s="2" t="s">
        <v>1397</v>
      </c>
    </row>
    <row r="720" spans="1:6" x14ac:dyDescent="0.25">
      <c r="A720" s="2"/>
      <c r="B720" s="2" t="s">
        <v>1986</v>
      </c>
      <c r="C720" s="2" t="s">
        <v>1501</v>
      </c>
      <c r="D720" s="2">
        <v>1</v>
      </c>
      <c r="E720" s="2" t="s">
        <v>1502</v>
      </c>
    </row>
    <row r="721" spans="1:5" x14ac:dyDescent="0.25">
      <c r="A721" s="2"/>
      <c r="B721" s="2" t="s">
        <v>1986</v>
      </c>
      <c r="C721" s="2" t="s">
        <v>1503</v>
      </c>
      <c r="D721" s="2">
        <v>1</v>
      </c>
      <c r="E721" s="2" t="s">
        <v>1504</v>
      </c>
    </row>
    <row r="722" spans="1:5" x14ac:dyDescent="0.25">
      <c r="A722" s="2"/>
      <c r="B722" s="2" t="s">
        <v>1986</v>
      </c>
      <c r="C722" s="2" t="s">
        <v>1505</v>
      </c>
      <c r="D722" s="2">
        <v>1</v>
      </c>
      <c r="E722" s="2" t="s">
        <v>1506</v>
      </c>
    </row>
    <row r="723" spans="1:5" x14ac:dyDescent="0.25">
      <c r="A723" s="2"/>
      <c r="B723" s="2" t="s">
        <v>2081</v>
      </c>
      <c r="C723" s="2" t="s">
        <v>1507</v>
      </c>
      <c r="D723" s="2">
        <v>0</v>
      </c>
      <c r="E723" s="2" t="s">
        <v>611</v>
      </c>
    </row>
    <row r="724" spans="1:5" x14ac:dyDescent="0.25">
      <c r="A724" s="2"/>
      <c r="B724" s="2" t="s">
        <v>2081</v>
      </c>
      <c r="C724" s="2" t="s">
        <v>1508</v>
      </c>
      <c r="D724" s="2">
        <v>1</v>
      </c>
      <c r="E724" s="2" t="s">
        <v>1509</v>
      </c>
    </row>
    <row r="725" spans="1:5" x14ac:dyDescent="0.25">
      <c r="A725" s="2"/>
      <c r="B725" s="2" t="s">
        <v>2081</v>
      </c>
      <c r="C725" s="2" t="s">
        <v>1510</v>
      </c>
      <c r="D725" s="2">
        <v>1</v>
      </c>
      <c r="E725" s="2" t="s">
        <v>613</v>
      </c>
    </row>
    <row r="726" spans="1:5" x14ac:dyDescent="0.25">
      <c r="A726" s="2"/>
      <c r="B726" s="2" t="s">
        <v>2154</v>
      </c>
      <c r="C726" s="2" t="s">
        <v>1511</v>
      </c>
      <c r="D726" s="2">
        <v>1</v>
      </c>
      <c r="E726" s="2" t="s">
        <v>1419</v>
      </c>
    </row>
    <row r="727" spans="1:5" x14ac:dyDescent="0.25">
      <c r="A727" s="2"/>
      <c r="B727" s="2" t="s">
        <v>2154</v>
      </c>
      <c r="C727" s="2" t="s">
        <v>1512</v>
      </c>
      <c r="D727" s="2">
        <v>1</v>
      </c>
      <c r="E727" s="2" t="s">
        <v>621</v>
      </c>
    </row>
    <row r="728" spans="1:5" x14ac:dyDescent="0.25">
      <c r="A728" s="2"/>
      <c r="B728" s="2" t="s">
        <v>2154</v>
      </c>
      <c r="C728" s="2" t="s">
        <v>1513</v>
      </c>
      <c r="D728" s="2">
        <v>0</v>
      </c>
      <c r="E728" s="2" t="s">
        <v>1422</v>
      </c>
    </row>
    <row r="729" spans="1:5" x14ac:dyDescent="0.25">
      <c r="A729" s="2"/>
      <c r="B729" s="2" t="s">
        <v>2049</v>
      </c>
      <c r="C729" s="2" t="s">
        <v>1514</v>
      </c>
      <c r="D729" s="2">
        <v>0</v>
      </c>
      <c r="E729" s="2" t="s">
        <v>614</v>
      </c>
    </row>
    <row r="730" spans="1:5" x14ac:dyDescent="0.25">
      <c r="A730" s="2"/>
      <c r="B730" s="2" t="s">
        <v>2049</v>
      </c>
      <c r="C730" s="2" t="s">
        <v>1515</v>
      </c>
      <c r="D730" s="2">
        <v>1</v>
      </c>
      <c r="E730" s="2" t="s">
        <v>615</v>
      </c>
    </row>
    <row r="731" spans="1:5" x14ac:dyDescent="0.25">
      <c r="A731" s="2"/>
      <c r="B731" s="2" t="s">
        <v>1988</v>
      </c>
      <c r="C731" s="2" t="s">
        <v>1516</v>
      </c>
      <c r="D731" s="2">
        <v>1</v>
      </c>
      <c r="E731" s="2" t="s">
        <v>1517</v>
      </c>
    </row>
    <row r="732" spans="1:5" x14ac:dyDescent="0.25">
      <c r="A732" s="2"/>
      <c r="B732" s="2" t="s">
        <v>1988</v>
      </c>
      <c r="C732" s="2" t="s">
        <v>1518</v>
      </c>
      <c r="D732" s="2">
        <v>0</v>
      </c>
      <c r="E732" s="2" t="s">
        <v>1519</v>
      </c>
    </row>
    <row r="733" spans="1:5" x14ac:dyDescent="0.25">
      <c r="A733" s="2"/>
      <c r="B733" s="2" t="s">
        <v>2084</v>
      </c>
      <c r="C733" s="2" t="s">
        <v>1520</v>
      </c>
      <c r="D733" s="2">
        <v>1</v>
      </c>
      <c r="E733" s="2" t="s">
        <v>1521</v>
      </c>
    </row>
    <row r="734" spans="1:5" x14ac:dyDescent="0.25">
      <c r="A734" s="2"/>
      <c r="B734" s="2" t="s">
        <v>2084</v>
      </c>
      <c r="C734" s="2" t="s">
        <v>1522</v>
      </c>
      <c r="D734" s="2">
        <v>1</v>
      </c>
      <c r="E734" s="2" t="s">
        <v>1523</v>
      </c>
    </row>
    <row r="735" spans="1:5" x14ac:dyDescent="0.25">
      <c r="A735" s="2"/>
      <c r="B735" s="2" t="s">
        <v>2084</v>
      </c>
      <c r="C735" s="2" t="s">
        <v>1524</v>
      </c>
      <c r="D735" s="2">
        <v>1</v>
      </c>
      <c r="E735" s="2" t="s">
        <v>1525</v>
      </c>
    </row>
    <row r="736" spans="1:5" x14ac:dyDescent="0.25">
      <c r="A736" s="2"/>
      <c r="B736" s="2" t="s">
        <v>2084</v>
      </c>
      <c r="C736" s="2" t="s">
        <v>1526</v>
      </c>
      <c r="D736" s="2">
        <v>0</v>
      </c>
      <c r="E736" s="2" t="s">
        <v>1527</v>
      </c>
    </row>
    <row r="737" spans="1:6" x14ac:dyDescent="0.25">
      <c r="A737" s="2"/>
      <c r="B737" s="2" t="s">
        <v>2155</v>
      </c>
      <c r="C737" s="2" t="s">
        <v>1528</v>
      </c>
      <c r="D737" s="2">
        <v>1</v>
      </c>
      <c r="E737" s="2" t="s">
        <v>1529</v>
      </c>
    </row>
    <row r="738" spans="1:6" x14ac:dyDescent="0.25">
      <c r="A738" s="2"/>
      <c r="B738" s="2" t="s">
        <v>2155</v>
      </c>
      <c r="C738" s="2" t="s">
        <v>1530</v>
      </c>
      <c r="D738" s="2">
        <v>0</v>
      </c>
      <c r="E738" s="2" t="s">
        <v>1430</v>
      </c>
    </row>
    <row r="739" spans="1:6" x14ac:dyDescent="0.25">
      <c r="A739" s="2"/>
      <c r="B739" s="2" t="s">
        <v>2029</v>
      </c>
      <c r="C739" s="2" t="s">
        <v>1531</v>
      </c>
      <c r="D739" s="2">
        <v>0</v>
      </c>
      <c r="E739" s="2" t="s">
        <v>503</v>
      </c>
    </row>
    <row r="740" spans="1:6" x14ac:dyDescent="0.25">
      <c r="A740" s="2"/>
      <c r="B740" s="2" t="s">
        <v>2156</v>
      </c>
      <c r="C740" s="2" t="s">
        <v>1532</v>
      </c>
      <c r="D740" s="2">
        <v>1</v>
      </c>
      <c r="E740" s="2" t="s">
        <v>1533</v>
      </c>
    </row>
    <row r="741" spans="1:6" x14ac:dyDescent="0.25">
      <c r="A741" s="2"/>
      <c r="B741" s="2" t="s">
        <v>2156</v>
      </c>
      <c r="C741" s="2" t="s">
        <v>1534</v>
      </c>
      <c r="D741" s="2">
        <v>0</v>
      </c>
      <c r="E741" s="2" t="s">
        <v>1535</v>
      </c>
    </row>
    <row r="742" spans="1:6" x14ac:dyDescent="0.25">
      <c r="A742" s="2" t="s">
        <v>1536</v>
      </c>
      <c r="B742" s="2" t="s">
        <v>1985</v>
      </c>
      <c r="C742" s="2" t="s">
        <v>1537</v>
      </c>
      <c r="D742" s="2">
        <v>1</v>
      </c>
      <c r="E742" s="2" t="s">
        <v>1494</v>
      </c>
    </row>
    <row r="743" spans="1:6" x14ac:dyDescent="0.25">
      <c r="A743" s="2"/>
      <c r="B743" s="2" t="s">
        <v>1985</v>
      </c>
      <c r="C743" s="2" t="s">
        <v>1538</v>
      </c>
      <c r="D743" s="2">
        <v>0</v>
      </c>
      <c r="E743" s="2" t="s">
        <v>306</v>
      </c>
    </row>
    <row r="744" spans="1:6" x14ac:dyDescent="0.25">
      <c r="A744" s="2"/>
      <c r="B744" s="2" t="s">
        <v>1992</v>
      </c>
      <c r="C744" s="2" t="s">
        <v>1539</v>
      </c>
      <c r="D744" s="2">
        <v>1</v>
      </c>
      <c r="E744" s="2" t="s">
        <v>1499</v>
      </c>
    </row>
    <row r="745" spans="1:6" x14ac:dyDescent="0.25">
      <c r="A745" s="2"/>
      <c r="B745" s="2" t="s">
        <v>2138</v>
      </c>
      <c r="C745" s="2" t="s">
        <v>1540</v>
      </c>
      <c r="D745" s="2">
        <v>0</v>
      </c>
      <c r="E745" s="2" t="s">
        <v>1541</v>
      </c>
    </row>
    <row r="746" spans="1:6" x14ac:dyDescent="0.25">
      <c r="A746" s="2"/>
      <c r="B746" s="2" t="s">
        <v>2138</v>
      </c>
      <c r="C746" s="2" t="s">
        <v>1542</v>
      </c>
      <c r="D746" s="2">
        <v>1</v>
      </c>
      <c r="E746" s="2" t="s">
        <v>1543</v>
      </c>
    </row>
    <row r="747" spans="1:6" x14ac:dyDescent="0.25">
      <c r="A747" s="2"/>
      <c r="B747" s="2" t="s">
        <v>2138</v>
      </c>
      <c r="C747" s="2" t="s">
        <v>1544</v>
      </c>
      <c r="D747" s="2">
        <v>1</v>
      </c>
      <c r="E747" s="2" t="s">
        <v>671</v>
      </c>
    </row>
    <row r="748" spans="1:6" x14ac:dyDescent="0.25">
      <c r="A748" s="2"/>
      <c r="B748" s="2" t="s">
        <v>2138</v>
      </c>
      <c r="C748" s="2" t="s">
        <v>1545</v>
      </c>
      <c r="D748" s="2">
        <v>1</v>
      </c>
      <c r="E748" s="2" t="s">
        <v>1546</v>
      </c>
    </row>
    <row r="749" spans="1:6" x14ac:dyDescent="0.25">
      <c r="A749" s="2"/>
      <c r="B749" s="2" t="s">
        <v>1997</v>
      </c>
      <c r="C749" s="2" t="s">
        <v>1547</v>
      </c>
      <c r="D749" s="2">
        <v>1</v>
      </c>
      <c r="E749" s="2" t="s">
        <v>1548</v>
      </c>
      <c r="F749">
        <v>1</v>
      </c>
    </row>
    <row r="750" spans="1:6" x14ac:dyDescent="0.25">
      <c r="A750" s="2"/>
      <c r="B750" s="2" t="s">
        <v>2030</v>
      </c>
      <c r="C750" s="2" t="s">
        <v>1549</v>
      </c>
      <c r="D750" s="2">
        <v>1</v>
      </c>
      <c r="E750" s="2" t="s">
        <v>1550</v>
      </c>
    </row>
    <row r="751" spans="1:6" x14ac:dyDescent="0.25">
      <c r="A751" s="2"/>
      <c r="B751" s="2" t="s">
        <v>2030</v>
      </c>
      <c r="C751" s="2" t="s">
        <v>1551</v>
      </c>
      <c r="D751" s="2">
        <v>1</v>
      </c>
      <c r="E751" s="2" t="s">
        <v>1552</v>
      </c>
    </row>
    <row r="752" spans="1:6" x14ac:dyDescent="0.25">
      <c r="A752" s="2"/>
      <c r="B752" s="2" t="s">
        <v>2030</v>
      </c>
      <c r="C752" s="2" t="s">
        <v>1553</v>
      </c>
      <c r="D752" s="2">
        <v>1</v>
      </c>
      <c r="E752" s="2" t="s">
        <v>1554</v>
      </c>
    </row>
    <row r="753" spans="1:6" x14ac:dyDescent="0.25">
      <c r="A753" s="2"/>
      <c r="B753" s="2" t="s">
        <v>2030</v>
      </c>
      <c r="C753" s="2" t="s">
        <v>1555</v>
      </c>
      <c r="D753" s="2">
        <v>0</v>
      </c>
      <c r="E753" s="2" t="s">
        <v>1556</v>
      </c>
    </row>
    <row r="754" spans="1:6" x14ac:dyDescent="0.25">
      <c r="A754" s="2" t="s">
        <v>1557</v>
      </c>
      <c r="B754" s="2" t="s">
        <v>1985</v>
      </c>
      <c r="C754" s="2" t="s">
        <v>1558</v>
      </c>
      <c r="D754" s="2">
        <v>1</v>
      </c>
      <c r="E754" s="2" t="s">
        <v>583</v>
      </c>
    </row>
    <row r="755" spans="1:6" x14ac:dyDescent="0.25">
      <c r="A755" s="2"/>
      <c r="B755" s="2" t="s">
        <v>1985</v>
      </c>
      <c r="C755" s="2" t="s">
        <v>1559</v>
      </c>
      <c r="D755" s="2">
        <v>0</v>
      </c>
      <c r="E755" s="2" t="s">
        <v>306</v>
      </c>
    </row>
    <row r="756" spans="1:6" x14ac:dyDescent="0.25">
      <c r="A756" s="2"/>
      <c r="B756" s="2" t="s">
        <v>1992</v>
      </c>
      <c r="C756" s="2" t="s">
        <v>1560</v>
      </c>
      <c r="D756" s="2">
        <v>1</v>
      </c>
      <c r="E756" s="2" t="s">
        <v>1561</v>
      </c>
    </row>
    <row r="757" spans="1:6" x14ac:dyDescent="0.25">
      <c r="A757" s="2"/>
      <c r="B757" s="2" t="s">
        <v>1992</v>
      </c>
      <c r="C757" s="2" t="s">
        <v>1562</v>
      </c>
      <c r="D757" s="2">
        <v>1</v>
      </c>
      <c r="E757" s="2" t="s">
        <v>1563</v>
      </c>
    </row>
    <row r="758" spans="1:6" x14ac:dyDescent="0.25">
      <c r="A758" s="2"/>
      <c r="B758" s="2" t="s">
        <v>1986</v>
      </c>
      <c r="C758" s="2" t="s">
        <v>1564</v>
      </c>
      <c r="D758" s="2">
        <v>1</v>
      </c>
      <c r="E758" s="2" t="s">
        <v>633</v>
      </c>
    </row>
    <row r="759" spans="1:6" x14ac:dyDescent="0.25">
      <c r="A759" s="2"/>
      <c r="B759" s="2" t="s">
        <v>1986</v>
      </c>
      <c r="C759" s="2" t="s">
        <v>1565</v>
      </c>
      <c r="D759" s="2">
        <v>1</v>
      </c>
      <c r="E759" s="2" t="s">
        <v>493</v>
      </c>
    </row>
    <row r="760" spans="1:6" x14ac:dyDescent="0.25">
      <c r="A760" s="2"/>
      <c r="B760" s="2" t="s">
        <v>2157</v>
      </c>
      <c r="C760" s="2" t="s">
        <v>1566</v>
      </c>
      <c r="D760" s="2">
        <v>1</v>
      </c>
      <c r="E760" s="2" t="s">
        <v>275</v>
      </c>
    </row>
    <row r="761" spans="1:6" x14ac:dyDescent="0.25">
      <c r="A761" s="2"/>
      <c r="B761" s="2" t="s">
        <v>2157</v>
      </c>
      <c r="C761" s="2" t="s">
        <v>1567</v>
      </c>
      <c r="D761" s="2">
        <v>1</v>
      </c>
      <c r="E761" s="2" t="s">
        <v>1568</v>
      </c>
    </row>
    <row r="762" spans="1:6" x14ac:dyDescent="0.25">
      <c r="A762" s="2"/>
      <c r="B762" s="2" t="s">
        <v>1988</v>
      </c>
      <c r="C762" s="2" t="s">
        <v>1569</v>
      </c>
      <c r="D762" s="2">
        <v>1</v>
      </c>
      <c r="E762" s="2" t="s">
        <v>1256</v>
      </c>
    </row>
    <row r="763" spans="1:6" x14ac:dyDescent="0.25">
      <c r="A763" s="2"/>
      <c r="B763" s="2" t="s">
        <v>1988</v>
      </c>
      <c r="C763" s="2" t="s">
        <v>1570</v>
      </c>
      <c r="D763" s="2">
        <v>0</v>
      </c>
      <c r="E763" s="2" t="s">
        <v>1571</v>
      </c>
    </row>
    <row r="764" spans="1:6" x14ac:dyDescent="0.25">
      <c r="A764" s="2"/>
      <c r="B764" s="2" t="s">
        <v>2158</v>
      </c>
      <c r="C764" s="2" t="s">
        <v>1572</v>
      </c>
      <c r="D764" s="2">
        <v>1</v>
      </c>
      <c r="E764" s="2" t="s">
        <v>1573</v>
      </c>
    </row>
    <row r="765" spans="1:6" x14ac:dyDescent="0.25">
      <c r="A765" s="2"/>
      <c r="B765" s="2" t="s">
        <v>2158</v>
      </c>
      <c r="C765" s="2" t="s">
        <v>1574</v>
      </c>
      <c r="D765" s="2">
        <v>1</v>
      </c>
      <c r="E765" s="2" t="s">
        <v>1575</v>
      </c>
    </row>
    <row r="766" spans="1:6" x14ac:dyDescent="0.25">
      <c r="A766" s="2"/>
      <c r="B766" s="2" t="s">
        <v>2089</v>
      </c>
      <c r="C766" s="2" t="s">
        <v>1576</v>
      </c>
      <c r="D766" s="2">
        <v>1</v>
      </c>
      <c r="E766" s="2" t="s">
        <v>1577</v>
      </c>
      <c r="F766">
        <v>1</v>
      </c>
    </row>
    <row r="767" spans="1:6" x14ac:dyDescent="0.25">
      <c r="A767" s="2"/>
      <c r="B767" s="2" t="s">
        <v>2029</v>
      </c>
      <c r="C767" s="2" t="s">
        <v>1578</v>
      </c>
      <c r="D767" s="2">
        <v>0</v>
      </c>
      <c r="E767" s="2" t="s">
        <v>503</v>
      </c>
    </row>
    <row r="768" spans="1:6" x14ac:dyDescent="0.25">
      <c r="A768" s="2"/>
      <c r="B768" s="2" t="s">
        <v>2156</v>
      </c>
      <c r="C768" s="2" t="s">
        <v>1579</v>
      </c>
      <c r="D768" s="2">
        <v>1</v>
      </c>
      <c r="E768" s="2" t="s">
        <v>1580</v>
      </c>
    </row>
    <row r="769" spans="1:5" x14ac:dyDescent="0.25">
      <c r="A769" s="2"/>
      <c r="B769" s="2" t="s">
        <v>2156</v>
      </c>
      <c r="C769" s="2" t="s">
        <v>1581</v>
      </c>
      <c r="D769" s="2">
        <v>1</v>
      </c>
      <c r="E769" s="2" t="s">
        <v>1582</v>
      </c>
    </row>
    <row r="770" spans="1:5" x14ac:dyDescent="0.25">
      <c r="A770" s="2"/>
      <c r="B770" s="2" t="s">
        <v>2156</v>
      </c>
      <c r="C770" s="2" t="s">
        <v>1583</v>
      </c>
      <c r="D770" s="2">
        <v>0</v>
      </c>
      <c r="E770" s="2" t="s">
        <v>1584</v>
      </c>
    </row>
    <row r="771" spans="1:5" x14ac:dyDescent="0.25">
      <c r="A771" s="2" t="s">
        <v>1585</v>
      </c>
      <c r="B771" s="2" t="s">
        <v>2159</v>
      </c>
      <c r="C771" s="2" t="s">
        <v>1586</v>
      </c>
      <c r="D771" s="2">
        <v>1</v>
      </c>
      <c r="E771" s="2" t="s">
        <v>1587</v>
      </c>
    </row>
    <row r="772" spans="1:5" x14ac:dyDescent="0.25">
      <c r="A772" s="2"/>
      <c r="B772" s="2" t="s">
        <v>2159</v>
      </c>
      <c r="C772" s="2" t="s">
        <v>1588</v>
      </c>
      <c r="D772" s="2">
        <v>0</v>
      </c>
      <c r="E772" s="2" t="s">
        <v>1589</v>
      </c>
    </row>
    <row r="773" spans="1:5" x14ac:dyDescent="0.25">
      <c r="A773" s="2"/>
      <c r="B773" s="2" t="s">
        <v>2159</v>
      </c>
      <c r="C773" s="2" t="s">
        <v>1590</v>
      </c>
      <c r="D773" s="2">
        <v>1</v>
      </c>
      <c r="E773" s="2" t="s">
        <v>1591</v>
      </c>
    </row>
    <row r="774" spans="1:5" x14ac:dyDescent="0.25">
      <c r="A774" s="2"/>
      <c r="B774" s="2" t="s">
        <v>1986</v>
      </c>
      <c r="C774" s="2" t="s">
        <v>1592</v>
      </c>
      <c r="D774" s="2">
        <v>1</v>
      </c>
      <c r="E774" s="2" t="s">
        <v>1593</v>
      </c>
    </row>
    <row r="775" spans="1:5" x14ac:dyDescent="0.25">
      <c r="A775" s="2"/>
      <c r="B775" s="2" t="s">
        <v>1986</v>
      </c>
      <c r="C775" s="2" t="s">
        <v>1594</v>
      </c>
      <c r="D775" s="2">
        <v>0</v>
      </c>
      <c r="E775" s="2" t="s">
        <v>1595</v>
      </c>
    </row>
    <row r="776" spans="1:5" x14ac:dyDescent="0.25">
      <c r="A776" s="2"/>
      <c r="B776" s="2" t="s">
        <v>2160</v>
      </c>
      <c r="C776" s="2" t="s">
        <v>1596</v>
      </c>
      <c r="D776" s="2">
        <v>1</v>
      </c>
      <c r="E776" s="2" t="s">
        <v>1597</v>
      </c>
    </row>
    <row r="777" spans="1:5" x14ac:dyDescent="0.25">
      <c r="A777" s="2"/>
      <c r="B777" s="2" t="s">
        <v>2160</v>
      </c>
      <c r="C777" s="2" t="s">
        <v>1598</v>
      </c>
      <c r="D777" s="2">
        <v>0</v>
      </c>
      <c r="E777" s="2" t="s">
        <v>1599</v>
      </c>
    </row>
    <row r="778" spans="1:5" x14ac:dyDescent="0.25">
      <c r="A778" s="2"/>
      <c r="B778" s="2" t="s">
        <v>2161</v>
      </c>
      <c r="C778" s="2" t="s">
        <v>1600</v>
      </c>
      <c r="D778" s="2">
        <v>1</v>
      </c>
      <c r="E778" s="2" t="s">
        <v>1601</v>
      </c>
    </row>
    <row r="779" spans="1:5" x14ac:dyDescent="0.25">
      <c r="A779" s="2"/>
      <c r="B779" s="2" t="s">
        <v>2161</v>
      </c>
      <c r="C779" s="2" t="s">
        <v>1602</v>
      </c>
      <c r="D779" s="2">
        <v>0</v>
      </c>
      <c r="E779" s="2" t="s">
        <v>1603</v>
      </c>
    </row>
    <row r="780" spans="1:5" x14ac:dyDescent="0.25">
      <c r="A780" s="2"/>
      <c r="B780" s="2" t="s">
        <v>1988</v>
      </c>
      <c r="C780" s="2" t="s">
        <v>1604</v>
      </c>
      <c r="D780" s="2">
        <v>1</v>
      </c>
      <c r="E780" s="2" t="s">
        <v>1605</v>
      </c>
    </row>
    <row r="781" spans="1:5" x14ac:dyDescent="0.25">
      <c r="A781" s="2"/>
      <c r="B781" s="2" t="s">
        <v>1988</v>
      </c>
      <c r="C781" s="2" t="s">
        <v>1606</v>
      </c>
      <c r="D781" s="2">
        <v>0</v>
      </c>
      <c r="E781" s="2" t="s">
        <v>1607</v>
      </c>
    </row>
    <row r="782" spans="1:5" x14ac:dyDescent="0.25">
      <c r="A782" s="2"/>
      <c r="B782" s="2" t="s">
        <v>2162</v>
      </c>
      <c r="C782" s="2" t="s">
        <v>1608</v>
      </c>
      <c r="D782" s="2">
        <v>1</v>
      </c>
      <c r="E782" s="2" t="s">
        <v>1609</v>
      </c>
    </row>
    <row r="783" spans="1:5" x14ac:dyDescent="0.25">
      <c r="A783" s="2"/>
      <c r="B783" s="2" t="s">
        <v>2162</v>
      </c>
      <c r="C783" s="2" t="s">
        <v>1610</v>
      </c>
      <c r="D783" s="2">
        <v>0</v>
      </c>
      <c r="E783" s="2" t="s">
        <v>1430</v>
      </c>
    </row>
    <row r="784" spans="1:5" x14ac:dyDescent="0.25">
      <c r="A784" s="2"/>
      <c r="B784" s="2" t="s">
        <v>2029</v>
      </c>
      <c r="C784" s="2" t="s">
        <v>1611</v>
      </c>
      <c r="D784" s="2">
        <v>0</v>
      </c>
      <c r="E784" s="2" t="s">
        <v>503</v>
      </c>
    </row>
    <row r="785" spans="1:6" x14ac:dyDescent="0.25">
      <c r="A785" s="2"/>
      <c r="B785" s="2" t="s">
        <v>2156</v>
      </c>
      <c r="C785" s="2" t="s">
        <v>1612</v>
      </c>
      <c r="D785" s="2">
        <v>0</v>
      </c>
      <c r="E785" s="2" t="s">
        <v>1535</v>
      </c>
    </row>
    <row r="786" spans="1:6" x14ac:dyDescent="0.25">
      <c r="A786" s="2" t="s">
        <v>1613</v>
      </c>
      <c r="B786" s="2" t="s">
        <v>1978</v>
      </c>
      <c r="C786" s="2" t="s">
        <v>1614</v>
      </c>
      <c r="D786" s="2">
        <v>1</v>
      </c>
      <c r="E786" s="2" t="s">
        <v>273</v>
      </c>
    </row>
    <row r="787" spans="1:6" x14ac:dyDescent="0.25">
      <c r="A787" s="2"/>
      <c r="B787" s="2" t="s">
        <v>1986</v>
      </c>
      <c r="C787" s="2" t="s">
        <v>1615</v>
      </c>
      <c r="D787" s="2">
        <v>1</v>
      </c>
      <c r="E787" s="2" t="s">
        <v>312</v>
      </c>
    </row>
    <row r="788" spans="1:6" x14ac:dyDescent="0.25">
      <c r="A788" s="2"/>
      <c r="B788" s="2" t="s">
        <v>1986</v>
      </c>
      <c r="C788" s="2" t="s">
        <v>1616</v>
      </c>
      <c r="D788" s="2">
        <v>1</v>
      </c>
      <c r="E788" s="2" t="s">
        <v>316</v>
      </c>
    </row>
    <row r="789" spans="1:6" x14ac:dyDescent="0.25">
      <c r="A789" s="2"/>
      <c r="B789" s="2" t="s">
        <v>1986</v>
      </c>
      <c r="C789" s="2" t="s">
        <v>1617</v>
      </c>
      <c r="D789" s="2">
        <v>0</v>
      </c>
      <c r="E789" s="2" t="s">
        <v>314</v>
      </c>
    </row>
    <row r="790" spans="1:6" x14ac:dyDescent="0.25">
      <c r="A790" s="2"/>
      <c r="B790" s="2" t="s">
        <v>1987</v>
      </c>
      <c r="C790" s="2" t="s">
        <v>1618</v>
      </c>
      <c r="D790" s="2">
        <v>1</v>
      </c>
      <c r="E790" s="2" t="s">
        <v>318</v>
      </c>
    </row>
    <row r="791" spans="1:6" x14ac:dyDescent="0.25">
      <c r="A791" s="2"/>
      <c r="B791" s="2" t="s">
        <v>1987</v>
      </c>
      <c r="C791" s="2" t="s">
        <v>1619</v>
      </c>
      <c r="D791" s="2">
        <v>1</v>
      </c>
      <c r="E791" s="2" t="s">
        <v>1620</v>
      </c>
    </row>
    <row r="792" spans="1:6" x14ac:dyDescent="0.25">
      <c r="A792" s="2"/>
      <c r="B792" s="2" t="s">
        <v>1987</v>
      </c>
      <c r="C792" s="2" t="s">
        <v>1621</v>
      </c>
      <c r="D792" s="2">
        <v>1</v>
      </c>
      <c r="E792" s="2" t="s">
        <v>1622</v>
      </c>
    </row>
    <row r="793" spans="1:6" x14ac:dyDescent="0.25">
      <c r="A793" s="2"/>
      <c r="B793" s="2" t="s">
        <v>1987</v>
      </c>
      <c r="C793" s="2" t="s">
        <v>1623</v>
      </c>
      <c r="D793" s="2">
        <v>1</v>
      </c>
      <c r="E793" s="2" t="s">
        <v>322</v>
      </c>
    </row>
    <row r="794" spans="1:6" x14ac:dyDescent="0.25">
      <c r="A794" s="2"/>
      <c r="B794" s="2" t="s">
        <v>2193</v>
      </c>
      <c r="C794" s="2" t="s">
        <v>1624</v>
      </c>
      <c r="D794" s="2">
        <v>1</v>
      </c>
      <c r="E794" s="2" t="s">
        <v>936</v>
      </c>
    </row>
    <row r="795" spans="1:6" x14ac:dyDescent="0.25">
      <c r="A795" s="2"/>
      <c r="B795" s="2" t="s">
        <v>2193</v>
      </c>
      <c r="C795" s="2" t="s">
        <v>1625</v>
      </c>
      <c r="D795" s="2">
        <v>0</v>
      </c>
      <c r="E795" s="2" t="s">
        <v>938</v>
      </c>
    </row>
    <row r="796" spans="1:6" x14ac:dyDescent="0.25">
      <c r="A796" s="2"/>
      <c r="B796" s="2" t="s">
        <v>2120</v>
      </c>
      <c r="C796" s="2" t="s">
        <v>1626</v>
      </c>
      <c r="D796" s="2">
        <v>1</v>
      </c>
      <c r="E796" s="2" t="s">
        <v>1483</v>
      </c>
    </row>
    <row r="797" spans="1:6" x14ac:dyDescent="0.25">
      <c r="A797" s="2"/>
      <c r="B797" s="2" t="s">
        <v>2120</v>
      </c>
      <c r="C797" s="2" t="s">
        <v>1627</v>
      </c>
      <c r="D797" s="2">
        <v>1</v>
      </c>
      <c r="E797" s="2" t="s">
        <v>942</v>
      </c>
    </row>
    <row r="798" spans="1:6" x14ac:dyDescent="0.25">
      <c r="A798" s="2"/>
      <c r="B798" s="2" t="s">
        <v>2120</v>
      </c>
      <c r="C798" s="2" t="s">
        <v>1628</v>
      </c>
      <c r="D798" s="2">
        <v>1</v>
      </c>
      <c r="E798" s="2" t="s">
        <v>383</v>
      </c>
    </row>
    <row r="799" spans="1:6" x14ac:dyDescent="0.25">
      <c r="A799" s="2"/>
      <c r="B799" s="2" t="s">
        <v>2120</v>
      </c>
      <c r="C799" s="2" t="s">
        <v>1629</v>
      </c>
      <c r="D799" s="2">
        <v>1</v>
      </c>
      <c r="E799" s="2" t="s">
        <v>1630</v>
      </c>
      <c r="F799">
        <v>1</v>
      </c>
    </row>
    <row r="800" spans="1:6" x14ac:dyDescent="0.25">
      <c r="A800" s="2"/>
      <c r="B800" s="2" t="s">
        <v>2011</v>
      </c>
      <c r="C800" s="2" t="s">
        <v>1631</v>
      </c>
      <c r="D800" s="2">
        <v>1</v>
      </c>
      <c r="E800" s="2" t="s">
        <v>380</v>
      </c>
    </row>
    <row r="801" spans="1:6" x14ac:dyDescent="0.25">
      <c r="A801" s="2"/>
      <c r="B801" s="2" t="s">
        <v>2011</v>
      </c>
      <c r="C801" s="2" t="s">
        <v>1632</v>
      </c>
      <c r="D801" s="2">
        <v>0</v>
      </c>
      <c r="E801" s="2" t="s">
        <v>381</v>
      </c>
    </row>
    <row r="802" spans="1:6" x14ac:dyDescent="0.25">
      <c r="A802" s="2"/>
      <c r="B802" s="2" t="s">
        <v>1989</v>
      </c>
      <c r="C802" s="2" t="s">
        <v>1633</v>
      </c>
      <c r="D802" s="2">
        <v>1</v>
      </c>
      <c r="E802" s="2" t="s">
        <v>1634</v>
      </c>
    </row>
    <row r="803" spans="1:6" x14ac:dyDescent="0.25">
      <c r="A803" s="2"/>
      <c r="B803" s="2" t="s">
        <v>1989</v>
      </c>
      <c r="C803" s="2" t="s">
        <v>1635</v>
      </c>
      <c r="D803" s="2">
        <v>1</v>
      </c>
      <c r="E803" s="2" t="s">
        <v>328</v>
      </c>
    </row>
    <row r="804" spans="1:6" x14ac:dyDescent="0.25">
      <c r="A804" s="2"/>
      <c r="B804" s="2" t="s">
        <v>1991</v>
      </c>
      <c r="C804" s="2" t="s">
        <v>1636</v>
      </c>
      <c r="D804" s="2">
        <v>1</v>
      </c>
      <c r="E804" s="2" t="s">
        <v>1637</v>
      </c>
    </row>
    <row r="805" spans="1:6" x14ac:dyDescent="0.25">
      <c r="A805" s="2"/>
      <c r="B805" s="2" t="s">
        <v>1991</v>
      </c>
      <c r="C805" s="2" t="s">
        <v>1638</v>
      </c>
      <c r="D805" s="2">
        <v>0</v>
      </c>
      <c r="E805" s="2" t="s">
        <v>1639</v>
      </c>
    </row>
    <row r="806" spans="1:6" x14ac:dyDescent="0.25">
      <c r="A806" s="2" t="s">
        <v>1640</v>
      </c>
      <c r="B806" s="2" t="s">
        <v>1980</v>
      </c>
      <c r="C806" s="2" t="s">
        <v>1641</v>
      </c>
      <c r="D806" s="2">
        <v>0</v>
      </c>
      <c r="E806" s="2" t="s">
        <v>640</v>
      </c>
    </row>
    <row r="807" spans="1:6" x14ac:dyDescent="0.25">
      <c r="A807" s="2"/>
      <c r="B807" s="2" t="s">
        <v>1980</v>
      </c>
      <c r="C807" s="2" t="s">
        <v>1642</v>
      </c>
      <c r="D807" s="2">
        <v>0</v>
      </c>
      <c r="E807" s="2" t="s">
        <v>1643</v>
      </c>
    </row>
    <row r="808" spans="1:6" x14ac:dyDescent="0.25">
      <c r="A808" s="2"/>
      <c r="B808" s="2" t="s">
        <v>1980</v>
      </c>
      <c r="C808" s="2" t="s">
        <v>1644</v>
      </c>
      <c r="D808" s="2">
        <v>1</v>
      </c>
      <c r="E808" s="2" t="s">
        <v>1645</v>
      </c>
    </row>
    <row r="809" spans="1:6" x14ac:dyDescent="0.25">
      <c r="A809" s="2"/>
      <c r="B809" s="2" t="s">
        <v>2167</v>
      </c>
      <c r="C809" s="2" t="s">
        <v>1646</v>
      </c>
      <c r="D809" s="2">
        <v>1</v>
      </c>
      <c r="E809" s="2" t="s">
        <v>1647</v>
      </c>
    </row>
    <row r="810" spans="1:6" x14ac:dyDescent="0.25">
      <c r="A810" s="2"/>
      <c r="B810" s="2" t="s">
        <v>2167</v>
      </c>
      <c r="C810" s="2" t="s">
        <v>1648</v>
      </c>
      <c r="D810" s="2">
        <v>1</v>
      </c>
      <c r="E810" s="2" t="s">
        <v>1649</v>
      </c>
    </row>
    <row r="811" spans="1:6" x14ac:dyDescent="0.25">
      <c r="A811" s="2"/>
      <c r="B811" s="2" t="s">
        <v>2167</v>
      </c>
      <c r="C811" s="2" t="s">
        <v>1650</v>
      </c>
      <c r="D811" s="2">
        <v>1</v>
      </c>
      <c r="E811" s="2" t="s">
        <v>791</v>
      </c>
    </row>
    <row r="812" spans="1:6" x14ac:dyDescent="0.25">
      <c r="A812" s="2"/>
      <c r="B812" s="2" t="s">
        <v>2149</v>
      </c>
      <c r="C812" s="2" t="s">
        <v>1651</v>
      </c>
      <c r="D812" s="2">
        <v>0</v>
      </c>
      <c r="E812" s="2" t="s">
        <v>1652</v>
      </c>
    </row>
    <row r="813" spans="1:6" x14ac:dyDescent="0.25">
      <c r="A813" s="2"/>
      <c r="B813" s="2" t="s">
        <v>2149</v>
      </c>
      <c r="C813" s="2" t="s">
        <v>1653</v>
      </c>
      <c r="D813" s="2">
        <v>1</v>
      </c>
      <c r="E813" s="2" t="s">
        <v>1654</v>
      </c>
      <c r="F813">
        <v>1</v>
      </c>
    </row>
    <row r="814" spans="1:6" x14ac:dyDescent="0.25">
      <c r="A814" s="2" t="s">
        <v>1655</v>
      </c>
      <c r="B814" s="2" t="s">
        <v>1985</v>
      </c>
      <c r="C814" s="2" t="s">
        <v>1656</v>
      </c>
      <c r="D814" s="2">
        <v>1</v>
      </c>
      <c r="E814" s="2" t="s">
        <v>304</v>
      </c>
    </row>
    <row r="815" spans="1:6" x14ac:dyDescent="0.25">
      <c r="A815" s="2"/>
      <c r="B815" s="2" t="s">
        <v>1985</v>
      </c>
      <c r="C815" s="2" t="s">
        <v>1657</v>
      </c>
      <c r="D815" s="2">
        <v>0</v>
      </c>
      <c r="E815" s="2" t="s">
        <v>306</v>
      </c>
    </row>
    <row r="816" spans="1:6" x14ac:dyDescent="0.25">
      <c r="A816" s="2"/>
      <c r="B816" s="2" t="s">
        <v>1992</v>
      </c>
      <c r="C816" s="2" t="s">
        <v>1658</v>
      </c>
      <c r="D816" s="2">
        <v>1</v>
      </c>
      <c r="E816" s="2" t="s">
        <v>1659</v>
      </c>
    </row>
    <row r="817" spans="1:6" x14ac:dyDescent="0.25">
      <c r="A817" s="2"/>
      <c r="B817" s="2" t="s">
        <v>2177</v>
      </c>
      <c r="C817" s="2" t="s">
        <v>1660</v>
      </c>
      <c r="D817" s="2">
        <v>1</v>
      </c>
      <c r="E817" s="2" t="s">
        <v>1661</v>
      </c>
    </row>
    <row r="818" spans="1:6" x14ac:dyDescent="0.25">
      <c r="A818" s="2"/>
      <c r="B818" s="2" t="s">
        <v>1986</v>
      </c>
      <c r="C818" s="2" t="s">
        <v>1662</v>
      </c>
      <c r="D818" s="2">
        <v>1</v>
      </c>
      <c r="E818" s="2" t="s">
        <v>312</v>
      </c>
    </row>
    <row r="819" spans="1:6" x14ac:dyDescent="0.25">
      <c r="A819" s="2"/>
      <c r="B819" s="2" t="s">
        <v>1986</v>
      </c>
      <c r="C819" s="2" t="s">
        <v>1663</v>
      </c>
      <c r="D819" s="2">
        <v>0</v>
      </c>
      <c r="E819" s="2" t="s">
        <v>314</v>
      </c>
    </row>
    <row r="820" spans="1:6" x14ac:dyDescent="0.25">
      <c r="A820" s="2"/>
      <c r="B820" s="2" t="s">
        <v>1995</v>
      </c>
      <c r="C820" s="2" t="s">
        <v>1664</v>
      </c>
      <c r="D820" s="2">
        <v>1</v>
      </c>
      <c r="E820" s="2" t="s">
        <v>1665</v>
      </c>
    </row>
    <row r="821" spans="1:6" x14ac:dyDescent="0.25">
      <c r="A821" s="2"/>
      <c r="B821" s="2" t="s">
        <v>1995</v>
      </c>
      <c r="C821" s="2" t="s">
        <v>1666</v>
      </c>
      <c r="D821" s="2">
        <v>1</v>
      </c>
      <c r="E821" s="2" t="s">
        <v>1667</v>
      </c>
    </row>
    <row r="822" spans="1:6" x14ac:dyDescent="0.25">
      <c r="A822" s="2" t="s">
        <v>1668</v>
      </c>
      <c r="B822" s="2" t="s">
        <v>1985</v>
      </c>
      <c r="C822" s="2" t="s">
        <v>1669</v>
      </c>
      <c r="D822" s="2">
        <v>1</v>
      </c>
      <c r="E822" s="2" t="s">
        <v>304</v>
      </c>
    </row>
    <row r="823" spans="1:6" x14ac:dyDescent="0.25">
      <c r="A823" s="2"/>
      <c r="B823" s="2" t="s">
        <v>1985</v>
      </c>
      <c r="C823" s="2" t="s">
        <v>1670</v>
      </c>
      <c r="D823" s="2">
        <v>0</v>
      </c>
      <c r="E823" s="2" t="s">
        <v>306</v>
      </c>
    </row>
    <row r="824" spans="1:6" x14ac:dyDescent="0.25">
      <c r="A824" s="2"/>
      <c r="B824" s="2" t="s">
        <v>1985</v>
      </c>
      <c r="C824" s="2" t="s">
        <v>1671</v>
      </c>
      <c r="D824" s="2">
        <v>1</v>
      </c>
      <c r="E824" s="2" t="s">
        <v>1672</v>
      </c>
    </row>
    <row r="825" spans="1:6" x14ac:dyDescent="0.25">
      <c r="A825" s="2"/>
      <c r="B825" s="2" t="s">
        <v>1992</v>
      </c>
      <c r="C825" s="2" t="s">
        <v>1673</v>
      </c>
      <c r="D825" s="2">
        <v>1</v>
      </c>
      <c r="E825" s="2" t="s">
        <v>1674</v>
      </c>
    </row>
    <row r="826" spans="1:6" x14ac:dyDescent="0.25">
      <c r="A826" s="2"/>
      <c r="B826" s="2" t="s">
        <v>1994</v>
      </c>
      <c r="C826" s="2" t="s">
        <v>1675</v>
      </c>
      <c r="D826" s="2">
        <v>1</v>
      </c>
      <c r="E826" s="2" t="s">
        <v>844</v>
      </c>
    </row>
    <row r="827" spans="1:6" x14ac:dyDescent="0.25">
      <c r="A827" s="2"/>
      <c r="B827" s="2" t="s">
        <v>1997</v>
      </c>
      <c r="C827" s="2" t="s">
        <v>1676</v>
      </c>
      <c r="D827" s="2">
        <v>1</v>
      </c>
      <c r="E827" s="2" t="s">
        <v>372</v>
      </c>
      <c r="F827">
        <v>1</v>
      </c>
    </row>
    <row r="828" spans="1:6" x14ac:dyDescent="0.25">
      <c r="A828" s="2"/>
      <c r="B828" s="2" t="s">
        <v>1996</v>
      </c>
      <c r="C828" s="2" t="s">
        <v>1677</v>
      </c>
      <c r="D828" s="2">
        <v>1</v>
      </c>
      <c r="E828" s="2" t="s">
        <v>1678</v>
      </c>
    </row>
    <row r="829" spans="1:6" x14ac:dyDescent="0.25">
      <c r="A829" s="2"/>
      <c r="B829" s="2" t="s">
        <v>1996</v>
      </c>
      <c r="C829" s="2" t="s">
        <v>1679</v>
      </c>
      <c r="D829" s="2">
        <v>1</v>
      </c>
      <c r="E829" s="2" t="s">
        <v>1680</v>
      </c>
    </row>
    <row r="830" spans="1:6" x14ac:dyDescent="0.25">
      <c r="A830" s="2"/>
      <c r="B830" s="2" t="s">
        <v>1996</v>
      </c>
      <c r="C830" s="2" t="s">
        <v>1681</v>
      </c>
      <c r="D830" s="2">
        <v>1</v>
      </c>
      <c r="E830" s="2" t="s">
        <v>1682</v>
      </c>
    </row>
    <row r="831" spans="1:6" x14ac:dyDescent="0.25">
      <c r="A831" s="2"/>
      <c r="B831" s="2" t="s">
        <v>1996</v>
      </c>
      <c r="C831" s="2" t="s">
        <v>1683</v>
      </c>
      <c r="D831" s="2">
        <v>1</v>
      </c>
      <c r="E831" s="2" t="s">
        <v>1684</v>
      </c>
    </row>
    <row r="832" spans="1:6" x14ac:dyDescent="0.25">
      <c r="A832" s="2" t="s">
        <v>1685</v>
      </c>
      <c r="B832" s="2" t="s">
        <v>1978</v>
      </c>
      <c r="C832" s="2" t="s">
        <v>1686</v>
      </c>
      <c r="D832" s="2">
        <v>1</v>
      </c>
      <c r="E832" s="2" t="s">
        <v>1687</v>
      </c>
    </row>
    <row r="833" spans="1:5" x14ac:dyDescent="0.25">
      <c r="A833" s="2"/>
      <c r="B833" s="2" t="s">
        <v>1978</v>
      </c>
      <c r="C833" s="2" t="s">
        <v>1688</v>
      </c>
      <c r="D833" s="2">
        <v>1</v>
      </c>
      <c r="E833" s="2" t="s">
        <v>1689</v>
      </c>
    </row>
    <row r="834" spans="1:5" x14ac:dyDescent="0.25">
      <c r="A834" s="2"/>
      <c r="B834" s="2" t="s">
        <v>1978</v>
      </c>
      <c r="C834" s="2" t="s">
        <v>1690</v>
      </c>
      <c r="D834" s="2">
        <v>1</v>
      </c>
      <c r="E834" s="2" t="s">
        <v>1691</v>
      </c>
    </row>
    <row r="835" spans="1:5" x14ac:dyDescent="0.25">
      <c r="A835" s="2"/>
      <c r="B835" s="2" t="s">
        <v>1978</v>
      </c>
      <c r="C835" s="2" t="s">
        <v>1692</v>
      </c>
      <c r="D835" s="2">
        <v>1</v>
      </c>
      <c r="E835" s="2" t="s">
        <v>1693</v>
      </c>
    </row>
    <row r="836" spans="1:5" x14ac:dyDescent="0.25">
      <c r="A836" s="2"/>
      <c r="B836" s="2" t="s">
        <v>1978</v>
      </c>
      <c r="C836" s="2" t="s">
        <v>1694</v>
      </c>
      <c r="D836" s="2">
        <v>0</v>
      </c>
      <c r="E836" s="2" t="s">
        <v>1695</v>
      </c>
    </row>
    <row r="837" spans="1:5" x14ac:dyDescent="0.25">
      <c r="A837" s="2"/>
      <c r="B837" s="2" t="s">
        <v>1986</v>
      </c>
      <c r="C837" s="2" t="s">
        <v>1696</v>
      </c>
      <c r="D837" s="2">
        <v>1</v>
      </c>
      <c r="E837" s="2" t="s">
        <v>1697</v>
      </c>
    </row>
    <row r="838" spans="1:5" x14ac:dyDescent="0.25">
      <c r="A838" s="2"/>
      <c r="B838" s="2" t="s">
        <v>1986</v>
      </c>
      <c r="C838" s="2" t="s">
        <v>1698</v>
      </c>
      <c r="D838" s="2">
        <v>1</v>
      </c>
      <c r="E838" s="2" t="s">
        <v>1699</v>
      </c>
    </row>
    <row r="839" spans="1:5" x14ac:dyDescent="0.25">
      <c r="A839" s="2"/>
      <c r="B839" s="2" t="s">
        <v>1986</v>
      </c>
      <c r="C839" s="2" t="s">
        <v>1700</v>
      </c>
      <c r="D839" s="2">
        <v>1</v>
      </c>
      <c r="E839" s="2" t="s">
        <v>1701</v>
      </c>
    </row>
    <row r="840" spans="1:5" x14ac:dyDescent="0.25">
      <c r="A840" s="2"/>
      <c r="B840" s="2" t="s">
        <v>1986</v>
      </c>
      <c r="C840" s="2" t="s">
        <v>1702</v>
      </c>
      <c r="D840" s="2">
        <v>0</v>
      </c>
      <c r="E840" s="2" t="s">
        <v>314</v>
      </c>
    </row>
    <row r="841" spans="1:5" x14ac:dyDescent="0.25">
      <c r="A841" s="2"/>
      <c r="B841" s="2" t="s">
        <v>2189</v>
      </c>
      <c r="C841" s="2" t="s">
        <v>1703</v>
      </c>
      <c r="D841" s="2">
        <v>1</v>
      </c>
      <c r="E841" s="2" t="s">
        <v>1704</v>
      </c>
    </row>
    <row r="842" spans="1:5" x14ac:dyDescent="0.25">
      <c r="A842" s="2"/>
      <c r="B842" s="2" t="s">
        <v>2189</v>
      </c>
      <c r="C842" s="2" t="s">
        <v>1705</v>
      </c>
      <c r="D842" s="2">
        <v>1</v>
      </c>
      <c r="E842" s="2" t="s">
        <v>1706</v>
      </c>
    </row>
    <row r="843" spans="1:5" x14ac:dyDescent="0.25">
      <c r="A843" s="2"/>
      <c r="B843" s="2" t="s">
        <v>2189</v>
      </c>
      <c r="C843" s="2" t="s">
        <v>1707</v>
      </c>
      <c r="D843" s="2">
        <v>0</v>
      </c>
      <c r="E843" s="2" t="s">
        <v>1708</v>
      </c>
    </row>
    <row r="844" spans="1:5" x14ac:dyDescent="0.25">
      <c r="A844" s="2"/>
      <c r="B844" s="2" t="s">
        <v>2123</v>
      </c>
      <c r="C844" s="2" t="s">
        <v>1709</v>
      </c>
      <c r="D844" s="2">
        <v>1</v>
      </c>
      <c r="E844" s="2" t="s">
        <v>1710</v>
      </c>
    </row>
    <row r="845" spans="1:5" x14ac:dyDescent="0.25">
      <c r="A845" s="2"/>
      <c r="B845" s="2" t="s">
        <v>2123</v>
      </c>
      <c r="C845" s="2" t="s">
        <v>1711</v>
      </c>
      <c r="D845" s="2">
        <v>0</v>
      </c>
      <c r="E845" s="2" t="s">
        <v>1124</v>
      </c>
    </row>
    <row r="846" spans="1:5" x14ac:dyDescent="0.25">
      <c r="A846" s="2" t="s">
        <v>1712</v>
      </c>
      <c r="B846" s="2" t="s">
        <v>2190</v>
      </c>
      <c r="C846" s="2" t="s">
        <v>1713</v>
      </c>
      <c r="D846" s="2">
        <v>1</v>
      </c>
      <c r="E846" s="2" t="s">
        <v>1714</v>
      </c>
    </row>
    <row r="847" spans="1:5" x14ac:dyDescent="0.25">
      <c r="A847" s="2"/>
      <c r="B847" s="2" t="s">
        <v>2190</v>
      </c>
      <c r="C847" s="2" t="s">
        <v>1715</v>
      </c>
      <c r="D847" s="2">
        <v>1</v>
      </c>
      <c r="E847" s="2" t="s">
        <v>1716</v>
      </c>
    </row>
    <row r="848" spans="1:5" x14ac:dyDescent="0.25">
      <c r="A848" s="2"/>
      <c r="B848" s="2" t="s">
        <v>2190</v>
      </c>
      <c r="C848" s="2" t="s">
        <v>1717</v>
      </c>
      <c r="D848" s="2">
        <v>1</v>
      </c>
      <c r="E848" s="2" t="s">
        <v>1718</v>
      </c>
    </row>
    <row r="849" spans="1:6" x14ac:dyDescent="0.25">
      <c r="A849" s="2"/>
      <c r="B849" s="2" t="s">
        <v>2191</v>
      </c>
      <c r="C849" s="2" t="s">
        <v>1719</v>
      </c>
      <c r="D849" s="2">
        <v>1</v>
      </c>
      <c r="E849" s="2" t="s">
        <v>1720</v>
      </c>
    </row>
    <row r="850" spans="1:6" x14ac:dyDescent="0.25">
      <c r="A850" s="2"/>
      <c r="B850" s="2" t="s">
        <v>2191</v>
      </c>
      <c r="C850" s="2" t="s">
        <v>2179</v>
      </c>
      <c r="D850" s="2">
        <v>1</v>
      </c>
      <c r="E850" s="2" t="s">
        <v>1721</v>
      </c>
    </row>
    <row r="851" spans="1:6" x14ac:dyDescent="0.25">
      <c r="A851" s="2"/>
      <c r="B851" s="2" t="s">
        <v>2191</v>
      </c>
      <c r="C851" s="2" t="s">
        <v>1722</v>
      </c>
      <c r="D851" s="2">
        <v>1</v>
      </c>
      <c r="E851" s="2" t="s">
        <v>1234</v>
      </c>
      <c r="F851">
        <v>1</v>
      </c>
    </row>
    <row r="852" spans="1:6" x14ac:dyDescent="0.25">
      <c r="A852" s="2" t="s">
        <v>1723</v>
      </c>
      <c r="B852" s="2" t="s">
        <v>1978</v>
      </c>
      <c r="C852" s="2" t="s">
        <v>1724</v>
      </c>
      <c r="D852" s="2">
        <v>1</v>
      </c>
      <c r="E852" s="2" t="s">
        <v>273</v>
      </c>
    </row>
    <row r="853" spans="1:6" x14ac:dyDescent="0.25">
      <c r="A853" s="2"/>
      <c r="B853" s="2" t="s">
        <v>1986</v>
      </c>
      <c r="C853" s="2" t="s">
        <v>1725</v>
      </c>
      <c r="D853" s="2">
        <v>1</v>
      </c>
      <c r="E853" s="2" t="s">
        <v>312</v>
      </c>
    </row>
    <row r="854" spans="1:6" x14ac:dyDescent="0.25">
      <c r="A854" s="2"/>
      <c r="B854" s="2" t="s">
        <v>2194</v>
      </c>
      <c r="C854" s="2" t="s">
        <v>1726</v>
      </c>
      <c r="D854" s="2">
        <v>1</v>
      </c>
      <c r="E854" s="2" t="s">
        <v>1727</v>
      </c>
    </row>
    <row r="855" spans="1:6" x14ac:dyDescent="0.25">
      <c r="A855" s="2"/>
      <c r="B855" s="2" t="s">
        <v>2194</v>
      </c>
      <c r="C855" s="2" t="s">
        <v>1728</v>
      </c>
      <c r="D855" s="2">
        <v>1</v>
      </c>
      <c r="E855" s="2" t="s">
        <v>380</v>
      </c>
    </row>
    <row r="856" spans="1:6" x14ac:dyDescent="0.25">
      <c r="A856" s="2"/>
      <c r="B856" s="2" t="s">
        <v>1987</v>
      </c>
      <c r="C856" s="2" t="s">
        <v>1729</v>
      </c>
      <c r="D856" s="2">
        <v>1</v>
      </c>
      <c r="E856" s="2" t="s">
        <v>1730</v>
      </c>
    </row>
    <row r="857" spans="1:6" x14ac:dyDescent="0.25">
      <c r="A857" s="2"/>
      <c r="B857" s="2" t="s">
        <v>1987</v>
      </c>
      <c r="C857" s="2" t="s">
        <v>1731</v>
      </c>
      <c r="D857" s="2">
        <v>1</v>
      </c>
      <c r="E857" s="2" t="s">
        <v>322</v>
      </c>
    </row>
    <row r="858" spans="1:6" x14ac:dyDescent="0.25">
      <c r="A858" s="2"/>
      <c r="B858" s="2" t="s">
        <v>1987</v>
      </c>
      <c r="C858" s="2" t="s">
        <v>1732</v>
      </c>
      <c r="D858" s="2">
        <v>1</v>
      </c>
      <c r="E858" s="2" t="s">
        <v>1733</v>
      </c>
    </row>
    <row r="859" spans="1:6" x14ac:dyDescent="0.25">
      <c r="A859" s="2"/>
      <c r="B859" s="2" t="s">
        <v>2195</v>
      </c>
      <c r="C859" s="2" t="s">
        <v>1734</v>
      </c>
      <c r="D859" s="2">
        <v>1</v>
      </c>
      <c r="E859" s="2" t="s">
        <v>1735</v>
      </c>
    </row>
    <row r="860" spans="1:6" x14ac:dyDescent="0.25">
      <c r="A860" s="2"/>
      <c r="B860" s="2" t="s">
        <v>2195</v>
      </c>
      <c r="C860" s="2" t="s">
        <v>1736</v>
      </c>
      <c r="D860" s="2">
        <v>1</v>
      </c>
      <c r="E860" s="2" t="s">
        <v>1737</v>
      </c>
    </row>
    <row r="861" spans="1:6" x14ac:dyDescent="0.25">
      <c r="A861" s="2"/>
      <c r="B861" s="2" t="s">
        <v>2195</v>
      </c>
      <c r="C861" s="2" t="s">
        <v>1738</v>
      </c>
      <c r="D861" s="2">
        <v>1</v>
      </c>
      <c r="E861" s="2" t="s">
        <v>1739</v>
      </c>
    </row>
    <row r="862" spans="1:6" x14ac:dyDescent="0.25">
      <c r="A862" s="2"/>
      <c r="B862" s="2" t="s">
        <v>1993</v>
      </c>
      <c r="C862" s="2" t="s">
        <v>1740</v>
      </c>
      <c r="D862" s="2">
        <v>1</v>
      </c>
      <c r="E862" s="2" t="s">
        <v>1741</v>
      </c>
    </row>
    <row r="863" spans="1:6" x14ac:dyDescent="0.25">
      <c r="A863" s="2"/>
      <c r="B863" s="2" t="s">
        <v>1993</v>
      </c>
      <c r="C863" s="2" t="s">
        <v>1742</v>
      </c>
      <c r="D863" s="2">
        <v>1</v>
      </c>
      <c r="E863" s="2" t="s">
        <v>1743</v>
      </c>
    </row>
    <row r="864" spans="1:6" x14ac:dyDescent="0.25">
      <c r="A864" s="2"/>
      <c r="B864" s="2" t="s">
        <v>1993</v>
      </c>
      <c r="C864" s="2" t="s">
        <v>1744</v>
      </c>
      <c r="D864" s="2">
        <v>1</v>
      </c>
      <c r="E864" s="2" t="s">
        <v>1745</v>
      </c>
      <c r="F864">
        <v>1</v>
      </c>
    </row>
    <row r="865" spans="1:5" x14ac:dyDescent="0.25">
      <c r="A865" s="2"/>
      <c r="B865" s="2" t="s">
        <v>2196</v>
      </c>
      <c r="C865" s="2" t="s">
        <v>1746</v>
      </c>
      <c r="D865" s="2">
        <v>1</v>
      </c>
      <c r="E865" s="2" t="s">
        <v>1747</v>
      </c>
    </row>
    <row r="866" spans="1:5" x14ac:dyDescent="0.25">
      <c r="A866" s="2"/>
      <c r="B866" s="2" t="s">
        <v>2196</v>
      </c>
      <c r="C866" s="2" t="s">
        <v>1748</v>
      </c>
      <c r="D866" s="2">
        <v>1</v>
      </c>
      <c r="E866" s="2" t="s">
        <v>1749</v>
      </c>
    </row>
    <row r="867" spans="1:5" x14ac:dyDescent="0.25">
      <c r="A867" s="2"/>
      <c r="B867" s="2" t="s">
        <v>2196</v>
      </c>
      <c r="C867" s="2" t="s">
        <v>1750</v>
      </c>
      <c r="D867" s="2">
        <v>0</v>
      </c>
      <c r="E867" s="2" t="s">
        <v>954</v>
      </c>
    </row>
    <row r="868" spans="1:5" x14ac:dyDescent="0.25">
      <c r="A868" s="2" t="s">
        <v>1751</v>
      </c>
      <c r="B868" s="2" t="s">
        <v>1985</v>
      </c>
      <c r="C868" s="2" t="s">
        <v>1752</v>
      </c>
      <c r="D868" s="2">
        <v>1</v>
      </c>
      <c r="E868" s="2" t="s">
        <v>304</v>
      </c>
    </row>
    <row r="869" spans="1:5" x14ac:dyDescent="0.25">
      <c r="A869" s="2"/>
      <c r="B869" s="2" t="s">
        <v>1985</v>
      </c>
      <c r="C869" s="2" t="s">
        <v>1753</v>
      </c>
      <c r="D869" s="2">
        <v>0</v>
      </c>
      <c r="E869" s="2" t="s">
        <v>306</v>
      </c>
    </row>
    <row r="870" spans="1:5" x14ac:dyDescent="0.25">
      <c r="A870" s="2"/>
      <c r="B870" s="2" t="s">
        <v>1985</v>
      </c>
      <c r="C870" s="2" t="s">
        <v>1754</v>
      </c>
      <c r="D870" s="2">
        <v>1</v>
      </c>
      <c r="E870" s="2" t="s">
        <v>1755</v>
      </c>
    </row>
    <row r="871" spans="1:5" x14ac:dyDescent="0.25">
      <c r="A871" s="2"/>
      <c r="B871" s="2" t="s">
        <v>1992</v>
      </c>
      <c r="C871" s="2" t="s">
        <v>1756</v>
      </c>
      <c r="D871" s="2">
        <v>1</v>
      </c>
      <c r="E871" s="2" t="s">
        <v>343</v>
      </c>
    </row>
    <row r="872" spans="1:5" x14ac:dyDescent="0.25">
      <c r="A872" s="2"/>
      <c r="B872" s="2" t="s">
        <v>2180</v>
      </c>
      <c r="C872" s="2" t="s">
        <v>1757</v>
      </c>
      <c r="D872" s="2">
        <v>1</v>
      </c>
      <c r="E872" s="2" t="s">
        <v>349</v>
      </c>
    </row>
    <row r="873" spans="1:5" x14ac:dyDescent="0.25">
      <c r="A873" s="2"/>
      <c r="B873" s="2" t="s">
        <v>2180</v>
      </c>
      <c r="C873" s="2" t="s">
        <v>1758</v>
      </c>
      <c r="D873" s="2">
        <v>1</v>
      </c>
      <c r="E873" s="2" t="s">
        <v>793</v>
      </c>
    </row>
    <row r="874" spans="1:5" x14ac:dyDescent="0.25">
      <c r="A874" s="2"/>
      <c r="B874" s="2" t="s">
        <v>2180</v>
      </c>
      <c r="C874" s="2" t="s">
        <v>1759</v>
      </c>
      <c r="D874" s="2">
        <v>0</v>
      </c>
      <c r="E874" s="2" t="s">
        <v>1760</v>
      </c>
    </row>
    <row r="875" spans="1:5" x14ac:dyDescent="0.25">
      <c r="A875" s="2"/>
      <c r="B875" s="2" t="s">
        <v>1996</v>
      </c>
      <c r="C875" s="2" t="s">
        <v>1761</v>
      </c>
      <c r="D875" s="2">
        <v>1</v>
      </c>
      <c r="E875" s="2" t="s">
        <v>359</v>
      </c>
    </row>
    <row r="876" spans="1:5" x14ac:dyDescent="0.25">
      <c r="A876" s="2"/>
      <c r="B876" s="2" t="s">
        <v>1996</v>
      </c>
      <c r="C876" s="2" t="s">
        <v>1762</v>
      </c>
      <c r="D876" s="2">
        <v>1</v>
      </c>
      <c r="E876" s="2" t="s">
        <v>361</v>
      </c>
    </row>
    <row r="877" spans="1:5" x14ac:dyDescent="0.25">
      <c r="A877" s="2"/>
      <c r="B877" s="2" t="s">
        <v>1996</v>
      </c>
      <c r="C877" s="2" t="s">
        <v>1763</v>
      </c>
      <c r="D877" s="2">
        <v>1</v>
      </c>
      <c r="E877" s="2" t="s">
        <v>1303</v>
      </c>
    </row>
    <row r="878" spans="1:5" x14ac:dyDescent="0.25">
      <c r="A878" s="2" t="s">
        <v>1764</v>
      </c>
      <c r="B878" s="2" t="s">
        <v>2205</v>
      </c>
      <c r="C878" s="2" t="s">
        <v>2208</v>
      </c>
      <c r="D878" s="2">
        <v>1</v>
      </c>
      <c r="E878" s="2" t="s">
        <v>1768</v>
      </c>
    </row>
    <row r="879" spans="1:5" x14ac:dyDescent="0.25">
      <c r="A879" s="2"/>
      <c r="B879" s="2" t="s">
        <v>2205</v>
      </c>
      <c r="C879" s="2" t="s">
        <v>2209</v>
      </c>
      <c r="D879" s="2">
        <v>1</v>
      </c>
      <c r="E879" s="2" t="s">
        <v>1769</v>
      </c>
    </row>
    <row r="880" spans="1:5" x14ac:dyDescent="0.25">
      <c r="A880" s="2"/>
      <c r="B880" s="2" t="s">
        <v>2205</v>
      </c>
      <c r="C880" s="2" t="s">
        <v>2210</v>
      </c>
      <c r="D880" s="2">
        <v>0</v>
      </c>
      <c r="E880" s="2" t="s">
        <v>1770</v>
      </c>
    </row>
    <row r="881" spans="1:6" x14ac:dyDescent="0.25">
      <c r="A881" s="2"/>
      <c r="B881" s="2" t="s">
        <v>2205</v>
      </c>
      <c r="C881" s="2" t="s">
        <v>2211</v>
      </c>
      <c r="D881" s="2">
        <v>0</v>
      </c>
      <c r="E881" s="2" t="s">
        <v>1771</v>
      </c>
      <c r="F881">
        <v>1</v>
      </c>
    </row>
    <row r="882" spans="1:6" x14ac:dyDescent="0.25">
      <c r="A882" s="2"/>
      <c r="B882" s="2" t="s">
        <v>2206</v>
      </c>
      <c r="C882" t="s">
        <v>2212</v>
      </c>
      <c r="D882" s="2">
        <v>1</v>
      </c>
      <c r="E882" s="2" t="s">
        <v>438</v>
      </c>
    </row>
    <row r="883" spans="1:6" x14ac:dyDescent="0.25">
      <c r="A883" s="2"/>
      <c r="B883" s="2" t="s">
        <v>2206</v>
      </c>
      <c r="C883" t="s">
        <v>2213</v>
      </c>
      <c r="D883" s="2">
        <v>0</v>
      </c>
      <c r="E883" s="2" t="s">
        <v>1767</v>
      </c>
    </row>
    <row r="884" spans="1:6" x14ac:dyDescent="0.25">
      <c r="A884" s="2"/>
      <c r="B884" s="2" t="s">
        <v>2207</v>
      </c>
      <c r="C884" s="2" t="s">
        <v>2214</v>
      </c>
      <c r="D884" s="2">
        <v>1</v>
      </c>
      <c r="E884" s="2" t="s">
        <v>1765</v>
      </c>
    </row>
    <row r="885" spans="1:6" x14ac:dyDescent="0.25">
      <c r="A885" s="2"/>
      <c r="B885" s="2" t="s">
        <v>2207</v>
      </c>
      <c r="C885" s="2" t="s">
        <v>2215</v>
      </c>
      <c r="D885" s="2">
        <v>1</v>
      </c>
      <c r="E885" s="2" t="s">
        <v>929</v>
      </c>
    </row>
    <row r="886" spans="1:6" x14ac:dyDescent="0.25">
      <c r="A886" s="2"/>
      <c r="B886" s="2" t="s">
        <v>2207</v>
      </c>
      <c r="C886" s="2" t="s">
        <v>2216</v>
      </c>
      <c r="D886" s="2">
        <v>0</v>
      </c>
      <c r="E886" s="2" t="s">
        <v>1766</v>
      </c>
    </row>
    <row r="887" spans="1:6" x14ac:dyDescent="0.25">
      <c r="A887" s="2" t="s">
        <v>1772</v>
      </c>
      <c r="B887" s="2" t="s">
        <v>1985</v>
      </c>
      <c r="C887" s="2" t="s">
        <v>1773</v>
      </c>
      <c r="D887" s="2">
        <v>0</v>
      </c>
      <c r="E887" s="2" t="s">
        <v>1774</v>
      </c>
    </row>
    <row r="888" spans="1:6" x14ac:dyDescent="0.25">
      <c r="A888" s="2"/>
      <c r="B888" s="2" t="s">
        <v>1985</v>
      </c>
      <c r="C888" s="2" t="s">
        <v>1775</v>
      </c>
      <c r="D888" s="2">
        <v>0</v>
      </c>
      <c r="E888" s="2" t="s">
        <v>306</v>
      </c>
    </row>
    <row r="889" spans="1:6" x14ac:dyDescent="0.25">
      <c r="A889" s="2"/>
      <c r="B889" s="2" t="s">
        <v>2038</v>
      </c>
      <c r="C889" s="2" t="s">
        <v>1776</v>
      </c>
      <c r="D889" s="2">
        <v>1</v>
      </c>
      <c r="E889" s="2" t="s">
        <v>273</v>
      </c>
    </row>
    <row r="890" spans="1:6" x14ac:dyDescent="0.25">
      <c r="A890" s="2"/>
      <c r="B890" s="2" t="s">
        <v>1986</v>
      </c>
      <c r="C890" s="2" t="s">
        <v>1777</v>
      </c>
      <c r="D890" s="2">
        <v>1</v>
      </c>
      <c r="E890" s="2" t="s">
        <v>312</v>
      </c>
    </row>
    <row r="891" spans="1:6" x14ac:dyDescent="0.25">
      <c r="A891" s="2"/>
      <c r="B891" s="2" t="s">
        <v>2021</v>
      </c>
      <c r="C891" s="2" t="s">
        <v>1778</v>
      </c>
      <c r="D891" s="2">
        <v>1</v>
      </c>
      <c r="E891" s="2" t="s">
        <v>880</v>
      </c>
    </row>
    <row r="892" spans="1:6" x14ac:dyDescent="0.25">
      <c r="A892" s="2"/>
      <c r="B892" s="2" t="s">
        <v>1994</v>
      </c>
      <c r="C892" s="2" t="s">
        <v>1779</v>
      </c>
      <c r="D892" s="2">
        <v>0</v>
      </c>
      <c r="E892" s="2" t="s">
        <v>1780</v>
      </c>
    </row>
    <row r="893" spans="1:6" x14ac:dyDescent="0.25">
      <c r="A893" s="2"/>
      <c r="B893" s="2" t="s">
        <v>1994</v>
      </c>
      <c r="C893" s="2" t="s">
        <v>1781</v>
      </c>
      <c r="D893" s="2">
        <v>1</v>
      </c>
      <c r="E893" s="2" t="s">
        <v>1782</v>
      </c>
      <c r="F893">
        <v>1</v>
      </c>
    </row>
    <row r="894" spans="1:6" x14ac:dyDescent="0.25">
      <c r="A894" s="2"/>
      <c r="B894" s="2" t="s">
        <v>2202</v>
      </c>
      <c r="C894" s="2" t="s">
        <v>1783</v>
      </c>
      <c r="D894" s="2">
        <v>1</v>
      </c>
      <c r="E894" s="2" t="s">
        <v>1784</v>
      </c>
    </row>
    <row r="895" spans="1:6" x14ac:dyDescent="0.25">
      <c r="A895" s="2"/>
      <c r="B895" s="2" t="s">
        <v>2092</v>
      </c>
      <c r="C895" s="2" t="s">
        <v>1785</v>
      </c>
      <c r="D895" s="2">
        <v>1</v>
      </c>
      <c r="E895" s="2" t="s">
        <v>866</v>
      </c>
    </row>
    <row r="896" spans="1:6" x14ac:dyDescent="0.25">
      <c r="A896" s="2"/>
      <c r="B896" s="2" t="s">
        <v>2092</v>
      </c>
      <c r="C896" s="2" t="s">
        <v>1786</v>
      </c>
      <c r="D896" s="2">
        <v>1</v>
      </c>
      <c r="E896" s="2" t="s">
        <v>1787</v>
      </c>
    </row>
    <row r="897" spans="1:6" x14ac:dyDescent="0.25">
      <c r="A897" s="2"/>
      <c r="B897" s="2" t="s">
        <v>1983</v>
      </c>
      <c r="C897" s="2" t="s">
        <v>1788</v>
      </c>
      <c r="D897" s="2">
        <v>0</v>
      </c>
      <c r="E897" s="2" t="s">
        <v>295</v>
      </c>
    </row>
    <row r="898" spans="1:6" x14ac:dyDescent="0.25">
      <c r="A898" s="2"/>
      <c r="B898" s="2" t="s">
        <v>1983</v>
      </c>
      <c r="C898" s="2" t="s">
        <v>1789</v>
      </c>
      <c r="D898" s="2">
        <v>1</v>
      </c>
      <c r="E898" s="2" t="s">
        <v>372</v>
      </c>
      <c r="F898">
        <v>1</v>
      </c>
    </row>
    <row r="899" spans="1:6" x14ac:dyDescent="0.25">
      <c r="A899" s="2" t="s">
        <v>1790</v>
      </c>
      <c r="B899" s="2" t="s">
        <v>2145</v>
      </c>
      <c r="C899" s="2" t="s">
        <v>1791</v>
      </c>
      <c r="D899" s="2">
        <v>1</v>
      </c>
      <c r="E899" s="2" t="s">
        <v>273</v>
      </c>
    </row>
    <row r="900" spans="1:6" x14ac:dyDescent="0.25">
      <c r="A900" s="2"/>
      <c r="B900" s="2" t="s">
        <v>2145</v>
      </c>
      <c r="C900" s="2" t="s">
        <v>1792</v>
      </c>
      <c r="D900" s="2">
        <v>1</v>
      </c>
      <c r="E900" s="2" t="s">
        <v>312</v>
      </c>
    </row>
    <row r="901" spans="1:6" x14ac:dyDescent="0.25">
      <c r="A901" s="2"/>
      <c r="B901" s="2" t="s">
        <v>2145</v>
      </c>
      <c r="C901" s="2" t="s">
        <v>1793</v>
      </c>
      <c r="D901" s="2">
        <v>0</v>
      </c>
      <c r="E901" s="2" t="s">
        <v>801</v>
      </c>
    </row>
    <row r="902" spans="1:6" x14ac:dyDescent="0.25">
      <c r="A902" s="2"/>
      <c r="B902" s="2" t="s">
        <v>2203</v>
      </c>
      <c r="C902" s="2" t="s">
        <v>1794</v>
      </c>
      <c r="D902" s="2">
        <v>0</v>
      </c>
      <c r="E902" s="2" t="s">
        <v>786</v>
      </c>
    </row>
    <row r="903" spans="1:6" x14ac:dyDescent="0.25">
      <c r="A903" s="2"/>
      <c r="B903" s="2" t="s">
        <v>2203</v>
      </c>
      <c r="C903" s="2" t="s">
        <v>1795</v>
      </c>
      <c r="D903" s="2">
        <v>1</v>
      </c>
      <c r="E903" s="2" t="s">
        <v>784</v>
      </c>
    </row>
    <row r="904" spans="1:6" x14ac:dyDescent="0.25">
      <c r="A904" s="2"/>
      <c r="B904" s="2" t="s">
        <v>2203</v>
      </c>
      <c r="C904" s="2" t="s">
        <v>1796</v>
      </c>
      <c r="D904" s="2">
        <v>1</v>
      </c>
      <c r="E904" s="2" t="s">
        <v>1205</v>
      </c>
      <c r="F904">
        <v>1</v>
      </c>
    </row>
    <row r="905" spans="1:6" x14ac:dyDescent="0.25">
      <c r="A905" s="2"/>
      <c r="B905" s="2" t="s">
        <v>2203</v>
      </c>
      <c r="C905" s="2" t="s">
        <v>1797</v>
      </c>
      <c r="D905" s="2">
        <v>1</v>
      </c>
      <c r="E905" s="2" t="s">
        <v>1207</v>
      </c>
    </row>
    <row r="906" spans="1:6" x14ac:dyDescent="0.25">
      <c r="A906" s="2"/>
      <c r="B906" s="2" t="s">
        <v>2203</v>
      </c>
      <c r="C906" s="2" t="s">
        <v>1798</v>
      </c>
      <c r="D906" s="2">
        <v>0</v>
      </c>
      <c r="E906" s="2" t="s">
        <v>1209</v>
      </c>
    </row>
    <row r="907" spans="1:6" x14ac:dyDescent="0.25">
      <c r="A907" s="2"/>
      <c r="B907" s="2" t="s">
        <v>1980</v>
      </c>
      <c r="C907" s="2" t="s">
        <v>1799</v>
      </c>
      <c r="D907" s="2">
        <v>1</v>
      </c>
      <c r="E907" s="2" t="s">
        <v>789</v>
      </c>
    </row>
    <row r="908" spans="1:6" x14ac:dyDescent="0.25">
      <c r="A908" s="2"/>
      <c r="B908" s="2" t="s">
        <v>1980</v>
      </c>
      <c r="C908" s="2" t="s">
        <v>1800</v>
      </c>
      <c r="D908" s="2">
        <v>0</v>
      </c>
      <c r="E908" s="2" t="s">
        <v>1214</v>
      </c>
    </row>
    <row r="909" spans="1:6" x14ac:dyDescent="0.25">
      <c r="A909" s="2"/>
      <c r="B909" s="2" t="s">
        <v>2204</v>
      </c>
      <c r="C909" s="2" t="s">
        <v>1801</v>
      </c>
      <c r="D909" s="2">
        <v>1</v>
      </c>
      <c r="E909" s="2" t="s">
        <v>1784</v>
      </c>
    </row>
    <row r="910" spans="1:6" x14ac:dyDescent="0.25">
      <c r="A910" s="2"/>
      <c r="B910" s="2" t="s">
        <v>2204</v>
      </c>
      <c r="C910" s="2" t="s">
        <v>1802</v>
      </c>
      <c r="D910" s="2">
        <v>1</v>
      </c>
      <c r="E910" s="2" t="s">
        <v>791</v>
      </c>
    </row>
    <row r="911" spans="1:6" x14ac:dyDescent="0.25">
      <c r="A911" s="2"/>
      <c r="B911" s="2" t="s">
        <v>2204</v>
      </c>
      <c r="C911" s="2" t="s">
        <v>1803</v>
      </c>
      <c r="D911" s="2">
        <v>1</v>
      </c>
      <c r="E911" s="2" t="s">
        <v>795</v>
      </c>
    </row>
    <row r="912" spans="1:6" x14ac:dyDescent="0.25">
      <c r="A912" s="2"/>
      <c r="B912" s="2" t="s">
        <v>2147</v>
      </c>
      <c r="C912" s="2" t="s">
        <v>1804</v>
      </c>
      <c r="D912" s="2">
        <v>1</v>
      </c>
      <c r="E912" s="2" t="s">
        <v>372</v>
      </c>
      <c r="F912">
        <v>1</v>
      </c>
    </row>
    <row r="913" spans="1:5" x14ac:dyDescent="0.25">
      <c r="A913" s="2"/>
      <c r="B913" s="2" t="s">
        <v>2201</v>
      </c>
      <c r="C913" s="2" t="s">
        <v>1805</v>
      </c>
      <c r="D913" s="2">
        <v>1</v>
      </c>
      <c r="E913" s="2" t="s">
        <v>1806</v>
      </c>
    </row>
    <row r="914" spans="1:5" x14ac:dyDescent="0.25">
      <c r="A914" s="2"/>
      <c r="B914" s="2" t="s">
        <v>2201</v>
      </c>
      <c r="C914" s="2" t="s">
        <v>1807</v>
      </c>
      <c r="D914" s="2">
        <v>0</v>
      </c>
      <c r="E914" s="2" t="s">
        <v>1808</v>
      </c>
    </row>
    <row r="915" spans="1:5" x14ac:dyDescent="0.25">
      <c r="A915" s="2" t="s">
        <v>1809</v>
      </c>
      <c r="B915" s="2" t="s">
        <v>2177</v>
      </c>
      <c r="C915" s="2" t="s">
        <v>1810</v>
      </c>
      <c r="D915" s="2">
        <v>1</v>
      </c>
      <c r="E915" s="2" t="s">
        <v>273</v>
      </c>
    </row>
    <row r="916" spans="1:5" x14ac:dyDescent="0.25">
      <c r="A916" s="2"/>
      <c r="B916" s="2" t="s">
        <v>1986</v>
      </c>
      <c r="C916" s="2" t="s">
        <v>1811</v>
      </c>
      <c r="D916" s="2">
        <v>1</v>
      </c>
      <c r="E916" s="2" t="s">
        <v>312</v>
      </c>
    </row>
    <row r="917" spans="1:5" x14ac:dyDescent="0.25">
      <c r="A917" s="2"/>
      <c r="B917" s="2" t="s">
        <v>1986</v>
      </c>
      <c r="C917" s="2" t="s">
        <v>1812</v>
      </c>
      <c r="D917" s="2">
        <v>0</v>
      </c>
      <c r="E917" s="2" t="s">
        <v>314</v>
      </c>
    </row>
    <row r="918" spans="1:5" x14ac:dyDescent="0.25">
      <c r="A918" s="2"/>
      <c r="B918" s="2" t="s">
        <v>1979</v>
      </c>
      <c r="C918" s="2" t="s">
        <v>1813</v>
      </c>
      <c r="D918" s="2">
        <v>1</v>
      </c>
      <c r="E918" s="2" t="s">
        <v>275</v>
      </c>
    </row>
    <row r="919" spans="1:5" x14ac:dyDescent="0.25">
      <c r="A919" s="2"/>
      <c r="B919" s="2" t="s">
        <v>1979</v>
      </c>
      <c r="C919" s="2" t="s">
        <v>1814</v>
      </c>
      <c r="D919" s="2">
        <v>1</v>
      </c>
      <c r="E919" s="2" t="s">
        <v>277</v>
      </c>
    </row>
    <row r="920" spans="1:5" x14ac:dyDescent="0.25">
      <c r="A920" s="2"/>
      <c r="B920" s="2" t="s">
        <v>2176</v>
      </c>
      <c r="C920" s="2" t="s">
        <v>1815</v>
      </c>
      <c r="D920" s="2">
        <v>1</v>
      </c>
      <c r="E920" s="2" t="s">
        <v>1816</v>
      </c>
    </row>
    <row r="921" spans="1:5" x14ac:dyDescent="0.25">
      <c r="A921" s="2"/>
      <c r="B921" s="2" t="s">
        <v>2176</v>
      </c>
      <c r="C921" s="2" t="s">
        <v>1817</v>
      </c>
      <c r="D921" s="2">
        <v>0</v>
      </c>
      <c r="E921" s="2" t="s">
        <v>1818</v>
      </c>
    </row>
    <row r="922" spans="1:5" x14ac:dyDescent="0.25">
      <c r="A922" s="2"/>
      <c r="B922" s="2" t="s">
        <v>2178</v>
      </c>
      <c r="C922" s="2" t="s">
        <v>1819</v>
      </c>
      <c r="D922" s="2">
        <v>0</v>
      </c>
      <c r="E922" s="2" t="s">
        <v>1820</v>
      </c>
    </row>
    <row r="923" spans="1:5" x14ac:dyDescent="0.25">
      <c r="A923" s="2"/>
      <c r="B923" s="2" t="s">
        <v>2178</v>
      </c>
      <c r="C923" s="2" t="s">
        <v>1821</v>
      </c>
      <c r="D923" s="2">
        <v>0</v>
      </c>
      <c r="E923" s="2" t="s">
        <v>1822</v>
      </c>
    </row>
    <row r="924" spans="1:5" x14ac:dyDescent="0.25">
      <c r="A924" s="2"/>
      <c r="B924" s="2" t="s">
        <v>2125</v>
      </c>
      <c r="C924" s="2" t="s">
        <v>1823</v>
      </c>
      <c r="D924" s="2">
        <v>1</v>
      </c>
      <c r="E924" s="2" t="s">
        <v>986</v>
      </c>
    </row>
    <row r="925" spans="1:5" x14ac:dyDescent="0.25">
      <c r="A925" s="2"/>
      <c r="B925" s="2" t="s">
        <v>2125</v>
      </c>
      <c r="C925" s="2" t="s">
        <v>1824</v>
      </c>
      <c r="D925" s="2">
        <v>1</v>
      </c>
      <c r="E925" s="2" t="s">
        <v>482</v>
      </c>
    </row>
    <row r="926" spans="1:5" x14ac:dyDescent="0.25">
      <c r="A926" s="2"/>
      <c r="B926" s="2" t="s">
        <v>2125</v>
      </c>
      <c r="C926" s="2" t="s">
        <v>1825</v>
      </c>
      <c r="D926" s="2">
        <v>1</v>
      </c>
      <c r="E926" s="2" t="s">
        <v>1826</v>
      </c>
    </row>
    <row r="927" spans="1:5" x14ac:dyDescent="0.25">
      <c r="A927" s="2"/>
      <c r="B927" s="2" t="s">
        <v>2125</v>
      </c>
      <c r="C927" s="2" t="s">
        <v>1827</v>
      </c>
      <c r="D927" s="2">
        <v>0</v>
      </c>
      <c r="E927" s="2" t="s">
        <v>1828</v>
      </c>
    </row>
    <row r="928" spans="1:5" x14ac:dyDescent="0.25">
      <c r="A928" s="2"/>
      <c r="B928" s="2" t="s">
        <v>1983</v>
      </c>
      <c r="C928" s="2" t="s">
        <v>1829</v>
      </c>
      <c r="D928" s="2">
        <v>0</v>
      </c>
      <c r="E928" s="2" t="s">
        <v>295</v>
      </c>
    </row>
    <row r="929" spans="1:6" x14ac:dyDescent="0.25">
      <c r="A929" s="2"/>
      <c r="B929" s="2" t="s">
        <v>1983</v>
      </c>
      <c r="C929" s="2" t="s">
        <v>1830</v>
      </c>
      <c r="D929" s="2">
        <v>0</v>
      </c>
      <c r="E929" s="2" t="s">
        <v>1831</v>
      </c>
    </row>
    <row r="930" spans="1:6" x14ac:dyDescent="0.25">
      <c r="A930" s="2" t="s">
        <v>1832</v>
      </c>
      <c r="B930" s="2" t="s">
        <v>2199</v>
      </c>
      <c r="C930" s="2" t="s">
        <v>1833</v>
      </c>
      <c r="D930" s="2">
        <v>1</v>
      </c>
      <c r="E930" s="2" t="s">
        <v>273</v>
      </c>
    </row>
    <row r="931" spans="1:6" x14ac:dyDescent="0.25">
      <c r="A931" s="2"/>
      <c r="B931" s="2" t="s">
        <v>1975</v>
      </c>
      <c r="C931" s="2" t="s">
        <v>1834</v>
      </c>
      <c r="D931" s="2">
        <v>0</v>
      </c>
      <c r="E931" s="2" t="s">
        <v>1835</v>
      </c>
    </row>
    <row r="932" spans="1:6" x14ac:dyDescent="0.25">
      <c r="A932" s="2"/>
      <c r="B932" s="2" t="s">
        <v>1975</v>
      </c>
      <c r="C932" s="2" t="s">
        <v>1836</v>
      </c>
      <c r="D932" s="2">
        <v>1</v>
      </c>
      <c r="E932" s="2" t="s">
        <v>1837</v>
      </c>
    </row>
    <row r="933" spans="1:6" x14ac:dyDescent="0.25">
      <c r="A933" s="2"/>
      <c r="B933" s="2" t="s">
        <v>1975</v>
      </c>
      <c r="C933" s="2" t="s">
        <v>1838</v>
      </c>
      <c r="D933" s="2">
        <v>1</v>
      </c>
      <c r="E933" s="2" t="s">
        <v>686</v>
      </c>
      <c r="F933">
        <v>1</v>
      </c>
    </row>
    <row r="934" spans="1:6" x14ac:dyDescent="0.25">
      <c r="A934" s="2"/>
      <c r="B934" s="2" t="s">
        <v>1975</v>
      </c>
      <c r="C934" s="2" t="s">
        <v>1839</v>
      </c>
      <c r="D934" s="2">
        <v>1</v>
      </c>
      <c r="E934" s="2" t="s">
        <v>1840</v>
      </c>
    </row>
    <row r="935" spans="1:6" x14ac:dyDescent="0.25">
      <c r="A935" s="2"/>
      <c r="B935" s="2" t="s">
        <v>1980</v>
      </c>
      <c r="C935" s="2" t="s">
        <v>1841</v>
      </c>
      <c r="D935" s="2">
        <v>1</v>
      </c>
      <c r="E935" s="2" t="s">
        <v>929</v>
      </c>
    </row>
    <row r="936" spans="1:6" x14ac:dyDescent="0.25">
      <c r="A936" s="2"/>
      <c r="B936" s="2" t="s">
        <v>1980</v>
      </c>
      <c r="C936" s="2" t="s">
        <v>1842</v>
      </c>
      <c r="D936" s="2">
        <v>0</v>
      </c>
      <c r="E936" s="2" t="s">
        <v>1214</v>
      </c>
    </row>
    <row r="937" spans="1:6" x14ac:dyDescent="0.25">
      <c r="A937" s="2"/>
      <c r="B937" s="2" t="s">
        <v>2125</v>
      </c>
      <c r="C937" s="2" t="s">
        <v>1843</v>
      </c>
      <c r="D937" s="2">
        <v>1</v>
      </c>
      <c r="E937" s="2" t="s">
        <v>1844</v>
      </c>
    </row>
    <row r="938" spans="1:6" x14ac:dyDescent="0.25">
      <c r="A938" s="2"/>
      <c r="B938" s="2" t="s">
        <v>2200</v>
      </c>
      <c r="C938" s="2" t="s">
        <v>1845</v>
      </c>
      <c r="D938" s="2">
        <v>1</v>
      </c>
      <c r="E938" s="2" t="s">
        <v>372</v>
      </c>
      <c r="F938">
        <v>1</v>
      </c>
    </row>
    <row r="939" spans="1:6" x14ac:dyDescent="0.25">
      <c r="A939" s="2"/>
      <c r="B939" s="2" t="s">
        <v>2200</v>
      </c>
      <c r="C939" s="2" t="s">
        <v>1846</v>
      </c>
      <c r="D939" s="2">
        <v>1</v>
      </c>
      <c r="E939" s="2" t="s">
        <v>1847</v>
      </c>
    </row>
    <row r="940" spans="1:6" x14ac:dyDescent="0.25">
      <c r="A940" s="2"/>
      <c r="B940" s="2" t="s">
        <v>2200</v>
      </c>
      <c r="C940" s="2" t="s">
        <v>1848</v>
      </c>
      <c r="D940" s="2">
        <v>0</v>
      </c>
      <c r="E940" s="2" t="s">
        <v>1849</v>
      </c>
    </row>
    <row r="941" spans="1:6" x14ac:dyDescent="0.25">
      <c r="A941" s="2"/>
      <c r="B941" s="2" t="s">
        <v>2201</v>
      </c>
      <c r="C941" s="2" t="s">
        <v>1850</v>
      </c>
      <c r="D941" s="2">
        <v>1</v>
      </c>
      <c r="E941" s="2" t="s">
        <v>1851</v>
      </c>
    </row>
    <row r="942" spans="1:6" x14ac:dyDescent="0.25">
      <c r="A942" s="2"/>
      <c r="B942" s="2" t="s">
        <v>2201</v>
      </c>
      <c r="C942" s="2" t="s">
        <v>1852</v>
      </c>
      <c r="D942" s="2">
        <v>0</v>
      </c>
      <c r="E942" s="2" t="s">
        <v>1853</v>
      </c>
    </row>
    <row r="943" spans="1:6" x14ac:dyDescent="0.25">
      <c r="A943" s="2" t="s">
        <v>1854</v>
      </c>
      <c r="B943" s="2" t="s">
        <v>2197</v>
      </c>
      <c r="C943" s="2" t="s">
        <v>1855</v>
      </c>
      <c r="D943" s="2">
        <v>1</v>
      </c>
      <c r="E943" s="2" t="s">
        <v>1856</v>
      </c>
    </row>
    <row r="944" spans="1:6" x14ac:dyDescent="0.25">
      <c r="A944" s="2"/>
      <c r="B944" s="2" t="s">
        <v>2197</v>
      </c>
      <c r="C944" s="2" t="s">
        <v>1857</v>
      </c>
      <c r="D944" s="2">
        <v>0</v>
      </c>
      <c r="E944" s="2" t="s">
        <v>1858</v>
      </c>
    </row>
    <row r="945" spans="1:6" x14ac:dyDescent="0.25">
      <c r="A945" s="2"/>
      <c r="B945" s="2" t="s">
        <v>2198</v>
      </c>
      <c r="C945" s="2" t="s">
        <v>1859</v>
      </c>
      <c r="D945" s="2">
        <v>1</v>
      </c>
      <c r="E945" s="2" t="s">
        <v>1860</v>
      </c>
      <c r="F945">
        <v>1</v>
      </c>
    </row>
    <row r="946" spans="1:6" x14ac:dyDescent="0.25">
      <c r="A946" s="2"/>
      <c r="B946" s="2" t="s">
        <v>2198</v>
      </c>
      <c r="C946" s="2" t="s">
        <v>1861</v>
      </c>
      <c r="D946" s="2">
        <v>0</v>
      </c>
      <c r="E946" s="2" t="s">
        <v>1862</v>
      </c>
    </row>
    <row r="947" spans="1:6" x14ac:dyDescent="0.25">
      <c r="A947" s="2" t="s">
        <v>1863</v>
      </c>
      <c r="B947" s="2" t="s">
        <v>2192</v>
      </c>
      <c r="C947" s="2" t="s">
        <v>1864</v>
      </c>
      <c r="D947" s="2">
        <v>1</v>
      </c>
      <c r="E947" s="2" t="s">
        <v>1865</v>
      </c>
    </row>
    <row r="948" spans="1:6" x14ac:dyDescent="0.25">
      <c r="A948" s="2"/>
      <c r="B948" s="2" t="s">
        <v>2192</v>
      </c>
      <c r="C948" s="2" t="s">
        <v>1866</v>
      </c>
      <c r="D948" s="2">
        <v>1</v>
      </c>
      <c r="E948" s="2" t="s">
        <v>1867</v>
      </c>
    </row>
    <row r="949" spans="1:6" x14ac:dyDescent="0.25">
      <c r="A949" s="2"/>
      <c r="B949" s="2" t="s">
        <v>2192</v>
      </c>
      <c r="C949" s="2" t="s">
        <v>1868</v>
      </c>
      <c r="D949" s="2">
        <v>1</v>
      </c>
      <c r="E949" s="2" t="s">
        <v>289</v>
      </c>
      <c r="F949">
        <v>1</v>
      </c>
    </row>
    <row r="950" spans="1:6" x14ac:dyDescent="0.25">
      <c r="A950" s="2"/>
      <c r="B950" s="2" t="s">
        <v>2192</v>
      </c>
      <c r="C950" s="2" t="s">
        <v>1869</v>
      </c>
      <c r="D950" s="2">
        <v>0</v>
      </c>
      <c r="E950" s="2" t="s">
        <v>391</v>
      </c>
    </row>
    <row r="951" spans="1:6" x14ac:dyDescent="0.25">
      <c r="A951" s="2"/>
      <c r="B951" s="2" t="s">
        <v>2014</v>
      </c>
      <c r="C951" s="2" t="s">
        <v>1870</v>
      </c>
      <c r="D951" s="2">
        <v>1</v>
      </c>
      <c r="E951" s="2" t="s">
        <v>1871</v>
      </c>
    </row>
    <row r="952" spans="1:6" x14ac:dyDescent="0.25">
      <c r="A952" s="2"/>
      <c r="B952" s="2" t="s">
        <v>2014</v>
      </c>
      <c r="C952" s="2" t="s">
        <v>1872</v>
      </c>
      <c r="D952" s="2">
        <v>1</v>
      </c>
      <c r="E952" s="2" t="s">
        <v>1873</v>
      </c>
    </row>
    <row r="953" spans="1:6" x14ac:dyDescent="0.25">
      <c r="A953" s="2" t="s">
        <v>1874</v>
      </c>
      <c r="B953" s="2" t="s">
        <v>1985</v>
      </c>
      <c r="C953" s="2" t="s">
        <v>1875</v>
      </c>
      <c r="D953" s="2">
        <v>1</v>
      </c>
      <c r="E953" s="2" t="s">
        <v>820</v>
      </c>
    </row>
    <row r="954" spans="1:6" x14ac:dyDescent="0.25">
      <c r="A954" s="2"/>
      <c r="B954" s="2" t="s">
        <v>1985</v>
      </c>
      <c r="C954" s="2" t="s">
        <v>1876</v>
      </c>
      <c r="D954" s="2">
        <v>1</v>
      </c>
      <c r="E954" s="2" t="s">
        <v>1877</v>
      </c>
    </row>
    <row r="955" spans="1:6" x14ac:dyDescent="0.25">
      <c r="A955" s="2"/>
      <c r="B955" s="2" t="s">
        <v>1985</v>
      </c>
      <c r="C955" s="2" t="s">
        <v>1878</v>
      </c>
      <c r="D955" s="2">
        <v>0</v>
      </c>
      <c r="E955" s="2" t="s">
        <v>1879</v>
      </c>
    </row>
    <row r="956" spans="1:6" x14ac:dyDescent="0.25">
      <c r="A956" s="2"/>
      <c r="B956" s="2" t="s">
        <v>2116</v>
      </c>
      <c r="C956" s="2" t="s">
        <v>1880</v>
      </c>
      <c r="D956" s="2">
        <v>1</v>
      </c>
      <c r="E956" s="2" t="s">
        <v>1881</v>
      </c>
    </row>
    <row r="957" spans="1:6" x14ac:dyDescent="0.25">
      <c r="A957" s="2"/>
      <c r="B957" s="2" t="s">
        <v>2116</v>
      </c>
      <c r="C957" s="2" t="s">
        <v>2175</v>
      </c>
      <c r="D957" s="2">
        <v>1</v>
      </c>
      <c r="E957" s="2" t="s">
        <v>1882</v>
      </c>
    </row>
    <row r="958" spans="1:6" x14ac:dyDescent="0.25">
      <c r="A958" s="2"/>
      <c r="B958" s="2" t="s">
        <v>1992</v>
      </c>
      <c r="C958" s="2" t="s">
        <v>1883</v>
      </c>
      <c r="D958" s="2">
        <v>1</v>
      </c>
      <c r="E958" s="2" t="s">
        <v>1884</v>
      </c>
    </row>
    <row r="959" spans="1:6" x14ac:dyDescent="0.25">
      <c r="A959" s="2"/>
      <c r="B959" s="2" t="s">
        <v>1992</v>
      </c>
      <c r="C959" s="2" t="s">
        <v>1885</v>
      </c>
      <c r="D959" s="2">
        <v>1</v>
      </c>
      <c r="E959" s="2" t="s">
        <v>1886</v>
      </c>
    </row>
    <row r="960" spans="1:6" x14ac:dyDescent="0.25">
      <c r="A960" s="2"/>
      <c r="B960" s="2" t="s">
        <v>1992</v>
      </c>
      <c r="C960" s="2" t="s">
        <v>1887</v>
      </c>
      <c r="D960" s="2">
        <v>1</v>
      </c>
      <c r="E960" s="2" t="s">
        <v>1888</v>
      </c>
    </row>
    <row r="961" spans="1:5" x14ac:dyDescent="0.25">
      <c r="A961" s="2"/>
      <c r="B961" s="2" t="s">
        <v>2187</v>
      </c>
      <c r="C961" s="2" t="s">
        <v>1889</v>
      </c>
      <c r="D961" s="2">
        <v>1</v>
      </c>
      <c r="E961" s="2" t="s">
        <v>1890</v>
      </c>
    </row>
    <row r="962" spans="1:5" x14ac:dyDescent="0.25">
      <c r="A962" s="2"/>
      <c r="B962" s="2" t="s">
        <v>2187</v>
      </c>
      <c r="C962" s="2" t="s">
        <v>1891</v>
      </c>
      <c r="D962" s="2">
        <v>1</v>
      </c>
      <c r="E962" s="2" t="s">
        <v>1892</v>
      </c>
    </row>
    <row r="963" spans="1:5" x14ac:dyDescent="0.25">
      <c r="A963" s="2"/>
      <c r="B963" s="2" t="s">
        <v>2187</v>
      </c>
      <c r="C963" s="2" t="s">
        <v>1893</v>
      </c>
      <c r="D963" s="2">
        <v>1</v>
      </c>
      <c r="E963" s="2" t="s">
        <v>1894</v>
      </c>
    </row>
    <row r="964" spans="1:5" x14ac:dyDescent="0.25">
      <c r="A964" s="2"/>
      <c r="B964" s="2" t="s">
        <v>1993</v>
      </c>
      <c r="C964" s="2" t="s">
        <v>1895</v>
      </c>
      <c r="D964" s="2">
        <v>1</v>
      </c>
      <c r="E964" s="2" t="s">
        <v>368</v>
      </c>
    </row>
    <row r="965" spans="1:5" x14ac:dyDescent="0.25">
      <c r="A965" s="2"/>
      <c r="B965" s="2" t="s">
        <v>1993</v>
      </c>
      <c r="C965" s="2" t="s">
        <v>1896</v>
      </c>
      <c r="D965" s="2">
        <v>1</v>
      </c>
      <c r="E965" s="2" t="s">
        <v>370</v>
      </c>
    </row>
    <row r="966" spans="1:5" x14ac:dyDescent="0.25">
      <c r="A966" s="2"/>
      <c r="B966" s="2" t="s">
        <v>1988</v>
      </c>
      <c r="C966" s="2" t="s">
        <v>1897</v>
      </c>
      <c r="D966" s="2">
        <v>1</v>
      </c>
      <c r="E966" s="2" t="s">
        <v>1898</v>
      </c>
    </row>
    <row r="967" spans="1:5" x14ac:dyDescent="0.25">
      <c r="A967" s="2"/>
      <c r="B967" s="2" t="s">
        <v>1988</v>
      </c>
      <c r="C967" s="2" t="s">
        <v>1899</v>
      </c>
      <c r="D967" s="2">
        <v>1</v>
      </c>
      <c r="E967" s="2" t="s">
        <v>361</v>
      </c>
    </row>
    <row r="968" spans="1:5" x14ac:dyDescent="0.25">
      <c r="A968" s="2"/>
      <c r="B968" s="2" t="s">
        <v>1988</v>
      </c>
      <c r="C968" s="2" t="s">
        <v>1900</v>
      </c>
      <c r="D968" s="2">
        <v>1</v>
      </c>
      <c r="E968" s="2" t="s">
        <v>359</v>
      </c>
    </row>
    <row r="969" spans="1:5" x14ac:dyDescent="0.25">
      <c r="A969" s="2"/>
      <c r="B969" s="2" t="s">
        <v>2188</v>
      </c>
      <c r="C969" s="2" t="s">
        <v>1901</v>
      </c>
      <c r="D969" s="2">
        <v>1</v>
      </c>
      <c r="E969" s="2" t="s">
        <v>1902</v>
      </c>
    </row>
    <row r="970" spans="1:5" x14ac:dyDescent="0.25">
      <c r="A970" s="2"/>
      <c r="B970" s="2" t="s">
        <v>2188</v>
      </c>
      <c r="C970" s="2" t="s">
        <v>1903</v>
      </c>
      <c r="D970" s="2">
        <v>1</v>
      </c>
      <c r="E970" s="2" t="s">
        <v>1904</v>
      </c>
    </row>
    <row r="971" spans="1:5" x14ac:dyDescent="0.25">
      <c r="A971" s="2"/>
      <c r="B971" s="2" t="s">
        <v>2188</v>
      </c>
      <c r="C971" s="2" t="s">
        <v>1905</v>
      </c>
      <c r="D971" s="2">
        <v>1</v>
      </c>
      <c r="E971" s="2" t="s">
        <v>1906</v>
      </c>
    </row>
    <row r="972" spans="1:5" x14ac:dyDescent="0.25">
      <c r="A972" s="2"/>
      <c r="B972" s="2" t="s">
        <v>2188</v>
      </c>
      <c r="C972" s="2" t="s">
        <v>1907</v>
      </c>
      <c r="D972" s="2">
        <v>1</v>
      </c>
      <c r="E972" s="2" t="s">
        <v>1908</v>
      </c>
    </row>
    <row r="973" spans="1:5" x14ac:dyDescent="0.25">
      <c r="A973" s="2" t="s">
        <v>1909</v>
      </c>
      <c r="B973" s="2" t="s">
        <v>2177</v>
      </c>
      <c r="C973" s="2" t="s">
        <v>1910</v>
      </c>
      <c r="D973" s="2">
        <v>1</v>
      </c>
      <c r="E973" s="2" t="s">
        <v>273</v>
      </c>
    </row>
    <row r="974" spans="1:5" x14ac:dyDescent="0.25">
      <c r="A974" s="2"/>
      <c r="B974" s="2" t="s">
        <v>2181</v>
      </c>
      <c r="C974" s="2" t="s">
        <v>1911</v>
      </c>
      <c r="D974" s="2">
        <v>1</v>
      </c>
      <c r="E974" s="2" t="s">
        <v>1912</v>
      </c>
    </row>
    <row r="975" spans="1:5" x14ac:dyDescent="0.25">
      <c r="A975" s="2"/>
      <c r="B975" s="2" t="s">
        <v>2181</v>
      </c>
      <c r="C975" s="2" t="s">
        <v>1913</v>
      </c>
      <c r="D975" s="2">
        <v>1</v>
      </c>
      <c r="E975" s="2" t="s">
        <v>1914</v>
      </c>
    </row>
    <row r="976" spans="1:5" x14ac:dyDescent="0.25">
      <c r="A976" s="2"/>
      <c r="B976" s="2" t="s">
        <v>2182</v>
      </c>
      <c r="C976" s="2" t="s">
        <v>1915</v>
      </c>
      <c r="D976" s="2">
        <v>1</v>
      </c>
      <c r="E976" s="2" t="s">
        <v>1916</v>
      </c>
    </row>
    <row r="977" spans="1:5" x14ac:dyDescent="0.25">
      <c r="A977" s="2"/>
      <c r="B977" s="2" t="s">
        <v>2182</v>
      </c>
      <c r="C977" s="2" t="s">
        <v>1917</v>
      </c>
      <c r="D977" s="2">
        <v>0</v>
      </c>
      <c r="E977" s="2" t="s">
        <v>1918</v>
      </c>
    </row>
    <row r="978" spans="1:5" x14ac:dyDescent="0.25">
      <c r="A978" s="2"/>
      <c r="B978" s="2" t="s">
        <v>2183</v>
      </c>
      <c r="C978" s="2" t="s">
        <v>1919</v>
      </c>
      <c r="D978" s="2">
        <v>1</v>
      </c>
      <c r="E978" s="2" t="s">
        <v>1920</v>
      </c>
    </row>
    <row r="979" spans="1:5" x14ac:dyDescent="0.25">
      <c r="A979" s="2"/>
      <c r="B979" s="2" t="s">
        <v>2183</v>
      </c>
      <c r="C979" s="2" t="s">
        <v>1921</v>
      </c>
      <c r="D979" s="2">
        <v>1</v>
      </c>
      <c r="E979" s="2" t="s">
        <v>1922</v>
      </c>
    </row>
    <row r="980" spans="1:5" x14ac:dyDescent="0.25">
      <c r="A980" s="2"/>
      <c r="B980" s="2" t="s">
        <v>2183</v>
      </c>
      <c r="C980" s="2" t="s">
        <v>1923</v>
      </c>
      <c r="D980" s="2">
        <v>1</v>
      </c>
      <c r="E980" s="2" t="s">
        <v>1924</v>
      </c>
    </row>
    <row r="981" spans="1:5" x14ac:dyDescent="0.25">
      <c r="A981" s="2"/>
      <c r="B981" s="2" t="s">
        <v>2183</v>
      </c>
      <c r="C981" s="2" t="s">
        <v>1925</v>
      </c>
      <c r="D981" s="2">
        <v>0</v>
      </c>
      <c r="E981" s="2" t="s">
        <v>1926</v>
      </c>
    </row>
    <row r="982" spans="1:5" x14ac:dyDescent="0.25">
      <c r="A982" s="2"/>
      <c r="B982" s="2" t="s">
        <v>2184</v>
      </c>
      <c r="C982" s="2" t="s">
        <v>1927</v>
      </c>
      <c r="D982" s="2">
        <v>1</v>
      </c>
      <c r="E982" s="2" t="s">
        <v>1928</v>
      </c>
    </row>
    <row r="983" spans="1:5" x14ac:dyDescent="0.25">
      <c r="A983" s="2"/>
      <c r="B983" s="2" t="s">
        <v>2184</v>
      </c>
      <c r="C983" s="2" t="s">
        <v>1929</v>
      </c>
      <c r="D983" s="2">
        <v>0</v>
      </c>
      <c r="E983" s="2" t="s">
        <v>1930</v>
      </c>
    </row>
    <row r="984" spans="1:5" x14ac:dyDescent="0.25">
      <c r="A984" s="2"/>
      <c r="B984" s="2" t="s">
        <v>2126</v>
      </c>
      <c r="C984" s="2" t="s">
        <v>1931</v>
      </c>
      <c r="D984" s="2">
        <v>1</v>
      </c>
      <c r="E984" s="2" t="s">
        <v>1932</v>
      </c>
    </row>
    <row r="985" spans="1:5" x14ac:dyDescent="0.25">
      <c r="A985" s="2"/>
      <c r="B985" s="2" t="s">
        <v>2126</v>
      </c>
      <c r="C985" s="2" t="s">
        <v>1933</v>
      </c>
      <c r="D985" s="2">
        <v>1</v>
      </c>
      <c r="E985" s="2" t="s">
        <v>1934</v>
      </c>
    </row>
    <row r="986" spans="1:5" x14ac:dyDescent="0.25">
      <c r="A986" s="2"/>
      <c r="B986" s="2" t="s">
        <v>2185</v>
      </c>
      <c r="C986" s="2" t="s">
        <v>1935</v>
      </c>
      <c r="D986" s="2">
        <v>1</v>
      </c>
      <c r="E986" s="2" t="s">
        <v>1936</v>
      </c>
    </row>
    <row r="987" spans="1:5" x14ac:dyDescent="0.25">
      <c r="A987" s="2"/>
      <c r="B987" s="2" t="s">
        <v>2185</v>
      </c>
      <c r="C987" s="2" t="s">
        <v>1937</v>
      </c>
      <c r="D987" s="2">
        <v>1</v>
      </c>
      <c r="E987" s="2" t="s">
        <v>1938</v>
      </c>
    </row>
    <row r="988" spans="1:5" x14ac:dyDescent="0.25">
      <c r="A988" s="2"/>
      <c r="B988" s="2" t="s">
        <v>2185</v>
      </c>
      <c r="C988" s="2" t="s">
        <v>1939</v>
      </c>
      <c r="D988" s="2">
        <v>0</v>
      </c>
      <c r="E988" s="2" t="s">
        <v>1940</v>
      </c>
    </row>
    <row r="989" spans="1:5" x14ac:dyDescent="0.25">
      <c r="A989" s="2"/>
      <c r="B989" s="2" t="s">
        <v>2186</v>
      </c>
      <c r="C989" s="2" t="s">
        <v>1941</v>
      </c>
      <c r="D989" s="2">
        <v>1</v>
      </c>
      <c r="E989" s="2" t="s">
        <v>1942</v>
      </c>
    </row>
    <row r="990" spans="1:5" x14ac:dyDescent="0.25">
      <c r="A990" s="2"/>
      <c r="B990" s="2" t="s">
        <v>2186</v>
      </c>
      <c r="C990" s="2" t="s">
        <v>1943</v>
      </c>
      <c r="D990" s="2">
        <v>1</v>
      </c>
      <c r="E990" s="2" t="s">
        <v>1944</v>
      </c>
    </row>
    <row r="991" spans="1:5" x14ac:dyDescent="0.25">
      <c r="A991" s="2"/>
      <c r="B991" s="2" t="s">
        <v>2186</v>
      </c>
      <c r="C991" s="2" t="s">
        <v>1945</v>
      </c>
      <c r="D991" s="2">
        <v>1</v>
      </c>
      <c r="E991" s="2" t="s">
        <v>1946</v>
      </c>
    </row>
    <row r="992" spans="1:5" x14ac:dyDescent="0.25">
      <c r="A992" s="2"/>
      <c r="B992" s="2" t="s">
        <v>2186</v>
      </c>
      <c r="C992" s="2" t="s">
        <v>1947</v>
      </c>
      <c r="D992" s="2">
        <v>0</v>
      </c>
      <c r="E992" s="2" t="s">
        <v>1948</v>
      </c>
    </row>
    <row r="993" spans="1:5" x14ac:dyDescent="0.25">
      <c r="A993" s="2" t="s">
        <v>1949</v>
      </c>
      <c r="B993" s="2" t="s">
        <v>1988</v>
      </c>
      <c r="C993" s="2" t="s">
        <v>1950</v>
      </c>
      <c r="D993" s="2">
        <v>1</v>
      </c>
      <c r="E993" s="2" t="s">
        <v>349</v>
      </c>
    </row>
    <row r="994" spans="1:5" x14ac:dyDescent="0.25">
      <c r="A994" s="2"/>
      <c r="B994" s="2" t="s">
        <v>2176</v>
      </c>
      <c r="C994" s="2" t="s">
        <v>1951</v>
      </c>
      <c r="D994" s="2">
        <v>1</v>
      </c>
      <c r="E994" s="2" t="s">
        <v>1952</v>
      </c>
    </row>
    <row r="995" spans="1:5" x14ac:dyDescent="0.25">
      <c r="A995" s="2"/>
      <c r="B995" s="2" t="s">
        <v>2176</v>
      </c>
      <c r="C995" s="2" t="s">
        <v>1953</v>
      </c>
      <c r="D995" s="2">
        <v>1</v>
      </c>
      <c r="E995" s="2" t="s">
        <v>1954</v>
      </c>
    </row>
    <row r="996" spans="1:5" x14ac:dyDescent="0.25">
      <c r="A996" s="2"/>
      <c r="B996" s="2" t="s">
        <v>2176</v>
      </c>
      <c r="C996" s="2" t="s">
        <v>1955</v>
      </c>
      <c r="D996" s="2">
        <v>0</v>
      </c>
      <c r="E996" s="2" t="s">
        <v>1956</v>
      </c>
    </row>
    <row r="997" spans="1:5" x14ac:dyDescent="0.25">
      <c r="A997" s="2"/>
      <c r="B997" s="2" t="s">
        <v>1983</v>
      </c>
      <c r="C997" s="2" t="s">
        <v>1957</v>
      </c>
      <c r="D997" s="2">
        <v>0</v>
      </c>
      <c r="E997" s="2" t="s">
        <v>295</v>
      </c>
    </row>
    <row r="998" spans="1:5" x14ac:dyDescent="0.25">
      <c r="A998" s="2"/>
      <c r="B998" s="2" t="s">
        <v>2023</v>
      </c>
      <c r="C998" s="2" t="s">
        <v>1958</v>
      </c>
      <c r="D998" s="2">
        <v>1</v>
      </c>
      <c r="E998" s="2" t="s">
        <v>1959</v>
      </c>
    </row>
    <row r="999" spans="1:5" x14ac:dyDescent="0.25">
      <c r="A999" s="2"/>
      <c r="B999" s="2" t="s">
        <v>2023</v>
      </c>
      <c r="C999" s="2" t="s">
        <v>1960</v>
      </c>
      <c r="D999" s="2">
        <v>1</v>
      </c>
      <c r="E999" s="2" t="s">
        <v>1961</v>
      </c>
    </row>
    <row r="1000" spans="1:5" x14ac:dyDescent="0.25">
      <c r="A1000" s="2"/>
      <c r="B1000" s="2" t="s">
        <v>2023</v>
      </c>
      <c r="C1000" s="2" t="s">
        <v>1962</v>
      </c>
      <c r="D1000" s="2">
        <v>0</v>
      </c>
      <c r="E1000" s="2" t="s">
        <v>1963</v>
      </c>
    </row>
  </sheetData>
  <autoFilter ref="A1:F1000" xr:uid="{B37D89EA-3BAF-0D4E-9BC1-7A02A0530CC0}"/>
  <sortState xmlns:xlrd2="http://schemas.microsoft.com/office/spreadsheetml/2017/richdata2" ref="C316:E327">
    <sortCondition ref="C316:C327"/>
  </sortState>
  <phoneticPr fontId="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E5A7-7226-4A12-A4ED-1745DDC3416D}">
  <dimension ref="A1:K5726"/>
  <sheetViews>
    <sheetView topLeftCell="A1678" workbookViewId="0">
      <selection activeCell="E1687" sqref="E1687"/>
    </sheetView>
  </sheetViews>
  <sheetFormatPr defaultColWidth="11" defaultRowHeight="15.75" x14ac:dyDescent="0.25"/>
  <cols>
    <col min="1" max="1" width="13.625" customWidth="1"/>
    <col min="2" max="2" width="20.375" style="15" customWidth="1"/>
    <col min="3" max="3" width="24.5" style="18" customWidth="1"/>
    <col min="4" max="4" width="21.25" style="18" customWidth="1"/>
    <col min="5" max="5" width="48.625" style="18" customWidth="1"/>
    <col min="6" max="6" width="8.5" customWidth="1"/>
    <col min="7" max="7" width="55.25" customWidth="1"/>
    <col min="8" max="8" width="49.25" customWidth="1"/>
    <col min="9" max="9" width="24.875" customWidth="1"/>
  </cols>
  <sheetData>
    <row r="1" spans="1:6" x14ac:dyDescent="0.25">
      <c r="A1" t="s">
        <v>0</v>
      </c>
      <c r="B1" s="15" t="s">
        <v>1964</v>
      </c>
      <c r="C1" s="18" t="s">
        <v>1965</v>
      </c>
      <c r="D1" s="18" t="s">
        <v>1966</v>
      </c>
      <c r="E1" s="18" t="s">
        <v>1967</v>
      </c>
      <c r="F1" t="s">
        <v>1968</v>
      </c>
    </row>
    <row r="2" spans="1:6" x14ac:dyDescent="0.25">
      <c r="A2">
        <f>Sample!A2</f>
        <v>10</v>
      </c>
      <c r="B2" s="15" t="str">
        <f>Sample!B2</f>
        <v>AdvanSix Inc</v>
      </c>
      <c r="C2" s="19" t="s">
        <v>581</v>
      </c>
      <c r="D2" s="19" t="s">
        <v>582</v>
      </c>
      <c r="E2" s="19" t="s">
        <v>583</v>
      </c>
      <c r="F2">
        <v>1</v>
      </c>
    </row>
    <row r="3" spans="1:6" x14ac:dyDescent="0.25">
      <c r="D3" s="19" t="s">
        <v>584</v>
      </c>
      <c r="E3" s="19" t="s">
        <v>306</v>
      </c>
      <c r="F3">
        <v>1</v>
      </c>
    </row>
    <row r="4" spans="1:6" x14ac:dyDescent="0.25">
      <c r="D4" s="19" t="s">
        <v>585</v>
      </c>
      <c r="E4" s="19" t="s">
        <v>586</v>
      </c>
      <c r="F4">
        <v>1</v>
      </c>
    </row>
    <row r="5" spans="1:6" x14ac:dyDescent="0.25">
      <c r="D5" s="19" t="s">
        <v>587</v>
      </c>
      <c r="E5" s="19" t="s">
        <v>588</v>
      </c>
      <c r="F5">
        <v>1</v>
      </c>
    </row>
    <row r="6" spans="1:6" x14ac:dyDescent="0.25">
      <c r="D6" s="19" t="s">
        <v>589</v>
      </c>
      <c r="E6" s="19" t="s">
        <v>312</v>
      </c>
      <c r="F6">
        <v>1</v>
      </c>
    </row>
    <row r="7" spans="1:6" x14ac:dyDescent="0.25">
      <c r="D7" s="19" t="s">
        <v>590</v>
      </c>
      <c r="E7" s="19" t="s">
        <v>493</v>
      </c>
      <c r="F7">
        <v>0</v>
      </c>
    </row>
    <row r="8" spans="1:6" x14ac:dyDescent="0.25">
      <c r="D8" s="19" t="s">
        <v>591</v>
      </c>
      <c r="E8" s="19" t="s">
        <v>314</v>
      </c>
      <c r="F8">
        <v>0</v>
      </c>
    </row>
    <row r="9" spans="1:6" x14ac:dyDescent="0.25">
      <c r="D9" s="19" t="s">
        <v>592</v>
      </c>
      <c r="E9" s="19" t="s">
        <v>275</v>
      </c>
      <c r="F9">
        <v>1</v>
      </c>
    </row>
    <row r="10" spans="1:6" x14ac:dyDescent="0.25">
      <c r="D10" s="19" t="s">
        <v>593</v>
      </c>
      <c r="E10" s="19" t="s">
        <v>594</v>
      </c>
      <c r="F10">
        <v>1</v>
      </c>
    </row>
    <row r="11" spans="1:6" x14ac:dyDescent="0.25">
      <c r="D11" s="19" t="s">
        <v>595</v>
      </c>
      <c r="E11" s="19" t="s">
        <v>349</v>
      </c>
      <c r="F11">
        <v>1</v>
      </c>
    </row>
    <row r="12" spans="1:6" x14ac:dyDescent="0.25">
      <c r="D12" s="19" t="s">
        <v>596</v>
      </c>
      <c r="E12" s="19" t="s">
        <v>597</v>
      </c>
      <c r="F12">
        <v>1</v>
      </c>
    </row>
    <row r="13" spans="1:6" x14ac:dyDescent="0.25">
      <c r="D13" s="19" t="s">
        <v>598</v>
      </c>
      <c r="E13" s="19" t="s">
        <v>599</v>
      </c>
      <c r="F13">
        <v>0</v>
      </c>
    </row>
    <row r="14" spans="1:6" x14ac:dyDescent="0.25">
      <c r="D14" s="19" t="s">
        <v>600</v>
      </c>
      <c r="E14" s="19" t="s">
        <v>601</v>
      </c>
      <c r="F14">
        <v>0</v>
      </c>
    </row>
    <row r="15" spans="1:6" x14ac:dyDescent="0.25">
      <c r="D15" s="19" t="s">
        <v>602</v>
      </c>
      <c r="E15" s="19" t="s">
        <v>603</v>
      </c>
      <c r="F15">
        <v>1</v>
      </c>
    </row>
    <row r="16" spans="1:6" x14ac:dyDescent="0.25">
      <c r="D16" s="19" t="s">
        <v>604</v>
      </c>
      <c r="E16" s="19" t="s">
        <v>605</v>
      </c>
      <c r="F16">
        <v>0</v>
      </c>
    </row>
    <row r="17" spans="1:6" x14ac:dyDescent="0.25">
      <c r="D17" s="19" t="s">
        <v>606</v>
      </c>
      <c r="E17" s="19" t="s">
        <v>503</v>
      </c>
      <c r="F17">
        <v>1</v>
      </c>
    </row>
    <row r="18" spans="1:6" x14ac:dyDescent="0.25">
      <c r="D18" s="19" t="s">
        <v>607</v>
      </c>
      <c r="E18" s="19" t="s">
        <v>505</v>
      </c>
      <c r="F18">
        <v>1</v>
      </c>
    </row>
    <row r="19" spans="1:6" x14ac:dyDescent="0.25">
      <c r="D19" s="19" t="s">
        <v>608</v>
      </c>
      <c r="E19" s="19" t="s">
        <v>609</v>
      </c>
      <c r="F19">
        <v>0</v>
      </c>
    </row>
    <row r="20" spans="1:6" x14ac:dyDescent="0.25">
      <c r="A20">
        <f>Sample!A3</f>
        <v>11</v>
      </c>
      <c r="B20" s="15" t="str">
        <f>Sample!B3</f>
        <v>Aflac Inc</v>
      </c>
      <c r="C20" s="19" t="s">
        <v>1169</v>
      </c>
      <c r="D20" s="19" t="s">
        <v>1170</v>
      </c>
      <c r="E20" s="19" t="s">
        <v>1171</v>
      </c>
      <c r="F20">
        <v>1</v>
      </c>
    </row>
    <row r="21" spans="1:6" x14ac:dyDescent="0.25">
      <c r="D21" s="19" t="s">
        <v>1172</v>
      </c>
      <c r="E21" s="19" t="s">
        <v>1173</v>
      </c>
      <c r="F21">
        <v>0</v>
      </c>
    </row>
    <row r="22" spans="1:6" x14ac:dyDescent="0.25">
      <c r="D22" s="19" t="s">
        <v>1174</v>
      </c>
      <c r="E22" s="19" t="s">
        <v>1175</v>
      </c>
      <c r="F22">
        <v>0</v>
      </c>
    </row>
    <row r="23" spans="1:6" x14ac:dyDescent="0.25">
      <c r="D23" s="19" t="s">
        <v>1176</v>
      </c>
      <c r="E23" s="19" t="s">
        <v>1177</v>
      </c>
      <c r="F23">
        <v>1</v>
      </c>
    </row>
    <row r="24" spans="1:6" x14ac:dyDescent="0.25">
      <c r="D24" s="19" t="s">
        <v>1178</v>
      </c>
      <c r="E24" s="19" t="s">
        <v>1179</v>
      </c>
      <c r="F24">
        <v>1</v>
      </c>
    </row>
    <row r="25" spans="1:6" x14ac:dyDescent="0.25">
      <c r="D25" s="19" t="s">
        <v>1180</v>
      </c>
      <c r="E25" s="19" t="s">
        <v>1181</v>
      </c>
      <c r="F25">
        <v>1</v>
      </c>
    </row>
    <row r="26" spans="1:6" x14ac:dyDescent="0.25">
      <c r="D26" s="19" t="s">
        <v>1182</v>
      </c>
      <c r="E26" s="19" t="s">
        <v>1183</v>
      </c>
      <c r="F26">
        <v>0</v>
      </c>
    </row>
    <row r="27" spans="1:6" x14ac:dyDescent="0.25">
      <c r="D27" s="19" t="s">
        <v>1184</v>
      </c>
      <c r="E27" s="19" t="s">
        <v>1185</v>
      </c>
      <c r="F27">
        <v>0</v>
      </c>
    </row>
    <row r="28" spans="1:6" x14ac:dyDescent="0.25">
      <c r="D28" s="19" t="s">
        <v>1186</v>
      </c>
      <c r="E28" s="19" t="s">
        <v>1187</v>
      </c>
      <c r="F28">
        <v>0</v>
      </c>
    </row>
    <row r="29" spans="1:6" x14ac:dyDescent="0.25">
      <c r="D29" s="19" t="s">
        <v>1188</v>
      </c>
      <c r="E29" s="19" t="s">
        <v>1189</v>
      </c>
      <c r="F29">
        <v>0</v>
      </c>
    </row>
    <row r="30" spans="1:6" x14ac:dyDescent="0.25">
      <c r="D30" s="19" t="s">
        <v>1190</v>
      </c>
      <c r="E30" s="19" t="s">
        <v>1191</v>
      </c>
      <c r="F30">
        <v>0</v>
      </c>
    </row>
    <row r="31" spans="1:6" x14ac:dyDescent="0.25">
      <c r="D31" s="19" t="s">
        <v>1192</v>
      </c>
      <c r="E31" s="19" t="s">
        <v>1193</v>
      </c>
      <c r="F31">
        <v>0</v>
      </c>
    </row>
    <row r="32" spans="1:6" x14ac:dyDescent="0.25">
      <c r="D32" s="19" t="s">
        <v>1194</v>
      </c>
      <c r="E32" s="19" t="s">
        <v>1195</v>
      </c>
      <c r="F32">
        <v>0</v>
      </c>
    </row>
    <row r="33" spans="1:6" x14ac:dyDescent="0.25">
      <c r="D33" s="19" t="s">
        <v>1196</v>
      </c>
      <c r="E33" s="19" t="s">
        <v>1197</v>
      </c>
      <c r="F33">
        <v>0</v>
      </c>
    </row>
    <row r="34" spans="1:6" x14ac:dyDescent="0.25">
      <c r="A34">
        <f>Sample!A4</f>
        <v>12</v>
      </c>
      <c r="B34" s="15" t="str">
        <f>Sample!B4</f>
        <v>Agilent Technologies Inc</v>
      </c>
      <c r="C34" s="19" t="s">
        <v>1366</v>
      </c>
      <c r="D34" s="19" t="s">
        <v>1367</v>
      </c>
      <c r="E34" s="19" t="s">
        <v>1368</v>
      </c>
      <c r="F34">
        <v>1</v>
      </c>
    </row>
    <row r="35" spans="1:6" x14ac:dyDescent="0.25">
      <c r="D35" s="19" t="s">
        <v>1369</v>
      </c>
      <c r="E35" s="19" t="s">
        <v>1370</v>
      </c>
      <c r="F35">
        <v>1</v>
      </c>
    </row>
    <row r="36" spans="1:6" x14ac:dyDescent="0.25">
      <c r="D36" s="19" t="s">
        <v>1371</v>
      </c>
      <c r="E36" s="19" t="s">
        <v>283</v>
      </c>
      <c r="F36">
        <v>1</v>
      </c>
    </row>
    <row r="37" spans="1:6" x14ac:dyDescent="0.25">
      <c r="D37" s="19" t="s">
        <v>1372</v>
      </c>
      <c r="E37" s="19" t="s">
        <v>1373</v>
      </c>
      <c r="F37">
        <v>1</v>
      </c>
    </row>
    <row r="38" spans="1:6" x14ac:dyDescent="0.25">
      <c r="D38" s="19" t="s">
        <v>1374</v>
      </c>
      <c r="E38" s="19" t="s">
        <v>1375</v>
      </c>
      <c r="F38">
        <v>1</v>
      </c>
    </row>
    <row r="39" spans="1:6" x14ac:dyDescent="0.25">
      <c r="D39" s="19" t="s">
        <v>1376</v>
      </c>
      <c r="E39" s="19" t="s">
        <v>531</v>
      </c>
      <c r="F39">
        <v>1</v>
      </c>
    </row>
    <row r="40" spans="1:6" x14ac:dyDescent="0.25">
      <c r="D40" s="19" t="s">
        <v>1377</v>
      </c>
      <c r="E40" s="19" t="s">
        <v>875</v>
      </c>
      <c r="F40">
        <v>1</v>
      </c>
    </row>
    <row r="41" spans="1:6" x14ac:dyDescent="0.25">
      <c r="D41" s="19" t="s">
        <v>1378</v>
      </c>
      <c r="E41" s="19" t="s">
        <v>541</v>
      </c>
      <c r="F41">
        <v>1</v>
      </c>
    </row>
    <row r="42" spans="1:6" x14ac:dyDescent="0.25">
      <c r="D42" s="19" t="s">
        <v>1379</v>
      </c>
      <c r="E42" s="19" t="s">
        <v>1380</v>
      </c>
      <c r="F42">
        <v>1</v>
      </c>
    </row>
    <row r="43" spans="1:6" x14ac:dyDescent="0.25">
      <c r="D43" s="19" t="s">
        <v>1381</v>
      </c>
      <c r="E43" s="19" t="s">
        <v>1382</v>
      </c>
      <c r="F43">
        <v>1</v>
      </c>
    </row>
    <row r="44" spans="1:6" x14ac:dyDescent="0.25">
      <c r="D44" s="19" t="s">
        <v>1383</v>
      </c>
      <c r="E44" s="19" t="s">
        <v>1384</v>
      </c>
      <c r="F44">
        <v>1</v>
      </c>
    </row>
    <row r="45" spans="1:6" x14ac:dyDescent="0.25">
      <c r="D45" s="19" t="s">
        <v>1385</v>
      </c>
      <c r="E45" s="19" t="s">
        <v>1386</v>
      </c>
      <c r="F45">
        <v>1</v>
      </c>
    </row>
    <row r="46" spans="1:6" x14ac:dyDescent="0.25">
      <c r="D46" s="19" t="s">
        <v>1387</v>
      </c>
      <c r="E46" s="19" t="s">
        <v>295</v>
      </c>
      <c r="F46">
        <v>1</v>
      </c>
    </row>
    <row r="47" spans="1:6" x14ac:dyDescent="0.25">
      <c r="D47" s="19" t="s">
        <v>1388</v>
      </c>
      <c r="E47" s="19" t="s">
        <v>539</v>
      </c>
      <c r="F47">
        <v>1</v>
      </c>
    </row>
    <row r="48" spans="1:6" x14ac:dyDescent="0.25">
      <c r="D48" s="19" t="s">
        <v>1389</v>
      </c>
      <c r="E48" s="19" t="s">
        <v>551</v>
      </c>
      <c r="F48">
        <v>1</v>
      </c>
    </row>
    <row r="49" spans="1:6" x14ac:dyDescent="0.25">
      <c r="A49">
        <f>Sample!A5</f>
        <v>14</v>
      </c>
      <c r="B49" s="15" t="str">
        <f>Sample!B5</f>
        <v>AGNC Investment Corp</v>
      </c>
      <c r="C49" s="19" t="s">
        <v>422</v>
      </c>
      <c r="D49" s="19" t="s">
        <v>437</v>
      </c>
      <c r="E49" s="19" t="s">
        <v>438</v>
      </c>
      <c r="F49">
        <v>1</v>
      </c>
    </row>
    <row r="50" spans="1:6" x14ac:dyDescent="0.25">
      <c r="D50" s="19" t="s">
        <v>439</v>
      </c>
      <c r="E50" s="19" t="s">
        <v>440</v>
      </c>
      <c r="F50">
        <v>1</v>
      </c>
    </row>
    <row r="51" spans="1:6" x14ac:dyDescent="0.25">
      <c r="D51" s="19" t="s">
        <v>429</v>
      </c>
      <c r="E51" s="19" t="s">
        <v>430</v>
      </c>
      <c r="F51">
        <v>1</v>
      </c>
    </row>
    <row r="52" spans="1:6" x14ac:dyDescent="0.25">
      <c r="D52" s="19" t="s">
        <v>431</v>
      </c>
      <c r="E52" s="19" t="s">
        <v>432</v>
      </c>
      <c r="F52">
        <v>1</v>
      </c>
    </row>
    <row r="53" spans="1:6" x14ac:dyDescent="0.25">
      <c r="D53" s="19" t="s">
        <v>433</v>
      </c>
      <c r="E53" s="19" t="s">
        <v>434</v>
      </c>
      <c r="F53">
        <v>1</v>
      </c>
    </row>
    <row r="54" spans="1:6" x14ac:dyDescent="0.25">
      <c r="D54" s="19" t="s">
        <v>435</v>
      </c>
      <c r="E54" s="19" t="s">
        <v>436</v>
      </c>
      <c r="F54">
        <v>1</v>
      </c>
    </row>
    <row r="55" spans="1:6" x14ac:dyDescent="0.25">
      <c r="D55" s="19" t="s">
        <v>423</v>
      </c>
      <c r="E55" s="19" t="s">
        <v>424</v>
      </c>
      <c r="F55">
        <v>1</v>
      </c>
    </row>
    <row r="56" spans="1:6" x14ac:dyDescent="0.25">
      <c r="D56" s="19" t="s">
        <v>425</v>
      </c>
      <c r="E56" s="19" t="s">
        <v>426</v>
      </c>
      <c r="F56">
        <v>1</v>
      </c>
    </row>
    <row r="57" spans="1:6" x14ac:dyDescent="0.25">
      <c r="D57" s="19" t="s">
        <v>427</v>
      </c>
      <c r="E57" s="19" t="s">
        <v>428</v>
      </c>
      <c r="F57">
        <v>1</v>
      </c>
    </row>
    <row r="58" spans="1:6" x14ac:dyDescent="0.25">
      <c r="D58" s="19" t="s">
        <v>444</v>
      </c>
      <c r="E58" s="19" t="s">
        <v>1969</v>
      </c>
      <c r="F58" s="7">
        <v>2</v>
      </c>
    </row>
    <row r="59" spans="1:6" x14ac:dyDescent="0.25">
      <c r="D59" s="19" t="s">
        <v>446</v>
      </c>
      <c r="E59" s="19" t="s">
        <v>1970</v>
      </c>
      <c r="F59" s="7">
        <v>1</v>
      </c>
    </row>
    <row r="60" spans="1:6" x14ac:dyDescent="0.25">
      <c r="D60" s="19" t="s">
        <v>448</v>
      </c>
      <c r="E60" s="19" t="s">
        <v>1971</v>
      </c>
      <c r="F60" s="7">
        <v>2</v>
      </c>
    </row>
    <row r="61" spans="1:6" x14ac:dyDescent="0.25">
      <c r="A61">
        <f>Sample!A6</f>
        <v>15</v>
      </c>
      <c r="B61" s="15" t="str">
        <f>Sample!B6</f>
        <v>AIG - American International Group Inc</v>
      </c>
      <c r="C61" s="19" t="s">
        <v>1169</v>
      </c>
      <c r="D61" s="19" t="s">
        <v>1186</v>
      </c>
      <c r="E61" s="19" t="s">
        <v>1187</v>
      </c>
      <c r="F61">
        <v>1</v>
      </c>
    </row>
    <row r="62" spans="1:6" x14ac:dyDescent="0.25">
      <c r="D62" s="19" t="s">
        <v>1188</v>
      </c>
      <c r="E62" s="19" t="s">
        <v>1189</v>
      </c>
      <c r="F62">
        <v>1</v>
      </c>
    </row>
    <row r="63" spans="1:6" x14ac:dyDescent="0.25">
      <c r="D63" s="19" t="s">
        <v>1190</v>
      </c>
      <c r="E63" s="19" t="s">
        <v>1191</v>
      </c>
      <c r="F63">
        <v>1</v>
      </c>
    </row>
    <row r="64" spans="1:6" x14ac:dyDescent="0.25">
      <c r="D64" s="19" t="s">
        <v>1178</v>
      </c>
      <c r="E64" s="19" t="s">
        <v>1179</v>
      </c>
      <c r="F64">
        <v>1</v>
      </c>
    </row>
    <row r="65" spans="3:6" x14ac:dyDescent="0.25">
      <c r="D65" s="19" t="s">
        <v>1180</v>
      </c>
      <c r="E65" s="19" t="s">
        <v>1181</v>
      </c>
      <c r="F65">
        <v>1</v>
      </c>
    </row>
    <row r="66" spans="3:6" x14ac:dyDescent="0.25">
      <c r="D66" s="19" t="s">
        <v>1182</v>
      </c>
      <c r="E66" s="19" t="s">
        <v>1183</v>
      </c>
      <c r="F66">
        <v>1</v>
      </c>
    </row>
    <row r="67" spans="3:6" x14ac:dyDescent="0.25">
      <c r="D67" s="19" t="s">
        <v>1184</v>
      </c>
      <c r="E67" s="19" t="s">
        <v>1185</v>
      </c>
      <c r="F67">
        <v>1</v>
      </c>
    </row>
    <row r="68" spans="3:6" x14ac:dyDescent="0.25">
      <c r="D68" s="19" t="s">
        <v>1192</v>
      </c>
      <c r="E68" s="19" t="s">
        <v>1193</v>
      </c>
      <c r="F68">
        <v>1</v>
      </c>
    </row>
    <row r="69" spans="3:6" x14ac:dyDescent="0.25">
      <c r="D69" s="19" t="s">
        <v>1194</v>
      </c>
      <c r="E69" s="19" t="s">
        <v>1195</v>
      </c>
      <c r="F69">
        <v>1</v>
      </c>
    </row>
    <row r="70" spans="3:6" x14ac:dyDescent="0.25">
      <c r="D70" s="19" t="s">
        <v>1196</v>
      </c>
      <c r="E70" s="19" t="s">
        <v>1197</v>
      </c>
      <c r="F70">
        <v>1</v>
      </c>
    </row>
    <row r="71" spans="3:6" x14ac:dyDescent="0.25">
      <c r="D71" s="19" t="s">
        <v>1170</v>
      </c>
      <c r="E71" s="19" t="s">
        <v>1171</v>
      </c>
      <c r="F71">
        <v>0</v>
      </c>
    </row>
    <row r="72" spans="3:6" x14ac:dyDescent="0.25">
      <c r="D72" s="19" t="s">
        <v>1172</v>
      </c>
      <c r="E72" s="19" t="s">
        <v>1173</v>
      </c>
      <c r="F72">
        <v>0</v>
      </c>
    </row>
    <row r="73" spans="3:6" x14ac:dyDescent="0.25">
      <c r="D73" s="19" t="s">
        <v>1174</v>
      </c>
      <c r="E73" s="19" t="s">
        <v>1175</v>
      </c>
      <c r="F73">
        <v>0</v>
      </c>
    </row>
    <row r="74" spans="3:6" x14ac:dyDescent="0.25">
      <c r="D74" s="19" t="s">
        <v>1176</v>
      </c>
      <c r="E74" s="19" t="s">
        <v>1177</v>
      </c>
      <c r="F74">
        <v>1</v>
      </c>
    </row>
    <row r="75" spans="3:6" x14ac:dyDescent="0.25">
      <c r="C75" s="19" t="s">
        <v>422</v>
      </c>
      <c r="D75" s="19" t="s">
        <v>437</v>
      </c>
      <c r="E75" s="19" t="s">
        <v>438</v>
      </c>
      <c r="F75">
        <v>0</v>
      </c>
    </row>
    <row r="76" spans="3:6" x14ac:dyDescent="0.25">
      <c r="D76" s="19" t="s">
        <v>439</v>
      </c>
      <c r="E76" s="19" t="s">
        <v>440</v>
      </c>
      <c r="F76">
        <v>1</v>
      </c>
    </row>
    <row r="77" spans="3:6" x14ac:dyDescent="0.25">
      <c r="D77" s="19" t="s">
        <v>429</v>
      </c>
      <c r="E77" s="19" t="s">
        <v>430</v>
      </c>
      <c r="F77">
        <v>1</v>
      </c>
    </row>
    <row r="78" spans="3:6" x14ac:dyDescent="0.25">
      <c r="D78" s="19" t="s">
        <v>431</v>
      </c>
      <c r="E78" s="19" t="s">
        <v>432</v>
      </c>
      <c r="F78">
        <v>1</v>
      </c>
    </row>
    <row r="79" spans="3:6" x14ac:dyDescent="0.25">
      <c r="D79" s="19" t="s">
        <v>433</v>
      </c>
      <c r="E79" s="19" t="s">
        <v>434</v>
      </c>
      <c r="F79">
        <v>1</v>
      </c>
    </row>
    <row r="80" spans="3:6" x14ac:dyDescent="0.25">
      <c r="D80" s="19" t="s">
        <v>435</v>
      </c>
      <c r="E80" s="19" t="s">
        <v>436</v>
      </c>
      <c r="F80">
        <v>0</v>
      </c>
    </row>
    <row r="81" spans="1:6" x14ac:dyDescent="0.25">
      <c r="D81" s="19" t="s">
        <v>423</v>
      </c>
      <c r="E81" s="19" t="s">
        <v>424</v>
      </c>
      <c r="F81">
        <v>0</v>
      </c>
    </row>
    <row r="82" spans="1:6" x14ac:dyDescent="0.25">
      <c r="D82" s="19" t="s">
        <v>425</v>
      </c>
      <c r="E82" s="19" t="s">
        <v>426</v>
      </c>
      <c r="F82">
        <v>0</v>
      </c>
    </row>
    <row r="83" spans="1:6" x14ac:dyDescent="0.25">
      <c r="D83" s="19" t="s">
        <v>427</v>
      </c>
      <c r="E83" s="19" t="s">
        <v>428</v>
      </c>
      <c r="F83">
        <v>0</v>
      </c>
    </row>
    <row r="84" spans="1:6" x14ac:dyDescent="0.25">
      <c r="A84">
        <f>Sample!A7</f>
        <v>17</v>
      </c>
      <c r="B84" s="15" t="str">
        <f>Sample!B7</f>
        <v>Akamai Technologies Inc</v>
      </c>
      <c r="C84" s="19" t="s">
        <v>1790</v>
      </c>
      <c r="D84" s="19" t="s">
        <v>1794</v>
      </c>
      <c r="E84" s="19" t="s">
        <v>786</v>
      </c>
      <c r="F84">
        <v>0</v>
      </c>
    </row>
    <row r="85" spans="1:6" x14ac:dyDescent="0.25">
      <c r="D85" s="19" t="s">
        <v>1795</v>
      </c>
      <c r="E85" s="19" t="s">
        <v>784</v>
      </c>
      <c r="F85">
        <v>0</v>
      </c>
    </row>
    <row r="86" spans="1:6" x14ac:dyDescent="0.25">
      <c r="D86" s="19" t="s">
        <v>1796</v>
      </c>
      <c r="E86" s="19" t="s">
        <v>1205</v>
      </c>
      <c r="F86">
        <v>0</v>
      </c>
    </row>
    <row r="87" spans="1:6" x14ac:dyDescent="0.25">
      <c r="D87" s="19" t="s">
        <v>1797</v>
      </c>
      <c r="E87" s="19" t="s">
        <v>1207</v>
      </c>
      <c r="F87">
        <v>0</v>
      </c>
    </row>
    <row r="88" spans="1:6" x14ac:dyDescent="0.25">
      <c r="D88" s="19" t="s">
        <v>1798</v>
      </c>
      <c r="E88" s="19" t="s">
        <v>1209</v>
      </c>
      <c r="F88">
        <v>0</v>
      </c>
    </row>
    <row r="89" spans="1:6" x14ac:dyDescent="0.25">
      <c r="D89" s="19" t="s">
        <v>1799</v>
      </c>
      <c r="E89" s="19" t="s">
        <v>789</v>
      </c>
      <c r="F89">
        <v>0</v>
      </c>
    </row>
    <row r="90" spans="1:6" x14ac:dyDescent="0.25">
      <c r="D90" s="19" t="s">
        <v>1800</v>
      </c>
      <c r="E90" s="19" t="s">
        <v>1214</v>
      </c>
      <c r="F90">
        <v>0</v>
      </c>
    </row>
    <row r="91" spans="1:6" x14ac:dyDescent="0.25">
      <c r="D91" s="19" t="s">
        <v>1791</v>
      </c>
      <c r="E91" s="19" t="s">
        <v>273</v>
      </c>
      <c r="F91">
        <v>1</v>
      </c>
    </row>
    <row r="92" spans="1:6" x14ac:dyDescent="0.25">
      <c r="D92" s="19" t="s">
        <v>1792</v>
      </c>
      <c r="E92" s="19" t="s">
        <v>312</v>
      </c>
      <c r="F92">
        <v>1</v>
      </c>
    </row>
    <row r="93" spans="1:6" x14ac:dyDescent="0.25">
      <c r="D93" s="19" t="s">
        <v>1793</v>
      </c>
      <c r="E93" s="19" t="s">
        <v>801</v>
      </c>
      <c r="F93">
        <v>0</v>
      </c>
    </row>
    <row r="94" spans="1:6" x14ac:dyDescent="0.25">
      <c r="D94" s="19" t="s">
        <v>1804</v>
      </c>
      <c r="E94" s="19" t="s">
        <v>372</v>
      </c>
      <c r="F94">
        <v>0</v>
      </c>
    </row>
    <row r="95" spans="1:6" x14ac:dyDescent="0.25">
      <c r="D95" s="19" t="s">
        <v>1805</v>
      </c>
      <c r="E95" s="19" t="s">
        <v>1806</v>
      </c>
      <c r="F95">
        <v>0</v>
      </c>
    </row>
    <row r="96" spans="1:6" x14ac:dyDescent="0.25">
      <c r="D96" s="19" t="s">
        <v>1807</v>
      </c>
      <c r="E96" s="19" t="s">
        <v>1808</v>
      </c>
      <c r="F96">
        <v>0</v>
      </c>
    </row>
    <row r="97" spans="1:6" x14ac:dyDescent="0.25">
      <c r="D97" s="19" t="s">
        <v>1801</v>
      </c>
      <c r="E97" s="19" t="s">
        <v>1784</v>
      </c>
      <c r="F97">
        <v>0</v>
      </c>
    </row>
    <row r="98" spans="1:6" x14ac:dyDescent="0.25">
      <c r="D98" s="19" t="s">
        <v>1802</v>
      </c>
      <c r="E98" s="19" t="s">
        <v>791</v>
      </c>
      <c r="F98">
        <v>0</v>
      </c>
    </row>
    <row r="99" spans="1:6" x14ac:dyDescent="0.25">
      <c r="D99" s="19" t="s">
        <v>1803</v>
      </c>
      <c r="E99" s="19" t="s">
        <v>795</v>
      </c>
      <c r="F99">
        <v>0</v>
      </c>
    </row>
    <row r="100" spans="1:6" x14ac:dyDescent="0.25">
      <c r="A100">
        <f>Sample!A8</f>
        <v>21</v>
      </c>
      <c r="B100" s="15" t="str">
        <f>Sample!B8</f>
        <v>Albemarle Corp</v>
      </c>
      <c r="C100" s="19" t="s">
        <v>581</v>
      </c>
      <c r="D100" s="19" t="s">
        <v>585</v>
      </c>
      <c r="E100" s="19" t="s">
        <v>586</v>
      </c>
      <c r="F100">
        <v>1</v>
      </c>
    </row>
    <row r="101" spans="1:6" x14ac:dyDescent="0.25">
      <c r="D101" s="19" t="s">
        <v>593</v>
      </c>
      <c r="E101" s="19" t="s">
        <v>594</v>
      </c>
      <c r="F101">
        <v>0</v>
      </c>
    </row>
    <row r="102" spans="1:6" x14ac:dyDescent="0.25">
      <c r="D102" s="19" t="s">
        <v>587</v>
      </c>
      <c r="E102" s="19" t="s">
        <v>588</v>
      </c>
      <c r="F102">
        <v>1</v>
      </c>
    </row>
    <row r="103" spans="1:6" x14ac:dyDescent="0.25">
      <c r="D103" s="19" t="s">
        <v>604</v>
      </c>
      <c r="E103" s="19" t="s">
        <v>605</v>
      </c>
      <c r="F103">
        <v>0</v>
      </c>
    </row>
    <row r="104" spans="1:6" x14ac:dyDescent="0.25">
      <c r="D104" s="19" t="s">
        <v>582</v>
      </c>
      <c r="E104" s="19" t="s">
        <v>583</v>
      </c>
      <c r="F104">
        <v>1</v>
      </c>
    </row>
    <row r="105" spans="1:6" x14ac:dyDescent="0.25">
      <c r="D105" s="19" t="s">
        <v>584</v>
      </c>
      <c r="E105" s="19" t="s">
        <v>306</v>
      </c>
      <c r="F105">
        <v>1</v>
      </c>
    </row>
    <row r="106" spans="1:6" x14ac:dyDescent="0.25">
      <c r="D106" s="19" t="s">
        <v>592</v>
      </c>
      <c r="E106" s="19" t="s">
        <v>275</v>
      </c>
      <c r="F106">
        <v>1</v>
      </c>
    </row>
    <row r="107" spans="1:6" x14ac:dyDescent="0.25">
      <c r="D107" s="19" t="s">
        <v>606</v>
      </c>
      <c r="E107" s="19" t="s">
        <v>503</v>
      </c>
      <c r="F107">
        <v>0</v>
      </c>
    </row>
    <row r="108" spans="1:6" x14ac:dyDescent="0.25">
      <c r="D108" s="19" t="s">
        <v>607</v>
      </c>
      <c r="E108" s="19" t="s">
        <v>505</v>
      </c>
      <c r="F108">
        <v>0</v>
      </c>
    </row>
    <row r="109" spans="1:6" x14ac:dyDescent="0.25">
      <c r="D109" s="19" t="s">
        <v>608</v>
      </c>
      <c r="E109" s="19" t="s">
        <v>609</v>
      </c>
      <c r="F109">
        <v>0</v>
      </c>
    </row>
    <row r="110" spans="1:6" x14ac:dyDescent="0.25">
      <c r="D110" s="19" t="s">
        <v>598</v>
      </c>
      <c r="E110" s="19" t="s">
        <v>599</v>
      </c>
      <c r="F110">
        <v>1</v>
      </c>
    </row>
    <row r="111" spans="1:6" x14ac:dyDescent="0.25">
      <c r="D111" s="19" t="s">
        <v>600</v>
      </c>
      <c r="E111" s="19" t="s">
        <v>601</v>
      </c>
      <c r="F111">
        <v>0</v>
      </c>
    </row>
    <row r="112" spans="1:6" x14ac:dyDescent="0.25">
      <c r="D112" s="19" t="s">
        <v>602</v>
      </c>
      <c r="E112" s="19" t="s">
        <v>603</v>
      </c>
      <c r="F112">
        <v>0</v>
      </c>
    </row>
    <row r="113" spans="3:8" x14ac:dyDescent="0.25">
      <c r="D113" s="19" t="s">
        <v>589</v>
      </c>
      <c r="E113" s="19" t="s">
        <v>312</v>
      </c>
      <c r="F113">
        <v>1</v>
      </c>
    </row>
    <row r="114" spans="3:8" x14ac:dyDescent="0.25">
      <c r="D114" s="19" t="s">
        <v>590</v>
      </c>
      <c r="E114" s="19" t="s">
        <v>493</v>
      </c>
      <c r="F114">
        <v>1</v>
      </c>
    </row>
    <row r="115" spans="3:8" x14ac:dyDescent="0.25">
      <c r="D115" s="19" t="s">
        <v>591</v>
      </c>
      <c r="E115" s="19" t="s">
        <v>314</v>
      </c>
      <c r="F115">
        <v>1</v>
      </c>
    </row>
    <row r="116" spans="3:8" x14ac:dyDescent="0.25">
      <c r="D116" s="19" t="s">
        <v>595</v>
      </c>
      <c r="E116" s="19" t="s">
        <v>349</v>
      </c>
      <c r="F116">
        <v>1</v>
      </c>
    </row>
    <row r="117" spans="3:8" x14ac:dyDescent="0.25">
      <c r="D117" s="19" t="s">
        <v>596</v>
      </c>
      <c r="E117" s="19" t="s">
        <v>597</v>
      </c>
      <c r="F117">
        <v>0</v>
      </c>
    </row>
    <row r="118" spans="3:8" ht="23.25" x14ac:dyDescent="0.35">
      <c r="C118" s="19" t="s">
        <v>1390</v>
      </c>
      <c r="D118" s="19" t="s">
        <v>1391</v>
      </c>
      <c r="E118" s="19" t="s">
        <v>583</v>
      </c>
      <c r="F118">
        <v>1</v>
      </c>
      <c r="G118" s="1"/>
      <c r="H118" s="2"/>
    </row>
    <row r="119" spans="3:8" ht="23.25" x14ac:dyDescent="0.35">
      <c r="D119" s="19" t="s">
        <v>1392</v>
      </c>
      <c r="E119" s="19" t="s">
        <v>306</v>
      </c>
      <c r="F119">
        <v>1</v>
      </c>
      <c r="G119" s="1"/>
      <c r="H119" s="2"/>
    </row>
    <row r="120" spans="3:8" ht="23.25" x14ac:dyDescent="0.35">
      <c r="D120" s="19" t="s">
        <v>1393</v>
      </c>
      <c r="E120" s="19" t="s">
        <v>1394</v>
      </c>
      <c r="F120">
        <v>1</v>
      </c>
      <c r="G120" s="1"/>
      <c r="H120" s="2"/>
    </row>
    <row r="121" spans="3:8" ht="23.25" x14ac:dyDescent="0.35">
      <c r="D121" s="19" t="s">
        <v>1395</v>
      </c>
      <c r="E121" s="19" t="s">
        <v>273</v>
      </c>
      <c r="F121">
        <v>1</v>
      </c>
      <c r="G121" s="1"/>
      <c r="H121" s="2"/>
    </row>
    <row r="122" spans="3:8" ht="23.25" x14ac:dyDescent="0.35">
      <c r="D122" s="19" t="s">
        <v>1396</v>
      </c>
      <c r="E122" s="19" t="s">
        <v>1397</v>
      </c>
      <c r="F122">
        <v>1</v>
      </c>
      <c r="G122" s="1"/>
      <c r="H122" s="2"/>
    </row>
    <row r="123" spans="3:8" ht="23.25" x14ac:dyDescent="0.35">
      <c r="D123" s="19" t="s">
        <v>1398</v>
      </c>
      <c r="E123" s="19" t="s">
        <v>493</v>
      </c>
      <c r="F123">
        <v>1</v>
      </c>
      <c r="G123" s="1"/>
      <c r="H123" s="2"/>
    </row>
    <row r="124" spans="3:8" ht="23.25" x14ac:dyDescent="0.35">
      <c r="D124" s="19" t="s">
        <v>1402</v>
      </c>
      <c r="E124" s="18" t="s">
        <v>1403</v>
      </c>
      <c r="F124">
        <v>1</v>
      </c>
      <c r="G124" s="1"/>
      <c r="H124" s="2"/>
    </row>
    <row r="125" spans="3:8" ht="23.25" x14ac:dyDescent="0.35">
      <c r="D125" s="19" t="s">
        <v>1415</v>
      </c>
      <c r="E125" s="19" t="s">
        <v>611</v>
      </c>
      <c r="F125">
        <v>0</v>
      </c>
      <c r="G125" s="1"/>
      <c r="H125" s="2"/>
    </row>
    <row r="126" spans="3:8" ht="23.25" x14ac:dyDescent="0.35">
      <c r="D126" s="19" t="s">
        <v>1416</v>
      </c>
      <c r="E126" s="19" t="s">
        <v>612</v>
      </c>
      <c r="F126">
        <v>0</v>
      </c>
      <c r="G126" s="1"/>
      <c r="H126" s="2"/>
    </row>
    <row r="127" spans="3:8" ht="23.25" x14ac:dyDescent="0.35">
      <c r="D127" s="19" t="s">
        <v>1417</v>
      </c>
      <c r="E127" s="19" t="s">
        <v>613</v>
      </c>
      <c r="F127">
        <v>0</v>
      </c>
      <c r="G127" s="1"/>
      <c r="H127" s="2"/>
    </row>
    <row r="128" spans="3:8" ht="23.25" x14ac:dyDescent="0.35">
      <c r="D128" s="19" t="s">
        <v>1418</v>
      </c>
      <c r="E128" s="19" t="s">
        <v>1419</v>
      </c>
      <c r="F128">
        <v>1</v>
      </c>
      <c r="G128" s="1"/>
      <c r="H128" s="2"/>
    </row>
    <row r="129" spans="1:8" ht="23.25" x14ac:dyDescent="0.35">
      <c r="D129" s="19" t="s">
        <v>1420</v>
      </c>
      <c r="E129" s="19" t="s">
        <v>621</v>
      </c>
      <c r="F129">
        <v>0</v>
      </c>
      <c r="G129" s="1"/>
      <c r="H129" s="2"/>
    </row>
    <row r="130" spans="1:8" ht="23.25" x14ac:dyDescent="0.35">
      <c r="D130" s="19" t="s">
        <v>1421</v>
      </c>
      <c r="E130" s="19" t="s">
        <v>1422</v>
      </c>
      <c r="F130">
        <v>0</v>
      </c>
      <c r="G130" s="1"/>
      <c r="H130" s="2"/>
    </row>
    <row r="131" spans="1:8" ht="23.25" x14ac:dyDescent="0.35">
      <c r="D131" s="19" t="s">
        <v>1423</v>
      </c>
      <c r="E131" s="19" t="s">
        <v>614</v>
      </c>
      <c r="F131">
        <v>0</v>
      </c>
      <c r="G131" s="1"/>
      <c r="H131" s="2"/>
    </row>
    <row r="132" spans="1:8" ht="23.25" x14ac:dyDescent="0.35">
      <c r="D132" s="19" t="s">
        <v>1424</v>
      </c>
      <c r="E132" s="19" t="s">
        <v>615</v>
      </c>
      <c r="F132">
        <v>0</v>
      </c>
      <c r="G132" s="1"/>
      <c r="H132" s="2"/>
    </row>
    <row r="133" spans="1:8" ht="23.25" x14ac:dyDescent="0.35">
      <c r="D133" s="19" t="s">
        <v>1425</v>
      </c>
      <c r="E133" s="19" t="s">
        <v>616</v>
      </c>
      <c r="F133">
        <v>1</v>
      </c>
      <c r="G133" s="1"/>
      <c r="H133" s="2"/>
    </row>
    <row r="134" spans="1:8" ht="23.25" x14ac:dyDescent="0.35">
      <c r="D134" s="19" t="s">
        <v>1426</v>
      </c>
      <c r="E134" s="19" t="s">
        <v>617</v>
      </c>
      <c r="F134">
        <v>0</v>
      </c>
      <c r="G134" s="1"/>
      <c r="H134" s="2"/>
    </row>
    <row r="135" spans="1:8" ht="23.25" x14ac:dyDescent="0.35">
      <c r="D135" s="19" t="s">
        <v>1427</v>
      </c>
      <c r="E135" s="19" t="s">
        <v>1428</v>
      </c>
      <c r="F135">
        <v>0</v>
      </c>
      <c r="G135" s="1"/>
      <c r="H135" s="2"/>
    </row>
    <row r="136" spans="1:8" ht="23.25" x14ac:dyDescent="0.35">
      <c r="D136" s="19" t="s">
        <v>1429</v>
      </c>
      <c r="E136" s="19" t="s">
        <v>1430</v>
      </c>
      <c r="F136">
        <v>1</v>
      </c>
      <c r="G136" s="1"/>
      <c r="H136" s="2"/>
    </row>
    <row r="137" spans="1:8" ht="23.25" x14ac:dyDescent="0.35">
      <c r="D137" s="19" t="s">
        <v>1431</v>
      </c>
      <c r="E137" s="19" t="s">
        <v>1432</v>
      </c>
      <c r="F137">
        <v>0</v>
      </c>
      <c r="G137" s="1"/>
      <c r="H137" s="2"/>
    </row>
    <row r="138" spans="1:8" ht="23.25" x14ac:dyDescent="0.35">
      <c r="D138" s="19" t="s">
        <v>1433</v>
      </c>
      <c r="E138" s="19" t="s">
        <v>623</v>
      </c>
      <c r="F138">
        <v>0</v>
      </c>
      <c r="G138" s="1"/>
      <c r="H138" s="2"/>
    </row>
    <row r="139" spans="1:8" ht="23.25" x14ac:dyDescent="0.35">
      <c r="D139" s="19" t="s">
        <v>1434</v>
      </c>
      <c r="E139" s="19" t="s">
        <v>624</v>
      </c>
      <c r="F139">
        <v>0</v>
      </c>
      <c r="G139" s="1"/>
      <c r="H139" s="2"/>
    </row>
    <row r="140" spans="1:8" ht="23.25" x14ac:dyDescent="0.35">
      <c r="D140" s="19" t="s">
        <v>1435</v>
      </c>
      <c r="E140" s="19" t="s">
        <v>625</v>
      </c>
      <c r="F140">
        <v>0</v>
      </c>
      <c r="G140" s="1"/>
      <c r="H140" s="2"/>
    </row>
    <row r="141" spans="1:8" ht="23.25" x14ac:dyDescent="0.35">
      <c r="A141">
        <f>Sample!A9</f>
        <v>27</v>
      </c>
      <c r="B141" s="15" t="str">
        <f>Sample!B9</f>
        <v>Alliance Data Systems Corp</v>
      </c>
      <c r="C141" s="19" t="s">
        <v>636</v>
      </c>
      <c r="D141" s="19" t="s">
        <v>653</v>
      </c>
      <c r="E141" s="19" t="s">
        <v>438</v>
      </c>
      <c r="F141">
        <v>1</v>
      </c>
      <c r="G141" s="1"/>
      <c r="H141" s="2"/>
    </row>
    <row r="142" spans="1:8" ht="23.25" x14ac:dyDescent="0.35">
      <c r="D142" s="19" t="s">
        <v>654</v>
      </c>
      <c r="E142" s="19" t="s">
        <v>440</v>
      </c>
      <c r="F142">
        <v>0</v>
      </c>
      <c r="G142" s="1"/>
      <c r="H142" s="2"/>
    </row>
    <row r="143" spans="1:8" ht="23.25" x14ac:dyDescent="0.35">
      <c r="D143" s="19" t="s">
        <v>637</v>
      </c>
      <c r="E143" s="19" t="s">
        <v>638</v>
      </c>
      <c r="F143">
        <v>1</v>
      </c>
      <c r="G143" s="1"/>
      <c r="H143" s="2"/>
    </row>
    <row r="144" spans="1:8" ht="23.25" x14ac:dyDescent="0.35">
      <c r="D144" s="19" t="s">
        <v>639</v>
      </c>
      <c r="E144" s="19" t="s">
        <v>640</v>
      </c>
      <c r="F144">
        <v>0</v>
      </c>
      <c r="G144" s="1"/>
      <c r="H144" s="2"/>
    </row>
    <row r="145" spans="3:8" ht="23.25" x14ac:dyDescent="0.35">
      <c r="D145" s="19" t="s">
        <v>641</v>
      </c>
      <c r="E145" s="19" t="s">
        <v>642</v>
      </c>
      <c r="F145">
        <v>0</v>
      </c>
      <c r="G145" s="1"/>
      <c r="H145" s="2"/>
    </row>
    <row r="146" spans="3:8" ht="23.25" x14ac:dyDescent="0.35">
      <c r="D146" s="19" t="s">
        <v>643</v>
      </c>
      <c r="E146" s="19" t="s">
        <v>644</v>
      </c>
      <c r="F146">
        <v>0</v>
      </c>
      <c r="G146" s="1"/>
      <c r="H146" s="2"/>
    </row>
    <row r="147" spans="3:8" x14ac:dyDescent="0.25">
      <c r="D147" s="19" t="s">
        <v>645</v>
      </c>
      <c r="E147" s="19" t="s">
        <v>646</v>
      </c>
      <c r="F147">
        <v>0</v>
      </c>
    </row>
    <row r="148" spans="3:8" x14ac:dyDescent="0.25">
      <c r="D148" s="19" t="s">
        <v>647</v>
      </c>
      <c r="E148" s="19" t="s">
        <v>648</v>
      </c>
      <c r="F148">
        <v>0</v>
      </c>
    </row>
    <row r="149" spans="3:8" x14ac:dyDescent="0.25">
      <c r="D149" s="19" t="s">
        <v>649</v>
      </c>
      <c r="E149" s="19" t="s">
        <v>650</v>
      </c>
      <c r="F149">
        <v>0</v>
      </c>
    </row>
    <row r="150" spans="3:8" x14ac:dyDescent="0.25">
      <c r="D150" s="19" t="s">
        <v>651</v>
      </c>
      <c r="E150" s="19" t="s">
        <v>652</v>
      </c>
      <c r="F150">
        <v>0</v>
      </c>
    </row>
    <row r="151" spans="3:8" x14ac:dyDescent="0.25">
      <c r="D151" s="19" t="s">
        <v>655</v>
      </c>
      <c r="E151" s="19" t="s">
        <v>656</v>
      </c>
      <c r="F151">
        <v>0</v>
      </c>
    </row>
    <row r="152" spans="3:8" x14ac:dyDescent="0.25">
      <c r="D152" s="19" t="s">
        <v>657</v>
      </c>
      <c r="E152" s="19" t="s">
        <v>658</v>
      </c>
      <c r="F152">
        <v>0</v>
      </c>
    </row>
    <row r="153" spans="3:8" x14ac:dyDescent="0.25">
      <c r="C153" s="19" t="s">
        <v>1790</v>
      </c>
      <c r="D153" s="19" t="s">
        <v>1794</v>
      </c>
      <c r="E153" s="19" t="s">
        <v>786</v>
      </c>
      <c r="F153">
        <v>0</v>
      </c>
    </row>
    <row r="154" spans="3:8" x14ac:dyDescent="0.25">
      <c r="D154" s="19" t="s">
        <v>1795</v>
      </c>
      <c r="E154" s="19" t="s">
        <v>784</v>
      </c>
      <c r="F154">
        <v>0</v>
      </c>
    </row>
    <row r="155" spans="3:8" x14ac:dyDescent="0.25">
      <c r="D155" s="19" t="s">
        <v>1796</v>
      </c>
      <c r="E155" s="19" t="s">
        <v>1205</v>
      </c>
      <c r="F155">
        <v>0</v>
      </c>
    </row>
    <row r="156" spans="3:8" x14ac:dyDescent="0.25">
      <c r="D156" s="19" t="s">
        <v>1797</v>
      </c>
      <c r="E156" s="19" t="s">
        <v>1207</v>
      </c>
      <c r="F156">
        <v>0</v>
      </c>
    </row>
    <row r="157" spans="3:8" x14ac:dyDescent="0.25">
      <c r="D157" s="19" t="s">
        <v>1798</v>
      </c>
      <c r="E157" s="19" t="s">
        <v>1209</v>
      </c>
      <c r="F157">
        <v>0</v>
      </c>
    </row>
    <row r="158" spans="3:8" x14ac:dyDescent="0.25">
      <c r="D158" s="19" t="s">
        <v>1799</v>
      </c>
      <c r="E158" s="19" t="s">
        <v>789</v>
      </c>
      <c r="F158">
        <v>0</v>
      </c>
    </row>
    <row r="159" spans="3:8" x14ac:dyDescent="0.25">
      <c r="D159" s="19" t="s">
        <v>1800</v>
      </c>
      <c r="E159" s="19" t="s">
        <v>1214</v>
      </c>
      <c r="F159">
        <v>0</v>
      </c>
    </row>
    <row r="160" spans="3:8" x14ac:dyDescent="0.25">
      <c r="D160" s="19" t="s">
        <v>1791</v>
      </c>
      <c r="E160" s="19" t="s">
        <v>273</v>
      </c>
      <c r="F160">
        <v>1</v>
      </c>
    </row>
    <row r="161" spans="1:6" x14ac:dyDescent="0.25">
      <c r="D161" s="19" t="s">
        <v>1792</v>
      </c>
      <c r="E161" s="19" t="s">
        <v>312</v>
      </c>
      <c r="F161">
        <v>0</v>
      </c>
    </row>
    <row r="162" spans="1:6" x14ac:dyDescent="0.25">
      <c r="D162" s="19" t="s">
        <v>1793</v>
      </c>
      <c r="E162" s="19" t="s">
        <v>801</v>
      </c>
      <c r="F162">
        <v>0</v>
      </c>
    </row>
    <row r="163" spans="1:6" x14ac:dyDescent="0.25">
      <c r="D163" s="19" t="s">
        <v>1804</v>
      </c>
      <c r="E163" s="19" t="s">
        <v>372</v>
      </c>
      <c r="F163">
        <v>0</v>
      </c>
    </row>
    <row r="164" spans="1:6" x14ac:dyDescent="0.25">
      <c r="D164" s="19" t="s">
        <v>1805</v>
      </c>
      <c r="E164" s="19" t="s">
        <v>1806</v>
      </c>
      <c r="F164">
        <v>0</v>
      </c>
    </row>
    <row r="165" spans="1:6" x14ac:dyDescent="0.25">
      <c r="D165" s="19" t="s">
        <v>1807</v>
      </c>
      <c r="E165" s="19" t="s">
        <v>1808</v>
      </c>
      <c r="F165">
        <v>0</v>
      </c>
    </row>
    <row r="166" spans="1:6" x14ac:dyDescent="0.25">
      <c r="D166" s="19" t="s">
        <v>1801</v>
      </c>
      <c r="E166" s="19" t="s">
        <v>1784</v>
      </c>
      <c r="F166">
        <v>0</v>
      </c>
    </row>
    <row r="167" spans="1:6" x14ac:dyDescent="0.25">
      <c r="D167" s="19" t="s">
        <v>1802</v>
      </c>
      <c r="E167" s="19" t="s">
        <v>791</v>
      </c>
      <c r="F167">
        <v>0</v>
      </c>
    </row>
    <row r="168" spans="1:6" x14ac:dyDescent="0.25">
      <c r="D168" s="19" t="s">
        <v>1803</v>
      </c>
      <c r="E168" s="19" t="s">
        <v>795</v>
      </c>
      <c r="F168">
        <v>1</v>
      </c>
    </row>
    <row r="169" spans="1:6" x14ac:dyDescent="0.25">
      <c r="A169">
        <f>Sample!A10</f>
        <v>28</v>
      </c>
      <c r="B169" s="15" t="str">
        <f>Sample!B10</f>
        <v>Alliance Data Systems Corp</v>
      </c>
      <c r="C169" s="19" t="s">
        <v>636</v>
      </c>
      <c r="D169" s="19" t="s">
        <v>653</v>
      </c>
      <c r="E169" s="19" t="s">
        <v>438</v>
      </c>
      <c r="F169">
        <v>1</v>
      </c>
    </row>
    <row r="170" spans="1:6" x14ac:dyDescent="0.25">
      <c r="D170" s="19" t="s">
        <v>654</v>
      </c>
      <c r="E170" s="19" t="s">
        <v>440</v>
      </c>
      <c r="F170">
        <v>0</v>
      </c>
    </row>
    <row r="171" spans="1:6" x14ac:dyDescent="0.25">
      <c r="D171" s="19" t="s">
        <v>637</v>
      </c>
      <c r="E171" s="19" t="s">
        <v>638</v>
      </c>
      <c r="F171">
        <v>1</v>
      </c>
    </row>
    <row r="172" spans="1:6" x14ac:dyDescent="0.25">
      <c r="D172" s="19" t="s">
        <v>639</v>
      </c>
      <c r="E172" s="19" t="s">
        <v>640</v>
      </c>
      <c r="F172">
        <v>1</v>
      </c>
    </row>
    <row r="173" spans="1:6" x14ac:dyDescent="0.25">
      <c r="D173" s="19" t="s">
        <v>641</v>
      </c>
      <c r="E173" s="19" t="s">
        <v>642</v>
      </c>
      <c r="F173">
        <v>0</v>
      </c>
    </row>
    <row r="174" spans="1:6" x14ac:dyDescent="0.25">
      <c r="D174" s="19" t="s">
        <v>643</v>
      </c>
      <c r="E174" s="19" t="s">
        <v>644</v>
      </c>
      <c r="F174">
        <v>0</v>
      </c>
    </row>
    <row r="175" spans="1:6" x14ac:dyDescent="0.25">
      <c r="D175" s="19" t="s">
        <v>645</v>
      </c>
      <c r="E175" s="19" t="s">
        <v>646</v>
      </c>
      <c r="F175">
        <v>0</v>
      </c>
    </row>
    <row r="176" spans="1:6" x14ac:dyDescent="0.25">
      <c r="D176" s="19" t="s">
        <v>647</v>
      </c>
      <c r="E176" s="19" t="s">
        <v>648</v>
      </c>
      <c r="F176">
        <v>0</v>
      </c>
    </row>
    <row r="177" spans="3:6" x14ac:dyDescent="0.25">
      <c r="D177" s="19" t="s">
        <v>649</v>
      </c>
      <c r="E177" s="19" t="s">
        <v>650</v>
      </c>
      <c r="F177">
        <v>0</v>
      </c>
    </row>
    <row r="178" spans="3:6" x14ac:dyDescent="0.25">
      <c r="D178" s="19" t="s">
        <v>651</v>
      </c>
      <c r="E178" s="19" t="s">
        <v>652</v>
      </c>
      <c r="F178">
        <v>0</v>
      </c>
    </row>
    <row r="179" spans="3:6" x14ac:dyDescent="0.25">
      <c r="D179" s="19" t="s">
        <v>655</v>
      </c>
      <c r="E179" s="19" t="s">
        <v>656</v>
      </c>
      <c r="F179">
        <v>0</v>
      </c>
    </row>
    <row r="180" spans="3:6" x14ac:dyDescent="0.25">
      <c r="D180" s="19" t="s">
        <v>657</v>
      </c>
      <c r="E180" s="19" t="s">
        <v>658</v>
      </c>
      <c r="F180">
        <v>0</v>
      </c>
    </row>
    <row r="181" spans="3:6" x14ac:dyDescent="0.25">
      <c r="C181" s="19" t="s">
        <v>1790</v>
      </c>
      <c r="D181" s="19" t="s">
        <v>1794</v>
      </c>
      <c r="E181" s="19" t="s">
        <v>786</v>
      </c>
      <c r="F181">
        <v>0</v>
      </c>
    </row>
    <row r="182" spans="3:6" x14ac:dyDescent="0.25">
      <c r="D182" s="19" t="s">
        <v>1795</v>
      </c>
      <c r="E182" s="19" t="s">
        <v>784</v>
      </c>
      <c r="F182">
        <v>0</v>
      </c>
    </row>
    <row r="183" spans="3:6" x14ac:dyDescent="0.25">
      <c r="D183" s="19" t="s">
        <v>1796</v>
      </c>
      <c r="E183" s="19" t="s">
        <v>1205</v>
      </c>
      <c r="F183">
        <v>0</v>
      </c>
    </row>
    <row r="184" spans="3:6" x14ac:dyDescent="0.25">
      <c r="D184" s="19" t="s">
        <v>1797</v>
      </c>
      <c r="E184" s="19" t="s">
        <v>1207</v>
      </c>
      <c r="F184">
        <v>0</v>
      </c>
    </row>
    <row r="185" spans="3:6" x14ac:dyDescent="0.25">
      <c r="D185" s="19" t="s">
        <v>1798</v>
      </c>
      <c r="E185" s="19" t="s">
        <v>1209</v>
      </c>
      <c r="F185">
        <v>0</v>
      </c>
    </row>
    <row r="186" spans="3:6" x14ac:dyDescent="0.25">
      <c r="D186" s="19" t="s">
        <v>1791</v>
      </c>
      <c r="E186" s="19" t="s">
        <v>273</v>
      </c>
      <c r="F186">
        <v>1</v>
      </c>
    </row>
    <row r="187" spans="3:6" x14ac:dyDescent="0.25">
      <c r="D187" s="19" t="s">
        <v>1792</v>
      </c>
      <c r="E187" s="19" t="s">
        <v>312</v>
      </c>
      <c r="F187">
        <v>0</v>
      </c>
    </row>
    <row r="188" spans="3:6" x14ac:dyDescent="0.25">
      <c r="D188" s="19" t="s">
        <v>1791</v>
      </c>
      <c r="E188" s="19" t="s">
        <v>801</v>
      </c>
      <c r="F188">
        <v>0</v>
      </c>
    </row>
    <row r="189" spans="3:6" x14ac:dyDescent="0.25">
      <c r="D189" s="19" t="s">
        <v>1804</v>
      </c>
      <c r="E189" s="19" t="s">
        <v>372</v>
      </c>
      <c r="F189">
        <v>0</v>
      </c>
    </row>
    <row r="190" spans="3:6" x14ac:dyDescent="0.25">
      <c r="D190" s="19" t="s">
        <v>1793</v>
      </c>
      <c r="E190" s="19" t="s">
        <v>1806</v>
      </c>
      <c r="F190">
        <v>0</v>
      </c>
    </row>
    <row r="191" spans="3:6" x14ac:dyDescent="0.25">
      <c r="D191" s="19" t="s">
        <v>1807</v>
      </c>
      <c r="E191" s="19" t="s">
        <v>1808</v>
      </c>
      <c r="F191">
        <v>0</v>
      </c>
    </row>
    <row r="192" spans="3:6" x14ac:dyDescent="0.25">
      <c r="D192" s="19" t="s">
        <v>1801</v>
      </c>
      <c r="E192" s="19" t="s">
        <v>1784</v>
      </c>
      <c r="F192">
        <v>0</v>
      </c>
    </row>
    <row r="193" spans="1:6" x14ac:dyDescent="0.25">
      <c r="D193" s="19" t="s">
        <v>1802</v>
      </c>
      <c r="E193" s="19" t="s">
        <v>791</v>
      </c>
      <c r="F193">
        <v>0</v>
      </c>
    </row>
    <row r="194" spans="1:6" x14ac:dyDescent="0.25">
      <c r="D194" s="19" t="s">
        <v>1803</v>
      </c>
      <c r="E194" s="19" t="s">
        <v>795</v>
      </c>
      <c r="F194">
        <v>1</v>
      </c>
    </row>
    <row r="195" spans="1:6" x14ac:dyDescent="0.25">
      <c r="A195">
        <f>Sample!A11</f>
        <v>29</v>
      </c>
      <c r="B195" s="15" t="str">
        <f>Sample!B11</f>
        <v>Alliant Energy Corp</v>
      </c>
      <c r="C195" s="19" t="s">
        <v>818</v>
      </c>
      <c r="D195" s="19" t="s">
        <v>826</v>
      </c>
      <c r="E195" s="19" t="s">
        <v>827</v>
      </c>
      <c r="F195">
        <v>1</v>
      </c>
    </row>
    <row r="196" spans="1:6" x14ac:dyDescent="0.25">
      <c r="D196" s="19" t="s">
        <v>831</v>
      </c>
      <c r="E196" s="19" t="s">
        <v>832</v>
      </c>
      <c r="F196">
        <v>1</v>
      </c>
    </row>
    <row r="197" spans="1:6" x14ac:dyDescent="0.25">
      <c r="D197" s="19" t="s">
        <v>833</v>
      </c>
      <c r="E197" s="19" t="s">
        <v>834</v>
      </c>
      <c r="F197">
        <v>1</v>
      </c>
    </row>
    <row r="198" spans="1:6" x14ac:dyDescent="0.25">
      <c r="D198" s="19" t="s">
        <v>845</v>
      </c>
      <c r="E198" s="19" t="s">
        <v>846</v>
      </c>
      <c r="F198">
        <v>0</v>
      </c>
    </row>
    <row r="199" spans="1:6" x14ac:dyDescent="0.25">
      <c r="D199" s="19" t="s">
        <v>847</v>
      </c>
      <c r="E199" s="19" t="s">
        <v>848</v>
      </c>
      <c r="F199">
        <v>1</v>
      </c>
    </row>
    <row r="200" spans="1:6" x14ac:dyDescent="0.25">
      <c r="D200" s="19" t="s">
        <v>849</v>
      </c>
      <c r="E200" s="19" t="s">
        <v>850</v>
      </c>
      <c r="F200">
        <v>1</v>
      </c>
    </row>
    <row r="201" spans="1:6" x14ac:dyDescent="0.25">
      <c r="D201" s="19" t="s">
        <v>835</v>
      </c>
      <c r="E201" s="19" t="s">
        <v>836</v>
      </c>
      <c r="F201">
        <v>1</v>
      </c>
    </row>
    <row r="202" spans="1:6" x14ac:dyDescent="0.25">
      <c r="D202" s="19" t="s">
        <v>837</v>
      </c>
      <c r="E202" s="19" t="s">
        <v>838</v>
      </c>
      <c r="F202">
        <v>0</v>
      </c>
    </row>
    <row r="203" spans="1:6" x14ac:dyDescent="0.25">
      <c r="D203" s="19" t="s">
        <v>839</v>
      </c>
      <c r="E203" s="19" t="s">
        <v>840</v>
      </c>
      <c r="F203">
        <v>1</v>
      </c>
    </row>
    <row r="204" spans="1:6" x14ac:dyDescent="0.25">
      <c r="D204" s="19" t="s">
        <v>841</v>
      </c>
      <c r="E204" s="19" t="s">
        <v>842</v>
      </c>
      <c r="F204">
        <v>1</v>
      </c>
    </row>
    <row r="205" spans="1:6" x14ac:dyDescent="0.25">
      <c r="D205" s="19" t="s">
        <v>819</v>
      </c>
      <c r="E205" s="19" t="s">
        <v>820</v>
      </c>
      <c r="F205">
        <v>1</v>
      </c>
    </row>
    <row r="206" spans="1:6" x14ac:dyDescent="0.25">
      <c r="D206" s="19" t="s">
        <v>821</v>
      </c>
      <c r="E206" s="19" t="s">
        <v>822</v>
      </c>
      <c r="F206">
        <v>1</v>
      </c>
    </row>
    <row r="207" spans="1:6" x14ac:dyDescent="0.25">
      <c r="D207" s="19" t="s">
        <v>823</v>
      </c>
      <c r="E207" s="19" t="s">
        <v>306</v>
      </c>
      <c r="F207">
        <v>1</v>
      </c>
    </row>
    <row r="208" spans="1:6" x14ac:dyDescent="0.25">
      <c r="D208" s="19" t="s">
        <v>824</v>
      </c>
      <c r="E208" s="19" t="s">
        <v>825</v>
      </c>
      <c r="F208">
        <v>1</v>
      </c>
    </row>
    <row r="209" spans="1:6" x14ac:dyDescent="0.25">
      <c r="D209" s="19" t="s">
        <v>855</v>
      </c>
      <c r="E209" s="19" t="s">
        <v>856</v>
      </c>
      <c r="F209">
        <v>1</v>
      </c>
    </row>
    <row r="210" spans="1:6" x14ac:dyDescent="0.25">
      <c r="D210" s="19" t="s">
        <v>857</v>
      </c>
      <c r="E210" s="19" t="s">
        <v>858</v>
      </c>
      <c r="F210">
        <v>1</v>
      </c>
    </row>
    <row r="211" spans="1:6" x14ac:dyDescent="0.25">
      <c r="D211" s="19" t="s">
        <v>851</v>
      </c>
      <c r="E211" s="19" t="s">
        <v>852</v>
      </c>
      <c r="F211">
        <v>0</v>
      </c>
    </row>
    <row r="212" spans="1:6" x14ac:dyDescent="0.25">
      <c r="D212" s="19" t="s">
        <v>853</v>
      </c>
      <c r="E212" s="19" t="s">
        <v>854</v>
      </c>
      <c r="F212">
        <v>0</v>
      </c>
    </row>
    <row r="213" spans="1:6" x14ac:dyDescent="0.25">
      <c r="D213" s="19" t="s">
        <v>828</v>
      </c>
      <c r="E213" s="19" t="s">
        <v>312</v>
      </c>
      <c r="F213">
        <v>1</v>
      </c>
    </row>
    <row r="214" spans="1:6" x14ac:dyDescent="0.25">
      <c r="D214" s="19" t="s">
        <v>829</v>
      </c>
      <c r="E214" s="19" t="s">
        <v>316</v>
      </c>
      <c r="F214">
        <v>1</v>
      </c>
    </row>
    <row r="215" spans="1:6" x14ac:dyDescent="0.25">
      <c r="D215" s="19" t="s">
        <v>830</v>
      </c>
      <c r="E215" s="19" t="s">
        <v>314</v>
      </c>
      <c r="F215">
        <v>1</v>
      </c>
    </row>
    <row r="216" spans="1:6" x14ac:dyDescent="0.25">
      <c r="D216" s="19" t="s">
        <v>843</v>
      </c>
      <c r="E216" s="19" t="s">
        <v>844</v>
      </c>
      <c r="F216">
        <v>1</v>
      </c>
    </row>
    <row r="217" spans="1:6" x14ac:dyDescent="0.25">
      <c r="A217">
        <v>30</v>
      </c>
      <c r="B217" s="97" t="s">
        <v>12</v>
      </c>
      <c r="C217" s="19" t="s">
        <v>1155</v>
      </c>
      <c r="D217" s="19" t="s">
        <v>1157</v>
      </c>
      <c r="E217" s="19" t="s">
        <v>844</v>
      </c>
      <c r="F217">
        <v>1</v>
      </c>
    </row>
    <row r="218" spans="1:6" x14ac:dyDescent="0.25">
      <c r="D218" s="19" t="s">
        <v>1156</v>
      </c>
      <c r="E218" s="19" t="s">
        <v>273</v>
      </c>
      <c r="F218">
        <v>1</v>
      </c>
    </row>
    <row r="219" spans="1:6" x14ac:dyDescent="0.25">
      <c r="D219" s="19" t="s">
        <v>1158</v>
      </c>
      <c r="E219" s="19" t="s">
        <v>1159</v>
      </c>
      <c r="F219">
        <v>0</v>
      </c>
    </row>
    <row r="220" spans="1:6" x14ac:dyDescent="0.25">
      <c r="D220" s="19" t="s">
        <v>1160</v>
      </c>
      <c r="E220" s="19" t="s">
        <v>1161</v>
      </c>
      <c r="F220">
        <v>0</v>
      </c>
    </row>
    <row r="221" spans="1:6" x14ac:dyDescent="0.25">
      <c r="D221" s="19" t="s">
        <v>1162</v>
      </c>
      <c r="E221" s="19" t="s">
        <v>1163</v>
      </c>
      <c r="F221">
        <v>0</v>
      </c>
    </row>
    <row r="222" spans="1:6" x14ac:dyDescent="0.25">
      <c r="D222" s="19" t="s">
        <v>1164</v>
      </c>
      <c r="E222" s="19" t="s">
        <v>1165</v>
      </c>
      <c r="F222">
        <v>0</v>
      </c>
    </row>
    <row r="223" spans="1:6" x14ac:dyDescent="0.25">
      <c r="D223" s="19" t="s">
        <v>1166</v>
      </c>
      <c r="E223" s="19" t="s">
        <v>295</v>
      </c>
      <c r="F223">
        <v>1</v>
      </c>
    </row>
    <row r="224" spans="1:6" x14ac:dyDescent="0.25">
      <c r="D224" s="19" t="s">
        <v>1167</v>
      </c>
      <c r="E224" s="19" t="s">
        <v>1168</v>
      </c>
      <c r="F224">
        <v>1</v>
      </c>
    </row>
    <row r="225" spans="1:6" x14ac:dyDescent="0.25">
      <c r="A225">
        <v>35</v>
      </c>
      <c r="B225" s="15" t="s">
        <v>13</v>
      </c>
      <c r="C225" s="19" t="s">
        <v>818</v>
      </c>
      <c r="D225" s="19" t="s">
        <v>826</v>
      </c>
      <c r="E225" s="19" t="s">
        <v>827</v>
      </c>
      <c r="F225">
        <v>1</v>
      </c>
    </row>
    <row r="226" spans="1:6" x14ac:dyDescent="0.25">
      <c r="D226" s="19" t="s">
        <v>831</v>
      </c>
      <c r="E226" s="19" t="s">
        <v>832</v>
      </c>
      <c r="F226">
        <v>1</v>
      </c>
    </row>
    <row r="227" spans="1:6" x14ac:dyDescent="0.25">
      <c r="D227" s="19" t="s">
        <v>833</v>
      </c>
      <c r="E227" s="19" t="s">
        <v>834</v>
      </c>
      <c r="F227">
        <v>1</v>
      </c>
    </row>
    <row r="228" spans="1:6" x14ac:dyDescent="0.25">
      <c r="D228" s="19" t="s">
        <v>845</v>
      </c>
      <c r="E228" s="19" t="s">
        <v>846</v>
      </c>
      <c r="F228">
        <v>1</v>
      </c>
    </row>
    <row r="229" spans="1:6" x14ac:dyDescent="0.25">
      <c r="D229" s="19" t="s">
        <v>847</v>
      </c>
      <c r="E229" s="19" t="s">
        <v>848</v>
      </c>
      <c r="F229">
        <v>1</v>
      </c>
    </row>
    <row r="230" spans="1:6" x14ac:dyDescent="0.25">
      <c r="D230" s="19" t="s">
        <v>849</v>
      </c>
      <c r="E230" s="19" t="s">
        <v>850</v>
      </c>
      <c r="F230">
        <v>1</v>
      </c>
    </row>
    <row r="231" spans="1:6" x14ac:dyDescent="0.25">
      <c r="D231" s="19" t="s">
        <v>835</v>
      </c>
      <c r="E231" s="19" t="s">
        <v>836</v>
      </c>
      <c r="F231">
        <v>1</v>
      </c>
    </row>
    <row r="232" spans="1:6" x14ac:dyDescent="0.25">
      <c r="D232" s="19" t="s">
        <v>837</v>
      </c>
      <c r="E232" s="19" t="s">
        <v>838</v>
      </c>
      <c r="F232">
        <v>1</v>
      </c>
    </row>
    <row r="233" spans="1:6" x14ac:dyDescent="0.25">
      <c r="D233" s="19" t="s">
        <v>839</v>
      </c>
      <c r="E233" s="19" t="s">
        <v>840</v>
      </c>
      <c r="F233">
        <v>1</v>
      </c>
    </row>
    <row r="234" spans="1:6" x14ac:dyDescent="0.25">
      <c r="D234" s="19" t="s">
        <v>841</v>
      </c>
      <c r="E234" s="19" t="s">
        <v>842</v>
      </c>
      <c r="F234">
        <v>1</v>
      </c>
    </row>
    <row r="235" spans="1:6" x14ac:dyDescent="0.25">
      <c r="D235" s="19" t="s">
        <v>819</v>
      </c>
      <c r="E235" s="19" t="s">
        <v>820</v>
      </c>
      <c r="F235">
        <v>1</v>
      </c>
    </row>
    <row r="236" spans="1:6" x14ac:dyDescent="0.25">
      <c r="D236" s="19" t="s">
        <v>821</v>
      </c>
      <c r="E236" s="19" t="s">
        <v>822</v>
      </c>
      <c r="F236">
        <v>1</v>
      </c>
    </row>
    <row r="237" spans="1:6" x14ac:dyDescent="0.25">
      <c r="D237" s="19" t="s">
        <v>823</v>
      </c>
      <c r="E237" s="19" t="s">
        <v>306</v>
      </c>
      <c r="F237">
        <v>1</v>
      </c>
    </row>
    <row r="238" spans="1:6" x14ac:dyDescent="0.25">
      <c r="D238" s="19" t="s">
        <v>824</v>
      </c>
      <c r="E238" s="19" t="s">
        <v>825</v>
      </c>
      <c r="F238">
        <v>1</v>
      </c>
    </row>
    <row r="239" spans="1:6" x14ac:dyDescent="0.25">
      <c r="D239" s="19" t="s">
        <v>855</v>
      </c>
      <c r="E239" s="19" t="s">
        <v>856</v>
      </c>
      <c r="F239">
        <v>1</v>
      </c>
    </row>
    <row r="240" spans="1:6" x14ac:dyDescent="0.25">
      <c r="D240" s="19" t="s">
        <v>857</v>
      </c>
      <c r="E240" s="19" t="s">
        <v>858</v>
      </c>
      <c r="F240">
        <v>1</v>
      </c>
    </row>
    <row r="241" spans="1:6" x14ac:dyDescent="0.25">
      <c r="D241" s="19" t="s">
        <v>851</v>
      </c>
      <c r="E241" s="19" t="s">
        <v>852</v>
      </c>
      <c r="F241">
        <v>1</v>
      </c>
    </row>
    <row r="242" spans="1:6" x14ac:dyDescent="0.25">
      <c r="D242" s="19" t="s">
        <v>853</v>
      </c>
      <c r="E242" s="19" t="s">
        <v>854</v>
      </c>
      <c r="F242">
        <v>1</v>
      </c>
    </row>
    <row r="243" spans="1:6" x14ac:dyDescent="0.25">
      <c r="D243" s="19" t="s">
        <v>828</v>
      </c>
      <c r="E243" s="19" t="s">
        <v>312</v>
      </c>
      <c r="F243">
        <v>1</v>
      </c>
    </row>
    <row r="244" spans="1:6" x14ac:dyDescent="0.25">
      <c r="D244" s="19" t="s">
        <v>829</v>
      </c>
      <c r="E244" s="19" t="s">
        <v>316</v>
      </c>
      <c r="F244">
        <v>1</v>
      </c>
    </row>
    <row r="245" spans="1:6" x14ac:dyDescent="0.25">
      <c r="D245" s="19" t="s">
        <v>830</v>
      </c>
      <c r="E245" s="19" t="s">
        <v>314</v>
      </c>
      <c r="F245">
        <v>1</v>
      </c>
    </row>
    <row r="246" spans="1:6" x14ac:dyDescent="0.25">
      <c r="D246" s="19" t="s">
        <v>843</v>
      </c>
      <c r="E246" s="19" t="s">
        <v>844</v>
      </c>
      <c r="F246">
        <v>1</v>
      </c>
    </row>
    <row r="247" spans="1:6" x14ac:dyDescent="0.25">
      <c r="A247">
        <v>36</v>
      </c>
      <c r="B247" s="15" t="s">
        <v>14</v>
      </c>
      <c r="C247" s="19" t="s">
        <v>362</v>
      </c>
      <c r="D247" s="19" t="s">
        <v>363</v>
      </c>
      <c r="E247" s="19" t="s">
        <v>304</v>
      </c>
      <c r="F247">
        <v>1</v>
      </c>
    </row>
    <row r="248" spans="1:6" x14ac:dyDescent="0.25">
      <c r="C248" s="19"/>
      <c r="D248" s="19" t="s">
        <v>364</v>
      </c>
      <c r="E248" s="19" t="s">
        <v>306</v>
      </c>
      <c r="F248">
        <v>1</v>
      </c>
    </row>
    <row r="249" spans="1:6" x14ac:dyDescent="0.25">
      <c r="C249" s="19"/>
      <c r="D249" s="19" t="s">
        <v>365</v>
      </c>
      <c r="E249" s="19" t="s">
        <v>366</v>
      </c>
      <c r="F249">
        <v>1</v>
      </c>
    </row>
    <row r="250" spans="1:6" x14ac:dyDescent="0.25">
      <c r="C250" s="19"/>
      <c r="D250" s="19" t="s">
        <v>367</v>
      </c>
      <c r="E250" s="19" t="s">
        <v>368</v>
      </c>
      <c r="F250">
        <v>1</v>
      </c>
    </row>
    <row r="251" spans="1:6" x14ac:dyDescent="0.25">
      <c r="C251" s="19"/>
      <c r="D251" s="19" t="s">
        <v>369</v>
      </c>
      <c r="E251" s="19" t="s">
        <v>370</v>
      </c>
      <c r="F251">
        <v>1</v>
      </c>
    </row>
    <row r="252" spans="1:6" x14ac:dyDescent="0.25">
      <c r="C252" s="19"/>
      <c r="D252" s="19" t="s">
        <v>371</v>
      </c>
      <c r="E252" s="19" t="s">
        <v>372</v>
      </c>
      <c r="F252">
        <v>1</v>
      </c>
    </row>
    <row r="253" spans="1:6" x14ac:dyDescent="0.25">
      <c r="C253" s="19"/>
      <c r="D253" s="19" t="s">
        <v>373</v>
      </c>
      <c r="E253" s="19" t="s">
        <v>355</v>
      </c>
      <c r="F253">
        <v>1</v>
      </c>
    </row>
    <row r="254" spans="1:6" x14ac:dyDescent="0.25">
      <c r="C254" s="19"/>
      <c r="D254" s="19" t="s">
        <v>374</v>
      </c>
      <c r="E254" s="19" t="s">
        <v>357</v>
      </c>
      <c r="F254">
        <v>1</v>
      </c>
    </row>
    <row r="255" spans="1:6" x14ac:dyDescent="0.25">
      <c r="C255" s="19"/>
      <c r="D255" s="19" t="s">
        <v>375</v>
      </c>
      <c r="E255" s="19" t="s">
        <v>376</v>
      </c>
      <c r="F255">
        <v>1</v>
      </c>
    </row>
    <row r="256" spans="1:6" x14ac:dyDescent="0.25">
      <c r="A256">
        <v>39</v>
      </c>
      <c r="B256" s="15" t="s">
        <v>1972</v>
      </c>
      <c r="C256" s="19" t="s">
        <v>682</v>
      </c>
      <c r="D256" s="19" t="s">
        <v>683</v>
      </c>
      <c r="E256" s="19" t="s">
        <v>684</v>
      </c>
      <c r="F256">
        <v>0</v>
      </c>
    </row>
    <row r="257" spans="3:8" x14ac:dyDescent="0.25">
      <c r="D257" s="19" t="s">
        <v>685</v>
      </c>
      <c r="E257" s="19" t="s">
        <v>686</v>
      </c>
      <c r="F257">
        <v>1</v>
      </c>
    </row>
    <row r="258" spans="3:8" x14ac:dyDescent="0.25">
      <c r="D258" s="19" t="s">
        <v>687</v>
      </c>
      <c r="E258" s="19" t="s">
        <v>638</v>
      </c>
      <c r="F258">
        <v>0</v>
      </c>
      <c r="H258" s="3"/>
    </row>
    <row r="259" spans="3:8" x14ac:dyDescent="0.25">
      <c r="D259" s="19" t="s">
        <v>688</v>
      </c>
      <c r="E259" s="19" t="s">
        <v>689</v>
      </c>
      <c r="F259">
        <v>1</v>
      </c>
    </row>
    <row r="260" spans="3:8" x14ac:dyDescent="0.25">
      <c r="D260" s="19" t="s">
        <v>690</v>
      </c>
      <c r="E260" s="19" t="s">
        <v>640</v>
      </c>
      <c r="F260">
        <v>1</v>
      </c>
    </row>
    <row r="261" spans="3:8" x14ac:dyDescent="0.25">
      <c r="D261" s="19" t="s">
        <v>691</v>
      </c>
      <c r="E261" s="19" t="s">
        <v>692</v>
      </c>
      <c r="F261">
        <v>1</v>
      </c>
    </row>
    <row r="262" spans="3:8" x14ac:dyDescent="0.25">
      <c r="D262" s="19" t="s">
        <v>693</v>
      </c>
      <c r="E262" s="19" t="s">
        <v>694</v>
      </c>
      <c r="F262">
        <v>1</v>
      </c>
    </row>
    <row r="263" spans="3:8" x14ac:dyDescent="0.25">
      <c r="D263" s="19" t="s">
        <v>695</v>
      </c>
      <c r="E263" s="19" t="s">
        <v>696</v>
      </c>
      <c r="F263">
        <v>0</v>
      </c>
    </row>
    <row r="264" spans="3:8" x14ac:dyDescent="0.25">
      <c r="D264" s="19" t="s">
        <v>697</v>
      </c>
      <c r="E264" s="19" t="s">
        <v>698</v>
      </c>
      <c r="F264">
        <v>1</v>
      </c>
    </row>
    <row r="265" spans="3:8" x14ac:dyDescent="0.25">
      <c r="D265" s="19" t="s">
        <v>699</v>
      </c>
      <c r="E265" s="19" t="s">
        <v>700</v>
      </c>
      <c r="F265">
        <v>1</v>
      </c>
    </row>
    <row r="266" spans="3:8" x14ac:dyDescent="0.25">
      <c r="C266" s="19" t="s">
        <v>636</v>
      </c>
      <c r="D266" s="19" t="s">
        <v>653</v>
      </c>
      <c r="E266" s="19" t="s">
        <v>438</v>
      </c>
      <c r="F266">
        <v>1</v>
      </c>
    </row>
    <row r="267" spans="3:8" x14ac:dyDescent="0.25">
      <c r="D267" s="19" t="s">
        <v>654</v>
      </c>
      <c r="E267" s="19" t="s">
        <v>440</v>
      </c>
      <c r="F267">
        <v>1</v>
      </c>
    </row>
    <row r="268" spans="3:8" x14ac:dyDescent="0.25">
      <c r="D268" s="19" t="s">
        <v>637</v>
      </c>
      <c r="E268" s="19" t="s">
        <v>638</v>
      </c>
      <c r="F268">
        <v>0</v>
      </c>
    </row>
    <row r="269" spans="3:8" x14ac:dyDescent="0.25">
      <c r="D269" s="19" t="s">
        <v>639</v>
      </c>
      <c r="E269" s="19" t="s">
        <v>640</v>
      </c>
      <c r="F269">
        <v>1</v>
      </c>
    </row>
    <row r="270" spans="3:8" x14ac:dyDescent="0.25">
      <c r="D270" s="19" t="s">
        <v>641</v>
      </c>
      <c r="E270" s="19" t="s">
        <v>642</v>
      </c>
      <c r="F270">
        <v>0</v>
      </c>
    </row>
    <row r="271" spans="3:8" x14ac:dyDescent="0.25">
      <c r="D271" s="19" t="s">
        <v>643</v>
      </c>
      <c r="E271" s="19" t="s">
        <v>644</v>
      </c>
      <c r="F271">
        <v>0</v>
      </c>
    </row>
    <row r="272" spans="3:8" x14ac:dyDescent="0.25">
      <c r="D272" s="19" t="s">
        <v>645</v>
      </c>
      <c r="E272" s="19" t="s">
        <v>646</v>
      </c>
      <c r="F272">
        <v>0</v>
      </c>
    </row>
    <row r="273" spans="3:6" x14ac:dyDescent="0.25">
      <c r="D273" s="19" t="s">
        <v>647</v>
      </c>
      <c r="E273" s="19" t="s">
        <v>648</v>
      </c>
      <c r="F273">
        <v>1</v>
      </c>
    </row>
    <row r="274" spans="3:6" x14ac:dyDescent="0.25">
      <c r="D274" s="19" t="s">
        <v>649</v>
      </c>
      <c r="E274" s="19" t="s">
        <v>650</v>
      </c>
      <c r="F274">
        <v>0</v>
      </c>
    </row>
    <row r="275" spans="3:6" x14ac:dyDescent="0.25">
      <c r="D275" s="19" t="s">
        <v>651</v>
      </c>
      <c r="E275" s="19" t="s">
        <v>652</v>
      </c>
      <c r="F275">
        <v>1</v>
      </c>
    </row>
    <row r="276" spans="3:6" x14ac:dyDescent="0.25">
      <c r="D276" s="19" t="s">
        <v>655</v>
      </c>
      <c r="E276" s="19" t="s">
        <v>656</v>
      </c>
      <c r="F276">
        <v>1</v>
      </c>
    </row>
    <row r="277" spans="3:6" x14ac:dyDescent="0.25">
      <c r="D277" s="19" t="s">
        <v>657</v>
      </c>
      <c r="E277" s="19" t="s">
        <v>658</v>
      </c>
      <c r="F277">
        <v>1</v>
      </c>
    </row>
    <row r="278" spans="3:6" x14ac:dyDescent="0.25">
      <c r="C278" s="19" t="s">
        <v>1790</v>
      </c>
      <c r="D278" s="19" t="s">
        <v>1794</v>
      </c>
      <c r="E278" s="19" t="s">
        <v>786</v>
      </c>
      <c r="F278">
        <v>1</v>
      </c>
    </row>
    <row r="279" spans="3:6" x14ac:dyDescent="0.25">
      <c r="D279" s="19" t="s">
        <v>1795</v>
      </c>
      <c r="E279" s="19" t="s">
        <v>784</v>
      </c>
      <c r="F279">
        <v>0</v>
      </c>
    </row>
    <row r="280" spans="3:6" x14ac:dyDescent="0.25">
      <c r="D280" s="19" t="s">
        <v>1796</v>
      </c>
      <c r="E280" s="19" t="s">
        <v>1205</v>
      </c>
      <c r="F280">
        <v>1</v>
      </c>
    </row>
    <row r="281" spans="3:6" x14ac:dyDescent="0.25">
      <c r="D281" s="19" t="s">
        <v>1797</v>
      </c>
      <c r="E281" s="19" t="s">
        <v>1207</v>
      </c>
      <c r="F281">
        <v>0</v>
      </c>
    </row>
    <row r="282" spans="3:6" x14ac:dyDescent="0.25">
      <c r="D282" s="19" t="s">
        <v>1798</v>
      </c>
      <c r="E282" s="19" t="s">
        <v>1209</v>
      </c>
      <c r="F282">
        <v>0</v>
      </c>
    </row>
    <row r="283" spans="3:6" x14ac:dyDescent="0.25">
      <c r="D283" s="19" t="s">
        <v>1799</v>
      </c>
      <c r="E283" s="19" t="s">
        <v>789</v>
      </c>
      <c r="F283">
        <v>0</v>
      </c>
    </row>
    <row r="284" spans="3:6" x14ac:dyDescent="0.25">
      <c r="D284" s="19" t="s">
        <v>1800</v>
      </c>
      <c r="E284" s="19" t="s">
        <v>1214</v>
      </c>
      <c r="F284">
        <v>1</v>
      </c>
    </row>
    <row r="285" spans="3:6" x14ac:dyDescent="0.25">
      <c r="D285" s="19" t="s">
        <v>1791</v>
      </c>
      <c r="E285" s="19" t="s">
        <v>273</v>
      </c>
      <c r="F285">
        <v>1</v>
      </c>
    </row>
    <row r="286" spans="3:6" x14ac:dyDescent="0.25">
      <c r="D286" s="19" t="s">
        <v>1792</v>
      </c>
      <c r="E286" s="19" t="s">
        <v>312</v>
      </c>
      <c r="F286">
        <v>0</v>
      </c>
    </row>
    <row r="287" spans="3:6" x14ac:dyDescent="0.25">
      <c r="D287" s="19" t="s">
        <v>1793</v>
      </c>
      <c r="E287" s="19" t="s">
        <v>801</v>
      </c>
      <c r="F287">
        <v>1</v>
      </c>
    </row>
    <row r="288" spans="3:6" x14ac:dyDescent="0.25">
      <c r="D288" s="19" t="s">
        <v>1804</v>
      </c>
      <c r="E288" s="19" t="s">
        <v>372</v>
      </c>
      <c r="F288">
        <v>1</v>
      </c>
    </row>
    <row r="289" spans="1:6" x14ac:dyDescent="0.25">
      <c r="D289" s="19" t="s">
        <v>1805</v>
      </c>
      <c r="E289" s="19" t="s">
        <v>1806</v>
      </c>
      <c r="F289">
        <v>0</v>
      </c>
    </row>
    <row r="290" spans="1:6" x14ac:dyDescent="0.25">
      <c r="D290" s="19" t="s">
        <v>1807</v>
      </c>
      <c r="E290" s="19" t="s">
        <v>1808</v>
      </c>
      <c r="F290">
        <v>0</v>
      </c>
    </row>
    <row r="291" spans="1:6" x14ac:dyDescent="0.25">
      <c r="D291" s="19" t="s">
        <v>1801</v>
      </c>
      <c r="E291" s="19" t="s">
        <v>1784</v>
      </c>
      <c r="F291">
        <v>0</v>
      </c>
    </row>
    <row r="292" spans="1:6" x14ac:dyDescent="0.25">
      <c r="D292" s="19" t="s">
        <v>1802</v>
      </c>
      <c r="E292" s="19" t="s">
        <v>791</v>
      </c>
      <c r="F292">
        <v>1</v>
      </c>
    </row>
    <row r="293" spans="1:6" x14ac:dyDescent="0.25">
      <c r="D293" s="19" t="s">
        <v>1803</v>
      </c>
      <c r="E293" s="19" t="s">
        <v>795</v>
      </c>
      <c r="F293">
        <v>1</v>
      </c>
    </row>
    <row r="294" spans="1:6" x14ac:dyDescent="0.25">
      <c r="A294" s="3">
        <v>40</v>
      </c>
      <c r="B294" s="15" t="s">
        <v>16</v>
      </c>
      <c r="C294" s="19" t="s">
        <v>1685</v>
      </c>
      <c r="D294" s="19" t="s">
        <v>1709</v>
      </c>
      <c r="E294" s="19" t="s">
        <v>1710</v>
      </c>
      <c r="F294">
        <v>0</v>
      </c>
    </row>
    <row r="295" spans="1:6" x14ac:dyDescent="0.25">
      <c r="D295" s="19" t="s">
        <v>1711</v>
      </c>
      <c r="E295" s="19" t="s">
        <v>1124</v>
      </c>
      <c r="F295">
        <v>1</v>
      </c>
    </row>
    <row r="296" spans="1:6" x14ac:dyDescent="0.25">
      <c r="D296" s="19" t="s">
        <v>1686</v>
      </c>
      <c r="E296" s="19" t="s">
        <v>1687</v>
      </c>
      <c r="F296">
        <v>1</v>
      </c>
    </row>
    <row r="297" spans="1:6" x14ac:dyDescent="0.25">
      <c r="D297" s="19" t="s">
        <v>1688</v>
      </c>
      <c r="E297" s="19" t="s">
        <v>1689</v>
      </c>
      <c r="F297">
        <v>1</v>
      </c>
    </row>
    <row r="298" spans="1:6" x14ac:dyDescent="0.25">
      <c r="D298" s="19" t="s">
        <v>1690</v>
      </c>
      <c r="E298" s="19" t="s">
        <v>1691</v>
      </c>
      <c r="F298">
        <v>0</v>
      </c>
    </row>
    <row r="299" spans="1:6" x14ac:dyDescent="0.25">
      <c r="D299" s="19" t="s">
        <v>1692</v>
      </c>
      <c r="E299" s="19" t="s">
        <v>1693</v>
      </c>
      <c r="F299">
        <v>0</v>
      </c>
    </row>
    <row r="300" spans="1:6" x14ac:dyDescent="0.25">
      <c r="D300" s="19" t="s">
        <v>1694</v>
      </c>
      <c r="E300" s="19" t="s">
        <v>1695</v>
      </c>
      <c r="F300">
        <v>1</v>
      </c>
    </row>
    <row r="301" spans="1:6" x14ac:dyDescent="0.25">
      <c r="D301" s="19" t="s">
        <v>1703</v>
      </c>
      <c r="E301" s="19" t="s">
        <v>1704</v>
      </c>
      <c r="F301">
        <v>0</v>
      </c>
    </row>
    <row r="302" spans="1:6" x14ac:dyDescent="0.25">
      <c r="D302" s="19" t="s">
        <v>1705</v>
      </c>
      <c r="E302" s="19" t="s">
        <v>1706</v>
      </c>
      <c r="F302">
        <v>1</v>
      </c>
    </row>
    <row r="303" spans="1:6" x14ac:dyDescent="0.25">
      <c r="D303" s="19" t="s">
        <v>1707</v>
      </c>
      <c r="E303" s="19" t="s">
        <v>1708</v>
      </c>
      <c r="F303">
        <v>1</v>
      </c>
    </row>
    <row r="304" spans="1:6" x14ac:dyDescent="0.25">
      <c r="D304" s="19" t="s">
        <v>1696</v>
      </c>
      <c r="E304" s="19" t="s">
        <v>1697</v>
      </c>
      <c r="F304">
        <v>1</v>
      </c>
    </row>
    <row r="305" spans="1:6" x14ac:dyDescent="0.25">
      <c r="D305" s="19" t="s">
        <v>1698</v>
      </c>
      <c r="E305" s="19" t="s">
        <v>1699</v>
      </c>
      <c r="F305">
        <v>1</v>
      </c>
    </row>
    <row r="306" spans="1:6" x14ac:dyDescent="0.25">
      <c r="D306" s="19" t="s">
        <v>1700</v>
      </c>
      <c r="E306" s="19" t="s">
        <v>1701</v>
      </c>
      <c r="F306">
        <v>0</v>
      </c>
    </row>
    <row r="307" spans="1:6" x14ac:dyDescent="0.25">
      <c r="D307" s="19" t="s">
        <v>1702</v>
      </c>
      <c r="E307" s="19" t="s">
        <v>314</v>
      </c>
      <c r="F307">
        <v>1</v>
      </c>
    </row>
    <row r="308" spans="1:6" x14ac:dyDescent="0.25">
      <c r="A308" s="3">
        <v>42</v>
      </c>
      <c r="B308" s="15" t="s">
        <v>17</v>
      </c>
      <c r="C308" s="19" t="s">
        <v>1685</v>
      </c>
      <c r="D308" s="19" t="s">
        <v>1709</v>
      </c>
      <c r="E308" s="19" t="s">
        <v>1710</v>
      </c>
      <c r="F308">
        <v>1</v>
      </c>
    </row>
    <row r="309" spans="1:6" x14ac:dyDescent="0.25">
      <c r="D309" s="19" t="s">
        <v>1711</v>
      </c>
      <c r="E309" s="19" t="s">
        <v>1124</v>
      </c>
      <c r="F309">
        <v>1</v>
      </c>
    </row>
    <row r="310" spans="1:6" x14ac:dyDescent="0.25">
      <c r="D310" s="19" t="s">
        <v>1686</v>
      </c>
      <c r="E310" s="19" t="s">
        <v>1687</v>
      </c>
      <c r="F310">
        <v>1</v>
      </c>
    </row>
    <row r="311" spans="1:6" x14ac:dyDescent="0.25">
      <c r="D311" s="19" t="s">
        <v>1688</v>
      </c>
      <c r="E311" s="19" t="s">
        <v>1689</v>
      </c>
      <c r="F311">
        <v>1</v>
      </c>
    </row>
    <row r="312" spans="1:6" x14ac:dyDescent="0.25">
      <c r="D312" s="19" t="s">
        <v>1690</v>
      </c>
      <c r="E312" s="19" t="s">
        <v>1691</v>
      </c>
      <c r="F312">
        <v>1</v>
      </c>
    </row>
    <row r="313" spans="1:6" x14ac:dyDescent="0.25">
      <c r="D313" s="19" t="s">
        <v>1692</v>
      </c>
      <c r="E313" s="19" t="s">
        <v>1693</v>
      </c>
      <c r="F313">
        <v>2</v>
      </c>
    </row>
    <row r="314" spans="1:6" x14ac:dyDescent="0.25">
      <c r="D314" s="19" t="s">
        <v>1694</v>
      </c>
      <c r="E314" s="19" t="s">
        <v>1695</v>
      </c>
      <c r="F314">
        <v>1</v>
      </c>
    </row>
    <row r="315" spans="1:6" x14ac:dyDescent="0.25">
      <c r="D315" s="19" t="s">
        <v>1703</v>
      </c>
      <c r="E315" s="19" t="s">
        <v>1704</v>
      </c>
      <c r="F315">
        <v>2</v>
      </c>
    </row>
    <row r="316" spans="1:6" x14ac:dyDescent="0.25">
      <c r="D316" s="19" t="s">
        <v>1705</v>
      </c>
      <c r="E316" s="19" t="s">
        <v>1706</v>
      </c>
      <c r="F316">
        <v>1</v>
      </c>
    </row>
    <row r="317" spans="1:6" x14ac:dyDescent="0.25">
      <c r="D317" s="19" t="s">
        <v>1707</v>
      </c>
      <c r="E317" s="19" t="s">
        <v>1708</v>
      </c>
      <c r="F317">
        <v>1</v>
      </c>
    </row>
    <row r="318" spans="1:6" x14ac:dyDescent="0.25">
      <c r="D318" s="19" t="s">
        <v>1696</v>
      </c>
      <c r="E318" s="19" t="s">
        <v>1697</v>
      </c>
      <c r="F318">
        <v>1</v>
      </c>
    </row>
    <row r="319" spans="1:6" x14ac:dyDescent="0.25">
      <c r="D319" s="19" t="s">
        <v>1698</v>
      </c>
      <c r="E319" s="19" t="s">
        <v>1699</v>
      </c>
      <c r="F319">
        <v>1</v>
      </c>
    </row>
    <row r="320" spans="1:6" x14ac:dyDescent="0.25">
      <c r="D320" s="19" t="s">
        <v>1700</v>
      </c>
      <c r="E320" s="19" t="s">
        <v>1701</v>
      </c>
      <c r="F320">
        <v>1</v>
      </c>
    </row>
    <row r="321" spans="1:6" x14ac:dyDescent="0.25">
      <c r="D321" s="19" t="s">
        <v>1702</v>
      </c>
      <c r="E321" s="19" t="s">
        <v>314</v>
      </c>
      <c r="F321">
        <v>1</v>
      </c>
    </row>
    <row r="322" spans="1:6" x14ac:dyDescent="0.25">
      <c r="C322" s="19" t="s">
        <v>1832</v>
      </c>
      <c r="D322" s="19" t="s">
        <v>1845</v>
      </c>
      <c r="E322" s="19" t="s">
        <v>372</v>
      </c>
      <c r="F322">
        <v>1</v>
      </c>
    </row>
    <row r="323" spans="1:6" x14ac:dyDescent="0.25">
      <c r="D323" s="19" t="s">
        <v>1846</v>
      </c>
      <c r="E323" s="19" t="s">
        <v>1847</v>
      </c>
      <c r="F323">
        <v>2</v>
      </c>
    </row>
    <row r="324" spans="1:6" x14ac:dyDescent="0.25">
      <c r="D324" s="19" t="s">
        <v>1848</v>
      </c>
      <c r="E324" s="19" t="s">
        <v>1849</v>
      </c>
      <c r="F324">
        <v>2</v>
      </c>
    </row>
    <row r="325" spans="1:6" x14ac:dyDescent="0.25">
      <c r="D325" s="19" t="s">
        <v>1834</v>
      </c>
      <c r="E325" s="19" t="s">
        <v>1835</v>
      </c>
      <c r="F325">
        <v>1</v>
      </c>
    </row>
    <row r="326" spans="1:6" x14ac:dyDescent="0.25">
      <c r="D326" s="19" t="s">
        <v>1836</v>
      </c>
      <c r="E326" s="19" t="s">
        <v>1837</v>
      </c>
      <c r="F326">
        <v>1</v>
      </c>
    </row>
    <row r="327" spans="1:6" x14ac:dyDescent="0.25">
      <c r="D327" s="19" t="s">
        <v>1838</v>
      </c>
      <c r="E327" s="19" t="s">
        <v>686</v>
      </c>
      <c r="F327">
        <v>1</v>
      </c>
    </row>
    <row r="328" spans="1:6" x14ac:dyDescent="0.25">
      <c r="D328" s="19" t="s">
        <v>1839</v>
      </c>
      <c r="E328" s="19" t="s">
        <v>1840</v>
      </c>
      <c r="F328">
        <v>1</v>
      </c>
    </row>
    <row r="329" spans="1:6" x14ac:dyDescent="0.25">
      <c r="D329" s="19" t="s">
        <v>1841</v>
      </c>
      <c r="E329" s="19" t="s">
        <v>929</v>
      </c>
      <c r="F329">
        <v>1</v>
      </c>
    </row>
    <row r="330" spans="1:6" x14ac:dyDescent="0.25">
      <c r="D330" s="19" t="s">
        <v>1842</v>
      </c>
      <c r="E330" s="19" t="s">
        <v>1214</v>
      </c>
      <c r="F330">
        <v>1</v>
      </c>
    </row>
    <row r="331" spans="1:6" x14ac:dyDescent="0.25">
      <c r="D331" s="19" t="s">
        <v>1833</v>
      </c>
      <c r="E331" s="19" t="s">
        <v>273</v>
      </c>
      <c r="F331">
        <v>1</v>
      </c>
    </row>
    <row r="332" spans="1:6" x14ac:dyDescent="0.25">
      <c r="D332" s="19" t="s">
        <v>1850</v>
      </c>
      <c r="E332" s="19" t="s">
        <v>1851</v>
      </c>
      <c r="F332">
        <v>2</v>
      </c>
    </row>
    <row r="333" spans="1:6" x14ac:dyDescent="0.25">
      <c r="D333" s="19" t="s">
        <v>1852</v>
      </c>
      <c r="E333" s="19" t="s">
        <v>1853</v>
      </c>
      <c r="F333">
        <v>2</v>
      </c>
    </row>
    <row r="334" spans="1:6" x14ac:dyDescent="0.25">
      <c r="D334" s="19" t="s">
        <v>1843</v>
      </c>
      <c r="E334" s="19" t="s">
        <v>1844</v>
      </c>
      <c r="F334">
        <v>1</v>
      </c>
    </row>
    <row r="335" spans="1:6" x14ac:dyDescent="0.25">
      <c r="A335" s="3">
        <v>48</v>
      </c>
      <c r="B335" s="15" t="s">
        <v>18</v>
      </c>
      <c r="C335" s="19" t="s">
        <v>859</v>
      </c>
      <c r="D335" s="19" t="s">
        <v>872</v>
      </c>
      <c r="E335" s="19" t="s">
        <v>873</v>
      </c>
      <c r="F335">
        <v>1</v>
      </c>
    </row>
    <row r="336" spans="1:6" x14ac:dyDescent="0.25">
      <c r="D336" s="19" t="s">
        <v>874</v>
      </c>
      <c r="E336" s="19" t="s">
        <v>875</v>
      </c>
      <c r="F336">
        <v>1</v>
      </c>
    </row>
    <row r="337" spans="1:6" x14ac:dyDescent="0.25">
      <c r="D337" s="19" t="s">
        <v>876</v>
      </c>
      <c r="E337" s="19" t="s">
        <v>372</v>
      </c>
      <c r="F337">
        <v>1</v>
      </c>
    </row>
    <row r="338" spans="1:6" x14ac:dyDescent="0.25">
      <c r="D338" s="19" t="s">
        <v>860</v>
      </c>
      <c r="E338" s="19" t="s">
        <v>273</v>
      </c>
      <c r="F338">
        <v>1</v>
      </c>
    </row>
    <row r="339" spans="1:6" x14ac:dyDescent="0.25">
      <c r="D339" s="19" t="s">
        <v>861</v>
      </c>
      <c r="E339" s="19" t="s">
        <v>275</v>
      </c>
      <c r="F339">
        <v>1</v>
      </c>
    </row>
    <row r="340" spans="1:6" x14ac:dyDescent="0.25">
      <c r="D340" s="19" t="s">
        <v>862</v>
      </c>
      <c r="E340" s="19" t="s">
        <v>277</v>
      </c>
      <c r="F340">
        <v>1</v>
      </c>
    </row>
    <row r="341" spans="1:6" x14ac:dyDescent="0.25">
      <c r="D341" s="19" t="s">
        <v>871</v>
      </c>
      <c r="E341" s="19" t="s">
        <v>295</v>
      </c>
      <c r="F341">
        <v>1</v>
      </c>
    </row>
    <row r="342" spans="1:6" x14ac:dyDescent="0.25">
      <c r="D342" s="19" t="s">
        <v>865</v>
      </c>
      <c r="E342" s="19" t="s">
        <v>866</v>
      </c>
      <c r="F342">
        <v>0</v>
      </c>
    </row>
    <row r="343" spans="1:6" x14ac:dyDescent="0.25">
      <c r="D343" s="19" t="s">
        <v>867</v>
      </c>
      <c r="E343" s="19" t="s">
        <v>868</v>
      </c>
      <c r="F343">
        <v>1</v>
      </c>
    </row>
    <row r="344" spans="1:6" x14ac:dyDescent="0.25">
      <c r="D344" s="19" t="s">
        <v>869</v>
      </c>
      <c r="E344" s="19" t="s">
        <v>870</v>
      </c>
      <c r="F344">
        <v>0</v>
      </c>
    </row>
    <row r="345" spans="1:6" x14ac:dyDescent="0.25">
      <c r="D345" s="19" t="s">
        <v>863</v>
      </c>
      <c r="E345" s="19" t="s">
        <v>283</v>
      </c>
      <c r="F345">
        <v>0</v>
      </c>
    </row>
    <row r="346" spans="1:6" x14ac:dyDescent="0.25">
      <c r="D346" s="19" t="s">
        <v>864</v>
      </c>
      <c r="E346" s="19" t="s">
        <v>289</v>
      </c>
      <c r="F346">
        <v>0</v>
      </c>
    </row>
    <row r="347" spans="1:6" x14ac:dyDescent="0.25">
      <c r="A347" s="3">
        <v>49</v>
      </c>
      <c r="B347" s="15" t="s">
        <v>18</v>
      </c>
      <c r="C347" s="19" t="s">
        <v>859</v>
      </c>
      <c r="D347" s="19" t="s">
        <v>872</v>
      </c>
      <c r="E347" s="19" t="s">
        <v>873</v>
      </c>
      <c r="F347">
        <v>1</v>
      </c>
    </row>
    <row r="348" spans="1:6" x14ac:dyDescent="0.25">
      <c r="D348" s="19" t="s">
        <v>874</v>
      </c>
      <c r="E348" s="19" t="s">
        <v>875</v>
      </c>
      <c r="F348">
        <v>1</v>
      </c>
    </row>
    <row r="349" spans="1:6" x14ac:dyDescent="0.25">
      <c r="D349" s="19" t="s">
        <v>876</v>
      </c>
      <c r="E349" s="19" t="s">
        <v>372</v>
      </c>
      <c r="F349">
        <v>1</v>
      </c>
    </row>
    <row r="350" spans="1:6" x14ac:dyDescent="0.25">
      <c r="D350" s="19" t="s">
        <v>860</v>
      </c>
      <c r="E350" s="19" t="s">
        <v>273</v>
      </c>
      <c r="F350">
        <v>1</v>
      </c>
    </row>
    <row r="351" spans="1:6" x14ac:dyDescent="0.25">
      <c r="D351" s="19" t="s">
        <v>861</v>
      </c>
      <c r="E351" s="19" t="s">
        <v>275</v>
      </c>
      <c r="F351">
        <v>1</v>
      </c>
    </row>
    <row r="352" spans="1:6" x14ac:dyDescent="0.25">
      <c r="D352" s="19" t="s">
        <v>862</v>
      </c>
      <c r="E352" s="19" t="s">
        <v>277</v>
      </c>
      <c r="F352">
        <v>1</v>
      </c>
    </row>
    <row r="353" spans="1:6" x14ac:dyDescent="0.25">
      <c r="D353" s="19" t="s">
        <v>871</v>
      </c>
      <c r="E353" s="19" t="s">
        <v>295</v>
      </c>
      <c r="F353">
        <v>0</v>
      </c>
    </row>
    <row r="354" spans="1:6" x14ac:dyDescent="0.25">
      <c r="D354" s="19" t="s">
        <v>865</v>
      </c>
      <c r="E354" s="19" t="s">
        <v>866</v>
      </c>
      <c r="F354">
        <v>0</v>
      </c>
    </row>
    <row r="355" spans="1:6" x14ac:dyDescent="0.25">
      <c r="D355" s="19" t="s">
        <v>867</v>
      </c>
      <c r="E355" s="19" t="s">
        <v>868</v>
      </c>
      <c r="F355">
        <v>2</v>
      </c>
    </row>
    <row r="356" spans="1:6" x14ac:dyDescent="0.25">
      <c r="D356" s="19" t="s">
        <v>869</v>
      </c>
      <c r="E356" s="19" t="s">
        <v>870</v>
      </c>
      <c r="F356">
        <v>0</v>
      </c>
    </row>
    <row r="357" spans="1:6" x14ac:dyDescent="0.25">
      <c r="D357" s="19" t="s">
        <v>863</v>
      </c>
      <c r="E357" s="19" t="s">
        <v>283</v>
      </c>
      <c r="F357">
        <v>0</v>
      </c>
    </row>
    <row r="358" spans="1:6" x14ac:dyDescent="0.25">
      <c r="D358" s="19" t="s">
        <v>864</v>
      </c>
      <c r="E358" s="19" t="s">
        <v>289</v>
      </c>
      <c r="F358">
        <v>0</v>
      </c>
    </row>
    <row r="359" spans="1:6" x14ac:dyDescent="0.25">
      <c r="A359" s="3">
        <v>50</v>
      </c>
      <c r="B359" s="15" t="s">
        <v>18</v>
      </c>
      <c r="C359" s="19" t="s">
        <v>859</v>
      </c>
      <c r="D359" s="19" t="s">
        <v>872</v>
      </c>
      <c r="E359" s="19" t="s">
        <v>873</v>
      </c>
      <c r="F359">
        <v>1</v>
      </c>
    </row>
    <row r="360" spans="1:6" x14ac:dyDescent="0.25">
      <c r="D360" s="19" t="s">
        <v>874</v>
      </c>
      <c r="E360" s="19" t="s">
        <v>875</v>
      </c>
      <c r="F360">
        <v>0</v>
      </c>
    </row>
    <row r="361" spans="1:6" x14ac:dyDescent="0.25">
      <c r="D361" s="19" t="s">
        <v>876</v>
      </c>
      <c r="E361" s="19" t="s">
        <v>372</v>
      </c>
      <c r="F361">
        <v>0</v>
      </c>
    </row>
    <row r="362" spans="1:6" x14ac:dyDescent="0.25">
      <c r="D362" s="19" t="s">
        <v>860</v>
      </c>
      <c r="E362" s="19" t="s">
        <v>273</v>
      </c>
      <c r="F362">
        <v>1</v>
      </c>
    </row>
    <row r="363" spans="1:6" x14ac:dyDescent="0.25">
      <c r="D363" s="19" t="s">
        <v>861</v>
      </c>
      <c r="E363" s="19" t="s">
        <v>275</v>
      </c>
      <c r="F363">
        <v>1</v>
      </c>
    </row>
    <row r="364" spans="1:6" x14ac:dyDescent="0.25">
      <c r="D364" s="19" t="s">
        <v>862</v>
      </c>
      <c r="E364" s="19" t="s">
        <v>277</v>
      </c>
      <c r="F364">
        <v>0</v>
      </c>
    </row>
    <row r="365" spans="1:6" x14ac:dyDescent="0.25">
      <c r="D365" s="19" t="s">
        <v>871</v>
      </c>
      <c r="E365" s="19" t="s">
        <v>295</v>
      </c>
      <c r="F365">
        <v>0</v>
      </c>
    </row>
    <row r="366" spans="1:6" x14ac:dyDescent="0.25">
      <c r="D366" s="19" t="s">
        <v>865</v>
      </c>
      <c r="E366" s="19" t="s">
        <v>866</v>
      </c>
      <c r="F366">
        <v>0</v>
      </c>
    </row>
    <row r="367" spans="1:6" x14ac:dyDescent="0.25">
      <c r="D367" s="19" t="s">
        <v>867</v>
      </c>
      <c r="E367" s="19" t="s">
        <v>868</v>
      </c>
      <c r="F367">
        <v>0</v>
      </c>
    </row>
    <row r="368" spans="1:6" x14ac:dyDescent="0.25">
      <c r="D368" s="19" t="s">
        <v>869</v>
      </c>
      <c r="E368" s="19" t="s">
        <v>870</v>
      </c>
      <c r="F368">
        <v>0</v>
      </c>
    </row>
    <row r="369" spans="1:6" x14ac:dyDescent="0.25">
      <c r="D369" s="19" t="s">
        <v>863</v>
      </c>
      <c r="E369" s="19" t="s">
        <v>283</v>
      </c>
      <c r="F369">
        <v>0</v>
      </c>
    </row>
    <row r="370" spans="1:6" x14ac:dyDescent="0.25">
      <c r="D370" s="19" t="s">
        <v>864</v>
      </c>
      <c r="E370" s="19" t="s">
        <v>289</v>
      </c>
      <c r="F370">
        <v>0</v>
      </c>
    </row>
    <row r="371" spans="1:6" x14ac:dyDescent="0.25">
      <c r="A371" s="3">
        <v>51</v>
      </c>
      <c r="B371" s="15" t="s">
        <v>19</v>
      </c>
      <c r="C371" s="19" t="s">
        <v>581</v>
      </c>
      <c r="D371" s="19" t="s">
        <v>585</v>
      </c>
      <c r="E371" s="19" t="s">
        <v>586</v>
      </c>
      <c r="F371">
        <v>0</v>
      </c>
    </row>
    <row r="372" spans="1:6" x14ac:dyDescent="0.25">
      <c r="D372" s="19" t="s">
        <v>593</v>
      </c>
      <c r="E372" s="19" t="s">
        <v>594</v>
      </c>
      <c r="F372">
        <v>1</v>
      </c>
    </row>
    <row r="373" spans="1:6" x14ac:dyDescent="0.25">
      <c r="D373" s="19" t="s">
        <v>587</v>
      </c>
      <c r="E373" s="19" t="s">
        <v>588</v>
      </c>
      <c r="F373">
        <v>1</v>
      </c>
    </row>
    <row r="374" spans="1:6" x14ac:dyDescent="0.25">
      <c r="D374" s="19" t="s">
        <v>604</v>
      </c>
      <c r="E374" s="19" t="s">
        <v>605</v>
      </c>
      <c r="F374">
        <v>0</v>
      </c>
    </row>
    <row r="375" spans="1:6" x14ac:dyDescent="0.25">
      <c r="D375" s="19" t="s">
        <v>582</v>
      </c>
      <c r="E375" s="19" t="s">
        <v>583</v>
      </c>
      <c r="F375">
        <v>0</v>
      </c>
    </row>
    <row r="376" spans="1:6" x14ac:dyDescent="0.25">
      <c r="D376" s="19" t="s">
        <v>584</v>
      </c>
      <c r="E376" s="19" t="s">
        <v>306</v>
      </c>
      <c r="F376">
        <v>1</v>
      </c>
    </row>
    <row r="377" spans="1:6" x14ac:dyDescent="0.25">
      <c r="D377" s="19" t="s">
        <v>592</v>
      </c>
      <c r="E377" s="19" t="s">
        <v>275</v>
      </c>
      <c r="F377">
        <v>1</v>
      </c>
    </row>
    <row r="378" spans="1:6" x14ac:dyDescent="0.25">
      <c r="D378" s="19" t="s">
        <v>606</v>
      </c>
      <c r="E378" s="19" t="s">
        <v>503</v>
      </c>
      <c r="F378">
        <v>1</v>
      </c>
    </row>
    <row r="379" spans="1:6" x14ac:dyDescent="0.25">
      <c r="D379" s="19" t="s">
        <v>607</v>
      </c>
      <c r="E379" s="19" t="s">
        <v>505</v>
      </c>
      <c r="F379">
        <v>1</v>
      </c>
    </row>
    <row r="380" spans="1:6" x14ac:dyDescent="0.25">
      <c r="D380" s="19" t="s">
        <v>608</v>
      </c>
      <c r="E380" s="19" t="s">
        <v>609</v>
      </c>
      <c r="F380">
        <v>0</v>
      </c>
    </row>
    <row r="381" spans="1:6" x14ac:dyDescent="0.25">
      <c r="D381" s="19" t="s">
        <v>598</v>
      </c>
      <c r="E381" s="19" t="s">
        <v>599</v>
      </c>
      <c r="F381">
        <v>0</v>
      </c>
    </row>
    <row r="382" spans="1:6" x14ac:dyDescent="0.25">
      <c r="D382" s="19" t="s">
        <v>600</v>
      </c>
      <c r="E382" s="19" t="s">
        <v>601</v>
      </c>
      <c r="F382">
        <v>1</v>
      </c>
    </row>
    <row r="383" spans="1:6" x14ac:dyDescent="0.25">
      <c r="D383" s="19" t="s">
        <v>602</v>
      </c>
      <c r="E383" s="19" t="s">
        <v>603</v>
      </c>
      <c r="F383">
        <v>1</v>
      </c>
    </row>
    <row r="384" spans="1:6" x14ac:dyDescent="0.25">
      <c r="D384" s="19" t="s">
        <v>589</v>
      </c>
      <c r="E384" s="19" t="s">
        <v>312</v>
      </c>
      <c r="F384">
        <v>1</v>
      </c>
    </row>
    <row r="385" spans="1:6" x14ac:dyDescent="0.25">
      <c r="D385" s="19" t="s">
        <v>590</v>
      </c>
      <c r="E385" s="19" t="s">
        <v>493</v>
      </c>
      <c r="F385">
        <v>1</v>
      </c>
    </row>
    <row r="386" spans="1:6" x14ac:dyDescent="0.25">
      <c r="D386" s="19" t="s">
        <v>591</v>
      </c>
      <c r="E386" s="19" t="s">
        <v>314</v>
      </c>
      <c r="F386">
        <v>1</v>
      </c>
    </row>
    <row r="387" spans="1:6" x14ac:dyDescent="0.25">
      <c r="D387" s="19" t="s">
        <v>595</v>
      </c>
      <c r="E387" s="19" t="s">
        <v>349</v>
      </c>
      <c r="F387">
        <v>1</v>
      </c>
    </row>
    <row r="388" spans="1:6" x14ac:dyDescent="0.25">
      <c r="D388" s="19" t="s">
        <v>596</v>
      </c>
      <c r="E388" s="19" t="s">
        <v>597</v>
      </c>
      <c r="F388">
        <v>1</v>
      </c>
    </row>
    <row r="389" spans="1:6" x14ac:dyDescent="0.25">
      <c r="A389" s="3">
        <v>52</v>
      </c>
      <c r="B389" s="15" t="s">
        <v>20</v>
      </c>
      <c r="C389" s="19" t="s">
        <v>422</v>
      </c>
      <c r="D389" s="19" t="s">
        <v>423</v>
      </c>
      <c r="E389" s="19" t="s">
        <v>424</v>
      </c>
      <c r="F389">
        <v>1</v>
      </c>
    </row>
    <row r="390" spans="1:6" x14ac:dyDescent="0.25">
      <c r="C390" s="19"/>
      <c r="D390" s="19" t="s">
        <v>425</v>
      </c>
      <c r="E390" s="19" t="s">
        <v>426</v>
      </c>
      <c r="F390">
        <v>1</v>
      </c>
    </row>
    <row r="391" spans="1:6" x14ac:dyDescent="0.25">
      <c r="C391" s="19"/>
      <c r="D391" s="19" t="s">
        <v>427</v>
      </c>
      <c r="E391" s="19" t="s">
        <v>428</v>
      </c>
      <c r="F391">
        <v>1</v>
      </c>
    </row>
    <row r="392" spans="1:6" x14ac:dyDescent="0.25">
      <c r="C392" s="19"/>
      <c r="D392" s="19" t="s">
        <v>429</v>
      </c>
      <c r="E392" s="19" t="s">
        <v>430</v>
      </c>
      <c r="F392">
        <v>1</v>
      </c>
    </row>
    <row r="393" spans="1:6" x14ac:dyDescent="0.25">
      <c r="C393" s="19"/>
      <c r="D393" s="19" t="s">
        <v>431</v>
      </c>
      <c r="E393" s="19" t="s">
        <v>432</v>
      </c>
      <c r="F393">
        <v>1</v>
      </c>
    </row>
    <row r="394" spans="1:6" x14ac:dyDescent="0.25">
      <c r="C394" s="19"/>
      <c r="D394" s="19" t="s">
        <v>433</v>
      </c>
      <c r="E394" s="19" t="s">
        <v>434</v>
      </c>
      <c r="F394">
        <v>1</v>
      </c>
    </row>
    <row r="395" spans="1:6" x14ac:dyDescent="0.25">
      <c r="C395" s="19"/>
      <c r="D395" s="19" t="s">
        <v>435</v>
      </c>
      <c r="E395" s="19" t="s">
        <v>436</v>
      </c>
      <c r="F395">
        <v>1</v>
      </c>
    </row>
    <row r="396" spans="1:6" x14ac:dyDescent="0.25">
      <c r="C396" s="19"/>
      <c r="D396" s="19" t="s">
        <v>437</v>
      </c>
      <c r="E396" s="19" t="s">
        <v>438</v>
      </c>
      <c r="F396">
        <v>1</v>
      </c>
    </row>
    <row r="397" spans="1:6" x14ac:dyDescent="0.25">
      <c r="C397" s="19"/>
      <c r="D397" s="19" t="s">
        <v>439</v>
      </c>
      <c r="E397" s="19" t="s">
        <v>440</v>
      </c>
      <c r="F397">
        <v>1</v>
      </c>
    </row>
    <row r="398" spans="1:6" x14ac:dyDescent="0.25">
      <c r="C398" s="19"/>
      <c r="D398" s="19" t="s">
        <v>441</v>
      </c>
      <c r="E398" s="19" t="s">
        <v>442</v>
      </c>
      <c r="F398">
        <v>0</v>
      </c>
    </row>
    <row r="399" spans="1:6" x14ac:dyDescent="0.25">
      <c r="C399" s="19"/>
      <c r="D399" s="19" t="s">
        <v>444</v>
      </c>
      <c r="E399" s="19" t="s">
        <v>445</v>
      </c>
      <c r="F399">
        <v>1</v>
      </c>
    </row>
    <row r="400" spans="1:6" x14ac:dyDescent="0.25">
      <c r="C400" s="19"/>
      <c r="D400" s="19" t="s">
        <v>446</v>
      </c>
      <c r="E400" s="19" t="s">
        <v>447</v>
      </c>
      <c r="F400">
        <v>1</v>
      </c>
    </row>
    <row r="401" spans="1:11" x14ac:dyDescent="0.25">
      <c r="C401" s="19"/>
      <c r="D401" s="19" t="s">
        <v>448</v>
      </c>
      <c r="E401" s="19" t="s">
        <v>449</v>
      </c>
      <c r="F401">
        <v>2</v>
      </c>
    </row>
    <row r="402" spans="1:11" x14ac:dyDescent="0.25">
      <c r="C402" s="19" t="s">
        <v>1436</v>
      </c>
      <c r="D402" s="19" t="s">
        <v>1437</v>
      </c>
      <c r="E402" s="19" t="s">
        <v>1438</v>
      </c>
      <c r="F402">
        <v>1</v>
      </c>
    </row>
    <row r="403" spans="1:11" x14ac:dyDescent="0.25">
      <c r="C403" s="19"/>
      <c r="D403" s="19" t="s">
        <v>1439</v>
      </c>
      <c r="E403" s="19" t="s">
        <v>1440</v>
      </c>
      <c r="F403">
        <v>1</v>
      </c>
    </row>
    <row r="404" spans="1:11" x14ac:dyDescent="0.25">
      <c r="C404" s="19"/>
      <c r="D404" s="19" t="s">
        <v>1441</v>
      </c>
      <c r="E404" s="19" t="s">
        <v>1442</v>
      </c>
      <c r="F404">
        <v>1</v>
      </c>
    </row>
    <row r="405" spans="1:11" x14ac:dyDescent="0.25">
      <c r="C405" s="19"/>
      <c r="D405" s="19" t="s">
        <v>1443</v>
      </c>
      <c r="E405" s="19" t="s">
        <v>1444</v>
      </c>
      <c r="F405">
        <v>2</v>
      </c>
    </row>
    <row r="406" spans="1:11" ht="23.25" x14ac:dyDescent="0.35">
      <c r="C406" s="19"/>
      <c r="D406" s="19" t="s">
        <v>1445</v>
      </c>
      <c r="E406" s="19" t="s">
        <v>1446</v>
      </c>
      <c r="F406">
        <v>1</v>
      </c>
      <c r="H406" s="1"/>
      <c r="I406" s="1"/>
      <c r="J406" s="2"/>
    </row>
    <row r="407" spans="1:11" ht="23.25" x14ac:dyDescent="0.35">
      <c r="C407" s="19"/>
      <c r="D407" s="19" t="s">
        <v>1447</v>
      </c>
      <c r="E407" s="19" t="s">
        <v>1448</v>
      </c>
      <c r="F407">
        <v>1</v>
      </c>
      <c r="H407" s="1"/>
      <c r="I407" s="1"/>
      <c r="J407" s="2"/>
    </row>
    <row r="408" spans="1:11" ht="23.25" x14ac:dyDescent="0.35">
      <c r="C408" s="19"/>
      <c r="D408" s="19" t="s">
        <v>1449</v>
      </c>
      <c r="E408" s="19" t="s">
        <v>1450</v>
      </c>
      <c r="F408">
        <v>1</v>
      </c>
      <c r="H408" s="1"/>
      <c r="I408" s="1"/>
      <c r="J408" s="2"/>
    </row>
    <row r="409" spans="1:11" ht="23.25" x14ac:dyDescent="0.35">
      <c r="C409" s="19"/>
      <c r="D409" s="19" t="s">
        <v>1451</v>
      </c>
      <c r="E409" s="19" t="s">
        <v>1452</v>
      </c>
      <c r="F409">
        <v>1</v>
      </c>
      <c r="H409" s="1"/>
      <c r="I409" s="1"/>
      <c r="J409" s="2"/>
    </row>
    <row r="410" spans="1:11" ht="23.25" x14ac:dyDescent="0.35">
      <c r="C410" s="19"/>
      <c r="D410" s="19" t="s">
        <v>1453</v>
      </c>
      <c r="E410" s="19" t="s">
        <v>1454</v>
      </c>
      <c r="F410">
        <v>0</v>
      </c>
      <c r="H410" s="1"/>
      <c r="I410" s="1"/>
      <c r="J410" s="2"/>
    </row>
    <row r="411" spans="1:11" ht="23.25" x14ac:dyDescent="0.35">
      <c r="C411" s="19"/>
      <c r="D411" s="19" t="s">
        <v>1455</v>
      </c>
      <c r="E411" s="19" t="s">
        <v>1456</v>
      </c>
      <c r="F411">
        <v>1</v>
      </c>
      <c r="H411" s="1"/>
      <c r="I411" s="1"/>
      <c r="J411" s="2"/>
    </row>
    <row r="412" spans="1:11" ht="23.25" x14ac:dyDescent="0.35">
      <c r="A412" s="3">
        <v>53</v>
      </c>
      <c r="B412" s="15" t="s">
        <v>20</v>
      </c>
      <c r="C412" s="19" t="s">
        <v>422</v>
      </c>
      <c r="D412" s="19" t="s">
        <v>423</v>
      </c>
      <c r="E412" s="19" t="s">
        <v>424</v>
      </c>
      <c r="F412">
        <v>1</v>
      </c>
      <c r="G412" s="10"/>
      <c r="H412" s="1"/>
      <c r="I412" s="1"/>
      <c r="J412" s="1"/>
      <c r="K412" s="2"/>
    </row>
    <row r="413" spans="1:11" ht="23.25" x14ac:dyDescent="0.35">
      <c r="C413" s="19"/>
      <c r="D413" s="19" t="s">
        <v>425</v>
      </c>
      <c r="E413" s="19" t="s">
        <v>426</v>
      </c>
      <c r="F413">
        <v>1</v>
      </c>
      <c r="H413" s="1"/>
      <c r="I413" s="1"/>
      <c r="J413" s="1"/>
      <c r="K413" s="2"/>
    </row>
    <row r="414" spans="1:11" ht="23.25" x14ac:dyDescent="0.35">
      <c r="C414" s="19"/>
      <c r="D414" s="19" t="s">
        <v>427</v>
      </c>
      <c r="E414" s="19" t="s">
        <v>428</v>
      </c>
      <c r="F414">
        <v>1</v>
      </c>
      <c r="H414" s="1"/>
      <c r="I414" s="1"/>
      <c r="J414" s="1"/>
      <c r="K414" s="2"/>
    </row>
    <row r="415" spans="1:11" ht="23.25" x14ac:dyDescent="0.35">
      <c r="C415" s="19"/>
      <c r="D415" s="19" t="s">
        <v>429</v>
      </c>
      <c r="E415" s="19" t="s">
        <v>430</v>
      </c>
      <c r="F415">
        <v>1</v>
      </c>
      <c r="H415" s="1"/>
      <c r="I415" s="1"/>
      <c r="J415" s="1"/>
      <c r="K415" s="2"/>
    </row>
    <row r="416" spans="1:11" ht="23.25" x14ac:dyDescent="0.35">
      <c r="C416" s="19"/>
      <c r="D416" s="19" t="s">
        <v>431</v>
      </c>
      <c r="E416" s="19" t="s">
        <v>432</v>
      </c>
      <c r="F416">
        <v>1</v>
      </c>
      <c r="H416" s="1"/>
      <c r="I416" s="1"/>
      <c r="J416" s="1"/>
      <c r="K416" s="2"/>
    </row>
    <row r="417" spans="1:11" ht="23.25" x14ac:dyDescent="0.35">
      <c r="C417" s="19"/>
      <c r="D417" s="19" t="s">
        <v>433</v>
      </c>
      <c r="E417" s="19" t="s">
        <v>434</v>
      </c>
      <c r="F417">
        <v>1</v>
      </c>
      <c r="H417" s="1"/>
      <c r="I417" s="1"/>
      <c r="J417" s="1"/>
      <c r="K417" s="2"/>
    </row>
    <row r="418" spans="1:11" ht="23.25" x14ac:dyDescent="0.35">
      <c r="C418" s="19"/>
      <c r="D418" s="19" t="s">
        <v>435</v>
      </c>
      <c r="E418" s="19" t="s">
        <v>436</v>
      </c>
      <c r="F418">
        <v>1</v>
      </c>
      <c r="H418" s="1"/>
      <c r="I418" s="1"/>
      <c r="J418" s="1"/>
      <c r="K418" s="2"/>
    </row>
    <row r="419" spans="1:11" ht="23.25" x14ac:dyDescent="0.35">
      <c r="C419" s="19"/>
      <c r="D419" s="19" t="s">
        <v>437</v>
      </c>
      <c r="E419" s="19" t="s">
        <v>438</v>
      </c>
      <c r="F419">
        <v>1</v>
      </c>
      <c r="H419" s="1"/>
      <c r="I419" s="1"/>
      <c r="J419" s="1"/>
      <c r="K419" s="2"/>
    </row>
    <row r="420" spans="1:11" ht="23.25" x14ac:dyDescent="0.35">
      <c r="C420" s="19"/>
      <c r="D420" s="19" t="s">
        <v>439</v>
      </c>
      <c r="E420" s="19" t="s">
        <v>440</v>
      </c>
      <c r="F420">
        <v>1</v>
      </c>
      <c r="H420" s="1"/>
      <c r="I420" s="1"/>
      <c r="J420" s="1"/>
      <c r="K420" s="2"/>
    </row>
    <row r="421" spans="1:11" ht="23.25" x14ac:dyDescent="0.35">
      <c r="C421" s="19"/>
      <c r="D421" s="19" t="s">
        <v>441</v>
      </c>
      <c r="E421" s="19" t="s">
        <v>442</v>
      </c>
      <c r="F421">
        <v>0</v>
      </c>
      <c r="H421" s="1"/>
      <c r="I421" s="1"/>
      <c r="J421" s="1"/>
      <c r="K421" s="2"/>
    </row>
    <row r="422" spans="1:11" ht="23.25" x14ac:dyDescent="0.35">
      <c r="C422" s="19"/>
      <c r="D422" s="19" t="s">
        <v>444</v>
      </c>
      <c r="E422" s="19" t="s">
        <v>445</v>
      </c>
      <c r="F422">
        <v>1</v>
      </c>
      <c r="H422" s="1"/>
      <c r="I422" s="1"/>
      <c r="J422" s="1"/>
      <c r="K422" s="2"/>
    </row>
    <row r="423" spans="1:11" ht="23.25" x14ac:dyDescent="0.35">
      <c r="C423" s="19"/>
      <c r="D423" s="19" t="s">
        <v>446</v>
      </c>
      <c r="E423" s="19" t="s">
        <v>447</v>
      </c>
      <c r="F423">
        <v>1</v>
      </c>
      <c r="H423" s="1"/>
      <c r="I423" s="1"/>
      <c r="J423" s="1"/>
      <c r="K423" s="2"/>
    </row>
    <row r="424" spans="1:11" ht="23.25" x14ac:dyDescent="0.35">
      <c r="C424" s="19"/>
      <c r="D424" s="19" t="s">
        <v>448</v>
      </c>
      <c r="E424" s="19" t="s">
        <v>449</v>
      </c>
      <c r="F424">
        <v>2</v>
      </c>
      <c r="H424" s="1"/>
      <c r="I424" s="1"/>
      <c r="J424" s="1"/>
      <c r="K424" s="2"/>
    </row>
    <row r="425" spans="1:11" ht="23.25" x14ac:dyDescent="0.35">
      <c r="A425" s="3">
        <v>56</v>
      </c>
      <c r="B425" s="15" t="s">
        <v>21</v>
      </c>
      <c r="C425" s="19" t="s">
        <v>1492</v>
      </c>
      <c r="D425" s="19" t="s">
        <v>1493</v>
      </c>
      <c r="E425" s="19" t="s">
        <v>1494</v>
      </c>
      <c r="F425">
        <v>1</v>
      </c>
      <c r="H425" s="1"/>
      <c r="I425" s="1"/>
      <c r="J425" s="1"/>
      <c r="K425" s="2"/>
    </row>
    <row r="426" spans="1:11" ht="23.25" x14ac:dyDescent="0.35">
      <c r="C426" s="19"/>
      <c r="D426" s="19" t="s">
        <v>1495</v>
      </c>
      <c r="E426" s="19" t="s">
        <v>1496</v>
      </c>
      <c r="F426">
        <v>0</v>
      </c>
      <c r="H426" s="1"/>
      <c r="I426" s="1"/>
      <c r="J426" s="2"/>
    </row>
    <row r="427" spans="1:11" ht="23.25" x14ac:dyDescent="0.35">
      <c r="C427" s="19"/>
      <c r="D427" s="19" t="s">
        <v>1497</v>
      </c>
      <c r="E427" s="19" t="s">
        <v>306</v>
      </c>
      <c r="F427">
        <v>1</v>
      </c>
      <c r="H427" s="1"/>
      <c r="I427" s="1"/>
      <c r="J427" s="2"/>
    </row>
    <row r="428" spans="1:11" ht="23.25" x14ac:dyDescent="0.35">
      <c r="C428" s="19"/>
      <c r="D428" s="19" t="s">
        <v>1498</v>
      </c>
      <c r="E428" s="19" t="s">
        <v>1499</v>
      </c>
      <c r="F428">
        <v>1</v>
      </c>
      <c r="H428" s="1"/>
      <c r="I428" s="1"/>
      <c r="J428" s="2"/>
    </row>
    <row r="429" spans="1:11" ht="23.25" x14ac:dyDescent="0.35">
      <c r="C429" s="19"/>
      <c r="D429" s="19" t="s">
        <v>1500</v>
      </c>
      <c r="E429" s="19" t="s">
        <v>1397</v>
      </c>
      <c r="F429">
        <v>1</v>
      </c>
      <c r="H429" s="1"/>
      <c r="I429" s="1"/>
      <c r="J429" s="2"/>
    </row>
    <row r="430" spans="1:11" ht="23.25" x14ac:dyDescent="0.35">
      <c r="C430" s="19"/>
      <c r="D430" s="19" t="s">
        <v>1501</v>
      </c>
      <c r="E430" s="19" t="s">
        <v>1502</v>
      </c>
      <c r="F430">
        <v>0</v>
      </c>
      <c r="H430" s="1"/>
      <c r="I430" s="1"/>
      <c r="J430" s="2"/>
    </row>
    <row r="431" spans="1:11" ht="23.25" x14ac:dyDescent="0.35">
      <c r="C431" s="19"/>
      <c r="D431" s="19" t="s">
        <v>1503</v>
      </c>
      <c r="E431" s="19" t="s">
        <v>1504</v>
      </c>
      <c r="F431">
        <v>0</v>
      </c>
      <c r="H431" s="1"/>
      <c r="I431" s="1"/>
      <c r="J431" s="2"/>
    </row>
    <row r="432" spans="1:11" x14ac:dyDescent="0.25">
      <c r="C432" s="19"/>
      <c r="D432" s="19" t="s">
        <v>1505</v>
      </c>
      <c r="E432" s="19" t="s">
        <v>1506</v>
      </c>
      <c r="F432">
        <v>0</v>
      </c>
    </row>
    <row r="433" spans="3:7" x14ac:dyDescent="0.25">
      <c r="C433" s="19"/>
      <c r="D433" s="19" t="s">
        <v>1507</v>
      </c>
      <c r="E433" s="19" t="s">
        <v>611</v>
      </c>
      <c r="F433">
        <v>0</v>
      </c>
    </row>
    <row r="434" spans="3:7" x14ac:dyDescent="0.25">
      <c r="C434" s="19"/>
      <c r="D434" s="19" t="s">
        <v>1508</v>
      </c>
      <c r="E434" s="19" t="s">
        <v>1509</v>
      </c>
      <c r="F434">
        <v>0</v>
      </c>
    </row>
    <row r="435" spans="3:7" x14ac:dyDescent="0.25">
      <c r="C435" s="19"/>
      <c r="D435" s="19" t="s">
        <v>1510</v>
      </c>
      <c r="E435" s="19" t="s">
        <v>613</v>
      </c>
      <c r="F435">
        <v>1</v>
      </c>
    </row>
    <row r="436" spans="3:7" x14ac:dyDescent="0.25">
      <c r="C436" s="19"/>
      <c r="D436" s="19" t="s">
        <v>1511</v>
      </c>
      <c r="E436" s="19" t="s">
        <v>1419</v>
      </c>
      <c r="F436">
        <v>0</v>
      </c>
    </row>
    <row r="437" spans="3:7" x14ac:dyDescent="0.25">
      <c r="C437" s="19"/>
      <c r="D437" s="19" t="s">
        <v>1512</v>
      </c>
      <c r="E437" s="19" t="s">
        <v>621</v>
      </c>
      <c r="F437">
        <v>0</v>
      </c>
      <c r="G437" s="7"/>
    </row>
    <row r="438" spans="3:7" x14ac:dyDescent="0.25">
      <c r="C438" s="19"/>
      <c r="D438" s="19" t="s">
        <v>1513</v>
      </c>
      <c r="E438" s="19" t="s">
        <v>1422</v>
      </c>
      <c r="F438">
        <v>0</v>
      </c>
    </row>
    <row r="439" spans="3:7" x14ac:dyDescent="0.25">
      <c r="C439" s="19"/>
      <c r="D439" s="19" t="s">
        <v>1514</v>
      </c>
      <c r="E439" s="19" t="s">
        <v>614</v>
      </c>
      <c r="F439">
        <v>0</v>
      </c>
    </row>
    <row r="440" spans="3:7" x14ac:dyDescent="0.25">
      <c r="C440" s="19"/>
      <c r="D440" s="19" t="s">
        <v>1515</v>
      </c>
      <c r="E440" s="19" t="s">
        <v>615</v>
      </c>
      <c r="F440">
        <v>0</v>
      </c>
    </row>
    <row r="441" spans="3:7" x14ac:dyDescent="0.25">
      <c r="C441" s="19"/>
      <c r="D441" s="19" t="s">
        <v>1516</v>
      </c>
      <c r="E441" s="19" t="s">
        <v>1517</v>
      </c>
      <c r="F441">
        <v>1</v>
      </c>
    </row>
    <row r="442" spans="3:7" x14ac:dyDescent="0.25">
      <c r="C442" s="19"/>
      <c r="D442" s="19" t="s">
        <v>1518</v>
      </c>
      <c r="E442" s="19" t="s">
        <v>1519</v>
      </c>
      <c r="F442">
        <v>0</v>
      </c>
    </row>
    <row r="443" spans="3:7" x14ac:dyDescent="0.25">
      <c r="C443" s="19"/>
      <c r="D443" s="19" t="s">
        <v>1520</v>
      </c>
      <c r="E443" s="19" t="s">
        <v>1521</v>
      </c>
      <c r="F443">
        <v>0</v>
      </c>
    </row>
    <row r="444" spans="3:7" x14ac:dyDescent="0.25">
      <c r="C444" s="19"/>
      <c r="D444" s="19" t="s">
        <v>1522</v>
      </c>
      <c r="E444" s="19" t="s">
        <v>1523</v>
      </c>
      <c r="F444">
        <v>0</v>
      </c>
    </row>
    <row r="445" spans="3:7" x14ac:dyDescent="0.25">
      <c r="C445" s="19"/>
      <c r="D445" s="19" t="s">
        <v>1524</v>
      </c>
      <c r="E445" s="19" t="s">
        <v>1525</v>
      </c>
      <c r="F445">
        <v>0</v>
      </c>
    </row>
    <row r="446" spans="3:7" x14ac:dyDescent="0.25">
      <c r="C446" s="19"/>
      <c r="D446" s="19" t="s">
        <v>1526</v>
      </c>
      <c r="E446" s="19" t="s">
        <v>1527</v>
      </c>
      <c r="F446">
        <v>0</v>
      </c>
    </row>
    <row r="447" spans="3:7" x14ac:dyDescent="0.25">
      <c r="C447" s="19"/>
      <c r="D447" s="19" t="s">
        <v>1528</v>
      </c>
      <c r="E447" s="19" t="s">
        <v>1529</v>
      </c>
      <c r="F447">
        <v>0</v>
      </c>
    </row>
    <row r="448" spans="3:7" x14ac:dyDescent="0.25">
      <c r="C448" s="19"/>
      <c r="D448" s="19" t="s">
        <v>1530</v>
      </c>
      <c r="E448" s="19" t="s">
        <v>1430</v>
      </c>
      <c r="F448">
        <v>0</v>
      </c>
    </row>
    <row r="449" spans="1:6" x14ac:dyDescent="0.25">
      <c r="C449" s="19"/>
      <c r="D449" s="19" t="s">
        <v>1531</v>
      </c>
      <c r="E449" s="19" t="s">
        <v>503</v>
      </c>
      <c r="F449">
        <v>0</v>
      </c>
    </row>
    <row r="450" spans="1:6" x14ac:dyDescent="0.25">
      <c r="C450" s="19"/>
      <c r="D450" s="19" t="s">
        <v>1532</v>
      </c>
      <c r="E450" s="19" t="s">
        <v>1533</v>
      </c>
      <c r="F450">
        <v>0</v>
      </c>
    </row>
    <row r="451" spans="1:6" x14ac:dyDescent="0.25">
      <c r="C451" s="19"/>
      <c r="D451" s="19" t="s">
        <v>1534</v>
      </c>
      <c r="E451" s="19" t="s">
        <v>1535</v>
      </c>
      <c r="F451">
        <v>0</v>
      </c>
    </row>
    <row r="452" spans="1:6" x14ac:dyDescent="0.25">
      <c r="A452" s="3">
        <v>58</v>
      </c>
      <c r="B452" s="15" t="s">
        <v>22</v>
      </c>
      <c r="C452" s="19" t="s">
        <v>1492</v>
      </c>
      <c r="D452" s="19" t="s">
        <v>1493</v>
      </c>
      <c r="E452" s="19" t="s">
        <v>1494</v>
      </c>
      <c r="F452">
        <v>1</v>
      </c>
    </row>
    <row r="453" spans="1:6" ht="23.25" x14ac:dyDescent="0.25">
      <c r="A453" s="3"/>
      <c r="C453" s="20"/>
      <c r="D453" s="19" t="s">
        <v>1495</v>
      </c>
      <c r="E453" s="19" t="s">
        <v>1496</v>
      </c>
      <c r="F453">
        <v>1</v>
      </c>
    </row>
    <row r="454" spans="1:6" ht="23.25" x14ac:dyDescent="0.25">
      <c r="A454" s="3"/>
      <c r="C454" s="20"/>
      <c r="D454" s="19" t="s">
        <v>1497</v>
      </c>
      <c r="E454" s="19" t="s">
        <v>306</v>
      </c>
      <c r="F454">
        <v>1</v>
      </c>
    </row>
    <row r="455" spans="1:6" ht="23.25" x14ac:dyDescent="0.25">
      <c r="A455" s="3"/>
      <c r="C455" s="20"/>
      <c r="D455" s="19" t="s">
        <v>1498</v>
      </c>
      <c r="E455" s="19" t="s">
        <v>1499</v>
      </c>
      <c r="F455">
        <v>0</v>
      </c>
    </row>
    <row r="456" spans="1:6" ht="23.25" x14ac:dyDescent="0.25">
      <c r="A456" s="3"/>
      <c r="C456" s="20"/>
      <c r="D456" s="19" t="s">
        <v>1500</v>
      </c>
      <c r="E456" s="19" t="s">
        <v>1397</v>
      </c>
      <c r="F456">
        <v>1</v>
      </c>
    </row>
    <row r="457" spans="1:6" ht="23.25" x14ac:dyDescent="0.25">
      <c r="A457" s="3"/>
      <c r="C457" s="20"/>
      <c r="D457" s="19" t="s">
        <v>1501</v>
      </c>
      <c r="E457" s="19" t="s">
        <v>1502</v>
      </c>
      <c r="F457">
        <v>1</v>
      </c>
    </row>
    <row r="458" spans="1:6" ht="23.25" x14ac:dyDescent="0.25">
      <c r="A458" s="3"/>
      <c r="C458" s="20"/>
      <c r="D458" s="19" t="s">
        <v>1503</v>
      </c>
      <c r="E458" s="19" t="s">
        <v>1504</v>
      </c>
      <c r="F458">
        <v>1</v>
      </c>
    </row>
    <row r="459" spans="1:6" ht="23.25" x14ac:dyDescent="0.25">
      <c r="A459" s="3"/>
      <c r="C459" s="20"/>
      <c r="D459" s="19" t="s">
        <v>1505</v>
      </c>
      <c r="E459" s="19" t="s">
        <v>1506</v>
      </c>
      <c r="F459">
        <v>0</v>
      </c>
    </row>
    <row r="460" spans="1:6" ht="23.25" x14ac:dyDescent="0.25">
      <c r="A460" s="3"/>
      <c r="C460" s="20"/>
      <c r="D460" s="19" t="s">
        <v>1507</v>
      </c>
      <c r="E460" s="19" t="s">
        <v>611</v>
      </c>
      <c r="F460">
        <v>1</v>
      </c>
    </row>
    <row r="461" spans="1:6" ht="23.25" x14ac:dyDescent="0.25">
      <c r="A461" s="3"/>
      <c r="C461" s="20"/>
      <c r="D461" s="19" t="s">
        <v>1508</v>
      </c>
      <c r="E461" s="19" t="s">
        <v>1509</v>
      </c>
      <c r="F461">
        <v>1</v>
      </c>
    </row>
    <row r="462" spans="1:6" ht="23.25" x14ac:dyDescent="0.25">
      <c r="A462" s="3"/>
      <c r="C462" s="20"/>
      <c r="D462" s="19" t="s">
        <v>1510</v>
      </c>
      <c r="E462" s="19" t="s">
        <v>613</v>
      </c>
      <c r="F462">
        <v>1</v>
      </c>
    </row>
    <row r="463" spans="1:6" ht="23.25" x14ac:dyDescent="0.25">
      <c r="A463" s="3"/>
      <c r="C463" s="20"/>
      <c r="D463" s="19" t="s">
        <v>1511</v>
      </c>
      <c r="E463" s="19" t="s">
        <v>1419</v>
      </c>
      <c r="F463">
        <v>0</v>
      </c>
    </row>
    <row r="464" spans="1:6" ht="23.25" x14ac:dyDescent="0.25">
      <c r="A464" s="3"/>
      <c r="C464" s="20"/>
      <c r="D464" s="19" t="s">
        <v>1512</v>
      </c>
      <c r="E464" s="19" t="s">
        <v>621</v>
      </c>
      <c r="F464">
        <v>0</v>
      </c>
    </row>
    <row r="465" spans="1:6" ht="23.25" x14ac:dyDescent="0.25">
      <c r="A465" s="3"/>
      <c r="C465" s="20"/>
      <c r="D465" s="19" t="s">
        <v>1513</v>
      </c>
      <c r="E465" s="19" t="s">
        <v>1422</v>
      </c>
      <c r="F465">
        <v>1</v>
      </c>
    </row>
    <row r="466" spans="1:6" ht="23.25" x14ac:dyDescent="0.25">
      <c r="A466" s="3"/>
      <c r="C466" s="20"/>
      <c r="D466" s="19" t="s">
        <v>1514</v>
      </c>
      <c r="E466" s="19" t="s">
        <v>614</v>
      </c>
      <c r="F466">
        <v>1</v>
      </c>
    </row>
    <row r="467" spans="1:6" ht="23.25" x14ac:dyDescent="0.25">
      <c r="A467" s="3"/>
      <c r="C467" s="20"/>
      <c r="D467" s="19" t="s">
        <v>1515</v>
      </c>
      <c r="E467" s="19" t="s">
        <v>615</v>
      </c>
      <c r="F467">
        <v>0</v>
      </c>
    </row>
    <row r="468" spans="1:6" ht="23.25" x14ac:dyDescent="0.25">
      <c r="A468" s="3"/>
      <c r="C468" s="20"/>
      <c r="D468" s="19" t="s">
        <v>1516</v>
      </c>
      <c r="E468" s="19" t="s">
        <v>1517</v>
      </c>
      <c r="F468">
        <v>1</v>
      </c>
    </row>
    <row r="469" spans="1:6" ht="23.25" x14ac:dyDescent="0.25">
      <c r="A469" s="3"/>
      <c r="C469" s="20"/>
      <c r="D469" s="19" t="s">
        <v>1518</v>
      </c>
      <c r="E469" s="19" t="s">
        <v>1519</v>
      </c>
      <c r="F469">
        <v>1</v>
      </c>
    </row>
    <row r="470" spans="1:6" ht="23.25" x14ac:dyDescent="0.25">
      <c r="A470" s="3"/>
      <c r="C470" s="20"/>
      <c r="D470" s="19" t="s">
        <v>1520</v>
      </c>
      <c r="E470" s="19" t="s">
        <v>1521</v>
      </c>
      <c r="F470">
        <v>0</v>
      </c>
    </row>
    <row r="471" spans="1:6" ht="23.25" x14ac:dyDescent="0.25">
      <c r="A471" s="3"/>
      <c r="C471" s="20"/>
      <c r="D471" s="19" t="s">
        <v>1522</v>
      </c>
      <c r="E471" s="19" t="s">
        <v>1523</v>
      </c>
      <c r="F471">
        <v>0</v>
      </c>
    </row>
    <row r="472" spans="1:6" ht="23.25" x14ac:dyDescent="0.25">
      <c r="A472" s="3"/>
      <c r="C472" s="20"/>
      <c r="D472" s="19" t="s">
        <v>1524</v>
      </c>
      <c r="E472" s="19" t="s">
        <v>1525</v>
      </c>
      <c r="F472">
        <v>0</v>
      </c>
    </row>
    <row r="473" spans="1:6" ht="23.25" x14ac:dyDescent="0.25">
      <c r="A473" s="3"/>
      <c r="C473" s="20"/>
      <c r="D473" s="19" t="s">
        <v>1526</v>
      </c>
      <c r="E473" s="19" t="s">
        <v>1527</v>
      </c>
      <c r="F473">
        <v>0</v>
      </c>
    </row>
    <row r="474" spans="1:6" ht="23.25" x14ac:dyDescent="0.25">
      <c r="A474" s="3"/>
      <c r="C474" s="20"/>
      <c r="D474" s="19" t="s">
        <v>1528</v>
      </c>
      <c r="E474" s="19" t="s">
        <v>1529</v>
      </c>
      <c r="F474">
        <v>0</v>
      </c>
    </row>
    <row r="475" spans="1:6" ht="23.25" x14ac:dyDescent="0.25">
      <c r="A475" s="3"/>
      <c r="C475" s="20"/>
      <c r="D475" s="19" t="s">
        <v>1530</v>
      </c>
      <c r="E475" s="19" t="s">
        <v>1430</v>
      </c>
      <c r="F475">
        <v>1</v>
      </c>
    </row>
    <row r="476" spans="1:6" ht="23.25" x14ac:dyDescent="0.25">
      <c r="A476" s="3"/>
      <c r="C476" s="20"/>
      <c r="D476" s="19" t="s">
        <v>1531</v>
      </c>
      <c r="E476" s="19" t="s">
        <v>503</v>
      </c>
      <c r="F476">
        <v>0</v>
      </c>
    </row>
    <row r="477" spans="1:6" ht="23.25" x14ac:dyDescent="0.25">
      <c r="A477" s="3"/>
      <c r="C477" s="20"/>
      <c r="D477" s="19" t="s">
        <v>1532</v>
      </c>
      <c r="E477" s="19" t="s">
        <v>1533</v>
      </c>
      <c r="F477">
        <v>1</v>
      </c>
    </row>
    <row r="478" spans="1:6" ht="23.25" x14ac:dyDescent="0.25">
      <c r="A478" s="3"/>
      <c r="C478" s="20"/>
      <c r="D478" s="19" t="s">
        <v>1534</v>
      </c>
      <c r="E478" s="19" t="s">
        <v>1535</v>
      </c>
      <c r="F478">
        <v>0</v>
      </c>
    </row>
    <row r="479" spans="1:6" x14ac:dyDescent="0.25">
      <c r="A479" s="3">
        <v>69</v>
      </c>
      <c r="B479" s="15" t="s">
        <v>23</v>
      </c>
      <c r="C479" s="19" t="s">
        <v>1390</v>
      </c>
      <c r="D479" s="19" t="s">
        <v>1391</v>
      </c>
      <c r="E479" s="19" t="s">
        <v>583</v>
      </c>
      <c r="F479">
        <v>1</v>
      </c>
    </row>
    <row r="480" spans="1:6" x14ac:dyDescent="0.25">
      <c r="D480" s="19" t="s">
        <v>1392</v>
      </c>
      <c r="E480" s="19" t="s">
        <v>306</v>
      </c>
      <c r="F480">
        <v>1</v>
      </c>
    </row>
    <row r="481" spans="4:10" x14ac:dyDescent="0.25">
      <c r="D481" s="19" t="s">
        <v>1393</v>
      </c>
      <c r="E481" s="19" t="s">
        <v>1394</v>
      </c>
      <c r="F481">
        <v>1</v>
      </c>
    </row>
    <row r="482" spans="4:10" ht="23.25" x14ac:dyDescent="0.35">
      <c r="D482" s="19" t="s">
        <v>1395</v>
      </c>
      <c r="E482" s="19" t="s">
        <v>273</v>
      </c>
      <c r="F482">
        <v>1</v>
      </c>
      <c r="H482" s="1"/>
      <c r="I482" s="1"/>
      <c r="J482" s="2"/>
    </row>
    <row r="483" spans="4:10" ht="23.25" x14ac:dyDescent="0.35">
      <c r="D483" s="19" t="s">
        <v>1396</v>
      </c>
      <c r="E483" s="19" t="s">
        <v>1397</v>
      </c>
      <c r="F483">
        <v>1</v>
      </c>
      <c r="H483" s="1"/>
      <c r="I483" s="1"/>
      <c r="J483" s="2"/>
    </row>
    <row r="484" spans="4:10" ht="23.25" x14ac:dyDescent="0.35">
      <c r="D484" s="19" t="s">
        <v>1398</v>
      </c>
      <c r="E484" s="19" t="s">
        <v>493</v>
      </c>
      <c r="F484">
        <v>1</v>
      </c>
      <c r="H484" s="1"/>
      <c r="I484" s="1"/>
      <c r="J484" s="2"/>
    </row>
    <row r="485" spans="4:10" ht="23.25" x14ac:dyDescent="0.35">
      <c r="D485" s="19" t="s">
        <v>1400</v>
      </c>
      <c r="E485" s="19" t="s">
        <v>1401</v>
      </c>
      <c r="F485">
        <v>0</v>
      </c>
      <c r="H485" s="1"/>
      <c r="I485" s="1"/>
      <c r="J485" s="2"/>
    </row>
    <row r="486" spans="4:10" ht="23.25" x14ac:dyDescent="0.35">
      <c r="D486" s="19" t="s">
        <v>1404</v>
      </c>
      <c r="E486" s="19" t="s">
        <v>626</v>
      </c>
      <c r="F486">
        <v>0</v>
      </c>
      <c r="H486" s="1"/>
      <c r="I486" s="1"/>
      <c r="J486" s="2"/>
    </row>
    <row r="487" spans="4:10" ht="23.25" x14ac:dyDescent="0.35">
      <c r="D487" s="19" t="s">
        <v>1407</v>
      </c>
      <c r="E487" s="19" t="s">
        <v>627</v>
      </c>
      <c r="F487">
        <v>2</v>
      </c>
      <c r="H487" s="1"/>
      <c r="I487" s="1"/>
      <c r="J487" s="2"/>
    </row>
    <row r="488" spans="4:10" ht="23.25" x14ac:dyDescent="0.35">
      <c r="D488" s="19" t="s">
        <v>1410</v>
      </c>
      <c r="E488" s="19" t="s">
        <v>628</v>
      </c>
      <c r="F488">
        <v>0</v>
      </c>
      <c r="H488" s="1"/>
      <c r="I488" s="1"/>
      <c r="J488" s="2"/>
    </row>
    <row r="489" spans="4:10" ht="23.25" x14ac:dyDescent="0.35">
      <c r="D489" s="19" t="s">
        <v>1411</v>
      </c>
      <c r="E489" s="19" t="s">
        <v>629</v>
      </c>
      <c r="F489">
        <v>0</v>
      </c>
      <c r="H489" s="1"/>
      <c r="I489" s="1"/>
      <c r="J489" s="2"/>
    </row>
    <row r="490" spans="4:10" ht="23.25" x14ac:dyDescent="0.35">
      <c r="D490" s="19" t="s">
        <v>1412</v>
      </c>
      <c r="E490" s="19" t="s">
        <v>630</v>
      </c>
      <c r="F490">
        <v>0</v>
      </c>
      <c r="H490" s="1"/>
      <c r="I490" s="1"/>
      <c r="J490" s="2"/>
    </row>
    <row r="491" spans="4:10" ht="23.25" x14ac:dyDescent="0.35">
      <c r="D491" s="19" t="s">
        <v>1413</v>
      </c>
      <c r="E491" s="19" t="s">
        <v>1414</v>
      </c>
      <c r="F491">
        <v>0</v>
      </c>
      <c r="H491" s="1"/>
      <c r="I491" s="1"/>
      <c r="J491" s="2"/>
    </row>
    <row r="492" spans="4:10" ht="23.25" x14ac:dyDescent="0.35">
      <c r="D492" s="19" t="s">
        <v>1415</v>
      </c>
      <c r="E492" s="19" t="s">
        <v>611</v>
      </c>
      <c r="F492">
        <v>1</v>
      </c>
      <c r="H492" s="1"/>
      <c r="I492" s="1"/>
      <c r="J492" s="2"/>
    </row>
    <row r="493" spans="4:10" ht="23.25" x14ac:dyDescent="0.35">
      <c r="D493" s="19" t="s">
        <v>1416</v>
      </c>
      <c r="E493" s="19" t="s">
        <v>612</v>
      </c>
      <c r="F493">
        <v>2</v>
      </c>
      <c r="H493" s="1"/>
      <c r="I493" s="1"/>
      <c r="J493" s="2"/>
    </row>
    <row r="494" spans="4:10" ht="23.25" x14ac:dyDescent="0.35">
      <c r="D494" s="19" t="s">
        <v>1417</v>
      </c>
      <c r="E494" s="19" t="s">
        <v>613</v>
      </c>
      <c r="F494">
        <v>2</v>
      </c>
      <c r="H494" s="1"/>
      <c r="I494" s="1"/>
      <c r="J494" s="2"/>
    </row>
    <row r="495" spans="4:10" ht="23.25" x14ac:dyDescent="0.35">
      <c r="D495" s="19" t="s">
        <v>1418</v>
      </c>
      <c r="E495" s="19" t="s">
        <v>1419</v>
      </c>
      <c r="F495">
        <v>2</v>
      </c>
      <c r="H495" s="1"/>
      <c r="I495" s="1"/>
      <c r="J495" s="2"/>
    </row>
    <row r="496" spans="4:10" ht="23.25" x14ac:dyDescent="0.35">
      <c r="D496" s="19" t="s">
        <v>1420</v>
      </c>
      <c r="E496" s="19" t="s">
        <v>621</v>
      </c>
      <c r="F496">
        <v>2</v>
      </c>
      <c r="H496" s="1"/>
      <c r="I496" s="1"/>
      <c r="J496" s="2"/>
    </row>
    <row r="497" spans="1:10" ht="23.25" x14ac:dyDescent="0.35">
      <c r="D497" s="19" t="s">
        <v>1421</v>
      </c>
      <c r="E497" s="19" t="s">
        <v>1422</v>
      </c>
      <c r="F497">
        <v>2</v>
      </c>
      <c r="H497" s="1"/>
      <c r="I497" s="1"/>
      <c r="J497" s="2"/>
    </row>
    <row r="498" spans="1:10" ht="23.25" x14ac:dyDescent="0.35">
      <c r="D498" s="19" t="s">
        <v>1423</v>
      </c>
      <c r="E498" s="19" t="s">
        <v>614</v>
      </c>
      <c r="F498">
        <v>1</v>
      </c>
      <c r="H498" s="1"/>
      <c r="I498" s="1"/>
      <c r="J498" s="2"/>
    </row>
    <row r="499" spans="1:10" ht="23.25" x14ac:dyDescent="0.35">
      <c r="D499" s="19" t="s">
        <v>1424</v>
      </c>
      <c r="E499" s="19" t="s">
        <v>615</v>
      </c>
      <c r="F499">
        <v>1</v>
      </c>
      <c r="H499" s="1"/>
      <c r="I499" s="1"/>
      <c r="J499" s="2"/>
    </row>
    <row r="500" spans="1:10" ht="23.25" x14ac:dyDescent="0.35">
      <c r="D500" s="19" t="s">
        <v>1425</v>
      </c>
      <c r="E500" s="19" t="s">
        <v>616</v>
      </c>
      <c r="F500">
        <v>1</v>
      </c>
      <c r="H500" s="1"/>
      <c r="I500" s="1"/>
      <c r="J500" s="2"/>
    </row>
    <row r="501" spans="1:10" ht="23.25" x14ac:dyDescent="0.35">
      <c r="D501" s="19" t="s">
        <v>1426</v>
      </c>
      <c r="E501" s="19" t="s">
        <v>617</v>
      </c>
      <c r="F501">
        <v>1</v>
      </c>
      <c r="H501" s="1"/>
      <c r="I501" s="1"/>
      <c r="J501" s="2"/>
    </row>
    <row r="502" spans="1:10" ht="23.25" x14ac:dyDescent="0.35">
      <c r="D502" s="19" t="s">
        <v>1427</v>
      </c>
      <c r="E502" s="19" t="s">
        <v>1428</v>
      </c>
      <c r="F502">
        <v>1</v>
      </c>
      <c r="H502" s="1"/>
      <c r="I502" s="1"/>
      <c r="J502" s="2"/>
    </row>
    <row r="503" spans="1:10" ht="23.25" x14ac:dyDescent="0.35">
      <c r="D503" s="19" t="s">
        <v>1429</v>
      </c>
      <c r="E503" s="19" t="s">
        <v>1430</v>
      </c>
      <c r="F503">
        <v>1</v>
      </c>
      <c r="H503" s="1"/>
      <c r="I503" s="1"/>
      <c r="J503" s="2"/>
    </row>
    <row r="504" spans="1:10" ht="23.25" x14ac:dyDescent="0.35">
      <c r="D504" s="19" t="s">
        <v>1431</v>
      </c>
      <c r="E504" s="19" t="s">
        <v>1432</v>
      </c>
      <c r="F504">
        <v>1</v>
      </c>
      <c r="H504" s="1"/>
      <c r="I504" s="1"/>
      <c r="J504" s="2"/>
    </row>
    <row r="505" spans="1:10" ht="23.25" x14ac:dyDescent="0.35">
      <c r="D505" s="19" t="s">
        <v>1433</v>
      </c>
      <c r="E505" s="19" t="s">
        <v>623</v>
      </c>
      <c r="F505">
        <v>0</v>
      </c>
      <c r="H505" s="1"/>
      <c r="I505" s="1"/>
      <c r="J505" s="2"/>
    </row>
    <row r="506" spans="1:10" ht="23.25" x14ac:dyDescent="0.35">
      <c r="D506" s="19" t="s">
        <v>1434</v>
      </c>
      <c r="E506" s="19" t="s">
        <v>624</v>
      </c>
      <c r="F506">
        <v>0</v>
      </c>
      <c r="H506" s="1"/>
      <c r="I506" s="1"/>
      <c r="J506" s="2"/>
    </row>
    <row r="507" spans="1:10" ht="23.25" x14ac:dyDescent="0.35">
      <c r="D507" s="19" t="s">
        <v>1435</v>
      </c>
      <c r="E507" s="19" t="s">
        <v>625</v>
      </c>
      <c r="F507">
        <v>0</v>
      </c>
      <c r="H507" s="1"/>
      <c r="I507" s="1"/>
      <c r="J507" s="2"/>
    </row>
    <row r="508" spans="1:10" ht="23.25" x14ac:dyDescent="0.35">
      <c r="A508" s="3">
        <v>70</v>
      </c>
      <c r="B508" s="15" t="s">
        <v>24</v>
      </c>
      <c r="C508" s="19" t="s">
        <v>659</v>
      </c>
      <c r="D508" s="19" t="s">
        <v>662</v>
      </c>
      <c r="E508" s="19" t="s">
        <v>663</v>
      </c>
      <c r="F508">
        <v>1</v>
      </c>
      <c r="H508" s="1"/>
      <c r="I508" s="1"/>
      <c r="J508" s="2"/>
    </row>
    <row r="509" spans="1:10" x14ac:dyDescent="0.25">
      <c r="D509" s="19" t="s">
        <v>669</v>
      </c>
      <c r="E509" s="19" t="s">
        <v>611</v>
      </c>
      <c r="F509">
        <v>0</v>
      </c>
    </row>
    <row r="510" spans="1:10" x14ac:dyDescent="0.25">
      <c r="D510" s="19" t="s">
        <v>670</v>
      </c>
      <c r="E510" s="19" t="s">
        <v>671</v>
      </c>
      <c r="F510">
        <v>0</v>
      </c>
    </row>
    <row r="511" spans="1:10" x14ac:dyDescent="0.25">
      <c r="D511" s="19" t="s">
        <v>664</v>
      </c>
      <c r="E511" s="19" t="s">
        <v>665</v>
      </c>
      <c r="F511">
        <v>1</v>
      </c>
    </row>
    <row r="512" spans="1:10" x14ac:dyDescent="0.25">
      <c r="D512" s="19" t="s">
        <v>660</v>
      </c>
      <c r="E512" s="19" t="s">
        <v>583</v>
      </c>
      <c r="F512">
        <v>1</v>
      </c>
    </row>
    <row r="513" spans="3:6" x14ac:dyDescent="0.25">
      <c r="D513" s="19" t="s">
        <v>661</v>
      </c>
      <c r="E513" s="19" t="s">
        <v>306</v>
      </c>
      <c r="F513">
        <v>1</v>
      </c>
    </row>
    <row r="514" spans="3:6" x14ac:dyDescent="0.25">
      <c r="D514" s="19" t="s">
        <v>680</v>
      </c>
      <c r="E514" s="19" t="s">
        <v>681</v>
      </c>
      <c r="F514">
        <v>0</v>
      </c>
    </row>
    <row r="515" spans="3:6" x14ac:dyDescent="0.25">
      <c r="D515" s="19" t="s">
        <v>676</v>
      </c>
      <c r="E515" s="19" t="s">
        <v>677</v>
      </c>
      <c r="F515">
        <v>0</v>
      </c>
    </row>
    <row r="516" spans="3:6" x14ac:dyDescent="0.25">
      <c r="D516" s="19" t="s">
        <v>678</v>
      </c>
      <c r="E516" s="19" t="s">
        <v>679</v>
      </c>
      <c r="F516">
        <v>0</v>
      </c>
    </row>
    <row r="517" spans="3:6" x14ac:dyDescent="0.25">
      <c r="D517" s="19" t="s">
        <v>667</v>
      </c>
      <c r="E517" s="19" t="s">
        <v>668</v>
      </c>
      <c r="F517">
        <v>0</v>
      </c>
    </row>
    <row r="518" spans="3:6" x14ac:dyDescent="0.25">
      <c r="D518" s="19" t="s">
        <v>666</v>
      </c>
      <c r="E518" s="19" t="s">
        <v>633</v>
      </c>
      <c r="F518">
        <v>1</v>
      </c>
    </row>
    <row r="519" spans="3:6" x14ac:dyDescent="0.25">
      <c r="D519" s="19" t="s">
        <v>672</v>
      </c>
      <c r="E519" s="19" t="s">
        <v>673</v>
      </c>
      <c r="F519">
        <v>1</v>
      </c>
    </row>
    <row r="520" spans="3:6" x14ac:dyDescent="0.25">
      <c r="D520" s="19" t="s">
        <v>674</v>
      </c>
      <c r="E520" s="19" t="s">
        <v>675</v>
      </c>
      <c r="F520">
        <v>0</v>
      </c>
    </row>
    <row r="521" spans="3:6" x14ac:dyDescent="0.25">
      <c r="C521" s="19" t="s">
        <v>1155</v>
      </c>
      <c r="D521" s="19" t="s">
        <v>1157</v>
      </c>
      <c r="E521" s="19" t="s">
        <v>844</v>
      </c>
      <c r="F521">
        <v>1</v>
      </c>
    </row>
    <row r="522" spans="3:6" x14ac:dyDescent="0.25">
      <c r="D522" s="19" t="s">
        <v>1156</v>
      </c>
      <c r="E522" s="19" t="s">
        <v>273</v>
      </c>
      <c r="F522">
        <v>1</v>
      </c>
    </row>
    <row r="523" spans="3:6" x14ac:dyDescent="0.25">
      <c r="D523" s="19" t="s">
        <v>1158</v>
      </c>
      <c r="E523" s="19" t="s">
        <v>1159</v>
      </c>
      <c r="F523">
        <v>0</v>
      </c>
    </row>
    <row r="524" spans="3:6" x14ac:dyDescent="0.25">
      <c r="D524" s="19" t="s">
        <v>1160</v>
      </c>
      <c r="E524" s="19" t="s">
        <v>1161</v>
      </c>
      <c r="F524">
        <v>0</v>
      </c>
    </row>
    <row r="525" spans="3:6" x14ac:dyDescent="0.25">
      <c r="D525" s="19" t="s">
        <v>1162</v>
      </c>
      <c r="E525" s="19" t="s">
        <v>1163</v>
      </c>
      <c r="F525">
        <v>0</v>
      </c>
    </row>
    <row r="526" spans="3:6" x14ac:dyDescent="0.25">
      <c r="D526" s="19" t="s">
        <v>1164</v>
      </c>
      <c r="E526" s="19" t="s">
        <v>1165</v>
      </c>
      <c r="F526">
        <v>0</v>
      </c>
    </row>
    <row r="527" spans="3:6" x14ac:dyDescent="0.25">
      <c r="D527" s="19" t="s">
        <v>1166</v>
      </c>
      <c r="E527" s="19" t="s">
        <v>295</v>
      </c>
      <c r="F527">
        <v>1</v>
      </c>
    </row>
    <row r="528" spans="3:6" x14ac:dyDescent="0.25">
      <c r="D528" s="19" t="s">
        <v>1167</v>
      </c>
      <c r="E528" s="19" t="s">
        <v>1168</v>
      </c>
      <c r="F528">
        <v>0</v>
      </c>
    </row>
    <row r="529" spans="1:7" x14ac:dyDescent="0.25">
      <c r="C529" s="19" t="s">
        <v>1949</v>
      </c>
      <c r="D529" s="19" t="s">
        <v>1951</v>
      </c>
      <c r="E529" s="19" t="s">
        <v>1952</v>
      </c>
      <c r="F529">
        <v>0</v>
      </c>
    </row>
    <row r="530" spans="1:7" x14ac:dyDescent="0.25">
      <c r="D530" s="19" t="s">
        <v>1953</v>
      </c>
      <c r="E530" s="19" t="s">
        <v>1954</v>
      </c>
      <c r="F530">
        <v>0</v>
      </c>
    </row>
    <row r="531" spans="1:7" x14ac:dyDescent="0.25">
      <c r="D531" s="19" t="s">
        <v>1955</v>
      </c>
      <c r="E531" s="19" t="s">
        <v>1956</v>
      </c>
      <c r="F531">
        <v>0</v>
      </c>
    </row>
    <row r="532" spans="1:7" x14ac:dyDescent="0.25">
      <c r="D532" s="19" t="s">
        <v>1958</v>
      </c>
      <c r="E532" s="19" t="s">
        <v>1959</v>
      </c>
      <c r="F532">
        <v>0</v>
      </c>
    </row>
    <row r="533" spans="1:7" x14ac:dyDescent="0.25">
      <c r="D533" s="19" t="s">
        <v>1960</v>
      </c>
      <c r="E533" s="19" t="s">
        <v>1961</v>
      </c>
      <c r="F533">
        <v>0</v>
      </c>
    </row>
    <row r="534" spans="1:7" x14ac:dyDescent="0.25">
      <c r="D534" s="19" t="s">
        <v>1962</v>
      </c>
      <c r="E534" s="19" t="s">
        <v>1963</v>
      </c>
      <c r="F534">
        <v>0</v>
      </c>
    </row>
    <row r="535" spans="1:7" x14ac:dyDescent="0.25">
      <c r="D535" s="19" t="s">
        <v>1957</v>
      </c>
      <c r="E535" s="19" t="s">
        <v>295</v>
      </c>
      <c r="F535">
        <v>1</v>
      </c>
    </row>
    <row r="536" spans="1:7" x14ac:dyDescent="0.25">
      <c r="D536" s="19" t="s">
        <v>1950</v>
      </c>
      <c r="E536" s="19" t="s">
        <v>349</v>
      </c>
      <c r="F536">
        <v>1</v>
      </c>
    </row>
    <row r="537" spans="1:7" x14ac:dyDescent="0.25">
      <c r="A537" s="3">
        <v>71</v>
      </c>
      <c r="B537" s="15" t="s">
        <v>25</v>
      </c>
      <c r="C537" s="19" t="s">
        <v>506</v>
      </c>
      <c r="D537" s="19" t="s">
        <v>507</v>
      </c>
      <c r="E537" s="19" t="s">
        <v>508</v>
      </c>
      <c r="F537">
        <v>1</v>
      </c>
      <c r="G537" s="7"/>
    </row>
    <row r="538" spans="1:7" x14ac:dyDescent="0.25">
      <c r="C538" s="19"/>
      <c r="D538" s="19" t="s">
        <v>509</v>
      </c>
      <c r="E538" s="19" t="s">
        <v>510</v>
      </c>
      <c r="F538">
        <v>1</v>
      </c>
    </row>
    <row r="539" spans="1:7" x14ac:dyDescent="0.25">
      <c r="C539" s="19"/>
      <c r="D539" s="19" t="s">
        <v>511</v>
      </c>
      <c r="E539" s="19" t="s">
        <v>512</v>
      </c>
      <c r="F539">
        <v>1</v>
      </c>
    </row>
    <row r="540" spans="1:7" x14ac:dyDescent="0.25">
      <c r="C540" s="19"/>
      <c r="D540" s="19" t="s">
        <v>513</v>
      </c>
      <c r="E540" s="19" t="s">
        <v>514</v>
      </c>
      <c r="F540">
        <v>1</v>
      </c>
    </row>
    <row r="541" spans="1:7" x14ac:dyDescent="0.25">
      <c r="C541" s="19"/>
      <c r="D541" s="19" t="s">
        <v>515</v>
      </c>
      <c r="E541" s="19" t="s">
        <v>516</v>
      </c>
      <c r="F541">
        <v>1</v>
      </c>
    </row>
    <row r="542" spans="1:7" x14ac:dyDescent="0.25">
      <c r="C542" s="19"/>
      <c r="D542" s="19" t="s">
        <v>517</v>
      </c>
      <c r="E542" s="19" t="s">
        <v>518</v>
      </c>
      <c r="F542">
        <v>2</v>
      </c>
    </row>
    <row r="543" spans="1:7" x14ac:dyDescent="0.25">
      <c r="C543" s="19"/>
      <c r="D543" s="19" t="s">
        <v>519</v>
      </c>
      <c r="E543" s="19" t="s">
        <v>520</v>
      </c>
      <c r="F543">
        <v>2</v>
      </c>
    </row>
    <row r="544" spans="1:7" x14ac:dyDescent="0.25">
      <c r="C544" s="19"/>
      <c r="D544" s="19" t="s">
        <v>521</v>
      </c>
      <c r="E544" s="19" t="s">
        <v>522</v>
      </c>
      <c r="F544">
        <v>2</v>
      </c>
    </row>
    <row r="545" spans="1:6" x14ac:dyDescent="0.25">
      <c r="C545" s="19"/>
      <c r="D545" s="19" t="s">
        <v>523</v>
      </c>
      <c r="E545" s="19" t="s">
        <v>524</v>
      </c>
      <c r="F545">
        <v>1</v>
      </c>
    </row>
    <row r="546" spans="1:6" x14ac:dyDescent="0.25">
      <c r="C546" s="19"/>
      <c r="D546" s="19" t="s">
        <v>525</v>
      </c>
      <c r="E546" s="19" t="s">
        <v>526</v>
      </c>
      <c r="F546">
        <v>1</v>
      </c>
    </row>
    <row r="547" spans="1:6" x14ac:dyDescent="0.25">
      <c r="C547" s="19"/>
      <c r="D547" s="19" t="s">
        <v>527</v>
      </c>
      <c r="E547" s="19" t="s">
        <v>283</v>
      </c>
      <c r="F547">
        <v>1</v>
      </c>
    </row>
    <row r="548" spans="1:6" x14ac:dyDescent="0.25">
      <c r="C548" s="19"/>
      <c r="D548" s="19" t="s">
        <v>528</v>
      </c>
      <c r="E548" s="19" t="s">
        <v>529</v>
      </c>
      <c r="F548">
        <v>1</v>
      </c>
    </row>
    <row r="549" spans="1:6" x14ac:dyDescent="0.25">
      <c r="C549" s="19"/>
      <c r="D549" s="19" t="s">
        <v>530</v>
      </c>
      <c r="E549" s="19" t="s">
        <v>531</v>
      </c>
      <c r="F549">
        <v>1</v>
      </c>
    </row>
    <row r="550" spans="1:6" x14ac:dyDescent="0.25">
      <c r="C550" s="19"/>
      <c r="D550" s="19" t="s">
        <v>532</v>
      </c>
      <c r="E550" s="19" t="s">
        <v>533</v>
      </c>
      <c r="F550">
        <v>1</v>
      </c>
    </row>
    <row r="551" spans="1:6" x14ac:dyDescent="0.25">
      <c r="C551" s="19"/>
      <c r="D551" s="19" t="s">
        <v>534</v>
      </c>
      <c r="E551" s="19" t="s">
        <v>535</v>
      </c>
      <c r="F551">
        <v>1</v>
      </c>
    </row>
    <row r="552" spans="1:6" x14ac:dyDescent="0.25">
      <c r="C552" s="19"/>
      <c r="D552" s="19" t="s">
        <v>536</v>
      </c>
      <c r="E552" s="19" t="s">
        <v>537</v>
      </c>
      <c r="F552">
        <v>1</v>
      </c>
    </row>
    <row r="553" spans="1:6" x14ac:dyDescent="0.25">
      <c r="C553" s="19"/>
      <c r="D553" s="19" t="s">
        <v>538</v>
      </c>
      <c r="E553" s="19" t="s">
        <v>539</v>
      </c>
      <c r="F553">
        <v>1</v>
      </c>
    </row>
    <row r="554" spans="1:6" x14ac:dyDescent="0.25">
      <c r="C554" s="19"/>
      <c r="D554" s="19" t="s">
        <v>540</v>
      </c>
      <c r="E554" s="19" t="s">
        <v>541</v>
      </c>
      <c r="F554">
        <v>1</v>
      </c>
    </row>
    <row r="555" spans="1:6" x14ac:dyDescent="0.25">
      <c r="C555" s="19"/>
      <c r="D555" s="19" t="s">
        <v>542</v>
      </c>
      <c r="E555" s="19" t="s">
        <v>543</v>
      </c>
      <c r="F555">
        <v>1</v>
      </c>
    </row>
    <row r="556" spans="1:6" x14ac:dyDescent="0.25">
      <c r="C556" s="19"/>
      <c r="D556" s="19" t="s">
        <v>544</v>
      </c>
      <c r="E556" s="19" t="s">
        <v>545</v>
      </c>
      <c r="F556">
        <v>1</v>
      </c>
    </row>
    <row r="557" spans="1:6" x14ac:dyDescent="0.25">
      <c r="C557" s="19"/>
      <c r="D557" s="19" t="s">
        <v>546</v>
      </c>
      <c r="E557" s="19" t="s">
        <v>547</v>
      </c>
      <c r="F557">
        <v>1</v>
      </c>
    </row>
    <row r="558" spans="1:6" x14ac:dyDescent="0.25">
      <c r="C558" s="19"/>
      <c r="D558" s="19" t="s">
        <v>548</v>
      </c>
      <c r="E558" s="19" t="s">
        <v>549</v>
      </c>
      <c r="F558">
        <v>1</v>
      </c>
    </row>
    <row r="559" spans="1:6" x14ac:dyDescent="0.25">
      <c r="C559" s="19"/>
      <c r="D559" s="19" t="s">
        <v>550</v>
      </c>
      <c r="E559" s="19" t="s">
        <v>551</v>
      </c>
      <c r="F559">
        <v>1</v>
      </c>
    </row>
    <row r="560" spans="1:6" x14ac:dyDescent="0.25">
      <c r="A560" s="3">
        <v>75</v>
      </c>
      <c r="B560" s="15" t="s">
        <v>26</v>
      </c>
      <c r="C560" s="19" t="s">
        <v>581</v>
      </c>
      <c r="D560" s="19" t="s">
        <v>582</v>
      </c>
      <c r="E560" s="19" t="s">
        <v>583</v>
      </c>
      <c r="F560" s="7">
        <v>1</v>
      </c>
    </row>
    <row r="561" spans="3:6" x14ac:dyDescent="0.25">
      <c r="C561" s="19"/>
      <c r="D561" s="19" t="s">
        <v>584</v>
      </c>
      <c r="E561" s="19" t="s">
        <v>306</v>
      </c>
      <c r="F561" s="7">
        <v>1</v>
      </c>
    </row>
    <row r="562" spans="3:6" x14ac:dyDescent="0.25">
      <c r="C562" s="19"/>
      <c r="D562" s="19" t="s">
        <v>585</v>
      </c>
      <c r="E562" s="19" t="s">
        <v>586</v>
      </c>
      <c r="F562" s="7">
        <v>1</v>
      </c>
    </row>
    <row r="563" spans="3:6" x14ac:dyDescent="0.25">
      <c r="C563" s="19"/>
      <c r="D563" s="19" t="s">
        <v>587</v>
      </c>
      <c r="E563" s="19" t="s">
        <v>588</v>
      </c>
      <c r="F563" s="7">
        <v>1</v>
      </c>
    </row>
    <row r="564" spans="3:6" x14ac:dyDescent="0.25">
      <c r="C564" s="19"/>
      <c r="D564" s="19" t="s">
        <v>589</v>
      </c>
      <c r="E564" s="19" t="s">
        <v>312</v>
      </c>
      <c r="F564" s="7">
        <v>1</v>
      </c>
    </row>
    <row r="565" spans="3:6" x14ac:dyDescent="0.25">
      <c r="C565" s="19"/>
      <c r="D565" s="19" t="s">
        <v>590</v>
      </c>
      <c r="E565" s="19" t="s">
        <v>493</v>
      </c>
      <c r="F565" s="7">
        <v>1</v>
      </c>
    </row>
    <row r="566" spans="3:6" x14ac:dyDescent="0.25">
      <c r="C566" s="19"/>
      <c r="D566" s="19" t="s">
        <v>591</v>
      </c>
      <c r="E566" s="19" t="s">
        <v>314</v>
      </c>
      <c r="F566" s="7">
        <v>1</v>
      </c>
    </row>
    <row r="567" spans="3:6" x14ac:dyDescent="0.25">
      <c r="C567" s="19"/>
      <c r="D567" s="19" t="s">
        <v>592</v>
      </c>
      <c r="E567" s="19" t="s">
        <v>275</v>
      </c>
      <c r="F567" s="7">
        <v>1</v>
      </c>
    </row>
    <row r="568" spans="3:6" x14ac:dyDescent="0.25">
      <c r="C568" s="19"/>
      <c r="D568" s="19" t="s">
        <v>593</v>
      </c>
      <c r="E568" s="19" t="s">
        <v>594</v>
      </c>
      <c r="F568" s="7">
        <v>1</v>
      </c>
    </row>
    <row r="569" spans="3:6" x14ac:dyDescent="0.25">
      <c r="C569" s="19"/>
      <c r="D569" s="19" t="s">
        <v>595</v>
      </c>
      <c r="E569" s="19" t="s">
        <v>349</v>
      </c>
      <c r="F569" s="7">
        <v>1</v>
      </c>
    </row>
    <row r="570" spans="3:6" x14ac:dyDescent="0.25">
      <c r="C570" s="19"/>
      <c r="D570" s="19" t="s">
        <v>596</v>
      </c>
      <c r="E570" s="19" t="s">
        <v>597</v>
      </c>
      <c r="F570" s="7">
        <v>0</v>
      </c>
    </row>
    <row r="571" spans="3:6" x14ac:dyDescent="0.25">
      <c r="C571" s="19"/>
      <c r="D571" s="19" t="s">
        <v>598</v>
      </c>
      <c r="E571" s="19" t="s">
        <v>599</v>
      </c>
      <c r="F571" s="7">
        <v>0</v>
      </c>
    </row>
    <row r="572" spans="3:6" x14ac:dyDescent="0.25">
      <c r="C572" s="19"/>
      <c r="D572" s="19" t="s">
        <v>600</v>
      </c>
      <c r="E572" s="19" t="s">
        <v>601</v>
      </c>
      <c r="F572" s="7">
        <v>0</v>
      </c>
    </row>
    <row r="573" spans="3:6" x14ac:dyDescent="0.25">
      <c r="C573" s="19"/>
      <c r="D573" s="19" t="s">
        <v>602</v>
      </c>
      <c r="E573" s="19" t="s">
        <v>603</v>
      </c>
      <c r="F573" s="7">
        <v>0</v>
      </c>
    </row>
    <row r="574" spans="3:6" x14ac:dyDescent="0.25">
      <c r="C574" s="19"/>
      <c r="D574" s="19" t="s">
        <v>604</v>
      </c>
      <c r="E574" s="19" t="s">
        <v>605</v>
      </c>
      <c r="F574" s="7">
        <v>0</v>
      </c>
    </row>
    <row r="575" spans="3:6" x14ac:dyDescent="0.25">
      <c r="C575" s="19"/>
      <c r="D575" s="19" t="s">
        <v>606</v>
      </c>
      <c r="E575" s="19" t="s">
        <v>503</v>
      </c>
      <c r="F575" s="7">
        <v>1</v>
      </c>
    </row>
    <row r="576" spans="3:6" x14ac:dyDescent="0.25">
      <c r="C576" s="19"/>
      <c r="D576" s="19" t="s">
        <v>607</v>
      </c>
      <c r="E576" s="19" t="s">
        <v>505</v>
      </c>
      <c r="F576" s="7">
        <v>1</v>
      </c>
    </row>
    <row r="577" spans="1:7" x14ac:dyDescent="0.25">
      <c r="C577" s="19"/>
      <c r="D577" s="19" t="s">
        <v>608</v>
      </c>
      <c r="E577" s="19" t="s">
        <v>609</v>
      </c>
      <c r="F577" s="7">
        <v>1</v>
      </c>
      <c r="G577" s="7"/>
    </row>
    <row r="578" spans="1:7" x14ac:dyDescent="0.25">
      <c r="A578" s="3">
        <v>78</v>
      </c>
      <c r="B578" s="15" t="s">
        <v>27</v>
      </c>
      <c r="C578" s="19" t="s">
        <v>859</v>
      </c>
      <c r="D578" s="19" t="s">
        <v>872</v>
      </c>
      <c r="E578" s="19" t="s">
        <v>873</v>
      </c>
      <c r="F578">
        <v>1</v>
      </c>
    </row>
    <row r="579" spans="1:7" x14ac:dyDescent="0.25">
      <c r="C579" s="19"/>
      <c r="D579" s="19" t="s">
        <v>874</v>
      </c>
      <c r="E579" s="19" t="s">
        <v>875</v>
      </c>
      <c r="F579">
        <v>1</v>
      </c>
    </row>
    <row r="580" spans="1:7" x14ac:dyDescent="0.25">
      <c r="C580" s="19"/>
      <c r="D580" s="19" t="s">
        <v>876</v>
      </c>
      <c r="E580" s="19" t="s">
        <v>372</v>
      </c>
      <c r="F580">
        <v>1</v>
      </c>
    </row>
    <row r="581" spans="1:7" x14ac:dyDescent="0.25">
      <c r="C581" s="19"/>
      <c r="D581" s="19" t="s">
        <v>860</v>
      </c>
      <c r="E581" s="19" t="s">
        <v>273</v>
      </c>
      <c r="F581">
        <v>1</v>
      </c>
    </row>
    <row r="582" spans="1:7" x14ac:dyDescent="0.25">
      <c r="C582" s="19"/>
      <c r="D582" s="19" t="s">
        <v>861</v>
      </c>
      <c r="E582" s="19" t="s">
        <v>275</v>
      </c>
      <c r="F582">
        <v>1</v>
      </c>
    </row>
    <row r="583" spans="1:7" x14ac:dyDescent="0.25">
      <c r="C583" s="19"/>
      <c r="D583" s="19" t="s">
        <v>862</v>
      </c>
      <c r="E583" s="19" t="s">
        <v>277</v>
      </c>
      <c r="F583">
        <v>1</v>
      </c>
    </row>
    <row r="584" spans="1:7" x14ac:dyDescent="0.25">
      <c r="C584" s="19"/>
      <c r="D584" s="19" t="s">
        <v>871</v>
      </c>
      <c r="E584" s="19" t="s">
        <v>295</v>
      </c>
      <c r="F584">
        <v>0</v>
      </c>
    </row>
    <row r="585" spans="1:7" x14ac:dyDescent="0.25">
      <c r="C585" s="19"/>
      <c r="D585" s="19" t="s">
        <v>865</v>
      </c>
      <c r="E585" s="19" t="s">
        <v>866</v>
      </c>
      <c r="F585">
        <v>1</v>
      </c>
    </row>
    <row r="586" spans="1:7" x14ac:dyDescent="0.25">
      <c r="C586" s="19"/>
      <c r="D586" s="19" t="s">
        <v>867</v>
      </c>
      <c r="E586" s="19" t="s">
        <v>868</v>
      </c>
      <c r="F586">
        <v>1</v>
      </c>
    </row>
    <row r="587" spans="1:7" x14ac:dyDescent="0.25">
      <c r="C587" s="19"/>
      <c r="D587" s="19" t="s">
        <v>869</v>
      </c>
      <c r="E587" s="19" t="s">
        <v>870</v>
      </c>
      <c r="F587">
        <v>1</v>
      </c>
    </row>
    <row r="588" spans="1:7" x14ac:dyDescent="0.25">
      <c r="C588" s="19"/>
      <c r="D588" s="19" t="s">
        <v>863</v>
      </c>
      <c r="E588" s="19" t="s">
        <v>283</v>
      </c>
      <c r="F588">
        <v>1</v>
      </c>
    </row>
    <row r="589" spans="1:7" x14ac:dyDescent="0.25">
      <c r="C589" s="19"/>
      <c r="D589" s="19" t="s">
        <v>864</v>
      </c>
      <c r="E589" s="19" t="s">
        <v>289</v>
      </c>
      <c r="F589">
        <v>1</v>
      </c>
    </row>
    <row r="590" spans="1:7" x14ac:dyDescent="0.25">
      <c r="A590" s="3">
        <v>82</v>
      </c>
      <c r="B590" s="15" t="s">
        <v>28</v>
      </c>
      <c r="C590" s="19" t="s">
        <v>1685</v>
      </c>
      <c r="D590" s="19" t="s">
        <v>1709</v>
      </c>
      <c r="E590" s="19" t="s">
        <v>1710</v>
      </c>
      <c r="F590">
        <v>1</v>
      </c>
    </row>
    <row r="591" spans="1:7" x14ac:dyDescent="0.25">
      <c r="D591" s="19" t="s">
        <v>1711</v>
      </c>
      <c r="E591" s="19" t="s">
        <v>1124</v>
      </c>
      <c r="F591">
        <v>1</v>
      </c>
    </row>
    <row r="592" spans="1:7" x14ac:dyDescent="0.25">
      <c r="D592" s="19" t="s">
        <v>1686</v>
      </c>
      <c r="E592" s="19" t="s">
        <v>1687</v>
      </c>
      <c r="F592">
        <v>1</v>
      </c>
    </row>
    <row r="593" spans="1:6" x14ac:dyDescent="0.25">
      <c r="D593" s="19" t="s">
        <v>1688</v>
      </c>
      <c r="E593" s="19" t="s">
        <v>1689</v>
      </c>
      <c r="F593">
        <v>1</v>
      </c>
    </row>
    <row r="594" spans="1:6" x14ac:dyDescent="0.25">
      <c r="D594" s="19" t="s">
        <v>1690</v>
      </c>
      <c r="E594" s="19" t="s">
        <v>1691</v>
      </c>
      <c r="F594">
        <v>1</v>
      </c>
    </row>
    <row r="595" spans="1:6" x14ac:dyDescent="0.25">
      <c r="D595" s="19" t="s">
        <v>1692</v>
      </c>
      <c r="E595" s="19" t="s">
        <v>1693</v>
      </c>
      <c r="F595">
        <v>1</v>
      </c>
    </row>
    <row r="596" spans="1:6" x14ac:dyDescent="0.25">
      <c r="D596" s="19" t="s">
        <v>1694</v>
      </c>
      <c r="E596" s="19" t="s">
        <v>1695</v>
      </c>
      <c r="F596">
        <v>1</v>
      </c>
    </row>
    <row r="597" spans="1:6" x14ac:dyDescent="0.25">
      <c r="D597" s="19" t="s">
        <v>1703</v>
      </c>
      <c r="E597" s="19" t="s">
        <v>1704</v>
      </c>
      <c r="F597">
        <v>1</v>
      </c>
    </row>
    <row r="598" spans="1:6" x14ac:dyDescent="0.25">
      <c r="D598" s="19" t="s">
        <v>1705</v>
      </c>
      <c r="E598" s="19" t="s">
        <v>1706</v>
      </c>
      <c r="F598">
        <v>1</v>
      </c>
    </row>
    <row r="599" spans="1:6" x14ac:dyDescent="0.25">
      <c r="D599" s="19" t="s">
        <v>1707</v>
      </c>
      <c r="E599" s="19" t="s">
        <v>1708</v>
      </c>
      <c r="F599">
        <v>1</v>
      </c>
    </row>
    <row r="600" spans="1:6" x14ac:dyDescent="0.25">
      <c r="D600" s="19" t="s">
        <v>1696</v>
      </c>
      <c r="E600" s="19" t="s">
        <v>1697</v>
      </c>
      <c r="F600">
        <v>1</v>
      </c>
    </row>
    <row r="601" spans="1:6" x14ac:dyDescent="0.25">
      <c r="D601" s="19" t="s">
        <v>1698</v>
      </c>
      <c r="E601" s="19" t="s">
        <v>1699</v>
      </c>
      <c r="F601">
        <v>1</v>
      </c>
    </row>
    <row r="602" spans="1:6" x14ac:dyDescent="0.25">
      <c r="D602" s="19" t="s">
        <v>1700</v>
      </c>
      <c r="E602" s="19" t="s">
        <v>1701</v>
      </c>
      <c r="F602">
        <v>1</v>
      </c>
    </row>
    <row r="603" spans="1:6" x14ac:dyDescent="0.25">
      <c r="D603" s="19" t="s">
        <v>1702</v>
      </c>
      <c r="E603" s="19" t="s">
        <v>314</v>
      </c>
      <c r="F603">
        <v>1</v>
      </c>
    </row>
    <row r="604" spans="1:6" x14ac:dyDescent="0.25">
      <c r="A604" s="3">
        <v>89</v>
      </c>
      <c r="B604" s="15" t="s">
        <v>29</v>
      </c>
      <c r="C604" s="19" t="s">
        <v>1155</v>
      </c>
      <c r="D604" s="19" t="s">
        <v>1157</v>
      </c>
      <c r="E604" s="19" t="s">
        <v>844</v>
      </c>
      <c r="F604">
        <v>1</v>
      </c>
    </row>
    <row r="605" spans="1:6" ht="19.5" customHeight="1" x14ac:dyDescent="0.25">
      <c r="C605" s="19"/>
      <c r="D605" s="19" t="s">
        <v>1156</v>
      </c>
      <c r="E605" s="19" t="s">
        <v>273</v>
      </c>
      <c r="F605" s="7">
        <v>0</v>
      </c>
    </row>
    <row r="606" spans="1:6" x14ac:dyDescent="0.25">
      <c r="C606" s="19"/>
      <c r="D606" s="19" t="s">
        <v>1158</v>
      </c>
      <c r="E606" s="19" t="s">
        <v>1159</v>
      </c>
      <c r="F606" s="7">
        <v>2</v>
      </c>
    </row>
    <row r="607" spans="1:6" x14ac:dyDescent="0.25">
      <c r="C607" s="19"/>
      <c r="D607" s="19" t="s">
        <v>1160</v>
      </c>
      <c r="E607" s="19" t="s">
        <v>1161</v>
      </c>
      <c r="F607">
        <v>2</v>
      </c>
    </row>
    <row r="608" spans="1:6" x14ac:dyDescent="0.25">
      <c r="C608" s="19"/>
      <c r="D608" s="19" t="s">
        <v>1162</v>
      </c>
      <c r="E608" s="19" t="s">
        <v>1163</v>
      </c>
      <c r="F608">
        <v>2</v>
      </c>
    </row>
    <row r="609" spans="1:6" x14ac:dyDescent="0.25">
      <c r="C609" s="19"/>
      <c r="D609" s="19" t="s">
        <v>1164</v>
      </c>
      <c r="E609" s="19" t="s">
        <v>1165</v>
      </c>
      <c r="F609">
        <v>2</v>
      </c>
    </row>
    <row r="610" spans="1:6" x14ac:dyDescent="0.25">
      <c r="C610" s="19"/>
      <c r="D610" s="19" t="s">
        <v>1166</v>
      </c>
      <c r="E610" s="19" t="s">
        <v>295</v>
      </c>
      <c r="F610">
        <v>1</v>
      </c>
    </row>
    <row r="611" spans="1:6" x14ac:dyDescent="0.25">
      <c r="C611" s="19"/>
      <c r="D611" s="19" t="s">
        <v>1167</v>
      </c>
      <c r="E611" s="19" t="s">
        <v>1168</v>
      </c>
      <c r="F611" s="7">
        <v>0</v>
      </c>
    </row>
    <row r="612" spans="1:6" x14ac:dyDescent="0.25">
      <c r="A612" s="3">
        <v>90</v>
      </c>
      <c r="B612" s="15" t="s">
        <v>30</v>
      </c>
      <c r="C612" s="19" t="s">
        <v>1366</v>
      </c>
      <c r="D612" s="19" t="s">
        <v>1367</v>
      </c>
      <c r="E612" s="19" t="s">
        <v>1368</v>
      </c>
      <c r="F612">
        <v>0</v>
      </c>
    </row>
    <row r="613" spans="1:6" x14ac:dyDescent="0.25">
      <c r="D613" s="19" t="s">
        <v>1369</v>
      </c>
      <c r="E613" s="19" t="s">
        <v>1370</v>
      </c>
      <c r="F613">
        <v>1</v>
      </c>
    </row>
    <row r="614" spans="1:6" x14ac:dyDescent="0.25">
      <c r="D614" s="19" t="s">
        <v>1377</v>
      </c>
      <c r="E614" s="19" t="s">
        <v>875</v>
      </c>
      <c r="F614">
        <v>1</v>
      </c>
    </row>
    <row r="615" spans="1:6" x14ac:dyDescent="0.25">
      <c r="D615" s="19" t="s">
        <v>1389</v>
      </c>
      <c r="E615" s="19" t="s">
        <v>551</v>
      </c>
      <c r="F615">
        <v>1</v>
      </c>
    </row>
    <row r="616" spans="1:6" x14ac:dyDescent="0.25">
      <c r="D616" s="19" t="s">
        <v>1388</v>
      </c>
      <c r="E616" s="19" t="s">
        <v>539</v>
      </c>
      <c r="F616">
        <v>1</v>
      </c>
    </row>
    <row r="617" spans="1:6" x14ac:dyDescent="0.25">
      <c r="D617" s="19" t="s">
        <v>1378</v>
      </c>
      <c r="E617" s="19" t="s">
        <v>541</v>
      </c>
      <c r="F617">
        <v>1</v>
      </c>
    </row>
    <row r="618" spans="1:6" x14ac:dyDescent="0.25">
      <c r="D618" s="19" t="s">
        <v>1379</v>
      </c>
      <c r="E618" s="19" t="s">
        <v>1380</v>
      </c>
      <c r="F618">
        <v>1</v>
      </c>
    </row>
    <row r="619" spans="1:6" x14ac:dyDescent="0.25">
      <c r="D619" s="19" t="s">
        <v>1381</v>
      </c>
      <c r="E619" s="19" t="s">
        <v>1382</v>
      </c>
      <c r="F619">
        <v>1</v>
      </c>
    </row>
    <row r="620" spans="1:6" x14ac:dyDescent="0.25">
      <c r="D620" s="19" t="s">
        <v>1371</v>
      </c>
      <c r="E620" s="19" t="s">
        <v>283</v>
      </c>
      <c r="F620">
        <v>1</v>
      </c>
    </row>
    <row r="621" spans="1:6" x14ac:dyDescent="0.25">
      <c r="D621" s="19" t="s">
        <v>1372</v>
      </c>
      <c r="E621" s="19" t="s">
        <v>1373</v>
      </c>
      <c r="F621">
        <v>1</v>
      </c>
    </row>
    <row r="622" spans="1:6" x14ac:dyDescent="0.25">
      <c r="D622" s="19" t="s">
        <v>1374</v>
      </c>
      <c r="E622" s="19" t="s">
        <v>1375</v>
      </c>
      <c r="F622">
        <v>0</v>
      </c>
    </row>
    <row r="623" spans="1:6" x14ac:dyDescent="0.25">
      <c r="D623" s="19" t="s">
        <v>1376</v>
      </c>
      <c r="E623" s="19" t="s">
        <v>531</v>
      </c>
      <c r="F623">
        <v>1</v>
      </c>
    </row>
    <row r="624" spans="1:6" x14ac:dyDescent="0.25">
      <c r="D624" s="19" t="s">
        <v>1383</v>
      </c>
      <c r="E624" s="19" t="s">
        <v>1384</v>
      </c>
      <c r="F624">
        <v>1</v>
      </c>
    </row>
    <row r="625" spans="1:6" x14ac:dyDescent="0.25">
      <c r="D625" s="19" t="s">
        <v>1385</v>
      </c>
      <c r="E625" s="19" t="s">
        <v>1386</v>
      </c>
      <c r="F625">
        <v>1</v>
      </c>
    </row>
    <row r="626" spans="1:6" x14ac:dyDescent="0.25">
      <c r="D626" s="19" t="s">
        <v>1387</v>
      </c>
      <c r="E626" s="19" t="s">
        <v>295</v>
      </c>
      <c r="F626">
        <v>1</v>
      </c>
    </row>
    <row r="627" spans="1:6" x14ac:dyDescent="0.25">
      <c r="A627" s="3">
        <v>91</v>
      </c>
      <c r="B627" s="16" t="s">
        <v>31</v>
      </c>
      <c r="C627" s="19" t="s">
        <v>1366</v>
      </c>
      <c r="D627" s="19" t="s">
        <v>1367</v>
      </c>
      <c r="E627" s="19" t="s">
        <v>1368</v>
      </c>
      <c r="F627">
        <v>0</v>
      </c>
    </row>
    <row r="628" spans="1:6" x14ac:dyDescent="0.25">
      <c r="C628" s="19"/>
      <c r="D628" s="19" t="s">
        <v>1369</v>
      </c>
      <c r="E628" s="19" t="s">
        <v>1370</v>
      </c>
      <c r="F628">
        <v>0</v>
      </c>
    </row>
    <row r="629" spans="1:6" x14ac:dyDescent="0.25">
      <c r="C629" s="19"/>
      <c r="D629" s="19" t="s">
        <v>1371</v>
      </c>
      <c r="E629" s="19" t="s">
        <v>283</v>
      </c>
      <c r="F629">
        <v>1</v>
      </c>
    </row>
    <row r="630" spans="1:6" x14ac:dyDescent="0.25">
      <c r="C630" s="19"/>
      <c r="D630" s="19" t="s">
        <v>1372</v>
      </c>
      <c r="E630" s="19" t="s">
        <v>1373</v>
      </c>
      <c r="F630">
        <v>1</v>
      </c>
    </row>
    <row r="631" spans="1:6" x14ac:dyDescent="0.25">
      <c r="C631" s="19"/>
      <c r="D631" s="19" t="s">
        <v>1374</v>
      </c>
      <c r="E631" s="19" t="s">
        <v>1375</v>
      </c>
      <c r="F631">
        <v>1</v>
      </c>
    </row>
    <row r="632" spans="1:6" x14ac:dyDescent="0.25">
      <c r="C632" s="19"/>
      <c r="D632" s="19" t="s">
        <v>1376</v>
      </c>
      <c r="E632" s="19" t="s">
        <v>531</v>
      </c>
      <c r="F632">
        <v>1</v>
      </c>
    </row>
    <row r="633" spans="1:6" x14ac:dyDescent="0.25">
      <c r="C633" s="19"/>
      <c r="D633" s="19" t="s">
        <v>1377</v>
      </c>
      <c r="E633" s="19" t="s">
        <v>539</v>
      </c>
      <c r="F633">
        <v>0</v>
      </c>
    </row>
    <row r="634" spans="1:6" x14ac:dyDescent="0.25">
      <c r="C634" s="19"/>
      <c r="D634" s="19" t="s">
        <v>1378</v>
      </c>
      <c r="E634" s="19" t="s">
        <v>541</v>
      </c>
      <c r="F634">
        <v>1</v>
      </c>
    </row>
    <row r="635" spans="1:6" x14ac:dyDescent="0.25">
      <c r="C635" s="19"/>
      <c r="D635" s="19" t="s">
        <v>1379</v>
      </c>
      <c r="E635" s="19" t="s">
        <v>1380</v>
      </c>
      <c r="F635">
        <v>1</v>
      </c>
    </row>
    <row r="636" spans="1:6" x14ac:dyDescent="0.25">
      <c r="C636" s="19"/>
      <c r="D636" s="19" t="s">
        <v>1381</v>
      </c>
      <c r="E636" s="19" t="s">
        <v>1382</v>
      </c>
      <c r="F636">
        <v>1</v>
      </c>
    </row>
    <row r="637" spans="1:6" x14ac:dyDescent="0.25">
      <c r="C637" s="19"/>
      <c r="D637" s="19" t="s">
        <v>1383</v>
      </c>
      <c r="E637" s="19" t="s">
        <v>1384</v>
      </c>
      <c r="F637">
        <v>0</v>
      </c>
    </row>
    <row r="638" spans="1:6" x14ac:dyDescent="0.25">
      <c r="C638" s="19"/>
      <c r="D638" s="19" t="s">
        <v>1385</v>
      </c>
      <c r="E638" s="19" t="s">
        <v>1386</v>
      </c>
      <c r="F638">
        <v>0</v>
      </c>
    </row>
    <row r="639" spans="1:6" x14ac:dyDescent="0.25">
      <c r="C639" s="19"/>
      <c r="D639" s="19" t="s">
        <v>1387</v>
      </c>
      <c r="E639" s="19" t="s">
        <v>295</v>
      </c>
      <c r="F639">
        <v>0</v>
      </c>
    </row>
    <row r="640" spans="1:6" x14ac:dyDescent="0.25">
      <c r="C640" s="19"/>
      <c r="D640" s="19" t="s">
        <v>1388</v>
      </c>
      <c r="E640" s="19" t="s">
        <v>875</v>
      </c>
      <c r="F640">
        <v>0</v>
      </c>
    </row>
    <row r="641" spans="1:6" x14ac:dyDescent="0.25">
      <c r="C641" s="19"/>
      <c r="D641" s="19" t="s">
        <v>1389</v>
      </c>
      <c r="E641" s="19" t="s">
        <v>551</v>
      </c>
      <c r="F641">
        <v>1</v>
      </c>
    </row>
    <row r="642" spans="1:6" x14ac:dyDescent="0.25">
      <c r="A642" s="3">
        <v>94</v>
      </c>
      <c r="B642" s="15" t="s">
        <v>32</v>
      </c>
      <c r="C642" s="19" t="s">
        <v>701</v>
      </c>
      <c r="D642" s="19" t="s">
        <v>704</v>
      </c>
      <c r="E642" s="19" t="s">
        <v>705</v>
      </c>
      <c r="F642">
        <v>1</v>
      </c>
    </row>
    <row r="643" spans="1:6" x14ac:dyDescent="0.25">
      <c r="D643" s="19" t="s">
        <v>706</v>
      </c>
      <c r="E643" s="19" t="s">
        <v>588</v>
      </c>
      <c r="F643">
        <v>1</v>
      </c>
    </row>
    <row r="644" spans="1:6" x14ac:dyDescent="0.25">
      <c r="D644" s="19" t="s">
        <v>702</v>
      </c>
      <c r="E644" s="19" t="s">
        <v>583</v>
      </c>
      <c r="F644">
        <v>1</v>
      </c>
    </row>
    <row r="645" spans="1:6" x14ac:dyDescent="0.25">
      <c r="D645" s="19" t="s">
        <v>703</v>
      </c>
      <c r="E645" s="19" t="s">
        <v>306</v>
      </c>
      <c r="F645">
        <v>1</v>
      </c>
    </row>
    <row r="646" spans="1:6" x14ac:dyDescent="0.25">
      <c r="D646" s="19" t="s">
        <v>714</v>
      </c>
      <c r="E646" s="19" t="s">
        <v>715</v>
      </c>
      <c r="F646">
        <v>1</v>
      </c>
    </row>
    <row r="647" spans="1:6" x14ac:dyDescent="0.25">
      <c r="D647" s="19" t="s">
        <v>716</v>
      </c>
      <c r="E647" s="19" t="s">
        <v>717</v>
      </c>
      <c r="F647">
        <v>1</v>
      </c>
    </row>
    <row r="648" spans="1:6" x14ac:dyDescent="0.25">
      <c r="D648" s="19" t="s">
        <v>718</v>
      </c>
      <c r="E648" s="19" t="s">
        <v>381</v>
      </c>
      <c r="F648">
        <v>1</v>
      </c>
    </row>
    <row r="649" spans="1:6" x14ac:dyDescent="0.25">
      <c r="D649" s="19" t="s">
        <v>711</v>
      </c>
      <c r="E649" s="19" t="s">
        <v>283</v>
      </c>
      <c r="F649">
        <v>1</v>
      </c>
    </row>
    <row r="650" spans="1:6" x14ac:dyDescent="0.25">
      <c r="D650" s="19" t="s">
        <v>712</v>
      </c>
      <c r="E650" s="19" t="s">
        <v>713</v>
      </c>
      <c r="F650">
        <v>1</v>
      </c>
    </row>
    <row r="651" spans="1:6" x14ac:dyDescent="0.25">
      <c r="D651" s="19" t="s">
        <v>719</v>
      </c>
      <c r="E651" s="19" t="s">
        <v>720</v>
      </c>
      <c r="F651">
        <v>1</v>
      </c>
    </row>
    <row r="652" spans="1:6" x14ac:dyDescent="0.25">
      <c r="D652" s="19" t="s">
        <v>721</v>
      </c>
      <c r="E652" s="19" t="s">
        <v>722</v>
      </c>
      <c r="F652">
        <v>1</v>
      </c>
    </row>
    <row r="653" spans="1:6" x14ac:dyDescent="0.25">
      <c r="D653" s="19" t="s">
        <v>710</v>
      </c>
      <c r="E653" s="19" t="s">
        <v>275</v>
      </c>
      <c r="F653">
        <v>1</v>
      </c>
    </row>
    <row r="654" spans="1:6" x14ac:dyDescent="0.25">
      <c r="D654" s="19" t="s">
        <v>707</v>
      </c>
      <c r="E654" s="19" t="s">
        <v>312</v>
      </c>
      <c r="F654">
        <v>1</v>
      </c>
    </row>
    <row r="655" spans="1:6" x14ac:dyDescent="0.25">
      <c r="D655" s="19" t="s">
        <v>708</v>
      </c>
      <c r="E655" s="19" t="s">
        <v>314</v>
      </c>
      <c r="F655">
        <v>1</v>
      </c>
    </row>
    <row r="656" spans="1:6" x14ac:dyDescent="0.25">
      <c r="D656" s="19" t="s">
        <v>709</v>
      </c>
      <c r="E656" s="19" t="s">
        <v>493</v>
      </c>
      <c r="F656">
        <v>1</v>
      </c>
    </row>
    <row r="657" spans="1:6" x14ac:dyDescent="0.25">
      <c r="A657" s="3">
        <v>98</v>
      </c>
      <c r="B657" s="15" t="s">
        <v>33</v>
      </c>
      <c r="C657" s="19" t="s">
        <v>1790</v>
      </c>
      <c r="D657" s="19" t="s">
        <v>1794</v>
      </c>
      <c r="E657" s="19" t="s">
        <v>786</v>
      </c>
      <c r="F657">
        <v>1</v>
      </c>
    </row>
    <row r="658" spans="1:6" x14ac:dyDescent="0.25">
      <c r="D658" s="19" t="s">
        <v>1795</v>
      </c>
      <c r="E658" s="19" t="s">
        <v>784</v>
      </c>
      <c r="F658">
        <v>1</v>
      </c>
    </row>
    <row r="659" spans="1:6" x14ac:dyDescent="0.25">
      <c r="D659" s="19" t="s">
        <v>1796</v>
      </c>
      <c r="E659" s="19" t="s">
        <v>1205</v>
      </c>
      <c r="F659">
        <v>1</v>
      </c>
    </row>
    <row r="660" spans="1:6" x14ac:dyDescent="0.25">
      <c r="D660" s="19" t="s">
        <v>1797</v>
      </c>
      <c r="E660" s="19" t="s">
        <v>1207</v>
      </c>
      <c r="F660">
        <v>1</v>
      </c>
    </row>
    <row r="661" spans="1:6" x14ac:dyDescent="0.25">
      <c r="D661" s="19" t="s">
        <v>1798</v>
      </c>
      <c r="E661" s="19" t="s">
        <v>1209</v>
      </c>
      <c r="F661">
        <v>1</v>
      </c>
    </row>
    <row r="662" spans="1:6" x14ac:dyDescent="0.25">
      <c r="D662" s="19" t="s">
        <v>1799</v>
      </c>
      <c r="E662" s="19" t="s">
        <v>789</v>
      </c>
      <c r="F662">
        <v>1</v>
      </c>
    </row>
    <row r="663" spans="1:6" x14ac:dyDescent="0.25">
      <c r="D663" s="19" t="s">
        <v>1800</v>
      </c>
      <c r="E663" s="19" t="s">
        <v>1214</v>
      </c>
      <c r="F663">
        <v>1</v>
      </c>
    </row>
    <row r="664" spans="1:6" x14ac:dyDescent="0.25">
      <c r="D664" s="19" t="s">
        <v>1791</v>
      </c>
      <c r="E664" s="19" t="s">
        <v>273</v>
      </c>
      <c r="F664">
        <v>1</v>
      </c>
    </row>
    <row r="665" spans="1:6" x14ac:dyDescent="0.25">
      <c r="D665" s="19" t="s">
        <v>1792</v>
      </c>
      <c r="E665" s="19" t="s">
        <v>312</v>
      </c>
      <c r="F665">
        <v>1</v>
      </c>
    </row>
    <row r="666" spans="1:6" x14ac:dyDescent="0.25">
      <c r="D666" s="19" t="s">
        <v>1793</v>
      </c>
      <c r="E666" s="19" t="s">
        <v>801</v>
      </c>
      <c r="F666">
        <v>1</v>
      </c>
    </row>
    <row r="667" spans="1:6" x14ac:dyDescent="0.25">
      <c r="D667" s="19" t="s">
        <v>1804</v>
      </c>
      <c r="E667" s="19" t="s">
        <v>372</v>
      </c>
      <c r="F667">
        <v>1</v>
      </c>
    </row>
    <row r="668" spans="1:6" x14ac:dyDescent="0.25">
      <c r="D668" s="19" t="s">
        <v>1805</v>
      </c>
      <c r="E668" s="19" t="s">
        <v>1806</v>
      </c>
      <c r="F668">
        <v>0</v>
      </c>
    </row>
    <row r="669" spans="1:6" x14ac:dyDescent="0.25">
      <c r="D669" s="19" t="s">
        <v>1807</v>
      </c>
      <c r="E669" s="19" t="s">
        <v>1808</v>
      </c>
      <c r="F669">
        <v>1</v>
      </c>
    </row>
    <row r="670" spans="1:6" x14ac:dyDescent="0.25">
      <c r="D670" s="19" t="s">
        <v>1801</v>
      </c>
      <c r="E670" s="19" t="s">
        <v>1784</v>
      </c>
      <c r="F670">
        <v>1</v>
      </c>
    </row>
    <row r="671" spans="1:6" x14ac:dyDescent="0.25">
      <c r="D671" s="19" t="s">
        <v>1802</v>
      </c>
      <c r="E671" s="19" t="s">
        <v>791</v>
      </c>
      <c r="F671">
        <v>1</v>
      </c>
    </row>
    <row r="672" spans="1:6" x14ac:dyDescent="0.25">
      <c r="D672" s="19" t="s">
        <v>1803</v>
      </c>
      <c r="E672" s="19" t="s">
        <v>795</v>
      </c>
      <c r="F672">
        <v>1</v>
      </c>
    </row>
    <row r="673" spans="1:6" x14ac:dyDescent="0.25">
      <c r="A673" s="3">
        <v>102</v>
      </c>
      <c r="B673" s="15" t="s">
        <v>34</v>
      </c>
      <c r="C673" s="19" t="s">
        <v>972</v>
      </c>
      <c r="D673" s="19" t="s">
        <v>973</v>
      </c>
      <c r="E673" s="19" t="s">
        <v>273</v>
      </c>
      <c r="F673">
        <v>1</v>
      </c>
    </row>
    <row r="674" spans="1:6" x14ac:dyDescent="0.25">
      <c r="D674" s="19" t="s">
        <v>974</v>
      </c>
      <c r="E674" s="19" t="s">
        <v>295</v>
      </c>
      <c r="F674">
        <v>1</v>
      </c>
    </row>
    <row r="675" spans="1:6" x14ac:dyDescent="0.25">
      <c r="D675" s="19" t="s">
        <v>975</v>
      </c>
      <c r="E675" s="19" t="s">
        <v>976</v>
      </c>
      <c r="F675">
        <v>0</v>
      </c>
    </row>
    <row r="676" spans="1:6" x14ac:dyDescent="0.25">
      <c r="D676" s="19" t="s">
        <v>977</v>
      </c>
      <c r="E676" s="19" t="s">
        <v>978</v>
      </c>
      <c r="F676">
        <v>1</v>
      </c>
    </row>
    <row r="677" spans="1:6" x14ac:dyDescent="0.25">
      <c r="D677" s="19" t="s">
        <v>979</v>
      </c>
      <c r="E677" s="19" t="s">
        <v>980</v>
      </c>
      <c r="F677">
        <v>0</v>
      </c>
    </row>
    <row r="678" spans="1:6" x14ac:dyDescent="0.25">
      <c r="D678" s="19" t="s">
        <v>981</v>
      </c>
      <c r="E678" s="19" t="s">
        <v>982</v>
      </c>
      <c r="F678">
        <v>1</v>
      </c>
    </row>
    <row r="679" spans="1:6" x14ac:dyDescent="0.25">
      <c r="D679" s="19" t="s">
        <v>983</v>
      </c>
      <c r="E679" s="19" t="s">
        <v>984</v>
      </c>
      <c r="F679">
        <v>0</v>
      </c>
    </row>
    <row r="680" spans="1:6" x14ac:dyDescent="0.25">
      <c r="D680" s="19" t="s">
        <v>985</v>
      </c>
      <c r="E680" s="19" t="s">
        <v>986</v>
      </c>
      <c r="F680">
        <v>1</v>
      </c>
    </row>
    <row r="681" spans="1:6" x14ac:dyDescent="0.25">
      <c r="D681" s="19" t="s">
        <v>987</v>
      </c>
      <c r="E681" s="19" t="s">
        <v>482</v>
      </c>
      <c r="F681">
        <v>1</v>
      </c>
    </row>
    <row r="682" spans="1:6" x14ac:dyDescent="0.25">
      <c r="D682" s="19" t="s">
        <v>988</v>
      </c>
      <c r="E682" s="19" t="s">
        <v>989</v>
      </c>
      <c r="F682">
        <v>1</v>
      </c>
    </row>
    <row r="683" spans="1:6" x14ac:dyDescent="0.25">
      <c r="D683" s="19" t="s">
        <v>990</v>
      </c>
      <c r="E683" s="19" t="s">
        <v>991</v>
      </c>
      <c r="F683">
        <v>1</v>
      </c>
    </row>
    <row r="684" spans="1:6" x14ac:dyDescent="0.25">
      <c r="D684" s="19" t="s">
        <v>992</v>
      </c>
      <c r="E684" s="19" t="s">
        <v>993</v>
      </c>
      <c r="F684">
        <v>1</v>
      </c>
    </row>
    <row r="685" spans="1:6" x14ac:dyDescent="0.25">
      <c r="A685" s="3">
        <v>119</v>
      </c>
      <c r="B685" s="15" t="s">
        <v>35</v>
      </c>
      <c r="C685" s="19" t="s">
        <v>302</v>
      </c>
      <c r="D685" s="19" t="s">
        <v>309</v>
      </c>
      <c r="E685" s="19" t="s">
        <v>310</v>
      </c>
      <c r="F685">
        <v>1</v>
      </c>
    </row>
    <row r="686" spans="1:6" x14ac:dyDescent="0.25">
      <c r="D686" s="19" t="s">
        <v>335</v>
      </c>
      <c r="E686" s="19" t="s">
        <v>326</v>
      </c>
      <c r="F686">
        <v>1</v>
      </c>
    </row>
    <row r="687" spans="1:6" x14ac:dyDescent="0.25">
      <c r="D687" s="19" t="s">
        <v>327</v>
      </c>
      <c r="E687" s="19" t="s">
        <v>328</v>
      </c>
      <c r="F687">
        <v>1</v>
      </c>
    </row>
    <row r="688" spans="1:6" x14ac:dyDescent="0.25">
      <c r="D688" s="19" t="s">
        <v>329</v>
      </c>
      <c r="E688" s="19" t="s">
        <v>330</v>
      </c>
      <c r="F688">
        <v>1</v>
      </c>
    </row>
    <row r="689" spans="1:6" x14ac:dyDescent="0.25">
      <c r="D689" s="19" t="s">
        <v>317</v>
      </c>
      <c r="E689" s="19" t="s">
        <v>318</v>
      </c>
      <c r="F689">
        <v>0</v>
      </c>
    </row>
    <row r="690" spans="1:6" x14ac:dyDescent="0.25">
      <c r="D690" s="19" t="s">
        <v>319</v>
      </c>
      <c r="E690" s="19" t="s">
        <v>320</v>
      </c>
      <c r="F690">
        <v>0</v>
      </c>
    </row>
    <row r="691" spans="1:6" x14ac:dyDescent="0.25">
      <c r="D691" s="19" t="s">
        <v>321</v>
      </c>
      <c r="E691" s="19" t="s">
        <v>322</v>
      </c>
      <c r="F691">
        <v>0</v>
      </c>
    </row>
    <row r="692" spans="1:6" x14ac:dyDescent="0.25">
      <c r="D692" s="19" t="s">
        <v>331</v>
      </c>
      <c r="E692" s="19" t="s">
        <v>332</v>
      </c>
      <c r="F692">
        <v>0</v>
      </c>
    </row>
    <row r="693" spans="1:6" x14ac:dyDescent="0.25">
      <c r="D693" s="19" t="s">
        <v>303</v>
      </c>
      <c r="E693" s="19" t="s">
        <v>304</v>
      </c>
      <c r="F693">
        <v>1</v>
      </c>
    </row>
    <row r="694" spans="1:6" x14ac:dyDescent="0.25">
      <c r="D694" s="19" t="s">
        <v>305</v>
      </c>
      <c r="E694" s="19" t="s">
        <v>306</v>
      </c>
      <c r="F694">
        <v>1</v>
      </c>
    </row>
    <row r="695" spans="1:6" x14ac:dyDescent="0.25">
      <c r="D695" s="19" t="s">
        <v>307</v>
      </c>
      <c r="E695" s="19" t="s">
        <v>308</v>
      </c>
      <c r="F695">
        <v>0</v>
      </c>
    </row>
    <row r="696" spans="1:6" x14ac:dyDescent="0.25">
      <c r="D696" s="19" t="s">
        <v>333</v>
      </c>
      <c r="E696" s="19" t="s">
        <v>334</v>
      </c>
      <c r="F696">
        <v>1</v>
      </c>
    </row>
    <row r="697" spans="1:6" x14ac:dyDescent="0.25">
      <c r="D697" s="19" t="s">
        <v>325</v>
      </c>
      <c r="E697" s="19" t="s">
        <v>336</v>
      </c>
      <c r="F697">
        <v>1</v>
      </c>
    </row>
    <row r="698" spans="1:6" x14ac:dyDescent="0.25">
      <c r="D698" s="19" t="s">
        <v>311</v>
      </c>
      <c r="E698" s="19" t="s">
        <v>312</v>
      </c>
      <c r="F698">
        <v>1</v>
      </c>
    </row>
    <row r="699" spans="1:6" x14ac:dyDescent="0.25">
      <c r="D699" s="19" t="s">
        <v>313</v>
      </c>
      <c r="E699" s="19" t="s">
        <v>314</v>
      </c>
      <c r="F699">
        <v>1</v>
      </c>
    </row>
    <row r="700" spans="1:6" x14ac:dyDescent="0.25">
      <c r="D700" s="19" t="s">
        <v>315</v>
      </c>
      <c r="E700" s="19" t="s">
        <v>316</v>
      </c>
      <c r="F700">
        <v>0</v>
      </c>
    </row>
    <row r="701" spans="1:6" x14ac:dyDescent="0.25">
      <c r="D701" s="19" t="s">
        <v>323</v>
      </c>
      <c r="E701" s="19" t="s">
        <v>324</v>
      </c>
      <c r="F701">
        <v>1</v>
      </c>
    </row>
    <row r="702" spans="1:6" x14ac:dyDescent="0.25">
      <c r="A702" s="3">
        <v>120</v>
      </c>
      <c r="B702" s="16" t="s">
        <v>36</v>
      </c>
      <c r="C702" s="19" t="s">
        <v>1457</v>
      </c>
      <c r="D702" s="19" t="s">
        <v>1459</v>
      </c>
      <c r="E702" s="19" t="s">
        <v>640</v>
      </c>
      <c r="F702">
        <v>1</v>
      </c>
    </row>
    <row r="703" spans="1:6" x14ac:dyDescent="0.25">
      <c r="C703" s="19"/>
      <c r="D703" s="19" t="s">
        <v>1460</v>
      </c>
      <c r="E703" s="19" t="s">
        <v>929</v>
      </c>
      <c r="F703">
        <v>0</v>
      </c>
    </row>
    <row r="704" spans="1:6" x14ac:dyDescent="0.25">
      <c r="C704" s="19"/>
      <c r="D704" s="19" t="s">
        <v>1458</v>
      </c>
      <c r="E704" s="19" t="s">
        <v>273</v>
      </c>
      <c r="F704">
        <v>1</v>
      </c>
    </row>
    <row r="705" spans="3:6" x14ac:dyDescent="0.25">
      <c r="C705" s="19"/>
      <c r="D705" s="19" t="s">
        <v>1461</v>
      </c>
      <c r="E705" s="19" t="s">
        <v>1462</v>
      </c>
      <c r="F705">
        <v>0</v>
      </c>
    </row>
    <row r="706" spans="3:6" x14ac:dyDescent="0.25">
      <c r="C706" s="19"/>
      <c r="D706" s="19" t="s">
        <v>1463</v>
      </c>
      <c r="E706" s="19" t="s">
        <v>1464</v>
      </c>
      <c r="F706">
        <v>0</v>
      </c>
    </row>
    <row r="707" spans="3:6" x14ac:dyDescent="0.25">
      <c r="C707" s="19"/>
      <c r="D707" s="19" t="s">
        <v>1465</v>
      </c>
      <c r="E707" s="19" t="s">
        <v>347</v>
      </c>
      <c r="F707">
        <v>0</v>
      </c>
    </row>
    <row r="708" spans="3:6" x14ac:dyDescent="0.25">
      <c r="C708" s="19"/>
      <c r="D708" s="19" t="s">
        <v>1470</v>
      </c>
      <c r="E708" s="19" t="s">
        <v>1471</v>
      </c>
      <c r="F708">
        <v>0</v>
      </c>
    </row>
    <row r="709" spans="3:6" x14ac:dyDescent="0.25">
      <c r="C709" s="19"/>
      <c r="D709" s="19" t="s">
        <v>1472</v>
      </c>
      <c r="E709" s="19" t="s">
        <v>391</v>
      </c>
      <c r="F709">
        <v>1</v>
      </c>
    </row>
    <row r="710" spans="3:6" x14ac:dyDescent="0.25">
      <c r="C710" s="19"/>
      <c r="D710" s="19" t="s">
        <v>1473</v>
      </c>
      <c r="E710" s="19" t="s">
        <v>956</v>
      </c>
      <c r="F710">
        <v>0</v>
      </c>
    </row>
    <row r="711" spans="3:6" x14ac:dyDescent="0.25">
      <c r="C711" s="19"/>
      <c r="D711" s="19" t="s">
        <v>1466</v>
      </c>
      <c r="E711" s="19" t="s">
        <v>1467</v>
      </c>
      <c r="F711">
        <v>1</v>
      </c>
    </row>
    <row r="712" spans="3:6" x14ac:dyDescent="0.25">
      <c r="C712" s="19"/>
      <c r="D712" s="19" t="s">
        <v>1468</v>
      </c>
      <c r="E712" s="19" t="s">
        <v>1469</v>
      </c>
      <c r="F712">
        <v>0</v>
      </c>
    </row>
    <row r="713" spans="3:6" x14ac:dyDescent="0.25">
      <c r="C713" s="19" t="s">
        <v>386</v>
      </c>
      <c r="D713" s="21" t="s">
        <v>392</v>
      </c>
      <c r="E713" s="19" t="s">
        <v>393</v>
      </c>
      <c r="F713">
        <v>0</v>
      </c>
    </row>
    <row r="714" spans="3:6" x14ac:dyDescent="0.25">
      <c r="D714" s="19" t="s">
        <v>394</v>
      </c>
      <c r="E714" s="19" t="s">
        <v>395</v>
      </c>
      <c r="F714">
        <v>0</v>
      </c>
    </row>
    <row r="715" spans="3:6" x14ac:dyDescent="0.25">
      <c r="D715" s="19" t="s">
        <v>396</v>
      </c>
      <c r="E715" s="19" t="s">
        <v>397</v>
      </c>
      <c r="F715">
        <v>0</v>
      </c>
    </row>
    <row r="716" spans="3:6" x14ac:dyDescent="0.25">
      <c r="D716" s="19" t="s">
        <v>398</v>
      </c>
      <c r="E716" s="19" t="s">
        <v>399</v>
      </c>
      <c r="F716">
        <v>0</v>
      </c>
    </row>
    <row r="717" spans="3:6" x14ac:dyDescent="0.25">
      <c r="D717" s="19" t="s">
        <v>400</v>
      </c>
      <c r="E717" s="19" t="s">
        <v>401</v>
      </c>
      <c r="F717">
        <v>0</v>
      </c>
    </row>
    <row r="718" spans="3:6" x14ac:dyDescent="0.25">
      <c r="D718" s="19" t="s">
        <v>387</v>
      </c>
      <c r="E718" s="19" t="s">
        <v>388</v>
      </c>
      <c r="F718">
        <v>0</v>
      </c>
    </row>
    <row r="719" spans="3:6" x14ac:dyDescent="0.25">
      <c r="D719" s="19" t="s">
        <v>390</v>
      </c>
      <c r="E719" s="19" t="s">
        <v>391</v>
      </c>
      <c r="F719">
        <v>1</v>
      </c>
    </row>
    <row r="720" spans="3:6" x14ac:dyDescent="0.25">
      <c r="D720" s="19" t="s">
        <v>406</v>
      </c>
      <c r="E720" s="19" t="s">
        <v>407</v>
      </c>
      <c r="F720">
        <v>0</v>
      </c>
    </row>
    <row r="721" spans="1:6" x14ac:dyDescent="0.25">
      <c r="D721" s="19" t="s">
        <v>408</v>
      </c>
      <c r="E721" s="19" t="s">
        <v>409</v>
      </c>
      <c r="F721">
        <v>0</v>
      </c>
    </row>
    <row r="722" spans="1:6" x14ac:dyDescent="0.25">
      <c r="A722" s="3">
        <v>121</v>
      </c>
      <c r="B722" s="15" t="s">
        <v>37</v>
      </c>
      <c r="C722" s="19" t="s">
        <v>581</v>
      </c>
      <c r="D722" s="19" t="s">
        <v>585</v>
      </c>
      <c r="E722" s="19" t="s">
        <v>586</v>
      </c>
      <c r="F722">
        <v>1</v>
      </c>
    </row>
    <row r="723" spans="1:6" x14ac:dyDescent="0.25">
      <c r="D723" s="19" t="s">
        <v>593</v>
      </c>
      <c r="E723" s="19" t="s">
        <v>594</v>
      </c>
      <c r="F723">
        <v>1</v>
      </c>
    </row>
    <row r="724" spans="1:6" x14ac:dyDescent="0.25">
      <c r="D724" s="19" t="s">
        <v>587</v>
      </c>
      <c r="E724" s="19" t="s">
        <v>588</v>
      </c>
      <c r="F724">
        <v>1</v>
      </c>
    </row>
    <row r="725" spans="1:6" x14ac:dyDescent="0.25">
      <c r="D725" s="19" t="s">
        <v>604</v>
      </c>
      <c r="E725" s="19" t="s">
        <v>605</v>
      </c>
      <c r="F725">
        <v>1</v>
      </c>
    </row>
    <row r="726" spans="1:6" x14ac:dyDescent="0.25">
      <c r="D726" s="19" t="s">
        <v>582</v>
      </c>
      <c r="E726" s="19" t="s">
        <v>583</v>
      </c>
      <c r="F726">
        <v>1</v>
      </c>
    </row>
    <row r="727" spans="1:6" x14ac:dyDescent="0.25">
      <c r="D727" s="19" t="s">
        <v>584</v>
      </c>
      <c r="E727" s="19" t="s">
        <v>306</v>
      </c>
      <c r="F727">
        <v>1</v>
      </c>
    </row>
    <row r="728" spans="1:6" x14ac:dyDescent="0.25">
      <c r="D728" s="19" t="s">
        <v>592</v>
      </c>
      <c r="E728" s="19" t="s">
        <v>275</v>
      </c>
      <c r="F728">
        <v>1</v>
      </c>
    </row>
    <row r="729" spans="1:6" x14ac:dyDescent="0.25">
      <c r="D729" s="19" t="s">
        <v>606</v>
      </c>
      <c r="E729" s="19" t="s">
        <v>503</v>
      </c>
      <c r="F729">
        <v>1</v>
      </c>
    </row>
    <row r="730" spans="1:6" x14ac:dyDescent="0.25">
      <c r="D730" s="19" t="s">
        <v>607</v>
      </c>
      <c r="E730" s="19" t="s">
        <v>505</v>
      </c>
      <c r="F730">
        <v>1</v>
      </c>
    </row>
    <row r="731" spans="1:6" x14ac:dyDescent="0.25">
      <c r="D731" s="19" t="s">
        <v>608</v>
      </c>
      <c r="E731" s="19" t="s">
        <v>609</v>
      </c>
      <c r="F731">
        <v>1</v>
      </c>
    </row>
    <row r="732" spans="1:6" x14ac:dyDescent="0.25">
      <c r="D732" s="19" t="s">
        <v>598</v>
      </c>
      <c r="E732" s="19" t="s">
        <v>599</v>
      </c>
      <c r="F732">
        <v>1</v>
      </c>
    </row>
    <row r="733" spans="1:6" x14ac:dyDescent="0.25">
      <c r="D733" s="19" t="s">
        <v>600</v>
      </c>
      <c r="E733" s="19" t="s">
        <v>601</v>
      </c>
      <c r="F733">
        <v>1</v>
      </c>
    </row>
    <row r="734" spans="1:6" x14ac:dyDescent="0.25">
      <c r="D734" s="19" t="s">
        <v>602</v>
      </c>
      <c r="E734" s="19" t="s">
        <v>603</v>
      </c>
      <c r="F734">
        <v>1</v>
      </c>
    </row>
    <row r="735" spans="1:6" x14ac:dyDescent="0.25">
      <c r="D735" s="19" t="s">
        <v>589</v>
      </c>
      <c r="E735" s="19" t="s">
        <v>312</v>
      </c>
      <c r="F735">
        <v>1</v>
      </c>
    </row>
    <row r="736" spans="1:6" x14ac:dyDescent="0.25">
      <c r="D736" s="19" t="s">
        <v>590</v>
      </c>
      <c r="E736" s="19" t="s">
        <v>493</v>
      </c>
      <c r="F736">
        <v>1</v>
      </c>
    </row>
    <row r="737" spans="1:6" x14ac:dyDescent="0.25">
      <c r="D737" s="19" t="s">
        <v>591</v>
      </c>
      <c r="E737" s="19" t="s">
        <v>314</v>
      </c>
      <c r="F737">
        <v>1</v>
      </c>
    </row>
    <row r="738" spans="1:6" x14ac:dyDescent="0.25">
      <c r="D738" s="19" t="s">
        <v>595</v>
      </c>
      <c r="E738" s="19" t="s">
        <v>349</v>
      </c>
      <c r="F738">
        <v>1</v>
      </c>
    </row>
    <row r="739" spans="1:6" x14ac:dyDescent="0.25">
      <c r="D739" s="19" t="s">
        <v>596</v>
      </c>
      <c r="E739" s="19" t="s">
        <v>597</v>
      </c>
      <c r="F739">
        <v>1</v>
      </c>
    </row>
    <row r="740" spans="1:6" x14ac:dyDescent="0.25">
      <c r="A740" s="3">
        <v>123</v>
      </c>
      <c r="B740" s="15" t="s">
        <v>38</v>
      </c>
      <c r="C740" s="19" t="s">
        <v>581</v>
      </c>
      <c r="D740" s="19" t="s">
        <v>585</v>
      </c>
      <c r="E740" s="19" t="s">
        <v>586</v>
      </c>
      <c r="F740">
        <v>1</v>
      </c>
    </row>
    <row r="741" spans="1:6" x14ac:dyDescent="0.25">
      <c r="D741" s="19" t="s">
        <v>593</v>
      </c>
      <c r="E741" s="19" t="s">
        <v>594</v>
      </c>
      <c r="F741">
        <v>1</v>
      </c>
    </row>
    <row r="742" spans="1:6" x14ac:dyDescent="0.25">
      <c r="D742" s="19" t="s">
        <v>587</v>
      </c>
      <c r="E742" s="19" t="s">
        <v>588</v>
      </c>
      <c r="F742">
        <v>1</v>
      </c>
    </row>
    <row r="743" spans="1:6" x14ac:dyDescent="0.25">
      <c r="D743" s="19" t="s">
        <v>604</v>
      </c>
      <c r="E743" s="19" t="s">
        <v>605</v>
      </c>
      <c r="F743">
        <v>1</v>
      </c>
    </row>
    <row r="744" spans="1:6" x14ac:dyDescent="0.25">
      <c r="D744" s="19" t="s">
        <v>582</v>
      </c>
      <c r="E744" s="19" t="s">
        <v>583</v>
      </c>
      <c r="F744">
        <v>1</v>
      </c>
    </row>
    <row r="745" spans="1:6" x14ac:dyDescent="0.25">
      <c r="D745" s="19" t="s">
        <v>584</v>
      </c>
      <c r="E745" s="19" t="s">
        <v>306</v>
      </c>
      <c r="F745">
        <v>1</v>
      </c>
    </row>
    <row r="746" spans="1:6" x14ac:dyDescent="0.25">
      <c r="D746" s="19" t="s">
        <v>592</v>
      </c>
      <c r="E746" s="19" t="s">
        <v>275</v>
      </c>
      <c r="F746">
        <v>1</v>
      </c>
    </row>
    <row r="747" spans="1:6" x14ac:dyDescent="0.25">
      <c r="D747" s="19" t="s">
        <v>606</v>
      </c>
      <c r="E747" s="19" t="s">
        <v>503</v>
      </c>
      <c r="F747">
        <v>1</v>
      </c>
    </row>
    <row r="748" spans="1:6" x14ac:dyDescent="0.25">
      <c r="D748" s="19" t="s">
        <v>607</v>
      </c>
      <c r="E748" s="19" t="s">
        <v>505</v>
      </c>
      <c r="F748">
        <v>1</v>
      </c>
    </row>
    <row r="749" spans="1:6" x14ac:dyDescent="0.25">
      <c r="D749" s="19" t="s">
        <v>608</v>
      </c>
      <c r="E749" s="19" t="s">
        <v>609</v>
      </c>
      <c r="F749">
        <v>1</v>
      </c>
    </row>
    <row r="750" spans="1:6" x14ac:dyDescent="0.25">
      <c r="D750" s="19" t="s">
        <v>598</v>
      </c>
      <c r="E750" s="19" t="s">
        <v>599</v>
      </c>
      <c r="F750">
        <v>1</v>
      </c>
    </row>
    <row r="751" spans="1:6" x14ac:dyDescent="0.25">
      <c r="D751" s="19" t="s">
        <v>600</v>
      </c>
      <c r="E751" s="19" t="s">
        <v>601</v>
      </c>
      <c r="F751">
        <v>1</v>
      </c>
    </row>
    <row r="752" spans="1:6" x14ac:dyDescent="0.25">
      <c r="D752" s="19" t="s">
        <v>602</v>
      </c>
      <c r="E752" s="19" t="s">
        <v>603</v>
      </c>
      <c r="F752">
        <v>1</v>
      </c>
    </row>
    <row r="753" spans="1:6" x14ac:dyDescent="0.25">
      <c r="D753" s="19" t="s">
        <v>589</v>
      </c>
      <c r="E753" s="19" t="s">
        <v>312</v>
      </c>
      <c r="F753">
        <v>1</v>
      </c>
    </row>
    <row r="754" spans="1:6" x14ac:dyDescent="0.25">
      <c r="D754" s="19" t="s">
        <v>590</v>
      </c>
      <c r="E754" s="19" t="s">
        <v>493</v>
      </c>
      <c r="F754">
        <v>1</v>
      </c>
    </row>
    <row r="755" spans="1:6" x14ac:dyDescent="0.25">
      <c r="D755" s="19" t="s">
        <v>591</v>
      </c>
      <c r="E755" s="19" t="s">
        <v>314</v>
      </c>
      <c r="F755">
        <v>1</v>
      </c>
    </row>
    <row r="756" spans="1:6" x14ac:dyDescent="0.25">
      <c r="D756" s="19" t="s">
        <v>595</v>
      </c>
      <c r="E756" s="19" t="s">
        <v>349</v>
      </c>
      <c r="F756">
        <v>1</v>
      </c>
    </row>
    <row r="757" spans="1:6" x14ac:dyDescent="0.25">
      <c r="D757" s="19" t="s">
        <v>596</v>
      </c>
      <c r="E757" s="19" t="s">
        <v>597</v>
      </c>
      <c r="F757">
        <v>1</v>
      </c>
    </row>
    <row r="758" spans="1:6" x14ac:dyDescent="0.25">
      <c r="A758" s="3">
        <v>124</v>
      </c>
      <c r="B758" s="15" t="s">
        <v>39</v>
      </c>
      <c r="C758" s="19" t="s">
        <v>1613</v>
      </c>
      <c r="D758" s="19" t="s">
        <v>1614</v>
      </c>
      <c r="E758" s="19" t="s">
        <v>273</v>
      </c>
      <c r="F758">
        <v>1</v>
      </c>
    </row>
    <row r="759" spans="1:6" x14ac:dyDescent="0.25">
      <c r="D759" s="19" t="s">
        <v>1636</v>
      </c>
      <c r="E759" s="19" t="s">
        <v>1637</v>
      </c>
      <c r="F759">
        <v>1</v>
      </c>
    </row>
    <row r="760" spans="1:6" x14ac:dyDescent="0.25">
      <c r="D760" s="19" t="s">
        <v>1635</v>
      </c>
      <c r="E760" s="19" t="s">
        <v>328</v>
      </c>
      <c r="F760">
        <v>1</v>
      </c>
    </row>
    <row r="761" spans="1:6" x14ac:dyDescent="0.25">
      <c r="D761" s="19" t="s">
        <v>1618</v>
      </c>
      <c r="E761" s="19" t="s">
        <v>318</v>
      </c>
      <c r="F761">
        <v>1</v>
      </c>
    </row>
    <row r="762" spans="1:6" x14ac:dyDescent="0.25">
      <c r="D762" s="19" t="s">
        <v>1619</v>
      </c>
      <c r="E762" s="19" t="s">
        <v>1620</v>
      </c>
      <c r="F762">
        <v>1</v>
      </c>
    </row>
    <row r="763" spans="1:6" x14ac:dyDescent="0.25">
      <c r="D763" s="19" t="s">
        <v>1621</v>
      </c>
      <c r="E763" s="19" t="s">
        <v>1622</v>
      </c>
      <c r="F763">
        <v>1</v>
      </c>
    </row>
    <row r="764" spans="1:6" x14ac:dyDescent="0.25">
      <c r="D764" s="19" t="s">
        <v>1623</v>
      </c>
      <c r="E764" s="19" t="s">
        <v>322</v>
      </c>
      <c r="F764">
        <v>1</v>
      </c>
    </row>
    <row r="765" spans="1:6" x14ac:dyDescent="0.25">
      <c r="D765" s="19" t="s">
        <v>1624</v>
      </c>
      <c r="E765" s="19" t="s">
        <v>936</v>
      </c>
      <c r="F765">
        <v>1</v>
      </c>
    </row>
    <row r="766" spans="1:6" x14ac:dyDescent="0.25">
      <c r="D766" s="19" t="s">
        <v>1625</v>
      </c>
      <c r="E766" s="19" t="s">
        <v>938</v>
      </c>
      <c r="F766">
        <v>1</v>
      </c>
    </row>
    <row r="767" spans="1:6" x14ac:dyDescent="0.25">
      <c r="D767" s="19" t="s">
        <v>1633</v>
      </c>
      <c r="E767" s="19" t="s">
        <v>1634</v>
      </c>
      <c r="F767">
        <v>1</v>
      </c>
    </row>
    <row r="768" spans="1:6" x14ac:dyDescent="0.25">
      <c r="D768" s="19" t="s">
        <v>1638</v>
      </c>
      <c r="E768" s="19" t="s">
        <v>1639</v>
      </c>
      <c r="F768">
        <v>1</v>
      </c>
    </row>
    <row r="769" spans="1:6" x14ac:dyDescent="0.25">
      <c r="D769" s="19" t="s">
        <v>1631</v>
      </c>
      <c r="E769" s="19" t="s">
        <v>380</v>
      </c>
      <c r="F769">
        <v>1</v>
      </c>
    </row>
    <row r="770" spans="1:6" x14ac:dyDescent="0.25">
      <c r="D770" s="19" t="s">
        <v>1632</v>
      </c>
      <c r="E770" s="19" t="s">
        <v>381</v>
      </c>
      <c r="F770">
        <v>1</v>
      </c>
    </row>
    <row r="771" spans="1:6" x14ac:dyDescent="0.25">
      <c r="D771" s="19" t="s">
        <v>1626</v>
      </c>
      <c r="E771" s="19" t="s">
        <v>1483</v>
      </c>
      <c r="F771">
        <v>1</v>
      </c>
    </row>
    <row r="772" spans="1:6" x14ac:dyDescent="0.25">
      <c r="D772" s="19" t="s">
        <v>1627</v>
      </c>
      <c r="E772" s="19" t="s">
        <v>942</v>
      </c>
      <c r="F772">
        <v>1</v>
      </c>
    </row>
    <row r="773" spans="1:6" x14ac:dyDescent="0.25">
      <c r="D773" s="19" t="s">
        <v>1628</v>
      </c>
      <c r="E773" s="19" t="s">
        <v>383</v>
      </c>
      <c r="F773">
        <v>1</v>
      </c>
    </row>
    <row r="774" spans="1:6" x14ac:dyDescent="0.25">
      <c r="D774" s="19" t="s">
        <v>1629</v>
      </c>
      <c r="E774" s="19" t="s">
        <v>1630</v>
      </c>
      <c r="F774">
        <v>1</v>
      </c>
    </row>
    <row r="775" spans="1:6" x14ac:dyDescent="0.25">
      <c r="D775" s="19" t="s">
        <v>1615</v>
      </c>
      <c r="E775" s="19" t="s">
        <v>312</v>
      </c>
      <c r="F775">
        <v>1</v>
      </c>
    </row>
    <row r="776" spans="1:6" x14ac:dyDescent="0.25">
      <c r="D776" s="19" t="s">
        <v>1616</v>
      </c>
      <c r="E776" s="19" t="s">
        <v>316</v>
      </c>
      <c r="F776">
        <v>1</v>
      </c>
    </row>
    <row r="777" spans="1:6" x14ac:dyDescent="0.25">
      <c r="D777" s="19" t="s">
        <v>1617</v>
      </c>
      <c r="E777" s="19" t="s">
        <v>314</v>
      </c>
      <c r="F777">
        <v>1</v>
      </c>
    </row>
    <row r="778" spans="1:6" x14ac:dyDescent="0.25">
      <c r="A778" s="3">
        <v>126</v>
      </c>
      <c r="B778" s="15" t="s">
        <v>40</v>
      </c>
      <c r="C778" s="19" t="s">
        <v>1909</v>
      </c>
      <c r="D778" s="19" t="s">
        <v>1911</v>
      </c>
      <c r="E778" s="19" t="s">
        <v>1912</v>
      </c>
      <c r="F778">
        <v>1</v>
      </c>
    </row>
    <row r="779" spans="1:6" x14ac:dyDescent="0.25">
      <c r="D779" s="19" t="s">
        <v>1913</v>
      </c>
      <c r="E779" s="19" t="s">
        <v>1914</v>
      </c>
      <c r="F779">
        <v>1</v>
      </c>
    </row>
    <row r="780" spans="1:6" x14ac:dyDescent="0.25">
      <c r="D780" s="19" t="s">
        <v>1927</v>
      </c>
      <c r="E780" s="19" t="s">
        <v>1928</v>
      </c>
      <c r="F780">
        <v>1</v>
      </c>
    </row>
    <row r="781" spans="1:6" x14ac:dyDescent="0.25">
      <c r="D781" s="19" t="s">
        <v>1929</v>
      </c>
      <c r="E781" s="19" t="s">
        <v>1930</v>
      </c>
      <c r="F781">
        <v>1</v>
      </c>
    </row>
    <row r="782" spans="1:6" x14ac:dyDescent="0.25">
      <c r="D782" s="19" t="s">
        <v>1915</v>
      </c>
      <c r="E782" s="19" t="s">
        <v>1916</v>
      </c>
      <c r="F782">
        <v>1</v>
      </c>
    </row>
    <row r="783" spans="1:6" x14ac:dyDescent="0.25">
      <c r="D783" s="19" t="s">
        <v>1917</v>
      </c>
      <c r="E783" s="19" t="s">
        <v>1918</v>
      </c>
      <c r="F783">
        <v>1</v>
      </c>
    </row>
    <row r="784" spans="1:6" x14ac:dyDescent="0.25">
      <c r="D784" s="19" t="s">
        <v>1931</v>
      </c>
      <c r="E784" s="19" t="s">
        <v>1932</v>
      </c>
      <c r="F784">
        <v>1</v>
      </c>
    </row>
    <row r="785" spans="1:6" x14ac:dyDescent="0.25">
      <c r="D785" s="19" t="s">
        <v>1933</v>
      </c>
      <c r="E785" s="19" t="s">
        <v>1934</v>
      </c>
      <c r="F785">
        <v>1</v>
      </c>
    </row>
    <row r="786" spans="1:6" x14ac:dyDescent="0.25">
      <c r="D786" s="19" t="s">
        <v>1910</v>
      </c>
      <c r="E786" s="19" t="s">
        <v>273</v>
      </c>
      <c r="F786">
        <v>1</v>
      </c>
    </row>
    <row r="787" spans="1:6" x14ac:dyDescent="0.25">
      <c r="D787" s="19" t="s">
        <v>1941</v>
      </c>
      <c r="E787" s="19" t="s">
        <v>1942</v>
      </c>
      <c r="F787">
        <v>1</v>
      </c>
    </row>
    <row r="788" spans="1:6" x14ac:dyDescent="0.25">
      <c r="D788" s="19" t="s">
        <v>1943</v>
      </c>
      <c r="E788" s="19" t="s">
        <v>1944</v>
      </c>
      <c r="F788">
        <v>1</v>
      </c>
    </row>
    <row r="789" spans="1:6" x14ac:dyDescent="0.25">
      <c r="D789" s="19" t="s">
        <v>1945</v>
      </c>
      <c r="E789" s="19" t="s">
        <v>1946</v>
      </c>
      <c r="F789">
        <v>0</v>
      </c>
    </row>
    <row r="790" spans="1:6" x14ac:dyDescent="0.25">
      <c r="D790" s="19" t="s">
        <v>1947</v>
      </c>
      <c r="E790" s="19" t="s">
        <v>1948</v>
      </c>
      <c r="F790">
        <v>1</v>
      </c>
    </row>
    <row r="791" spans="1:6" x14ac:dyDescent="0.25">
      <c r="D791" s="19" t="s">
        <v>1919</v>
      </c>
      <c r="E791" s="19" t="s">
        <v>1920</v>
      </c>
      <c r="F791">
        <v>1</v>
      </c>
    </row>
    <row r="792" spans="1:6" x14ac:dyDescent="0.25">
      <c r="D792" s="19" t="s">
        <v>1921</v>
      </c>
      <c r="E792" s="19" t="s">
        <v>1922</v>
      </c>
      <c r="F792">
        <v>1</v>
      </c>
    </row>
    <row r="793" spans="1:6" x14ac:dyDescent="0.25">
      <c r="D793" s="19" t="s">
        <v>1923</v>
      </c>
      <c r="E793" s="19" t="s">
        <v>1924</v>
      </c>
      <c r="F793">
        <v>1</v>
      </c>
    </row>
    <row r="794" spans="1:6" x14ac:dyDescent="0.25">
      <c r="D794" s="19" t="s">
        <v>1925</v>
      </c>
      <c r="E794" s="19" t="s">
        <v>1926</v>
      </c>
      <c r="F794">
        <v>1</v>
      </c>
    </row>
    <row r="795" spans="1:6" x14ac:dyDescent="0.25">
      <c r="D795" s="19" t="s">
        <v>1935</v>
      </c>
      <c r="E795" s="19" t="s">
        <v>1936</v>
      </c>
      <c r="F795">
        <v>0</v>
      </c>
    </row>
    <row r="796" spans="1:6" x14ac:dyDescent="0.25">
      <c r="D796" s="19" t="s">
        <v>1937</v>
      </c>
      <c r="E796" s="19" t="s">
        <v>1938</v>
      </c>
      <c r="F796">
        <v>1</v>
      </c>
    </row>
    <row r="797" spans="1:6" x14ac:dyDescent="0.25">
      <c r="D797" s="19" t="s">
        <v>1939</v>
      </c>
      <c r="E797" s="19" t="s">
        <v>1940</v>
      </c>
      <c r="F797">
        <v>1</v>
      </c>
    </row>
    <row r="798" spans="1:6" x14ac:dyDescent="0.25">
      <c r="A798" s="3">
        <v>127</v>
      </c>
      <c r="B798" s="15" t="s">
        <v>41</v>
      </c>
      <c r="C798" s="19" t="s">
        <v>1492</v>
      </c>
      <c r="D798" s="19" t="s">
        <v>1498</v>
      </c>
      <c r="E798" s="19" t="s">
        <v>1499</v>
      </c>
      <c r="F798">
        <v>1</v>
      </c>
    </row>
    <row r="799" spans="1:6" x14ac:dyDescent="0.25">
      <c r="D799" s="19" t="s">
        <v>1507</v>
      </c>
      <c r="E799" s="19" t="s">
        <v>611</v>
      </c>
      <c r="F799">
        <v>1</v>
      </c>
    </row>
    <row r="800" spans="1:6" x14ac:dyDescent="0.25">
      <c r="D800" s="19" t="s">
        <v>1508</v>
      </c>
      <c r="E800" s="19" t="s">
        <v>1509</v>
      </c>
      <c r="F800">
        <v>1</v>
      </c>
    </row>
    <row r="801" spans="4:6" x14ac:dyDescent="0.25">
      <c r="D801" s="19" t="s">
        <v>1510</v>
      </c>
      <c r="E801" s="19" t="s">
        <v>613</v>
      </c>
      <c r="F801">
        <v>1</v>
      </c>
    </row>
    <row r="802" spans="4:6" x14ac:dyDescent="0.25">
      <c r="D802" s="19" t="s">
        <v>1528</v>
      </c>
      <c r="E802" s="19" t="s">
        <v>1529</v>
      </c>
      <c r="F802">
        <v>1</v>
      </c>
    </row>
    <row r="803" spans="4:6" x14ac:dyDescent="0.25">
      <c r="D803" s="19" t="s">
        <v>1530</v>
      </c>
      <c r="E803" s="19" t="s">
        <v>1430</v>
      </c>
      <c r="F803">
        <v>1</v>
      </c>
    </row>
    <row r="804" spans="4:6" x14ac:dyDescent="0.25">
      <c r="D804" s="19" t="s">
        <v>1514</v>
      </c>
      <c r="E804" s="19" t="s">
        <v>614</v>
      </c>
      <c r="F804">
        <v>1</v>
      </c>
    </row>
    <row r="805" spans="4:6" x14ac:dyDescent="0.25">
      <c r="D805" s="19" t="s">
        <v>1515</v>
      </c>
      <c r="E805" s="19" t="s">
        <v>615</v>
      </c>
      <c r="F805">
        <v>1</v>
      </c>
    </row>
    <row r="806" spans="4:6" x14ac:dyDescent="0.25">
      <c r="D806" s="19" t="s">
        <v>1532</v>
      </c>
      <c r="E806" s="19" t="s">
        <v>1533</v>
      </c>
      <c r="F806">
        <v>1</v>
      </c>
    </row>
    <row r="807" spans="4:6" x14ac:dyDescent="0.25">
      <c r="D807" s="19" t="s">
        <v>1534</v>
      </c>
      <c r="E807" s="19" t="s">
        <v>1535</v>
      </c>
      <c r="F807">
        <v>1</v>
      </c>
    </row>
    <row r="808" spans="4:6" x14ac:dyDescent="0.25">
      <c r="D808" s="19" t="s">
        <v>1493</v>
      </c>
      <c r="E808" s="19" t="s">
        <v>1494</v>
      </c>
      <c r="F808">
        <v>1</v>
      </c>
    </row>
    <row r="809" spans="4:6" x14ac:dyDescent="0.25">
      <c r="D809" s="19" t="s">
        <v>1495</v>
      </c>
      <c r="E809" s="19" t="s">
        <v>1496</v>
      </c>
      <c r="F809">
        <v>1</v>
      </c>
    </row>
    <row r="810" spans="4:6" x14ac:dyDescent="0.25">
      <c r="D810" s="19" t="s">
        <v>1497</v>
      </c>
      <c r="E810" s="19" t="s">
        <v>306</v>
      </c>
      <c r="F810">
        <v>1</v>
      </c>
    </row>
    <row r="811" spans="4:6" x14ac:dyDescent="0.25">
      <c r="D811" s="19" t="s">
        <v>1531</v>
      </c>
      <c r="E811" s="19" t="s">
        <v>503</v>
      </c>
      <c r="F811">
        <v>1</v>
      </c>
    </row>
    <row r="812" spans="4:6" x14ac:dyDescent="0.25">
      <c r="D812" s="19" t="s">
        <v>1520</v>
      </c>
      <c r="E812" s="19" t="s">
        <v>1521</v>
      </c>
      <c r="F812">
        <v>0</v>
      </c>
    </row>
    <row r="813" spans="4:6" x14ac:dyDescent="0.25">
      <c r="D813" s="19" t="s">
        <v>1522</v>
      </c>
      <c r="E813" s="19" t="s">
        <v>1523</v>
      </c>
      <c r="F813">
        <v>1</v>
      </c>
    </row>
    <row r="814" spans="4:6" x14ac:dyDescent="0.25">
      <c r="D814" s="19" t="s">
        <v>1524</v>
      </c>
      <c r="E814" s="19" t="s">
        <v>1525</v>
      </c>
      <c r="F814">
        <v>1</v>
      </c>
    </row>
    <row r="815" spans="4:6" x14ac:dyDescent="0.25">
      <c r="D815" s="19" t="s">
        <v>1526</v>
      </c>
      <c r="E815" s="19" t="s">
        <v>1527</v>
      </c>
      <c r="F815">
        <v>1</v>
      </c>
    </row>
    <row r="816" spans="4:6" x14ac:dyDescent="0.25">
      <c r="D816" s="19" t="s">
        <v>1511</v>
      </c>
      <c r="E816" s="19" t="s">
        <v>1419</v>
      </c>
      <c r="F816">
        <v>1</v>
      </c>
    </row>
    <row r="817" spans="1:6" x14ac:dyDescent="0.25">
      <c r="D817" s="19" t="s">
        <v>1512</v>
      </c>
      <c r="E817" s="19" t="s">
        <v>621</v>
      </c>
      <c r="F817">
        <v>1</v>
      </c>
    </row>
    <row r="818" spans="1:6" x14ac:dyDescent="0.25">
      <c r="D818" s="19" t="s">
        <v>1513</v>
      </c>
      <c r="E818" s="19" t="s">
        <v>1422</v>
      </c>
      <c r="F818">
        <v>1</v>
      </c>
    </row>
    <row r="819" spans="1:6" x14ac:dyDescent="0.25">
      <c r="D819" s="19" t="s">
        <v>1500</v>
      </c>
      <c r="E819" s="19" t="s">
        <v>1397</v>
      </c>
      <c r="F819">
        <v>1</v>
      </c>
    </row>
    <row r="820" spans="1:6" x14ac:dyDescent="0.25">
      <c r="D820" s="19" t="s">
        <v>1501</v>
      </c>
      <c r="E820" s="19" t="s">
        <v>1502</v>
      </c>
      <c r="F820">
        <v>1</v>
      </c>
    </row>
    <row r="821" spans="1:6" x14ac:dyDescent="0.25">
      <c r="D821" s="19" t="s">
        <v>1503</v>
      </c>
      <c r="E821" s="19" t="s">
        <v>1504</v>
      </c>
      <c r="F821">
        <v>1</v>
      </c>
    </row>
    <row r="822" spans="1:6" x14ac:dyDescent="0.25">
      <c r="D822" s="19" t="s">
        <v>1505</v>
      </c>
      <c r="E822" s="19" t="s">
        <v>1506</v>
      </c>
      <c r="F822">
        <v>1</v>
      </c>
    </row>
    <row r="823" spans="1:6" x14ac:dyDescent="0.25">
      <c r="D823" s="19" t="s">
        <v>1516</v>
      </c>
      <c r="E823" s="19" t="s">
        <v>1517</v>
      </c>
      <c r="F823">
        <v>1</v>
      </c>
    </row>
    <row r="824" spans="1:6" x14ac:dyDescent="0.25">
      <c r="D824" s="19" t="s">
        <v>1518</v>
      </c>
      <c r="E824" s="19" t="s">
        <v>1519</v>
      </c>
      <c r="F824">
        <v>1</v>
      </c>
    </row>
    <row r="825" spans="1:6" x14ac:dyDescent="0.25">
      <c r="A825" s="3">
        <v>128</v>
      </c>
      <c r="B825" s="15" t="s">
        <v>41</v>
      </c>
      <c r="C825" s="19" t="s">
        <v>1492</v>
      </c>
      <c r="D825" s="19" t="s">
        <v>1498</v>
      </c>
      <c r="E825" s="19" t="s">
        <v>1499</v>
      </c>
      <c r="F825">
        <v>1</v>
      </c>
    </row>
    <row r="826" spans="1:6" x14ac:dyDescent="0.25">
      <c r="D826" s="19" t="s">
        <v>1507</v>
      </c>
      <c r="E826" s="19" t="s">
        <v>611</v>
      </c>
      <c r="F826">
        <v>0</v>
      </c>
    </row>
    <row r="827" spans="1:6" x14ac:dyDescent="0.25">
      <c r="D827" s="19" t="s">
        <v>1508</v>
      </c>
      <c r="E827" s="19" t="s">
        <v>1509</v>
      </c>
      <c r="F827">
        <v>1</v>
      </c>
    </row>
    <row r="828" spans="1:6" x14ac:dyDescent="0.25">
      <c r="D828" s="19" t="s">
        <v>1510</v>
      </c>
      <c r="E828" s="19" t="s">
        <v>613</v>
      </c>
      <c r="F828">
        <v>1</v>
      </c>
    </row>
    <row r="829" spans="1:6" x14ac:dyDescent="0.25">
      <c r="D829" s="19" t="s">
        <v>1528</v>
      </c>
      <c r="E829" s="19" t="s">
        <v>1529</v>
      </c>
      <c r="F829">
        <v>1</v>
      </c>
    </row>
    <row r="830" spans="1:6" x14ac:dyDescent="0.25">
      <c r="D830" s="19" t="s">
        <v>1530</v>
      </c>
      <c r="E830" s="19" t="s">
        <v>1430</v>
      </c>
      <c r="F830">
        <v>0</v>
      </c>
    </row>
    <row r="831" spans="1:6" x14ac:dyDescent="0.25">
      <c r="D831" s="19" t="s">
        <v>1514</v>
      </c>
      <c r="E831" s="19" t="s">
        <v>614</v>
      </c>
      <c r="F831">
        <v>0</v>
      </c>
    </row>
    <row r="832" spans="1:6" x14ac:dyDescent="0.25">
      <c r="D832" s="19" t="s">
        <v>1515</v>
      </c>
      <c r="E832" s="19" t="s">
        <v>615</v>
      </c>
      <c r="F832">
        <v>1</v>
      </c>
    </row>
    <row r="833" spans="4:6" x14ac:dyDescent="0.25">
      <c r="D833" s="19" t="s">
        <v>1532</v>
      </c>
      <c r="E833" s="19" t="s">
        <v>1533</v>
      </c>
      <c r="F833">
        <v>0</v>
      </c>
    </row>
    <row r="834" spans="4:6" x14ac:dyDescent="0.25">
      <c r="D834" s="19" t="s">
        <v>1534</v>
      </c>
      <c r="E834" s="19" t="s">
        <v>1535</v>
      </c>
      <c r="F834">
        <v>0</v>
      </c>
    </row>
    <row r="835" spans="4:6" x14ac:dyDescent="0.25">
      <c r="D835" s="19" t="s">
        <v>1493</v>
      </c>
      <c r="E835" s="19" t="s">
        <v>1494</v>
      </c>
      <c r="F835">
        <v>1</v>
      </c>
    </row>
    <row r="836" spans="4:6" x14ac:dyDescent="0.25">
      <c r="D836" s="19" t="s">
        <v>1495</v>
      </c>
      <c r="E836" s="19" t="s">
        <v>1496</v>
      </c>
      <c r="F836">
        <v>1</v>
      </c>
    </row>
    <row r="837" spans="4:6" x14ac:dyDescent="0.25">
      <c r="D837" s="19" t="s">
        <v>1497</v>
      </c>
      <c r="E837" s="19" t="s">
        <v>306</v>
      </c>
      <c r="F837">
        <v>0</v>
      </c>
    </row>
    <row r="838" spans="4:6" x14ac:dyDescent="0.25">
      <c r="D838" s="19" t="s">
        <v>1531</v>
      </c>
      <c r="E838" s="19" t="s">
        <v>503</v>
      </c>
      <c r="F838">
        <v>0</v>
      </c>
    </row>
    <row r="839" spans="4:6" x14ac:dyDescent="0.25">
      <c r="D839" s="19" t="s">
        <v>1520</v>
      </c>
      <c r="E839" s="19" t="s">
        <v>1521</v>
      </c>
      <c r="F839">
        <v>1</v>
      </c>
    </row>
    <row r="840" spans="4:6" x14ac:dyDescent="0.25">
      <c r="D840" s="19" t="s">
        <v>1522</v>
      </c>
      <c r="E840" s="19" t="s">
        <v>1523</v>
      </c>
      <c r="F840">
        <v>1</v>
      </c>
    </row>
    <row r="841" spans="4:6" x14ac:dyDescent="0.25">
      <c r="D841" s="19" t="s">
        <v>1524</v>
      </c>
      <c r="E841" s="19" t="s">
        <v>1525</v>
      </c>
      <c r="F841">
        <v>1</v>
      </c>
    </row>
    <row r="842" spans="4:6" x14ac:dyDescent="0.25">
      <c r="D842" s="19" t="s">
        <v>1526</v>
      </c>
      <c r="E842" s="19" t="s">
        <v>1527</v>
      </c>
      <c r="F842">
        <v>0</v>
      </c>
    </row>
    <row r="843" spans="4:6" x14ac:dyDescent="0.25">
      <c r="D843" s="19" t="s">
        <v>1511</v>
      </c>
      <c r="E843" s="19" t="s">
        <v>1419</v>
      </c>
      <c r="F843">
        <v>1</v>
      </c>
    </row>
    <row r="844" spans="4:6" x14ac:dyDescent="0.25">
      <c r="D844" s="19" t="s">
        <v>1512</v>
      </c>
      <c r="E844" s="19" t="s">
        <v>621</v>
      </c>
      <c r="F844">
        <v>1</v>
      </c>
    </row>
    <row r="845" spans="4:6" x14ac:dyDescent="0.25">
      <c r="D845" s="19" t="s">
        <v>1513</v>
      </c>
      <c r="E845" s="19" t="s">
        <v>1422</v>
      </c>
      <c r="F845">
        <v>0</v>
      </c>
    </row>
    <row r="846" spans="4:6" x14ac:dyDescent="0.25">
      <c r="D846" s="19" t="s">
        <v>1500</v>
      </c>
      <c r="E846" s="19" t="s">
        <v>1397</v>
      </c>
      <c r="F846">
        <v>1</v>
      </c>
    </row>
    <row r="847" spans="4:6" x14ac:dyDescent="0.25">
      <c r="D847" s="19" t="s">
        <v>1501</v>
      </c>
      <c r="E847" s="19" t="s">
        <v>1502</v>
      </c>
      <c r="F847">
        <v>1</v>
      </c>
    </row>
    <row r="848" spans="4:6" x14ac:dyDescent="0.25">
      <c r="D848" s="19" t="s">
        <v>1503</v>
      </c>
      <c r="E848" s="19" t="s">
        <v>1504</v>
      </c>
      <c r="F848">
        <v>1</v>
      </c>
    </row>
    <row r="849" spans="1:6" x14ac:dyDescent="0.25">
      <c r="D849" s="19" t="s">
        <v>1505</v>
      </c>
      <c r="E849" s="19" t="s">
        <v>1506</v>
      </c>
      <c r="F849">
        <v>0</v>
      </c>
    </row>
    <row r="850" spans="1:6" x14ac:dyDescent="0.25">
      <c r="D850" s="19" t="s">
        <v>1516</v>
      </c>
      <c r="E850" s="19" t="s">
        <v>1517</v>
      </c>
      <c r="F850">
        <v>1</v>
      </c>
    </row>
    <row r="851" spans="1:6" x14ac:dyDescent="0.25">
      <c r="D851" s="19" t="s">
        <v>1518</v>
      </c>
      <c r="E851" s="19" t="s">
        <v>1519</v>
      </c>
      <c r="F851">
        <v>0</v>
      </c>
    </row>
    <row r="852" spans="1:6" x14ac:dyDescent="0.25">
      <c r="A852" s="3">
        <v>130</v>
      </c>
      <c r="B852" s="15" t="s">
        <v>42</v>
      </c>
      <c r="C852" s="19" t="s">
        <v>1077</v>
      </c>
      <c r="D852" s="19" t="s">
        <v>1093</v>
      </c>
      <c r="E852" s="19" t="s">
        <v>1094</v>
      </c>
      <c r="F852">
        <v>1</v>
      </c>
    </row>
    <row r="853" spans="1:6" x14ac:dyDescent="0.25">
      <c r="D853" s="19" t="s">
        <v>1095</v>
      </c>
      <c r="E853" s="19" t="s">
        <v>1096</v>
      </c>
      <c r="F853">
        <v>1</v>
      </c>
    </row>
    <row r="854" spans="1:6" x14ac:dyDescent="0.25">
      <c r="D854" s="19" t="s">
        <v>1085</v>
      </c>
      <c r="E854" s="19" t="s">
        <v>1086</v>
      </c>
      <c r="F854">
        <v>1</v>
      </c>
    </row>
    <row r="855" spans="1:6" x14ac:dyDescent="0.25">
      <c r="D855" s="19" t="s">
        <v>1087</v>
      </c>
      <c r="E855" s="19" t="s">
        <v>1088</v>
      </c>
      <c r="F855">
        <v>1</v>
      </c>
    </row>
    <row r="856" spans="1:6" x14ac:dyDescent="0.25">
      <c r="D856" s="19" t="s">
        <v>1089</v>
      </c>
      <c r="E856" s="19" t="s">
        <v>535</v>
      </c>
      <c r="F856">
        <v>1</v>
      </c>
    </row>
    <row r="857" spans="1:6" x14ac:dyDescent="0.25">
      <c r="D857" s="19" t="s">
        <v>1078</v>
      </c>
      <c r="E857" s="19" t="s">
        <v>1079</v>
      </c>
      <c r="F857">
        <v>1</v>
      </c>
    </row>
    <row r="858" spans="1:6" x14ac:dyDescent="0.25">
      <c r="D858" s="19" t="s">
        <v>1080</v>
      </c>
      <c r="E858" s="19" t="s">
        <v>1081</v>
      </c>
      <c r="F858">
        <v>1</v>
      </c>
    </row>
    <row r="859" spans="1:6" x14ac:dyDescent="0.25">
      <c r="D859" s="19" t="s">
        <v>1090</v>
      </c>
      <c r="E859" s="19" t="s">
        <v>381</v>
      </c>
      <c r="F859">
        <v>1</v>
      </c>
    </row>
    <row r="860" spans="1:6" x14ac:dyDescent="0.25">
      <c r="D860" s="19" t="s">
        <v>1091</v>
      </c>
      <c r="E860" s="19" t="s">
        <v>1092</v>
      </c>
      <c r="F860">
        <v>1</v>
      </c>
    </row>
    <row r="861" spans="1:6" x14ac:dyDescent="0.25">
      <c r="D861" s="19" t="s">
        <v>1082</v>
      </c>
      <c r="E861" s="19" t="s">
        <v>289</v>
      </c>
      <c r="F861">
        <v>1</v>
      </c>
    </row>
    <row r="862" spans="1:6" x14ac:dyDescent="0.25">
      <c r="D862" s="19" t="s">
        <v>1083</v>
      </c>
      <c r="E862" s="19" t="s">
        <v>1084</v>
      </c>
      <c r="F862">
        <v>1</v>
      </c>
    </row>
    <row r="863" spans="1:6" x14ac:dyDescent="0.25">
      <c r="A863" s="3">
        <v>131</v>
      </c>
      <c r="B863" s="15" t="s">
        <v>43</v>
      </c>
      <c r="C863" s="19" t="s">
        <v>859</v>
      </c>
      <c r="D863" s="19" t="s">
        <v>872</v>
      </c>
      <c r="E863" s="19" t="s">
        <v>873</v>
      </c>
      <c r="F863">
        <v>1</v>
      </c>
    </row>
    <row r="864" spans="1:6" x14ac:dyDescent="0.25">
      <c r="C864" s="19"/>
      <c r="D864" s="19" t="s">
        <v>874</v>
      </c>
      <c r="E864" s="19" t="s">
        <v>875</v>
      </c>
      <c r="F864">
        <v>1</v>
      </c>
    </row>
    <row r="865" spans="1:7" x14ac:dyDescent="0.25">
      <c r="C865" s="19"/>
      <c r="D865" s="19" t="s">
        <v>876</v>
      </c>
      <c r="E865" s="19" t="s">
        <v>372</v>
      </c>
      <c r="F865">
        <v>1</v>
      </c>
      <c r="G865" s="5" t="s">
        <v>2362</v>
      </c>
    </row>
    <row r="866" spans="1:7" x14ac:dyDescent="0.25">
      <c r="C866" s="19"/>
      <c r="D866" s="19" t="s">
        <v>860</v>
      </c>
      <c r="E866" s="19" t="s">
        <v>273</v>
      </c>
      <c r="F866">
        <v>1</v>
      </c>
    </row>
    <row r="867" spans="1:7" x14ac:dyDescent="0.25">
      <c r="C867" s="19"/>
      <c r="D867" s="19" t="s">
        <v>861</v>
      </c>
      <c r="E867" s="19" t="s">
        <v>275</v>
      </c>
      <c r="F867">
        <v>1</v>
      </c>
    </row>
    <row r="868" spans="1:7" x14ac:dyDescent="0.25">
      <c r="C868" s="19"/>
      <c r="D868" s="19" t="s">
        <v>862</v>
      </c>
      <c r="E868" s="19" t="s">
        <v>277</v>
      </c>
      <c r="F868">
        <v>1</v>
      </c>
    </row>
    <row r="869" spans="1:7" x14ac:dyDescent="0.25">
      <c r="C869" s="19"/>
      <c r="D869" s="19" t="s">
        <v>871</v>
      </c>
      <c r="E869" s="19" t="s">
        <v>295</v>
      </c>
      <c r="F869">
        <v>1</v>
      </c>
    </row>
    <row r="870" spans="1:7" x14ac:dyDescent="0.25">
      <c r="C870" s="19"/>
      <c r="D870" s="19" t="s">
        <v>865</v>
      </c>
      <c r="E870" s="19" t="s">
        <v>866</v>
      </c>
      <c r="F870">
        <v>0</v>
      </c>
    </row>
    <row r="871" spans="1:7" x14ac:dyDescent="0.25">
      <c r="C871" s="19"/>
      <c r="D871" s="19" t="s">
        <v>867</v>
      </c>
      <c r="E871" s="19" t="s">
        <v>868</v>
      </c>
      <c r="F871">
        <v>0</v>
      </c>
    </row>
    <row r="872" spans="1:7" x14ac:dyDescent="0.25">
      <c r="C872" s="19"/>
      <c r="D872" s="19" t="s">
        <v>869</v>
      </c>
      <c r="E872" s="19" t="s">
        <v>870</v>
      </c>
      <c r="F872">
        <v>0</v>
      </c>
    </row>
    <row r="873" spans="1:7" x14ac:dyDescent="0.25">
      <c r="C873" s="19"/>
      <c r="D873" s="19" t="s">
        <v>863</v>
      </c>
      <c r="E873" s="19" t="s">
        <v>283</v>
      </c>
      <c r="F873">
        <v>0</v>
      </c>
    </row>
    <row r="874" spans="1:7" x14ac:dyDescent="0.25">
      <c r="C874" s="19"/>
      <c r="D874" s="19" t="s">
        <v>864</v>
      </c>
      <c r="E874" s="19" t="s">
        <v>289</v>
      </c>
      <c r="F874">
        <v>0</v>
      </c>
    </row>
    <row r="875" spans="1:7" x14ac:dyDescent="0.25">
      <c r="A875" s="3">
        <v>132</v>
      </c>
      <c r="B875" s="15" t="s">
        <v>44</v>
      </c>
      <c r="C875" s="19" t="s">
        <v>506</v>
      </c>
      <c r="D875" s="19" t="s">
        <v>513</v>
      </c>
      <c r="E875" s="19" t="s">
        <v>514</v>
      </c>
      <c r="F875">
        <v>2</v>
      </c>
    </row>
    <row r="876" spans="1:7" x14ac:dyDescent="0.25">
      <c r="D876" s="19" t="s">
        <v>515</v>
      </c>
      <c r="E876" s="19" t="s">
        <v>516</v>
      </c>
      <c r="F876">
        <v>2</v>
      </c>
    </row>
    <row r="877" spans="1:7" x14ac:dyDescent="0.25">
      <c r="D877" s="19" t="s">
        <v>517</v>
      </c>
      <c r="E877" s="19" t="s">
        <v>518</v>
      </c>
      <c r="F877">
        <v>1</v>
      </c>
    </row>
    <row r="878" spans="1:7" x14ac:dyDescent="0.25">
      <c r="D878" s="19" t="s">
        <v>519</v>
      </c>
      <c r="E878" s="19" t="s">
        <v>520</v>
      </c>
      <c r="F878">
        <v>2</v>
      </c>
    </row>
    <row r="879" spans="1:7" x14ac:dyDescent="0.25">
      <c r="D879" s="19" t="s">
        <v>521</v>
      </c>
      <c r="E879" s="19" t="s">
        <v>522</v>
      </c>
      <c r="F879">
        <v>2</v>
      </c>
    </row>
    <row r="880" spans="1:7" x14ac:dyDescent="0.25">
      <c r="D880" s="19" t="s">
        <v>548</v>
      </c>
      <c r="E880" s="19" t="s">
        <v>549</v>
      </c>
      <c r="F880">
        <v>1</v>
      </c>
    </row>
    <row r="881" spans="4:6" x14ac:dyDescent="0.25">
      <c r="D881" s="19" t="s">
        <v>550</v>
      </c>
      <c r="E881" s="19" t="s">
        <v>551</v>
      </c>
      <c r="F881">
        <v>1</v>
      </c>
    </row>
    <row r="882" spans="4:6" x14ac:dyDescent="0.25">
      <c r="D882" s="19" t="s">
        <v>532</v>
      </c>
      <c r="E882" s="19" t="s">
        <v>533</v>
      </c>
      <c r="F882">
        <v>1</v>
      </c>
    </row>
    <row r="883" spans="4:6" x14ac:dyDescent="0.25">
      <c r="D883" s="19" t="s">
        <v>534</v>
      </c>
      <c r="E883" s="19" t="s">
        <v>535</v>
      </c>
      <c r="F883">
        <v>1</v>
      </c>
    </row>
    <row r="884" spans="4:6" x14ac:dyDescent="0.25">
      <c r="D884" s="19" t="s">
        <v>536</v>
      </c>
      <c r="E884" s="19" t="s">
        <v>537</v>
      </c>
      <c r="F884">
        <v>1</v>
      </c>
    </row>
    <row r="885" spans="4:6" x14ac:dyDescent="0.25">
      <c r="D885" s="19" t="s">
        <v>523</v>
      </c>
      <c r="E885" s="19" t="s">
        <v>524</v>
      </c>
      <c r="F885">
        <v>1</v>
      </c>
    </row>
    <row r="886" spans="4:6" x14ac:dyDescent="0.25">
      <c r="D886" s="19" t="s">
        <v>525</v>
      </c>
      <c r="E886" s="19" t="s">
        <v>526</v>
      </c>
      <c r="F886">
        <v>1</v>
      </c>
    </row>
    <row r="887" spans="4:6" x14ac:dyDescent="0.25">
      <c r="D887" s="19" t="s">
        <v>527</v>
      </c>
      <c r="E887" s="19" t="s">
        <v>283</v>
      </c>
      <c r="F887">
        <v>2</v>
      </c>
    </row>
    <row r="888" spans="4:6" x14ac:dyDescent="0.25">
      <c r="D888" s="19" t="s">
        <v>528</v>
      </c>
      <c r="E888" s="19" t="s">
        <v>529</v>
      </c>
      <c r="F888">
        <v>1</v>
      </c>
    </row>
    <row r="889" spans="4:6" x14ac:dyDescent="0.25">
      <c r="D889" s="19" t="s">
        <v>530</v>
      </c>
      <c r="E889" s="19" t="s">
        <v>531</v>
      </c>
      <c r="F889">
        <v>1</v>
      </c>
    </row>
    <row r="890" spans="4:6" x14ac:dyDescent="0.25">
      <c r="D890" s="19" t="s">
        <v>542</v>
      </c>
      <c r="E890" s="19" t="s">
        <v>543</v>
      </c>
      <c r="F890">
        <v>1</v>
      </c>
    </row>
    <row r="891" spans="4:6" x14ac:dyDescent="0.25">
      <c r="D891" s="19" t="s">
        <v>544</v>
      </c>
      <c r="E891" s="19" t="s">
        <v>545</v>
      </c>
      <c r="F891">
        <v>1</v>
      </c>
    </row>
    <row r="892" spans="4:6" x14ac:dyDescent="0.25">
      <c r="D892" s="19" t="s">
        <v>538</v>
      </c>
      <c r="E892" s="19" t="s">
        <v>539</v>
      </c>
      <c r="F892">
        <v>2</v>
      </c>
    </row>
    <row r="893" spans="4:6" x14ac:dyDescent="0.25">
      <c r="D893" s="19" t="s">
        <v>540</v>
      </c>
      <c r="E893" s="19" t="s">
        <v>541</v>
      </c>
      <c r="F893">
        <v>2</v>
      </c>
    </row>
    <row r="894" spans="4:6" x14ac:dyDescent="0.25">
      <c r="D894" s="19" t="s">
        <v>507</v>
      </c>
      <c r="E894" s="19" t="s">
        <v>508</v>
      </c>
      <c r="F894">
        <v>1</v>
      </c>
    </row>
    <row r="895" spans="4:6" x14ac:dyDescent="0.25">
      <c r="D895" s="19" t="s">
        <v>509</v>
      </c>
      <c r="E895" s="19" t="s">
        <v>510</v>
      </c>
      <c r="F895">
        <v>2</v>
      </c>
    </row>
    <row r="896" spans="4:6" x14ac:dyDescent="0.25">
      <c r="D896" s="19" t="s">
        <v>511</v>
      </c>
      <c r="E896" s="19" t="s">
        <v>512</v>
      </c>
      <c r="F896">
        <v>1</v>
      </c>
    </row>
    <row r="897" spans="1:6" x14ac:dyDescent="0.25">
      <c r="D897" s="19" t="s">
        <v>546</v>
      </c>
      <c r="E897" s="19" t="s">
        <v>547</v>
      </c>
      <c r="F897">
        <v>1</v>
      </c>
    </row>
    <row r="898" spans="1:6" x14ac:dyDescent="0.25">
      <c r="A898" s="3">
        <v>133</v>
      </c>
      <c r="B898" s="16" t="s">
        <v>44</v>
      </c>
      <c r="C898" s="19" t="s">
        <v>506</v>
      </c>
      <c r="D898" s="19" t="s">
        <v>513</v>
      </c>
      <c r="E898" s="19" t="s">
        <v>514</v>
      </c>
      <c r="F898">
        <v>2</v>
      </c>
    </row>
    <row r="899" spans="1:6" x14ac:dyDescent="0.25">
      <c r="D899" s="19" t="s">
        <v>515</v>
      </c>
      <c r="E899" s="19" t="s">
        <v>516</v>
      </c>
      <c r="F899">
        <v>2</v>
      </c>
    </row>
    <row r="900" spans="1:6" x14ac:dyDescent="0.25">
      <c r="D900" s="19" t="s">
        <v>517</v>
      </c>
      <c r="E900" s="19" t="s">
        <v>518</v>
      </c>
      <c r="F900">
        <v>1</v>
      </c>
    </row>
    <row r="901" spans="1:6" x14ac:dyDescent="0.25">
      <c r="D901" s="19" t="s">
        <v>519</v>
      </c>
      <c r="E901" s="19" t="s">
        <v>520</v>
      </c>
      <c r="F901">
        <v>2</v>
      </c>
    </row>
    <row r="902" spans="1:6" x14ac:dyDescent="0.25">
      <c r="D902" s="19" t="s">
        <v>521</v>
      </c>
      <c r="E902" s="19" t="s">
        <v>522</v>
      </c>
      <c r="F902">
        <v>2</v>
      </c>
    </row>
    <row r="903" spans="1:6" x14ac:dyDescent="0.25">
      <c r="D903" s="19" t="s">
        <v>548</v>
      </c>
      <c r="E903" s="19" t="s">
        <v>549</v>
      </c>
      <c r="F903">
        <v>1</v>
      </c>
    </row>
    <row r="904" spans="1:6" x14ac:dyDescent="0.25">
      <c r="D904" s="19" t="s">
        <v>550</v>
      </c>
      <c r="E904" s="19" t="s">
        <v>551</v>
      </c>
      <c r="F904">
        <v>1</v>
      </c>
    </row>
    <row r="905" spans="1:6" x14ac:dyDescent="0.25">
      <c r="D905" s="19" t="s">
        <v>532</v>
      </c>
      <c r="E905" s="19" t="s">
        <v>533</v>
      </c>
      <c r="F905">
        <v>1</v>
      </c>
    </row>
    <row r="906" spans="1:6" x14ac:dyDescent="0.25">
      <c r="D906" s="19" t="s">
        <v>534</v>
      </c>
      <c r="E906" s="19" t="s">
        <v>535</v>
      </c>
      <c r="F906">
        <v>1</v>
      </c>
    </row>
    <row r="907" spans="1:6" x14ac:dyDescent="0.25">
      <c r="D907" s="19" t="s">
        <v>536</v>
      </c>
      <c r="E907" s="19" t="s">
        <v>537</v>
      </c>
      <c r="F907">
        <v>1</v>
      </c>
    </row>
    <row r="908" spans="1:6" x14ac:dyDescent="0.25">
      <c r="D908" s="19" t="s">
        <v>523</v>
      </c>
      <c r="E908" s="19" t="s">
        <v>524</v>
      </c>
      <c r="F908">
        <v>2</v>
      </c>
    </row>
    <row r="909" spans="1:6" x14ac:dyDescent="0.25">
      <c r="D909" s="19" t="s">
        <v>525</v>
      </c>
      <c r="E909" s="19" t="s">
        <v>526</v>
      </c>
      <c r="F909">
        <v>1</v>
      </c>
    </row>
    <row r="910" spans="1:6" x14ac:dyDescent="0.25">
      <c r="D910" s="19" t="s">
        <v>527</v>
      </c>
      <c r="E910" s="19" t="s">
        <v>283</v>
      </c>
      <c r="F910">
        <v>1</v>
      </c>
    </row>
    <row r="911" spans="1:6" x14ac:dyDescent="0.25">
      <c r="D911" s="19" t="s">
        <v>528</v>
      </c>
      <c r="E911" s="19" t="s">
        <v>529</v>
      </c>
      <c r="F911">
        <v>0</v>
      </c>
    </row>
    <row r="912" spans="1:6" x14ac:dyDescent="0.25">
      <c r="D912" s="19" t="s">
        <v>530</v>
      </c>
      <c r="E912" s="19" t="s">
        <v>531</v>
      </c>
      <c r="F912">
        <v>1</v>
      </c>
    </row>
    <row r="913" spans="1:6" x14ac:dyDescent="0.25">
      <c r="D913" s="19" t="s">
        <v>542</v>
      </c>
      <c r="E913" s="19" t="s">
        <v>543</v>
      </c>
      <c r="F913">
        <v>1</v>
      </c>
    </row>
    <row r="914" spans="1:6" x14ac:dyDescent="0.25">
      <c r="D914" s="19" t="s">
        <v>544</v>
      </c>
      <c r="E914" s="19" t="s">
        <v>545</v>
      </c>
      <c r="F914">
        <v>0</v>
      </c>
    </row>
    <row r="915" spans="1:6" x14ac:dyDescent="0.25">
      <c r="D915" s="19" t="s">
        <v>538</v>
      </c>
      <c r="E915" s="19" t="s">
        <v>539</v>
      </c>
      <c r="F915">
        <v>1</v>
      </c>
    </row>
    <row r="916" spans="1:6" x14ac:dyDescent="0.25">
      <c r="D916" s="19" t="s">
        <v>540</v>
      </c>
      <c r="E916" s="19" t="s">
        <v>541</v>
      </c>
      <c r="F916">
        <v>2</v>
      </c>
    </row>
    <row r="917" spans="1:6" x14ac:dyDescent="0.25">
      <c r="D917" s="19" t="s">
        <v>507</v>
      </c>
      <c r="E917" s="19" t="s">
        <v>508</v>
      </c>
      <c r="F917">
        <v>1</v>
      </c>
    </row>
    <row r="918" spans="1:6" x14ac:dyDescent="0.25">
      <c r="D918" s="19" t="s">
        <v>509</v>
      </c>
      <c r="E918" s="19" t="s">
        <v>510</v>
      </c>
      <c r="F918">
        <v>1</v>
      </c>
    </row>
    <row r="919" spans="1:6" x14ac:dyDescent="0.25">
      <c r="D919" s="19" t="s">
        <v>511</v>
      </c>
      <c r="E919" s="19" t="s">
        <v>512</v>
      </c>
      <c r="F919">
        <v>1</v>
      </c>
    </row>
    <row r="920" spans="1:6" x14ac:dyDescent="0.25">
      <c r="D920" s="19" t="s">
        <v>546</v>
      </c>
      <c r="E920" s="19" t="s">
        <v>547</v>
      </c>
      <c r="F920">
        <v>0</v>
      </c>
    </row>
    <row r="921" spans="1:6" x14ac:dyDescent="0.25">
      <c r="A921" s="3">
        <v>134</v>
      </c>
      <c r="B921" s="15" t="s">
        <v>45</v>
      </c>
      <c r="C921" s="19" t="s">
        <v>1155</v>
      </c>
      <c r="D921" s="19" t="s">
        <v>1157</v>
      </c>
      <c r="E921" s="19" t="s">
        <v>844</v>
      </c>
      <c r="F921">
        <v>1</v>
      </c>
    </row>
    <row r="922" spans="1:6" x14ac:dyDescent="0.25">
      <c r="D922" s="19" t="s">
        <v>1156</v>
      </c>
      <c r="E922" s="19" t="s">
        <v>273</v>
      </c>
      <c r="F922">
        <v>1</v>
      </c>
    </row>
    <row r="923" spans="1:6" x14ac:dyDescent="0.25">
      <c r="D923" s="19" t="s">
        <v>1158</v>
      </c>
      <c r="E923" s="19" t="s">
        <v>1159</v>
      </c>
      <c r="F923">
        <v>1</v>
      </c>
    </row>
    <row r="924" spans="1:6" x14ac:dyDescent="0.25">
      <c r="D924" s="19" t="s">
        <v>1160</v>
      </c>
      <c r="E924" s="19" t="s">
        <v>1161</v>
      </c>
      <c r="F924">
        <v>1</v>
      </c>
    </row>
    <row r="925" spans="1:6" x14ac:dyDescent="0.25">
      <c r="D925" s="19" t="s">
        <v>1162</v>
      </c>
      <c r="E925" s="19" t="s">
        <v>1163</v>
      </c>
      <c r="F925">
        <v>1</v>
      </c>
    </row>
    <row r="926" spans="1:6" x14ac:dyDescent="0.25">
      <c r="D926" s="19" t="s">
        <v>1164</v>
      </c>
      <c r="E926" s="19" t="s">
        <v>1165</v>
      </c>
      <c r="F926">
        <v>1</v>
      </c>
    </row>
    <row r="927" spans="1:6" x14ac:dyDescent="0.25">
      <c r="D927" s="19" t="s">
        <v>1166</v>
      </c>
      <c r="E927" s="19" t="s">
        <v>295</v>
      </c>
      <c r="F927">
        <v>1</v>
      </c>
    </row>
    <row r="928" spans="1:6" x14ac:dyDescent="0.25">
      <c r="D928" s="19" t="s">
        <v>1167</v>
      </c>
      <c r="E928" s="19" t="s">
        <v>1168</v>
      </c>
      <c r="F928">
        <v>1</v>
      </c>
    </row>
    <row r="929" spans="1:6" x14ac:dyDescent="0.25">
      <c r="A929" s="3">
        <v>142</v>
      </c>
      <c r="B929" s="15" t="s">
        <v>46</v>
      </c>
      <c r="C929" s="19" t="s">
        <v>1097</v>
      </c>
      <c r="D929" s="19" t="s">
        <v>1121</v>
      </c>
      <c r="E929" s="19" t="s">
        <v>1122</v>
      </c>
      <c r="F929">
        <v>0</v>
      </c>
    </row>
    <row r="930" spans="1:6" x14ac:dyDescent="0.25">
      <c r="D930" s="19" t="s">
        <v>1123</v>
      </c>
      <c r="E930" s="19" t="s">
        <v>1124</v>
      </c>
      <c r="F930">
        <v>1</v>
      </c>
    </row>
    <row r="931" spans="1:6" x14ac:dyDescent="0.25">
      <c r="D931" s="19" t="s">
        <v>1115</v>
      </c>
      <c r="E931" s="19" t="s">
        <v>1116</v>
      </c>
      <c r="F931">
        <v>0</v>
      </c>
    </row>
    <row r="932" spans="1:6" x14ac:dyDescent="0.25">
      <c r="D932" s="19" t="s">
        <v>1117</v>
      </c>
      <c r="E932" s="19" t="s">
        <v>1118</v>
      </c>
      <c r="F932">
        <v>0</v>
      </c>
    </row>
    <row r="933" spans="1:6" x14ac:dyDescent="0.25">
      <c r="D933" s="19" t="s">
        <v>1119</v>
      </c>
      <c r="E933" s="19" t="s">
        <v>1120</v>
      </c>
      <c r="F933">
        <v>0</v>
      </c>
    </row>
    <row r="934" spans="1:6" x14ac:dyDescent="0.25">
      <c r="D934" s="19" t="s">
        <v>1107</v>
      </c>
      <c r="E934" s="19" t="s">
        <v>1108</v>
      </c>
      <c r="F934">
        <v>1</v>
      </c>
    </row>
    <row r="935" spans="1:6" x14ac:dyDescent="0.25">
      <c r="D935" s="19" t="s">
        <v>1109</v>
      </c>
      <c r="E935" s="19" t="s">
        <v>1110</v>
      </c>
      <c r="F935">
        <v>1</v>
      </c>
    </row>
    <row r="936" spans="1:6" x14ac:dyDescent="0.25">
      <c r="D936" s="19" t="s">
        <v>1111</v>
      </c>
      <c r="E936" s="19" t="s">
        <v>1112</v>
      </c>
      <c r="F936">
        <v>0</v>
      </c>
    </row>
    <row r="937" spans="1:6" x14ac:dyDescent="0.25">
      <c r="D937" s="19" t="s">
        <v>1113</v>
      </c>
      <c r="E937" s="19" t="s">
        <v>1114</v>
      </c>
      <c r="F937">
        <v>1</v>
      </c>
    </row>
    <row r="938" spans="1:6" x14ac:dyDescent="0.25">
      <c r="D938" s="19" t="s">
        <v>1098</v>
      </c>
      <c r="E938" s="19" t="s">
        <v>1099</v>
      </c>
      <c r="F938">
        <v>0</v>
      </c>
    </row>
    <row r="939" spans="1:6" x14ac:dyDescent="0.25">
      <c r="D939" s="19" t="s">
        <v>1100</v>
      </c>
      <c r="E939" s="19" t="s">
        <v>1101</v>
      </c>
      <c r="F939">
        <v>0</v>
      </c>
    </row>
    <row r="940" spans="1:6" x14ac:dyDescent="0.25">
      <c r="D940" s="19" t="s">
        <v>1102</v>
      </c>
      <c r="E940" s="19" t="s">
        <v>1103</v>
      </c>
      <c r="F940">
        <v>1</v>
      </c>
    </row>
    <row r="941" spans="1:6" x14ac:dyDescent="0.25">
      <c r="D941" s="19" t="s">
        <v>1104</v>
      </c>
      <c r="E941" s="19" t="s">
        <v>1105</v>
      </c>
      <c r="F941">
        <v>1</v>
      </c>
    </row>
    <row r="942" spans="1:6" x14ac:dyDescent="0.25">
      <c r="D942" s="19" t="s">
        <v>1106</v>
      </c>
      <c r="E942" s="19" t="s">
        <v>349</v>
      </c>
      <c r="F942">
        <v>1</v>
      </c>
    </row>
    <row r="943" spans="1:6" x14ac:dyDescent="0.25">
      <c r="A943" s="3">
        <v>146</v>
      </c>
      <c r="B943" s="15" t="s">
        <v>47</v>
      </c>
      <c r="C943" s="19" t="s">
        <v>337</v>
      </c>
      <c r="D943" s="19" t="s">
        <v>354</v>
      </c>
      <c r="E943" s="19" t="s">
        <v>355</v>
      </c>
      <c r="F943">
        <v>2</v>
      </c>
    </row>
    <row r="944" spans="1:6" x14ac:dyDescent="0.25">
      <c r="D944" s="19" t="s">
        <v>356</v>
      </c>
      <c r="E944" s="19" t="s">
        <v>357</v>
      </c>
      <c r="F944">
        <v>1</v>
      </c>
    </row>
    <row r="945" spans="1:6" x14ac:dyDescent="0.25">
      <c r="D945" s="19" t="s">
        <v>358</v>
      </c>
      <c r="E945" s="19" t="s">
        <v>359</v>
      </c>
      <c r="F945">
        <v>0</v>
      </c>
    </row>
    <row r="946" spans="1:6" x14ac:dyDescent="0.25">
      <c r="D946" s="19" t="s">
        <v>360</v>
      </c>
      <c r="E946" s="19" t="s">
        <v>361</v>
      </c>
      <c r="F946">
        <v>2</v>
      </c>
    </row>
    <row r="947" spans="1:6" x14ac:dyDescent="0.25">
      <c r="D947" s="19" t="s">
        <v>342</v>
      </c>
      <c r="E947" s="19" t="s">
        <v>343</v>
      </c>
      <c r="F947">
        <v>1</v>
      </c>
    </row>
    <row r="948" spans="1:6" x14ac:dyDescent="0.25">
      <c r="D948" s="19" t="s">
        <v>348</v>
      </c>
      <c r="E948" s="19" t="s">
        <v>349</v>
      </c>
      <c r="F948">
        <v>1</v>
      </c>
    </row>
    <row r="949" spans="1:6" x14ac:dyDescent="0.25">
      <c r="D949" s="19" t="s">
        <v>338</v>
      </c>
      <c r="E949" s="19" t="s">
        <v>304</v>
      </c>
      <c r="F949">
        <v>1</v>
      </c>
    </row>
    <row r="950" spans="1:6" x14ac:dyDescent="0.25">
      <c r="D950" s="19" t="s">
        <v>339</v>
      </c>
      <c r="E950" s="19" t="s">
        <v>306</v>
      </c>
      <c r="F950">
        <v>1</v>
      </c>
    </row>
    <row r="951" spans="1:6" x14ac:dyDescent="0.25">
      <c r="D951" s="19" t="s">
        <v>340</v>
      </c>
      <c r="E951" s="19" t="s">
        <v>341</v>
      </c>
      <c r="F951">
        <v>1</v>
      </c>
    </row>
    <row r="952" spans="1:6" x14ac:dyDescent="0.25">
      <c r="D952" s="19" t="s">
        <v>344</v>
      </c>
      <c r="E952" s="19" t="s">
        <v>345</v>
      </c>
      <c r="F952">
        <v>1</v>
      </c>
    </row>
    <row r="953" spans="1:6" x14ac:dyDescent="0.25">
      <c r="D953" s="19" t="s">
        <v>346</v>
      </c>
      <c r="E953" s="19" t="s">
        <v>347</v>
      </c>
      <c r="F953">
        <v>0</v>
      </c>
    </row>
    <row r="954" spans="1:6" x14ac:dyDescent="0.25">
      <c r="D954" s="19" t="s">
        <v>350</v>
      </c>
      <c r="E954" s="19" t="s">
        <v>351</v>
      </c>
      <c r="F954">
        <v>0</v>
      </c>
    </row>
    <row r="955" spans="1:6" x14ac:dyDescent="0.25">
      <c r="D955" s="19" t="s">
        <v>352</v>
      </c>
      <c r="E955" s="19" t="s">
        <v>353</v>
      </c>
      <c r="F955">
        <v>1</v>
      </c>
    </row>
    <row r="956" spans="1:6" x14ac:dyDescent="0.25">
      <c r="A956" s="3">
        <v>147</v>
      </c>
      <c r="B956" s="15" t="s">
        <v>48</v>
      </c>
      <c r="C956" s="19" t="s">
        <v>1874</v>
      </c>
      <c r="D956" s="19" t="s">
        <v>1883</v>
      </c>
      <c r="E956" s="19" t="s">
        <v>1884</v>
      </c>
      <c r="F956">
        <v>1</v>
      </c>
    </row>
    <row r="957" spans="1:6" x14ac:dyDescent="0.25">
      <c r="D957" s="19" t="s">
        <v>1885</v>
      </c>
      <c r="E957" s="19" t="s">
        <v>1886</v>
      </c>
      <c r="F957">
        <v>1</v>
      </c>
    </row>
    <row r="958" spans="1:6" x14ac:dyDescent="0.25">
      <c r="D958" s="19" t="s">
        <v>1887</v>
      </c>
      <c r="E958" s="19" t="s">
        <v>1888</v>
      </c>
      <c r="F958">
        <v>1</v>
      </c>
    </row>
    <row r="959" spans="1:6" x14ac:dyDescent="0.25">
      <c r="D959" s="19" t="s">
        <v>1880</v>
      </c>
      <c r="E959" s="19" t="s">
        <v>1881</v>
      </c>
      <c r="F959">
        <v>1</v>
      </c>
    </row>
    <row r="960" spans="1:6" x14ac:dyDescent="0.25">
      <c r="D960" s="19" t="s">
        <v>2175</v>
      </c>
      <c r="E960" s="19" t="s">
        <v>1882</v>
      </c>
      <c r="F960">
        <v>1</v>
      </c>
    </row>
    <row r="961" spans="3:6" x14ac:dyDescent="0.25">
      <c r="D961" s="19" t="s">
        <v>1875</v>
      </c>
      <c r="E961" s="19" t="s">
        <v>820</v>
      </c>
      <c r="F961">
        <v>1</v>
      </c>
    </row>
    <row r="962" spans="3:6" x14ac:dyDescent="0.25">
      <c r="D962" s="19" t="s">
        <v>1876</v>
      </c>
      <c r="E962" s="19" t="s">
        <v>1877</v>
      </c>
      <c r="F962">
        <v>1</v>
      </c>
    </row>
    <row r="963" spans="3:6" x14ac:dyDescent="0.25">
      <c r="D963" s="19" t="s">
        <v>1878</v>
      </c>
      <c r="E963" s="19" t="s">
        <v>1879</v>
      </c>
      <c r="F963">
        <v>1</v>
      </c>
    </row>
    <row r="964" spans="3:6" x14ac:dyDescent="0.25">
      <c r="D964" s="19" t="s">
        <v>1895</v>
      </c>
      <c r="E964" s="19" t="s">
        <v>368</v>
      </c>
      <c r="F964">
        <v>1</v>
      </c>
    </row>
    <row r="965" spans="3:6" x14ac:dyDescent="0.25">
      <c r="D965" s="19" t="s">
        <v>1896</v>
      </c>
      <c r="E965" s="19" t="s">
        <v>370</v>
      </c>
      <c r="F965">
        <v>1</v>
      </c>
    </row>
    <row r="966" spans="3:6" x14ac:dyDescent="0.25">
      <c r="D966" s="19" t="s">
        <v>1889</v>
      </c>
      <c r="E966" s="19" t="s">
        <v>1890</v>
      </c>
      <c r="F966">
        <v>1</v>
      </c>
    </row>
    <row r="967" spans="3:6" x14ac:dyDescent="0.25">
      <c r="D967" s="19" t="s">
        <v>1891</v>
      </c>
      <c r="E967" s="19" t="s">
        <v>1892</v>
      </c>
      <c r="F967">
        <v>1</v>
      </c>
    </row>
    <row r="968" spans="3:6" x14ac:dyDescent="0.25">
      <c r="D968" s="19" t="s">
        <v>1893</v>
      </c>
      <c r="E968" s="19" t="s">
        <v>1894</v>
      </c>
      <c r="F968">
        <v>1</v>
      </c>
    </row>
    <row r="969" spans="3:6" x14ac:dyDescent="0.25">
      <c r="D969" s="19" t="s">
        <v>1901</v>
      </c>
      <c r="E969" s="19" t="s">
        <v>1902</v>
      </c>
      <c r="F969">
        <v>1</v>
      </c>
    </row>
    <row r="970" spans="3:6" x14ac:dyDescent="0.25">
      <c r="D970" s="19" t="s">
        <v>1903</v>
      </c>
      <c r="E970" s="19" t="s">
        <v>1904</v>
      </c>
      <c r="F970">
        <v>1</v>
      </c>
    </row>
    <row r="971" spans="3:6" x14ac:dyDescent="0.25">
      <c r="D971" s="19" t="s">
        <v>1905</v>
      </c>
      <c r="E971" s="19" t="s">
        <v>1906</v>
      </c>
      <c r="F971">
        <v>1</v>
      </c>
    </row>
    <row r="972" spans="3:6" x14ac:dyDescent="0.25">
      <c r="D972" s="19" t="s">
        <v>1907</v>
      </c>
      <c r="E972" s="19" t="s">
        <v>1908</v>
      </c>
      <c r="F972">
        <v>1</v>
      </c>
    </row>
    <row r="973" spans="3:6" x14ac:dyDescent="0.25">
      <c r="D973" s="19" t="s">
        <v>1897</v>
      </c>
      <c r="E973" s="19" t="s">
        <v>1898</v>
      </c>
      <c r="F973">
        <v>1</v>
      </c>
    </row>
    <row r="974" spans="3:6" x14ac:dyDescent="0.25">
      <c r="D974" s="19" t="s">
        <v>1899</v>
      </c>
      <c r="E974" s="19" t="s">
        <v>361</v>
      </c>
      <c r="F974">
        <v>1</v>
      </c>
    </row>
    <row r="975" spans="3:6" x14ac:dyDescent="0.25">
      <c r="D975" s="19" t="s">
        <v>1900</v>
      </c>
      <c r="E975" s="19" t="s">
        <v>359</v>
      </c>
      <c r="F975">
        <v>1</v>
      </c>
    </row>
    <row r="976" spans="3:6" x14ac:dyDescent="0.25">
      <c r="C976" s="19" t="s">
        <v>891</v>
      </c>
      <c r="D976" s="19" t="s">
        <v>911</v>
      </c>
      <c r="E976" s="19" t="s">
        <v>912</v>
      </c>
      <c r="F976">
        <v>1</v>
      </c>
    </row>
    <row r="977" spans="3:6" x14ac:dyDescent="0.25">
      <c r="D977" s="19" t="s">
        <v>913</v>
      </c>
      <c r="E977" s="19" t="s">
        <v>914</v>
      </c>
      <c r="F977">
        <v>1</v>
      </c>
    </row>
    <row r="978" spans="3:6" x14ac:dyDescent="0.25">
      <c r="D978" s="19" t="s">
        <v>915</v>
      </c>
      <c r="E978" s="19" t="s">
        <v>916</v>
      </c>
      <c r="F978">
        <v>1</v>
      </c>
    </row>
    <row r="979" spans="3:6" x14ac:dyDescent="0.25">
      <c r="D979" s="19" t="s">
        <v>905</v>
      </c>
      <c r="E979" s="19" t="s">
        <v>906</v>
      </c>
      <c r="F979">
        <v>1</v>
      </c>
    </row>
    <row r="980" spans="3:6" x14ac:dyDescent="0.25">
      <c r="D980" s="19" t="s">
        <v>907</v>
      </c>
      <c r="E980" s="19" t="s">
        <v>908</v>
      </c>
      <c r="F980">
        <v>1</v>
      </c>
    </row>
    <row r="981" spans="3:6" x14ac:dyDescent="0.25">
      <c r="D981" s="19" t="s">
        <v>909</v>
      </c>
      <c r="E981" s="19" t="s">
        <v>910</v>
      </c>
      <c r="F981">
        <v>1</v>
      </c>
    </row>
    <row r="982" spans="3:6" x14ac:dyDescent="0.25">
      <c r="D982" s="19" t="s">
        <v>892</v>
      </c>
      <c r="E982" s="19" t="s">
        <v>893</v>
      </c>
      <c r="F982">
        <v>1</v>
      </c>
    </row>
    <row r="983" spans="3:6" x14ac:dyDescent="0.25">
      <c r="D983" s="19" t="s">
        <v>894</v>
      </c>
      <c r="E983" s="19" t="s">
        <v>895</v>
      </c>
      <c r="F983">
        <v>1</v>
      </c>
    </row>
    <row r="984" spans="3:6" x14ac:dyDescent="0.25">
      <c r="D984" s="19" t="s">
        <v>901</v>
      </c>
      <c r="E984" s="19" t="s">
        <v>902</v>
      </c>
      <c r="F984">
        <v>1</v>
      </c>
    </row>
    <row r="985" spans="3:6" x14ac:dyDescent="0.25">
      <c r="D985" s="19" t="s">
        <v>903</v>
      </c>
      <c r="E985" s="19" t="s">
        <v>904</v>
      </c>
      <c r="F985">
        <v>1</v>
      </c>
    </row>
    <row r="986" spans="3:6" x14ac:dyDescent="0.25">
      <c r="D986" s="19" t="s">
        <v>896</v>
      </c>
      <c r="E986" s="19" t="s">
        <v>897</v>
      </c>
      <c r="F986">
        <v>1</v>
      </c>
    </row>
    <row r="987" spans="3:6" x14ac:dyDescent="0.25">
      <c r="D987" s="19" t="s">
        <v>898</v>
      </c>
      <c r="E987" s="19" t="s">
        <v>899</v>
      </c>
      <c r="F987">
        <v>1</v>
      </c>
    </row>
    <row r="988" spans="3:6" x14ac:dyDescent="0.25">
      <c r="D988" s="19" t="s">
        <v>900</v>
      </c>
      <c r="E988" s="19" t="s">
        <v>349</v>
      </c>
      <c r="F988">
        <v>1</v>
      </c>
    </row>
    <row r="989" spans="3:6" x14ac:dyDescent="0.25">
      <c r="C989" s="19" t="s">
        <v>1909</v>
      </c>
      <c r="D989" s="19" t="s">
        <v>1911</v>
      </c>
      <c r="E989" s="19" t="s">
        <v>1912</v>
      </c>
      <c r="F989">
        <v>0</v>
      </c>
    </row>
    <row r="990" spans="3:6" x14ac:dyDescent="0.25">
      <c r="D990" s="19" t="s">
        <v>1913</v>
      </c>
      <c r="E990" s="19" t="s">
        <v>1914</v>
      </c>
      <c r="F990">
        <v>0</v>
      </c>
    </row>
    <row r="991" spans="3:6" x14ac:dyDescent="0.25">
      <c r="D991" s="19" t="s">
        <v>1927</v>
      </c>
      <c r="E991" s="19" t="s">
        <v>1928</v>
      </c>
      <c r="F991">
        <v>0</v>
      </c>
    </row>
    <row r="992" spans="3:6" x14ac:dyDescent="0.25">
      <c r="D992" s="19" t="s">
        <v>1929</v>
      </c>
      <c r="E992" s="19" t="s">
        <v>1930</v>
      </c>
      <c r="F992">
        <v>0</v>
      </c>
    </row>
    <row r="993" spans="4:6" x14ac:dyDescent="0.25">
      <c r="D993" s="19" t="s">
        <v>1915</v>
      </c>
      <c r="E993" s="19" t="s">
        <v>1916</v>
      </c>
      <c r="F993">
        <v>1</v>
      </c>
    </row>
    <row r="994" spans="4:6" x14ac:dyDescent="0.25">
      <c r="D994" s="19" t="s">
        <v>1917</v>
      </c>
      <c r="E994" s="19" t="s">
        <v>1918</v>
      </c>
      <c r="F994">
        <v>0</v>
      </c>
    </row>
    <row r="995" spans="4:6" x14ac:dyDescent="0.25">
      <c r="D995" s="19" t="s">
        <v>1931</v>
      </c>
      <c r="E995" s="19" t="s">
        <v>1932</v>
      </c>
      <c r="F995">
        <v>1</v>
      </c>
    </row>
    <row r="996" spans="4:6" x14ac:dyDescent="0.25">
      <c r="D996" s="19" t="s">
        <v>1933</v>
      </c>
      <c r="E996" s="19" t="s">
        <v>1934</v>
      </c>
      <c r="F996">
        <v>1</v>
      </c>
    </row>
    <row r="997" spans="4:6" x14ac:dyDescent="0.25">
      <c r="D997" s="19" t="s">
        <v>1910</v>
      </c>
      <c r="E997" s="19" t="s">
        <v>273</v>
      </c>
      <c r="F997">
        <v>1</v>
      </c>
    </row>
    <row r="998" spans="4:6" x14ac:dyDescent="0.25">
      <c r="D998" s="19" t="s">
        <v>1941</v>
      </c>
      <c r="E998" s="19" t="s">
        <v>1942</v>
      </c>
      <c r="F998">
        <v>1</v>
      </c>
    </row>
    <row r="999" spans="4:6" x14ac:dyDescent="0.25">
      <c r="D999" s="19" t="s">
        <v>1943</v>
      </c>
      <c r="E999" s="19" t="s">
        <v>1944</v>
      </c>
      <c r="F999">
        <v>0</v>
      </c>
    </row>
    <row r="1000" spans="4:6" x14ac:dyDescent="0.25">
      <c r="D1000" s="19" t="s">
        <v>1945</v>
      </c>
      <c r="E1000" s="19" t="s">
        <v>1946</v>
      </c>
      <c r="F1000">
        <v>0</v>
      </c>
    </row>
    <row r="1001" spans="4:6" x14ac:dyDescent="0.25">
      <c r="D1001" s="19" t="s">
        <v>1947</v>
      </c>
      <c r="E1001" s="19" t="s">
        <v>1948</v>
      </c>
      <c r="F1001">
        <v>0</v>
      </c>
    </row>
    <row r="1002" spans="4:6" x14ac:dyDescent="0.25">
      <c r="D1002" s="19" t="s">
        <v>1919</v>
      </c>
      <c r="E1002" s="19" t="s">
        <v>1920</v>
      </c>
      <c r="F1002">
        <v>0</v>
      </c>
    </row>
    <row r="1003" spans="4:6" x14ac:dyDescent="0.25">
      <c r="D1003" s="19" t="s">
        <v>1921</v>
      </c>
      <c r="E1003" s="19" t="s">
        <v>1922</v>
      </c>
      <c r="F1003">
        <v>0</v>
      </c>
    </row>
    <row r="1004" spans="4:6" x14ac:dyDescent="0.25">
      <c r="D1004" s="19" t="s">
        <v>1923</v>
      </c>
      <c r="E1004" s="19" t="s">
        <v>1924</v>
      </c>
      <c r="F1004">
        <v>0</v>
      </c>
    </row>
    <row r="1005" spans="4:6" x14ac:dyDescent="0.25">
      <c r="D1005" s="19" t="s">
        <v>1925</v>
      </c>
      <c r="E1005" s="19" t="s">
        <v>1926</v>
      </c>
      <c r="F1005">
        <v>0</v>
      </c>
    </row>
    <row r="1006" spans="4:6" x14ac:dyDescent="0.25">
      <c r="D1006" s="19" t="s">
        <v>1935</v>
      </c>
      <c r="E1006" s="19" t="s">
        <v>1936</v>
      </c>
      <c r="F1006">
        <v>0</v>
      </c>
    </row>
    <row r="1007" spans="4:6" x14ac:dyDescent="0.25">
      <c r="D1007" s="19" t="s">
        <v>1937</v>
      </c>
      <c r="E1007" s="19" t="s">
        <v>1938</v>
      </c>
      <c r="F1007">
        <v>0</v>
      </c>
    </row>
    <row r="1008" spans="4:6" x14ac:dyDescent="0.25">
      <c r="D1008" s="19" t="s">
        <v>1939</v>
      </c>
      <c r="E1008" s="19" t="s">
        <v>1940</v>
      </c>
      <c r="F1008">
        <v>0</v>
      </c>
    </row>
    <row r="1009" spans="1:6" x14ac:dyDescent="0.25">
      <c r="A1009" s="3">
        <v>149</v>
      </c>
      <c r="B1009" s="15" t="s">
        <v>49</v>
      </c>
      <c r="C1009" s="19" t="s">
        <v>1155</v>
      </c>
      <c r="D1009" s="19" t="s">
        <v>1157</v>
      </c>
      <c r="E1009" s="19" t="s">
        <v>844</v>
      </c>
      <c r="F1009">
        <v>1</v>
      </c>
    </row>
    <row r="1010" spans="1:6" x14ac:dyDescent="0.25">
      <c r="C1010" s="19"/>
      <c r="D1010" s="19" t="s">
        <v>1156</v>
      </c>
      <c r="E1010" s="19" t="s">
        <v>273</v>
      </c>
      <c r="F1010">
        <v>1</v>
      </c>
    </row>
    <row r="1011" spans="1:6" x14ac:dyDescent="0.25">
      <c r="C1011" s="19"/>
      <c r="D1011" s="19" t="s">
        <v>1158</v>
      </c>
      <c r="E1011" s="19" t="s">
        <v>1159</v>
      </c>
      <c r="F1011">
        <v>2</v>
      </c>
    </row>
    <row r="1012" spans="1:6" x14ac:dyDescent="0.25">
      <c r="C1012" s="19"/>
      <c r="D1012" s="19" t="s">
        <v>1160</v>
      </c>
      <c r="E1012" s="19" t="s">
        <v>1161</v>
      </c>
      <c r="F1012">
        <v>2</v>
      </c>
    </row>
    <row r="1013" spans="1:6" x14ac:dyDescent="0.25">
      <c r="C1013" s="19"/>
      <c r="D1013" s="19" t="s">
        <v>1162</v>
      </c>
      <c r="E1013" s="19" t="s">
        <v>1163</v>
      </c>
      <c r="F1013">
        <v>2</v>
      </c>
    </row>
    <row r="1014" spans="1:6" x14ac:dyDescent="0.25">
      <c r="C1014" s="19"/>
      <c r="D1014" s="19" t="s">
        <v>1164</v>
      </c>
      <c r="E1014" s="19" t="s">
        <v>1165</v>
      </c>
      <c r="F1014">
        <v>2</v>
      </c>
    </row>
    <row r="1015" spans="1:6" x14ac:dyDescent="0.25">
      <c r="C1015" s="19"/>
      <c r="D1015" s="19" t="s">
        <v>1166</v>
      </c>
      <c r="E1015" s="19" t="s">
        <v>295</v>
      </c>
      <c r="F1015">
        <v>1</v>
      </c>
    </row>
    <row r="1016" spans="1:6" x14ac:dyDescent="0.25">
      <c r="C1016" s="19"/>
      <c r="D1016" s="19" t="s">
        <v>1167</v>
      </c>
      <c r="E1016" s="19" t="s">
        <v>1168</v>
      </c>
      <c r="F1016">
        <v>1</v>
      </c>
    </row>
    <row r="1017" spans="1:6" x14ac:dyDescent="0.25">
      <c r="A1017" s="3">
        <v>152</v>
      </c>
      <c r="B1017" s="15" t="s">
        <v>50</v>
      </c>
      <c r="C1017" s="19" t="s">
        <v>581</v>
      </c>
      <c r="D1017" s="19" t="s">
        <v>585</v>
      </c>
      <c r="E1017" s="19" t="s">
        <v>586</v>
      </c>
      <c r="F1017">
        <v>1</v>
      </c>
    </row>
    <row r="1018" spans="1:6" x14ac:dyDescent="0.25">
      <c r="D1018" s="19" t="s">
        <v>593</v>
      </c>
      <c r="E1018" s="19" t="s">
        <v>594</v>
      </c>
      <c r="F1018">
        <v>1</v>
      </c>
    </row>
    <row r="1019" spans="1:6" x14ac:dyDescent="0.25">
      <c r="D1019" s="19" t="s">
        <v>587</v>
      </c>
      <c r="E1019" s="19" t="s">
        <v>588</v>
      </c>
      <c r="F1019">
        <v>1</v>
      </c>
    </row>
    <row r="1020" spans="1:6" x14ac:dyDescent="0.25">
      <c r="D1020" s="19" t="s">
        <v>604</v>
      </c>
      <c r="E1020" s="19" t="s">
        <v>605</v>
      </c>
      <c r="F1020">
        <v>0</v>
      </c>
    </row>
    <row r="1021" spans="1:6" x14ac:dyDescent="0.25">
      <c r="D1021" s="19" t="s">
        <v>582</v>
      </c>
      <c r="E1021" s="19" t="s">
        <v>583</v>
      </c>
      <c r="F1021">
        <v>1</v>
      </c>
    </row>
    <row r="1022" spans="1:6" x14ac:dyDescent="0.25">
      <c r="D1022" s="19" t="s">
        <v>584</v>
      </c>
      <c r="E1022" s="19" t="s">
        <v>306</v>
      </c>
      <c r="F1022">
        <v>1</v>
      </c>
    </row>
    <row r="1023" spans="1:6" x14ac:dyDescent="0.25">
      <c r="D1023" s="19" t="s">
        <v>592</v>
      </c>
      <c r="E1023" s="19" t="s">
        <v>275</v>
      </c>
      <c r="F1023">
        <v>1</v>
      </c>
    </row>
    <row r="1024" spans="1:6" x14ac:dyDescent="0.25">
      <c r="D1024" s="19" t="s">
        <v>606</v>
      </c>
      <c r="E1024" s="19" t="s">
        <v>503</v>
      </c>
      <c r="F1024">
        <v>1</v>
      </c>
    </row>
    <row r="1025" spans="1:6" x14ac:dyDescent="0.25">
      <c r="D1025" s="19" t="s">
        <v>607</v>
      </c>
      <c r="E1025" s="19" t="s">
        <v>505</v>
      </c>
      <c r="F1025">
        <v>1</v>
      </c>
    </row>
    <row r="1026" spans="1:6" x14ac:dyDescent="0.25">
      <c r="D1026" s="19" t="s">
        <v>608</v>
      </c>
      <c r="E1026" s="19" t="s">
        <v>609</v>
      </c>
      <c r="F1026">
        <v>1</v>
      </c>
    </row>
    <row r="1027" spans="1:6" x14ac:dyDescent="0.25">
      <c r="D1027" s="19" t="s">
        <v>598</v>
      </c>
      <c r="E1027" s="19" t="s">
        <v>599</v>
      </c>
      <c r="F1027">
        <v>1</v>
      </c>
    </row>
    <row r="1028" spans="1:6" x14ac:dyDescent="0.25">
      <c r="D1028" s="19" t="s">
        <v>600</v>
      </c>
      <c r="E1028" s="19" t="s">
        <v>601</v>
      </c>
      <c r="F1028">
        <v>1</v>
      </c>
    </row>
    <row r="1029" spans="1:6" x14ac:dyDescent="0.25">
      <c r="D1029" s="19" t="s">
        <v>602</v>
      </c>
      <c r="E1029" s="19" t="s">
        <v>603</v>
      </c>
      <c r="F1029">
        <v>1</v>
      </c>
    </row>
    <row r="1030" spans="1:6" x14ac:dyDescent="0.25">
      <c r="D1030" s="19" t="s">
        <v>589</v>
      </c>
      <c r="E1030" s="19" t="s">
        <v>312</v>
      </c>
      <c r="F1030">
        <v>1</v>
      </c>
    </row>
    <row r="1031" spans="1:6" x14ac:dyDescent="0.25">
      <c r="D1031" s="19" t="s">
        <v>590</v>
      </c>
      <c r="E1031" s="19" t="s">
        <v>493</v>
      </c>
      <c r="F1031">
        <v>0</v>
      </c>
    </row>
    <row r="1032" spans="1:6" x14ac:dyDescent="0.25">
      <c r="D1032" s="19" t="s">
        <v>591</v>
      </c>
      <c r="E1032" s="19" t="s">
        <v>314</v>
      </c>
      <c r="F1032">
        <v>0</v>
      </c>
    </row>
    <row r="1033" spans="1:6" x14ac:dyDescent="0.25">
      <c r="D1033" s="19" t="s">
        <v>595</v>
      </c>
      <c r="E1033" s="19" t="s">
        <v>349</v>
      </c>
      <c r="F1033">
        <v>1</v>
      </c>
    </row>
    <row r="1034" spans="1:6" x14ac:dyDescent="0.25">
      <c r="D1034" s="19" t="s">
        <v>596</v>
      </c>
      <c r="E1034" s="19" t="s">
        <v>597</v>
      </c>
      <c r="F1034">
        <v>0</v>
      </c>
    </row>
    <row r="1035" spans="1:6" x14ac:dyDescent="0.25">
      <c r="A1035" s="3">
        <v>154</v>
      </c>
      <c r="B1035" s="16" t="s">
        <v>51</v>
      </c>
      <c r="C1035" s="19" t="s">
        <v>1492</v>
      </c>
      <c r="D1035" s="19" t="s">
        <v>1498</v>
      </c>
      <c r="E1035" s="19" t="s">
        <v>1499</v>
      </c>
      <c r="F1035">
        <v>1</v>
      </c>
    </row>
    <row r="1036" spans="1:6" x14ac:dyDescent="0.25">
      <c r="D1036" s="19" t="s">
        <v>1507</v>
      </c>
      <c r="E1036" s="19" t="s">
        <v>611</v>
      </c>
      <c r="F1036">
        <v>1</v>
      </c>
    </row>
    <row r="1037" spans="1:6" x14ac:dyDescent="0.25">
      <c r="D1037" s="19" t="s">
        <v>1508</v>
      </c>
      <c r="E1037" s="19" t="s">
        <v>1509</v>
      </c>
      <c r="F1037">
        <v>1</v>
      </c>
    </row>
    <row r="1038" spans="1:6" x14ac:dyDescent="0.25">
      <c r="D1038" s="19" t="s">
        <v>1510</v>
      </c>
      <c r="E1038" s="19" t="s">
        <v>613</v>
      </c>
      <c r="F1038">
        <v>1</v>
      </c>
    </row>
    <row r="1039" spans="1:6" x14ac:dyDescent="0.25">
      <c r="D1039" s="19" t="s">
        <v>1528</v>
      </c>
      <c r="E1039" s="19" t="s">
        <v>1529</v>
      </c>
      <c r="F1039">
        <v>0</v>
      </c>
    </row>
    <row r="1040" spans="1:6" x14ac:dyDescent="0.25">
      <c r="D1040" s="19" t="s">
        <v>1530</v>
      </c>
      <c r="E1040" s="19" t="s">
        <v>1430</v>
      </c>
      <c r="F1040">
        <v>1</v>
      </c>
    </row>
    <row r="1041" spans="4:6" x14ac:dyDescent="0.25">
      <c r="D1041" s="19" t="s">
        <v>1514</v>
      </c>
      <c r="E1041" s="19" t="s">
        <v>614</v>
      </c>
      <c r="F1041">
        <v>1</v>
      </c>
    </row>
    <row r="1042" spans="4:6" x14ac:dyDescent="0.25">
      <c r="D1042" s="19" t="s">
        <v>1515</v>
      </c>
      <c r="E1042" s="19" t="s">
        <v>615</v>
      </c>
      <c r="F1042">
        <v>0</v>
      </c>
    </row>
    <row r="1043" spans="4:6" x14ac:dyDescent="0.25">
      <c r="D1043" s="19" t="s">
        <v>1532</v>
      </c>
      <c r="E1043" s="19" t="s">
        <v>1533</v>
      </c>
      <c r="F1043">
        <v>0</v>
      </c>
    </row>
    <row r="1044" spans="4:6" x14ac:dyDescent="0.25">
      <c r="D1044" s="19" t="s">
        <v>1534</v>
      </c>
      <c r="E1044" s="19" t="s">
        <v>1535</v>
      </c>
      <c r="F1044">
        <v>0</v>
      </c>
    </row>
    <row r="1045" spans="4:6" x14ac:dyDescent="0.25">
      <c r="D1045" s="19" t="s">
        <v>1493</v>
      </c>
      <c r="E1045" s="19" t="s">
        <v>1494</v>
      </c>
      <c r="F1045">
        <v>1</v>
      </c>
    </row>
    <row r="1046" spans="4:6" x14ac:dyDescent="0.25">
      <c r="D1046" s="19" t="s">
        <v>1495</v>
      </c>
      <c r="E1046" s="19" t="s">
        <v>1496</v>
      </c>
      <c r="F1046">
        <v>0</v>
      </c>
    </row>
    <row r="1047" spans="4:6" x14ac:dyDescent="0.25">
      <c r="D1047" s="19" t="s">
        <v>1497</v>
      </c>
      <c r="E1047" s="19" t="s">
        <v>306</v>
      </c>
      <c r="F1047">
        <v>1</v>
      </c>
    </row>
    <row r="1048" spans="4:6" x14ac:dyDescent="0.25">
      <c r="D1048" s="19" t="s">
        <v>1531</v>
      </c>
      <c r="E1048" s="19" t="s">
        <v>503</v>
      </c>
      <c r="F1048">
        <v>1</v>
      </c>
    </row>
    <row r="1049" spans="4:6" x14ac:dyDescent="0.25">
      <c r="D1049" s="19" t="s">
        <v>1520</v>
      </c>
      <c r="E1049" s="19" t="s">
        <v>1521</v>
      </c>
      <c r="F1049">
        <v>0</v>
      </c>
    </row>
    <row r="1050" spans="4:6" x14ac:dyDescent="0.25">
      <c r="D1050" s="19" t="s">
        <v>1522</v>
      </c>
      <c r="E1050" s="19" t="s">
        <v>1523</v>
      </c>
      <c r="F1050">
        <v>0</v>
      </c>
    </row>
    <row r="1051" spans="4:6" x14ac:dyDescent="0.25">
      <c r="D1051" s="19" t="s">
        <v>1524</v>
      </c>
      <c r="E1051" s="19" t="s">
        <v>1525</v>
      </c>
      <c r="F1051">
        <v>0</v>
      </c>
    </row>
    <row r="1052" spans="4:6" x14ac:dyDescent="0.25">
      <c r="D1052" s="19" t="s">
        <v>1526</v>
      </c>
      <c r="E1052" s="19" t="s">
        <v>1527</v>
      </c>
      <c r="F1052">
        <v>0</v>
      </c>
    </row>
    <row r="1053" spans="4:6" x14ac:dyDescent="0.25">
      <c r="D1053" s="19" t="s">
        <v>1511</v>
      </c>
      <c r="E1053" s="19" t="s">
        <v>1419</v>
      </c>
      <c r="F1053">
        <v>0</v>
      </c>
    </row>
    <row r="1054" spans="4:6" x14ac:dyDescent="0.25">
      <c r="D1054" s="19" t="s">
        <v>1512</v>
      </c>
      <c r="E1054" s="19" t="s">
        <v>621</v>
      </c>
      <c r="F1054">
        <v>0</v>
      </c>
    </row>
    <row r="1055" spans="4:6" x14ac:dyDescent="0.25">
      <c r="D1055" s="19" t="s">
        <v>1513</v>
      </c>
      <c r="E1055" s="19" t="s">
        <v>1422</v>
      </c>
      <c r="F1055">
        <v>1</v>
      </c>
    </row>
    <row r="1056" spans="4:6" x14ac:dyDescent="0.25">
      <c r="D1056" s="19" t="s">
        <v>1500</v>
      </c>
      <c r="E1056" s="19" t="s">
        <v>1397</v>
      </c>
      <c r="F1056">
        <v>0</v>
      </c>
    </row>
    <row r="1057" spans="3:6" x14ac:dyDescent="0.25">
      <c r="D1057" s="19" t="s">
        <v>1501</v>
      </c>
      <c r="E1057" s="19" t="s">
        <v>1502</v>
      </c>
      <c r="F1057">
        <v>0</v>
      </c>
    </row>
    <row r="1058" spans="3:6" x14ac:dyDescent="0.25">
      <c r="D1058" s="19" t="s">
        <v>1503</v>
      </c>
      <c r="E1058" s="19" t="s">
        <v>1504</v>
      </c>
      <c r="F1058">
        <v>0</v>
      </c>
    </row>
    <row r="1059" spans="3:6" x14ac:dyDescent="0.25">
      <c r="D1059" s="19" t="s">
        <v>1505</v>
      </c>
      <c r="E1059" s="19" t="s">
        <v>1506</v>
      </c>
      <c r="F1059">
        <v>0</v>
      </c>
    </row>
    <row r="1060" spans="3:6" x14ac:dyDescent="0.25">
      <c r="D1060" s="19" t="s">
        <v>1516</v>
      </c>
      <c r="E1060" s="19" t="s">
        <v>1517</v>
      </c>
      <c r="F1060">
        <v>1</v>
      </c>
    </row>
    <row r="1061" spans="3:6" x14ac:dyDescent="0.25">
      <c r="D1061" s="19" t="s">
        <v>1518</v>
      </c>
      <c r="E1061" s="19" t="s">
        <v>1519</v>
      </c>
      <c r="F1061">
        <v>1</v>
      </c>
    </row>
    <row r="1062" spans="3:6" x14ac:dyDescent="0.25">
      <c r="C1062" s="19" t="s">
        <v>1536</v>
      </c>
      <c r="D1062" s="19" t="s">
        <v>1539</v>
      </c>
      <c r="E1062" s="19" t="s">
        <v>1499</v>
      </c>
      <c r="F1062">
        <v>1</v>
      </c>
    </row>
    <row r="1063" spans="3:6" x14ac:dyDescent="0.25">
      <c r="D1063" s="19" t="s">
        <v>1547</v>
      </c>
      <c r="E1063" s="19" t="s">
        <v>1548</v>
      </c>
      <c r="F1063">
        <v>0</v>
      </c>
    </row>
    <row r="1064" spans="3:6" x14ac:dyDescent="0.25">
      <c r="D1064" s="19" t="s">
        <v>1540</v>
      </c>
      <c r="E1064" s="19" t="s">
        <v>1541</v>
      </c>
      <c r="F1064">
        <v>1</v>
      </c>
    </row>
    <row r="1065" spans="3:6" x14ac:dyDescent="0.25">
      <c r="D1065" s="19" t="s">
        <v>1542</v>
      </c>
      <c r="E1065" s="19" t="s">
        <v>1543</v>
      </c>
      <c r="F1065">
        <v>1</v>
      </c>
    </row>
    <row r="1066" spans="3:6" x14ac:dyDescent="0.25">
      <c r="D1066" s="19" t="s">
        <v>1544</v>
      </c>
      <c r="E1066" s="19" t="s">
        <v>671</v>
      </c>
      <c r="F1066">
        <v>1</v>
      </c>
    </row>
    <row r="1067" spans="3:6" x14ac:dyDescent="0.25">
      <c r="D1067" s="19" t="s">
        <v>1545</v>
      </c>
      <c r="E1067" s="19" t="s">
        <v>1546</v>
      </c>
      <c r="F1067">
        <v>1</v>
      </c>
    </row>
    <row r="1068" spans="3:6" x14ac:dyDescent="0.25">
      <c r="D1068" s="19" t="s">
        <v>1537</v>
      </c>
      <c r="E1068" s="19" t="s">
        <v>1494</v>
      </c>
      <c r="F1068">
        <v>1</v>
      </c>
    </row>
    <row r="1069" spans="3:6" x14ac:dyDescent="0.25">
      <c r="D1069" s="19" t="s">
        <v>1538</v>
      </c>
      <c r="E1069" s="19" t="s">
        <v>306</v>
      </c>
      <c r="F1069">
        <v>1</v>
      </c>
    </row>
    <row r="1070" spans="3:6" x14ac:dyDescent="0.25">
      <c r="D1070" s="19" t="s">
        <v>1549</v>
      </c>
      <c r="E1070" s="19" t="s">
        <v>1550</v>
      </c>
      <c r="F1070">
        <v>0</v>
      </c>
    </row>
    <row r="1071" spans="3:6" x14ac:dyDescent="0.25">
      <c r="D1071" s="19" t="s">
        <v>1551</v>
      </c>
      <c r="E1071" s="19" t="s">
        <v>1552</v>
      </c>
      <c r="F1071">
        <v>0</v>
      </c>
    </row>
    <row r="1072" spans="3:6" x14ac:dyDescent="0.25">
      <c r="D1072" s="19" t="s">
        <v>1553</v>
      </c>
      <c r="E1072" s="19" t="s">
        <v>1554</v>
      </c>
      <c r="F1072">
        <v>0</v>
      </c>
    </row>
    <row r="1073" spans="3:6" x14ac:dyDescent="0.25">
      <c r="D1073" s="19" t="s">
        <v>1555</v>
      </c>
      <c r="E1073" s="19" t="s">
        <v>1556</v>
      </c>
      <c r="F1073">
        <v>1</v>
      </c>
    </row>
    <row r="1074" spans="3:6" x14ac:dyDescent="0.25">
      <c r="C1074" s="19" t="s">
        <v>1557</v>
      </c>
      <c r="D1074" s="19" t="s">
        <v>1560</v>
      </c>
      <c r="E1074" s="19" t="s">
        <v>1561</v>
      </c>
      <c r="F1074">
        <v>1</v>
      </c>
    </row>
    <row r="1075" spans="3:6" x14ac:dyDescent="0.25">
      <c r="D1075" s="19" t="s">
        <v>1562</v>
      </c>
      <c r="E1075" s="19" t="s">
        <v>1563</v>
      </c>
      <c r="F1075">
        <v>0</v>
      </c>
    </row>
    <row r="1076" spans="3:6" x14ac:dyDescent="0.25">
      <c r="D1076" s="19" t="s">
        <v>1579</v>
      </c>
      <c r="E1076" s="19" t="s">
        <v>1580</v>
      </c>
      <c r="F1076">
        <v>0</v>
      </c>
    </row>
    <row r="1077" spans="3:6" x14ac:dyDescent="0.25">
      <c r="D1077" s="19" t="s">
        <v>1581</v>
      </c>
      <c r="E1077" s="19" t="s">
        <v>1582</v>
      </c>
      <c r="F1077">
        <v>0</v>
      </c>
    </row>
    <row r="1078" spans="3:6" x14ac:dyDescent="0.25">
      <c r="D1078" s="19" t="s">
        <v>1583</v>
      </c>
      <c r="E1078" s="19" t="s">
        <v>1584</v>
      </c>
      <c r="F1078">
        <v>0</v>
      </c>
    </row>
    <row r="1079" spans="3:6" x14ac:dyDescent="0.25">
      <c r="D1079" s="19" t="s">
        <v>1558</v>
      </c>
      <c r="E1079" s="19" t="s">
        <v>583</v>
      </c>
      <c r="F1079">
        <v>1</v>
      </c>
    </row>
    <row r="1080" spans="3:6" x14ac:dyDescent="0.25">
      <c r="D1080" s="19" t="s">
        <v>1559</v>
      </c>
      <c r="E1080" s="19" t="s">
        <v>306</v>
      </c>
      <c r="F1080">
        <v>1</v>
      </c>
    </row>
    <row r="1081" spans="3:6" x14ac:dyDescent="0.25">
      <c r="D1081" s="19" t="s">
        <v>1566</v>
      </c>
      <c r="E1081" s="19" t="s">
        <v>275</v>
      </c>
      <c r="F1081">
        <v>0</v>
      </c>
    </row>
    <row r="1082" spans="3:6" x14ac:dyDescent="0.25">
      <c r="D1082" s="19" t="s">
        <v>1567</v>
      </c>
      <c r="E1082" s="19" t="s">
        <v>1568</v>
      </c>
      <c r="F1082">
        <v>0</v>
      </c>
    </row>
    <row r="1083" spans="3:6" x14ac:dyDescent="0.25">
      <c r="D1083" s="19" t="s">
        <v>1578</v>
      </c>
      <c r="E1083" s="19" t="s">
        <v>503</v>
      </c>
      <c r="F1083">
        <v>1</v>
      </c>
    </row>
    <row r="1084" spans="3:6" x14ac:dyDescent="0.25">
      <c r="D1084" s="19" t="s">
        <v>1576</v>
      </c>
      <c r="E1084" s="19" t="s">
        <v>1577</v>
      </c>
      <c r="F1084">
        <v>0</v>
      </c>
    </row>
    <row r="1085" spans="3:6" x14ac:dyDescent="0.25">
      <c r="D1085" s="19" t="s">
        <v>1572</v>
      </c>
      <c r="E1085" s="19" t="s">
        <v>1573</v>
      </c>
      <c r="F1085">
        <v>0</v>
      </c>
    </row>
    <row r="1086" spans="3:6" x14ac:dyDescent="0.25">
      <c r="D1086" s="19" t="s">
        <v>1574</v>
      </c>
      <c r="E1086" s="19" t="s">
        <v>1575</v>
      </c>
      <c r="F1086">
        <v>0</v>
      </c>
    </row>
    <row r="1087" spans="3:6" x14ac:dyDescent="0.25">
      <c r="D1087" s="19" t="s">
        <v>1564</v>
      </c>
      <c r="E1087" s="19" t="s">
        <v>633</v>
      </c>
      <c r="F1087">
        <v>0</v>
      </c>
    </row>
    <row r="1088" spans="3:6" x14ac:dyDescent="0.25">
      <c r="D1088" s="19" t="s">
        <v>1565</v>
      </c>
      <c r="E1088" s="19" t="s">
        <v>493</v>
      </c>
      <c r="F1088">
        <v>0</v>
      </c>
    </row>
    <row r="1089" spans="1:6" x14ac:dyDescent="0.25">
      <c r="D1089" s="19" t="s">
        <v>1569</v>
      </c>
      <c r="E1089" s="19" t="s">
        <v>1256</v>
      </c>
      <c r="F1089">
        <v>1</v>
      </c>
    </row>
    <row r="1090" spans="1:6" x14ac:dyDescent="0.25">
      <c r="D1090" s="19" t="s">
        <v>1570</v>
      </c>
      <c r="E1090" s="19" t="s">
        <v>1571</v>
      </c>
      <c r="F1090">
        <v>1</v>
      </c>
    </row>
    <row r="1091" spans="1:6" x14ac:dyDescent="0.25">
      <c r="A1091" s="3">
        <v>157</v>
      </c>
      <c r="B1091" s="15" t="s">
        <v>52</v>
      </c>
      <c r="C1091" s="19" t="s">
        <v>1723</v>
      </c>
      <c r="D1091" s="19" t="s">
        <v>1724</v>
      </c>
      <c r="E1091" s="19" t="s">
        <v>273</v>
      </c>
      <c r="F1091">
        <v>1</v>
      </c>
    </row>
    <row r="1092" spans="1:6" x14ac:dyDescent="0.25">
      <c r="D1092" s="19" t="s">
        <v>1726</v>
      </c>
      <c r="E1092" s="19" t="s">
        <v>1727</v>
      </c>
      <c r="F1092">
        <v>1</v>
      </c>
    </row>
    <row r="1093" spans="1:6" x14ac:dyDescent="0.25">
      <c r="D1093" s="19" t="s">
        <v>1728</v>
      </c>
      <c r="E1093" s="19" t="s">
        <v>380</v>
      </c>
      <c r="F1093">
        <v>1</v>
      </c>
    </row>
    <row r="1094" spans="1:6" x14ac:dyDescent="0.25">
      <c r="D1094" s="19" t="s">
        <v>1729</v>
      </c>
      <c r="E1094" s="19" t="s">
        <v>1730</v>
      </c>
      <c r="F1094">
        <v>0</v>
      </c>
    </row>
    <row r="1095" spans="1:6" x14ac:dyDescent="0.25">
      <c r="D1095" s="19" t="s">
        <v>1731</v>
      </c>
      <c r="E1095" s="19" t="s">
        <v>322</v>
      </c>
      <c r="F1095">
        <v>0</v>
      </c>
    </row>
    <row r="1096" spans="1:6" x14ac:dyDescent="0.25">
      <c r="D1096" s="19" t="s">
        <v>1732</v>
      </c>
      <c r="E1096" s="19" t="s">
        <v>1733</v>
      </c>
      <c r="F1096">
        <v>0</v>
      </c>
    </row>
    <row r="1097" spans="1:6" x14ac:dyDescent="0.25">
      <c r="D1097" s="19" t="s">
        <v>1740</v>
      </c>
      <c r="E1097" s="19" t="s">
        <v>1741</v>
      </c>
      <c r="F1097">
        <v>1</v>
      </c>
    </row>
    <row r="1098" spans="1:6" x14ac:dyDescent="0.25">
      <c r="D1098" s="19" t="s">
        <v>1742</v>
      </c>
      <c r="E1098" s="19" t="s">
        <v>1743</v>
      </c>
      <c r="F1098">
        <v>0</v>
      </c>
    </row>
    <row r="1099" spans="1:6" x14ac:dyDescent="0.25">
      <c r="D1099" s="19" t="s">
        <v>1744</v>
      </c>
      <c r="E1099" s="19" t="s">
        <v>1745</v>
      </c>
      <c r="F1099">
        <v>0</v>
      </c>
    </row>
    <row r="1100" spans="1:6" x14ac:dyDescent="0.25">
      <c r="D1100" s="19" t="s">
        <v>1734</v>
      </c>
      <c r="E1100" s="19" t="s">
        <v>1735</v>
      </c>
      <c r="F1100">
        <v>0</v>
      </c>
    </row>
    <row r="1101" spans="1:6" x14ac:dyDescent="0.25">
      <c r="D1101" s="19" t="s">
        <v>1736</v>
      </c>
      <c r="E1101" s="19" t="s">
        <v>1737</v>
      </c>
      <c r="F1101">
        <v>0</v>
      </c>
    </row>
    <row r="1102" spans="1:6" x14ac:dyDescent="0.25">
      <c r="D1102" s="19" t="s">
        <v>1738</v>
      </c>
      <c r="E1102" s="19" t="s">
        <v>1739</v>
      </c>
      <c r="F1102">
        <v>0</v>
      </c>
    </row>
    <row r="1103" spans="1:6" x14ac:dyDescent="0.25">
      <c r="D1103" s="19" t="s">
        <v>1746</v>
      </c>
      <c r="E1103" s="19" t="s">
        <v>1747</v>
      </c>
      <c r="F1103">
        <v>1</v>
      </c>
    </row>
    <row r="1104" spans="1:6" x14ac:dyDescent="0.25">
      <c r="D1104" s="19" t="s">
        <v>1748</v>
      </c>
      <c r="E1104" s="19" t="s">
        <v>1749</v>
      </c>
      <c r="F1104">
        <v>1</v>
      </c>
    </row>
    <row r="1105" spans="1:6" x14ac:dyDescent="0.25">
      <c r="D1105" s="19" t="s">
        <v>1750</v>
      </c>
      <c r="E1105" s="19" t="s">
        <v>954</v>
      </c>
      <c r="F1105">
        <v>1</v>
      </c>
    </row>
    <row r="1106" spans="1:6" x14ac:dyDescent="0.25">
      <c r="D1106" s="19" t="s">
        <v>1725</v>
      </c>
      <c r="E1106" s="19" t="s">
        <v>312</v>
      </c>
      <c r="F1106">
        <v>0</v>
      </c>
    </row>
    <row r="1107" spans="1:6" x14ac:dyDescent="0.25">
      <c r="A1107" s="3">
        <v>164</v>
      </c>
      <c r="B1107" s="15" t="s">
        <v>53</v>
      </c>
      <c r="C1107" s="19" t="s">
        <v>636</v>
      </c>
      <c r="D1107" s="19" t="s">
        <v>653</v>
      </c>
      <c r="E1107" s="19" t="s">
        <v>438</v>
      </c>
      <c r="F1107">
        <v>1</v>
      </c>
    </row>
    <row r="1108" spans="1:6" x14ac:dyDescent="0.25">
      <c r="C1108" s="19"/>
      <c r="D1108" s="19" t="s">
        <v>654</v>
      </c>
      <c r="E1108" s="19" t="s">
        <v>440</v>
      </c>
      <c r="F1108">
        <v>1</v>
      </c>
    </row>
    <row r="1109" spans="1:6" x14ac:dyDescent="0.25">
      <c r="C1109" s="19"/>
      <c r="D1109" s="19" t="s">
        <v>637</v>
      </c>
      <c r="E1109" s="19" t="s">
        <v>638</v>
      </c>
      <c r="F1109">
        <v>1</v>
      </c>
    </row>
    <row r="1110" spans="1:6" x14ac:dyDescent="0.25">
      <c r="C1110" s="19"/>
      <c r="D1110" s="19" t="s">
        <v>639</v>
      </c>
      <c r="E1110" s="19" t="s">
        <v>640</v>
      </c>
      <c r="F1110">
        <v>1</v>
      </c>
    </row>
    <row r="1111" spans="1:6" x14ac:dyDescent="0.25">
      <c r="C1111" s="19"/>
      <c r="D1111" s="19" t="s">
        <v>641</v>
      </c>
      <c r="E1111" s="19" t="s">
        <v>642</v>
      </c>
      <c r="F1111">
        <v>1</v>
      </c>
    </row>
    <row r="1112" spans="1:6" x14ac:dyDescent="0.25">
      <c r="C1112" s="19"/>
      <c r="D1112" s="19" t="s">
        <v>643</v>
      </c>
      <c r="E1112" s="19" t="s">
        <v>644</v>
      </c>
      <c r="F1112">
        <v>1</v>
      </c>
    </row>
    <row r="1113" spans="1:6" x14ac:dyDescent="0.25">
      <c r="C1113" s="19"/>
      <c r="D1113" s="19" t="s">
        <v>645</v>
      </c>
      <c r="E1113" s="19" t="s">
        <v>646</v>
      </c>
      <c r="F1113">
        <v>1</v>
      </c>
    </row>
    <row r="1114" spans="1:6" x14ac:dyDescent="0.25">
      <c r="C1114" s="19"/>
      <c r="D1114" s="19" t="s">
        <v>647</v>
      </c>
      <c r="E1114" s="19" t="s">
        <v>648</v>
      </c>
      <c r="F1114">
        <v>1</v>
      </c>
    </row>
    <row r="1115" spans="1:6" x14ac:dyDescent="0.25">
      <c r="C1115" s="19"/>
      <c r="D1115" s="19" t="s">
        <v>649</v>
      </c>
      <c r="E1115" s="19" t="s">
        <v>650</v>
      </c>
      <c r="F1115">
        <v>1</v>
      </c>
    </row>
    <row r="1116" spans="1:6" x14ac:dyDescent="0.25">
      <c r="C1116" s="19"/>
      <c r="D1116" s="19" t="s">
        <v>651</v>
      </c>
      <c r="E1116" s="19" t="s">
        <v>652</v>
      </c>
      <c r="F1116">
        <v>1</v>
      </c>
    </row>
    <row r="1117" spans="1:6" x14ac:dyDescent="0.25">
      <c r="C1117" s="19"/>
      <c r="D1117" s="19" t="s">
        <v>655</v>
      </c>
      <c r="E1117" s="19" t="s">
        <v>656</v>
      </c>
      <c r="F1117">
        <v>1</v>
      </c>
    </row>
    <row r="1118" spans="1:6" x14ac:dyDescent="0.25">
      <c r="C1118" s="19"/>
      <c r="D1118" s="19" t="s">
        <v>657</v>
      </c>
      <c r="E1118" s="19" t="s">
        <v>658</v>
      </c>
      <c r="F1118">
        <v>1</v>
      </c>
    </row>
    <row r="1119" spans="1:6" x14ac:dyDescent="0.25">
      <c r="C1119" s="19" t="s">
        <v>682</v>
      </c>
      <c r="D1119" s="19" t="s">
        <v>683</v>
      </c>
      <c r="E1119" s="19" t="s">
        <v>684</v>
      </c>
      <c r="F1119">
        <v>0</v>
      </c>
    </row>
    <row r="1120" spans="1:6" x14ac:dyDescent="0.25">
      <c r="D1120" s="19" t="s">
        <v>685</v>
      </c>
      <c r="E1120" s="19" t="s">
        <v>686</v>
      </c>
      <c r="F1120">
        <v>1</v>
      </c>
    </row>
    <row r="1121" spans="3:6" x14ac:dyDescent="0.25">
      <c r="D1121" s="19" t="s">
        <v>687</v>
      </c>
      <c r="E1121" s="19" t="s">
        <v>638</v>
      </c>
      <c r="F1121">
        <v>1</v>
      </c>
    </row>
    <row r="1122" spans="3:6" x14ac:dyDescent="0.25">
      <c r="D1122" s="19" t="s">
        <v>688</v>
      </c>
      <c r="E1122" s="19" t="s">
        <v>689</v>
      </c>
      <c r="F1122">
        <v>1</v>
      </c>
    </row>
    <row r="1123" spans="3:6" x14ac:dyDescent="0.25">
      <c r="D1123" s="19" t="s">
        <v>690</v>
      </c>
      <c r="E1123" s="19" t="s">
        <v>640</v>
      </c>
      <c r="F1123">
        <v>1</v>
      </c>
    </row>
    <row r="1124" spans="3:6" x14ac:dyDescent="0.25">
      <c r="D1124" s="19" t="s">
        <v>691</v>
      </c>
      <c r="E1124" s="19" t="s">
        <v>692</v>
      </c>
      <c r="F1124">
        <v>0</v>
      </c>
    </row>
    <row r="1125" spans="3:6" x14ac:dyDescent="0.25">
      <c r="D1125" s="19" t="s">
        <v>693</v>
      </c>
      <c r="E1125" s="19" t="s">
        <v>694</v>
      </c>
      <c r="F1125">
        <v>1</v>
      </c>
    </row>
    <row r="1126" spans="3:6" x14ac:dyDescent="0.25">
      <c r="D1126" s="19" t="s">
        <v>695</v>
      </c>
      <c r="E1126" s="19" t="s">
        <v>696</v>
      </c>
      <c r="F1126">
        <v>0</v>
      </c>
    </row>
    <row r="1127" spans="3:6" x14ac:dyDescent="0.25">
      <c r="D1127" s="19" t="s">
        <v>697</v>
      </c>
      <c r="E1127" s="19" t="s">
        <v>698</v>
      </c>
      <c r="F1127">
        <v>0</v>
      </c>
    </row>
    <row r="1128" spans="3:6" x14ac:dyDescent="0.25">
      <c r="D1128" s="19" t="s">
        <v>699</v>
      </c>
      <c r="E1128" s="19" t="s">
        <v>700</v>
      </c>
      <c r="F1128">
        <v>1</v>
      </c>
    </row>
    <row r="1129" spans="3:6" x14ac:dyDescent="0.25">
      <c r="C1129" s="19" t="s">
        <v>1220</v>
      </c>
      <c r="D1129" s="19" t="s">
        <v>1228</v>
      </c>
      <c r="E1129" s="19" t="s">
        <v>438</v>
      </c>
      <c r="F1129">
        <v>1</v>
      </c>
    </row>
    <row r="1130" spans="3:6" x14ac:dyDescent="0.25">
      <c r="D1130" s="19" t="s">
        <v>1229</v>
      </c>
      <c r="E1130" s="19" t="s">
        <v>440</v>
      </c>
      <c r="F1130">
        <v>1</v>
      </c>
    </row>
    <row r="1131" spans="3:6" x14ac:dyDescent="0.25">
      <c r="D1131" s="19" t="s">
        <v>1221</v>
      </c>
      <c r="E1131" s="19" t="s">
        <v>430</v>
      </c>
      <c r="F1131">
        <v>1</v>
      </c>
    </row>
    <row r="1132" spans="3:6" x14ac:dyDescent="0.25">
      <c r="D1132" s="19" t="s">
        <v>1239</v>
      </c>
      <c r="E1132" s="19" t="s">
        <v>1240</v>
      </c>
      <c r="F1132">
        <v>1</v>
      </c>
    </row>
    <row r="1133" spans="3:6" x14ac:dyDescent="0.25">
      <c r="D1133" s="19" t="s">
        <v>1241</v>
      </c>
      <c r="E1133" s="19" t="s">
        <v>1242</v>
      </c>
      <c r="F1133">
        <v>1</v>
      </c>
    </row>
    <row r="1134" spans="3:6" x14ac:dyDescent="0.25">
      <c r="D1134" s="19" t="s">
        <v>1243</v>
      </c>
      <c r="E1134" s="19" t="s">
        <v>1244</v>
      </c>
      <c r="F1134">
        <v>1</v>
      </c>
    </row>
    <row r="1135" spans="3:6" x14ac:dyDescent="0.25">
      <c r="D1135" s="19" t="s">
        <v>1222</v>
      </c>
      <c r="E1135" s="19" t="s">
        <v>1223</v>
      </c>
      <c r="F1135">
        <v>0</v>
      </c>
    </row>
    <row r="1136" spans="3:6" x14ac:dyDescent="0.25">
      <c r="D1136" s="19" t="s">
        <v>1224</v>
      </c>
      <c r="E1136" s="19" t="s">
        <v>1225</v>
      </c>
      <c r="F1136">
        <v>1</v>
      </c>
    </row>
    <row r="1137" spans="1:6" x14ac:dyDescent="0.25">
      <c r="D1137" s="19" t="s">
        <v>1226</v>
      </c>
      <c r="E1137" s="19" t="s">
        <v>1227</v>
      </c>
      <c r="F1137">
        <v>1</v>
      </c>
    </row>
    <row r="1138" spans="1:6" x14ac:dyDescent="0.25">
      <c r="D1138" s="19" t="s">
        <v>1230</v>
      </c>
      <c r="E1138" s="19" t="s">
        <v>424</v>
      </c>
      <c r="F1138">
        <v>0</v>
      </c>
    </row>
    <row r="1139" spans="1:6" x14ac:dyDescent="0.25">
      <c r="D1139" s="19" t="s">
        <v>1231</v>
      </c>
      <c r="E1139" s="19" t="s">
        <v>1232</v>
      </c>
      <c r="F1139">
        <v>0</v>
      </c>
    </row>
    <row r="1140" spans="1:6" x14ac:dyDescent="0.25">
      <c r="D1140" s="19" t="s">
        <v>1233</v>
      </c>
      <c r="E1140" s="19" t="s">
        <v>1234</v>
      </c>
      <c r="F1140">
        <v>1</v>
      </c>
    </row>
    <row r="1141" spans="1:6" x14ac:dyDescent="0.25">
      <c r="D1141" s="19" t="s">
        <v>1235</v>
      </c>
      <c r="E1141" s="19" t="s">
        <v>1236</v>
      </c>
      <c r="F1141">
        <v>1</v>
      </c>
    </row>
    <row r="1142" spans="1:6" x14ac:dyDescent="0.25">
      <c r="D1142" s="19" t="s">
        <v>1237</v>
      </c>
      <c r="E1142" s="19" t="s">
        <v>656</v>
      </c>
      <c r="F1142">
        <v>1</v>
      </c>
    </row>
    <row r="1143" spans="1:6" x14ac:dyDescent="0.25">
      <c r="D1143" s="19" t="s">
        <v>1238</v>
      </c>
      <c r="E1143" s="19" t="s">
        <v>658</v>
      </c>
      <c r="F1143">
        <v>1</v>
      </c>
    </row>
    <row r="1144" spans="1:6" x14ac:dyDescent="0.25">
      <c r="A1144" s="3">
        <v>165</v>
      </c>
      <c r="B1144" s="15" t="s">
        <v>54</v>
      </c>
      <c r="C1144" s="19" t="s">
        <v>636</v>
      </c>
      <c r="D1144" s="19" t="s">
        <v>653</v>
      </c>
      <c r="E1144" s="19" t="s">
        <v>438</v>
      </c>
      <c r="F1144">
        <v>1</v>
      </c>
    </row>
    <row r="1145" spans="1:6" x14ac:dyDescent="0.25">
      <c r="C1145" s="19"/>
      <c r="D1145" s="19" t="s">
        <v>654</v>
      </c>
      <c r="E1145" s="19" t="s">
        <v>440</v>
      </c>
      <c r="F1145">
        <v>1</v>
      </c>
    </row>
    <row r="1146" spans="1:6" x14ac:dyDescent="0.25">
      <c r="C1146" s="19"/>
      <c r="D1146" s="19" t="s">
        <v>637</v>
      </c>
      <c r="E1146" s="19" t="s">
        <v>638</v>
      </c>
      <c r="F1146">
        <v>1</v>
      </c>
    </row>
    <row r="1147" spans="1:6" x14ac:dyDescent="0.25">
      <c r="C1147" s="19"/>
      <c r="D1147" s="19" t="s">
        <v>639</v>
      </c>
      <c r="E1147" s="19" t="s">
        <v>640</v>
      </c>
      <c r="F1147">
        <v>1</v>
      </c>
    </row>
    <row r="1148" spans="1:6" x14ac:dyDescent="0.25">
      <c r="C1148" s="19"/>
      <c r="D1148" s="19" t="s">
        <v>641</v>
      </c>
      <c r="E1148" s="19" t="s">
        <v>642</v>
      </c>
      <c r="F1148">
        <v>1</v>
      </c>
    </row>
    <row r="1149" spans="1:6" x14ac:dyDescent="0.25">
      <c r="C1149" s="19"/>
      <c r="D1149" s="19" t="s">
        <v>643</v>
      </c>
      <c r="E1149" s="19" t="s">
        <v>644</v>
      </c>
      <c r="F1149">
        <v>0</v>
      </c>
    </row>
    <row r="1150" spans="1:6" x14ac:dyDescent="0.25">
      <c r="C1150" s="19"/>
      <c r="D1150" s="19" t="s">
        <v>645</v>
      </c>
      <c r="E1150" s="19" t="s">
        <v>646</v>
      </c>
      <c r="F1150">
        <v>0</v>
      </c>
    </row>
    <row r="1151" spans="1:6" x14ac:dyDescent="0.25">
      <c r="C1151" s="19"/>
      <c r="D1151" s="19" t="s">
        <v>647</v>
      </c>
      <c r="E1151" s="19" t="s">
        <v>648</v>
      </c>
      <c r="F1151">
        <v>1</v>
      </c>
    </row>
    <row r="1152" spans="1:6" x14ac:dyDescent="0.25">
      <c r="C1152" s="19"/>
      <c r="D1152" s="19" t="s">
        <v>649</v>
      </c>
      <c r="E1152" s="19" t="s">
        <v>650</v>
      </c>
      <c r="F1152">
        <v>1</v>
      </c>
    </row>
    <row r="1153" spans="1:6" x14ac:dyDescent="0.25">
      <c r="C1153" s="19"/>
      <c r="D1153" s="19" t="s">
        <v>651</v>
      </c>
      <c r="E1153" s="19" t="s">
        <v>652</v>
      </c>
      <c r="F1153">
        <v>1</v>
      </c>
    </row>
    <row r="1154" spans="1:6" x14ac:dyDescent="0.25">
      <c r="C1154" s="19"/>
      <c r="D1154" s="19" t="s">
        <v>655</v>
      </c>
      <c r="E1154" s="19" t="s">
        <v>656</v>
      </c>
      <c r="F1154">
        <v>2</v>
      </c>
    </row>
    <row r="1155" spans="1:6" x14ac:dyDescent="0.25">
      <c r="C1155" s="19"/>
      <c r="D1155" s="19" t="s">
        <v>657</v>
      </c>
      <c r="E1155" s="19" t="s">
        <v>658</v>
      </c>
      <c r="F1155">
        <v>1</v>
      </c>
    </row>
    <row r="1156" spans="1:6" x14ac:dyDescent="0.25">
      <c r="A1156" s="3">
        <v>173</v>
      </c>
      <c r="B1156" s="15" t="s">
        <v>55</v>
      </c>
      <c r="C1156" s="19" t="s">
        <v>1492</v>
      </c>
      <c r="D1156" s="19" t="s">
        <v>1498</v>
      </c>
      <c r="E1156" s="19" t="s">
        <v>1499</v>
      </c>
      <c r="F1156">
        <v>1</v>
      </c>
    </row>
    <row r="1157" spans="1:6" x14ac:dyDescent="0.25">
      <c r="D1157" s="19" t="s">
        <v>1507</v>
      </c>
      <c r="E1157" s="19" t="s">
        <v>611</v>
      </c>
      <c r="F1157">
        <v>1</v>
      </c>
    </row>
    <row r="1158" spans="1:6" x14ac:dyDescent="0.25">
      <c r="D1158" s="19" t="s">
        <v>1508</v>
      </c>
      <c r="E1158" s="19" t="s">
        <v>1509</v>
      </c>
      <c r="F1158">
        <v>1</v>
      </c>
    </row>
    <row r="1159" spans="1:6" x14ac:dyDescent="0.25">
      <c r="D1159" s="19" t="s">
        <v>1510</v>
      </c>
      <c r="E1159" s="19" t="s">
        <v>613</v>
      </c>
      <c r="F1159">
        <v>1</v>
      </c>
    </row>
    <row r="1160" spans="1:6" x14ac:dyDescent="0.25">
      <c r="D1160" s="19" t="s">
        <v>1528</v>
      </c>
      <c r="E1160" s="19" t="s">
        <v>1529</v>
      </c>
      <c r="F1160">
        <v>1</v>
      </c>
    </row>
    <row r="1161" spans="1:6" x14ac:dyDescent="0.25">
      <c r="D1161" s="19" t="s">
        <v>1530</v>
      </c>
      <c r="E1161" s="19" t="s">
        <v>1430</v>
      </c>
      <c r="F1161">
        <v>1</v>
      </c>
    </row>
    <row r="1162" spans="1:6" x14ac:dyDescent="0.25">
      <c r="D1162" s="19" t="s">
        <v>1514</v>
      </c>
      <c r="E1162" s="19" t="s">
        <v>614</v>
      </c>
      <c r="F1162">
        <v>1</v>
      </c>
    </row>
    <row r="1163" spans="1:6" x14ac:dyDescent="0.25">
      <c r="D1163" s="19" t="s">
        <v>1515</v>
      </c>
      <c r="E1163" s="19" t="s">
        <v>615</v>
      </c>
      <c r="F1163">
        <v>1</v>
      </c>
    </row>
    <row r="1164" spans="1:6" x14ac:dyDescent="0.25">
      <c r="D1164" s="19" t="s">
        <v>1532</v>
      </c>
      <c r="E1164" s="19" t="s">
        <v>1533</v>
      </c>
      <c r="F1164">
        <v>1</v>
      </c>
    </row>
    <row r="1165" spans="1:6" x14ac:dyDescent="0.25">
      <c r="D1165" s="19" t="s">
        <v>1534</v>
      </c>
      <c r="E1165" s="19" t="s">
        <v>1535</v>
      </c>
      <c r="F1165">
        <v>1</v>
      </c>
    </row>
    <row r="1166" spans="1:6" x14ac:dyDescent="0.25">
      <c r="D1166" s="19" t="s">
        <v>1493</v>
      </c>
      <c r="E1166" s="19" t="s">
        <v>1494</v>
      </c>
      <c r="F1166">
        <v>1</v>
      </c>
    </row>
    <row r="1167" spans="1:6" x14ac:dyDescent="0.25">
      <c r="D1167" s="19" t="s">
        <v>1495</v>
      </c>
      <c r="E1167" s="19" t="s">
        <v>1496</v>
      </c>
      <c r="F1167">
        <v>1</v>
      </c>
    </row>
    <row r="1168" spans="1:6" x14ac:dyDescent="0.25">
      <c r="D1168" s="19" t="s">
        <v>1497</v>
      </c>
      <c r="E1168" s="19" t="s">
        <v>306</v>
      </c>
      <c r="F1168">
        <v>1</v>
      </c>
    </row>
    <row r="1169" spans="3:6" x14ac:dyDescent="0.25">
      <c r="D1169" s="19" t="s">
        <v>1531</v>
      </c>
      <c r="E1169" s="19" t="s">
        <v>503</v>
      </c>
      <c r="F1169">
        <v>1</v>
      </c>
    </row>
    <row r="1170" spans="3:6" x14ac:dyDescent="0.25">
      <c r="D1170" s="19" t="s">
        <v>1520</v>
      </c>
      <c r="E1170" s="19" t="s">
        <v>1521</v>
      </c>
      <c r="F1170">
        <v>1</v>
      </c>
    </row>
    <row r="1171" spans="3:6" x14ac:dyDescent="0.25">
      <c r="D1171" s="19" t="s">
        <v>1522</v>
      </c>
      <c r="E1171" s="19" t="s">
        <v>1523</v>
      </c>
      <c r="F1171">
        <v>0</v>
      </c>
    </row>
    <row r="1172" spans="3:6" x14ac:dyDescent="0.25">
      <c r="D1172" s="19" t="s">
        <v>1524</v>
      </c>
      <c r="E1172" s="19" t="s">
        <v>1525</v>
      </c>
      <c r="F1172">
        <v>0</v>
      </c>
    </row>
    <row r="1173" spans="3:6" x14ac:dyDescent="0.25">
      <c r="D1173" s="19" t="s">
        <v>1526</v>
      </c>
      <c r="E1173" s="19" t="s">
        <v>1527</v>
      </c>
      <c r="F1173">
        <v>1</v>
      </c>
    </row>
    <row r="1174" spans="3:6" x14ac:dyDescent="0.25">
      <c r="D1174" s="19" t="s">
        <v>1511</v>
      </c>
      <c r="E1174" s="19" t="s">
        <v>1419</v>
      </c>
      <c r="F1174">
        <v>1</v>
      </c>
    </row>
    <row r="1175" spans="3:6" x14ac:dyDescent="0.25">
      <c r="D1175" s="19" t="s">
        <v>1512</v>
      </c>
      <c r="E1175" s="19" t="s">
        <v>621</v>
      </c>
      <c r="F1175">
        <v>1</v>
      </c>
    </row>
    <row r="1176" spans="3:6" x14ac:dyDescent="0.25">
      <c r="D1176" s="19" t="s">
        <v>1513</v>
      </c>
      <c r="E1176" s="19" t="s">
        <v>1422</v>
      </c>
      <c r="F1176">
        <v>0</v>
      </c>
    </row>
    <row r="1177" spans="3:6" x14ac:dyDescent="0.25">
      <c r="D1177" s="19" t="s">
        <v>1500</v>
      </c>
      <c r="E1177" s="19" t="s">
        <v>1397</v>
      </c>
      <c r="F1177">
        <v>1</v>
      </c>
    </row>
    <row r="1178" spans="3:6" x14ac:dyDescent="0.25">
      <c r="D1178" s="19" t="s">
        <v>1501</v>
      </c>
      <c r="E1178" s="19" t="s">
        <v>1502</v>
      </c>
      <c r="F1178">
        <v>1</v>
      </c>
    </row>
    <row r="1179" spans="3:6" x14ac:dyDescent="0.25">
      <c r="D1179" s="19" t="s">
        <v>1503</v>
      </c>
      <c r="E1179" s="19" t="s">
        <v>1504</v>
      </c>
      <c r="F1179">
        <v>1</v>
      </c>
    </row>
    <row r="1180" spans="3:6" x14ac:dyDescent="0.25">
      <c r="D1180" s="19" t="s">
        <v>1505</v>
      </c>
      <c r="E1180" s="19" t="s">
        <v>1506</v>
      </c>
      <c r="F1180">
        <v>0</v>
      </c>
    </row>
    <row r="1181" spans="3:6" x14ac:dyDescent="0.25">
      <c r="D1181" s="19" t="s">
        <v>1516</v>
      </c>
      <c r="E1181" s="19" t="s">
        <v>1517</v>
      </c>
      <c r="F1181">
        <v>1</v>
      </c>
    </row>
    <row r="1182" spans="3:6" x14ac:dyDescent="0.25">
      <c r="D1182" s="19" t="s">
        <v>1518</v>
      </c>
      <c r="E1182" s="19" t="s">
        <v>1519</v>
      </c>
      <c r="F1182">
        <v>1</v>
      </c>
    </row>
    <row r="1183" spans="3:6" x14ac:dyDescent="0.25">
      <c r="C1183" s="19" t="s">
        <v>1536</v>
      </c>
      <c r="D1183" s="19" t="s">
        <v>1539</v>
      </c>
      <c r="E1183" s="19" t="s">
        <v>1499</v>
      </c>
      <c r="F1183">
        <v>1</v>
      </c>
    </row>
    <row r="1184" spans="3:6" x14ac:dyDescent="0.25">
      <c r="D1184" s="19" t="s">
        <v>1547</v>
      </c>
      <c r="E1184" s="19" t="s">
        <v>1548</v>
      </c>
      <c r="F1184">
        <v>0</v>
      </c>
    </row>
    <row r="1185" spans="1:6" x14ac:dyDescent="0.25">
      <c r="D1185" s="19" t="s">
        <v>1540</v>
      </c>
      <c r="E1185" s="19" t="s">
        <v>1541</v>
      </c>
      <c r="F1185">
        <v>1</v>
      </c>
    </row>
    <row r="1186" spans="1:6" x14ac:dyDescent="0.25">
      <c r="D1186" s="19" t="s">
        <v>1542</v>
      </c>
      <c r="E1186" s="19" t="s">
        <v>1543</v>
      </c>
      <c r="F1186">
        <v>1</v>
      </c>
    </row>
    <row r="1187" spans="1:6" x14ac:dyDescent="0.25">
      <c r="D1187" s="19" t="s">
        <v>1544</v>
      </c>
      <c r="E1187" s="19" t="s">
        <v>671</v>
      </c>
      <c r="F1187">
        <v>1</v>
      </c>
    </row>
    <row r="1188" spans="1:6" x14ac:dyDescent="0.25">
      <c r="D1188" s="19" t="s">
        <v>1545</v>
      </c>
      <c r="E1188" s="19" t="s">
        <v>1546</v>
      </c>
      <c r="F1188">
        <v>1</v>
      </c>
    </row>
    <row r="1189" spans="1:6" x14ac:dyDescent="0.25">
      <c r="D1189" s="19" t="s">
        <v>1537</v>
      </c>
      <c r="E1189" s="19" t="s">
        <v>1494</v>
      </c>
      <c r="F1189">
        <v>1</v>
      </c>
    </row>
    <row r="1190" spans="1:6" x14ac:dyDescent="0.25">
      <c r="D1190" s="19" t="s">
        <v>1538</v>
      </c>
      <c r="E1190" s="19" t="s">
        <v>306</v>
      </c>
      <c r="F1190">
        <v>1</v>
      </c>
    </row>
    <row r="1191" spans="1:6" x14ac:dyDescent="0.25">
      <c r="D1191" s="19" t="s">
        <v>1549</v>
      </c>
      <c r="E1191" s="19" t="s">
        <v>1550</v>
      </c>
      <c r="F1191">
        <v>1</v>
      </c>
    </row>
    <row r="1192" spans="1:6" x14ac:dyDescent="0.25">
      <c r="D1192" s="19" t="s">
        <v>1551</v>
      </c>
      <c r="E1192" s="19" t="s">
        <v>1552</v>
      </c>
      <c r="F1192">
        <v>0</v>
      </c>
    </row>
    <row r="1193" spans="1:6" x14ac:dyDescent="0.25">
      <c r="D1193" s="19" t="s">
        <v>1553</v>
      </c>
      <c r="E1193" s="19" t="s">
        <v>1554</v>
      </c>
      <c r="F1193">
        <v>0</v>
      </c>
    </row>
    <row r="1194" spans="1:6" x14ac:dyDescent="0.25">
      <c r="D1194" s="19" t="s">
        <v>1555</v>
      </c>
      <c r="E1194" s="19" t="s">
        <v>1556</v>
      </c>
      <c r="F1194">
        <v>1</v>
      </c>
    </row>
    <row r="1195" spans="1:6" x14ac:dyDescent="0.25">
      <c r="A1195" s="3">
        <v>176</v>
      </c>
      <c r="B1195" s="15" t="s">
        <v>56</v>
      </c>
      <c r="C1195" s="19" t="s">
        <v>1390</v>
      </c>
      <c r="D1195" s="19" t="s">
        <v>1393</v>
      </c>
      <c r="E1195" s="19" t="s">
        <v>1394</v>
      </c>
      <c r="F1195">
        <v>0</v>
      </c>
    </row>
    <row r="1196" spans="1:6" x14ac:dyDescent="0.25">
      <c r="D1196" s="19" t="s">
        <v>1415</v>
      </c>
      <c r="E1196" s="19" t="s">
        <v>611</v>
      </c>
      <c r="F1196">
        <v>1</v>
      </c>
    </row>
    <row r="1197" spans="1:6" x14ac:dyDescent="0.25">
      <c r="D1197" s="19" t="s">
        <v>1416</v>
      </c>
      <c r="E1197" s="19" t="s">
        <v>612</v>
      </c>
      <c r="F1197">
        <v>1</v>
      </c>
    </row>
    <row r="1198" spans="1:6" x14ac:dyDescent="0.25">
      <c r="D1198" s="19" t="s">
        <v>1417</v>
      </c>
      <c r="E1198" s="19" t="s">
        <v>613</v>
      </c>
      <c r="F1198">
        <v>1</v>
      </c>
    </row>
    <row r="1199" spans="1:6" x14ac:dyDescent="0.25">
      <c r="D1199" s="19" t="s">
        <v>1429</v>
      </c>
      <c r="E1199" s="19" t="s">
        <v>1430</v>
      </c>
      <c r="F1199">
        <v>1</v>
      </c>
    </row>
    <row r="1200" spans="1:6" x14ac:dyDescent="0.25">
      <c r="D1200" s="19" t="s">
        <v>1431</v>
      </c>
      <c r="E1200" s="19" t="s">
        <v>1432</v>
      </c>
      <c r="F1200">
        <v>1</v>
      </c>
    </row>
    <row r="1201" spans="4:6" x14ac:dyDescent="0.25">
      <c r="D1201" s="19" t="s">
        <v>1423</v>
      </c>
      <c r="E1201" s="19" t="s">
        <v>614</v>
      </c>
      <c r="F1201">
        <v>0</v>
      </c>
    </row>
    <row r="1202" spans="4:6" x14ac:dyDescent="0.25">
      <c r="D1202" s="19" t="s">
        <v>1424</v>
      </c>
      <c r="E1202" s="19" t="s">
        <v>615</v>
      </c>
      <c r="F1202">
        <v>1</v>
      </c>
    </row>
    <row r="1203" spans="4:6" x14ac:dyDescent="0.25">
      <c r="D1203" s="19" t="s">
        <v>1395</v>
      </c>
      <c r="E1203" s="19" t="s">
        <v>273</v>
      </c>
      <c r="F1203">
        <v>1</v>
      </c>
    </row>
    <row r="1204" spans="4:6" x14ac:dyDescent="0.25">
      <c r="D1204" s="19" t="s">
        <v>1391</v>
      </c>
      <c r="E1204" s="19" t="s">
        <v>583</v>
      </c>
      <c r="F1204">
        <v>1</v>
      </c>
    </row>
    <row r="1205" spans="4:6" x14ac:dyDescent="0.25">
      <c r="D1205" s="19" t="s">
        <v>1392</v>
      </c>
      <c r="E1205" s="19" t="s">
        <v>306</v>
      </c>
      <c r="F1205">
        <v>1</v>
      </c>
    </row>
    <row r="1206" spans="4:6" x14ac:dyDescent="0.25">
      <c r="D1206" s="19" t="s">
        <v>1425</v>
      </c>
      <c r="E1206" s="19" t="s">
        <v>616</v>
      </c>
      <c r="F1206">
        <v>1</v>
      </c>
    </row>
    <row r="1207" spans="4:6" x14ac:dyDescent="0.25">
      <c r="D1207" s="19" t="s">
        <v>1426</v>
      </c>
      <c r="E1207" s="19" t="s">
        <v>617</v>
      </c>
      <c r="F1207">
        <v>1</v>
      </c>
    </row>
    <row r="1208" spans="4:6" x14ac:dyDescent="0.25">
      <c r="D1208" s="19" t="s">
        <v>1418</v>
      </c>
      <c r="E1208" s="19" t="s">
        <v>1419</v>
      </c>
      <c r="F1208">
        <v>1</v>
      </c>
    </row>
    <row r="1209" spans="4:6" x14ac:dyDescent="0.25">
      <c r="D1209" s="19" t="s">
        <v>1420</v>
      </c>
      <c r="E1209" s="19" t="s">
        <v>621</v>
      </c>
      <c r="F1209">
        <v>1</v>
      </c>
    </row>
    <row r="1210" spans="4:6" x14ac:dyDescent="0.25">
      <c r="D1210" s="19" t="s">
        <v>1421</v>
      </c>
      <c r="E1210" s="19" t="s">
        <v>1422</v>
      </c>
      <c r="F1210">
        <v>1</v>
      </c>
    </row>
    <row r="1211" spans="4:6" x14ac:dyDescent="0.25">
      <c r="D1211" s="19" t="s">
        <v>1433</v>
      </c>
      <c r="E1211" s="19" t="s">
        <v>623</v>
      </c>
      <c r="F1211">
        <v>1</v>
      </c>
    </row>
    <row r="1212" spans="4:6" x14ac:dyDescent="0.25">
      <c r="D1212" s="19" t="s">
        <v>1434</v>
      </c>
      <c r="E1212" s="19" t="s">
        <v>624</v>
      </c>
      <c r="F1212">
        <v>1</v>
      </c>
    </row>
    <row r="1213" spans="4:6" x14ac:dyDescent="0.25">
      <c r="D1213" s="19" t="s">
        <v>1435</v>
      </c>
      <c r="E1213" s="19" t="s">
        <v>625</v>
      </c>
      <c r="F1213">
        <v>0</v>
      </c>
    </row>
    <row r="1214" spans="4:6" x14ac:dyDescent="0.25">
      <c r="D1214" s="19" t="s">
        <v>1404</v>
      </c>
      <c r="E1214" s="19" t="s">
        <v>626</v>
      </c>
      <c r="F1214">
        <v>0</v>
      </c>
    </row>
    <row r="1215" spans="4:6" x14ac:dyDescent="0.25">
      <c r="D1215" s="19" t="s">
        <v>1407</v>
      </c>
      <c r="E1215" s="19" t="s">
        <v>627</v>
      </c>
      <c r="F1215">
        <v>1</v>
      </c>
    </row>
    <row r="1216" spans="4:6" x14ac:dyDescent="0.25">
      <c r="D1216" s="19" t="s">
        <v>1410</v>
      </c>
      <c r="E1216" s="19" t="s">
        <v>628</v>
      </c>
      <c r="F1216">
        <v>0</v>
      </c>
    </row>
    <row r="1217" spans="1:11" x14ac:dyDescent="0.25">
      <c r="D1217" s="19" t="s">
        <v>1411</v>
      </c>
      <c r="E1217" s="19" t="s">
        <v>629</v>
      </c>
      <c r="F1217">
        <v>1</v>
      </c>
    </row>
    <row r="1218" spans="1:11" x14ac:dyDescent="0.25">
      <c r="D1218" s="19" t="s">
        <v>1412</v>
      </c>
      <c r="E1218" s="19" t="s">
        <v>630</v>
      </c>
      <c r="F1218">
        <v>1</v>
      </c>
    </row>
    <row r="1219" spans="1:11" x14ac:dyDescent="0.25">
      <c r="D1219" s="19" t="s">
        <v>1413</v>
      </c>
      <c r="E1219" s="19" t="s">
        <v>1414</v>
      </c>
      <c r="F1219">
        <v>0</v>
      </c>
    </row>
    <row r="1220" spans="1:11" x14ac:dyDescent="0.25">
      <c r="D1220" s="19" t="s">
        <v>1400</v>
      </c>
      <c r="E1220" s="19" t="s">
        <v>1401</v>
      </c>
      <c r="F1220">
        <v>1</v>
      </c>
    </row>
    <row r="1221" spans="1:11" x14ac:dyDescent="0.25">
      <c r="D1221" s="19" t="s">
        <v>1396</v>
      </c>
      <c r="E1221" s="19" t="s">
        <v>1397</v>
      </c>
      <c r="F1221">
        <v>1</v>
      </c>
    </row>
    <row r="1222" spans="1:11" x14ac:dyDescent="0.25">
      <c r="D1222" s="19" t="s">
        <v>1398</v>
      </c>
      <c r="E1222" s="19" t="s">
        <v>493</v>
      </c>
      <c r="F1222">
        <v>1</v>
      </c>
    </row>
    <row r="1223" spans="1:11" x14ac:dyDescent="0.25">
      <c r="D1223" s="19" t="s">
        <v>1427</v>
      </c>
      <c r="E1223" s="19" t="s">
        <v>1428</v>
      </c>
      <c r="F1223">
        <v>1</v>
      </c>
    </row>
    <row r="1224" spans="1:11" ht="23.25" x14ac:dyDescent="0.35">
      <c r="A1224" s="3">
        <v>178</v>
      </c>
      <c r="B1224" s="15" t="s">
        <v>57</v>
      </c>
      <c r="C1224" s="21" t="s">
        <v>386</v>
      </c>
      <c r="D1224" s="19" t="s">
        <v>387</v>
      </c>
      <c r="E1224" s="19" t="s">
        <v>388</v>
      </c>
      <c r="F1224">
        <v>1</v>
      </c>
      <c r="G1224" s="7"/>
      <c r="I1224" s="8"/>
      <c r="J1224" s="1"/>
      <c r="K1224" s="2"/>
    </row>
    <row r="1225" spans="1:11" ht="23.25" x14ac:dyDescent="0.35">
      <c r="C1225" s="22"/>
      <c r="D1225" s="19" t="s">
        <v>390</v>
      </c>
      <c r="E1225" s="19" t="s">
        <v>391</v>
      </c>
      <c r="F1225">
        <v>1</v>
      </c>
      <c r="I1225" s="9"/>
      <c r="J1225" s="1"/>
      <c r="K1225" s="2"/>
    </row>
    <row r="1226" spans="1:11" ht="23.25" x14ac:dyDescent="0.35">
      <c r="C1226" s="19"/>
      <c r="D1226" s="21" t="s">
        <v>392</v>
      </c>
      <c r="E1226" s="19" t="s">
        <v>393</v>
      </c>
      <c r="F1226">
        <v>1</v>
      </c>
      <c r="I1226" s="1"/>
      <c r="J1226" s="8"/>
      <c r="K1226" s="2"/>
    </row>
    <row r="1227" spans="1:11" ht="23.25" x14ac:dyDescent="0.35">
      <c r="C1227" s="19"/>
      <c r="D1227" s="19" t="s">
        <v>394</v>
      </c>
      <c r="E1227" s="19" t="s">
        <v>395</v>
      </c>
      <c r="F1227">
        <v>1</v>
      </c>
      <c r="I1227" s="1"/>
      <c r="J1227" s="1"/>
      <c r="K1227" s="2"/>
    </row>
    <row r="1228" spans="1:11" ht="23.25" x14ac:dyDescent="0.35">
      <c r="C1228" s="19"/>
      <c r="D1228" s="19" t="s">
        <v>396</v>
      </c>
      <c r="E1228" s="19" t="s">
        <v>397</v>
      </c>
      <c r="F1228">
        <v>1</v>
      </c>
      <c r="I1228" s="1"/>
      <c r="J1228" s="1"/>
      <c r="K1228" s="2"/>
    </row>
    <row r="1229" spans="1:11" ht="23.25" x14ac:dyDescent="0.35">
      <c r="C1229" s="19"/>
      <c r="D1229" s="19" t="s">
        <v>398</v>
      </c>
      <c r="E1229" s="19" t="s">
        <v>399</v>
      </c>
      <c r="F1229">
        <v>1</v>
      </c>
      <c r="I1229" s="1"/>
      <c r="J1229" s="1"/>
      <c r="K1229" s="2"/>
    </row>
    <row r="1230" spans="1:11" ht="23.25" x14ac:dyDescent="0.35">
      <c r="C1230" s="19"/>
      <c r="D1230" s="19" t="s">
        <v>400</v>
      </c>
      <c r="E1230" s="19" t="s">
        <v>401</v>
      </c>
      <c r="F1230">
        <v>1</v>
      </c>
      <c r="I1230" s="1"/>
      <c r="J1230" s="1"/>
      <c r="K1230" s="2"/>
    </row>
    <row r="1231" spans="1:11" ht="23.25" x14ac:dyDescent="0.35">
      <c r="C1231" s="19"/>
      <c r="D1231" s="19" t="s">
        <v>402</v>
      </c>
      <c r="E1231" s="19" t="s">
        <v>403</v>
      </c>
      <c r="F1231">
        <v>1</v>
      </c>
      <c r="I1231" s="1"/>
      <c r="J1231" s="1"/>
      <c r="K1231" s="2"/>
    </row>
    <row r="1232" spans="1:11" ht="23.25" x14ac:dyDescent="0.35">
      <c r="C1232" s="19"/>
      <c r="D1232" s="19" t="s">
        <v>404</v>
      </c>
      <c r="E1232" s="19" t="s">
        <v>405</v>
      </c>
      <c r="F1232">
        <v>1</v>
      </c>
      <c r="I1232" s="1"/>
      <c r="J1232" s="1"/>
      <c r="K1232" s="2"/>
    </row>
    <row r="1233" spans="1:11" ht="23.25" x14ac:dyDescent="0.35">
      <c r="C1233" s="19"/>
      <c r="D1233" s="19" t="s">
        <v>406</v>
      </c>
      <c r="E1233" s="19" t="s">
        <v>407</v>
      </c>
      <c r="F1233">
        <v>0</v>
      </c>
      <c r="I1233" s="1"/>
      <c r="J1233" s="1"/>
      <c r="K1233" s="2"/>
    </row>
    <row r="1234" spans="1:11" ht="23.25" x14ac:dyDescent="0.35">
      <c r="C1234" s="19"/>
      <c r="D1234" s="19" t="s">
        <v>408</v>
      </c>
      <c r="E1234" s="19" t="s">
        <v>409</v>
      </c>
      <c r="F1234">
        <v>0</v>
      </c>
      <c r="I1234" s="1"/>
      <c r="J1234" s="1"/>
      <c r="K1234" s="2"/>
    </row>
    <row r="1235" spans="1:11" ht="23.25" x14ac:dyDescent="0.35">
      <c r="A1235" s="3">
        <v>184</v>
      </c>
      <c r="B1235" s="15" t="s">
        <v>58</v>
      </c>
      <c r="C1235" s="19" t="s">
        <v>1015</v>
      </c>
      <c r="D1235" s="19" t="s">
        <v>1018</v>
      </c>
      <c r="E1235" s="19" t="s">
        <v>795</v>
      </c>
      <c r="F1235">
        <v>0</v>
      </c>
      <c r="I1235" s="1"/>
      <c r="J1235" s="1"/>
      <c r="K1235" s="2"/>
    </row>
    <row r="1236" spans="1:11" ht="23.25" x14ac:dyDescent="0.35">
      <c r="D1236" s="19" t="s">
        <v>1029</v>
      </c>
      <c r="E1236" s="19" t="s">
        <v>295</v>
      </c>
      <c r="F1236">
        <v>1</v>
      </c>
      <c r="I1236" s="1"/>
      <c r="J1236" s="1"/>
      <c r="K1236" s="2"/>
    </row>
    <row r="1237" spans="1:11" x14ac:dyDescent="0.25">
      <c r="D1237" s="19" t="s">
        <v>1019</v>
      </c>
      <c r="E1237" s="19" t="s">
        <v>866</v>
      </c>
      <c r="F1237">
        <v>0</v>
      </c>
    </row>
    <row r="1238" spans="1:11" x14ac:dyDescent="0.25">
      <c r="D1238" s="19" t="s">
        <v>1020</v>
      </c>
      <c r="E1238" s="19" t="s">
        <v>1021</v>
      </c>
      <c r="F1238">
        <v>2</v>
      </c>
    </row>
    <row r="1239" spans="1:11" x14ac:dyDescent="0.25">
      <c r="D1239" s="19" t="s">
        <v>1022</v>
      </c>
      <c r="E1239" s="19" t="s">
        <v>1023</v>
      </c>
      <c r="F1239">
        <v>1</v>
      </c>
    </row>
    <row r="1240" spans="1:11" x14ac:dyDescent="0.25">
      <c r="D1240" s="19" t="s">
        <v>1024</v>
      </c>
      <c r="E1240" s="19" t="s">
        <v>889</v>
      </c>
      <c r="F1240">
        <v>1</v>
      </c>
    </row>
    <row r="1241" spans="1:11" x14ac:dyDescent="0.25">
      <c r="D1241" s="19" t="s">
        <v>1016</v>
      </c>
      <c r="E1241" s="19" t="s">
        <v>1017</v>
      </c>
      <c r="F1241">
        <v>1</v>
      </c>
    </row>
    <row r="1242" spans="1:11" x14ac:dyDescent="0.25">
      <c r="D1242" s="19" t="s">
        <v>1025</v>
      </c>
      <c r="E1242" s="19" t="s">
        <v>1026</v>
      </c>
      <c r="F1242">
        <v>1</v>
      </c>
    </row>
    <row r="1243" spans="1:11" x14ac:dyDescent="0.25">
      <c r="D1243" s="19" t="s">
        <v>1027</v>
      </c>
      <c r="E1243" s="19" t="s">
        <v>1028</v>
      </c>
      <c r="F1243">
        <v>1</v>
      </c>
    </row>
    <row r="1244" spans="1:11" x14ac:dyDescent="0.25">
      <c r="A1244" s="3">
        <v>188</v>
      </c>
      <c r="B1244" s="15" t="s">
        <v>59</v>
      </c>
      <c r="C1244" s="19" t="s">
        <v>1613</v>
      </c>
      <c r="D1244" s="19" t="s">
        <v>1614</v>
      </c>
      <c r="E1244" s="19" t="s">
        <v>273</v>
      </c>
      <c r="F1244">
        <v>1</v>
      </c>
    </row>
    <row r="1245" spans="1:11" x14ac:dyDescent="0.25">
      <c r="D1245" s="19" t="s">
        <v>1636</v>
      </c>
      <c r="E1245" s="19" t="s">
        <v>1637</v>
      </c>
      <c r="F1245">
        <v>1</v>
      </c>
    </row>
    <row r="1246" spans="1:11" x14ac:dyDescent="0.25">
      <c r="D1246" s="19" t="s">
        <v>1635</v>
      </c>
      <c r="E1246" s="19" t="s">
        <v>328</v>
      </c>
      <c r="F1246">
        <v>1</v>
      </c>
    </row>
    <row r="1247" spans="1:11" x14ac:dyDescent="0.25">
      <c r="D1247" s="19" t="s">
        <v>1618</v>
      </c>
      <c r="E1247" s="19" t="s">
        <v>318</v>
      </c>
      <c r="F1247">
        <v>1</v>
      </c>
    </row>
    <row r="1248" spans="1:11" x14ac:dyDescent="0.25">
      <c r="D1248" s="19" t="s">
        <v>1619</v>
      </c>
      <c r="E1248" s="19" t="s">
        <v>1620</v>
      </c>
      <c r="F1248">
        <v>1</v>
      </c>
    </row>
    <row r="1249" spans="1:6" x14ac:dyDescent="0.25">
      <c r="D1249" s="19" t="s">
        <v>1621</v>
      </c>
      <c r="E1249" s="19" t="s">
        <v>1622</v>
      </c>
      <c r="F1249">
        <v>1</v>
      </c>
    </row>
    <row r="1250" spans="1:6" x14ac:dyDescent="0.25">
      <c r="D1250" s="19" t="s">
        <v>1623</v>
      </c>
      <c r="E1250" s="19" t="s">
        <v>322</v>
      </c>
      <c r="F1250">
        <v>1</v>
      </c>
    </row>
    <row r="1251" spans="1:6" x14ac:dyDescent="0.25">
      <c r="D1251" s="19" t="s">
        <v>1624</v>
      </c>
      <c r="E1251" s="19" t="s">
        <v>936</v>
      </c>
      <c r="F1251">
        <v>1</v>
      </c>
    </row>
    <row r="1252" spans="1:6" x14ac:dyDescent="0.25">
      <c r="D1252" s="19" t="s">
        <v>1625</v>
      </c>
      <c r="E1252" s="19" t="s">
        <v>938</v>
      </c>
      <c r="F1252">
        <v>1</v>
      </c>
    </row>
    <row r="1253" spans="1:6" x14ac:dyDescent="0.25">
      <c r="D1253" s="19" t="s">
        <v>1633</v>
      </c>
      <c r="E1253" s="19" t="s">
        <v>1634</v>
      </c>
      <c r="F1253">
        <v>1</v>
      </c>
    </row>
    <row r="1254" spans="1:6" x14ac:dyDescent="0.25">
      <c r="D1254" s="19" t="s">
        <v>1638</v>
      </c>
      <c r="E1254" s="19" t="s">
        <v>1639</v>
      </c>
      <c r="F1254">
        <v>1</v>
      </c>
    </row>
    <row r="1255" spans="1:6" x14ac:dyDescent="0.25">
      <c r="D1255" s="19" t="s">
        <v>1631</v>
      </c>
      <c r="E1255" s="19" t="s">
        <v>380</v>
      </c>
      <c r="F1255">
        <v>1</v>
      </c>
    </row>
    <row r="1256" spans="1:6" x14ac:dyDescent="0.25">
      <c r="D1256" s="19" t="s">
        <v>1632</v>
      </c>
      <c r="E1256" s="19" t="s">
        <v>381</v>
      </c>
      <c r="F1256">
        <v>1</v>
      </c>
    </row>
    <row r="1257" spans="1:6" x14ac:dyDescent="0.25">
      <c r="D1257" s="19" t="s">
        <v>1626</v>
      </c>
      <c r="E1257" s="19" t="s">
        <v>1483</v>
      </c>
      <c r="F1257" s="7">
        <v>1</v>
      </c>
    </row>
    <row r="1258" spans="1:6" x14ac:dyDescent="0.25">
      <c r="D1258" s="19" t="s">
        <v>1627</v>
      </c>
      <c r="E1258" s="19" t="s">
        <v>942</v>
      </c>
      <c r="F1258" s="7">
        <v>0</v>
      </c>
    </row>
    <row r="1259" spans="1:6" x14ac:dyDescent="0.25">
      <c r="D1259" s="19" t="s">
        <v>1628</v>
      </c>
      <c r="E1259" s="19" t="s">
        <v>383</v>
      </c>
      <c r="F1259">
        <v>1</v>
      </c>
    </row>
    <row r="1260" spans="1:6" x14ac:dyDescent="0.25">
      <c r="D1260" s="19" t="s">
        <v>1629</v>
      </c>
      <c r="E1260" s="19" t="s">
        <v>1630</v>
      </c>
      <c r="F1260">
        <v>1</v>
      </c>
    </row>
    <row r="1261" spans="1:6" x14ac:dyDescent="0.25">
      <c r="D1261" s="19" t="s">
        <v>1615</v>
      </c>
      <c r="E1261" s="19" t="s">
        <v>312</v>
      </c>
      <c r="F1261">
        <v>1</v>
      </c>
    </row>
    <row r="1262" spans="1:6" x14ac:dyDescent="0.25">
      <c r="D1262" s="19" t="s">
        <v>1616</v>
      </c>
      <c r="E1262" s="19" t="s">
        <v>316</v>
      </c>
      <c r="F1262">
        <v>1</v>
      </c>
    </row>
    <row r="1263" spans="1:6" x14ac:dyDescent="0.25">
      <c r="D1263" s="19" t="s">
        <v>1617</v>
      </c>
      <c r="E1263" s="19" t="s">
        <v>314</v>
      </c>
      <c r="F1263">
        <v>1</v>
      </c>
    </row>
    <row r="1264" spans="1:6" x14ac:dyDescent="0.25">
      <c r="A1264" s="3">
        <v>190</v>
      </c>
      <c r="B1264" s="15" t="s">
        <v>60</v>
      </c>
      <c r="C1264" s="19" t="s">
        <v>1790</v>
      </c>
      <c r="D1264" s="19" t="s">
        <v>1794</v>
      </c>
      <c r="E1264" s="19" t="s">
        <v>786</v>
      </c>
      <c r="F1264">
        <v>1</v>
      </c>
    </row>
    <row r="1265" spans="1:6" x14ac:dyDescent="0.25">
      <c r="D1265" s="19" t="s">
        <v>1795</v>
      </c>
      <c r="E1265" s="19" t="s">
        <v>784</v>
      </c>
      <c r="F1265">
        <v>1</v>
      </c>
    </row>
    <row r="1266" spans="1:6" x14ac:dyDescent="0.25">
      <c r="D1266" s="19" t="s">
        <v>1796</v>
      </c>
      <c r="E1266" s="19" t="s">
        <v>1205</v>
      </c>
      <c r="F1266">
        <v>1</v>
      </c>
    </row>
    <row r="1267" spans="1:6" x14ac:dyDescent="0.25">
      <c r="D1267" s="19" t="s">
        <v>1797</v>
      </c>
      <c r="E1267" s="19" t="s">
        <v>1207</v>
      </c>
      <c r="F1267">
        <v>2</v>
      </c>
    </row>
    <row r="1268" spans="1:6" x14ac:dyDescent="0.25">
      <c r="D1268" s="19" t="s">
        <v>1798</v>
      </c>
      <c r="E1268" s="19" t="s">
        <v>1209</v>
      </c>
      <c r="F1268">
        <v>1</v>
      </c>
    </row>
    <row r="1269" spans="1:6" x14ac:dyDescent="0.25">
      <c r="D1269" s="19" t="s">
        <v>1799</v>
      </c>
      <c r="E1269" s="19" t="s">
        <v>789</v>
      </c>
      <c r="F1269">
        <v>0</v>
      </c>
    </row>
    <row r="1270" spans="1:6" x14ac:dyDescent="0.25">
      <c r="D1270" s="19" t="s">
        <v>1800</v>
      </c>
      <c r="E1270" s="19" t="s">
        <v>1214</v>
      </c>
      <c r="F1270">
        <v>1</v>
      </c>
    </row>
    <row r="1271" spans="1:6" x14ac:dyDescent="0.25">
      <c r="D1271" s="19" t="s">
        <v>1791</v>
      </c>
      <c r="E1271" s="19" t="s">
        <v>273</v>
      </c>
      <c r="F1271">
        <v>1</v>
      </c>
    </row>
    <row r="1272" spans="1:6" x14ac:dyDescent="0.25">
      <c r="D1272" s="19" t="s">
        <v>1792</v>
      </c>
      <c r="E1272" s="19" t="s">
        <v>312</v>
      </c>
      <c r="F1272">
        <v>1</v>
      </c>
    </row>
    <row r="1273" spans="1:6" x14ac:dyDescent="0.25">
      <c r="D1273" s="19" t="s">
        <v>1793</v>
      </c>
      <c r="E1273" s="19" t="s">
        <v>801</v>
      </c>
      <c r="F1273">
        <v>1</v>
      </c>
    </row>
    <row r="1274" spans="1:6" x14ac:dyDescent="0.25">
      <c r="D1274" s="19" t="s">
        <v>1804</v>
      </c>
      <c r="E1274" s="19" t="s">
        <v>372</v>
      </c>
      <c r="F1274">
        <v>1</v>
      </c>
    </row>
    <row r="1275" spans="1:6" x14ac:dyDescent="0.25">
      <c r="D1275" s="19" t="s">
        <v>1805</v>
      </c>
      <c r="E1275" s="19" t="s">
        <v>1806</v>
      </c>
      <c r="F1275">
        <v>0</v>
      </c>
    </row>
    <row r="1276" spans="1:6" x14ac:dyDescent="0.25">
      <c r="D1276" s="19" t="s">
        <v>1807</v>
      </c>
      <c r="E1276" s="19" t="s">
        <v>1808</v>
      </c>
      <c r="F1276">
        <v>1</v>
      </c>
    </row>
    <row r="1277" spans="1:6" x14ac:dyDescent="0.25">
      <c r="D1277" s="19" t="s">
        <v>1801</v>
      </c>
      <c r="E1277" s="19" t="s">
        <v>1784</v>
      </c>
      <c r="F1277">
        <v>1</v>
      </c>
    </row>
    <row r="1278" spans="1:6" x14ac:dyDescent="0.25">
      <c r="D1278" s="19" t="s">
        <v>1802</v>
      </c>
      <c r="E1278" s="19" t="s">
        <v>791</v>
      </c>
      <c r="F1278">
        <v>1</v>
      </c>
    </row>
    <row r="1279" spans="1:6" x14ac:dyDescent="0.25">
      <c r="D1279" s="19" t="s">
        <v>1803</v>
      </c>
      <c r="E1279" s="19" t="s">
        <v>795</v>
      </c>
      <c r="F1279">
        <v>1</v>
      </c>
    </row>
    <row r="1280" spans="1:6" x14ac:dyDescent="0.25">
      <c r="A1280" s="3">
        <v>194</v>
      </c>
      <c r="B1280" s="15" t="s">
        <v>61</v>
      </c>
      <c r="C1280" s="19" t="s">
        <v>1366</v>
      </c>
      <c r="D1280" s="19" t="s">
        <v>1367</v>
      </c>
      <c r="E1280" s="19" t="s">
        <v>1368</v>
      </c>
      <c r="F1280">
        <v>0</v>
      </c>
    </row>
    <row r="1281" spans="1:6" x14ac:dyDescent="0.25">
      <c r="D1281" s="19" t="s">
        <v>1369</v>
      </c>
      <c r="E1281" s="19" t="s">
        <v>1370</v>
      </c>
      <c r="F1281">
        <v>1</v>
      </c>
    </row>
    <row r="1282" spans="1:6" x14ac:dyDescent="0.25">
      <c r="D1282" s="19" t="s">
        <v>1377</v>
      </c>
      <c r="E1282" s="19" t="s">
        <v>875</v>
      </c>
      <c r="F1282">
        <v>1</v>
      </c>
    </row>
    <row r="1283" spans="1:6" x14ac:dyDescent="0.25">
      <c r="D1283" s="19" t="s">
        <v>1389</v>
      </c>
      <c r="E1283" s="19" t="s">
        <v>551</v>
      </c>
      <c r="F1283">
        <v>1</v>
      </c>
    </row>
    <row r="1284" spans="1:6" x14ac:dyDescent="0.25">
      <c r="D1284" s="19" t="s">
        <v>1388</v>
      </c>
      <c r="E1284" s="19" t="s">
        <v>539</v>
      </c>
      <c r="F1284">
        <v>1</v>
      </c>
    </row>
    <row r="1285" spans="1:6" x14ac:dyDescent="0.25">
      <c r="D1285" s="19" t="s">
        <v>1378</v>
      </c>
      <c r="E1285" s="19" t="s">
        <v>541</v>
      </c>
      <c r="F1285">
        <v>1</v>
      </c>
    </row>
    <row r="1286" spans="1:6" x14ac:dyDescent="0.25">
      <c r="D1286" s="19" t="s">
        <v>1379</v>
      </c>
      <c r="E1286" s="19" t="s">
        <v>1380</v>
      </c>
      <c r="F1286">
        <v>1</v>
      </c>
    </row>
    <row r="1287" spans="1:6" x14ac:dyDescent="0.25">
      <c r="D1287" s="19" t="s">
        <v>1381</v>
      </c>
      <c r="E1287" s="19" t="s">
        <v>1382</v>
      </c>
      <c r="F1287">
        <v>0</v>
      </c>
    </row>
    <row r="1288" spans="1:6" x14ac:dyDescent="0.25">
      <c r="D1288" s="19" t="s">
        <v>1371</v>
      </c>
      <c r="E1288" s="19" t="s">
        <v>283</v>
      </c>
      <c r="F1288">
        <v>1</v>
      </c>
    </row>
    <row r="1289" spans="1:6" x14ac:dyDescent="0.25">
      <c r="D1289" s="19" t="s">
        <v>1372</v>
      </c>
      <c r="E1289" s="19" t="s">
        <v>1373</v>
      </c>
      <c r="F1289">
        <v>1</v>
      </c>
    </row>
    <row r="1290" spans="1:6" x14ac:dyDescent="0.25">
      <c r="D1290" s="19" t="s">
        <v>1374</v>
      </c>
      <c r="E1290" s="19" t="s">
        <v>1375</v>
      </c>
      <c r="F1290">
        <v>1</v>
      </c>
    </row>
    <row r="1291" spans="1:6" x14ac:dyDescent="0.25">
      <c r="D1291" s="19" t="s">
        <v>1376</v>
      </c>
      <c r="E1291" s="19" t="s">
        <v>531</v>
      </c>
      <c r="F1291">
        <v>1</v>
      </c>
    </row>
    <row r="1292" spans="1:6" x14ac:dyDescent="0.25">
      <c r="D1292" s="19" t="s">
        <v>1383</v>
      </c>
      <c r="E1292" s="19" t="s">
        <v>1384</v>
      </c>
      <c r="F1292">
        <v>1</v>
      </c>
    </row>
    <row r="1293" spans="1:6" x14ac:dyDescent="0.25">
      <c r="D1293" s="19" t="s">
        <v>1385</v>
      </c>
      <c r="E1293" s="19" t="s">
        <v>1386</v>
      </c>
      <c r="F1293">
        <v>1</v>
      </c>
    </row>
    <row r="1294" spans="1:6" x14ac:dyDescent="0.25">
      <c r="D1294" s="19" t="s">
        <v>1387</v>
      </c>
      <c r="E1294" s="19" t="s">
        <v>295</v>
      </c>
      <c r="F1294">
        <v>1</v>
      </c>
    </row>
    <row r="1295" spans="1:6" x14ac:dyDescent="0.25">
      <c r="A1295" s="3">
        <v>195</v>
      </c>
      <c r="B1295" s="15" t="s">
        <v>62</v>
      </c>
      <c r="C1295" s="19" t="s">
        <v>450</v>
      </c>
      <c r="D1295" s="19" t="s">
        <v>462</v>
      </c>
      <c r="E1295" s="19" t="s">
        <v>372</v>
      </c>
      <c r="F1295">
        <v>1</v>
      </c>
    </row>
    <row r="1296" spans="1:6" x14ac:dyDescent="0.25">
      <c r="D1296" s="19" t="s">
        <v>455</v>
      </c>
      <c r="E1296" s="19" t="s">
        <v>456</v>
      </c>
      <c r="F1296">
        <v>1</v>
      </c>
    </row>
    <row r="1297" spans="1:6" x14ac:dyDescent="0.25">
      <c r="D1297" s="19" t="s">
        <v>451</v>
      </c>
      <c r="E1297" s="19" t="s">
        <v>273</v>
      </c>
      <c r="F1297">
        <v>1</v>
      </c>
    </row>
    <row r="1298" spans="1:6" x14ac:dyDescent="0.25">
      <c r="D1298" s="19" t="s">
        <v>458</v>
      </c>
      <c r="E1298" s="19" t="s">
        <v>459</v>
      </c>
      <c r="F1298">
        <v>1</v>
      </c>
    </row>
    <row r="1299" spans="1:6" x14ac:dyDescent="0.25">
      <c r="D1299" s="19" t="s">
        <v>460</v>
      </c>
      <c r="E1299" s="19" t="s">
        <v>461</v>
      </c>
      <c r="F1299">
        <v>1</v>
      </c>
    </row>
    <row r="1300" spans="1:6" x14ac:dyDescent="0.25">
      <c r="D1300" s="19" t="s">
        <v>457</v>
      </c>
      <c r="E1300" s="19" t="s">
        <v>295</v>
      </c>
      <c r="F1300">
        <v>1</v>
      </c>
    </row>
    <row r="1301" spans="1:6" x14ac:dyDescent="0.25">
      <c r="D1301" s="19" t="s">
        <v>454</v>
      </c>
      <c r="E1301" s="19" t="s">
        <v>283</v>
      </c>
      <c r="F1301">
        <v>1</v>
      </c>
    </row>
    <row r="1302" spans="1:6" x14ac:dyDescent="0.25">
      <c r="D1302" s="19" t="s">
        <v>452</v>
      </c>
      <c r="E1302" s="19" t="s">
        <v>453</v>
      </c>
      <c r="F1302">
        <v>1</v>
      </c>
    </row>
    <row r="1303" spans="1:6" x14ac:dyDescent="0.25">
      <c r="A1303" s="3">
        <v>200</v>
      </c>
      <c r="B1303" s="15" t="s">
        <v>63</v>
      </c>
      <c r="C1303" s="19" t="s">
        <v>1536</v>
      </c>
      <c r="D1303" s="19" t="s">
        <v>1539</v>
      </c>
      <c r="E1303" s="19" t="s">
        <v>1499</v>
      </c>
      <c r="F1303">
        <v>1</v>
      </c>
    </row>
    <row r="1304" spans="1:6" x14ac:dyDescent="0.25">
      <c r="D1304" s="19" t="s">
        <v>1547</v>
      </c>
      <c r="E1304" s="19" t="s">
        <v>1548</v>
      </c>
      <c r="F1304">
        <v>1</v>
      </c>
    </row>
    <row r="1305" spans="1:6" x14ac:dyDescent="0.25">
      <c r="D1305" s="19" t="s">
        <v>1540</v>
      </c>
      <c r="E1305" s="19" t="s">
        <v>1541</v>
      </c>
      <c r="F1305">
        <v>1</v>
      </c>
    </row>
    <row r="1306" spans="1:6" x14ac:dyDescent="0.25">
      <c r="D1306" s="19" t="s">
        <v>1542</v>
      </c>
      <c r="E1306" s="19" t="s">
        <v>1543</v>
      </c>
      <c r="F1306">
        <v>1</v>
      </c>
    </row>
    <row r="1307" spans="1:6" x14ac:dyDescent="0.25">
      <c r="D1307" s="19" t="s">
        <v>1544</v>
      </c>
      <c r="E1307" s="19" t="s">
        <v>671</v>
      </c>
      <c r="F1307">
        <v>0</v>
      </c>
    </row>
    <row r="1308" spans="1:6" x14ac:dyDescent="0.25">
      <c r="D1308" s="19" t="s">
        <v>1545</v>
      </c>
      <c r="E1308" s="19" t="s">
        <v>1546</v>
      </c>
      <c r="F1308">
        <v>1</v>
      </c>
    </row>
    <row r="1309" spans="1:6" x14ac:dyDescent="0.25">
      <c r="D1309" s="19" t="s">
        <v>1537</v>
      </c>
      <c r="E1309" s="19" t="s">
        <v>1494</v>
      </c>
      <c r="F1309">
        <v>1</v>
      </c>
    </row>
    <row r="1310" spans="1:6" x14ac:dyDescent="0.25">
      <c r="D1310" s="19" t="s">
        <v>1538</v>
      </c>
      <c r="E1310" s="19" t="s">
        <v>306</v>
      </c>
      <c r="F1310">
        <v>1</v>
      </c>
    </row>
    <row r="1311" spans="1:6" x14ac:dyDescent="0.25">
      <c r="D1311" s="19" t="s">
        <v>1549</v>
      </c>
      <c r="E1311" s="19" t="s">
        <v>1550</v>
      </c>
      <c r="F1311">
        <v>1</v>
      </c>
    </row>
    <row r="1312" spans="1:6" x14ac:dyDescent="0.25">
      <c r="D1312" s="19" t="s">
        <v>1551</v>
      </c>
      <c r="E1312" s="19" t="s">
        <v>1552</v>
      </c>
      <c r="F1312">
        <v>1</v>
      </c>
    </row>
    <row r="1313" spans="1:6" x14ac:dyDescent="0.25">
      <c r="D1313" s="19" t="s">
        <v>1553</v>
      </c>
      <c r="E1313" s="19" t="s">
        <v>1554</v>
      </c>
      <c r="F1313">
        <v>1</v>
      </c>
    </row>
    <row r="1314" spans="1:6" x14ac:dyDescent="0.25">
      <c r="D1314" s="19" t="s">
        <v>1555</v>
      </c>
      <c r="E1314" s="19" t="s">
        <v>1556</v>
      </c>
      <c r="F1314">
        <v>1</v>
      </c>
    </row>
    <row r="1315" spans="1:6" x14ac:dyDescent="0.25">
      <c r="A1315" s="3">
        <v>201</v>
      </c>
      <c r="B1315" s="23" t="s">
        <v>63</v>
      </c>
      <c r="C1315" s="19" t="s">
        <v>1536</v>
      </c>
      <c r="D1315" s="19" t="s">
        <v>1539</v>
      </c>
      <c r="E1315" s="19" t="s">
        <v>1499</v>
      </c>
      <c r="F1315">
        <v>1</v>
      </c>
    </row>
    <row r="1316" spans="1:6" x14ac:dyDescent="0.25">
      <c r="D1316" s="19" t="s">
        <v>1547</v>
      </c>
      <c r="E1316" s="19" t="s">
        <v>1548</v>
      </c>
      <c r="F1316">
        <v>1</v>
      </c>
    </row>
    <row r="1317" spans="1:6" x14ac:dyDescent="0.25">
      <c r="D1317" s="19" t="s">
        <v>1540</v>
      </c>
      <c r="E1317" s="19" t="s">
        <v>1541</v>
      </c>
      <c r="F1317">
        <v>1</v>
      </c>
    </row>
    <row r="1318" spans="1:6" x14ac:dyDescent="0.25">
      <c r="D1318" s="19" t="s">
        <v>1542</v>
      </c>
      <c r="E1318" s="19" t="s">
        <v>1543</v>
      </c>
      <c r="F1318">
        <v>0</v>
      </c>
    </row>
    <row r="1319" spans="1:6" x14ac:dyDescent="0.25">
      <c r="D1319" s="19" t="s">
        <v>1544</v>
      </c>
      <c r="E1319" s="19" t="s">
        <v>671</v>
      </c>
      <c r="F1319">
        <v>0</v>
      </c>
    </row>
    <row r="1320" spans="1:6" x14ac:dyDescent="0.25">
      <c r="D1320" s="19" t="s">
        <v>1545</v>
      </c>
      <c r="E1320" s="19" t="s">
        <v>1546</v>
      </c>
      <c r="F1320">
        <v>1</v>
      </c>
    </row>
    <row r="1321" spans="1:6" x14ac:dyDescent="0.25">
      <c r="D1321" s="19" t="s">
        <v>1537</v>
      </c>
      <c r="E1321" s="19" t="s">
        <v>1494</v>
      </c>
      <c r="F1321">
        <v>1</v>
      </c>
    </row>
    <row r="1322" spans="1:6" x14ac:dyDescent="0.25">
      <c r="D1322" s="19" t="s">
        <v>1538</v>
      </c>
      <c r="E1322" s="19" t="s">
        <v>306</v>
      </c>
      <c r="F1322">
        <v>1</v>
      </c>
    </row>
    <row r="1323" spans="1:6" x14ac:dyDescent="0.25">
      <c r="D1323" s="19" t="s">
        <v>1549</v>
      </c>
      <c r="E1323" s="19" t="s">
        <v>1550</v>
      </c>
      <c r="F1323">
        <v>1</v>
      </c>
    </row>
    <row r="1324" spans="1:6" x14ac:dyDescent="0.25">
      <c r="D1324" s="19" t="s">
        <v>1551</v>
      </c>
      <c r="E1324" s="19" t="s">
        <v>1552</v>
      </c>
      <c r="F1324">
        <v>1</v>
      </c>
    </row>
    <row r="1325" spans="1:6" x14ac:dyDescent="0.25">
      <c r="D1325" s="19" t="s">
        <v>1553</v>
      </c>
      <c r="E1325" s="19" t="s">
        <v>1554</v>
      </c>
      <c r="F1325">
        <v>1</v>
      </c>
    </row>
    <row r="1326" spans="1:6" x14ac:dyDescent="0.25">
      <c r="D1326" s="19" t="s">
        <v>1555</v>
      </c>
      <c r="E1326" s="19" t="s">
        <v>1556</v>
      </c>
      <c r="F1326">
        <v>1</v>
      </c>
    </row>
    <row r="1327" spans="1:6" x14ac:dyDescent="0.25">
      <c r="A1327" s="3">
        <v>202</v>
      </c>
      <c r="B1327" s="15" t="s">
        <v>64</v>
      </c>
      <c r="C1327" s="19" t="s">
        <v>1685</v>
      </c>
      <c r="D1327" s="19" t="s">
        <v>1709</v>
      </c>
      <c r="E1327" s="19" t="s">
        <v>1710</v>
      </c>
      <c r="F1327">
        <v>0</v>
      </c>
    </row>
    <row r="1328" spans="1:6" x14ac:dyDescent="0.25">
      <c r="D1328" s="19" t="s">
        <v>1711</v>
      </c>
      <c r="E1328" s="19" t="s">
        <v>1124</v>
      </c>
      <c r="F1328">
        <v>1</v>
      </c>
    </row>
    <row r="1329" spans="1:6" x14ac:dyDescent="0.25">
      <c r="D1329" s="19" t="s">
        <v>1686</v>
      </c>
      <c r="E1329" s="19" t="s">
        <v>1687</v>
      </c>
      <c r="F1329">
        <v>2</v>
      </c>
    </row>
    <row r="1330" spans="1:6" x14ac:dyDescent="0.25">
      <c r="D1330" s="19" t="s">
        <v>1688</v>
      </c>
      <c r="E1330" s="19" t="s">
        <v>1689</v>
      </c>
      <c r="F1330">
        <v>1</v>
      </c>
    </row>
    <row r="1331" spans="1:6" x14ac:dyDescent="0.25">
      <c r="D1331" s="19" t="s">
        <v>1690</v>
      </c>
      <c r="E1331" s="19" t="s">
        <v>1691</v>
      </c>
      <c r="F1331">
        <v>2</v>
      </c>
    </row>
    <row r="1332" spans="1:6" x14ac:dyDescent="0.25">
      <c r="D1332" s="19" t="s">
        <v>1692</v>
      </c>
      <c r="E1332" s="19" t="s">
        <v>1693</v>
      </c>
      <c r="F1332">
        <v>2</v>
      </c>
    </row>
    <row r="1333" spans="1:6" x14ac:dyDescent="0.25">
      <c r="D1333" s="19" t="s">
        <v>1694</v>
      </c>
      <c r="E1333" s="19" t="s">
        <v>1695</v>
      </c>
      <c r="F1333">
        <v>1</v>
      </c>
    </row>
    <row r="1334" spans="1:6" x14ac:dyDescent="0.25">
      <c r="D1334" s="19" t="s">
        <v>1703</v>
      </c>
      <c r="E1334" s="19" t="s">
        <v>1704</v>
      </c>
      <c r="F1334">
        <v>1</v>
      </c>
    </row>
    <row r="1335" spans="1:6" x14ac:dyDescent="0.25">
      <c r="D1335" s="19" t="s">
        <v>1705</v>
      </c>
      <c r="E1335" s="19" t="s">
        <v>1706</v>
      </c>
      <c r="F1335">
        <v>0</v>
      </c>
    </row>
    <row r="1336" spans="1:6" x14ac:dyDescent="0.25">
      <c r="D1336" s="19" t="s">
        <v>1707</v>
      </c>
      <c r="E1336" s="19" t="s">
        <v>1708</v>
      </c>
      <c r="F1336">
        <v>2</v>
      </c>
    </row>
    <row r="1337" spans="1:6" x14ac:dyDescent="0.25">
      <c r="D1337" s="19" t="s">
        <v>1696</v>
      </c>
      <c r="E1337" s="19" t="s">
        <v>1697</v>
      </c>
      <c r="F1337">
        <v>2</v>
      </c>
    </row>
    <row r="1338" spans="1:6" x14ac:dyDescent="0.25">
      <c r="D1338" s="19" t="s">
        <v>1698</v>
      </c>
      <c r="E1338" s="19" t="s">
        <v>1699</v>
      </c>
      <c r="F1338">
        <v>1</v>
      </c>
    </row>
    <row r="1339" spans="1:6" x14ac:dyDescent="0.25">
      <c r="D1339" s="19" t="s">
        <v>1700</v>
      </c>
      <c r="E1339" s="19" t="s">
        <v>1701</v>
      </c>
      <c r="F1339">
        <v>2</v>
      </c>
    </row>
    <row r="1340" spans="1:6" x14ac:dyDescent="0.25">
      <c r="D1340" s="19" t="s">
        <v>1702</v>
      </c>
      <c r="E1340" s="19" t="s">
        <v>314</v>
      </c>
      <c r="F1340">
        <v>1</v>
      </c>
    </row>
    <row r="1341" spans="1:6" x14ac:dyDescent="0.25">
      <c r="A1341" s="3">
        <v>205</v>
      </c>
      <c r="B1341" s="15" t="s">
        <v>65</v>
      </c>
      <c r="C1341" s="19" t="s">
        <v>1668</v>
      </c>
      <c r="D1341" s="19" t="s">
        <v>1677</v>
      </c>
      <c r="E1341" s="19" t="s">
        <v>1678</v>
      </c>
      <c r="F1341">
        <v>1</v>
      </c>
    </row>
    <row r="1342" spans="1:6" x14ac:dyDescent="0.25">
      <c r="D1342" s="19" t="s">
        <v>1679</v>
      </c>
      <c r="E1342" s="19" t="s">
        <v>1680</v>
      </c>
      <c r="F1342">
        <v>1</v>
      </c>
    </row>
    <row r="1343" spans="1:6" x14ac:dyDescent="0.25">
      <c r="D1343" s="19" t="s">
        <v>1681</v>
      </c>
      <c r="E1343" s="19" t="s">
        <v>1682</v>
      </c>
      <c r="F1343">
        <v>1</v>
      </c>
    </row>
    <row r="1344" spans="1:6" x14ac:dyDescent="0.25">
      <c r="D1344" s="19" t="s">
        <v>1683</v>
      </c>
      <c r="E1344" s="19" t="s">
        <v>1684</v>
      </c>
      <c r="F1344">
        <v>1</v>
      </c>
    </row>
    <row r="1345" spans="1:6" x14ac:dyDescent="0.25">
      <c r="D1345" s="19" t="s">
        <v>1673</v>
      </c>
      <c r="E1345" s="19" t="s">
        <v>1674</v>
      </c>
      <c r="F1345">
        <v>1</v>
      </c>
    </row>
    <row r="1346" spans="1:6" x14ac:dyDescent="0.25">
      <c r="D1346" s="19" t="s">
        <v>1676</v>
      </c>
      <c r="E1346" s="19" t="s">
        <v>372</v>
      </c>
      <c r="F1346">
        <v>1</v>
      </c>
    </row>
    <row r="1347" spans="1:6" x14ac:dyDescent="0.25">
      <c r="D1347" s="19" t="s">
        <v>1675</v>
      </c>
      <c r="E1347" s="19" t="s">
        <v>844</v>
      </c>
      <c r="F1347">
        <v>1</v>
      </c>
    </row>
    <row r="1348" spans="1:6" x14ac:dyDescent="0.25">
      <c r="D1348" s="19" t="s">
        <v>1669</v>
      </c>
      <c r="E1348" s="19" t="s">
        <v>304</v>
      </c>
      <c r="F1348">
        <v>1</v>
      </c>
    </row>
    <row r="1349" spans="1:6" x14ac:dyDescent="0.25">
      <c r="D1349" s="19" t="s">
        <v>1670</v>
      </c>
      <c r="E1349" s="19" t="s">
        <v>306</v>
      </c>
      <c r="F1349">
        <v>1</v>
      </c>
    </row>
    <row r="1350" spans="1:6" x14ac:dyDescent="0.25">
      <c r="D1350" s="19" t="s">
        <v>1671</v>
      </c>
      <c r="E1350" s="19" t="s">
        <v>1672</v>
      </c>
      <c r="F1350">
        <v>1</v>
      </c>
    </row>
    <row r="1351" spans="1:6" x14ac:dyDescent="0.25">
      <c r="A1351" s="3">
        <v>206</v>
      </c>
      <c r="B1351" s="15" t="s">
        <v>66</v>
      </c>
      <c r="C1351" s="19" t="s">
        <v>1155</v>
      </c>
      <c r="D1351" s="19" t="s">
        <v>1157</v>
      </c>
      <c r="E1351" s="19" t="s">
        <v>844</v>
      </c>
      <c r="F1351">
        <v>1</v>
      </c>
    </row>
    <row r="1352" spans="1:6" x14ac:dyDescent="0.25">
      <c r="D1352" s="19" t="s">
        <v>1156</v>
      </c>
      <c r="E1352" s="19" t="s">
        <v>273</v>
      </c>
      <c r="F1352">
        <v>1</v>
      </c>
    </row>
    <row r="1353" spans="1:6" x14ac:dyDescent="0.25">
      <c r="D1353" s="19" t="s">
        <v>1158</v>
      </c>
      <c r="E1353" s="19" t="s">
        <v>1159</v>
      </c>
      <c r="F1353">
        <v>1</v>
      </c>
    </row>
    <row r="1354" spans="1:6" x14ac:dyDescent="0.25">
      <c r="D1354" s="19" t="s">
        <v>1160</v>
      </c>
      <c r="E1354" s="19" t="s">
        <v>1161</v>
      </c>
      <c r="F1354">
        <v>1</v>
      </c>
    </row>
    <row r="1355" spans="1:6" x14ac:dyDescent="0.25">
      <c r="D1355" s="19" t="s">
        <v>1162</v>
      </c>
      <c r="E1355" s="19" t="s">
        <v>1163</v>
      </c>
      <c r="F1355">
        <v>1</v>
      </c>
    </row>
    <row r="1356" spans="1:6" x14ac:dyDescent="0.25">
      <c r="D1356" s="19" t="s">
        <v>1164</v>
      </c>
      <c r="E1356" s="19" t="s">
        <v>1165</v>
      </c>
      <c r="F1356">
        <v>0</v>
      </c>
    </row>
    <row r="1357" spans="1:6" x14ac:dyDescent="0.25">
      <c r="D1357" s="19" t="s">
        <v>1166</v>
      </c>
      <c r="E1357" s="19" t="s">
        <v>295</v>
      </c>
      <c r="F1357">
        <v>1</v>
      </c>
    </row>
    <row r="1358" spans="1:6" x14ac:dyDescent="0.25">
      <c r="D1358" s="19" t="s">
        <v>1167</v>
      </c>
      <c r="E1358" s="19" t="s">
        <v>1168</v>
      </c>
      <c r="F1358">
        <v>1</v>
      </c>
    </row>
    <row r="1359" spans="1:6" x14ac:dyDescent="0.25">
      <c r="A1359" s="3">
        <v>207</v>
      </c>
      <c r="B1359" s="15" t="s">
        <v>67</v>
      </c>
      <c r="C1359" s="19" t="s">
        <v>1712</v>
      </c>
      <c r="D1359" s="19" t="s">
        <v>1713</v>
      </c>
      <c r="E1359" s="19" t="s">
        <v>1714</v>
      </c>
      <c r="F1359">
        <v>0</v>
      </c>
    </row>
    <row r="1360" spans="1:6" x14ac:dyDescent="0.25">
      <c r="C1360" s="19"/>
      <c r="D1360" s="19" t="s">
        <v>1715</v>
      </c>
      <c r="E1360" s="19" t="s">
        <v>1716</v>
      </c>
      <c r="F1360">
        <v>1</v>
      </c>
    </row>
    <row r="1361" spans="1:6" x14ac:dyDescent="0.25">
      <c r="C1361" s="19"/>
      <c r="D1361" s="19" t="s">
        <v>1717</v>
      </c>
      <c r="E1361" s="19" t="s">
        <v>1718</v>
      </c>
      <c r="F1361">
        <v>1</v>
      </c>
    </row>
    <row r="1362" spans="1:6" x14ac:dyDescent="0.25">
      <c r="C1362" s="19"/>
      <c r="D1362" s="19" t="s">
        <v>1719</v>
      </c>
      <c r="E1362" s="19" t="s">
        <v>1720</v>
      </c>
      <c r="F1362">
        <v>0</v>
      </c>
    </row>
    <row r="1363" spans="1:6" x14ac:dyDescent="0.25">
      <c r="C1363" s="19"/>
      <c r="D1363" s="19" t="s">
        <v>2179</v>
      </c>
      <c r="E1363" s="19" t="s">
        <v>1721</v>
      </c>
      <c r="F1363">
        <v>1</v>
      </c>
    </row>
    <row r="1364" spans="1:6" x14ac:dyDescent="0.25">
      <c r="C1364" s="19"/>
      <c r="D1364" s="19" t="s">
        <v>1722</v>
      </c>
      <c r="E1364" s="19" t="s">
        <v>1234</v>
      </c>
      <c r="F1364">
        <v>1</v>
      </c>
    </row>
    <row r="1365" spans="1:6" x14ac:dyDescent="0.25">
      <c r="A1365" s="3">
        <v>208</v>
      </c>
      <c r="B1365" s="15" t="s">
        <v>68</v>
      </c>
      <c r="C1365" s="19" t="s">
        <v>760</v>
      </c>
      <c r="D1365" s="19" t="s">
        <v>762</v>
      </c>
      <c r="E1365" s="19" t="s">
        <v>763</v>
      </c>
      <c r="F1365">
        <v>1</v>
      </c>
    </row>
    <row r="1366" spans="1:6" x14ac:dyDescent="0.25">
      <c r="D1366" s="19" t="s">
        <v>764</v>
      </c>
      <c r="E1366" s="19" t="s">
        <v>765</v>
      </c>
      <c r="F1366">
        <v>0</v>
      </c>
    </row>
    <row r="1367" spans="1:6" x14ac:dyDescent="0.25">
      <c r="D1367" s="19" t="s">
        <v>766</v>
      </c>
      <c r="E1367" s="19" t="s">
        <v>767</v>
      </c>
      <c r="F1367">
        <v>0</v>
      </c>
    </row>
    <row r="1368" spans="1:6" x14ac:dyDescent="0.25">
      <c r="D1368" s="19" t="s">
        <v>768</v>
      </c>
      <c r="E1368" s="19" t="s">
        <v>769</v>
      </c>
      <c r="F1368">
        <v>0</v>
      </c>
    </row>
    <row r="1369" spans="1:6" x14ac:dyDescent="0.25">
      <c r="D1369" s="19" t="s">
        <v>770</v>
      </c>
      <c r="E1369" s="19" t="s">
        <v>771</v>
      </c>
      <c r="F1369">
        <v>0</v>
      </c>
    </row>
    <row r="1370" spans="1:6" x14ac:dyDescent="0.25">
      <c r="D1370" s="19" t="s">
        <v>761</v>
      </c>
      <c r="E1370" s="19" t="s">
        <v>273</v>
      </c>
      <c r="F1370">
        <v>1</v>
      </c>
    </row>
    <row r="1371" spans="1:6" x14ac:dyDescent="0.25">
      <c r="D1371" s="19" t="s">
        <v>772</v>
      </c>
      <c r="E1371" s="19" t="s">
        <v>773</v>
      </c>
      <c r="F1371">
        <v>0</v>
      </c>
    </row>
    <row r="1372" spans="1:6" x14ac:dyDescent="0.25">
      <c r="D1372" s="19" t="s">
        <v>774</v>
      </c>
      <c r="E1372" s="19" t="s">
        <v>775</v>
      </c>
      <c r="F1372">
        <v>0</v>
      </c>
    </row>
    <row r="1373" spans="1:6" x14ac:dyDescent="0.25">
      <c r="D1373" s="19" t="s">
        <v>776</v>
      </c>
      <c r="E1373" s="19" t="s">
        <v>777</v>
      </c>
      <c r="F1373">
        <v>0</v>
      </c>
    </row>
    <row r="1374" spans="1:6" x14ac:dyDescent="0.25">
      <c r="D1374" s="19" t="s">
        <v>778</v>
      </c>
      <c r="E1374" s="19" t="s">
        <v>779</v>
      </c>
      <c r="F1374">
        <v>0</v>
      </c>
    </row>
    <row r="1375" spans="1:6" x14ac:dyDescent="0.25">
      <c r="D1375" s="19" t="s">
        <v>780</v>
      </c>
      <c r="E1375" s="19" t="s">
        <v>781</v>
      </c>
      <c r="F1375">
        <v>0</v>
      </c>
    </row>
    <row r="1376" spans="1:6" x14ac:dyDescent="0.25">
      <c r="C1376" s="19" t="s">
        <v>1030</v>
      </c>
      <c r="D1376" s="19" t="s">
        <v>1041</v>
      </c>
      <c r="E1376" s="19" t="s">
        <v>1042</v>
      </c>
      <c r="F1376">
        <v>0</v>
      </c>
    </row>
    <row r="1377" spans="4:6" x14ac:dyDescent="0.25">
      <c r="D1377" s="19" t="s">
        <v>1043</v>
      </c>
      <c r="E1377" s="19" t="s">
        <v>1044</v>
      </c>
      <c r="F1377">
        <v>0</v>
      </c>
    </row>
    <row r="1378" spans="4:6" x14ac:dyDescent="0.25">
      <c r="D1378" s="19" t="s">
        <v>1071</v>
      </c>
      <c r="E1378" s="19" t="s">
        <v>1072</v>
      </c>
      <c r="F1378">
        <v>1</v>
      </c>
    </row>
    <row r="1379" spans="4:6" x14ac:dyDescent="0.25">
      <c r="D1379" s="19" t="s">
        <v>1073</v>
      </c>
      <c r="E1379" s="19" t="s">
        <v>1074</v>
      </c>
      <c r="F1379">
        <v>0</v>
      </c>
    </row>
    <row r="1380" spans="4:6" x14ac:dyDescent="0.25">
      <c r="D1380" s="19" t="s">
        <v>1065</v>
      </c>
      <c r="E1380" s="19" t="s">
        <v>1066</v>
      </c>
      <c r="F1380">
        <v>1</v>
      </c>
    </row>
    <row r="1381" spans="4:6" x14ac:dyDescent="0.25">
      <c r="D1381" s="19" t="s">
        <v>1067</v>
      </c>
      <c r="E1381" s="19" t="s">
        <v>1068</v>
      </c>
      <c r="F1381">
        <v>1</v>
      </c>
    </row>
    <row r="1382" spans="4:6" x14ac:dyDescent="0.25">
      <c r="D1382" s="19" t="s">
        <v>1069</v>
      </c>
      <c r="E1382" s="19" t="s">
        <v>1070</v>
      </c>
      <c r="F1382">
        <v>1</v>
      </c>
    </row>
    <row r="1383" spans="4:6" x14ac:dyDescent="0.25">
      <c r="D1383" s="19" t="s">
        <v>1031</v>
      </c>
      <c r="E1383" s="19" t="s">
        <v>273</v>
      </c>
      <c r="F1383">
        <v>1</v>
      </c>
    </row>
    <row r="1384" spans="4:6" x14ac:dyDescent="0.25">
      <c r="D1384" s="19" t="s">
        <v>1075</v>
      </c>
      <c r="E1384" s="19" t="s">
        <v>1076</v>
      </c>
      <c r="F1384">
        <v>0</v>
      </c>
    </row>
    <row r="1385" spans="4:6" x14ac:dyDescent="0.25">
      <c r="D1385" s="19" t="s">
        <v>1055</v>
      </c>
      <c r="E1385" s="19" t="s">
        <v>1056</v>
      </c>
      <c r="F1385">
        <v>1</v>
      </c>
    </row>
    <row r="1386" spans="4:6" x14ac:dyDescent="0.25">
      <c r="D1386" s="19" t="s">
        <v>1057</v>
      </c>
      <c r="E1386" s="19" t="s">
        <v>1058</v>
      </c>
      <c r="F1386">
        <v>0</v>
      </c>
    </row>
    <row r="1387" spans="4:6" x14ac:dyDescent="0.25">
      <c r="D1387" s="19" t="s">
        <v>1036</v>
      </c>
      <c r="E1387" s="19" t="s">
        <v>1037</v>
      </c>
      <c r="F1387">
        <v>0</v>
      </c>
    </row>
    <row r="1388" spans="4:6" x14ac:dyDescent="0.25">
      <c r="D1388" s="19" t="s">
        <v>1038</v>
      </c>
      <c r="E1388" s="19" t="s">
        <v>763</v>
      </c>
      <c r="F1388">
        <v>1</v>
      </c>
    </row>
    <row r="1389" spans="4:6" x14ac:dyDescent="0.25">
      <c r="D1389" s="19" t="s">
        <v>1039</v>
      </c>
      <c r="E1389" s="19" t="s">
        <v>765</v>
      </c>
      <c r="F1389">
        <v>0</v>
      </c>
    </row>
    <row r="1390" spans="4:6" x14ac:dyDescent="0.25">
      <c r="D1390" s="19" t="s">
        <v>1040</v>
      </c>
      <c r="E1390" s="19" t="s">
        <v>767</v>
      </c>
      <c r="F1390">
        <v>0</v>
      </c>
    </row>
    <row r="1391" spans="4:6" x14ac:dyDescent="0.25">
      <c r="D1391" s="19" t="s">
        <v>1059</v>
      </c>
      <c r="E1391" s="19" t="s">
        <v>1060</v>
      </c>
      <c r="F1391">
        <v>1</v>
      </c>
    </row>
    <row r="1392" spans="4:6" x14ac:dyDescent="0.25">
      <c r="D1392" s="19" t="s">
        <v>1061</v>
      </c>
      <c r="E1392" s="19" t="s">
        <v>1062</v>
      </c>
      <c r="F1392">
        <v>1</v>
      </c>
    </row>
    <row r="1393" spans="3:6" x14ac:dyDescent="0.25">
      <c r="D1393" s="19" t="s">
        <v>1063</v>
      </c>
      <c r="E1393" s="19" t="s">
        <v>1064</v>
      </c>
      <c r="F1393">
        <v>0</v>
      </c>
    </row>
    <row r="1394" spans="3:6" x14ac:dyDescent="0.25">
      <c r="D1394" s="19" t="s">
        <v>1045</v>
      </c>
      <c r="E1394" s="19" t="s">
        <v>1046</v>
      </c>
      <c r="F1394">
        <v>0</v>
      </c>
    </row>
    <row r="1395" spans="3:6" x14ac:dyDescent="0.25">
      <c r="D1395" s="19" t="s">
        <v>1047</v>
      </c>
      <c r="E1395" s="19" t="s">
        <v>1048</v>
      </c>
      <c r="F1395">
        <v>0</v>
      </c>
    </row>
    <row r="1396" spans="3:6" x14ac:dyDescent="0.25">
      <c r="D1396" s="19" t="s">
        <v>1049</v>
      </c>
      <c r="E1396" s="19" t="s">
        <v>1050</v>
      </c>
      <c r="F1396">
        <v>0</v>
      </c>
    </row>
    <row r="1397" spans="3:6" x14ac:dyDescent="0.25">
      <c r="D1397" s="19" t="s">
        <v>1051</v>
      </c>
      <c r="E1397" s="19" t="s">
        <v>1052</v>
      </c>
      <c r="F1397">
        <v>0</v>
      </c>
    </row>
    <row r="1398" spans="3:6" x14ac:dyDescent="0.25">
      <c r="D1398" s="19" t="s">
        <v>1053</v>
      </c>
      <c r="E1398" s="19" t="s">
        <v>1054</v>
      </c>
      <c r="F1398">
        <v>0</v>
      </c>
    </row>
    <row r="1399" spans="3:6" x14ac:dyDescent="0.25">
      <c r="D1399" s="19" t="s">
        <v>1032</v>
      </c>
      <c r="E1399" s="19" t="s">
        <v>1033</v>
      </c>
      <c r="F1399">
        <v>0</v>
      </c>
    </row>
    <row r="1400" spans="3:6" x14ac:dyDescent="0.25">
      <c r="D1400" s="19" t="s">
        <v>1034</v>
      </c>
      <c r="E1400" s="19" t="s">
        <v>1035</v>
      </c>
      <c r="F1400">
        <v>1</v>
      </c>
    </row>
    <row r="1401" spans="3:6" x14ac:dyDescent="0.25">
      <c r="C1401" s="19" t="s">
        <v>1267</v>
      </c>
      <c r="D1401" s="19" t="s">
        <v>1268</v>
      </c>
      <c r="E1401" s="19" t="s">
        <v>1269</v>
      </c>
      <c r="F1401">
        <v>0</v>
      </c>
    </row>
    <row r="1402" spans="3:6" x14ac:dyDescent="0.25">
      <c r="D1402" s="19" t="s">
        <v>1270</v>
      </c>
      <c r="E1402" s="19" t="s">
        <v>1271</v>
      </c>
      <c r="F1402">
        <v>0</v>
      </c>
    </row>
    <row r="1403" spans="3:6" x14ac:dyDescent="0.25">
      <c r="D1403" s="19" t="s">
        <v>1272</v>
      </c>
      <c r="E1403" s="19" t="s">
        <v>1273</v>
      </c>
      <c r="F1403">
        <v>0</v>
      </c>
    </row>
    <row r="1404" spans="3:6" x14ac:dyDescent="0.25">
      <c r="D1404" s="19" t="s">
        <v>1274</v>
      </c>
      <c r="E1404" s="19" t="s">
        <v>1275</v>
      </c>
      <c r="F1404">
        <v>0</v>
      </c>
    </row>
    <row r="1405" spans="3:6" x14ac:dyDescent="0.25">
      <c r="D1405" s="19" t="s">
        <v>1276</v>
      </c>
      <c r="E1405" s="19" t="s">
        <v>763</v>
      </c>
      <c r="F1405">
        <v>1</v>
      </c>
    </row>
    <row r="1406" spans="3:6" x14ac:dyDescent="0.25">
      <c r="D1406" s="19" t="s">
        <v>2152</v>
      </c>
      <c r="E1406" s="19" t="s">
        <v>765</v>
      </c>
      <c r="F1406">
        <v>0</v>
      </c>
    </row>
    <row r="1407" spans="3:6" x14ac:dyDescent="0.25">
      <c r="D1407" s="19" t="s">
        <v>1277</v>
      </c>
      <c r="E1407" s="19" t="s">
        <v>767</v>
      </c>
      <c r="F1407">
        <v>0</v>
      </c>
    </row>
    <row r="1408" spans="3:6" x14ac:dyDescent="0.25">
      <c r="D1408" s="19" t="s">
        <v>1278</v>
      </c>
      <c r="E1408" s="19" t="s">
        <v>1279</v>
      </c>
      <c r="F1408">
        <v>0</v>
      </c>
    </row>
    <row r="1409" spans="3:6" x14ac:dyDescent="0.25">
      <c r="D1409" s="19" t="s">
        <v>1280</v>
      </c>
      <c r="E1409" s="19" t="s">
        <v>1281</v>
      </c>
      <c r="F1409">
        <v>0</v>
      </c>
    </row>
    <row r="1410" spans="3:6" x14ac:dyDescent="0.25">
      <c r="D1410" s="19" t="s">
        <v>1282</v>
      </c>
      <c r="E1410" s="19" t="s">
        <v>1283</v>
      </c>
      <c r="F1410">
        <v>0</v>
      </c>
    </row>
    <row r="1411" spans="3:6" x14ac:dyDescent="0.25">
      <c r="D1411" s="19" t="s">
        <v>1284</v>
      </c>
      <c r="E1411" s="19" t="s">
        <v>1285</v>
      </c>
      <c r="F1411">
        <v>0</v>
      </c>
    </row>
    <row r="1412" spans="3:6" x14ac:dyDescent="0.25">
      <c r="D1412" s="19" t="s">
        <v>1286</v>
      </c>
      <c r="E1412" s="19" t="s">
        <v>1287</v>
      </c>
      <c r="F1412">
        <v>0</v>
      </c>
    </row>
    <row r="1413" spans="3:6" x14ac:dyDescent="0.25">
      <c r="D1413" s="19" t="s">
        <v>1288</v>
      </c>
      <c r="E1413" s="19" t="s">
        <v>1289</v>
      </c>
      <c r="F1413">
        <v>0</v>
      </c>
    </row>
    <row r="1414" spans="3:6" x14ac:dyDescent="0.25">
      <c r="D1414" s="19" t="s">
        <v>1290</v>
      </c>
      <c r="E1414" s="19" t="s">
        <v>1291</v>
      </c>
      <c r="F1414">
        <v>0</v>
      </c>
    </row>
    <row r="1415" spans="3:6" x14ac:dyDescent="0.25">
      <c r="C1415" s="19" t="s">
        <v>1141</v>
      </c>
      <c r="D1415" s="19" t="s">
        <v>1153</v>
      </c>
      <c r="E1415" s="19" t="s">
        <v>1154</v>
      </c>
      <c r="F1415">
        <v>0</v>
      </c>
    </row>
    <row r="1416" spans="3:6" x14ac:dyDescent="0.25">
      <c r="C1416" s="19"/>
      <c r="D1416" s="19" t="s">
        <v>1151</v>
      </c>
      <c r="E1416" s="19" t="s">
        <v>380</v>
      </c>
      <c r="F1416">
        <v>0</v>
      </c>
    </row>
    <row r="1417" spans="3:6" x14ac:dyDescent="0.25">
      <c r="C1417" s="19"/>
      <c r="D1417" s="19" t="s">
        <v>1152</v>
      </c>
      <c r="E1417" s="19" t="s">
        <v>381</v>
      </c>
      <c r="F1417">
        <v>1</v>
      </c>
    </row>
    <row r="1418" spans="3:6" x14ac:dyDescent="0.25">
      <c r="C1418" s="19"/>
      <c r="D1418" s="19" t="s">
        <v>1144</v>
      </c>
      <c r="E1418" s="19" t="s">
        <v>1145</v>
      </c>
      <c r="F1418">
        <v>0</v>
      </c>
    </row>
    <row r="1419" spans="3:6" x14ac:dyDescent="0.25">
      <c r="C1419" s="19"/>
      <c r="D1419" s="19" t="s">
        <v>1146</v>
      </c>
      <c r="E1419" s="19" t="s">
        <v>1147</v>
      </c>
      <c r="F1419">
        <v>0</v>
      </c>
    </row>
    <row r="1420" spans="3:6" x14ac:dyDescent="0.25">
      <c r="C1420" s="19"/>
      <c r="D1420" s="19" t="s">
        <v>1148</v>
      </c>
      <c r="E1420" s="19" t="s">
        <v>713</v>
      </c>
      <c r="F1420">
        <v>0</v>
      </c>
    </row>
    <row r="1421" spans="3:6" x14ac:dyDescent="0.25">
      <c r="C1421" s="19"/>
      <c r="D1421" s="19" t="s">
        <v>1149</v>
      </c>
      <c r="E1421" s="19" t="s">
        <v>1150</v>
      </c>
      <c r="F1421">
        <v>0</v>
      </c>
    </row>
    <row r="1422" spans="3:6" x14ac:dyDescent="0.25">
      <c r="C1422" s="19"/>
      <c r="D1422" s="19" t="s">
        <v>1142</v>
      </c>
      <c r="E1422" s="19" t="s">
        <v>312</v>
      </c>
      <c r="F1422">
        <v>1</v>
      </c>
    </row>
    <row r="1423" spans="3:6" x14ac:dyDescent="0.25">
      <c r="C1423" s="19"/>
      <c r="D1423" s="19" t="s">
        <v>1143</v>
      </c>
      <c r="E1423" s="19" t="s">
        <v>314</v>
      </c>
      <c r="F1423">
        <v>1</v>
      </c>
    </row>
    <row r="1424" spans="3:6" x14ac:dyDescent="0.25">
      <c r="C1424" s="19" t="s">
        <v>1457</v>
      </c>
      <c r="D1424" s="19" t="s">
        <v>1459</v>
      </c>
      <c r="E1424" s="19" t="s">
        <v>640</v>
      </c>
      <c r="F1424">
        <v>1</v>
      </c>
    </row>
    <row r="1425" spans="3:6" x14ac:dyDescent="0.25">
      <c r="D1425" s="19" t="s">
        <v>1460</v>
      </c>
      <c r="E1425" s="19" t="s">
        <v>929</v>
      </c>
      <c r="F1425">
        <v>0</v>
      </c>
    </row>
    <row r="1426" spans="3:6" x14ac:dyDescent="0.25">
      <c r="D1426" s="19" t="s">
        <v>1458</v>
      </c>
      <c r="E1426" s="19" t="s">
        <v>273</v>
      </c>
      <c r="F1426">
        <v>1</v>
      </c>
    </row>
    <row r="1427" spans="3:6" x14ac:dyDescent="0.25">
      <c r="D1427" s="19" t="s">
        <v>1461</v>
      </c>
      <c r="E1427" s="19" t="s">
        <v>1462</v>
      </c>
      <c r="F1427">
        <v>1</v>
      </c>
    </row>
    <row r="1428" spans="3:6" x14ac:dyDescent="0.25">
      <c r="D1428" s="19" t="s">
        <v>1463</v>
      </c>
      <c r="E1428" s="19" t="s">
        <v>1464</v>
      </c>
      <c r="F1428">
        <v>0</v>
      </c>
    </row>
    <row r="1429" spans="3:6" x14ac:dyDescent="0.25">
      <c r="D1429" s="19" t="s">
        <v>1465</v>
      </c>
      <c r="E1429" s="19" t="s">
        <v>347</v>
      </c>
      <c r="F1429">
        <v>0</v>
      </c>
    </row>
    <row r="1430" spans="3:6" x14ac:dyDescent="0.25">
      <c r="D1430" s="19" t="s">
        <v>1470</v>
      </c>
      <c r="E1430" s="19" t="s">
        <v>1471</v>
      </c>
      <c r="F1430">
        <v>0</v>
      </c>
    </row>
    <row r="1431" spans="3:6" x14ac:dyDescent="0.25">
      <c r="D1431" s="19" t="s">
        <v>1472</v>
      </c>
      <c r="E1431" s="19" t="s">
        <v>391</v>
      </c>
      <c r="F1431">
        <v>1</v>
      </c>
    </row>
    <row r="1432" spans="3:6" x14ac:dyDescent="0.25">
      <c r="D1432" s="19" t="s">
        <v>1473</v>
      </c>
      <c r="E1432" s="19" t="s">
        <v>956</v>
      </c>
      <c r="F1432">
        <v>1</v>
      </c>
    </row>
    <row r="1433" spans="3:6" x14ac:dyDescent="0.25">
      <c r="D1433" s="19" t="s">
        <v>1466</v>
      </c>
      <c r="E1433" s="19" t="s">
        <v>1467</v>
      </c>
      <c r="F1433">
        <v>1</v>
      </c>
    </row>
    <row r="1434" spans="3:6" x14ac:dyDescent="0.25">
      <c r="D1434" s="19" t="s">
        <v>1468</v>
      </c>
      <c r="E1434" s="19" t="s">
        <v>1469</v>
      </c>
      <c r="F1434">
        <v>0</v>
      </c>
    </row>
    <row r="1435" spans="3:6" x14ac:dyDescent="0.25">
      <c r="C1435" s="19" t="s">
        <v>1169</v>
      </c>
      <c r="D1435" s="19" t="s">
        <v>1186</v>
      </c>
      <c r="E1435" s="19" t="s">
        <v>1187</v>
      </c>
      <c r="F1435">
        <v>0</v>
      </c>
    </row>
    <row r="1436" spans="3:6" x14ac:dyDescent="0.25">
      <c r="D1436" s="19" t="s">
        <v>1188</v>
      </c>
      <c r="E1436" s="19" t="s">
        <v>1189</v>
      </c>
      <c r="F1436">
        <v>0</v>
      </c>
    </row>
    <row r="1437" spans="3:6" x14ac:dyDescent="0.25">
      <c r="D1437" s="19" t="s">
        <v>1190</v>
      </c>
      <c r="E1437" s="19" t="s">
        <v>1191</v>
      </c>
      <c r="F1437">
        <v>0</v>
      </c>
    </row>
    <row r="1438" spans="3:6" x14ac:dyDescent="0.25">
      <c r="D1438" s="19" t="s">
        <v>1178</v>
      </c>
      <c r="E1438" s="19" t="s">
        <v>1179</v>
      </c>
      <c r="F1438">
        <v>1</v>
      </c>
    </row>
    <row r="1439" spans="3:6" x14ac:dyDescent="0.25">
      <c r="D1439" s="19" t="s">
        <v>1180</v>
      </c>
      <c r="E1439" s="19" t="s">
        <v>1181</v>
      </c>
      <c r="F1439">
        <v>0</v>
      </c>
    </row>
    <row r="1440" spans="3:6" x14ac:dyDescent="0.25">
      <c r="D1440" s="19" t="s">
        <v>1182</v>
      </c>
      <c r="E1440" s="19" t="s">
        <v>1183</v>
      </c>
      <c r="F1440">
        <v>0</v>
      </c>
    </row>
    <row r="1441" spans="1:6" x14ac:dyDescent="0.25">
      <c r="D1441" s="19" t="s">
        <v>1184</v>
      </c>
      <c r="E1441" s="19" t="s">
        <v>1185</v>
      </c>
      <c r="F1441">
        <v>1</v>
      </c>
    </row>
    <row r="1442" spans="1:6" x14ac:dyDescent="0.25">
      <c r="D1442" s="19" t="s">
        <v>1192</v>
      </c>
      <c r="E1442" s="19" t="s">
        <v>1193</v>
      </c>
      <c r="F1442">
        <v>0</v>
      </c>
    </row>
    <row r="1443" spans="1:6" x14ac:dyDescent="0.25">
      <c r="D1443" s="19" t="s">
        <v>1194</v>
      </c>
      <c r="E1443" s="19" t="s">
        <v>1195</v>
      </c>
      <c r="F1443">
        <v>0</v>
      </c>
    </row>
    <row r="1444" spans="1:6" x14ac:dyDescent="0.25">
      <c r="D1444" s="19" t="s">
        <v>1196</v>
      </c>
      <c r="E1444" s="19" t="s">
        <v>1197</v>
      </c>
      <c r="F1444">
        <v>1</v>
      </c>
    </row>
    <row r="1445" spans="1:6" x14ac:dyDescent="0.25">
      <c r="D1445" s="19" t="s">
        <v>1170</v>
      </c>
      <c r="E1445" s="19" t="s">
        <v>1171</v>
      </c>
      <c r="F1445">
        <v>0</v>
      </c>
    </row>
    <row r="1446" spans="1:6" x14ac:dyDescent="0.25">
      <c r="D1446" s="19" t="s">
        <v>1172</v>
      </c>
      <c r="E1446" s="19" t="s">
        <v>1173</v>
      </c>
      <c r="F1446">
        <v>0</v>
      </c>
    </row>
    <row r="1447" spans="1:6" x14ac:dyDescent="0.25">
      <c r="D1447" s="19" t="s">
        <v>1174</v>
      </c>
      <c r="E1447" s="19" t="s">
        <v>1175</v>
      </c>
      <c r="F1447">
        <v>1</v>
      </c>
    </row>
    <row r="1448" spans="1:6" x14ac:dyDescent="0.25">
      <c r="D1448" s="19" t="s">
        <v>1176</v>
      </c>
      <c r="E1448" s="19" t="s">
        <v>1177</v>
      </c>
      <c r="F1448">
        <v>0</v>
      </c>
    </row>
    <row r="1449" spans="1:6" x14ac:dyDescent="0.25">
      <c r="A1449" s="3">
        <v>209</v>
      </c>
      <c r="B1449" s="15" t="s">
        <v>69</v>
      </c>
      <c r="C1449" s="19" t="s">
        <v>1685</v>
      </c>
      <c r="D1449" s="19" t="s">
        <v>1709</v>
      </c>
      <c r="E1449" s="19" t="s">
        <v>1710</v>
      </c>
      <c r="F1449">
        <v>1</v>
      </c>
    </row>
    <row r="1450" spans="1:6" x14ac:dyDescent="0.25">
      <c r="D1450" s="19" t="s">
        <v>1711</v>
      </c>
      <c r="E1450" s="19" t="s">
        <v>1124</v>
      </c>
      <c r="F1450">
        <v>1</v>
      </c>
    </row>
    <row r="1451" spans="1:6" x14ac:dyDescent="0.25">
      <c r="D1451" s="19" t="s">
        <v>1686</v>
      </c>
      <c r="E1451" s="19" t="s">
        <v>1687</v>
      </c>
      <c r="F1451">
        <v>0</v>
      </c>
    </row>
    <row r="1452" spans="1:6" x14ac:dyDescent="0.25">
      <c r="D1452" s="19" t="s">
        <v>1688</v>
      </c>
      <c r="E1452" s="19" t="s">
        <v>1689</v>
      </c>
      <c r="F1452">
        <v>1</v>
      </c>
    </row>
    <row r="1453" spans="1:6" x14ac:dyDescent="0.25">
      <c r="D1453" s="19" t="s">
        <v>1690</v>
      </c>
      <c r="E1453" s="19" t="s">
        <v>1691</v>
      </c>
      <c r="F1453">
        <v>1</v>
      </c>
    </row>
    <row r="1454" spans="1:6" x14ac:dyDescent="0.25">
      <c r="D1454" s="19" t="s">
        <v>1692</v>
      </c>
      <c r="E1454" s="19" t="s">
        <v>1693</v>
      </c>
      <c r="F1454">
        <v>1</v>
      </c>
    </row>
    <row r="1455" spans="1:6" x14ac:dyDescent="0.25">
      <c r="D1455" s="19" t="s">
        <v>1694</v>
      </c>
      <c r="E1455" s="19" t="s">
        <v>1695</v>
      </c>
      <c r="F1455">
        <v>1</v>
      </c>
    </row>
    <row r="1456" spans="1:6" x14ac:dyDescent="0.25">
      <c r="D1456" s="19" t="s">
        <v>1703</v>
      </c>
      <c r="E1456" s="19" t="s">
        <v>1704</v>
      </c>
      <c r="F1456">
        <v>0</v>
      </c>
    </row>
    <row r="1457" spans="3:6" x14ac:dyDescent="0.25">
      <c r="D1457" s="19" t="s">
        <v>1705</v>
      </c>
      <c r="E1457" s="19" t="s">
        <v>1706</v>
      </c>
      <c r="F1457">
        <v>1</v>
      </c>
    </row>
    <row r="1458" spans="3:6" x14ac:dyDescent="0.25">
      <c r="D1458" s="19" t="s">
        <v>1707</v>
      </c>
      <c r="E1458" s="19" t="s">
        <v>1708</v>
      </c>
      <c r="F1458">
        <v>0</v>
      </c>
    </row>
    <row r="1459" spans="3:6" x14ac:dyDescent="0.25">
      <c r="D1459" s="19" t="s">
        <v>1696</v>
      </c>
      <c r="E1459" s="19" t="s">
        <v>1697</v>
      </c>
      <c r="F1459">
        <v>1</v>
      </c>
    </row>
    <row r="1460" spans="3:6" x14ac:dyDescent="0.25">
      <c r="D1460" s="19" t="s">
        <v>1698</v>
      </c>
      <c r="E1460" s="19" t="s">
        <v>1699</v>
      </c>
      <c r="F1460">
        <v>1</v>
      </c>
    </row>
    <row r="1461" spans="3:6" x14ac:dyDescent="0.25">
      <c r="D1461" s="19" t="s">
        <v>1700</v>
      </c>
      <c r="E1461" s="19" t="s">
        <v>1701</v>
      </c>
      <c r="F1461">
        <v>1</v>
      </c>
    </row>
    <row r="1462" spans="3:6" x14ac:dyDescent="0.25">
      <c r="D1462" s="19" t="s">
        <v>1702</v>
      </c>
      <c r="E1462" s="19" t="s">
        <v>314</v>
      </c>
      <c r="F1462">
        <v>1</v>
      </c>
    </row>
    <row r="1463" spans="3:6" x14ac:dyDescent="0.25">
      <c r="C1463" s="19" t="s">
        <v>1198</v>
      </c>
      <c r="D1463" s="19" t="s">
        <v>1202</v>
      </c>
      <c r="E1463" s="19" t="s">
        <v>786</v>
      </c>
      <c r="F1463">
        <v>0</v>
      </c>
    </row>
    <row r="1464" spans="3:6" x14ac:dyDescent="0.25">
      <c r="D1464" s="19" t="s">
        <v>1203</v>
      </c>
      <c r="E1464" s="19" t="s">
        <v>784</v>
      </c>
      <c r="F1464">
        <v>0</v>
      </c>
    </row>
    <row r="1465" spans="3:6" x14ac:dyDescent="0.25">
      <c r="D1465" s="19" t="s">
        <v>1204</v>
      </c>
      <c r="E1465" s="19" t="s">
        <v>1205</v>
      </c>
      <c r="F1465">
        <v>0</v>
      </c>
    </row>
    <row r="1466" spans="3:6" x14ac:dyDescent="0.25">
      <c r="D1466" s="19" t="s">
        <v>1206</v>
      </c>
      <c r="E1466" s="19" t="s">
        <v>1207</v>
      </c>
      <c r="F1466">
        <v>0</v>
      </c>
    </row>
    <row r="1467" spans="3:6" x14ac:dyDescent="0.25">
      <c r="D1467" s="19" t="s">
        <v>1208</v>
      </c>
      <c r="E1467" s="19" t="s">
        <v>1209</v>
      </c>
      <c r="F1467">
        <v>0</v>
      </c>
    </row>
    <row r="1468" spans="3:6" x14ac:dyDescent="0.25">
      <c r="D1468" s="19" t="s">
        <v>1210</v>
      </c>
      <c r="E1468" s="19" t="s">
        <v>1211</v>
      </c>
      <c r="F1468">
        <v>0</v>
      </c>
    </row>
    <row r="1469" spans="3:6" x14ac:dyDescent="0.25">
      <c r="D1469" s="19" t="s">
        <v>1212</v>
      </c>
      <c r="E1469" s="19" t="s">
        <v>789</v>
      </c>
      <c r="F1469">
        <v>0</v>
      </c>
    </row>
    <row r="1470" spans="3:6" x14ac:dyDescent="0.25">
      <c r="D1470" s="19" t="s">
        <v>1213</v>
      </c>
      <c r="E1470" s="19" t="s">
        <v>1214</v>
      </c>
      <c r="F1470">
        <v>0</v>
      </c>
    </row>
    <row r="1471" spans="3:6" x14ac:dyDescent="0.25">
      <c r="D1471" s="19" t="s">
        <v>1215</v>
      </c>
      <c r="E1471" s="19" t="s">
        <v>1216</v>
      </c>
      <c r="F1471">
        <v>0</v>
      </c>
    </row>
    <row r="1472" spans="3:6" x14ac:dyDescent="0.25">
      <c r="D1472" s="19" t="s">
        <v>1217</v>
      </c>
      <c r="E1472" s="19" t="s">
        <v>791</v>
      </c>
      <c r="F1472">
        <v>0</v>
      </c>
    </row>
    <row r="1473" spans="1:6" x14ac:dyDescent="0.25">
      <c r="D1473" s="19" t="s">
        <v>1218</v>
      </c>
      <c r="E1473" s="19" t="s">
        <v>795</v>
      </c>
      <c r="F1473">
        <v>0</v>
      </c>
    </row>
    <row r="1474" spans="1:6" x14ac:dyDescent="0.25">
      <c r="D1474" s="19" t="s">
        <v>1199</v>
      </c>
      <c r="E1474" s="19" t="s">
        <v>273</v>
      </c>
      <c r="F1474">
        <v>1</v>
      </c>
    </row>
    <row r="1475" spans="1:6" x14ac:dyDescent="0.25">
      <c r="D1475" s="19" t="s">
        <v>1200</v>
      </c>
      <c r="E1475" s="19" t="s">
        <v>312</v>
      </c>
      <c r="F1475">
        <v>1</v>
      </c>
    </row>
    <row r="1476" spans="1:6" x14ac:dyDescent="0.25">
      <c r="D1476" s="19" t="s">
        <v>1201</v>
      </c>
      <c r="E1476" s="19" t="s">
        <v>801</v>
      </c>
      <c r="F1476">
        <v>1</v>
      </c>
    </row>
    <row r="1477" spans="1:6" x14ac:dyDescent="0.25">
      <c r="D1477" s="19" t="s">
        <v>1219</v>
      </c>
      <c r="E1477" s="19" t="s">
        <v>372</v>
      </c>
      <c r="F1477">
        <v>0</v>
      </c>
    </row>
    <row r="1478" spans="1:6" x14ac:dyDescent="0.25">
      <c r="A1478" s="3">
        <v>213</v>
      </c>
      <c r="B1478" s="15" t="s">
        <v>70</v>
      </c>
      <c r="C1478" s="19" t="s">
        <v>1366</v>
      </c>
      <c r="D1478" s="19" t="s">
        <v>1367</v>
      </c>
      <c r="E1478" s="19" t="s">
        <v>1368</v>
      </c>
      <c r="F1478">
        <v>0</v>
      </c>
    </row>
    <row r="1479" spans="1:6" x14ac:dyDescent="0.25">
      <c r="D1479" s="19" t="s">
        <v>1369</v>
      </c>
      <c r="E1479" s="19" t="s">
        <v>1370</v>
      </c>
      <c r="F1479">
        <v>0</v>
      </c>
    </row>
    <row r="1480" spans="1:6" x14ac:dyDescent="0.25">
      <c r="D1480" s="19" t="s">
        <v>1377</v>
      </c>
      <c r="E1480" s="19" t="s">
        <v>875</v>
      </c>
      <c r="F1480">
        <v>1</v>
      </c>
    </row>
    <row r="1481" spans="1:6" x14ac:dyDescent="0.25">
      <c r="D1481" s="19" t="s">
        <v>1389</v>
      </c>
      <c r="E1481" s="19" t="s">
        <v>551</v>
      </c>
      <c r="F1481">
        <v>1</v>
      </c>
    </row>
    <row r="1482" spans="1:6" x14ac:dyDescent="0.25">
      <c r="D1482" s="19" t="s">
        <v>1388</v>
      </c>
      <c r="E1482" s="19" t="s">
        <v>539</v>
      </c>
      <c r="F1482">
        <v>1</v>
      </c>
    </row>
    <row r="1483" spans="1:6" x14ac:dyDescent="0.25">
      <c r="D1483" s="19" t="s">
        <v>1378</v>
      </c>
      <c r="E1483" s="19" t="s">
        <v>541</v>
      </c>
      <c r="F1483">
        <v>1</v>
      </c>
    </row>
    <row r="1484" spans="1:6" x14ac:dyDescent="0.25">
      <c r="D1484" s="19" t="s">
        <v>1379</v>
      </c>
      <c r="E1484" s="19" t="s">
        <v>1380</v>
      </c>
      <c r="F1484">
        <v>0</v>
      </c>
    </row>
    <row r="1485" spans="1:6" x14ac:dyDescent="0.25">
      <c r="D1485" s="19" t="s">
        <v>1381</v>
      </c>
      <c r="E1485" s="19" t="s">
        <v>1382</v>
      </c>
      <c r="F1485">
        <v>0</v>
      </c>
    </row>
    <row r="1486" spans="1:6" x14ac:dyDescent="0.25">
      <c r="D1486" s="19" t="s">
        <v>1371</v>
      </c>
      <c r="E1486" s="19" t="s">
        <v>283</v>
      </c>
      <c r="F1486">
        <v>1</v>
      </c>
    </row>
    <row r="1487" spans="1:6" x14ac:dyDescent="0.25">
      <c r="D1487" s="19" t="s">
        <v>1372</v>
      </c>
      <c r="E1487" s="19" t="s">
        <v>1373</v>
      </c>
      <c r="F1487">
        <v>0</v>
      </c>
    </row>
    <row r="1488" spans="1:6" x14ac:dyDescent="0.25">
      <c r="D1488" s="19" t="s">
        <v>1374</v>
      </c>
      <c r="E1488" s="19" t="s">
        <v>1375</v>
      </c>
      <c r="F1488">
        <v>0</v>
      </c>
    </row>
    <row r="1489" spans="1:6" x14ac:dyDescent="0.25">
      <c r="D1489" s="19" t="s">
        <v>1376</v>
      </c>
      <c r="E1489" s="19" t="s">
        <v>531</v>
      </c>
      <c r="F1489">
        <v>1</v>
      </c>
    </row>
    <row r="1490" spans="1:6" x14ac:dyDescent="0.25">
      <c r="D1490" s="19" t="s">
        <v>1383</v>
      </c>
      <c r="E1490" s="19" t="s">
        <v>1384</v>
      </c>
      <c r="F1490">
        <v>0</v>
      </c>
    </row>
    <row r="1491" spans="1:6" x14ac:dyDescent="0.25">
      <c r="D1491" s="19" t="s">
        <v>1385</v>
      </c>
      <c r="E1491" s="19" t="s">
        <v>1386</v>
      </c>
      <c r="F1491">
        <v>0</v>
      </c>
    </row>
    <row r="1492" spans="1:6" x14ac:dyDescent="0.25">
      <c r="D1492" s="19" t="s">
        <v>1387</v>
      </c>
      <c r="E1492" s="19" t="s">
        <v>295</v>
      </c>
      <c r="F1492">
        <v>1</v>
      </c>
    </row>
    <row r="1493" spans="1:6" x14ac:dyDescent="0.25">
      <c r="A1493" s="3">
        <v>214</v>
      </c>
      <c r="B1493" s="15" t="s">
        <v>71</v>
      </c>
      <c r="C1493" s="19" t="s">
        <v>302</v>
      </c>
      <c r="D1493" s="19" t="s">
        <v>309</v>
      </c>
      <c r="E1493" s="19" t="s">
        <v>310</v>
      </c>
      <c r="F1493">
        <v>1</v>
      </c>
    </row>
    <row r="1494" spans="1:6" x14ac:dyDescent="0.25">
      <c r="D1494" s="19" t="s">
        <v>335</v>
      </c>
      <c r="E1494" s="19" t="s">
        <v>326</v>
      </c>
      <c r="F1494">
        <v>2</v>
      </c>
    </row>
    <row r="1495" spans="1:6" x14ac:dyDescent="0.25">
      <c r="D1495" s="19" t="s">
        <v>327</v>
      </c>
      <c r="E1495" s="19" t="s">
        <v>328</v>
      </c>
      <c r="F1495">
        <v>2</v>
      </c>
    </row>
    <row r="1496" spans="1:6" x14ac:dyDescent="0.25">
      <c r="D1496" s="19" t="s">
        <v>329</v>
      </c>
      <c r="E1496" s="19" t="s">
        <v>330</v>
      </c>
      <c r="F1496">
        <v>2</v>
      </c>
    </row>
    <row r="1497" spans="1:6" x14ac:dyDescent="0.25">
      <c r="D1497" s="19" t="s">
        <v>317</v>
      </c>
      <c r="E1497" s="19" t="s">
        <v>318</v>
      </c>
      <c r="F1497">
        <v>1</v>
      </c>
    </row>
    <row r="1498" spans="1:6" x14ac:dyDescent="0.25">
      <c r="D1498" s="19" t="s">
        <v>319</v>
      </c>
      <c r="E1498" s="19" t="s">
        <v>320</v>
      </c>
      <c r="F1498">
        <v>2</v>
      </c>
    </row>
    <row r="1499" spans="1:6" x14ac:dyDescent="0.25">
      <c r="D1499" s="19" t="s">
        <v>321</v>
      </c>
      <c r="E1499" s="19" t="s">
        <v>322</v>
      </c>
      <c r="F1499">
        <v>0</v>
      </c>
    </row>
    <row r="1500" spans="1:6" x14ac:dyDescent="0.25">
      <c r="D1500" s="19" t="s">
        <v>331</v>
      </c>
      <c r="E1500" s="19" t="s">
        <v>332</v>
      </c>
      <c r="F1500">
        <v>2</v>
      </c>
    </row>
    <row r="1501" spans="1:6" x14ac:dyDescent="0.25">
      <c r="D1501" s="19" t="s">
        <v>303</v>
      </c>
      <c r="E1501" s="19" t="s">
        <v>304</v>
      </c>
      <c r="F1501">
        <v>1</v>
      </c>
    </row>
    <row r="1502" spans="1:6" x14ac:dyDescent="0.25">
      <c r="D1502" s="19" t="s">
        <v>305</v>
      </c>
      <c r="E1502" s="19" t="s">
        <v>306</v>
      </c>
      <c r="F1502">
        <v>1</v>
      </c>
    </row>
    <row r="1503" spans="1:6" x14ac:dyDescent="0.25">
      <c r="D1503" s="19" t="s">
        <v>307</v>
      </c>
      <c r="E1503" s="19" t="s">
        <v>308</v>
      </c>
      <c r="F1503">
        <v>1</v>
      </c>
    </row>
    <row r="1504" spans="1:6" x14ac:dyDescent="0.25">
      <c r="D1504" s="19" t="s">
        <v>333</v>
      </c>
      <c r="E1504" s="19" t="s">
        <v>334</v>
      </c>
      <c r="F1504">
        <v>2</v>
      </c>
    </row>
    <row r="1505" spans="1:6" x14ac:dyDescent="0.25">
      <c r="D1505" s="19" t="s">
        <v>325</v>
      </c>
      <c r="E1505" s="19" t="s">
        <v>336</v>
      </c>
      <c r="F1505">
        <v>2</v>
      </c>
    </row>
    <row r="1506" spans="1:6" x14ac:dyDescent="0.25">
      <c r="D1506" s="19" t="s">
        <v>311</v>
      </c>
      <c r="E1506" s="19" t="s">
        <v>312</v>
      </c>
      <c r="F1506">
        <v>1</v>
      </c>
    </row>
    <row r="1507" spans="1:6" x14ac:dyDescent="0.25">
      <c r="D1507" s="19" t="s">
        <v>313</v>
      </c>
      <c r="E1507" s="19" t="s">
        <v>314</v>
      </c>
      <c r="F1507">
        <v>1</v>
      </c>
    </row>
    <row r="1508" spans="1:6" x14ac:dyDescent="0.25">
      <c r="D1508" s="19" t="s">
        <v>315</v>
      </c>
      <c r="E1508" s="19" t="s">
        <v>316</v>
      </c>
      <c r="F1508">
        <v>1</v>
      </c>
    </row>
    <row r="1509" spans="1:6" x14ac:dyDescent="0.25">
      <c r="D1509" s="19" t="s">
        <v>323</v>
      </c>
      <c r="E1509" s="19" t="s">
        <v>324</v>
      </c>
      <c r="F1509">
        <v>1</v>
      </c>
    </row>
    <row r="1510" spans="1:6" x14ac:dyDescent="0.25">
      <c r="A1510" s="3">
        <v>217</v>
      </c>
      <c r="B1510" s="15" t="s">
        <v>72</v>
      </c>
      <c r="C1510" s="19" t="s">
        <v>1155</v>
      </c>
      <c r="D1510" s="19" t="s">
        <v>1156</v>
      </c>
      <c r="E1510" s="19" t="s">
        <v>273</v>
      </c>
      <c r="F1510">
        <v>1</v>
      </c>
    </row>
    <row r="1511" spans="1:6" x14ac:dyDescent="0.25">
      <c r="C1511" s="19"/>
      <c r="D1511" s="19" t="s">
        <v>1157</v>
      </c>
      <c r="E1511" s="19" t="s">
        <v>844</v>
      </c>
      <c r="F1511">
        <v>1</v>
      </c>
    </row>
    <row r="1512" spans="1:6" x14ac:dyDescent="0.25">
      <c r="C1512" s="19"/>
      <c r="D1512" s="19" t="s">
        <v>1158</v>
      </c>
      <c r="E1512" s="19" t="s">
        <v>1159</v>
      </c>
      <c r="F1512">
        <v>2</v>
      </c>
    </row>
    <row r="1513" spans="1:6" x14ac:dyDescent="0.25">
      <c r="C1513" s="19"/>
      <c r="D1513" s="19" t="s">
        <v>1160</v>
      </c>
      <c r="E1513" s="19" t="s">
        <v>1161</v>
      </c>
      <c r="F1513">
        <v>1</v>
      </c>
    </row>
    <row r="1514" spans="1:6" x14ac:dyDescent="0.25">
      <c r="C1514" s="19"/>
      <c r="D1514" s="19" t="s">
        <v>1162</v>
      </c>
      <c r="E1514" s="19" t="s">
        <v>1163</v>
      </c>
      <c r="F1514">
        <v>2</v>
      </c>
    </row>
    <row r="1515" spans="1:6" x14ac:dyDescent="0.25">
      <c r="C1515" s="19"/>
      <c r="D1515" s="19" t="s">
        <v>1164</v>
      </c>
      <c r="E1515" s="19" t="s">
        <v>1165</v>
      </c>
      <c r="F1515">
        <v>1</v>
      </c>
    </row>
    <row r="1516" spans="1:6" x14ac:dyDescent="0.25">
      <c r="C1516" s="19"/>
      <c r="D1516" s="19" t="s">
        <v>1166</v>
      </c>
      <c r="E1516" s="19" t="s">
        <v>295</v>
      </c>
      <c r="F1516">
        <v>1</v>
      </c>
    </row>
    <row r="1517" spans="1:6" x14ac:dyDescent="0.25">
      <c r="C1517" s="19"/>
      <c r="D1517" s="19" t="s">
        <v>1167</v>
      </c>
      <c r="E1517" s="19" t="s">
        <v>1168</v>
      </c>
      <c r="F1517">
        <v>1</v>
      </c>
    </row>
    <row r="1518" spans="1:6" x14ac:dyDescent="0.25">
      <c r="A1518" s="3">
        <v>222</v>
      </c>
      <c r="B1518" s="15" t="s">
        <v>73</v>
      </c>
      <c r="C1518" s="19" t="s">
        <v>1492</v>
      </c>
      <c r="D1518" s="19" t="s">
        <v>1493</v>
      </c>
      <c r="E1518" s="19" t="s">
        <v>1494</v>
      </c>
      <c r="F1518">
        <v>1</v>
      </c>
    </row>
    <row r="1519" spans="1:6" x14ac:dyDescent="0.25">
      <c r="C1519" s="19"/>
      <c r="D1519" s="19" t="s">
        <v>1495</v>
      </c>
      <c r="E1519" s="19" t="s">
        <v>1496</v>
      </c>
      <c r="F1519">
        <v>1</v>
      </c>
    </row>
    <row r="1520" spans="1:6" x14ac:dyDescent="0.25">
      <c r="C1520" s="19"/>
      <c r="D1520" s="19" t="s">
        <v>1497</v>
      </c>
      <c r="E1520" s="19" t="s">
        <v>306</v>
      </c>
      <c r="F1520">
        <v>1</v>
      </c>
    </row>
    <row r="1521" spans="3:6" x14ac:dyDescent="0.25">
      <c r="C1521" s="19"/>
      <c r="D1521" s="19" t="s">
        <v>1498</v>
      </c>
      <c r="E1521" s="19" t="s">
        <v>1499</v>
      </c>
      <c r="F1521">
        <v>0</v>
      </c>
    </row>
    <row r="1522" spans="3:6" x14ac:dyDescent="0.25">
      <c r="C1522" s="19"/>
      <c r="D1522" s="19" t="s">
        <v>1500</v>
      </c>
      <c r="E1522" s="19" t="s">
        <v>1397</v>
      </c>
      <c r="F1522">
        <v>1</v>
      </c>
    </row>
    <row r="1523" spans="3:6" x14ac:dyDescent="0.25">
      <c r="C1523" s="19"/>
      <c r="D1523" s="19" t="s">
        <v>1501</v>
      </c>
      <c r="E1523" s="19" t="s">
        <v>1502</v>
      </c>
      <c r="F1523">
        <v>1</v>
      </c>
    </row>
    <row r="1524" spans="3:6" x14ac:dyDescent="0.25">
      <c r="C1524" s="19"/>
      <c r="D1524" s="19" t="s">
        <v>1503</v>
      </c>
      <c r="E1524" s="19" t="s">
        <v>1504</v>
      </c>
      <c r="F1524">
        <v>0</v>
      </c>
    </row>
    <row r="1525" spans="3:6" x14ac:dyDescent="0.25">
      <c r="C1525" s="19"/>
      <c r="D1525" s="19" t="s">
        <v>1505</v>
      </c>
      <c r="E1525" s="19" t="s">
        <v>1506</v>
      </c>
      <c r="F1525">
        <v>0</v>
      </c>
    </row>
    <row r="1526" spans="3:6" x14ac:dyDescent="0.25">
      <c r="C1526" s="19"/>
      <c r="D1526" s="19" t="s">
        <v>1507</v>
      </c>
      <c r="E1526" s="19" t="s">
        <v>611</v>
      </c>
      <c r="F1526">
        <v>1</v>
      </c>
    </row>
    <row r="1527" spans="3:6" x14ac:dyDescent="0.25">
      <c r="C1527" s="19"/>
      <c r="D1527" s="19" t="s">
        <v>1508</v>
      </c>
      <c r="E1527" s="19" t="s">
        <v>1509</v>
      </c>
      <c r="F1527">
        <v>1</v>
      </c>
    </row>
    <row r="1528" spans="3:6" x14ac:dyDescent="0.25">
      <c r="C1528" s="19"/>
      <c r="D1528" s="19" t="s">
        <v>1510</v>
      </c>
      <c r="E1528" s="19" t="s">
        <v>613</v>
      </c>
      <c r="F1528">
        <v>0</v>
      </c>
    </row>
    <row r="1529" spans="3:6" x14ac:dyDescent="0.25">
      <c r="C1529" s="19"/>
      <c r="D1529" s="19" t="s">
        <v>1511</v>
      </c>
      <c r="E1529" s="19" t="s">
        <v>1419</v>
      </c>
      <c r="F1529">
        <v>2</v>
      </c>
    </row>
    <row r="1530" spans="3:6" x14ac:dyDescent="0.25">
      <c r="C1530" s="19"/>
      <c r="D1530" s="19" t="s">
        <v>1512</v>
      </c>
      <c r="E1530" s="19" t="s">
        <v>621</v>
      </c>
      <c r="F1530">
        <v>0</v>
      </c>
    </row>
    <row r="1531" spans="3:6" x14ac:dyDescent="0.25">
      <c r="C1531" s="19"/>
      <c r="D1531" s="19" t="s">
        <v>1513</v>
      </c>
      <c r="E1531" s="19" t="s">
        <v>1422</v>
      </c>
      <c r="F1531">
        <v>1</v>
      </c>
    </row>
    <row r="1532" spans="3:6" x14ac:dyDescent="0.25">
      <c r="C1532" s="19"/>
      <c r="D1532" s="19" t="s">
        <v>1514</v>
      </c>
      <c r="E1532" s="19" t="s">
        <v>614</v>
      </c>
      <c r="F1532">
        <v>1</v>
      </c>
    </row>
    <row r="1533" spans="3:6" x14ac:dyDescent="0.25">
      <c r="C1533" s="19"/>
      <c r="D1533" s="19" t="s">
        <v>1515</v>
      </c>
      <c r="E1533" s="19" t="s">
        <v>615</v>
      </c>
      <c r="F1533">
        <v>0</v>
      </c>
    </row>
    <row r="1534" spans="3:6" x14ac:dyDescent="0.25">
      <c r="C1534" s="19"/>
      <c r="D1534" s="19" t="s">
        <v>1516</v>
      </c>
      <c r="E1534" s="19" t="s">
        <v>1517</v>
      </c>
      <c r="F1534">
        <v>1</v>
      </c>
    </row>
    <row r="1535" spans="3:6" x14ac:dyDescent="0.25">
      <c r="C1535" s="19"/>
      <c r="D1535" s="19" t="s">
        <v>1518</v>
      </c>
      <c r="E1535" s="19" t="s">
        <v>1519</v>
      </c>
      <c r="F1535">
        <v>1</v>
      </c>
    </row>
    <row r="1536" spans="3:6" x14ac:dyDescent="0.25">
      <c r="C1536" s="19"/>
      <c r="D1536" s="19" t="s">
        <v>1520</v>
      </c>
      <c r="E1536" s="19" t="s">
        <v>1521</v>
      </c>
      <c r="F1536">
        <v>1</v>
      </c>
    </row>
    <row r="1537" spans="1:6" x14ac:dyDescent="0.25">
      <c r="C1537" s="19"/>
      <c r="D1537" s="19" t="s">
        <v>1522</v>
      </c>
      <c r="E1537" s="19" t="s">
        <v>1523</v>
      </c>
      <c r="F1537">
        <v>0</v>
      </c>
    </row>
    <row r="1538" spans="1:6" x14ac:dyDescent="0.25">
      <c r="C1538" s="19"/>
      <c r="D1538" s="19" t="s">
        <v>1524</v>
      </c>
      <c r="E1538" s="19" t="s">
        <v>1525</v>
      </c>
      <c r="F1538">
        <v>2</v>
      </c>
    </row>
    <row r="1539" spans="1:6" x14ac:dyDescent="0.25">
      <c r="C1539" s="19"/>
      <c r="D1539" s="19" t="s">
        <v>1526</v>
      </c>
      <c r="E1539" s="19" t="s">
        <v>1527</v>
      </c>
      <c r="F1539">
        <v>1</v>
      </c>
    </row>
    <row r="1540" spans="1:6" x14ac:dyDescent="0.25">
      <c r="C1540" s="19"/>
      <c r="D1540" s="19" t="s">
        <v>1528</v>
      </c>
      <c r="E1540" s="19" t="s">
        <v>1529</v>
      </c>
      <c r="F1540">
        <v>2</v>
      </c>
    </row>
    <row r="1541" spans="1:6" x14ac:dyDescent="0.25">
      <c r="C1541" s="19"/>
      <c r="D1541" s="19" t="s">
        <v>1530</v>
      </c>
      <c r="E1541" s="19" t="s">
        <v>1430</v>
      </c>
      <c r="F1541">
        <v>1</v>
      </c>
    </row>
    <row r="1542" spans="1:6" x14ac:dyDescent="0.25">
      <c r="C1542" s="19"/>
      <c r="D1542" s="19" t="s">
        <v>1531</v>
      </c>
      <c r="E1542" s="19" t="s">
        <v>503</v>
      </c>
      <c r="F1542">
        <v>1</v>
      </c>
    </row>
    <row r="1543" spans="1:6" x14ac:dyDescent="0.25">
      <c r="C1543" s="19"/>
      <c r="D1543" s="19" t="s">
        <v>1532</v>
      </c>
      <c r="E1543" s="19" t="s">
        <v>1533</v>
      </c>
      <c r="F1543">
        <v>0</v>
      </c>
    </row>
    <row r="1544" spans="1:6" x14ac:dyDescent="0.25">
      <c r="C1544" s="19"/>
      <c r="D1544" s="19" t="s">
        <v>1534</v>
      </c>
      <c r="E1544" s="19" t="s">
        <v>1535</v>
      </c>
      <c r="F1544">
        <v>1</v>
      </c>
    </row>
    <row r="1545" spans="1:6" x14ac:dyDescent="0.25">
      <c r="A1545" s="3">
        <v>228</v>
      </c>
      <c r="B1545" s="15" t="s">
        <v>74</v>
      </c>
      <c r="C1545" s="19" t="s">
        <v>1685</v>
      </c>
      <c r="D1545" s="19" t="s">
        <v>1686</v>
      </c>
      <c r="E1545" s="19" t="s">
        <v>1687</v>
      </c>
      <c r="F1545">
        <v>0</v>
      </c>
    </row>
    <row r="1546" spans="1:6" x14ac:dyDescent="0.25">
      <c r="C1546" s="19"/>
      <c r="D1546" s="19" t="s">
        <v>1688</v>
      </c>
      <c r="E1546" s="19" t="s">
        <v>1689</v>
      </c>
      <c r="F1546">
        <v>0</v>
      </c>
    </row>
    <row r="1547" spans="1:6" x14ac:dyDescent="0.25">
      <c r="C1547" s="19"/>
      <c r="D1547" s="19" t="s">
        <v>1690</v>
      </c>
      <c r="E1547" s="19" t="s">
        <v>1691</v>
      </c>
      <c r="F1547">
        <v>0</v>
      </c>
    </row>
    <row r="1548" spans="1:6" x14ac:dyDescent="0.25">
      <c r="C1548" s="19"/>
      <c r="D1548" s="19" t="s">
        <v>1692</v>
      </c>
      <c r="E1548" s="19" t="s">
        <v>1693</v>
      </c>
      <c r="F1548">
        <v>2</v>
      </c>
    </row>
    <row r="1549" spans="1:6" x14ac:dyDescent="0.25">
      <c r="C1549" s="19"/>
      <c r="D1549" s="19" t="s">
        <v>1694</v>
      </c>
      <c r="E1549" s="19" t="s">
        <v>1695</v>
      </c>
      <c r="F1549">
        <v>1</v>
      </c>
    </row>
    <row r="1550" spans="1:6" x14ac:dyDescent="0.25">
      <c r="C1550" s="19"/>
      <c r="D1550" s="19" t="s">
        <v>1696</v>
      </c>
      <c r="E1550" s="19" t="s">
        <v>1697</v>
      </c>
      <c r="F1550" s="7">
        <v>0</v>
      </c>
    </row>
    <row r="1551" spans="1:6" x14ac:dyDescent="0.25">
      <c r="C1551" s="19"/>
      <c r="D1551" s="19" t="s">
        <v>1698</v>
      </c>
      <c r="E1551" s="19" t="s">
        <v>1699</v>
      </c>
      <c r="F1551">
        <v>0</v>
      </c>
    </row>
    <row r="1552" spans="1:6" x14ac:dyDescent="0.25">
      <c r="C1552" s="19"/>
      <c r="D1552" s="19" t="s">
        <v>1700</v>
      </c>
      <c r="E1552" s="19" t="s">
        <v>1701</v>
      </c>
      <c r="F1552">
        <v>2</v>
      </c>
    </row>
    <row r="1553" spans="1:6" x14ac:dyDescent="0.25">
      <c r="C1553" s="19"/>
      <c r="D1553" s="19" t="s">
        <v>1702</v>
      </c>
      <c r="E1553" s="19" t="s">
        <v>314</v>
      </c>
      <c r="F1553">
        <v>1</v>
      </c>
    </row>
    <row r="1554" spans="1:6" x14ac:dyDescent="0.25">
      <c r="C1554" s="19"/>
      <c r="D1554" s="19" t="s">
        <v>1703</v>
      </c>
      <c r="E1554" s="19" t="s">
        <v>1704</v>
      </c>
      <c r="F1554">
        <v>2</v>
      </c>
    </row>
    <row r="1555" spans="1:6" x14ac:dyDescent="0.25">
      <c r="C1555" s="19"/>
      <c r="D1555" s="19" t="s">
        <v>1705</v>
      </c>
      <c r="E1555" s="19" t="s">
        <v>1706</v>
      </c>
      <c r="F1555">
        <v>0</v>
      </c>
    </row>
    <row r="1556" spans="1:6" x14ac:dyDescent="0.25">
      <c r="C1556" s="19"/>
      <c r="D1556" s="19" t="s">
        <v>1707</v>
      </c>
      <c r="E1556" s="19" t="s">
        <v>1708</v>
      </c>
      <c r="F1556">
        <v>1</v>
      </c>
    </row>
    <row r="1557" spans="1:6" x14ac:dyDescent="0.25">
      <c r="C1557" s="19"/>
      <c r="D1557" s="19" t="s">
        <v>1709</v>
      </c>
      <c r="E1557" s="19" t="s">
        <v>1710</v>
      </c>
      <c r="F1557">
        <v>0</v>
      </c>
    </row>
    <row r="1558" spans="1:6" x14ac:dyDescent="0.25">
      <c r="C1558" s="19"/>
      <c r="D1558" s="19" t="s">
        <v>1711</v>
      </c>
      <c r="E1558" s="19" t="s">
        <v>1124</v>
      </c>
      <c r="F1558">
        <v>1</v>
      </c>
    </row>
    <row r="1559" spans="1:6" x14ac:dyDescent="0.25">
      <c r="A1559" s="3">
        <v>234</v>
      </c>
      <c r="B1559" s="15" t="s">
        <v>75</v>
      </c>
      <c r="C1559" s="19" t="s">
        <v>818</v>
      </c>
      <c r="D1559" s="19" t="s">
        <v>819</v>
      </c>
      <c r="E1559" s="19" t="s">
        <v>820</v>
      </c>
      <c r="F1559">
        <v>1</v>
      </c>
    </row>
    <row r="1560" spans="1:6" x14ac:dyDescent="0.25">
      <c r="C1560" s="19"/>
      <c r="D1560" s="19" t="s">
        <v>821</v>
      </c>
      <c r="E1560" s="19" t="s">
        <v>822</v>
      </c>
      <c r="F1560">
        <v>0</v>
      </c>
    </row>
    <row r="1561" spans="1:6" x14ac:dyDescent="0.25">
      <c r="C1561" s="19"/>
      <c r="D1561" s="19" t="s">
        <v>823</v>
      </c>
      <c r="E1561" s="19" t="s">
        <v>306</v>
      </c>
      <c r="F1561">
        <v>1</v>
      </c>
    </row>
    <row r="1562" spans="1:6" x14ac:dyDescent="0.25">
      <c r="C1562" s="19"/>
      <c r="D1562" s="19" t="s">
        <v>824</v>
      </c>
      <c r="E1562" s="19" t="s">
        <v>825</v>
      </c>
      <c r="F1562">
        <v>0</v>
      </c>
    </row>
    <row r="1563" spans="1:6" x14ac:dyDescent="0.25">
      <c r="C1563" s="19"/>
      <c r="D1563" s="19" t="s">
        <v>826</v>
      </c>
      <c r="E1563" s="19" t="s">
        <v>827</v>
      </c>
      <c r="F1563">
        <v>1</v>
      </c>
    </row>
    <row r="1564" spans="1:6" x14ac:dyDescent="0.25">
      <c r="C1564" s="19"/>
      <c r="D1564" s="19" t="s">
        <v>828</v>
      </c>
      <c r="E1564" s="19" t="s">
        <v>312</v>
      </c>
      <c r="F1564">
        <v>1</v>
      </c>
    </row>
    <row r="1565" spans="1:6" x14ac:dyDescent="0.25">
      <c r="C1565" s="19"/>
      <c r="D1565" s="19" t="s">
        <v>829</v>
      </c>
      <c r="E1565" s="19" t="s">
        <v>316</v>
      </c>
      <c r="F1565">
        <v>1</v>
      </c>
    </row>
    <row r="1566" spans="1:6" x14ac:dyDescent="0.25">
      <c r="C1566" s="19"/>
      <c r="D1566" s="19" t="s">
        <v>830</v>
      </c>
      <c r="E1566" s="19" t="s">
        <v>314</v>
      </c>
      <c r="F1566">
        <v>1</v>
      </c>
    </row>
    <row r="1567" spans="1:6" x14ac:dyDescent="0.25">
      <c r="C1567" s="19"/>
      <c r="D1567" s="19" t="s">
        <v>831</v>
      </c>
      <c r="E1567" s="19" t="s">
        <v>832</v>
      </c>
      <c r="F1567">
        <v>1</v>
      </c>
    </row>
    <row r="1568" spans="1:6" x14ac:dyDescent="0.25">
      <c r="C1568" s="19"/>
      <c r="D1568" s="19" t="s">
        <v>833</v>
      </c>
      <c r="E1568" s="19" t="s">
        <v>834</v>
      </c>
      <c r="F1568">
        <v>0</v>
      </c>
    </row>
    <row r="1569" spans="1:6" x14ac:dyDescent="0.25">
      <c r="C1569" s="19"/>
      <c r="D1569" s="19" t="s">
        <v>835</v>
      </c>
      <c r="E1569" s="19" t="s">
        <v>836</v>
      </c>
      <c r="F1569">
        <v>1</v>
      </c>
    </row>
    <row r="1570" spans="1:6" x14ac:dyDescent="0.25">
      <c r="C1570" s="19"/>
      <c r="D1570" s="19" t="s">
        <v>837</v>
      </c>
      <c r="E1570" s="19" t="s">
        <v>838</v>
      </c>
      <c r="F1570">
        <v>1</v>
      </c>
    </row>
    <row r="1571" spans="1:6" x14ac:dyDescent="0.25">
      <c r="C1571" s="19"/>
      <c r="D1571" s="19" t="s">
        <v>839</v>
      </c>
      <c r="E1571" s="19" t="s">
        <v>840</v>
      </c>
      <c r="F1571">
        <v>0</v>
      </c>
    </row>
    <row r="1572" spans="1:6" x14ac:dyDescent="0.25">
      <c r="C1572" s="19"/>
      <c r="D1572" s="19" t="s">
        <v>841</v>
      </c>
      <c r="E1572" s="19" t="s">
        <v>842</v>
      </c>
      <c r="F1572">
        <v>1</v>
      </c>
    </row>
    <row r="1573" spans="1:6" x14ac:dyDescent="0.25">
      <c r="C1573" s="19"/>
      <c r="D1573" s="19" t="s">
        <v>843</v>
      </c>
      <c r="E1573" s="19" t="s">
        <v>844</v>
      </c>
      <c r="F1573">
        <v>1</v>
      </c>
    </row>
    <row r="1574" spans="1:6" x14ac:dyDescent="0.25">
      <c r="C1574" s="19"/>
      <c r="D1574" s="19" t="s">
        <v>845</v>
      </c>
      <c r="E1574" s="19" t="s">
        <v>846</v>
      </c>
      <c r="F1574">
        <v>0</v>
      </c>
    </row>
    <row r="1575" spans="1:6" x14ac:dyDescent="0.25">
      <c r="C1575" s="19"/>
      <c r="D1575" s="19" t="s">
        <v>847</v>
      </c>
      <c r="E1575" s="19" t="s">
        <v>848</v>
      </c>
      <c r="F1575">
        <v>0</v>
      </c>
    </row>
    <row r="1576" spans="1:6" x14ac:dyDescent="0.25">
      <c r="C1576" s="19"/>
      <c r="D1576" s="19" t="s">
        <v>849</v>
      </c>
      <c r="E1576" s="19" t="s">
        <v>850</v>
      </c>
      <c r="F1576">
        <v>0</v>
      </c>
    </row>
    <row r="1577" spans="1:6" x14ac:dyDescent="0.25">
      <c r="C1577" s="19"/>
      <c r="D1577" s="19" t="s">
        <v>851</v>
      </c>
      <c r="E1577" s="19" t="s">
        <v>852</v>
      </c>
      <c r="F1577">
        <v>1</v>
      </c>
    </row>
    <row r="1578" spans="1:6" x14ac:dyDescent="0.25">
      <c r="C1578" s="19"/>
      <c r="D1578" s="19" t="s">
        <v>853</v>
      </c>
      <c r="E1578" s="19" t="s">
        <v>854</v>
      </c>
      <c r="F1578">
        <v>1</v>
      </c>
    </row>
    <row r="1579" spans="1:6" x14ac:dyDescent="0.25">
      <c r="C1579" s="19"/>
      <c r="D1579" s="19" t="s">
        <v>855</v>
      </c>
      <c r="E1579" s="19" t="s">
        <v>856</v>
      </c>
      <c r="F1579">
        <v>0</v>
      </c>
    </row>
    <row r="1580" spans="1:6" x14ac:dyDescent="0.25">
      <c r="C1580" s="19"/>
      <c r="D1580" s="19" t="s">
        <v>857</v>
      </c>
      <c r="E1580" s="19" t="s">
        <v>858</v>
      </c>
      <c r="F1580">
        <v>0</v>
      </c>
    </row>
    <row r="1581" spans="1:6" x14ac:dyDescent="0.25">
      <c r="A1581" s="3">
        <v>236</v>
      </c>
      <c r="B1581" s="15" t="s">
        <v>76</v>
      </c>
      <c r="C1581" s="19" t="s">
        <v>581</v>
      </c>
      <c r="D1581" s="19" t="s">
        <v>582</v>
      </c>
      <c r="E1581" s="19" t="s">
        <v>583</v>
      </c>
      <c r="F1581">
        <v>1</v>
      </c>
    </row>
    <row r="1582" spans="1:6" x14ac:dyDescent="0.25">
      <c r="C1582" s="19"/>
      <c r="D1582" s="19" t="s">
        <v>584</v>
      </c>
      <c r="E1582" s="19" t="s">
        <v>306</v>
      </c>
      <c r="F1582">
        <v>1</v>
      </c>
    </row>
    <row r="1583" spans="1:6" x14ac:dyDescent="0.25">
      <c r="C1583" s="19"/>
      <c r="D1583" s="19" t="s">
        <v>585</v>
      </c>
      <c r="E1583" s="19" t="s">
        <v>586</v>
      </c>
      <c r="F1583">
        <v>1</v>
      </c>
    </row>
    <row r="1584" spans="1:6" x14ac:dyDescent="0.25">
      <c r="C1584" s="19"/>
      <c r="D1584" s="19" t="s">
        <v>587</v>
      </c>
      <c r="E1584" s="19" t="s">
        <v>588</v>
      </c>
      <c r="F1584">
        <v>1</v>
      </c>
    </row>
    <row r="1585" spans="1:6" x14ac:dyDescent="0.25">
      <c r="C1585" s="19"/>
      <c r="D1585" s="19" t="s">
        <v>589</v>
      </c>
      <c r="E1585" s="19" t="s">
        <v>312</v>
      </c>
      <c r="F1585">
        <v>1</v>
      </c>
    </row>
    <row r="1586" spans="1:6" x14ac:dyDescent="0.25">
      <c r="C1586" s="19"/>
      <c r="D1586" s="19" t="s">
        <v>590</v>
      </c>
      <c r="E1586" s="19" t="s">
        <v>493</v>
      </c>
      <c r="F1586">
        <v>0</v>
      </c>
    </row>
    <row r="1587" spans="1:6" x14ac:dyDescent="0.25">
      <c r="C1587" s="19"/>
      <c r="D1587" s="19" t="s">
        <v>591</v>
      </c>
      <c r="E1587" s="19" t="s">
        <v>314</v>
      </c>
      <c r="F1587">
        <v>1</v>
      </c>
    </row>
    <row r="1588" spans="1:6" x14ac:dyDescent="0.25">
      <c r="C1588" s="19"/>
      <c r="D1588" s="19" t="s">
        <v>592</v>
      </c>
      <c r="E1588" s="19" t="s">
        <v>275</v>
      </c>
      <c r="F1588">
        <v>1</v>
      </c>
    </row>
    <row r="1589" spans="1:6" x14ac:dyDescent="0.25">
      <c r="C1589" s="19"/>
      <c r="D1589" s="19" t="s">
        <v>593</v>
      </c>
      <c r="E1589" s="19" t="s">
        <v>594</v>
      </c>
      <c r="F1589">
        <v>1</v>
      </c>
    </row>
    <row r="1590" spans="1:6" x14ac:dyDescent="0.25">
      <c r="C1590" s="19"/>
      <c r="D1590" s="19" t="s">
        <v>595</v>
      </c>
      <c r="E1590" s="19" t="s">
        <v>349</v>
      </c>
      <c r="F1590">
        <v>1</v>
      </c>
    </row>
    <row r="1591" spans="1:6" x14ac:dyDescent="0.25">
      <c r="C1591" s="19"/>
      <c r="D1591" s="19" t="s">
        <v>596</v>
      </c>
      <c r="E1591" s="19" t="s">
        <v>597</v>
      </c>
      <c r="F1591">
        <v>1</v>
      </c>
    </row>
    <row r="1592" spans="1:6" x14ac:dyDescent="0.25">
      <c r="C1592" s="19"/>
      <c r="D1592" s="19" t="s">
        <v>598</v>
      </c>
      <c r="E1592" s="19" t="s">
        <v>599</v>
      </c>
      <c r="F1592">
        <v>1</v>
      </c>
    </row>
    <row r="1593" spans="1:6" x14ac:dyDescent="0.25">
      <c r="C1593" s="19"/>
      <c r="D1593" s="19" t="s">
        <v>600</v>
      </c>
      <c r="E1593" s="19" t="s">
        <v>601</v>
      </c>
      <c r="F1593">
        <v>0</v>
      </c>
    </row>
    <row r="1594" spans="1:6" x14ac:dyDescent="0.25">
      <c r="C1594" s="19"/>
      <c r="D1594" s="19" t="s">
        <v>602</v>
      </c>
      <c r="E1594" s="19" t="s">
        <v>603</v>
      </c>
      <c r="F1594">
        <v>1</v>
      </c>
    </row>
    <row r="1595" spans="1:6" x14ac:dyDescent="0.25">
      <c r="C1595" s="19"/>
      <c r="D1595" s="19" t="s">
        <v>604</v>
      </c>
      <c r="E1595" s="19" t="s">
        <v>605</v>
      </c>
      <c r="F1595">
        <v>1</v>
      </c>
    </row>
    <row r="1596" spans="1:6" x14ac:dyDescent="0.25">
      <c r="C1596" s="19"/>
      <c r="D1596" s="19" t="s">
        <v>606</v>
      </c>
      <c r="E1596" s="19" t="s">
        <v>503</v>
      </c>
      <c r="F1596">
        <v>0</v>
      </c>
    </row>
    <row r="1597" spans="1:6" x14ac:dyDescent="0.25">
      <c r="C1597" s="19"/>
      <c r="D1597" s="19" t="s">
        <v>607</v>
      </c>
      <c r="E1597" s="19" t="s">
        <v>505</v>
      </c>
      <c r="F1597">
        <v>1</v>
      </c>
    </row>
    <row r="1598" spans="1:6" x14ac:dyDescent="0.25">
      <c r="C1598" s="19"/>
      <c r="D1598" s="19" t="s">
        <v>608</v>
      </c>
      <c r="E1598" s="19" t="s">
        <v>609</v>
      </c>
      <c r="F1598">
        <v>1</v>
      </c>
    </row>
    <row r="1599" spans="1:6" x14ac:dyDescent="0.25">
      <c r="A1599" s="3">
        <v>241</v>
      </c>
      <c r="B1599" s="15" t="s">
        <v>77</v>
      </c>
      <c r="C1599" s="19" t="s">
        <v>581</v>
      </c>
      <c r="D1599" s="19" t="s">
        <v>582</v>
      </c>
      <c r="E1599" s="19" t="s">
        <v>583</v>
      </c>
      <c r="F1599">
        <v>1</v>
      </c>
    </row>
    <row r="1600" spans="1:6" x14ac:dyDescent="0.25">
      <c r="C1600" s="19"/>
      <c r="D1600" s="19" t="s">
        <v>584</v>
      </c>
      <c r="E1600" s="19" t="s">
        <v>306</v>
      </c>
      <c r="F1600">
        <v>1</v>
      </c>
    </row>
    <row r="1601" spans="3:6" x14ac:dyDescent="0.25">
      <c r="C1601" s="19"/>
      <c r="D1601" s="19" t="s">
        <v>585</v>
      </c>
      <c r="E1601" s="19" t="s">
        <v>586</v>
      </c>
      <c r="F1601">
        <v>1</v>
      </c>
    </row>
    <row r="1602" spans="3:6" x14ac:dyDescent="0.25">
      <c r="C1602" s="19"/>
      <c r="D1602" s="19" t="s">
        <v>587</v>
      </c>
      <c r="E1602" s="19" t="s">
        <v>588</v>
      </c>
      <c r="F1602">
        <v>1</v>
      </c>
    </row>
    <row r="1603" spans="3:6" x14ac:dyDescent="0.25">
      <c r="C1603" s="19"/>
      <c r="D1603" s="19" t="s">
        <v>589</v>
      </c>
      <c r="E1603" s="19" t="s">
        <v>312</v>
      </c>
      <c r="F1603">
        <v>1</v>
      </c>
    </row>
    <row r="1604" spans="3:6" x14ac:dyDescent="0.25">
      <c r="C1604" s="19"/>
      <c r="D1604" s="19" t="s">
        <v>590</v>
      </c>
      <c r="E1604" s="19" t="s">
        <v>493</v>
      </c>
      <c r="F1604">
        <v>1</v>
      </c>
    </row>
    <row r="1605" spans="3:6" x14ac:dyDescent="0.25">
      <c r="C1605" s="19"/>
      <c r="D1605" s="19" t="s">
        <v>591</v>
      </c>
      <c r="E1605" s="19" t="s">
        <v>314</v>
      </c>
      <c r="F1605">
        <v>1</v>
      </c>
    </row>
    <row r="1606" spans="3:6" x14ac:dyDescent="0.25">
      <c r="C1606" s="19"/>
      <c r="D1606" s="19" t="s">
        <v>592</v>
      </c>
      <c r="E1606" s="19" t="s">
        <v>275</v>
      </c>
      <c r="F1606">
        <v>1</v>
      </c>
    </row>
    <row r="1607" spans="3:6" x14ac:dyDescent="0.25">
      <c r="C1607" s="19"/>
      <c r="D1607" s="19" t="s">
        <v>593</v>
      </c>
      <c r="E1607" s="19" t="s">
        <v>594</v>
      </c>
      <c r="F1607">
        <v>1</v>
      </c>
    </row>
    <row r="1608" spans="3:6" x14ac:dyDescent="0.25">
      <c r="C1608" s="19"/>
      <c r="D1608" s="19" t="s">
        <v>595</v>
      </c>
      <c r="E1608" s="19" t="s">
        <v>349</v>
      </c>
      <c r="F1608">
        <v>1</v>
      </c>
    </row>
    <row r="1609" spans="3:6" x14ac:dyDescent="0.25">
      <c r="C1609" s="19"/>
      <c r="D1609" s="19" t="s">
        <v>596</v>
      </c>
      <c r="E1609" s="19" t="s">
        <v>597</v>
      </c>
      <c r="F1609">
        <v>1</v>
      </c>
    </row>
    <row r="1610" spans="3:6" x14ac:dyDescent="0.25">
      <c r="C1610" s="19"/>
      <c r="D1610" s="19" t="s">
        <v>598</v>
      </c>
      <c r="E1610" s="19" t="s">
        <v>599</v>
      </c>
      <c r="F1610">
        <v>1</v>
      </c>
    </row>
    <row r="1611" spans="3:6" x14ac:dyDescent="0.25">
      <c r="C1611" s="19"/>
      <c r="D1611" s="19" t="s">
        <v>600</v>
      </c>
      <c r="E1611" s="19" t="s">
        <v>601</v>
      </c>
      <c r="F1611">
        <v>1</v>
      </c>
    </row>
    <row r="1612" spans="3:6" x14ac:dyDescent="0.25">
      <c r="C1612" s="19"/>
      <c r="D1612" s="19" t="s">
        <v>602</v>
      </c>
      <c r="E1612" s="19" t="s">
        <v>603</v>
      </c>
      <c r="F1612">
        <v>1</v>
      </c>
    </row>
    <row r="1613" spans="3:6" x14ac:dyDescent="0.25">
      <c r="C1613" s="19"/>
      <c r="D1613" s="19" t="s">
        <v>604</v>
      </c>
      <c r="E1613" s="19" t="s">
        <v>605</v>
      </c>
      <c r="F1613">
        <v>1</v>
      </c>
    </row>
    <row r="1614" spans="3:6" x14ac:dyDescent="0.25">
      <c r="C1614" s="19"/>
      <c r="D1614" s="19" t="s">
        <v>606</v>
      </c>
      <c r="E1614" s="19" t="s">
        <v>503</v>
      </c>
      <c r="F1614">
        <v>1</v>
      </c>
    </row>
    <row r="1615" spans="3:6" x14ac:dyDescent="0.25">
      <c r="C1615" s="19"/>
      <c r="D1615" s="19" t="s">
        <v>607</v>
      </c>
      <c r="E1615" s="19" t="s">
        <v>505</v>
      </c>
      <c r="F1615">
        <v>1</v>
      </c>
    </row>
    <row r="1616" spans="3:6" x14ac:dyDescent="0.25">
      <c r="C1616" s="19"/>
      <c r="D1616" s="19" t="s">
        <v>608</v>
      </c>
      <c r="E1616" s="19" t="s">
        <v>609</v>
      </c>
      <c r="F1616">
        <v>1</v>
      </c>
    </row>
    <row r="1617" spans="1:6" x14ac:dyDescent="0.25">
      <c r="A1617" s="3">
        <v>242</v>
      </c>
      <c r="B1617" s="15" t="s">
        <v>77</v>
      </c>
      <c r="C1617" s="19" t="s">
        <v>581</v>
      </c>
      <c r="D1617" s="19" t="s">
        <v>582</v>
      </c>
      <c r="E1617" s="19" t="s">
        <v>583</v>
      </c>
      <c r="F1617">
        <v>1</v>
      </c>
    </row>
    <row r="1618" spans="1:6" x14ac:dyDescent="0.25">
      <c r="C1618" s="19"/>
      <c r="D1618" s="19" t="s">
        <v>584</v>
      </c>
      <c r="E1618" s="19" t="s">
        <v>306</v>
      </c>
      <c r="F1618">
        <v>1</v>
      </c>
    </row>
    <row r="1619" spans="1:6" x14ac:dyDescent="0.25">
      <c r="C1619" s="19"/>
      <c r="D1619" s="19" t="s">
        <v>585</v>
      </c>
      <c r="E1619" s="19" t="s">
        <v>586</v>
      </c>
      <c r="F1619">
        <v>1</v>
      </c>
    </row>
    <row r="1620" spans="1:6" x14ac:dyDescent="0.25">
      <c r="C1620" s="19"/>
      <c r="D1620" s="19" t="s">
        <v>587</v>
      </c>
      <c r="E1620" s="19" t="s">
        <v>588</v>
      </c>
      <c r="F1620">
        <v>1</v>
      </c>
    </row>
    <row r="1621" spans="1:6" x14ac:dyDescent="0.25">
      <c r="C1621" s="19"/>
      <c r="D1621" s="19" t="s">
        <v>589</v>
      </c>
      <c r="E1621" s="19" t="s">
        <v>312</v>
      </c>
      <c r="F1621">
        <v>1</v>
      </c>
    </row>
    <row r="1622" spans="1:6" x14ac:dyDescent="0.25">
      <c r="C1622" s="19"/>
      <c r="D1622" s="19" t="s">
        <v>590</v>
      </c>
      <c r="E1622" s="19" t="s">
        <v>493</v>
      </c>
      <c r="F1622">
        <v>1</v>
      </c>
    </row>
    <row r="1623" spans="1:6" x14ac:dyDescent="0.25">
      <c r="C1623" s="19"/>
      <c r="D1623" s="19" t="s">
        <v>591</v>
      </c>
      <c r="E1623" s="19" t="s">
        <v>314</v>
      </c>
      <c r="F1623">
        <v>1</v>
      </c>
    </row>
    <row r="1624" spans="1:6" x14ac:dyDescent="0.25">
      <c r="C1624" s="19"/>
      <c r="D1624" s="19" t="s">
        <v>592</v>
      </c>
      <c r="E1624" s="19" t="s">
        <v>275</v>
      </c>
      <c r="F1624">
        <v>1</v>
      </c>
    </row>
    <row r="1625" spans="1:6" x14ac:dyDescent="0.25">
      <c r="C1625" s="19"/>
      <c r="D1625" s="19" t="s">
        <v>593</v>
      </c>
      <c r="E1625" s="19" t="s">
        <v>594</v>
      </c>
      <c r="F1625">
        <v>1</v>
      </c>
    </row>
    <row r="1626" spans="1:6" x14ac:dyDescent="0.25">
      <c r="C1626" s="19"/>
      <c r="D1626" s="19" t="s">
        <v>595</v>
      </c>
      <c r="E1626" s="19" t="s">
        <v>349</v>
      </c>
      <c r="F1626">
        <v>1</v>
      </c>
    </row>
    <row r="1627" spans="1:6" x14ac:dyDescent="0.25">
      <c r="C1627" s="19"/>
      <c r="D1627" s="19" t="s">
        <v>596</v>
      </c>
      <c r="E1627" s="19" t="s">
        <v>597</v>
      </c>
      <c r="F1627">
        <v>1</v>
      </c>
    </row>
    <row r="1628" spans="1:6" x14ac:dyDescent="0.25">
      <c r="C1628" s="19"/>
      <c r="D1628" s="19" t="s">
        <v>598</v>
      </c>
      <c r="E1628" s="19" t="s">
        <v>599</v>
      </c>
      <c r="F1628">
        <v>1</v>
      </c>
    </row>
    <row r="1629" spans="1:6" x14ac:dyDescent="0.25">
      <c r="C1629" s="19"/>
      <c r="D1629" s="19" t="s">
        <v>600</v>
      </c>
      <c r="E1629" s="19" t="s">
        <v>601</v>
      </c>
      <c r="F1629">
        <v>1</v>
      </c>
    </row>
    <row r="1630" spans="1:6" x14ac:dyDescent="0.25">
      <c r="C1630" s="19"/>
      <c r="D1630" s="19" t="s">
        <v>602</v>
      </c>
      <c r="E1630" s="19" t="s">
        <v>603</v>
      </c>
      <c r="F1630">
        <v>1</v>
      </c>
    </row>
    <row r="1631" spans="1:6" x14ac:dyDescent="0.25">
      <c r="C1631" s="19"/>
      <c r="D1631" s="19" t="s">
        <v>604</v>
      </c>
      <c r="E1631" s="19" t="s">
        <v>605</v>
      </c>
      <c r="F1631">
        <v>1</v>
      </c>
    </row>
    <row r="1632" spans="1:6" x14ac:dyDescent="0.25">
      <c r="C1632" s="19"/>
      <c r="D1632" s="19" t="s">
        <v>606</v>
      </c>
      <c r="E1632" s="19" t="s">
        <v>503</v>
      </c>
      <c r="F1632">
        <v>1</v>
      </c>
    </row>
    <row r="1633" spans="1:6" x14ac:dyDescent="0.25">
      <c r="C1633" s="19"/>
      <c r="D1633" s="19" t="s">
        <v>607</v>
      </c>
      <c r="E1633" s="19" t="s">
        <v>505</v>
      </c>
      <c r="F1633">
        <v>1</v>
      </c>
    </row>
    <row r="1634" spans="1:6" x14ac:dyDescent="0.25">
      <c r="C1634" s="19"/>
      <c r="D1634" s="19" t="s">
        <v>608</v>
      </c>
      <c r="E1634" s="19" t="s">
        <v>609</v>
      </c>
      <c r="F1634">
        <v>1</v>
      </c>
    </row>
    <row r="1635" spans="1:6" x14ac:dyDescent="0.25">
      <c r="A1635" s="3">
        <v>243</v>
      </c>
      <c r="B1635" s="15" t="s">
        <v>78</v>
      </c>
      <c r="C1635" s="19" t="s">
        <v>1292</v>
      </c>
      <c r="D1635" s="19" t="s">
        <v>1293</v>
      </c>
      <c r="E1635" s="19" t="s">
        <v>304</v>
      </c>
      <c r="F1635">
        <v>1</v>
      </c>
    </row>
    <row r="1636" spans="1:6" x14ac:dyDescent="0.25">
      <c r="C1636" s="19"/>
      <c r="D1636" s="19" t="s">
        <v>1294</v>
      </c>
      <c r="E1636" s="19" t="s">
        <v>306</v>
      </c>
      <c r="F1636">
        <v>1</v>
      </c>
    </row>
    <row r="1637" spans="1:6" x14ac:dyDescent="0.25">
      <c r="C1637" s="19"/>
      <c r="D1637" s="19" t="s">
        <v>1295</v>
      </c>
      <c r="E1637" s="19" t="s">
        <v>1296</v>
      </c>
      <c r="F1637">
        <v>1</v>
      </c>
    </row>
    <row r="1638" spans="1:6" x14ac:dyDescent="0.25">
      <c r="C1638" s="19"/>
      <c r="D1638" s="19" t="s">
        <v>1297</v>
      </c>
      <c r="E1638" s="19" t="s">
        <v>729</v>
      </c>
      <c r="F1638">
        <v>1</v>
      </c>
    </row>
    <row r="1639" spans="1:6" x14ac:dyDescent="0.25">
      <c r="C1639" s="19"/>
      <c r="D1639" s="19" t="s">
        <v>1298</v>
      </c>
      <c r="E1639" s="19" t="s">
        <v>343</v>
      </c>
      <c r="F1639">
        <v>1</v>
      </c>
    </row>
    <row r="1640" spans="1:6" x14ac:dyDescent="0.25">
      <c r="C1640" s="19"/>
      <c r="D1640" s="19" t="s">
        <v>1299</v>
      </c>
      <c r="E1640" s="19" t="s">
        <v>1300</v>
      </c>
      <c r="F1640">
        <v>1</v>
      </c>
    </row>
    <row r="1641" spans="1:6" x14ac:dyDescent="0.25">
      <c r="C1641" s="19"/>
      <c r="D1641" s="19" t="s">
        <v>1301</v>
      </c>
      <c r="E1641" s="19" t="s">
        <v>734</v>
      </c>
      <c r="F1641">
        <v>1</v>
      </c>
    </row>
    <row r="1642" spans="1:6" x14ac:dyDescent="0.25">
      <c r="C1642" s="19"/>
      <c r="D1642" s="19" t="s">
        <v>1302</v>
      </c>
      <c r="E1642" s="19" t="s">
        <v>1303</v>
      </c>
      <c r="F1642">
        <v>1</v>
      </c>
    </row>
    <row r="1643" spans="1:6" x14ac:dyDescent="0.25">
      <c r="C1643" s="19"/>
      <c r="D1643" s="19" t="s">
        <v>1304</v>
      </c>
      <c r="E1643" s="19" t="s">
        <v>1305</v>
      </c>
      <c r="F1643">
        <v>1</v>
      </c>
    </row>
    <row r="1644" spans="1:6" x14ac:dyDescent="0.25">
      <c r="C1644" s="19"/>
      <c r="D1644" s="19" t="s">
        <v>1306</v>
      </c>
      <c r="E1644" s="19" t="s">
        <v>1307</v>
      </c>
      <c r="F1644">
        <v>1</v>
      </c>
    </row>
    <row r="1645" spans="1:6" x14ac:dyDescent="0.25">
      <c r="C1645" s="19"/>
      <c r="D1645" s="19" t="s">
        <v>1308</v>
      </c>
      <c r="E1645" s="19" t="s">
        <v>875</v>
      </c>
      <c r="F1645">
        <v>1</v>
      </c>
    </row>
    <row r="1646" spans="1:6" x14ac:dyDescent="0.25">
      <c r="C1646" s="19"/>
      <c r="D1646" s="19" t="s">
        <v>1309</v>
      </c>
      <c r="E1646" s="19" t="s">
        <v>759</v>
      </c>
      <c r="F1646">
        <v>1</v>
      </c>
    </row>
    <row r="1647" spans="1:6" x14ac:dyDescent="0.25">
      <c r="C1647" s="19"/>
      <c r="D1647" s="19" t="s">
        <v>1310</v>
      </c>
      <c r="E1647" s="19" t="s">
        <v>755</v>
      </c>
      <c r="F1647">
        <v>1</v>
      </c>
    </row>
    <row r="1648" spans="1:6" x14ac:dyDescent="0.25">
      <c r="C1648" s="19"/>
      <c r="D1648" s="19" t="s">
        <v>1311</v>
      </c>
      <c r="E1648" s="19" t="s">
        <v>757</v>
      </c>
      <c r="F1648">
        <v>1</v>
      </c>
    </row>
    <row r="1649" spans="1:6" x14ac:dyDescent="0.25">
      <c r="A1649" s="3">
        <v>244</v>
      </c>
      <c r="B1649" s="15" t="s">
        <v>78</v>
      </c>
      <c r="C1649" s="19" t="s">
        <v>1292</v>
      </c>
      <c r="D1649" s="19" t="s">
        <v>1293</v>
      </c>
      <c r="E1649" s="19" t="s">
        <v>304</v>
      </c>
      <c r="F1649">
        <v>1</v>
      </c>
    </row>
    <row r="1650" spans="1:6" x14ac:dyDescent="0.25">
      <c r="C1650" s="19"/>
      <c r="D1650" s="19" t="s">
        <v>1294</v>
      </c>
      <c r="E1650" s="19" t="s">
        <v>306</v>
      </c>
      <c r="F1650">
        <v>1</v>
      </c>
    </row>
    <row r="1651" spans="1:6" x14ac:dyDescent="0.25">
      <c r="C1651" s="19"/>
      <c r="D1651" s="19" t="s">
        <v>1295</v>
      </c>
      <c r="E1651" s="19" t="s">
        <v>1296</v>
      </c>
      <c r="F1651">
        <v>1</v>
      </c>
    </row>
    <row r="1652" spans="1:6" x14ac:dyDescent="0.25">
      <c r="C1652" s="19"/>
      <c r="D1652" s="19" t="s">
        <v>1297</v>
      </c>
      <c r="E1652" s="19" t="s">
        <v>729</v>
      </c>
      <c r="F1652">
        <v>1</v>
      </c>
    </row>
    <row r="1653" spans="1:6" x14ac:dyDescent="0.25">
      <c r="C1653" s="19"/>
      <c r="D1653" s="19" t="s">
        <v>1298</v>
      </c>
      <c r="E1653" s="19" t="s">
        <v>343</v>
      </c>
      <c r="F1653">
        <v>1</v>
      </c>
    </row>
    <row r="1654" spans="1:6" x14ac:dyDescent="0.25">
      <c r="C1654" s="19"/>
      <c r="D1654" s="19" t="s">
        <v>1299</v>
      </c>
      <c r="E1654" s="19" t="s">
        <v>1300</v>
      </c>
      <c r="F1654">
        <v>0</v>
      </c>
    </row>
    <row r="1655" spans="1:6" x14ac:dyDescent="0.25">
      <c r="C1655" s="19"/>
      <c r="D1655" s="19" t="s">
        <v>1301</v>
      </c>
      <c r="E1655" s="19" t="s">
        <v>734</v>
      </c>
      <c r="F1655">
        <v>1</v>
      </c>
    </row>
    <row r="1656" spans="1:6" x14ac:dyDescent="0.25">
      <c r="C1656" s="19"/>
      <c r="D1656" s="19" t="s">
        <v>1302</v>
      </c>
      <c r="E1656" s="19" t="s">
        <v>1303</v>
      </c>
      <c r="F1656">
        <v>1</v>
      </c>
    </row>
    <row r="1657" spans="1:6" x14ac:dyDescent="0.25">
      <c r="C1657" s="19"/>
      <c r="D1657" s="19" t="s">
        <v>1304</v>
      </c>
      <c r="E1657" s="19" t="s">
        <v>1305</v>
      </c>
      <c r="F1657">
        <v>1</v>
      </c>
    </row>
    <row r="1658" spans="1:6" x14ac:dyDescent="0.25">
      <c r="C1658" s="19"/>
      <c r="D1658" s="19" t="s">
        <v>1306</v>
      </c>
      <c r="E1658" s="19" t="s">
        <v>1307</v>
      </c>
      <c r="F1658">
        <v>1</v>
      </c>
    </row>
    <row r="1659" spans="1:6" x14ac:dyDescent="0.25">
      <c r="C1659" s="19"/>
      <c r="D1659" s="19" t="s">
        <v>1308</v>
      </c>
      <c r="E1659" s="19" t="s">
        <v>875</v>
      </c>
      <c r="F1659">
        <v>1</v>
      </c>
    </row>
    <row r="1660" spans="1:6" x14ac:dyDescent="0.25">
      <c r="C1660" s="19"/>
      <c r="D1660" s="19" t="s">
        <v>1309</v>
      </c>
      <c r="E1660" s="19" t="s">
        <v>759</v>
      </c>
      <c r="F1660">
        <v>1</v>
      </c>
    </row>
    <row r="1661" spans="1:6" x14ac:dyDescent="0.25">
      <c r="C1661" s="19"/>
      <c r="D1661" s="19" t="s">
        <v>1310</v>
      </c>
      <c r="E1661" s="19" t="s">
        <v>755</v>
      </c>
      <c r="F1661">
        <v>1</v>
      </c>
    </row>
    <row r="1662" spans="1:6" x14ac:dyDescent="0.25">
      <c r="C1662" s="19"/>
      <c r="D1662" s="19" t="s">
        <v>1311</v>
      </c>
      <c r="E1662" s="19" t="s">
        <v>757</v>
      </c>
      <c r="F1662">
        <v>1</v>
      </c>
    </row>
    <row r="1663" spans="1:6" x14ac:dyDescent="0.25">
      <c r="A1663" s="3">
        <v>250</v>
      </c>
      <c r="B1663" s="15" t="s">
        <v>79</v>
      </c>
      <c r="C1663" s="19" t="s">
        <v>581</v>
      </c>
      <c r="D1663" s="19" t="s">
        <v>582</v>
      </c>
      <c r="E1663" s="19" t="s">
        <v>583</v>
      </c>
      <c r="F1663">
        <v>1</v>
      </c>
    </row>
    <row r="1664" spans="1:6" x14ac:dyDescent="0.25">
      <c r="C1664" s="19"/>
      <c r="D1664" s="19" t="s">
        <v>584</v>
      </c>
      <c r="E1664" s="19" t="s">
        <v>306</v>
      </c>
      <c r="F1664">
        <v>1</v>
      </c>
    </row>
    <row r="1665" spans="3:6" x14ac:dyDescent="0.25">
      <c r="C1665" s="19"/>
      <c r="D1665" s="19" t="s">
        <v>585</v>
      </c>
      <c r="E1665" s="19" t="s">
        <v>586</v>
      </c>
      <c r="F1665">
        <v>1</v>
      </c>
    </row>
    <row r="1666" spans="3:6" x14ac:dyDescent="0.25">
      <c r="C1666" s="19"/>
      <c r="D1666" s="19" t="s">
        <v>587</v>
      </c>
      <c r="E1666" s="19" t="s">
        <v>588</v>
      </c>
      <c r="F1666">
        <v>1</v>
      </c>
    </row>
    <row r="1667" spans="3:6" x14ac:dyDescent="0.25">
      <c r="C1667" s="19"/>
      <c r="D1667" s="19" t="s">
        <v>589</v>
      </c>
      <c r="E1667" s="19" t="s">
        <v>312</v>
      </c>
      <c r="F1667">
        <v>1</v>
      </c>
    </row>
    <row r="1668" spans="3:6" x14ac:dyDescent="0.25">
      <c r="C1668" s="19"/>
      <c r="D1668" s="19" t="s">
        <v>590</v>
      </c>
      <c r="E1668" s="19" t="s">
        <v>493</v>
      </c>
      <c r="F1668">
        <v>1</v>
      </c>
    </row>
    <row r="1669" spans="3:6" x14ac:dyDescent="0.25">
      <c r="C1669" s="19"/>
      <c r="D1669" s="19" t="s">
        <v>591</v>
      </c>
      <c r="E1669" s="19" t="s">
        <v>314</v>
      </c>
      <c r="F1669">
        <v>1</v>
      </c>
    </row>
    <row r="1670" spans="3:6" x14ac:dyDescent="0.25">
      <c r="C1670" s="19"/>
      <c r="D1670" s="19" t="s">
        <v>592</v>
      </c>
      <c r="E1670" s="19" t="s">
        <v>275</v>
      </c>
      <c r="F1670">
        <v>1</v>
      </c>
    </row>
    <row r="1671" spans="3:6" x14ac:dyDescent="0.25">
      <c r="C1671" s="19"/>
      <c r="D1671" s="19" t="s">
        <v>593</v>
      </c>
      <c r="E1671" s="19" t="s">
        <v>594</v>
      </c>
      <c r="F1671">
        <v>1</v>
      </c>
    </row>
    <row r="1672" spans="3:6" x14ac:dyDescent="0.25">
      <c r="C1672" s="19"/>
      <c r="D1672" s="19" t="s">
        <v>595</v>
      </c>
      <c r="E1672" s="19" t="s">
        <v>349</v>
      </c>
      <c r="F1672">
        <v>1</v>
      </c>
    </row>
    <row r="1673" spans="3:6" x14ac:dyDescent="0.25">
      <c r="C1673" s="19"/>
      <c r="D1673" s="19" t="s">
        <v>596</v>
      </c>
      <c r="E1673" s="19" t="s">
        <v>597</v>
      </c>
      <c r="F1673">
        <v>1</v>
      </c>
    </row>
    <row r="1674" spans="3:6" x14ac:dyDescent="0.25">
      <c r="C1674" s="19"/>
      <c r="D1674" s="19" t="s">
        <v>598</v>
      </c>
      <c r="E1674" s="19" t="s">
        <v>599</v>
      </c>
      <c r="F1674">
        <v>1</v>
      </c>
    </row>
    <row r="1675" spans="3:6" x14ac:dyDescent="0.25">
      <c r="C1675" s="19"/>
      <c r="D1675" s="19" t="s">
        <v>600</v>
      </c>
      <c r="E1675" s="19" t="s">
        <v>601</v>
      </c>
      <c r="F1675">
        <v>1</v>
      </c>
    </row>
    <row r="1676" spans="3:6" x14ac:dyDescent="0.25">
      <c r="C1676" s="19"/>
      <c r="D1676" s="19" t="s">
        <v>602</v>
      </c>
      <c r="E1676" s="19" t="s">
        <v>603</v>
      </c>
      <c r="F1676">
        <v>1</v>
      </c>
    </row>
    <row r="1677" spans="3:6" x14ac:dyDescent="0.25">
      <c r="C1677" s="19"/>
      <c r="D1677" s="19" t="s">
        <v>604</v>
      </c>
      <c r="E1677" s="19" t="s">
        <v>605</v>
      </c>
      <c r="F1677">
        <v>1</v>
      </c>
    </row>
    <row r="1678" spans="3:6" x14ac:dyDescent="0.25">
      <c r="C1678" s="19"/>
      <c r="D1678" s="19" t="s">
        <v>606</v>
      </c>
      <c r="E1678" s="19" t="s">
        <v>503</v>
      </c>
      <c r="F1678">
        <v>1</v>
      </c>
    </row>
    <row r="1679" spans="3:6" x14ac:dyDescent="0.25">
      <c r="C1679" s="19"/>
      <c r="D1679" s="19" t="s">
        <v>607</v>
      </c>
      <c r="E1679" s="19" t="s">
        <v>505</v>
      </c>
      <c r="F1679">
        <v>1</v>
      </c>
    </row>
    <row r="1680" spans="3:6" x14ac:dyDescent="0.25">
      <c r="C1680" s="19"/>
      <c r="D1680" s="19" t="s">
        <v>608</v>
      </c>
      <c r="E1680" s="19" t="s">
        <v>609</v>
      </c>
      <c r="F1680">
        <v>1</v>
      </c>
    </row>
    <row r="1681" spans="1:6" x14ac:dyDescent="0.25">
      <c r="A1681" s="3">
        <v>255</v>
      </c>
      <c r="B1681" s="15" t="s">
        <v>80</v>
      </c>
      <c r="C1681" s="19" t="s">
        <v>1640</v>
      </c>
      <c r="D1681" s="19" t="s">
        <v>1641</v>
      </c>
      <c r="E1681" s="19" t="s">
        <v>640</v>
      </c>
      <c r="F1681">
        <v>1</v>
      </c>
    </row>
    <row r="1682" spans="1:6" x14ac:dyDescent="0.25">
      <c r="C1682" s="19"/>
      <c r="D1682" s="19" t="s">
        <v>1642</v>
      </c>
      <c r="E1682" s="19" t="s">
        <v>1643</v>
      </c>
      <c r="F1682">
        <v>1</v>
      </c>
    </row>
    <row r="1683" spans="1:6" x14ac:dyDescent="0.25">
      <c r="C1683" s="19"/>
      <c r="D1683" s="19" t="s">
        <v>1644</v>
      </c>
      <c r="E1683" s="19" t="s">
        <v>1645</v>
      </c>
      <c r="F1683">
        <v>0</v>
      </c>
    </row>
    <row r="1684" spans="1:6" x14ac:dyDescent="0.25">
      <c r="C1684" s="19"/>
      <c r="D1684" s="19" t="s">
        <v>1646</v>
      </c>
      <c r="E1684" s="19" t="s">
        <v>1647</v>
      </c>
      <c r="F1684">
        <v>1</v>
      </c>
    </row>
    <row r="1685" spans="1:6" x14ac:dyDescent="0.25">
      <c r="C1685" s="19"/>
      <c r="D1685" s="19" t="s">
        <v>1648</v>
      </c>
      <c r="E1685" s="19" t="s">
        <v>1649</v>
      </c>
      <c r="F1685">
        <v>1</v>
      </c>
    </row>
    <row r="1686" spans="1:6" x14ac:dyDescent="0.25">
      <c r="C1686" s="19"/>
      <c r="D1686" s="19" t="s">
        <v>1650</v>
      </c>
      <c r="E1686" s="19" t="s">
        <v>791</v>
      </c>
      <c r="F1686">
        <v>0</v>
      </c>
    </row>
    <row r="1687" spans="1:6" x14ac:dyDescent="0.25">
      <c r="C1687" s="19"/>
      <c r="D1687" s="19" t="s">
        <v>1651</v>
      </c>
      <c r="E1687" s="19" t="s">
        <v>1652</v>
      </c>
      <c r="F1687">
        <v>1</v>
      </c>
    </row>
    <row r="1688" spans="1:6" x14ac:dyDescent="0.25">
      <c r="C1688" s="19"/>
      <c r="D1688" s="19" t="s">
        <v>1653</v>
      </c>
      <c r="E1688" s="19" t="s">
        <v>1654</v>
      </c>
      <c r="F1688">
        <v>0</v>
      </c>
    </row>
    <row r="1689" spans="1:6" x14ac:dyDescent="0.25">
      <c r="A1689" s="3">
        <v>261</v>
      </c>
      <c r="B1689" s="15" t="s">
        <v>81</v>
      </c>
      <c r="C1689" s="19" t="s">
        <v>1155</v>
      </c>
      <c r="D1689" s="19" t="s">
        <v>1156</v>
      </c>
      <c r="E1689" s="19" t="s">
        <v>273</v>
      </c>
      <c r="F1689">
        <v>1</v>
      </c>
    </row>
    <row r="1690" spans="1:6" x14ac:dyDescent="0.25">
      <c r="C1690" s="19"/>
      <c r="D1690" s="19" t="s">
        <v>1157</v>
      </c>
      <c r="E1690" s="19" t="s">
        <v>844</v>
      </c>
      <c r="F1690">
        <v>1</v>
      </c>
    </row>
    <row r="1691" spans="1:6" x14ac:dyDescent="0.25">
      <c r="C1691" s="19"/>
      <c r="D1691" s="19" t="s">
        <v>1158</v>
      </c>
      <c r="E1691" s="19" t="s">
        <v>1159</v>
      </c>
      <c r="F1691">
        <v>2</v>
      </c>
    </row>
    <row r="1692" spans="1:6" x14ac:dyDescent="0.25">
      <c r="C1692" s="19"/>
      <c r="D1692" s="19" t="s">
        <v>1160</v>
      </c>
      <c r="E1692" s="19" t="s">
        <v>1161</v>
      </c>
      <c r="F1692">
        <v>2</v>
      </c>
    </row>
    <row r="1693" spans="1:6" x14ac:dyDescent="0.25">
      <c r="C1693" s="19"/>
      <c r="D1693" s="19" t="s">
        <v>1162</v>
      </c>
      <c r="E1693" s="19" t="s">
        <v>1163</v>
      </c>
      <c r="F1693" s="7">
        <v>2</v>
      </c>
    </row>
    <row r="1694" spans="1:6" x14ac:dyDescent="0.25">
      <c r="C1694" s="19"/>
      <c r="D1694" s="19" t="s">
        <v>1164</v>
      </c>
      <c r="E1694" s="19" t="s">
        <v>1165</v>
      </c>
      <c r="F1694" s="7">
        <v>2</v>
      </c>
    </row>
    <row r="1695" spans="1:6" x14ac:dyDescent="0.25">
      <c r="C1695" s="19"/>
      <c r="D1695" s="19" t="s">
        <v>1166</v>
      </c>
      <c r="E1695" s="19" t="s">
        <v>295</v>
      </c>
      <c r="F1695">
        <v>1</v>
      </c>
    </row>
    <row r="1696" spans="1:6" x14ac:dyDescent="0.25">
      <c r="C1696" s="19"/>
      <c r="D1696" s="19" t="s">
        <v>1167</v>
      </c>
      <c r="E1696" s="19" t="s">
        <v>1168</v>
      </c>
      <c r="F1696">
        <v>2</v>
      </c>
    </row>
    <row r="1697" spans="1:6" x14ac:dyDescent="0.25">
      <c r="A1697" s="3">
        <v>268</v>
      </c>
      <c r="B1697" s="15" t="s">
        <v>82</v>
      </c>
      <c r="C1697" s="19" t="s">
        <v>1366</v>
      </c>
      <c r="D1697" s="19" t="s">
        <v>1367</v>
      </c>
      <c r="E1697" s="19" t="s">
        <v>1368</v>
      </c>
      <c r="F1697">
        <v>0</v>
      </c>
    </row>
    <row r="1698" spans="1:6" x14ac:dyDescent="0.25">
      <c r="C1698" s="19"/>
      <c r="D1698" s="19" t="s">
        <v>1369</v>
      </c>
      <c r="E1698" s="19" t="s">
        <v>1370</v>
      </c>
      <c r="F1698">
        <v>0</v>
      </c>
    </row>
    <row r="1699" spans="1:6" x14ac:dyDescent="0.25">
      <c r="C1699" s="19"/>
      <c r="D1699" s="19" t="s">
        <v>1371</v>
      </c>
      <c r="E1699" s="19" t="s">
        <v>283</v>
      </c>
      <c r="F1699">
        <v>1</v>
      </c>
    </row>
    <row r="1700" spans="1:6" x14ac:dyDescent="0.25">
      <c r="C1700" s="19"/>
      <c r="D1700" s="19" t="s">
        <v>1372</v>
      </c>
      <c r="E1700" s="19" t="s">
        <v>1373</v>
      </c>
      <c r="F1700">
        <v>1</v>
      </c>
    </row>
    <row r="1701" spans="1:6" x14ac:dyDescent="0.25">
      <c r="C1701" s="19"/>
      <c r="D1701" s="19" t="s">
        <v>1374</v>
      </c>
      <c r="E1701" s="19" t="s">
        <v>1375</v>
      </c>
      <c r="F1701">
        <v>1</v>
      </c>
    </row>
    <row r="1702" spans="1:6" x14ac:dyDescent="0.25">
      <c r="C1702" s="19"/>
      <c r="D1702" s="19" t="s">
        <v>1376</v>
      </c>
      <c r="E1702" s="19" t="s">
        <v>531</v>
      </c>
      <c r="F1702">
        <v>1</v>
      </c>
    </row>
    <row r="1703" spans="1:6" x14ac:dyDescent="0.25">
      <c r="C1703" s="19"/>
      <c r="D1703" s="19" t="s">
        <v>1377</v>
      </c>
      <c r="E1703" s="19" t="s">
        <v>539</v>
      </c>
      <c r="F1703">
        <v>1</v>
      </c>
    </row>
    <row r="1704" spans="1:6" x14ac:dyDescent="0.25">
      <c r="C1704" s="19"/>
      <c r="D1704" s="19" t="s">
        <v>1378</v>
      </c>
      <c r="E1704" s="19" t="s">
        <v>541</v>
      </c>
      <c r="F1704">
        <v>1</v>
      </c>
    </row>
    <row r="1705" spans="1:6" x14ac:dyDescent="0.25">
      <c r="C1705" s="19"/>
      <c r="D1705" s="19" t="s">
        <v>1379</v>
      </c>
      <c r="E1705" s="19" t="s">
        <v>1380</v>
      </c>
      <c r="F1705">
        <v>1</v>
      </c>
    </row>
    <row r="1706" spans="1:6" x14ac:dyDescent="0.25">
      <c r="C1706" s="19"/>
      <c r="D1706" s="19" t="s">
        <v>1381</v>
      </c>
      <c r="E1706" s="19" t="s">
        <v>1382</v>
      </c>
      <c r="F1706">
        <v>0</v>
      </c>
    </row>
    <row r="1707" spans="1:6" x14ac:dyDescent="0.25">
      <c r="C1707" s="19"/>
      <c r="D1707" s="19" t="s">
        <v>1383</v>
      </c>
      <c r="E1707" s="19" t="s">
        <v>1384</v>
      </c>
      <c r="F1707">
        <v>0</v>
      </c>
    </row>
    <row r="1708" spans="1:6" x14ac:dyDescent="0.25">
      <c r="C1708" s="19"/>
      <c r="D1708" s="19" t="s">
        <v>1385</v>
      </c>
      <c r="E1708" s="19" t="s">
        <v>1386</v>
      </c>
      <c r="F1708">
        <v>1</v>
      </c>
    </row>
    <row r="1709" spans="1:6" x14ac:dyDescent="0.25">
      <c r="C1709" s="19"/>
      <c r="D1709" s="19" t="s">
        <v>1387</v>
      </c>
      <c r="E1709" s="19" t="s">
        <v>295</v>
      </c>
      <c r="F1709">
        <v>1</v>
      </c>
    </row>
    <row r="1710" spans="1:6" x14ac:dyDescent="0.25">
      <c r="C1710" s="19"/>
      <c r="D1710" s="19" t="s">
        <v>1388</v>
      </c>
      <c r="E1710" s="19" t="s">
        <v>875</v>
      </c>
      <c r="F1710">
        <v>1</v>
      </c>
    </row>
    <row r="1711" spans="1:6" x14ac:dyDescent="0.25">
      <c r="C1711" s="19"/>
      <c r="D1711" s="19" t="s">
        <v>1389</v>
      </c>
      <c r="E1711" s="19" t="s">
        <v>551</v>
      </c>
      <c r="F1711">
        <v>1</v>
      </c>
    </row>
    <row r="1712" spans="1:6" x14ac:dyDescent="0.25">
      <c r="A1712" s="3">
        <v>269</v>
      </c>
      <c r="B1712" s="15" t="s">
        <v>83</v>
      </c>
      <c r="C1712" s="19" t="s">
        <v>485</v>
      </c>
      <c r="D1712" s="19" t="s">
        <v>486</v>
      </c>
      <c r="E1712" s="19" t="s">
        <v>487</v>
      </c>
      <c r="F1712">
        <v>0</v>
      </c>
    </row>
    <row r="1713" spans="3:6" x14ac:dyDescent="0.25">
      <c r="C1713" s="19"/>
      <c r="D1713" s="19" t="s">
        <v>488</v>
      </c>
      <c r="E1713" s="19" t="s">
        <v>489</v>
      </c>
      <c r="F1713">
        <v>1</v>
      </c>
    </row>
    <row r="1714" spans="3:6" x14ac:dyDescent="0.25">
      <c r="C1714" s="19"/>
      <c r="D1714" s="19" t="s">
        <v>490</v>
      </c>
      <c r="E1714" s="19" t="s">
        <v>312</v>
      </c>
      <c r="F1714">
        <v>1</v>
      </c>
    </row>
    <row r="1715" spans="3:6" x14ac:dyDescent="0.25">
      <c r="C1715" s="19"/>
      <c r="D1715" s="19" t="s">
        <v>491</v>
      </c>
      <c r="E1715" s="19" t="s">
        <v>314</v>
      </c>
      <c r="F1715">
        <v>1</v>
      </c>
    </row>
    <row r="1716" spans="3:6" x14ac:dyDescent="0.25">
      <c r="C1716" s="19"/>
      <c r="D1716" s="19" t="s">
        <v>492</v>
      </c>
      <c r="E1716" s="19" t="s">
        <v>493</v>
      </c>
      <c r="F1716">
        <v>1</v>
      </c>
    </row>
    <row r="1717" spans="3:6" x14ac:dyDescent="0.25">
      <c r="C1717" s="19"/>
      <c r="D1717" s="19" t="s">
        <v>494</v>
      </c>
      <c r="E1717" s="19" t="s">
        <v>495</v>
      </c>
      <c r="F1717">
        <v>1</v>
      </c>
    </row>
    <row r="1718" spans="3:6" x14ac:dyDescent="0.25">
      <c r="C1718" s="19"/>
      <c r="D1718" s="19" t="s">
        <v>496</v>
      </c>
      <c r="E1718" s="19" t="s">
        <v>497</v>
      </c>
      <c r="F1718">
        <v>1</v>
      </c>
    </row>
    <row r="1719" spans="3:6" x14ac:dyDescent="0.25">
      <c r="C1719" s="19"/>
      <c r="D1719" s="19" t="s">
        <v>498</v>
      </c>
      <c r="E1719" s="19" t="s">
        <v>499</v>
      </c>
      <c r="F1719">
        <v>1</v>
      </c>
    </row>
    <row r="1720" spans="3:6" x14ac:dyDescent="0.25">
      <c r="C1720" s="19"/>
      <c r="D1720" s="19" t="s">
        <v>500</v>
      </c>
      <c r="E1720" s="19" t="s">
        <v>501</v>
      </c>
      <c r="F1720">
        <v>1</v>
      </c>
    </row>
    <row r="1721" spans="3:6" x14ac:dyDescent="0.25">
      <c r="C1721" s="19"/>
      <c r="D1721" s="19" t="s">
        <v>502</v>
      </c>
      <c r="E1721" s="19" t="s">
        <v>503</v>
      </c>
      <c r="F1721">
        <v>1</v>
      </c>
    </row>
    <row r="1722" spans="3:6" x14ac:dyDescent="0.25">
      <c r="C1722" s="19"/>
      <c r="D1722" s="19" t="s">
        <v>504</v>
      </c>
      <c r="E1722" s="19" t="s">
        <v>505</v>
      </c>
      <c r="F1722">
        <v>1</v>
      </c>
    </row>
    <row r="1723" spans="3:6" x14ac:dyDescent="0.25">
      <c r="C1723" s="19" t="s">
        <v>1655</v>
      </c>
      <c r="D1723" s="19" t="s">
        <v>1656</v>
      </c>
      <c r="E1723" s="19" t="s">
        <v>304</v>
      </c>
      <c r="F1723">
        <v>1</v>
      </c>
    </row>
    <row r="1724" spans="3:6" x14ac:dyDescent="0.25">
      <c r="C1724" s="19"/>
      <c r="D1724" s="19" t="s">
        <v>1657</v>
      </c>
      <c r="E1724" s="19" t="s">
        <v>306</v>
      </c>
      <c r="F1724">
        <v>1</v>
      </c>
    </row>
    <row r="1725" spans="3:6" x14ac:dyDescent="0.25">
      <c r="C1725" s="19"/>
      <c r="D1725" s="19" t="s">
        <v>1658</v>
      </c>
      <c r="E1725" s="19" t="s">
        <v>1659</v>
      </c>
      <c r="F1725">
        <v>1</v>
      </c>
    </row>
    <row r="1726" spans="3:6" x14ac:dyDescent="0.25">
      <c r="C1726" s="19"/>
      <c r="D1726" s="19" t="s">
        <v>1660</v>
      </c>
      <c r="E1726" s="19" t="s">
        <v>1661</v>
      </c>
      <c r="F1726">
        <v>1</v>
      </c>
    </row>
    <row r="1727" spans="3:6" x14ac:dyDescent="0.25">
      <c r="C1727" s="19"/>
      <c r="D1727" s="19" t="s">
        <v>1662</v>
      </c>
      <c r="E1727" s="19" t="s">
        <v>312</v>
      </c>
      <c r="F1727">
        <v>1</v>
      </c>
    </row>
    <row r="1728" spans="3:6" x14ac:dyDescent="0.25">
      <c r="C1728" s="19"/>
      <c r="D1728" s="19" t="s">
        <v>1663</v>
      </c>
      <c r="E1728" s="19" t="s">
        <v>314</v>
      </c>
      <c r="F1728">
        <v>1</v>
      </c>
    </row>
    <row r="1729" spans="3:6" x14ac:dyDescent="0.25">
      <c r="C1729" s="19"/>
      <c r="D1729" s="19" t="s">
        <v>1664</v>
      </c>
      <c r="E1729" s="19" t="s">
        <v>1665</v>
      </c>
      <c r="F1729">
        <v>1</v>
      </c>
    </row>
    <row r="1730" spans="3:6" x14ac:dyDescent="0.25">
      <c r="C1730" s="19"/>
      <c r="D1730" s="19" t="s">
        <v>1666</v>
      </c>
      <c r="E1730" s="19" t="s">
        <v>1667</v>
      </c>
      <c r="F1730">
        <v>1</v>
      </c>
    </row>
    <row r="1731" spans="3:6" x14ac:dyDescent="0.25">
      <c r="C1731" s="19" t="s">
        <v>957</v>
      </c>
      <c r="D1731" s="19" t="s">
        <v>958</v>
      </c>
      <c r="E1731" s="19" t="s">
        <v>959</v>
      </c>
      <c r="F1731">
        <v>2</v>
      </c>
    </row>
    <row r="1732" spans="3:6" x14ac:dyDescent="0.25">
      <c r="C1732" s="19"/>
      <c r="D1732" s="19" t="s">
        <v>960</v>
      </c>
      <c r="E1732" s="19" t="s">
        <v>961</v>
      </c>
      <c r="F1732">
        <v>2</v>
      </c>
    </row>
    <row r="1733" spans="3:6" x14ac:dyDescent="0.25">
      <c r="C1733" s="19"/>
      <c r="D1733" s="19" t="s">
        <v>962</v>
      </c>
      <c r="E1733" s="19" t="s">
        <v>963</v>
      </c>
      <c r="F1733">
        <v>2</v>
      </c>
    </row>
    <row r="1734" spans="3:6" x14ac:dyDescent="0.25">
      <c r="C1734" s="19"/>
      <c r="D1734" s="19" t="s">
        <v>964</v>
      </c>
      <c r="E1734" s="19" t="s">
        <v>965</v>
      </c>
      <c r="F1734">
        <v>2</v>
      </c>
    </row>
    <row r="1735" spans="3:6" x14ac:dyDescent="0.25">
      <c r="C1735" s="19"/>
      <c r="D1735" s="19" t="s">
        <v>966</v>
      </c>
      <c r="E1735" s="19" t="s">
        <v>967</v>
      </c>
      <c r="F1735">
        <v>2</v>
      </c>
    </row>
    <row r="1736" spans="3:6" x14ac:dyDescent="0.25">
      <c r="C1736" s="19"/>
      <c r="D1736" s="19" t="s">
        <v>968</v>
      </c>
      <c r="E1736" s="19" t="s">
        <v>969</v>
      </c>
      <c r="F1736">
        <v>1</v>
      </c>
    </row>
    <row r="1737" spans="3:6" x14ac:dyDescent="0.25">
      <c r="C1737" s="19"/>
      <c r="D1737" s="19" t="s">
        <v>970</v>
      </c>
      <c r="E1737" s="19" t="s">
        <v>971</v>
      </c>
      <c r="F1737">
        <v>1</v>
      </c>
    </row>
    <row r="1738" spans="3:6" x14ac:dyDescent="0.25">
      <c r="C1738" s="19" t="s">
        <v>1155</v>
      </c>
      <c r="D1738" s="19" t="s">
        <v>1156</v>
      </c>
      <c r="E1738" s="19" t="s">
        <v>273</v>
      </c>
      <c r="F1738">
        <v>1</v>
      </c>
    </row>
    <row r="1739" spans="3:6" x14ac:dyDescent="0.25">
      <c r="C1739" s="19"/>
      <c r="D1739" s="19" t="s">
        <v>1157</v>
      </c>
      <c r="E1739" s="19" t="s">
        <v>844</v>
      </c>
      <c r="F1739">
        <v>1</v>
      </c>
    </row>
    <row r="1740" spans="3:6" x14ac:dyDescent="0.25">
      <c r="C1740" s="19"/>
      <c r="D1740" s="19" t="s">
        <v>1158</v>
      </c>
      <c r="E1740" s="19" t="s">
        <v>1159</v>
      </c>
      <c r="F1740">
        <v>2</v>
      </c>
    </row>
    <row r="1741" spans="3:6" x14ac:dyDescent="0.25">
      <c r="C1741" s="19"/>
      <c r="D1741" s="19" t="s">
        <v>1160</v>
      </c>
      <c r="E1741" s="19" t="s">
        <v>1161</v>
      </c>
      <c r="F1741">
        <v>2</v>
      </c>
    </row>
    <row r="1742" spans="3:6" x14ac:dyDescent="0.25">
      <c r="C1742" s="19"/>
      <c r="D1742" s="19" t="s">
        <v>1162</v>
      </c>
      <c r="E1742" s="19" t="s">
        <v>1163</v>
      </c>
      <c r="F1742">
        <v>2</v>
      </c>
    </row>
    <row r="1743" spans="3:6" x14ac:dyDescent="0.25">
      <c r="C1743" s="19"/>
      <c r="D1743" s="19" t="s">
        <v>1164</v>
      </c>
      <c r="E1743" s="19" t="s">
        <v>1165</v>
      </c>
      <c r="F1743">
        <v>2</v>
      </c>
    </row>
    <row r="1744" spans="3:6" x14ac:dyDescent="0.25">
      <c r="C1744" s="19"/>
      <c r="D1744" s="19" t="s">
        <v>1166</v>
      </c>
      <c r="E1744" s="19" t="s">
        <v>295</v>
      </c>
      <c r="F1744">
        <v>1</v>
      </c>
    </row>
    <row r="1745" spans="1:6" x14ac:dyDescent="0.25">
      <c r="C1745" s="19"/>
      <c r="D1745" s="19" t="s">
        <v>1167</v>
      </c>
      <c r="E1745" s="19" t="s">
        <v>1168</v>
      </c>
      <c r="F1745">
        <v>2</v>
      </c>
    </row>
    <row r="1746" spans="1:6" x14ac:dyDescent="0.25">
      <c r="A1746" s="3">
        <v>271</v>
      </c>
      <c r="B1746" s="15" t="s">
        <v>84</v>
      </c>
      <c r="C1746" s="19" t="s">
        <v>1492</v>
      </c>
      <c r="D1746" s="19" t="s">
        <v>1493</v>
      </c>
      <c r="E1746" s="19" t="s">
        <v>1494</v>
      </c>
      <c r="F1746">
        <v>1</v>
      </c>
    </row>
    <row r="1747" spans="1:6" x14ac:dyDescent="0.25">
      <c r="C1747" s="19"/>
      <c r="D1747" s="19" t="s">
        <v>1495</v>
      </c>
      <c r="E1747" s="19" t="s">
        <v>1496</v>
      </c>
      <c r="F1747">
        <v>1</v>
      </c>
    </row>
    <row r="1748" spans="1:6" x14ac:dyDescent="0.25">
      <c r="C1748" s="19"/>
      <c r="D1748" s="19" t="s">
        <v>1497</v>
      </c>
      <c r="E1748" s="19" t="s">
        <v>306</v>
      </c>
      <c r="F1748">
        <v>1</v>
      </c>
    </row>
    <row r="1749" spans="1:6" x14ac:dyDescent="0.25">
      <c r="C1749" s="19"/>
      <c r="D1749" s="19" t="s">
        <v>1498</v>
      </c>
      <c r="E1749" s="19" t="s">
        <v>1499</v>
      </c>
      <c r="F1749">
        <v>1</v>
      </c>
    </row>
    <row r="1750" spans="1:6" x14ac:dyDescent="0.25">
      <c r="C1750" s="19"/>
      <c r="D1750" s="19" t="s">
        <v>1500</v>
      </c>
      <c r="E1750" s="19" t="s">
        <v>1397</v>
      </c>
      <c r="F1750">
        <v>1</v>
      </c>
    </row>
    <row r="1751" spans="1:6" x14ac:dyDescent="0.25">
      <c r="C1751" s="19"/>
      <c r="D1751" s="19" t="s">
        <v>1501</v>
      </c>
      <c r="E1751" s="19" t="s">
        <v>1502</v>
      </c>
      <c r="F1751">
        <v>1</v>
      </c>
    </row>
    <row r="1752" spans="1:6" x14ac:dyDescent="0.25">
      <c r="C1752" s="19"/>
      <c r="D1752" s="19" t="s">
        <v>1503</v>
      </c>
      <c r="E1752" s="19" t="s">
        <v>1504</v>
      </c>
      <c r="F1752">
        <v>1</v>
      </c>
    </row>
    <row r="1753" spans="1:6" x14ac:dyDescent="0.25">
      <c r="C1753" s="19"/>
      <c r="D1753" s="19" t="s">
        <v>1505</v>
      </c>
      <c r="E1753" s="19" t="s">
        <v>1506</v>
      </c>
      <c r="F1753">
        <v>1</v>
      </c>
    </row>
    <row r="1754" spans="1:6" x14ac:dyDescent="0.25">
      <c r="C1754" s="19"/>
      <c r="D1754" s="19" t="s">
        <v>1507</v>
      </c>
      <c r="E1754" s="19" t="s">
        <v>611</v>
      </c>
      <c r="F1754">
        <v>1</v>
      </c>
    </row>
    <row r="1755" spans="1:6" x14ac:dyDescent="0.25">
      <c r="C1755" s="19"/>
      <c r="D1755" s="19" t="s">
        <v>1508</v>
      </c>
      <c r="E1755" s="19" t="s">
        <v>1509</v>
      </c>
      <c r="F1755">
        <v>1</v>
      </c>
    </row>
    <row r="1756" spans="1:6" x14ac:dyDescent="0.25">
      <c r="C1756" s="19"/>
      <c r="D1756" s="19" t="s">
        <v>1510</v>
      </c>
      <c r="E1756" s="19" t="s">
        <v>613</v>
      </c>
      <c r="F1756">
        <v>1</v>
      </c>
    </row>
    <row r="1757" spans="1:6" x14ac:dyDescent="0.25">
      <c r="C1757" s="19"/>
      <c r="D1757" s="19" t="s">
        <v>1511</v>
      </c>
      <c r="E1757" s="19" t="s">
        <v>1419</v>
      </c>
      <c r="F1757">
        <v>1</v>
      </c>
    </row>
    <row r="1758" spans="1:6" x14ac:dyDescent="0.25">
      <c r="C1758" s="19"/>
      <c r="D1758" s="19" t="s">
        <v>1512</v>
      </c>
      <c r="E1758" s="19" t="s">
        <v>621</v>
      </c>
      <c r="F1758">
        <v>1</v>
      </c>
    </row>
    <row r="1759" spans="1:6" x14ac:dyDescent="0.25">
      <c r="C1759" s="19"/>
      <c r="D1759" s="19" t="s">
        <v>1513</v>
      </c>
      <c r="E1759" s="19" t="s">
        <v>1422</v>
      </c>
      <c r="F1759">
        <v>2</v>
      </c>
    </row>
    <row r="1760" spans="1:6" x14ac:dyDescent="0.25">
      <c r="C1760" s="19"/>
      <c r="D1760" s="19" t="s">
        <v>1514</v>
      </c>
      <c r="E1760" s="19" t="s">
        <v>614</v>
      </c>
      <c r="F1760">
        <v>1</v>
      </c>
    </row>
    <row r="1761" spans="1:6" x14ac:dyDescent="0.25">
      <c r="C1761" s="19"/>
      <c r="D1761" s="19" t="s">
        <v>1515</v>
      </c>
      <c r="E1761" s="19" t="s">
        <v>615</v>
      </c>
      <c r="F1761">
        <v>1</v>
      </c>
    </row>
    <row r="1762" spans="1:6" x14ac:dyDescent="0.25">
      <c r="C1762" s="19"/>
      <c r="D1762" s="19" t="s">
        <v>1516</v>
      </c>
      <c r="E1762" s="19" t="s">
        <v>1517</v>
      </c>
      <c r="F1762">
        <v>1</v>
      </c>
    </row>
    <row r="1763" spans="1:6" x14ac:dyDescent="0.25">
      <c r="C1763" s="19"/>
      <c r="D1763" s="19" t="s">
        <v>1518</v>
      </c>
      <c r="E1763" s="19" t="s">
        <v>1519</v>
      </c>
      <c r="F1763">
        <v>1</v>
      </c>
    </row>
    <row r="1764" spans="1:6" x14ac:dyDescent="0.25">
      <c r="C1764" s="19"/>
      <c r="D1764" s="19" t="s">
        <v>1520</v>
      </c>
      <c r="E1764" s="19" t="s">
        <v>1521</v>
      </c>
      <c r="F1764">
        <v>1</v>
      </c>
    </row>
    <row r="1765" spans="1:6" x14ac:dyDescent="0.25">
      <c r="C1765" s="19"/>
      <c r="D1765" s="19" t="s">
        <v>1522</v>
      </c>
      <c r="E1765" s="19" t="s">
        <v>1523</v>
      </c>
      <c r="F1765">
        <v>1</v>
      </c>
    </row>
    <row r="1766" spans="1:6" x14ac:dyDescent="0.25">
      <c r="C1766" s="19"/>
      <c r="D1766" s="19" t="s">
        <v>1524</v>
      </c>
      <c r="E1766" s="19" t="s">
        <v>1525</v>
      </c>
      <c r="F1766">
        <v>0</v>
      </c>
    </row>
    <row r="1767" spans="1:6" x14ac:dyDescent="0.25">
      <c r="C1767" s="19"/>
      <c r="D1767" s="19" t="s">
        <v>1526</v>
      </c>
      <c r="E1767" s="19" t="s">
        <v>1527</v>
      </c>
      <c r="F1767">
        <v>1</v>
      </c>
    </row>
    <row r="1768" spans="1:6" x14ac:dyDescent="0.25">
      <c r="C1768" s="19"/>
      <c r="D1768" s="19" t="s">
        <v>1528</v>
      </c>
      <c r="E1768" s="19" t="s">
        <v>1529</v>
      </c>
      <c r="F1768">
        <v>1</v>
      </c>
    </row>
    <row r="1769" spans="1:6" x14ac:dyDescent="0.25">
      <c r="C1769" s="19"/>
      <c r="D1769" s="19" t="s">
        <v>1530</v>
      </c>
      <c r="E1769" s="19" t="s">
        <v>1430</v>
      </c>
      <c r="F1769">
        <v>1</v>
      </c>
    </row>
    <row r="1770" spans="1:6" x14ac:dyDescent="0.25">
      <c r="C1770" s="19"/>
      <c r="D1770" s="19" t="s">
        <v>1531</v>
      </c>
      <c r="E1770" s="19" t="s">
        <v>503</v>
      </c>
      <c r="F1770">
        <v>1</v>
      </c>
    </row>
    <row r="1771" spans="1:6" x14ac:dyDescent="0.25">
      <c r="C1771" s="19"/>
      <c r="D1771" s="19" t="s">
        <v>1532</v>
      </c>
      <c r="E1771" s="19" t="s">
        <v>1533</v>
      </c>
      <c r="F1771">
        <v>0</v>
      </c>
    </row>
    <row r="1772" spans="1:6" x14ac:dyDescent="0.25">
      <c r="C1772" s="19"/>
      <c r="D1772" s="19" t="s">
        <v>1534</v>
      </c>
      <c r="E1772" s="19" t="s">
        <v>1535</v>
      </c>
      <c r="F1772">
        <v>1</v>
      </c>
    </row>
    <row r="1773" spans="1:6" x14ac:dyDescent="0.25">
      <c r="A1773" s="3">
        <v>274</v>
      </c>
      <c r="B1773" s="15" t="s">
        <v>85</v>
      </c>
      <c r="C1773" s="19" t="s">
        <v>1536</v>
      </c>
      <c r="D1773" s="19" t="s">
        <v>1537</v>
      </c>
      <c r="E1773" s="19" t="s">
        <v>1494</v>
      </c>
      <c r="F1773">
        <v>1</v>
      </c>
    </row>
    <row r="1774" spans="1:6" x14ac:dyDescent="0.25">
      <c r="C1774" s="19"/>
      <c r="D1774" s="19" t="s">
        <v>1538</v>
      </c>
      <c r="E1774" s="19" t="s">
        <v>306</v>
      </c>
      <c r="F1774">
        <v>1</v>
      </c>
    </row>
    <row r="1775" spans="1:6" x14ac:dyDescent="0.25">
      <c r="C1775" s="19"/>
      <c r="D1775" s="19" t="s">
        <v>1539</v>
      </c>
      <c r="E1775" s="19" t="s">
        <v>1499</v>
      </c>
      <c r="F1775">
        <v>1</v>
      </c>
    </row>
    <row r="1776" spans="1:6" x14ac:dyDescent="0.25">
      <c r="C1776" s="19"/>
      <c r="D1776" s="19" t="s">
        <v>1540</v>
      </c>
      <c r="E1776" s="19" t="s">
        <v>1541</v>
      </c>
      <c r="F1776">
        <v>1</v>
      </c>
    </row>
    <row r="1777" spans="1:6" x14ac:dyDescent="0.25">
      <c r="C1777" s="19"/>
      <c r="D1777" s="19" t="s">
        <v>1542</v>
      </c>
      <c r="E1777" s="19" t="s">
        <v>1543</v>
      </c>
      <c r="F1777">
        <v>1</v>
      </c>
    </row>
    <row r="1778" spans="1:6" x14ac:dyDescent="0.25">
      <c r="C1778" s="19"/>
      <c r="D1778" s="19" t="s">
        <v>1544</v>
      </c>
      <c r="E1778" s="19" t="s">
        <v>671</v>
      </c>
      <c r="F1778">
        <v>1</v>
      </c>
    </row>
    <row r="1779" spans="1:6" x14ac:dyDescent="0.25">
      <c r="C1779" s="19"/>
      <c r="D1779" s="19" t="s">
        <v>1545</v>
      </c>
      <c r="E1779" s="19" t="s">
        <v>1546</v>
      </c>
      <c r="F1779">
        <v>1</v>
      </c>
    </row>
    <row r="1780" spans="1:6" x14ac:dyDescent="0.25">
      <c r="C1780" s="19"/>
      <c r="D1780" s="19" t="s">
        <v>1547</v>
      </c>
      <c r="E1780" s="19" t="s">
        <v>1548</v>
      </c>
      <c r="F1780">
        <v>1</v>
      </c>
    </row>
    <row r="1781" spans="1:6" x14ac:dyDescent="0.25">
      <c r="C1781" s="19"/>
      <c r="D1781" s="19" t="s">
        <v>1549</v>
      </c>
      <c r="E1781" s="19" t="s">
        <v>1550</v>
      </c>
      <c r="F1781">
        <v>1</v>
      </c>
    </row>
    <row r="1782" spans="1:6" x14ac:dyDescent="0.25">
      <c r="C1782" s="19"/>
      <c r="D1782" s="19" t="s">
        <v>1551</v>
      </c>
      <c r="E1782" s="19" t="s">
        <v>1552</v>
      </c>
      <c r="F1782">
        <v>1</v>
      </c>
    </row>
    <row r="1783" spans="1:6" x14ac:dyDescent="0.25">
      <c r="C1783" s="19"/>
      <c r="D1783" s="19" t="s">
        <v>1553</v>
      </c>
      <c r="E1783" s="19" t="s">
        <v>1554</v>
      </c>
      <c r="F1783">
        <v>0</v>
      </c>
    </row>
    <row r="1784" spans="1:6" x14ac:dyDescent="0.25">
      <c r="C1784" s="19"/>
      <c r="D1784" s="19" t="s">
        <v>1555</v>
      </c>
      <c r="E1784" s="19" t="s">
        <v>1556</v>
      </c>
      <c r="F1784">
        <v>1</v>
      </c>
    </row>
    <row r="1785" spans="1:6" x14ac:dyDescent="0.25">
      <c r="A1785" s="3">
        <v>277</v>
      </c>
      <c r="B1785" s="15" t="s">
        <v>86</v>
      </c>
      <c r="C1785" s="19" t="s">
        <v>1909</v>
      </c>
      <c r="D1785" s="19" t="s">
        <v>1910</v>
      </c>
      <c r="E1785" s="19" t="s">
        <v>273</v>
      </c>
      <c r="F1785">
        <v>1</v>
      </c>
    </row>
    <row r="1786" spans="1:6" x14ac:dyDescent="0.25">
      <c r="C1786" s="19"/>
      <c r="D1786" s="19" t="s">
        <v>1911</v>
      </c>
      <c r="E1786" s="19" t="s">
        <v>1912</v>
      </c>
      <c r="F1786">
        <v>1</v>
      </c>
    </row>
    <row r="1787" spans="1:6" x14ac:dyDescent="0.25">
      <c r="C1787" s="19"/>
      <c r="D1787" s="19" t="s">
        <v>1913</v>
      </c>
      <c r="E1787" s="19" t="s">
        <v>1914</v>
      </c>
      <c r="F1787">
        <v>1</v>
      </c>
    </row>
    <row r="1788" spans="1:6" x14ac:dyDescent="0.25">
      <c r="C1788" s="19"/>
      <c r="D1788" s="19" t="s">
        <v>1915</v>
      </c>
      <c r="E1788" s="19" t="s">
        <v>1916</v>
      </c>
      <c r="F1788">
        <v>1</v>
      </c>
    </row>
    <row r="1789" spans="1:6" x14ac:dyDescent="0.25">
      <c r="C1789" s="19"/>
      <c r="D1789" s="19" t="s">
        <v>1917</v>
      </c>
      <c r="E1789" s="19" t="s">
        <v>1918</v>
      </c>
      <c r="F1789">
        <v>1</v>
      </c>
    </row>
    <row r="1790" spans="1:6" x14ac:dyDescent="0.25">
      <c r="C1790" s="19"/>
      <c r="D1790" s="19" t="s">
        <v>1919</v>
      </c>
      <c r="E1790" s="19" t="s">
        <v>1920</v>
      </c>
      <c r="F1790">
        <v>1</v>
      </c>
    </row>
    <row r="1791" spans="1:6" x14ac:dyDescent="0.25">
      <c r="C1791" s="19"/>
      <c r="D1791" s="19" t="s">
        <v>1921</v>
      </c>
      <c r="E1791" s="19" t="s">
        <v>1922</v>
      </c>
      <c r="F1791">
        <v>1</v>
      </c>
    </row>
    <row r="1792" spans="1:6" x14ac:dyDescent="0.25">
      <c r="C1792" s="19"/>
      <c r="D1792" s="19" t="s">
        <v>1923</v>
      </c>
      <c r="E1792" s="19" t="s">
        <v>1924</v>
      </c>
      <c r="F1792">
        <v>1</v>
      </c>
    </row>
    <row r="1793" spans="1:6" x14ac:dyDescent="0.25">
      <c r="C1793" s="19"/>
      <c r="D1793" s="19" t="s">
        <v>1925</v>
      </c>
      <c r="E1793" s="19" t="s">
        <v>1926</v>
      </c>
      <c r="F1793">
        <v>1</v>
      </c>
    </row>
    <row r="1794" spans="1:6" x14ac:dyDescent="0.25">
      <c r="C1794" s="19"/>
      <c r="D1794" s="19" t="s">
        <v>1927</v>
      </c>
      <c r="E1794" s="19" t="s">
        <v>1928</v>
      </c>
      <c r="F1794">
        <v>1</v>
      </c>
    </row>
    <row r="1795" spans="1:6" x14ac:dyDescent="0.25">
      <c r="C1795" s="19"/>
      <c r="D1795" s="19" t="s">
        <v>1929</v>
      </c>
      <c r="E1795" s="19" t="s">
        <v>1930</v>
      </c>
      <c r="F1795">
        <v>1</v>
      </c>
    </row>
    <row r="1796" spans="1:6" x14ac:dyDescent="0.25">
      <c r="C1796" s="19"/>
      <c r="D1796" s="19" t="s">
        <v>1931</v>
      </c>
      <c r="E1796" s="19" t="s">
        <v>1932</v>
      </c>
      <c r="F1796">
        <v>0</v>
      </c>
    </row>
    <row r="1797" spans="1:6" x14ac:dyDescent="0.25">
      <c r="C1797" s="19"/>
      <c r="D1797" s="19" t="s">
        <v>1933</v>
      </c>
      <c r="E1797" s="19" t="s">
        <v>1934</v>
      </c>
      <c r="F1797">
        <v>0</v>
      </c>
    </row>
    <row r="1798" spans="1:6" x14ac:dyDescent="0.25">
      <c r="C1798" s="19"/>
      <c r="D1798" s="19" t="s">
        <v>1935</v>
      </c>
      <c r="E1798" s="19" t="s">
        <v>1936</v>
      </c>
      <c r="F1798">
        <v>1</v>
      </c>
    </row>
    <row r="1799" spans="1:6" x14ac:dyDescent="0.25">
      <c r="C1799" s="19"/>
      <c r="D1799" s="19" t="s">
        <v>1937</v>
      </c>
      <c r="E1799" s="19" t="s">
        <v>1938</v>
      </c>
      <c r="F1799">
        <v>1</v>
      </c>
    </row>
    <row r="1800" spans="1:6" x14ac:dyDescent="0.25">
      <c r="C1800" s="19"/>
      <c r="D1800" s="19" t="s">
        <v>1939</v>
      </c>
      <c r="E1800" s="19" t="s">
        <v>1940</v>
      </c>
      <c r="F1800">
        <v>1</v>
      </c>
    </row>
    <row r="1801" spans="1:6" x14ac:dyDescent="0.25">
      <c r="C1801" s="19"/>
      <c r="D1801" s="19" t="s">
        <v>1941</v>
      </c>
      <c r="E1801" s="19" t="s">
        <v>1942</v>
      </c>
      <c r="F1801">
        <v>0</v>
      </c>
    </row>
    <row r="1802" spans="1:6" x14ac:dyDescent="0.25">
      <c r="C1802" s="19"/>
      <c r="D1802" s="19" t="s">
        <v>1943</v>
      </c>
      <c r="E1802" s="19" t="s">
        <v>1944</v>
      </c>
      <c r="F1802">
        <v>1</v>
      </c>
    </row>
    <row r="1803" spans="1:6" x14ac:dyDescent="0.25">
      <c r="C1803" s="19"/>
      <c r="D1803" s="19" t="s">
        <v>1945</v>
      </c>
      <c r="E1803" s="19" t="s">
        <v>1946</v>
      </c>
      <c r="F1803">
        <v>1</v>
      </c>
    </row>
    <row r="1804" spans="1:6" x14ac:dyDescent="0.25">
      <c r="C1804" s="19"/>
      <c r="D1804" s="19" t="s">
        <v>1947</v>
      </c>
      <c r="E1804" s="19" t="s">
        <v>1948</v>
      </c>
      <c r="F1804">
        <v>1</v>
      </c>
    </row>
    <row r="1805" spans="1:6" x14ac:dyDescent="0.25">
      <c r="A1805" s="3">
        <v>278</v>
      </c>
      <c r="B1805" s="15" t="s">
        <v>87</v>
      </c>
      <c r="C1805" s="19" t="s">
        <v>1685</v>
      </c>
      <c r="D1805" s="19" t="s">
        <v>1686</v>
      </c>
      <c r="E1805" s="19" t="s">
        <v>1687</v>
      </c>
      <c r="F1805">
        <v>1</v>
      </c>
    </row>
    <row r="1806" spans="1:6" x14ac:dyDescent="0.25">
      <c r="C1806" s="19"/>
      <c r="D1806" s="19" t="s">
        <v>1688</v>
      </c>
      <c r="E1806" s="19" t="s">
        <v>1689</v>
      </c>
      <c r="F1806">
        <v>1</v>
      </c>
    </row>
    <row r="1807" spans="1:6" x14ac:dyDescent="0.25">
      <c r="C1807" s="19"/>
      <c r="D1807" s="19" t="s">
        <v>1690</v>
      </c>
      <c r="E1807" s="19" t="s">
        <v>1691</v>
      </c>
      <c r="F1807">
        <v>1</v>
      </c>
    </row>
    <row r="1808" spans="1:6" x14ac:dyDescent="0.25">
      <c r="C1808" s="19"/>
      <c r="D1808" s="19" t="s">
        <v>1692</v>
      </c>
      <c r="E1808" s="19" t="s">
        <v>1693</v>
      </c>
      <c r="F1808">
        <v>1</v>
      </c>
    </row>
    <row r="1809" spans="1:6" x14ac:dyDescent="0.25">
      <c r="C1809" s="19"/>
      <c r="D1809" s="19" t="s">
        <v>1694</v>
      </c>
      <c r="E1809" s="19" t="s">
        <v>1695</v>
      </c>
      <c r="F1809">
        <v>1</v>
      </c>
    </row>
    <row r="1810" spans="1:6" x14ac:dyDescent="0.25">
      <c r="C1810" s="19"/>
      <c r="D1810" s="19" t="s">
        <v>1696</v>
      </c>
      <c r="E1810" s="19" t="s">
        <v>1697</v>
      </c>
      <c r="F1810">
        <v>1</v>
      </c>
    </row>
    <row r="1811" spans="1:6" x14ac:dyDescent="0.25">
      <c r="C1811" s="19"/>
      <c r="D1811" s="19" t="s">
        <v>1698</v>
      </c>
      <c r="E1811" s="19" t="s">
        <v>1699</v>
      </c>
      <c r="F1811">
        <v>1</v>
      </c>
    </row>
    <row r="1812" spans="1:6" x14ac:dyDescent="0.25">
      <c r="C1812" s="19"/>
      <c r="D1812" s="19" t="s">
        <v>1700</v>
      </c>
      <c r="E1812" s="19" t="s">
        <v>1701</v>
      </c>
      <c r="F1812">
        <v>1</v>
      </c>
    </row>
    <row r="1813" spans="1:6" x14ac:dyDescent="0.25">
      <c r="C1813" s="19"/>
      <c r="D1813" s="19" t="s">
        <v>1702</v>
      </c>
      <c r="E1813" s="19" t="s">
        <v>314</v>
      </c>
      <c r="F1813">
        <v>1</v>
      </c>
    </row>
    <row r="1814" spans="1:6" x14ac:dyDescent="0.25">
      <c r="C1814" s="19"/>
      <c r="D1814" s="19" t="s">
        <v>1703</v>
      </c>
      <c r="E1814" s="19" t="s">
        <v>1704</v>
      </c>
      <c r="F1814">
        <v>1</v>
      </c>
    </row>
    <row r="1815" spans="1:6" x14ac:dyDescent="0.25">
      <c r="C1815" s="19"/>
      <c r="D1815" s="19" t="s">
        <v>1705</v>
      </c>
      <c r="E1815" s="19" t="s">
        <v>1706</v>
      </c>
      <c r="F1815">
        <v>1</v>
      </c>
    </row>
    <row r="1816" spans="1:6" x14ac:dyDescent="0.25">
      <c r="C1816" s="19"/>
      <c r="D1816" s="19" t="s">
        <v>1707</v>
      </c>
      <c r="E1816" s="19" t="s">
        <v>1708</v>
      </c>
      <c r="F1816">
        <v>1</v>
      </c>
    </row>
    <row r="1817" spans="1:6" x14ac:dyDescent="0.25">
      <c r="C1817" s="19"/>
      <c r="D1817" s="19" t="s">
        <v>1709</v>
      </c>
      <c r="E1817" s="19" t="s">
        <v>1710</v>
      </c>
      <c r="F1817">
        <v>1</v>
      </c>
    </row>
    <row r="1818" spans="1:6" x14ac:dyDescent="0.25">
      <c r="C1818" s="19"/>
      <c r="D1818" s="19" t="s">
        <v>1711</v>
      </c>
      <c r="E1818" s="19" t="s">
        <v>1124</v>
      </c>
      <c r="F1818">
        <v>1</v>
      </c>
    </row>
    <row r="1819" spans="1:6" x14ac:dyDescent="0.25">
      <c r="A1819" s="3">
        <v>280</v>
      </c>
      <c r="B1819" s="15" t="s">
        <v>88</v>
      </c>
      <c r="C1819" s="19" t="s">
        <v>1141</v>
      </c>
      <c r="D1819" s="19" t="s">
        <v>1142</v>
      </c>
      <c r="E1819" s="19" t="s">
        <v>312</v>
      </c>
      <c r="F1819">
        <v>1</v>
      </c>
    </row>
    <row r="1820" spans="1:6" x14ac:dyDescent="0.25">
      <c r="C1820" s="19"/>
      <c r="D1820" s="19" t="s">
        <v>1143</v>
      </c>
      <c r="E1820" s="19" t="s">
        <v>314</v>
      </c>
      <c r="F1820">
        <v>1</v>
      </c>
    </row>
    <row r="1821" spans="1:6" x14ac:dyDescent="0.25">
      <c r="C1821" s="19"/>
      <c r="D1821" s="19" t="s">
        <v>1144</v>
      </c>
      <c r="E1821" s="19" t="s">
        <v>1145</v>
      </c>
      <c r="F1821">
        <v>0</v>
      </c>
    </row>
    <row r="1822" spans="1:6" x14ac:dyDescent="0.25">
      <c r="C1822" s="19"/>
      <c r="D1822" s="19" t="s">
        <v>1146</v>
      </c>
      <c r="E1822" s="19" t="s">
        <v>1147</v>
      </c>
      <c r="F1822">
        <v>0</v>
      </c>
    </row>
    <row r="1823" spans="1:6" x14ac:dyDescent="0.25">
      <c r="C1823" s="19"/>
      <c r="D1823" s="19" t="s">
        <v>1148</v>
      </c>
      <c r="E1823" s="19" t="s">
        <v>713</v>
      </c>
      <c r="F1823">
        <v>1</v>
      </c>
    </row>
    <row r="1824" spans="1:6" x14ac:dyDescent="0.25">
      <c r="C1824" s="19"/>
      <c r="D1824" s="19" t="s">
        <v>1149</v>
      </c>
      <c r="E1824" s="19" t="s">
        <v>1150</v>
      </c>
      <c r="F1824">
        <v>0</v>
      </c>
    </row>
    <row r="1825" spans="1:6" x14ac:dyDescent="0.25">
      <c r="C1825" s="19"/>
      <c r="D1825" s="19" t="s">
        <v>1151</v>
      </c>
      <c r="E1825" s="19" t="s">
        <v>380</v>
      </c>
      <c r="F1825">
        <v>1</v>
      </c>
    </row>
    <row r="1826" spans="1:6" x14ac:dyDescent="0.25">
      <c r="C1826" s="19"/>
      <c r="D1826" s="19" t="s">
        <v>1152</v>
      </c>
      <c r="E1826" s="19" t="s">
        <v>381</v>
      </c>
      <c r="F1826">
        <v>1</v>
      </c>
    </row>
    <row r="1827" spans="1:6" x14ac:dyDescent="0.25">
      <c r="C1827" s="19"/>
      <c r="D1827" s="19" t="s">
        <v>1153</v>
      </c>
      <c r="E1827" s="19" t="s">
        <v>1154</v>
      </c>
      <c r="F1827">
        <v>1</v>
      </c>
    </row>
    <row r="1828" spans="1:6" x14ac:dyDescent="0.25">
      <c r="A1828" s="3">
        <v>291</v>
      </c>
      <c r="B1828" s="15" t="s">
        <v>89</v>
      </c>
      <c r="C1828" s="19" t="s">
        <v>818</v>
      </c>
      <c r="D1828" s="19" t="s">
        <v>819</v>
      </c>
      <c r="E1828" s="19" t="s">
        <v>820</v>
      </c>
      <c r="F1828">
        <v>1</v>
      </c>
    </row>
    <row r="1829" spans="1:6" x14ac:dyDescent="0.25">
      <c r="C1829" s="19"/>
      <c r="D1829" s="19" t="s">
        <v>821</v>
      </c>
      <c r="E1829" s="19" t="s">
        <v>822</v>
      </c>
      <c r="F1829">
        <v>1</v>
      </c>
    </row>
    <row r="1830" spans="1:6" x14ac:dyDescent="0.25">
      <c r="C1830" s="19"/>
      <c r="D1830" s="19" t="s">
        <v>823</v>
      </c>
      <c r="E1830" s="19" t="s">
        <v>306</v>
      </c>
      <c r="F1830">
        <v>1</v>
      </c>
    </row>
    <row r="1831" spans="1:6" x14ac:dyDescent="0.25">
      <c r="C1831" s="19"/>
      <c r="D1831" s="19" t="s">
        <v>824</v>
      </c>
      <c r="E1831" s="19" t="s">
        <v>825</v>
      </c>
      <c r="F1831">
        <v>1</v>
      </c>
    </row>
    <row r="1832" spans="1:6" x14ac:dyDescent="0.25">
      <c r="C1832" s="19"/>
      <c r="D1832" s="19" t="s">
        <v>826</v>
      </c>
      <c r="E1832" s="19" t="s">
        <v>827</v>
      </c>
      <c r="F1832">
        <v>1</v>
      </c>
    </row>
    <row r="1833" spans="1:6" x14ac:dyDescent="0.25">
      <c r="C1833" s="19"/>
      <c r="D1833" s="19" t="s">
        <v>828</v>
      </c>
      <c r="E1833" s="19" t="s">
        <v>312</v>
      </c>
      <c r="F1833">
        <v>1</v>
      </c>
    </row>
    <row r="1834" spans="1:6" x14ac:dyDescent="0.25">
      <c r="C1834" s="19"/>
      <c r="D1834" s="19" t="s">
        <v>829</v>
      </c>
      <c r="E1834" s="19" t="s">
        <v>316</v>
      </c>
      <c r="F1834">
        <v>1</v>
      </c>
    </row>
    <row r="1835" spans="1:6" x14ac:dyDescent="0.25">
      <c r="C1835" s="19"/>
      <c r="D1835" s="19" t="s">
        <v>830</v>
      </c>
      <c r="E1835" s="19" t="s">
        <v>314</v>
      </c>
      <c r="F1835">
        <v>1</v>
      </c>
    </row>
    <row r="1836" spans="1:6" x14ac:dyDescent="0.25">
      <c r="C1836" s="19"/>
      <c r="D1836" s="19" t="s">
        <v>831</v>
      </c>
      <c r="E1836" s="19" t="s">
        <v>832</v>
      </c>
      <c r="F1836">
        <v>1</v>
      </c>
    </row>
    <row r="1837" spans="1:6" x14ac:dyDescent="0.25">
      <c r="C1837" s="19"/>
      <c r="D1837" s="19" t="s">
        <v>833</v>
      </c>
      <c r="E1837" s="19" t="s">
        <v>834</v>
      </c>
      <c r="F1837">
        <v>2</v>
      </c>
    </row>
    <row r="1838" spans="1:6" x14ac:dyDescent="0.25">
      <c r="C1838" s="19"/>
      <c r="D1838" s="19" t="s">
        <v>835</v>
      </c>
      <c r="E1838" s="19" t="s">
        <v>836</v>
      </c>
      <c r="F1838">
        <v>1</v>
      </c>
    </row>
    <row r="1839" spans="1:6" x14ac:dyDescent="0.25">
      <c r="C1839" s="19"/>
      <c r="D1839" s="19" t="s">
        <v>837</v>
      </c>
      <c r="E1839" s="19" t="s">
        <v>838</v>
      </c>
      <c r="F1839">
        <v>1</v>
      </c>
    </row>
    <row r="1840" spans="1:6" x14ac:dyDescent="0.25">
      <c r="C1840" s="19"/>
      <c r="D1840" s="19" t="s">
        <v>839</v>
      </c>
      <c r="E1840" s="19" t="s">
        <v>840</v>
      </c>
      <c r="F1840">
        <v>1</v>
      </c>
    </row>
    <row r="1841" spans="1:9" x14ac:dyDescent="0.25">
      <c r="C1841" s="19"/>
      <c r="D1841" s="19" t="s">
        <v>841</v>
      </c>
      <c r="E1841" s="19" t="s">
        <v>842</v>
      </c>
      <c r="F1841">
        <v>1</v>
      </c>
    </row>
    <row r="1842" spans="1:9" x14ac:dyDescent="0.25">
      <c r="C1842" s="19"/>
      <c r="D1842" s="19" t="s">
        <v>843</v>
      </c>
      <c r="E1842" s="19" t="s">
        <v>844</v>
      </c>
      <c r="F1842">
        <v>1</v>
      </c>
    </row>
    <row r="1843" spans="1:9" x14ac:dyDescent="0.25">
      <c r="C1843" s="19"/>
      <c r="D1843" s="19" t="s">
        <v>845</v>
      </c>
      <c r="E1843" s="19" t="s">
        <v>846</v>
      </c>
      <c r="F1843">
        <v>1</v>
      </c>
    </row>
    <row r="1844" spans="1:9" x14ac:dyDescent="0.25">
      <c r="C1844" s="19"/>
      <c r="D1844" s="19" t="s">
        <v>847</v>
      </c>
      <c r="E1844" s="19" t="s">
        <v>848</v>
      </c>
      <c r="F1844">
        <v>1</v>
      </c>
    </row>
    <row r="1845" spans="1:9" x14ac:dyDescent="0.25">
      <c r="C1845" s="19"/>
      <c r="D1845" s="19" t="s">
        <v>849</v>
      </c>
      <c r="E1845" s="19" t="s">
        <v>850</v>
      </c>
      <c r="F1845">
        <v>1</v>
      </c>
    </row>
    <row r="1846" spans="1:9" x14ac:dyDescent="0.25">
      <c r="C1846" s="19"/>
      <c r="D1846" s="19" t="s">
        <v>851</v>
      </c>
      <c r="E1846" s="19" t="s">
        <v>852</v>
      </c>
      <c r="F1846">
        <v>1</v>
      </c>
    </row>
    <row r="1847" spans="1:9" x14ac:dyDescent="0.25">
      <c r="C1847" s="19"/>
      <c r="D1847" s="19" t="s">
        <v>853</v>
      </c>
      <c r="E1847" s="19" t="s">
        <v>854</v>
      </c>
      <c r="F1847">
        <v>1</v>
      </c>
    </row>
    <row r="1848" spans="1:9" x14ac:dyDescent="0.25">
      <c r="C1848" s="19"/>
      <c r="D1848" s="19" t="s">
        <v>855</v>
      </c>
      <c r="E1848" s="19" t="s">
        <v>856</v>
      </c>
      <c r="F1848">
        <v>1</v>
      </c>
    </row>
    <row r="1849" spans="1:9" x14ac:dyDescent="0.25">
      <c r="C1849" s="19"/>
      <c r="D1849" s="19" t="s">
        <v>857</v>
      </c>
      <c r="E1849" s="19" t="s">
        <v>858</v>
      </c>
      <c r="F1849">
        <v>1</v>
      </c>
    </row>
    <row r="1850" spans="1:9" x14ac:dyDescent="0.25">
      <c r="A1850" s="3">
        <v>295</v>
      </c>
      <c r="B1850" s="17" t="s">
        <v>90</v>
      </c>
      <c r="C1850" s="19" t="s">
        <v>337</v>
      </c>
      <c r="D1850" s="19" t="s">
        <v>338</v>
      </c>
      <c r="E1850" s="19" t="s">
        <v>304</v>
      </c>
      <c r="F1850">
        <v>1</v>
      </c>
      <c r="H1850" s="3"/>
      <c r="I1850" s="4"/>
    </row>
    <row r="1851" spans="1:9" x14ac:dyDescent="0.25">
      <c r="A1851" s="3"/>
      <c r="B1851" s="17"/>
      <c r="C1851" s="19"/>
      <c r="D1851" s="19" t="s">
        <v>339</v>
      </c>
      <c r="E1851" s="19" t="s">
        <v>306</v>
      </c>
      <c r="F1851">
        <v>1</v>
      </c>
      <c r="H1851" s="3"/>
      <c r="I1851" s="4"/>
    </row>
    <row r="1852" spans="1:9" x14ac:dyDescent="0.25">
      <c r="A1852" s="3"/>
      <c r="B1852" s="17"/>
      <c r="C1852" s="19"/>
      <c r="D1852" s="19" t="s">
        <v>340</v>
      </c>
      <c r="E1852" s="19" t="s">
        <v>341</v>
      </c>
      <c r="F1852">
        <v>1</v>
      </c>
      <c r="H1852" s="3"/>
      <c r="I1852" s="4"/>
    </row>
    <row r="1853" spans="1:9" x14ac:dyDescent="0.25">
      <c r="A1853" s="3"/>
      <c r="B1853" s="17"/>
      <c r="C1853" s="19"/>
      <c r="D1853" s="19" t="s">
        <v>342</v>
      </c>
      <c r="E1853" s="19" t="s">
        <v>343</v>
      </c>
      <c r="F1853">
        <v>1</v>
      </c>
      <c r="H1853" s="3"/>
      <c r="I1853" s="4"/>
    </row>
    <row r="1854" spans="1:9" x14ac:dyDescent="0.25">
      <c r="A1854" s="3"/>
      <c r="B1854" s="17"/>
      <c r="C1854" s="19"/>
      <c r="D1854" s="19" t="s">
        <v>344</v>
      </c>
      <c r="E1854" s="19" t="s">
        <v>345</v>
      </c>
      <c r="F1854">
        <v>0</v>
      </c>
      <c r="H1854" s="3"/>
      <c r="I1854" s="4"/>
    </row>
    <row r="1855" spans="1:9" x14ac:dyDescent="0.25">
      <c r="A1855" s="3"/>
      <c r="B1855" s="17"/>
      <c r="C1855" s="19"/>
      <c r="D1855" s="19" t="s">
        <v>346</v>
      </c>
      <c r="E1855" s="19" t="s">
        <v>347</v>
      </c>
      <c r="F1855">
        <v>0</v>
      </c>
      <c r="H1855" s="3"/>
      <c r="I1855" s="4"/>
    </row>
    <row r="1856" spans="1:9" x14ac:dyDescent="0.25">
      <c r="A1856" s="3"/>
      <c r="B1856" s="17"/>
      <c r="C1856" s="19"/>
      <c r="D1856" s="19" t="s">
        <v>348</v>
      </c>
      <c r="E1856" s="19" t="s">
        <v>349</v>
      </c>
      <c r="F1856">
        <v>1</v>
      </c>
      <c r="H1856" s="3"/>
      <c r="I1856" s="4"/>
    </row>
    <row r="1857" spans="1:9" x14ac:dyDescent="0.25">
      <c r="A1857" s="3"/>
      <c r="B1857" s="17"/>
      <c r="C1857" s="19"/>
      <c r="D1857" s="19" t="s">
        <v>350</v>
      </c>
      <c r="E1857" s="19" t="s">
        <v>351</v>
      </c>
      <c r="F1857">
        <v>0</v>
      </c>
      <c r="H1857" s="3"/>
      <c r="I1857" s="4"/>
    </row>
    <row r="1858" spans="1:9" x14ac:dyDescent="0.25">
      <c r="A1858" s="3"/>
      <c r="B1858" s="17"/>
      <c r="C1858" s="19"/>
      <c r="D1858" s="19" t="s">
        <v>352</v>
      </c>
      <c r="E1858" s="19" t="s">
        <v>353</v>
      </c>
      <c r="F1858">
        <v>1</v>
      </c>
      <c r="H1858" s="3"/>
      <c r="I1858" s="4"/>
    </row>
    <row r="1859" spans="1:9" x14ac:dyDescent="0.25">
      <c r="A1859" s="3"/>
      <c r="B1859" s="17"/>
      <c r="C1859" s="19"/>
      <c r="D1859" s="19" t="s">
        <v>354</v>
      </c>
      <c r="E1859" s="19" t="s">
        <v>355</v>
      </c>
      <c r="F1859">
        <v>1</v>
      </c>
      <c r="H1859" s="3"/>
      <c r="I1859" s="4"/>
    </row>
    <row r="1860" spans="1:9" x14ac:dyDescent="0.25">
      <c r="A1860" s="3"/>
      <c r="B1860" s="17"/>
      <c r="C1860" s="19"/>
      <c r="D1860" s="19" t="s">
        <v>356</v>
      </c>
      <c r="E1860" s="19" t="s">
        <v>357</v>
      </c>
      <c r="F1860">
        <v>0</v>
      </c>
      <c r="H1860" s="3"/>
      <c r="I1860" s="4"/>
    </row>
    <row r="1861" spans="1:9" x14ac:dyDescent="0.25">
      <c r="A1861" s="3"/>
      <c r="B1861" s="17"/>
      <c r="C1861" s="19"/>
      <c r="D1861" s="19" t="s">
        <v>358</v>
      </c>
      <c r="E1861" s="19" t="s">
        <v>359</v>
      </c>
      <c r="F1861">
        <v>0</v>
      </c>
      <c r="H1861" s="3"/>
      <c r="I1861" s="4"/>
    </row>
    <row r="1862" spans="1:9" x14ac:dyDescent="0.25">
      <c r="A1862" s="3"/>
      <c r="B1862" s="17"/>
      <c r="C1862" s="19"/>
      <c r="D1862" s="19" t="s">
        <v>360</v>
      </c>
      <c r="E1862" s="19" t="s">
        <v>361</v>
      </c>
      <c r="F1862">
        <v>0</v>
      </c>
      <c r="H1862" s="3"/>
      <c r="I1862" s="4"/>
    </row>
    <row r="1863" spans="1:9" x14ac:dyDescent="0.25">
      <c r="A1863" s="3"/>
      <c r="B1863" s="17"/>
      <c r="C1863" s="19" t="s">
        <v>1751</v>
      </c>
      <c r="D1863" s="19" t="s">
        <v>1752</v>
      </c>
      <c r="E1863" s="19" t="s">
        <v>304</v>
      </c>
      <c r="F1863">
        <v>1</v>
      </c>
      <c r="H1863" s="3"/>
      <c r="I1863" s="4"/>
    </row>
    <row r="1864" spans="1:9" x14ac:dyDescent="0.25">
      <c r="A1864" s="3"/>
      <c r="B1864" s="17"/>
      <c r="C1864" s="19"/>
      <c r="D1864" s="19" t="s">
        <v>1753</v>
      </c>
      <c r="E1864" s="19" t="s">
        <v>306</v>
      </c>
      <c r="F1864">
        <v>1</v>
      </c>
      <c r="H1864" s="3"/>
      <c r="I1864" s="4"/>
    </row>
    <row r="1865" spans="1:9" x14ac:dyDescent="0.25">
      <c r="A1865" s="3"/>
      <c r="B1865" s="17"/>
      <c r="C1865" s="19"/>
      <c r="D1865" s="19" t="s">
        <v>1754</v>
      </c>
      <c r="E1865" s="19" t="s">
        <v>1755</v>
      </c>
      <c r="F1865">
        <v>1</v>
      </c>
      <c r="H1865" s="3"/>
      <c r="I1865" s="4"/>
    </row>
    <row r="1866" spans="1:9" x14ac:dyDescent="0.25">
      <c r="A1866" s="3"/>
      <c r="B1866" s="17"/>
      <c r="C1866" s="19"/>
      <c r="D1866" s="19" t="s">
        <v>1756</v>
      </c>
      <c r="E1866" s="19" t="s">
        <v>343</v>
      </c>
      <c r="F1866">
        <v>1</v>
      </c>
      <c r="H1866" s="3"/>
      <c r="I1866" s="4"/>
    </row>
    <row r="1867" spans="1:9" x14ac:dyDescent="0.25">
      <c r="A1867" s="3"/>
      <c r="B1867" s="17"/>
      <c r="C1867" s="19"/>
      <c r="D1867" s="19" t="s">
        <v>1757</v>
      </c>
      <c r="E1867" s="19" t="s">
        <v>349</v>
      </c>
      <c r="F1867">
        <v>1</v>
      </c>
      <c r="H1867" s="3"/>
      <c r="I1867" s="4"/>
    </row>
    <row r="1868" spans="1:9" x14ac:dyDescent="0.25">
      <c r="A1868" s="3"/>
      <c r="B1868" s="17"/>
      <c r="C1868" s="19"/>
      <c r="D1868" s="19" t="s">
        <v>1758</v>
      </c>
      <c r="E1868" s="19" t="s">
        <v>793</v>
      </c>
      <c r="F1868">
        <v>1</v>
      </c>
      <c r="H1868" s="3"/>
      <c r="I1868" s="4"/>
    </row>
    <row r="1869" spans="1:9" x14ac:dyDescent="0.25">
      <c r="A1869" s="3"/>
      <c r="B1869" s="17"/>
      <c r="C1869" s="19"/>
      <c r="D1869" s="19" t="s">
        <v>1759</v>
      </c>
      <c r="E1869" s="19" t="s">
        <v>1760</v>
      </c>
      <c r="F1869">
        <v>0</v>
      </c>
      <c r="H1869" s="3"/>
      <c r="I1869" s="4"/>
    </row>
    <row r="1870" spans="1:9" x14ac:dyDescent="0.25">
      <c r="A1870" s="3"/>
      <c r="B1870" s="17"/>
      <c r="C1870" s="19"/>
      <c r="D1870" s="19" t="s">
        <v>1761</v>
      </c>
      <c r="E1870" s="19" t="s">
        <v>359</v>
      </c>
      <c r="F1870">
        <v>0</v>
      </c>
      <c r="H1870" s="3"/>
      <c r="I1870" s="4"/>
    </row>
    <row r="1871" spans="1:9" x14ac:dyDescent="0.25">
      <c r="A1871" s="3"/>
      <c r="B1871" s="17"/>
      <c r="C1871" s="19"/>
      <c r="D1871" s="19" t="s">
        <v>1762</v>
      </c>
      <c r="E1871" s="19" t="s">
        <v>361</v>
      </c>
      <c r="F1871">
        <v>0</v>
      </c>
      <c r="H1871" s="3"/>
      <c r="I1871" s="4"/>
    </row>
    <row r="1872" spans="1:9" x14ac:dyDescent="0.25">
      <c r="A1872" s="3"/>
      <c r="B1872" s="17"/>
      <c r="C1872" s="19"/>
      <c r="D1872" s="19" t="s">
        <v>1763</v>
      </c>
      <c r="E1872" s="19" t="s">
        <v>1303</v>
      </c>
      <c r="F1872">
        <v>1</v>
      </c>
      <c r="H1872" s="3"/>
      <c r="I1872" s="4"/>
    </row>
    <row r="1873" spans="1:6" x14ac:dyDescent="0.25">
      <c r="A1873" s="3">
        <v>297</v>
      </c>
      <c r="B1873" s="15" t="s">
        <v>91</v>
      </c>
      <c r="C1873" s="19" t="s">
        <v>636</v>
      </c>
      <c r="D1873" s="19" t="s">
        <v>637</v>
      </c>
      <c r="E1873" s="19" t="s">
        <v>638</v>
      </c>
      <c r="F1873">
        <v>1</v>
      </c>
    </row>
    <row r="1874" spans="1:6" x14ac:dyDescent="0.25">
      <c r="C1874" s="19"/>
      <c r="D1874" s="19" t="s">
        <v>639</v>
      </c>
      <c r="E1874" s="19" t="s">
        <v>640</v>
      </c>
      <c r="F1874">
        <v>1</v>
      </c>
    </row>
    <row r="1875" spans="1:6" x14ac:dyDescent="0.25">
      <c r="C1875" s="19"/>
      <c r="D1875" s="19" t="s">
        <v>641</v>
      </c>
      <c r="E1875" s="19" t="s">
        <v>642</v>
      </c>
      <c r="F1875">
        <v>1</v>
      </c>
    </row>
    <row r="1876" spans="1:6" x14ac:dyDescent="0.25">
      <c r="C1876" s="19"/>
      <c r="D1876" s="19" t="s">
        <v>643</v>
      </c>
      <c r="E1876" s="19" t="s">
        <v>644</v>
      </c>
      <c r="F1876">
        <v>1</v>
      </c>
    </row>
    <row r="1877" spans="1:6" x14ac:dyDescent="0.25">
      <c r="C1877" s="19"/>
      <c r="D1877" s="19" t="s">
        <v>645</v>
      </c>
      <c r="E1877" s="19" t="s">
        <v>646</v>
      </c>
      <c r="F1877">
        <v>1</v>
      </c>
    </row>
    <row r="1878" spans="1:6" x14ac:dyDescent="0.25">
      <c r="C1878" s="19"/>
      <c r="D1878" s="19" t="s">
        <v>647</v>
      </c>
      <c r="E1878" s="19" t="s">
        <v>648</v>
      </c>
      <c r="F1878">
        <v>1</v>
      </c>
    </row>
    <row r="1879" spans="1:6" x14ac:dyDescent="0.25">
      <c r="C1879" s="19"/>
      <c r="D1879" s="19" t="s">
        <v>649</v>
      </c>
      <c r="E1879" s="19" t="s">
        <v>650</v>
      </c>
      <c r="F1879">
        <v>1</v>
      </c>
    </row>
    <row r="1880" spans="1:6" x14ac:dyDescent="0.25">
      <c r="C1880" s="19"/>
      <c r="D1880" s="19" t="s">
        <v>651</v>
      </c>
      <c r="E1880" s="19" t="s">
        <v>652</v>
      </c>
      <c r="F1880">
        <v>1</v>
      </c>
    </row>
    <row r="1881" spans="1:6" x14ac:dyDescent="0.25">
      <c r="C1881" s="19"/>
      <c r="D1881" s="19" t="s">
        <v>653</v>
      </c>
      <c r="E1881" s="19" t="s">
        <v>438</v>
      </c>
      <c r="F1881">
        <v>1</v>
      </c>
    </row>
    <row r="1882" spans="1:6" x14ac:dyDescent="0.25">
      <c r="C1882" s="19"/>
      <c r="D1882" s="19" t="s">
        <v>654</v>
      </c>
      <c r="E1882" s="19" t="s">
        <v>440</v>
      </c>
      <c r="F1882">
        <v>1</v>
      </c>
    </row>
    <row r="1883" spans="1:6" x14ac:dyDescent="0.25">
      <c r="C1883" s="19"/>
      <c r="D1883" s="19" t="s">
        <v>655</v>
      </c>
      <c r="E1883" s="19" t="s">
        <v>656</v>
      </c>
      <c r="F1883">
        <v>1</v>
      </c>
    </row>
    <row r="1884" spans="1:6" x14ac:dyDescent="0.25">
      <c r="C1884" s="19"/>
      <c r="D1884" s="19" t="s">
        <v>657</v>
      </c>
      <c r="E1884" s="19" t="s">
        <v>658</v>
      </c>
      <c r="F1884">
        <v>1</v>
      </c>
    </row>
    <row r="1885" spans="1:6" x14ac:dyDescent="0.25">
      <c r="A1885" s="3">
        <v>298</v>
      </c>
      <c r="B1885" s="15" t="s">
        <v>91</v>
      </c>
      <c r="C1885" s="19" t="s">
        <v>636</v>
      </c>
      <c r="D1885" s="19" t="s">
        <v>637</v>
      </c>
      <c r="E1885" s="19" t="s">
        <v>638</v>
      </c>
      <c r="F1885">
        <v>1</v>
      </c>
    </row>
    <row r="1886" spans="1:6" x14ac:dyDescent="0.25">
      <c r="C1886" s="19"/>
      <c r="D1886" s="19" t="s">
        <v>639</v>
      </c>
      <c r="E1886" s="19" t="s">
        <v>640</v>
      </c>
      <c r="F1886">
        <v>1</v>
      </c>
    </row>
    <row r="1887" spans="1:6" x14ac:dyDescent="0.25">
      <c r="C1887" s="19"/>
      <c r="D1887" s="19" t="s">
        <v>641</v>
      </c>
      <c r="E1887" s="19" t="s">
        <v>642</v>
      </c>
      <c r="F1887">
        <v>1</v>
      </c>
    </row>
    <row r="1888" spans="1:6" x14ac:dyDescent="0.25">
      <c r="C1888" s="19"/>
      <c r="D1888" s="19" t="s">
        <v>643</v>
      </c>
      <c r="E1888" s="19" t="s">
        <v>644</v>
      </c>
      <c r="F1888">
        <v>1</v>
      </c>
    </row>
    <row r="1889" spans="1:6" x14ac:dyDescent="0.25">
      <c r="C1889" s="19"/>
      <c r="D1889" s="19" t="s">
        <v>645</v>
      </c>
      <c r="E1889" s="19" t="s">
        <v>646</v>
      </c>
      <c r="F1889">
        <v>1</v>
      </c>
    </row>
    <row r="1890" spans="1:6" x14ac:dyDescent="0.25">
      <c r="C1890" s="19"/>
      <c r="D1890" s="19" t="s">
        <v>647</v>
      </c>
      <c r="E1890" s="19" t="s">
        <v>648</v>
      </c>
      <c r="F1890">
        <v>1</v>
      </c>
    </row>
    <row r="1891" spans="1:6" x14ac:dyDescent="0.25">
      <c r="C1891" s="19"/>
      <c r="D1891" s="19" t="s">
        <v>649</v>
      </c>
      <c r="E1891" s="19" t="s">
        <v>650</v>
      </c>
      <c r="F1891">
        <v>1</v>
      </c>
    </row>
    <row r="1892" spans="1:6" x14ac:dyDescent="0.25">
      <c r="C1892" s="19"/>
      <c r="D1892" s="19" t="s">
        <v>651</v>
      </c>
      <c r="E1892" s="19" t="s">
        <v>652</v>
      </c>
      <c r="F1892">
        <v>1</v>
      </c>
    </row>
    <row r="1893" spans="1:6" x14ac:dyDescent="0.25">
      <c r="C1893" s="19"/>
      <c r="D1893" s="19" t="s">
        <v>653</v>
      </c>
      <c r="E1893" s="19" t="s">
        <v>438</v>
      </c>
      <c r="F1893">
        <v>1</v>
      </c>
    </row>
    <row r="1894" spans="1:6" x14ac:dyDescent="0.25">
      <c r="C1894" s="19"/>
      <c r="D1894" s="19" t="s">
        <v>654</v>
      </c>
      <c r="E1894" s="19" t="s">
        <v>440</v>
      </c>
      <c r="F1894">
        <v>1</v>
      </c>
    </row>
    <row r="1895" spans="1:6" x14ac:dyDescent="0.25">
      <c r="C1895" s="19"/>
      <c r="D1895" s="19" t="s">
        <v>655</v>
      </c>
      <c r="E1895" s="19" t="s">
        <v>656</v>
      </c>
      <c r="F1895">
        <v>1</v>
      </c>
    </row>
    <row r="1896" spans="1:6" x14ac:dyDescent="0.25">
      <c r="C1896" s="19"/>
      <c r="D1896" s="19" t="s">
        <v>657</v>
      </c>
      <c r="E1896" s="19" t="s">
        <v>658</v>
      </c>
      <c r="F1896">
        <v>1</v>
      </c>
    </row>
    <row r="1897" spans="1:6" x14ac:dyDescent="0.25">
      <c r="A1897" s="3">
        <v>304</v>
      </c>
      <c r="B1897" s="17" t="s">
        <v>92</v>
      </c>
      <c r="C1897" s="19" t="s">
        <v>877</v>
      </c>
      <c r="D1897" s="19" t="s">
        <v>878</v>
      </c>
      <c r="E1897" s="19" t="s">
        <v>312</v>
      </c>
      <c r="F1897">
        <v>1</v>
      </c>
    </row>
    <row r="1898" spans="1:6" x14ac:dyDescent="0.25">
      <c r="C1898" s="19"/>
      <c r="D1898" s="19" t="s">
        <v>879</v>
      </c>
      <c r="E1898" s="19" t="s">
        <v>880</v>
      </c>
      <c r="F1898">
        <v>1</v>
      </c>
    </row>
    <row r="1899" spans="1:6" x14ac:dyDescent="0.25">
      <c r="C1899" s="19"/>
      <c r="D1899" s="19" t="s">
        <v>881</v>
      </c>
      <c r="E1899" s="19" t="s">
        <v>370</v>
      </c>
      <c r="F1899">
        <v>0</v>
      </c>
    </row>
    <row r="1900" spans="1:6" x14ac:dyDescent="0.25">
      <c r="C1900" s="19"/>
      <c r="D1900" s="19" t="s">
        <v>882</v>
      </c>
      <c r="E1900" s="19" t="s">
        <v>883</v>
      </c>
      <c r="F1900">
        <v>1</v>
      </c>
    </row>
    <row r="1901" spans="1:6" x14ac:dyDescent="0.25">
      <c r="C1901" s="19"/>
      <c r="D1901" s="19" t="s">
        <v>884</v>
      </c>
      <c r="E1901" s="19" t="s">
        <v>885</v>
      </c>
      <c r="F1901">
        <v>1</v>
      </c>
    </row>
    <row r="1902" spans="1:6" x14ac:dyDescent="0.25">
      <c r="C1902" s="19"/>
      <c r="D1902" s="19" t="s">
        <v>886</v>
      </c>
      <c r="E1902" s="19" t="s">
        <v>887</v>
      </c>
      <c r="F1902">
        <v>1</v>
      </c>
    </row>
    <row r="1903" spans="1:6" x14ac:dyDescent="0.25">
      <c r="C1903" s="19"/>
      <c r="D1903" s="19" t="s">
        <v>888</v>
      </c>
      <c r="E1903" s="19" t="s">
        <v>889</v>
      </c>
      <c r="F1903">
        <v>0</v>
      </c>
    </row>
    <row r="1904" spans="1:6" x14ac:dyDescent="0.25">
      <c r="C1904" s="19"/>
      <c r="D1904" s="19" t="s">
        <v>890</v>
      </c>
      <c r="E1904" s="19" t="s">
        <v>295</v>
      </c>
      <c r="F1904">
        <v>1</v>
      </c>
    </row>
    <row r="1905" spans="1:6" x14ac:dyDescent="0.25">
      <c r="A1905" s="3">
        <v>306</v>
      </c>
      <c r="B1905" s="15" t="s">
        <v>93</v>
      </c>
      <c r="C1905" s="19" t="s">
        <v>1155</v>
      </c>
      <c r="D1905" s="19" t="s">
        <v>1156</v>
      </c>
      <c r="E1905" s="19" t="s">
        <v>273</v>
      </c>
      <c r="F1905">
        <v>1</v>
      </c>
    </row>
    <row r="1906" spans="1:6" x14ac:dyDescent="0.25">
      <c r="C1906" s="19"/>
      <c r="D1906" s="19" t="s">
        <v>1157</v>
      </c>
      <c r="E1906" s="19" t="s">
        <v>844</v>
      </c>
      <c r="F1906">
        <v>1</v>
      </c>
    </row>
    <row r="1907" spans="1:6" x14ac:dyDescent="0.25">
      <c r="C1907" s="19"/>
      <c r="D1907" s="19" t="s">
        <v>1158</v>
      </c>
      <c r="E1907" s="19" t="s">
        <v>1159</v>
      </c>
      <c r="F1907">
        <v>0</v>
      </c>
    </row>
    <row r="1908" spans="1:6" x14ac:dyDescent="0.25">
      <c r="C1908" s="19"/>
      <c r="D1908" s="19" t="s">
        <v>1160</v>
      </c>
      <c r="E1908" s="19" t="s">
        <v>1161</v>
      </c>
      <c r="F1908">
        <v>0</v>
      </c>
    </row>
    <row r="1909" spans="1:6" x14ac:dyDescent="0.25">
      <c r="C1909" s="19"/>
      <c r="D1909" s="19" t="s">
        <v>1162</v>
      </c>
      <c r="E1909" s="19" t="s">
        <v>1163</v>
      </c>
      <c r="F1909">
        <v>0</v>
      </c>
    </row>
    <row r="1910" spans="1:6" x14ac:dyDescent="0.25">
      <c r="C1910" s="19"/>
      <c r="D1910" s="19" t="s">
        <v>1164</v>
      </c>
      <c r="E1910" s="19" t="s">
        <v>1165</v>
      </c>
      <c r="F1910">
        <v>0</v>
      </c>
    </row>
    <row r="1911" spans="1:6" x14ac:dyDescent="0.25">
      <c r="C1911" s="19"/>
      <c r="D1911" s="19" t="s">
        <v>1166</v>
      </c>
      <c r="E1911" s="19" t="s">
        <v>295</v>
      </c>
      <c r="F1911">
        <v>1</v>
      </c>
    </row>
    <row r="1912" spans="1:6" x14ac:dyDescent="0.25">
      <c r="C1912" s="19"/>
      <c r="D1912" s="19" t="s">
        <v>1167</v>
      </c>
      <c r="E1912" s="19" t="s">
        <v>1168</v>
      </c>
      <c r="F1912">
        <v>0</v>
      </c>
    </row>
    <row r="1913" spans="1:6" x14ac:dyDescent="0.25">
      <c r="A1913" s="3">
        <v>310</v>
      </c>
      <c r="B1913" s="15" t="s">
        <v>94</v>
      </c>
      <c r="C1913" s="21" t="s">
        <v>386</v>
      </c>
      <c r="D1913" s="19" t="s">
        <v>387</v>
      </c>
      <c r="E1913" s="19" t="s">
        <v>388</v>
      </c>
      <c r="F1913">
        <v>1</v>
      </c>
    </row>
    <row r="1914" spans="1:6" x14ac:dyDescent="0.25">
      <c r="C1914" s="22"/>
      <c r="D1914" s="19" t="s">
        <v>390</v>
      </c>
      <c r="E1914" s="19" t="s">
        <v>391</v>
      </c>
      <c r="F1914">
        <v>1</v>
      </c>
    </row>
    <row r="1915" spans="1:6" x14ac:dyDescent="0.25">
      <c r="C1915" s="19"/>
      <c r="D1915" s="21" t="s">
        <v>392</v>
      </c>
      <c r="E1915" s="19" t="s">
        <v>393</v>
      </c>
      <c r="F1915">
        <v>1</v>
      </c>
    </row>
    <row r="1916" spans="1:6" x14ac:dyDescent="0.25">
      <c r="C1916" s="19"/>
      <c r="D1916" s="19" t="s">
        <v>394</v>
      </c>
      <c r="E1916" s="19" t="s">
        <v>395</v>
      </c>
      <c r="F1916">
        <v>0</v>
      </c>
    </row>
    <row r="1917" spans="1:6" x14ac:dyDescent="0.25">
      <c r="C1917" s="19"/>
      <c r="D1917" s="19" t="s">
        <v>396</v>
      </c>
      <c r="E1917" s="19" t="s">
        <v>397</v>
      </c>
      <c r="F1917">
        <v>1</v>
      </c>
    </row>
    <row r="1918" spans="1:6" x14ac:dyDescent="0.25">
      <c r="C1918" s="19"/>
      <c r="D1918" s="19" t="s">
        <v>398</v>
      </c>
      <c r="E1918" s="19" t="s">
        <v>399</v>
      </c>
      <c r="F1918" s="7">
        <v>0</v>
      </c>
    </row>
    <row r="1919" spans="1:6" x14ac:dyDescent="0.25">
      <c r="C1919" s="19"/>
      <c r="D1919" s="19" t="s">
        <v>400</v>
      </c>
      <c r="E1919" s="19" t="s">
        <v>401</v>
      </c>
      <c r="F1919">
        <v>1</v>
      </c>
    </row>
    <row r="1920" spans="1:6" x14ac:dyDescent="0.25">
      <c r="C1920" s="19"/>
      <c r="D1920" s="19" t="s">
        <v>402</v>
      </c>
      <c r="E1920" s="19" t="s">
        <v>403</v>
      </c>
      <c r="F1920">
        <v>1</v>
      </c>
    </row>
    <row r="1921" spans="1:6" x14ac:dyDescent="0.25">
      <c r="C1921" s="19"/>
      <c r="D1921" s="19" t="s">
        <v>404</v>
      </c>
      <c r="E1921" s="19" t="s">
        <v>405</v>
      </c>
      <c r="F1921">
        <v>0</v>
      </c>
    </row>
    <row r="1922" spans="1:6" x14ac:dyDescent="0.25">
      <c r="C1922" s="19" t="s">
        <v>1457</v>
      </c>
      <c r="D1922" s="19" t="s">
        <v>1458</v>
      </c>
      <c r="E1922" s="19" t="s">
        <v>273</v>
      </c>
      <c r="F1922">
        <v>1</v>
      </c>
    </row>
    <row r="1923" spans="1:6" x14ac:dyDescent="0.25">
      <c r="C1923" s="19"/>
      <c r="D1923" s="19" t="s">
        <v>1459</v>
      </c>
      <c r="E1923" s="19" t="s">
        <v>640</v>
      </c>
      <c r="F1923">
        <v>1</v>
      </c>
    </row>
    <row r="1924" spans="1:6" x14ac:dyDescent="0.25">
      <c r="C1924" s="19"/>
      <c r="D1924" s="19" t="s">
        <v>1460</v>
      </c>
      <c r="E1924" s="19" t="s">
        <v>929</v>
      </c>
      <c r="F1924">
        <v>1</v>
      </c>
    </row>
    <row r="1925" spans="1:6" x14ac:dyDescent="0.25">
      <c r="C1925" s="19"/>
      <c r="D1925" s="19" t="s">
        <v>1461</v>
      </c>
      <c r="E1925" s="19" t="s">
        <v>1462</v>
      </c>
      <c r="F1925">
        <v>0</v>
      </c>
    </row>
    <row r="1926" spans="1:6" x14ac:dyDescent="0.25">
      <c r="C1926" s="19"/>
      <c r="D1926" s="19" t="s">
        <v>1463</v>
      </c>
      <c r="E1926" s="19" t="s">
        <v>1464</v>
      </c>
      <c r="F1926">
        <v>0</v>
      </c>
    </row>
    <row r="1927" spans="1:6" x14ac:dyDescent="0.25">
      <c r="C1927" s="19"/>
      <c r="D1927" s="19" t="s">
        <v>1465</v>
      </c>
      <c r="E1927" s="19" t="s">
        <v>347</v>
      </c>
      <c r="F1927">
        <v>1</v>
      </c>
    </row>
    <row r="1928" spans="1:6" x14ac:dyDescent="0.25">
      <c r="C1928" s="19"/>
      <c r="D1928" s="19" t="s">
        <v>1466</v>
      </c>
      <c r="E1928" s="19" t="s">
        <v>1467</v>
      </c>
      <c r="F1928">
        <v>1</v>
      </c>
    </row>
    <row r="1929" spans="1:6" x14ac:dyDescent="0.25">
      <c r="C1929" s="19"/>
      <c r="D1929" s="19" t="s">
        <v>1468</v>
      </c>
      <c r="E1929" s="19" t="s">
        <v>1469</v>
      </c>
      <c r="F1929">
        <v>1</v>
      </c>
    </row>
    <row r="1930" spans="1:6" x14ac:dyDescent="0.25">
      <c r="C1930" s="19"/>
      <c r="D1930" s="19" t="s">
        <v>1470</v>
      </c>
      <c r="E1930" s="19" t="s">
        <v>1471</v>
      </c>
      <c r="F1930">
        <v>0</v>
      </c>
    </row>
    <row r="1931" spans="1:6" x14ac:dyDescent="0.25">
      <c r="C1931" s="19"/>
      <c r="D1931" s="19" t="s">
        <v>1472</v>
      </c>
      <c r="E1931" s="19" t="s">
        <v>391</v>
      </c>
      <c r="F1931">
        <v>1</v>
      </c>
    </row>
    <row r="1932" spans="1:6" x14ac:dyDescent="0.25">
      <c r="C1932" s="19"/>
      <c r="D1932" s="19" t="s">
        <v>1473</v>
      </c>
      <c r="E1932" s="19" t="s">
        <v>956</v>
      </c>
      <c r="F1932">
        <v>1</v>
      </c>
    </row>
    <row r="1933" spans="1:6" x14ac:dyDescent="0.25">
      <c r="A1933" s="3">
        <v>325</v>
      </c>
      <c r="B1933" s="15" t="s">
        <v>95</v>
      </c>
      <c r="C1933" s="19" t="s">
        <v>1613</v>
      </c>
      <c r="D1933" s="19" t="s">
        <v>1614</v>
      </c>
      <c r="E1933" s="19" t="s">
        <v>273</v>
      </c>
      <c r="F1933">
        <v>1</v>
      </c>
    </row>
    <row r="1934" spans="1:6" x14ac:dyDescent="0.25">
      <c r="C1934" s="19"/>
      <c r="D1934" s="19" t="s">
        <v>1615</v>
      </c>
      <c r="E1934" s="19" t="s">
        <v>312</v>
      </c>
      <c r="F1934">
        <v>1</v>
      </c>
    </row>
    <row r="1935" spans="1:6" x14ac:dyDescent="0.25">
      <c r="C1935" s="19"/>
      <c r="D1935" s="19" t="s">
        <v>1616</v>
      </c>
      <c r="E1935" s="19" t="s">
        <v>316</v>
      </c>
      <c r="F1935">
        <v>1</v>
      </c>
    </row>
    <row r="1936" spans="1:6" x14ac:dyDescent="0.25">
      <c r="C1936" s="19"/>
      <c r="D1936" s="19" t="s">
        <v>1617</v>
      </c>
      <c r="E1936" s="19" t="s">
        <v>314</v>
      </c>
      <c r="F1936">
        <v>1</v>
      </c>
    </row>
    <row r="1937" spans="3:6" x14ac:dyDescent="0.25">
      <c r="C1937" s="19"/>
      <c r="D1937" s="19" t="s">
        <v>1618</v>
      </c>
      <c r="E1937" s="19" t="s">
        <v>318</v>
      </c>
      <c r="F1937">
        <v>1</v>
      </c>
    </row>
    <row r="1938" spans="3:6" x14ac:dyDescent="0.25">
      <c r="C1938" s="19"/>
      <c r="D1938" s="19" t="s">
        <v>1619</v>
      </c>
      <c r="E1938" s="19" t="s">
        <v>1620</v>
      </c>
      <c r="F1938">
        <v>1</v>
      </c>
    </row>
    <row r="1939" spans="3:6" x14ac:dyDescent="0.25">
      <c r="C1939" s="19"/>
      <c r="D1939" s="19" t="s">
        <v>1621</v>
      </c>
      <c r="E1939" s="19" t="s">
        <v>1622</v>
      </c>
      <c r="F1939">
        <v>1</v>
      </c>
    </row>
    <row r="1940" spans="3:6" x14ac:dyDescent="0.25">
      <c r="C1940" s="19"/>
      <c r="D1940" s="19" t="s">
        <v>1623</v>
      </c>
      <c r="E1940" s="19" t="s">
        <v>322</v>
      </c>
      <c r="F1940">
        <v>1</v>
      </c>
    </row>
    <row r="1941" spans="3:6" x14ac:dyDescent="0.25">
      <c r="C1941" s="19"/>
      <c r="D1941" s="19" t="s">
        <v>1624</v>
      </c>
      <c r="E1941" s="19" t="s">
        <v>936</v>
      </c>
      <c r="F1941">
        <v>1</v>
      </c>
    </row>
    <row r="1942" spans="3:6" x14ac:dyDescent="0.25">
      <c r="C1942" s="19"/>
      <c r="D1942" s="19" t="s">
        <v>1625</v>
      </c>
      <c r="E1942" s="19" t="s">
        <v>938</v>
      </c>
      <c r="F1942">
        <v>1</v>
      </c>
    </row>
    <row r="1943" spans="3:6" x14ac:dyDescent="0.25">
      <c r="C1943" s="19"/>
      <c r="D1943" s="19" t="s">
        <v>1626</v>
      </c>
      <c r="E1943" s="19" t="s">
        <v>1483</v>
      </c>
      <c r="F1943">
        <v>0</v>
      </c>
    </row>
    <row r="1944" spans="3:6" x14ac:dyDescent="0.25">
      <c r="C1944" s="19"/>
      <c r="D1944" s="19" t="s">
        <v>1627</v>
      </c>
      <c r="E1944" s="19" t="s">
        <v>942</v>
      </c>
      <c r="F1944">
        <v>1</v>
      </c>
    </row>
    <row r="1945" spans="3:6" x14ac:dyDescent="0.25">
      <c r="C1945" s="19"/>
      <c r="D1945" s="19" t="s">
        <v>1628</v>
      </c>
      <c r="E1945" s="19" t="s">
        <v>383</v>
      </c>
      <c r="F1945">
        <v>1</v>
      </c>
    </row>
    <row r="1946" spans="3:6" x14ac:dyDescent="0.25">
      <c r="C1946" s="19"/>
      <c r="D1946" s="19" t="s">
        <v>1629</v>
      </c>
      <c r="E1946" s="19" t="s">
        <v>1630</v>
      </c>
      <c r="F1946">
        <v>0</v>
      </c>
    </row>
    <row r="1947" spans="3:6" x14ac:dyDescent="0.25">
      <c r="C1947" s="19"/>
      <c r="D1947" s="19" t="s">
        <v>1631</v>
      </c>
      <c r="E1947" s="19" t="s">
        <v>380</v>
      </c>
      <c r="F1947">
        <v>1</v>
      </c>
    </row>
    <row r="1948" spans="3:6" x14ac:dyDescent="0.25">
      <c r="C1948" s="19"/>
      <c r="D1948" s="19" t="s">
        <v>1632</v>
      </c>
      <c r="E1948" s="19" t="s">
        <v>381</v>
      </c>
      <c r="F1948">
        <v>1</v>
      </c>
    </row>
    <row r="1949" spans="3:6" x14ac:dyDescent="0.25">
      <c r="C1949" s="19"/>
      <c r="D1949" s="19" t="s">
        <v>1633</v>
      </c>
      <c r="E1949" s="19" t="s">
        <v>1634</v>
      </c>
      <c r="F1949">
        <v>1</v>
      </c>
    </row>
    <row r="1950" spans="3:6" x14ac:dyDescent="0.25">
      <c r="C1950" s="19"/>
      <c r="D1950" s="19" t="s">
        <v>1635</v>
      </c>
      <c r="E1950" s="19" t="s">
        <v>328</v>
      </c>
      <c r="F1950">
        <v>1</v>
      </c>
    </row>
    <row r="1951" spans="3:6" x14ac:dyDescent="0.25">
      <c r="C1951" s="19"/>
      <c r="D1951" s="19" t="s">
        <v>1636</v>
      </c>
      <c r="E1951" s="19" t="s">
        <v>1637</v>
      </c>
      <c r="F1951">
        <v>1</v>
      </c>
    </row>
    <row r="1952" spans="3:6" x14ac:dyDescent="0.25">
      <c r="C1952" s="19"/>
      <c r="D1952" s="19" t="s">
        <v>1638</v>
      </c>
      <c r="E1952" s="19" t="s">
        <v>1639</v>
      </c>
      <c r="F1952">
        <v>1</v>
      </c>
    </row>
    <row r="1953" spans="1:6" x14ac:dyDescent="0.25">
      <c r="A1953" s="3">
        <v>326</v>
      </c>
      <c r="B1953" s="15" t="s">
        <v>95</v>
      </c>
      <c r="C1953" s="19" t="s">
        <v>1613</v>
      </c>
      <c r="D1953" s="19" t="s">
        <v>1614</v>
      </c>
      <c r="E1953" s="19" t="s">
        <v>273</v>
      </c>
      <c r="F1953">
        <v>1</v>
      </c>
    </row>
    <row r="1954" spans="1:6" x14ac:dyDescent="0.25">
      <c r="C1954" s="19"/>
      <c r="D1954" s="19" t="s">
        <v>1615</v>
      </c>
      <c r="E1954" s="19" t="s">
        <v>312</v>
      </c>
      <c r="F1954">
        <v>1</v>
      </c>
    </row>
    <row r="1955" spans="1:6" x14ac:dyDescent="0.25">
      <c r="C1955" s="19"/>
      <c r="D1955" s="19" t="s">
        <v>1616</v>
      </c>
      <c r="E1955" s="19" t="s">
        <v>316</v>
      </c>
      <c r="F1955">
        <v>1</v>
      </c>
    </row>
    <row r="1956" spans="1:6" x14ac:dyDescent="0.25">
      <c r="C1956" s="19"/>
      <c r="D1956" s="19" t="s">
        <v>1617</v>
      </c>
      <c r="E1956" s="19" t="s">
        <v>314</v>
      </c>
      <c r="F1956">
        <v>1</v>
      </c>
    </row>
    <row r="1957" spans="1:6" x14ac:dyDescent="0.25">
      <c r="C1957" s="19"/>
      <c r="D1957" s="19" t="s">
        <v>1618</v>
      </c>
      <c r="E1957" s="19" t="s">
        <v>318</v>
      </c>
      <c r="F1957">
        <v>1</v>
      </c>
    </row>
    <row r="1958" spans="1:6" x14ac:dyDescent="0.25">
      <c r="C1958" s="19"/>
      <c r="D1958" s="19" t="s">
        <v>1619</v>
      </c>
      <c r="E1958" s="19" t="s">
        <v>1620</v>
      </c>
      <c r="F1958">
        <v>1</v>
      </c>
    </row>
    <row r="1959" spans="1:6" x14ac:dyDescent="0.25">
      <c r="C1959" s="19"/>
      <c r="D1959" s="19" t="s">
        <v>1621</v>
      </c>
      <c r="E1959" s="19" t="s">
        <v>1622</v>
      </c>
      <c r="F1959">
        <v>1</v>
      </c>
    </row>
    <row r="1960" spans="1:6" x14ac:dyDescent="0.25">
      <c r="C1960" s="19"/>
      <c r="D1960" s="19" t="s">
        <v>1623</v>
      </c>
      <c r="E1960" s="19" t="s">
        <v>322</v>
      </c>
      <c r="F1960">
        <v>1</v>
      </c>
    </row>
    <row r="1961" spans="1:6" x14ac:dyDescent="0.25">
      <c r="C1961" s="19"/>
      <c r="D1961" s="19" t="s">
        <v>1624</v>
      </c>
      <c r="E1961" s="19" t="s">
        <v>936</v>
      </c>
      <c r="F1961">
        <v>1</v>
      </c>
    </row>
    <row r="1962" spans="1:6" x14ac:dyDescent="0.25">
      <c r="C1962" s="19"/>
      <c r="D1962" s="19" t="s">
        <v>1625</v>
      </c>
      <c r="E1962" s="19" t="s">
        <v>938</v>
      </c>
      <c r="F1962">
        <v>1</v>
      </c>
    </row>
    <row r="1963" spans="1:6" x14ac:dyDescent="0.25">
      <c r="C1963" s="19"/>
      <c r="D1963" s="19" t="s">
        <v>1626</v>
      </c>
      <c r="E1963" s="19" t="s">
        <v>1483</v>
      </c>
      <c r="F1963">
        <v>0</v>
      </c>
    </row>
    <row r="1964" spans="1:6" x14ac:dyDescent="0.25">
      <c r="C1964" s="19"/>
      <c r="D1964" s="19" t="s">
        <v>1627</v>
      </c>
      <c r="E1964" s="19" t="s">
        <v>942</v>
      </c>
      <c r="F1964" s="7">
        <v>0</v>
      </c>
    </row>
    <row r="1965" spans="1:6" x14ac:dyDescent="0.25">
      <c r="C1965" s="19"/>
      <c r="D1965" s="19" t="s">
        <v>1628</v>
      </c>
      <c r="E1965" s="19" t="s">
        <v>383</v>
      </c>
      <c r="F1965">
        <v>1</v>
      </c>
    </row>
    <row r="1966" spans="1:6" x14ac:dyDescent="0.25">
      <c r="C1966" s="19"/>
      <c r="D1966" s="19" t="s">
        <v>1629</v>
      </c>
      <c r="E1966" s="19" t="s">
        <v>1630</v>
      </c>
      <c r="F1966">
        <v>0</v>
      </c>
    </row>
    <row r="1967" spans="1:6" x14ac:dyDescent="0.25">
      <c r="C1967" s="19"/>
      <c r="D1967" s="19" t="s">
        <v>1631</v>
      </c>
      <c r="E1967" s="19" t="s">
        <v>380</v>
      </c>
      <c r="F1967">
        <v>1</v>
      </c>
    </row>
    <row r="1968" spans="1:6" x14ac:dyDescent="0.25">
      <c r="C1968" s="19"/>
      <c r="D1968" s="19" t="s">
        <v>1632</v>
      </c>
      <c r="E1968" s="19" t="s">
        <v>381</v>
      </c>
      <c r="F1968">
        <v>1</v>
      </c>
    </row>
    <row r="1969" spans="1:6" x14ac:dyDescent="0.25">
      <c r="C1969" s="19"/>
      <c r="D1969" s="19" t="s">
        <v>1633</v>
      </c>
      <c r="E1969" s="19" t="s">
        <v>1634</v>
      </c>
      <c r="F1969">
        <v>1</v>
      </c>
    </row>
    <row r="1970" spans="1:6" x14ac:dyDescent="0.25">
      <c r="C1970" s="19"/>
      <c r="D1970" s="19" t="s">
        <v>1635</v>
      </c>
      <c r="E1970" s="19" t="s">
        <v>328</v>
      </c>
      <c r="F1970">
        <v>1</v>
      </c>
    </row>
    <row r="1971" spans="1:6" x14ac:dyDescent="0.25">
      <c r="C1971" s="19"/>
      <c r="D1971" s="19" t="s">
        <v>1636</v>
      </c>
      <c r="E1971" s="19" t="s">
        <v>1637</v>
      </c>
      <c r="F1971">
        <v>1</v>
      </c>
    </row>
    <row r="1972" spans="1:6" x14ac:dyDescent="0.25">
      <c r="C1972" s="19"/>
      <c r="D1972" s="19" t="s">
        <v>1638</v>
      </c>
      <c r="E1972" s="19" t="s">
        <v>1639</v>
      </c>
      <c r="F1972">
        <v>1</v>
      </c>
    </row>
    <row r="1973" spans="1:6" x14ac:dyDescent="0.25">
      <c r="A1973" s="3">
        <v>328</v>
      </c>
      <c r="B1973" s="15" t="s">
        <v>96</v>
      </c>
      <c r="C1973" s="19" t="s">
        <v>463</v>
      </c>
      <c r="D1973" s="19" t="s">
        <v>464</v>
      </c>
      <c r="E1973" s="19" t="s">
        <v>465</v>
      </c>
      <c r="F1973">
        <v>1</v>
      </c>
    </row>
    <row r="1974" spans="1:6" x14ac:dyDescent="0.25">
      <c r="C1974" s="19"/>
      <c r="D1974" s="19" t="s">
        <v>466</v>
      </c>
      <c r="E1974" s="19" t="s">
        <v>467</v>
      </c>
      <c r="F1974">
        <v>1</v>
      </c>
    </row>
    <row r="1975" spans="1:6" x14ac:dyDescent="0.25">
      <c r="C1975" s="19"/>
      <c r="D1975" s="19" t="s">
        <v>468</v>
      </c>
      <c r="E1975" s="19" t="s">
        <v>469</v>
      </c>
      <c r="F1975">
        <v>1</v>
      </c>
    </row>
    <row r="1976" spans="1:6" x14ac:dyDescent="0.25">
      <c r="C1976" s="19"/>
      <c r="D1976" s="19" t="s">
        <v>470</v>
      </c>
      <c r="E1976" s="19" t="s">
        <v>368</v>
      </c>
      <c r="F1976">
        <v>1</v>
      </c>
    </row>
    <row r="1977" spans="1:6" x14ac:dyDescent="0.25">
      <c r="C1977" s="19"/>
      <c r="D1977" s="19" t="s">
        <v>471</v>
      </c>
      <c r="E1977" s="19" t="s">
        <v>370</v>
      </c>
      <c r="F1977">
        <v>1</v>
      </c>
    </row>
    <row r="1978" spans="1:6" x14ac:dyDescent="0.25">
      <c r="C1978" s="19"/>
      <c r="D1978" s="19" t="s">
        <v>472</v>
      </c>
      <c r="E1978" s="19" t="s">
        <v>473</v>
      </c>
      <c r="F1978">
        <v>1</v>
      </c>
    </row>
    <row r="1979" spans="1:6" x14ac:dyDescent="0.25">
      <c r="C1979" s="19"/>
      <c r="D1979" s="19" t="s">
        <v>474</v>
      </c>
      <c r="E1979" s="19" t="s">
        <v>475</v>
      </c>
      <c r="F1979">
        <v>1</v>
      </c>
    </row>
    <row r="1980" spans="1:6" x14ac:dyDescent="0.25">
      <c r="C1980" s="19"/>
      <c r="D1980" s="19" t="s">
        <v>476</v>
      </c>
      <c r="E1980" s="19" t="s">
        <v>477</v>
      </c>
      <c r="F1980">
        <v>1</v>
      </c>
    </row>
    <row r="1981" spans="1:6" x14ac:dyDescent="0.25">
      <c r="C1981" s="19"/>
      <c r="D1981" s="19" t="s">
        <v>478</v>
      </c>
      <c r="E1981" s="19" t="s">
        <v>295</v>
      </c>
      <c r="F1981">
        <v>1</v>
      </c>
    </row>
    <row r="1982" spans="1:6" x14ac:dyDescent="0.25">
      <c r="C1982" s="19"/>
      <c r="D1982" s="19" t="s">
        <v>479</v>
      </c>
      <c r="E1982" s="19" t="s">
        <v>480</v>
      </c>
      <c r="F1982">
        <v>1</v>
      </c>
    </row>
    <row r="1983" spans="1:6" x14ac:dyDescent="0.25">
      <c r="C1983" s="19"/>
      <c r="D1983" s="19" t="s">
        <v>481</v>
      </c>
      <c r="E1983" s="19" t="s">
        <v>482</v>
      </c>
      <c r="F1983" s="7">
        <v>0</v>
      </c>
    </row>
    <row r="1984" spans="1:6" x14ac:dyDescent="0.25">
      <c r="C1984" s="19"/>
      <c r="D1984" s="19" t="s">
        <v>483</v>
      </c>
      <c r="E1984" s="19" t="s">
        <v>484</v>
      </c>
      <c r="F1984">
        <v>1</v>
      </c>
    </row>
    <row r="1985" spans="1:6" x14ac:dyDescent="0.25">
      <c r="A1985" s="3">
        <v>329</v>
      </c>
      <c r="B1985" s="15" t="s">
        <v>96</v>
      </c>
      <c r="C1985" s="19" t="s">
        <v>463</v>
      </c>
      <c r="D1985" s="19" t="s">
        <v>464</v>
      </c>
      <c r="E1985" s="19" t="s">
        <v>465</v>
      </c>
      <c r="F1985">
        <v>1</v>
      </c>
    </row>
    <row r="1986" spans="1:6" x14ac:dyDescent="0.25">
      <c r="C1986" s="19"/>
      <c r="D1986" s="19" t="s">
        <v>466</v>
      </c>
      <c r="E1986" s="19" t="s">
        <v>467</v>
      </c>
      <c r="F1986">
        <v>1</v>
      </c>
    </row>
    <row r="1987" spans="1:6" x14ac:dyDescent="0.25">
      <c r="C1987" s="19"/>
      <c r="D1987" s="19" t="s">
        <v>468</v>
      </c>
      <c r="E1987" s="19" t="s">
        <v>469</v>
      </c>
      <c r="F1987">
        <v>1</v>
      </c>
    </row>
    <row r="1988" spans="1:6" x14ac:dyDescent="0.25">
      <c r="C1988" s="19"/>
      <c r="D1988" s="19" t="s">
        <v>470</v>
      </c>
      <c r="E1988" s="19" t="s">
        <v>368</v>
      </c>
      <c r="F1988">
        <v>1</v>
      </c>
    </row>
    <row r="1989" spans="1:6" x14ac:dyDescent="0.25">
      <c r="C1989" s="19"/>
      <c r="D1989" s="19" t="s">
        <v>471</v>
      </c>
      <c r="E1989" s="19" t="s">
        <v>370</v>
      </c>
      <c r="F1989">
        <v>1</v>
      </c>
    </row>
    <row r="1990" spans="1:6" x14ac:dyDescent="0.25">
      <c r="C1990" s="19"/>
      <c r="D1990" s="19" t="s">
        <v>472</v>
      </c>
      <c r="E1990" s="19" t="s">
        <v>473</v>
      </c>
      <c r="F1990">
        <v>1</v>
      </c>
    </row>
    <row r="1991" spans="1:6" x14ac:dyDescent="0.25">
      <c r="C1991" s="19"/>
      <c r="D1991" s="19" t="s">
        <v>474</v>
      </c>
      <c r="E1991" s="19" t="s">
        <v>475</v>
      </c>
      <c r="F1991">
        <v>1</v>
      </c>
    </row>
    <row r="1992" spans="1:6" x14ac:dyDescent="0.25">
      <c r="C1992" s="19"/>
      <c r="D1992" s="19" t="s">
        <v>476</v>
      </c>
      <c r="E1992" s="19" t="s">
        <v>477</v>
      </c>
      <c r="F1992">
        <v>1</v>
      </c>
    </row>
    <row r="1993" spans="1:6" x14ac:dyDescent="0.25">
      <c r="C1993" s="19"/>
      <c r="D1993" s="19" t="s">
        <v>478</v>
      </c>
      <c r="E1993" s="19" t="s">
        <v>295</v>
      </c>
      <c r="F1993">
        <v>1</v>
      </c>
    </row>
    <row r="1994" spans="1:6" x14ac:dyDescent="0.25">
      <c r="C1994" s="19"/>
      <c r="D1994" s="19" t="s">
        <v>479</v>
      </c>
      <c r="E1994" s="19" t="s">
        <v>480</v>
      </c>
      <c r="F1994">
        <v>1</v>
      </c>
    </row>
    <row r="1995" spans="1:6" x14ac:dyDescent="0.25">
      <c r="C1995" s="19"/>
      <c r="D1995" s="19" t="s">
        <v>481</v>
      </c>
      <c r="E1995" s="19" t="s">
        <v>482</v>
      </c>
      <c r="F1995" s="7">
        <v>0</v>
      </c>
    </row>
    <row r="1996" spans="1:6" x14ac:dyDescent="0.25">
      <c r="C1996" s="19"/>
      <c r="D1996" s="19" t="s">
        <v>483</v>
      </c>
      <c r="E1996" s="19" t="s">
        <v>484</v>
      </c>
      <c r="F1996">
        <v>1</v>
      </c>
    </row>
    <row r="1997" spans="1:6" x14ac:dyDescent="0.25">
      <c r="A1997" s="3">
        <v>330</v>
      </c>
      <c r="B1997" s="15" t="s">
        <v>96</v>
      </c>
      <c r="C1997" s="19" t="s">
        <v>463</v>
      </c>
      <c r="D1997" s="19" t="s">
        <v>464</v>
      </c>
      <c r="E1997" s="19" t="s">
        <v>465</v>
      </c>
      <c r="F1997">
        <v>1</v>
      </c>
    </row>
    <row r="1998" spans="1:6" x14ac:dyDescent="0.25">
      <c r="C1998" s="19"/>
      <c r="D1998" s="19" t="s">
        <v>466</v>
      </c>
      <c r="E1998" s="19" t="s">
        <v>467</v>
      </c>
      <c r="F1998">
        <v>1</v>
      </c>
    </row>
    <row r="1999" spans="1:6" x14ac:dyDescent="0.25">
      <c r="C1999" s="19"/>
      <c r="D1999" s="19" t="s">
        <v>468</v>
      </c>
      <c r="E1999" s="19" t="s">
        <v>469</v>
      </c>
      <c r="F1999">
        <v>1</v>
      </c>
    </row>
    <row r="2000" spans="1:6" x14ac:dyDescent="0.25">
      <c r="C2000" s="19"/>
      <c r="D2000" s="19" t="s">
        <v>470</v>
      </c>
      <c r="E2000" s="19" t="s">
        <v>368</v>
      </c>
      <c r="F2000">
        <v>1</v>
      </c>
    </row>
    <row r="2001" spans="1:6" x14ac:dyDescent="0.25">
      <c r="C2001" s="19"/>
      <c r="D2001" s="19" t="s">
        <v>471</v>
      </c>
      <c r="E2001" s="19" t="s">
        <v>370</v>
      </c>
      <c r="F2001">
        <v>1</v>
      </c>
    </row>
    <row r="2002" spans="1:6" x14ac:dyDescent="0.25">
      <c r="C2002" s="19"/>
      <c r="D2002" s="19" t="s">
        <v>472</v>
      </c>
      <c r="E2002" s="19" t="s">
        <v>473</v>
      </c>
      <c r="F2002">
        <v>1</v>
      </c>
    </row>
    <row r="2003" spans="1:6" x14ac:dyDescent="0.25">
      <c r="C2003" s="19"/>
      <c r="D2003" s="19" t="s">
        <v>474</v>
      </c>
      <c r="E2003" s="19" t="s">
        <v>475</v>
      </c>
      <c r="F2003">
        <v>1</v>
      </c>
    </row>
    <row r="2004" spans="1:6" x14ac:dyDescent="0.25">
      <c r="C2004" s="19"/>
      <c r="D2004" s="19" t="s">
        <v>476</v>
      </c>
      <c r="E2004" s="19" t="s">
        <v>477</v>
      </c>
      <c r="F2004">
        <v>1</v>
      </c>
    </row>
    <row r="2005" spans="1:6" x14ac:dyDescent="0.25">
      <c r="C2005" s="19"/>
      <c r="D2005" s="19" t="s">
        <v>478</v>
      </c>
      <c r="E2005" s="19" t="s">
        <v>295</v>
      </c>
      <c r="F2005">
        <v>1</v>
      </c>
    </row>
    <row r="2006" spans="1:6" x14ac:dyDescent="0.25">
      <c r="C2006" s="19"/>
      <c r="D2006" s="19" t="s">
        <v>479</v>
      </c>
      <c r="E2006" s="19" t="s">
        <v>480</v>
      </c>
      <c r="F2006">
        <v>1</v>
      </c>
    </row>
    <row r="2007" spans="1:6" x14ac:dyDescent="0.25">
      <c r="C2007" s="19"/>
      <c r="D2007" s="19" t="s">
        <v>481</v>
      </c>
      <c r="E2007" s="19" t="s">
        <v>482</v>
      </c>
      <c r="F2007" s="7">
        <v>0</v>
      </c>
    </row>
    <row r="2008" spans="1:6" x14ac:dyDescent="0.25">
      <c r="C2008" s="19"/>
      <c r="D2008" s="19" t="s">
        <v>483</v>
      </c>
      <c r="E2008" s="19" t="s">
        <v>484</v>
      </c>
      <c r="F2008">
        <v>1</v>
      </c>
    </row>
    <row r="2009" spans="1:6" x14ac:dyDescent="0.25">
      <c r="A2009" s="3">
        <v>333</v>
      </c>
      <c r="B2009" s="15" t="s">
        <v>97</v>
      </c>
      <c r="C2009" s="19" t="s">
        <v>450</v>
      </c>
      <c r="D2009" s="19" t="s">
        <v>451</v>
      </c>
      <c r="E2009" s="19" t="s">
        <v>273</v>
      </c>
      <c r="F2009">
        <v>1</v>
      </c>
    </row>
    <row r="2010" spans="1:6" x14ac:dyDescent="0.25">
      <c r="C2010" s="19"/>
      <c r="D2010" s="19" t="s">
        <v>452</v>
      </c>
      <c r="E2010" s="19" t="s">
        <v>453</v>
      </c>
      <c r="F2010">
        <v>1</v>
      </c>
    </row>
    <row r="2011" spans="1:6" x14ac:dyDescent="0.25">
      <c r="C2011" s="19"/>
      <c r="D2011" s="19" t="s">
        <v>454</v>
      </c>
      <c r="E2011" s="19" t="s">
        <v>283</v>
      </c>
      <c r="F2011">
        <v>1</v>
      </c>
    </row>
    <row r="2012" spans="1:6" x14ac:dyDescent="0.25">
      <c r="C2012" s="19"/>
      <c r="D2012" s="19" t="s">
        <v>455</v>
      </c>
      <c r="E2012" s="19" t="s">
        <v>456</v>
      </c>
      <c r="F2012">
        <v>1</v>
      </c>
    </row>
    <row r="2013" spans="1:6" x14ac:dyDescent="0.25">
      <c r="C2013" s="19"/>
      <c r="D2013" s="19" t="s">
        <v>457</v>
      </c>
      <c r="E2013" s="19" t="s">
        <v>295</v>
      </c>
      <c r="F2013">
        <v>1</v>
      </c>
    </row>
    <row r="2014" spans="1:6" x14ac:dyDescent="0.25">
      <c r="C2014" s="19"/>
      <c r="D2014" s="19" t="s">
        <v>458</v>
      </c>
      <c r="E2014" s="19" t="s">
        <v>459</v>
      </c>
      <c r="F2014">
        <v>2</v>
      </c>
    </row>
    <row r="2015" spans="1:6" x14ac:dyDescent="0.25">
      <c r="C2015" s="19"/>
      <c r="D2015" s="19" t="s">
        <v>460</v>
      </c>
      <c r="E2015" s="19" t="s">
        <v>461</v>
      </c>
      <c r="F2015">
        <v>2</v>
      </c>
    </row>
    <row r="2016" spans="1:6" x14ac:dyDescent="0.25">
      <c r="C2016" s="19"/>
      <c r="D2016" s="19" t="s">
        <v>462</v>
      </c>
      <c r="E2016" s="19" t="s">
        <v>372</v>
      </c>
      <c r="F2016">
        <v>1</v>
      </c>
    </row>
    <row r="2017" spans="1:6" x14ac:dyDescent="0.25">
      <c r="A2017" s="3">
        <v>341</v>
      </c>
      <c r="B2017" s="15" t="s">
        <v>98</v>
      </c>
      <c r="C2017" s="19" t="s">
        <v>701</v>
      </c>
      <c r="D2017" s="19" t="s">
        <v>702</v>
      </c>
      <c r="E2017" s="19" t="s">
        <v>583</v>
      </c>
      <c r="F2017">
        <v>1</v>
      </c>
    </row>
    <row r="2018" spans="1:6" x14ac:dyDescent="0.25">
      <c r="C2018" s="19"/>
      <c r="D2018" s="19" t="s">
        <v>703</v>
      </c>
      <c r="E2018" s="19" t="s">
        <v>306</v>
      </c>
      <c r="F2018">
        <v>1</v>
      </c>
    </row>
    <row r="2019" spans="1:6" x14ac:dyDescent="0.25">
      <c r="C2019" s="19"/>
      <c r="D2019" s="19" t="s">
        <v>704</v>
      </c>
      <c r="E2019" s="19" t="s">
        <v>705</v>
      </c>
      <c r="F2019">
        <v>1</v>
      </c>
    </row>
    <row r="2020" spans="1:6" x14ac:dyDescent="0.25">
      <c r="C2020" s="19"/>
      <c r="D2020" s="19" t="s">
        <v>706</v>
      </c>
      <c r="E2020" s="19" t="s">
        <v>588</v>
      </c>
      <c r="F2020">
        <v>1</v>
      </c>
    </row>
    <row r="2021" spans="1:6" x14ac:dyDescent="0.25">
      <c r="C2021" s="19"/>
      <c r="D2021" s="19" t="s">
        <v>707</v>
      </c>
      <c r="E2021" s="19" t="s">
        <v>312</v>
      </c>
      <c r="F2021">
        <v>1</v>
      </c>
    </row>
    <row r="2022" spans="1:6" x14ac:dyDescent="0.25">
      <c r="C2022" s="19"/>
      <c r="D2022" s="19" t="s">
        <v>708</v>
      </c>
      <c r="E2022" s="19" t="s">
        <v>314</v>
      </c>
      <c r="F2022">
        <v>1</v>
      </c>
    </row>
    <row r="2023" spans="1:6" x14ac:dyDescent="0.25">
      <c r="C2023" s="19"/>
      <c r="D2023" s="19" t="s">
        <v>709</v>
      </c>
      <c r="E2023" s="19" t="s">
        <v>493</v>
      </c>
      <c r="F2023">
        <v>1</v>
      </c>
    </row>
    <row r="2024" spans="1:6" x14ac:dyDescent="0.25">
      <c r="C2024" s="19"/>
      <c r="D2024" s="19" t="s">
        <v>710</v>
      </c>
      <c r="E2024" s="19" t="s">
        <v>275</v>
      </c>
      <c r="F2024">
        <v>0</v>
      </c>
    </row>
    <row r="2025" spans="1:6" x14ac:dyDescent="0.25">
      <c r="C2025" s="19"/>
      <c r="D2025" s="19" t="s">
        <v>711</v>
      </c>
      <c r="E2025" s="19" t="s">
        <v>283</v>
      </c>
      <c r="F2025">
        <v>1</v>
      </c>
    </row>
    <row r="2026" spans="1:6" x14ac:dyDescent="0.25">
      <c r="C2026" s="19"/>
      <c r="D2026" s="19" t="s">
        <v>712</v>
      </c>
      <c r="E2026" s="19" t="s">
        <v>713</v>
      </c>
      <c r="F2026">
        <v>1</v>
      </c>
    </row>
    <row r="2027" spans="1:6" x14ac:dyDescent="0.25">
      <c r="C2027" s="19"/>
      <c r="D2027" s="19" t="s">
        <v>714</v>
      </c>
      <c r="E2027" s="19" t="s">
        <v>715</v>
      </c>
      <c r="F2027">
        <v>1</v>
      </c>
    </row>
    <row r="2028" spans="1:6" x14ac:dyDescent="0.25">
      <c r="C2028" s="19"/>
      <c r="D2028" s="19" t="s">
        <v>716</v>
      </c>
      <c r="E2028" s="19" t="s">
        <v>717</v>
      </c>
      <c r="F2028">
        <v>1</v>
      </c>
    </row>
    <row r="2029" spans="1:6" x14ac:dyDescent="0.25">
      <c r="C2029" s="19"/>
      <c r="D2029" s="19" t="s">
        <v>718</v>
      </c>
      <c r="E2029" s="19" t="s">
        <v>381</v>
      </c>
      <c r="F2029">
        <v>1</v>
      </c>
    </row>
    <row r="2030" spans="1:6" x14ac:dyDescent="0.25">
      <c r="C2030" s="19"/>
      <c r="D2030" s="19" t="s">
        <v>719</v>
      </c>
      <c r="E2030" s="19" t="s">
        <v>720</v>
      </c>
      <c r="F2030">
        <v>1</v>
      </c>
    </row>
    <row r="2031" spans="1:6" x14ac:dyDescent="0.25">
      <c r="C2031" s="19"/>
      <c r="D2031" s="19" t="s">
        <v>721</v>
      </c>
      <c r="E2031" s="19" t="s">
        <v>722</v>
      </c>
      <c r="F2031">
        <v>1</v>
      </c>
    </row>
    <row r="2032" spans="1:6" x14ac:dyDescent="0.25">
      <c r="A2032" s="3">
        <v>342</v>
      </c>
      <c r="B2032" s="15" t="s">
        <v>98</v>
      </c>
      <c r="C2032" s="19" t="s">
        <v>701</v>
      </c>
      <c r="D2032" s="19" t="s">
        <v>702</v>
      </c>
      <c r="E2032" s="19" t="s">
        <v>583</v>
      </c>
      <c r="F2032">
        <v>1</v>
      </c>
    </row>
    <row r="2033" spans="1:6" x14ac:dyDescent="0.25">
      <c r="C2033" s="19"/>
      <c r="D2033" s="19" t="s">
        <v>703</v>
      </c>
      <c r="E2033" s="19" t="s">
        <v>306</v>
      </c>
      <c r="F2033">
        <v>1</v>
      </c>
    </row>
    <row r="2034" spans="1:6" x14ac:dyDescent="0.25">
      <c r="C2034" s="19"/>
      <c r="D2034" s="19" t="s">
        <v>704</v>
      </c>
      <c r="E2034" s="19" t="s">
        <v>705</v>
      </c>
      <c r="F2034">
        <v>1</v>
      </c>
    </row>
    <row r="2035" spans="1:6" x14ac:dyDescent="0.25">
      <c r="C2035" s="19"/>
      <c r="D2035" s="19" t="s">
        <v>706</v>
      </c>
      <c r="E2035" s="19" t="s">
        <v>588</v>
      </c>
      <c r="F2035">
        <v>1</v>
      </c>
    </row>
    <row r="2036" spans="1:6" x14ac:dyDescent="0.25">
      <c r="C2036" s="19"/>
      <c r="D2036" s="19" t="s">
        <v>707</v>
      </c>
      <c r="E2036" s="19" t="s">
        <v>312</v>
      </c>
      <c r="F2036">
        <v>1</v>
      </c>
    </row>
    <row r="2037" spans="1:6" x14ac:dyDescent="0.25">
      <c r="C2037" s="19"/>
      <c r="D2037" s="19" t="s">
        <v>708</v>
      </c>
      <c r="E2037" s="19" t="s">
        <v>314</v>
      </c>
      <c r="F2037">
        <v>1</v>
      </c>
    </row>
    <row r="2038" spans="1:6" x14ac:dyDescent="0.25">
      <c r="C2038" s="19"/>
      <c r="D2038" s="19" t="s">
        <v>709</v>
      </c>
      <c r="E2038" s="19" t="s">
        <v>493</v>
      </c>
      <c r="F2038">
        <v>1</v>
      </c>
    </row>
    <row r="2039" spans="1:6" x14ac:dyDescent="0.25">
      <c r="C2039" s="19"/>
      <c r="D2039" s="19" t="s">
        <v>710</v>
      </c>
      <c r="E2039" s="19" t="s">
        <v>275</v>
      </c>
      <c r="F2039">
        <v>0</v>
      </c>
    </row>
    <row r="2040" spans="1:6" x14ac:dyDescent="0.25">
      <c r="C2040" s="19"/>
      <c r="D2040" s="19" t="s">
        <v>711</v>
      </c>
      <c r="E2040" s="19" t="s">
        <v>283</v>
      </c>
      <c r="F2040">
        <v>1</v>
      </c>
    </row>
    <row r="2041" spans="1:6" x14ac:dyDescent="0.25">
      <c r="C2041" s="19"/>
      <c r="D2041" s="19" t="s">
        <v>712</v>
      </c>
      <c r="E2041" s="19" t="s">
        <v>713</v>
      </c>
      <c r="F2041">
        <v>1</v>
      </c>
    </row>
    <row r="2042" spans="1:6" x14ac:dyDescent="0.25">
      <c r="C2042" s="19"/>
      <c r="D2042" s="19" t="s">
        <v>714</v>
      </c>
      <c r="E2042" s="19" t="s">
        <v>715</v>
      </c>
      <c r="F2042">
        <v>1</v>
      </c>
    </row>
    <row r="2043" spans="1:6" x14ac:dyDescent="0.25">
      <c r="C2043" s="19"/>
      <c r="D2043" s="19" t="s">
        <v>716</v>
      </c>
      <c r="E2043" s="19" t="s">
        <v>717</v>
      </c>
      <c r="F2043">
        <v>1</v>
      </c>
    </row>
    <row r="2044" spans="1:6" x14ac:dyDescent="0.25">
      <c r="C2044" s="19"/>
      <c r="D2044" s="19" t="s">
        <v>718</v>
      </c>
      <c r="E2044" s="19" t="s">
        <v>381</v>
      </c>
      <c r="F2044">
        <v>1</v>
      </c>
    </row>
    <row r="2045" spans="1:6" x14ac:dyDescent="0.25">
      <c r="C2045" s="19"/>
      <c r="D2045" s="19" t="s">
        <v>719</v>
      </c>
      <c r="E2045" s="19" t="s">
        <v>720</v>
      </c>
      <c r="F2045">
        <v>1</v>
      </c>
    </row>
    <row r="2046" spans="1:6" x14ac:dyDescent="0.25">
      <c r="C2046" s="19"/>
      <c r="D2046" s="19" t="s">
        <v>721</v>
      </c>
      <c r="E2046" s="19" t="s">
        <v>722</v>
      </c>
      <c r="F2046">
        <v>1</v>
      </c>
    </row>
    <row r="2047" spans="1:6" x14ac:dyDescent="0.25">
      <c r="A2047" s="3">
        <v>343</v>
      </c>
      <c r="B2047" s="16" t="s">
        <v>99</v>
      </c>
      <c r="C2047" s="19" t="s">
        <v>1155</v>
      </c>
      <c r="D2047" s="19" t="s">
        <v>1156</v>
      </c>
      <c r="E2047" s="19" t="s">
        <v>273</v>
      </c>
      <c r="F2047">
        <v>1</v>
      </c>
    </row>
    <row r="2048" spans="1:6" x14ac:dyDescent="0.25">
      <c r="C2048" s="19"/>
      <c r="D2048" s="19" t="s">
        <v>1157</v>
      </c>
      <c r="E2048" s="19" t="s">
        <v>844</v>
      </c>
      <c r="F2048">
        <v>1</v>
      </c>
    </row>
    <row r="2049" spans="1:6" x14ac:dyDescent="0.25">
      <c r="C2049" s="19"/>
      <c r="D2049" s="19" t="s">
        <v>1158</v>
      </c>
      <c r="E2049" s="19" t="s">
        <v>1159</v>
      </c>
      <c r="F2049">
        <v>2</v>
      </c>
    </row>
    <row r="2050" spans="1:6" x14ac:dyDescent="0.25">
      <c r="C2050" s="19"/>
      <c r="D2050" s="19" t="s">
        <v>1160</v>
      </c>
      <c r="E2050" s="19" t="s">
        <v>1161</v>
      </c>
      <c r="F2050">
        <v>2</v>
      </c>
    </row>
    <row r="2051" spans="1:6" x14ac:dyDescent="0.25">
      <c r="C2051" s="19"/>
      <c r="D2051" s="19" t="s">
        <v>1162</v>
      </c>
      <c r="E2051" s="19" t="s">
        <v>1163</v>
      </c>
      <c r="F2051">
        <v>2</v>
      </c>
    </row>
    <row r="2052" spans="1:6" x14ac:dyDescent="0.25">
      <c r="C2052" s="19"/>
      <c r="D2052" s="19" t="s">
        <v>1164</v>
      </c>
      <c r="E2052" s="19" t="s">
        <v>1165</v>
      </c>
      <c r="F2052">
        <v>2</v>
      </c>
    </row>
    <row r="2053" spans="1:6" x14ac:dyDescent="0.25">
      <c r="C2053" s="19"/>
      <c r="D2053" s="19" t="s">
        <v>1166</v>
      </c>
      <c r="E2053" s="19" t="s">
        <v>295</v>
      </c>
      <c r="F2053">
        <v>1</v>
      </c>
    </row>
    <row r="2054" spans="1:6" x14ac:dyDescent="0.25">
      <c r="C2054" s="19"/>
      <c r="D2054" s="19" t="s">
        <v>1167</v>
      </c>
      <c r="E2054" s="19" t="s">
        <v>1168</v>
      </c>
      <c r="F2054">
        <v>1</v>
      </c>
    </row>
    <row r="2055" spans="1:6" x14ac:dyDescent="0.25">
      <c r="A2055" s="3">
        <v>346</v>
      </c>
      <c r="B2055" s="15" t="s">
        <v>100</v>
      </c>
      <c r="C2055" s="21" t="s">
        <v>386</v>
      </c>
      <c r="D2055" s="19" t="s">
        <v>387</v>
      </c>
      <c r="E2055" s="19" t="s">
        <v>388</v>
      </c>
      <c r="F2055">
        <v>1</v>
      </c>
    </row>
    <row r="2056" spans="1:6" x14ac:dyDescent="0.25">
      <c r="C2056" s="22"/>
      <c r="D2056" s="19" t="s">
        <v>390</v>
      </c>
      <c r="E2056" s="19" t="s">
        <v>391</v>
      </c>
      <c r="F2056">
        <v>1</v>
      </c>
    </row>
    <row r="2057" spans="1:6" x14ac:dyDescent="0.25">
      <c r="C2057" s="19"/>
      <c r="D2057" s="21" t="s">
        <v>392</v>
      </c>
      <c r="E2057" s="19" t="s">
        <v>393</v>
      </c>
      <c r="F2057">
        <v>1</v>
      </c>
    </row>
    <row r="2058" spans="1:6" x14ac:dyDescent="0.25">
      <c r="C2058" s="19"/>
      <c r="D2058" s="19" t="s">
        <v>394</v>
      </c>
      <c r="E2058" s="19" t="s">
        <v>395</v>
      </c>
      <c r="F2058">
        <v>1</v>
      </c>
    </row>
    <row r="2059" spans="1:6" x14ac:dyDescent="0.25">
      <c r="C2059" s="19"/>
      <c r="D2059" s="19" t="s">
        <v>396</v>
      </c>
      <c r="E2059" s="19" t="s">
        <v>397</v>
      </c>
      <c r="F2059">
        <v>1</v>
      </c>
    </row>
    <row r="2060" spans="1:6" x14ac:dyDescent="0.25">
      <c r="C2060" s="19"/>
      <c r="D2060" s="19" t="s">
        <v>398</v>
      </c>
      <c r="E2060" s="19" t="s">
        <v>399</v>
      </c>
      <c r="F2060">
        <v>1</v>
      </c>
    </row>
    <row r="2061" spans="1:6" x14ac:dyDescent="0.25">
      <c r="C2061" s="19"/>
      <c r="D2061" s="19" t="s">
        <v>400</v>
      </c>
      <c r="E2061" s="19" t="s">
        <v>401</v>
      </c>
      <c r="F2061">
        <v>1</v>
      </c>
    </row>
    <row r="2062" spans="1:6" x14ac:dyDescent="0.25">
      <c r="C2062" s="19"/>
      <c r="D2062" s="19" t="s">
        <v>402</v>
      </c>
      <c r="E2062" s="19" t="s">
        <v>403</v>
      </c>
      <c r="F2062">
        <v>1</v>
      </c>
    </row>
    <row r="2063" spans="1:6" x14ac:dyDescent="0.25">
      <c r="C2063" s="19"/>
      <c r="D2063" s="19" t="s">
        <v>404</v>
      </c>
      <c r="E2063" s="19" t="s">
        <v>405</v>
      </c>
      <c r="F2063">
        <v>1</v>
      </c>
    </row>
    <row r="2064" spans="1:6" x14ac:dyDescent="0.25">
      <c r="A2064" s="3">
        <v>353</v>
      </c>
      <c r="B2064" s="15" t="s">
        <v>101</v>
      </c>
      <c r="C2064" s="19" t="s">
        <v>1874</v>
      </c>
      <c r="D2064" s="19" t="s">
        <v>1875</v>
      </c>
      <c r="E2064" s="19" t="s">
        <v>820</v>
      </c>
      <c r="F2064">
        <v>1</v>
      </c>
    </row>
    <row r="2065" spans="3:6" x14ac:dyDescent="0.25">
      <c r="C2065" s="19"/>
      <c r="D2065" s="19" t="s">
        <v>1876</v>
      </c>
      <c r="E2065" s="19" t="s">
        <v>1877</v>
      </c>
      <c r="F2065">
        <v>2</v>
      </c>
    </row>
    <row r="2066" spans="3:6" x14ac:dyDescent="0.25">
      <c r="C2066" s="19"/>
      <c r="D2066" s="19" t="s">
        <v>1878</v>
      </c>
      <c r="E2066" s="19" t="s">
        <v>1879</v>
      </c>
      <c r="F2066">
        <v>1</v>
      </c>
    </row>
    <row r="2067" spans="3:6" x14ac:dyDescent="0.25">
      <c r="C2067" s="19"/>
      <c r="D2067" s="19" t="s">
        <v>1880</v>
      </c>
      <c r="E2067" s="19" t="s">
        <v>1881</v>
      </c>
      <c r="F2067">
        <v>1</v>
      </c>
    </row>
    <row r="2068" spans="3:6" x14ac:dyDescent="0.25">
      <c r="C2068" s="19"/>
      <c r="D2068" s="19" t="s">
        <v>2175</v>
      </c>
      <c r="E2068" s="19" t="s">
        <v>1882</v>
      </c>
      <c r="F2068">
        <v>1</v>
      </c>
    </row>
    <row r="2069" spans="3:6" x14ac:dyDescent="0.25">
      <c r="C2069" s="19"/>
      <c r="D2069" s="19" t="s">
        <v>1883</v>
      </c>
      <c r="E2069" s="19" t="s">
        <v>1884</v>
      </c>
      <c r="F2069">
        <v>0</v>
      </c>
    </row>
    <row r="2070" spans="3:6" x14ac:dyDescent="0.25">
      <c r="C2070" s="19"/>
      <c r="D2070" s="19" t="s">
        <v>1885</v>
      </c>
      <c r="E2070" s="19" t="s">
        <v>1886</v>
      </c>
      <c r="F2070">
        <v>0</v>
      </c>
    </row>
    <row r="2071" spans="3:6" x14ac:dyDescent="0.25">
      <c r="C2071" s="19"/>
      <c r="D2071" s="19" t="s">
        <v>1887</v>
      </c>
      <c r="E2071" s="19" t="s">
        <v>1888</v>
      </c>
      <c r="F2071">
        <v>1</v>
      </c>
    </row>
    <row r="2072" spans="3:6" x14ac:dyDescent="0.25">
      <c r="C2072" s="19"/>
      <c r="D2072" s="19" t="s">
        <v>1889</v>
      </c>
      <c r="E2072" s="19" t="s">
        <v>1890</v>
      </c>
      <c r="F2072">
        <v>0</v>
      </c>
    </row>
    <row r="2073" spans="3:6" x14ac:dyDescent="0.25">
      <c r="C2073" s="19"/>
      <c r="D2073" s="19" t="s">
        <v>1891</v>
      </c>
      <c r="E2073" s="19" t="s">
        <v>1892</v>
      </c>
      <c r="F2073">
        <v>2</v>
      </c>
    </row>
    <row r="2074" spans="3:6" x14ac:dyDescent="0.25">
      <c r="C2074" s="19"/>
      <c r="D2074" s="19" t="s">
        <v>1893</v>
      </c>
      <c r="E2074" s="19" t="s">
        <v>1894</v>
      </c>
      <c r="F2074">
        <v>1</v>
      </c>
    </row>
    <row r="2075" spans="3:6" x14ac:dyDescent="0.25">
      <c r="C2075" s="19"/>
      <c r="D2075" s="19" t="s">
        <v>1895</v>
      </c>
      <c r="E2075" s="19" t="s">
        <v>368</v>
      </c>
      <c r="F2075">
        <v>1</v>
      </c>
    </row>
    <row r="2076" spans="3:6" x14ac:dyDescent="0.25">
      <c r="C2076" s="19"/>
      <c r="D2076" s="19" t="s">
        <v>1896</v>
      </c>
      <c r="E2076" s="19" t="s">
        <v>370</v>
      </c>
      <c r="F2076">
        <v>1</v>
      </c>
    </row>
    <row r="2077" spans="3:6" x14ac:dyDescent="0.25">
      <c r="C2077" s="19"/>
      <c r="D2077" s="19" t="s">
        <v>1897</v>
      </c>
      <c r="E2077" s="19" t="s">
        <v>1898</v>
      </c>
      <c r="F2077">
        <v>1</v>
      </c>
    </row>
    <row r="2078" spans="3:6" x14ac:dyDescent="0.25">
      <c r="C2078" s="19"/>
      <c r="D2078" s="19" t="s">
        <v>1899</v>
      </c>
      <c r="E2078" s="19" t="s">
        <v>361</v>
      </c>
      <c r="F2078">
        <v>0</v>
      </c>
    </row>
    <row r="2079" spans="3:6" x14ac:dyDescent="0.25">
      <c r="C2079" s="19"/>
      <c r="D2079" s="19" t="s">
        <v>1900</v>
      </c>
      <c r="E2079" s="19" t="s">
        <v>359</v>
      </c>
      <c r="F2079">
        <v>0</v>
      </c>
    </row>
    <row r="2080" spans="3:6" x14ac:dyDescent="0.25">
      <c r="C2080" s="19"/>
      <c r="D2080" s="19" t="s">
        <v>1901</v>
      </c>
      <c r="E2080" s="19" t="s">
        <v>1902</v>
      </c>
      <c r="F2080">
        <v>2</v>
      </c>
    </row>
    <row r="2081" spans="1:6" x14ac:dyDescent="0.25">
      <c r="C2081" s="19"/>
      <c r="D2081" s="19" t="s">
        <v>1903</v>
      </c>
      <c r="E2081" s="19" t="s">
        <v>1904</v>
      </c>
      <c r="F2081">
        <v>0</v>
      </c>
    </row>
    <row r="2082" spans="1:6" x14ac:dyDescent="0.25">
      <c r="C2082" s="19"/>
      <c r="D2082" s="19" t="s">
        <v>1905</v>
      </c>
      <c r="E2082" s="19" t="s">
        <v>1906</v>
      </c>
      <c r="F2082">
        <v>1</v>
      </c>
    </row>
    <row r="2083" spans="1:6" x14ac:dyDescent="0.25">
      <c r="C2083" s="19"/>
      <c r="D2083" s="19" t="s">
        <v>1907</v>
      </c>
      <c r="E2083" s="19" t="s">
        <v>1908</v>
      </c>
      <c r="F2083">
        <v>1</v>
      </c>
    </row>
    <row r="2084" spans="1:6" x14ac:dyDescent="0.25">
      <c r="A2084" s="3">
        <v>354</v>
      </c>
      <c r="B2084" s="15" t="s">
        <v>101</v>
      </c>
      <c r="C2084" s="19" t="s">
        <v>1874</v>
      </c>
      <c r="D2084" s="19" t="s">
        <v>1875</v>
      </c>
      <c r="E2084" s="19" t="s">
        <v>820</v>
      </c>
      <c r="F2084">
        <v>1</v>
      </c>
    </row>
    <row r="2085" spans="1:6" x14ac:dyDescent="0.25">
      <c r="C2085" s="19"/>
      <c r="D2085" s="19" t="s">
        <v>1876</v>
      </c>
      <c r="E2085" s="19" t="s">
        <v>1877</v>
      </c>
      <c r="F2085">
        <v>0</v>
      </c>
    </row>
    <row r="2086" spans="1:6" x14ac:dyDescent="0.25">
      <c r="C2086" s="19"/>
      <c r="D2086" s="19" t="s">
        <v>1878</v>
      </c>
      <c r="E2086" s="19" t="s">
        <v>1879</v>
      </c>
      <c r="F2086">
        <v>1</v>
      </c>
    </row>
    <row r="2087" spans="1:6" x14ac:dyDescent="0.25">
      <c r="C2087" s="19"/>
      <c r="D2087" s="19" t="s">
        <v>1880</v>
      </c>
      <c r="E2087" s="19" t="s">
        <v>1881</v>
      </c>
      <c r="F2087">
        <v>0</v>
      </c>
    </row>
    <row r="2088" spans="1:6" x14ac:dyDescent="0.25">
      <c r="C2088" s="19"/>
      <c r="D2088" s="19" t="s">
        <v>2175</v>
      </c>
      <c r="E2088" s="19" t="s">
        <v>1882</v>
      </c>
      <c r="F2088">
        <v>0</v>
      </c>
    </row>
    <row r="2089" spans="1:6" x14ac:dyDescent="0.25">
      <c r="C2089" s="19"/>
      <c r="D2089" s="19" t="s">
        <v>1883</v>
      </c>
      <c r="E2089" s="19" t="s">
        <v>1884</v>
      </c>
      <c r="F2089">
        <v>0</v>
      </c>
    </row>
    <row r="2090" spans="1:6" x14ac:dyDescent="0.25">
      <c r="C2090" s="19"/>
      <c r="D2090" s="19" t="s">
        <v>1885</v>
      </c>
      <c r="E2090" s="19" t="s">
        <v>1886</v>
      </c>
      <c r="F2090">
        <v>0</v>
      </c>
    </row>
    <row r="2091" spans="1:6" x14ac:dyDescent="0.25">
      <c r="C2091" s="19"/>
      <c r="D2091" s="19" t="s">
        <v>1887</v>
      </c>
      <c r="E2091" s="19" t="s">
        <v>1888</v>
      </c>
      <c r="F2091">
        <v>0</v>
      </c>
    </row>
    <row r="2092" spans="1:6" x14ac:dyDescent="0.25">
      <c r="C2092" s="19"/>
      <c r="D2092" s="19" t="s">
        <v>1889</v>
      </c>
      <c r="E2092" s="19" t="s">
        <v>1890</v>
      </c>
      <c r="F2092">
        <v>0</v>
      </c>
    </row>
    <row r="2093" spans="1:6" x14ac:dyDescent="0.25">
      <c r="C2093" s="19"/>
      <c r="D2093" s="19" t="s">
        <v>1891</v>
      </c>
      <c r="E2093" s="19" t="s">
        <v>1892</v>
      </c>
      <c r="F2093">
        <v>0</v>
      </c>
    </row>
    <row r="2094" spans="1:6" x14ac:dyDescent="0.25">
      <c r="C2094" s="19"/>
      <c r="D2094" s="19" t="s">
        <v>1893</v>
      </c>
      <c r="E2094" s="19" t="s">
        <v>1894</v>
      </c>
      <c r="F2094">
        <v>0</v>
      </c>
    </row>
    <row r="2095" spans="1:6" x14ac:dyDescent="0.25">
      <c r="C2095" s="19"/>
      <c r="D2095" s="19" t="s">
        <v>1895</v>
      </c>
      <c r="E2095" s="19" t="s">
        <v>368</v>
      </c>
      <c r="F2095">
        <v>0</v>
      </c>
    </row>
    <row r="2096" spans="1:6" x14ac:dyDescent="0.25">
      <c r="C2096" s="19"/>
      <c r="D2096" s="19" t="s">
        <v>1896</v>
      </c>
      <c r="E2096" s="19" t="s">
        <v>370</v>
      </c>
      <c r="F2096">
        <v>0</v>
      </c>
    </row>
    <row r="2097" spans="1:6" x14ac:dyDescent="0.25">
      <c r="C2097" s="19"/>
      <c r="D2097" s="19" t="s">
        <v>1897</v>
      </c>
      <c r="E2097" s="19" t="s">
        <v>1898</v>
      </c>
      <c r="F2097">
        <v>1</v>
      </c>
    </row>
    <row r="2098" spans="1:6" x14ac:dyDescent="0.25">
      <c r="C2098" s="19"/>
      <c r="D2098" s="19" t="s">
        <v>1899</v>
      </c>
      <c r="E2098" s="19" t="s">
        <v>361</v>
      </c>
      <c r="F2098">
        <v>0</v>
      </c>
    </row>
    <row r="2099" spans="1:6" x14ac:dyDescent="0.25">
      <c r="C2099" s="19"/>
      <c r="D2099" s="19" t="s">
        <v>1900</v>
      </c>
      <c r="E2099" s="19" t="s">
        <v>359</v>
      </c>
      <c r="F2099">
        <v>0</v>
      </c>
    </row>
    <row r="2100" spans="1:6" x14ac:dyDescent="0.25">
      <c r="C2100" s="19"/>
      <c r="D2100" s="19" t="s">
        <v>1901</v>
      </c>
      <c r="E2100" s="19" t="s">
        <v>1902</v>
      </c>
      <c r="F2100">
        <v>0</v>
      </c>
    </row>
    <row r="2101" spans="1:6" x14ac:dyDescent="0.25">
      <c r="C2101" s="19"/>
      <c r="D2101" s="19" t="s">
        <v>1903</v>
      </c>
      <c r="E2101" s="19" t="s">
        <v>1904</v>
      </c>
      <c r="F2101">
        <v>0</v>
      </c>
    </row>
    <row r="2102" spans="1:6" x14ac:dyDescent="0.25">
      <c r="C2102" s="19"/>
      <c r="D2102" s="19" t="s">
        <v>1905</v>
      </c>
      <c r="E2102" s="19" t="s">
        <v>1906</v>
      </c>
      <c r="F2102">
        <v>0</v>
      </c>
    </row>
    <row r="2103" spans="1:6" x14ac:dyDescent="0.25">
      <c r="C2103" s="19"/>
      <c r="D2103" s="19" t="s">
        <v>1907</v>
      </c>
      <c r="E2103" s="19" t="s">
        <v>1908</v>
      </c>
      <c r="F2103">
        <v>0</v>
      </c>
    </row>
    <row r="2104" spans="1:6" x14ac:dyDescent="0.25">
      <c r="C2104" s="19" t="s">
        <v>1155</v>
      </c>
      <c r="D2104" s="19" t="s">
        <v>1156</v>
      </c>
      <c r="E2104" s="19" t="s">
        <v>273</v>
      </c>
      <c r="F2104">
        <v>1</v>
      </c>
    </row>
    <row r="2105" spans="1:6" x14ac:dyDescent="0.25">
      <c r="C2105" s="19"/>
      <c r="D2105" s="19" t="s">
        <v>1157</v>
      </c>
      <c r="E2105" s="19" t="s">
        <v>844</v>
      </c>
      <c r="F2105">
        <v>0</v>
      </c>
    </row>
    <row r="2106" spans="1:6" x14ac:dyDescent="0.25">
      <c r="C2106" s="19"/>
      <c r="D2106" s="19" t="s">
        <v>1158</v>
      </c>
      <c r="E2106" s="19" t="s">
        <v>1159</v>
      </c>
      <c r="F2106">
        <v>0</v>
      </c>
    </row>
    <row r="2107" spans="1:6" x14ac:dyDescent="0.25">
      <c r="C2107" s="19"/>
      <c r="D2107" s="19" t="s">
        <v>1160</v>
      </c>
      <c r="E2107" s="19" t="s">
        <v>1161</v>
      </c>
      <c r="F2107">
        <v>0</v>
      </c>
    </row>
    <row r="2108" spans="1:6" x14ac:dyDescent="0.25">
      <c r="C2108" s="19"/>
      <c r="D2108" s="19" t="s">
        <v>1162</v>
      </c>
      <c r="E2108" s="19" t="s">
        <v>1163</v>
      </c>
      <c r="F2108">
        <v>0</v>
      </c>
    </row>
    <row r="2109" spans="1:6" x14ac:dyDescent="0.25">
      <c r="C2109" s="19"/>
      <c r="D2109" s="19" t="s">
        <v>1164</v>
      </c>
      <c r="E2109" s="19" t="s">
        <v>1165</v>
      </c>
      <c r="F2109">
        <v>0</v>
      </c>
    </row>
    <row r="2110" spans="1:6" x14ac:dyDescent="0.25">
      <c r="C2110" s="19"/>
      <c r="D2110" s="19" t="s">
        <v>1166</v>
      </c>
      <c r="E2110" s="19" t="s">
        <v>295</v>
      </c>
      <c r="F2110">
        <v>0</v>
      </c>
    </row>
    <row r="2111" spans="1:6" x14ac:dyDescent="0.25">
      <c r="C2111" s="19"/>
      <c r="D2111" s="19" t="s">
        <v>1167</v>
      </c>
      <c r="E2111" s="19" t="s">
        <v>1168</v>
      </c>
      <c r="F2111">
        <v>0</v>
      </c>
    </row>
    <row r="2112" spans="1:6" x14ac:dyDescent="0.25">
      <c r="A2112" s="3">
        <v>356</v>
      </c>
      <c r="B2112" s="15" t="s">
        <v>102</v>
      </c>
      <c r="C2112" s="19" t="s">
        <v>818</v>
      </c>
      <c r="D2112" s="19" t="s">
        <v>819</v>
      </c>
      <c r="E2112" s="19" t="s">
        <v>820</v>
      </c>
      <c r="F2112">
        <v>1</v>
      </c>
    </row>
    <row r="2113" spans="3:6" x14ac:dyDescent="0.25">
      <c r="C2113" s="19"/>
      <c r="D2113" s="19" t="s">
        <v>821</v>
      </c>
      <c r="E2113" s="19" t="s">
        <v>822</v>
      </c>
      <c r="F2113">
        <v>1</v>
      </c>
    </row>
    <row r="2114" spans="3:6" x14ac:dyDescent="0.25">
      <c r="C2114" s="19"/>
      <c r="D2114" s="19" t="s">
        <v>823</v>
      </c>
      <c r="E2114" s="19" t="s">
        <v>306</v>
      </c>
      <c r="F2114">
        <v>1</v>
      </c>
    </row>
    <row r="2115" spans="3:6" x14ac:dyDescent="0.25">
      <c r="C2115" s="19"/>
      <c r="D2115" s="19" t="s">
        <v>824</v>
      </c>
      <c r="E2115" s="19" t="s">
        <v>825</v>
      </c>
      <c r="F2115">
        <v>1</v>
      </c>
    </row>
    <row r="2116" spans="3:6" x14ac:dyDescent="0.25">
      <c r="C2116" s="19"/>
      <c r="D2116" s="19" t="s">
        <v>826</v>
      </c>
      <c r="E2116" s="19" t="s">
        <v>827</v>
      </c>
      <c r="F2116">
        <v>1</v>
      </c>
    </row>
    <row r="2117" spans="3:6" x14ac:dyDescent="0.25">
      <c r="C2117" s="19"/>
      <c r="D2117" s="19" t="s">
        <v>828</v>
      </c>
      <c r="E2117" s="19" t="s">
        <v>312</v>
      </c>
      <c r="F2117">
        <v>1</v>
      </c>
    </row>
    <row r="2118" spans="3:6" x14ac:dyDescent="0.25">
      <c r="C2118" s="19"/>
      <c r="D2118" s="19" t="s">
        <v>829</v>
      </c>
      <c r="E2118" s="19" t="s">
        <v>316</v>
      </c>
      <c r="F2118">
        <v>1</v>
      </c>
    </row>
    <row r="2119" spans="3:6" x14ac:dyDescent="0.25">
      <c r="C2119" s="19"/>
      <c r="D2119" s="19" t="s">
        <v>830</v>
      </c>
      <c r="E2119" s="19" t="s">
        <v>314</v>
      </c>
      <c r="F2119">
        <v>1</v>
      </c>
    </row>
    <row r="2120" spans="3:6" x14ac:dyDescent="0.25">
      <c r="C2120" s="19"/>
      <c r="D2120" s="19" t="s">
        <v>831</v>
      </c>
      <c r="E2120" s="19" t="s">
        <v>832</v>
      </c>
      <c r="F2120">
        <v>2</v>
      </c>
    </row>
    <row r="2121" spans="3:6" x14ac:dyDescent="0.25">
      <c r="C2121" s="19"/>
      <c r="D2121" s="19" t="s">
        <v>833</v>
      </c>
      <c r="E2121" s="19" t="s">
        <v>834</v>
      </c>
      <c r="F2121">
        <v>0</v>
      </c>
    </row>
    <row r="2122" spans="3:6" x14ac:dyDescent="0.25">
      <c r="C2122" s="19"/>
      <c r="D2122" s="19" t="s">
        <v>835</v>
      </c>
      <c r="E2122" s="19" t="s">
        <v>836</v>
      </c>
      <c r="F2122">
        <v>1</v>
      </c>
    </row>
    <row r="2123" spans="3:6" x14ac:dyDescent="0.25">
      <c r="C2123" s="19"/>
      <c r="D2123" s="19" t="s">
        <v>837</v>
      </c>
      <c r="E2123" s="19" t="s">
        <v>838</v>
      </c>
      <c r="F2123">
        <v>1</v>
      </c>
    </row>
    <row r="2124" spans="3:6" x14ac:dyDescent="0.25">
      <c r="C2124" s="19"/>
      <c r="D2124" s="19" t="s">
        <v>839</v>
      </c>
      <c r="E2124" s="19" t="s">
        <v>840</v>
      </c>
      <c r="F2124">
        <v>1</v>
      </c>
    </row>
    <row r="2125" spans="3:6" x14ac:dyDescent="0.25">
      <c r="C2125" s="19"/>
      <c r="D2125" s="19" t="s">
        <v>841</v>
      </c>
      <c r="E2125" s="19" t="s">
        <v>842</v>
      </c>
      <c r="F2125">
        <v>1</v>
      </c>
    </row>
    <row r="2126" spans="3:6" x14ac:dyDescent="0.25">
      <c r="C2126" s="19"/>
      <c r="D2126" s="19" t="s">
        <v>843</v>
      </c>
      <c r="E2126" s="19" t="s">
        <v>844</v>
      </c>
      <c r="F2126">
        <v>1</v>
      </c>
    </row>
    <row r="2127" spans="3:6" x14ac:dyDescent="0.25">
      <c r="C2127" s="19"/>
      <c r="D2127" s="19" t="s">
        <v>845</v>
      </c>
      <c r="E2127" s="19" t="s">
        <v>846</v>
      </c>
      <c r="F2127">
        <v>1</v>
      </c>
    </row>
    <row r="2128" spans="3:6" x14ac:dyDescent="0.25">
      <c r="C2128" s="19"/>
      <c r="D2128" s="19" t="s">
        <v>847</v>
      </c>
      <c r="E2128" s="19" t="s">
        <v>848</v>
      </c>
      <c r="F2128">
        <v>1</v>
      </c>
    </row>
    <row r="2129" spans="1:6" x14ac:dyDescent="0.25">
      <c r="C2129" s="19"/>
      <c r="D2129" s="19" t="s">
        <v>849</v>
      </c>
      <c r="E2129" s="19" t="s">
        <v>850</v>
      </c>
      <c r="F2129">
        <v>1</v>
      </c>
    </row>
    <row r="2130" spans="1:6" x14ac:dyDescent="0.25">
      <c r="C2130" s="19"/>
      <c r="D2130" s="19" t="s">
        <v>851</v>
      </c>
      <c r="E2130" s="19" t="s">
        <v>852</v>
      </c>
      <c r="F2130">
        <v>0</v>
      </c>
    </row>
    <row r="2131" spans="1:6" x14ac:dyDescent="0.25">
      <c r="C2131" s="19"/>
      <c r="D2131" s="19" t="s">
        <v>853</v>
      </c>
      <c r="E2131" s="19" t="s">
        <v>854</v>
      </c>
      <c r="F2131">
        <v>0</v>
      </c>
    </row>
    <row r="2132" spans="1:6" x14ac:dyDescent="0.25">
      <c r="C2132" s="19"/>
      <c r="D2132" s="19" t="s">
        <v>855</v>
      </c>
      <c r="E2132" s="19" t="s">
        <v>856</v>
      </c>
      <c r="F2132">
        <v>1</v>
      </c>
    </row>
    <row r="2133" spans="1:6" x14ac:dyDescent="0.25">
      <c r="C2133" s="19"/>
      <c r="D2133" s="19" t="s">
        <v>857</v>
      </c>
      <c r="E2133" s="19" t="s">
        <v>858</v>
      </c>
      <c r="F2133">
        <v>1</v>
      </c>
    </row>
    <row r="2134" spans="1:6" x14ac:dyDescent="0.25">
      <c r="A2134" s="3">
        <v>358</v>
      </c>
      <c r="B2134" s="15" t="s">
        <v>103</v>
      </c>
      <c r="C2134" s="19" t="s">
        <v>362</v>
      </c>
      <c r="D2134" s="19" t="s">
        <v>363</v>
      </c>
      <c r="E2134" s="19" t="s">
        <v>304</v>
      </c>
      <c r="F2134">
        <v>1</v>
      </c>
    </row>
    <row r="2135" spans="1:6" x14ac:dyDescent="0.25">
      <c r="C2135" s="19"/>
      <c r="D2135" s="19" t="s">
        <v>364</v>
      </c>
      <c r="E2135" s="19" t="s">
        <v>306</v>
      </c>
      <c r="F2135">
        <v>1</v>
      </c>
    </row>
    <row r="2136" spans="1:6" x14ac:dyDescent="0.25">
      <c r="C2136" s="19"/>
      <c r="D2136" s="19" t="s">
        <v>365</v>
      </c>
      <c r="E2136" s="19" t="s">
        <v>366</v>
      </c>
      <c r="F2136">
        <v>1</v>
      </c>
    </row>
    <row r="2137" spans="1:6" x14ac:dyDescent="0.25">
      <c r="C2137" s="19"/>
      <c r="D2137" s="19" t="s">
        <v>367</v>
      </c>
      <c r="E2137" s="19" t="s">
        <v>368</v>
      </c>
      <c r="F2137">
        <v>1</v>
      </c>
    </row>
    <row r="2138" spans="1:6" x14ac:dyDescent="0.25">
      <c r="C2138" s="19"/>
      <c r="D2138" s="19" t="s">
        <v>369</v>
      </c>
      <c r="E2138" s="19" t="s">
        <v>370</v>
      </c>
      <c r="F2138">
        <v>1</v>
      </c>
    </row>
    <row r="2139" spans="1:6" x14ac:dyDescent="0.25">
      <c r="C2139" s="19"/>
      <c r="D2139" s="19" t="s">
        <v>371</v>
      </c>
      <c r="E2139" s="19" t="s">
        <v>372</v>
      </c>
      <c r="F2139">
        <v>1</v>
      </c>
    </row>
    <row r="2140" spans="1:6" x14ac:dyDescent="0.25">
      <c r="C2140" s="19"/>
      <c r="D2140" s="19" t="s">
        <v>373</v>
      </c>
      <c r="E2140" s="19" t="s">
        <v>355</v>
      </c>
      <c r="F2140">
        <v>1</v>
      </c>
    </row>
    <row r="2141" spans="1:6" x14ac:dyDescent="0.25">
      <c r="C2141" s="19"/>
      <c r="D2141" s="19" t="s">
        <v>374</v>
      </c>
      <c r="E2141" s="19" t="s">
        <v>357</v>
      </c>
      <c r="F2141">
        <v>1</v>
      </c>
    </row>
    <row r="2142" spans="1:6" x14ac:dyDescent="0.25">
      <c r="C2142" s="19"/>
      <c r="D2142" s="19" t="s">
        <v>375</v>
      </c>
      <c r="E2142" s="19" t="s">
        <v>376</v>
      </c>
      <c r="F2142">
        <v>1</v>
      </c>
    </row>
    <row r="2143" spans="1:6" x14ac:dyDescent="0.25">
      <c r="A2143" s="3">
        <v>359</v>
      </c>
      <c r="B2143" s="15" t="s">
        <v>104</v>
      </c>
      <c r="C2143" s="19" t="s">
        <v>1685</v>
      </c>
      <c r="D2143" s="19" t="s">
        <v>1686</v>
      </c>
      <c r="E2143" s="19" t="s">
        <v>1687</v>
      </c>
      <c r="F2143">
        <v>1</v>
      </c>
    </row>
    <row r="2144" spans="1:6" x14ac:dyDescent="0.25">
      <c r="C2144" s="19"/>
      <c r="D2144" s="19" t="s">
        <v>1688</v>
      </c>
      <c r="E2144" s="19" t="s">
        <v>1689</v>
      </c>
      <c r="F2144">
        <v>1</v>
      </c>
    </row>
    <row r="2145" spans="1:6" x14ac:dyDescent="0.25">
      <c r="C2145" s="19"/>
      <c r="D2145" s="19" t="s">
        <v>1690</v>
      </c>
      <c r="E2145" s="19" t="s">
        <v>1691</v>
      </c>
      <c r="F2145">
        <v>1</v>
      </c>
    </row>
    <row r="2146" spans="1:6" x14ac:dyDescent="0.25">
      <c r="C2146" s="19"/>
      <c r="D2146" s="19" t="s">
        <v>1692</v>
      </c>
      <c r="E2146" s="19" t="s">
        <v>1693</v>
      </c>
      <c r="F2146">
        <v>0</v>
      </c>
    </row>
    <row r="2147" spans="1:6" x14ac:dyDescent="0.25">
      <c r="C2147" s="19"/>
      <c r="D2147" s="19" t="s">
        <v>1694</v>
      </c>
      <c r="E2147" s="19" t="s">
        <v>1695</v>
      </c>
      <c r="F2147">
        <v>0</v>
      </c>
    </row>
    <row r="2148" spans="1:6" x14ac:dyDescent="0.25">
      <c r="C2148" s="19"/>
      <c r="D2148" s="19" t="s">
        <v>1696</v>
      </c>
      <c r="E2148" s="19" t="s">
        <v>1697</v>
      </c>
      <c r="F2148">
        <v>1</v>
      </c>
    </row>
    <row r="2149" spans="1:6" x14ac:dyDescent="0.25">
      <c r="C2149" s="19"/>
      <c r="D2149" s="19" t="s">
        <v>1698</v>
      </c>
      <c r="E2149" s="19" t="s">
        <v>1699</v>
      </c>
      <c r="F2149">
        <v>1</v>
      </c>
    </row>
    <row r="2150" spans="1:6" x14ac:dyDescent="0.25">
      <c r="C2150" s="19"/>
      <c r="D2150" s="19" t="s">
        <v>1700</v>
      </c>
      <c r="E2150" s="19" t="s">
        <v>1701</v>
      </c>
      <c r="F2150">
        <v>1</v>
      </c>
    </row>
    <row r="2151" spans="1:6" x14ac:dyDescent="0.25">
      <c r="C2151" s="19"/>
      <c r="D2151" s="19" t="s">
        <v>1702</v>
      </c>
      <c r="E2151" s="19" t="s">
        <v>314</v>
      </c>
      <c r="F2151">
        <v>0</v>
      </c>
    </row>
    <row r="2152" spans="1:6" x14ac:dyDescent="0.25">
      <c r="C2152" s="19"/>
      <c r="D2152" s="19" t="s">
        <v>1703</v>
      </c>
      <c r="E2152" s="19" t="s">
        <v>1704</v>
      </c>
      <c r="F2152">
        <v>0</v>
      </c>
    </row>
    <row r="2153" spans="1:6" x14ac:dyDescent="0.25">
      <c r="C2153" s="19"/>
      <c r="D2153" s="19" t="s">
        <v>1705</v>
      </c>
      <c r="E2153" s="19" t="s">
        <v>1706</v>
      </c>
      <c r="F2153">
        <v>0</v>
      </c>
    </row>
    <row r="2154" spans="1:6" x14ac:dyDescent="0.25">
      <c r="C2154" s="19"/>
      <c r="D2154" s="19" t="s">
        <v>1707</v>
      </c>
      <c r="E2154" s="19" t="s">
        <v>1708</v>
      </c>
      <c r="F2154">
        <v>0</v>
      </c>
    </row>
    <row r="2155" spans="1:6" x14ac:dyDescent="0.25">
      <c r="C2155" s="19"/>
      <c r="D2155" s="19" t="s">
        <v>1709</v>
      </c>
      <c r="E2155" s="19" t="s">
        <v>1710</v>
      </c>
      <c r="F2155">
        <v>0</v>
      </c>
    </row>
    <row r="2156" spans="1:6" x14ac:dyDescent="0.25">
      <c r="C2156" s="19"/>
      <c r="D2156" s="19" t="s">
        <v>1711</v>
      </c>
      <c r="E2156" s="19" t="s">
        <v>1124</v>
      </c>
      <c r="F2156">
        <v>0</v>
      </c>
    </row>
    <row r="2157" spans="1:6" x14ac:dyDescent="0.25">
      <c r="A2157" s="3">
        <v>360</v>
      </c>
      <c r="B2157" s="15" t="s">
        <v>104</v>
      </c>
      <c r="C2157" s="19" t="s">
        <v>1685</v>
      </c>
      <c r="D2157" s="19" t="s">
        <v>1686</v>
      </c>
      <c r="E2157" s="19" t="s">
        <v>1687</v>
      </c>
      <c r="F2157">
        <v>1</v>
      </c>
    </row>
    <row r="2158" spans="1:6" x14ac:dyDescent="0.25">
      <c r="C2158" s="19"/>
      <c r="D2158" s="19" t="s">
        <v>1688</v>
      </c>
      <c r="E2158" s="19" t="s">
        <v>1689</v>
      </c>
      <c r="F2158">
        <v>1</v>
      </c>
    </row>
    <row r="2159" spans="1:6" x14ac:dyDescent="0.25">
      <c r="C2159" s="19"/>
      <c r="D2159" s="19" t="s">
        <v>1690</v>
      </c>
      <c r="E2159" s="19" t="s">
        <v>1691</v>
      </c>
      <c r="F2159">
        <v>1</v>
      </c>
    </row>
    <row r="2160" spans="1:6" x14ac:dyDescent="0.25">
      <c r="C2160" s="19"/>
      <c r="D2160" s="19" t="s">
        <v>1692</v>
      </c>
      <c r="E2160" s="19" t="s">
        <v>1693</v>
      </c>
      <c r="F2160">
        <v>0</v>
      </c>
    </row>
    <row r="2161" spans="1:6" x14ac:dyDescent="0.25">
      <c r="C2161" s="19"/>
      <c r="D2161" s="19" t="s">
        <v>1694</v>
      </c>
      <c r="E2161" s="19" t="s">
        <v>1695</v>
      </c>
      <c r="F2161">
        <v>0</v>
      </c>
    </row>
    <row r="2162" spans="1:6" x14ac:dyDescent="0.25">
      <c r="C2162" s="19"/>
      <c r="D2162" s="19" t="s">
        <v>1696</v>
      </c>
      <c r="E2162" s="19" t="s">
        <v>1697</v>
      </c>
      <c r="F2162">
        <v>1</v>
      </c>
    </row>
    <row r="2163" spans="1:6" x14ac:dyDescent="0.25">
      <c r="C2163" s="19"/>
      <c r="D2163" s="19" t="s">
        <v>1698</v>
      </c>
      <c r="E2163" s="19" t="s">
        <v>1699</v>
      </c>
      <c r="F2163">
        <v>1</v>
      </c>
    </row>
    <row r="2164" spans="1:6" x14ac:dyDescent="0.25">
      <c r="C2164" s="19"/>
      <c r="D2164" s="19" t="s">
        <v>1700</v>
      </c>
      <c r="E2164" s="19" t="s">
        <v>1701</v>
      </c>
      <c r="F2164">
        <v>1</v>
      </c>
    </row>
    <row r="2165" spans="1:6" x14ac:dyDescent="0.25">
      <c r="C2165" s="19"/>
      <c r="D2165" s="19" t="s">
        <v>1702</v>
      </c>
      <c r="E2165" s="19" t="s">
        <v>314</v>
      </c>
      <c r="F2165">
        <v>0</v>
      </c>
    </row>
    <row r="2166" spans="1:6" x14ac:dyDescent="0.25">
      <c r="C2166" s="19"/>
      <c r="D2166" s="19" t="s">
        <v>1703</v>
      </c>
      <c r="E2166" s="19" t="s">
        <v>1704</v>
      </c>
      <c r="F2166">
        <v>0</v>
      </c>
    </row>
    <row r="2167" spans="1:6" x14ac:dyDescent="0.25">
      <c r="C2167" s="19"/>
      <c r="D2167" s="19" t="s">
        <v>1705</v>
      </c>
      <c r="E2167" s="19" t="s">
        <v>1706</v>
      </c>
      <c r="F2167">
        <v>0</v>
      </c>
    </row>
    <row r="2168" spans="1:6" x14ac:dyDescent="0.25">
      <c r="C2168" s="19"/>
      <c r="D2168" s="19" t="s">
        <v>1707</v>
      </c>
      <c r="E2168" s="19" t="s">
        <v>1708</v>
      </c>
      <c r="F2168">
        <v>0</v>
      </c>
    </row>
    <row r="2169" spans="1:6" x14ac:dyDescent="0.25">
      <c r="C2169" s="19"/>
      <c r="D2169" s="19" t="s">
        <v>1709</v>
      </c>
      <c r="E2169" s="19" t="s">
        <v>1710</v>
      </c>
      <c r="F2169">
        <v>0</v>
      </c>
    </row>
    <row r="2170" spans="1:6" x14ac:dyDescent="0.25">
      <c r="C2170" s="19"/>
      <c r="D2170" s="19" t="s">
        <v>1711</v>
      </c>
      <c r="E2170" s="19" t="s">
        <v>1124</v>
      </c>
      <c r="F2170">
        <v>0</v>
      </c>
    </row>
    <row r="2171" spans="1:6" x14ac:dyDescent="0.25">
      <c r="A2171" s="3">
        <v>366</v>
      </c>
      <c r="B2171" s="15" t="s">
        <v>105</v>
      </c>
      <c r="C2171" s="19" t="s">
        <v>1613</v>
      </c>
      <c r="D2171" s="19" t="s">
        <v>1614</v>
      </c>
      <c r="E2171" s="19" t="s">
        <v>273</v>
      </c>
      <c r="F2171">
        <v>1</v>
      </c>
    </row>
    <row r="2172" spans="1:6" x14ac:dyDescent="0.25">
      <c r="C2172" s="19"/>
      <c r="D2172" s="19" t="s">
        <v>1615</v>
      </c>
      <c r="E2172" s="19" t="s">
        <v>312</v>
      </c>
      <c r="F2172">
        <v>1</v>
      </c>
    </row>
    <row r="2173" spans="1:6" x14ac:dyDescent="0.25">
      <c r="C2173" s="19"/>
      <c r="D2173" s="19" t="s">
        <v>1616</v>
      </c>
      <c r="E2173" s="19" t="s">
        <v>316</v>
      </c>
      <c r="F2173">
        <v>1</v>
      </c>
    </row>
    <row r="2174" spans="1:6" x14ac:dyDescent="0.25">
      <c r="C2174" s="19"/>
      <c r="D2174" s="19" t="s">
        <v>1617</v>
      </c>
      <c r="E2174" s="19" t="s">
        <v>314</v>
      </c>
      <c r="F2174">
        <v>1</v>
      </c>
    </row>
    <row r="2175" spans="1:6" x14ac:dyDescent="0.25">
      <c r="C2175" s="19"/>
      <c r="D2175" s="19" t="s">
        <v>1618</v>
      </c>
      <c r="E2175" s="19" t="s">
        <v>318</v>
      </c>
      <c r="F2175">
        <v>1</v>
      </c>
    </row>
    <row r="2176" spans="1:6" x14ac:dyDescent="0.25">
      <c r="C2176" s="19"/>
      <c r="D2176" s="19" t="s">
        <v>1619</v>
      </c>
      <c r="E2176" s="19" t="s">
        <v>1620</v>
      </c>
      <c r="F2176">
        <v>1</v>
      </c>
    </row>
    <row r="2177" spans="1:6" x14ac:dyDescent="0.25">
      <c r="C2177" s="19"/>
      <c r="D2177" s="19" t="s">
        <v>1621</v>
      </c>
      <c r="E2177" s="19" t="s">
        <v>1622</v>
      </c>
      <c r="F2177">
        <v>1</v>
      </c>
    </row>
    <row r="2178" spans="1:6" x14ac:dyDescent="0.25">
      <c r="C2178" s="19"/>
      <c r="D2178" s="19" t="s">
        <v>1623</v>
      </c>
      <c r="E2178" s="19" t="s">
        <v>322</v>
      </c>
      <c r="F2178">
        <v>1</v>
      </c>
    </row>
    <row r="2179" spans="1:6" x14ac:dyDescent="0.25">
      <c r="C2179" s="19"/>
      <c r="D2179" s="19" t="s">
        <v>1624</v>
      </c>
      <c r="E2179" s="19" t="s">
        <v>936</v>
      </c>
      <c r="F2179">
        <v>1</v>
      </c>
    </row>
    <row r="2180" spans="1:6" x14ac:dyDescent="0.25">
      <c r="C2180" s="19"/>
      <c r="D2180" s="19" t="s">
        <v>1625</v>
      </c>
      <c r="E2180" s="19" t="s">
        <v>938</v>
      </c>
      <c r="F2180">
        <v>1</v>
      </c>
    </row>
    <row r="2181" spans="1:6" x14ac:dyDescent="0.25">
      <c r="C2181" s="19"/>
      <c r="D2181" s="19" t="s">
        <v>1626</v>
      </c>
      <c r="E2181" s="19" t="s">
        <v>1483</v>
      </c>
      <c r="F2181">
        <v>1</v>
      </c>
    </row>
    <row r="2182" spans="1:6" x14ac:dyDescent="0.25">
      <c r="C2182" s="19"/>
      <c r="D2182" s="19" t="s">
        <v>1627</v>
      </c>
      <c r="E2182" s="19" t="s">
        <v>942</v>
      </c>
      <c r="F2182">
        <v>1</v>
      </c>
    </row>
    <row r="2183" spans="1:6" x14ac:dyDescent="0.25">
      <c r="C2183" s="19"/>
      <c r="D2183" s="19" t="s">
        <v>1628</v>
      </c>
      <c r="E2183" s="19" t="s">
        <v>383</v>
      </c>
      <c r="F2183">
        <v>1</v>
      </c>
    </row>
    <row r="2184" spans="1:6" x14ac:dyDescent="0.25">
      <c r="C2184" s="19"/>
      <c r="D2184" s="19" t="s">
        <v>1629</v>
      </c>
      <c r="E2184" s="19" t="s">
        <v>1630</v>
      </c>
      <c r="F2184">
        <v>1</v>
      </c>
    </row>
    <row r="2185" spans="1:6" x14ac:dyDescent="0.25">
      <c r="C2185" s="19"/>
      <c r="D2185" s="19" t="s">
        <v>1631</v>
      </c>
      <c r="E2185" s="19" t="s">
        <v>380</v>
      </c>
      <c r="F2185">
        <v>1</v>
      </c>
    </row>
    <row r="2186" spans="1:6" x14ac:dyDescent="0.25">
      <c r="C2186" s="19"/>
      <c r="D2186" s="19" t="s">
        <v>1632</v>
      </c>
      <c r="E2186" s="19" t="s">
        <v>381</v>
      </c>
      <c r="F2186">
        <v>1</v>
      </c>
    </row>
    <row r="2187" spans="1:6" x14ac:dyDescent="0.25">
      <c r="C2187" s="19"/>
      <c r="D2187" s="19" t="s">
        <v>1633</v>
      </c>
      <c r="E2187" s="19" t="s">
        <v>1634</v>
      </c>
      <c r="F2187">
        <v>1</v>
      </c>
    </row>
    <row r="2188" spans="1:6" x14ac:dyDescent="0.25">
      <c r="C2188" s="19"/>
      <c r="D2188" s="19" t="s">
        <v>1635</v>
      </c>
      <c r="E2188" s="19" t="s">
        <v>328</v>
      </c>
      <c r="F2188">
        <v>1</v>
      </c>
    </row>
    <row r="2189" spans="1:6" x14ac:dyDescent="0.25">
      <c r="C2189" s="19"/>
      <c r="D2189" s="19" t="s">
        <v>1636</v>
      </c>
      <c r="E2189" s="19" t="s">
        <v>1637</v>
      </c>
      <c r="F2189">
        <v>0</v>
      </c>
    </row>
    <row r="2190" spans="1:6" x14ac:dyDescent="0.25">
      <c r="C2190" s="19"/>
      <c r="D2190" s="19" t="s">
        <v>1638</v>
      </c>
      <c r="E2190" s="19" t="s">
        <v>1639</v>
      </c>
      <c r="F2190">
        <v>1</v>
      </c>
    </row>
    <row r="2191" spans="1:6" x14ac:dyDescent="0.25">
      <c r="A2191" s="3">
        <v>367</v>
      </c>
      <c r="B2191" s="15" t="s">
        <v>105</v>
      </c>
      <c r="C2191" s="19" t="s">
        <v>1613</v>
      </c>
      <c r="D2191" s="19" t="s">
        <v>1614</v>
      </c>
      <c r="E2191" s="19" t="s">
        <v>273</v>
      </c>
      <c r="F2191">
        <v>1</v>
      </c>
    </row>
    <row r="2192" spans="1:6" x14ac:dyDescent="0.25">
      <c r="C2192" s="19"/>
      <c r="D2192" s="19" t="s">
        <v>1615</v>
      </c>
      <c r="E2192" s="19" t="s">
        <v>312</v>
      </c>
      <c r="F2192">
        <v>1</v>
      </c>
    </row>
    <row r="2193" spans="3:6" x14ac:dyDescent="0.25">
      <c r="C2193" s="19"/>
      <c r="D2193" s="19" t="s">
        <v>1616</v>
      </c>
      <c r="E2193" s="19" t="s">
        <v>316</v>
      </c>
      <c r="F2193">
        <v>1</v>
      </c>
    </row>
    <row r="2194" spans="3:6" x14ac:dyDescent="0.25">
      <c r="C2194" s="19"/>
      <c r="D2194" s="19" t="s">
        <v>1617</v>
      </c>
      <c r="E2194" s="19" t="s">
        <v>314</v>
      </c>
      <c r="F2194">
        <v>1</v>
      </c>
    </row>
    <row r="2195" spans="3:6" x14ac:dyDescent="0.25">
      <c r="C2195" s="19"/>
      <c r="D2195" s="19" t="s">
        <v>1618</v>
      </c>
      <c r="E2195" s="19" t="s">
        <v>318</v>
      </c>
      <c r="F2195">
        <v>1</v>
      </c>
    </row>
    <row r="2196" spans="3:6" x14ac:dyDescent="0.25">
      <c r="C2196" s="19"/>
      <c r="D2196" s="19" t="s">
        <v>1619</v>
      </c>
      <c r="E2196" s="19" t="s">
        <v>1620</v>
      </c>
      <c r="F2196">
        <v>1</v>
      </c>
    </row>
    <row r="2197" spans="3:6" x14ac:dyDescent="0.25">
      <c r="C2197" s="19"/>
      <c r="D2197" s="19" t="s">
        <v>1621</v>
      </c>
      <c r="E2197" s="19" t="s">
        <v>1622</v>
      </c>
      <c r="F2197">
        <v>1</v>
      </c>
    </row>
    <row r="2198" spans="3:6" x14ac:dyDescent="0.25">
      <c r="C2198" s="19"/>
      <c r="D2198" s="19" t="s">
        <v>1623</v>
      </c>
      <c r="E2198" s="19" t="s">
        <v>322</v>
      </c>
      <c r="F2198">
        <v>1</v>
      </c>
    </row>
    <row r="2199" spans="3:6" x14ac:dyDescent="0.25">
      <c r="C2199" s="19"/>
      <c r="D2199" s="19" t="s">
        <v>1624</v>
      </c>
      <c r="E2199" s="19" t="s">
        <v>936</v>
      </c>
      <c r="F2199">
        <v>0</v>
      </c>
    </row>
    <row r="2200" spans="3:6" x14ac:dyDescent="0.25">
      <c r="C2200" s="19"/>
      <c r="D2200" s="19" t="s">
        <v>1625</v>
      </c>
      <c r="E2200" s="19" t="s">
        <v>938</v>
      </c>
      <c r="F2200">
        <v>1</v>
      </c>
    </row>
    <row r="2201" spans="3:6" x14ac:dyDescent="0.25">
      <c r="C2201" s="19"/>
      <c r="D2201" s="19" t="s">
        <v>1626</v>
      </c>
      <c r="E2201" s="19" t="s">
        <v>1483</v>
      </c>
      <c r="F2201">
        <v>1</v>
      </c>
    </row>
    <row r="2202" spans="3:6" x14ac:dyDescent="0.25">
      <c r="C2202" s="19"/>
      <c r="D2202" s="19" t="s">
        <v>1627</v>
      </c>
      <c r="E2202" s="19" t="s">
        <v>942</v>
      </c>
      <c r="F2202">
        <v>0</v>
      </c>
    </row>
    <row r="2203" spans="3:6" x14ac:dyDescent="0.25">
      <c r="C2203" s="19"/>
      <c r="D2203" s="19" t="s">
        <v>1628</v>
      </c>
      <c r="E2203" s="19" t="s">
        <v>383</v>
      </c>
      <c r="F2203">
        <v>1</v>
      </c>
    </row>
    <row r="2204" spans="3:6" x14ac:dyDescent="0.25">
      <c r="C2204" s="19"/>
      <c r="D2204" s="19" t="s">
        <v>1629</v>
      </c>
      <c r="E2204" s="19" t="s">
        <v>1630</v>
      </c>
      <c r="F2204">
        <v>1</v>
      </c>
    </row>
    <row r="2205" spans="3:6" x14ac:dyDescent="0.25">
      <c r="C2205" s="19"/>
      <c r="D2205" s="19" t="s">
        <v>1631</v>
      </c>
      <c r="E2205" s="19" t="s">
        <v>380</v>
      </c>
      <c r="F2205">
        <v>1</v>
      </c>
    </row>
    <row r="2206" spans="3:6" x14ac:dyDescent="0.25">
      <c r="C2206" s="19"/>
      <c r="D2206" s="19" t="s">
        <v>1632</v>
      </c>
      <c r="E2206" s="19" t="s">
        <v>381</v>
      </c>
      <c r="F2206">
        <v>1</v>
      </c>
    </row>
    <row r="2207" spans="3:6" x14ac:dyDescent="0.25">
      <c r="C2207" s="19"/>
      <c r="D2207" s="19" t="s">
        <v>1633</v>
      </c>
      <c r="E2207" s="19" t="s">
        <v>1634</v>
      </c>
      <c r="F2207">
        <v>1</v>
      </c>
    </row>
    <row r="2208" spans="3:6" x14ac:dyDescent="0.25">
      <c r="C2208" s="19"/>
      <c r="D2208" s="19" t="s">
        <v>1635</v>
      </c>
      <c r="E2208" s="19" t="s">
        <v>328</v>
      </c>
      <c r="F2208">
        <v>1</v>
      </c>
    </row>
    <row r="2209" spans="1:6" x14ac:dyDescent="0.25">
      <c r="C2209" s="19"/>
      <c r="D2209" s="19" t="s">
        <v>1636</v>
      </c>
      <c r="E2209" s="19" t="s">
        <v>1637</v>
      </c>
      <c r="F2209">
        <v>0</v>
      </c>
    </row>
    <row r="2210" spans="1:6" x14ac:dyDescent="0.25">
      <c r="C2210" s="19"/>
      <c r="D2210" s="19" t="s">
        <v>1638</v>
      </c>
      <c r="E2210" s="19" t="s">
        <v>1639</v>
      </c>
      <c r="F2210">
        <v>1</v>
      </c>
    </row>
    <row r="2211" spans="1:6" x14ac:dyDescent="0.25">
      <c r="A2211" s="3">
        <v>368</v>
      </c>
      <c r="B2211" s="15" t="s">
        <v>106</v>
      </c>
      <c r="C2211" s="19" t="s">
        <v>1492</v>
      </c>
      <c r="D2211" s="19" t="s">
        <v>1493</v>
      </c>
      <c r="E2211" s="19" t="s">
        <v>1494</v>
      </c>
      <c r="F2211">
        <v>1</v>
      </c>
    </row>
    <row r="2212" spans="1:6" x14ac:dyDescent="0.25">
      <c r="C2212" s="19"/>
      <c r="D2212" s="19" t="s">
        <v>1495</v>
      </c>
      <c r="E2212" s="19" t="s">
        <v>1496</v>
      </c>
      <c r="F2212">
        <v>1</v>
      </c>
    </row>
    <row r="2213" spans="1:6" x14ac:dyDescent="0.25">
      <c r="C2213" s="19"/>
      <c r="D2213" s="19" t="s">
        <v>1497</v>
      </c>
      <c r="E2213" s="19" t="s">
        <v>306</v>
      </c>
      <c r="F2213">
        <v>1</v>
      </c>
    </row>
    <row r="2214" spans="1:6" x14ac:dyDescent="0.25">
      <c r="C2214" s="19"/>
      <c r="D2214" s="19" t="s">
        <v>1498</v>
      </c>
      <c r="E2214" s="19" t="s">
        <v>1499</v>
      </c>
      <c r="F2214">
        <v>1</v>
      </c>
    </row>
    <row r="2215" spans="1:6" x14ac:dyDescent="0.25">
      <c r="C2215" s="19"/>
      <c r="D2215" s="19" t="s">
        <v>1500</v>
      </c>
      <c r="E2215" s="19" t="s">
        <v>1397</v>
      </c>
      <c r="F2215">
        <v>1</v>
      </c>
    </row>
    <row r="2216" spans="1:6" x14ac:dyDescent="0.25">
      <c r="C2216" s="19"/>
      <c r="D2216" s="19" t="s">
        <v>1501</v>
      </c>
      <c r="E2216" s="19" t="s">
        <v>1502</v>
      </c>
      <c r="F2216">
        <v>1</v>
      </c>
    </row>
    <row r="2217" spans="1:6" x14ac:dyDescent="0.25">
      <c r="C2217" s="19"/>
      <c r="D2217" s="19" t="s">
        <v>1503</v>
      </c>
      <c r="E2217" s="19" t="s">
        <v>1504</v>
      </c>
      <c r="F2217">
        <v>1</v>
      </c>
    </row>
    <row r="2218" spans="1:6" x14ac:dyDescent="0.25">
      <c r="C2218" s="19"/>
      <c r="D2218" s="19" t="s">
        <v>1505</v>
      </c>
      <c r="E2218" s="19" t="s">
        <v>1506</v>
      </c>
      <c r="F2218">
        <v>0</v>
      </c>
    </row>
    <row r="2219" spans="1:6" x14ac:dyDescent="0.25">
      <c r="C2219" s="19"/>
      <c r="D2219" s="19" t="s">
        <v>1507</v>
      </c>
      <c r="E2219" s="19" t="s">
        <v>611</v>
      </c>
      <c r="F2219">
        <v>1</v>
      </c>
    </row>
    <row r="2220" spans="1:6" x14ac:dyDescent="0.25">
      <c r="C2220" s="19"/>
      <c r="D2220" s="19" t="s">
        <v>1508</v>
      </c>
      <c r="E2220" s="19" t="s">
        <v>1509</v>
      </c>
      <c r="F2220">
        <v>0</v>
      </c>
    </row>
    <row r="2221" spans="1:6" x14ac:dyDescent="0.25">
      <c r="C2221" s="19"/>
      <c r="D2221" s="19" t="s">
        <v>1510</v>
      </c>
      <c r="E2221" s="19" t="s">
        <v>613</v>
      </c>
      <c r="F2221">
        <v>1</v>
      </c>
    </row>
    <row r="2222" spans="1:6" x14ac:dyDescent="0.25">
      <c r="C2222" s="19"/>
      <c r="D2222" s="19" t="s">
        <v>1511</v>
      </c>
      <c r="E2222" s="19" t="s">
        <v>1419</v>
      </c>
      <c r="F2222">
        <v>0</v>
      </c>
    </row>
    <row r="2223" spans="1:6" x14ac:dyDescent="0.25">
      <c r="C2223" s="19"/>
      <c r="D2223" s="19" t="s">
        <v>1512</v>
      </c>
      <c r="E2223" s="19" t="s">
        <v>621</v>
      </c>
      <c r="F2223">
        <v>0</v>
      </c>
    </row>
    <row r="2224" spans="1:6" x14ac:dyDescent="0.25">
      <c r="C2224" s="19"/>
      <c r="D2224" s="19" t="s">
        <v>1513</v>
      </c>
      <c r="E2224" s="19" t="s">
        <v>1422</v>
      </c>
      <c r="F2224">
        <v>1</v>
      </c>
    </row>
    <row r="2225" spans="1:6" x14ac:dyDescent="0.25">
      <c r="C2225" s="19"/>
      <c r="D2225" s="19" t="s">
        <v>1514</v>
      </c>
      <c r="E2225" s="19" t="s">
        <v>614</v>
      </c>
      <c r="F2225">
        <v>1</v>
      </c>
    </row>
    <row r="2226" spans="1:6" x14ac:dyDescent="0.25">
      <c r="C2226" s="19"/>
      <c r="D2226" s="19" t="s">
        <v>1515</v>
      </c>
      <c r="E2226" s="19" t="s">
        <v>615</v>
      </c>
      <c r="F2226">
        <v>0</v>
      </c>
    </row>
    <row r="2227" spans="1:6" x14ac:dyDescent="0.25">
      <c r="C2227" s="19"/>
      <c r="D2227" s="19" t="s">
        <v>1516</v>
      </c>
      <c r="E2227" s="19" t="s">
        <v>1517</v>
      </c>
      <c r="F2227">
        <v>1</v>
      </c>
    </row>
    <row r="2228" spans="1:6" x14ac:dyDescent="0.25">
      <c r="C2228" s="19"/>
      <c r="D2228" s="19" t="s">
        <v>1518</v>
      </c>
      <c r="E2228" s="19" t="s">
        <v>1519</v>
      </c>
      <c r="F2228">
        <v>1</v>
      </c>
    </row>
    <row r="2229" spans="1:6" x14ac:dyDescent="0.25">
      <c r="C2229" s="19"/>
      <c r="D2229" s="19" t="s">
        <v>1520</v>
      </c>
      <c r="E2229" s="19" t="s">
        <v>1521</v>
      </c>
      <c r="F2229">
        <v>1</v>
      </c>
    </row>
    <row r="2230" spans="1:6" x14ac:dyDescent="0.25">
      <c r="C2230" s="19"/>
      <c r="D2230" s="19" t="s">
        <v>1522</v>
      </c>
      <c r="E2230" s="19" t="s">
        <v>1523</v>
      </c>
      <c r="F2230">
        <v>0</v>
      </c>
    </row>
    <row r="2231" spans="1:6" x14ac:dyDescent="0.25">
      <c r="C2231" s="19"/>
      <c r="D2231" s="19" t="s">
        <v>1524</v>
      </c>
      <c r="E2231" s="19" t="s">
        <v>1525</v>
      </c>
      <c r="F2231">
        <v>1</v>
      </c>
    </row>
    <row r="2232" spans="1:6" x14ac:dyDescent="0.25">
      <c r="C2232" s="19"/>
      <c r="D2232" s="19" t="s">
        <v>1526</v>
      </c>
      <c r="E2232" s="19" t="s">
        <v>1527</v>
      </c>
      <c r="F2232">
        <v>1</v>
      </c>
    </row>
    <row r="2233" spans="1:6" x14ac:dyDescent="0.25">
      <c r="C2233" s="19"/>
      <c r="D2233" s="19" t="s">
        <v>1528</v>
      </c>
      <c r="E2233" s="19" t="s">
        <v>1529</v>
      </c>
      <c r="F2233">
        <v>0</v>
      </c>
    </row>
    <row r="2234" spans="1:6" x14ac:dyDescent="0.25">
      <c r="C2234" s="19"/>
      <c r="D2234" s="19" t="s">
        <v>1530</v>
      </c>
      <c r="E2234" s="19" t="s">
        <v>1430</v>
      </c>
      <c r="F2234">
        <v>1</v>
      </c>
    </row>
    <row r="2235" spans="1:6" x14ac:dyDescent="0.25">
      <c r="C2235" s="19"/>
      <c r="D2235" s="19" t="s">
        <v>1531</v>
      </c>
      <c r="E2235" s="19" t="s">
        <v>503</v>
      </c>
      <c r="F2235">
        <v>1</v>
      </c>
    </row>
    <row r="2236" spans="1:6" x14ac:dyDescent="0.25">
      <c r="C2236" s="19"/>
      <c r="D2236" s="19" t="s">
        <v>1532</v>
      </c>
      <c r="E2236" s="19" t="s">
        <v>1533</v>
      </c>
      <c r="F2236">
        <v>1</v>
      </c>
    </row>
    <row r="2237" spans="1:6" x14ac:dyDescent="0.25">
      <c r="C2237" s="19"/>
      <c r="D2237" s="19" t="s">
        <v>1534</v>
      </c>
      <c r="E2237" s="19" t="s">
        <v>1535</v>
      </c>
      <c r="F2237">
        <v>1</v>
      </c>
    </row>
    <row r="2238" spans="1:6" x14ac:dyDescent="0.25">
      <c r="A2238" s="3">
        <v>370</v>
      </c>
      <c r="B2238" s="15" t="s">
        <v>106</v>
      </c>
      <c r="C2238" s="19" t="s">
        <v>1492</v>
      </c>
      <c r="D2238" s="19" t="s">
        <v>1493</v>
      </c>
      <c r="E2238" s="19" t="s">
        <v>1494</v>
      </c>
      <c r="F2238">
        <v>1</v>
      </c>
    </row>
    <row r="2239" spans="1:6" x14ac:dyDescent="0.25">
      <c r="C2239" s="19"/>
      <c r="D2239" s="19" t="s">
        <v>1495</v>
      </c>
      <c r="E2239" s="19" t="s">
        <v>1496</v>
      </c>
      <c r="F2239">
        <v>1</v>
      </c>
    </row>
    <row r="2240" spans="1:6" x14ac:dyDescent="0.25">
      <c r="C2240" s="19"/>
      <c r="D2240" s="19" t="s">
        <v>1497</v>
      </c>
      <c r="E2240" s="19" t="s">
        <v>306</v>
      </c>
      <c r="F2240">
        <v>1</v>
      </c>
    </row>
    <row r="2241" spans="3:6" x14ac:dyDescent="0.25">
      <c r="C2241" s="19"/>
      <c r="D2241" s="19" t="s">
        <v>1498</v>
      </c>
      <c r="E2241" s="19" t="s">
        <v>1499</v>
      </c>
      <c r="F2241">
        <v>1</v>
      </c>
    </row>
    <row r="2242" spans="3:6" x14ac:dyDescent="0.25">
      <c r="C2242" s="19"/>
      <c r="D2242" s="19" t="s">
        <v>1500</v>
      </c>
      <c r="E2242" s="19" t="s">
        <v>1397</v>
      </c>
      <c r="F2242">
        <v>1</v>
      </c>
    </row>
    <row r="2243" spans="3:6" x14ac:dyDescent="0.25">
      <c r="C2243" s="19"/>
      <c r="D2243" s="19" t="s">
        <v>1501</v>
      </c>
      <c r="E2243" s="19" t="s">
        <v>1502</v>
      </c>
      <c r="F2243">
        <v>1</v>
      </c>
    </row>
    <row r="2244" spans="3:6" x14ac:dyDescent="0.25">
      <c r="C2244" s="19"/>
      <c r="D2244" s="19" t="s">
        <v>1503</v>
      </c>
      <c r="E2244" s="19" t="s">
        <v>1504</v>
      </c>
      <c r="F2244">
        <v>0</v>
      </c>
    </row>
    <row r="2245" spans="3:6" x14ac:dyDescent="0.25">
      <c r="C2245" s="19"/>
      <c r="D2245" s="19" t="s">
        <v>1505</v>
      </c>
      <c r="E2245" s="19" t="s">
        <v>1506</v>
      </c>
      <c r="F2245">
        <v>0</v>
      </c>
    </row>
    <row r="2246" spans="3:6" x14ac:dyDescent="0.25">
      <c r="C2246" s="19"/>
      <c r="D2246" s="19" t="s">
        <v>1507</v>
      </c>
      <c r="E2246" s="19" t="s">
        <v>611</v>
      </c>
      <c r="F2246">
        <v>1</v>
      </c>
    </row>
    <row r="2247" spans="3:6" x14ac:dyDescent="0.25">
      <c r="C2247" s="19"/>
      <c r="D2247" s="19" t="s">
        <v>1508</v>
      </c>
      <c r="E2247" s="19" t="s">
        <v>1509</v>
      </c>
      <c r="F2247">
        <v>1</v>
      </c>
    </row>
    <row r="2248" spans="3:6" x14ac:dyDescent="0.25">
      <c r="C2248" s="19"/>
      <c r="D2248" s="19" t="s">
        <v>1510</v>
      </c>
      <c r="E2248" s="19" t="s">
        <v>613</v>
      </c>
      <c r="F2248">
        <v>1</v>
      </c>
    </row>
    <row r="2249" spans="3:6" x14ac:dyDescent="0.25">
      <c r="C2249" s="19"/>
      <c r="D2249" s="19" t="s">
        <v>1511</v>
      </c>
      <c r="E2249" s="19" t="s">
        <v>1419</v>
      </c>
      <c r="F2249">
        <v>0</v>
      </c>
    </row>
    <row r="2250" spans="3:6" x14ac:dyDescent="0.25">
      <c r="C2250" s="19"/>
      <c r="D2250" s="19" t="s">
        <v>1512</v>
      </c>
      <c r="E2250" s="19" t="s">
        <v>621</v>
      </c>
      <c r="F2250">
        <v>0</v>
      </c>
    </row>
    <row r="2251" spans="3:6" x14ac:dyDescent="0.25">
      <c r="C2251" s="19"/>
      <c r="D2251" s="19" t="s">
        <v>1513</v>
      </c>
      <c r="E2251" s="19" t="s">
        <v>1422</v>
      </c>
      <c r="F2251">
        <v>1</v>
      </c>
    </row>
    <row r="2252" spans="3:6" x14ac:dyDescent="0.25">
      <c r="C2252" s="19"/>
      <c r="D2252" s="19" t="s">
        <v>1514</v>
      </c>
      <c r="E2252" s="19" t="s">
        <v>614</v>
      </c>
      <c r="F2252">
        <v>1</v>
      </c>
    </row>
    <row r="2253" spans="3:6" x14ac:dyDescent="0.25">
      <c r="C2253" s="19"/>
      <c r="D2253" s="19" t="s">
        <v>1515</v>
      </c>
      <c r="E2253" s="19" t="s">
        <v>615</v>
      </c>
      <c r="F2253">
        <v>0</v>
      </c>
    </row>
    <row r="2254" spans="3:6" x14ac:dyDescent="0.25">
      <c r="C2254" s="19"/>
      <c r="D2254" s="19" t="s">
        <v>1516</v>
      </c>
      <c r="E2254" s="19" t="s">
        <v>1517</v>
      </c>
      <c r="F2254">
        <v>1</v>
      </c>
    </row>
    <row r="2255" spans="3:6" x14ac:dyDescent="0.25">
      <c r="C2255" s="19"/>
      <c r="D2255" s="19" t="s">
        <v>1518</v>
      </c>
      <c r="E2255" s="19" t="s">
        <v>1519</v>
      </c>
      <c r="F2255">
        <v>1</v>
      </c>
    </row>
    <row r="2256" spans="3:6" x14ac:dyDescent="0.25">
      <c r="C2256" s="19"/>
      <c r="D2256" s="19" t="s">
        <v>1520</v>
      </c>
      <c r="E2256" s="19" t="s">
        <v>1521</v>
      </c>
      <c r="F2256">
        <v>1</v>
      </c>
    </row>
    <row r="2257" spans="1:6" x14ac:dyDescent="0.25">
      <c r="C2257" s="19"/>
      <c r="D2257" s="19" t="s">
        <v>1522</v>
      </c>
      <c r="E2257" s="19" t="s">
        <v>1523</v>
      </c>
      <c r="F2257">
        <v>0</v>
      </c>
    </row>
    <row r="2258" spans="1:6" x14ac:dyDescent="0.25">
      <c r="C2258" s="19"/>
      <c r="D2258" s="19" t="s">
        <v>1524</v>
      </c>
      <c r="E2258" s="19" t="s">
        <v>1525</v>
      </c>
      <c r="F2258">
        <v>0</v>
      </c>
    </row>
    <row r="2259" spans="1:6" x14ac:dyDescent="0.25">
      <c r="C2259" s="19"/>
      <c r="D2259" s="19" t="s">
        <v>1526</v>
      </c>
      <c r="E2259" s="19" t="s">
        <v>1527</v>
      </c>
      <c r="F2259">
        <v>0</v>
      </c>
    </row>
    <row r="2260" spans="1:6" x14ac:dyDescent="0.25">
      <c r="C2260" s="19"/>
      <c r="D2260" s="19" t="s">
        <v>1528</v>
      </c>
      <c r="E2260" s="19" t="s">
        <v>1529</v>
      </c>
      <c r="F2260">
        <v>0</v>
      </c>
    </row>
    <row r="2261" spans="1:6" x14ac:dyDescent="0.25">
      <c r="C2261" s="19"/>
      <c r="D2261" s="19" t="s">
        <v>1530</v>
      </c>
      <c r="E2261" s="19" t="s">
        <v>1430</v>
      </c>
      <c r="F2261">
        <v>1</v>
      </c>
    </row>
    <row r="2262" spans="1:6" x14ac:dyDescent="0.25">
      <c r="C2262" s="19"/>
      <c r="D2262" s="19" t="s">
        <v>1531</v>
      </c>
      <c r="E2262" s="19" t="s">
        <v>503</v>
      </c>
      <c r="F2262">
        <v>1</v>
      </c>
    </row>
    <row r="2263" spans="1:6" x14ac:dyDescent="0.25">
      <c r="C2263" s="19"/>
      <c r="D2263" s="19" t="s">
        <v>1532</v>
      </c>
      <c r="E2263" s="19" t="s">
        <v>1533</v>
      </c>
      <c r="F2263">
        <v>1</v>
      </c>
    </row>
    <row r="2264" spans="1:6" x14ac:dyDescent="0.25">
      <c r="C2264" s="19"/>
      <c r="D2264" s="19" t="s">
        <v>1534</v>
      </c>
      <c r="E2264" s="19" t="s">
        <v>1535</v>
      </c>
      <c r="F2264">
        <v>1</v>
      </c>
    </row>
    <row r="2265" spans="1:6" x14ac:dyDescent="0.25">
      <c r="A2265" s="3">
        <v>372</v>
      </c>
      <c r="B2265" s="15" t="s">
        <v>107</v>
      </c>
      <c r="C2265" s="19" t="s">
        <v>1790</v>
      </c>
      <c r="D2265" s="19" t="s">
        <v>1791</v>
      </c>
      <c r="E2265" s="19" t="s">
        <v>273</v>
      </c>
      <c r="F2265">
        <v>1</v>
      </c>
    </row>
    <row r="2266" spans="1:6" x14ac:dyDescent="0.25">
      <c r="C2266" s="19"/>
      <c r="D2266" s="19" t="s">
        <v>1792</v>
      </c>
      <c r="E2266" s="19" t="s">
        <v>312</v>
      </c>
      <c r="F2266">
        <v>1</v>
      </c>
    </row>
    <row r="2267" spans="1:6" x14ac:dyDescent="0.25">
      <c r="C2267" s="19"/>
      <c r="D2267" s="19" t="s">
        <v>1793</v>
      </c>
      <c r="E2267" s="19" t="s">
        <v>801</v>
      </c>
      <c r="F2267">
        <v>1</v>
      </c>
    </row>
    <row r="2268" spans="1:6" x14ac:dyDescent="0.25">
      <c r="C2268" s="19"/>
      <c r="D2268" s="19" t="s">
        <v>1794</v>
      </c>
      <c r="E2268" s="19" t="s">
        <v>786</v>
      </c>
      <c r="F2268">
        <v>1</v>
      </c>
    </row>
    <row r="2269" spans="1:6" x14ac:dyDescent="0.25">
      <c r="C2269" s="19"/>
      <c r="D2269" s="19" t="s">
        <v>1795</v>
      </c>
      <c r="E2269" s="19" t="s">
        <v>784</v>
      </c>
      <c r="F2269">
        <v>0</v>
      </c>
    </row>
    <row r="2270" spans="1:6" x14ac:dyDescent="0.25">
      <c r="C2270" s="19"/>
      <c r="D2270" s="19" t="s">
        <v>1796</v>
      </c>
      <c r="E2270" s="19" t="s">
        <v>1205</v>
      </c>
      <c r="F2270">
        <v>0</v>
      </c>
    </row>
    <row r="2271" spans="1:6" x14ac:dyDescent="0.25">
      <c r="C2271" s="19"/>
      <c r="D2271" s="19" t="s">
        <v>1797</v>
      </c>
      <c r="E2271" s="19" t="s">
        <v>1207</v>
      </c>
      <c r="F2271">
        <v>0</v>
      </c>
    </row>
    <row r="2272" spans="1:6" x14ac:dyDescent="0.25">
      <c r="C2272" s="19"/>
      <c r="D2272" s="19" t="s">
        <v>1798</v>
      </c>
      <c r="E2272" s="19" t="s">
        <v>1209</v>
      </c>
      <c r="F2272">
        <v>0</v>
      </c>
    </row>
    <row r="2273" spans="3:6" x14ac:dyDescent="0.25">
      <c r="C2273" s="19"/>
      <c r="D2273" s="19" t="s">
        <v>1799</v>
      </c>
      <c r="E2273" s="19" t="s">
        <v>789</v>
      </c>
      <c r="F2273">
        <v>1</v>
      </c>
    </row>
    <row r="2274" spans="3:6" x14ac:dyDescent="0.25">
      <c r="C2274" s="19"/>
      <c r="D2274" s="19" t="s">
        <v>1800</v>
      </c>
      <c r="E2274" s="19" t="s">
        <v>1214</v>
      </c>
      <c r="F2274">
        <v>1</v>
      </c>
    </row>
    <row r="2275" spans="3:6" x14ac:dyDescent="0.25">
      <c r="C2275" s="19"/>
      <c r="D2275" s="19" t="s">
        <v>1801</v>
      </c>
      <c r="E2275" s="19" t="s">
        <v>1784</v>
      </c>
      <c r="F2275">
        <v>0</v>
      </c>
    </row>
    <row r="2276" spans="3:6" x14ac:dyDescent="0.25">
      <c r="C2276" s="19"/>
      <c r="D2276" s="19" t="s">
        <v>1802</v>
      </c>
      <c r="E2276" s="19" t="s">
        <v>791</v>
      </c>
      <c r="F2276">
        <v>1</v>
      </c>
    </row>
    <row r="2277" spans="3:6" x14ac:dyDescent="0.25">
      <c r="C2277" s="19"/>
      <c r="D2277" s="19" t="s">
        <v>1803</v>
      </c>
      <c r="E2277" s="19" t="s">
        <v>795</v>
      </c>
      <c r="F2277">
        <v>1</v>
      </c>
    </row>
    <row r="2278" spans="3:6" x14ac:dyDescent="0.25">
      <c r="C2278" s="19"/>
      <c r="D2278" s="19" t="s">
        <v>1804</v>
      </c>
      <c r="E2278" s="19" t="s">
        <v>372</v>
      </c>
      <c r="F2278">
        <v>0</v>
      </c>
    </row>
    <row r="2279" spans="3:6" x14ac:dyDescent="0.25">
      <c r="C2279" s="19"/>
      <c r="D2279" s="19" t="s">
        <v>1805</v>
      </c>
      <c r="E2279" s="19" t="s">
        <v>1806</v>
      </c>
      <c r="F2279">
        <v>0</v>
      </c>
    </row>
    <row r="2280" spans="3:6" x14ac:dyDescent="0.25">
      <c r="C2280" s="19"/>
      <c r="D2280" s="19" t="s">
        <v>1807</v>
      </c>
      <c r="E2280" s="19" t="s">
        <v>1808</v>
      </c>
      <c r="F2280">
        <v>1</v>
      </c>
    </row>
    <row r="2281" spans="3:6" x14ac:dyDescent="0.25">
      <c r="C2281" s="19" t="s">
        <v>1015</v>
      </c>
      <c r="D2281" s="19" t="s">
        <v>1016</v>
      </c>
      <c r="E2281" s="19" t="s">
        <v>1017</v>
      </c>
      <c r="F2281">
        <v>1</v>
      </c>
    </row>
    <row r="2282" spans="3:6" x14ac:dyDescent="0.25">
      <c r="C2282" s="19"/>
      <c r="D2282" s="19" t="s">
        <v>1018</v>
      </c>
      <c r="E2282" s="19" t="s">
        <v>795</v>
      </c>
      <c r="F2282">
        <v>1</v>
      </c>
    </row>
    <row r="2283" spans="3:6" x14ac:dyDescent="0.25">
      <c r="C2283" s="19"/>
      <c r="D2283" s="19" t="s">
        <v>1019</v>
      </c>
      <c r="E2283" s="19" t="s">
        <v>866</v>
      </c>
      <c r="F2283">
        <v>1</v>
      </c>
    </row>
    <row r="2284" spans="3:6" x14ac:dyDescent="0.25">
      <c r="C2284" s="19"/>
      <c r="D2284" s="19" t="s">
        <v>1020</v>
      </c>
      <c r="E2284" s="19" t="s">
        <v>1021</v>
      </c>
      <c r="F2284">
        <v>1</v>
      </c>
    </row>
    <row r="2285" spans="3:6" x14ac:dyDescent="0.25">
      <c r="C2285" s="19"/>
      <c r="D2285" s="19" t="s">
        <v>1022</v>
      </c>
      <c r="E2285" s="19" t="s">
        <v>1023</v>
      </c>
      <c r="F2285">
        <v>1</v>
      </c>
    </row>
    <row r="2286" spans="3:6" x14ac:dyDescent="0.25">
      <c r="C2286" s="19"/>
      <c r="D2286" s="19" t="s">
        <v>1024</v>
      </c>
      <c r="E2286" s="19" t="s">
        <v>889</v>
      </c>
      <c r="F2286">
        <v>1</v>
      </c>
    </row>
    <row r="2287" spans="3:6" x14ac:dyDescent="0.25">
      <c r="C2287" s="19"/>
      <c r="D2287" s="19" t="s">
        <v>1025</v>
      </c>
      <c r="E2287" s="19" t="s">
        <v>1026</v>
      </c>
      <c r="F2287">
        <v>1</v>
      </c>
    </row>
    <row r="2288" spans="3:6" x14ac:dyDescent="0.25">
      <c r="C2288" s="19"/>
      <c r="D2288" s="19" t="s">
        <v>1027</v>
      </c>
      <c r="E2288" s="19" t="s">
        <v>1028</v>
      </c>
      <c r="F2288">
        <v>1</v>
      </c>
    </row>
    <row r="2289" spans="1:6" x14ac:dyDescent="0.25">
      <c r="C2289" s="19"/>
      <c r="D2289" s="19" t="s">
        <v>1029</v>
      </c>
      <c r="E2289" s="19" t="s">
        <v>295</v>
      </c>
      <c r="F2289">
        <v>1</v>
      </c>
    </row>
    <row r="2290" spans="1:6" x14ac:dyDescent="0.25">
      <c r="A2290" s="3">
        <v>379</v>
      </c>
      <c r="B2290" s="15" t="s">
        <v>108</v>
      </c>
      <c r="C2290" s="19" t="s">
        <v>1366</v>
      </c>
      <c r="D2290" s="19" t="s">
        <v>1367</v>
      </c>
      <c r="E2290" s="19" t="s">
        <v>1368</v>
      </c>
      <c r="F2290">
        <v>1</v>
      </c>
    </row>
    <row r="2291" spans="1:6" x14ac:dyDescent="0.25">
      <c r="C2291" s="19"/>
      <c r="D2291" s="19" t="s">
        <v>1369</v>
      </c>
      <c r="E2291" s="19" t="s">
        <v>1370</v>
      </c>
      <c r="F2291">
        <v>1</v>
      </c>
    </row>
    <row r="2292" spans="1:6" x14ac:dyDescent="0.25">
      <c r="C2292" s="19"/>
      <c r="D2292" s="19" t="s">
        <v>1371</v>
      </c>
      <c r="E2292" s="19" t="s">
        <v>283</v>
      </c>
      <c r="F2292">
        <v>2</v>
      </c>
    </row>
    <row r="2293" spans="1:6" x14ac:dyDescent="0.25">
      <c r="C2293" s="19"/>
      <c r="D2293" s="19" t="s">
        <v>1372</v>
      </c>
      <c r="E2293" s="19" t="s">
        <v>1373</v>
      </c>
      <c r="F2293">
        <v>1</v>
      </c>
    </row>
    <row r="2294" spans="1:6" x14ac:dyDescent="0.25">
      <c r="C2294" s="19"/>
      <c r="D2294" s="19" t="s">
        <v>1374</v>
      </c>
      <c r="E2294" s="19" t="s">
        <v>1375</v>
      </c>
      <c r="F2294">
        <v>1</v>
      </c>
    </row>
    <row r="2295" spans="1:6" x14ac:dyDescent="0.25">
      <c r="C2295" s="19"/>
      <c r="D2295" s="19" t="s">
        <v>1376</v>
      </c>
      <c r="E2295" s="19" t="s">
        <v>531</v>
      </c>
      <c r="F2295">
        <v>1</v>
      </c>
    </row>
    <row r="2296" spans="1:6" x14ac:dyDescent="0.25">
      <c r="C2296" s="19"/>
      <c r="D2296" s="19" t="s">
        <v>1377</v>
      </c>
      <c r="E2296" s="19" t="s">
        <v>539</v>
      </c>
      <c r="F2296">
        <v>1</v>
      </c>
    </row>
    <row r="2297" spans="1:6" x14ac:dyDescent="0.25">
      <c r="C2297" s="19"/>
      <c r="D2297" s="19" t="s">
        <v>1378</v>
      </c>
      <c r="E2297" s="19" t="s">
        <v>541</v>
      </c>
      <c r="F2297">
        <v>1</v>
      </c>
    </row>
    <row r="2298" spans="1:6" x14ac:dyDescent="0.25">
      <c r="C2298" s="19"/>
      <c r="D2298" s="19" t="s">
        <v>1379</v>
      </c>
      <c r="E2298" s="19" t="s">
        <v>1380</v>
      </c>
      <c r="F2298">
        <v>1</v>
      </c>
    </row>
    <row r="2299" spans="1:6" x14ac:dyDescent="0.25">
      <c r="C2299" s="19"/>
      <c r="D2299" s="19" t="s">
        <v>1381</v>
      </c>
      <c r="E2299" s="19" t="s">
        <v>1382</v>
      </c>
      <c r="F2299">
        <v>1</v>
      </c>
    </row>
    <row r="2300" spans="1:6" x14ac:dyDescent="0.25">
      <c r="C2300" s="19"/>
      <c r="D2300" s="19" t="s">
        <v>1383</v>
      </c>
      <c r="E2300" s="19" t="s">
        <v>1384</v>
      </c>
      <c r="F2300">
        <v>0</v>
      </c>
    </row>
    <row r="2301" spans="1:6" x14ac:dyDescent="0.25">
      <c r="C2301" s="19"/>
      <c r="D2301" s="19" t="s">
        <v>1385</v>
      </c>
      <c r="E2301" s="19" t="s">
        <v>1386</v>
      </c>
      <c r="F2301">
        <v>1</v>
      </c>
    </row>
    <row r="2302" spans="1:6" x14ac:dyDescent="0.25">
      <c r="C2302" s="19"/>
      <c r="D2302" s="19" t="s">
        <v>1387</v>
      </c>
      <c r="E2302" s="19" t="s">
        <v>295</v>
      </c>
      <c r="F2302">
        <v>1</v>
      </c>
    </row>
    <row r="2303" spans="1:6" x14ac:dyDescent="0.25">
      <c r="C2303" s="19"/>
      <c r="D2303" s="19" t="s">
        <v>1388</v>
      </c>
      <c r="E2303" s="19" t="s">
        <v>875</v>
      </c>
      <c r="F2303">
        <v>1</v>
      </c>
    </row>
    <row r="2304" spans="1:6" x14ac:dyDescent="0.25">
      <c r="C2304" s="19"/>
      <c r="D2304" s="19" t="s">
        <v>1389</v>
      </c>
      <c r="E2304" s="19" t="s">
        <v>551</v>
      </c>
      <c r="F2304">
        <v>1</v>
      </c>
    </row>
    <row r="2305" spans="1:6" x14ac:dyDescent="0.25">
      <c r="A2305" s="3">
        <v>381</v>
      </c>
      <c r="B2305" s="15" t="s">
        <v>109</v>
      </c>
      <c r="C2305" s="19" t="s">
        <v>1457</v>
      </c>
      <c r="D2305" s="19" t="s">
        <v>1458</v>
      </c>
      <c r="E2305" s="19" t="s">
        <v>273</v>
      </c>
      <c r="F2305">
        <v>1</v>
      </c>
    </row>
    <row r="2306" spans="1:6" x14ac:dyDescent="0.25">
      <c r="C2306" s="19"/>
      <c r="D2306" s="19" t="s">
        <v>1459</v>
      </c>
      <c r="E2306" s="19" t="s">
        <v>640</v>
      </c>
      <c r="F2306">
        <v>1</v>
      </c>
    </row>
    <row r="2307" spans="1:6" x14ac:dyDescent="0.25">
      <c r="C2307" s="19"/>
      <c r="D2307" s="19" t="s">
        <v>1460</v>
      </c>
      <c r="E2307" s="19" t="s">
        <v>929</v>
      </c>
      <c r="F2307">
        <v>1</v>
      </c>
    </row>
    <row r="2308" spans="1:6" x14ac:dyDescent="0.25">
      <c r="C2308" s="19"/>
      <c r="D2308" s="19" t="s">
        <v>1461</v>
      </c>
      <c r="E2308" s="19" t="s">
        <v>1462</v>
      </c>
      <c r="F2308">
        <v>0</v>
      </c>
    </row>
    <row r="2309" spans="1:6" x14ac:dyDescent="0.25">
      <c r="C2309" s="19"/>
      <c r="D2309" s="19" t="s">
        <v>1463</v>
      </c>
      <c r="E2309" s="19" t="s">
        <v>1464</v>
      </c>
      <c r="F2309">
        <v>0</v>
      </c>
    </row>
    <row r="2310" spans="1:6" x14ac:dyDescent="0.25">
      <c r="C2310" s="19"/>
      <c r="D2310" s="19" t="s">
        <v>1465</v>
      </c>
      <c r="E2310" s="19" t="s">
        <v>347</v>
      </c>
      <c r="F2310">
        <v>0</v>
      </c>
    </row>
    <row r="2311" spans="1:6" x14ac:dyDescent="0.25">
      <c r="C2311" s="19"/>
      <c r="D2311" s="19" t="s">
        <v>1466</v>
      </c>
      <c r="E2311" s="19" t="s">
        <v>1467</v>
      </c>
      <c r="F2311">
        <v>1</v>
      </c>
    </row>
    <row r="2312" spans="1:6" x14ac:dyDescent="0.25">
      <c r="C2312" s="19"/>
      <c r="D2312" s="19" t="s">
        <v>1468</v>
      </c>
      <c r="E2312" s="19" t="s">
        <v>1469</v>
      </c>
      <c r="F2312">
        <v>0</v>
      </c>
    </row>
    <row r="2313" spans="1:6" x14ac:dyDescent="0.25">
      <c r="C2313" s="19"/>
      <c r="D2313" s="19" t="s">
        <v>1470</v>
      </c>
      <c r="E2313" s="19" t="s">
        <v>1471</v>
      </c>
      <c r="F2313">
        <v>1</v>
      </c>
    </row>
    <row r="2314" spans="1:6" x14ac:dyDescent="0.25">
      <c r="C2314" s="19"/>
      <c r="D2314" s="19" t="s">
        <v>1472</v>
      </c>
      <c r="E2314" s="19" t="s">
        <v>391</v>
      </c>
      <c r="F2314">
        <v>1</v>
      </c>
    </row>
    <row r="2315" spans="1:6" x14ac:dyDescent="0.25">
      <c r="C2315" s="19"/>
      <c r="D2315" s="19" t="s">
        <v>1473</v>
      </c>
      <c r="E2315" s="19" t="s">
        <v>956</v>
      </c>
      <c r="F2315">
        <v>1</v>
      </c>
    </row>
    <row r="2316" spans="1:6" x14ac:dyDescent="0.25">
      <c r="A2316" s="3">
        <v>389</v>
      </c>
      <c r="B2316" s="15" t="s">
        <v>110</v>
      </c>
      <c r="C2316" s="19" t="s">
        <v>271</v>
      </c>
      <c r="D2316" s="19" t="s">
        <v>272</v>
      </c>
      <c r="E2316" s="19" t="s">
        <v>273</v>
      </c>
      <c r="F2316">
        <v>1</v>
      </c>
    </row>
    <row r="2317" spans="1:6" x14ac:dyDescent="0.25">
      <c r="C2317" s="19"/>
      <c r="D2317" s="19" t="s">
        <v>274</v>
      </c>
      <c r="E2317" s="19" t="s">
        <v>275</v>
      </c>
      <c r="F2317">
        <v>1</v>
      </c>
    </row>
    <row r="2318" spans="1:6" x14ac:dyDescent="0.25">
      <c r="C2318" s="19"/>
      <c r="D2318" s="19" t="s">
        <v>276</v>
      </c>
      <c r="E2318" s="19" t="s">
        <v>277</v>
      </c>
      <c r="F2318">
        <v>1</v>
      </c>
    </row>
    <row r="2319" spans="1:6" x14ac:dyDescent="0.25">
      <c r="C2319" s="19"/>
      <c r="D2319" s="19" t="s">
        <v>278</v>
      </c>
      <c r="E2319" s="19" t="s">
        <v>279</v>
      </c>
      <c r="F2319">
        <v>1</v>
      </c>
    </row>
    <row r="2320" spans="1:6" x14ac:dyDescent="0.25">
      <c r="C2320" s="19"/>
      <c r="D2320" s="19" t="s">
        <v>280</v>
      </c>
      <c r="E2320" s="19" t="s">
        <v>281</v>
      </c>
      <c r="F2320">
        <v>1</v>
      </c>
    </row>
    <row r="2321" spans="1:6" x14ac:dyDescent="0.25">
      <c r="C2321" s="19"/>
      <c r="D2321" s="19" t="s">
        <v>282</v>
      </c>
      <c r="E2321" s="19" t="s">
        <v>283</v>
      </c>
      <c r="F2321">
        <v>1</v>
      </c>
    </row>
    <row r="2322" spans="1:6" x14ac:dyDescent="0.25">
      <c r="C2322" s="19"/>
      <c r="D2322" s="19" t="s">
        <v>284</v>
      </c>
      <c r="E2322" s="19" t="s">
        <v>285</v>
      </c>
      <c r="F2322">
        <v>1</v>
      </c>
    </row>
    <row r="2323" spans="1:6" x14ac:dyDescent="0.25">
      <c r="C2323" s="19"/>
      <c r="D2323" s="19" t="s">
        <v>286</v>
      </c>
      <c r="E2323" s="19" t="s">
        <v>287</v>
      </c>
      <c r="F2323">
        <v>1</v>
      </c>
    </row>
    <row r="2324" spans="1:6" x14ac:dyDescent="0.25">
      <c r="C2324" s="19"/>
      <c r="D2324" s="19" t="s">
        <v>288</v>
      </c>
      <c r="E2324" s="19" t="s">
        <v>289</v>
      </c>
      <c r="F2324">
        <v>1</v>
      </c>
    </row>
    <row r="2325" spans="1:6" x14ac:dyDescent="0.25">
      <c r="C2325" s="19"/>
      <c r="D2325" s="19" t="s">
        <v>290</v>
      </c>
      <c r="E2325" s="19" t="s">
        <v>291</v>
      </c>
      <c r="F2325">
        <v>0</v>
      </c>
    </row>
    <row r="2326" spans="1:6" x14ac:dyDescent="0.25">
      <c r="C2326" s="19"/>
      <c r="D2326" s="19" t="s">
        <v>292</v>
      </c>
      <c r="E2326" s="19" t="s">
        <v>293</v>
      </c>
      <c r="F2326">
        <v>1</v>
      </c>
    </row>
    <row r="2327" spans="1:6" x14ac:dyDescent="0.25">
      <c r="C2327" s="19"/>
      <c r="D2327" s="19" t="s">
        <v>294</v>
      </c>
      <c r="E2327" s="19" t="s">
        <v>295</v>
      </c>
      <c r="F2327">
        <v>1</v>
      </c>
    </row>
    <row r="2328" spans="1:6" x14ac:dyDescent="0.25">
      <c r="C2328" s="19"/>
      <c r="D2328" s="19" t="s">
        <v>296</v>
      </c>
      <c r="E2328" s="19" t="s">
        <v>297</v>
      </c>
      <c r="F2328">
        <v>1</v>
      </c>
    </row>
    <row r="2329" spans="1:6" x14ac:dyDescent="0.25">
      <c r="C2329" s="19"/>
      <c r="D2329" s="19" t="s">
        <v>298</v>
      </c>
      <c r="E2329" s="19" t="s">
        <v>299</v>
      </c>
      <c r="F2329">
        <v>1</v>
      </c>
    </row>
    <row r="2330" spans="1:6" x14ac:dyDescent="0.25">
      <c r="C2330" s="19"/>
      <c r="D2330" s="19" t="s">
        <v>300</v>
      </c>
      <c r="E2330" s="19" t="s">
        <v>301</v>
      </c>
      <c r="F2330">
        <v>1</v>
      </c>
    </row>
    <row r="2331" spans="1:6" x14ac:dyDescent="0.25">
      <c r="A2331" s="3">
        <v>390</v>
      </c>
      <c r="B2331" s="15" t="s">
        <v>110</v>
      </c>
      <c r="C2331" s="19" t="s">
        <v>271</v>
      </c>
      <c r="D2331" s="19" t="s">
        <v>272</v>
      </c>
      <c r="E2331" s="19" t="s">
        <v>273</v>
      </c>
      <c r="F2331">
        <v>1</v>
      </c>
    </row>
    <row r="2332" spans="1:6" x14ac:dyDescent="0.25">
      <c r="C2332" s="19"/>
      <c r="D2332" s="19" t="s">
        <v>274</v>
      </c>
      <c r="E2332" s="19" t="s">
        <v>275</v>
      </c>
      <c r="F2332">
        <v>0</v>
      </c>
    </row>
    <row r="2333" spans="1:6" x14ac:dyDescent="0.25">
      <c r="C2333" s="19"/>
      <c r="D2333" s="19" t="s">
        <v>276</v>
      </c>
      <c r="E2333" s="19" t="s">
        <v>277</v>
      </c>
      <c r="F2333">
        <v>1</v>
      </c>
    </row>
    <row r="2334" spans="1:6" x14ac:dyDescent="0.25">
      <c r="C2334" s="19"/>
      <c r="D2334" s="19" t="s">
        <v>278</v>
      </c>
      <c r="E2334" s="19" t="s">
        <v>279</v>
      </c>
      <c r="F2334">
        <v>0</v>
      </c>
    </row>
    <row r="2335" spans="1:6" x14ac:dyDescent="0.25">
      <c r="C2335" s="19"/>
      <c r="D2335" s="19" t="s">
        <v>280</v>
      </c>
      <c r="E2335" s="19" t="s">
        <v>281</v>
      </c>
      <c r="F2335">
        <v>1</v>
      </c>
    </row>
    <row r="2336" spans="1:6" x14ac:dyDescent="0.25">
      <c r="C2336" s="19"/>
      <c r="D2336" s="19" t="s">
        <v>282</v>
      </c>
      <c r="E2336" s="19" t="s">
        <v>283</v>
      </c>
      <c r="F2336">
        <v>0</v>
      </c>
    </row>
    <row r="2337" spans="1:6" x14ac:dyDescent="0.25">
      <c r="C2337" s="19"/>
      <c r="D2337" s="19" t="s">
        <v>284</v>
      </c>
      <c r="E2337" s="19" t="s">
        <v>285</v>
      </c>
      <c r="F2337">
        <v>0</v>
      </c>
    </row>
    <row r="2338" spans="1:6" x14ac:dyDescent="0.25">
      <c r="C2338" s="19"/>
      <c r="D2338" s="19" t="s">
        <v>286</v>
      </c>
      <c r="E2338" s="19" t="s">
        <v>287</v>
      </c>
      <c r="F2338">
        <v>0</v>
      </c>
    </row>
    <row r="2339" spans="1:6" x14ac:dyDescent="0.25">
      <c r="C2339" s="19"/>
      <c r="D2339" s="19" t="s">
        <v>288</v>
      </c>
      <c r="E2339" s="19" t="s">
        <v>289</v>
      </c>
      <c r="F2339">
        <v>0</v>
      </c>
    </row>
    <row r="2340" spans="1:6" x14ac:dyDescent="0.25">
      <c r="C2340" s="19"/>
      <c r="D2340" s="19" t="s">
        <v>290</v>
      </c>
      <c r="E2340" s="19" t="s">
        <v>291</v>
      </c>
      <c r="F2340">
        <v>0</v>
      </c>
    </row>
    <row r="2341" spans="1:6" x14ac:dyDescent="0.25">
      <c r="C2341" s="19"/>
      <c r="D2341" s="19" t="s">
        <v>292</v>
      </c>
      <c r="E2341" s="19" t="s">
        <v>293</v>
      </c>
      <c r="F2341">
        <v>1</v>
      </c>
    </row>
    <row r="2342" spans="1:6" x14ac:dyDescent="0.25">
      <c r="C2342" s="19"/>
      <c r="D2342" s="19" t="s">
        <v>294</v>
      </c>
      <c r="E2342" s="19" t="s">
        <v>295</v>
      </c>
      <c r="F2342">
        <v>1</v>
      </c>
    </row>
    <row r="2343" spans="1:6" x14ac:dyDescent="0.25">
      <c r="C2343" s="19"/>
      <c r="D2343" s="19" t="s">
        <v>296</v>
      </c>
      <c r="E2343" s="19" t="s">
        <v>297</v>
      </c>
      <c r="F2343">
        <v>1</v>
      </c>
    </row>
    <row r="2344" spans="1:6" x14ac:dyDescent="0.25">
      <c r="C2344" s="19"/>
      <c r="D2344" s="19" t="s">
        <v>298</v>
      </c>
      <c r="E2344" s="19" t="s">
        <v>299</v>
      </c>
      <c r="F2344">
        <v>0</v>
      </c>
    </row>
    <row r="2345" spans="1:6" x14ac:dyDescent="0.25">
      <c r="C2345" s="19"/>
      <c r="D2345" s="19" t="s">
        <v>300</v>
      </c>
      <c r="E2345" s="19" t="s">
        <v>301</v>
      </c>
      <c r="F2345">
        <v>1</v>
      </c>
    </row>
    <row r="2346" spans="1:6" x14ac:dyDescent="0.25">
      <c r="A2346" s="3">
        <v>392</v>
      </c>
      <c r="B2346" s="15" t="s">
        <v>111</v>
      </c>
      <c r="C2346" s="19" t="s">
        <v>1015</v>
      </c>
      <c r="D2346" s="19" t="s">
        <v>1016</v>
      </c>
      <c r="E2346" s="19" t="s">
        <v>1017</v>
      </c>
      <c r="F2346">
        <v>1</v>
      </c>
    </row>
    <row r="2347" spans="1:6" x14ac:dyDescent="0.25">
      <c r="C2347" s="19"/>
      <c r="D2347" s="19" t="s">
        <v>1018</v>
      </c>
      <c r="E2347" s="19" t="s">
        <v>795</v>
      </c>
      <c r="F2347">
        <v>1</v>
      </c>
    </row>
    <row r="2348" spans="1:6" x14ac:dyDescent="0.25">
      <c r="C2348" s="19"/>
      <c r="D2348" s="19" t="s">
        <v>1019</v>
      </c>
      <c r="E2348" s="19" t="s">
        <v>866</v>
      </c>
      <c r="F2348">
        <v>1</v>
      </c>
    </row>
    <row r="2349" spans="1:6" x14ac:dyDescent="0.25">
      <c r="C2349" s="19"/>
      <c r="D2349" s="19" t="s">
        <v>1020</v>
      </c>
      <c r="E2349" s="19" t="s">
        <v>1021</v>
      </c>
      <c r="F2349">
        <v>1</v>
      </c>
    </row>
    <row r="2350" spans="1:6" x14ac:dyDescent="0.25">
      <c r="C2350" s="19"/>
      <c r="D2350" s="19" t="s">
        <v>1022</v>
      </c>
      <c r="E2350" s="19" t="s">
        <v>1023</v>
      </c>
      <c r="F2350">
        <v>1</v>
      </c>
    </row>
    <row r="2351" spans="1:6" x14ac:dyDescent="0.25">
      <c r="C2351" s="19"/>
      <c r="D2351" s="19" t="s">
        <v>1024</v>
      </c>
      <c r="E2351" s="19" t="s">
        <v>889</v>
      </c>
      <c r="F2351">
        <v>1</v>
      </c>
    </row>
    <row r="2352" spans="1:6" x14ac:dyDescent="0.25">
      <c r="C2352" s="19"/>
      <c r="D2352" s="19" t="s">
        <v>1025</v>
      </c>
      <c r="E2352" s="19" t="s">
        <v>1026</v>
      </c>
      <c r="F2352">
        <v>1</v>
      </c>
    </row>
    <row r="2353" spans="1:6" x14ac:dyDescent="0.25">
      <c r="C2353" s="19"/>
      <c r="D2353" s="19" t="s">
        <v>1027</v>
      </c>
      <c r="E2353" s="19" t="s">
        <v>1028</v>
      </c>
      <c r="F2353">
        <v>1</v>
      </c>
    </row>
    <row r="2354" spans="1:6" x14ac:dyDescent="0.25">
      <c r="C2354" s="19"/>
      <c r="D2354" s="19" t="s">
        <v>1029</v>
      </c>
      <c r="E2354" s="19" t="s">
        <v>295</v>
      </c>
      <c r="F2354">
        <v>1</v>
      </c>
    </row>
    <row r="2355" spans="1:6" x14ac:dyDescent="0.25">
      <c r="A2355" s="3">
        <v>395</v>
      </c>
      <c r="B2355" s="15" t="s">
        <v>112</v>
      </c>
      <c r="C2355" s="19" t="s">
        <v>581</v>
      </c>
      <c r="D2355" s="19" t="s">
        <v>582</v>
      </c>
      <c r="E2355" s="19" t="s">
        <v>583</v>
      </c>
      <c r="F2355">
        <v>1</v>
      </c>
    </row>
    <row r="2356" spans="1:6" x14ac:dyDescent="0.25">
      <c r="C2356" s="19"/>
      <c r="D2356" s="19" t="s">
        <v>584</v>
      </c>
      <c r="E2356" s="19" t="s">
        <v>306</v>
      </c>
      <c r="F2356">
        <v>1</v>
      </c>
    </row>
    <row r="2357" spans="1:6" x14ac:dyDescent="0.25">
      <c r="C2357" s="19"/>
      <c r="D2357" s="19" t="s">
        <v>585</v>
      </c>
      <c r="E2357" s="19" t="s">
        <v>586</v>
      </c>
      <c r="F2357">
        <v>1</v>
      </c>
    </row>
    <row r="2358" spans="1:6" x14ac:dyDescent="0.25">
      <c r="C2358" s="19"/>
      <c r="D2358" s="19" t="s">
        <v>587</v>
      </c>
      <c r="E2358" s="19" t="s">
        <v>588</v>
      </c>
      <c r="F2358">
        <v>1</v>
      </c>
    </row>
    <row r="2359" spans="1:6" x14ac:dyDescent="0.25">
      <c r="C2359" s="19"/>
      <c r="D2359" s="19" t="s">
        <v>589</v>
      </c>
      <c r="E2359" s="19" t="s">
        <v>312</v>
      </c>
      <c r="F2359">
        <v>1</v>
      </c>
    </row>
    <row r="2360" spans="1:6" x14ac:dyDescent="0.25">
      <c r="C2360" s="19"/>
      <c r="D2360" s="19" t="s">
        <v>590</v>
      </c>
      <c r="E2360" s="19" t="s">
        <v>493</v>
      </c>
      <c r="F2360">
        <v>0</v>
      </c>
    </row>
    <row r="2361" spans="1:6" x14ac:dyDescent="0.25">
      <c r="C2361" s="19"/>
      <c r="D2361" s="19" t="s">
        <v>591</v>
      </c>
      <c r="E2361" s="19" t="s">
        <v>314</v>
      </c>
      <c r="F2361">
        <v>1</v>
      </c>
    </row>
    <row r="2362" spans="1:6" x14ac:dyDescent="0.25">
      <c r="C2362" s="19"/>
      <c r="D2362" s="19" t="s">
        <v>592</v>
      </c>
      <c r="E2362" s="19" t="s">
        <v>275</v>
      </c>
      <c r="F2362">
        <v>1</v>
      </c>
    </row>
    <row r="2363" spans="1:6" x14ac:dyDescent="0.25">
      <c r="C2363" s="19"/>
      <c r="D2363" s="19" t="s">
        <v>593</v>
      </c>
      <c r="E2363" s="19" t="s">
        <v>594</v>
      </c>
      <c r="F2363">
        <v>0</v>
      </c>
    </row>
    <row r="2364" spans="1:6" x14ac:dyDescent="0.25">
      <c r="C2364" s="19"/>
      <c r="D2364" s="19" t="s">
        <v>595</v>
      </c>
      <c r="E2364" s="19" t="s">
        <v>349</v>
      </c>
      <c r="F2364">
        <v>1</v>
      </c>
    </row>
    <row r="2365" spans="1:6" x14ac:dyDescent="0.25">
      <c r="C2365" s="19"/>
      <c r="D2365" s="19" t="s">
        <v>596</v>
      </c>
      <c r="E2365" s="19" t="s">
        <v>597</v>
      </c>
      <c r="F2365">
        <v>1</v>
      </c>
    </row>
    <row r="2366" spans="1:6" x14ac:dyDescent="0.25">
      <c r="C2366" s="19"/>
      <c r="D2366" s="19" t="s">
        <v>598</v>
      </c>
      <c r="E2366" s="19" t="s">
        <v>599</v>
      </c>
      <c r="F2366">
        <v>0</v>
      </c>
    </row>
    <row r="2367" spans="1:6" x14ac:dyDescent="0.25">
      <c r="C2367" s="19"/>
      <c r="D2367" s="19" t="s">
        <v>600</v>
      </c>
      <c r="E2367" s="19" t="s">
        <v>601</v>
      </c>
      <c r="F2367">
        <v>1</v>
      </c>
    </row>
    <row r="2368" spans="1:6" x14ac:dyDescent="0.25">
      <c r="C2368" s="19"/>
      <c r="D2368" s="19" t="s">
        <v>602</v>
      </c>
      <c r="E2368" s="19" t="s">
        <v>603</v>
      </c>
      <c r="F2368">
        <v>1</v>
      </c>
    </row>
    <row r="2369" spans="1:6" x14ac:dyDescent="0.25">
      <c r="C2369" s="19"/>
      <c r="D2369" s="19" t="s">
        <v>604</v>
      </c>
      <c r="E2369" s="19" t="s">
        <v>605</v>
      </c>
      <c r="F2369">
        <v>0</v>
      </c>
    </row>
    <row r="2370" spans="1:6" x14ac:dyDescent="0.25">
      <c r="C2370" s="19"/>
      <c r="D2370" s="19" t="s">
        <v>606</v>
      </c>
      <c r="E2370" s="19" t="s">
        <v>503</v>
      </c>
      <c r="F2370">
        <v>1</v>
      </c>
    </row>
    <row r="2371" spans="1:6" x14ac:dyDescent="0.25">
      <c r="C2371" s="19"/>
      <c r="D2371" s="19" t="s">
        <v>607</v>
      </c>
      <c r="E2371" s="19" t="s">
        <v>505</v>
      </c>
      <c r="F2371">
        <v>1</v>
      </c>
    </row>
    <row r="2372" spans="1:6" x14ac:dyDescent="0.25">
      <c r="C2372" s="19"/>
      <c r="D2372" s="19" t="s">
        <v>608</v>
      </c>
      <c r="E2372" s="19" t="s">
        <v>609</v>
      </c>
      <c r="F2372">
        <v>1</v>
      </c>
    </row>
    <row r="2373" spans="1:6" x14ac:dyDescent="0.25">
      <c r="A2373" s="3">
        <v>399</v>
      </c>
      <c r="B2373" s="15" t="s">
        <v>113</v>
      </c>
      <c r="C2373" s="19" t="s">
        <v>1790</v>
      </c>
      <c r="D2373" s="19" t="s">
        <v>1791</v>
      </c>
      <c r="E2373" s="19" t="s">
        <v>273</v>
      </c>
      <c r="F2373">
        <v>1</v>
      </c>
    </row>
    <row r="2374" spans="1:6" x14ac:dyDescent="0.25">
      <c r="C2374" s="19"/>
      <c r="D2374" s="19" t="s">
        <v>1792</v>
      </c>
      <c r="E2374" s="19" t="s">
        <v>312</v>
      </c>
      <c r="F2374">
        <v>1</v>
      </c>
    </row>
    <row r="2375" spans="1:6" x14ac:dyDescent="0.25">
      <c r="C2375" s="19"/>
      <c r="D2375" s="19" t="s">
        <v>1793</v>
      </c>
      <c r="E2375" s="19" t="s">
        <v>801</v>
      </c>
      <c r="F2375">
        <v>1</v>
      </c>
    </row>
    <row r="2376" spans="1:6" x14ac:dyDescent="0.25">
      <c r="C2376" s="19"/>
      <c r="D2376" s="19" t="s">
        <v>1794</v>
      </c>
      <c r="E2376" s="19" t="s">
        <v>786</v>
      </c>
      <c r="F2376">
        <v>1</v>
      </c>
    </row>
    <row r="2377" spans="1:6" x14ac:dyDescent="0.25">
      <c r="C2377" s="19"/>
      <c r="D2377" s="19" t="s">
        <v>1795</v>
      </c>
      <c r="E2377" s="19" t="s">
        <v>784</v>
      </c>
      <c r="F2377">
        <v>0</v>
      </c>
    </row>
    <row r="2378" spans="1:6" x14ac:dyDescent="0.25">
      <c r="C2378" s="19"/>
      <c r="D2378" s="19" t="s">
        <v>1796</v>
      </c>
      <c r="E2378" s="19" t="s">
        <v>1205</v>
      </c>
      <c r="F2378">
        <v>1</v>
      </c>
    </row>
    <row r="2379" spans="1:6" x14ac:dyDescent="0.25">
      <c r="C2379" s="19"/>
      <c r="D2379" s="19" t="s">
        <v>1797</v>
      </c>
      <c r="E2379" s="19" t="s">
        <v>1207</v>
      </c>
      <c r="F2379">
        <v>1</v>
      </c>
    </row>
    <row r="2380" spans="1:6" x14ac:dyDescent="0.25">
      <c r="C2380" s="19"/>
      <c r="D2380" s="19" t="s">
        <v>1798</v>
      </c>
      <c r="E2380" s="19" t="s">
        <v>1209</v>
      </c>
      <c r="F2380">
        <v>0</v>
      </c>
    </row>
    <row r="2381" spans="1:6" x14ac:dyDescent="0.25">
      <c r="C2381" s="19"/>
      <c r="D2381" s="19" t="s">
        <v>1799</v>
      </c>
      <c r="E2381" s="19" t="s">
        <v>789</v>
      </c>
      <c r="F2381">
        <v>0</v>
      </c>
    </row>
    <row r="2382" spans="1:6" x14ac:dyDescent="0.25">
      <c r="C2382" s="19"/>
      <c r="D2382" s="19" t="s">
        <v>1800</v>
      </c>
      <c r="E2382" s="19" t="s">
        <v>1214</v>
      </c>
      <c r="F2382">
        <v>1</v>
      </c>
    </row>
    <row r="2383" spans="1:6" x14ac:dyDescent="0.25">
      <c r="C2383" s="19"/>
      <c r="D2383" s="19" t="s">
        <v>1801</v>
      </c>
      <c r="E2383" s="19" t="s">
        <v>1784</v>
      </c>
      <c r="F2383">
        <v>0</v>
      </c>
    </row>
    <row r="2384" spans="1:6" x14ac:dyDescent="0.25">
      <c r="C2384" s="19"/>
      <c r="D2384" s="19" t="s">
        <v>1802</v>
      </c>
      <c r="E2384" s="19" t="s">
        <v>791</v>
      </c>
      <c r="F2384">
        <v>0</v>
      </c>
    </row>
    <row r="2385" spans="1:6" x14ac:dyDescent="0.25">
      <c r="C2385" s="19"/>
      <c r="D2385" s="19" t="s">
        <v>1803</v>
      </c>
      <c r="E2385" s="19" t="s">
        <v>795</v>
      </c>
      <c r="F2385">
        <v>1</v>
      </c>
    </row>
    <row r="2386" spans="1:6" x14ac:dyDescent="0.25">
      <c r="C2386" s="19"/>
      <c r="D2386" s="19" t="s">
        <v>1804</v>
      </c>
      <c r="E2386" s="19" t="s">
        <v>372</v>
      </c>
      <c r="F2386">
        <v>1</v>
      </c>
    </row>
    <row r="2387" spans="1:6" x14ac:dyDescent="0.25">
      <c r="C2387" s="19"/>
      <c r="D2387" s="19" t="s">
        <v>1805</v>
      </c>
      <c r="E2387" s="19" t="s">
        <v>1806</v>
      </c>
      <c r="F2387">
        <v>0</v>
      </c>
    </row>
    <row r="2388" spans="1:6" x14ac:dyDescent="0.25">
      <c r="C2388" s="19"/>
      <c r="D2388" s="19" t="s">
        <v>1807</v>
      </c>
      <c r="E2388" s="19" t="s">
        <v>1808</v>
      </c>
      <c r="F2388">
        <v>1</v>
      </c>
    </row>
    <row r="2389" spans="1:6" x14ac:dyDescent="0.25">
      <c r="A2389" s="3">
        <v>406</v>
      </c>
      <c r="B2389" s="15" t="s">
        <v>114</v>
      </c>
      <c r="C2389" s="19" t="s">
        <v>506</v>
      </c>
      <c r="D2389" s="19" t="s">
        <v>507</v>
      </c>
      <c r="E2389" s="19" t="s">
        <v>508</v>
      </c>
      <c r="F2389">
        <v>1</v>
      </c>
    </row>
    <row r="2390" spans="1:6" x14ac:dyDescent="0.25">
      <c r="C2390" s="19"/>
      <c r="D2390" s="19" t="s">
        <v>509</v>
      </c>
      <c r="E2390" s="19" t="s">
        <v>510</v>
      </c>
      <c r="F2390">
        <v>1</v>
      </c>
    </row>
    <row r="2391" spans="1:6" x14ac:dyDescent="0.25">
      <c r="C2391" s="19"/>
      <c r="D2391" s="19" t="s">
        <v>511</v>
      </c>
      <c r="E2391" s="19" t="s">
        <v>512</v>
      </c>
      <c r="F2391">
        <v>0</v>
      </c>
    </row>
    <row r="2392" spans="1:6" x14ac:dyDescent="0.25">
      <c r="C2392" s="19"/>
      <c r="D2392" s="19" t="s">
        <v>513</v>
      </c>
      <c r="E2392" s="19" t="s">
        <v>514</v>
      </c>
      <c r="F2392">
        <v>0</v>
      </c>
    </row>
    <row r="2393" spans="1:6" x14ac:dyDescent="0.25">
      <c r="C2393" s="19"/>
      <c r="D2393" s="19" t="s">
        <v>515</v>
      </c>
      <c r="E2393" s="19" t="s">
        <v>516</v>
      </c>
      <c r="F2393">
        <v>0</v>
      </c>
    </row>
    <row r="2394" spans="1:6" x14ac:dyDescent="0.25">
      <c r="C2394" s="19"/>
      <c r="D2394" s="19" t="s">
        <v>517</v>
      </c>
      <c r="E2394" s="19" t="s">
        <v>518</v>
      </c>
      <c r="F2394">
        <v>0</v>
      </c>
    </row>
    <row r="2395" spans="1:6" x14ac:dyDescent="0.25">
      <c r="C2395" s="19"/>
      <c r="D2395" s="19" t="s">
        <v>519</v>
      </c>
      <c r="E2395" s="19" t="s">
        <v>520</v>
      </c>
      <c r="F2395">
        <v>0</v>
      </c>
    </row>
    <row r="2396" spans="1:6" x14ac:dyDescent="0.25">
      <c r="C2396" s="19"/>
      <c r="D2396" s="19" t="s">
        <v>521</v>
      </c>
      <c r="E2396" s="19" t="s">
        <v>522</v>
      </c>
      <c r="F2396">
        <v>0</v>
      </c>
    </row>
    <row r="2397" spans="1:6" x14ac:dyDescent="0.25">
      <c r="C2397" s="19"/>
      <c r="D2397" s="19" t="s">
        <v>523</v>
      </c>
      <c r="E2397" s="19" t="s">
        <v>524</v>
      </c>
      <c r="F2397">
        <v>0</v>
      </c>
    </row>
    <row r="2398" spans="1:6" x14ac:dyDescent="0.25">
      <c r="C2398" s="19"/>
      <c r="D2398" s="19" t="s">
        <v>525</v>
      </c>
      <c r="E2398" s="19" t="s">
        <v>526</v>
      </c>
      <c r="F2398">
        <v>0</v>
      </c>
    </row>
    <row r="2399" spans="1:6" x14ac:dyDescent="0.25">
      <c r="C2399" s="19"/>
      <c r="D2399" s="19" t="s">
        <v>527</v>
      </c>
      <c r="E2399" s="19" t="s">
        <v>283</v>
      </c>
      <c r="F2399">
        <v>0</v>
      </c>
    </row>
    <row r="2400" spans="1:6" x14ac:dyDescent="0.25">
      <c r="C2400" s="19"/>
      <c r="D2400" s="19" t="s">
        <v>528</v>
      </c>
      <c r="E2400" s="19" t="s">
        <v>529</v>
      </c>
      <c r="F2400">
        <v>0</v>
      </c>
    </row>
    <row r="2401" spans="1:6" x14ac:dyDescent="0.25">
      <c r="C2401" s="19"/>
      <c r="D2401" s="19" t="s">
        <v>530</v>
      </c>
      <c r="E2401" s="19" t="s">
        <v>531</v>
      </c>
      <c r="F2401">
        <v>0</v>
      </c>
    </row>
    <row r="2402" spans="1:6" x14ac:dyDescent="0.25">
      <c r="C2402" s="19"/>
      <c r="D2402" s="19" t="s">
        <v>532</v>
      </c>
      <c r="E2402" s="19" t="s">
        <v>533</v>
      </c>
      <c r="F2402">
        <v>1</v>
      </c>
    </row>
    <row r="2403" spans="1:6" x14ac:dyDescent="0.25">
      <c r="C2403" s="19"/>
      <c r="D2403" s="19" t="s">
        <v>534</v>
      </c>
      <c r="E2403" s="19" t="s">
        <v>535</v>
      </c>
      <c r="F2403">
        <v>1</v>
      </c>
    </row>
    <row r="2404" spans="1:6" x14ac:dyDescent="0.25">
      <c r="C2404" s="19"/>
      <c r="D2404" s="19" t="s">
        <v>536</v>
      </c>
      <c r="E2404" s="19" t="s">
        <v>537</v>
      </c>
      <c r="F2404">
        <v>1</v>
      </c>
    </row>
    <row r="2405" spans="1:6" x14ac:dyDescent="0.25">
      <c r="C2405" s="19"/>
      <c r="D2405" s="19" t="s">
        <v>538</v>
      </c>
      <c r="E2405" s="19" t="s">
        <v>539</v>
      </c>
      <c r="F2405">
        <v>0</v>
      </c>
    </row>
    <row r="2406" spans="1:6" x14ac:dyDescent="0.25">
      <c r="C2406" s="19"/>
      <c r="D2406" s="19" t="s">
        <v>540</v>
      </c>
      <c r="E2406" s="19" t="s">
        <v>541</v>
      </c>
      <c r="F2406">
        <v>0</v>
      </c>
    </row>
    <row r="2407" spans="1:6" x14ac:dyDescent="0.25">
      <c r="C2407" s="19"/>
      <c r="D2407" s="19" t="s">
        <v>542</v>
      </c>
      <c r="E2407" s="19" t="s">
        <v>543</v>
      </c>
      <c r="F2407">
        <v>1</v>
      </c>
    </row>
    <row r="2408" spans="1:6" x14ac:dyDescent="0.25">
      <c r="C2408" s="19"/>
      <c r="D2408" s="19" t="s">
        <v>544</v>
      </c>
      <c r="E2408" s="19" t="s">
        <v>545</v>
      </c>
      <c r="F2408">
        <v>1</v>
      </c>
    </row>
    <row r="2409" spans="1:6" x14ac:dyDescent="0.25">
      <c r="C2409" s="19"/>
      <c r="D2409" s="19" t="s">
        <v>546</v>
      </c>
      <c r="E2409" s="19" t="s">
        <v>547</v>
      </c>
      <c r="F2409">
        <v>1</v>
      </c>
    </row>
    <row r="2410" spans="1:6" x14ac:dyDescent="0.25">
      <c r="C2410" s="19"/>
      <c r="D2410" s="19" t="s">
        <v>548</v>
      </c>
      <c r="E2410" s="19" t="s">
        <v>549</v>
      </c>
      <c r="F2410">
        <v>1</v>
      </c>
    </row>
    <row r="2411" spans="1:6" x14ac:dyDescent="0.25">
      <c r="C2411" s="19"/>
      <c r="D2411" s="19" t="s">
        <v>550</v>
      </c>
      <c r="E2411" s="19" t="s">
        <v>551</v>
      </c>
      <c r="F2411">
        <v>1</v>
      </c>
    </row>
    <row r="2412" spans="1:6" x14ac:dyDescent="0.25">
      <c r="A2412" s="3">
        <v>412</v>
      </c>
      <c r="B2412" s="15" t="s">
        <v>115</v>
      </c>
      <c r="C2412" s="19" t="s">
        <v>1366</v>
      </c>
      <c r="D2412" s="19" t="s">
        <v>1367</v>
      </c>
      <c r="E2412" s="19" t="s">
        <v>1368</v>
      </c>
      <c r="F2412">
        <v>0</v>
      </c>
    </row>
    <row r="2413" spans="1:6" x14ac:dyDescent="0.25">
      <c r="C2413" s="19"/>
      <c r="D2413" s="19" t="s">
        <v>1369</v>
      </c>
      <c r="E2413" s="19" t="s">
        <v>1370</v>
      </c>
      <c r="F2413">
        <v>1</v>
      </c>
    </row>
    <row r="2414" spans="1:6" x14ac:dyDescent="0.25">
      <c r="C2414" s="19"/>
      <c r="D2414" s="19" t="s">
        <v>1371</v>
      </c>
      <c r="E2414" s="19" t="s">
        <v>283</v>
      </c>
      <c r="F2414">
        <v>1</v>
      </c>
    </row>
    <row r="2415" spans="1:6" x14ac:dyDescent="0.25">
      <c r="C2415" s="19"/>
      <c r="D2415" s="19" t="s">
        <v>1372</v>
      </c>
      <c r="E2415" s="19" t="s">
        <v>1373</v>
      </c>
      <c r="F2415">
        <v>1</v>
      </c>
    </row>
    <row r="2416" spans="1:6" x14ac:dyDescent="0.25">
      <c r="C2416" s="19"/>
      <c r="D2416" s="19" t="s">
        <v>1374</v>
      </c>
      <c r="E2416" s="19" t="s">
        <v>1375</v>
      </c>
      <c r="F2416">
        <v>1</v>
      </c>
    </row>
    <row r="2417" spans="1:6" x14ac:dyDescent="0.25">
      <c r="C2417" s="19"/>
      <c r="D2417" s="19" t="s">
        <v>1376</v>
      </c>
      <c r="E2417" s="19" t="s">
        <v>531</v>
      </c>
      <c r="F2417">
        <v>1</v>
      </c>
    </row>
    <row r="2418" spans="1:6" x14ac:dyDescent="0.25">
      <c r="C2418" s="19"/>
      <c r="D2418" s="19" t="s">
        <v>1377</v>
      </c>
      <c r="E2418" s="19" t="s">
        <v>539</v>
      </c>
      <c r="F2418">
        <v>0</v>
      </c>
    </row>
    <row r="2419" spans="1:6" x14ac:dyDescent="0.25">
      <c r="C2419" s="19"/>
      <c r="D2419" s="19" t="s">
        <v>1378</v>
      </c>
      <c r="E2419" s="19" t="s">
        <v>541</v>
      </c>
      <c r="F2419">
        <v>1</v>
      </c>
    </row>
    <row r="2420" spans="1:6" x14ac:dyDescent="0.25">
      <c r="C2420" s="19"/>
      <c r="D2420" s="19" t="s">
        <v>1379</v>
      </c>
      <c r="E2420" s="19" t="s">
        <v>1380</v>
      </c>
      <c r="F2420">
        <v>1</v>
      </c>
    </row>
    <row r="2421" spans="1:6" x14ac:dyDescent="0.25">
      <c r="C2421" s="19"/>
      <c r="D2421" s="19" t="s">
        <v>1381</v>
      </c>
      <c r="E2421" s="19" t="s">
        <v>1382</v>
      </c>
      <c r="F2421">
        <v>1</v>
      </c>
    </row>
    <row r="2422" spans="1:6" x14ac:dyDescent="0.25">
      <c r="C2422" s="19"/>
      <c r="D2422" s="19" t="s">
        <v>1383</v>
      </c>
      <c r="E2422" s="19" t="s">
        <v>1384</v>
      </c>
      <c r="F2422">
        <v>0</v>
      </c>
    </row>
    <row r="2423" spans="1:6" x14ac:dyDescent="0.25">
      <c r="C2423" s="19"/>
      <c r="D2423" s="19" t="s">
        <v>1385</v>
      </c>
      <c r="E2423" s="19" t="s">
        <v>1386</v>
      </c>
      <c r="F2423">
        <v>1</v>
      </c>
    </row>
    <row r="2424" spans="1:6" x14ac:dyDescent="0.25">
      <c r="C2424" s="19"/>
      <c r="D2424" s="19" t="s">
        <v>1387</v>
      </c>
      <c r="E2424" s="19" t="s">
        <v>295</v>
      </c>
      <c r="F2424">
        <v>1</v>
      </c>
    </row>
    <row r="2425" spans="1:6" x14ac:dyDescent="0.25">
      <c r="C2425" s="19"/>
      <c r="D2425" s="19" t="s">
        <v>1388</v>
      </c>
      <c r="E2425" s="19" t="s">
        <v>875</v>
      </c>
      <c r="F2425">
        <v>0</v>
      </c>
    </row>
    <row r="2426" spans="1:6" x14ac:dyDescent="0.25">
      <c r="C2426" s="19"/>
      <c r="D2426" s="19" t="s">
        <v>1389</v>
      </c>
      <c r="E2426" s="19" t="s">
        <v>551</v>
      </c>
      <c r="F2426">
        <v>1</v>
      </c>
    </row>
    <row r="2427" spans="1:6" x14ac:dyDescent="0.25">
      <c r="A2427" s="3">
        <v>419</v>
      </c>
      <c r="B2427" s="15" t="s">
        <v>117</v>
      </c>
      <c r="C2427" s="19" t="s">
        <v>581</v>
      </c>
      <c r="D2427" s="19" t="s">
        <v>582</v>
      </c>
      <c r="E2427" s="19" t="s">
        <v>583</v>
      </c>
      <c r="F2427">
        <v>1</v>
      </c>
    </row>
    <row r="2428" spans="1:6" x14ac:dyDescent="0.25">
      <c r="C2428" s="19"/>
      <c r="D2428" s="19" t="s">
        <v>584</v>
      </c>
      <c r="E2428" s="19" t="s">
        <v>306</v>
      </c>
      <c r="F2428">
        <v>1</v>
      </c>
    </row>
    <row r="2429" spans="1:6" x14ac:dyDescent="0.25">
      <c r="C2429" s="19"/>
      <c r="D2429" s="19" t="s">
        <v>585</v>
      </c>
      <c r="E2429" s="19" t="s">
        <v>586</v>
      </c>
      <c r="F2429">
        <v>1</v>
      </c>
    </row>
    <row r="2430" spans="1:6" x14ac:dyDescent="0.25">
      <c r="C2430" s="19"/>
      <c r="D2430" s="19" t="s">
        <v>587</v>
      </c>
      <c r="E2430" s="19" t="s">
        <v>588</v>
      </c>
      <c r="F2430">
        <v>1</v>
      </c>
    </row>
    <row r="2431" spans="1:6" x14ac:dyDescent="0.25">
      <c r="C2431" s="19"/>
      <c r="D2431" s="19" t="s">
        <v>589</v>
      </c>
      <c r="E2431" s="19" t="s">
        <v>312</v>
      </c>
      <c r="F2431">
        <v>1</v>
      </c>
    </row>
    <row r="2432" spans="1:6" x14ac:dyDescent="0.25">
      <c r="C2432" s="19"/>
      <c r="D2432" s="19" t="s">
        <v>590</v>
      </c>
      <c r="E2432" s="19" t="s">
        <v>493</v>
      </c>
      <c r="F2432">
        <v>1</v>
      </c>
    </row>
    <row r="2433" spans="1:6" x14ac:dyDescent="0.25">
      <c r="C2433" s="19"/>
      <c r="D2433" s="19" t="s">
        <v>591</v>
      </c>
      <c r="E2433" s="19" t="s">
        <v>314</v>
      </c>
      <c r="F2433">
        <v>1</v>
      </c>
    </row>
    <row r="2434" spans="1:6" x14ac:dyDescent="0.25">
      <c r="C2434" s="19"/>
      <c r="D2434" s="19" t="s">
        <v>592</v>
      </c>
      <c r="E2434" s="19" t="s">
        <v>275</v>
      </c>
      <c r="F2434">
        <v>1</v>
      </c>
    </row>
    <row r="2435" spans="1:6" x14ac:dyDescent="0.25">
      <c r="C2435" s="19"/>
      <c r="D2435" s="19" t="s">
        <v>593</v>
      </c>
      <c r="E2435" s="19" t="s">
        <v>594</v>
      </c>
      <c r="F2435">
        <v>1</v>
      </c>
    </row>
    <row r="2436" spans="1:6" x14ac:dyDescent="0.25">
      <c r="C2436" s="19"/>
      <c r="D2436" s="19" t="s">
        <v>595</v>
      </c>
      <c r="E2436" s="19" t="s">
        <v>349</v>
      </c>
      <c r="F2436">
        <v>1</v>
      </c>
    </row>
    <row r="2437" spans="1:6" x14ac:dyDescent="0.25">
      <c r="C2437" s="19"/>
      <c r="D2437" s="19" t="s">
        <v>596</v>
      </c>
      <c r="E2437" s="19" t="s">
        <v>597</v>
      </c>
      <c r="F2437">
        <v>1</v>
      </c>
    </row>
    <row r="2438" spans="1:6" x14ac:dyDescent="0.25">
      <c r="C2438" s="19"/>
      <c r="D2438" s="19" t="s">
        <v>598</v>
      </c>
      <c r="E2438" s="19" t="s">
        <v>599</v>
      </c>
      <c r="F2438">
        <v>1</v>
      </c>
    </row>
    <row r="2439" spans="1:6" x14ac:dyDescent="0.25">
      <c r="C2439" s="19"/>
      <c r="D2439" s="19" t="s">
        <v>600</v>
      </c>
      <c r="E2439" s="19" t="s">
        <v>601</v>
      </c>
      <c r="F2439">
        <v>1</v>
      </c>
    </row>
    <row r="2440" spans="1:6" x14ac:dyDescent="0.25">
      <c r="C2440" s="19"/>
      <c r="D2440" s="19" t="s">
        <v>602</v>
      </c>
      <c r="E2440" s="19" t="s">
        <v>603</v>
      </c>
      <c r="F2440">
        <v>1</v>
      </c>
    </row>
    <row r="2441" spans="1:6" x14ac:dyDescent="0.25">
      <c r="C2441" s="19"/>
      <c r="D2441" s="19" t="s">
        <v>604</v>
      </c>
      <c r="E2441" s="19" t="s">
        <v>605</v>
      </c>
      <c r="F2441">
        <v>0</v>
      </c>
    </row>
    <row r="2442" spans="1:6" x14ac:dyDescent="0.25">
      <c r="C2442" s="19"/>
      <c r="D2442" s="19" t="s">
        <v>606</v>
      </c>
      <c r="E2442" s="19" t="s">
        <v>503</v>
      </c>
      <c r="F2442">
        <v>1</v>
      </c>
    </row>
    <row r="2443" spans="1:6" x14ac:dyDescent="0.25">
      <c r="C2443" s="19"/>
      <c r="D2443" s="19" t="s">
        <v>607</v>
      </c>
      <c r="E2443" s="19" t="s">
        <v>505</v>
      </c>
      <c r="F2443">
        <v>1</v>
      </c>
    </row>
    <row r="2444" spans="1:6" x14ac:dyDescent="0.25">
      <c r="C2444" s="19"/>
      <c r="D2444" s="19" t="s">
        <v>608</v>
      </c>
      <c r="E2444" s="19" t="s">
        <v>609</v>
      </c>
      <c r="F2444">
        <v>1</v>
      </c>
    </row>
    <row r="2445" spans="1:6" x14ac:dyDescent="0.25">
      <c r="A2445" s="3">
        <v>421</v>
      </c>
      <c r="B2445" s="15" t="s">
        <v>118</v>
      </c>
      <c r="C2445" s="19" t="s">
        <v>256</v>
      </c>
      <c r="D2445" s="19" t="s">
        <v>257</v>
      </c>
      <c r="E2445" s="19" t="s">
        <v>258</v>
      </c>
      <c r="F2445">
        <v>1</v>
      </c>
    </row>
    <row r="2446" spans="1:6" x14ac:dyDescent="0.25">
      <c r="C2446" s="19"/>
      <c r="D2446" s="19" t="s">
        <v>259</v>
      </c>
      <c r="E2446" s="19" t="s">
        <v>260</v>
      </c>
      <c r="F2446">
        <v>0</v>
      </c>
    </row>
    <row r="2447" spans="1:6" x14ac:dyDescent="0.25">
      <c r="C2447" s="19"/>
      <c r="D2447" s="19" t="s">
        <v>261</v>
      </c>
      <c r="E2447" s="19" t="s">
        <v>262</v>
      </c>
      <c r="F2447">
        <v>1</v>
      </c>
    </row>
    <row r="2448" spans="1:6" x14ac:dyDescent="0.25">
      <c r="C2448" s="19"/>
      <c r="D2448" s="19" t="s">
        <v>263</v>
      </c>
      <c r="E2448" s="19" t="s">
        <v>264</v>
      </c>
      <c r="F2448">
        <v>1</v>
      </c>
    </row>
    <row r="2449" spans="1:6" x14ac:dyDescent="0.25">
      <c r="C2449" s="19"/>
      <c r="D2449" s="19" t="s">
        <v>265</v>
      </c>
      <c r="E2449" s="19" t="s">
        <v>266</v>
      </c>
      <c r="F2449">
        <v>1</v>
      </c>
    </row>
    <row r="2450" spans="1:6" x14ac:dyDescent="0.25">
      <c r="C2450" s="19"/>
      <c r="D2450" s="19" t="s">
        <v>267</v>
      </c>
      <c r="E2450" s="19" t="s">
        <v>268</v>
      </c>
      <c r="F2450">
        <v>1</v>
      </c>
    </row>
    <row r="2451" spans="1:6" x14ac:dyDescent="0.25">
      <c r="C2451" s="19"/>
      <c r="D2451" s="19" t="s">
        <v>269</v>
      </c>
      <c r="E2451" s="19" t="s">
        <v>270</v>
      </c>
      <c r="F2451">
        <v>1</v>
      </c>
    </row>
    <row r="2452" spans="1:6" x14ac:dyDescent="0.25">
      <c r="A2452" s="3">
        <v>428</v>
      </c>
      <c r="B2452" s="15" t="s">
        <v>119</v>
      </c>
      <c r="C2452" s="19" t="s">
        <v>1751</v>
      </c>
      <c r="D2452" s="19" t="s">
        <v>1752</v>
      </c>
      <c r="E2452" s="19" t="s">
        <v>304</v>
      </c>
      <c r="F2452">
        <v>1</v>
      </c>
    </row>
    <row r="2453" spans="1:6" x14ac:dyDescent="0.25">
      <c r="C2453" s="19"/>
      <c r="D2453" s="19" t="s">
        <v>1753</v>
      </c>
      <c r="E2453" s="19" t="s">
        <v>306</v>
      </c>
      <c r="F2453">
        <v>1</v>
      </c>
    </row>
    <row r="2454" spans="1:6" x14ac:dyDescent="0.25">
      <c r="C2454" s="19"/>
      <c r="D2454" s="19" t="s">
        <v>1754</v>
      </c>
      <c r="E2454" s="19" t="s">
        <v>1755</v>
      </c>
      <c r="F2454">
        <v>1</v>
      </c>
    </row>
    <row r="2455" spans="1:6" x14ac:dyDescent="0.25">
      <c r="C2455" s="19"/>
      <c r="D2455" s="19" t="s">
        <v>1756</v>
      </c>
      <c r="E2455" s="19" t="s">
        <v>343</v>
      </c>
      <c r="F2455">
        <v>1</v>
      </c>
    </row>
    <row r="2456" spans="1:6" x14ac:dyDescent="0.25">
      <c r="C2456" s="19"/>
      <c r="D2456" s="19" t="s">
        <v>1757</v>
      </c>
      <c r="E2456" s="19" t="s">
        <v>349</v>
      </c>
      <c r="F2456">
        <v>1</v>
      </c>
    </row>
    <row r="2457" spans="1:6" x14ac:dyDescent="0.25">
      <c r="C2457" s="19"/>
      <c r="D2457" s="19" t="s">
        <v>1758</v>
      </c>
      <c r="E2457" s="19" t="s">
        <v>793</v>
      </c>
      <c r="F2457">
        <v>1</v>
      </c>
    </row>
    <row r="2458" spans="1:6" x14ac:dyDescent="0.25">
      <c r="C2458" s="19"/>
      <c r="D2458" s="19" t="s">
        <v>1759</v>
      </c>
      <c r="E2458" s="19" t="s">
        <v>1760</v>
      </c>
      <c r="F2458">
        <v>1</v>
      </c>
    </row>
    <row r="2459" spans="1:6" x14ac:dyDescent="0.25">
      <c r="C2459" s="19"/>
      <c r="D2459" s="19" t="s">
        <v>1761</v>
      </c>
      <c r="E2459" s="19" t="s">
        <v>359</v>
      </c>
      <c r="F2459">
        <v>1</v>
      </c>
    </row>
    <row r="2460" spans="1:6" x14ac:dyDescent="0.25">
      <c r="C2460" s="19"/>
      <c r="D2460" s="19" t="s">
        <v>1762</v>
      </c>
      <c r="E2460" s="19" t="s">
        <v>361</v>
      </c>
      <c r="F2460">
        <v>1</v>
      </c>
    </row>
    <row r="2461" spans="1:6" x14ac:dyDescent="0.25">
      <c r="C2461" s="19"/>
      <c r="D2461" s="19" t="s">
        <v>1763</v>
      </c>
      <c r="E2461" s="19" t="s">
        <v>1303</v>
      </c>
      <c r="F2461">
        <v>1</v>
      </c>
    </row>
    <row r="2462" spans="1:6" x14ac:dyDescent="0.25">
      <c r="A2462" s="3">
        <v>430</v>
      </c>
      <c r="B2462" s="15" t="s">
        <v>120</v>
      </c>
      <c r="C2462" s="19" t="s">
        <v>1685</v>
      </c>
      <c r="D2462" s="19" t="s">
        <v>1686</v>
      </c>
      <c r="E2462" s="19" t="s">
        <v>1687</v>
      </c>
      <c r="F2462">
        <v>1</v>
      </c>
    </row>
    <row r="2463" spans="1:6" x14ac:dyDescent="0.25">
      <c r="C2463" s="19"/>
      <c r="D2463" s="19" t="s">
        <v>1688</v>
      </c>
      <c r="E2463" s="19" t="s">
        <v>1689</v>
      </c>
      <c r="F2463">
        <v>1</v>
      </c>
    </row>
    <row r="2464" spans="1:6" x14ac:dyDescent="0.25">
      <c r="C2464" s="19"/>
      <c r="D2464" s="19" t="s">
        <v>1690</v>
      </c>
      <c r="E2464" s="19" t="s">
        <v>1691</v>
      </c>
      <c r="F2464">
        <v>1</v>
      </c>
    </row>
    <row r="2465" spans="1:6" x14ac:dyDescent="0.25">
      <c r="C2465" s="19"/>
      <c r="D2465" s="19" t="s">
        <v>1692</v>
      </c>
      <c r="E2465" s="19" t="s">
        <v>1693</v>
      </c>
      <c r="F2465">
        <v>1</v>
      </c>
    </row>
    <row r="2466" spans="1:6" x14ac:dyDescent="0.25">
      <c r="C2466" s="19"/>
      <c r="D2466" s="19" t="s">
        <v>1694</v>
      </c>
      <c r="E2466" s="19" t="s">
        <v>1695</v>
      </c>
      <c r="F2466">
        <v>1</v>
      </c>
    </row>
    <row r="2467" spans="1:6" x14ac:dyDescent="0.25">
      <c r="C2467" s="19"/>
      <c r="D2467" s="19" t="s">
        <v>1696</v>
      </c>
      <c r="E2467" s="19" t="s">
        <v>1697</v>
      </c>
      <c r="F2467">
        <v>1</v>
      </c>
    </row>
    <row r="2468" spans="1:6" x14ac:dyDescent="0.25">
      <c r="C2468" s="19"/>
      <c r="D2468" s="19" t="s">
        <v>1698</v>
      </c>
      <c r="E2468" s="19" t="s">
        <v>1699</v>
      </c>
      <c r="F2468">
        <v>1</v>
      </c>
    </row>
    <row r="2469" spans="1:6" x14ac:dyDescent="0.25">
      <c r="C2469" s="19"/>
      <c r="D2469" s="19" t="s">
        <v>1700</v>
      </c>
      <c r="E2469" s="19" t="s">
        <v>1701</v>
      </c>
      <c r="F2469">
        <v>1</v>
      </c>
    </row>
    <row r="2470" spans="1:6" x14ac:dyDescent="0.25">
      <c r="C2470" s="19"/>
      <c r="D2470" s="19" t="s">
        <v>1702</v>
      </c>
      <c r="E2470" s="19" t="s">
        <v>314</v>
      </c>
      <c r="F2470">
        <v>0</v>
      </c>
    </row>
    <row r="2471" spans="1:6" x14ac:dyDescent="0.25">
      <c r="C2471" s="19"/>
      <c r="D2471" s="19" t="s">
        <v>1703</v>
      </c>
      <c r="E2471" s="19" t="s">
        <v>1704</v>
      </c>
      <c r="F2471">
        <v>1</v>
      </c>
    </row>
    <row r="2472" spans="1:6" x14ac:dyDescent="0.25">
      <c r="C2472" s="19"/>
      <c r="D2472" s="19" t="s">
        <v>1705</v>
      </c>
      <c r="E2472" s="19" t="s">
        <v>1706</v>
      </c>
      <c r="F2472">
        <v>0</v>
      </c>
    </row>
    <row r="2473" spans="1:6" x14ac:dyDescent="0.25">
      <c r="C2473" s="19"/>
      <c r="D2473" s="19" t="s">
        <v>1707</v>
      </c>
      <c r="E2473" s="19" t="s">
        <v>1708</v>
      </c>
      <c r="F2473">
        <v>0</v>
      </c>
    </row>
    <row r="2474" spans="1:6" x14ac:dyDescent="0.25">
      <c r="C2474" s="19"/>
      <c r="D2474" s="19" t="s">
        <v>1709</v>
      </c>
      <c r="E2474" s="19" t="s">
        <v>1710</v>
      </c>
      <c r="F2474">
        <v>0</v>
      </c>
    </row>
    <row r="2475" spans="1:6" x14ac:dyDescent="0.25">
      <c r="C2475" s="19"/>
      <c r="D2475" s="19" t="s">
        <v>1711</v>
      </c>
      <c r="E2475" s="19" t="s">
        <v>1124</v>
      </c>
      <c r="F2475">
        <v>0</v>
      </c>
    </row>
    <row r="2476" spans="1:6" x14ac:dyDescent="0.25">
      <c r="A2476" s="3">
        <v>436</v>
      </c>
      <c r="B2476" s="15" t="s">
        <v>121</v>
      </c>
      <c r="C2476" s="19" t="s">
        <v>506</v>
      </c>
      <c r="D2476" s="19" t="s">
        <v>507</v>
      </c>
      <c r="E2476" s="19" t="s">
        <v>508</v>
      </c>
      <c r="F2476">
        <v>0</v>
      </c>
    </row>
    <row r="2477" spans="1:6" x14ac:dyDescent="0.25">
      <c r="A2477" s="3"/>
      <c r="C2477" s="19"/>
      <c r="D2477" s="19" t="s">
        <v>509</v>
      </c>
      <c r="E2477" s="19" t="s">
        <v>510</v>
      </c>
      <c r="F2477">
        <v>0</v>
      </c>
    </row>
    <row r="2478" spans="1:6" x14ac:dyDescent="0.25">
      <c r="A2478" s="3"/>
      <c r="C2478" s="19"/>
      <c r="D2478" s="19" t="s">
        <v>511</v>
      </c>
      <c r="E2478" s="19" t="s">
        <v>512</v>
      </c>
      <c r="F2478">
        <v>0</v>
      </c>
    </row>
    <row r="2479" spans="1:6" x14ac:dyDescent="0.25">
      <c r="A2479" s="3"/>
      <c r="C2479" s="19"/>
      <c r="D2479" s="19" t="s">
        <v>513</v>
      </c>
      <c r="E2479" s="19" t="s">
        <v>514</v>
      </c>
      <c r="F2479">
        <v>1</v>
      </c>
    </row>
    <row r="2480" spans="1:6" x14ac:dyDescent="0.25">
      <c r="A2480" s="3"/>
      <c r="C2480" s="19"/>
      <c r="D2480" s="19" t="s">
        <v>515</v>
      </c>
      <c r="E2480" s="19" t="s">
        <v>516</v>
      </c>
      <c r="F2480">
        <v>1</v>
      </c>
    </row>
    <row r="2481" spans="1:6" x14ac:dyDescent="0.25">
      <c r="A2481" s="3"/>
      <c r="C2481" s="19"/>
      <c r="D2481" s="19" t="s">
        <v>517</v>
      </c>
      <c r="E2481" s="19" t="s">
        <v>518</v>
      </c>
      <c r="F2481">
        <v>0</v>
      </c>
    </row>
    <row r="2482" spans="1:6" x14ac:dyDescent="0.25">
      <c r="A2482" s="3"/>
      <c r="C2482" s="19"/>
      <c r="D2482" s="19" t="s">
        <v>519</v>
      </c>
      <c r="E2482" s="19" t="s">
        <v>520</v>
      </c>
      <c r="F2482">
        <v>0</v>
      </c>
    </row>
    <row r="2483" spans="1:6" x14ac:dyDescent="0.25">
      <c r="A2483" s="3"/>
      <c r="C2483" s="19"/>
      <c r="D2483" s="19" t="s">
        <v>521</v>
      </c>
      <c r="E2483" s="19" t="s">
        <v>522</v>
      </c>
      <c r="F2483">
        <v>0</v>
      </c>
    </row>
    <row r="2484" spans="1:6" x14ac:dyDescent="0.25">
      <c r="A2484" s="3"/>
      <c r="C2484" s="19"/>
      <c r="D2484" s="19" t="s">
        <v>523</v>
      </c>
      <c r="E2484" s="19" t="s">
        <v>524</v>
      </c>
      <c r="F2484">
        <v>0</v>
      </c>
    </row>
    <row r="2485" spans="1:6" x14ac:dyDescent="0.25">
      <c r="A2485" s="3"/>
      <c r="C2485" s="19"/>
      <c r="D2485" s="19" t="s">
        <v>525</v>
      </c>
      <c r="E2485" s="19" t="s">
        <v>526</v>
      </c>
      <c r="F2485">
        <v>0</v>
      </c>
    </row>
    <row r="2486" spans="1:6" x14ac:dyDescent="0.25">
      <c r="A2486" s="3"/>
      <c r="C2486" s="19"/>
      <c r="D2486" s="19" t="s">
        <v>527</v>
      </c>
      <c r="E2486" s="19" t="s">
        <v>283</v>
      </c>
      <c r="F2486">
        <v>1</v>
      </c>
    </row>
    <row r="2487" spans="1:6" x14ac:dyDescent="0.25">
      <c r="A2487" s="3"/>
      <c r="C2487" s="19"/>
      <c r="D2487" s="19" t="s">
        <v>528</v>
      </c>
      <c r="E2487" s="19" t="s">
        <v>529</v>
      </c>
      <c r="F2487">
        <v>0</v>
      </c>
    </row>
    <row r="2488" spans="1:6" x14ac:dyDescent="0.25">
      <c r="A2488" s="3"/>
      <c r="C2488" s="19"/>
      <c r="D2488" s="19" t="s">
        <v>530</v>
      </c>
      <c r="E2488" s="19" t="s">
        <v>531</v>
      </c>
      <c r="F2488">
        <v>1</v>
      </c>
    </row>
    <row r="2489" spans="1:6" x14ac:dyDescent="0.25">
      <c r="A2489" s="3"/>
      <c r="C2489" s="19"/>
      <c r="D2489" s="19" t="s">
        <v>532</v>
      </c>
      <c r="E2489" s="19" t="s">
        <v>533</v>
      </c>
      <c r="F2489">
        <v>1</v>
      </c>
    </row>
    <row r="2490" spans="1:6" x14ac:dyDescent="0.25">
      <c r="A2490" s="3"/>
      <c r="C2490" s="19"/>
      <c r="D2490" s="19" t="s">
        <v>534</v>
      </c>
      <c r="E2490" s="19" t="s">
        <v>535</v>
      </c>
      <c r="F2490">
        <v>0</v>
      </c>
    </row>
    <row r="2491" spans="1:6" x14ac:dyDescent="0.25">
      <c r="A2491" s="3"/>
      <c r="C2491" s="19"/>
      <c r="D2491" s="19" t="s">
        <v>536</v>
      </c>
      <c r="E2491" s="19" t="s">
        <v>537</v>
      </c>
      <c r="F2491">
        <v>0</v>
      </c>
    </row>
    <row r="2492" spans="1:6" x14ac:dyDescent="0.25">
      <c r="A2492" s="3"/>
      <c r="C2492" s="19"/>
      <c r="D2492" s="19" t="s">
        <v>538</v>
      </c>
      <c r="E2492" s="19" t="s">
        <v>539</v>
      </c>
      <c r="F2492">
        <v>0</v>
      </c>
    </row>
    <row r="2493" spans="1:6" x14ac:dyDescent="0.25">
      <c r="A2493" s="3"/>
      <c r="C2493" s="19"/>
      <c r="D2493" s="19" t="s">
        <v>540</v>
      </c>
      <c r="E2493" s="19" t="s">
        <v>541</v>
      </c>
      <c r="F2493">
        <v>0</v>
      </c>
    </row>
    <row r="2494" spans="1:6" x14ac:dyDescent="0.25">
      <c r="A2494" s="3"/>
      <c r="C2494" s="19"/>
      <c r="D2494" s="19" t="s">
        <v>542</v>
      </c>
      <c r="E2494" s="19" t="s">
        <v>543</v>
      </c>
      <c r="F2494">
        <v>1</v>
      </c>
    </row>
    <row r="2495" spans="1:6" x14ac:dyDescent="0.25">
      <c r="A2495" s="3"/>
      <c r="C2495" s="19"/>
      <c r="D2495" s="19" t="s">
        <v>544</v>
      </c>
      <c r="E2495" s="19" t="s">
        <v>545</v>
      </c>
      <c r="F2495">
        <v>1</v>
      </c>
    </row>
    <row r="2496" spans="1:6" x14ac:dyDescent="0.25">
      <c r="A2496" s="3"/>
      <c r="C2496" s="19"/>
      <c r="D2496" s="19" t="s">
        <v>546</v>
      </c>
      <c r="E2496" s="19" t="s">
        <v>547</v>
      </c>
      <c r="F2496">
        <v>0</v>
      </c>
    </row>
    <row r="2497" spans="1:6" x14ac:dyDescent="0.25">
      <c r="A2497" s="3"/>
      <c r="C2497" s="19"/>
      <c r="D2497" s="19" t="s">
        <v>548</v>
      </c>
      <c r="E2497" s="19" t="s">
        <v>549</v>
      </c>
      <c r="F2497">
        <v>0</v>
      </c>
    </row>
    <row r="2498" spans="1:6" x14ac:dyDescent="0.25">
      <c r="A2498" s="3"/>
      <c r="C2498" s="19"/>
      <c r="D2498" s="19" t="s">
        <v>550</v>
      </c>
      <c r="E2498" s="19" t="s">
        <v>551</v>
      </c>
      <c r="F2498">
        <v>0</v>
      </c>
    </row>
    <row r="2499" spans="1:6" x14ac:dyDescent="0.25">
      <c r="A2499" s="3"/>
      <c r="C2499" s="19" t="s">
        <v>1366</v>
      </c>
      <c r="D2499" s="19" t="s">
        <v>1367</v>
      </c>
      <c r="E2499" s="19" t="s">
        <v>1368</v>
      </c>
      <c r="F2499">
        <v>0</v>
      </c>
    </row>
    <row r="2500" spans="1:6" x14ac:dyDescent="0.25">
      <c r="A2500" s="3"/>
      <c r="C2500" s="19"/>
      <c r="D2500" s="19" t="s">
        <v>1369</v>
      </c>
      <c r="E2500" s="19" t="s">
        <v>1370</v>
      </c>
      <c r="F2500">
        <v>0</v>
      </c>
    </row>
    <row r="2501" spans="1:6" x14ac:dyDescent="0.25">
      <c r="A2501" s="3"/>
      <c r="C2501" s="19"/>
      <c r="D2501" s="19" t="s">
        <v>1371</v>
      </c>
      <c r="E2501" s="19" t="s">
        <v>283</v>
      </c>
      <c r="F2501">
        <v>1</v>
      </c>
    </row>
    <row r="2502" spans="1:6" x14ac:dyDescent="0.25">
      <c r="A2502" s="3"/>
      <c r="C2502" s="19"/>
      <c r="D2502" s="19" t="s">
        <v>1372</v>
      </c>
      <c r="E2502" s="19" t="s">
        <v>1373</v>
      </c>
      <c r="F2502">
        <v>0</v>
      </c>
    </row>
    <row r="2503" spans="1:6" x14ac:dyDescent="0.25">
      <c r="A2503" s="3"/>
      <c r="C2503" s="19"/>
      <c r="D2503" s="19" t="s">
        <v>1374</v>
      </c>
      <c r="E2503" s="19" t="s">
        <v>1375</v>
      </c>
      <c r="F2503">
        <v>0</v>
      </c>
    </row>
    <row r="2504" spans="1:6" x14ac:dyDescent="0.25">
      <c r="A2504" s="3"/>
      <c r="C2504" s="19"/>
      <c r="D2504" s="19" t="s">
        <v>1376</v>
      </c>
      <c r="E2504" s="19" t="s">
        <v>531</v>
      </c>
      <c r="F2504">
        <v>1</v>
      </c>
    </row>
    <row r="2505" spans="1:6" x14ac:dyDescent="0.25">
      <c r="A2505" s="3"/>
      <c r="C2505" s="19"/>
      <c r="D2505" s="19" t="s">
        <v>1377</v>
      </c>
      <c r="E2505" s="19" t="s">
        <v>539</v>
      </c>
      <c r="F2505">
        <v>0</v>
      </c>
    </row>
    <row r="2506" spans="1:6" x14ac:dyDescent="0.25">
      <c r="A2506" s="3"/>
      <c r="C2506" s="19"/>
      <c r="D2506" s="19" t="s">
        <v>1378</v>
      </c>
      <c r="E2506" s="19" t="s">
        <v>541</v>
      </c>
      <c r="F2506">
        <v>0</v>
      </c>
    </row>
    <row r="2507" spans="1:6" x14ac:dyDescent="0.25">
      <c r="A2507" s="3"/>
      <c r="C2507" s="19"/>
      <c r="D2507" s="19" t="s">
        <v>1379</v>
      </c>
      <c r="E2507" s="19" t="s">
        <v>1380</v>
      </c>
      <c r="F2507">
        <v>1</v>
      </c>
    </row>
    <row r="2508" spans="1:6" x14ac:dyDescent="0.25">
      <c r="A2508" s="3"/>
      <c r="C2508" s="19"/>
      <c r="D2508" s="19" t="s">
        <v>1381</v>
      </c>
      <c r="E2508" s="19" t="s">
        <v>1382</v>
      </c>
      <c r="F2508">
        <v>1</v>
      </c>
    </row>
    <row r="2509" spans="1:6" x14ac:dyDescent="0.25">
      <c r="A2509" s="3"/>
      <c r="C2509" s="19"/>
      <c r="D2509" s="19" t="s">
        <v>1383</v>
      </c>
      <c r="E2509" s="19" t="s">
        <v>1384</v>
      </c>
      <c r="F2509">
        <v>0</v>
      </c>
    </row>
    <row r="2510" spans="1:6" x14ac:dyDescent="0.25">
      <c r="A2510" s="3"/>
      <c r="C2510" s="19"/>
      <c r="D2510" s="19" t="s">
        <v>1385</v>
      </c>
      <c r="E2510" s="19" t="s">
        <v>1386</v>
      </c>
      <c r="F2510">
        <v>1</v>
      </c>
    </row>
    <row r="2511" spans="1:6" x14ac:dyDescent="0.25">
      <c r="A2511" s="3"/>
      <c r="C2511" s="19"/>
      <c r="D2511" s="19" t="s">
        <v>1387</v>
      </c>
      <c r="E2511" s="19" t="s">
        <v>295</v>
      </c>
      <c r="F2511">
        <v>1</v>
      </c>
    </row>
    <row r="2512" spans="1:6" x14ac:dyDescent="0.25">
      <c r="A2512" s="3"/>
      <c r="C2512" s="19"/>
      <c r="D2512" s="19" t="s">
        <v>1388</v>
      </c>
      <c r="E2512" s="19" t="s">
        <v>875</v>
      </c>
      <c r="F2512">
        <v>0</v>
      </c>
    </row>
    <row r="2513" spans="1:8" x14ac:dyDescent="0.25">
      <c r="A2513" s="3"/>
      <c r="C2513" s="19"/>
      <c r="D2513" s="19" t="s">
        <v>1389</v>
      </c>
      <c r="E2513" s="19" t="s">
        <v>551</v>
      </c>
      <c r="F2513">
        <v>0</v>
      </c>
    </row>
    <row r="2514" spans="1:8" x14ac:dyDescent="0.25">
      <c r="A2514" s="3"/>
      <c r="C2514" s="19" t="s">
        <v>1141</v>
      </c>
      <c r="D2514" s="19" t="s">
        <v>1142</v>
      </c>
      <c r="E2514" s="19" t="s">
        <v>312</v>
      </c>
      <c r="F2514">
        <v>1</v>
      </c>
      <c r="H2514">
        <v>1</v>
      </c>
    </row>
    <row r="2515" spans="1:8" x14ac:dyDescent="0.25">
      <c r="A2515" s="3"/>
      <c r="C2515" s="19"/>
      <c r="D2515" s="19" t="s">
        <v>1143</v>
      </c>
      <c r="E2515" s="19" t="s">
        <v>314</v>
      </c>
      <c r="F2515">
        <v>1</v>
      </c>
      <c r="H2515">
        <v>1</v>
      </c>
    </row>
    <row r="2516" spans="1:8" x14ac:dyDescent="0.25">
      <c r="A2516" s="3"/>
      <c r="C2516" s="19"/>
      <c r="D2516" s="19" t="s">
        <v>1144</v>
      </c>
      <c r="E2516" s="19" t="s">
        <v>1145</v>
      </c>
      <c r="F2516">
        <v>0</v>
      </c>
    </row>
    <row r="2517" spans="1:8" x14ac:dyDescent="0.25">
      <c r="A2517" s="3"/>
      <c r="C2517" s="19"/>
      <c r="D2517" s="19" t="s">
        <v>1146</v>
      </c>
      <c r="E2517" s="19" t="s">
        <v>1147</v>
      </c>
      <c r="F2517">
        <v>0</v>
      </c>
    </row>
    <row r="2518" spans="1:8" x14ac:dyDescent="0.25">
      <c r="A2518" s="3"/>
      <c r="C2518" s="19"/>
      <c r="D2518" s="19" t="s">
        <v>1148</v>
      </c>
      <c r="E2518" s="19" t="s">
        <v>713</v>
      </c>
      <c r="F2518">
        <v>0</v>
      </c>
    </row>
    <row r="2519" spans="1:8" x14ac:dyDescent="0.25">
      <c r="A2519" s="3"/>
      <c r="C2519" s="19"/>
      <c r="D2519" s="19" t="s">
        <v>1149</v>
      </c>
      <c r="E2519" s="19" t="s">
        <v>1150</v>
      </c>
      <c r="F2519">
        <v>0</v>
      </c>
    </row>
    <row r="2520" spans="1:8" x14ac:dyDescent="0.25">
      <c r="A2520" s="3"/>
      <c r="C2520" s="19"/>
      <c r="D2520" s="19" t="s">
        <v>1151</v>
      </c>
      <c r="E2520" s="19" t="s">
        <v>380</v>
      </c>
      <c r="F2520">
        <v>0</v>
      </c>
    </row>
    <row r="2521" spans="1:8" x14ac:dyDescent="0.25">
      <c r="A2521" s="3"/>
      <c r="C2521" s="19"/>
      <c r="D2521" s="19" t="s">
        <v>1152</v>
      </c>
      <c r="E2521" s="19" t="s">
        <v>381</v>
      </c>
      <c r="F2521">
        <v>1</v>
      </c>
    </row>
    <row r="2522" spans="1:8" x14ac:dyDescent="0.25">
      <c r="A2522" s="3"/>
      <c r="C2522" s="19"/>
      <c r="D2522" s="19" t="s">
        <v>1153</v>
      </c>
      <c r="E2522" s="19" t="s">
        <v>1154</v>
      </c>
      <c r="F2522">
        <v>0</v>
      </c>
    </row>
    <row r="2523" spans="1:8" x14ac:dyDescent="0.25">
      <c r="A2523" s="3">
        <v>438</v>
      </c>
      <c r="B2523" s="15" t="s">
        <v>122</v>
      </c>
      <c r="C2523" s="19" t="s">
        <v>859</v>
      </c>
      <c r="D2523" s="19" t="s">
        <v>860</v>
      </c>
      <c r="E2523" s="19" t="s">
        <v>273</v>
      </c>
      <c r="F2523">
        <v>1</v>
      </c>
    </row>
    <row r="2524" spans="1:8" x14ac:dyDescent="0.25">
      <c r="C2524" s="19"/>
      <c r="D2524" s="19" t="s">
        <v>861</v>
      </c>
      <c r="E2524" s="19" t="s">
        <v>275</v>
      </c>
      <c r="F2524">
        <v>1</v>
      </c>
    </row>
    <row r="2525" spans="1:8" x14ac:dyDescent="0.25">
      <c r="C2525" s="19"/>
      <c r="D2525" s="19" t="s">
        <v>862</v>
      </c>
      <c r="E2525" s="19" t="s">
        <v>277</v>
      </c>
      <c r="F2525">
        <v>1</v>
      </c>
    </row>
    <row r="2526" spans="1:8" x14ac:dyDescent="0.25">
      <c r="C2526" s="19"/>
      <c r="D2526" s="19" t="s">
        <v>863</v>
      </c>
      <c r="E2526" s="19" t="s">
        <v>283</v>
      </c>
      <c r="F2526">
        <v>1</v>
      </c>
    </row>
    <row r="2527" spans="1:8" x14ac:dyDescent="0.25">
      <c r="C2527" s="19"/>
      <c r="D2527" s="19" t="s">
        <v>864</v>
      </c>
      <c r="E2527" s="19" t="s">
        <v>289</v>
      </c>
      <c r="F2527">
        <v>1</v>
      </c>
    </row>
    <row r="2528" spans="1:8" ht="23.25" x14ac:dyDescent="0.35">
      <c r="C2528" s="19"/>
      <c r="D2528" s="19" t="s">
        <v>865</v>
      </c>
      <c r="E2528" s="19" t="s">
        <v>866</v>
      </c>
      <c r="F2528">
        <v>0</v>
      </c>
      <c r="H2528" s="1"/>
    </row>
    <row r="2529" spans="1:8" ht="23.25" x14ac:dyDescent="0.35">
      <c r="C2529" s="19"/>
      <c r="D2529" s="19" t="s">
        <v>867</v>
      </c>
      <c r="E2529" s="19" t="s">
        <v>868</v>
      </c>
      <c r="F2529">
        <v>0</v>
      </c>
      <c r="H2529" s="1"/>
    </row>
    <row r="2530" spans="1:8" ht="23.25" x14ac:dyDescent="0.35">
      <c r="C2530" s="19"/>
      <c r="D2530" s="19" t="s">
        <v>869</v>
      </c>
      <c r="E2530" s="19" t="s">
        <v>870</v>
      </c>
      <c r="F2530">
        <v>1</v>
      </c>
      <c r="H2530" s="1"/>
    </row>
    <row r="2531" spans="1:8" ht="23.25" x14ac:dyDescent="0.35">
      <c r="C2531" s="19"/>
      <c r="D2531" s="19" t="s">
        <v>871</v>
      </c>
      <c r="E2531" s="19" t="s">
        <v>295</v>
      </c>
      <c r="F2531">
        <v>1</v>
      </c>
      <c r="H2531" s="1"/>
    </row>
    <row r="2532" spans="1:8" ht="23.25" x14ac:dyDescent="0.35">
      <c r="C2532" s="19"/>
      <c r="D2532" s="19" t="s">
        <v>872</v>
      </c>
      <c r="E2532" s="19" t="s">
        <v>873</v>
      </c>
      <c r="F2532">
        <v>1</v>
      </c>
      <c r="H2532" s="1"/>
    </row>
    <row r="2533" spans="1:8" ht="23.25" x14ac:dyDescent="0.35">
      <c r="C2533" s="19"/>
      <c r="D2533" s="19" t="s">
        <v>874</v>
      </c>
      <c r="E2533" s="19" t="s">
        <v>875</v>
      </c>
      <c r="F2533">
        <v>1</v>
      </c>
      <c r="H2533" s="1"/>
    </row>
    <row r="2534" spans="1:8" ht="23.25" x14ac:dyDescent="0.35">
      <c r="C2534" s="19"/>
      <c r="D2534" s="19" t="s">
        <v>876</v>
      </c>
      <c r="E2534" s="19" t="s">
        <v>372</v>
      </c>
      <c r="F2534">
        <v>1</v>
      </c>
      <c r="H2534" s="1"/>
    </row>
    <row r="2535" spans="1:8" ht="23.25" x14ac:dyDescent="0.35">
      <c r="A2535" s="3">
        <v>439</v>
      </c>
      <c r="B2535" s="15" t="s">
        <v>122</v>
      </c>
      <c r="C2535" s="19" t="s">
        <v>859</v>
      </c>
      <c r="D2535" s="19" t="s">
        <v>860</v>
      </c>
      <c r="E2535" s="19" t="s">
        <v>273</v>
      </c>
      <c r="F2535">
        <v>1</v>
      </c>
      <c r="H2535" s="1"/>
    </row>
    <row r="2536" spans="1:8" x14ac:dyDescent="0.25">
      <c r="C2536" s="19"/>
      <c r="D2536" s="19" t="s">
        <v>861</v>
      </c>
      <c r="E2536" s="19" t="s">
        <v>275</v>
      </c>
      <c r="F2536">
        <v>1</v>
      </c>
    </row>
    <row r="2537" spans="1:8" x14ac:dyDescent="0.25">
      <c r="C2537" s="19"/>
      <c r="D2537" s="19" t="s">
        <v>862</v>
      </c>
      <c r="E2537" s="19" t="s">
        <v>277</v>
      </c>
      <c r="F2537">
        <v>1</v>
      </c>
    </row>
    <row r="2538" spans="1:8" x14ac:dyDescent="0.25">
      <c r="C2538" s="19"/>
      <c r="D2538" s="19" t="s">
        <v>863</v>
      </c>
      <c r="E2538" s="19" t="s">
        <v>283</v>
      </c>
      <c r="F2538">
        <v>1</v>
      </c>
    </row>
    <row r="2539" spans="1:8" x14ac:dyDescent="0.25">
      <c r="C2539" s="19"/>
      <c r="D2539" s="19" t="s">
        <v>864</v>
      </c>
      <c r="E2539" s="19" t="s">
        <v>289</v>
      </c>
      <c r="F2539">
        <v>1</v>
      </c>
    </row>
    <row r="2540" spans="1:8" x14ac:dyDescent="0.25">
      <c r="C2540" s="19"/>
      <c r="D2540" s="19" t="s">
        <v>865</v>
      </c>
      <c r="E2540" s="19" t="s">
        <v>866</v>
      </c>
      <c r="F2540">
        <v>0</v>
      </c>
    </row>
    <row r="2541" spans="1:8" x14ac:dyDescent="0.25">
      <c r="C2541" s="19"/>
      <c r="D2541" s="19" t="s">
        <v>867</v>
      </c>
      <c r="E2541" s="19" t="s">
        <v>868</v>
      </c>
      <c r="F2541">
        <v>0</v>
      </c>
    </row>
    <row r="2542" spans="1:8" x14ac:dyDescent="0.25">
      <c r="C2542" s="19"/>
      <c r="D2542" s="19" t="s">
        <v>869</v>
      </c>
      <c r="E2542" s="19" t="s">
        <v>870</v>
      </c>
      <c r="F2542">
        <v>0</v>
      </c>
    </row>
    <row r="2543" spans="1:8" x14ac:dyDescent="0.25">
      <c r="C2543" s="19"/>
      <c r="D2543" s="19" t="s">
        <v>871</v>
      </c>
      <c r="E2543" s="19" t="s">
        <v>295</v>
      </c>
      <c r="F2543">
        <v>0</v>
      </c>
    </row>
    <row r="2544" spans="1:8" x14ac:dyDescent="0.25">
      <c r="C2544" s="19"/>
      <c r="D2544" s="19" t="s">
        <v>872</v>
      </c>
      <c r="E2544" s="19" t="s">
        <v>873</v>
      </c>
      <c r="F2544">
        <v>1</v>
      </c>
    </row>
    <row r="2545" spans="1:7" x14ac:dyDescent="0.25">
      <c r="C2545" s="19"/>
      <c r="D2545" s="19" t="s">
        <v>874</v>
      </c>
      <c r="E2545" s="19" t="s">
        <v>875</v>
      </c>
      <c r="F2545">
        <v>1</v>
      </c>
    </row>
    <row r="2546" spans="1:7" x14ac:dyDescent="0.25">
      <c r="C2546" s="19"/>
      <c r="D2546" s="19" t="s">
        <v>876</v>
      </c>
      <c r="E2546" s="19" t="s">
        <v>372</v>
      </c>
      <c r="F2546">
        <v>1</v>
      </c>
    </row>
    <row r="2547" spans="1:7" x14ac:dyDescent="0.25">
      <c r="A2547" s="3">
        <v>443</v>
      </c>
      <c r="B2547" s="15" t="s">
        <v>123</v>
      </c>
      <c r="C2547" s="19" t="s">
        <v>422</v>
      </c>
      <c r="D2547" s="19" t="s">
        <v>423</v>
      </c>
      <c r="E2547" s="19" t="s">
        <v>424</v>
      </c>
      <c r="F2547">
        <v>0</v>
      </c>
      <c r="G2547" s="5" t="s">
        <v>1973</v>
      </c>
    </row>
    <row r="2548" spans="1:7" x14ac:dyDescent="0.25">
      <c r="C2548" s="19"/>
      <c r="D2548" s="19" t="s">
        <v>425</v>
      </c>
      <c r="E2548" s="19" t="s">
        <v>426</v>
      </c>
      <c r="F2548">
        <v>1</v>
      </c>
    </row>
    <row r="2549" spans="1:7" x14ac:dyDescent="0.25">
      <c r="C2549" s="19"/>
      <c r="D2549" s="19" t="s">
        <v>427</v>
      </c>
      <c r="E2549" s="19" t="s">
        <v>428</v>
      </c>
      <c r="F2549">
        <v>1</v>
      </c>
    </row>
    <row r="2550" spans="1:7" x14ac:dyDescent="0.25">
      <c r="C2550" s="19"/>
      <c r="D2550" s="19" t="s">
        <v>429</v>
      </c>
      <c r="E2550" s="19" t="s">
        <v>430</v>
      </c>
      <c r="F2550">
        <v>1</v>
      </c>
    </row>
    <row r="2551" spans="1:7" x14ac:dyDescent="0.25">
      <c r="C2551" s="19"/>
      <c r="D2551" s="19" t="s">
        <v>431</v>
      </c>
      <c r="E2551" s="19" t="s">
        <v>432</v>
      </c>
      <c r="F2551">
        <v>1</v>
      </c>
    </row>
    <row r="2552" spans="1:7" x14ac:dyDescent="0.25">
      <c r="C2552" s="19"/>
      <c r="D2552" s="19" t="s">
        <v>433</v>
      </c>
      <c r="E2552" s="19" t="s">
        <v>434</v>
      </c>
      <c r="F2552">
        <v>1</v>
      </c>
    </row>
    <row r="2553" spans="1:7" x14ac:dyDescent="0.25">
      <c r="C2553" s="19"/>
      <c r="D2553" s="19" t="s">
        <v>435</v>
      </c>
      <c r="E2553" s="19" t="s">
        <v>436</v>
      </c>
      <c r="F2553">
        <v>1</v>
      </c>
    </row>
    <row r="2554" spans="1:7" x14ac:dyDescent="0.25">
      <c r="C2554" s="19"/>
      <c r="D2554" s="19" t="s">
        <v>437</v>
      </c>
      <c r="E2554" s="19" t="s">
        <v>438</v>
      </c>
      <c r="F2554">
        <v>1</v>
      </c>
    </row>
    <row r="2555" spans="1:7" x14ac:dyDescent="0.25">
      <c r="C2555" s="19"/>
      <c r="D2555" s="19" t="s">
        <v>439</v>
      </c>
      <c r="E2555" s="19" t="s">
        <v>440</v>
      </c>
      <c r="F2555">
        <v>1</v>
      </c>
    </row>
    <row r="2556" spans="1:7" x14ac:dyDescent="0.25">
      <c r="C2556" s="19" t="s">
        <v>636</v>
      </c>
      <c r="D2556" s="19" t="s">
        <v>637</v>
      </c>
      <c r="E2556" s="19" t="s">
        <v>638</v>
      </c>
      <c r="F2556">
        <v>0</v>
      </c>
    </row>
    <row r="2557" spans="1:7" x14ac:dyDescent="0.25">
      <c r="C2557" s="19"/>
      <c r="D2557" s="19" t="s">
        <v>639</v>
      </c>
      <c r="E2557" s="19" t="s">
        <v>640</v>
      </c>
      <c r="F2557">
        <v>1</v>
      </c>
    </row>
    <row r="2558" spans="1:7" x14ac:dyDescent="0.25">
      <c r="C2558" s="19"/>
      <c r="D2558" s="19" t="s">
        <v>641</v>
      </c>
      <c r="E2558" s="19" t="s">
        <v>642</v>
      </c>
      <c r="F2558">
        <v>1</v>
      </c>
    </row>
    <row r="2559" spans="1:7" x14ac:dyDescent="0.25">
      <c r="C2559" s="19"/>
      <c r="D2559" s="19" t="s">
        <v>643</v>
      </c>
      <c r="E2559" s="19" t="s">
        <v>644</v>
      </c>
      <c r="F2559">
        <v>0</v>
      </c>
    </row>
    <row r="2560" spans="1:7" x14ac:dyDescent="0.25">
      <c r="C2560" s="19"/>
      <c r="D2560" s="19" t="s">
        <v>645</v>
      </c>
      <c r="E2560" s="19" t="s">
        <v>646</v>
      </c>
      <c r="F2560">
        <v>0</v>
      </c>
    </row>
    <row r="2561" spans="3:6" x14ac:dyDescent="0.25">
      <c r="C2561" s="19"/>
      <c r="D2561" s="19" t="s">
        <v>647</v>
      </c>
      <c r="E2561" s="19" t="s">
        <v>648</v>
      </c>
      <c r="F2561">
        <v>1</v>
      </c>
    </row>
    <row r="2562" spans="3:6" x14ac:dyDescent="0.25">
      <c r="C2562" s="19"/>
      <c r="D2562" s="19" t="s">
        <v>649</v>
      </c>
      <c r="E2562" s="19" t="s">
        <v>650</v>
      </c>
      <c r="F2562">
        <v>1</v>
      </c>
    </row>
    <row r="2563" spans="3:6" x14ac:dyDescent="0.25">
      <c r="C2563" s="19"/>
      <c r="D2563" s="19" t="s">
        <v>651</v>
      </c>
      <c r="E2563" s="19" t="s">
        <v>652</v>
      </c>
      <c r="F2563">
        <v>1</v>
      </c>
    </row>
    <row r="2564" spans="3:6" x14ac:dyDescent="0.25">
      <c r="C2564" s="19"/>
      <c r="D2564" s="19" t="s">
        <v>653</v>
      </c>
      <c r="E2564" s="19" t="s">
        <v>438</v>
      </c>
      <c r="F2564">
        <v>1</v>
      </c>
    </row>
    <row r="2565" spans="3:6" x14ac:dyDescent="0.25">
      <c r="C2565" s="19"/>
      <c r="D2565" s="19" t="s">
        <v>654</v>
      </c>
      <c r="E2565" s="19" t="s">
        <v>440</v>
      </c>
      <c r="F2565">
        <v>1</v>
      </c>
    </row>
    <row r="2566" spans="3:6" x14ac:dyDescent="0.25">
      <c r="C2566" s="19"/>
      <c r="D2566" s="19" t="s">
        <v>655</v>
      </c>
      <c r="E2566" s="19" t="s">
        <v>656</v>
      </c>
      <c r="F2566">
        <v>1</v>
      </c>
    </row>
    <row r="2567" spans="3:6" x14ac:dyDescent="0.25">
      <c r="C2567" s="19"/>
      <c r="D2567" s="19" t="s">
        <v>657</v>
      </c>
      <c r="E2567" s="19" t="s">
        <v>658</v>
      </c>
      <c r="F2567">
        <v>1</v>
      </c>
    </row>
    <row r="2568" spans="3:6" x14ac:dyDescent="0.25">
      <c r="C2568" s="19" t="s">
        <v>682</v>
      </c>
      <c r="D2568" s="19" t="s">
        <v>683</v>
      </c>
      <c r="E2568" s="19" t="s">
        <v>684</v>
      </c>
      <c r="F2568">
        <v>0</v>
      </c>
    </row>
    <row r="2569" spans="3:6" x14ac:dyDescent="0.25">
      <c r="C2569" s="19"/>
      <c r="D2569" s="19" t="s">
        <v>685</v>
      </c>
      <c r="E2569" s="19" t="s">
        <v>686</v>
      </c>
      <c r="F2569">
        <v>1</v>
      </c>
    </row>
    <row r="2570" spans="3:6" x14ac:dyDescent="0.25">
      <c r="C2570" s="19"/>
      <c r="D2570" s="19" t="s">
        <v>687</v>
      </c>
      <c r="E2570" s="19" t="s">
        <v>638</v>
      </c>
      <c r="F2570">
        <v>0</v>
      </c>
    </row>
    <row r="2571" spans="3:6" x14ac:dyDescent="0.25">
      <c r="C2571" s="19"/>
      <c r="D2571" s="19" t="s">
        <v>688</v>
      </c>
      <c r="E2571" s="19" t="s">
        <v>689</v>
      </c>
      <c r="F2571">
        <v>0</v>
      </c>
    </row>
    <row r="2572" spans="3:6" x14ac:dyDescent="0.25">
      <c r="C2572" s="19"/>
      <c r="D2572" s="19" t="s">
        <v>690</v>
      </c>
      <c r="E2572" s="19" t="s">
        <v>640</v>
      </c>
      <c r="F2572">
        <v>1</v>
      </c>
    </row>
    <row r="2573" spans="3:6" x14ac:dyDescent="0.25">
      <c r="C2573" s="19"/>
      <c r="D2573" s="19" t="s">
        <v>691</v>
      </c>
      <c r="E2573" s="19" t="s">
        <v>692</v>
      </c>
      <c r="F2573">
        <v>1</v>
      </c>
    </row>
    <row r="2574" spans="3:6" x14ac:dyDescent="0.25">
      <c r="C2574" s="19"/>
      <c r="D2574" s="19" t="s">
        <v>693</v>
      </c>
      <c r="E2574" s="19" t="s">
        <v>694</v>
      </c>
      <c r="F2574">
        <v>0</v>
      </c>
    </row>
    <row r="2575" spans="3:6" x14ac:dyDescent="0.25">
      <c r="C2575" s="19"/>
      <c r="D2575" s="19" t="s">
        <v>695</v>
      </c>
      <c r="E2575" s="19" t="s">
        <v>696</v>
      </c>
      <c r="F2575">
        <v>0</v>
      </c>
    </row>
    <row r="2576" spans="3:6" x14ac:dyDescent="0.25">
      <c r="C2576" s="19"/>
      <c r="D2576" s="19" t="s">
        <v>697</v>
      </c>
      <c r="E2576" s="19" t="s">
        <v>698</v>
      </c>
      <c r="F2576">
        <v>0</v>
      </c>
    </row>
    <row r="2577" spans="3:6" x14ac:dyDescent="0.25">
      <c r="C2577" s="19"/>
      <c r="D2577" s="19" t="s">
        <v>699</v>
      </c>
      <c r="E2577" s="19" t="s">
        <v>700</v>
      </c>
      <c r="F2577">
        <v>1</v>
      </c>
    </row>
    <row r="2578" spans="3:6" x14ac:dyDescent="0.25">
      <c r="C2578" s="19" t="s">
        <v>1220</v>
      </c>
      <c r="D2578" s="19" t="s">
        <v>1221</v>
      </c>
      <c r="E2578" s="19" t="s">
        <v>430</v>
      </c>
      <c r="F2578">
        <v>1</v>
      </c>
    </row>
    <row r="2579" spans="3:6" x14ac:dyDescent="0.25">
      <c r="C2579" s="19"/>
      <c r="D2579" s="19" t="s">
        <v>1222</v>
      </c>
      <c r="E2579" s="19" t="s">
        <v>1223</v>
      </c>
      <c r="F2579">
        <v>0</v>
      </c>
    </row>
    <row r="2580" spans="3:6" x14ac:dyDescent="0.25">
      <c r="C2580" s="19"/>
      <c r="D2580" s="19" t="s">
        <v>1224</v>
      </c>
      <c r="E2580" s="19" t="s">
        <v>1225</v>
      </c>
      <c r="F2580">
        <v>1</v>
      </c>
    </row>
    <row r="2581" spans="3:6" x14ac:dyDescent="0.25">
      <c r="C2581" s="19"/>
      <c r="D2581" s="19" t="s">
        <v>1226</v>
      </c>
      <c r="E2581" s="19" t="s">
        <v>1227</v>
      </c>
      <c r="F2581">
        <v>1</v>
      </c>
    </row>
    <row r="2582" spans="3:6" x14ac:dyDescent="0.25">
      <c r="C2582" s="19"/>
      <c r="D2582" s="19" t="s">
        <v>1228</v>
      </c>
      <c r="E2582" s="19" t="s">
        <v>438</v>
      </c>
      <c r="F2582">
        <v>1</v>
      </c>
    </row>
    <row r="2583" spans="3:6" x14ac:dyDescent="0.25">
      <c r="C2583" s="19"/>
      <c r="D2583" s="19" t="s">
        <v>1229</v>
      </c>
      <c r="E2583" s="19" t="s">
        <v>440</v>
      </c>
      <c r="F2583">
        <v>1</v>
      </c>
    </row>
    <row r="2584" spans="3:6" x14ac:dyDescent="0.25">
      <c r="C2584" s="19"/>
      <c r="D2584" s="19" t="s">
        <v>1230</v>
      </c>
      <c r="E2584" s="19" t="s">
        <v>424</v>
      </c>
      <c r="F2584">
        <v>0</v>
      </c>
    </row>
    <row r="2585" spans="3:6" x14ac:dyDescent="0.25">
      <c r="C2585" s="19"/>
      <c r="D2585" s="19" t="s">
        <v>1231</v>
      </c>
      <c r="E2585" s="19" t="s">
        <v>1232</v>
      </c>
      <c r="F2585">
        <v>0</v>
      </c>
    </row>
    <row r="2586" spans="3:6" x14ac:dyDescent="0.25">
      <c r="C2586" s="19"/>
      <c r="D2586" s="19" t="s">
        <v>1233</v>
      </c>
      <c r="E2586" s="19" t="s">
        <v>1234</v>
      </c>
      <c r="F2586">
        <v>1</v>
      </c>
    </row>
    <row r="2587" spans="3:6" x14ac:dyDescent="0.25">
      <c r="C2587" s="19"/>
      <c r="D2587" s="19" t="s">
        <v>1235</v>
      </c>
      <c r="E2587" s="19" t="s">
        <v>1236</v>
      </c>
      <c r="F2587">
        <v>1</v>
      </c>
    </row>
    <row r="2588" spans="3:6" x14ac:dyDescent="0.25">
      <c r="C2588" s="19"/>
      <c r="D2588" s="19" t="s">
        <v>1237</v>
      </c>
      <c r="E2588" s="19" t="s">
        <v>656</v>
      </c>
      <c r="F2588">
        <v>1</v>
      </c>
    </row>
    <row r="2589" spans="3:6" x14ac:dyDescent="0.25">
      <c r="C2589" s="19"/>
      <c r="D2589" s="19" t="s">
        <v>1238</v>
      </c>
      <c r="E2589" s="19" t="s">
        <v>658</v>
      </c>
      <c r="F2589">
        <v>1</v>
      </c>
    </row>
    <row r="2590" spans="3:6" x14ac:dyDescent="0.25">
      <c r="C2590" s="19"/>
      <c r="D2590" s="19" t="s">
        <v>1239</v>
      </c>
      <c r="E2590" s="19" t="s">
        <v>1240</v>
      </c>
      <c r="F2590">
        <v>0</v>
      </c>
    </row>
    <row r="2591" spans="3:6" x14ac:dyDescent="0.25">
      <c r="C2591" s="19"/>
      <c r="D2591" s="19" t="s">
        <v>1241</v>
      </c>
      <c r="E2591" s="19" t="s">
        <v>1242</v>
      </c>
      <c r="F2591">
        <v>0</v>
      </c>
    </row>
    <row r="2592" spans="3:6" x14ac:dyDescent="0.25">
      <c r="C2592" s="19"/>
      <c r="D2592" s="19" t="s">
        <v>1243</v>
      </c>
      <c r="E2592" s="19" t="s">
        <v>1244</v>
      </c>
      <c r="F2592" s="5">
        <v>1</v>
      </c>
    </row>
    <row r="2593" spans="1:6" x14ac:dyDescent="0.25">
      <c r="C2593" s="19" t="s">
        <v>1436</v>
      </c>
      <c r="D2593" s="19" t="s">
        <v>1437</v>
      </c>
      <c r="E2593" s="19" t="s">
        <v>1438</v>
      </c>
      <c r="F2593" s="5">
        <v>0</v>
      </c>
    </row>
    <row r="2594" spans="1:6" x14ac:dyDescent="0.25">
      <c r="C2594" s="19"/>
      <c r="D2594" s="19" t="s">
        <v>1439</v>
      </c>
      <c r="E2594" s="19" t="s">
        <v>1440</v>
      </c>
      <c r="F2594">
        <v>0</v>
      </c>
    </row>
    <row r="2595" spans="1:6" x14ac:dyDescent="0.25">
      <c r="C2595" s="19"/>
      <c r="D2595" s="19" t="s">
        <v>1441</v>
      </c>
      <c r="E2595" s="19" t="s">
        <v>1442</v>
      </c>
      <c r="F2595">
        <v>1</v>
      </c>
    </row>
    <row r="2596" spans="1:6" x14ac:dyDescent="0.25">
      <c r="C2596" s="19"/>
      <c r="D2596" s="19" t="s">
        <v>1443</v>
      </c>
      <c r="E2596" s="19" t="s">
        <v>1444</v>
      </c>
      <c r="F2596">
        <v>0</v>
      </c>
    </row>
    <row r="2597" spans="1:6" x14ac:dyDescent="0.25">
      <c r="C2597" s="19"/>
      <c r="D2597" s="19" t="s">
        <v>1445</v>
      </c>
      <c r="E2597" s="19" t="s">
        <v>1446</v>
      </c>
      <c r="F2597" s="5">
        <v>1</v>
      </c>
    </row>
    <row r="2598" spans="1:6" x14ac:dyDescent="0.25">
      <c r="C2598" s="19"/>
      <c r="D2598" s="19" t="s">
        <v>1447</v>
      </c>
      <c r="E2598" s="19" t="s">
        <v>1448</v>
      </c>
      <c r="F2598">
        <v>1</v>
      </c>
    </row>
    <row r="2599" spans="1:6" x14ac:dyDescent="0.25">
      <c r="C2599" s="19"/>
      <c r="D2599" s="19" t="s">
        <v>1449</v>
      </c>
      <c r="E2599" s="19" t="s">
        <v>1450</v>
      </c>
      <c r="F2599">
        <v>1</v>
      </c>
    </row>
    <row r="2600" spans="1:6" x14ac:dyDescent="0.25">
      <c r="C2600" s="19"/>
      <c r="D2600" s="19" t="s">
        <v>1451</v>
      </c>
      <c r="E2600" s="19" t="s">
        <v>1452</v>
      </c>
      <c r="F2600">
        <v>0</v>
      </c>
    </row>
    <row r="2601" spans="1:6" x14ac:dyDescent="0.25">
      <c r="C2601" s="19"/>
      <c r="D2601" s="19" t="s">
        <v>1453</v>
      </c>
      <c r="E2601" s="19" t="s">
        <v>1454</v>
      </c>
      <c r="F2601">
        <v>0</v>
      </c>
    </row>
    <row r="2602" spans="1:6" x14ac:dyDescent="0.25">
      <c r="C2602" s="19"/>
      <c r="D2602" s="19" t="s">
        <v>1455</v>
      </c>
      <c r="E2602" s="19" t="s">
        <v>1456</v>
      </c>
      <c r="F2602">
        <v>0</v>
      </c>
    </row>
    <row r="2603" spans="1:6" x14ac:dyDescent="0.25">
      <c r="A2603" s="3">
        <v>446</v>
      </c>
      <c r="B2603" s="15" t="s">
        <v>124</v>
      </c>
      <c r="C2603" s="19" t="s">
        <v>1155</v>
      </c>
      <c r="D2603" s="19" t="s">
        <v>1156</v>
      </c>
      <c r="E2603" s="19" t="s">
        <v>273</v>
      </c>
      <c r="F2603">
        <v>1</v>
      </c>
    </row>
    <row r="2604" spans="1:6" x14ac:dyDescent="0.25">
      <c r="C2604" s="19"/>
      <c r="D2604" s="19" t="s">
        <v>1157</v>
      </c>
      <c r="E2604" s="19" t="s">
        <v>844</v>
      </c>
      <c r="F2604">
        <v>1</v>
      </c>
    </row>
    <row r="2605" spans="1:6" x14ac:dyDescent="0.25">
      <c r="C2605" s="19"/>
      <c r="D2605" s="19" t="s">
        <v>1158</v>
      </c>
      <c r="E2605" s="19" t="s">
        <v>1159</v>
      </c>
      <c r="F2605">
        <v>2</v>
      </c>
    </row>
    <row r="2606" spans="1:6" x14ac:dyDescent="0.25">
      <c r="C2606" s="19"/>
      <c r="D2606" s="19" t="s">
        <v>1160</v>
      </c>
      <c r="E2606" s="19" t="s">
        <v>1161</v>
      </c>
      <c r="F2606">
        <v>2</v>
      </c>
    </row>
    <row r="2607" spans="1:6" x14ac:dyDescent="0.25">
      <c r="C2607" s="19"/>
      <c r="D2607" s="19" t="s">
        <v>1162</v>
      </c>
      <c r="E2607" s="19" t="s">
        <v>1163</v>
      </c>
      <c r="F2607">
        <v>2</v>
      </c>
    </row>
    <row r="2608" spans="1:6" x14ac:dyDescent="0.25">
      <c r="C2608" s="19"/>
      <c r="D2608" s="19" t="s">
        <v>1164</v>
      </c>
      <c r="E2608" s="19" t="s">
        <v>1165</v>
      </c>
      <c r="F2608">
        <v>2</v>
      </c>
    </row>
    <row r="2609" spans="1:6" x14ac:dyDescent="0.25">
      <c r="C2609" s="19"/>
      <c r="D2609" s="19" t="s">
        <v>1166</v>
      </c>
      <c r="E2609" s="19" t="s">
        <v>295</v>
      </c>
      <c r="F2609">
        <v>1</v>
      </c>
    </row>
    <row r="2610" spans="1:6" x14ac:dyDescent="0.25">
      <c r="C2610" s="19"/>
      <c r="D2610" s="19" t="s">
        <v>1167</v>
      </c>
      <c r="E2610" s="19" t="s">
        <v>1168</v>
      </c>
      <c r="F2610">
        <v>2</v>
      </c>
    </row>
    <row r="2611" spans="1:6" x14ac:dyDescent="0.25">
      <c r="A2611" s="3">
        <v>447</v>
      </c>
      <c r="B2611" s="15" t="s">
        <v>125</v>
      </c>
      <c r="C2611" s="19" t="s">
        <v>1097</v>
      </c>
      <c r="D2611" s="19" t="s">
        <v>1098</v>
      </c>
      <c r="E2611" s="19" t="s">
        <v>1099</v>
      </c>
      <c r="F2611">
        <v>1</v>
      </c>
    </row>
    <row r="2612" spans="1:6" x14ac:dyDescent="0.25">
      <c r="C2612" s="19"/>
      <c r="D2612" s="19" t="s">
        <v>1100</v>
      </c>
      <c r="E2612" s="19" t="s">
        <v>1101</v>
      </c>
      <c r="F2612">
        <v>1</v>
      </c>
    </row>
    <row r="2613" spans="1:6" x14ac:dyDescent="0.25">
      <c r="C2613" s="19"/>
      <c r="D2613" s="19" t="s">
        <v>1102</v>
      </c>
      <c r="E2613" s="19" t="s">
        <v>1103</v>
      </c>
      <c r="F2613">
        <v>1</v>
      </c>
    </row>
    <row r="2614" spans="1:6" x14ac:dyDescent="0.25">
      <c r="C2614" s="19"/>
      <c r="D2614" s="19" t="s">
        <v>1104</v>
      </c>
      <c r="E2614" s="19" t="s">
        <v>1105</v>
      </c>
      <c r="F2614">
        <v>1</v>
      </c>
    </row>
    <row r="2615" spans="1:6" x14ac:dyDescent="0.25">
      <c r="C2615" s="19"/>
      <c r="D2615" s="19" t="s">
        <v>1106</v>
      </c>
      <c r="E2615" s="19" t="s">
        <v>349</v>
      </c>
      <c r="F2615">
        <v>1</v>
      </c>
    </row>
    <row r="2616" spans="1:6" x14ac:dyDescent="0.25">
      <c r="C2616" s="19"/>
      <c r="D2616" s="19" t="s">
        <v>1107</v>
      </c>
      <c r="E2616" s="19" t="s">
        <v>1108</v>
      </c>
      <c r="F2616">
        <v>1</v>
      </c>
    </row>
    <row r="2617" spans="1:6" x14ac:dyDescent="0.25">
      <c r="C2617" s="19"/>
      <c r="D2617" s="19" t="s">
        <v>1109</v>
      </c>
      <c r="E2617" s="19" t="s">
        <v>1110</v>
      </c>
      <c r="F2617">
        <v>1</v>
      </c>
    </row>
    <row r="2618" spans="1:6" x14ac:dyDescent="0.25">
      <c r="C2618" s="19"/>
      <c r="D2618" s="19" t="s">
        <v>1111</v>
      </c>
      <c r="E2618" s="19" t="s">
        <v>1112</v>
      </c>
      <c r="F2618">
        <v>1</v>
      </c>
    </row>
    <row r="2619" spans="1:6" x14ac:dyDescent="0.25">
      <c r="C2619" s="19"/>
      <c r="D2619" s="19" t="s">
        <v>1113</v>
      </c>
      <c r="E2619" s="19" t="s">
        <v>1114</v>
      </c>
      <c r="F2619">
        <v>1</v>
      </c>
    </row>
    <row r="2620" spans="1:6" x14ac:dyDescent="0.25">
      <c r="C2620" s="19"/>
      <c r="D2620" s="19" t="s">
        <v>1115</v>
      </c>
      <c r="E2620" s="19" t="s">
        <v>1116</v>
      </c>
      <c r="F2620">
        <v>1</v>
      </c>
    </row>
    <row r="2621" spans="1:6" x14ac:dyDescent="0.25">
      <c r="C2621" s="19"/>
      <c r="D2621" s="19" t="s">
        <v>1117</v>
      </c>
      <c r="E2621" s="19" t="s">
        <v>1118</v>
      </c>
      <c r="F2621">
        <v>1</v>
      </c>
    </row>
    <row r="2622" spans="1:6" x14ac:dyDescent="0.25">
      <c r="C2622" s="19"/>
      <c r="D2622" s="19" t="s">
        <v>1119</v>
      </c>
      <c r="E2622" s="19" t="s">
        <v>1120</v>
      </c>
      <c r="F2622">
        <v>1</v>
      </c>
    </row>
    <row r="2623" spans="1:6" x14ac:dyDescent="0.25">
      <c r="C2623" s="19"/>
      <c r="D2623" s="19" t="s">
        <v>1121</v>
      </c>
      <c r="E2623" s="19" t="s">
        <v>1122</v>
      </c>
      <c r="F2623">
        <v>1</v>
      </c>
    </row>
    <row r="2624" spans="1:6" x14ac:dyDescent="0.25">
      <c r="C2624" s="19"/>
      <c r="D2624" s="19" t="s">
        <v>1123</v>
      </c>
      <c r="E2624" s="19" t="s">
        <v>1124</v>
      </c>
      <c r="F2624">
        <v>1</v>
      </c>
    </row>
    <row r="2625" spans="1:6" x14ac:dyDescent="0.25">
      <c r="A2625" s="3">
        <v>448</v>
      </c>
      <c r="B2625" s="15" t="s">
        <v>126</v>
      </c>
      <c r="C2625" s="19" t="s">
        <v>891</v>
      </c>
      <c r="D2625" s="19" t="s">
        <v>892</v>
      </c>
      <c r="E2625" s="19" t="s">
        <v>893</v>
      </c>
      <c r="F2625">
        <v>1</v>
      </c>
    </row>
    <row r="2626" spans="1:6" x14ac:dyDescent="0.25">
      <c r="C2626" s="19"/>
      <c r="D2626" s="19" t="s">
        <v>894</v>
      </c>
      <c r="E2626" s="19" t="s">
        <v>895</v>
      </c>
      <c r="F2626">
        <v>1</v>
      </c>
    </row>
    <row r="2627" spans="1:6" x14ac:dyDescent="0.25">
      <c r="C2627" s="19"/>
      <c r="D2627" s="19" t="s">
        <v>896</v>
      </c>
      <c r="E2627" s="19" t="s">
        <v>897</v>
      </c>
      <c r="F2627">
        <v>1</v>
      </c>
    </row>
    <row r="2628" spans="1:6" x14ac:dyDescent="0.25">
      <c r="C2628" s="19"/>
      <c r="D2628" s="19" t="s">
        <v>898</v>
      </c>
      <c r="E2628" s="19" t="s">
        <v>899</v>
      </c>
      <c r="F2628">
        <v>1</v>
      </c>
    </row>
    <row r="2629" spans="1:6" x14ac:dyDescent="0.25">
      <c r="C2629" s="19"/>
      <c r="D2629" s="19" t="s">
        <v>900</v>
      </c>
      <c r="E2629" s="19" t="s">
        <v>349</v>
      </c>
      <c r="F2629">
        <v>1</v>
      </c>
    </row>
    <row r="2630" spans="1:6" x14ac:dyDescent="0.25">
      <c r="C2630" s="19"/>
      <c r="D2630" s="19" t="s">
        <v>901</v>
      </c>
      <c r="E2630" s="19" t="s">
        <v>902</v>
      </c>
      <c r="F2630">
        <v>0</v>
      </c>
    </row>
    <row r="2631" spans="1:6" x14ac:dyDescent="0.25">
      <c r="C2631" s="19"/>
      <c r="D2631" s="19" t="s">
        <v>903</v>
      </c>
      <c r="E2631" s="19" t="s">
        <v>904</v>
      </c>
      <c r="F2631">
        <v>0</v>
      </c>
    </row>
    <row r="2632" spans="1:6" x14ac:dyDescent="0.25">
      <c r="C2632" s="19"/>
      <c r="D2632" s="19" t="s">
        <v>905</v>
      </c>
      <c r="E2632" s="19" t="s">
        <v>906</v>
      </c>
      <c r="F2632">
        <v>1</v>
      </c>
    </row>
    <row r="2633" spans="1:6" x14ac:dyDescent="0.25">
      <c r="C2633" s="19"/>
      <c r="D2633" s="19" t="s">
        <v>907</v>
      </c>
      <c r="E2633" s="19" t="s">
        <v>908</v>
      </c>
      <c r="F2633">
        <v>1</v>
      </c>
    </row>
    <row r="2634" spans="1:6" x14ac:dyDescent="0.25">
      <c r="C2634" s="19"/>
      <c r="D2634" s="19" t="s">
        <v>909</v>
      </c>
      <c r="E2634" s="19" t="s">
        <v>910</v>
      </c>
      <c r="F2634">
        <v>1</v>
      </c>
    </row>
    <row r="2635" spans="1:6" x14ac:dyDescent="0.25">
      <c r="C2635" s="19"/>
      <c r="D2635" s="19" t="s">
        <v>911</v>
      </c>
      <c r="E2635" s="19" t="s">
        <v>912</v>
      </c>
      <c r="F2635">
        <v>0</v>
      </c>
    </row>
    <row r="2636" spans="1:6" x14ac:dyDescent="0.25">
      <c r="C2636" s="19"/>
      <c r="D2636" s="19" t="s">
        <v>913</v>
      </c>
      <c r="E2636" s="19" t="s">
        <v>914</v>
      </c>
      <c r="F2636">
        <v>1</v>
      </c>
    </row>
    <row r="2637" spans="1:6" x14ac:dyDescent="0.25">
      <c r="C2637" s="19"/>
      <c r="D2637" s="19" t="s">
        <v>915</v>
      </c>
      <c r="E2637" s="19" t="s">
        <v>916</v>
      </c>
      <c r="F2637">
        <v>1</v>
      </c>
    </row>
    <row r="2638" spans="1:6" x14ac:dyDescent="0.25">
      <c r="A2638" s="3">
        <v>451</v>
      </c>
      <c r="B2638" s="15" t="s">
        <v>127</v>
      </c>
      <c r="C2638" s="19" t="s">
        <v>1613</v>
      </c>
      <c r="D2638" s="19" t="s">
        <v>1614</v>
      </c>
      <c r="E2638" s="19" t="s">
        <v>273</v>
      </c>
      <c r="F2638">
        <v>1</v>
      </c>
    </row>
    <row r="2639" spans="1:6" x14ac:dyDescent="0.25">
      <c r="A2639" s="3"/>
      <c r="C2639" s="19"/>
      <c r="D2639" s="19" t="s">
        <v>1615</v>
      </c>
      <c r="E2639" s="19" t="s">
        <v>312</v>
      </c>
      <c r="F2639">
        <v>1</v>
      </c>
    </row>
    <row r="2640" spans="1:6" x14ac:dyDescent="0.25">
      <c r="A2640" s="3"/>
      <c r="C2640" s="19"/>
      <c r="D2640" s="19" t="s">
        <v>1616</v>
      </c>
      <c r="E2640" s="19" t="s">
        <v>316</v>
      </c>
      <c r="F2640">
        <v>1</v>
      </c>
    </row>
    <row r="2641" spans="1:6" x14ac:dyDescent="0.25">
      <c r="A2641" s="3"/>
      <c r="C2641" s="19"/>
      <c r="D2641" s="19" t="s">
        <v>1617</v>
      </c>
      <c r="E2641" s="19" t="s">
        <v>314</v>
      </c>
      <c r="F2641">
        <v>1</v>
      </c>
    </row>
    <row r="2642" spans="1:6" x14ac:dyDescent="0.25">
      <c r="A2642" s="3"/>
      <c r="C2642" s="19"/>
      <c r="D2642" s="19" t="s">
        <v>1618</v>
      </c>
      <c r="E2642" s="19" t="s">
        <v>318</v>
      </c>
      <c r="F2642">
        <v>1</v>
      </c>
    </row>
    <row r="2643" spans="1:6" x14ac:dyDescent="0.25">
      <c r="A2643" s="3"/>
      <c r="C2643" s="19"/>
      <c r="D2643" s="19" t="s">
        <v>1619</v>
      </c>
      <c r="E2643" s="19" t="s">
        <v>1620</v>
      </c>
      <c r="F2643">
        <v>1</v>
      </c>
    </row>
    <row r="2644" spans="1:6" x14ac:dyDescent="0.25">
      <c r="A2644" s="3"/>
      <c r="C2644" s="19"/>
      <c r="D2644" s="19" t="s">
        <v>1621</v>
      </c>
      <c r="E2644" s="19" t="s">
        <v>1622</v>
      </c>
      <c r="F2644">
        <v>1</v>
      </c>
    </row>
    <row r="2645" spans="1:6" x14ac:dyDescent="0.25">
      <c r="A2645" s="3"/>
      <c r="C2645" s="19"/>
      <c r="D2645" s="19" t="s">
        <v>1623</v>
      </c>
      <c r="E2645" s="19" t="s">
        <v>322</v>
      </c>
      <c r="F2645">
        <v>1</v>
      </c>
    </row>
    <row r="2646" spans="1:6" x14ac:dyDescent="0.25">
      <c r="A2646" s="3"/>
      <c r="C2646" s="19"/>
      <c r="D2646" s="19" t="s">
        <v>1624</v>
      </c>
      <c r="E2646" s="19" t="s">
        <v>936</v>
      </c>
      <c r="F2646">
        <v>1</v>
      </c>
    </row>
    <row r="2647" spans="1:6" x14ac:dyDescent="0.25">
      <c r="A2647" s="3"/>
      <c r="C2647" s="19"/>
      <c r="D2647" s="19" t="s">
        <v>1625</v>
      </c>
      <c r="E2647" s="19" t="s">
        <v>938</v>
      </c>
      <c r="F2647">
        <v>0</v>
      </c>
    </row>
    <row r="2648" spans="1:6" x14ac:dyDescent="0.25">
      <c r="A2648" s="3"/>
      <c r="C2648" s="19"/>
      <c r="D2648" s="19" t="s">
        <v>1626</v>
      </c>
      <c r="E2648" s="19" t="s">
        <v>1483</v>
      </c>
      <c r="F2648">
        <v>0</v>
      </c>
    </row>
    <row r="2649" spans="1:6" x14ac:dyDescent="0.25">
      <c r="A2649" s="3"/>
      <c r="C2649" s="19"/>
      <c r="D2649" s="19" t="s">
        <v>1627</v>
      </c>
      <c r="E2649" s="19" t="s">
        <v>942</v>
      </c>
      <c r="F2649">
        <v>1</v>
      </c>
    </row>
    <row r="2650" spans="1:6" x14ac:dyDescent="0.25">
      <c r="A2650" s="3"/>
      <c r="C2650" s="19"/>
      <c r="D2650" s="19" t="s">
        <v>1628</v>
      </c>
      <c r="E2650" s="19" t="s">
        <v>383</v>
      </c>
      <c r="F2650">
        <v>1</v>
      </c>
    </row>
    <row r="2651" spans="1:6" x14ac:dyDescent="0.25">
      <c r="A2651" s="3"/>
      <c r="C2651" s="19"/>
      <c r="D2651" s="19" t="s">
        <v>1629</v>
      </c>
      <c r="E2651" s="19" t="s">
        <v>1630</v>
      </c>
      <c r="F2651">
        <v>0</v>
      </c>
    </row>
    <row r="2652" spans="1:6" x14ac:dyDescent="0.25">
      <c r="A2652" s="3"/>
      <c r="C2652" s="19"/>
      <c r="D2652" s="19" t="s">
        <v>1631</v>
      </c>
      <c r="E2652" s="19" t="s">
        <v>380</v>
      </c>
      <c r="F2652">
        <v>1</v>
      </c>
    </row>
    <row r="2653" spans="1:6" x14ac:dyDescent="0.25">
      <c r="A2653" s="3"/>
      <c r="C2653" s="19"/>
      <c r="D2653" s="19" t="s">
        <v>1632</v>
      </c>
      <c r="E2653" s="19" t="s">
        <v>381</v>
      </c>
      <c r="F2653">
        <v>0</v>
      </c>
    </row>
    <row r="2654" spans="1:6" x14ac:dyDescent="0.25">
      <c r="A2654" s="3"/>
      <c r="C2654" s="19"/>
      <c r="D2654" s="19" t="s">
        <v>1633</v>
      </c>
      <c r="E2654" s="19" t="s">
        <v>1634</v>
      </c>
      <c r="F2654">
        <v>0</v>
      </c>
    </row>
    <row r="2655" spans="1:6" x14ac:dyDescent="0.25">
      <c r="A2655" s="3"/>
      <c r="C2655" s="19"/>
      <c r="D2655" s="19" t="s">
        <v>1635</v>
      </c>
      <c r="E2655" s="19" t="s">
        <v>328</v>
      </c>
      <c r="F2655">
        <v>1</v>
      </c>
    </row>
    <row r="2656" spans="1:6" x14ac:dyDescent="0.25">
      <c r="A2656" s="3"/>
      <c r="C2656" s="19"/>
      <c r="D2656" s="19" t="s">
        <v>1636</v>
      </c>
      <c r="E2656" s="19" t="s">
        <v>1637</v>
      </c>
      <c r="F2656">
        <v>1</v>
      </c>
    </row>
    <row r="2657" spans="1:6" x14ac:dyDescent="0.25">
      <c r="A2657" s="3"/>
      <c r="C2657" s="19"/>
      <c r="D2657" s="19" t="s">
        <v>1638</v>
      </c>
      <c r="E2657" s="19" t="s">
        <v>1639</v>
      </c>
      <c r="F2657">
        <v>1</v>
      </c>
    </row>
    <row r="2658" spans="1:6" x14ac:dyDescent="0.25">
      <c r="A2658" s="3">
        <v>456</v>
      </c>
      <c r="B2658" s="15" t="s">
        <v>128</v>
      </c>
      <c r="C2658" s="19" t="s">
        <v>1474</v>
      </c>
      <c r="D2658" s="19" t="s">
        <v>1475</v>
      </c>
      <c r="E2658" s="19" t="s">
        <v>308</v>
      </c>
      <c r="F2658">
        <v>1</v>
      </c>
    </row>
    <row r="2659" spans="1:6" x14ac:dyDescent="0.25">
      <c r="C2659" s="19"/>
      <c r="D2659" s="19" t="s">
        <v>1476</v>
      </c>
      <c r="E2659" s="19" t="s">
        <v>310</v>
      </c>
      <c r="F2659">
        <v>1</v>
      </c>
    </row>
    <row r="2660" spans="1:6" x14ac:dyDescent="0.25">
      <c r="C2660" s="19"/>
      <c r="D2660" s="19" t="s">
        <v>1477</v>
      </c>
      <c r="E2660" s="19" t="s">
        <v>312</v>
      </c>
      <c r="F2660" s="7">
        <v>1</v>
      </c>
    </row>
    <row r="2661" spans="1:6" x14ac:dyDescent="0.25">
      <c r="C2661" s="19"/>
      <c r="D2661" s="19" t="s">
        <v>1478</v>
      </c>
      <c r="E2661" s="19" t="s">
        <v>314</v>
      </c>
      <c r="F2661" s="7">
        <v>1</v>
      </c>
    </row>
    <row r="2662" spans="1:6" x14ac:dyDescent="0.25">
      <c r="C2662" s="19"/>
      <c r="D2662" s="19" t="s">
        <v>1479</v>
      </c>
      <c r="E2662" s="19" t="s">
        <v>1480</v>
      </c>
      <c r="F2662">
        <v>1</v>
      </c>
    </row>
    <row r="2663" spans="1:6" x14ac:dyDescent="0.25">
      <c r="C2663" s="19"/>
      <c r="D2663" s="19" t="s">
        <v>1481</v>
      </c>
      <c r="E2663" s="19" t="s">
        <v>938</v>
      </c>
      <c r="F2663">
        <v>1</v>
      </c>
    </row>
    <row r="2664" spans="1:6" x14ac:dyDescent="0.25">
      <c r="C2664" s="19"/>
      <c r="D2664" s="19" t="s">
        <v>1482</v>
      </c>
      <c r="E2664" s="19" t="s">
        <v>1483</v>
      </c>
      <c r="F2664">
        <v>1</v>
      </c>
    </row>
    <row r="2665" spans="1:6" x14ac:dyDescent="0.25">
      <c r="C2665" s="19"/>
      <c r="D2665" s="19" t="s">
        <v>1484</v>
      </c>
      <c r="E2665" s="19" t="s">
        <v>942</v>
      </c>
      <c r="F2665">
        <v>1</v>
      </c>
    </row>
    <row r="2666" spans="1:6" x14ac:dyDescent="0.25">
      <c r="C2666" s="19"/>
      <c r="D2666" s="19" t="s">
        <v>1485</v>
      </c>
      <c r="E2666" s="19" t="s">
        <v>383</v>
      </c>
      <c r="F2666">
        <v>1</v>
      </c>
    </row>
    <row r="2667" spans="1:6" x14ac:dyDescent="0.25">
      <c r="C2667" s="19"/>
      <c r="D2667" s="19" t="s">
        <v>1486</v>
      </c>
      <c r="E2667" s="19" t="s">
        <v>384</v>
      </c>
      <c r="F2667">
        <v>1</v>
      </c>
    </row>
    <row r="2668" spans="1:6" x14ac:dyDescent="0.25">
      <c r="C2668" s="19"/>
      <c r="D2668" s="19" t="s">
        <v>1487</v>
      </c>
      <c r="E2668" s="19" t="s">
        <v>380</v>
      </c>
      <c r="F2668">
        <v>1</v>
      </c>
    </row>
    <row r="2669" spans="1:6" x14ac:dyDescent="0.25">
      <c r="C2669" s="19"/>
      <c r="D2669" s="19" t="s">
        <v>1488</v>
      </c>
      <c r="E2669" s="19" t="s">
        <v>381</v>
      </c>
      <c r="F2669">
        <v>1</v>
      </c>
    </row>
    <row r="2670" spans="1:6" x14ac:dyDescent="0.25">
      <c r="C2670" s="19"/>
      <c r="D2670" s="19" t="s">
        <v>1489</v>
      </c>
      <c r="E2670" s="19" t="s">
        <v>328</v>
      </c>
      <c r="F2670">
        <v>1</v>
      </c>
    </row>
    <row r="2671" spans="1:6" x14ac:dyDescent="0.25">
      <c r="C2671" s="19"/>
      <c r="D2671" s="19" t="s">
        <v>1490</v>
      </c>
      <c r="E2671" s="19" t="s">
        <v>378</v>
      </c>
      <c r="F2671">
        <v>1</v>
      </c>
    </row>
    <row r="2672" spans="1:6" x14ac:dyDescent="0.25">
      <c r="C2672" s="19"/>
      <c r="D2672" s="19" t="s">
        <v>1491</v>
      </c>
      <c r="E2672" s="19" t="s">
        <v>379</v>
      </c>
      <c r="F2672">
        <v>1</v>
      </c>
    </row>
    <row r="2673" spans="1:6" x14ac:dyDescent="0.25">
      <c r="A2673" s="3">
        <v>461</v>
      </c>
      <c r="B2673" s="15" t="s">
        <v>129</v>
      </c>
      <c r="C2673" s="19" t="s">
        <v>552</v>
      </c>
      <c r="D2673" s="19" t="s">
        <v>553</v>
      </c>
      <c r="E2673" s="19" t="s">
        <v>273</v>
      </c>
      <c r="F2673">
        <v>1</v>
      </c>
    </row>
    <row r="2674" spans="1:6" x14ac:dyDescent="0.25">
      <c r="C2674" s="19"/>
      <c r="D2674" s="19" t="s">
        <v>554</v>
      </c>
      <c r="E2674" s="19" t="s">
        <v>391</v>
      </c>
      <c r="F2674">
        <v>1</v>
      </c>
    </row>
    <row r="2675" spans="1:6" x14ac:dyDescent="0.25">
      <c r="C2675" s="19"/>
      <c r="D2675" s="19" t="s">
        <v>555</v>
      </c>
      <c r="E2675" s="19" t="s">
        <v>556</v>
      </c>
      <c r="F2675">
        <v>1</v>
      </c>
    </row>
    <row r="2676" spans="1:6" x14ac:dyDescent="0.25">
      <c r="C2676" s="19"/>
      <c r="D2676" s="19" t="s">
        <v>557</v>
      </c>
      <c r="E2676" s="19" t="s">
        <v>558</v>
      </c>
      <c r="F2676">
        <v>1</v>
      </c>
    </row>
    <row r="2677" spans="1:6" x14ac:dyDescent="0.25">
      <c r="C2677" s="19"/>
      <c r="D2677" s="19" t="s">
        <v>559</v>
      </c>
      <c r="E2677" s="19" t="s">
        <v>560</v>
      </c>
      <c r="F2677">
        <v>0</v>
      </c>
    </row>
    <row r="2678" spans="1:6" x14ac:dyDescent="0.25">
      <c r="C2678" s="19"/>
      <c r="D2678" s="19" t="s">
        <v>561</v>
      </c>
      <c r="E2678" s="19" t="s">
        <v>562</v>
      </c>
      <c r="F2678">
        <v>1</v>
      </c>
    </row>
    <row r="2679" spans="1:6" x14ac:dyDescent="0.25">
      <c r="A2679" s="3">
        <v>462</v>
      </c>
      <c r="B2679" s="15" t="s">
        <v>130</v>
      </c>
      <c r="C2679" s="19" t="s">
        <v>1141</v>
      </c>
      <c r="D2679" s="19" t="s">
        <v>1142</v>
      </c>
      <c r="E2679" s="19" t="s">
        <v>312</v>
      </c>
      <c r="F2679">
        <v>1</v>
      </c>
    </row>
    <row r="2680" spans="1:6" x14ac:dyDescent="0.25">
      <c r="C2680" s="19"/>
      <c r="D2680" s="19" t="s">
        <v>1143</v>
      </c>
      <c r="E2680" s="19" t="s">
        <v>314</v>
      </c>
      <c r="F2680">
        <v>0</v>
      </c>
    </row>
    <row r="2681" spans="1:6" x14ac:dyDescent="0.25">
      <c r="C2681" s="19"/>
      <c r="D2681" s="19" t="s">
        <v>1144</v>
      </c>
      <c r="E2681" s="19" t="s">
        <v>1145</v>
      </c>
      <c r="F2681">
        <v>1</v>
      </c>
    </row>
    <row r="2682" spans="1:6" x14ac:dyDescent="0.25">
      <c r="C2682" s="19"/>
      <c r="D2682" s="19" t="s">
        <v>1146</v>
      </c>
      <c r="E2682" s="19" t="s">
        <v>1147</v>
      </c>
      <c r="F2682">
        <v>1</v>
      </c>
    </row>
    <row r="2683" spans="1:6" x14ac:dyDescent="0.25">
      <c r="C2683" s="19"/>
      <c r="D2683" s="19" t="s">
        <v>1148</v>
      </c>
      <c r="E2683" s="19" t="s">
        <v>713</v>
      </c>
      <c r="F2683">
        <v>1</v>
      </c>
    </row>
    <row r="2684" spans="1:6" x14ac:dyDescent="0.25">
      <c r="C2684" s="19"/>
      <c r="D2684" s="19" t="s">
        <v>1149</v>
      </c>
      <c r="E2684" s="19" t="s">
        <v>1150</v>
      </c>
      <c r="F2684">
        <v>0</v>
      </c>
    </row>
    <row r="2685" spans="1:6" x14ac:dyDescent="0.25">
      <c r="C2685" s="19"/>
      <c r="D2685" s="19" t="s">
        <v>1151</v>
      </c>
      <c r="E2685" s="19" t="s">
        <v>380</v>
      </c>
      <c r="F2685">
        <v>1</v>
      </c>
    </row>
    <row r="2686" spans="1:6" x14ac:dyDescent="0.25">
      <c r="C2686" s="19"/>
      <c r="D2686" s="19" t="s">
        <v>1152</v>
      </c>
      <c r="E2686" s="19" t="s">
        <v>381</v>
      </c>
      <c r="F2686">
        <v>1</v>
      </c>
    </row>
    <row r="2687" spans="1:6" x14ac:dyDescent="0.25">
      <c r="C2687" s="19"/>
      <c r="D2687" s="19" t="s">
        <v>1153</v>
      </c>
      <c r="E2687" s="19" t="s">
        <v>1154</v>
      </c>
      <c r="F2687">
        <v>1</v>
      </c>
    </row>
    <row r="2688" spans="1:6" x14ac:dyDescent="0.25">
      <c r="A2688" s="3">
        <v>465</v>
      </c>
      <c r="B2688" s="15" t="s">
        <v>131</v>
      </c>
      <c r="C2688" s="19" t="s">
        <v>1536</v>
      </c>
      <c r="D2688" s="19" t="s">
        <v>1537</v>
      </c>
      <c r="E2688" s="19" t="s">
        <v>1494</v>
      </c>
      <c r="F2688">
        <v>1</v>
      </c>
    </row>
    <row r="2689" spans="3:6" x14ac:dyDescent="0.25">
      <c r="C2689" s="19"/>
      <c r="D2689" s="19" t="s">
        <v>1538</v>
      </c>
      <c r="E2689" s="19" t="s">
        <v>306</v>
      </c>
      <c r="F2689">
        <v>1</v>
      </c>
    </row>
    <row r="2690" spans="3:6" x14ac:dyDescent="0.25">
      <c r="C2690" s="19"/>
      <c r="D2690" s="19" t="s">
        <v>1539</v>
      </c>
      <c r="E2690" s="19" t="s">
        <v>1499</v>
      </c>
      <c r="F2690">
        <v>1</v>
      </c>
    </row>
    <row r="2691" spans="3:6" x14ac:dyDescent="0.25">
      <c r="C2691" s="19"/>
      <c r="D2691" s="19" t="s">
        <v>1540</v>
      </c>
      <c r="E2691" s="19" t="s">
        <v>1541</v>
      </c>
      <c r="F2691">
        <v>1</v>
      </c>
    </row>
    <row r="2692" spans="3:6" x14ac:dyDescent="0.25">
      <c r="C2692" s="19"/>
      <c r="D2692" s="19" t="s">
        <v>1542</v>
      </c>
      <c r="E2692" s="19" t="s">
        <v>1543</v>
      </c>
      <c r="F2692">
        <v>1</v>
      </c>
    </row>
    <row r="2693" spans="3:6" x14ac:dyDescent="0.25">
      <c r="C2693" s="19"/>
      <c r="D2693" s="19" t="s">
        <v>1544</v>
      </c>
      <c r="E2693" s="19" t="s">
        <v>671</v>
      </c>
      <c r="F2693">
        <v>1</v>
      </c>
    </row>
    <row r="2694" spans="3:6" x14ac:dyDescent="0.25">
      <c r="C2694" s="19"/>
      <c r="D2694" s="19" t="s">
        <v>1545</v>
      </c>
      <c r="E2694" s="19" t="s">
        <v>1546</v>
      </c>
      <c r="F2694">
        <v>1</v>
      </c>
    </row>
    <row r="2695" spans="3:6" x14ac:dyDescent="0.25">
      <c r="C2695" s="19"/>
      <c r="D2695" s="19" t="s">
        <v>1547</v>
      </c>
      <c r="E2695" s="19" t="s">
        <v>1548</v>
      </c>
      <c r="F2695">
        <v>1</v>
      </c>
    </row>
    <row r="2696" spans="3:6" x14ac:dyDescent="0.25">
      <c r="C2696" s="19"/>
      <c r="D2696" s="19" t="s">
        <v>1549</v>
      </c>
      <c r="E2696" s="19" t="s">
        <v>1550</v>
      </c>
      <c r="F2696">
        <v>1</v>
      </c>
    </row>
    <row r="2697" spans="3:6" x14ac:dyDescent="0.25">
      <c r="C2697" s="19"/>
      <c r="D2697" s="19" t="s">
        <v>1551</v>
      </c>
      <c r="E2697" s="19" t="s">
        <v>1552</v>
      </c>
      <c r="F2697">
        <v>1</v>
      </c>
    </row>
    <row r="2698" spans="3:6" x14ac:dyDescent="0.25">
      <c r="C2698" s="19"/>
      <c r="D2698" s="19" t="s">
        <v>1553</v>
      </c>
      <c r="E2698" s="19" t="s">
        <v>1554</v>
      </c>
      <c r="F2698">
        <v>0</v>
      </c>
    </row>
    <row r="2699" spans="3:6" x14ac:dyDescent="0.25">
      <c r="C2699" s="19"/>
      <c r="D2699" s="19" t="s">
        <v>1555</v>
      </c>
      <c r="E2699" s="19" t="s">
        <v>1556</v>
      </c>
      <c r="F2699">
        <v>0</v>
      </c>
    </row>
    <row r="2700" spans="3:6" x14ac:dyDescent="0.25">
      <c r="C2700" s="19" t="s">
        <v>1492</v>
      </c>
      <c r="D2700" s="19" t="s">
        <v>1493</v>
      </c>
      <c r="E2700" s="19" t="s">
        <v>1494</v>
      </c>
      <c r="F2700">
        <v>1</v>
      </c>
    </row>
    <row r="2701" spans="3:6" x14ac:dyDescent="0.25">
      <c r="C2701" s="19"/>
      <c r="D2701" s="19" t="s">
        <v>1495</v>
      </c>
      <c r="E2701" s="19" t="s">
        <v>1496</v>
      </c>
      <c r="F2701">
        <v>0</v>
      </c>
    </row>
    <row r="2702" spans="3:6" x14ac:dyDescent="0.25">
      <c r="C2702" s="19"/>
      <c r="D2702" s="19" t="s">
        <v>1497</v>
      </c>
      <c r="E2702" s="19" t="s">
        <v>306</v>
      </c>
      <c r="F2702">
        <v>1</v>
      </c>
    </row>
    <row r="2703" spans="3:6" x14ac:dyDescent="0.25">
      <c r="C2703" s="19"/>
      <c r="D2703" s="19" t="s">
        <v>1498</v>
      </c>
      <c r="E2703" s="19" t="s">
        <v>1499</v>
      </c>
      <c r="F2703">
        <v>1</v>
      </c>
    </row>
    <row r="2704" spans="3:6" x14ac:dyDescent="0.25">
      <c r="C2704" s="19"/>
      <c r="D2704" s="19" t="s">
        <v>1500</v>
      </c>
      <c r="E2704" s="19" t="s">
        <v>1397</v>
      </c>
      <c r="F2704">
        <v>0</v>
      </c>
    </row>
    <row r="2705" spans="3:6" x14ac:dyDescent="0.25">
      <c r="C2705" s="19"/>
      <c r="D2705" s="19" t="s">
        <v>1501</v>
      </c>
      <c r="E2705" s="19" t="s">
        <v>1502</v>
      </c>
      <c r="F2705">
        <v>0</v>
      </c>
    </row>
    <row r="2706" spans="3:6" x14ac:dyDescent="0.25">
      <c r="C2706" s="19"/>
      <c r="D2706" s="19" t="s">
        <v>1503</v>
      </c>
      <c r="E2706" s="19" t="s">
        <v>1504</v>
      </c>
      <c r="F2706">
        <v>1</v>
      </c>
    </row>
    <row r="2707" spans="3:6" x14ac:dyDescent="0.25">
      <c r="C2707" s="19"/>
      <c r="D2707" s="19" t="s">
        <v>1505</v>
      </c>
      <c r="E2707" s="19" t="s">
        <v>1506</v>
      </c>
      <c r="F2707">
        <v>1</v>
      </c>
    </row>
    <row r="2708" spans="3:6" x14ac:dyDescent="0.25">
      <c r="C2708" s="19"/>
      <c r="D2708" s="19" t="s">
        <v>1507</v>
      </c>
      <c r="E2708" s="19" t="s">
        <v>611</v>
      </c>
      <c r="F2708">
        <v>1</v>
      </c>
    </row>
    <row r="2709" spans="3:6" x14ac:dyDescent="0.25">
      <c r="C2709" s="19"/>
      <c r="D2709" s="19" t="s">
        <v>1508</v>
      </c>
      <c r="E2709" s="19" t="s">
        <v>1509</v>
      </c>
      <c r="F2709">
        <v>1</v>
      </c>
    </row>
    <row r="2710" spans="3:6" x14ac:dyDescent="0.25">
      <c r="C2710" s="19"/>
      <c r="D2710" s="19" t="s">
        <v>1510</v>
      </c>
      <c r="E2710" s="19" t="s">
        <v>613</v>
      </c>
      <c r="F2710">
        <v>0</v>
      </c>
    </row>
    <row r="2711" spans="3:6" x14ac:dyDescent="0.25">
      <c r="C2711" s="19"/>
      <c r="D2711" s="19" t="s">
        <v>1511</v>
      </c>
      <c r="E2711" s="19" t="s">
        <v>1419</v>
      </c>
      <c r="F2711">
        <v>0</v>
      </c>
    </row>
    <row r="2712" spans="3:6" x14ac:dyDescent="0.25">
      <c r="C2712" s="19"/>
      <c r="D2712" s="19" t="s">
        <v>1512</v>
      </c>
      <c r="E2712" s="19" t="s">
        <v>621</v>
      </c>
      <c r="F2712">
        <v>0</v>
      </c>
    </row>
    <row r="2713" spans="3:6" x14ac:dyDescent="0.25">
      <c r="C2713" s="19"/>
      <c r="D2713" s="19" t="s">
        <v>1513</v>
      </c>
      <c r="E2713" s="19" t="s">
        <v>1422</v>
      </c>
      <c r="F2713">
        <v>1</v>
      </c>
    </row>
    <row r="2714" spans="3:6" x14ac:dyDescent="0.25">
      <c r="C2714" s="19"/>
      <c r="D2714" s="19" t="s">
        <v>1514</v>
      </c>
      <c r="E2714" s="19" t="s">
        <v>614</v>
      </c>
      <c r="F2714">
        <v>1</v>
      </c>
    </row>
    <row r="2715" spans="3:6" x14ac:dyDescent="0.25">
      <c r="C2715" s="19"/>
      <c r="D2715" s="19" t="s">
        <v>1515</v>
      </c>
      <c r="E2715" s="19" t="s">
        <v>615</v>
      </c>
      <c r="F2715">
        <v>1</v>
      </c>
    </row>
    <row r="2716" spans="3:6" x14ac:dyDescent="0.25">
      <c r="C2716" s="19"/>
      <c r="D2716" s="19" t="s">
        <v>1516</v>
      </c>
      <c r="E2716" s="19" t="s">
        <v>1517</v>
      </c>
      <c r="F2716">
        <v>1</v>
      </c>
    </row>
    <row r="2717" spans="3:6" x14ac:dyDescent="0.25">
      <c r="C2717" s="19"/>
      <c r="D2717" s="19" t="s">
        <v>1518</v>
      </c>
      <c r="E2717" s="19" t="s">
        <v>1519</v>
      </c>
      <c r="F2717">
        <v>1</v>
      </c>
    </row>
    <row r="2718" spans="3:6" x14ac:dyDescent="0.25">
      <c r="C2718" s="19"/>
      <c r="D2718" s="19" t="s">
        <v>1520</v>
      </c>
      <c r="E2718" s="19" t="s">
        <v>1521</v>
      </c>
      <c r="F2718">
        <v>0</v>
      </c>
    </row>
    <row r="2719" spans="3:6" x14ac:dyDescent="0.25">
      <c r="C2719" s="19"/>
      <c r="D2719" s="19" t="s">
        <v>1522</v>
      </c>
      <c r="E2719" s="19" t="s">
        <v>1523</v>
      </c>
      <c r="F2719">
        <v>1</v>
      </c>
    </row>
    <row r="2720" spans="3:6" x14ac:dyDescent="0.25">
      <c r="C2720" s="19"/>
      <c r="D2720" s="19" t="s">
        <v>1524</v>
      </c>
      <c r="E2720" s="19" t="s">
        <v>1525</v>
      </c>
      <c r="F2720">
        <v>0</v>
      </c>
    </row>
    <row r="2721" spans="3:6" x14ac:dyDescent="0.25">
      <c r="C2721" s="19"/>
      <c r="D2721" s="19" t="s">
        <v>1526</v>
      </c>
      <c r="E2721" s="19" t="s">
        <v>1527</v>
      </c>
      <c r="F2721">
        <v>0</v>
      </c>
    </row>
    <row r="2722" spans="3:6" x14ac:dyDescent="0.25">
      <c r="C2722" s="19"/>
      <c r="D2722" s="19" t="s">
        <v>1528</v>
      </c>
      <c r="E2722" s="19" t="s">
        <v>1529</v>
      </c>
      <c r="F2722">
        <v>0</v>
      </c>
    </row>
    <row r="2723" spans="3:6" x14ac:dyDescent="0.25">
      <c r="C2723" s="19"/>
      <c r="D2723" s="19" t="s">
        <v>1530</v>
      </c>
      <c r="E2723" s="19" t="s">
        <v>1430</v>
      </c>
      <c r="F2723">
        <v>1</v>
      </c>
    </row>
    <row r="2724" spans="3:6" x14ac:dyDescent="0.25">
      <c r="C2724" s="19"/>
      <c r="D2724" s="19" t="s">
        <v>1531</v>
      </c>
      <c r="E2724" s="19" t="s">
        <v>503</v>
      </c>
      <c r="F2724">
        <v>1</v>
      </c>
    </row>
    <row r="2725" spans="3:6" x14ac:dyDescent="0.25">
      <c r="C2725" s="19"/>
      <c r="D2725" s="19" t="s">
        <v>1532</v>
      </c>
      <c r="E2725" s="19" t="s">
        <v>1533</v>
      </c>
      <c r="F2725">
        <v>0</v>
      </c>
    </row>
    <row r="2726" spans="3:6" x14ac:dyDescent="0.25">
      <c r="C2726" s="19"/>
      <c r="D2726" s="19" t="s">
        <v>1534</v>
      </c>
      <c r="E2726" s="19" t="s">
        <v>1535</v>
      </c>
      <c r="F2726">
        <v>0</v>
      </c>
    </row>
    <row r="2727" spans="3:6" x14ac:dyDescent="0.25">
      <c r="C2727" s="19" t="s">
        <v>1557</v>
      </c>
      <c r="D2727" s="19" t="s">
        <v>1558</v>
      </c>
      <c r="E2727" s="19" t="s">
        <v>583</v>
      </c>
      <c r="F2727">
        <v>1</v>
      </c>
    </row>
    <row r="2728" spans="3:6" x14ac:dyDescent="0.25">
      <c r="C2728" s="19"/>
      <c r="D2728" s="19" t="s">
        <v>1559</v>
      </c>
      <c r="E2728" s="19" t="s">
        <v>306</v>
      </c>
      <c r="F2728">
        <v>1</v>
      </c>
    </row>
    <row r="2729" spans="3:6" x14ac:dyDescent="0.25">
      <c r="C2729" s="19"/>
      <c r="D2729" s="19" t="s">
        <v>1560</v>
      </c>
      <c r="E2729" s="19" t="s">
        <v>1561</v>
      </c>
      <c r="F2729">
        <v>1</v>
      </c>
    </row>
    <row r="2730" spans="3:6" x14ac:dyDescent="0.25">
      <c r="C2730" s="19"/>
      <c r="D2730" s="19" t="s">
        <v>1562</v>
      </c>
      <c r="E2730" s="19" t="s">
        <v>1563</v>
      </c>
      <c r="F2730">
        <v>1</v>
      </c>
    </row>
    <row r="2731" spans="3:6" x14ac:dyDescent="0.25">
      <c r="C2731" s="19"/>
      <c r="D2731" s="19" t="s">
        <v>1564</v>
      </c>
      <c r="E2731" s="19" t="s">
        <v>633</v>
      </c>
      <c r="F2731">
        <v>1</v>
      </c>
    </row>
    <row r="2732" spans="3:6" x14ac:dyDescent="0.25">
      <c r="C2732" s="19"/>
      <c r="D2732" s="19" t="s">
        <v>1565</v>
      </c>
      <c r="E2732" s="19" t="s">
        <v>493</v>
      </c>
      <c r="F2732">
        <v>0</v>
      </c>
    </row>
    <row r="2733" spans="3:6" x14ac:dyDescent="0.25">
      <c r="C2733" s="19"/>
      <c r="D2733" s="19" t="s">
        <v>1566</v>
      </c>
      <c r="E2733" s="19" t="s">
        <v>275</v>
      </c>
      <c r="F2733">
        <v>0</v>
      </c>
    </row>
    <row r="2734" spans="3:6" x14ac:dyDescent="0.25">
      <c r="C2734" s="19"/>
      <c r="D2734" s="19" t="s">
        <v>1567</v>
      </c>
      <c r="E2734" s="19" t="s">
        <v>1568</v>
      </c>
      <c r="F2734">
        <v>0</v>
      </c>
    </row>
    <row r="2735" spans="3:6" x14ac:dyDescent="0.25">
      <c r="C2735" s="19"/>
      <c r="D2735" s="19" t="s">
        <v>1569</v>
      </c>
      <c r="E2735" s="19" t="s">
        <v>1256</v>
      </c>
      <c r="F2735">
        <v>1</v>
      </c>
    </row>
    <row r="2736" spans="3:6" x14ac:dyDescent="0.25">
      <c r="C2736" s="19"/>
      <c r="D2736" s="19" t="s">
        <v>1570</v>
      </c>
      <c r="E2736" s="19" t="s">
        <v>1571</v>
      </c>
      <c r="F2736">
        <v>0</v>
      </c>
    </row>
    <row r="2737" spans="3:6" x14ac:dyDescent="0.25">
      <c r="C2737" s="19"/>
      <c r="D2737" s="19" t="s">
        <v>1572</v>
      </c>
      <c r="E2737" s="19" t="s">
        <v>1573</v>
      </c>
      <c r="F2737">
        <v>0</v>
      </c>
    </row>
    <row r="2738" spans="3:6" x14ac:dyDescent="0.25">
      <c r="C2738" s="19"/>
      <c r="D2738" s="19" t="s">
        <v>1574</v>
      </c>
      <c r="E2738" s="19" t="s">
        <v>1575</v>
      </c>
      <c r="F2738">
        <v>1</v>
      </c>
    </row>
    <row r="2739" spans="3:6" x14ac:dyDescent="0.25">
      <c r="C2739" s="19"/>
      <c r="D2739" s="19" t="s">
        <v>1576</v>
      </c>
      <c r="E2739" s="19" t="s">
        <v>1577</v>
      </c>
      <c r="F2739">
        <v>0</v>
      </c>
    </row>
    <row r="2740" spans="3:6" x14ac:dyDescent="0.25">
      <c r="C2740" s="19"/>
      <c r="D2740" s="19" t="s">
        <v>1578</v>
      </c>
      <c r="E2740" s="19" t="s">
        <v>503</v>
      </c>
      <c r="F2740">
        <v>1</v>
      </c>
    </row>
    <row r="2741" spans="3:6" x14ac:dyDescent="0.25">
      <c r="C2741" s="19"/>
      <c r="D2741" s="19" t="s">
        <v>1579</v>
      </c>
      <c r="E2741" s="19" t="s">
        <v>1580</v>
      </c>
      <c r="F2741">
        <v>0</v>
      </c>
    </row>
    <row r="2742" spans="3:6" x14ac:dyDescent="0.25">
      <c r="C2742" s="19"/>
      <c r="D2742" s="19" t="s">
        <v>1581</v>
      </c>
      <c r="E2742" s="19" t="s">
        <v>1582</v>
      </c>
      <c r="F2742">
        <v>0</v>
      </c>
    </row>
    <row r="2743" spans="3:6" x14ac:dyDescent="0.25">
      <c r="C2743" s="19"/>
      <c r="D2743" s="19" t="s">
        <v>1583</v>
      </c>
      <c r="E2743" s="19" t="s">
        <v>1584</v>
      </c>
      <c r="F2743">
        <v>0</v>
      </c>
    </row>
    <row r="2744" spans="3:6" x14ac:dyDescent="0.25">
      <c r="C2744" s="19" t="s">
        <v>1292</v>
      </c>
      <c r="D2744" s="19" t="s">
        <v>1293</v>
      </c>
      <c r="E2744" s="19" t="s">
        <v>304</v>
      </c>
      <c r="F2744">
        <v>0</v>
      </c>
    </row>
    <row r="2745" spans="3:6" x14ac:dyDescent="0.25">
      <c r="C2745" s="19"/>
      <c r="D2745" s="19" t="s">
        <v>1294</v>
      </c>
      <c r="E2745" s="19" t="s">
        <v>306</v>
      </c>
      <c r="F2745">
        <v>1</v>
      </c>
    </row>
    <row r="2746" spans="3:6" x14ac:dyDescent="0.25">
      <c r="C2746" s="19"/>
      <c r="D2746" s="19" t="s">
        <v>1295</v>
      </c>
      <c r="E2746" s="19" t="s">
        <v>1296</v>
      </c>
      <c r="F2746">
        <v>0</v>
      </c>
    </row>
    <row r="2747" spans="3:6" x14ac:dyDescent="0.25">
      <c r="C2747" s="19"/>
      <c r="D2747" s="19" t="s">
        <v>1297</v>
      </c>
      <c r="E2747" s="19" t="s">
        <v>729</v>
      </c>
      <c r="F2747">
        <v>1</v>
      </c>
    </row>
    <row r="2748" spans="3:6" x14ac:dyDescent="0.25">
      <c r="C2748" s="19"/>
      <c r="D2748" s="19" t="s">
        <v>1298</v>
      </c>
      <c r="E2748" s="19" t="s">
        <v>343</v>
      </c>
      <c r="F2748">
        <v>0</v>
      </c>
    </row>
    <row r="2749" spans="3:6" x14ac:dyDescent="0.25">
      <c r="C2749" s="19"/>
      <c r="D2749" s="19" t="s">
        <v>1299</v>
      </c>
      <c r="E2749" s="19" t="s">
        <v>1300</v>
      </c>
      <c r="F2749">
        <v>0</v>
      </c>
    </row>
    <row r="2750" spans="3:6" x14ac:dyDescent="0.25">
      <c r="C2750" s="19"/>
      <c r="D2750" s="19" t="s">
        <v>1301</v>
      </c>
      <c r="E2750" s="19" t="s">
        <v>734</v>
      </c>
      <c r="F2750">
        <v>0</v>
      </c>
    </row>
    <row r="2751" spans="3:6" x14ac:dyDescent="0.25">
      <c r="C2751" s="19"/>
      <c r="D2751" s="19" t="s">
        <v>1302</v>
      </c>
      <c r="E2751" s="19" t="s">
        <v>1303</v>
      </c>
      <c r="F2751">
        <v>0</v>
      </c>
    </row>
    <row r="2752" spans="3:6" x14ac:dyDescent="0.25">
      <c r="C2752" s="19"/>
      <c r="D2752" s="19" t="s">
        <v>1304</v>
      </c>
      <c r="E2752" s="19" t="s">
        <v>1305</v>
      </c>
      <c r="F2752">
        <v>1</v>
      </c>
    </row>
    <row r="2753" spans="3:6" x14ac:dyDescent="0.25">
      <c r="C2753" s="19"/>
      <c r="D2753" s="19" t="s">
        <v>1306</v>
      </c>
      <c r="E2753" s="19" t="s">
        <v>1307</v>
      </c>
      <c r="F2753">
        <v>0</v>
      </c>
    </row>
    <row r="2754" spans="3:6" x14ac:dyDescent="0.25">
      <c r="C2754" s="19"/>
      <c r="D2754" s="19" t="s">
        <v>1308</v>
      </c>
      <c r="E2754" s="19" t="s">
        <v>875</v>
      </c>
      <c r="F2754">
        <v>0</v>
      </c>
    </row>
    <row r="2755" spans="3:6" x14ac:dyDescent="0.25">
      <c r="C2755" s="19"/>
      <c r="D2755" s="19" t="s">
        <v>1309</v>
      </c>
      <c r="E2755" s="19" t="s">
        <v>759</v>
      </c>
      <c r="F2755">
        <v>0</v>
      </c>
    </row>
    <row r="2756" spans="3:6" x14ac:dyDescent="0.25">
      <c r="C2756" s="19"/>
      <c r="D2756" s="19" t="s">
        <v>1310</v>
      </c>
      <c r="E2756" s="19" t="s">
        <v>755</v>
      </c>
      <c r="F2756">
        <v>0</v>
      </c>
    </row>
    <row r="2757" spans="3:6" x14ac:dyDescent="0.25">
      <c r="C2757" s="19"/>
      <c r="D2757" s="19" t="s">
        <v>1311</v>
      </c>
      <c r="E2757" s="19" t="s">
        <v>757</v>
      </c>
      <c r="F2757">
        <v>0</v>
      </c>
    </row>
    <row r="2758" spans="3:6" x14ac:dyDescent="0.25">
      <c r="C2758" s="19" t="s">
        <v>1668</v>
      </c>
      <c r="D2758" s="19" t="s">
        <v>1669</v>
      </c>
      <c r="E2758" s="19" t="s">
        <v>304</v>
      </c>
      <c r="F2758">
        <v>0</v>
      </c>
    </row>
    <row r="2759" spans="3:6" x14ac:dyDescent="0.25">
      <c r="C2759" s="19"/>
      <c r="D2759" s="19" t="s">
        <v>1670</v>
      </c>
      <c r="E2759" s="19" t="s">
        <v>306</v>
      </c>
      <c r="F2759">
        <v>1</v>
      </c>
    </row>
    <row r="2760" spans="3:6" x14ac:dyDescent="0.25">
      <c r="C2760" s="19"/>
      <c r="D2760" s="19" t="s">
        <v>1671</v>
      </c>
      <c r="E2760" s="19" t="s">
        <v>1672</v>
      </c>
      <c r="F2760">
        <v>0</v>
      </c>
    </row>
    <row r="2761" spans="3:6" x14ac:dyDescent="0.25">
      <c r="C2761" s="19"/>
      <c r="D2761" s="19" t="s">
        <v>1673</v>
      </c>
      <c r="E2761" s="19" t="s">
        <v>1674</v>
      </c>
      <c r="F2761">
        <v>0</v>
      </c>
    </row>
    <row r="2762" spans="3:6" x14ac:dyDescent="0.25">
      <c r="C2762" s="19"/>
      <c r="D2762" s="19" t="s">
        <v>1675</v>
      </c>
      <c r="E2762" s="19" t="s">
        <v>844</v>
      </c>
      <c r="F2762">
        <v>1</v>
      </c>
    </row>
    <row r="2763" spans="3:6" x14ac:dyDescent="0.25">
      <c r="C2763" s="19"/>
      <c r="D2763" s="19" t="s">
        <v>1676</v>
      </c>
      <c r="E2763" s="19" t="s">
        <v>372</v>
      </c>
      <c r="F2763">
        <v>0</v>
      </c>
    </row>
    <row r="2764" spans="3:6" x14ac:dyDescent="0.25">
      <c r="C2764" s="19"/>
      <c r="D2764" s="19" t="s">
        <v>1677</v>
      </c>
      <c r="E2764" s="19" t="s">
        <v>1678</v>
      </c>
      <c r="F2764">
        <v>0</v>
      </c>
    </row>
    <row r="2765" spans="3:6" x14ac:dyDescent="0.25">
      <c r="C2765" s="19"/>
      <c r="D2765" s="19" t="s">
        <v>1679</v>
      </c>
      <c r="E2765" s="19" t="s">
        <v>1680</v>
      </c>
      <c r="F2765">
        <v>0</v>
      </c>
    </row>
    <row r="2766" spans="3:6" x14ac:dyDescent="0.25">
      <c r="C2766" s="19"/>
      <c r="D2766" s="19" t="s">
        <v>1681</v>
      </c>
      <c r="E2766" s="19" t="s">
        <v>1682</v>
      </c>
      <c r="F2766">
        <v>1</v>
      </c>
    </row>
    <row r="2767" spans="3:6" x14ac:dyDescent="0.25">
      <c r="C2767" s="19"/>
      <c r="D2767" s="19" t="s">
        <v>1683</v>
      </c>
      <c r="E2767" s="19" t="s">
        <v>1684</v>
      </c>
      <c r="F2767">
        <v>1</v>
      </c>
    </row>
    <row r="2768" spans="3:6" x14ac:dyDescent="0.25">
      <c r="C2768" s="19" t="s">
        <v>1220</v>
      </c>
      <c r="D2768" s="19" t="s">
        <v>1221</v>
      </c>
      <c r="E2768" s="19" t="s">
        <v>430</v>
      </c>
      <c r="F2768">
        <v>1</v>
      </c>
    </row>
    <row r="2769" spans="1:6" x14ac:dyDescent="0.25">
      <c r="C2769" s="19"/>
      <c r="D2769" s="19" t="s">
        <v>1222</v>
      </c>
      <c r="E2769" s="19" t="s">
        <v>1223</v>
      </c>
      <c r="F2769">
        <v>1</v>
      </c>
    </row>
    <row r="2770" spans="1:6" x14ac:dyDescent="0.25">
      <c r="C2770" s="19"/>
      <c r="D2770" s="19" t="s">
        <v>1224</v>
      </c>
      <c r="E2770" s="19" t="s">
        <v>1225</v>
      </c>
      <c r="F2770">
        <v>1</v>
      </c>
    </row>
    <row r="2771" spans="1:6" x14ac:dyDescent="0.25">
      <c r="C2771" s="19"/>
      <c r="D2771" s="19" t="s">
        <v>1226</v>
      </c>
      <c r="E2771" s="19" t="s">
        <v>1227</v>
      </c>
      <c r="F2771">
        <v>1</v>
      </c>
    </row>
    <row r="2772" spans="1:6" x14ac:dyDescent="0.25">
      <c r="C2772" s="19"/>
      <c r="D2772" s="19" t="s">
        <v>1228</v>
      </c>
      <c r="E2772" s="19" t="s">
        <v>438</v>
      </c>
      <c r="F2772">
        <v>0</v>
      </c>
    </row>
    <row r="2773" spans="1:6" x14ac:dyDescent="0.25">
      <c r="C2773" s="19"/>
      <c r="D2773" s="19" t="s">
        <v>1229</v>
      </c>
      <c r="E2773" s="19" t="s">
        <v>440</v>
      </c>
      <c r="F2773">
        <v>1</v>
      </c>
    </row>
    <row r="2774" spans="1:6" x14ac:dyDescent="0.25">
      <c r="C2774" s="19"/>
      <c r="D2774" s="19" t="s">
        <v>1230</v>
      </c>
      <c r="E2774" s="19" t="s">
        <v>424</v>
      </c>
      <c r="F2774">
        <v>1</v>
      </c>
    </row>
    <row r="2775" spans="1:6" x14ac:dyDescent="0.25">
      <c r="C2775" s="19"/>
      <c r="D2775" s="19" t="s">
        <v>1231</v>
      </c>
      <c r="E2775" s="19" t="s">
        <v>1232</v>
      </c>
      <c r="F2775">
        <v>0</v>
      </c>
    </row>
    <row r="2776" spans="1:6" x14ac:dyDescent="0.25">
      <c r="C2776" s="19"/>
      <c r="D2776" s="19" t="s">
        <v>1233</v>
      </c>
      <c r="E2776" s="19" t="s">
        <v>1234</v>
      </c>
      <c r="F2776">
        <v>0</v>
      </c>
    </row>
    <row r="2777" spans="1:6" x14ac:dyDescent="0.25">
      <c r="C2777" s="19"/>
      <c r="D2777" s="19" t="s">
        <v>1235</v>
      </c>
      <c r="E2777" s="19" t="s">
        <v>1236</v>
      </c>
      <c r="F2777">
        <v>1</v>
      </c>
    </row>
    <row r="2778" spans="1:6" x14ac:dyDescent="0.25">
      <c r="C2778" s="19"/>
      <c r="D2778" s="19" t="s">
        <v>1237</v>
      </c>
      <c r="E2778" s="19" t="s">
        <v>656</v>
      </c>
      <c r="F2778">
        <v>1</v>
      </c>
    </row>
    <row r="2779" spans="1:6" x14ac:dyDescent="0.25">
      <c r="C2779" s="19"/>
      <c r="D2779" s="19" t="s">
        <v>1238</v>
      </c>
      <c r="E2779" s="19" t="s">
        <v>658</v>
      </c>
      <c r="F2779">
        <v>1</v>
      </c>
    </row>
    <row r="2780" spans="1:6" x14ac:dyDescent="0.25">
      <c r="C2780" s="19"/>
      <c r="D2780" s="19" t="s">
        <v>1239</v>
      </c>
      <c r="E2780" s="19" t="s">
        <v>1240</v>
      </c>
      <c r="F2780">
        <v>0</v>
      </c>
    </row>
    <row r="2781" spans="1:6" x14ac:dyDescent="0.25">
      <c r="C2781" s="19"/>
      <c r="D2781" s="19" t="s">
        <v>1241</v>
      </c>
      <c r="E2781" s="19" t="s">
        <v>1242</v>
      </c>
      <c r="F2781">
        <v>0</v>
      </c>
    </row>
    <row r="2782" spans="1:6" x14ac:dyDescent="0.25">
      <c r="C2782" s="19"/>
      <c r="D2782" s="19" t="s">
        <v>1243</v>
      </c>
      <c r="E2782" s="19" t="s">
        <v>1244</v>
      </c>
      <c r="F2782">
        <v>0</v>
      </c>
    </row>
    <row r="2783" spans="1:6" x14ac:dyDescent="0.25">
      <c r="A2783" s="3">
        <v>472</v>
      </c>
      <c r="B2783" s="15" t="s">
        <v>132</v>
      </c>
      <c r="C2783" s="19" t="s">
        <v>917</v>
      </c>
      <c r="D2783" s="19" t="s">
        <v>918</v>
      </c>
      <c r="E2783" s="19" t="s">
        <v>308</v>
      </c>
      <c r="F2783">
        <v>1</v>
      </c>
    </row>
    <row r="2784" spans="1:6" x14ac:dyDescent="0.25">
      <c r="C2784" s="19"/>
      <c r="D2784" s="19" t="s">
        <v>919</v>
      </c>
      <c r="E2784" s="19" t="s">
        <v>920</v>
      </c>
      <c r="F2784">
        <v>1</v>
      </c>
    </row>
    <row r="2785" spans="3:6" x14ac:dyDescent="0.25">
      <c r="C2785" s="19"/>
      <c r="D2785" s="19" t="s">
        <v>921</v>
      </c>
      <c r="E2785" s="19" t="s">
        <v>922</v>
      </c>
      <c r="F2785">
        <v>1</v>
      </c>
    </row>
    <row r="2786" spans="3:6" x14ac:dyDescent="0.25">
      <c r="C2786" s="19"/>
      <c r="D2786" s="19" t="s">
        <v>923</v>
      </c>
      <c r="E2786" s="19" t="s">
        <v>924</v>
      </c>
      <c r="F2786">
        <v>1</v>
      </c>
    </row>
    <row r="2787" spans="3:6" x14ac:dyDescent="0.25">
      <c r="C2787" s="19"/>
      <c r="D2787" s="19" t="s">
        <v>925</v>
      </c>
      <c r="E2787" s="19" t="s">
        <v>310</v>
      </c>
      <c r="F2787">
        <v>1</v>
      </c>
    </row>
    <row r="2788" spans="3:6" x14ac:dyDescent="0.25">
      <c r="C2788" s="19"/>
      <c r="D2788" s="19" t="s">
        <v>926</v>
      </c>
      <c r="E2788" s="19" t="s">
        <v>927</v>
      </c>
      <c r="F2788">
        <v>1</v>
      </c>
    </row>
    <row r="2789" spans="3:6" x14ac:dyDescent="0.25">
      <c r="C2789" s="19"/>
      <c r="D2789" s="19" t="s">
        <v>928</v>
      </c>
      <c r="E2789" s="19" t="s">
        <v>929</v>
      </c>
      <c r="F2789">
        <v>1</v>
      </c>
    </row>
    <row r="2790" spans="3:6" x14ac:dyDescent="0.25">
      <c r="C2790" s="19"/>
      <c r="D2790" s="19" t="s">
        <v>930</v>
      </c>
      <c r="E2790" s="19" t="s">
        <v>640</v>
      </c>
      <c r="F2790">
        <v>1</v>
      </c>
    </row>
    <row r="2791" spans="3:6" x14ac:dyDescent="0.25">
      <c r="C2791" s="19"/>
      <c r="D2791" s="19" t="s">
        <v>931</v>
      </c>
      <c r="E2791" s="19" t="s">
        <v>932</v>
      </c>
      <c r="F2791">
        <v>1</v>
      </c>
    </row>
    <row r="2792" spans="3:6" x14ac:dyDescent="0.25">
      <c r="C2792" s="19"/>
      <c r="D2792" s="19" t="s">
        <v>933</v>
      </c>
      <c r="E2792" s="19" t="s">
        <v>934</v>
      </c>
      <c r="F2792">
        <v>1</v>
      </c>
    </row>
    <row r="2793" spans="3:6" x14ac:dyDescent="0.25">
      <c r="C2793" s="19"/>
      <c r="D2793" s="19" t="s">
        <v>935</v>
      </c>
      <c r="E2793" s="19" t="s">
        <v>936</v>
      </c>
      <c r="F2793">
        <v>1</v>
      </c>
    </row>
    <row r="2794" spans="3:6" x14ac:dyDescent="0.25">
      <c r="C2794" s="19"/>
      <c r="D2794" s="19" t="s">
        <v>937</v>
      </c>
      <c r="E2794" s="19" t="s">
        <v>938</v>
      </c>
      <c r="F2794">
        <v>1</v>
      </c>
    </row>
    <row r="2795" spans="3:6" x14ac:dyDescent="0.25">
      <c r="C2795" s="19"/>
      <c r="D2795" s="19" t="s">
        <v>939</v>
      </c>
      <c r="E2795" s="19" t="s">
        <v>383</v>
      </c>
      <c r="F2795">
        <v>1</v>
      </c>
    </row>
    <row r="2796" spans="3:6" x14ac:dyDescent="0.25">
      <c r="C2796" s="19"/>
      <c r="D2796" s="19" t="s">
        <v>940</v>
      </c>
      <c r="E2796" s="19" t="s">
        <v>384</v>
      </c>
      <c r="F2796">
        <v>1</v>
      </c>
    </row>
    <row r="2797" spans="3:6" x14ac:dyDescent="0.25">
      <c r="C2797" s="19"/>
      <c r="D2797" s="19" t="s">
        <v>941</v>
      </c>
      <c r="E2797" s="19" t="s">
        <v>942</v>
      </c>
      <c r="F2797">
        <v>1</v>
      </c>
    </row>
    <row r="2798" spans="3:6" x14ac:dyDescent="0.25">
      <c r="C2798" s="19"/>
      <c r="D2798" s="19" t="s">
        <v>943</v>
      </c>
      <c r="E2798" s="19" t="s">
        <v>944</v>
      </c>
      <c r="F2798">
        <v>1</v>
      </c>
    </row>
    <row r="2799" spans="3:6" x14ac:dyDescent="0.25">
      <c r="C2799" s="19"/>
      <c r="D2799" s="19" t="s">
        <v>945</v>
      </c>
      <c r="E2799" s="19" t="s">
        <v>368</v>
      </c>
      <c r="F2799">
        <v>1</v>
      </c>
    </row>
    <row r="2800" spans="3:6" x14ac:dyDescent="0.25">
      <c r="C2800" s="19"/>
      <c r="D2800" s="19" t="s">
        <v>946</v>
      </c>
      <c r="E2800" s="19" t="s">
        <v>370</v>
      </c>
      <c r="F2800">
        <v>1</v>
      </c>
    </row>
    <row r="2801" spans="1:6" x14ac:dyDescent="0.25">
      <c r="C2801" s="19"/>
      <c r="D2801" s="19" t="s">
        <v>947</v>
      </c>
      <c r="E2801" s="19" t="s">
        <v>948</v>
      </c>
      <c r="F2801">
        <v>1</v>
      </c>
    </row>
    <row r="2802" spans="1:6" x14ac:dyDescent="0.25">
      <c r="C2802" s="19"/>
      <c r="D2802" s="19" t="s">
        <v>949</v>
      </c>
      <c r="E2802" s="19" t="s">
        <v>950</v>
      </c>
      <c r="F2802">
        <v>1</v>
      </c>
    </row>
    <row r="2803" spans="1:6" x14ac:dyDescent="0.25">
      <c r="C2803" s="19"/>
      <c r="D2803" s="19" t="s">
        <v>951</v>
      </c>
      <c r="E2803" s="19" t="s">
        <v>952</v>
      </c>
      <c r="F2803">
        <v>1</v>
      </c>
    </row>
    <row r="2804" spans="1:6" x14ac:dyDescent="0.25">
      <c r="C2804" s="19"/>
      <c r="D2804" s="19" t="s">
        <v>953</v>
      </c>
      <c r="E2804" s="19" t="s">
        <v>954</v>
      </c>
      <c r="F2804">
        <v>1</v>
      </c>
    </row>
    <row r="2805" spans="1:6" x14ac:dyDescent="0.25">
      <c r="C2805" s="19"/>
      <c r="D2805" s="19" t="s">
        <v>955</v>
      </c>
      <c r="E2805" s="19" t="s">
        <v>956</v>
      </c>
      <c r="F2805">
        <v>1</v>
      </c>
    </row>
    <row r="2806" spans="1:6" x14ac:dyDescent="0.25">
      <c r="A2806" s="3">
        <v>474</v>
      </c>
      <c r="B2806" s="15" t="s">
        <v>133</v>
      </c>
      <c r="C2806" s="19" t="s">
        <v>1772</v>
      </c>
      <c r="D2806" s="19" t="s">
        <v>1773</v>
      </c>
      <c r="E2806" s="19" t="s">
        <v>1774</v>
      </c>
      <c r="F2806">
        <v>1</v>
      </c>
    </row>
    <row r="2807" spans="1:6" x14ac:dyDescent="0.25">
      <c r="C2807" s="19"/>
      <c r="D2807" s="19" t="s">
        <v>1775</v>
      </c>
      <c r="E2807" s="19" t="s">
        <v>306</v>
      </c>
      <c r="F2807">
        <v>1</v>
      </c>
    </row>
    <row r="2808" spans="1:6" x14ac:dyDescent="0.25">
      <c r="C2808" s="19"/>
      <c r="D2808" s="19" t="s">
        <v>1776</v>
      </c>
      <c r="E2808" s="19" t="s">
        <v>273</v>
      </c>
      <c r="F2808">
        <v>1</v>
      </c>
    </row>
    <row r="2809" spans="1:6" x14ac:dyDescent="0.25">
      <c r="C2809" s="19"/>
      <c r="D2809" s="19" t="s">
        <v>1777</v>
      </c>
      <c r="E2809" s="19" t="s">
        <v>312</v>
      </c>
      <c r="F2809">
        <v>1</v>
      </c>
    </row>
    <row r="2810" spans="1:6" x14ac:dyDescent="0.25">
      <c r="C2810" s="19"/>
      <c r="D2810" s="19" t="s">
        <v>1778</v>
      </c>
      <c r="E2810" s="19" t="s">
        <v>880</v>
      </c>
      <c r="F2810">
        <v>1</v>
      </c>
    </row>
    <row r="2811" spans="1:6" x14ac:dyDescent="0.25">
      <c r="C2811" s="19"/>
      <c r="D2811" s="19" t="s">
        <v>1779</v>
      </c>
      <c r="E2811" s="19" t="s">
        <v>1780</v>
      </c>
      <c r="F2811">
        <v>1</v>
      </c>
    </row>
    <row r="2812" spans="1:6" x14ac:dyDescent="0.25">
      <c r="C2812" s="19"/>
      <c r="D2812" s="19" t="s">
        <v>1781</v>
      </c>
      <c r="E2812" s="19" t="s">
        <v>1782</v>
      </c>
      <c r="F2812">
        <v>1</v>
      </c>
    </row>
    <row r="2813" spans="1:6" x14ac:dyDescent="0.25">
      <c r="C2813" s="19"/>
      <c r="D2813" s="19" t="s">
        <v>1783</v>
      </c>
      <c r="E2813" s="19" t="s">
        <v>1784</v>
      </c>
      <c r="F2813">
        <v>1</v>
      </c>
    </row>
    <row r="2814" spans="1:6" x14ac:dyDescent="0.25">
      <c r="C2814" s="19"/>
      <c r="D2814" s="19" t="s">
        <v>1785</v>
      </c>
      <c r="E2814" s="19" t="s">
        <v>866</v>
      </c>
      <c r="F2814">
        <v>0</v>
      </c>
    </row>
    <row r="2815" spans="1:6" x14ac:dyDescent="0.25">
      <c r="C2815" s="19"/>
      <c r="D2815" s="19" t="s">
        <v>1786</v>
      </c>
      <c r="E2815" s="19" t="s">
        <v>1787</v>
      </c>
      <c r="F2815">
        <v>1</v>
      </c>
    </row>
    <row r="2816" spans="1:6" x14ac:dyDescent="0.25">
      <c r="C2816" s="19"/>
      <c r="D2816" s="19" t="s">
        <v>1788</v>
      </c>
      <c r="E2816" s="19" t="s">
        <v>295</v>
      </c>
      <c r="F2816">
        <v>1</v>
      </c>
    </row>
    <row r="2817" spans="1:6" x14ac:dyDescent="0.25">
      <c r="C2817" s="19"/>
      <c r="D2817" s="19" t="s">
        <v>1789</v>
      </c>
      <c r="E2817" s="19" t="s">
        <v>372</v>
      </c>
      <c r="F2817">
        <v>1</v>
      </c>
    </row>
    <row r="2818" spans="1:6" x14ac:dyDescent="0.25">
      <c r="A2818" s="3">
        <v>476</v>
      </c>
      <c r="B2818" s="16" t="s">
        <v>134</v>
      </c>
      <c r="C2818" s="19" t="s">
        <v>1613</v>
      </c>
      <c r="D2818" s="19" t="s">
        <v>1614</v>
      </c>
      <c r="E2818" s="19" t="s">
        <v>273</v>
      </c>
      <c r="F2818">
        <v>1</v>
      </c>
    </row>
    <row r="2819" spans="1:6" x14ac:dyDescent="0.25">
      <c r="C2819" s="19"/>
      <c r="D2819" s="19" t="s">
        <v>1615</v>
      </c>
      <c r="E2819" s="19" t="s">
        <v>312</v>
      </c>
      <c r="F2819">
        <v>1</v>
      </c>
    </row>
    <row r="2820" spans="1:6" x14ac:dyDescent="0.25">
      <c r="C2820" s="19"/>
      <c r="D2820" s="19" t="s">
        <v>1616</v>
      </c>
      <c r="E2820" s="19" t="s">
        <v>316</v>
      </c>
      <c r="F2820">
        <v>1</v>
      </c>
    </row>
    <row r="2821" spans="1:6" x14ac:dyDescent="0.25">
      <c r="C2821" s="19"/>
      <c r="D2821" s="19" t="s">
        <v>1617</v>
      </c>
      <c r="E2821" s="19" t="s">
        <v>314</v>
      </c>
      <c r="F2821">
        <v>1</v>
      </c>
    </row>
    <row r="2822" spans="1:6" x14ac:dyDescent="0.25">
      <c r="C2822" s="19"/>
      <c r="D2822" s="19" t="s">
        <v>1618</v>
      </c>
      <c r="E2822" s="19" t="s">
        <v>318</v>
      </c>
      <c r="F2822">
        <v>1</v>
      </c>
    </row>
    <row r="2823" spans="1:6" x14ac:dyDescent="0.25">
      <c r="C2823" s="19"/>
      <c r="D2823" s="19" t="s">
        <v>1619</v>
      </c>
      <c r="E2823" s="19" t="s">
        <v>1620</v>
      </c>
      <c r="F2823">
        <v>1</v>
      </c>
    </row>
    <row r="2824" spans="1:6" x14ac:dyDescent="0.25">
      <c r="C2824" s="19"/>
      <c r="D2824" s="19" t="s">
        <v>1621</v>
      </c>
      <c r="E2824" s="19" t="s">
        <v>1622</v>
      </c>
      <c r="F2824">
        <v>1</v>
      </c>
    </row>
    <row r="2825" spans="1:6" x14ac:dyDescent="0.25">
      <c r="C2825" s="19"/>
      <c r="D2825" s="19" t="s">
        <v>1623</v>
      </c>
      <c r="E2825" s="19" t="s">
        <v>322</v>
      </c>
      <c r="F2825">
        <v>1</v>
      </c>
    </row>
    <row r="2826" spans="1:6" x14ac:dyDescent="0.25">
      <c r="C2826" s="19"/>
      <c r="D2826" s="19" t="s">
        <v>1624</v>
      </c>
      <c r="E2826" s="19" t="s">
        <v>936</v>
      </c>
      <c r="F2826">
        <v>1</v>
      </c>
    </row>
    <row r="2827" spans="1:6" x14ac:dyDescent="0.25">
      <c r="C2827" s="19"/>
      <c r="D2827" s="19" t="s">
        <v>1625</v>
      </c>
      <c r="E2827" s="19" t="s">
        <v>938</v>
      </c>
      <c r="F2827">
        <v>1</v>
      </c>
    </row>
    <row r="2828" spans="1:6" x14ac:dyDescent="0.25">
      <c r="C2828" s="19"/>
      <c r="D2828" s="19" t="s">
        <v>1626</v>
      </c>
      <c r="E2828" s="19" t="s">
        <v>1483</v>
      </c>
      <c r="F2828">
        <v>1</v>
      </c>
    </row>
    <row r="2829" spans="1:6" x14ac:dyDescent="0.25">
      <c r="C2829" s="19"/>
      <c r="D2829" s="19" t="s">
        <v>1627</v>
      </c>
      <c r="E2829" s="19" t="s">
        <v>942</v>
      </c>
      <c r="F2829">
        <v>1</v>
      </c>
    </row>
    <row r="2830" spans="1:6" x14ac:dyDescent="0.25">
      <c r="C2830" s="19"/>
      <c r="D2830" s="19" t="s">
        <v>1628</v>
      </c>
      <c r="E2830" s="19" t="s">
        <v>383</v>
      </c>
      <c r="F2830">
        <v>1</v>
      </c>
    </row>
    <row r="2831" spans="1:6" x14ac:dyDescent="0.25">
      <c r="C2831" s="19"/>
      <c r="D2831" s="19" t="s">
        <v>1629</v>
      </c>
      <c r="E2831" s="19" t="s">
        <v>1630</v>
      </c>
      <c r="F2831">
        <v>1</v>
      </c>
    </row>
    <row r="2832" spans="1:6" x14ac:dyDescent="0.25">
      <c r="C2832" s="19"/>
      <c r="D2832" s="19" t="s">
        <v>1631</v>
      </c>
      <c r="E2832" s="19" t="s">
        <v>380</v>
      </c>
      <c r="F2832">
        <v>1</v>
      </c>
    </row>
    <row r="2833" spans="1:6" x14ac:dyDescent="0.25">
      <c r="C2833" s="19"/>
      <c r="D2833" s="19" t="s">
        <v>1632</v>
      </c>
      <c r="E2833" s="19" t="s">
        <v>381</v>
      </c>
      <c r="F2833">
        <v>1</v>
      </c>
    </row>
    <row r="2834" spans="1:6" x14ac:dyDescent="0.25">
      <c r="C2834" s="19"/>
      <c r="D2834" s="19" t="s">
        <v>1633</v>
      </c>
      <c r="E2834" s="19" t="s">
        <v>1634</v>
      </c>
      <c r="F2834">
        <v>1</v>
      </c>
    </row>
    <row r="2835" spans="1:6" x14ac:dyDescent="0.25">
      <c r="C2835" s="19"/>
      <c r="D2835" s="19" t="s">
        <v>1635</v>
      </c>
      <c r="E2835" s="19" t="s">
        <v>328</v>
      </c>
      <c r="F2835">
        <v>0</v>
      </c>
    </row>
    <row r="2836" spans="1:6" x14ac:dyDescent="0.25">
      <c r="C2836" s="19"/>
      <c r="D2836" s="19" t="s">
        <v>1636</v>
      </c>
      <c r="E2836" s="19" t="s">
        <v>1637</v>
      </c>
      <c r="F2836">
        <v>1</v>
      </c>
    </row>
    <row r="2837" spans="1:6" x14ac:dyDescent="0.25">
      <c r="C2837" s="19"/>
      <c r="D2837" s="19" t="s">
        <v>1638</v>
      </c>
      <c r="E2837" s="19" t="s">
        <v>1639</v>
      </c>
      <c r="F2837">
        <v>1</v>
      </c>
    </row>
    <row r="2838" spans="1:6" x14ac:dyDescent="0.25">
      <c r="A2838" s="3">
        <v>478</v>
      </c>
      <c r="B2838" s="16" t="s">
        <v>135</v>
      </c>
      <c r="C2838" s="19" t="s">
        <v>1125</v>
      </c>
      <c r="D2838" s="19" t="s">
        <v>1126</v>
      </c>
      <c r="E2838" s="19" t="s">
        <v>273</v>
      </c>
      <c r="F2838">
        <v>1</v>
      </c>
    </row>
    <row r="2839" spans="1:6" x14ac:dyDescent="0.25">
      <c r="C2839" s="19"/>
      <c r="D2839" s="19" t="s">
        <v>1127</v>
      </c>
      <c r="E2839" s="19" t="s">
        <v>312</v>
      </c>
      <c r="F2839">
        <v>1</v>
      </c>
    </row>
    <row r="2840" spans="1:6" x14ac:dyDescent="0.25">
      <c r="C2840" s="19"/>
      <c r="D2840" s="19" t="s">
        <v>1128</v>
      </c>
      <c r="E2840" s="19" t="s">
        <v>1129</v>
      </c>
      <c r="F2840">
        <v>1</v>
      </c>
    </row>
    <row r="2841" spans="1:6" x14ac:dyDescent="0.25">
      <c r="C2841" s="19"/>
      <c r="D2841" s="19" t="s">
        <v>1130</v>
      </c>
      <c r="E2841" s="19" t="s">
        <v>1131</v>
      </c>
      <c r="F2841">
        <v>1</v>
      </c>
    </row>
    <row r="2842" spans="1:6" x14ac:dyDescent="0.25">
      <c r="C2842" s="19"/>
      <c r="D2842" s="19" t="s">
        <v>1132</v>
      </c>
      <c r="E2842" s="19" t="s">
        <v>1133</v>
      </c>
      <c r="F2842">
        <v>1</v>
      </c>
    </row>
    <row r="2843" spans="1:6" x14ac:dyDescent="0.25">
      <c r="C2843" s="19"/>
      <c r="D2843" s="19" t="s">
        <v>1134</v>
      </c>
      <c r="E2843" s="19" t="s">
        <v>347</v>
      </c>
      <c r="F2843">
        <v>1</v>
      </c>
    </row>
    <row r="2844" spans="1:6" x14ac:dyDescent="0.25">
      <c r="C2844" s="19"/>
      <c r="D2844" s="19" t="s">
        <v>1135</v>
      </c>
      <c r="E2844" s="19" t="s">
        <v>1136</v>
      </c>
      <c r="F2844">
        <v>1</v>
      </c>
    </row>
    <row r="2845" spans="1:6" x14ac:dyDescent="0.25">
      <c r="C2845" s="19"/>
      <c r="D2845" s="19" t="s">
        <v>1137</v>
      </c>
      <c r="E2845" s="19" t="s">
        <v>1138</v>
      </c>
      <c r="F2845">
        <v>1</v>
      </c>
    </row>
    <row r="2846" spans="1:6" x14ac:dyDescent="0.25">
      <c r="C2846" s="19"/>
      <c r="D2846" s="19" t="s">
        <v>1139</v>
      </c>
      <c r="E2846" s="19" t="s">
        <v>1140</v>
      </c>
      <c r="F2846">
        <v>0</v>
      </c>
    </row>
    <row r="2847" spans="1:6" x14ac:dyDescent="0.25">
      <c r="C2847" s="19" t="s">
        <v>567</v>
      </c>
      <c r="D2847" s="19" t="s">
        <v>568</v>
      </c>
      <c r="E2847" s="19" t="s">
        <v>273</v>
      </c>
      <c r="F2847">
        <v>1</v>
      </c>
    </row>
    <row r="2848" spans="1:6" x14ac:dyDescent="0.25">
      <c r="C2848" s="19"/>
      <c r="D2848" s="19" t="s">
        <v>569</v>
      </c>
      <c r="E2848" s="19" t="s">
        <v>570</v>
      </c>
      <c r="F2848">
        <v>1</v>
      </c>
    </row>
    <row r="2849" spans="1:6" x14ac:dyDescent="0.25">
      <c r="C2849" s="19"/>
      <c r="D2849" s="19" t="s">
        <v>571</v>
      </c>
      <c r="E2849" s="19" t="s">
        <v>572</v>
      </c>
      <c r="F2849">
        <v>1</v>
      </c>
    </row>
    <row r="2850" spans="1:6" x14ac:dyDescent="0.25">
      <c r="C2850" s="19"/>
      <c r="D2850" s="19" t="s">
        <v>573</v>
      </c>
      <c r="E2850" s="19" t="s">
        <v>574</v>
      </c>
      <c r="F2850">
        <v>1</v>
      </c>
    </row>
    <row r="2851" spans="1:6" x14ac:dyDescent="0.25">
      <c r="C2851" s="19"/>
      <c r="D2851" s="19" t="s">
        <v>575</v>
      </c>
      <c r="E2851" s="19" t="s">
        <v>576</v>
      </c>
      <c r="F2851">
        <v>1</v>
      </c>
    </row>
    <row r="2852" spans="1:6" x14ac:dyDescent="0.25">
      <c r="C2852" s="19"/>
      <c r="D2852" s="19" t="s">
        <v>577</v>
      </c>
      <c r="E2852" s="19" t="s">
        <v>578</v>
      </c>
      <c r="F2852">
        <v>1</v>
      </c>
    </row>
    <row r="2853" spans="1:6" x14ac:dyDescent="0.25">
      <c r="C2853" s="19"/>
      <c r="D2853" s="19" t="s">
        <v>579</v>
      </c>
      <c r="E2853" s="19" t="s">
        <v>580</v>
      </c>
      <c r="F2853">
        <v>1</v>
      </c>
    </row>
    <row r="2854" spans="1:6" x14ac:dyDescent="0.25">
      <c r="A2854" s="3">
        <v>481</v>
      </c>
      <c r="B2854" s="15" t="s">
        <v>136</v>
      </c>
      <c r="C2854" s="19" t="s">
        <v>450</v>
      </c>
      <c r="D2854" s="19" t="s">
        <v>451</v>
      </c>
      <c r="E2854" s="19" t="s">
        <v>273</v>
      </c>
      <c r="F2854">
        <v>1</v>
      </c>
    </row>
    <row r="2855" spans="1:6" x14ac:dyDescent="0.25">
      <c r="C2855" s="19"/>
      <c r="D2855" s="19" t="s">
        <v>452</v>
      </c>
      <c r="E2855" s="19" t="s">
        <v>453</v>
      </c>
      <c r="F2855">
        <v>1</v>
      </c>
    </row>
    <row r="2856" spans="1:6" x14ac:dyDescent="0.25">
      <c r="C2856" s="19"/>
      <c r="D2856" s="19" t="s">
        <v>454</v>
      </c>
      <c r="E2856" s="19" t="s">
        <v>283</v>
      </c>
      <c r="F2856">
        <v>1</v>
      </c>
    </row>
    <row r="2857" spans="1:6" x14ac:dyDescent="0.25">
      <c r="C2857" s="19"/>
      <c r="D2857" s="19" t="s">
        <v>455</v>
      </c>
      <c r="E2857" s="19" t="s">
        <v>456</v>
      </c>
      <c r="F2857">
        <v>1</v>
      </c>
    </row>
    <row r="2858" spans="1:6" x14ac:dyDescent="0.25">
      <c r="C2858" s="19"/>
      <c r="D2858" s="19" t="s">
        <v>457</v>
      </c>
      <c r="E2858" s="19" t="s">
        <v>295</v>
      </c>
      <c r="F2858">
        <v>1</v>
      </c>
    </row>
    <row r="2859" spans="1:6" x14ac:dyDescent="0.25">
      <c r="C2859" s="19"/>
      <c r="D2859" s="19" t="s">
        <v>458</v>
      </c>
      <c r="E2859" s="19" t="s">
        <v>459</v>
      </c>
      <c r="F2859">
        <v>1</v>
      </c>
    </row>
    <row r="2860" spans="1:6" x14ac:dyDescent="0.25">
      <c r="C2860" s="19"/>
      <c r="D2860" s="19" t="s">
        <v>460</v>
      </c>
      <c r="E2860" s="19" t="s">
        <v>461</v>
      </c>
      <c r="F2860">
        <v>1</v>
      </c>
    </row>
    <row r="2861" spans="1:6" x14ac:dyDescent="0.25">
      <c r="C2861" s="19"/>
      <c r="D2861" s="19" t="s">
        <v>462</v>
      </c>
      <c r="E2861" s="19" t="s">
        <v>372</v>
      </c>
      <c r="F2861">
        <v>1</v>
      </c>
    </row>
    <row r="2862" spans="1:6" x14ac:dyDescent="0.25">
      <c r="A2862" s="3">
        <v>485</v>
      </c>
      <c r="B2862" s="15" t="s">
        <v>137</v>
      </c>
      <c r="C2862" s="19" t="s">
        <v>1832</v>
      </c>
      <c r="D2862" s="19" t="s">
        <v>1833</v>
      </c>
      <c r="E2862" s="19" t="s">
        <v>273</v>
      </c>
      <c r="F2862">
        <v>0</v>
      </c>
    </row>
    <row r="2863" spans="1:6" x14ac:dyDescent="0.25">
      <c r="C2863" s="19"/>
      <c r="D2863" s="19" t="s">
        <v>1834</v>
      </c>
      <c r="E2863" s="19" t="s">
        <v>1835</v>
      </c>
      <c r="F2863">
        <v>0</v>
      </c>
    </row>
    <row r="2864" spans="1:6" x14ac:dyDescent="0.25">
      <c r="C2864" s="19"/>
      <c r="D2864" s="19" t="s">
        <v>1836</v>
      </c>
      <c r="E2864" s="19" t="s">
        <v>1837</v>
      </c>
      <c r="F2864">
        <v>0</v>
      </c>
    </row>
    <row r="2865" spans="1:6" x14ac:dyDescent="0.25">
      <c r="C2865" s="19"/>
      <c r="D2865" s="19" t="s">
        <v>1838</v>
      </c>
      <c r="E2865" s="19" t="s">
        <v>686</v>
      </c>
      <c r="F2865">
        <v>0</v>
      </c>
    </row>
    <row r="2866" spans="1:6" x14ac:dyDescent="0.25">
      <c r="C2866" s="19"/>
      <c r="D2866" s="19" t="s">
        <v>1839</v>
      </c>
      <c r="E2866" s="19" t="s">
        <v>1840</v>
      </c>
      <c r="F2866">
        <v>0</v>
      </c>
    </row>
    <row r="2867" spans="1:6" x14ac:dyDescent="0.25">
      <c r="C2867" s="19"/>
      <c r="D2867" s="19" t="s">
        <v>1841</v>
      </c>
      <c r="E2867" s="19" t="s">
        <v>929</v>
      </c>
      <c r="F2867">
        <v>0</v>
      </c>
    </row>
    <row r="2868" spans="1:6" x14ac:dyDescent="0.25">
      <c r="C2868" s="19"/>
      <c r="D2868" s="19" t="s">
        <v>1842</v>
      </c>
      <c r="E2868" s="19" t="s">
        <v>1214</v>
      </c>
      <c r="F2868">
        <v>1</v>
      </c>
    </row>
    <row r="2869" spans="1:6" x14ac:dyDescent="0.25">
      <c r="C2869" s="19"/>
      <c r="D2869" s="19" t="s">
        <v>1843</v>
      </c>
      <c r="E2869" s="19" t="s">
        <v>1844</v>
      </c>
      <c r="F2869">
        <v>0</v>
      </c>
    </row>
    <row r="2870" spans="1:6" x14ac:dyDescent="0.25">
      <c r="C2870" s="19"/>
      <c r="D2870" s="19" t="s">
        <v>1845</v>
      </c>
      <c r="E2870" s="19" t="s">
        <v>372</v>
      </c>
      <c r="F2870">
        <v>1</v>
      </c>
    </row>
    <row r="2871" spans="1:6" x14ac:dyDescent="0.25">
      <c r="C2871" s="19"/>
      <c r="D2871" s="19" t="s">
        <v>1846</v>
      </c>
      <c r="E2871" s="19" t="s">
        <v>1847</v>
      </c>
      <c r="F2871">
        <v>0</v>
      </c>
    </row>
    <row r="2872" spans="1:6" x14ac:dyDescent="0.25">
      <c r="C2872" s="19"/>
      <c r="D2872" s="19" t="s">
        <v>1848</v>
      </c>
      <c r="E2872" s="19" t="s">
        <v>1849</v>
      </c>
      <c r="F2872">
        <v>1</v>
      </c>
    </row>
    <row r="2873" spans="1:6" x14ac:dyDescent="0.25">
      <c r="C2873" s="19"/>
      <c r="D2873" s="19" t="s">
        <v>1850</v>
      </c>
      <c r="E2873" s="19" t="s">
        <v>1851</v>
      </c>
      <c r="F2873">
        <v>0</v>
      </c>
    </row>
    <row r="2874" spans="1:6" x14ac:dyDescent="0.25">
      <c r="C2874" s="19"/>
      <c r="D2874" s="19" t="s">
        <v>1852</v>
      </c>
      <c r="E2874" s="19" t="s">
        <v>1853</v>
      </c>
      <c r="F2874">
        <v>0</v>
      </c>
    </row>
    <row r="2875" spans="1:6" x14ac:dyDescent="0.25">
      <c r="A2875" s="3">
        <v>488</v>
      </c>
      <c r="B2875" s="15" t="s">
        <v>138</v>
      </c>
      <c r="C2875" s="19" t="s">
        <v>1492</v>
      </c>
      <c r="D2875" s="19" t="s">
        <v>1493</v>
      </c>
      <c r="E2875" s="19" t="s">
        <v>1494</v>
      </c>
      <c r="F2875">
        <v>0</v>
      </c>
    </row>
    <row r="2876" spans="1:6" x14ac:dyDescent="0.25">
      <c r="C2876" s="19"/>
      <c r="D2876" s="19" t="s">
        <v>1495</v>
      </c>
      <c r="E2876" s="19" t="s">
        <v>1496</v>
      </c>
      <c r="F2876">
        <v>0</v>
      </c>
    </row>
    <row r="2877" spans="1:6" x14ac:dyDescent="0.25">
      <c r="C2877" s="19"/>
      <c r="D2877" s="19" t="s">
        <v>1497</v>
      </c>
      <c r="E2877" s="19" t="s">
        <v>306</v>
      </c>
      <c r="F2877">
        <v>0</v>
      </c>
    </row>
    <row r="2878" spans="1:6" x14ac:dyDescent="0.25">
      <c r="C2878" s="19"/>
      <c r="D2878" s="19" t="s">
        <v>1498</v>
      </c>
      <c r="E2878" s="19" t="s">
        <v>1499</v>
      </c>
      <c r="F2878">
        <v>0</v>
      </c>
    </row>
    <row r="2879" spans="1:6" x14ac:dyDescent="0.25">
      <c r="C2879" s="19"/>
      <c r="D2879" s="19" t="s">
        <v>1500</v>
      </c>
      <c r="E2879" s="19" t="s">
        <v>1397</v>
      </c>
      <c r="F2879">
        <v>0</v>
      </c>
    </row>
    <row r="2880" spans="1:6" x14ac:dyDescent="0.25">
      <c r="C2880" s="19"/>
      <c r="D2880" s="19" t="s">
        <v>1501</v>
      </c>
      <c r="E2880" s="19" t="s">
        <v>1502</v>
      </c>
      <c r="F2880">
        <v>0</v>
      </c>
    </row>
    <row r="2881" spans="3:6" x14ac:dyDescent="0.25">
      <c r="C2881" s="19"/>
      <c r="D2881" s="19" t="s">
        <v>1503</v>
      </c>
      <c r="E2881" s="19" t="s">
        <v>1504</v>
      </c>
      <c r="F2881">
        <v>1</v>
      </c>
    </row>
    <row r="2882" spans="3:6" x14ac:dyDescent="0.25">
      <c r="C2882" s="19"/>
      <c r="D2882" s="19" t="s">
        <v>1505</v>
      </c>
      <c r="E2882" s="19" t="s">
        <v>1506</v>
      </c>
      <c r="F2882">
        <v>1</v>
      </c>
    </row>
    <row r="2883" spans="3:6" x14ac:dyDescent="0.25">
      <c r="C2883" s="19"/>
      <c r="D2883" s="19" t="s">
        <v>1507</v>
      </c>
      <c r="E2883" s="19" t="s">
        <v>611</v>
      </c>
      <c r="F2883">
        <v>0</v>
      </c>
    </row>
    <row r="2884" spans="3:6" x14ac:dyDescent="0.25">
      <c r="C2884" s="19"/>
      <c r="D2884" s="19" t="s">
        <v>1508</v>
      </c>
      <c r="E2884" s="19" t="s">
        <v>1509</v>
      </c>
      <c r="F2884">
        <v>1</v>
      </c>
    </row>
    <row r="2885" spans="3:6" x14ac:dyDescent="0.25">
      <c r="C2885" s="19"/>
      <c r="D2885" s="19" t="s">
        <v>1510</v>
      </c>
      <c r="E2885" s="19" t="s">
        <v>613</v>
      </c>
      <c r="F2885">
        <v>0</v>
      </c>
    </row>
    <row r="2886" spans="3:6" x14ac:dyDescent="0.25">
      <c r="C2886" s="19"/>
      <c r="D2886" s="19" t="s">
        <v>1511</v>
      </c>
      <c r="E2886" s="19" t="s">
        <v>1419</v>
      </c>
      <c r="F2886">
        <v>0</v>
      </c>
    </row>
    <row r="2887" spans="3:6" x14ac:dyDescent="0.25">
      <c r="C2887" s="19"/>
      <c r="D2887" s="19" t="s">
        <v>1512</v>
      </c>
      <c r="E2887" s="19" t="s">
        <v>621</v>
      </c>
      <c r="F2887">
        <v>0</v>
      </c>
    </row>
    <row r="2888" spans="3:6" x14ac:dyDescent="0.25">
      <c r="C2888" s="19"/>
      <c r="D2888" s="19" t="s">
        <v>1513</v>
      </c>
      <c r="E2888" s="19" t="s">
        <v>1422</v>
      </c>
      <c r="F2888">
        <v>0</v>
      </c>
    </row>
    <row r="2889" spans="3:6" x14ac:dyDescent="0.25">
      <c r="C2889" s="19"/>
      <c r="D2889" s="19" t="s">
        <v>1514</v>
      </c>
      <c r="E2889" s="19" t="s">
        <v>614</v>
      </c>
      <c r="F2889">
        <v>1</v>
      </c>
    </row>
    <row r="2890" spans="3:6" x14ac:dyDescent="0.25">
      <c r="C2890" s="19"/>
      <c r="D2890" s="19" t="s">
        <v>1515</v>
      </c>
      <c r="E2890" s="19" t="s">
        <v>615</v>
      </c>
      <c r="F2890">
        <v>1</v>
      </c>
    </row>
    <row r="2891" spans="3:6" x14ac:dyDescent="0.25">
      <c r="C2891" s="19"/>
      <c r="D2891" s="19" t="s">
        <v>1516</v>
      </c>
      <c r="E2891" s="19" t="s">
        <v>1517</v>
      </c>
      <c r="F2891">
        <v>1</v>
      </c>
    </row>
    <row r="2892" spans="3:6" x14ac:dyDescent="0.25">
      <c r="C2892" s="19"/>
      <c r="D2892" s="19" t="s">
        <v>1518</v>
      </c>
      <c r="E2892" s="19" t="s">
        <v>1519</v>
      </c>
      <c r="F2892">
        <v>1</v>
      </c>
    </row>
    <row r="2893" spans="3:6" x14ac:dyDescent="0.25">
      <c r="C2893" s="19"/>
      <c r="D2893" s="19" t="s">
        <v>1520</v>
      </c>
      <c r="E2893" s="19" t="s">
        <v>1521</v>
      </c>
      <c r="F2893">
        <v>1</v>
      </c>
    </row>
    <row r="2894" spans="3:6" x14ac:dyDescent="0.25">
      <c r="C2894" s="19"/>
      <c r="D2894" s="19" t="s">
        <v>1522</v>
      </c>
      <c r="E2894" s="19" t="s">
        <v>1523</v>
      </c>
      <c r="F2894">
        <v>0</v>
      </c>
    </row>
    <row r="2895" spans="3:6" x14ac:dyDescent="0.25">
      <c r="C2895" s="19"/>
      <c r="D2895" s="19" t="s">
        <v>1524</v>
      </c>
      <c r="E2895" s="19" t="s">
        <v>1525</v>
      </c>
      <c r="F2895">
        <v>0</v>
      </c>
    </row>
    <row r="2896" spans="3:6" x14ac:dyDescent="0.25">
      <c r="C2896" s="19"/>
      <c r="D2896" s="19" t="s">
        <v>1526</v>
      </c>
      <c r="E2896" s="19" t="s">
        <v>1527</v>
      </c>
      <c r="F2896">
        <v>0</v>
      </c>
    </row>
    <row r="2897" spans="3:6" x14ac:dyDescent="0.25">
      <c r="C2897" s="19"/>
      <c r="D2897" s="19" t="s">
        <v>1528</v>
      </c>
      <c r="E2897" s="19" t="s">
        <v>1529</v>
      </c>
      <c r="F2897">
        <v>0</v>
      </c>
    </row>
    <row r="2898" spans="3:6" x14ac:dyDescent="0.25">
      <c r="C2898" s="19"/>
      <c r="D2898" s="19" t="s">
        <v>1530</v>
      </c>
      <c r="E2898" s="19" t="s">
        <v>1430</v>
      </c>
      <c r="F2898">
        <v>0</v>
      </c>
    </row>
    <row r="2899" spans="3:6" x14ac:dyDescent="0.25">
      <c r="C2899" s="19"/>
      <c r="D2899" s="19" t="s">
        <v>1531</v>
      </c>
      <c r="E2899" s="19" t="s">
        <v>503</v>
      </c>
      <c r="F2899">
        <v>0</v>
      </c>
    </row>
    <row r="2900" spans="3:6" x14ac:dyDescent="0.25">
      <c r="C2900" s="19"/>
      <c r="D2900" s="19" t="s">
        <v>1532</v>
      </c>
      <c r="E2900" s="19" t="s">
        <v>1533</v>
      </c>
      <c r="F2900">
        <v>0</v>
      </c>
    </row>
    <row r="2901" spans="3:6" x14ac:dyDescent="0.25">
      <c r="C2901" s="19"/>
      <c r="D2901" s="19" t="s">
        <v>1534</v>
      </c>
      <c r="E2901" s="19" t="s">
        <v>1535</v>
      </c>
      <c r="F2901">
        <v>0</v>
      </c>
    </row>
    <row r="2902" spans="3:6" x14ac:dyDescent="0.25">
      <c r="C2902" s="19" t="s">
        <v>877</v>
      </c>
      <c r="D2902" s="19" t="s">
        <v>878</v>
      </c>
      <c r="E2902" s="19" t="s">
        <v>312</v>
      </c>
      <c r="F2902">
        <v>0</v>
      </c>
    </row>
    <row r="2903" spans="3:6" x14ac:dyDescent="0.25">
      <c r="C2903" s="19"/>
      <c r="D2903" s="19" t="s">
        <v>879</v>
      </c>
      <c r="E2903" s="19" t="s">
        <v>880</v>
      </c>
      <c r="F2903">
        <v>0</v>
      </c>
    </row>
    <row r="2904" spans="3:6" x14ac:dyDescent="0.25">
      <c r="C2904" s="19"/>
      <c r="D2904" s="19" t="s">
        <v>881</v>
      </c>
      <c r="E2904" s="19" t="s">
        <v>370</v>
      </c>
      <c r="F2904">
        <v>0</v>
      </c>
    </row>
    <row r="2905" spans="3:6" x14ac:dyDescent="0.25">
      <c r="C2905" s="19"/>
      <c r="D2905" s="19" t="s">
        <v>882</v>
      </c>
      <c r="E2905" s="19" t="s">
        <v>883</v>
      </c>
      <c r="F2905">
        <v>0</v>
      </c>
    </row>
    <row r="2906" spans="3:6" x14ac:dyDescent="0.25">
      <c r="C2906" s="19"/>
      <c r="D2906" s="19" t="s">
        <v>884</v>
      </c>
      <c r="E2906" s="19" t="s">
        <v>885</v>
      </c>
      <c r="F2906">
        <v>0</v>
      </c>
    </row>
    <row r="2907" spans="3:6" x14ac:dyDescent="0.25">
      <c r="C2907" s="19"/>
      <c r="D2907" s="19" t="s">
        <v>886</v>
      </c>
      <c r="E2907" s="19" t="s">
        <v>887</v>
      </c>
      <c r="F2907">
        <v>1</v>
      </c>
    </row>
    <row r="2908" spans="3:6" x14ac:dyDescent="0.25">
      <c r="C2908" s="19"/>
      <c r="D2908" s="19" t="s">
        <v>888</v>
      </c>
      <c r="E2908" s="19" t="s">
        <v>889</v>
      </c>
      <c r="F2908">
        <v>1</v>
      </c>
    </row>
    <row r="2909" spans="3:6" x14ac:dyDescent="0.25">
      <c r="C2909" s="19"/>
      <c r="D2909" s="19" t="s">
        <v>890</v>
      </c>
      <c r="E2909" s="19" t="s">
        <v>295</v>
      </c>
      <c r="F2909">
        <v>0</v>
      </c>
    </row>
    <row r="2910" spans="3:6" x14ac:dyDescent="0.25">
      <c r="C2910" s="19" t="s">
        <v>1390</v>
      </c>
      <c r="D2910" s="19" t="s">
        <v>1391</v>
      </c>
      <c r="E2910" s="19" t="s">
        <v>583</v>
      </c>
      <c r="F2910">
        <v>1</v>
      </c>
    </row>
    <row r="2911" spans="3:6" x14ac:dyDescent="0.25">
      <c r="C2911" s="19"/>
      <c r="D2911" s="19" t="s">
        <v>1392</v>
      </c>
      <c r="E2911" s="19" t="s">
        <v>306</v>
      </c>
      <c r="F2911">
        <v>0</v>
      </c>
    </row>
    <row r="2912" spans="3:6" x14ac:dyDescent="0.25">
      <c r="C2912" s="19"/>
      <c r="D2912" s="19" t="s">
        <v>1393</v>
      </c>
      <c r="E2912" s="19" t="s">
        <v>1394</v>
      </c>
      <c r="F2912">
        <v>0</v>
      </c>
    </row>
    <row r="2913" spans="3:6" x14ac:dyDescent="0.25">
      <c r="C2913" s="19"/>
      <c r="D2913" s="19" t="s">
        <v>1395</v>
      </c>
      <c r="E2913" s="19" t="s">
        <v>273</v>
      </c>
      <c r="F2913">
        <v>0</v>
      </c>
    </row>
    <row r="2914" spans="3:6" x14ac:dyDescent="0.25">
      <c r="C2914" s="19"/>
      <c r="D2914" s="19" t="s">
        <v>1396</v>
      </c>
      <c r="E2914" s="19" t="s">
        <v>1397</v>
      </c>
      <c r="F2914">
        <v>0</v>
      </c>
    </row>
    <row r="2915" spans="3:6" x14ac:dyDescent="0.25">
      <c r="C2915" s="19"/>
      <c r="D2915" s="19" t="s">
        <v>1398</v>
      </c>
      <c r="E2915" s="19" t="s">
        <v>493</v>
      </c>
      <c r="F2915">
        <v>0</v>
      </c>
    </row>
    <row r="2916" spans="3:6" x14ac:dyDescent="0.25">
      <c r="C2916" s="19"/>
      <c r="D2916" s="19" t="s">
        <v>1400</v>
      </c>
      <c r="E2916" s="19" t="s">
        <v>1401</v>
      </c>
      <c r="F2916">
        <v>0</v>
      </c>
    </row>
    <row r="2917" spans="3:6" x14ac:dyDescent="0.25">
      <c r="C2917" s="19"/>
      <c r="D2917" s="19" t="s">
        <v>1404</v>
      </c>
      <c r="E2917" s="19" t="s">
        <v>626</v>
      </c>
      <c r="F2917">
        <v>0</v>
      </c>
    </row>
    <row r="2918" spans="3:6" x14ac:dyDescent="0.25">
      <c r="C2918" s="19"/>
      <c r="D2918" s="19" t="s">
        <v>1407</v>
      </c>
      <c r="E2918" s="19" t="s">
        <v>627</v>
      </c>
      <c r="F2918">
        <v>1</v>
      </c>
    </row>
    <row r="2919" spans="3:6" x14ac:dyDescent="0.25">
      <c r="C2919" s="19"/>
      <c r="D2919" s="19" t="s">
        <v>1410</v>
      </c>
      <c r="E2919" s="19" t="s">
        <v>628</v>
      </c>
      <c r="F2919">
        <v>1</v>
      </c>
    </row>
    <row r="2920" spans="3:6" x14ac:dyDescent="0.25">
      <c r="C2920" s="19"/>
      <c r="D2920" s="19" t="s">
        <v>1411</v>
      </c>
      <c r="E2920" s="19" t="s">
        <v>629</v>
      </c>
      <c r="F2920">
        <v>0</v>
      </c>
    </row>
    <row r="2921" spans="3:6" x14ac:dyDescent="0.25">
      <c r="C2921" s="19"/>
      <c r="D2921" s="19" t="s">
        <v>1412</v>
      </c>
      <c r="E2921" s="19" t="s">
        <v>630</v>
      </c>
      <c r="F2921">
        <v>0</v>
      </c>
    </row>
    <row r="2922" spans="3:6" x14ac:dyDescent="0.25">
      <c r="C2922" s="19"/>
      <c r="D2922" s="19" t="s">
        <v>1413</v>
      </c>
      <c r="E2922" s="19" t="s">
        <v>1414</v>
      </c>
      <c r="F2922">
        <v>0</v>
      </c>
    </row>
    <row r="2923" spans="3:6" x14ac:dyDescent="0.25">
      <c r="C2923" s="19"/>
      <c r="D2923" s="19" t="s">
        <v>1415</v>
      </c>
      <c r="E2923" s="19" t="s">
        <v>611</v>
      </c>
      <c r="F2923">
        <v>0</v>
      </c>
    </row>
    <row r="2924" spans="3:6" x14ac:dyDescent="0.25">
      <c r="C2924" s="19"/>
      <c r="D2924" s="19" t="s">
        <v>1416</v>
      </c>
      <c r="E2924" s="19" t="s">
        <v>612</v>
      </c>
      <c r="F2924">
        <v>0</v>
      </c>
    </row>
    <row r="2925" spans="3:6" x14ac:dyDescent="0.25">
      <c r="C2925" s="19"/>
      <c r="D2925" s="19" t="s">
        <v>1417</v>
      </c>
      <c r="E2925" s="19" t="s">
        <v>613</v>
      </c>
      <c r="F2925">
        <v>0</v>
      </c>
    </row>
    <row r="2926" spans="3:6" x14ac:dyDescent="0.25">
      <c r="C2926" s="19"/>
      <c r="D2926" s="19" t="s">
        <v>1418</v>
      </c>
      <c r="E2926" s="19" t="s">
        <v>1419</v>
      </c>
      <c r="F2926">
        <v>1</v>
      </c>
    </row>
    <row r="2927" spans="3:6" x14ac:dyDescent="0.25">
      <c r="C2927" s="19"/>
      <c r="D2927" s="19" t="s">
        <v>1420</v>
      </c>
      <c r="E2927" s="19" t="s">
        <v>621</v>
      </c>
      <c r="F2927">
        <v>1</v>
      </c>
    </row>
    <row r="2928" spans="3:6" x14ac:dyDescent="0.25">
      <c r="C2928" s="19"/>
      <c r="D2928" s="19" t="s">
        <v>1421</v>
      </c>
      <c r="E2928" s="19" t="s">
        <v>1422</v>
      </c>
      <c r="F2928">
        <v>1</v>
      </c>
    </row>
    <row r="2929" spans="3:6" x14ac:dyDescent="0.25">
      <c r="C2929" s="19"/>
      <c r="D2929" s="19" t="s">
        <v>1423</v>
      </c>
      <c r="E2929" s="19" t="s">
        <v>614</v>
      </c>
      <c r="F2929">
        <v>0</v>
      </c>
    </row>
    <row r="2930" spans="3:6" x14ac:dyDescent="0.25">
      <c r="C2930" s="19"/>
      <c r="D2930" s="19" t="s">
        <v>1424</v>
      </c>
      <c r="E2930" s="19" t="s">
        <v>615</v>
      </c>
      <c r="F2930">
        <v>0</v>
      </c>
    </row>
    <row r="2931" spans="3:6" x14ac:dyDescent="0.25">
      <c r="C2931" s="19"/>
      <c r="D2931" s="19" t="s">
        <v>1425</v>
      </c>
      <c r="E2931" s="19" t="s">
        <v>616</v>
      </c>
      <c r="F2931">
        <v>0</v>
      </c>
    </row>
    <row r="2932" spans="3:6" x14ac:dyDescent="0.25">
      <c r="C2932" s="19"/>
      <c r="D2932" s="19" t="s">
        <v>1426</v>
      </c>
      <c r="E2932" s="19" t="s">
        <v>617</v>
      </c>
      <c r="F2932">
        <v>0</v>
      </c>
    </row>
    <row r="2933" spans="3:6" x14ac:dyDescent="0.25">
      <c r="C2933" s="19"/>
      <c r="D2933" s="19" t="s">
        <v>1427</v>
      </c>
      <c r="E2933" s="19" t="s">
        <v>1428</v>
      </c>
      <c r="F2933">
        <v>0</v>
      </c>
    </row>
    <row r="2934" spans="3:6" x14ac:dyDescent="0.25">
      <c r="C2934" s="19"/>
      <c r="D2934" s="19" t="s">
        <v>1429</v>
      </c>
      <c r="E2934" s="19" t="s">
        <v>1430</v>
      </c>
      <c r="F2934">
        <v>0</v>
      </c>
    </row>
    <row r="2935" spans="3:6" x14ac:dyDescent="0.25">
      <c r="C2935" s="19"/>
      <c r="D2935" s="19" t="s">
        <v>1431</v>
      </c>
      <c r="E2935" s="19" t="s">
        <v>1432</v>
      </c>
      <c r="F2935">
        <v>1</v>
      </c>
    </row>
    <row r="2936" spans="3:6" x14ac:dyDescent="0.25">
      <c r="C2936" s="19"/>
      <c r="D2936" s="19" t="s">
        <v>1433</v>
      </c>
      <c r="E2936" s="19" t="s">
        <v>623</v>
      </c>
      <c r="F2936">
        <v>0</v>
      </c>
    </row>
    <row r="2937" spans="3:6" x14ac:dyDescent="0.25">
      <c r="C2937" s="19"/>
      <c r="D2937" s="19" t="s">
        <v>1434</v>
      </c>
      <c r="E2937" s="19" t="s">
        <v>624</v>
      </c>
      <c r="F2937">
        <v>0</v>
      </c>
    </row>
    <row r="2938" spans="3:6" x14ac:dyDescent="0.25">
      <c r="C2938" s="19"/>
      <c r="D2938" s="19" t="s">
        <v>1435</v>
      </c>
      <c r="E2938" s="19" t="s">
        <v>625</v>
      </c>
      <c r="F2938">
        <v>1</v>
      </c>
    </row>
    <row r="2939" spans="3:6" x14ac:dyDescent="0.25">
      <c r="C2939" s="19" t="s">
        <v>450</v>
      </c>
      <c r="D2939" s="19" t="s">
        <v>451</v>
      </c>
      <c r="E2939" s="19" t="s">
        <v>273</v>
      </c>
      <c r="F2939">
        <v>1</v>
      </c>
    </row>
    <row r="2940" spans="3:6" x14ac:dyDescent="0.25">
      <c r="C2940" s="19"/>
      <c r="D2940" s="19" t="s">
        <v>452</v>
      </c>
      <c r="E2940" s="19" t="s">
        <v>453</v>
      </c>
      <c r="F2940">
        <v>1</v>
      </c>
    </row>
    <row r="2941" spans="3:6" x14ac:dyDescent="0.25">
      <c r="C2941" s="19"/>
      <c r="D2941" s="19" t="s">
        <v>454</v>
      </c>
      <c r="E2941" s="19" t="s">
        <v>283</v>
      </c>
      <c r="F2941">
        <v>0</v>
      </c>
    </row>
    <row r="2942" spans="3:6" x14ac:dyDescent="0.25">
      <c r="C2942" s="19"/>
      <c r="D2942" s="19" t="s">
        <v>455</v>
      </c>
      <c r="E2942" s="19" t="s">
        <v>456</v>
      </c>
      <c r="F2942">
        <v>0</v>
      </c>
    </row>
    <row r="2943" spans="3:6" x14ac:dyDescent="0.25">
      <c r="C2943" s="19"/>
      <c r="D2943" s="19" t="s">
        <v>457</v>
      </c>
      <c r="E2943" s="19" t="s">
        <v>295</v>
      </c>
      <c r="F2943">
        <v>0</v>
      </c>
    </row>
    <row r="2944" spans="3:6" x14ac:dyDescent="0.25">
      <c r="C2944" s="19"/>
      <c r="D2944" s="19" t="s">
        <v>458</v>
      </c>
      <c r="E2944" s="19" t="s">
        <v>459</v>
      </c>
      <c r="F2944">
        <v>0</v>
      </c>
    </row>
    <row r="2945" spans="1:6" x14ac:dyDescent="0.25">
      <c r="C2945" s="19"/>
      <c r="D2945" s="19" t="s">
        <v>460</v>
      </c>
      <c r="E2945" s="19" t="s">
        <v>461</v>
      </c>
      <c r="F2945">
        <v>0</v>
      </c>
    </row>
    <row r="2946" spans="1:6" x14ac:dyDescent="0.25">
      <c r="C2946" s="19"/>
      <c r="D2946" s="19" t="s">
        <v>462</v>
      </c>
      <c r="E2946" s="19" t="s">
        <v>372</v>
      </c>
      <c r="F2946">
        <v>0</v>
      </c>
    </row>
    <row r="2947" spans="1:6" x14ac:dyDescent="0.25">
      <c r="C2947" s="19" t="s">
        <v>859</v>
      </c>
      <c r="D2947" s="19" t="s">
        <v>860</v>
      </c>
      <c r="E2947" s="19" t="s">
        <v>273</v>
      </c>
      <c r="F2947">
        <v>0</v>
      </c>
    </row>
    <row r="2948" spans="1:6" x14ac:dyDescent="0.25">
      <c r="C2948" s="19"/>
      <c r="D2948" s="19" t="s">
        <v>861</v>
      </c>
      <c r="E2948" s="19" t="s">
        <v>275</v>
      </c>
      <c r="F2948">
        <v>0</v>
      </c>
    </row>
    <row r="2949" spans="1:6" x14ac:dyDescent="0.25">
      <c r="C2949" s="19"/>
      <c r="D2949" s="19" t="s">
        <v>862</v>
      </c>
      <c r="E2949" s="19" t="s">
        <v>277</v>
      </c>
      <c r="F2949">
        <v>1</v>
      </c>
    </row>
    <row r="2950" spans="1:6" x14ac:dyDescent="0.25">
      <c r="C2950" s="19"/>
      <c r="D2950" s="19" t="s">
        <v>863</v>
      </c>
      <c r="E2950" s="19" t="s">
        <v>283</v>
      </c>
      <c r="F2950">
        <v>1</v>
      </c>
    </row>
    <row r="2951" spans="1:6" x14ac:dyDescent="0.25">
      <c r="C2951" s="19"/>
      <c r="D2951" s="19" t="s">
        <v>864</v>
      </c>
      <c r="E2951" s="19" t="s">
        <v>289</v>
      </c>
      <c r="F2951">
        <v>1</v>
      </c>
    </row>
    <row r="2952" spans="1:6" x14ac:dyDescent="0.25">
      <c r="C2952" s="19"/>
      <c r="D2952" s="19" t="s">
        <v>865</v>
      </c>
      <c r="E2952" s="19" t="s">
        <v>866</v>
      </c>
      <c r="F2952">
        <v>0</v>
      </c>
    </row>
    <row r="2953" spans="1:6" x14ac:dyDescent="0.25">
      <c r="C2953" s="19"/>
      <c r="D2953" s="19" t="s">
        <v>867</v>
      </c>
      <c r="E2953" s="19" t="s">
        <v>868</v>
      </c>
      <c r="F2953">
        <v>1</v>
      </c>
    </row>
    <row r="2954" spans="1:6" x14ac:dyDescent="0.25">
      <c r="C2954" s="19"/>
      <c r="D2954" s="19" t="s">
        <v>869</v>
      </c>
      <c r="E2954" s="19" t="s">
        <v>870</v>
      </c>
      <c r="F2954">
        <v>1</v>
      </c>
    </row>
    <row r="2955" spans="1:6" x14ac:dyDescent="0.25">
      <c r="C2955" s="19"/>
      <c r="D2955" s="19" t="s">
        <v>871</v>
      </c>
      <c r="E2955" s="19" t="s">
        <v>295</v>
      </c>
      <c r="F2955">
        <v>0</v>
      </c>
    </row>
    <row r="2956" spans="1:6" x14ac:dyDescent="0.25">
      <c r="C2956" s="19"/>
      <c r="D2956" s="19" t="s">
        <v>872</v>
      </c>
      <c r="E2956" s="19" t="s">
        <v>873</v>
      </c>
      <c r="F2956">
        <v>0</v>
      </c>
    </row>
    <row r="2957" spans="1:6" x14ac:dyDescent="0.25">
      <c r="C2957" s="19"/>
      <c r="D2957" s="19" t="s">
        <v>874</v>
      </c>
      <c r="E2957" s="19" t="s">
        <v>875</v>
      </c>
      <c r="F2957">
        <v>0</v>
      </c>
    </row>
    <row r="2958" spans="1:6" x14ac:dyDescent="0.25">
      <c r="C2958" s="19"/>
      <c r="D2958" s="19" t="s">
        <v>876</v>
      </c>
      <c r="E2958" s="19" t="s">
        <v>372</v>
      </c>
      <c r="F2958">
        <v>0</v>
      </c>
    </row>
    <row r="2959" spans="1:6" x14ac:dyDescent="0.25">
      <c r="A2959" s="3">
        <v>489</v>
      </c>
      <c r="B2959" s="15" t="s">
        <v>139</v>
      </c>
      <c r="C2959" s="19" t="s">
        <v>1457</v>
      </c>
      <c r="D2959" s="19" t="s">
        <v>1458</v>
      </c>
      <c r="E2959" s="19" t="s">
        <v>273</v>
      </c>
      <c r="F2959">
        <v>1</v>
      </c>
    </row>
    <row r="2960" spans="1:6" x14ac:dyDescent="0.25">
      <c r="C2960" s="19"/>
      <c r="D2960" s="19" t="s">
        <v>1459</v>
      </c>
      <c r="E2960" s="19" t="s">
        <v>640</v>
      </c>
      <c r="F2960">
        <v>1</v>
      </c>
    </row>
    <row r="2961" spans="3:6" x14ac:dyDescent="0.25">
      <c r="C2961" s="19"/>
      <c r="D2961" s="19" t="s">
        <v>1460</v>
      </c>
      <c r="E2961" s="19" t="s">
        <v>929</v>
      </c>
      <c r="F2961">
        <v>0</v>
      </c>
    </row>
    <row r="2962" spans="3:6" x14ac:dyDescent="0.25">
      <c r="C2962" s="19"/>
      <c r="D2962" s="19" t="s">
        <v>1461</v>
      </c>
      <c r="E2962" s="19" t="s">
        <v>1462</v>
      </c>
      <c r="F2962">
        <v>0</v>
      </c>
    </row>
    <row r="2963" spans="3:6" x14ac:dyDescent="0.25">
      <c r="C2963" s="19"/>
      <c r="D2963" s="19" t="s">
        <v>1463</v>
      </c>
      <c r="E2963" s="19" t="s">
        <v>1464</v>
      </c>
      <c r="F2963">
        <v>0</v>
      </c>
    </row>
    <row r="2964" spans="3:6" x14ac:dyDescent="0.25">
      <c r="C2964" s="19"/>
      <c r="D2964" s="19" t="s">
        <v>1465</v>
      </c>
      <c r="E2964" s="19" t="s">
        <v>347</v>
      </c>
      <c r="F2964">
        <v>0</v>
      </c>
    </row>
    <row r="2965" spans="3:6" x14ac:dyDescent="0.25">
      <c r="C2965" s="19"/>
      <c r="D2965" s="19" t="s">
        <v>1466</v>
      </c>
      <c r="E2965" s="19" t="s">
        <v>1467</v>
      </c>
      <c r="F2965">
        <v>1</v>
      </c>
    </row>
    <row r="2966" spans="3:6" x14ac:dyDescent="0.25">
      <c r="C2966" s="19"/>
      <c r="D2966" s="19" t="s">
        <v>1468</v>
      </c>
      <c r="E2966" s="19" t="s">
        <v>1469</v>
      </c>
      <c r="F2966">
        <v>1</v>
      </c>
    </row>
    <row r="2967" spans="3:6" x14ac:dyDescent="0.25">
      <c r="C2967" s="19"/>
      <c r="D2967" s="19" t="s">
        <v>1470</v>
      </c>
      <c r="E2967" s="19" t="s">
        <v>1471</v>
      </c>
      <c r="F2967">
        <v>1</v>
      </c>
    </row>
    <row r="2968" spans="3:6" x14ac:dyDescent="0.25">
      <c r="C2968" s="19"/>
      <c r="D2968" s="19" t="s">
        <v>1472</v>
      </c>
      <c r="E2968" s="19" t="s">
        <v>391</v>
      </c>
      <c r="F2968">
        <v>1</v>
      </c>
    </row>
    <row r="2969" spans="3:6" x14ac:dyDescent="0.25">
      <c r="C2969" s="19"/>
      <c r="D2969" s="19" t="s">
        <v>1473</v>
      </c>
      <c r="E2969" s="19" t="s">
        <v>956</v>
      </c>
      <c r="F2969">
        <v>1</v>
      </c>
    </row>
    <row r="2970" spans="3:6" x14ac:dyDescent="0.25">
      <c r="C2970" s="19" t="s">
        <v>1751</v>
      </c>
      <c r="D2970" s="19" t="s">
        <v>1752</v>
      </c>
      <c r="E2970" s="19" t="s">
        <v>304</v>
      </c>
      <c r="F2970">
        <v>1</v>
      </c>
    </row>
    <row r="2971" spans="3:6" x14ac:dyDescent="0.25">
      <c r="C2971" s="19"/>
      <c r="D2971" s="19" t="s">
        <v>1753</v>
      </c>
      <c r="E2971" s="19" t="s">
        <v>306</v>
      </c>
      <c r="F2971">
        <v>1</v>
      </c>
    </row>
    <row r="2972" spans="3:6" x14ac:dyDescent="0.25">
      <c r="C2972" s="19"/>
      <c r="D2972" s="19" t="s">
        <v>1754</v>
      </c>
      <c r="E2972" s="19" t="s">
        <v>1755</v>
      </c>
      <c r="F2972">
        <v>1</v>
      </c>
    </row>
    <row r="2973" spans="3:6" x14ac:dyDescent="0.25">
      <c r="C2973" s="19"/>
      <c r="D2973" s="19" t="s">
        <v>1756</v>
      </c>
      <c r="E2973" s="19" t="s">
        <v>343</v>
      </c>
      <c r="F2973">
        <v>1</v>
      </c>
    </row>
    <row r="2974" spans="3:6" x14ac:dyDescent="0.25">
      <c r="C2974" s="19"/>
      <c r="D2974" s="19" t="s">
        <v>1757</v>
      </c>
      <c r="E2974" s="19" t="s">
        <v>349</v>
      </c>
      <c r="F2974" s="7">
        <v>1</v>
      </c>
    </row>
    <row r="2975" spans="3:6" x14ac:dyDescent="0.25">
      <c r="C2975" s="19"/>
      <c r="D2975" s="19" t="s">
        <v>1758</v>
      </c>
      <c r="E2975" s="19" t="s">
        <v>793</v>
      </c>
      <c r="F2975">
        <v>1</v>
      </c>
    </row>
    <row r="2976" spans="3:6" x14ac:dyDescent="0.25">
      <c r="C2976" s="19"/>
      <c r="D2976" s="19" t="s">
        <v>1759</v>
      </c>
      <c r="E2976" s="19" t="s">
        <v>1760</v>
      </c>
      <c r="F2976">
        <v>0</v>
      </c>
    </row>
    <row r="2977" spans="1:6" x14ac:dyDescent="0.25">
      <c r="C2977" s="19"/>
      <c r="D2977" s="19" t="s">
        <v>1761</v>
      </c>
      <c r="E2977" s="19" t="s">
        <v>359</v>
      </c>
      <c r="F2977">
        <v>0</v>
      </c>
    </row>
    <row r="2978" spans="1:6" x14ac:dyDescent="0.25">
      <c r="C2978" s="19"/>
      <c r="D2978" s="19" t="s">
        <v>1762</v>
      </c>
      <c r="E2978" s="19" t="s">
        <v>361</v>
      </c>
      <c r="F2978">
        <v>1</v>
      </c>
    </row>
    <row r="2979" spans="1:6" x14ac:dyDescent="0.25">
      <c r="C2979" s="19"/>
      <c r="D2979" s="19" t="s">
        <v>1763</v>
      </c>
      <c r="E2979" s="19" t="s">
        <v>1303</v>
      </c>
      <c r="F2979">
        <v>1</v>
      </c>
    </row>
    <row r="2980" spans="1:6" x14ac:dyDescent="0.25">
      <c r="C2980" s="19" t="s">
        <v>450</v>
      </c>
      <c r="D2980" s="19" t="s">
        <v>451</v>
      </c>
      <c r="E2980" s="19" t="s">
        <v>273</v>
      </c>
      <c r="F2980">
        <v>0</v>
      </c>
    </row>
    <row r="2981" spans="1:6" x14ac:dyDescent="0.25">
      <c r="C2981" s="19"/>
      <c r="D2981" s="19" t="s">
        <v>452</v>
      </c>
      <c r="E2981" s="19" t="s">
        <v>453</v>
      </c>
      <c r="F2981">
        <v>1</v>
      </c>
    </row>
    <row r="2982" spans="1:6" x14ac:dyDescent="0.25">
      <c r="C2982" s="19"/>
      <c r="D2982" s="19" t="s">
        <v>454</v>
      </c>
      <c r="E2982" s="19" t="s">
        <v>283</v>
      </c>
      <c r="F2982">
        <v>1</v>
      </c>
    </row>
    <row r="2983" spans="1:6" x14ac:dyDescent="0.25">
      <c r="C2983" s="19"/>
      <c r="D2983" s="19" t="s">
        <v>455</v>
      </c>
      <c r="E2983" s="19" t="s">
        <v>456</v>
      </c>
      <c r="F2983">
        <v>1</v>
      </c>
    </row>
    <row r="2984" spans="1:6" x14ac:dyDescent="0.25">
      <c r="C2984" s="19"/>
      <c r="D2984" s="19" t="s">
        <v>457</v>
      </c>
      <c r="E2984" s="19" t="s">
        <v>295</v>
      </c>
      <c r="F2984">
        <v>1</v>
      </c>
    </row>
    <row r="2985" spans="1:6" x14ac:dyDescent="0.25">
      <c r="C2985" s="19"/>
      <c r="D2985" s="19" t="s">
        <v>458</v>
      </c>
      <c r="E2985" s="19" t="s">
        <v>459</v>
      </c>
      <c r="F2985">
        <v>1</v>
      </c>
    </row>
    <row r="2986" spans="1:6" x14ac:dyDescent="0.25">
      <c r="C2986" s="19"/>
      <c r="D2986" s="19" t="s">
        <v>460</v>
      </c>
      <c r="E2986" s="19" t="s">
        <v>461</v>
      </c>
      <c r="F2986">
        <v>1</v>
      </c>
    </row>
    <row r="2987" spans="1:6" x14ac:dyDescent="0.25">
      <c r="C2987" s="19"/>
      <c r="D2987" s="19" t="s">
        <v>462</v>
      </c>
      <c r="E2987" s="19" t="s">
        <v>372</v>
      </c>
      <c r="F2987">
        <v>1</v>
      </c>
    </row>
    <row r="2988" spans="1:6" x14ac:dyDescent="0.25">
      <c r="A2988" s="3">
        <v>493</v>
      </c>
      <c r="B2988" s="15" t="s">
        <v>140</v>
      </c>
      <c r="C2988" s="19" t="s">
        <v>422</v>
      </c>
      <c r="D2988" s="19" t="s">
        <v>423</v>
      </c>
      <c r="E2988" s="19" t="s">
        <v>424</v>
      </c>
      <c r="F2988">
        <v>1</v>
      </c>
    </row>
    <row r="2989" spans="1:6" x14ac:dyDescent="0.25">
      <c r="C2989" s="19"/>
      <c r="D2989" s="19" t="s">
        <v>425</v>
      </c>
      <c r="E2989" s="19" t="s">
        <v>426</v>
      </c>
      <c r="F2989">
        <v>1</v>
      </c>
    </row>
    <row r="2990" spans="1:6" x14ac:dyDescent="0.25">
      <c r="C2990" s="19"/>
      <c r="D2990" s="19" t="s">
        <v>427</v>
      </c>
      <c r="E2990" s="19" t="s">
        <v>428</v>
      </c>
      <c r="F2990">
        <v>0</v>
      </c>
    </row>
    <row r="2991" spans="1:6" x14ac:dyDescent="0.25">
      <c r="C2991" s="19"/>
      <c r="D2991" s="19" t="s">
        <v>429</v>
      </c>
      <c r="E2991" s="19" t="s">
        <v>430</v>
      </c>
      <c r="F2991">
        <v>1</v>
      </c>
    </row>
    <row r="2992" spans="1:6" x14ac:dyDescent="0.25">
      <c r="C2992" s="19"/>
      <c r="D2992" s="19" t="s">
        <v>431</v>
      </c>
      <c r="E2992" s="19" t="s">
        <v>432</v>
      </c>
      <c r="F2992">
        <v>1</v>
      </c>
    </row>
    <row r="2993" spans="3:6" x14ac:dyDescent="0.25">
      <c r="C2993" s="19"/>
      <c r="D2993" s="19" t="s">
        <v>433</v>
      </c>
      <c r="E2993" s="19" t="s">
        <v>434</v>
      </c>
      <c r="F2993">
        <v>1</v>
      </c>
    </row>
    <row r="2994" spans="3:6" x14ac:dyDescent="0.25">
      <c r="C2994" s="19"/>
      <c r="D2994" s="19" t="s">
        <v>435</v>
      </c>
      <c r="E2994" s="19" t="s">
        <v>436</v>
      </c>
      <c r="F2994">
        <v>1</v>
      </c>
    </row>
    <row r="2995" spans="3:6" x14ac:dyDescent="0.25">
      <c r="C2995" s="19"/>
      <c r="D2995" s="19" t="s">
        <v>437</v>
      </c>
      <c r="E2995" s="19" t="s">
        <v>438</v>
      </c>
      <c r="F2995">
        <v>1</v>
      </c>
    </row>
    <row r="2996" spans="3:6" x14ac:dyDescent="0.25">
      <c r="C2996" s="19"/>
      <c r="D2996" s="19" t="s">
        <v>439</v>
      </c>
      <c r="E2996" s="19" t="s">
        <v>440</v>
      </c>
      <c r="F2996">
        <v>1</v>
      </c>
    </row>
    <row r="2997" spans="3:6" x14ac:dyDescent="0.25">
      <c r="C2997" s="19" t="s">
        <v>1220</v>
      </c>
      <c r="D2997" s="19" t="s">
        <v>1221</v>
      </c>
      <c r="E2997" s="19" t="s">
        <v>430</v>
      </c>
      <c r="F2997">
        <v>1</v>
      </c>
    </row>
    <row r="2998" spans="3:6" x14ac:dyDescent="0.25">
      <c r="C2998" s="19"/>
      <c r="D2998" s="19" t="s">
        <v>1222</v>
      </c>
      <c r="E2998" s="19" t="s">
        <v>1223</v>
      </c>
      <c r="F2998">
        <v>0</v>
      </c>
    </row>
    <row r="2999" spans="3:6" x14ac:dyDescent="0.25">
      <c r="C2999" s="19"/>
      <c r="D2999" s="19" t="s">
        <v>1224</v>
      </c>
      <c r="E2999" s="19" t="s">
        <v>1225</v>
      </c>
      <c r="F2999">
        <v>0</v>
      </c>
    </row>
    <row r="3000" spans="3:6" x14ac:dyDescent="0.25">
      <c r="C3000" s="19"/>
      <c r="D3000" s="19" t="s">
        <v>1226</v>
      </c>
      <c r="E3000" s="19" t="s">
        <v>1227</v>
      </c>
      <c r="F3000">
        <v>1</v>
      </c>
    </row>
    <row r="3001" spans="3:6" x14ac:dyDescent="0.25">
      <c r="C3001" s="19"/>
      <c r="D3001" s="19" t="s">
        <v>1228</v>
      </c>
      <c r="E3001" s="19" t="s">
        <v>438</v>
      </c>
      <c r="F3001">
        <v>1</v>
      </c>
    </row>
    <row r="3002" spans="3:6" x14ac:dyDescent="0.25">
      <c r="C3002" s="19"/>
      <c r="D3002" s="19" t="s">
        <v>1229</v>
      </c>
      <c r="E3002" s="19" t="s">
        <v>440</v>
      </c>
      <c r="F3002">
        <v>1</v>
      </c>
    </row>
    <row r="3003" spans="3:6" x14ac:dyDescent="0.25">
      <c r="C3003" s="19"/>
      <c r="D3003" s="19" t="s">
        <v>1230</v>
      </c>
      <c r="E3003" s="19" t="s">
        <v>424</v>
      </c>
      <c r="F3003">
        <v>1</v>
      </c>
    </row>
    <row r="3004" spans="3:6" x14ac:dyDescent="0.25">
      <c r="C3004" s="19"/>
      <c r="D3004" s="19" t="s">
        <v>1231</v>
      </c>
      <c r="E3004" s="19" t="s">
        <v>1232</v>
      </c>
      <c r="F3004">
        <v>1</v>
      </c>
    </row>
    <row r="3005" spans="3:6" x14ac:dyDescent="0.25">
      <c r="C3005" s="19"/>
      <c r="D3005" s="19" t="s">
        <v>1233</v>
      </c>
      <c r="E3005" s="19" t="s">
        <v>1234</v>
      </c>
      <c r="F3005">
        <v>1</v>
      </c>
    </row>
    <row r="3006" spans="3:6" x14ac:dyDescent="0.25">
      <c r="C3006" s="19"/>
      <c r="D3006" s="19" t="s">
        <v>1235</v>
      </c>
      <c r="E3006" s="19" t="s">
        <v>1236</v>
      </c>
      <c r="F3006">
        <v>1</v>
      </c>
    </row>
    <row r="3007" spans="3:6" x14ac:dyDescent="0.25">
      <c r="C3007" s="19"/>
      <c r="D3007" s="19" t="s">
        <v>1237</v>
      </c>
      <c r="E3007" s="19" t="s">
        <v>656</v>
      </c>
      <c r="F3007">
        <v>1</v>
      </c>
    </row>
    <row r="3008" spans="3:6" x14ac:dyDescent="0.25">
      <c r="C3008" s="19"/>
      <c r="D3008" s="19" t="s">
        <v>1238</v>
      </c>
      <c r="E3008" s="19" t="s">
        <v>658</v>
      </c>
      <c r="F3008">
        <v>1</v>
      </c>
    </row>
    <row r="3009" spans="1:6" x14ac:dyDescent="0.25">
      <c r="C3009" s="19"/>
      <c r="D3009" s="19" t="s">
        <v>1239</v>
      </c>
      <c r="E3009" s="19" t="s">
        <v>1240</v>
      </c>
      <c r="F3009">
        <v>1</v>
      </c>
    </row>
    <row r="3010" spans="1:6" x14ac:dyDescent="0.25">
      <c r="C3010" s="19"/>
      <c r="D3010" s="19" t="s">
        <v>1241</v>
      </c>
      <c r="E3010" s="19" t="s">
        <v>1242</v>
      </c>
      <c r="F3010">
        <v>1</v>
      </c>
    </row>
    <row r="3011" spans="1:6" x14ac:dyDescent="0.25">
      <c r="C3011" s="19"/>
      <c r="D3011" s="19" t="s">
        <v>1243</v>
      </c>
      <c r="E3011" s="19" t="s">
        <v>1244</v>
      </c>
      <c r="F3011">
        <v>0</v>
      </c>
    </row>
    <row r="3012" spans="1:6" x14ac:dyDescent="0.25">
      <c r="C3012" s="19" t="s">
        <v>682</v>
      </c>
      <c r="D3012" s="19" t="s">
        <v>683</v>
      </c>
      <c r="E3012" s="19" t="s">
        <v>684</v>
      </c>
      <c r="F3012">
        <v>1</v>
      </c>
    </row>
    <row r="3013" spans="1:6" x14ac:dyDescent="0.25">
      <c r="C3013" s="19"/>
      <c r="D3013" s="19" t="s">
        <v>685</v>
      </c>
      <c r="E3013" s="19" t="s">
        <v>686</v>
      </c>
      <c r="F3013">
        <v>1</v>
      </c>
    </row>
    <row r="3014" spans="1:6" x14ac:dyDescent="0.25">
      <c r="C3014" s="19"/>
      <c r="D3014" s="19" t="s">
        <v>687</v>
      </c>
      <c r="E3014" s="19" t="s">
        <v>638</v>
      </c>
      <c r="F3014">
        <v>1</v>
      </c>
    </row>
    <row r="3015" spans="1:6" x14ac:dyDescent="0.25">
      <c r="C3015" s="19"/>
      <c r="D3015" s="19" t="s">
        <v>688</v>
      </c>
      <c r="E3015" s="19" t="s">
        <v>689</v>
      </c>
      <c r="F3015">
        <v>1</v>
      </c>
    </row>
    <row r="3016" spans="1:6" x14ac:dyDescent="0.25">
      <c r="C3016" s="19"/>
      <c r="D3016" s="19" t="s">
        <v>690</v>
      </c>
      <c r="E3016" s="19" t="s">
        <v>640</v>
      </c>
      <c r="F3016">
        <v>1</v>
      </c>
    </row>
    <row r="3017" spans="1:6" x14ac:dyDescent="0.25">
      <c r="C3017" s="19"/>
      <c r="D3017" s="19" t="s">
        <v>691</v>
      </c>
      <c r="E3017" s="19" t="s">
        <v>692</v>
      </c>
      <c r="F3017">
        <v>1</v>
      </c>
    </row>
    <row r="3018" spans="1:6" x14ac:dyDescent="0.25">
      <c r="C3018" s="19"/>
      <c r="D3018" s="19" t="s">
        <v>693</v>
      </c>
      <c r="E3018" s="19" t="s">
        <v>694</v>
      </c>
      <c r="F3018">
        <v>1</v>
      </c>
    </row>
    <row r="3019" spans="1:6" x14ac:dyDescent="0.25">
      <c r="C3019" s="19"/>
      <c r="D3019" s="19" t="s">
        <v>695</v>
      </c>
      <c r="E3019" s="19" t="s">
        <v>696</v>
      </c>
      <c r="F3019">
        <v>0</v>
      </c>
    </row>
    <row r="3020" spans="1:6" x14ac:dyDescent="0.25">
      <c r="C3020" s="19"/>
      <c r="D3020" s="19" t="s">
        <v>697</v>
      </c>
      <c r="E3020" s="19" t="s">
        <v>698</v>
      </c>
      <c r="F3020">
        <v>0</v>
      </c>
    </row>
    <row r="3021" spans="1:6" x14ac:dyDescent="0.25">
      <c r="C3021" s="19"/>
      <c r="D3021" s="19" t="s">
        <v>699</v>
      </c>
      <c r="E3021" s="19" t="s">
        <v>700</v>
      </c>
      <c r="F3021">
        <v>0</v>
      </c>
    </row>
    <row r="3022" spans="1:6" x14ac:dyDescent="0.25">
      <c r="A3022" s="3">
        <v>494</v>
      </c>
      <c r="B3022" s="15" t="s">
        <v>140</v>
      </c>
      <c r="C3022" s="19" t="s">
        <v>422</v>
      </c>
      <c r="D3022" s="19" t="s">
        <v>423</v>
      </c>
      <c r="E3022" s="19" t="s">
        <v>424</v>
      </c>
      <c r="F3022">
        <v>0</v>
      </c>
    </row>
    <row r="3023" spans="1:6" x14ac:dyDescent="0.25">
      <c r="C3023" s="19"/>
      <c r="D3023" s="19" t="s">
        <v>425</v>
      </c>
      <c r="E3023" s="19" t="s">
        <v>426</v>
      </c>
      <c r="F3023">
        <v>1</v>
      </c>
    </row>
    <row r="3024" spans="1:6" x14ac:dyDescent="0.25">
      <c r="C3024" s="19"/>
      <c r="D3024" s="19" t="s">
        <v>427</v>
      </c>
      <c r="E3024" s="19" t="s">
        <v>428</v>
      </c>
      <c r="F3024">
        <v>0</v>
      </c>
    </row>
    <row r="3025" spans="3:6" x14ac:dyDescent="0.25">
      <c r="C3025" s="19"/>
      <c r="D3025" s="19" t="s">
        <v>429</v>
      </c>
      <c r="E3025" s="19" t="s">
        <v>430</v>
      </c>
      <c r="F3025">
        <v>0</v>
      </c>
    </row>
    <row r="3026" spans="3:6" x14ac:dyDescent="0.25">
      <c r="C3026" s="19"/>
      <c r="D3026" s="19" t="s">
        <v>431</v>
      </c>
      <c r="E3026" s="19" t="s">
        <v>432</v>
      </c>
      <c r="F3026">
        <v>1</v>
      </c>
    </row>
    <row r="3027" spans="3:6" x14ac:dyDescent="0.25">
      <c r="C3027" s="19"/>
      <c r="D3027" s="19" t="s">
        <v>433</v>
      </c>
      <c r="E3027" s="19" t="s">
        <v>434</v>
      </c>
      <c r="F3027">
        <v>1</v>
      </c>
    </row>
    <row r="3028" spans="3:6" x14ac:dyDescent="0.25">
      <c r="C3028" s="19"/>
      <c r="D3028" s="19" t="s">
        <v>435</v>
      </c>
      <c r="E3028" s="19" t="s">
        <v>436</v>
      </c>
      <c r="F3028">
        <v>1</v>
      </c>
    </row>
    <row r="3029" spans="3:6" x14ac:dyDescent="0.25">
      <c r="C3029" s="19"/>
      <c r="D3029" s="19" t="s">
        <v>437</v>
      </c>
      <c r="E3029" s="19" t="s">
        <v>438</v>
      </c>
      <c r="F3029">
        <v>1</v>
      </c>
    </row>
    <row r="3030" spans="3:6" x14ac:dyDescent="0.25">
      <c r="C3030" s="19"/>
      <c r="D3030" s="19" t="s">
        <v>439</v>
      </c>
      <c r="E3030" s="19" t="s">
        <v>440</v>
      </c>
      <c r="F3030">
        <v>1</v>
      </c>
    </row>
    <row r="3031" spans="3:6" x14ac:dyDescent="0.25">
      <c r="C3031" s="19" t="s">
        <v>1220</v>
      </c>
      <c r="D3031" s="19" t="s">
        <v>1221</v>
      </c>
      <c r="E3031" s="19" t="s">
        <v>430</v>
      </c>
      <c r="F3031">
        <v>1</v>
      </c>
    </row>
    <row r="3032" spans="3:6" x14ac:dyDescent="0.25">
      <c r="C3032" s="19"/>
      <c r="D3032" s="19" t="s">
        <v>1222</v>
      </c>
      <c r="E3032" s="19" t="s">
        <v>1223</v>
      </c>
      <c r="F3032">
        <v>0</v>
      </c>
    </row>
    <row r="3033" spans="3:6" x14ac:dyDescent="0.25">
      <c r="C3033" s="19"/>
      <c r="D3033" s="19" t="s">
        <v>1224</v>
      </c>
      <c r="E3033" s="19" t="s">
        <v>1225</v>
      </c>
      <c r="F3033">
        <v>0</v>
      </c>
    </row>
    <row r="3034" spans="3:6" x14ac:dyDescent="0.25">
      <c r="C3034" s="19"/>
      <c r="D3034" s="19" t="s">
        <v>1226</v>
      </c>
      <c r="E3034" s="19" t="s">
        <v>1227</v>
      </c>
      <c r="F3034">
        <v>1</v>
      </c>
    </row>
    <row r="3035" spans="3:6" x14ac:dyDescent="0.25">
      <c r="C3035" s="19"/>
      <c r="D3035" s="19" t="s">
        <v>1228</v>
      </c>
      <c r="E3035" s="19" t="s">
        <v>438</v>
      </c>
      <c r="F3035">
        <v>1</v>
      </c>
    </row>
    <row r="3036" spans="3:6" x14ac:dyDescent="0.25">
      <c r="C3036" s="19"/>
      <c r="D3036" s="19" t="s">
        <v>1229</v>
      </c>
      <c r="E3036" s="19" t="s">
        <v>440</v>
      </c>
      <c r="F3036">
        <v>1</v>
      </c>
    </row>
    <row r="3037" spans="3:6" x14ac:dyDescent="0.25">
      <c r="C3037" s="19"/>
      <c r="D3037" s="19" t="s">
        <v>1230</v>
      </c>
      <c r="E3037" s="19" t="s">
        <v>424</v>
      </c>
      <c r="F3037">
        <v>1</v>
      </c>
    </row>
    <row r="3038" spans="3:6" x14ac:dyDescent="0.25">
      <c r="C3038" s="19"/>
      <c r="D3038" s="19" t="s">
        <v>1231</v>
      </c>
      <c r="E3038" s="19" t="s">
        <v>1232</v>
      </c>
      <c r="F3038">
        <v>1</v>
      </c>
    </row>
    <row r="3039" spans="3:6" x14ac:dyDescent="0.25">
      <c r="C3039" s="19"/>
      <c r="D3039" s="19" t="s">
        <v>1233</v>
      </c>
      <c r="E3039" s="19" t="s">
        <v>1234</v>
      </c>
      <c r="F3039">
        <v>1</v>
      </c>
    </row>
    <row r="3040" spans="3:6" x14ac:dyDescent="0.25">
      <c r="C3040" s="19"/>
      <c r="D3040" s="19" t="s">
        <v>1235</v>
      </c>
      <c r="E3040" s="19" t="s">
        <v>1236</v>
      </c>
      <c r="F3040">
        <v>1</v>
      </c>
    </row>
    <row r="3041" spans="1:6" x14ac:dyDescent="0.25">
      <c r="C3041" s="19"/>
      <c r="D3041" s="19" t="s">
        <v>1237</v>
      </c>
      <c r="E3041" s="19" t="s">
        <v>656</v>
      </c>
      <c r="F3041">
        <v>1</v>
      </c>
    </row>
    <row r="3042" spans="1:6" x14ac:dyDescent="0.25">
      <c r="C3042" s="19"/>
      <c r="D3042" s="19" t="s">
        <v>1238</v>
      </c>
      <c r="E3042" s="19" t="s">
        <v>658</v>
      </c>
      <c r="F3042">
        <v>1</v>
      </c>
    </row>
    <row r="3043" spans="1:6" x14ac:dyDescent="0.25">
      <c r="C3043" s="19"/>
      <c r="D3043" s="19" t="s">
        <v>1239</v>
      </c>
      <c r="E3043" s="19" t="s">
        <v>1240</v>
      </c>
      <c r="F3043">
        <v>1</v>
      </c>
    </row>
    <row r="3044" spans="1:6" x14ac:dyDescent="0.25">
      <c r="C3044" s="19"/>
      <c r="D3044" s="19" t="s">
        <v>1241</v>
      </c>
      <c r="E3044" s="19" t="s">
        <v>1242</v>
      </c>
      <c r="F3044">
        <v>1</v>
      </c>
    </row>
    <row r="3045" spans="1:6" x14ac:dyDescent="0.25">
      <c r="C3045" s="19"/>
      <c r="D3045" s="19" t="s">
        <v>1243</v>
      </c>
      <c r="E3045" s="19" t="s">
        <v>1244</v>
      </c>
      <c r="F3045">
        <v>1</v>
      </c>
    </row>
    <row r="3046" spans="1:6" x14ac:dyDescent="0.25">
      <c r="C3046" s="19" t="s">
        <v>682</v>
      </c>
      <c r="D3046" s="19" t="s">
        <v>683</v>
      </c>
      <c r="E3046" s="19" t="s">
        <v>684</v>
      </c>
      <c r="F3046">
        <v>0</v>
      </c>
    </row>
    <row r="3047" spans="1:6" x14ac:dyDescent="0.25">
      <c r="C3047" s="19"/>
      <c r="D3047" s="19" t="s">
        <v>685</v>
      </c>
      <c r="E3047" s="19" t="s">
        <v>686</v>
      </c>
      <c r="F3047">
        <v>1</v>
      </c>
    </row>
    <row r="3048" spans="1:6" x14ac:dyDescent="0.25">
      <c r="C3048" s="19"/>
      <c r="D3048" s="19" t="s">
        <v>687</v>
      </c>
      <c r="E3048" s="19" t="s">
        <v>638</v>
      </c>
      <c r="F3048">
        <v>1</v>
      </c>
    </row>
    <row r="3049" spans="1:6" x14ac:dyDescent="0.25">
      <c r="C3049" s="19"/>
      <c r="D3049" s="19" t="s">
        <v>688</v>
      </c>
      <c r="E3049" s="19" t="s">
        <v>689</v>
      </c>
      <c r="F3049">
        <v>0</v>
      </c>
    </row>
    <row r="3050" spans="1:6" x14ac:dyDescent="0.25">
      <c r="C3050" s="19"/>
      <c r="D3050" s="19" t="s">
        <v>690</v>
      </c>
      <c r="E3050" s="19" t="s">
        <v>640</v>
      </c>
      <c r="F3050">
        <v>1</v>
      </c>
    </row>
    <row r="3051" spans="1:6" x14ac:dyDescent="0.25">
      <c r="C3051" s="19"/>
      <c r="D3051" s="19" t="s">
        <v>691</v>
      </c>
      <c r="E3051" s="19" t="s">
        <v>692</v>
      </c>
      <c r="F3051">
        <v>1</v>
      </c>
    </row>
    <row r="3052" spans="1:6" x14ac:dyDescent="0.25">
      <c r="C3052" s="19"/>
      <c r="D3052" s="19" t="s">
        <v>693</v>
      </c>
      <c r="E3052" s="19" t="s">
        <v>694</v>
      </c>
      <c r="F3052">
        <v>1</v>
      </c>
    </row>
    <row r="3053" spans="1:6" x14ac:dyDescent="0.25">
      <c r="C3053" s="19"/>
      <c r="D3053" s="19" t="s">
        <v>695</v>
      </c>
      <c r="E3053" s="19" t="s">
        <v>696</v>
      </c>
      <c r="F3053">
        <v>0</v>
      </c>
    </row>
    <row r="3054" spans="1:6" x14ac:dyDescent="0.25">
      <c r="C3054" s="19"/>
      <c r="D3054" s="19" t="s">
        <v>697</v>
      </c>
      <c r="E3054" s="19" t="s">
        <v>698</v>
      </c>
      <c r="F3054">
        <v>1</v>
      </c>
    </row>
    <row r="3055" spans="1:6" x14ac:dyDescent="0.25">
      <c r="C3055" s="19"/>
      <c r="D3055" s="19" t="s">
        <v>699</v>
      </c>
      <c r="E3055" s="19" t="s">
        <v>700</v>
      </c>
      <c r="F3055">
        <v>1</v>
      </c>
    </row>
    <row r="3056" spans="1:6" x14ac:dyDescent="0.25">
      <c r="A3056" s="3">
        <v>498</v>
      </c>
      <c r="B3056" s="15" t="s">
        <v>141</v>
      </c>
      <c r="C3056" s="19" t="s">
        <v>581</v>
      </c>
      <c r="D3056" s="19" t="s">
        <v>582</v>
      </c>
      <c r="E3056" s="19" t="s">
        <v>583</v>
      </c>
      <c r="F3056">
        <v>1</v>
      </c>
    </row>
    <row r="3057" spans="3:7" x14ac:dyDescent="0.25">
      <c r="C3057" s="19"/>
      <c r="D3057" s="19" t="s">
        <v>584</v>
      </c>
      <c r="E3057" s="19" t="s">
        <v>306</v>
      </c>
      <c r="F3057">
        <v>1</v>
      </c>
    </row>
    <row r="3058" spans="3:7" x14ac:dyDescent="0.25">
      <c r="C3058" s="19"/>
      <c r="D3058" s="19" t="s">
        <v>585</v>
      </c>
      <c r="E3058" s="19" t="s">
        <v>586</v>
      </c>
      <c r="F3058">
        <v>1</v>
      </c>
    </row>
    <row r="3059" spans="3:7" x14ac:dyDescent="0.25">
      <c r="C3059" s="19"/>
      <c r="D3059" s="19" t="s">
        <v>587</v>
      </c>
      <c r="E3059" s="19" t="s">
        <v>588</v>
      </c>
      <c r="F3059">
        <v>1</v>
      </c>
    </row>
    <row r="3060" spans="3:7" x14ac:dyDescent="0.25">
      <c r="C3060" s="19"/>
      <c r="D3060" s="19" t="s">
        <v>589</v>
      </c>
      <c r="E3060" s="19" t="s">
        <v>312</v>
      </c>
      <c r="F3060">
        <v>1</v>
      </c>
    </row>
    <row r="3061" spans="3:7" x14ac:dyDescent="0.25">
      <c r="C3061" s="19"/>
      <c r="D3061" s="19" t="s">
        <v>590</v>
      </c>
      <c r="E3061" s="19" t="s">
        <v>493</v>
      </c>
      <c r="F3061">
        <v>1</v>
      </c>
    </row>
    <row r="3062" spans="3:7" x14ac:dyDescent="0.25">
      <c r="C3062" s="19"/>
      <c r="D3062" s="19" t="s">
        <v>591</v>
      </c>
      <c r="E3062" s="19" t="s">
        <v>314</v>
      </c>
      <c r="F3062">
        <v>1</v>
      </c>
    </row>
    <row r="3063" spans="3:7" x14ac:dyDescent="0.25">
      <c r="C3063" s="19"/>
      <c r="D3063" s="19" t="s">
        <v>592</v>
      </c>
      <c r="E3063" s="19" t="s">
        <v>275</v>
      </c>
      <c r="F3063">
        <v>1</v>
      </c>
    </row>
    <row r="3064" spans="3:7" x14ac:dyDescent="0.25">
      <c r="C3064" s="19"/>
      <c r="D3064" s="19" t="s">
        <v>593</v>
      </c>
      <c r="E3064" s="19" t="s">
        <v>594</v>
      </c>
      <c r="F3064">
        <v>1</v>
      </c>
    </row>
    <row r="3065" spans="3:7" x14ac:dyDescent="0.25">
      <c r="C3065" s="19"/>
      <c r="D3065" s="19" t="s">
        <v>595</v>
      </c>
      <c r="E3065" s="19" t="s">
        <v>349</v>
      </c>
      <c r="F3065">
        <v>1</v>
      </c>
      <c r="G3065" s="7"/>
    </row>
    <row r="3066" spans="3:7" x14ac:dyDescent="0.25">
      <c r="C3066" s="19"/>
      <c r="D3066" s="19" t="s">
        <v>596</v>
      </c>
      <c r="E3066" s="19" t="s">
        <v>597</v>
      </c>
      <c r="F3066">
        <v>1</v>
      </c>
    </row>
    <row r="3067" spans="3:7" x14ac:dyDescent="0.25">
      <c r="C3067" s="19"/>
      <c r="D3067" s="19" t="s">
        <v>598</v>
      </c>
      <c r="E3067" s="19" t="s">
        <v>599</v>
      </c>
      <c r="F3067">
        <v>0</v>
      </c>
    </row>
    <row r="3068" spans="3:7" x14ac:dyDescent="0.25">
      <c r="C3068" s="19"/>
      <c r="D3068" s="19" t="s">
        <v>600</v>
      </c>
      <c r="E3068" s="19" t="s">
        <v>601</v>
      </c>
      <c r="F3068">
        <v>1</v>
      </c>
    </row>
    <row r="3069" spans="3:7" x14ac:dyDescent="0.25">
      <c r="C3069" s="19"/>
      <c r="D3069" s="19" t="s">
        <v>602</v>
      </c>
      <c r="E3069" s="19" t="s">
        <v>603</v>
      </c>
      <c r="F3069">
        <v>1</v>
      </c>
    </row>
    <row r="3070" spans="3:7" x14ac:dyDescent="0.25">
      <c r="C3070" s="19"/>
      <c r="D3070" s="19" t="s">
        <v>604</v>
      </c>
      <c r="E3070" s="19" t="s">
        <v>605</v>
      </c>
      <c r="F3070">
        <v>1</v>
      </c>
    </row>
    <row r="3071" spans="3:7" x14ac:dyDescent="0.25">
      <c r="C3071" s="19"/>
      <c r="D3071" s="19" t="s">
        <v>606</v>
      </c>
      <c r="E3071" s="19" t="s">
        <v>503</v>
      </c>
      <c r="F3071">
        <v>1</v>
      </c>
    </row>
    <row r="3072" spans="3:7" x14ac:dyDescent="0.25">
      <c r="C3072" s="19"/>
      <c r="D3072" s="19" t="s">
        <v>607</v>
      </c>
      <c r="E3072" s="19" t="s">
        <v>505</v>
      </c>
      <c r="F3072">
        <v>1</v>
      </c>
    </row>
    <row r="3073" spans="1:6" x14ac:dyDescent="0.25">
      <c r="C3073" s="19"/>
      <c r="D3073" s="19" t="s">
        <v>608</v>
      </c>
      <c r="E3073" s="19" t="s">
        <v>609</v>
      </c>
      <c r="F3073">
        <v>1</v>
      </c>
    </row>
    <row r="3074" spans="1:6" x14ac:dyDescent="0.25">
      <c r="A3074" s="3">
        <v>500</v>
      </c>
      <c r="B3074" s="15" t="s">
        <v>142</v>
      </c>
      <c r="C3074" s="19" t="s">
        <v>636</v>
      </c>
      <c r="D3074" s="19" t="s">
        <v>637</v>
      </c>
      <c r="E3074" s="19" t="s">
        <v>638</v>
      </c>
      <c r="F3074">
        <v>1</v>
      </c>
    </row>
    <row r="3075" spans="1:6" x14ac:dyDescent="0.25">
      <c r="C3075" s="19"/>
      <c r="D3075" s="19" t="s">
        <v>639</v>
      </c>
      <c r="E3075" s="19" t="s">
        <v>640</v>
      </c>
      <c r="F3075">
        <v>1</v>
      </c>
    </row>
    <row r="3076" spans="1:6" x14ac:dyDescent="0.25">
      <c r="C3076" s="19"/>
      <c r="D3076" s="19" t="s">
        <v>641</v>
      </c>
      <c r="E3076" s="19" t="s">
        <v>642</v>
      </c>
      <c r="F3076">
        <v>1</v>
      </c>
    </row>
    <row r="3077" spans="1:6" x14ac:dyDescent="0.25">
      <c r="C3077" s="19"/>
      <c r="D3077" s="19" t="s">
        <v>643</v>
      </c>
      <c r="E3077" s="19" t="s">
        <v>644</v>
      </c>
      <c r="F3077">
        <v>0</v>
      </c>
    </row>
    <row r="3078" spans="1:6" x14ac:dyDescent="0.25">
      <c r="C3078" s="19"/>
      <c r="D3078" s="19" t="s">
        <v>645</v>
      </c>
      <c r="E3078" s="19" t="s">
        <v>646</v>
      </c>
      <c r="F3078">
        <v>1</v>
      </c>
    </row>
    <row r="3079" spans="1:6" x14ac:dyDescent="0.25">
      <c r="C3079" s="19"/>
      <c r="D3079" s="19" t="s">
        <v>647</v>
      </c>
      <c r="E3079" s="19" t="s">
        <v>648</v>
      </c>
      <c r="F3079">
        <v>1</v>
      </c>
    </row>
    <row r="3080" spans="1:6" x14ac:dyDescent="0.25">
      <c r="C3080" s="19"/>
      <c r="D3080" s="19" t="s">
        <v>649</v>
      </c>
      <c r="E3080" s="19" t="s">
        <v>650</v>
      </c>
      <c r="F3080">
        <v>1</v>
      </c>
    </row>
    <row r="3081" spans="1:6" x14ac:dyDescent="0.25">
      <c r="C3081" s="19"/>
      <c r="D3081" s="19" t="s">
        <v>651</v>
      </c>
      <c r="E3081" s="19" t="s">
        <v>652</v>
      </c>
      <c r="F3081">
        <v>1</v>
      </c>
    </row>
    <row r="3082" spans="1:6" x14ac:dyDescent="0.25">
      <c r="C3082" s="19"/>
      <c r="D3082" s="19" t="s">
        <v>653</v>
      </c>
      <c r="E3082" s="19" t="s">
        <v>438</v>
      </c>
      <c r="F3082">
        <v>1</v>
      </c>
    </row>
    <row r="3083" spans="1:6" x14ac:dyDescent="0.25">
      <c r="C3083" s="19"/>
      <c r="D3083" s="19" t="s">
        <v>654</v>
      </c>
      <c r="E3083" s="19" t="s">
        <v>440</v>
      </c>
      <c r="F3083">
        <v>0</v>
      </c>
    </row>
    <row r="3084" spans="1:6" x14ac:dyDescent="0.25">
      <c r="C3084" s="19"/>
      <c r="D3084" s="19" t="s">
        <v>655</v>
      </c>
      <c r="E3084" s="19" t="s">
        <v>656</v>
      </c>
      <c r="F3084">
        <v>1</v>
      </c>
    </row>
    <row r="3085" spans="1:6" x14ac:dyDescent="0.25">
      <c r="C3085" s="19"/>
      <c r="D3085" s="19" t="s">
        <v>657</v>
      </c>
      <c r="E3085" s="19" t="s">
        <v>658</v>
      </c>
      <c r="F3085">
        <v>1</v>
      </c>
    </row>
    <row r="3086" spans="1:6" x14ac:dyDescent="0.25">
      <c r="C3086" s="19" t="s">
        <v>422</v>
      </c>
      <c r="D3086" s="19" t="s">
        <v>423</v>
      </c>
      <c r="E3086" s="19" t="s">
        <v>424</v>
      </c>
      <c r="F3086">
        <v>0</v>
      </c>
    </row>
    <row r="3087" spans="1:6" x14ac:dyDescent="0.25">
      <c r="C3087" s="19"/>
      <c r="D3087" s="19" t="s">
        <v>425</v>
      </c>
      <c r="E3087" s="19" t="s">
        <v>426</v>
      </c>
      <c r="F3087">
        <v>0</v>
      </c>
    </row>
    <row r="3088" spans="1:6" x14ac:dyDescent="0.25">
      <c r="C3088" s="19"/>
      <c r="D3088" s="19" t="s">
        <v>427</v>
      </c>
      <c r="E3088" s="19" t="s">
        <v>428</v>
      </c>
      <c r="F3088">
        <v>1</v>
      </c>
    </row>
    <row r="3089" spans="1:6" x14ac:dyDescent="0.25">
      <c r="C3089" s="19"/>
      <c r="D3089" s="19" t="s">
        <v>429</v>
      </c>
      <c r="E3089" s="19" t="s">
        <v>430</v>
      </c>
      <c r="F3089">
        <v>1</v>
      </c>
    </row>
    <row r="3090" spans="1:6" x14ac:dyDescent="0.25">
      <c r="C3090" s="19"/>
      <c r="D3090" s="19" t="s">
        <v>431</v>
      </c>
      <c r="E3090" s="19" t="s">
        <v>432</v>
      </c>
      <c r="F3090">
        <v>1</v>
      </c>
    </row>
    <row r="3091" spans="1:6" x14ac:dyDescent="0.25">
      <c r="C3091" s="19"/>
      <c r="D3091" s="19" t="s">
        <v>433</v>
      </c>
      <c r="E3091" s="19" t="s">
        <v>434</v>
      </c>
      <c r="F3091">
        <v>1</v>
      </c>
    </row>
    <row r="3092" spans="1:6" x14ac:dyDescent="0.25">
      <c r="C3092" s="19"/>
      <c r="D3092" s="19" t="s">
        <v>435</v>
      </c>
      <c r="E3092" s="19" t="s">
        <v>436</v>
      </c>
      <c r="F3092">
        <v>1</v>
      </c>
    </row>
    <row r="3093" spans="1:6" x14ac:dyDescent="0.25">
      <c r="C3093" s="19"/>
      <c r="D3093" s="19" t="s">
        <v>437</v>
      </c>
      <c r="E3093" s="19" t="s">
        <v>438</v>
      </c>
      <c r="F3093">
        <v>0</v>
      </c>
    </row>
    <row r="3094" spans="1:6" x14ac:dyDescent="0.25">
      <c r="C3094" s="19"/>
      <c r="D3094" s="19" t="s">
        <v>439</v>
      </c>
      <c r="E3094" s="19" t="s">
        <v>440</v>
      </c>
      <c r="F3094">
        <v>1</v>
      </c>
    </row>
    <row r="3095" spans="1:6" x14ac:dyDescent="0.25">
      <c r="A3095" s="3">
        <v>501</v>
      </c>
      <c r="B3095" s="15" t="s">
        <v>143</v>
      </c>
      <c r="C3095" s="19" t="s">
        <v>1685</v>
      </c>
      <c r="D3095" s="19" t="s">
        <v>1686</v>
      </c>
      <c r="E3095" s="19" t="s">
        <v>1687</v>
      </c>
      <c r="F3095">
        <v>1</v>
      </c>
    </row>
    <row r="3096" spans="1:6" x14ac:dyDescent="0.25">
      <c r="C3096" s="19"/>
      <c r="D3096" s="19" t="s">
        <v>1688</v>
      </c>
      <c r="E3096" s="19" t="s">
        <v>1689</v>
      </c>
      <c r="F3096">
        <v>1</v>
      </c>
    </row>
    <row r="3097" spans="1:6" x14ac:dyDescent="0.25">
      <c r="C3097" s="19"/>
      <c r="D3097" s="19" t="s">
        <v>1690</v>
      </c>
      <c r="E3097" s="19" t="s">
        <v>1691</v>
      </c>
      <c r="F3097">
        <v>1</v>
      </c>
    </row>
    <row r="3098" spans="1:6" x14ac:dyDescent="0.25">
      <c r="C3098" s="19"/>
      <c r="D3098" s="19" t="s">
        <v>1692</v>
      </c>
      <c r="E3098" s="19" t="s">
        <v>1693</v>
      </c>
      <c r="F3098">
        <v>1</v>
      </c>
    </row>
    <row r="3099" spans="1:6" x14ac:dyDescent="0.25">
      <c r="C3099" s="19"/>
      <c r="D3099" s="19" t="s">
        <v>1694</v>
      </c>
      <c r="E3099" s="19" t="s">
        <v>1695</v>
      </c>
      <c r="F3099">
        <v>1</v>
      </c>
    </row>
    <row r="3100" spans="1:6" x14ac:dyDescent="0.25">
      <c r="C3100" s="19"/>
      <c r="D3100" s="19" t="s">
        <v>1696</v>
      </c>
      <c r="E3100" s="19" t="s">
        <v>1697</v>
      </c>
      <c r="F3100">
        <v>1</v>
      </c>
    </row>
    <row r="3101" spans="1:6" x14ac:dyDescent="0.25">
      <c r="C3101" s="19"/>
      <c r="D3101" s="19" t="s">
        <v>1698</v>
      </c>
      <c r="E3101" s="19" t="s">
        <v>1699</v>
      </c>
      <c r="F3101">
        <v>1</v>
      </c>
    </row>
    <row r="3102" spans="1:6" x14ac:dyDescent="0.25">
      <c r="C3102" s="19"/>
      <c r="D3102" s="19" t="s">
        <v>1700</v>
      </c>
      <c r="E3102" s="19" t="s">
        <v>1701</v>
      </c>
      <c r="F3102">
        <v>1</v>
      </c>
    </row>
    <row r="3103" spans="1:6" x14ac:dyDescent="0.25">
      <c r="C3103" s="19"/>
      <c r="D3103" s="19" t="s">
        <v>1702</v>
      </c>
      <c r="E3103" s="19" t="s">
        <v>314</v>
      </c>
      <c r="F3103">
        <v>1</v>
      </c>
    </row>
    <row r="3104" spans="1:6" x14ac:dyDescent="0.25">
      <c r="C3104" s="19"/>
      <c r="D3104" s="19" t="s">
        <v>1703</v>
      </c>
      <c r="E3104" s="19" t="s">
        <v>1704</v>
      </c>
      <c r="F3104">
        <v>1</v>
      </c>
    </row>
    <row r="3105" spans="1:6" x14ac:dyDescent="0.25">
      <c r="C3105" s="19"/>
      <c r="D3105" s="19" t="s">
        <v>1705</v>
      </c>
      <c r="E3105" s="19" t="s">
        <v>1706</v>
      </c>
      <c r="F3105">
        <v>1</v>
      </c>
    </row>
    <row r="3106" spans="1:6" x14ac:dyDescent="0.25">
      <c r="C3106" s="19"/>
      <c r="D3106" s="19" t="s">
        <v>1707</v>
      </c>
      <c r="E3106" s="19" t="s">
        <v>1708</v>
      </c>
      <c r="F3106">
        <v>1</v>
      </c>
    </row>
    <row r="3107" spans="1:6" x14ac:dyDescent="0.25">
      <c r="C3107" s="19"/>
      <c r="D3107" s="19" t="s">
        <v>1709</v>
      </c>
      <c r="E3107" s="19" t="s">
        <v>1710</v>
      </c>
      <c r="F3107">
        <v>0</v>
      </c>
    </row>
    <row r="3108" spans="1:6" x14ac:dyDescent="0.25">
      <c r="C3108" s="19"/>
      <c r="D3108" s="19" t="s">
        <v>1711</v>
      </c>
      <c r="E3108" s="19" t="s">
        <v>1124</v>
      </c>
      <c r="F3108">
        <v>0</v>
      </c>
    </row>
    <row r="3109" spans="1:6" x14ac:dyDescent="0.25">
      <c r="A3109" s="3">
        <v>502</v>
      </c>
      <c r="B3109" s="15" t="s">
        <v>144</v>
      </c>
      <c r="C3109" s="19" t="s">
        <v>1457</v>
      </c>
      <c r="D3109" s="19" t="s">
        <v>1458</v>
      </c>
      <c r="E3109" s="19" t="s">
        <v>273</v>
      </c>
      <c r="F3109">
        <v>1</v>
      </c>
    </row>
    <row r="3110" spans="1:6" x14ac:dyDescent="0.25">
      <c r="C3110" s="19"/>
      <c r="D3110" s="19" t="s">
        <v>1459</v>
      </c>
      <c r="E3110" s="19" t="s">
        <v>640</v>
      </c>
      <c r="F3110">
        <v>1</v>
      </c>
    </row>
    <row r="3111" spans="1:6" x14ac:dyDescent="0.25">
      <c r="C3111" s="19"/>
      <c r="D3111" s="19" t="s">
        <v>1460</v>
      </c>
      <c r="E3111" s="19" t="s">
        <v>929</v>
      </c>
      <c r="F3111">
        <v>0</v>
      </c>
    </row>
    <row r="3112" spans="1:6" x14ac:dyDescent="0.25">
      <c r="C3112" s="19"/>
      <c r="D3112" s="19" t="s">
        <v>1461</v>
      </c>
      <c r="E3112" s="19" t="s">
        <v>1462</v>
      </c>
      <c r="F3112">
        <v>0</v>
      </c>
    </row>
    <row r="3113" spans="1:6" x14ac:dyDescent="0.25">
      <c r="C3113" s="19"/>
      <c r="D3113" s="19" t="s">
        <v>1463</v>
      </c>
      <c r="E3113" s="19" t="s">
        <v>1464</v>
      </c>
      <c r="F3113">
        <v>1</v>
      </c>
    </row>
    <row r="3114" spans="1:6" x14ac:dyDescent="0.25">
      <c r="C3114" s="19"/>
      <c r="D3114" s="19" t="s">
        <v>1465</v>
      </c>
      <c r="E3114" s="19" t="s">
        <v>347</v>
      </c>
      <c r="F3114">
        <v>0</v>
      </c>
    </row>
    <row r="3115" spans="1:6" x14ac:dyDescent="0.25">
      <c r="C3115" s="19"/>
      <c r="D3115" s="19" t="s">
        <v>1466</v>
      </c>
      <c r="E3115" s="19" t="s">
        <v>1467</v>
      </c>
      <c r="F3115">
        <v>1</v>
      </c>
    </row>
    <row r="3116" spans="1:6" x14ac:dyDescent="0.25">
      <c r="C3116" s="19"/>
      <c r="D3116" s="19" t="s">
        <v>1468</v>
      </c>
      <c r="E3116" s="19" t="s">
        <v>1469</v>
      </c>
      <c r="F3116">
        <v>0</v>
      </c>
    </row>
    <row r="3117" spans="1:6" x14ac:dyDescent="0.25">
      <c r="C3117" s="19"/>
      <c r="D3117" s="19" t="s">
        <v>1470</v>
      </c>
      <c r="E3117" s="19" t="s">
        <v>1471</v>
      </c>
      <c r="F3117">
        <v>0</v>
      </c>
    </row>
    <row r="3118" spans="1:6" x14ac:dyDescent="0.25">
      <c r="C3118" s="19"/>
      <c r="D3118" s="19" t="s">
        <v>1472</v>
      </c>
      <c r="E3118" s="19" t="s">
        <v>391</v>
      </c>
      <c r="F3118">
        <v>1</v>
      </c>
    </row>
    <row r="3119" spans="1:6" x14ac:dyDescent="0.25">
      <c r="C3119" s="19"/>
      <c r="D3119" s="19" t="s">
        <v>1473</v>
      </c>
      <c r="E3119" s="19" t="s">
        <v>956</v>
      </c>
      <c r="F3119">
        <v>1</v>
      </c>
    </row>
    <row r="3120" spans="1:6" x14ac:dyDescent="0.25">
      <c r="C3120" s="19" t="s">
        <v>386</v>
      </c>
      <c r="D3120" s="19" t="s">
        <v>387</v>
      </c>
      <c r="E3120" s="19" t="s">
        <v>388</v>
      </c>
      <c r="F3120">
        <v>0</v>
      </c>
    </row>
    <row r="3121" spans="1:6" x14ac:dyDescent="0.25">
      <c r="C3121" s="22"/>
      <c r="D3121" s="19" t="s">
        <v>390</v>
      </c>
      <c r="E3121" s="19" t="s">
        <v>391</v>
      </c>
      <c r="F3121">
        <v>0</v>
      </c>
    </row>
    <row r="3122" spans="1:6" x14ac:dyDescent="0.25">
      <c r="C3122" s="19"/>
      <c r="D3122" s="21" t="s">
        <v>392</v>
      </c>
      <c r="E3122" s="19" t="s">
        <v>393</v>
      </c>
      <c r="F3122">
        <v>0</v>
      </c>
    </row>
    <row r="3123" spans="1:6" x14ac:dyDescent="0.25">
      <c r="C3123" s="19"/>
      <c r="D3123" s="19" t="s">
        <v>394</v>
      </c>
      <c r="E3123" s="19" t="s">
        <v>395</v>
      </c>
      <c r="F3123">
        <v>1</v>
      </c>
    </row>
    <row r="3124" spans="1:6" x14ac:dyDescent="0.25">
      <c r="C3124" s="19"/>
      <c r="D3124" s="19" t="s">
        <v>396</v>
      </c>
      <c r="E3124" s="19" t="s">
        <v>397</v>
      </c>
      <c r="F3124">
        <v>1</v>
      </c>
    </row>
    <row r="3125" spans="1:6" x14ac:dyDescent="0.25">
      <c r="C3125" s="19"/>
      <c r="D3125" s="19" t="s">
        <v>398</v>
      </c>
      <c r="E3125" s="19" t="s">
        <v>399</v>
      </c>
      <c r="F3125">
        <v>1</v>
      </c>
    </row>
    <row r="3126" spans="1:6" x14ac:dyDescent="0.25">
      <c r="C3126" s="19"/>
      <c r="D3126" s="19" t="s">
        <v>400</v>
      </c>
      <c r="E3126" s="19" t="s">
        <v>401</v>
      </c>
      <c r="F3126">
        <v>0</v>
      </c>
    </row>
    <row r="3127" spans="1:6" x14ac:dyDescent="0.25">
      <c r="C3127" s="19"/>
      <c r="D3127" s="19" t="s">
        <v>402</v>
      </c>
      <c r="E3127" s="19" t="s">
        <v>403</v>
      </c>
      <c r="F3127">
        <v>0</v>
      </c>
    </row>
    <row r="3128" spans="1:6" x14ac:dyDescent="0.25">
      <c r="C3128" s="19"/>
      <c r="D3128" s="19" t="s">
        <v>404</v>
      </c>
      <c r="E3128" s="19" t="s">
        <v>405</v>
      </c>
      <c r="F3128">
        <v>0</v>
      </c>
    </row>
    <row r="3129" spans="1:6" x14ac:dyDescent="0.25">
      <c r="C3129" s="19"/>
      <c r="D3129" s="19" t="s">
        <v>406</v>
      </c>
      <c r="E3129" s="19" t="s">
        <v>407</v>
      </c>
      <c r="F3129">
        <v>0</v>
      </c>
    </row>
    <row r="3130" spans="1:6" x14ac:dyDescent="0.25">
      <c r="C3130" s="19"/>
      <c r="D3130" s="19" t="s">
        <v>408</v>
      </c>
      <c r="E3130" s="19" t="s">
        <v>409</v>
      </c>
      <c r="F3130">
        <v>0</v>
      </c>
    </row>
    <row r="3131" spans="1:6" x14ac:dyDescent="0.25">
      <c r="A3131" s="3">
        <v>507</v>
      </c>
      <c r="B3131" s="15" t="s">
        <v>145</v>
      </c>
      <c r="C3131" s="19" t="s">
        <v>1557</v>
      </c>
      <c r="D3131" s="19" t="s">
        <v>1558</v>
      </c>
      <c r="E3131" s="19" t="s">
        <v>583</v>
      </c>
      <c r="F3131">
        <v>1</v>
      </c>
    </row>
    <row r="3132" spans="1:6" x14ac:dyDescent="0.25">
      <c r="C3132" s="19"/>
      <c r="D3132" s="19" t="s">
        <v>1559</v>
      </c>
      <c r="E3132" s="19" t="s">
        <v>306</v>
      </c>
      <c r="F3132">
        <v>1</v>
      </c>
    </row>
    <row r="3133" spans="1:6" x14ac:dyDescent="0.25">
      <c r="C3133" s="19"/>
      <c r="D3133" s="19" t="s">
        <v>1560</v>
      </c>
      <c r="E3133" s="19" t="s">
        <v>1561</v>
      </c>
      <c r="F3133">
        <v>1</v>
      </c>
    </row>
    <row r="3134" spans="1:6" x14ac:dyDescent="0.25">
      <c r="C3134" s="19"/>
      <c r="D3134" s="19" t="s">
        <v>1562</v>
      </c>
      <c r="E3134" s="19" t="s">
        <v>1563</v>
      </c>
      <c r="F3134">
        <v>1</v>
      </c>
    </row>
    <row r="3135" spans="1:6" x14ac:dyDescent="0.25">
      <c r="C3135" s="19"/>
      <c r="D3135" s="19" t="s">
        <v>1564</v>
      </c>
      <c r="E3135" s="19" t="s">
        <v>633</v>
      </c>
      <c r="F3135">
        <v>1</v>
      </c>
    </row>
    <row r="3136" spans="1:6" x14ac:dyDescent="0.25">
      <c r="C3136" s="19"/>
      <c r="D3136" s="19" t="s">
        <v>1565</v>
      </c>
      <c r="E3136" s="19" t="s">
        <v>493</v>
      </c>
      <c r="F3136">
        <v>1</v>
      </c>
    </row>
    <row r="3137" spans="3:6" x14ac:dyDescent="0.25">
      <c r="C3137" s="19"/>
      <c r="D3137" s="19" t="s">
        <v>1566</v>
      </c>
      <c r="E3137" s="19" t="s">
        <v>275</v>
      </c>
      <c r="F3137">
        <v>1</v>
      </c>
    </row>
    <row r="3138" spans="3:6" x14ac:dyDescent="0.25">
      <c r="C3138" s="19"/>
      <c r="D3138" s="19" t="s">
        <v>1567</v>
      </c>
      <c r="E3138" s="19" t="s">
        <v>1568</v>
      </c>
      <c r="F3138">
        <v>1</v>
      </c>
    </row>
    <row r="3139" spans="3:6" x14ac:dyDescent="0.25">
      <c r="C3139" s="19"/>
      <c r="D3139" s="19" t="s">
        <v>1569</v>
      </c>
      <c r="E3139" s="19" t="s">
        <v>1256</v>
      </c>
      <c r="F3139">
        <v>1</v>
      </c>
    </row>
    <row r="3140" spans="3:6" x14ac:dyDescent="0.25">
      <c r="C3140" s="19"/>
      <c r="D3140" s="19" t="s">
        <v>1570</v>
      </c>
      <c r="E3140" s="19" t="s">
        <v>1571</v>
      </c>
      <c r="F3140">
        <v>1</v>
      </c>
    </row>
    <row r="3141" spans="3:6" x14ac:dyDescent="0.25">
      <c r="C3141" s="19"/>
      <c r="D3141" s="19" t="s">
        <v>1572</v>
      </c>
      <c r="E3141" s="19" t="s">
        <v>1573</v>
      </c>
      <c r="F3141">
        <v>0</v>
      </c>
    </row>
    <row r="3142" spans="3:6" x14ac:dyDescent="0.25">
      <c r="C3142" s="19"/>
      <c r="D3142" s="19" t="s">
        <v>1574</v>
      </c>
      <c r="E3142" s="19" t="s">
        <v>1575</v>
      </c>
      <c r="F3142">
        <v>1</v>
      </c>
    </row>
    <row r="3143" spans="3:6" x14ac:dyDescent="0.25">
      <c r="C3143" s="19"/>
      <c r="D3143" s="19" t="s">
        <v>1576</v>
      </c>
      <c r="E3143" s="19" t="s">
        <v>1577</v>
      </c>
      <c r="F3143">
        <v>1</v>
      </c>
    </row>
    <row r="3144" spans="3:6" x14ac:dyDescent="0.25">
      <c r="C3144" s="19"/>
      <c r="D3144" s="19" t="s">
        <v>1578</v>
      </c>
      <c r="E3144" s="19" t="s">
        <v>503</v>
      </c>
      <c r="F3144">
        <v>0</v>
      </c>
    </row>
    <row r="3145" spans="3:6" x14ac:dyDescent="0.25">
      <c r="C3145" s="19"/>
      <c r="D3145" s="19" t="s">
        <v>1579</v>
      </c>
      <c r="E3145" s="19" t="s">
        <v>1580</v>
      </c>
      <c r="F3145">
        <v>1</v>
      </c>
    </row>
    <row r="3146" spans="3:6" x14ac:dyDescent="0.25">
      <c r="C3146" s="19"/>
      <c r="D3146" s="19" t="s">
        <v>1581</v>
      </c>
      <c r="E3146" s="19" t="s">
        <v>1582</v>
      </c>
      <c r="F3146">
        <v>1</v>
      </c>
    </row>
    <row r="3147" spans="3:6" x14ac:dyDescent="0.25">
      <c r="C3147" s="19"/>
      <c r="D3147" s="19" t="s">
        <v>1583</v>
      </c>
      <c r="E3147" s="19" t="s">
        <v>1584</v>
      </c>
      <c r="F3147">
        <v>0</v>
      </c>
    </row>
    <row r="3148" spans="3:6" x14ac:dyDescent="0.25">
      <c r="C3148" s="19" t="s">
        <v>1536</v>
      </c>
      <c r="D3148" s="19" t="s">
        <v>1537</v>
      </c>
      <c r="E3148" s="19" t="s">
        <v>1494</v>
      </c>
      <c r="F3148">
        <v>1</v>
      </c>
    </row>
    <row r="3149" spans="3:6" x14ac:dyDescent="0.25">
      <c r="C3149" s="19"/>
      <c r="D3149" s="19" t="s">
        <v>1538</v>
      </c>
      <c r="E3149" s="19" t="s">
        <v>306</v>
      </c>
      <c r="F3149">
        <v>1</v>
      </c>
    </row>
    <row r="3150" spans="3:6" x14ac:dyDescent="0.25">
      <c r="C3150" s="19"/>
      <c r="D3150" s="19" t="s">
        <v>1539</v>
      </c>
      <c r="E3150" s="19" t="s">
        <v>1499</v>
      </c>
      <c r="F3150">
        <v>1</v>
      </c>
    </row>
    <row r="3151" spans="3:6" x14ac:dyDescent="0.25">
      <c r="C3151" s="19"/>
      <c r="D3151" s="19" t="s">
        <v>1540</v>
      </c>
      <c r="E3151" s="19" t="s">
        <v>1541</v>
      </c>
      <c r="F3151">
        <v>0</v>
      </c>
    </row>
    <row r="3152" spans="3:6" x14ac:dyDescent="0.25">
      <c r="C3152" s="19"/>
      <c r="D3152" s="19" t="s">
        <v>1542</v>
      </c>
      <c r="E3152" s="19" t="s">
        <v>1543</v>
      </c>
      <c r="F3152">
        <v>1</v>
      </c>
    </row>
    <row r="3153" spans="1:6" x14ac:dyDescent="0.25">
      <c r="C3153" s="19"/>
      <c r="D3153" s="19" t="s">
        <v>1544</v>
      </c>
      <c r="E3153" s="19" t="s">
        <v>671</v>
      </c>
      <c r="F3153">
        <v>1</v>
      </c>
    </row>
    <row r="3154" spans="1:6" x14ac:dyDescent="0.25">
      <c r="C3154" s="19"/>
      <c r="D3154" s="19" t="s">
        <v>1545</v>
      </c>
      <c r="E3154" s="19" t="s">
        <v>1546</v>
      </c>
      <c r="F3154">
        <v>1</v>
      </c>
    </row>
    <row r="3155" spans="1:6" x14ac:dyDescent="0.25">
      <c r="C3155" s="19"/>
      <c r="D3155" s="19" t="s">
        <v>1547</v>
      </c>
      <c r="E3155" s="19" t="s">
        <v>1548</v>
      </c>
      <c r="F3155">
        <v>0</v>
      </c>
    </row>
    <row r="3156" spans="1:6" x14ac:dyDescent="0.25">
      <c r="C3156" s="19"/>
      <c r="D3156" s="19" t="s">
        <v>1549</v>
      </c>
      <c r="E3156" s="19" t="s">
        <v>1550</v>
      </c>
      <c r="F3156">
        <v>0</v>
      </c>
    </row>
    <row r="3157" spans="1:6" x14ac:dyDescent="0.25">
      <c r="C3157" s="19"/>
      <c r="D3157" s="19" t="s">
        <v>1551</v>
      </c>
      <c r="E3157" s="19" t="s">
        <v>1552</v>
      </c>
      <c r="F3157">
        <v>1</v>
      </c>
    </row>
    <row r="3158" spans="1:6" x14ac:dyDescent="0.25">
      <c r="C3158" s="19"/>
      <c r="D3158" s="19" t="s">
        <v>1553</v>
      </c>
      <c r="E3158" s="19" t="s">
        <v>1554</v>
      </c>
      <c r="F3158">
        <v>0</v>
      </c>
    </row>
    <row r="3159" spans="1:6" x14ac:dyDescent="0.25">
      <c r="C3159" s="19"/>
      <c r="D3159" s="19" t="s">
        <v>1555</v>
      </c>
      <c r="E3159" s="19" t="s">
        <v>1556</v>
      </c>
      <c r="F3159">
        <v>1</v>
      </c>
    </row>
    <row r="3160" spans="1:6" x14ac:dyDescent="0.25">
      <c r="A3160" s="3">
        <v>509</v>
      </c>
      <c r="B3160" s="15" t="s">
        <v>146</v>
      </c>
      <c r="C3160" s="19" t="s">
        <v>1125</v>
      </c>
      <c r="D3160" s="19" t="s">
        <v>1126</v>
      </c>
      <c r="E3160" s="19" t="s">
        <v>273</v>
      </c>
      <c r="F3160">
        <v>1</v>
      </c>
    </row>
    <row r="3161" spans="1:6" x14ac:dyDescent="0.25">
      <c r="C3161" s="19"/>
      <c r="D3161" s="19" t="s">
        <v>1127</v>
      </c>
      <c r="E3161" s="19" t="s">
        <v>312</v>
      </c>
      <c r="F3161">
        <v>1</v>
      </c>
    </row>
    <row r="3162" spans="1:6" x14ac:dyDescent="0.25">
      <c r="C3162" s="19"/>
      <c r="D3162" s="19" t="s">
        <v>1128</v>
      </c>
      <c r="E3162" s="19" t="s">
        <v>1129</v>
      </c>
      <c r="F3162">
        <v>0</v>
      </c>
    </row>
    <row r="3163" spans="1:6" x14ac:dyDescent="0.25">
      <c r="C3163" s="19"/>
      <c r="D3163" s="19" t="s">
        <v>1130</v>
      </c>
      <c r="E3163" s="19" t="s">
        <v>1131</v>
      </c>
      <c r="F3163">
        <v>1</v>
      </c>
    </row>
    <row r="3164" spans="1:6" x14ac:dyDescent="0.25">
      <c r="C3164" s="19"/>
      <c r="D3164" s="19" t="s">
        <v>1132</v>
      </c>
      <c r="E3164" s="19" t="s">
        <v>1133</v>
      </c>
      <c r="F3164">
        <v>1</v>
      </c>
    </row>
    <row r="3165" spans="1:6" x14ac:dyDescent="0.25">
      <c r="C3165" s="19"/>
      <c r="D3165" s="19" t="s">
        <v>1134</v>
      </c>
      <c r="E3165" s="19" t="s">
        <v>347</v>
      </c>
      <c r="F3165">
        <v>0</v>
      </c>
    </row>
    <row r="3166" spans="1:6" x14ac:dyDescent="0.25">
      <c r="C3166" s="19"/>
      <c r="D3166" s="19" t="s">
        <v>1135</v>
      </c>
      <c r="E3166" s="19" t="s">
        <v>1136</v>
      </c>
      <c r="F3166">
        <v>0</v>
      </c>
    </row>
    <row r="3167" spans="1:6" x14ac:dyDescent="0.25">
      <c r="C3167" s="19"/>
      <c r="D3167" s="19" t="s">
        <v>1137</v>
      </c>
      <c r="E3167" s="19" t="s">
        <v>1138</v>
      </c>
      <c r="F3167">
        <v>1</v>
      </c>
    </row>
    <row r="3168" spans="1:6" x14ac:dyDescent="0.25">
      <c r="C3168" s="19"/>
      <c r="D3168" s="19" t="s">
        <v>1139</v>
      </c>
      <c r="E3168" s="19" t="s">
        <v>1140</v>
      </c>
      <c r="F3168">
        <v>0</v>
      </c>
    </row>
    <row r="3169" spans="1:6" x14ac:dyDescent="0.25">
      <c r="A3169" s="3">
        <v>518</v>
      </c>
      <c r="B3169" s="15" t="s">
        <v>147</v>
      </c>
      <c r="C3169" s="19" t="s">
        <v>1492</v>
      </c>
      <c r="D3169" s="19" t="s">
        <v>1493</v>
      </c>
      <c r="E3169" s="19" t="s">
        <v>1494</v>
      </c>
      <c r="F3169">
        <v>1</v>
      </c>
    </row>
    <row r="3170" spans="1:6" x14ac:dyDescent="0.25">
      <c r="C3170" s="19"/>
      <c r="D3170" s="19" t="s">
        <v>1495</v>
      </c>
      <c r="E3170" s="19" t="s">
        <v>1496</v>
      </c>
      <c r="F3170">
        <v>1</v>
      </c>
    </row>
    <row r="3171" spans="1:6" x14ac:dyDescent="0.25">
      <c r="C3171" s="19"/>
      <c r="D3171" s="19" t="s">
        <v>1497</v>
      </c>
      <c r="E3171" s="19" t="s">
        <v>306</v>
      </c>
      <c r="F3171">
        <v>0</v>
      </c>
    </row>
    <row r="3172" spans="1:6" x14ac:dyDescent="0.25">
      <c r="C3172" s="19"/>
      <c r="D3172" s="19" t="s">
        <v>1498</v>
      </c>
      <c r="E3172" s="19" t="s">
        <v>1499</v>
      </c>
      <c r="F3172">
        <v>0</v>
      </c>
    </row>
    <row r="3173" spans="1:6" x14ac:dyDescent="0.25">
      <c r="C3173" s="19"/>
      <c r="D3173" s="19" t="s">
        <v>1500</v>
      </c>
      <c r="E3173" s="19" t="s">
        <v>1397</v>
      </c>
      <c r="F3173">
        <v>1</v>
      </c>
    </row>
    <row r="3174" spans="1:6" x14ac:dyDescent="0.25">
      <c r="C3174" s="19"/>
      <c r="D3174" s="19" t="s">
        <v>1501</v>
      </c>
      <c r="E3174" s="19" t="s">
        <v>1502</v>
      </c>
      <c r="F3174">
        <v>1</v>
      </c>
    </row>
    <row r="3175" spans="1:6" x14ac:dyDescent="0.25">
      <c r="C3175" s="19"/>
      <c r="D3175" s="19" t="s">
        <v>1503</v>
      </c>
      <c r="E3175" s="19" t="s">
        <v>1504</v>
      </c>
      <c r="F3175">
        <v>1</v>
      </c>
    </row>
    <row r="3176" spans="1:6" x14ac:dyDescent="0.25">
      <c r="C3176" s="19"/>
      <c r="D3176" s="19" t="s">
        <v>1505</v>
      </c>
      <c r="E3176" s="19" t="s">
        <v>1506</v>
      </c>
      <c r="F3176">
        <v>0</v>
      </c>
    </row>
    <row r="3177" spans="1:6" x14ac:dyDescent="0.25">
      <c r="C3177" s="19"/>
      <c r="D3177" s="19" t="s">
        <v>1507</v>
      </c>
      <c r="E3177" s="19" t="s">
        <v>611</v>
      </c>
      <c r="F3177">
        <v>0</v>
      </c>
    </row>
    <row r="3178" spans="1:6" x14ac:dyDescent="0.25">
      <c r="C3178" s="19"/>
      <c r="D3178" s="19" t="s">
        <v>1508</v>
      </c>
      <c r="E3178" s="19" t="s">
        <v>1509</v>
      </c>
      <c r="F3178">
        <v>1</v>
      </c>
    </row>
    <row r="3179" spans="1:6" x14ac:dyDescent="0.25">
      <c r="C3179" s="19"/>
      <c r="D3179" s="19" t="s">
        <v>1510</v>
      </c>
      <c r="E3179" s="19" t="s">
        <v>613</v>
      </c>
      <c r="F3179">
        <v>0</v>
      </c>
    </row>
    <row r="3180" spans="1:6" x14ac:dyDescent="0.25">
      <c r="C3180" s="19"/>
      <c r="D3180" s="19" t="s">
        <v>1511</v>
      </c>
      <c r="E3180" s="19" t="s">
        <v>1419</v>
      </c>
      <c r="F3180">
        <v>1</v>
      </c>
    </row>
    <row r="3181" spans="1:6" x14ac:dyDescent="0.25">
      <c r="C3181" s="19"/>
      <c r="D3181" s="19" t="s">
        <v>1512</v>
      </c>
      <c r="E3181" s="19" t="s">
        <v>621</v>
      </c>
      <c r="F3181">
        <v>0</v>
      </c>
    </row>
    <row r="3182" spans="1:6" x14ac:dyDescent="0.25">
      <c r="C3182" s="19"/>
      <c r="D3182" s="19" t="s">
        <v>1513</v>
      </c>
      <c r="E3182" s="19" t="s">
        <v>1422</v>
      </c>
      <c r="F3182">
        <v>0</v>
      </c>
    </row>
    <row r="3183" spans="1:6" x14ac:dyDescent="0.25">
      <c r="C3183" s="19"/>
      <c r="D3183" s="19" t="s">
        <v>1514</v>
      </c>
      <c r="E3183" s="19" t="s">
        <v>614</v>
      </c>
      <c r="F3183">
        <v>0</v>
      </c>
    </row>
    <row r="3184" spans="1:6" x14ac:dyDescent="0.25">
      <c r="C3184" s="19"/>
      <c r="D3184" s="19" t="s">
        <v>1515</v>
      </c>
      <c r="E3184" s="19" t="s">
        <v>615</v>
      </c>
      <c r="F3184">
        <v>0</v>
      </c>
    </row>
    <row r="3185" spans="3:6" x14ac:dyDescent="0.25">
      <c r="C3185" s="19"/>
      <c r="D3185" s="19" t="s">
        <v>1516</v>
      </c>
      <c r="E3185" s="19" t="s">
        <v>1517</v>
      </c>
      <c r="F3185">
        <v>1</v>
      </c>
    </row>
    <row r="3186" spans="3:6" x14ac:dyDescent="0.25">
      <c r="C3186" s="19"/>
      <c r="D3186" s="19" t="s">
        <v>1518</v>
      </c>
      <c r="E3186" s="19" t="s">
        <v>1519</v>
      </c>
      <c r="F3186">
        <v>0</v>
      </c>
    </row>
    <row r="3187" spans="3:6" x14ac:dyDescent="0.25">
      <c r="C3187" s="19"/>
      <c r="D3187" s="19" t="s">
        <v>1520</v>
      </c>
      <c r="E3187" s="19" t="s">
        <v>1521</v>
      </c>
      <c r="F3187">
        <v>0</v>
      </c>
    </row>
    <row r="3188" spans="3:6" x14ac:dyDescent="0.25">
      <c r="C3188" s="19"/>
      <c r="D3188" s="19" t="s">
        <v>1522</v>
      </c>
      <c r="E3188" s="19" t="s">
        <v>1523</v>
      </c>
      <c r="F3188">
        <v>0</v>
      </c>
    </row>
    <row r="3189" spans="3:6" x14ac:dyDescent="0.25">
      <c r="C3189" s="19"/>
      <c r="D3189" s="19" t="s">
        <v>1524</v>
      </c>
      <c r="E3189" s="19" t="s">
        <v>1525</v>
      </c>
      <c r="F3189">
        <v>0</v>
      </c>
    </row>
    <row r="3190" spans="3:6" x14ac:dyDescent="0.25">
      <c r="C3190" s="19"/>
      <c r="D3190" s="19" t="s">
        <v>1526</v>
      </c>
      <c r="E3190" s="19" t="s">
        <v>1527</v>
      </c>
      <c r="F3190">
        <v>0</v>
      </c>
    </row>
    <row r="3191" spans="3:6" x14ac:dyDescent="0.25">
      <c r="C3191" s="19"/>
      <c r="D3191" s="19" t="s">
        <v>1528</v>
      </c>
      <c r="E3191" s="19" t="s">
        <v>1529</v>
      </c>
      <c r="F3191">
        <v>1</v>
      </c>
    </row>
    <row r="3192" spans="3:6" x14ac:dyDescent="0.25">
      <c r="C3192" s="19"/>
      <c r="D3192" s="19" t="s">
        <v>1530</v>
      </c>
      <c r="E3192" s="19" t="s">
        <v>1430</v>
      </c>
      <c r="F3192">
        <v>0</v>
      </c>
    </row>
    <row r="3193" spans="3:6" x14ac:dyDescent="0.25">
      <c r="C3193" s="19"/>
      <c r="D3193" s="19" t="s">
        <v>1531</v>
      </c>
      <c r="E3193" s="19" t="s">
        <v>503</v>
      </c>
      <c r="F3193">
        <v>0</v>
      </c>
    </row>
    <row r="3194" spans="3:6" x14ac:dyDescent="0.25">
      <c r="C3194" s="19"/>
      <c r="D3194" s="19" t="s">
        <v>1532</v>
      </c>
      <c r="E3194" s="19" t="s">
        <v>1533</v>
      </c>
      <c r="F3194">
        <v>0</v>
      </c>
    </row>
    <row r="3195" spans="3:6" x14ac:dyDescent="0.25">
      <c r="C3195" s="19"/>
      <c r="D3195" s="19" t="s">
        <v>1534</v>
      </c>
      <c r="E3195" s="19" t="s">
        <v>1535</v>
      </c>
      <c r="F3195">
        <v>0</v>
      </c>
    </row>
    <row r="3196" spans="3:6" x14ac:dyDescent="0.25">
      <c r="C3196" s="19" t="s">
        <v>1536</v>
      </c>
      <c r="D3196" s="19" t="s">
        <v>1537</v>
      </c>
      <c r="E3196" s="19" t="s">
        <v>1494</v>
      </c>
      <c r="F3196">
        <v>1</v>
      </c>
    </row>
    <row r="3197" spans="3:6" x14ac:dyDescent="0.25">
      <c r="C3197" s="19"/>
      <c r="D3197" s="19" t="s">
        <v>1538</v>
      </c>
      <c r="E3197" s="19" t="s">
        <v>306</v>
      </c>
      <c r="F3197">
        <v>0</v>
      </c>
    </row>
    <row r="3198" spans="3:6" x14ac:dyDescent="0.25">
      <c r="C3198" s="19"/>
      <c r="D3198" s="19" t="s">
        <v>1539</v>
      </c>
      <c r="E3198" s="19" t="s">
        <v>1499</v>
      </c>
      <c r="F3198">
        <v>0</v>
      </c>
    </row>
    <row r="3199" spans="3:6" x14ac:dyDescent="0.25">
      <c r="C3199" s="19"/>
      <c r="D3199" s="19" t="s">
        <v>1540</v>
      </c>
      <c r="E3199" s="19" t="s">
        <v>1541</v>
      </c>
      <c r="F3199">
        <v>0</v>
      </c>
    </row>
    <row r="3200" spans="3:6" x14ac:dyDescent="0.25">
      <c r="C3200" s="19"/>
      <c r="D3200" s="19" t="s">
        <v>1542</v>
      </c>
      <c r="E3200" s="19" t="s">
        <v>1543</v>
      </c>
      <c r="F3200">
        <v>0</v>
      </c>
    </row>
    <row r="3201" spans="1:6" x14ac:dyDescent="0.25">
      <c r="C3201" s="19"/>
      <c r="D3201" s="19" t="s">
        <v>1544</v>
      </c>
      <c r="E3201" s="19" t="s">
        <v>671</v>
      </c>
      <c r="F3201">
        <v>0</v>
      </c>
    </row>
    <row r="3202" spans="1:6" x14ac:dyDescent="0.25">
      <c r="C3202" s="19"/>
      <c r="D3202" s="19" t="s">
        <v>1545</v>
      </c>
      <c r="E3202" s="19" t="s">
        <v>1546</v>
      </c>
      <c r="F3202">
        <v>0</v>
      </c>
    </row>
    <row r="3203" spans="1:6" x14ac:dyDescent="0.25">
      <c r="C3203" s="19"/>
      <c r="D3203" s="19" t="s">
        <v>1547</v>
      </c>
      <c r="E3203" s="19" t="s">
        <v>1548</v>
      </c>
      <c r="F3203">
        <v>0</v>
      </c>
    </row>
    <row r="3204" spans="1:6" x14ac:dyDescent="0.25">
      <c r="C3204" s="19"/>
      <c r="D3204" s="19" t="s">
        <v>1549</v>
      </c>
      <c r="E3204" s="19" t="s">
        <v>1550</v>
      </c>
      <c r="F3204">
        <v>0</v>
      </c>
    </row>
    <row r="3205" spans="1:6" x14ac:dyDescent="0.25">
      <c r="C3205" s="19"/>
      <c r="D3205" s="19" t="s">
        <v>1551</v>
      </c>
      <c r="E3205" s="19" t="s">
        <v>1552</v>
      </c>
      <c r="F3205">
        <v>0</v>
      </c>
    </row>
    <row r="3206" spans="1:6" x14ac:dyDescent="0.25">
      <c r="C3206" s="19"/>
      <c r="D3206" s="19" t="s">
        <v>1553</v>
      </c>
      <c r="E3206" s="19" t="s">
        <v>1554</v>
      </c>
      <c r="F3206">
        <v>0</v>
      </c>
    </row>
    <row r="3207" spans="1:6" x14ac:dyDescent="0.25">
      <c r="C3207" s="19"/>
      <c r="D3207" s="19" t="s">
        <v>1555</v>
      </c>
      <c r="E3207" s="19" t="s">
        <v>1556</v>
      </c>
      <c r="F3207">
        <v>1</v>
      </c>
    </row>
    <row r="3208" spans="1:6" x14ac:dyDescent="0.25">
      <c r="A3208" s="3">
        <v>521</v>
      </c>
      <c r="B3208" s="15" t="s">
        <v>148</v>
      </c>
      <c r="C3208" s="19" t="s">
        <v>1790</v>
      </c>
      <c r="D3208" s="19" t="s">
        <v>1791</v>
      </c>
      <c r="E3208" s="19" t="s">
        <v>273</v>
      </c>
      <c r="F3208">
        <v>0</v>
      </c>
    </row>
    <row r="3209" spans="1:6" x14ac:dyDescent="0.25">
      <c r="C3209" s="19"/>
      <c r="D3209" s="19" t="s">
        <v>1792</v>
      </c>
      <c r="E3209" s="19" t="s">
        <v>312</v>
      </c>
      <c r="F3209">
        <v>1</v>
      </c>
    </row>
    <row r="3210" spans="1:6" x14ac:dyDescent="0.25">
      <c r="C3210" s="19"/>
      <c r="D3210" s="19" t="s">
        <v>1793</v>
      </c>
      <c r="E3210" s="19" t="s">
        <v>801</v>
      </c>
      <c r="F3210">
        <v>1</v>
      </c>
    </row>
    <row r="3211" spans="1:6" x14ac:dyDescent="0.25">
      <c r="C3211" s="19"/>
      <c r="D3211" s="19" t="s">
        <v>1794</v>
      </c>
      <c r="E3211" s="19" t="s">
        <v>786</v>
      </c>
      <c r="F3211">
        <v>1</v>
      </c>
    </row>
    <row r="3212" spans="1:6" x14ac:dyDescent="0.25">
      <c r="C3212" s="19"/>
      <c r="D3212" s="19" t="s">
        <v>1795</v>
      </c>
      <c r="E3212" s="19" t="s">
        <v>784</v>
      </c>
      <c r="F3212">
        <v>1</v>
      </c>
    </row>
    <row r="3213" spans="1:6" x14ac:dyDescent="0.25">
      <c r="C3213" s="19"/>
      <c r="D3213" s="19" t="s">
        <v>1796</v>
      </c>
      <c r="E3213" s="19" t="s">
        <v>1205</v>
      </c>
      <c r="F3213">
        <v>1</v>
      </c>
    </row>
    <row r="3214" spans="1:6" x14ac:dyDescent="0.25">
      <c r="C3214" s="19"/>
      <c r="D3214" s="19" t="s">
        <v>1797</v>
      </c>
      <c r="E3214" s="19" t="s">
        <v>1207</v>
      </c>
      <c r="F3214">
        <v>0</v>
      </c>
    </row>
    <row r="3215" spans="1:6" x14ac:dyDescent="0.25">
      <c r="C3215" s="19"/>
      <c r="D3215" s="19" t="s">
        <v>1798</v>
      </c>
      <c r="E3215" s="19" t="s">
        <v>1209</v>
      </c>
      <c r="F3215">
        <v>1</v>
      </c>
    </row>
    <row r="3216" spans="1:6" x14ac:dyDescent="0.25">
      <c r="C3216" s="19"/>
      <c r="D3216" s="19" t="s">
        <v>1799</v>
      </c>
      <c r="E3216" s="19" t="s">
        <v>789</v>
      </c>
      <c r="F3216">
        <v>1</v>
      </c>
    </row>
    <row r="3217" spans="1:6" x14ac:dyDescent="0.25">
      <c r="C3217" s="19"/>
      <c r="D3217" s="19" t="s">
        <v>1800</v>
      </c>
      <c r="E3217" s="19" t="s">
        <v>1214</v>
      </c>
      <c r="F3217">
        <v>1</v>
      </c>
    </row>
    <row r="3218" spans="1:6" x14ac:dyDescent="0.25">
      <c r="C3218" s="19"/>
      <c r="D3218" s="19" t="s">
        <v>1801</v>
      </c>
      <c r="E3218" s="19" t="s">
        <v>1784</v>
      </c>
      <c r="F3218">
        <v>1</v>
      </c>
    </row>
    <row r="3219" spans="1:6" x14ac:dyDescent="0.25">
      <c r="C3219" s="19"/>
      <c r="D3219" s="19" t="s">
        <v>1802</v>
      </c>
      <c r="E3219" s="19" t="s">
        <v>791</v>
      </c>
      <c r="F3219">
        <v>1</v>
      </c>
    </row>
    <row r="3220" spans="1:6" x14ac:dyDescent="0.25">
      <c r="C3220" s="19"/>
      <c r="D3220" s="19" t="s">
        <v>1803</v>
      </c>
      <c r="E3220" s="19" t="s">
        <v>795</v>
      </c>
      <c r="F3220">
        <v>1</v>
      </c>
    </row>
    <row r="3221" spans="1:6" x14ac:dyDescent="0.25">
      <c r="C3221" s="19"/>
      <c r="D3221" s="19" t="s">
        <v>1804</v>
      </c>
      <c r="E3221" s="19" t="s">
        <v>372</v>
      </c>
      <c r="F3221">
        <v>1</v>
      </c>
    </row>
    <row r="3222" spans="1:6" x14ac:dyDescent="0.25">
      <c r="C3222" s="19"/>
      <c r="D3222" s="19" t="s">
        <v>1805</v>
      </c>
      <c r="E3222" s="19" t="s">
        <v>1806</v>
      </c>
      <c r="F3222">
        <v>1</v>
      </c>
    </row>
    <row r="3223" spans="1:6" x14ac:dyDescent="0.25">
      <c r="C3223" s="19"/>
      <c r="D3223" s="19" t="s">
        <v>1807</v>
      </c>
      <c r="E3223" s="19" t="s">
        <v>1808</v>
      </c>
      <c r="F3223">
        <v>1</v>
      </c>
    </row>
    <row r="3224" spans="1:6" x14ac:dyDescent="0.25">
      <c r="A3224" s="3">
        <v>522</v>
      </c>
      <c r="B3224" s="15" t="s">
        <v>149</v>
      </c>
      <c r="C3224" s="19" t="s">
        <v>506</v>
      </c>
      <c r="D3224" s="19" t="s">
        <v>507</v>
      </c>
      <c r="E3224" s="19" t="s">
        <v>508</v>
      </c>
      <c r="F3224">
        <v>0</v>
      </c>
    </row>
    <row r="3225" spans="1:6" x14ac:dyDescent="0.25">
      <c r="C3225" s="19"/>
      <c r="D3225" s="19" t="s">
        <v>509</v>
      </c>
      <c r="E3225" s="19" t="s">
        <v>510</v>
      </c>
      <c r="F3225">
        <v>1</v>
      </c>
    </row>
    <row r="3226" spans="1:6" x14ac:dyDescent="0.25">
      <c r="C3226" s="19"/>
      <c r="D3226" s="19" t="s">
        <v>511</v>
      </c>
      <c r="E3226" s="19" t="s">
        <v>512</v>
      </c>
      <c r="F3226">
        <v>1</v>
      </c>
    </row>
    <row r="3227" spans="1:6" x14ac:dyDescent="0.25">
      <c r="C3227" s="19"/>
      <c r="D3227" s="19" t="s">
        <v>513</v>
      </c>
      <c r="E3227" s="19" t="s">
        <v>514</v>
      </c>
      <c r="F3227">
        <v>1</v>
      </c>
    </row>
    <row r="3228" spans="1:6" x14ac:dyDescent="0.25">
      <c r="C3228" s="19"/>
      <c r="D3228" s="19" t="s">
        <v>515</v>
      </c>
      <c r="E3228" s="19" t="s">
        <v>516</v>
      </c>
      <c r="F3228">
        <v>0</v>
      </c>
    </row>
    <row r="3229" spans="1:6" x14ac:dyDescent="0.25">
      <c r="C3229" s="19"/>
      <c r="D3229" s="19" t="s">
        <v>517</v>
      </c>
      <c r="E3229" s="19" t="s">
        <v>518</v>
      </c>
      <c r="F3229">
        <v>1</v>
      </c>
    </row>
    <row r="3230" spans="1:6" x14ac:dyDescent="0.25">
      <c r="C3230" s="19"/>
      <c r="D3230" s="19" t="s">
        <v>519</v>
      </c>
      <c r="E3230" s="19" t="s">
        <v>520</v>
      </c>
      <c r="F3230">
        <v>1</v>
      </c>
    </row>
    <row r="3231" spans="1:6" x14ac:dyDescent="0.25">
      <c r="C3231" s="19"/>
      <c r="D3231" s="19" t="s">
        <v>521</v>
      </c>
      <c r="E3231" s="19" t="s">
        <v>522</v>
      </c>
      <c r="F3231">
        <v>0</v>
      </c>
    </row>
    <row r="3232" spans="1:6" x14ac:dyDescent="0.25">
      <c r="C3232" s="19"/>
      <c r="D3232" s="19" t="s">
        <v>523</v>
      </c>
      <c r="E3232" s="19" t="s">
        <v>524</v>
      </c>
      <c r="F3232">
        <v>1</v>
      </c>
    </row>
    <row r="3233" spans="1:6" x14ac:dyDescent="0.25">
      <c r="C3233" s="19"/>
      <c r="D3233" s="19" t="s">
        <v>525</v>
      </c>
      <c r="E3233" s="19" t="s">
        <v>526</v>
      </c>
      <c r="F3233">
        <v>1</v>
      </c>
    </row>
    <row r="3234" spans="1:6" x14ac:dyDescent="0.25">
      <c r="C3234" s="19"/>
      <c r="D3234" s="19" t="s">
        <v>527</v>
      </c>
      <c r="E3234" s="19" t="s">
        <v>283</v>
      </c>
      <c r="F3234">
        <v>0</v>
      </c>
    </row>
    <row r="3235" spans="1:6" x14ac:dyDescent="0.25">
      <c r="C3235" s="19"/>
      <c r="D3235" s="19" t="s">
        <v>528</v>
      </c>
      <c r="E3235" s="19" t="s">
        <v>529</v>
      </c>
      <c r="F3235">
        <v>0</v>
      </c>
    </row>
    <row r="3236" spans="1:6" x14ac:dyDescent="0.25">
      <c r="C3236" s="19"/>
      <c r="D3236" s="19" t="s">
        <v>530</v>
      </c>
      <c r="E3236" s="19" t="s">
        <v>531</v>
      </c>
      <c r="F3236">
        <v>1</v>
      </c>
    </row>
    <row r="3237" spans="1:6" x14ac:dyDescent="0.25">
      <c r="C3237" s="19"/>
      <c r="D3237" s="19" t="s">
        <v>532</v>
      </c>
      <c r="E3237" s="19" t="s">
        <v>533</v>
      </c>
      <c r="F3237">
        <v>0</v>
      </c>
    </row>
    <row r="3238" spans="1:6" x14ac:dyDescent="0.25">
      <c r="C3238" s="19"/>
      <c r="D3238" s="19" t="s">
        <v>534</v>
      </c>
      <c r="E3238" s="19" t="s">
        <v>535</v>
      </c>
      <c r="F3238">
        <v>0</v>
      </c>
    </row>
    <row r="3239" spans="1:6" x14ac:dyDescent="0.25">
      <c r="C3239" s="19"/>
      <c r="D3239" s="19" t="s">
        <v>536</v>
      </c>
      <c r="E3239" s="19" t="s">
        <v>537</v>
      </c>
      <c r="F3239">
        <v>1</v>
      </c>
    </row>
    <row r="3240" spans="1:6" x14ac:dyDescent="0.25">
      <c r="C3240" s="19"/>
      <c r="D3240" s="19" t="s">
        <v>538</v>
      </c>
      <c r="E3240" s="19" t="s">
        <v>539</v>
      </c>
      <c r="F3240">
        <v>1</v>
      </c>
    </row>
    <row r="3241" spans="1:6" x14ac:dyDescent="0.25">
      <c r="C3241" s="19"/>
      <c r="D3241" s="19" t="s">
        <v>540</v>
      </c>
      <c r="E3241" s="19" t="s">
        <v>541</v>
      </c>
      <c r="F3241">
        <v>0</v>
      </c>
    </row>
    <row r="3242" spans="1:6" x14ac:dyDescent="0.25">
      <c r="C3242" s="19"/>
      <c r="D3242" s="19" t="s">
        <v>542</v>
      </c>
      <c r="E3242" s="19" t="s">
        <v>543</v>
      </c>
      <c r="F3242">
        <v>1</v>
      </c>
    </row>
    <row r="3243" spans="1:6" x14ac:dyDescent="0.25">
      <c r="C3243" s="19"/>
      <c r="D3243" s="19" t="s">
        <v>544</v>
      </c>
      <c r="E3243" s="19" t="s">
        <v>545</v>
      </c>
      <c r="F3243">
        <v>1</v>
      </c>
    </row>
    <row r="3244" spans="1:6" x14ac:dyDescent="0.25">
      <c r="C3244" s="19"/>
      <c r="D3244" s="19" t="s">
        <v>546</v>
      </c>
      <c r="E3244" s="19" t="s">
        <v>547</v>
      </c>
      <c r="F3244">
        <v>1</v>
      </c>
    </row>
    <row r="3245" spans="1:6" x14ac:dyDescent="0.25">
      <c r="C3245" s="19"/>
      <c r="D3245" s="19" t="s">
        <v>548</v>
      </c>
      <c r="E3245" s="19" t="s">
        <v>549</v>
      </c>
      <c r="F3245">
        <v>1</v>
      </c>
    </row>
    <row r="3246" spans="1:6" x14ac:dyDescent="0.25">
      <c r="C3246" s="19"/>
      <c r="D3246" s="19" t="s">
        <v>550</v>
      </c>
      <c r="E3246" s="19" t="s">
        <v>551</v>
      </c>
      <c r="F3246">
        <v>0</v>
      </c>
    </row>
    <row r="3247" spans="1:6" x14ac:dyDescent="0.25">
      <c r="A3247" s="3">
        <v>523</v>
      </c>
      <c r="B3247" s="16" t="s">
        <v>149</v>
      </c>
      <c r="C3247" s="19" t="s">
        <v>506</v>
      </c>
      <c r="D3247" s="19" t="s">
        <v>507</v>
      </c>
      <c r="E3247" s="19" t="s">
        <v>508</v>
      </c>
      <c r="F3247">
        <v>0</v>
      </c>
    </row>
    <row r="3248" spans="1:6" x14ac:dyDescent="0.25">
      <c r="C3248" s="19"/>
      <c r="D3248" s="19" t="s">
        <v>509</v>
      </c>
      <c r="E3248" s="19" t="s">
        <v>510</v>
      </c>
      <c r="F3248">
        <v>1</v>
      </c>
    </row>
    <row r="3249" spans="3:6" x14ac:dyDescent="0.25">
      <c r="C3249" s="19"/>
      <c r="D3249" s="19" t="s">
        <v>511</v>
      </c>
      <c r="E3249" s="19" t="s">
        <v>512</v>
      </c>
      <c r="F3249">
        <v>1</v>
      </c>
    </row>
    <row r="3250" spans="3:6" x14ac:dyDescent="0.25">
      <c r="C3250" s="19"/>
      <c r="D3250" s="19" t="s">
        <v>513</v>
      </c>
      <c r="E3250" s="19" t="s">
        <v>514</v>
      </c>
      <c r="F3250">
        <v>1</v>
      </c>
    </row>
    <row r="3251" spans="3:6" x14ac:dyDescent="0.25">
      <c r="C3251" s="19"/>
      <c r="D3251" s="19" t="s">
        <v>515</v>
      </c>
      <c r="E3251" s="19" t="s">
        <v>516</v>
      </c>
      <c r="F3251">
        <v>1</v>
      </c>
    </row>
    <row r="3252" spans="3:6" x14ac:dyDescent="0.25">
      <c r="C3252" s="19"/>
      <c r="D3252" s="19" t="s">
        <v>517</v>
      </c>
      <c r="E3252" s="19" t="s">
        <v>518</v>
      </c>
      <c r="F3252">
        <v>1</v>
      </c>
    </row>
    <row r="3253" spans="3:6" x14ac:dyDescent="0.25">
      <c r="C3253" s="19"/>
      <c r="D3253" s="19" t="s">
        <v>519</v>
      </c>
      <c r="E3253" s="19" t="s">
        <v>520</v>
      </c>
      <c r="F3253">
        <v>1</v>
      </c>
    </row>
    <row r="3254" spans="3:6" x14ac:dyDescent="0.25">
      <c r="C3254" s="19"/>
      <c r="D3254" s="19" t="s">
        <v>521</v>
      </c>
      <c r="E3254" s="19" t="s">
        <v>522</v>
      </c>
      <c r="F3254">
        <v>1</v>
      </c>
    </row>
    <row r="3255" spans="3:6" x14ac:dyDescent="0.25">
      <c r="C3255" s="19"/>
      <c r="D3255" s="19" t="s">
        <v>523</v>
      </c>
      <c r="E3255" s="19" t="s">
        <v>524</v>
      </c>
      <c r="F3255">
        <v>1</v>
      </c>
    </row>
    <row r="3256" spans="3:6" x14ac:dyDescent="0.25">
      <c r="C3256" s="19"/>
      <c r="D3256" s="19" t="s">
        <v>525</v>
      </c>
      <c r="E3256" s="19" t="s">
        <v>526</v>
      </c>
      <c r="F3256">
        <v>1</v>
      </c>
    </row>
    <row r="3257" spans="3:6" x14ac:dyDescent="0.25">
      <c r="C3257" s="19"/>
      <c r="D3257" s="19" t="s">
        <v>527</v>
      </c>
      <c r="E3257" s="19" t="s">
        <v>283</v>
      </c>
      <c r="F3257">
        <v>1</v>
      </c>
    </row>
    <row r="3258" spans="3:6" x14ac:dyDescent="0.25">
      <c r="C3258" s="19"/>
      <c r="D3258" s="19" t="s">
        <v>528</v>
      </c>
      <c r="E3258" s="19" t="s">
        <v>529</v>
      </c>
      <c r="F3258">
        <v>1</v>
      </c>
    </row>
    <row r="3259" spans="3:6" x14ac:dyDescent="0.25">
      <c r="C3259" s="19"/>
      <c r="D3259" s="19" t="s">
        <v>530</v>
      </c>
      <c r="E3259" s="19" t="s">
        <v>531</v>
      </c>
      <c r="F3259">
        <v>1</v>
      </c>
    </row>
    <row r="3260" spans="3:6" x14ac:dyDescent="0.25">
      <c r="C3260" s="19"/>
      <c r="D3260" s="19" t="s">
        <v>532</v>
      </c>
      <c r="E3260" s="19" t="s">
        <v>533</v>
      </c>
      <c r="F3260">
        <v>1</v>
      </c>
    </row>
    <row r="3261" spans="3:6" x14ac:dyDescent="0.25">
      <c r="C3261" s="19"/>
      <c r="D3261" s="19" t="s">
        <v>534</v>
      </c>
      <c r="E3261" s="19" t="s">
        <v>535</v>
      </c>
      <c r="F3261">
        <v>1</v>
      </c>
    </row>
    <row r="3262" spans="3:6" x14ac:dyDescent="0.25">
      <c r="C3262" s="19"/>
      <c r="D3262" s="19" t="s">
        <v>536</v>
      </c>
      <c r="E3262" s="19" t="s">
        <v>537</v>
      </c>
      <c r="F3262">
        <v>1</v>
      </c>
    </row>
    <row r="3263" spans="3:6" x14ac:dyDescent="0.25">
      <c r="C3263" s="19"/>
      <c r="D3263" s="19" t="s">
        <v>538</v>
      </c>
      <c r="E3263" s="19" t="s">
        <v>539</v>
      </c>
      <c r="F3263">
        <v>1</v>
      </c>
    </row>
    <row r="3264" spans="3:6" x14ac:dyDescent="0.25">
      <c r="C3264" s="19"/>
      <c r="D3264" s="19" t="s">
        <v>540</v>
      </c>
      <c r="E3264" s="19" t="s">
        <v>541</v>
      </c>
      <c r="F3264">
        <v>0</v>
      </c>
    </row>
    <row r="3265" spans="1:7" x14ac:dyDescent="0.25">
      <c r="C3265" s="19"/>
      <c r="D3265" s="19" t="s">
        <v>542</v>
      </c>
      <c r="E3265" s="19" t="s">
        <v>543</v>
      </c>
      <c r="F3265">
        <v>1</v>
      </c>
    </row>
    <row r="3266" spans="1:7" x14ac:dyDescent="0.25">
      <c r="C3266" s="19"/>
      <c r="D3266" s="19" t="s">
        <v>544</v>
      </c>
      <c r="E3266" s="19" t="s">
        <v>545</v>
      </c>
      <c r="F3266">
        <v>0</v>
      </c>
    </row>
    <row r="3267" spans="1:7" x14ac:dyDescent="0.25">
      <c r="C3267" s="19"/>
      <c r="D3267" s="19" t="s">
        <v>546</v>
      </c>
      <c r="E3267" s="19" t="s">
        <v>547</v>
      </c>
      <c r="F3267">
        <v>0</v>
      </c>
    </row>
    <row r="3268" spans="1:7" x14ac:dyDescent="0.25">
      <c r="C3268" s="19"/>
      <c r="D3268" s="19" t="s">
        <v>548</v>
      </c>
      <c r="E3268" s="19" t="s">
        <v>549</v>
      </c>
      <c r="F3268">
        <v>1</v>
      </c>
    </row>
    <row r="3269" spans="1:7" x14ac:dyDescent="0.25">
      <c r="C3269" s="19"/>
      <c r="D3269" s="19" t="s">
        <v>550</v>
      </c>
      <c r="E3269" s="19" t="s">
        <v>551</v>
      </c>
      <c r="F3269">
        <v>1</v>
      </c>
    </row>
    <row r="3270" spans="1:7" x14ac:dyDescent="0.25">
      <c r="A3270" s="3">
        <v>527</v>
      </c>
      <c r="B3270" s="15" t="s">
        <v>150</v>
      </c>
      <c r="C3270" s="19" t="s">
        <v>422</v>
      </c>
      <c r="D3270" s="19" t="s">
        <v>423</v>
      </c>
      <c r="E3270" s="19" t="s">
        <v>424</v>
      </c>
      <c r="F3270">
        <v>1</v>
      </c>
    </row>
    <row r="3271" spans="1:7" x14ac:dyDescent="0.25">
      <c r="C3271" s="19"/>
      <c r="D3271" s="19" t="s">
        <v>425</v>
      </c>
      <c r="E3271" s="19" t="s">
        <v>426</v>
      </c>
      <c r="F3271">
        <v>1</v>
      </c>
    </row>
    <row r="3272" spans="1:7" x14ac:dyDescent="0.25">
      <c r="C3272" s="19"/>
      <c r="D3272" s="19" t="s">
        <v>427</v>
      </c>
      <c r="E3272" s="19" t="s">
        <v>428</v>
      </c>
      <c r="F3272">
        <v>1</v>
      </c>
    </row>
    <row r="3273" spans="1:7" x14ac:dyDescent="0.25">
      <c r="C3273" s="19"/>
      <c r="D3273" s="19" t="s">
        <v>429</v>
      </c>
      <c r="E3273" s="19" t="s">
        <v>430</v>
      </c>
      <c r="F3273">
        <v>1</v>
      </c>
    </row>
    <row r="3274" spans="1:7" x14ac:dyDescent="0.25">
      <c r="C3274" s="19"/>
      <c r="D3274" s="19" t="s">
        <v>431</v>
      </c>
      <c r="E3274" s="19" t="s">
        <v>432</v>
      </c>
      <c r="F3274">
        <v>1</v>
      </c>
    </row>
    <row r="3275" spans="1:7" x14ac:dyDescent="0.25">
      <c r="C3275" s="19"/>
      <c r="D3275" s="19" t="s">
        <v>433</v>
      </c>
      <c r="E3275" s="19" t="s">
        <v>434</v>
      </c>
      <c r="F3275">
        <v>1</v>
      </c>
    </row>
    <row r="3276" spans="1:7" x14ac:dyDescent="0.25">
      <c r="C3276" s="19"/>
      <c r="D3276" s="19" t="s">
        <v>435</v>
      </c>
      <c r="E3276" s="19" t="s">
        <v>436</v>
      </c>
      <c r="F3276">
        <v>1</v>
      </c>
    </row>
    <row r="3277" spans="1:7" x14ac:dyDescent="0.25">
      <c r="C3277" s="19"/>
      <c r="D3277" s="19" t="s">
        <v>437</v>
      </c>
      <c r="E3277" s="19" t="s">
        <v>438</v>
      </c>
      <c r="F3277">
        <v>1</v>
      </c>
    </row>
    <row r="3278" spans="1:7" x14ac:dyDescent="0.25">
      <c r="C3278" s="19"/>
      <c r="D3278" s="19" t="s">
        <v>439</v>
      </c>
      <c r="E3278" s="19" t="s">
        <v>440</v>
      </c>
      <c r="F3278">
        <v>1</v>
      </c>
    </row>
    <row r="3279" spans="1:7" x14ac:dyDescent="0.25">
      <c r="C3279" s="19" t="s">
        <v>1169</v>
      </c>
      <c r="D3279" s="19" t="s">
        <v>1170</v>
      </c>
      <c r="E3279" s="19" t="s">
        <v>1171</v>
      </c>
      <c r="F3279">
        <v>1</v>
      </c>
    </row>
    <row r="3280" spans="1:7" x14ac:dyDescent="0.25">
      <c r="C3280" s="19"/>
      <c r="D3280" s="19" t="s">
        <v>1172</v>
      </c>
      <c r="E3280" s="19" t="s">
        <v>1173</v>
      </c>
      <c r="F3280">
        <v>1</v>
      </c>
      <c r="G3280" s="7"/>
    </row>
    <row r="3281" spans="1:7" x14ac:dyDescent="0.25">
      <c r="C3281" s="19"/>
      <c r="D3281" s="19" t="s">
        <v>1174</v>
      </c>
      <c r="E3281" s="19" t="s">
        <v>1175</v>
      </c>
      <c r="F3281">
        <v>1</v>
      </c>
      <c r="G3281" s="7"/>
    </row>
    <row r="3282" spans="1:7" x14ac:dyDescent="0.25">
      <c r="C3282" s="19"/>
      <c r="D3282" s="19" t="s">
        <v>1176</v>
      </c>
      <c r="E3282" s="19" t="s">
        <v>1177</v>
      </c>
      <c r="F3282">
        <v>1</v>
      </c>
      <c r="G3282" s="7"/>
    </row>
    <row r="3283" spans="1:7" x14ac:dyDescent="0.25">
      <c r="C3283" s="19"/>
      <c r="D3283" s="19" t="s">
        <v>1178</v>
      </c>
      <c r="E3283" s="19" t="s">
        <v>1179</v>
      </c>
      <c r="F3283">
        <v>1</v>
      </c>
    </row>
    <row r="3284" spans="1:7" x14ac:dyDescent="0.25">
      <c r="C3284" s="19"/>
      <c r="D3284" s="19" t="s">
        <v>1180</v>
      </c>
      <c r="E3284" s="19" t="s">
        <v>1181</v>
      </c>
      <c r="F3284">
        <v>1</v>
      </c>
    </row>
    <row r="3285" spans="1:7" x14ac:dyDescent="0.25">
      <c r="C3285" s="19"/>
      <c r="D3285" s="19" t="s">
        <v>1182</v>
      </c>
      <c r="E3285" s="19" t="s">
        <v>1183</v>
      </c>
      <c r="F3285">
        <v>0</v>
      </c>
    </row>
    <row r="3286" spans="1:7" x14ac:dyDescent="0.25">
      <c r="C3286" s="19"/>
      <c r="D3286" s="19" t="s">
        <v>1184</v>
      </c>
      <c r="E3286" s="19" t="s">
        <v>1185</v>
      </c>
      <c r="F3286">
        <v>1</v>
      </c>
    </row>
    <row r="3287" spans="1:7" x14ac:dyDescent="0.25">
      <c r="C3287" s="19"/>
      <c r="D3287" s="19" t="s">
        <v>1186</v>
      </c>
      <c r="E3287" s="19" t="s">
        <v>1187</v>
      </c>
      <c r="F3287">
        <v>1</v>
      </c>
    </row>
    <row r="3288" spans="1:7" x14ac:dyDescent="0.25">
      <c r="C3288" s="19"/>
      <c r="D3288" s="19" t="s">
        <v>1188</v>
      </c>
      <c r="E3288" s="19" t="s">
        <v>1189</v>
      </c>
      <c r="F3288">
        <v>1</v>
      </c>
    </row>
    <row r="3289" spans="1:7" x14ac:dyDescent="0.25">
      <c r="C3289" s="19"/>
      <c r="D3289" s="19" t="s">
        <v>1190</v>
      </c>
      <c r="E3289" s="19" t="s">
        <v>1191</v>
      </c>
      <c r="F3289">
        <v>1</v>
      </c>
    </row>
    <row r="3290" spans="1:7" x14ac:dyDescent="0.25">
      <c r="C3290" s="19"/>
      <c r="D3290" s="19" t="s">
        <v>1192</v>
      </c>
      <c r="E3290" s="19" t="s">
        <v>1193</v>
      </c>
      <c r="F3290">
        <v>1</v>
      </c>
    </row>
    <row r="3291" spans="1:7" x14ac:dyDescent="0.25">
      <c r="C3291" s="19"/>
      <c r="D3291" s="19" t="s">
        <v>1194</v>
      </c>
      <c r="E3291" s="19" t="s">
        <v>1195</v>
      </c>
      <c r="F3291">
        <v>1</v>
      </c>
    </row>
    <row r="3292" spans="1:7" x14ac:dyDescent="0.25">
      <c r="C3292" s="19"/>
      <c r="D3292" s="19" t="s">
        <v>1196</v>
      </c>
      <c r="E3292" s="19" t="s">
        <v>1197</v>
      </c>
      <c r="F3292">
        <v>1</v>
      </c>
    </row>
    <row r="3293" spans="1:7" x14ac:dyDescent="0.25">
      <c r="A3293" s="3">
        <v>528</v>
      </c>
      <c r="B3293" s="15" t="s">
        <v>150</v>
      </c>
      <c r="C3293" s="19" t="s">
        <v>422</v>
      </c>
      <c r="D3293" s="19" t="s">
        <v>423</v>
      </c>
      <c r="E3293" s="19" t="s">
        <v>424</v>
      </c>
      <c r="F3293">
        <v>1</v>
      </c>
    </row>
    <row r="3294" spans="1:7" x14ac:dyDescent="0.25">
      <c r="C3294" s="19"/>
      <c r="D3294" s="19" t="s">
        <v>425</v>
      </c>
      <c r="E3294" s="19" t="s">
        <v>426</v>
      </c>
      <c r="F3294">
        <v>1</v>
      </c>
    </row>
    <row r="3295" spans="1:7" x14ac:dyDescent="0.25">
      <c r="C3295" s="19"/>
      <c r="D3295" s="19" t="s">
        <v>427</v>
      </c>
      <c r="E3295" s="19" t="s">
        <v>428</v>
      </c>
      <c r="F3295">
        <v>1</v>
      </c>
    </row>
    <row r="3296" spans="1:7" x14ac:dyDescent="0.25">
      <c r="C3296" s="19"/>
      <c r="D3296" s="19" t="s">
        <v>429</v>
      </c>
      <c r="E3296" s="19" t="s">
        <v>430</v>
      </c>
      <c r="F3296">
        <v>1</v>
      </c>
    </row>
    <row r="3297" spans="3:6" x14ac:dyDescent="0.25">
      <c r="C3297" s="19"/>
      <c r="D3297" s="19" t="s">
        <v>431</v>
      </c>
      <c r="E3297" s="19" t="s">
        <v>432</v>
      </c>
      <c r="F3297">
        <v>1</v>
      </c>
    </row>
    <row r="3298" spans="3:6" x14ac:dyDescent="0.25">
      <c r="C3298" s="19"/>
      <c r="D3298" s="19" t="s">
        <v>433</v>
      </c>
      <c r="E3298" s="19" t="s">
        <v>434</v>
      </c>
      <c r="F3298">
        <v>1</v>
      </c>
    </row>
    <row r="3299" spans="3:6" x14ac:dyDescent="0.25">
      <c r="C3299" s="19"/>
      <c r="D3299" s="19" t="s">
        <v>435</v>
      </c>
      <c r="E3299" s="19" t="s">
        <v>436</v>
      </c>
      <c r="F3299">
        <v>1</v>
      </c>
    </row>
    <row r="3300" spans="3:6" x14ac:dyDescent="0.25">
      <c r="C3300" s="19"/>
      <c r="D3300" s="19" t="s">
        <v>437</v>
      </c>
      <c r="E3300" s="19" t="s">
        <v>438</v>
      </c>
      <c r="F3300">
        <v>1</v>
      </c>
    </row>
    <row r="3301" spans="3:6" x14ac:dyDescent="0.25">
      <c r="C3301" s="19"/>
      <c r="D3301" s="19" t="s">
        <v>439</v>
      </c>
      <c r="E3301" s="19" t="s">
        <v>440</v>
      </c>
      <c r="F3301">
        <v>1</v>
      </c>
    </row>
    <row r="3302" spans="3:6" x14ac:dyDescent="0.25">
      <c r="C3302" s="19"/>
      <c r="D3302" s="19" t="s">
        <v>446</v>
      </c>
      <c r="E3302" s="19" t="s">
        <v>447</v>
      </c>
      <c r="F3302">
        <v>1</v>
      </c>
    </row>
    <row r="3303" spans="3:6" x14ac:dyDescent="0.25">
      <c r="C3303" s="19"/>
      <c r="D3303" s="19" t="s">
        <v>448</v>
      </c>
      <c r="E3303" s="19" t="s">
        <v>449</v>
      </c>
      <c r="F3303">
        <v>1</v>
      </c>
    </row>
    <row r="3304" spans="3:6" x14ac:dyDescent="0.25">
      <c r="C3304" s="19" t="s">
        <v>1169</v>
      </c>
      <c r="D3304" s="19" t="s">
        <v>1170</v>
      </c>
      <c r="E3304" s="19" t="s">
        <v>1171</v>
      </c>
      <c r="F3304">
        <v>1</v>
      </c>
    </row>
    <row r="3305" spans="3:6" x14ac:dyDescent="0.25">
      <c r="C3305" s="19"/>
      <c r="D3305" s="19" t="s">
        <v>1172</v>
      </c>
      <c r="E3305" s="19" t="s">
        <v>1173</v>
      </c>
      <c r="F3305">
        <v>0</v>
      </c>
    </row>
    <row r="3306" spans="3:6" x14ac:dyDescent="0.25">
      <c r="C3306" s="19"/>
      <c r="D3306" s="19" t="s">
        <v>1174</v>
      </c>
      <c r="E3306" s="19" t="s">
        <v>1175</v>
      </c>
      <c r="F3306">
        <v>1</v>
      </c>
    </row>
    <row r="3307" spans="3:6" x14ac:dyDescent="0.25">
      <c r="C3307" s="19"/>
      <c r="D3307" s="19" t="s">
        <v>1176</v>
      </c>
      <c r="E3307" s="19" t="s">
        <v>1177</v>
      </c>
      <c r="F3307">
        <v>1</v>
      </c>
    </row>
    <row r="3308" spans="3:6" x14ac:dyDescent="0.25">
      <c r="C3308" s="19"/>
      <c r="D3308" s="19" t="s">
        <v>1178</v>
      </c>
      <c r="E3308" s="19" t="s">
        <v>1179</v>
      </c>
      <c r="F3308">
        <v>1</v>
      </c>
    </row>
    <row r="3309" spans="3:6" x14ac:dyDescent="0.25">
      <c r="C3309" s="19"/>
      <c r="D3309" s="19" t="s">
        <v>1180</v>
      </c>
      <c r="E3309" s="19" t="s">
        <v>1181</v>
      </c>
      <c r="F3309">
        <v>1</v>
      </c>
    </row>
    <row r="3310" spans="3:6" x14ac:dyDescent="0.25">
      <c r="C3310" s="19"/>
      <c r="D3310" s="19" t="s">
        <v>1182</v>
      </c>
      <c r="E3310" s="19" t="s">
        <v>1183</v>
      </c>
      <c r="F3310">
        <v>0</v>
      </c>
    </row>
    <row r="3311" spans="3:6" x14ac:dyDescent="0.25">
      <c r="C3311" s="19"/>
      <c r="D3311" s="19" t="s">
        <v>1184</v>
      </c>
      <c r="E3311" s="19" t="s">
        <v>1185</v>
      </c>
      <c r="F3311">
        <v>1</v>
      </c>
    </row>
    <row r="3312" spans="3:6" x14ac:dyDescent="0.25">
      <c r="C3312" s="19"/>
      <c r="D3312" s="19" t="s">
        <v>1186</v>
      </c>
      <c r="E3312" s="19" t="s">
        <v>1187</v>
      </c>
      <c r="F3312">
        <v>1</v>
      </c>
    </row>
    <row r="3313" spans="1:6" x14ac:dyDescent="0.25">
      <c r="C3313" s="19"/>
      <c r="D3313" s="19" t="s">
        <v>1188</v>
      </c>
      <c r="E3313" s="19" t="s">
        <v>1189</v>
      </c>
      <c r="F3313">
        <v>2</v>
      </c>
    </row>
    <row r="3314" spans="1:6" x14ac:dyDescent="0.25">
      <c r="C3314" s="19"/>
      <c r="D3314" s="19" t="s">
        <v>1190</v>
      </c>
      <c r="E3314" s="19" t="s">
        <v>1191</v>
      </c>
      <c r="F3314">
        <v>1</v>
      </c>
    </row>
    <row r="3315" spans="1:6" x14ac:dyDescent="0.25">
      <c r="C3315" s="19"/>
      <c r="D3315" s="19" t="s">
        <v>1192</v>
      </c>
      <c r="E3315" s="19" t="s">
        <v>1193</v>
      </c>
      <c r="F3315">
        <v>1</v>
      </c>
    </row>
    <row r="3316" spans="1:6" x14ac:dyDescent="0.25">
      <c r="C3316" s="19"/>
      <c r="D3316" s="19" t="s">
        <v>1194</v>
      </c>
      <c r="E3316" s="19" t="s">
        <v>1195</v>
      </c>
      <c r="F3316">
        <v>1</v>
      </c>
    </row>
    <row r="3317" spans="1:6" x14ac:dyDescent="0.25">
      <c r="C3317" s="19"/>
      <c r="D3317" s="19" t="s">
        <v>1196</v>
      </c>
      <c r="E3317" s="19" t="s">
        <v>1197</v>
      </c>
      <c r="F3317">
        <v>1</v>
      </c>
    </row>
    <row r="3318" spans="1:6" x14ac:dyDescent="0.25">
      <c r="A3318" s="3">
        <v>530</v>
      </c>
      <c r="B3318" s="15" t="s">
        <v>151</v>
      </c>
      <c r="C3318" s="19" t="s">
        <v>1772</v>
      </c>
      <c r="D3318" s="19" t="s">
        <v>1773</v>
      </c>
      <c r="E3318" s="19" t="s">
        <v>1774</v>
      </c>
      <c r="F3318">
        <v>1</v>
      </c>
    </row>
    <row r="3319" spans="1:6" x14ac:dyDescent="0.25">
      <c r="C3319" s="19"/>
      <c r="D3319" s="19" t="s">
        <v>1775</v>
      </c>
      <c r="E3319" s="19" t="s">
        <v>306</v>
      </c>
      <c r="F3319">
        <v>1</v>
      </c>
    </row>
    <row r="3320" spans="1:6" x14ac:dyDescent="0.25">
      <c r="C3320" s="19"/>
      <c r="D3320" s="19" t="s">
        <v>1776</v>
      </c>
      <c r="E3320" s="19" t="s">
        <v>273</v>
      </c>
      <c r="F3320">
        <v>1</v>
      </c>
    </row>
    <row r="3321" spans="1:6" x14ac:dyDescent="0.25">
      <c r="C3321" s="19"/>
      <c r="D3321" s="19" t="s">
        <v>1777</v>
      </c>
      <c r="E3321" s="19" t="s">
        <v>312</v>
      </c>
      <c r="F3321">
        <v>1</v>
      </c>
    </row>
    <row r="3322" spans="1:6" x14ac:dyDescent="0.25">
      <c r="C3322" s="19"/>
      <c r="D3322" s="19" t="s">
        <v>1778</v>
      </c>
      <c r="E3322" s="19" t="s">
        <v>880</v>
      </c>
      <c r="F3322">
        <v>1</v>
      </c>
    </row>
    <row r="3323" spans="1:6" x14ac:dyDescent="0.25">
      <c r="C3323" s="19"/>
      <c r="D3323" s="19" t="s">
        <v>1779</v>
      </c>
      <c r="E3323" s="19" t="s">
        <v>1780</v>
      </c>
      <c r="F3323">
        <v>1</v>
      </c>
    </row>
    <row r="3324" spans="1:6" x14ac:dyDescent="0.25">
      <c r="C3324" s="19"/>
      <c r="D3324" s="19" t="s">
        <v>1781</v>
      </c>
      <c r="E3324" s="19" t="s">
        <v>1782</v>
      </c>
      <c r="F3324">
        <v>1</v>
      </c>
    </row>
    <row r="3325" spans="1:6" x14ac:dyDescent="0.25">
      <c r="C3325" s="19"/>
      <c r="D3325" s="19" t="s">
        <v>1783</v>
      </c>
      <c r="E3325" s="19" t="s">
        <v>1784</v>
      </c>
      <c r="F3325">
        <v>1</v>
      </c>
    </row>
    <row r="3326" spans="1:6" x14ac:dyDescent="0.25">
      <c r="C3326" s="19"/>
      <c r="D3326" s="19" t="s">
        <v>1785</v>
      </c>
      <c r="E3326" s="19" t="s">
        <v>866</v>
      </c>
      <c r="F3326">
        <v>0</v>
      </c>
    </row>
    <row r="3327" spans="1:6" x14ac:dyDescent="0.25">
      <c r="C3327" s="19"/>
      <c r="D3327" s="19" t="s">
        <v>1786</v>
      </c>
      <c r="E3327" s="19" t="s">
        <v>1787</v>
      </c>
      <c r="F3327">
        <v>2</v>
      </c>
    </row>
    <row r="3328" spans="1:6" x14ac:dyDescent="0.25">
      <c r="C3328" s="19"/>
      <c r="D3328" s="19" t="s">
        <v>1788</v>
      </c>
      <c r="E3328" s="19" t="s">
        <v>295</v>
      </c>
      <c r="F3328">
        <v>1</v>
      </c>
    </row>
    <row r="3329" spans="1:6" x14ac:dyDescent="0.25">
      <c r="C3329" s="19"/>
      <c r="D3329" s="19" t="s">
        <v>1789</v>
      </c>
      <c r="E3329" s="19" t="s">
        <v>372</v>
      </c>
      <c r="F3329">
        <v>1</v>
      </c>
    </row>
    <row r="3330" spans="1:6" x14ac:dyDescent="0.25">
      <c r="A3330" s="3">
        <v>532</v>
      </c>
      <c r="B3330" s="15" t="s">
        <v>151</v>
      </c>
      <c r="C3330" s="19" t="s">
        <v>1772</v>
      </c>
      <c r="D3330" s="19" t="s">
        <v>1773</v>
      </c>
      <c r="E3330" s="19" t="s">
        <v>1774</v>
      </c>
      <c r="F3330">
        <v>1</v>
      </c>
    </row>
    <row r="3331" spans="1:6" x14ac:dyDescent="0.25">
      <c r="C3331" s="19"/>
      <c r="D3331" s="19" t="s">
        <v>1775</v>
      </c>
      <c r="E3331" s="19" t="s">
        <v>306</v>
      </c>
      <c r="F3331">
        <v>1</v>
      </c>
    </row>
    <row r="3332" spans="1:6" x14ac:dyDescent="0.25">
      <c r="C3332" s="19"/>
      <c r="D3332" s="19" t="s">
        <v>1776</v>
      </c>
      <c r="E3332" s="19" t="s">
        <v>273</v>
      </c>
      <c r="F3332">
        <v>1</v>
      </c>
    </row>
    <row r="3333" spans="1:6" x14ac:dyDescent="0.25">
      <c r="C3333" s="19"/>
      <c r="D3333" s="19" t="s">
        <v>1777</v>
      </c>
      <c r="E3333" s="19" t="s">
        <v>312</v>
      </c>
      <c r="F3333">
        <v>1</v>
      </c>
    </row>
    <row r="3334" spans="1:6" x14ac:dyDescent="0.25">
      <c r="C3334" s="19"/>
      <c r="D3334" s="19" t="s">
        <v>1778</v>
      </c>
      <c r="E3334" s="19" t="s">
        <v>880</v>
      </c>
      <c r="F3334">
        <v>1</v>
      </c>
    </row>
    <row r="3335" spans="1:6" x14ac:dyDescent="0.25">
      <c r="C3335" s="19"/>
      <c r="D3335" s="19" t="s">
        <v>1779</v>
      </c>
      <c r="E3335" s="19" t="s">
        <v>1780</v>
      </c>
      <c r="F3335">
        <v>1</v>
      </c>
    </row>
    <row r="3336" spans="1:6" x14ac:dyDescent="0.25">
      <c r="C3336" s="19"/>
      <c r="D3336" s="19" t="s">
        <v>1781</v>
      </c>
      <c r="E3336" s="19" t="s">
        <v>1782</v>
      </c>
      <c r="F3336">
        <v>1</v>
      </c>
    </row>
    <row r="3337" spans="1:6" x14ac:dyDescent="0.25">
      <c r="C3337" s="19"/>
      <c r="D3337" s="19" t="s">
        <v>1783</v>
      </c>
      <c r="E3337" s="19" t="s">
        <v>1784</v>
      </c>
      <c r="F3337">
        <v>1</v>
      </c>
    </row>
    <row r="3338" spans="1:6" x14ac:dyDescent="0.25">
      <c r="C3338" s="19"/>
      <c r="D3338" s="19" t="s">
        <v>1785</v>
      </c>
      <c r="E3338" s="19" t="s">
        <v>866</v>
      </c>
      <c r="F3338">
        <v>0</v>
      </c>
    </row>
    <row r="3339" spans="1:6" x14ac:dyDescent="0.25">
      <c r="C3339" s="19"/>
      <c r="D3339" s="19" t="s">
        <v>1786</v>
      </c>
      <c r="E3339" s="19" t="s">
        <v>1787</v>
      </c>
      <c r="F3339">
        <v>0</v>
      </c>
    </row>
    <row r="3340" spans="1:6" x14ac:dyDescent="0.25">
      <c r="C3340" s="19"/>
      <c r="D3340" s="19" t="s">
        <v>1788</v>
      </c>
      <c r="E3340" s="19" t="s">
        <v>295</v>
      </c>
      <c r="F3340">
        <v>1</v>
      </c>
    </row>
    <row r="3341" spans="1:6" x14ac:dyDescent="0.25">
      <c r="C3341" s="19"/>
      <c r="D3341" s="19" t="s">
        <v>1789</v>
      </c>
      <c r="E3341" s="19" t="s">
        <v>372</v>
      </c>
      <c r="F3341">
        <v>1</v>
      </c>
    </row>
    <row r="3342" spans="1:6" x14ac:dyDescent="0.25">
      <c r="A3342" s="3">
        <v>535</v>
      </c>
      <c r="B3342" s="15" t="s">
        <v>152</v>
      </c>
      <c r="C3342" s="19" t="s">
        <v>302</v>
      </c>
      <c r="D3342" s="19" t="s">
        <v>303</v>
      </c>
      <c r="E3342" s="19" t="s">
        <v>304</v>
      </c>
      <c r="F3342">
        <v>1</v>
      </c>
    </row>
    <row r="3343" spans="1:6" x14ac:dyDescent="0.25">
      <c r="C3343" s="19"/>
      <c r="D3343" s="19" t="s">
        <v>305</v>
      </c>
      <c r="E3343" s="19" t="s">
        <v>306</v>
      </c>
      <c r="F3343">
        <v>1</v>
      </c>
    </row>
    <row r="3344" spans="1:6" x14ac:dyDescent="0.25">
      <c r="C3344" s="19"/>
      <c r="D3344" s="19" t="s">
        <v>307</v>
      </c>
      <c r="E3344" s="19" t="s">
        <v>308</v>
      </c>
      <c r="F3344">
        <v>1</v>
      </c>
    </row>
    <row r="3345" spans="3:6" x14ac:dyDescent="0.25">
      <c r="C3345" s="19"/>
      <c r="D3345" s="19" t="s">
        <v>309</v>
      </c>
      <c r="E3345" s="19" t="s">
        <v>310</v>
      </c>
      <c r="F3345">
        <v>1</v>
      </c>
    </row>
    <row r="3346" spans="3:6" x14ac:dyDescent="0.25">
      <c r="C3346" s="19"/>
      <c r="D3346" s="19" t="s">
        <v>311</v>
      </c>
      <c r="E3346" s="19" t="s">
        <v>312</v>
      </c>
      <c r="F3346">
        <v>1</v>
      </c>
    </row>
    <row r="3347" spans="3:6" x14ac:dyDescent="0.25">
      <c r="C3347" s="19"/>
      <c r="D3347" s="19" t="s">
        <v>313</v>
      </c>
      <c r="E3347" s="19" t="s">
        <v>314</v>
      </c>
      <c r="F3347">
        <v>1</v>
      </c>
    </row>
    <row r="3348" spans="3:6" x14ac:dyDescent="0.25">
      <c r="C3348" s="19"/>
      <c r="D3348" s="19" t="s">
        <v>315</v>
      </c>
      <c r="E3348" s="19" t="s">
        <v>316</v>
      </c>
      <c r="F3348">
        <v>1</v>
      </c>
    </row>
    <row r="3349" spans="3:6" x14ac:dyDescent="0.25">
      <c r="C3349" s="19"/>
      <c r="D3349" s="19" t="s">
        <v>317</v>
      </c>
      <c r="E3349" s="19" t="s">
        <v>318</v>
      </c>
      <c r="F3349">
        <v>1</v>
      </c>
    </row>
    <row r="3350" spans="3:6" x14ac:dyDescent="0.25">
      <c r="C3350" s="19"/>
      <c r="D3350" s="19" t="s">
        <v>319</v>
      </c>
      <c r="E3350" s="19" t="s">
        <v>320</v>
      </c>
      <c r="F3350">
        <v>1</v>
      </c>
    </row>
    <row r="3351" spans="3:6" x14ac:dyDescent="0.25">
      <c r="C3351" s="19"/>
      <c r="D3351" s="19" t="s">
        <v>321</v>
      </c>
      <c r="E3351" s="19" t="s">
        <v>322</v>
      </c>
      <c r="F3351">
        <v>1</v>
      </c>
    </row>
    <row r="3352" spans="3:6" x14ac:dyDescent="0.25">
      <c r="C3352" s="19"/>
      <c r="D3352" s="19" t="s">
        <v>323</v>
      </c>
      <c r="E3352" s="19" t="s">
        <v>324</v>
      </c>
      <c r="F3352">
        <v>1</v>
      </c>
    </row>
    <row r="3353" spans="3:6" x14ac:dyDescent="0.25">
      <c r="C3353" s="19"/>
      <c r="D3353" s="19" t="s">
        <v>325</v>
      </c>
      <c r="E3353" s="19" t="s">
        <v>326</v>
      </c>
      <c r="F3353">
        <v>0</v>
      </c>
    </row>
    <row r="3354" spans="3:6" x14ac:dyDescent="0.25">
      <c r="C3354" s="19"/>
      <c r="D3354" s="19" t="s">
        <v>327</v>
      </c>
      <c r="E3354" s="19" t="s">
        <v>328</v>
      </c>
      <c r="F3354">
        <v>0</v>
      </c>
    </row>
    <row r="3355" spans="3:6" x14ac:dyDescent="0.25">
      <c r="C3355" s="19"/>
      <c r="D3355" s="19" t="s">
        <v>329</v>
      </c>
      <c r="E3355" s="19" t="s">
        <v>330</v>
      </c>
      <c r="F3355">
        <v>1</v>
      </c>
    </row>
    <row r="3356" spans="3:6" x14ac:dyDescent="0.25">
      <c r="C3356" s="19"/>
      <c r="D3356" s="19" t="s">
        <v>331</v>
      </c>
      <c r="E3356" s="19" t="s">
        <v>332</v>
      </c>
      <c r="F3356">
        <v>0</v>
      </c>
    </row>
    <row r="3357" spans="3:6" x14ac:dyDescent="0.25">
      <c r="C3357" s="19"/>
      <c r="D3357" s="19" t="s">
        <v>333</v>
      </c>
      <c r="E3357" s="19" t="s">
        <v>334</v>
      </c>
      <c r="F3357">
        <v>1</v>
      </c>
    </row>
    <row r="3358" spans="3:6" x14ac:dyDescent="0.25">
      <c r="C3358" s="19"/>
      <c r="D3358" s="19" t="s">
        <v>335</v>
      </c>
      <c r="E3358" s="19" t="s">
        <v>336</v>
      </c>
      <c r="F3358">
        <v>1</v>
      </c>
    </row>
    <row r="3359" spans="3:6" x14ac:dyDescent="0.25">
      <c r="C3359" s="19" t="s">
        <v>917</v>
      </c>
      <c r="D3359" s="19" t="s">
        <v>918</v>
      </c>
      <c r="E3359" s="19" t="s">
        <v>308</v>
      </c>
      <c r="F3359">
        <v>0</v>
      </c>
    </row>
    <row r="3360" spans="3:6" x14ac:dyDescent="0.25">
      <c r="C3360" s="19"/>
      <c r="D3360" s="19" t="s">
        <v>919</v>
      </c>
      <c r="E3360" s="19" t="s">
        <v>920</v>
      </c>
      <c r="F3360">
        <v>1</v>
      </c>
    </row>
    <row r="3361" spans="3:6" x14ac:dyDescent="0.25">
      <c r="C3361" s="19"/>
      <c r="D3361" s="19" t="s">
        <v>921</v>
      </c>
      <c r="E3361" s="19" t="s">
        <v>922</v>
      </c>
      <c r="F3361">
        <v>1</v>
      </c>
    </row>
    <row r="3362" spans="3:6" x14ac:dyDescent="0.25">
      <c r="C3362" s="19"/>
      <c r="D3362" s="19" t="s">
        <v>923</v>
      </c>
      <c r="E3362" s="19" t="s">
        <v>924</v>
      </c>
      <c r="F3362">
        <v>0</v>
      </c>
    </row>
    <row r="3363" spans="3:6" x14ac:dyDescent="0.25">
      <c r="C3363" s="19"/>
      <c r="D3363" s="19" t="s">
        <v>925</v>
      </c>
      <c r="E3363" s="19" t="s">
        <v>310</v>
      </c>
      <c r="F3363">
        <v>0</v>
      </c>
    </row>
    <row r="3364" spans="3:6" x14ac:dyDescent="0.25">
      <c r="C3364" s="19"/>
      <c r="D3364" s="19" t="s">
        <v>926</v>
      </c>
      <c r="E3364" s="19" t="s">
        <v>927</v>
      </c>
      <c r="F3364">
        <v>1</v>
      </c>
    </row>
    <row r="3365" spans="3:6" x14ac:dyDescent="0.25">
      <c r="C3365" s="19"/>
      <c r="D3365" s="19" t="s">
        <v>928</v>
      </c>
      <c r="E3365" s="19" t="s">
        <v>929</v>
      </c>
      <c r="F3365">
        <v>1</v>
      </c>
    </row>
    <row r="3366" spans="3:6" x14ac:dyDescent="0.25">
      <c r="C3366" s="19"/>
      <c r="D3366" s="19" t="s">
        <v>930</v>
      </c>
      <c r="E3366" s="19" t="s">
        <v>640</v>
      </c>
      <c r="F3366">
        <v>1</v>
      </c>
    </row>
    <row r="3367" spans="3:6" x14ac:dyDescent="0.25">
      <c r="C3367" s="19"/>
      <c r="D3367" s="19" t="s">
        <v>931</v>
      </c>
      <c r="E3367" s="19" t="s">
        <v>932</v>
      </c>
      <c r="F3367">
        <v>1</v>
      </c>
    </row>
    <row r="3368" spans="3:6" x14ac:dyDescent="0.25">
      <c r="C3368" s="19"/>
      <c r="D3368" s="19" t="s">
        <v>933</v>
      </c>
      <c r="E3368" s="19" t="s">
        <v>934</v>
      </c>
      <c r="F3368">
        <v>0</v>
      </c>
    </row>
    <row r="3369" spans="3:6" x14ac:dyDescent="0.25">
      <c r="C3369" s="19"/>
      <c r="D3369" s="19" t="s">
        <v>935</v>
      </c>
      <c r="E3369" s="19" t="s">
        <v>936</v>
      </c>
      <c r="F3369">
        <v>0</v>
      </c>
    </row>
    <row r="3370" spans="3:6" x14ac:dyDescent="0.25">
      <c r="C3370" s="19"/>
      <c r="D3370" s="19" t="s">
        <v>937</v>
      </c>
      <c r="E3370" s="19" t="s">
        <v>938</v>
      </c>
      <c r="F3370">
        <v>0</v>
      </c>
    </row>
    <row r="3371" spans="3:6" x14ac:dyDescent="0.25">
      <c r="C3371" s="19"/>
      <c r="D3371" s="19" t="s">
        <v>939</v>
      </c>
      <c r="E3371" s="19" t="s">
        <v>383</v>
      </c>
      <c r="F3371">
        <v>1</v>
      </c>
    </row>
    <row r="3372" spans="3:6" x14ac:dyDescent="0.25">
      <c r="C3372" s="19"/>
      <c r="D3372" s="19" t="s">
        <v>940</v>
      </c>
      <c r="E3372" s="19" t="s">
        <v>384</v>
      </c>
      <c r="F3372">
        <v>1</v>
      </c>
    </row>
    <row r="3373" spans="3:6" x14ac:dyDescent="0.25">
      <c r="C3373" s="19"/>
      <c r="D3373" s="19" t="s">
        <v>941</v>
      </c>
      <c r="E3373" s="19" t="s">
        <v>942</v>
      </c>
      <c r="F3373">
        <v>0</v>
      </c>
    </row>
    <row r="3374" spans="3:6" x14ac:dyDescent="0.25">
      <c r="C3374" s="19"/>
      <c r="D3374" s="19" t="s">
        <v>943</v>
      </c>
      <c r="E3374" s="19" t="s">
        <v>944</v>
      </c>
      <c r="F3374">
        <v>0</v>
      </c>
    </row>
    <row r="3375" spans="3:6" x14ac:dyDescent="0.25">
      <c r="C3375" s="19"/>
      <c r="D3375" s="19" t="s">
        <v>945</v>
      </c>
      <c r="E3375" s="19" t="s">
        <v>368</v>
      </c>
      <c r="F3375">
        <v>0</v>
      </c>
    </row>
    <row r="3376" spans="3:6" x14ac:dyDescent="0.25">
      <c r="C3376" s="19"/>
      <c r="D3376" s="19" t="s">
        <v>946</v>
      </c>
      <c r="E3376" s="19" t="s">
        <v>370</v>
      </c>
      <c r="F3376">
        <v>0</v>
      </c>
    </row>
    <row r="3377" spans="1:6" x14ac:dyDescent="0.25">
      <c r="C3377" s="19"/>
      <c r="D3377" s="19" t="s">
        <v>947</v>
      </c>
      <c r="E3377" s="19" t="s">
        <v>948</v>
      </c>
      <c r="F3377">
        <v>0</v>
      </c>
    </row>
    <row r="3378" spans="1:6" x14ac:dyDescent="0.25">
      <c r="C3378" s="19"/>
      <c r="D3378" s="19" t="s">
        <v>949</v>
      </c>
      <c r="E3378" s="19" t="s">
        <v>950</v>
      </c>
      <c r="F3378">
        <v>0</v>
      </c>
    </row>
    <row r="3379" spans="1:6" x14ac:dyDescent="0.25">
      <c r="C3379" s="19"/>
      <c r="D3379" s="19" t="s">
        <v>951</v>
      </c>
      <c r="E3379" s="19" t="s">
        <v>952</v>
      </c>
      <c r="F3379">
        <v>0</v>
      </c>
    </row>
    <row r="3380" spans="1:6" x14ac:dyDescent="0.25">
      <c r="C3380" s="19"/>
      <c r="D3380" s="19" t="s">
        <v>953</v>
      </c>
      <c r="E3380" s="19" t="s">
        <v>954</v>
      </c>
      <c r="F3380">
        <v>1</v>
      </c>
    </row>
    <row r="3381" spans="1:6" x14ac:dyDescent="0.25">
      <c r="C3381" s="19"/>
      <c r="D3381" s="19" t="s">
        <v>955</v>
      </c>
      <c r="E3381" s="19" t="s">
        <v>956</v>
      </c>
      <c r="F3381">
        <v>1</v>
      </c>
    </row>
    <row r="3382" spans="1:6" x14ac:dyDescent="0.25">
      <c r="A3382" s="3">
        <v>539</v>
      </c>
      <c r="B3382" s="15" t="s">
        <v>153</v>
      </c>
      <c r="C3382" s="19" t="s">
        <v>1613</v>
      </c>
      <c r="D3382" s="19" t="s">
        <v>1614</v>
      </c>
      <c r="E3382" s="19" t="s">
        <v>273</v>
      </c>
      <c r="F3382">
        <v>1</v>
      </c>
    </row>
    <row r="3383" spans="1:6" x14ac:dyDescent="0.25">
      <c r="C3383" s="19"/>
      <c r="D3383" s="19" t="s">
        <v>1615</v>
      </c>
      <c r="E3383" s="19" t="s">
        <v>312</v>
      </c>
      <c r="F3383">
        <v>1</v>
      </c>
    </row>
    <row r="3384" spans="1:6" x14ac:dyDescent="0.25">
      <c r="C3384" s="19"/>
      <c r="D3384" s="19" t="s">
        <v>1616</v>
      </c>
      <c r="E3384" s="19" t="s">
        <v>316</v>
      </c>
      <c r="F3384">
        <v>0</v>
      </c>
    </row>
    <row r="3385" spans="1:6" x14ac:dyDescent="0.25">
      <c r="C3385" s="19"/>
      <c r="D3385" s="19" t="s">
        <v>1617</v>
      </c>
      <c r="E3385" s="19" t="s">
        <v>314</v>
      </c>
      <c r="F3385">
        <v>1</v>
      </c>
    </row>
    <row r="3386" spans="1:6" x14ac:dyDescent="0.25">
      <c r="C3386" s="19"/>
      <c r="D3386" s="19" t="s">
        <v>1618</v>
      </c>
      <c r="E3386" s="19" t="s">
        <v>318</v>
      </c>
      <c r="F3386">
        <v>0</v>
      </c>
    </row>
    <row r="3387" spans="1:6" x14ac:dyDescent="0.25">
      <c r="C3387" s="19"/>
      <c r="D3387" s="19" t="s">
        <v>1619</v>
      </c>
      <c r="E3387" s="19" t="s">
        <v>1620</v>
      </c>
      <c r="F3387">
        <v>1</v>
      </c>
    </row>
    <row r="3388" spans="1:6" x14ac:dyDescent="0.25">
      <c r="C3388" s="19"/>
      <c r="D3388" s="19" t="s">
        <v>1621</v>
      </c>
      <c r="E3388" s="19" t="s">
        <v>1622</v>
      </c>
      <c r="F3388">
        <v>1</v>
      </c>
    </row>
    <row r="3389" spans="1:6" x14ac:dyDescent="0.25">
      <c r="C3389" s="19"/>
      <c r="D3389" s="19" t="s">
        <v>1623</v>
      </c>
      <c r="E3389" s="19" t="s">
        <v>322</v>
      </c>
      <c r="F3389">
        <v>1</v>
      </c>
    </row>
    <row r="3390" spans="1:6" x14ac:dyDescent="0.25">
      <c r="C3390" s="19"/>
      <c r="D3390" s="19" t="s">
        <v>1624</v>
      </c>
      <c r="E3390" s="19" t="s">
        <v>936</v>
      </c>
      <c r="F3390">
        <v>1</v>
      </c>
    </row>
    <row r="3391" spans="1:6" x14ac:dyDescent="0.25">
      <c r="C3391" s="19"/>
      <c r="D3391" s="19" t="s">
        <v>1625</v>
      </c>
      <c r="E3391" s="19" t="s">
        <v>938</v>
      </c>
      <c r="F3391">
        <v>1</v>
      </c>
    </row>
    <row r="3392" spans="1:6" x14ac:dyDescent="0.25">
      <c r="C3392" s="19"/>
      <c r="D3392" s="19" t="s">
        <v>1626</v>
      </c>
      <c r="E3392" s="19" t="s">
        <v>1483</v>
      </c>
      <c r="F3392">
        <v>0</v>
      </c>
    </row>
    <row r="3393" spans="1:6" x14ac:dyDescent="0.25">
      <c r="C3393" s="19"/>
      <c r="D3393" s="19" t="s">
        <v>1627</v>
      </c>
      <c r="E3393" s="19" t="s">
        <v>942</v>
      </c>
      <c r="F3393">
        <v>0</v>
      </c>
    </row>
    <row r="3394" spans="1:6" x14ac:dyDescent="0.25">
      <c r="C3394" s="19"/>
      <c r="D3394" s="19" t="s">
        <v>1628</v>
      </c>
      <c r="E3394" s="19" t="s">
        <v>383</v>
      </c>
      <c r="F3394">
        <v>0</v>
      </c>
    </row>
    <row r="3395" spans="1:6" x14ac:dyDescent="0.25">
      <c r="C3395" s="19"/>
      <c r="D3395" s="19" t="s">
        <v>1629</v>
      </c>
      <c r="E3395" s="19" t="s">
        <v>1630</v>
      </c>
      <c r="F3395">
        <v>0</v>
      </c>
    </row>
    <row r="3396" spans="1:6" x14ac:dyDescent="0.25">
      <c r="C3396" s="19"/>
      <c r="D3396" s="19" t="s">
        <v>1631</v>
      </c>
      <c r="E3396" s="19" t="s">
        <v>380</v>
      </c>
      <c r="F3396">
        <v>1</v>
      </c>
    </row>
    <row r="3397" spans="1:6" x14ac:dyDescent="0.25">
      <c r="C3397" s="19"/>
      <c r="D3397" s="19" t="s">
        <v>1632</v>
      </c>
      <c r="E3397" s="19" t="s">
        <v>381</v>
      </c>
      <c r="F3397">
        <v>1</v>
      </c>
    </row>
    <row r="3398" spans="1:6" x14ac:dyDescent="0.25">
      <c r="C3398" s="19"/>
      <c r="D3398" s="19" t="s">
        <v>1633</v>
      </c>
      <c r="E3398" s="19" t="s">
        <v>1634</v>
      </c>
      <c r="F3398">
        <v>0</v>
      </c>
    </row>
    <row r="3399" spans="1:6" x14ac:dyDescent="0.25">
      <c r="C3399" s="19"/>
      <c r="D3399" s="19" t="s">
        <v>1635</v>
      </c>
      <c r="E3399" s="19" t="s">
        <v>328</v>
      </c>
      <c r="F3399">
        <v>0</v>
      </c>
    </row>
    <row r="3400" spans="1:6" x14ac:dyDescent="0.25">
      <c r="C3400" s="19"/>
      <c r="D3400" s="19" t="s">
        <v>1636</v>
      </c>
      <c r="E3400" s="19" t="s">
        <v>1637</v>
      </c>
      <c r="F3400">
        <v>0</v>
      </c>
    </row>
    <row r="3401" spans="1:6" x14ac:dyDescent="0.25">
      <c r="C3401" s="19"/>
      <c r="D3401" s="19" t="s">
        <v>1638</v>
      </c>
      <c r="E3401" s="19" t="s">
        <v>1639</v>
      </c>
      <c r="F3401">
        <v>1</v>
      </c>
    </row>
    <row r="3402" spans="1:6" x14ac:dyDescent="0.25">
      <c r="A3402" s="3">
        <v>540</v>
      </c>
      <c r="B3402" s="15" t="s">
        <v>153</v>
      </c>
      <c r="C3402" s="19" t="s">
        <v>1613</v>
      </c>
      <c r="D3402" s="19" t="s">
        <v>1614</v>
      </c>
      <c r="E3402" s="19" t="s">
        <v>273</v>
      </c>
      <c r="F3402">
        <v>1</v>
      </c>
    </row>
    <row r="3403" spans="1:6" x14ac:dyDescent="0.25">
      <c r="C3403" s="19"/>
      <c r="D3403" s="19" t="s">
        <v>1615</v>
      </c>
      <c r="E3403" s="19" t="s">
        <v>312</v>
      </c>
      <c r="F3403">
        <v>1</v>
      </c>
    </row>
    <row r="3404" spans="1:6" x14ac:dyDescent="0.25">
      <c r="C3404" s="19"/>
      <c r="D3404" s="19" t="s">
        <v>1616</v>
      </c>
      <c r="E3404" s="19" t="s">
        <v>316</v>
      </c>
      <c r="F3404">
        <v>0</v>
      </c>
    </row>
    <row r="3405" spans="1:6" x14ac:dyDescent="0.25">
      <c r="C3405" s="19"/>
      <c r="D3405" s="19" t="s">
        <v>1617</v>
      </c>
      <c r="E3405" s="19" t="s">
        <v>314</v>
      </c>
      <c r="F3405">
        <v>1</v>
      </c>
    </row>
    <row r="3406" spans="1:6" x14ac:dyDescent="0.25">
      <c r="C3406" s="19"/>
      <c r="D3406" s="19" t="s">
        <v>1618</v>
      </c>
      <c r="E3406" s="19" t="s">
        <v>318</v>
      </c>
      <c r="F3406">
        <v>0</v>
      </c>
    </row>
    <row r="3407" spans="1:6" x14ac:dyDescent="0.25">
      <c r="C3407" s="19"/>
      <c r="D3407" s="19" t="s">
        <v>1619</v>
      </c>
      <c r="E3407" s="19" t="s">
        <v>1620</v>
      </c>
      <c r="F3407">
        <v>1</v>
      </c>
    </row>
    <row r="3408" spans="1:6" x14ac:dyDescent="0.25">
      <c r="C3408" s="19"/>
      <c r="D3408" s="19" t="s">
        <v>1621</v>
      </c>
      <c r="E3408" s="19" t="s">
        <v>1622</v>
      </c>
      <c r="F3408">
        <v>0</v>
      </c>
    </row>
    <row r="3409" spans="1:6" x14ac:dyDescent="0.25">
      <c r="C3409" s="19"/>
      <c r="D3409" s="19" t="s">
        <v>1623</v>
      </c>
      <c r="E3409" s="19" t="s">
        <v>322</v>
      </c>
      <c r="F3409">
        <v>0</v>
      </c>
    </row>
    <row r="3410" spans="1:6" x14ac:dyDescent="0.25">
      <c r="C3410" s="19"/>
      <c r="D3410" s="19" t="s">
        <v>1624</v>
      </c>
      <c r="E3410" s="19" t="s">
        <v>936</v>
      </c>
      <c r="F3410">
        <v>1</v>
      </c>
    </row>
    <row r="3411" spans="1:6" x14ac:dyDescent="0.25">
      <c r="C3411" s="19"/>
      <c r="D3411" s="19" t="s">
        <v>1625</v>
      </c>
      <c r="E3411" s="19" t="s">
        <v>938</v>
      </c>
      <c r="F3411">
        <v>1</v>
      </c>
    </row>
    <row r="3412" spans="1:6" x14ac:dyDescent="0.25">
      <c r="C3412" s="19"/>
      <c r="D3412" s="19" t="s">
        <v>1626</v>
      </c>
      <c r="E3412" s="19" t="s">
        <v>1483</v>
      </c>
      <c r="F3412">
        <v>0</v>
      </c>
    </row>
    <row r="3413" spans="1:6" x14ac:dyDescent="0.25">
      <c r="C3413" s="19"/>
      <c r="D3413" s="19" t="s">
        <v>1627</v>
      </c>
      <c r="E3413" s="19" t="s">
        <v>942</v>
      </c>
      <c r="F3413">
        <v>0</v>
      </c>
    </row>
    <row r="3414" spans="1:6" x14ac:dyDescent="0.25">
      <c r="C3414" s="19"/>
      <c r="D3414" s="19" t="s">
        <v>1628</v>
      </c>
      <c r="E3414" s="19" t="s">
        <v>383</v>
      </c>
      <c r="F3414">
        <v>0</v>
      </c>
    </row>
    <row r="3415" spans="1:6" x14ac:dyDescent="0.25">
      <c r="C3415" s="19"/>
      <c r="D3415" s="19" t="s">
        <v>1629</v>
      </c>
      <c r="E3415" s="19" t="s">
        <v>1630</v>
      </c>
      <c r="F3415">
        <v>0</v>
      </c>
    </row>
    <row r="3416" spans="1:6" x14ac:dyDescent="0.25">
      <c r="C3416" s="19"/>
      <c r="D3416" s="19" t="s">
        <v>1631</v>
      </c>
      <c r="E3416" s="19" t="s">
        <v>380</v>
      </c>
      <c r="F3416">
        <v>1</v>
      </c>
    </row>
    <row r="3417" spans="1:6" x14ac:dyDescent="0.25">
      <c r="C3417" s="19"/>
      <c r="D3417" s="19" t="s">
        <v>1632</v>
      </c>
      <c r="E3417" s="19" t="s">
        <v>381</v>
      </c>
      <c r="F3417">
        <v>1</v>
      </c>
    </row>
    <row r="3418" spans="1:6" x14ac:dyDescent="0.25">
      <c r="C3418" s="19"/>
      <c r="D3418" s="19" t="s">
        <v>1633</v>
      </c>
      <c r="E3418" s="19" t="s">
        <v>1634</v>
      </c>
      <c r="F3418">
        <v>0</v>
      </c>
    </row>
    <row r="3419" spans="1:6" x14ac:dyDescent="0.25">
      <c r="C3419" s="19"/>
      <c r="D3419" s="19" t="s">
        <v>1635</v>
      </c>
      <c r="E3419" s="19" t="s">
        <v>328</v>
      </c>
      <c r="F3419">
        <v>0</v>
      </c>
    </row>
    <row r="3420" spans="1:6" x14ac:dyDescent="0.25">
      <c r="C3420" s="19"/>
      <c r="D3420" s="19" t="s">
        <v>1636</v>
      </c>
      <c r="E3420" s="19" t="s">
        <v>1637</v>
      </c>
      <c r="F3420">
        <v>0</v>
      </c>
    </row>
    <row r="3421" spans="1:6" x14ac:dyDescent="0.25">
      <c r="C3421" s="19"/>
      <c r="D3421" s="19" t="s">
        <v>1638</v>
      </c>
      <c r="E3421" s="19" t="s">
        <v>1639</v>
      </c>
      <c r="F3421">
        <v>0</v>
      </c>
    </row>
    <row r="3422" spans="1:6" x14ac:dyDescent="0.25">
      <c r="A3422" s="3">
        <v>542</v>
      </c>
      <c r="B3422" s="15" t="s">
        <v>154</v>
      </c>
      <c r="C3422" s="19" t="s">
        <v>1640</v>
      </c>
      <c r="D3422" s="19" t="s">
        <v>1641</v>
      </c>
      <c r="E3422" s="19" t="s">
        <v>640</v>
      </c>
      <c r="F3422">
        <v>1</v>
      </c>
    </row>
    <row r="3423" spans="1:6" x14ac:dyDescent="0.25">
      <c r="C3423" s="19"/>
      <c r="D3423" s="19" t="s">
        <v>1642</v>
      </c>
      <c r="E3423" s="19" t="s">
        <v>1643</v>
      </c>
      <c r="F3423">
        <v>1</v>
      </c>
    </row>
    <row r="3424" spans="1:6" x14ac:dyDescent="0.25">
      <c r="C3424" s="19"/>
      <c r="D3424" s="19" t="s">
        <v>1644</v>
      </c>
      <c r="E3424" s="19" t="s">
        <v>1645</v>
      </c>
      <c r="F3424">
        <v>0</v>
      </c>
    </row>
    <row r="3425" spans="1:6" x14ac:dyDescent="0.25">
      <c r="C3425" s="19"/>
      <c r="D3425" s="19" t="s">
        <v>1646</v>
      </c>
      <c r="E3425" s="19" t="s">
        <v>1647</v>
      </c>
      <c r="F3425">
        <v>1</v>
      </c>
    </row>
    <row r="3426" spans="1:6" x14ac:dyDescent="0.25">
      <c r="C3426" s="19"/>
      <c r="D3426" s="19" t="s">
        <v>1648</v>
      </c>
      <c r="E3426" s="19" t="s">
        <v>1649</v>
      </c>
      <c r="F3426">
        <v>1</v>
      </c>
    </row>
    <row r="3427" spans="1:6" x14ac:dyDescent="0.25">
      <c r="C3427" s="19"/>
      <c r="D3427" s="19" t="s">
        <v>1650</v>
      </c>
      <c r="E3427" s="19" t="s">
        <v>791</v>
      </c>
      <c r="F3427">
        <v>1</v>
      </c>
    </row>
    <row r="3428" spans="1:6" x14ac:dyDescent="0.25">
      <c r="C3428" s="19"/>
      <c r="D3428" s="19" t="s">
        <v>1651</v>
      </c>
      <c r="E3428" s="19" t="s">
        <v>1652</v>
      </c>
      <c r="F3428">
        <v>1</v>
      </c>
    </row>
    <row r="3429" spans="1:6" x14ac:dyDescent="0.25">
      <c r="C3429" s="19"/>
      <c r="D3429" s="19" t="s">
        <v>1653</v>
      </c>
      <c r="E3429" s="19" t="s">
        <v>1654</v>
      </c>
      <c r="F3429">
        <v>1</v>
      </c>
    </row>
    <row r="3430" spans="1:6" x14ac:dyDescent="0.25">
      <c r="A3430" s="3">
        <v>558</v>
      </c>
      <c r="B3430" s="15" t="s">
        <v>155</v>
      </c>
      <c r="C3430" s="19" t="s">
        <v>1492</v>
      </c>
      <c r="D3430" s="19" t="s">
        <v>1493</v>
      </c>
      <c r="E3430" s="19" t="s">
        <v>1494</v>
      </c>
      <c r="F3430">
        <v>1</v>
      </c>
    </row>
    <row r="3431" spans="1:6" x14ac:dyDescent="0.25">
      <c r="C3431" s="19"/>
      <c r="D3431" s="19" t="s">
        <v>1495</v>
      </c>
      <c r="E3431" s="19" t="s">
        <v>1496</v>
      </c>
      <c r="F3431">
        <v>1</v>
      </c>
    </row>
    <row r="3432" spans="1:6" x14ac:dyDescent="0.25">
      <c r="C3432" s="19"/>
      <c r="D3432" s="19" t="s">
        <v>1497</v>
      </c>
      <c r="E3432" s="19" t="s">
        <v>306</v>
      </c>
      <c r="F3432">
        <v>1</v>
      </c>
    </row>
    <row r="3433" spans="1:6" x14ac:dyDescent="0.25">
      <c r="C3433" s="19"/>
      <c r="D3433" s="19" t="s">
        <v>1498</v>
      </c>
      <c r="E3433" s="19" t="s">
        <v>1499</v>
      </c>
      <c r="F3433">
        <v>1</v>
      </c>
    </row>
    <row r="3434" spans="1:6" x14ac:dyDescent="0.25">
      <c r="C3434" s="19"/>
      <c r="D3434" s="19" t="s">
        <v>1500</v>
      </c>
      <c r="E3434" s="19" t="s">
        <v>1397</v>
      </c>
      <c r="F3434">
        <v>1</v>
      </c>
    </row>
    <row r="3435" spans="1:6" x14ac:dyDescent="0.25">
      <c r="C3435" s="19"/>
      <c r="D3435" s="19" t="s">
        <v>1501</v>
      </c>
      <c r="E3435" s="19" t="s">
        <v>1502</v>
      </c>
      <c r="F3435">
        <v>1</v>
      </c>
    </row>
    <row r="3436" spans="1:6" x14ac:dyDescent="0.25">
      <c r="C3436" s="19"/>
      <c r="D3436" s="19" t="s">
        <v>1503</v>
      </c>
      <c r="E3436" s="19" t="s">
        <v>1504</v>
      </c>
      <c r="F3436">
        <v>1</v>
      </c>
    </row>
    <row r="3437" spans="1:6" x14ac:dyDescent="0.25">
      <c r="C3437" s="19"/>
      <c r="D3437" s="19" t="s">
        <v>1505</v>
      </c>
      <c r="E3437" s="19" t="s">
        <v>1506</v>
      </c>
      <c r="F3437">
        <v>1</v>
      </c>
    </row>
    <row r="3438" spans="1:6" x14ac:dyDescent="0.25">
      <c r="C3438" s="19"/>
      <c r="D3438" s="19" t="s">
        <v>1507</v>
      </c>
      <c r="E3438" s="19" t="s">
        <v>611</v>
      </c>
      <c r="F3438">
        <v>1</v>
      </c>
    </row>
    <row r="3439" spans="1:6" x14ac:dyDescent="0.25">
      <c r="C3439" s="19"/>
      <c r="D3439" s="19" t="s">
        <v>1508</v>
      </c>
      <c r="E3439" s="19" t="s">
        <v>1509</v>
      </c>
      <c r="F3439">
        <v>1</v>
      </c>
    </row>
    <row r="3440" spans="1:6" x14ac:dyDescent="0.25">
      <c r="C3440" s="19"/>
      <c r="D3440" s="19" t="s">
        <v>1510</v>
      </c>
      <c r="E3440" s="19" t="s">
        <v>613</v>
      </c>
      <c r="F3440">
        <v>1</v>
      </c>
    </row>
    <row r="3441" spans="3:6" x14ac:dyDescent="0.25">
      <c r="C3441" s="19"/>
      <c r="D3441" s="19" t="s">
        <v>1511</v>
      </c>
      <c r="E3441" s="19" t="s">
        <v>1419</v>
      </c>
      <c r="F3441">
        <v>1</v>
      </c>
    </row>
    <row r="3442" spans="3:6" x14ac:dyDescent="0.25">
      <c r="C3442" s="19"/>
      <c r="D3442" s="19" t="s">
        <v>1512</v>
      </c>
      <c r="E3442" s="19" t="s">
        <v>621</v>
      </c>
      <c r="F3442">
        <v>1</v>
      </c>
    </row>
    <row r="3443" spans="3:6" x14ac:dyDescent="0.25">
      <c r="C3443" s="19"/>
      <c r="D3443" s="19" t="s">
        <v>1513</v>
      </c>
      <c r="E3443" s="19" t="s">
        <v>1422</v>
      </c>
      <c r="F3443">
        <v>1</v>
      </c>
    </row>
    <row r="3444" spans="3:6" x14ac:dyDescent="0.25">
      <c r="C3444" s="19"/>
      <c r="D3444" s="19" t="s">
        <v>1514</v>
      </c>
      <c r="E3444" s="19" t="s">
        <v>614</v>
      </c>
      <c r="F3444">
        <v>1</v>
      </c>
    </row>
    <row r="3445" spans="3:6" x14ac:dyDescent="0.25">
      <c r="C3445" s="19"/>
      <c r="D3445" s="19" t="s">
        <v>1515</v>
      </c>
      <c r="E3445" s="19" t="s">
        <v>615</v>
      </c>
      <c r="F3445">
        <v>1</v>
      </c>
    </row>
    <row r="3446" spans="3:6" x14ac:dyDescent="0.25">
      <c r="C3446" s="19"/>
      <c r="D3446" s="19" t="s">
        <v>1516</v>
      </c>
      <c r="E3446" s="19" t="s">
        <v>1517</v>
      </c>
      <c r="F3446">
        <v>1</v>
      </c>
    </row>
    <row r="3447" spans="3:6" x14ac:dyDescent="0.25">
      <c r="C3447" s="19"/>
      <c r="D3447" s="19" t="s">
        <v>1518</v>
      </c>
      <c r="E3447" s="19" t="s">
        <v>1519</v>
      </c>
      <c r="F3447">
        <v>1</v>
      </c>
    </row>
    <row r="3448" spans="3:6" x14ac:dyDescent="0.25">
      <c r="C3448" s="19"/>
      <c r="D3448" s="19" t="s">
        <v>1520</v>
      </c>
      <c r="E3448" s="19" t="s">
        <v>1521</v>
      </c>
      <c r="F3448">
        <v>1</v>
      </c>
    </row>
    <row r="3449" spans="3:6" x14ac:dyDescent="0.25">
      <c r="C3449" s="19"/>
      <c r="D3449" s="19" t="s">
        <v>1522</v>
      </c>
      <c r="E3449" s="19" t="s">
        <v>1523</v>
      </c>
      <c r="F3449">
        <v>1</v>
      </c>
    </row>
    <row r="3450" spans="3:6" x14ac:dyDescent="0.25">
      <c r="C3450" s="19"/>
      <c r="D3450" s="19" t="s">
        <v>1524</v>
      </c>
      <c r="E3450" s="19" t="s">
        <v>1525</v>
      </c>
      <c r="F3450">
        <v>1</v>
      </c>
    </row>
    <row r="3451" spans="3:6" x14ac:dyDescent="0.25">
      <c r="C3451" s="19"/>
      <c r="D3451" s="19" t="s">
        <v>1526</v>
      </c>
      <c r="E3451" s="19" t="s">
        <v>1527</v>
      </c>
      <c r="F3451">
        <v>1</v>
      </c>
    </row>
    <row r="3452" spans="3:6" x14ac:dyDescent="0.25">
      <c r="C3452" s="19"/>
      <c r="D3452" s="19" t="s">
        <v>1528</v>
      </c>
      <c r="E3452" s="19" t="s">
        <v>1529</v>
      </c>
      <c r="F3452">
        <v>1</v>
      </c>
    </row>
    <row r="3453" spans="3:6" x14ac:dyDescent="0.25">
      <c r="C3453" s="19"/>
      <c r="D3453" s="19" t="s">
        <v>1530</v>
      </c>
      <c r="E3453" s="19" t="s">
        <v>1430</v>
      </c>
      <c r="F3453">
        <v>1</v>
      </c>
    </row>
    <row r="3454" spans="3:6" x14ac:dyDescent="0.25">
      <c r="C3454" s="19"/>
      <c r="D3454" s="19" t="s">
        <v>1531</v>
      </c>
      <c r="E3454" s="19" t="s">
        <v>503</v>
      </c>
      <c r="F3454">
        <v>1</v>
      </c>
    </row>
    <row r="3455" spans="3:6" x14ac:dyDescent="0.25">
      <c r="C3455" s="19"/>
      <c r="D3455" s="19" t="s">
        <v>1532</v>
      </c>
      <c r="E3455" s="19" t="s">
        <v>1533</v>
      </c>
      <c r="F3455">
        <v>1</v>
      </c>
    </row>
    <row r="3456" spans="3:6" x14ac:dyDescent="0.25">
      <c r="C3456" s="19"/>
      <c r="D3456" s="19" t="s">
        <v>1534</v>
      </c>
      <c r="E3456" s="19" t="s">
        <v>1535</v>
      </c>
      <c r="F3456">
        <v>1</v>
      </c>
    </row>
    <row r="3457" spans="3:6" x14ac:dyDescent="0.25">
      <c r="C3457" s="19" t="s">
        <v>1874</v>
      </c>
      <c r="D3457" s="19" t="s">
        <v>1875</v>
      </c>
      <c r="E3457" s="19" t="s">
        <v>820</v>
      </c>
      <c r="F3457">
        <v>0</v>
      </c>
    </row>
    <row r="3458" spans="3:6" x14ac:dyDescent="0.25">
      <c r="C3458" s="19"/>
      <c r="D3458" s="19" t="s">
        <v>1876</v>
      </c>
      <c r="E3458" s="19" t="s">
        <v>1877</v>
      </c>
      <c r="F3458">
        <v>0</v>
      </c>
    </row>
    <row r="3459" spans="3:6" x14ac:dyDescent="0.25">
      <c r="C3459" s="19"/>
      <c r="D3459" s="19" t="s">
        <v>1878</v>
      </c>
      <c r="E3459" s="19" t="s">
        <v>1879</v>
      </c>
      <c r="F3459">
        <v>0</v>
      </c>
    </row>
    <row r="3460" spans="3:6" x14ac:dyDescent="0.25">
      <c r="C3460" s="19"/>
      <c r="D3460" s="19" t="s">
        <v>1880</v>
      </c>
      <c r="E3460" s="19" t="s">
        <v>1881</v>
      </c>
      <c r="F3460">
        <v>0</v>
      </c>
    </row>
    <row r="3461" spans="3:6" x14ac:dyDescent="0.25">
      <c r="C3461" s="19"/>
      <c r="D3461" s="19" t="s">
        <v>2175</v>
      </c>
      <c r="E3461" s="19" t="s">
        <v>1882</v>
      </c>
      <c r="F3461">
        <v>0</v>
      </c>
    </row>
    <row r="3462" spans="3:6" x14ac:dyDescent="0.25">
      <c r="C3462" s="19"/>
      <c r="D3462" s="19" t="s">
        <v>1883</v>
      </c>
      <c r="E3462" s="19" t="s">
        <v>1884</v>
      </c>
      <c r="F3462">
        <v>0</v>
      </c>
    </row>
    <row r="3463" spans="3:6" x14ac:dyDescent="0.25">
      <c r="C3463" s="19"/>
      <c r="D3463" s="19" t="s">
        <v>1885</v>
      </c>
      <c r="E3463" s="19" t="s">
        <v>1886</v>
      </c>
      <c r="F3463">
        <v>0</v>
      </c>
    </row>
    <row r="3464" spans="3:6" x14ac:dyDescent="0.25">
      <c r="C3464" s="19"/>
      <c r="D3464" s="19" t="s">
        <v>1887</v>
      </c>
      <c r="E3464" s="19" t="s">
        <v>1888</v>
      </c>
      <c r="F3464">
        <v>0</v>
      </c>
    </row>
    <row r="3465" spans="3:6" x14ac:dyDescent="0.25">
      <c r="C3465" s="19"/>
      <c r="D3465" s="19" t="s">
        <v>1889</v>
      </c>
      <c r="E3465" s="19" t="s">
        <v>1890</v>
      </c>
      <c r="F3465">
        <v>0</v>
      </c>
    </row>
    <row r="3466" spans="3:6" x14ac:dyDescent="0.25">
      <c r="C3466" s="19"/>
      <c r="D3466" s="19" t="s">
        <v>1891</v>
      </c>
      <c r="E3466" s="19" t="s">
        <v>1892</v>
      </c>
      <c r="F3466">
        <v>0</v>
      </c>
    </row>
    <row r="3467" spans="3:6" x14ac:dyDescent="0.25">
      <c r="C3467" s="19"/>
      <c r="D3467" s="19" t="s">
        <v>1893</v>
      </c>
      <c r="E3467" s="19" t="s">
        <v>1894</v>
      </c>
      <c r="F3467">
        <v>0</v>
      </c>
    </row>
    <row r="3468" spans="3:6" x14ac:dyDescent="0.25">
      <c r="C3468" s="19"/>
      <c r="D3468" s="19" t="s">
        <v>1895</v>
      </c>
      <c r="E3468" s="19" t="s">
        <v>368</v>
      </c>
      <c r="F3468">
        <v>1</v>
      </c>
    </row>
    <row r="3469" spans="3:6" x14ac:dyDescent="0.25">
      <c r="C3469" s="19"/>
      <c r="D3469" s="19" t="s">
        <v>1896</v>
      </c>
      <c r="E3469" s="19" t="s">
        <v>370</v>
      </c>
      <c r="F3469">
        <v>1</v>
      </c>
    </row>
    <row r="3470" spans="3:6" x14ac:dyDescent="0.25">
      <c r="C3470" s="19"/>
      <c r="D3470" s="19" t="s">
        <v>1897</v>
      </c>
      <c r="E3470" s="19" t="s">
        <v>1898</v>
      </c>
      <c r="F3470">
        <v>0</v>
      </c>
    </row>
    <row r="3471" spans="3:6" x14ac:dyDescent="0.25">
      <c r="C3471" s="19"/>
      <c r="D3471" s="19" t="s">
        <v>1899</v>
      </c>
      <c r="E3471" s="19" t="s">
        <v>361</v>
      </c>
      <c r="F3471">
        <v>0</v>
      </c>
    </row>
    <row r="3472" spans="3:6" x14ac:dyDescent="0.25">
      <c r="C3472" s="19"/>
      <c r="D3472" s="19" t="s">
        <v>1900</v>
      </c>
      <c r="E3472" s="19" t="s">
        <v>359</v>
      </c>
      <c r="F3472">
        <v>0</v>
      </c>
    </row>
    <row r="3473" spans="3:6" x14ac:dyDescent="0.25">
      <c r="C3473" s="19"/>
      <c r="D3473" s="19" t="s">
        <v>1901</v>
      </c>
      <c r="E3473" s="19" t="s">
        <v>1902</v>
      </c>
      <c r="F3473">
        <v>0</v>
      </c>
    </row>
    <row r="3474" spans="3:6" x14ac:dyDescent="0.25">
      <c r="C3474" s="19"/>
      <c r="D3474" s="19" t="s">
        <v>1903</v>
      </c>
      <c r="E3474" s="19" t="s">
        <v>1904</v>
      </c>
      <c r="F3474">
        <v>0</v>
      </c>
    </row>
    <row r="3475" spans="3:6" x14ac:dyDescent="0.25">
      <c r="C3475" s="19"/>
      <c r="D3475" s="19" t="s">
        <v>1905</v>
      </c>
      <c r="E3475" s="19" t="s">
        <v>1906</v>
      </c>
      <c r="F3475">
        <v>0</v>
      </c>
    </row>
    <row r="3476" spans="3:6" x14ac:dyDescent="0.25">
      <c r="C3476" s="19"/>
      <c r="D3476" s="19" t="s">
        <v>1907</v>
      </c>
      <c r="E3476" s="19" t="s">
        <v>1908</v>
      </c>
      <c r="F3476">
        <v>0</v>
      </c>
    </row>
    <row r="3477" spans="3:6" x14ac:dyDescent="0.25">
      <c r="C3477" s="19" t="s">
        <v>1790</v>
      </c>
      <c r="D3477" s="19" t="s">
        <v>1791</v>
      </c>
      <c r="E3477" s="19" t="s">
        <v>273</v>
      </c>
      <c r="F3477">
        <v>1</v>
      </c>
    </row>
    <row r="3478" spans="3:6" x14ac:dyDescent="0.25">
      <c r="C3478" s="19"/>
      <c r="D3478" s="19" t="s">
        <v>1792</v>
      </c>
      <c r="E3478" s="19" t="s">
        <v>312</v>
      </c>
      <c r="F3478">
        <v>0</v>
      </c>
    </row>
    <row r="3479" spans="3:6" x14ac:dyDescent="0.25">
      <c r="C3479" s="19"/>
      <c r="D3479" s="19" t="s">
        <v>1793</v>
      </c>
      <c r="E3479" s="19" t="s">
        <v>801</v>
      </c>
      <c r="F3479">
        <v>0</v>
      </c>
    </row>
    <row r="3480" spans="3:6" x14ac:dyDescent="0.25">
      <c r="C3480" s="19"/>
      <c r="D3480" s="19" t="s">
        <v>1794</v>
      </c>
      <c r="E3480" s="19" t="s">
        <v>786</v>
      </c>
      <c r="F3480">
        <v>0</v>
      </c>
    </row>
    <row r="3481" spans="3:6" x14ac:dyDescent="0.25">
      <c r="C3481" s="19"/>
      <c r="D3481" s="19" t="s">
        <v>1795</v>
      </c>
      <c r="E3481" s="19" t="s">
        <v>784</v>
      </c>
      <c r="F3481">
        <v>0</v>
      </c>
    </row>
    <row r="3482" spans="3:6" x14ac:dyDescent="0.25">
      <c r="C3482" s="19"/>
      <c r="D3482" s="19" t="s">
        <v>1796</v>
      </c>
      <c r="E3482" s="19" t="s">
        <v>1205</v>
      </c>
      <c r="F3482">
        <v>0</v>
      </c>
    </row>
    <row r="3483" spans="3:6" x14ac:dyDescent="0.25">
      <c r="C3483" s="19"/>
      <c r="D3483" s="19" t="s">
        <v>1797</v>
      </c>
      <c r="E3483" s="19" t="s">
        <v>1207</v>
      </c>
      <c r="F3483">
        <v>0</v>
      </c>
    </row>
    <row r="3484" spans="3:6" x14ac:dyDescent="0.25">
      <c r="C3484" s="19"/>
      <c r="D3484" s="19" t="s">
        <v>1798</v>
      </c>
      <c r="E3484" s="19" t="s">
        <v>1209</v>
      </c>
      <c r="F3484">
        <v>0</v>
      </c>
    </row>
    <row r="3485" spans="3:6" x14ac:dyDescent="0.25">
      <c r="C3485" s="19"/>
      <c r="D3485" s="19" t="s">
        <v>1799</v>
      </c>
      <c r="E3485" s="19" t="s">
        <v>789</v>
      </c>
      <c r="F3485">
        <v>0</v>
      </c>
    </row>
    <row r="3486" spans="3:6" x14ac:dyDescent="0.25">
      <c r="C3486" s="19"/>
      <c r="D3486" s="19" t="s">
        <v>1800</v>
      </c>
      <c r="E3486" s="19" t="s">
        <v>1214</v>
      </c>
      <c r="F3486">
        <v>1</v>
      </c>
    </row>
    <row r="3487" spans="3:6" x14ac:dyDescent="0.25">
      <c r="C3487" s="19"/>
      <c r="D3487" s="19" t="s">
        <v>1801</v>
      </c>
      <c r="E3487" s="19" t="s">
        <v>1784</v>
      </c>
      <c r="F3487">
        <v>0</v>
      </c>
    </row>
    <row r="3488" spans="3:6" x14ac:dyDescent="0.25">
      <c r="C3488" s="19"/>
      <c r="D3488" s="19" t="s">
        <v>1802</v>
      </c>
      <c r="E3488" s="19" t="s">
        <v>791</v>
      </c>
      <c r="F3488">
        <v>1</v>
      </c>
    </row>
    <row r="3489" spans="3:6" x14ac:dyDescent="0.25">
      <c r="C3489" s="19"/>
      <c r="D3489" s="19" t="s">
        <v>1803</v>
      </c>
      <c r="E3489" s="19" t="s">
        <v>795</v>
      </c>
      <c r="F3489">
        <v>1</v>
      </c>
    </row>
    <row r="3490" spans="3:6" x14ac:dyDescent="0.25">
      <c r="C3490" s="19"/>
      <c r="D3490" s="19" t="s">
        <v>1804</v>
      </c>
      <c r="E3490" s="19" t="s">
        <v>372</v>
      </c>
      <c r="F3490">
        <v>0</v>
      </c>
    </row>
    <row r="3491" spans="3:6" x14ac:dyDescent="0.25">
      <c r="C3491" s="19"/>
      <c r="D3491" s="19" t="s">
        <v>1805</v>
      </c>
      <c r="E3491" s="19" t="s">
        <v>1806</v>
      </c>
      <c r="F3491">
        <v>0</v>
      </c>
    </row>
    <row r="3492" spans="3:6" x14ac:dyDescent="0.25">
      <c r="C3492" s="19"/>
      <c r="D3492" s="19" t="s">
        <v>1807</v>
      </c>
      <c r="E3492" s="19" t="s">
        <v>1808</v>
      </c>
      <c r="F3492">
        <v>0</v>
      </c>
    </row>
    <row r="3493" spans="3:6" x14ac:dyDescent="0.25">
      <c r="C3493" s="19" t="s">
        <v>994</v>
      </c>
      <c r="D3493" s="19" t="s">
        <v>995</v>
      </c>
      <c r="E3493" s="19" t="s">
        <v>996</v>
      </c>
      <c r="F3493">
        <v>1</v>
      </c>
    </row>
    <row r="3494" spans="3:6" x14ac:dyDescent="0.25">
      <c r="C3494" s="19"/>
      <c r="D3494" s="19" t="s">
        <v>997</v>
      </c>
      <c r="E3494" s="19" t="s">
        <v>998</v>
      </c>
      <c r="F3494">
        <v>1</v>
      </c>
    </row>
    <row r="3495" spans="3:6" x14ac:dyDescent="0.25">
      <c r="C3495" s="19"/>
      <c r="D3495" s="19" t="s">
        <v>999</v>
      </c>
      <c r="E3495" s="19" t="s">
        <v>1000</v>
      </c>
      <c r="F3495">
        <v>1</v>
      </c>
    </row>
    <row r="3496" spans="3:6" x14ac:dyDescent="0.25">
      <c r="C3496" s="19"/>
      <c r="D3496" s="19" t="s">
        <v>1001</v>
      </c>
      <c r="E3496" s="19" t="s">
        <v>1002</v>
      </c>
      <c r="F3496">
        <v>1</v>
      </c>
    </row>
    <row r="3497" spans="3:6" x14ac:dyDescent="0.25">
      <c r="C3497" s="19"/>
      <c r="D3497" s="19" t="s">
        <v>1003</v>
      </c>
      <c r="E3497" s="19" t="s">
        <v>1004</v>
      </c>
      <c r="F3497">
        <v>1</v>
      </c>
    </row>
    <row r="3498" spans="3:6" x14ac:dyDescent="0.25">
      <c r="C3498" s="19"/>
      <c r="D3498" s="19" t="s">
        <v>1005</v>
      </c>
      <c r="E3498" s="19" t="s">
        <v>1006</v>
      </c>
      <c r="F3498">
        <v>1</v>
      </c>
    </row>
    <row r="3499" spans="3:6" x14ac:dyDescent="0.25">
      <c r="C3499" s="19"/>
      <c r="D3499" s="19" t="s">
        <v>1007</v>
      </c>
      <c r="E3499" s="19" t="s">
        <v>1008</v>
      </c>
      <c r="F3499">
        <v>1</v>
      </c>
    </row>
    <row r="3500" spans="3:6" x14ac:dyDescent="0.25">
      <c r="C3500" s="19"/>
      <c r="D3500" s="19" t="s">
        <v>1009</v>
      </c>
      <c r="E3500" s="19" t="s">
        <v>1010</v>
      </c>
      <c r="F3500">
        <v>1</v>
      </c>
    </row>
    <row r="3501" spans="3:6" x14ac:dyDescent="0.25">
      <c r="C3501" s="19"/>
      <c r="D3501" s="19" t="s">
        <v>1011</v>
      </c>
      <c r="E3501" s="19" t="s">
        <v>1012</v>
      </c>
      <c r="F3501">
        <v>1</v>
      </c>
    </row>
    <row r="3502" spans="3:6" x14ac:dyDescent="0.25">
      <c r="C3502" s="19"/>
      <c r="D3502" s="19" t="s">
        <v>1013</v>
      </c>
      <c r="E3502" s="19" t="s">
        <v>1014</v>
      </c>
      <c r="F3502">
        <v>1</v>
      </c>
    </row>
    <row r="3503" spans="3:6" x14ac:dyDescent="0.25">
      <c r="C3503" s="19" t="s">
        <v>1536</v>
      </c>
      <c r="D3503" s="19" t="s">
        <v>1537</v>
      </c>
      <c r="E3503" s="19" t="s">
        <v>1494</v>
      </c>
      <c r="F3503">
        <v>1</v>
      </c>
    </row>
    <row r="3504" spans="3:6" x14ac:dyDescent="0.25">
      <c r="C3504" s="19"/>
      <c r="D3504" s="19" t="s">
        <v>1538</v>
      </c>
      <c r="E3504" s="19" t="s">
        <v>306</v>
      </c>
      <c r="F3504">
        <v>1</v>
      </c>
    </row>
    <row r="3505" spans="1:6" x14ac:dyDescent="0.25">
      <c r="C3505" s="19"/>
      <c r="D3505" s="19" t="s">
        <v>1539</v>
      </c>
      <c r="E3505" s="19" t="s">
        <v>1499</v>
      </c>
      <c r="F3505">
        <v>1</v>
      </c>
    </row>
    <row r="3506" spans="1:6" x14ac:dyDescent="0.25">
      <c r="C3506" s="19"/>
      <c r="D3506" s="19" t="s">
        <v>1540</v>
      </c>
      <c r="E3506" s="19" t="s">
        <v>1541</v>
      </c>
      <c r="F3506">
        <v>1</v>
      </c>
    </row>
    <row r="3507" spans="1:6" x14ac:dyDescent="0.25">
      <c r="C3507" s="19"/>
      <c r="D3507" s="19" t="s">
        <v>1542</v>
      </c>
      <c r="E3507" s="19" t="s">
        <v>1543</v>
      </c>
      <c r="F3507">
        <v>1</v>
      </c>
    </row>
    <row r="3508" spans="1:6" x14ac:dyDescent="0.25">
      <c r="C3508" s="19"/>
      <c r="D3508" s="19" t="s">
        <v>1544</v>
      </c>
      <c r="E3508" s="19" t="s">
        <v>671</v>
      </c>
      <c r="F3508">
        <v>1</v>
      </c>
    </row>
    <row r="3509" spans="1:6" x14ac:dyDescent="0.25">
      <c r="C3509" s="19"/>
      <c r="D3509" s="19" t="s">
        <v>1545</v>
      </c>
      <c r="E3509" s="19" t="s">
        <v>1546</v>
      </c>
      <c r="F3509">
        <v>1</v>
      </c>
    </row>
    <row r="3510" spans="1:6" x14ac:dyDescent="0.25">
      <c r="C3510" s="19"/>
      <c r="D3510" s="19" t="s">
        <v>1547</v>
      </c>
      <c r="E3510" s="19" t="s">
        <v>1548</v>
      </c>
      <c r="F3510">
        <v>1</v>
      </c>
    </row>
    <row r="3511" spans="1:6" x14ac:dyDescent="0.25">
      <c r="C3511" s="19"/>
      <c r="D3511" s="19" t="s">
        <v>1549</v>
      </c>
      <c r="E3511" s="19" t="s">
        <v>1550</v>
      </c>
      <c r="F3511">
        <v>1</v>
      </c>
    </row>
    <row r="3512" spans="1:6" x14ac:dyDescent="0.25">
      <c r="C3512" s="19"/>
      <c r="D3512" s="19" t="s">
        <v>1551</v>
      </c>
      <c r="E3512" s="19" t="s">
        <v>1552</v>
      </c>
      <c r="F3512">
        <v>1</v>
      </c>
    </row>
    <row r="3513" spans="1:6" x14ac:dyDescent="0.25">
      <c r="C3513" s="19"/>
      <c r="D3513" s="19" t="s">
        <v>1553</v>
      </c>
      <c r="E3513" s="19" t="s">
        <v>1554</v>
      </c>
      <c r="F3513">
        <v>0</v>
      </c>
    </row>
    <row r="3514" spans="1:6" x14ac:dyDescent="0.25">
      <c r="C3514" s="19"/>
      <c r="D3514" s="19" t="s">
        <v>1555</v>
      </c>
      <c r="E3514" s="19" t="s">
        <v>1556</v>
      </c>
      <c r="F3514">
        <v>1</v>
      </c>
    </row>
    <row r="3515" spans="1:6" x14ac:dyDescent="0.25">
      <c r="A3515" s="3">
        <v>559</v>
      </c>
      <c r="B3515" s="15" t="s">
        <v>156</v>
      </c>
      <c r="C3515" s="19" t="s">
        <v>1655</v>
      </c>
      <c r="D3515" s="19" t="s">
        <v>1656</v>
      </c>
      <c r="E3515" s="19" t="s">
        <v>304</v>
      </c>
      <c r="F3515">
        <v>1</v>
      </c>
    </row>
    <row r="3516" spans="1:6" x14ac:dyDescent="0.25">
      <c r="C3516" s="19"/>
      <c r="D3516" s="19" t="s">
        <v>1657</v>
      </c>
      <c r="E3516" s="19" t="s">
        <v>306</v>
      </c>
      <c r="F3516">
        <v>0</v>
      </c>
    </row>
    <row r="3517" spans="1:6" x14ac:dyDescent="0.25">
      <c r="C3517" s="19"/>
      <c r="D3517" s="19" t="s">
        <v>1658</v>
      </c>
      <c r="E3517" s="19" t="s">
        <v>1659</v>
      </c>
      <c r="F3517">
        <v>0</v>
      </c>
    </row>
    <row r="3518" spans="1:6" x14ac:dyDescent="0.25">
      <c r="C3518" s="19"/>
      <c r="D3518" s="19" t="s">
        <v>1660</v>
      </c>
      <c r="E3518" s="19" t="s">
        <v>1661</v>
      </c>
      <c r="F3518">
        <v>1</v>
      </c>
    </row>
    <row r="3519" spans="1:6" x14ac:dyDescent="0.25">
      <c r="C3519" s="19"/>
      <c r="D3519" s="19" t="s">
        <v>1662</v>
      </c>
      <c r="E3519" s="19" t="s">
        <v>312</v>
      </c>
      <c r="F3519">
        <v>1</v>
      </c>
    </row>
    <row r="3520" spans="1:6" x14ac:dyDescent="0.25">
      <c r="C3520" s="19"/>
      <c r="D3520" s="19" t="s">
        <v>1663</v>
      </c>
      <c r="E3520" s="19" t="s">
        <v>314</v>
      </c>
      <c r="F3520">
        <v>0</v>
      </c>
    </row>
    <row r="3521" spans="1:6" x14ac:dyDescent="0.25">
      <c r="C3521" s="19"/>
      <c r="D3521" s="19" t="s">
        <v>1664</v>
      </c>
      <c r="E3521" s="19" t="s">
        <v>1665</v>
      </c>
      <c r="F3521">
        <v>0</v>
      </c>
    </row>
    <row r="3522" spans="1:6" x14ac:dyDescent="0.25">
      <c r="C3522" s="19"/>
      <c r="D3522" s="19" t="s">
        <v>1666</v>
      </c>
      <c r="E3522" s="19" t="s">
        <v>1667</v>
      </c>
      <c r="F3522">
        <v>1</v>
      </c>
    </row>
    <row r="3523" spans="1:6" x14ac:dyDescent="0.25">
      <c r="A3523" s="3">
        <v>563</v>
      </c>
      <c r="B3523" s="15" t="s">
        <v>157</v>
      </c>
      <c r="C3523" s="19" t="s">
        <v>994</v>
      </c>
      <c r="D3523" s="19" t="s">
        <v>995</v>
      </c>
      <c r="E3523" s="19" t="s">
        <v>996</v>
      </c>
      <c r="F3523">
        <v>1</v>
      </c>
    </row>
    <row r="3524" spans="1:6" x14ac:dyDescent="0.25">
      <c r="C3524" s="19"/>
      <c r="D3524" s="19" t="s">
        <v>997</v>
      </c>
      <c r="E3524" s="19" t="s">
        <v>998</v>
      </c>
      <c r="F3524">
        <v>1</v>
      </c>
    </row>
    <row r="3525" spans="1:6" x14ac:dyDescent="0.25">
      <c r="C3525" s="19"/>
      <c r="D3525" s="19" t="s">
        <v>999</v>
      </c>
      <c r="E3525" s="19" t="s">
        <v>1000</v>
      </c>
      <c r="F3525">
        <v>1</v>
      </c>
    </row>
    <row r="3526" spans="1:6" x14ac:dyDescent="0.25">
      <c r="C3526" s="19"/>
      <c r="D3526" s="19" t="s">
        <v>1001</v>
      </c>
      <c r="E3526" s="19" t="s">
        <v>1002</v>
      </c>
      <c r="F3526">
        <v>1</v>
      </c>
    </row>
    <row r="3527" spans="1:6" x14ac:dyDescent="0.25">
      <c r="C3527" s="19"/>
      <c r="D3527" s="19" t="s">
        <v>1003</v>
      </c>
      <c r="E3527" s="19" t="s">
        <v>1004</v>
      </c>
      <c r="F3527">
        <v>1</v>
      </c>
    </row>
    <row r="3528" spans="1:6" x14ac:dyDescent="0.25">
      <c r="C3528" s="19"/>
      <c r="D3528" s="19" t="s">
        <v>1005</v>
      </c>
      <c r="E3528" s="19" t="s">
        <v>1006</v>
      </c>
      <c r="F3528">
        <v>1</v>
      </c>
    </row>
    <row r="3529" spans="1:6" x14ac:dyDescent="0.25">
      <c r="C3529" s="19"/>
      <c r="D3529" s="19" t="s">
        <v>1007</v>
      </c>
      <c r="E3529" s="19" t="s">
        <v>1008</v>
      </c>
      <c r="F3529">
        <v>1</v>
      </c>
    </row>
    <row r="3530" spans="1:6" x14ac:dyDescent="0.25">
      <c r="C3530" s="19"/>
      <c r="D3530" s="19" t="s">
        <v>1009</v>
      </c>
      <c r="E3530" s="19" t="s">
        <v>1010</v>
      </c>
      <c r="F3530">
        <v>1</v>
      </c>
    </row>
    <row r="3531" spans="1:6" x14ac:dyDescent="0.25">
      <c r="C3531" s="19"/>
      <c r="D3531" s="19" t="s">
        <v>1011</v>
      </c>
      <c r="E3531" s="19" t="s">
        <v>1012</v>
      </c>
      <c r="F3531">
        <v>1</v>
      </c>
    </row>
    <row r="3532" spans="1:6" x14ac:dyDescent="0.25">
      <c r="C3532" s="19"/>
      <c r="D3532" s="19" t="s">
        <v>1013</v>
      </c>
      <c r="E3532" s="19" t="s">
        <v>1014</v>
      </c>
      <c r="F3532">
        <v>1</v>
      </c>
    </row>
    <row r="3533" spans="1:6" x14ac:dyDescent="0.25">
      <c r="A3533" s="3">
        <v>565</v>
      </c>
      <c r="B3533" s="15" t="s">
        <v>158</v>
      </c>
      <c r="C3533" s="19" t="s">
        <v>1390</v>
      </c>
      <c r="D3533" s="19" t="s">
        <v>1391</v>
      </c>
      <c r="E3533" s="19" t="s">
        <v>583</v>
      </c>
      <c r="F3533">
        <v>1</v>
      </c>
    </row>
    <row r="3534" spans="1:6" x14ac:dyDescent="0.25">
      <c r="C3534" s="19"/>
      <c r="D3534" s="19" t="s">
        <v>1392</v>
      </c>
      <c r="E3534" s="19" t="s">
        <v>306</v>
      </c>
      <c r="F3534">
        <v>1</v>
      </c>
    </row>
    <row r="3535" spans="1:6" x14ac:dyDescent="0.25">
      <c r="C3535" s="19"/>
      <c r="D3535" s="19" t="s">
        <v>1393</v>
      </c>
      <c r="E3535" s="19" t="s">
        <v>1394</v>
      </c>
      <c r="F3535">
        <v>1</v>
      </c>
    </row>
    <row r="3536" spans="1:6" x14ac:dyDescent="0.25">
      <c r="C3536" s="19"/>
      <c r="D3536" s="19" t="s">
        <v>1395</v>
      </c>
      <c r="E3536" s="19" t="s">
        <v>273</v>
      </c>
      <c r="F3536">
        <v>1</v>
      </c>
    </row>
    <row r="3537" spans="3:7" x14ac:dyDescent="0.25">
      <c r="C3537" s="19"/>
      <c r="D3537" s="19" t="s">
        <v>1396</v>
      </c>
      <c r="E3537" s="19" t="s">
        <v>1397</v>
      </c>
      <c r="F3537">
        <v>1</v>
      </c>
      <c r="G3537" s="7"/>
    </row>
    <row r="3538" spans="3:7" x14ac:dyDescent="0.25">
      <c r="C3538" s="19"/>
      <c r="D3538" s="19" t="s">
        <v>1398</v>
      </c>
      <c r="E3538" s="19" t="s">
        <v>493</v>
      </c>
      <c r="F3538">
        <v>1</v>
      </c>
    </row>
    <row r="3539" spans="3:7" x14ac:dyDescent="0.25">
      <c r="C3539" s="19"/>
      <c r="D3539" s="19" t="s">
        <v>1402</v>
      </c>
      <c r="E3539" s="18" t="s">
        <v>1403</v>
      </c>
      <c r="F3539">
        <v>1</v>
      </c>
    </row>
    <row r="3540" spans="3:7" x14ac:dyDescent="0.25">
      <c r="C3540" s="19"/>
      <c r="D3540" s="19" t="s">
        <v>1405</v>
      </c>
      <c r="E3540" s="18" t="s">
        <v>1406</v>
      </c>
      <c r="F3540">
        <v>1</v>
      </c>
    </row>
    <row r="3541" spans="3:7" x14ac:dyDescent="0.25">
      <c r="C3541" s="19"/>
      <c r="D3541" s="19" t="s">
        <v>1408</v>
      </c>
      <c r="E3541" s="18" t="s">
        <v>1409</v>
      </c>
      <c r="F3541">
        <v>1</v>
      </c>
    </row>
    <row r="3542" spans="3:7" x14ac:dyDescent="0.25">
      <c r="C3542" s="19"/>
      <c r="D3542" s="19" t="s">
        <v>1415</v>
      </c>
      <c r="E3542" s="19" t="s">
        <v>611</v>
      </c>
      <c r="F3542">
        <v>1</v>
      </c>
    </row>
    <row r="3543" spans="3:7" x14ac:dyDescent="0.25">
      <c r="C3543" s="19"/>
      <c r="D3543" s="19" t="s">
        <v>1416</v>
      </c>
      <c r="E3543" s="19" t="s">
        <v>612</v>
      </c>
      <c r="F3543">
        <v>1</v>
      </c>
    </row>
    <row r="3544" spans="3:7" x14ac:dyDescent="0.25">
      <c r="C3544" s="19"/>
      <c r="D3544" s="19" t="s">
        <v>1417</v>
      </c>
      <c r="E3544" s="19" t="s">
        <v>613</v>
      </c>
      <c r="F3544">
        <v>1</v>
      </c>
    </row>
    <row r="3545" spans="3:7" x14ac:dyDescent="0.25">
      <c r="C3545" s="19"/>
      <c r="D3545" s="19" t="s">
        <v>1418</v>
      </c>
      <c r="E3545" s="19" t="s">
        <v>1419</v>
      </c>
      <c r="F3545">
        <v>1</v>
      </c>
    </row>
    <row r="3546" spans="3:7" x14ac:dyDescent="0.25">
      <c r="C3546" s="19"/>
      <c r="D3546" s="19" t="s">
        <v>1420</v>
      </c>
      <c r="E3546" s="19" t="s">
        <v>621</v>
      </c>
      <c r="F3546">
        <v>1</v>
      </c>
    </row>
    <row r="3547" spans="3:7" x14ac:dyDescent="0.25">
      <c r="C3547" s="19"/>
      <c r="D3547" s="19" t="s">
        <v>1421</v>
      </c>
      <c r="E3547" s="19" t="s">
        <v>1422</v>
      </c>
      <c r="F3547">
        <v>1</v>
      </c>
    </row>
    <row r="3548" spans="3:7" x14ac:dyDescent="0.25">
      <c r="C3548" s="19"/>
      <c r="D3548" s="19" t="s">
        <v>1423</v>
      </c>
      <c r="E3548" s="19" t="s">
        <v>614</v>
      </c>
      <c r="F3548">
        <v>1</v>
      </c>
    </row>
    <row r="3549" spans="3:7" x14ac:dyDescent="0.25">
      <c r="C3549" s="19"/>
      <c r="D3549" s="19" t="s">
        <v>1424</v>
      </c>
      <c r="E3549" s="19" t="s">
        <v>615</v>
      </c>
      <c r="F3549">
        <v>1</v>
      </c>
    </row>
    <row r="3550" spans="3:7" x14ac:dyDescent="0.25">
      <c r="C3550" s="19"/>
      <c r="D3550" s="19" t="s">
        <v>1425</v>
      </c>
      <c r="E3550" s="19" t="s">
        <v>616</v>
      </c>
      <c r="F3550">
        <v>1</v>
      </c>
    </row>
    <row r="3551" spans="3:7" x14ac:dyDescent="0.25">
      <c r="C3551" s="19"/>
      <c r="D3551" s="19" t="s">
        <v>1426</v>
      </c>
      <c r="E3551" s="19" t="s">
        <v>617</v>
      </c>
      <c r="F3551">
        <v>1</v>
      </c>
    </row>
    <row r="3552" spans="3:7" x14ac:dyDescent="0.25">
      <c r="C3552" s="19"/>
      <c r="D3552" s="19" t="s">
        <v>1427</v>
      </c>
      <c r="E3552" s="19" t="s">
        <v>1428</v>
      </c>
      <c r="F3552">
        <v>1</v>
      </c>
    </row>
    <row r="3553" spans="1:6" x14ac:dyDescent="0.25">
      <c r="C3553" s="19"/>
      <c r="D3553" s="19" t="s">
        <v>1429</v>
      </c>
      <c r="E3553" s="19" t="s">
        <v>1430</v>
      </c>
      <c r="F3553">
        <v>1</v>
      </c>
    </row>
    <row r="3554" spans="1:6" x14ac:dyDescent="0.25">
      <c r="C3554" s="19"/>
      <c r="D3554" s="19" t="s">
        <v>1431</v>
      </c>
      <c r="E3554" s="19" t="s">
        <v>1432</v>
      </c>
      <c r="F3554">
        <v>1</v>
      </c>
    </row>
    <row r="3555" spans="1:6" x14ac:dyDescent="0.25">
      <c r="C3555" s="19"/>
      <c r="D3555" s="19" t="s">
        <v>1433</v>
      </c>
      <c r="E3555" s="19" t="s">
        <v>623</v>
      </c>
      <c r="F3555">
        <v>1</v>
      </c>
    </row>
    <row r="3556" spans="1:6" x14ac:dyDescent="0.25">
      <c r="C3556" s="19"/>
      <c r="D3556" s="19" t="s">
        <v>1434</v>
      </c>
      <c r="E3556" s="19" t="s">
        <v>624</v>
      </c>
      <c r="F3556">
        <v>1</v>
      </c>
    </row>
    <row r="3557" spans="1:6" x14ac:dyDescent="0.25">
      <c r="C3557" s="19"/>
      <c r="D3557" s="19" t="s">
        <v>1435</v>
      </c>
      <c r="E3557" s="19" t="s">
        <v>625</v>
      </c>
      <c r="F3557">
        <v>1</v>
      </c>
    </row>
    <row r="3558" spans="1:6" x14ac:dyDescent="0.25">
      <c r="A3558" s="3">
        <v>566</v>
      </c>
      <c r="B3558" s="15" t="s">
        <v>158</v>
      </c>
      <c r="C3558" s="19" t="s">
        <v>1390</v>
      </c>
      <c r="D3558" s="19" t="s">
        <v>1391</v>
      </c>
      <c r="E3558" s="19" t="s">
        <v>583</v>
      </c>
      <c r="F3558">
        <v>1</v>
      </c>
    </row>
    <row r="3559" spans="1:6" x14ac:dyDescent="0.25">
      <c r="C3559" s="19"/>
      <c r="D3559" s="19" t="s">
        <v>1392</v>
      </c>
      <c r="E3559" s="19" t="s">
        <v>306</v>
      </c>
      <c r="F3559">
        <v>0</v>
      </c>
    </row>
    <row r="3560" spans="1:6" x14ac:dyDescent="0.25">
      <c r="C3560" s="19"/>
      <c r="D3560" s="19" t="s">
        <v>1393</v>
      </c>
      <c r="E3560" s="19" t="s">
        <v>1394</v>
      </c>
      <c r="F3560">
        <v>1</v>
      </c>
    </row>
    <row r="3561" spans="1:6" x14ac:dyDescent="0.25">
      <c r="C3561" s="19"/>
      <c r="D3561" s="19" t="s">
        <v>1395</v>
      </c>
      <c r="E3561" s="19" t="s">
        <v>273</v>
      </c>
      <c r="F3561">
        <v>1</v>
      </c>
    </row>
    <row r="3562" spans="1:6" x14ac:dyDescent="0.25">
      <c r="C3562" s="19"/>
      <c r="D3562" s="19" t="s">
        <v>1396</v>
      </c>
      <c r="E3562" s="19" t="s">
        <v>1397</v>
      </c>
      <c r="F3562">
        <v>1</v>
      </c>
    </row>
    <row r="3563" spans="1:6" x14ac:dyDescent="0.25">
      <c r="C3563" s="19"/>
      <c r="D3563" s="19" t="s">
        <v>1398</v>
      </c>
      <c r="E3563" s="19" t="s">
        <v>493</v>
      </c>
      <c r="F3563">
        <v>0</v>
      </c>
    </row>
    <row r="3564" spans="1:6" x14ac:dyDescent="0.25">
      <c r="C3564" s="19"/>
      <c r="D3564" s="19" t="s">
        <v>1402</v>
      </c>
      <c r="E3564" s="18" t="s">
        <v>1403</v>
      </c>
      <c r="F3564">
        <v>1</v>
      </c>
    </row>
    <row r="3565" spans="1:6" x14ac:dyDescent="0.25">
      <c r="C3565" s="19"/>
      <c r="D3565" s="19" t="s">
        <v>1405</v>
      </c>
      <c r="E3565" s="18" t="s">
        <v>1406</v>
      </c>
      <c r="F3565">
        <v>1</v>
      </c>
    </row>
    <row r="3566" spans="1:6" x14ac:dyDescent="0.25">
      <c r="C3566" s="19"/>
      <c r="D3566" s="19" t="s">
        <v>1408</v>
      </c>
      <c r="E3566" s="18" t="s">
        <v>1409</v>
      </c>
      <c r="F3566">
        <v>1</v>
      </c>
    </row>
    <row r="3567" spans="1:6" x14ac:dyDescent="0.25">
      <c r="C3567" s="19"/>
      <c r="D3567" s="19" t="s">
        <v>1415</v>
      </c>
      <c r="E3567" s="19" t="s">
        <v>611</v>
      </c>
      <c r="F3567">
        <v>1</v>
      </c>
    </row>
    <row r="3568" spans="1:6" x14ac:dyDescent="0.25">
      <c r="C3568" s="19"/>
      <c r="D3568" s="19" t="s">
        <v>1416</v>
      </c>
      <c r="E3568" s="19" t="s">
        <v>612</v>
      </c>
      <c r="F3568">
        <v>0</v>
      </c>
    </row>
    <row r="3569" spans="1:6" x14ac:dyDescent="0.25">
      <c r="C3569" s="19"/>
      <c r="D3569" s="19" t="s">
        <v>1417</v>
      </c>
      <c r="E3569" s="19" t="s">
        <v>613</v>
      </c>
      <c r="F3569">
        <v>0</v>
      </c>
    </row>
    <row r="3570" spans="1:6" x14ac:dyDescent="0.25">
      <c r="C3570" s="19"/>
      <c r="D3570" s="19" t="s">
        <v>1418</v>
      </c>
      <c r="E3570" s="19" t="s">
        <v>1419</v>
      </c>
      <c r="F3570">
        <v>0</v>
      </c>
    </row>
    <row r="3571" spans="1:6" x14ac:dyDescent="0.25">
      <c r="C3571" s="19"/>
      <c r="D3571" s="19" t="s">
        <v>1420</v>
      </c>
      <c r="E3571" s="19" t="s">
        <v>621</v>
      </c>
      <c r="F3571">
        <v>1</v>
      </c>
    </row>
    <row r="3572" spans="1:6" x14ac:dyDescent="0.25">
      <c r="C3572" s="19"/>
      <c r="D3572" s="19" t="s">
        <v>1421</v>
      </c>
      <c r="E3572" s="19" t="s">
        <v>1422</v>
      </c>
      <c r="F3572">
        <v>1</v>
      </c>
    </row>
    <row r="3573" spans="1:6" x14ac:dyDescent="0.25">
      <c r="C3573" s="19"/>
      <c r="D3573" s="19" t="s">
        <v>1423</v>
      </c>
      <c r="E3573" s="19" t="s">
        <v>614</v>
      </c>
      <c r="F3573">
        <v>1</v>
      </c>
    </row>
    <row r="3574" spans="1:6" x14ac:dyDescent="0.25">
      <c r="C3574" s="19"/>
      <c r="D3574" s="19" t="s">
        <v>1424</v>
      </c>
      <c r="E3574" s="19" t="s">
        <v>615</v>
      </c>
      <c r="F3574">
        <v>1</v>
      </c>
    </row>
    <row r="3575" spans="1:6" x14ac:dyDescent="0.25">
      <c r="C3575" s="19"/>
      <c r="D3575" s="19" t="s">
        <v>1425</v>
      </c>
      <c r="E3575" s="19" t="s">
        <v>616</v>
      </c>
      <c r="F3575">
        <v>0</v>
      </c>
    </row>
    <row r="3576" spans="1:6" x14ac:dyDescent="0.25">
      <c r="C3576" s="19"/>
      <c r="D3576" s="19" t="s">
        <v>1426</v>
      </c>
      <c r="E3576" s="19" t="s">
        <v>617</v>
      </c>
      <c r="F3576">
        <v>0</v>
      </c>
    </row>
    <row r="3577" spans="1:6" x14ac:dyDescent="0.25">
      <c r="C3577" s="19"/>
      <c r="D3577" s="19" t="s">
        <v>1427</v>
      </c>
      <c r="E3577" s="19" t="s">
        <v>1428</v>
      </c>
      <c r="F3577">
        <v>1</v>
      </c>
    </row>
    <row r="3578" spans="1:6" x14ac:dyDescent="0.25">
      <c r="C3578" s="19"/>
      <c r="D3578" s="19" t="s">
        <v>1429</v>
      </c>
      <c r="E3578" s="19" t="s">
        <v>1430</v>
      </c>
      <c r="F3578">
        <v>1</v>
      </c>
    </row>
    <row r="3579" spans="1:6" x14ac:dyDescent="0.25">
      <c r="C3579" s="19"/>
      <c r="D3579" s="19" t="s">
        <v>1431</v>
      </c>
      <c r="E3579" s="19" t="s">
        <v>1432</v>
      </c>
      <c r="F3579">
        <v>0</v>
      </c>
    </row>
    <row r="3580" spans="1:6" x14ac:dyDescent="0.25">
      <c r="C3580" s="19"/>
      <c r="D3580" s="19" t="s">
        <v>1433</v>
      </c>
      <c r="E3580" s="19" t="s">
        <v>623</v>
      </c>
      <c r="F3580">
        <v>0</v>
      </c>
    </row>
    <row r="3581" spans="1:6" x14ac:dyDescent="0.25">
      <c r="C3581" s="19"/>
      <c r="D3581" s="19" t="s">
        <v>1434</v>
      </c>
      <c r="E3581" s="19" t="s">
        <v>624</v>
      </c>
      <c r="F3581">
        <v>0</v>
      </c>
    </row>
    <row r="3582" spans="1:6" x14ac:dyDescent="0.25">
      <c r="C3582" s="19"/>
      <c r="D3582" s="19" t="s">
        <v>1435</v>
      </c>
      <c r="E3582" s="19" t="s">
        <v>625</v>
      </c>
      <c r="F3582">
        <v>0</v>
      </c>
    </row>
    <row r="3583" spans="1:6" x14ac:dyDescent="0.25">
      <c r="A3583" s="3">
        <v>569</v>
      </c>
      <c r="B3583" s="15" t="s">
        <v>159</v>
      </c>
      <c r="C3583" s="19" t="s">
        <v>1640</v>
      </c>
      <c r="D3583" s="19" t="s">
        <v>1641</v>
      </c>
      <c r="E3583" s="19" t="s">
        <v>640</v>
      </c>
      <c r="F3583">
        <v>1</v>
      </c>
    </row>
    <row r="3584" spans="1:6" x14ac:dyDescent="0.25">
      <c r="C3584" s="19"/>
      <c r="D3584" s="19" t="s">
        <v>1642</v>
      </c>
      <c r="E3584" s="19" t="s">
        <v>1643</v>
      </c>
      <c r="F3584">
        <v>1</v>
      </c>
    </row>
    <row r="3585" spans="1:6" x14ac:dyDescent="0.25">
      <c r="C3585" s="19"/>
      <c r="D3585" s="19" t="s">
        <v>1644</v>
      </c>
      <c r="E3585" s="19" t="s">
        <v>1645</v>
      </c>
      <c r="F3585">
        <v>1</v>
      </c>
    </row>
    <row r="3586" spans="1:6" x14ac:dyDescent="0.25">
      <c r="C3586" s="19"/>
      <c r="D3586" s="19" t="s">
        <v>1646</v>
      </c>
      <c r="E3586" s="19" t="s">
        <v>1647</v>
      </c>
      <c r="F3586">
        <v>1</v>
      </c>
    </row>
    <row r="3587" spans="1:6" x14ac:dyDescent="0.25">
      <c r="C3587" s="19"/>
      <c r="D3587" s="19" t="s">
        <v>1648</v>
      </c>
      <c r="E3587" s="19" t="s">
        <v>1649</v>
      </c>
      <c r="F3587">
        <v>1</v>
      </c>
    </row>
    <row r="3588" spans="1:6" x14ac:dyDescent="0.25">
      <c r="C3588" s="19"/>
      <c r="D3588" s="19" t="s">
        <v>1650</v>
      </c>
      <c r="E3588" s="19" t="s">
        <v>791</v>
      </c>
      <c r="F3588">
        <v>1</v>
      </c>
    </row>
    <row r="3589" spans="1:6" x14ac:dyDescent="0.25">
      <c r="C3589" s="19"/>
      <c r="D3589" s="19" t="s">
        <v>1651</v>
      </c>
      <c r="E3589" s="19" t="s">
        <v>1652</v>
      </c>
      <c r="F3589">
        <v>1</v>
      </c>
    </row>
    <row r="3590" spans="1:6" x14ac:dyDescent="0.25">
      <c r="C3590" s="19"/>
      <c r="D3590" s="19" t="s">
        <v>1653</v>
      </c>
      <c r="E3590" s="19" t="s">
        <v>1654</v>
      </c>
      <c r="F3590">
        <v>1</v>
      </c>
    </row>
    <row r="3591" spans="1:6" x14ac:dyDescent="0.25">
      <c r="A3591" s="3">
        <v>574</v>
      </c>
      <c r="B3591" s="16" t="s">
        <v>160</v>
      </c>
      <c r="C3591" s="19" t="s">
        <v>1492</v>
      </c>
      <c r="D3591" s="19" t="s">
        <v>1493</v>
      </c>
      <c r="E3591" s="19" t="s">
        <v>1494</v>
      </c>
      <c r="F3591">
        <v>1</v>
      </c>
    </row>
    <row r="3592" spans="1:6" x14ac:dyDescent="0.25">
      <c r="C3592" s="19"/>
      <c r="D3592" s="19" t="s">
        <v>1495</v>
      </c>
      <c r="E3592" s="19" t="s">
        <v>1496</v>
      </c>
      <c r="F3592">
        <v>1</v>
      </c>
    </row>
    <row r="3593" spans="1:6" x14ac:dyDescent="0.25">
      <c r="C3593" s="19"/>
      <c r="D3593" s="19" t="s">
        <v>1497</v>
      </c>
      <c r="E3593" s="19" t="s">
        <v>306</v>
      </c>
      <c r="F3593">
        <v>1</v>
      </c>
    </row>
    <row r="3594" spans="1:6" x14ac:dyDescent="0.25">
      <c r="C3594" s="19"/>
      <c r="D3594" s="19" t="s">
        <v>1498</v>
      </c>
      <c r="E3594" s="19" t="s">
        <v>1499</v>
      </c>
      <c r="F3594">
        <v>1</v>
      </c>
    </row>
    <row r="3595" spans="1:6" x14ac:dyDescent="0.25">
      <c r="C3595" s="19"/>
      <c r="D3595" s="19" t="s">
        <v>1500</v>
      </c>
      <c r="E3595" s="19" t="s">
        <v>1397</v>
      </c>
      <c r="F3595">
        <v>1</v>
      </c>
    </row>
    <row r="3596" spans="1:6" x14ac:dyDescent="0.25">
      <c r="C3596" s="19"/>
      <c r="D3596" s="19" t="s">
        <v>1501</v>
      </c>
      <c r="E3596" s="19" t="s">
        <v>1502</v>
      </c>
      <c r="F3596">
        <v>1</v>
      </c>
    </row>
    <row r="3597" spans="1:6" x14ac:dyDescent="0.25">
      <c r="C3597" s="19"/>
      <c r="D3597" s="19" t="s">
        <v>1503</v>
      </c>
      <c r="E3597" s="19" t="s">
        <v>1504</v>
      </c>
      <c r="F3597">
        <v>1</v>
      </c>
    </row>
    <row r="3598" spans="1:6" x14ac:dyDescent="0.25">
      <c r="C3598" s="19"/>
      <c r="D3598" s="19" t="s">
        <v>1505</v>
      </c>
      <c r="E3598" s="19" t="s">
        <v>1506</v>
      </c>
      <c r="F3598">
        <v>0</v>
      </c>
    </row>
    <row r="3599" spans="1:6" x14ac:dyDescent="0.25">
      <c r="C3599" s="19"/>
      <c r="D3599" s="19" t="s">
        <v>1507</v>
      </c>
      <c r="E3599" s="19" t="s">
        <v>611</v>
      </c>
      <c r="F3599">
        <v>1</v>
      </c>
    </row>
    <row r="3600" spans="1:6" x14ac:dyDescent="0.25">
      <c r="C3600" s="19"/>
      <c r="D3600" s="19" t="s">
        <v>1508</v>
      </c>
      <c r="E3600" s="19" t="s">
        <v>1509</v>
      </c>
      <c r="F3600">
        <v>1</v>
      </c>
    </row>
    <row r="3601" spans="3:6" x14ac:dyDescent="0.25">
      <c r="C3601" s="19"/>
      <c r="D3601" s="19" t="s">
        <v>1510</v>
      </c>
      <c r="E3601" s="19" t="s">
        <v>613</v>
      </c>
      <c r="F3601">
        <v>0</v>
      </c>
    </row>
    <row r="3602" spans="3:6" x14ac:dyDescent="0.25">
      <c r="C3602" s="19"/>
      <c r="D3602" s="19" t="s">
        <v>1511</v>
      </c>
      <c r="E3602" s="19" t="s">
        <v>1419</v>
      </c>
      <c r="F3602">
        <v>1</v>
      </c>
    </row>
    <row r="3603" spans="3:6" x14ac:dyDescent="0.25">
      <c r="C3603" s="19"/>
      <c r="D3603" s="19" t="s">
        <v>1512</v>
      </c>
      <c r="E3603" s="19" t="s">
        <v>621</v>
      </c>
      <c r="F3603">
        <v>1</v>
      </c>
    </row>
    <row r="3604" spans="3:6" x14ac:dyDescent="0.25">
      <c r="C3604" s="19"/>
      <c r="D3604" s="19" t="s">
        <v>1513</v>
      </c>
      <c r="E3604" s="19" t="s">
        <v>1422</v>
      </c>
      <c r="F3604">
        <v>1</v>
      </c>
    </row>
    <row r="3605" spans="3:6" x14ac:dyDescent="0.25">
      <c r="C3605" s="19"/>
      <c r="D3605" s="19" t="s">
        <v>1514</v>
      </c>
      <c r="E3605" s="19" t="s">
        <v>614</v>
      </c>
      <c r="F3605">
        <v>1</v>
      </c>
    </row>
    <row r="3606" spans="3:6" x14ac:dyDescent="0.25">
      <c r="C3606" s="19"/>
      <c r="D3606" s="19" t="s">
        <v>1515</v>
      </c>
      <c r="E3606" s="19" t="s">
        <v>615</v>
      </c>
      <c r="F3606">
        <v>0</v>
      </c>
    </row>
    <row r="3607" spans="3:6" x14ac:dyDescent="0.25">
      <c r="C3607" s="19"/>
      <c r="D3607" s="19" t="s">
        <v>1516</v>
      </c>
      <c r="E3607" s="19" t="s">
        <v>1517</v>
      </c>
      <c r="F3607">
        <v>1</v>
      </c>
    </row>
    <row r="3608" spans="3:6" x14ac:dyDescent="0.25">
      <c r="C3608" s="19"/>
      <c r="D3608" s="19" t="s">
        <v>1518</v>
      </c>
      <c r="E3608" s="19" t="s">
        <v>1519</v>
      </c>
      <c r="F3608">
        <v>1</v>
      </c>
    </row>
    <row r="3609" spans="3:6" x14ac:dyDescent="0.25">
      <c r="C3609" s="19"/>
      <c r="D3609" s="19" t="s">
        <v>1520</v>
      </c>
      <c r="E3609" s="19" t="s">
        <v>1521</v>
      </c>
      <c r="F3609">
        <v>0</v>
      </c>
    </row>
    <row r="3610" spans="3:6" x14ac:dyDescent="0.25">
      <c r="C3610" s="19"/>
      <c r="D3610" s="19" t="s">
        <v>1522</v>
      </c>
      <c r="E3610" s="19" t="s">
        <v>1523</v>
      </c>
      <c r="F3610">
        <v>0</v>
      </c>
    </row>
    <row r="3611" spans="3:6" x14ac:dyDescent="0.25">
      <c r="C3611" s="19"/>
      <c r="D3611" s="19" t="s">
        <v>1524</v>
      </c>
      <c r="E3611" s="19" t="s">
        <v>1525</v>
      </c>
      <c r="F3611">
        <v>0</v>
      </c>
    </row>
    <row r="3612" spans="3:6" x14ac:dyDescent="0.25">
      <c r="C3612" s="19"/>
      <c r="D3612" s="19" t="s">
        <v>1526</v>
      </c>
      <c r="E3612" s="19" t="s">
        <v>1527</v>
      </c>
      <c r="F3612">
        <v>0</v>
      </c>
    </row>
    <row r="3613" spans="3:6" x14ac:dyDescent="0.25">
      <c r="C3613" s="19"/>
      <c r="D3613" s="19" t="s">
        <v>1528</v>
      </c>
      <c r="E3613" s="19" t="s">
        <v>1529</v>
      </c>
      <c r="F3613">
        <v>1</v>
      </c>
    </row>
    <row r="3614" spans="3:6" x14ac:dyDescent="0.25">
      <c r="C3614" s="19"/>
      <c r="D3614" s="19" t="s">
        <v>1530</v>
      </c>
      <c r="E3614" s="19" t="s">
        <v>1430</v>
      </c>
      <c r="F3614">
        <v>1</v>
      </c>
    </row>
    <row r="3615" spans="3:6" x14ac:dyDescent="0.25">
      <c r="C3615" s="19"/>
      <c r="D3615" s="19" t="s">
        <v>1531</v>
      </c>
      <c r="E3615" s="19" t="s">
        <v>503</v>
      </c>
      <c r="F3615">
        <v>1</v>
      </c>
    </row>
    <row r="3616" spans="3:6" x14ac:dyDescent="0.25">
      <c r="C3616" s="19"/>
      <c r="D3616" s="19" t="s">
        <v>1532</v>
      </c>
      <c r="E3616" s="19" t="s">
        <v>1533</v>
      </c>
      <c r="F3616">
        <v>0</v>
      </c>
    </row>
    <row r="3617" spans="1:7" x14ac:dyDescent="0.25">
      <c r="C3617" s="19"/>
      <c r="D3617" s="19" t="s">
        <v>1534</v>
      </c>
      <c r="E3617" s="19" t="s">
        <v>1535</v>
      </c>
      <c r="F3617">
        <v>1</v>
      </c>
    </row>
    <row r="3618" spans="1:7" x14ac:dyDescent="0.25">
      <c r="A3618" s="3">
        <v>580</v>
      </c>
      <c r="B3618" s="15" t="s">
        <v>161</v>
      </c>
      <c r="C3618" s="19" t="s">
        <v>723</v>
      </c>
      <c r="D3618" s="19" t="s">
        <v>724</v>
      </c>
      <c r="E3618" s="19" t="s">
        <v>304</v>
      </c>
      <c r="F3618">
        <v>1</v>
      </c>
    </row>
    <row r="3619" spans="1:7" x14ac:dyDescent="0.25">
      <c r="C3619" s="19"/>
      <c r="D3619" s="19" t="s">
        <v>725</v>
      </c>
      <c r="E3619" s="19" t="s">
        <v>306</v>
      </c>
      <c r="F3619">
        <v>1</v>
      </c>
    </row>
    <row r="3620" spans="1:7" x14ac:dyDescent="0.25">
      <c r="C3620" s="19"/>
      <c r="D3620" s="19" t="s">
        <v>726</v>
      </c>
      <c r="E3620" s="19" t="s">
        <v>727</v>
      </c>
      <c r="F3620">
        <v>1</v>
      </c>
      <c r="G3620" s="7"/>
    </row>
    <row r="3621" spans="1:7" x14ac:dyDescent="0.25">
      <c r="C3621" s="19"/>
      <c r="D3621" s="19" t="s">
        <v>728</v>
      </c>
      <c r="E3621" s="19" t="s">
        <v>729</v>
      </c>
      <c r="F3621">
        <v>1</v>
      </c>
    </row>
    <row r="3622" spans="1:7" x14ac:dyDescent="0.25">
      <c r="C3622" s="19"/>
      <c r="D3622" s="19" t="s">
        <v>730</v>
      </c>
      <c r="E3622" s="19" t="s">
        <v>343</v>
      </c>
      <c r="F3622">
        <v>0</v>
      </c>
    </row>
    <row r="3623" spans="1:7" x14ac:dyDescent="0.25">
      <c r="C3623" s="19"/>
      <c r="D3623" s="19" t="s">
        <v>731</v>
      </c>
      <c r="E3623" s="19" t="s">
        <v>732</v>
      </c>
      <c r="F3623">
        <v>1</v>
      </c>
    </row>
    <row r="3624" spans="1:7" x14ac:dyDescent="0.25">
      <c r="C3624" s="19"/>
      <c r="D3624" s="19" t="s">
        <v>733</v>
      </c>
      <c r="E3624" s="19" t="s">
        <v>734</v>
      </c>
      <c r="F3624">
        <v>1</v>
      </c>
    </row>
    <row r="3625" spans="1:7" x14ac:dyDescent="0.25">
      <c r="C3625" s="19"/>
      <c r="D3625" s="19" t="s">
        <v>735</v>
      </c>
      <c r="E3625" s="19" t="s">
        <v>736</v>
      </c>
      <c r="F3625">
        <v>0</v>
      </c>
    </row>
    <row r="3626" spans="1:7" x14ac:dyDescent="0.25">
      <c r="C3626" s="19"/>
      <c r="D3626" s="19" t="s">
        <v>737</v>
      </c>
      <c r="E3626" s="19" t="s">
        <v>738</v>
      </c>
      <c r="F3626">
        <v>1</v>
      </c>
    </row>
    <row r="3627" spans="1:7" x14ac:dyDescent="0.25">
      <c r="C3627" s="19"/>
      <c r="D3627" s="19" t="s">
        <v>739</v>
      </c>
      <c r="E3627" s="19" t="s">
        <v>740</v>
      </c>
      <c r="F3627">
        <v>1</v>
      </c>
    </row>
    <row r="3628" spans="1:7" x14ac:dyDescent="0.25">
      <c r="C3628" s="19"/>
      <c r="D3628" s="19" t="s">
        <v>741</v>
      </c>
      <c r="E3628" s="19" t="s">
        <v>742</v>
      </c>
      <c r="F3628">
        <v>1</v>
      </c>
    </row>
    <row r="3629" spans="1:7" x14ac:dyDescent="0.25">
      <c r="C3629" s="19"/>
      <c r="D3629" s="19" t="s">
        <v>743</v>
      </c>
      <c r="E3629" s="19" t="s">
        <v>744</v>
      </c>
      <c r="F3629">
        <v>1</v>
      </c>
    </row>
    <row r="3630" spans="1:7" x14ac:dyDescent="0.25">
      <c r="C3630" s="19"/>
      <c r="D3630" s="19" t="s">
        <v>745</v>
      </c>
      <c r="E3630" s="19" t="s">
        <v>746</v>
      </c>
      <c r="F3630">
        <v>1</v>
      </c>
    </row>
    <row r="3631" spans="1:7" x14ac:dyDescent="0.25">
      <c r="C3631" s="19"/>
      <c r="D3631" s="19" t="s">
        <v>747</v>
      </c>
      <c r="E3631" s="19" t="s">
        <v>748</v>
      </c>
      <c r="F3631">
        <v>0</v>
      </c>
    </row>
    <row r="3632" spans="1:7" x14ac:dyDescent="0.25">
      <c r="C3632" s="19"/>
      <c r="D3632" s="19" t="s">
        <v>749</v>
      </c>
      <c r="E3632" s="19" t="s">
        <v>750</v>
      </c>
      <c r="F3632">
        <v>0</v>
      </c>
    </row>
    <row r="3633" spans="1:6" x14ac:dyDescent="0.25">
      <c r="C3633" s="19"/>
      <c r="D3633" s="19" t="s">
        <v>751</v>
      </c>
      <c r="E3633" s="19" t="s">
        <v>347</v>
      </c>
      <c r="F3633">
        <v>1</v>
      </c>
    </row>
    <row r="3634" spans="1:6" x14ac:dyDescent="0.25">
      <c r="C3634" s="19"/>
      <c r="D3634" s="19" t="s">
        <v>752</v>
      </c>
      <c r="E3634" s="19" t="s">
        <v>753</v>
      </c>
      <c r="F3634">
        <v>0</v>
      </c>
    </row>
    <row r="3635" spans="1:6" x14ac:dyDescent="0.25">
      <c r="C3635" s="19"/>
      <c r="D3635" s="19" t="s">
        <v>754</v>
      </c>
      <c r="E3635" s="19" t="s">
        <v>755</v>
      </c>
      <c r="F3635">
        <v>1</v>
      </c>
    </row>
    <row r="3636" spans="1:6" x14ac:dyDescent="0.25">
      <c r="C3636" s="19"/>
      <c r="D3636" s="19" t="s">
        <v>756</v>
      </c>
      <c r="E3636" s="19" t="s">
        <v>757</v>
      </c>
      <c r="F3636">
        <v>1</v>
      </c>
    </row>
    <row r="3637" spans="1:6" x14ac:dyDescent="0.25">
      <c r="C3637" s="19"/>
      <c r="D3637" s="19" t="s">
        <v>758</v>
      </c>
      <c r="E3637" s="19" t="s">
        <v>759</v>
      </c>
      <c r="F3637">
        <v>1</v>
      </c>
    </row>
    <row r="3638" spans="1:6" x14ac:dyDescent="0.25">
      <c r="A3638" s="3">
        <v>582</v>
      </c>
      <c r="B3638" s="15" t="s">
        <v>162</v>
      </c>
      <c r="C3638" s="19" t="s">
        <v>818</v>
      </c>
      <c r="D3638" s="19" t="s">
        <v>819</v>
      </c>
      <c r="E3638" s="19" t="s">
        <v>820</v>
      </c>
      <c r="F3638">
        <v>1</v>
      </c>
    </row>
    <row r="3639" spans="1:6" x14ac:dyDescent="0.25">
      <c r="C3639" s="19"/>
      <c r="D3639" s="19" t="s">
        <v>821</v>
      </c>
      <c r="E3639" s="19" t="s">
        <v>822</v>
      </c>
      <c r="F3639">
        <v>2</v>
      </c>
    </row>
    <row r="3640" spans="1:6" x14ac:dyDescent="0.25">
      <c r="C3640" s="19"/>
      <c r="D3640" s="19" t="s">
        <v>823</v>
      </c>
      <c r="E3640" s="19" t="s">
        <v>306</v>
      </c>
      <c r="F3640">
        <v>1</v>
      </c>
    </row>
    <row r="3641" spans="1:6" x14ac:dyDescent="0.25">
      <c r="C3641" s="19"/>
      <c r="D3641" s="19" t="s">
        <v>824</v>
      </c>
      <c r="E3641" s="19" t="s">
        <v>825</v>
      </c>
      <c r="F3641" s="7">
        <v>0</v>
      </c>
    </row>
    <row r="3642" spans="1:6" x14ac:dyDescent="0.25">
      <c r="C3642" s="19"/>
      <c r="D3642" s="19" t="s">
        <v>826</v>
      </c>
      <c r="E3642" s="19" t="s">
        <v>827</v>
      </c>
      <c r="F3642">
        <v>1</v>
      </c>
    </row>
    <row r="3643" spans="1:6" x14ac:dyDescent="0.25">
      <c r="C3643" s="19"/>
      <c r="D3643" s="19" t="s">
        <v>828</v>
      </c>
      <c r="E3643" s="19" t="s">
        <v>312</v>
      </c>
      <c r="F3643">
        <v>1</v>
      </c>
    </row>
    <row r="3644" spans="1:6" x14ac:dyDescent="0.25">
      <c r="C3644" s="19"/>
      <c r="D3644" s="19" t="s">
        <v>829</v>
      </c>
      <c r="E3644" s="19" t="s">
        <v>316</v>
      </c>
      <c r="F3644">
        <v>1</v>
      </c>
    </row>
    <row r="3645" spans="1:6" x14ac:dyDescent="0.25">
      <c r="C3645" s="19"/>
      <c r="D3645" s="19" t="s">
        <v>830</v>
      </c>
      <c r="E3645" s="19" t="s">
        <v>314</v>
      </c>
      <c r="F3645">
        <v>1</v>
      </c>
    </row>
    <row r="3646" spans="1:6" x14ac:dyDescent="0.25">
      <c r="C3646" s="19"/>
      <c r="D3646" s="19" t="s">
        <v>831</v>
      </c>
      <c r="E3646" s="19" t="s">
        <v>832</v>
      </c>
      <c r="F3646">
        <v>1</v>
      </c>
    </row>
    <row r="3647" spans="1:6" x14ac:dyDescent="0.25">
      <c r="C3647" s="19"/>
      <c r="D3647" s="19" t="s">
        <v>833</v>
      </c>
      <c r="E3647" s="19" t="s">
        <v>834</v>
      </c>
      <c r="F3647">
        <v>1</v>
      </c>
    </row>
    <row r="3648" spans="1:6" x14ac:dyDescent="0.25">
      <c r="C3648" s="19"/>
      <c r="D3648" s="19" t="s">
        <v>835</v>
      </c>
      <c r="E3648" s="19" t="s">
        <v>836</v>
      </c>
      <c r="F3648">
        <v>0</v>
      </c>
    </row>
    <row r="3649" spans="1:6" x14ac:dyDescent="0.25">
      <c r="C3649" s="19"/>
      <c r="D3649" s="19" t="s">
        <v>837</v>
      </c>
      <c r="E3649" s="19" t="s">
        <v>838</v>
      </c>
      <c r="F3649">
        <v>0</v>
      </c>
    </row>
    <row r="3650" spans="1:6" x14ac:dyDescent="0.25">
      <c r="C3650" s="19"/>
      <c r="D3650" s="19" t="s">
        <v>839</v>
      </c>
      <c r="E3650" s="19" t="s">
        <v>840</v>
      </c>
      <c r="F3650">
        <v>0</v>
      </c>
    </row>
    <row r="3651" spans="1:6" x14ac:dyDescent="0.25">
      <c r="C3651" s="19"/>
      <c r="D3651" s="19" t="s">
        <v>841</v>
      </c>
      <c r="E3651" s="19" t="s">
        <v>842</v>
      </c>
      <c r="F3651">
        <v>0</v>
      </c>
    </row>
    <row r="3652" spans="1:6" x14ac:dyDescent="0.25">
      <c r="C3652" s="19"/>
      <c r="D3652" s="19" t="s">
        <v>843</v>
      </c>
      <c r="E3652" s="19" t="s">
        <v>844</v>
      </c>
      <c r="F3652">
        <v>1</v>
      </c>
    </row>
    <row r="3653" spans="1:6" x14ac:dyDescent="0.25">
      <c r="C3653" s="19"/>
      <c r="D3653" s="19" t="s">
        <v>845</v>
      </c>
      <c r="E3653" s="19" t="s">
        <v>846</v>
      </c>
      <c r="F3653">
        <v>0</v>
      </c>
    </row>
    <row r="3654" spans="1:6" x14ac:dyDescent="0.25">
      <c r="C3654" s="19"/>
      <c r="D3654" s="19" t="s">
        <v>847</v>
      </c>
      <c r="E3654" s="19" t="s">
        <v>848</v>
      </c>
      <c r="F3654">
        <v>0</v>
      </c>
    </row>
    <row r="3655" spans="1:6" x14ac:dyDescent="0.25">
      <c r="C3655" s="19"/>
      <c r="D3655" s="19" t="s">
        <v>849</v>
      </c>
      <c r="E3655" s="19" t="s">
        <v>850</v>
      </c>
      <c r="F3655">
        <v>0</v>
      </c>
    </row>
    <row r="3656" spans="1:6" x14ac:dyDescent="0.25">
      <c r="C3656" s="19"/>
      <c r="D3656" s="19" t="s">
        <v>851</v>
      </c>
      <c r="E3656" s="19" t="s">
        <v>852</v>
      </c>
      <c r="F3656">
        <v>1</v>
      </c>
    </row>
    <row r="3657" spans="1:6" x14ac:dyDescent="0.25">
      <c r="C3657" s="19"/>
      <c r="D3657" s="19" t="s">
        <v>853</v>
      </c>
      <c r="E3657" s="19" t="s">
        <v>854</v>
      </c>
      <c r="F3657">
        <v>1</v>
      </c>
    </row>
    <row r="3658" spans="1:6" x14ac:dyDescent="0.25">
      <c r="C3658" s="19"/>
      <c r="D3658" s="19" t="s">
        <v>855</v>
      </c>
      <c r="E3658" s="19" t="s">
        <v>856</v>
      </c>
      <c r="F3658">
        <v>0</v>
      </c>
    </row>
    <row r="3659" spans="1:6" x14ac:dyDescent="0.25">
      <c r="C3659" s="19"/>
      <c r="D3659" s="19" t="s">
        <v>857</v>
      </c>
      <c r="E3659" s="19" t="s">
        <v>858</v>
      </c>
      <c r="F3659">
        <v>0</v>
      </c>
    </row>
    <row r="3660" spans="1:6" x14ac:dyDescent="0.25">
      <c r="A3660" s="3">
        <v>588</v>
      </c>
      <c r="B3660" s="15" t="s">
        <v>163</v>
      </c>
      <c r="C3660" s="19" t="s">
        <v>1790</v>
      </c>
      <c r="D3660" s="19" t="s">
        <v>1791</v>
      </c>
      <c r="E3660" s="19" t="s">
        <v>273</v>
      </c>
      <c r="F3660">
        <v>1</v>
      </c>
    </row>
    <row r="3661" spans="1:6" x14ac:dyDescent="0.25">
      <c r="C3661" s="19"/>
      <c r="D3661" s="19" t="s">
        <v>1792</v>
      </c>
      <c r="E3661" s="19" t="s">
        <v>312</v>
      </c>
      <c r="F3661">
        <v>0</v>
      </c>
    </row>
    <row r="3662" spans="1:6" x14ac:dyDescent="0.25">
      <c r="C3662" s="19"/>
      <c r="D3662" s="19" t="s">
        <v>1793</v>
      </c>
      <c r="E3662" s="19" t="s">
        <v>801</v>
      </c>
      <c r="F3662">
        <v>1</v>
      </c>
    </row>
    <row r="3663" spans="1:6" x14ac:dyDescent="0.25">
      <c r="C3663" s="19"/>
      <c r="D3663" s="19" t="s">
        <v>1794</v>
      </c>
      <c r="E3663" s="19" t="s">
        <v>786</v>
      </c>
      <c r="F3663">
        <v>1</v>
      </c>
    </row>
    <row r="3664" spans="1:6" x14ac:dyDescent="0.25">
      <c r="C3664" s="19"/>
      <c r="D3664" s="19" t="s">
        <v>1795</v>
      </c>
      <c r="E3664" s="19" t="s">
        <v>784</v>
      </c>
      <c r="F3664">
        <v>1</v>
      </c>
    </row>
    <row r="3665" spans="1:6" x14ac:dyDescent="0.25">
      <c r="C3665" s="19"/>
      <c r="D3665" s="19" t="s">
        <v>1796</v>
      </c>
      <c r="E3665" s="19" t="s">
        <v>1205</v>
      </c>
      <c r="F3665">
        <v>1</v>
      </c>
    </row>
    <row r="3666" spans="1:6" x14ac:dyDescent="0.25">
      <c r="C3666" s="19"/>
      <c r="D3666" s="19" t="s">
        <v>1797</v>
      </c>
      <c r="E3666" s="19" t="s">
        <v>1207</v>
      </c>
      <c r="F3666">
        <v>1</v>
      </c>
    </row>
    <row r="3667" spans="1:6" x14ac:dyDescent="0.25">
      <c r="C3667" s="19"/>
      <c r="D3667" s="19" t="s">
        <v>1798</v>
      </c>
      <c r="E3667" s="19" t="s">
        <v>1209</v>
      </c>
      <c r="F3667">
        <v>1</v>
      </c>
    </row>
    <row r="3668" spans="1:6" x14ac:dyDescent="0.25">
      <c r="C3668" s="19"/>
      <c r="D3668" s="19" t="s">
        <v>1799</v>
      </c>
      <c r="E3668" s="19" t="s">
        <v>789</v>
      </c>
      <c r="F3668">
        <v>0</v>
      </c>
    </row>
    <row r="3669" spans="1:6" x14ac:dyDescent="0.25">
      <c r="C3669" s="19"/>
      <c r="D3669" s="19" t="s">
        <v>1800</v>
      </c>
      <c r="E3669" s="19" t="s">
        <v>1214</v>
      </c>
      <c r="F3669">
        <v>1</v>
      </c>
    </row>
    <row r="3670" spans="1:6" x14ac:dyDescent="0.25">
      <c r="C3670" s="19"/>
      <c r="D3670" s="19" t="s">
        <v>1801</v>
      </c>
      <c r="E3670" s="19" t="s">
        <v>1784</v>
      </c>
      <c r="F3670">
        <v>1</v>
      </c>
    </row>
    <row r="3671" spans="1:6" x14ac:dyDescent="0.25">
      <c r="C3671" s="19"/>
      <c r="D3671" s="19" t="s">
        <v>1802</v>
      </c>
      <c r="E3671" s="19" t="s">
        <v>791</v>
      </c>
      <c r="F3671">
        <v>1</v>
      </c>
    </row>
    <row r="3672" spans="1:6" x14ac:dyDescent="0.25">
      <c r="C3672" s="19"/>
      <c r="D3672" s="19" t="s">
        <v>1803</v>
      </c>
      <c r="E3672" s="19" t="s">
        <v>795</v>
      </c>
      <c r="F3672">
        <v>1</v>
      </c>
    </row>
    <row r="3673" spans="1:6" x14ac:dyDescent="0.25">
      <c r="C3673" s="19"/>
      <c r="D3673" s="19" t="s">
        <v>1804</v>
      </c>
      <c r="E3673" s="19" t="s">
        <v>372</v>
      </c>
      <c r="F3673">
        <v>1</v>
      </c>
    </row>
    <row r="3674" spans="1:6" x14ac:dyDescent="0.25">
      <c r="C3674" s="19"/>
      <c r="D3674" s="19" t="s">
        <v>1805</v>
      </c>
      <c r="E3674" s="19" t="s">
        <v>1806</v>
      </c>
      <c r="F3674">
        <v>0</v>
      </c>
    </row>
    <row r="3675" spans="1:6" x14ac:dyDescent="0.25">
      <c r="C3675" s="19"/>
      <c r="D3675" s="19" t="s">
        <v>1807</v>
      </c>
      <c r="E3675" s="19" t="s">
        <v>1808</v>
      </c>
      <c r="F3675">
        <v>1</v>
      </c>
    </row>
    <row r="3676" spans="1:6" x14ac:dyDescent="0.25">
      <c r="A3676" s="3">
        <v>590</v>
      </c>
      <c r="B3676" s="15" t="s">
        <v>164</v>
      </c>
      <c r="C3676" s="19" t="s">
        <v>1772</v>
      </c>
      <c r="D3676" s="19" t="s">
        <v>1773</v>
      </c>
      <c r="E3676" s="19" t="s">
        <v>1774</v>
      </c>
      <c r="F3676">
        <v>1</v>
      </c>
    </row>
    <row r="3677" spans="1:6" x14ac:dyDescent="0.25">
      <c r="C3677" s="19"/>
      <c r="D3677" s="19" t="s">
        <v>1775</v>
      </c>
      <c r="E3677" s="19" t="s">
        <v>306</v>
      </c>
      <c r="F3677">
        <v>1</v>
      </c>
    </row>
    <row r="3678" spans="1:6" x14ac:dyDescent="0.25">
      <c r="C3678" s="19"/>
      <c r="D3678" s="19" t="s">
        <v>1776</v>
      </c>
      <c r="E3678" s="19" t="s">
        <v>273</v>
      </c>
      <c r="F3678">
        <v>2</v>
      </c>
    </row>
    <row r="3679" spans="1:6" x14ac:dyDescent="0.25">
      <c r="C3679" s="19"/>
      <c r="D3679" s="19" t="s">
        <v>1777</v>
      </c>
      <c r="E3679" s="19" t="s">
        <v>312</v>
      </c>
      <c r="F3679">
        <v>2</v>
      </c>
    </row>
    <row r="3680" spans="1:6" x14ac:dyDescent="0.25">
      <c r="C3680" s="19"/>
      <c r="D3680" s="19" t="s">
        <v>1778</v>
      </c>
      <c r="E3680" s="19" t="s">
        <v>880</v>
      </c>
      <c r="F3680">
        <v>2</v>
      </c>
    </row>
    <row r="3681" spans="1:6" x14ac:dyDescent="0.25">
      <c r="C3681" s="19"/>
      <c r="D3681" s="19" t="s">
        <v>1779</v>
      </c>
      <c r="E3681" s="19" t="s">
        <v>1780</v>
      </c>
      <c r="F3681">
        <v>1</v>
      </c>
    </row>
    <row r="3682" spans="1:6" x14ac:dyDescent="0.25">
      <c r="C3682" s="19"/>
      <c r="D3682" s="19" t="s">
        <v>1781</v>
      </c>
      <c r="E3682" s="19" t="s">
        <v>1782</v>
      </c>
      <c r="F3682">
        <v>1</v>
      </c>
    </row>
    <row r="3683" spans="1:6" x14ac:dyDescent="0.25">
      <c r="C3683" s="19"/>
      <c r="D3683" s="19" t="s">
        <v>1783</v>
      </c>
      <c r="E3683" s="19" t="s">
        <v>1784</v>
      </c>
      <c r="F3683">
        <v>1</v>
      </c>
    </row>
    <row r="3684" spans="1:6" x14ac:dyDescent="0.25">
      <c r="C3684" s="19"/>
      <c r="D3684" s="19" t="s">
        <v>1785</v>
      </c>
      <c r="E3684" s="19" t="s">
        <v>866</v>
      </c>
      <c r="F3684">
        <v>1</v>
      </c>
    </row>
    <row r="3685" spans="1:6" x14ac:dyDescent="0.25">
      <c r="C3685" s="19"/>
      <c r="D3685" s="19" t="s">
        <v>1786</v>
      </c>
      <c r="E3685" s="19" t="s">
        <v>1787</v>
      </c>
      <c r="F3685">
        <v>1</v>
      </c>
    </row>
    <row r="3686" spans="1:6" x14ac:dyDescent="0.25">
      <c r="C3686" s="19"/>
      <c r="D3686" s="19" t="s">
        <v>1788</v>
      </c>
      <c r="E3686" s="19" t="s">
        <v>295</v>
      </c>
      <c r="F3686">
        <v>1</v>
      </c>
    </row>
    <row r="3687" spans="1:6" x14ac:dyDescent="0.25">
      <c r="C3687" s="19"/>
      <c r="D3687" s="19" t="s">
        <v>1789</v>
      </c>
      <c r="E3687" s="19" t="s">
        <v>372</v>
      </c>
      <c r="F3687">
        <v>1</v>
      </c>
    </row>
    <row r="3688" spans="1:6" x14ac:dyDescent="0.25">
      <c r="A3688" s="3">
        <v>595</v>
      </c>
      <c r="B3688" s="15" t="s">
        <v>165</v>
      </c>
      <c r="C3688" s="19" t="s">
        <v>1772</v>
      </c>
      <c r="D3688" s="19" t="s">
        <v>1773</v>
      </c>
      <c r="E3688" s="19" t="s">
        <v>1774</v>
      </c>
      <c r="F3688">
        <v>1</v>
      </c>
    </row>
    <row r="3689" spans="1:6" x14ac:dyDescent="0.25">
      <c r="C3689" s="19"/>
      <c r="D3689" s="19" t="s">
        <v>1775</v>
      </c>
      <c r="E3689" s="19" t="s">
        <v>306</v>
      </c>
      <c r="F3689">
        <v>1</v>
      </c>
    </row>
    <row r="3690" spans="1:6" x14ac:dyDescent="0.25">
      <c r="C3690" s="19"/>
      <c r="D3690" s="19" t="s">
        <v>1776</v>
      </c>
      <c r="E3690" s="19" t="s">
        <v>273</v>
      </c>
      <c r="F3690">
        <v>1</v>
      </c>
    </row>
    <row r="3691" spans="1:6" x14ac:dyDescent="0.25">
      <c r="C3691" s="19"/>
      <c r="D3691" s="19" t="s">
        <v>1777</v>
      </c>
      <c r="E3691" s="19" t="s">
        <v>312</v>
      </c>
      <c r="F3691">
        <v>1</v>
      </c>
    </row>
    <row r="3692" spans="1:6" x14ac:dyDescent="0.25">
      <c r="C3692" s="19"/>
      <c r="D3692" s="19" t="s">
        <v>1778</v>
      </c>
      <c r="E3692" s="19" t="s">
        <v>880</v>
      </c>
      <c r="F3692">
        <v>1</v>
      </c>
    </row>
    <row r="3693" spans="1:6" x14ac:dyDescent="0.25">
      <c r="C3693" s="19"/>
      <c r="D3693" s="19" t="s">
        <v>1779</v>
      </c>
      <c r="E3693" s="19" t="s">
        <v>1780</v>
      </c>
      <c r="F3693">
        <v>1</v>
      </c>
    </row>
    <row r="3694" spans="1:6" x14ac:dyDescent="0.25">
      <c r="C3694" s="19"/>
      <c r="D3694" s="19" t="s">
        <v>1781</v>
      </c>
      <c r="E3694" s="19" t="s">
        <v>1782</v>
      </c>
      <c r="F3694">
        <v>1</v>
      </c>
    </row>
    <row r="3695" spans="1:6" x14ac:dyDescent="0.25">
      <c r="C3695" s="19"/>
      <c r="D3695" s="19" t="s">
        <v>1783</v>
      </c>
      <c r="E3695" s="19" t="s">
        <v>1784</v>
      </c>
      <c r="F3695">
        <v>1</v>
      </c>
    </row>
    <row r="3696" spans="1:6" x14ac:dyDescent="0.25">
      <c r="C3696" s="19"/>
      <c r="D3696" s="19" t="s">
        <v>1785</v>
      </c>
      <c r="E3696" s="19" t="s">
        <v>866</v>
      </c>
      <c r="F3696">
        <v>1</v>
      </c>
    </row>
    <row r="3697" spans="1:6" x14ac:dyDescent="0.25">
      <c r="C3697" s="19"/>
      <c r="D3697" s="19" t="s">
        <v>1786</v>
      </c>
      <c r="E3697" s="19" t="s">
        <v>1787</v>
      </c>
      <c r="F3697">
        <v>2</v>
      </c>
    </row>
    <row r="3698" spans="1:6" x14ac:dyDescent="0.25">
      <c r="C3698" s="19"/>
      <c r="D3698" s="19" t="s">
        <v>1788</v>
      </c>
      <c r="E3698" s="19" t="s">
        <v>295</v>
      </c>
      <c r="F3698">
        <v>1</v>
      </c>
    </row>
    <row r="3699" spans="1:6" x14ac:dyDescent="0.25">
      <c r="C3699" s="19"/>
      <c r="D3699" s="19" t="s">
        <v>1789</v>
      </c>
      <c r="E3699" s="19" t="s">
        <v>372</v>
      </c>
      <c r="F3699">
        <v>1</v>
      </c>
    </row>
    <row r="3700" spans="1:6" x14ac:dyDescent="0.25">
      <c r="A3700" s="3">
        <v>596</v>
      </c>
      <c r="B3700" s="16" t="s">
        <v>166</v>
      </c>
      <c r="C3700" s="19" t="s">
        <v>1536</v>
      </c>
      <c r="D3700" s="19" t="s">
        <v>1537</v>
      </c>
      <c r="E3700" s="19" t="s">
        <v>1494</v>
      </c>
      <c r="F3700">
        <v>1</v>
      </c>
    </row>
    <row r="3701" spans="1:6" x14ac:dyDescent="0.25">
      <c r="C3701" s="19"/>
      <c r="D3701" s="19" t="s">
        <v>1538</v>
      </c>
      <c r="E3701" s="19" t="s">
        <v>306</v>
      </c>
      <c r="F3701">
        <v>1</v>
      </c>
    </row>
    <row r="3702" spans="1:6" x14ac:dyDescent="0.25">
      <c r="C3702" s="19"/>
      <c r="D3702" s="19" t="s">
        <v>1539</v>
      </c>
      <c r="E3702" s="19" t="s">
        <v>1499</v>
      </c>
      <c r="F3702">
        <v>1</v>
      </c>
    </row>
    <row r="3703" spans="1:6" x14ac:dyDescent="0.25">
      <c r="C3703" s="19"/>
      <c r="D3703" s="19" t="s">
        <v>1540</v>
      </c>
      <c r="E3703" s="19" t="s">
        <v>1541</v>
      </c>
      <c r="F3703">
        <v>1</v>
      </c>
    </row>
    <row r="3704" spans="1:6" x14ac:dyDescent="0.25">
      <c r="C3704" s="19"/>
      <c r="D3704" s="19" t="s">
        <v>1542</v>
      </c>
      <c r="E3704" s="19" t="s">
        <v>1543</v>
      </c>
      <c r="F3704">
        <v>0</v>
      </c>
    </row>
    <row r="3705" spans="1:6" x14ac:dyDescent="0.25">
      <c r="C3705" s="19"/>
      <c r="D3705" s="19" t="s">
        <v>1544</v>
      </c>
      <c r="E3705" s="19" t="s">
        <v>671</v>
      </c>
      <c r="F3705">
        <v>1</v>
      </c>
    </row>
    <row r="3706" spans="1:6" x14ac:dyDescent="0.25">
      <c r="C3706" s="19"/>
      <c r="D3706" s="19" t="s">
        <v>1545</v>
      </c>
      <c r="E3706" s="19" t="s">
        <v>1546</v>
      </c>
      <c r="F3706">
        <v>1</v>
      </c>
    </row>
    <row r="3707" spans="1:6" x14ac:dyDescent="0.25">
      <c r="C3707" s="19"/>
      <c r="D3707" s="19" t="s">
        <v>1547</v>
      </c>
      <c r="E3707" s="19" t="s">
        <v>1548</v>
      </c>
      <c r="F3707">
        <v>0</v>
      </c>
    </row>
    <row r="3708" spans="1:6" x14ac:dyDescent="0.25">
      <c r="C3708" s="19"/>
      <c r="D3708" s="19" t="s">
        <v>1549</v>
      </c>
      <c r="E3708" s="19" t="s">
        <v>1550</v>
      </c>
      <c r="F3708">
        <v>1</v>
      </c>
    </row>
    <row r="3709" spans="1:6" x14ac:dyDescent="0.25">
      <c r="C3709" s="19"/>
      <c r="D3709" s="19" t="s">
        <v>1551</v>
      </c>
      <c r="E3709" s="19" t="s">
        <v>1552</v>
      </c>
      <c r="F3709">
        <v>1</v>
      </c>
    </row>
    <row r="3710" spans="1:6" x14ac:dyDescent="0.25">
      <c r="C3710" s="19"/>
      <c r="D3710" s="19" t="s">
        <v>1553</v>
      </c>
      <c r="E3710" s="19" t="s">
        <v>1554</v>
      </c>
      <c r="F3710">
        <v>1</v>
      </c>
    </row>
    <row r="3711" spans="1:6" x14ac:dyDescent="0.25">
      <c r="C3711" s="19"/>
      <c r="D3711" s="19" t="s">
        <v>1555</v>
      </c>
      <c r="E3711" s="19" t="s">
        <v>1556</v>
      </c>
      <c r="F3711">
        <v>1</v>
      </c>
    </row>
    <row r="3712" spans="1:6" x14ac:dyDescent="0.25">
      <c r="A3712" s="3">
        <v>597</v>
      </c>
      <c r="B3712" s="15" t="s">
        <v>167</v>
      </c>
      <c r="C3712" s="19" t="s">
        <v>1155</v>
      </c>
      <c r="D3712" s="19" t="s">
        <v>1156</v>
      </c>
      <c r="E3712" s="19" t="s">
        <v>273</v>
      </c>
      <c r="F3712">
        <v>1</v>
      </c>
    </row>
    <row r="3713" spans="1:6" x14ac:dyDescent="0.25">
      <c r="C3713" s="19"/>
      <c r="D3713" s="19" t="s">
        <v>1157</v>
      </c>
      <c r="E3713" s="19" t="s">
        <v>844</v>
      </c>
      <c r="F3713">
        <v>1</v>
      </c>
    </row>
    <row r="3714" spans="1:6" x14ac:dyDescent="0.25">
      <c r="C3714" s="19"/>
      <c r="D3714" s="19" t="s">
        <v>1158</v>
      </c>
      <c r="E3714" s="19" t="s">
        <v>1159</v>
      </c>
      <c r="F3714">
        <v>1</v>
      </c>
    </row>
    <row r="3715" spans="1:6" x14ac:dyDescent="0.25">
      <c r="C3715" s="19"/>
      <c r="D3715" s="19" t="s">
        <v>1160</v>
      </c>
      <c r="E3715" s="19" t="s">
        <v>1161</v>
      </c>
      <c r="F3715">
        <v>0</v>
      </c>
    </row>
    <row r="3716" spans="1:6" x14ac:dyDescent="0.25">
      <c r="C3716" s="19"/>
      <c r="D3716" s="19" t="s">
        <v>1162</v>
      </c>
      <c r="E3716" s="19" t="s">
        <v>1163</v>
      </c>
      <c r="F3716">
        <v>0</v>
      </c>
    </row>
    <row r="3717" spans="1:6" x14ac:dyDescent="0.25">
      <c r="C3717" s="19"/>
      <c r="D3717" s="19" t="s">
        <v>1164</v>
      </c>
      <c r="E3717" s="19" t="s">
        <v>1165</v>
      </c>
      <c r="F3717">
        <v>0</v>
      </c>
    </row>
    <row r="3718" spans="1:6" x14ac:dyDescent="0.25">
      <c r="C3718" s="19"/>
      <c r="D3718" s="19" t="s">
        <v>1166</v>
      </c>
      <c r="E3718" s="19" t="s">
        <v>295</v>
      </c>
      <c r="F3718">
        <v>1</v>
      </c>
    </row>
    <row r="3719" spans="1:6" x14ac:dyDescent="0.25">
      <c r="C3719" s="19"/>
      <c r="D3719" s="19" t="s">
        <v>1167</v>
      </c>
      <c r="E3719" s="19" t="s">
        <v>1168</v>
      </c>
      <c r="F3719">
        <v>1</v>
      </c>
    </row>
    <row r="3720" spans="1:6" x14ac:dyDescent="0.25">
      <c r="A3720" s="3">
        <v>599</v>
      </c>
      <c r="B3720" s="15" t="s">
        <v>168</v>
      </c>
      <c r="C3720" s="19" t="s">
        <v>1292</v>
      </c>
      <c r="D3720" s="19" t="s">
        <v>1293</v>
      </c>
      <c r="E3720" s="19" t="s">
        <v>304</v>
      </c>
      <c r="F3720">
        <v>1</v>
      </c>
    </row>
    <row r="3721" spans="1:6" x14ac:dyDescent="0.25">
      <c r="C3721" s="19"/>
      <c r="D3721" s="19" t="s">
        <v>1294</v>
      </c>
      <c r="E3721" s="19" t="s">
        <v>306</v>
      </c>
      <c r="F3721">
        <v>1</v>
      </c>
    </row>
    <row r="3722" spans="1:6" x14ac:dyDescent="0.25">
      <c r="C3722" s="19"/>
      <c r="D3722" s="19" t="s">
        <v>1295</v>
      </c>
      <c r="E3722" s="19" t="s">
        <v>1296</v>
      </c>
      <c r="F3722">
        <v>1</v>
      </c>
    </row>
    <row r="3723" spans="1:6" x14ac:dyDescent="0.25">
      <c r="C3723" s="19"/>
      <c r="D3723" s="19" t="s">
        <v>1297</v>
      </c>
      <c r="E3723" s="19" t="s">
        <v>729</v>
      </c>
      <c r="F3723">
        <v>1</v>
      </c>
    </row>
    <row r="3724" spans="1:6" x14ac:dyDescent="0.25">
      <c r="C3724" s="19"/>
      <c r="D3724" s="19" t="s">
        <v>1298</v>
      </c>
      <c r="E3724" s="19" t="s">
        <v>343</v>
      </c>
      <c r="F3724">
        <v>1</v>
      </c>
    </row>
    <row r="3725" spans="1:6" x14ac:dyDescent="0.25">
      <c r="C3725" s="19"/>
      <c r="D3725" s="19" t="s">
        <v>1299</v>
      </c>
      <c r="E3725" s="19" t="s">
        <v>1300</v>
      </c>
      <c r="F3725">
        <v>1</v>
      </c>
    </row>
    <row r="3726" spans="1:6" x14ac:dyDescent="0.25">
      <c r="C3726" s="19"/>
      <c r="D3726" s="19" t="s">
        <v>1301</v>
      </c>
      <c r="E3726" s="19" t="s">
        <v>734</v>
      </c>
      <c r="F3726">
        <v>1</v>
      </c>
    </row>
    <row r="3727" spans="1:6" x14ac:dyDescent="0.25">
      <c r="C3727" s="19"/>
      <c r="D3727" s="19" t="s">
        <v>1302</v>
      </c>
      <c r="E3727" s="19" t="s">
        <v>1303</v>
      </c>
      <c r="F3727">
        <v>1</v>
      </c>
    </row>
    <row r="3728" spans="1:6" x14ac:dyDescent="0.25">
      <c r="C3728" s="19"/>
      <c r="D3728" s="19" t="s">
        <v>1304</v>
      </c>
      <c r="E3728" s="19" t="s">
        <v>1305</v>
      </c>
      <c r="F3728">
        <v>1</v>
      </c>
    </row>
    <row r="3729" spans="1:6" x14ac:dyDescent="0.25">
      <c r="C3729" s="19"/>
      <c r="D3729" s="19" t="s">
        <v>1306</v>
      </c>
      <c r="E3729" s="19" t="s">
        <v>1307</v>
      </c>
      <c r="F3729">
        <v>1</v>
      </c>
    </row>
    <row r="3730" spans="1:6" x14ac:dyDescent="0.25">
      <c r="C3730" s="19"/>
      <c r="D3730" s="19" t="s">
        <v>1308</v>
      </c>
      <c r="E3730" s="19" t="s">
        <v>875</v>
      </c>
      <c r="F3730">
        <v>1</v>
      </c>
    </row>
    <row r="3731" spans="1:6" x14ac:dyDescent="0.25">
      <c r="C3731" s="19"/>
      <c r="D3731" s="19" t="s">
        <v>1309</v>
      </c>
      <c r="E3731" s="19" t="s">
        <v>759</v>
      </c>
      <c r="F3731">
        <v>1</v>
      </c>
    </row>
    <row r="3732" spans="1:6" x14ac:dyDescent="0.25">
      <c r="C3732" s="19"/>
      <c r="D3732" s="19" t="s">
        <v>1310</v>
      </c>
      <c r="E3732" s="19" t="s">
        <v>755</v>
      </c>
      <c r="F3732">
        <v>0</v>
      </c>
    </row>
    <row r="3733" spans="1:6" x14ac:dyDescent="0.25">
      <c r="C3733" s="19"/>
      <c r="D3733" s="19" t="s">
        <v>1311</v>
      </c>
      <c r="E3733" s="19" t="s">
        <v>757</v>
      </c>
      <c r="F3733">
        <v>1</v>
      </c>
    </row>
    <row r="3734" spans="1:6" x14ac:dyDescent="0.25">
      <c r="A3734" s="3">
        <v>600</v>
      </c>
      <c r="B3734" s="15" t="s">
        <v>169</v>
      </c>
      <c r="C3734" s="19" t="s">
        <v>1492</v>
      </c>
      <c r="D3734" s="19" t="s">
        <v>1493</v>
      </c>
      <c r="E3734" s="19" t="s">
        <v>1494</v>
      </c>
      <c r="F3734">
        <v>1</v>
      </c>
    </row>
    <row r="3735" spans="1:6" x14ac:dyDescent="0.25">
      <c r="C3735" s="19"/>
      <c r="D3735" s="19" t="s">
        <v>1495</v>
      </c>
      <c r="E3735" s="19" t="s">
        <v>1496</v>
      </c>
      <c r="F3735">
        <v>1</v>
      </c>
    </row>
    <row r="3736" spans="1:6" x14ac:dyDescent="0.25">
      <c r="C3736" s="19"/>
      <c r="D3736" s="19" t="s">
        <v>1497</v>
      </c>
      <c r="E3736" s="19" t="s">
        <v>306</v>
      </c>
      <c r="F3736">
        <v>1</v>
      </c>
    </row>
    <row r="3737" spans="1:6" x14ac:dyDescent="0.25">
      <c r="C3737" s="19"/>
      <c r="D3737" s="19" t="s">
        <v>1498</v>
      </c>
      <c r="E3737" s="19" t="s">
        <v>1499</v>
      </c>
      <c r="F3737">
        <v>1</v>
      </c>
    </row>
    <row r="3738" spans="1:6" x14ac:dyDescent="0.25">
      <c r="C3738" s="19"/>
      <c r="D3738" s="19" t="s">
        <v>1500</v>
      </c>
      <c r="E3738" s="19" t="s">
        <v>1397</v>
      </c>
      <c r="F3738">
        <v>1</v>
      </c>
    </row>
    <row r="3739" spans="1:6" x14ac:dyDescent="0.25">
      <c r="C3739" s="19"/>
      <c r="D3739" s="19" t="s">
        <v>1501</v>
      </c>
      <c r="E3739" s="19" t="s">
        <v>1502</v>
      </c>
      <c r="F3739">
        <v>1</v>
      </c>
    </row>
    <row r="3740" spans="1:6" x14ac:dyDescent="0.25">
      <c r="C3740" s="19"/>
      <c r="D3740" s="19" t="s">
        <v>1503</v>
      </c>
      <c r="E3740" s="19" t="s">
        <v>1504</v>
      </c>
      <c r="F3740">
        <v>1</v>
      </c>
    </row>
    <row r="3741" spans="1:6" x14ac:dyDescent="0.25">
      <c r="C3741" s="19"/>
      <c r="D3741" s="19" t="s">
        <v>1505</v>
      </c>
      <c r="E3741" s="19" t="s">
        <v>1506</v>
      </c>
      <c r="F3741">
        <v>0</v>
      </c>
    </row>
    <row r="3742" spans="1:6" x14ac:dyDescent="0.25">
      <c r="C3742" s="19"/>
      <c r="D3742" s="19" t="s">
        <v>1507</v>
      </c>
      <c r="E3742" s="19" t="s">
        <v>611</v>
      </c>
      <c r="F3742">
        <v>1</v>
      </c>
    </row>
    <row r="3743" spans="1:6" x14ac:dyDescent="0.25">
      <c r="C3743" s="19"/>
      <c r="D3743" s="19" t="s">
        <v>1508</v>
      </c>
      <c r="E3743" s="19" t="s">
        <v>1509</v>
      </c>
      <c r="F3743">
        <v>1</v>
      </c>
    </row>
    <row r="3744" spans="1:6" x14ac:dyDescent="0.25">
      <c r="C3744" s="19"/>
      <c r="D3744" s="19" t="s">
        <v>1510</v>
      </c>
      <c r="E3744" s="19" t="s">
        <v>613</v>
      </c>
      <c r="F3744">
        <v>1</v>
      </c>
    </row>
    <row r="3745" spans="3:6" x14ac:dyDescent="0.25">
      <c r="C3745" s="19"/>
      <c r="D3745" s="19" t="s">
        <v>1511</v>
      </c>
      <c r="E3745" s="19" t="s">
        <v>1419</v>
      </c>
      <c r="F3745">
        <v>1</v>
      </c>
    </row>
    <row r="3746" spans="3:6" x14ac:dyDescent="0.25">
      <c r="C3746" s="19"/>
      <c r="D3746" s="19" t="s">
        <v>1512</v>
      </c>
      <c r="E3746" s="19" t="s">
        <v>621</v>
      </c>
      <c r="F3746">
        <v>0</v>
      </c>
    </row>
    <row r="3747" spans="3:6" x14ac:dyDescent="0.25">
      <c r="C3747" s="19"/>
      <c r="D3747" s="19" t="s">
        <v>1513</v>
      </c>
      <c r="E3747" s="19" t="s">
        <v>1422</v>
      </c>
      <c r="F3747">
        <v>1</v>
      </c>
    </row>
    <row r="3748" spans="3:6" x14ac:dyDescent="0.25">
      <c r="C3748" s="19"/>
      <c r="D3748" s="19" t="s">
        <v>1514</v>
      </c>
      <c r="E3748" s="19" t="s">
        <v>614</v>
      </c>
      <c r="F3748">
        <v>1</v>
      </c>
    </row>
    <row r="3749" spans="3:6" x14ac:dyDescent="0.25">
      <c r="C3749" s="19"/>
      <c r="D3749" s="19" t="s">
        <v>1515</v>
      </c>
      <c r="E3749" s="19" t="s">
        <v>615</v>
      </c>
      <c r="F3749">
        <v>1</v>
      </c>
    </row>
    <row r="3750" spans="3:6" x14ac:dyDescent="0.25">
      <c r="C3750" s="19"/>
      <c r="D3750" s="19" t="s">
        <v>1516</v>
      </c>
      <c r="E3750" s="19" t="s">
        <v>1517</v>
      </c>
      <c r="F3750">
        <v>1</v>
      </c>
    </row>
    <row r="3751" spans="3:6" x14ac:dyDescent="0.25">
      <c r="C3751" s="19"/>
      <c r="D3751" s="19" t="s">
        <v>1518</v>
      </c>
      <c r="E3751" s="19" t="s">
        <v>1519</v>
      </c>
      <c r="F3751">
        <v>1</v>
      </c>
    </row>
    <row r="3752" spans="3:6" x14ac:dyDescent="0.25">
      <c r="C3752" s="19"/>
      <c r="D3752" s="19" t="s">
        <v>1520</v>
      </c>
      <c r="E3752" s="19" t="s">
        <v>1521</v>
      </c>
      <c r="F3752">
        <v>1</v>
      </c>
    </row>
    <row r="3753" spans="3:6" x14ac:dyDescent="0.25">
      <c r="C3753" s="19"/>
      <c r="D3753" s="19" t="s">
        <v>1522</v>
      </c>
      <c r="E3753" s="19" t="s">
        <v>1523</v>
      </c>
      <c r="F3753">
        <v>0</v>
      </c>
    </row>
    <row r="3754" spans="3:6" x14ac:dyDescent="0.25">
      <c r="C3754" s="19"/>
      <c r="D3754" s="19" t="s">
        <v>1524</v>
      </c>
      <c r="E3754" s="19" t="s">
        <v>1525</v>
      </c>
      <c r="F3754">
        <v>0</v>
      </c>
    </row>
    <row r="3755" spans="3:6" x14ac:dyDescent="0.25">
      <c r="C3755" s="19"/>
      <c r="D3755" s="19" t="s">
        <v>1526</v>
      </c>
      <c r="E3755" s="19" t="s">
        <v>1527</v>
      </c>
      <c r="F3755">
        <v>1</v>
      </c>
    </row>
    <row r="3756" spans="3:6" x14ac:dyDescent="0.25">
      <c r="C3756" s="19"/>
      <c r="D3756" s="19" t="s">
        <v>1528</v>
      </c>
      <c r="E3756" s="19" t="s">
        <v>1529</v>
      </c>
      <c r="F3756">
        <v>1</v>
      </c>
    </row>
    <row r="3757" spans="3:6" x14ac:dyDescent="0.25">
      <c r="C3757" s="19"/>
      <c r="D3757" s="19" t="s">
        <v>1530</v>
      </c>
      <c r="E3757" s="19" t="s">
        <v>1430</v>
      </c>
      <c r="F3757">
        <v>1</v>
      </c>
    </row>
    <row r="3758" spans="3:6" x14ac:dyDescent="0.25">
      <c r="C3758" s="19"/>
      <c r="D3758" s="19" t="s">
        <v>1531</v>
      </c>
      <c r="E3758" s="19" t="s">
        <v>503</v>
      </c>
      <c r="F3758">
        <v>1</v>
      </c>
    </row>
    <row r="3759" spans="3:6" x14ac:dyDescent="0.25">
      <c r="C3759" s="19"/>
      <c r="D3759" s="19" t="s">
        <v>1532</v>
      </c>
      <c r="E3759" s="19" t="s">
        <v>1533</v>
      </c>
      <c r="F3759">
        <v>1</v>
      </c>
    </row>
    <row r="3760" spans="3:6" x14ac:dyDescent="0.25">
      <c r="C3760" s="19"/>
      <c r="D3760" s="19" t="s">
        <v>1534</v>
      </c>
      <c r="E3760" s="19" t="s">
        <v>1535</v>
      </c>
      <c r="F3760">
        <v>1</v>
      </c>
    </row>
    <row r="3761" spans="1:6" x14ac:dyDescent="0.25">
      <c r="A3761" s="3">
        <v>601</v>
      </c>
      <c r="B3761" s="15" t="s">
        <v>170</v>
      </c>
      <c r="C3761" s="19" t="s">
        <v>1077</v>
      </c>
      <c r="D3761" s="19" t="s">
        <v>1078</v>
      </c>
      <c r="E3761" s="19" t="s">
        <v>1079</v>
      </c>
      <c r="F3761">
        <v>1</v>
      </c>
    </row>
    <row r="3762" spans="1:6" x14ac:dyDescent="0.25">
      <c r="C3762" s="19"/>
      <c r="D3762" s="19" t="s">
        <v>1080</v>
      </c>
      <c r="E3762" s="19" t="s">
        <v>1081</v>
      </c>
      <c r="F3762">
        <v>1</v>
      </c>
    </row>
    <row r="3763" spans="1:6" x14ac:dyDescent="0.25">
      <c r="C3763" s="19"/>
      <c r="D3763" s="19" t="s">
        <v>1082</v>
      </c>
      <c r="E3763" s="19" t="s">
        <v>289</v>
      </c>
      <c r="F3763">
        <v>1</v>
      </c>
    </row>
    <row r="3764" spans="1:6" x14ac:dyDescent="0.25">
      <c r="C3764" s="19"/>
      <c r="D3764" s="19" t="s">
        <v>1083</v>
      </c>
      <c r="E3764" s="19" t="s">
        <v>1084</v>
      </c>
      <c r="F3764">
        <v>1</v>
      </c>
    </row>
    <row r="3765" spans="1:6" x14ac:dyDescent="0.25">
      <c r="C3765" s="19"/>
      <c r="D3765" s="19" t="s">
        <v>1085</v>
      </c>
      <c r="E3765" s="19" t="s">
        <v>1086</v>
      </c>
      <c r="F3765">
        <v>0</v>
      </c>
    </row>
    <row r="3766" spans="1:6" x14ac:dyDescent="0.25">
      <c r="C3766" s="19"/>
      <c r="D3766" s="19" t="s">
        <v>1087</v>
      </c>
      <c r="E3766" s="19" t="s">
        <v>1088</v>
      </c>
      <c r="F3766">
        <v>0</v>
      </c>
    </row>
    <row r="3767" spans="1:6" x14ac:dyDescent="0.25">
      <c r="C3767" s="19"/>
      <c r="D3767" s="19" t="s">
        <v>1089</v>
      </c>
      <c r="E3767" s="19" t="s">
        <v>535</v>
      </c>
      <c r="F3767">
        <v>0</v>
      </c>
    </row>
    <row r="3768" spans="1:6" x14ac:dyDescent="0.25">
      <c r="C3768" s="19"/>
      <c r="D3768" s="19" t="s">
        <v>1090</v>
      </c>
      <c r="E3768" s="19" t="s">
        <v>381</v>
      </c>
      <c r="F3768">
        <v>0</v>
      </c>
    </row>
    <row r="3769" spans="1:6" x14ac:dyDescent="0.25">
      <c r="C3769" s="19"/>
      <c r="D3769" s="19" t="s">
        <v>1091</v>
      </c>
      <c r="E3769" s="19" t="s">
        <v>1092</v>
      </c>
      <c r="F3769">
        <v>0</v>
      </c>
    </row>
    <row r="3770" spans="1:6" x14ac:dyDescent="0.25">
      <c r="C3770" s="19"/>
      <c r="D3770" s="19" t="s">
        <v>1093</v>
      </c>
      <c r="E3770" s="19" t="s">
        <v>1094</v>
      </c>
      <c r="F3770">
        <v>1</v>
      </c>
    </row>
    <row r="3771" spans="1:6" x14ac:dyDescent="0.25">
      <c r="C3771" s="19"/>
      <c r="D3771" s="19" t="s">
        <v>1095</v>
      </c>
      <c r="E3771" s="19" t="s">
        <v>1096</v>
      </c>
      <c r="F3771">
        <v>1</v>
      </c>
    </row>
    <row r="3772" spans="1:6" x14ac:dyDescent="0.25">
      <c r="C3772" s="19" t="s">
        <v>1366</v>
      </c>
      <c r="D3772" s="19" t="s">
        <v>1367</v>
      </c>
      <c r="E3772" s="19" t="s">
        <v>1368</v>
      </c>
      <c r="F3772">
        <v>0</v>
      </c>
    </row>
    <row r="3773" spans="1:6" x14ac:dyDescent="0.25">
      <c r="C3773" s="19"/>
      <c r="D3773" s="19" t="s">
        <v>1369</v>
      </c>
      <c r="E3773" s="19" t="s">
        <v>1370</v>
      </c>
      <c r="F3773">
        <v>1</v>
      </c>
    </row>
    <row r="3774" spans="1:6" x14ac:dyDescent="0.25">
      <c r="C3774" s="19"/>
      <c r="D3774" s="19" t="s">
        <v>1371</v>
      </c>
      <c r="E3774" s="19" t="s">
        <v>283</v>
      </c>
      <c r="F3774">
        <v>1</v>
      </c>
    </row>
    <row r="3775" spans="1:6" x14ac:dyDescent="0.25">
      <c r="C3775" s="19"/>
      <c r="D3775" s="19" t="s">
        <v>1372</v>
      </c>
      <c r="E3775" s="19" t="s">
        <v>1373</v>
      </c>
      <c r="F3775">
        <v>0</v>
      </c>
    </row>
    <row r="3776" spans="1:6" x14ac:dyDescent="0.25">
      <c r="C3776" s="19"/>
      <c r="D3776" s="19" t="s">
        <v>1374</v>
      </c>
      <c r="E3776" s="19" t="s">
        <v>1375</v>
      </c>
      <c r="F3776">
        <v>1</v>
      </c>
    </row>
    <row r="3777" spans="1:6" x14ac:dyDescent="0.25">
      <c r="C3777" s="19"/>
      <c r="D3777" s="19" t="s">
        <v>1376</v>
      </c>
      <c r="E3777" s="19" t="s">
        <v>531</v>
      </c>
      <c r="F3777">
        <v>1</v>
      </c>
    </row>
    <row r="3778" spans="1:6" x14ac:dyDescent="0.25">
      <c r="C3778" s="19"/>
      <c r="D3778" s="19" t="s">
        <v>1377</v>
      </c>
      <c r="E3778" s="19" t="s">
        <v>539</v>
      </c>
      <c r="F3778">
        <v>1</v>
      </c>
    </row>
    <row r="3779" spans="1:6" x14ac:dyDescent="0.25">
      <c r="C3779" s="19"/>
      <c r="D3779" s="19" t="s">
        <v>1378</v>
      </c>
      <c r="E3779" s="19" t="s">
        <v>541</v>
      </c>
      <c r="F3779">
        <v>1</v>
      </c>
    </row>
    <row r="3780" spans="1:6" x14ac:dyDescent="0.25">
      <c r="C3780" s="19"/>
      <c r="D3780" s="19" t="s">
        <v>1379</v>
      </c>
      <c r="E3780" s="19" t="s">
        <v>1380</v>
      </c>
      <c r="F3780">
        <v>0</v>
      </c>
    </row>
    <row r="3781" spans="1:6" x14ac:dyDescent="0.25">
      <c r="C3781" s="19"/>
      <c r="D3781" s="19" t="s">
        <v>1381</v>
      </c>
      <c r="E3781" s="19" t="s">
        <v>1382</v>
      </c>
      <c r="F3781">
        <v>0</v>
      </c>
    </row>
    <row r="3782" spans="1:6" x14ac:dyDescent="0.25">
      <c r="C3782" s="19"/>
      <c r="D3782" s="19" t="s">
        <v>1383</v>
      </c>
      <c r="E3782" s="19" t="s">
        <v>1384</v>
      </c>
      <c r="F3782">
        <v>1</v>
      </c>
    </row>
    <row r="3783" spans="1:6" x14ac:dyDescent="0.25">
      <c r="C3783" s="19"/>
      <c r="D3783" s="19" t="s">
        <v>1385</v>
      </c>
      <c r="E3783" s="19" t="s">
        <v>1386</v>
      </c>
      <c r="F3783">
        <v>1</v>
      </c>
    </row>
    <row r="3784" spans="1:6" x14ac:dyDescent="0.25">
      <c r="C3784" s="19"/>
      <c r="D3784" s="19" t="s">
        <v>1387</v>
      </c>
      <c r="E3784" s="19" t="s">
        <v>295</v>
      </c>
      <c r="F3784">
        <v>1</v>
      </c>
    </row>
    <row r="3785" spans="1:6" x14ac:dyDescent="0.25">
      <c r="C3785" s="19"/>
      <c r="D3785" s="19" t="s">
        <v>1388</v>
      </c>
      <c r="E3785" s="19" t="s">
        <v>875</v>
      </c>
      <c r="F3785">
        <v>1</v>
      </c>
    </row>
    <row r="3786" spans="1:6" x14ac:dyDescent="0.25">
      <c r="C3786" s="19"/>
      <c r="D3786" s="19" t="s">
        <v>1389</v>
      </c>
      <c r="E3786" s="19" t="s">
        <v>551</v>
      </c>
      <c r="F3786">
        <v>1</v>
      </c>
    </row>
    <row r="3787" spans="1:6" x14ac:dyDescent="0.25">
      <c r="A3787" s="3">
        <v>603</v>
      </c>
      <c r="B3787" s="15" t="s">
        <v>171</v>
      </c>
      <c r="C3787" s="19" t="s">
        <v>659</v>
      </c>
      <c r="D3787" s="19" t="s">
        <v>660</v>
      </c>
      <c r="E3787" s="19" t="s">
        <v>583</v>
      </c>
      <c r="F3787">
        <v>1</v>
      </c>
    </row>
    <row r="3788" spans="1:6" x14ac:dyDescent="0.25">
      <c r="C3788" s="19"/>
      <c r="D3788" s="19" t="s">
        <v>661</v>
      </c>
      <c r="E3788" s="19" t="s">
        <v>306</v>
      </c>
      <c r="F3788">
        <v>1</v>
      </c>
    </row>
    <row r="3789" spans="1:6" x14ac:dyDescent="0.25">
      <c r="C3789" s="19"/>
      <c r="D3789" s="19" t="s">
        <v>662</v>
      </c>
      <c r="E3789" s="19" t="s">
        <v>663</v>
      </c>
      <c r="F3789">
        <v>1</v>
      </c>
    </row>
    <row r="3790" spans="1:6" x14ac:dyDescent="0.25">
      <c r="C3790" s="19"/>
      <c r="D3790" s="19" t="s">
        <v>664</v>
      </c>
      <c r="E3790" s="19" t="s">
        <v>665</v>
      </c>
      <c r="F3790">
        <v>1</v>
      </c>
    </row>
    <row r="3791" spans="1:6" x14ac:dyDescent="0.25">
      <c r="C3791" s="19"/>
      <c r="D3791" s="19" t="s">
        <v>666</v>
      </c>
      <c r="E3791" s="19" t="s">
        <v>633</v>
      </c>
      <c r="F3791">
        <v>1</v>
      </c>
    </row>
    <row r="3792" spans="1:6" x14ac:dyDescent="0.25">
      <c r="C3792" s="19"/>
      <c r="D3792" s="19" t="s">
        <v>667</v>
      </c>
      <c r="E3792" s="19" t="s">
        <v>668</v>
      </c>
      <c r="F3792">
        <v>1</v>
      </c>
    </row>
    <row r="3793" spans="1:6" x14ac:dyDescent="0.25">
      <c r="C3793" s="19"/>
      <c r="D3793" s="19" t="s">
        <v>669</v>
      </c>
      <c r="E3793" s="19" t="s">
        <v>611</v>
      </c>
      <c r="F3793">
        <v>1</v>
      </c>
    </row>
    <row r="3794" spans="1:6" x14ac:dyDescent="0.25">
      <c r="C3794" s="19"/>
      <c r="D3794" s="19" t="s">
        <v>670</v>
      </c>
      <c r="E3794" s="19" t="s">
        <v>671</v>
      </c>
      <c r="F3794">
        <v>1</v>
      </c>
    </row>
    <row r="3795" spans="1:6" x14ac:dyDescent="0.25">
      <c r="C3795" s="19"/>
      <c r="D3795" s="19" t="s">
        <v>672</v>
      </c>
      <c r="E3795" s="19" t="s">
        <v>673</v>
      </c>
      <c r="F3795">
        <v>1</v>
      </c>
    </row>
    <row r="3796" spans="1:6" x14ac:dyDescent="0.25">
      <c r="C3796" s="19"/>
      <c r="D3796" s="19" t="s">
        <v>674</v>
      </c>
      <c r="E3796" s="19" t="s">
        <v>675</v>
      </c>
      <c r="F3796">
        <v>1</v>
      </c>
    </row>
    <row r="3797" spans="1:6" x14ac:dyDescent="0.25">
      <c r="C3797" s="19"/>
      <c r="D3797" s="19" t="s">
        <v>676</v>
      </c>
      <c r="E3797" s="19" t="s">
        <v>677</v>
      </c>
      <c r="F3797">
        <v>1</v>
      </c>
    </row>
    <row r="3798" spans="1:6" x14ac:dyDescent="0.25">
      <c r="C3798" s="19"/>
      <c r="D3798" s="19" t="s">
        <v>678</v>
      </c>
      <c r="E3798" s="19" t="s">
        <v>679</v>
      </c>
      <c r="F3798">
        <v>1</v>
      </c>
    </row>
    <row r="3799" spans="1:6" x14ac:dyDescent="0.25">
      <c r="C3799" s="19"/>
      <c r="D3799" s="19" t="s">
        <v>680</v>
      </c>
      <c r="E3799" s="19" t="s">
        <v>681</v>
      </c>
      <c r="F3799">
        <v>1</v>
      </c>
    </row>
    <row r="3800" spans="1:6" x14ac:dyDescent="0.25">
      <c r="A3800" s="3">
        <v>606</v>
      </c>
      <c r="B3800" s="15" t="s">
        <v>172</v>
      </c>
      <c r="C3800" s="19" t="s">
        <v>1685</v>
      </c>
      <c r="D3800" s="19" t="s">
        <v>1686</v>
      </c>
      <c r="E3800" s="19" t="s">
        <v>1687</v>
      </c>
      <c r="F3800">
        <v>1</v>
      </c>
    </row>
    <row r="3801" spans="1:6" x14ac:dyDescent="0.25">
      <c r="C3801" s="19"/>
      <c r="D3801" s="19" t="s">
        <v>1688</v>
      </c>
      <c r="E3801" s="19" t="s">
        <v>1689</v>
      </c>
      <c r="F3801">
        <v>1</v>
      </c>
    </row>
    <row r="3802" spans="1:6" x14ac:dyDescent="0.25">
      <c r="C3802" s="19"/>
      <c r="D3802" s="19" t="s">
        <v>1690</v>
      </c>
      <c r="E3802" s="19" t="s">
        <v>1691</v>
      </c>
      <c r="F3802">
        <v>1</v>
      </c>
    </row>
    <row r="3803" spans="1:6" x14ac:dyDescent="0.25">
      <c r="C3803" s="19"/>
      <c r="D3803" s="19" t="s">
        <v>1692</v>
      </c>
      <c r="E3803" s="19" t="s">
        <v>1693</v>
      </c>
      <c r="F3803">
        <v>1</v>
      </c>
    </row>
    <row r="3804" spans="1:6" x14ac:dyDescent="0.25">
      <c r="C3804" s="19"/>
      <c r="D3804" s="19" t="s">
        <v>1694</v>
      </c>
      <c r="E3804" s="19" t="s">
        <v>1695</v>
      </c>
      <c r="F3804">
        <v>1</v>
      </c>
    </row>
    <row r="3805" spans="1:6" x14ac:dyDescent="0.25">
      <c r="C3805" s="19"/>
      <c r="D3805" s="19" t="s">
        <v>1696</v>
      </c>
      <c r="E3805" s="19" t="s">
        <v>1697</v>
      </c>
      <c r="F3805">
        <v>1</v>
      </c>
    </row>
    <row r="3806" spans="1:6" x14ac:dyDescent="0.25">
      <c r="C3806" s="19"/>
      <c r="D3806" s="19" t="s">
        <v>1698</v>
      </c>
      <c r="E3806" s="19" t="s">
        <v>1699</v>
      </c>
      <c r="F3806">
        <v>1</v>
      </c>
    </row>
    <row r="3807" spans="1:6" x14ac:dyDescent="0.25">
      <c r="C3807" s="19"/>
      <c r="D3807" s="19" t="s">
        <v>1700</v>
      </c>
      <c r="E3807" s="19" t="s">
        <v>1701</v>
      </c>
      <c r="F3807">
        <v>1</v>
      </c>
    </row>
    <row r="3808" spans="1:6" x14ac:dyDescent="0.25">
      <c r="C3808" s="19"/>
      <c r="D3808" s="19" t="s">
        <v>1702</v>
      </c>
      <c r="E3808" s="19" t="s">
        <v>314</v>
      </c>
      <c r="F3808">
        <v>1</v>
      </c>
    </row>
    <row r="3809" spans="1:6" x14ac:dyDescent="0.25">
      <c r="C3809" s="19"/>
      <c r="D3809" s="19" t="s">
        <v>1703</v>
      </c>
      <c r="E3809" s="19" t="s">
        <v>1704</v>
      </c>
      <c r="F3809">
        <v>1</v>
      </c>
    </row>
    <row r="3810" spans="1:6" x14ac:dyDescent="0.25">
      <c r="C3810" s="19"/>
      <c r="D3810" s="19" t="s">
        <v>1705</v>
      </c>
      <c r="E3810" s="19" t="s">
        <v>1706</v>
      </c>
      <c r="F3810">
        <v>1</v>
      </c>
    </row>
    <row r="3811" spans="1:6" x14ac:dyDescent="0.25">
      <c r="C3811" s="19"/>
      <c r="D3811" s="19" t="s">
        <v>1707</v>
      </c>
      <c r="E3811" s="19" t="s">
        <v>1708</v>
      </c>
      <c r="F3811">
        <v>1</v>
      </c>
    </row>
    <row r="3812" spans="1:6" x14ac:dyDescent="0.25">
      <c r="C3812" s="19"/>
      <c r="D3812" s="19" t="s">
        <v>1709</v>
      </c>
      <c r="E3812" s="19" t="s">
        <v>1710</v>
      </c>
      <c r="F3812">
        <v>1</v>
      </c>
    </row>
    <row r="3813" spans="1:6" x14ac:dyDescent="0.25">
      <c r="C3813" s="19"/>
      <c r="D3813" s="19" t="s">
        <v>1711</v>
      </c>
      <c r="E3813" s="19" t="s">
        <v>1124</v>
      </c>
      <c r="F3813">
        <v>1</v>
      </c>
    </row>
    <row r="3814" spans="1:6" x14ac:dyDescent="0.25">
      <c r="A3814" s="3">
        <v>607</v>
      </c>
      <c r="B3814" s="16" t="s">
        <v>173</v>
      </c>
      <c r="C3814" s="19" t="s">
        <v>1492</v>
      </c>
      <c r="D3814" s="19" t="s">
        <v>1493</v>
      </c>
      <c r="E3814" s="19" t="s">
        <v>1494</v>
      </c>
      <c r="F3814">
        <v>1</v>
      </c>
    </row>
    <row r="3815" spans="1:6" x14ac:dyDescent="0.25">
      <c r="C3815" s="19"/>
      <c r="D3815" s="19" t="s">
        <v>1495</v>
      </c>
      <c r="E3815" s="19" t="s">
        <v>1496</v>
      </c>
      <c r="F3815">
        <v>1</v>
      </c>
    </row>
    <row r="3816" spans="1:6" x14ac:dyDescent="0.25">
      <c r="C3816" s="19"/>
      <c r="D3816" s="19" t="s">
        <v>1497</v>
      </c>
      <c r="E3816" s="19" t="s">
        <v>306</v>
      </c>
      <c r="F3816">
        <v>0</v>
      </c>
    </row>
    <row r="3817" spans="1:6" x14ac:dyDescent="0.25">
      <c r="C3817" s="19"/>
      <c r="D3817" s="19" t="s">
        <v>1498</v>
      </c>
      <c r="E3817" s="19" t="s">
        <v>1499</v>
      </c>
      <c r="F3817">
        <v>0</v>
      </c>
    </row>
    <row r="3818" spans="1:6" x14ac:dyDescent="0.25">
      <c r="C3818" s="19"/>
      <c r="D3818" s="19" t="s">
        <v>1500</v>
      </c>
      <c r="E3818" s="19" t="s">
        <v>1397</v>
      </c>
      <c r="F3818">
        <v>0</v>
      </c>
    </row>
    <row r="3819" spans="1:6" x14ac:dyDescent="0.25">
      <c r="C3819" s="19"/>
      <c r="D3819" s="19" t="s">
        <v>1501</v>
      </c>
      <c r="E3819" s="19" t="s">
        <v>1502</v>
      </c>
      <c r="F3819">
        <v>0</v>
      </c>
    </row>
    <row r="3820" spans="1:6" x14ac:dyDescent="0.25">
      <c r="C3820" s="19"/>
      <c r="D3820" s="19" t="s">
        <v>1503</v>
      </c>
      <c r="E3820" s="19" t="s">
        <v>1504</v>
      </c>
      <c r="F3820">
        <v>0</v>
      </c>
    </row>
    <row r="3821" spans="1:6" x14ac:dyDescent="0.25">
      <c r="C3821" s="19"/>
      <c r="D3821" s="19" t="s">
        <v>1505</v>
      </c>
      <c r="E3821" s="19" t="s">
        <v>1506</v>
      </c>
      <c r="F3821">
        <v>0</v>
      </c>
    </row>
    <row r="3822" spans="1:6" x14ac:dyDescent="0.25">
      <c r="C3822" s="19"/>
      <c r="D3822" s="19" t="s">
        <v>1507</v>
      </c>
      <c r="E3822" s="19" t="s">
        <v>611</v>
      </c>
      <c r="F3822">
        <v>0</v>
      </c>
    </row>
    <row r="3823" spans="1:6" x14ac:dyDescent="0.25">
      <c r="C3823" s="19"/>
      <c r="D3823" s="19" t="s">
        <v>1508</v>
      </c>
      <c r="E3823" s="19" t="s">
        <v>1509</v>
      </c>
      <c r="F3823">
        <v>0</v>
      </c>
    </row>
    <row r="3824" spans="1:6" x14ac:dyDescent="0.25">
      <c r="C3824" s="19"/>
      <c r="D3824" s="19" t="s">
        <v>1510</v>
      </c>
      <c r="E3824" s="19" t="s">
        <v>613</v>
      </c>
      <c r="F3824">
        <v>0</v>
      </c>
    </row>
    <row r="3825" spans="3:6" x14ac:dyDescent="0.25">
      <c r="C3825" s="19"/>
      <c r="D3825" s="19" t="s">
        <v>1511</v>
      </c>
      <c r="E3825" s="19" t="s">
        <v>1419</v>
      </c>
      <c r="F3825">
        <v>0</v>
      </c>
    </row>
    <row r="3826" spans="3:6" x14ac:dyDescent="0.25">
      <c r="C3826" s="19"/>
      <c r="D3826" s="19" t="s">
        <v>1512</v>
      </c>
      <c r="E3826" s="19" t="s">
        <v>621</v>
      </c>
      <c r="F3826">
        <v>0</v>
      </c>
    </row>
    <row r="3827" spans="3:6" x14ac:dyDescent="0.25">
      <c r="C3827" s="19"/>
      <c r="D3827" s="19" t="s">
        <v>1513</v>
      </c>
      <c r="E3827" s="19" t="s">
        <v>1422</v>
      </c>
      <c r="F3827">
        <v>0</v>
      </c>
    </row>
    <row r="3828" spans="3:6" x14ac:dyDescent="0.25">
      <c r="C3828" s="19"/>
      <c r="D3828" s="19" t="s">
        <v>1514</v>
      </c>
      <c r="E3828" s="19" t="s">
        <v>614</v>
      </c>
      <c r="F3828">
        <v>1</v>
      </c>
    </row>
    <row r="3829" spans="3:6" x14ac:dyDescent="0.25">
      <c r="C3829" s="19"/>
      <c r="D3829" s="19" t="s">
        <v>1515</v>
      </c>
      <c r="E3829" s="19" t="s">
        <v>615</v>
      </c>
      <c r="F3829">
        <v>1</v>
      </c>
    </row>
    <row r="3830" spans="3:6" x14ac:dyDescent="0.25">
      <c r="C3830" s="19"/>
      <c r="D3830" s="19" t="s">
        <v>1516</v>
      </c>
      <c r="E3830" s="19" t="s">
        <v>1517</v>
      </c>
      <c r="F3830">
        <v>1</v>
      </c>
    </row>
    <row r="3831" spans="3:6" x14ac:dyDescent="0.25">
      <c r="C3831" s="19"/>
      <c r="D3831" s="19" t="s">
        <v>1518</v>
      </c>
      <c r="E3831" s="19" t="s">
        <v>1519</v>
      </c>
      <c r="F3831">
        <v>1</v>
      </c>
    </row>
    <row r="3832" spans="3:6" x14ac:dyDescent="0.25">
      <c r="C3832" s="19"/>
      <c r="D3832" s="19" t="s">
        <v>1520</v>
      </c>
      <c r="E3832" s="19" t="s">
        <v>1521</v>
      </c>
      <c r="F3832">
        <v>0</v>
      </c>
    </row>
    <row r="3833" spans="3:6" x14ac:dyDescent="0.25">
      <c r="C3833" s="19"/>
      <c r="D3833" s="19" t="s">
        <v>1522</v>
      </c>
      <c r="E3833" s="19" t="s">
        <v>1523</v>
      </c>
      <c r="F3833">
        <v>0</v>
      </c>
    </row>
    <row r="3834" spans="3:6" x14ac:dyDescent="0.25">
      <c r="C3834" s="19"/>
      <c r="D3834" s="19" t="s">
        <v>1524</v>
      </c>
      <c r="E3834" s="19" t="s">
        <v>1525</v>
      </c>
      <c r="F3834">
        <v>0</v>
      </c>
    </row>
    <row r="3835" spans="3:6" x14ac:dyDescent="0.25">
      <c r="C3835" s="19"/>
      <c r="D3835" s="19" t="s">
        <v>1526</v>
      </c>
      <c r="E3835" s="19" t="s">
        <v>1527</v>
      </c>
      <c r="F3835">
        <v>0</v>
      </c>
    </row>
    <row r="3836" spans="3:6" x14ac:dyDescent="0.25">
      <c r="C3836" s="19"/>
      <c r="D3836" s="19" t="s">
        <v>1528</v>
      </c>
      <c r="E3836" s="19" t="s">
        <v>1529</v>
      </c>
      <c r="F3836">
        <v>0</v>
      </c>
    </row>
    <row r="3837" spans="3:6" x14ac:dyDescent="0.25">
      <c r="C3837" s="19"/>
      <c r="D3837" s="19" t="s">
        <v>1530</v>
      </c>
      <c r="E3837" s="19" t="s">
        <v>1430</v>
      </c>
      <c r="F3837">
        <v>0</v>
      </c>
    </row>
    <row r="3838" spans="3:6" x14ac:dyDescent="0.25">
      <c r="C3838" s="19"/>
      <c r="D3838" s="19" t="s">
        <v>1531</v>
      </c>
      <c r="E3838" s="19" t="s">
        <v>503</v>
      </c>
      <c r="F3838">
        <v>0</v>
      </c>
    </row>
    <row r="3839" spans="3:6" x14ac:dyDescent="0.25">
      <c r="C3839" s="19"/>
      <c r="D3839" s="19" t="s">
        <v>1532</v>
      </c>
      <c r="E3839" s="19" t="s">
        <v>1533</v>
      </c>
      <c r="F3839">
        <v>1</v>
      </c>
    </row>
    <row r="3840" spans="3:6" x14ac:dyDescent="0.25">
      <c r="C3840" s="19"/>
      <c r="D3840" s="19" t="s">
        <v>1534</v>
      </c>
      <c r="E3840" s="19" t="s">
        <v>1535</v>
      </c>
      <c r="F3840">
        <v>0</v>
      </c>
    </row>
    <row r="3841" spans="1:6" x14ac:dyDescent="0.25">
      <c r="A3841" s="3">
        <v>608</v>
      </c>
      <c r="B3841" s="15" t="s">
        <v>174</v>
      </c>
      <c r="C3841" s="19" t="s">
        <v>1790</v>
      </c>
      <c r="D3841" s="19" t="s">
        <v>1791</v>
      </c>
      <c r="E3841" s="19" t="s">
        <v>273</v>
      </c>
      <c r="F3841">
        <v>1</v>
      </c>
    </row>
    <row r="3842" spans="1:6" x14ac:dyDescent="0.25">
      <c r="C3842" s="19"/>
      <c r="D3842" s="19" t="s">
        <v>1792</v>
      </c>
      <c r="E3842" s="19" t="s">
        <v>312</v>
      </c>
      <c r="F3842">
        <v>0</v>
      </c>
    </row>
    <row r="3843" spans="1:6" x14ac:dyDescent="0.25">
      <c r="C3843" s="19"/>
      <c r="D3843" s="19" t="s">
        <v>1793</v>
      </c>
      <c r="E3843" s="19" t="s">
        <v>801</v>
      </c>
      <c r="F3843">
        <v>1</v>
      </c>
    </row>
    <row r="3844" spans="1:6" x14ac:dyDescent="0.25">
      <c r="C3844" s="19"/>
      <c r="D3844" s="19" t="s">
        <v>1794</v>
      </c>
      <c r="E3844" s="19" t="s">
        <v>786</v>
      </c>
      <c r="F3844">
        <v>1</v>
      </c>
    </row>
    <row r="3845" spans="1:6" x14ac:dyDescent="0.25">
      <c r="C3845" s="19"/>
      <c r="D3845" s="19" t="s">
        <v>1795</v>
      </c>
      <c r="E3845" s="19" t="s">
        <v>784</v>
      </c>
      <c r="F3845">
        <v>0</v>
      </c>
    </row>
    <row r="3846" spans="1:6" x14ac:dyDescent="0.25">
      <c r="C3846" s="19"/>
      <c r="D3846" s="19" t="s">
        <v>1796</v>
      </c>
      <c r="E3846" s="19" t="s">
        <v>1205</v>
      </c>
      <c r="F3846">
        <v>1</v>
      </c>
    </row>
    <row r="3847" spans="1:6" x14ac:dyDescent="0.25">
      <c r="C3847" s="19"/>
      <c r="D3847" s="19" t="s">
        <v>1797</v>
      </c>
      <c r="E3847" s="19" t="s">
        <v>1207</v>
      </c>
      <c r="F3847">
        <v>0</v>
      </c>
    </row>
    <row r="3848" spans="1:6" x14ac:dyDescent="0.25">
      <c r="C3848" s="19"/>
      <c r="D3848" s="19" t="s">
        <v>1798</v>
      </c>
      <c r="E3848" s="19" t="s">
        <v>1209</v>
      </c>
      <c r="F3848">
        <v>0</v>
      </c>
    </row>
    <row r="3849" spans="1:6" x14ac:dyDescent="0.25">
      <c r="C3849" s="19"/>
      <c r="D3849" s="19" t="s">
        <v>1799</v>
      </c>
      <c r="E3849" s="19" t="s">
        <v>789</v>
      </c>
      <c r="F3849">
        <v>0</v>
      </c>
    </row>
    <row r="3850" spans="1:6" x14ac:dyDescent="0.25">
      <c r="C3850" s="19"/>
      <c r="D3850" s="19" t="s">
        <v>1800</v>
      </c>
      <c r="E3850" s="19" t="s">
        <v>1214</v>
      </c>
      <c r="F3850">
        <v>1</v>
      </c>
    </row>
    <row r="3851" spans="1:6" x14ac:dyDescent="0.25">
      <c r="C3851" s="19"/>
      <c r="D3851" s="19" t="s">
        <v>1801</v>
      </c>
      <c r="E3851" s="19" t="s">
        <v>1784</v>
      </c>
      <c r="F3851">
        <v>1</v>
      </c>
    </row>
    <row r="3852" spans="1:6" x14ac:dyDescent="0.25">
      <c r="C3852" s="19"/>
      <c r="D3852" s="19" t="s">
        <v>1802</v>
      </c>
      <c r="E3852" s="19" t="s">
        <v>791</v>
      </c>
      <c r="F3852">
        <v>1</v>
      </c>
    </row>
    <row r="3853" spans="1:6" x14ac:dyDescent="0.25">
      <c r="C3853" s="19"/>
      <c r="D3853" s="19" t="s">
        <v>1803</v>
      </c>
      <c r="E3853" s="19" t="s">
        <v>795</v>
      </c>
      <c r="F3853">
        <v>1</v>
      </c>
    </row>
    <row r="3854" spans="1:6" x14ac:dyDescent="0.25">
      <c r="C3854" s="19"/>
      <c r="D3854" s="19" t="s">
        <v>1804</v>
      </c>
      <c r="E3854" s="19" t="s">
        <v>372</v>
      </c>
      <c r="F3854">
        <v>1</v>
      </c>
    </row>
    <row r="3855" spans="1:6" x14ac:dyDescent="0.25">
      <c r="C3855" s="19"/>
      <c r="D3855" s="19" t="s">
        <v>1805</v>
      </c>
      <c r="E3855" s="19" t="s">
        <v>1806</v>
      </c>
      <c r="F3855">
        <v>0</v>
      </c>
    </row>
    <row r="3856" spans="1:6" x14ac:dyDescent="0.25">
      <c r="C3856" s="19"/>
      <c r="D3856" s="19" t="s">
        <v>1807</v>
      </c>
      <c r="E3856" s="19" t="s">
        <v>1808</v>
      </c>
      <c r="F3856">
        <v>1</v>
      </c>
    </row>
    <row r="3857" spans="1:6" x14ac:dyDescent="0.25">
      <c r="C3857" s="19" t="s">
        <v>682</v>
      </c>
      <c r="D3857" s="19" t="s">
        <v>683</v>
      </c>
      <c r="E3857" s="19" t="s">
        <v>684</v>
      </c>
      <c r="F3857">
        <v>0</v>
      </c>
    </row>
    <row r="3858" spans="1:6" x14ac:dyDescent="0.25">
      <c r="C3858" s="19"/>
      <c r="D3858" s="19" t="s">
        <v>685</v>
      </c>
      <c r="E3858" s="19" t="s">
        <v>686</v>
      </c>
      <c r="F3858">
        <v>1</v>
      </c>
    </row>
    <row r="3859" spans="1:6" x14ac:dyDescent="0.25">
      <c r="C3859" s="19"/>
      <c r="D3859" s="19" t="s">
        <v>687</v>
      </c>
      <c r="E3859" s="19" t="s">
        <v>638</v>
      </c>
      <c r="F3859">
        <v>0</v>
      </c>
    </row>
    <row r="3860" spans="1:6" x14ac:dyDescent="0.25">
      <c r="C3860" s="19"/>
      <c r="D3860" s="19" t="s">
        <v>688</v>
      </c>
      <c r="E3860" s="19" t="s">
        <v>689</v>
      </c>
      <c r="F3860">
        <v>1</v>
      </c>
    </row>
    <row r="3861" spans="1:6" x14ac:dyDescent="0.25">
      <c r="C3861" s="19"/>
      <c r="D3861" s="19" t="s">
        <v>690</v>
      </c>
      <c r="E3861" s="19" t="s">
        <v>640</v>
      </c>
      <c r="F3861">
        <v>1</v>
      </c>
    </row>
    <row r="3862" spans="1:6" x14ac:dyDescent="0.25">
      <c r="C3862" s="19"/>
      <c r="D3862" s="19" t="s">
        <v>691</v>
      </c>
      <c r="E3862" s="19" t="s">
        <v>692</v>
      </c>
      <c r="F3862">
        <v>0</v>
      </c>
    </row>
    <row r="3863" spans="1:6" x14ac:dyDescent="0.25">
      <c r="C3863" s="19"/>
      <c r="D3863" s="19" t="s">
        <v>693</v>
      </c>
      <c r="E3863" s="19" t="s">
        <v>694</v>
      </c>
      <c r="F3863">
        <v>0</v>
      </c>
    </row>
    <row r="3864" spans="1:6" x14ac:dyDescent="0.25">
      <c r="C3864" s="19"/>
      <c r="D3864" s="19" t="s">
        <v>695</v>
      </c>
      <c r="E3864" s="19" t="s">
        <v>696</v>
      </c>
      <c r="F3864">
        <v>0</v>
      </c>
    </row>
    <row r="3865" spans="1:6" x14ac:dyDescent="0.25">
      <c r="C3865" s="19"/>
      <c r="D3865" s="19" t="s">
        <v>697</v>
      </c>
      <c r="E3865" s="19" t="s">
        <v>698</v>
      </c>
      <c r="F3865">
        <v>0</v>
      </c>
    </row>
    <row r="3866" spans="1:6" x14ac:dyDescent="0.25">
      <c r="C3866" s="19"/>
      <c r="D3866" s="19" t="s">
        <v>699</v>
      </c>
      <c r="E3866" s="19" t="s">
        <v>700</v>
      </c>
      <c r="F3866">
        <v>0</v>
      </c>
    </row>
    <row r="3867" spans="1:6" x14ac:dyDescent="0.25">
      <c r="A3867" s="3">
        <v>609</v>
      </c>
      <c r="B3867" s="15" t="s">
        <v>174</v>
      </c>
      <c r="C3867" s="19" t="s">
        <v>1790</v>
      </c>
      <c r="D3867" s="19" t="s">
        <v>1791</v>
      </c>
      <c r="E3867" s="19" t="s">
        <v>273</v>
      </c>
      <c r="F3867">
        <v>1</v>
      </c>
    </row>
    <row r="3868" spans="1:6" x14ac:dyDescent="0.25">
      <c r="C3868" s="19"/>
      <c r="D3868" s="19" t="s">
        <v>1792</v>
      </c>
      <c r="E3868" s="19" t="s">
        <v>312</v>
      </c>
      <c r="F3868">
        <v>0</v>
      </c>
    </row>
    <row r="3869" spans="1:6" x14ac:dyDescent="0.25">
      <c r="C3869" s="19"/>
      <c r="D3869" s="19" t="s">
        <v>1793</v>
      </c>
      <c r="E3869" s="19" t="s">
        <v>801</v>
      </c>
      <c r="F3869">
        <v>1</v>
      </c>
    </row>
    <row r="3870" spans="1:6" x14ac:dyDescent="0.25">
      <c r="C3870" s="19"/>
      <c r="D3870" s="19" t="s">
        <v>1794</v>
      </c>
      <c r="E3870" s="19" t="s">
        <v>786</v>
      </c>
      <c r="F3870">
        <v>1</v>
      </c>
    </row>
    <row r="3871" spans="1:6" x14ac:dyDescent="0.25">
      <c r="C3871" s="19"/>
      <c r="D3871" s="19" t="s">
        <v>1795</v>
      </c>
      <c r="E3871" s="19" t="s">
        <v>784</v>
      </c>
      <c r="F3871">
        <v>0</v>
      </c>
    </row>
    <row r="3872" spans="1:6" x14ac:dyDescent="0.25">
      <c r="C3872" s="19"/>
      <c r="D3872" s="19" t="s">
        <v>1796</v>
      </c>
      <c r="E3872" s="19" t="s">
        <v>1205</v>
      </c>
      <c r="F3872">
        <v>1</v>
      </c>
    </row>
    <row r="3873" spans="3:6" x14ac:dyDescent="0.25">
      <c r="C3873" s="19"/>
      <c r="D3873" s="19" t="s">
        <v>1797</v>
      </c>
      <c r="E3873" s="19" t="s">
        <v>1207</v>
      </c>
      <c r="F3873">
        <v>0</v>
      </c>
    </row>
    <row r="3874" spans="3:6" x14ac:dyDescent="0.25">
      <c r="C3874" s="19"/>
      <c r="D3874" s="19" t="s">
        <v>1798</v>
      </c>
      <c r="E3874" s="19" t="s">
        <v>1209</v>
      </c>
      <c r="F3874">
        <v>0</v>
      </c>
    </row>
    <row r="3875" spans="3:6" x14ac:dyDescent="0.25">
      <c r="C3875" s="19"/>
      <c r="D3875" s="19" t="s">
        <v>1799</v>
      </c>
      <c r="E3875" s="19" t="s">
        <v>789</v>
      </c>
      <c r="F3875">
        <v>0</v>
      </c>
    </row>
    <row r="3876" spans="3:6" x14ac:dyDescent="0.25">
      <c r="C3876" s="19"/>
      <c r="D3876" s="19" t="s">
        <v>1800</v>
      </c>
      <c r="E3876" s="19" t="s">
        <v>1214</v>
      </c>
      <c r="F3876">
        <v>1</v>
      </c>
    </row>
    <row r="3877" spans="3:6" x14ac:dyDescent="0.25">
      <c r="C3877" s="19"/>
      <c r="D3877" s="19" t="s">
        <v>1801</v>
      </c>
      <c r="E3877" s="19" t="s">
        <v>1784</v>
      </c>
      <c r="F3877">
        <v>1</v>
      </c>
    </row>
    <row r="3878" spans="3:6" x14ac:dyDescent="0.25">
      <c r="C3878" s="19"/>
      <c r="D3878" s="19" t="s">
        <v>1802</v>
      </c>
      <c r="E3878" s="19" t="s">
        <v>791</v>
      </c>
      <c r="F3878">
        <v>1</v>
      </c>
    </row>
    <row r="3879" spans="3:6" x14ac:dyDescent="0.25">
      <c r="C3879" s="19"/>
      <c r="D3879" s="19" t="s">
        <v>1803</v>
      </c>
      <c r="E3879" s="19" t="s">
        <v>795</v>
      </c>
      <c r="F3879">
        <v>1</v>
      </c>
    </row>
    <row r="3880" spans="3:6" x14ac:dyDescent="0.25">
      <c r="C3880" s="19"/>
      <c r="D3880" s="19" t="s">
        <v>1804</v>
      </c>
      <c r="E3880" s="19" t="s">
        <v>372</v>
      </c>
      <c r="F3880">
        <v>1</v>
      </c>
    </row>
    <row r="3881" spans="3:6" x14ac:dyDescent="0.25">
      <c r="C3881" s="19"/>
      <c r="D3881" s="19" t="s">
        <v>1805</v>
      </c>
      <c r="E3881" s="19" t="s">
        <v>1806</v>
      </c>
      <c r="F3881">
        <v>0</v>
      </c>
    </row>
    <row r="3882" spans="3:6" x14ac:dyDescent="0.25">
      <c r="C3882" s="19"/>
      <c r="D3882" s="19" t="s">
        <v>1807</v>
      </c>
      <c r="E3882" s="19" t="s">
        <v>1808</v>
      </c>
      <c r="F3882">
        <v>1</v>
      </c>
    </row>
    <row r="3883" spans="3:6" x14ac:dyDescent="0.25">
      <c r="C3883" s="19" t="s">
        <v>682</v>
      </c>
      <c r="D3883" s="19" t="s">
        <v>683</v>
      </c>
      <c r="E3883" s="19" t="s">
        <v>684</v>
      </c>
      <c r="F3883">
        <v>0</v>
      </c>
    </row>
    <row r="3884" spans="3:6" x14ac:dyDescent="0.25">
      <c r="C3884" s="19"/>
      <c r="D3884" s="19" t="s">
        <v>685</v>
      </c>
      <c r="E3884" s="19" t="s">
        <v>686</v>
      </c>
      <c r="F3884">
        <v>1</v>
      </c>
    </row>
    <row r="3885" spans="3:6" x14ac:dyDescent="0.25">
      <c r="C3885" s="19"/>
      <c r="D3885" s="19" t="s">
        <v>687</v>
      </c>
      <c r="E3885" s="19" t="s">
        <v>638</v>
      </c>
      <c r="F3885">
        <v>0</v>
      </c>
    </row>
    <row r="3886" spans="3:6" x14ac:dyDescent="0.25">
      <c r="C3886" s="19"/>
      <c r="D3886" s="19" t="s">
        <v>688</v>
      </c>
      <c r="E3886" s="19" t="s">
        <v>689</v>
      </c>
      <c r="F3886">
        <v>0</v>
      </c>
    </row>
    <row r="3887" spans="3:6" x14ac:dyDescent="0.25">
      <c r="C3887" s="19"/>
      <c r="D3887" s="19" t="s">
        <v>690</v>
      </c>
      <c r="E3887" s="19" t="s">
        <v>640</v>
      </c>
      <c r="F3887">
        <v>1</v>
      </c>
    </row>
    <row r="3888" spans="3:6" x14ac:dyDescent="0.25">
      <c r="C3888" s="19"/>
      <c r="D3888" s="19" t="s">
        <v>691</v>
      </c>
      <c r="E3888" s="19" t="s">
        <v>692</v>
      </c>
      <c r="F3888">
        <v>0</v>
      </c>
    </row>
    <row r="3889" spans="1:6" x14ac:dyDescent="0.25">
      <c r="C3889" s="19"/>
      <c r="D3889" s="19" t="s">
        <v>693</v>
      </c>
      <c r="E3889" s="19" t="s">
        <v>694</v>
      </c>
      <c r="F3889">
        <v>0</v>
      </c>
    </row>
    <row r="3890" spans="1:6" x14ac:dyDescent="0.25">
      <c r="C3890" s="19"/>
      <c r="D3890" s="19" t="s">
        <v>695</v>
      </c>
      <c r="E3890" s="19" t="s">
        <v>696</v>
      </c>
      <c r="F3890">
        <v>0</v>
      </c>
    </row>
    <row r="3891" spans="1:6" x14ac:dyDescent="0.25">
      <c r="C3891" s="19"/>
      <c r="D3891" s="19" t="s">
        <v>697</v>
      </c>
      <c r="E3891" s="19" t="s">
        <v>698</v>
      </c>
      <c r="F3891">
        <v>0</v>
      </c>
    </row>
    <row r="3892" spans="1:6" x14ac:dyDescent="0.25">
      <c r="C3892" s="19"/>
      <c r="D3892" s="19" t="s">
        <v>699</v>
      </c>
      <c r="E3892" s="19" t="s">
        <v>700</v>
      </c>
      <c r="F3892">
        <v>0</v>
      </c>
    </row>
    <row r="3893" spans="1:6" x14ac:dyDescent="0.25">
      <c r="A3893" s="3">
        <v>610</v>
      </c>
      <c r="B3893" s="15" t="s">
        <v>175</v>
      </c>
      <c r="C3893" s="19" t="s">
        <v>1492</v>
      </c>
      <c r="D3893" s="19" t="s">
        <v>1493</v>
      </c>
      <c r="E3893" s="19" t="s">
        <v>1494</v>
      </c>
      <c r="F3893">
        <v>1</v>
      </c>
    </row>
    <row r="3894" spans="1:6" x14ac:dyDescent="0.25">
      <c r="C3894" s="19"/>
      <c r="D3894" s="19" t="s">
        <v>1495</v>
      </c>
      <c r="E3894" s="19" t="s">
        <v>1496</v>
      </c>
      <c r="F3894">
        <v>1</v>
      </c>
    </row>
    <row r="3895" spans="1:6" x14ac:dyDescent="0.25">
      <c r="C3895" s="19"/>
      <c r="D3895" s="19" t="s">
        <v>1497</v>
      </c>
      <c r="E3895" s="19" t="s">
        <v>306</v>
      </c>
      <c r="F3895">
        <v>1</v>
      </c>
    </row>
    <row r="3896" spans="1:6" x14ac:dyDescent="0.25">
      <c r="C3896" s="19"/>
      <c r="D3896" s="19" t="s">
        <v>1498</v>
      </c>
      <c r="E3896" s="19" t="s">
        <v>1499</v>
      </c>
      <c r="F3896">
        <v>0</v>
      </c>
    </row>
    <row r="3897" spans="1:6" x14ac:dyDescent="0.25">
      <c r="C3897" s="19"/>
      <c r="D3897" s="19" t="s">
        <v>1500</v>
      </c>
      <c r="E3897" s="19" t="s">
        <v>1397</v>
      </c>
      <c r="F3897">
        <v>1</v>
      </c>
    </row>
    <row r="3898" spans="1:6" x14ac:dyDescent="0.25">
      <c r="C3898" s="19"/>
      <c r="D3898" s="19" t="s">
        <v>1501</v>
      </c>
      <c r="E3898" s="19" t="s">
        <v>1502</v>
      </c>
      <c r="F3898">
        <v>1</v>
      </c>
    </row>
    <row r="3899" spans="1:6" x14ac:dyDescent="0.25">
      <c r="C3899" s="19"/>
      <c r="D3899" s="19" t="s">
        <v>1503</v>
      </c>
      <c r="E3899" s="19" t="s">
        <v>1504</v>
      </c>
      <c r="F3899">
        <v>1</v>
      </c>
    </row>
    <row r="3900" spans="1:6" x14ac:dyDescent="0.25">
      <c r="C3900" s="19"/>
      <c r="D3900" s="19" t="s">
        <v>1505</v>
      </c>
      <c r="E3900" s="19" t="s">
        <v>1506</v>
      </c>
      <c r="F3900">
        <v>0</v>
      </c>
    </row>
    <row r="3901" spans="1:6" x14ac:dyDescent="0.25">
      <c r="C3901" s="19"/>
      <c r="D3901" s="19" t="s">
        <v>1507</v>
      </c>
      <c r="E3901" s="19" t="s">
        <v>611</v>
      </c>
      <c r="F3901">
        <v>1</v>
      </c>
    </row>
    <row r="3902" spans="1:6" x14ac:dyDescent="0.25">
      <c r="C3902" s="19"/>
      <c r="D3902" s="19" t="s">
        <v>1508</v>
      </c>
      <c r="E3902" s="19" t="s">
        <v>1509</v>
      </c>
      <c r="F3902">
        <v>1</v>
      </c>
    </row>
    <row r="3903" spans="1:6" x14ac:dyDescent="0.25">
      <c r="C3903" s="19"/>
      <c r="D3903" s="19" t="s">
        <v>1510</v>
      </c>
      <c r="E3903" s="19" t="s">
        <v>613</v>
      </c>
      <c r="F3903">
        <v>1</v>
      </c>
    </row>
    <row r="3904" spans="1:6" x14ac:dyDescent="0.25">
      <c r="C3904" s="19"/>
      <c r="D3904" s="19" t="s">
        <v>1511</v>
      </c>
      <c r="E3904" s="19" t="s">
        <v>1419</v>
      </c>
      <c r="F3904">
        <v>1</v>
      </c>
    </row>
    <row r="3905" spans="1:6" x14ac:dyDescent="0.25">
      <c r="C3905" s="19"/>
      <c r="D3905" s="19" t="s">
        <v>1512</v>
      </c>
      <c r="E3905" s="19" t="s">
        <v>621</v>
      </c>
      <c r="F3905">
        <v>1</v>
      </c>
    </row>
    <row r="3906" spans="1:6" x14ac:dyDescent="0.25">
      <c r="C3906" s="19"/>
      <c r="D3906" s="19" t="s">
        <v>1513</v>
      </c>
      <c r="E3906" s="19" t="s">
        <v>1422</v>
      </c>
      <c r="F3906">
        <v>1</v>
      </c>
    </row>
    <row r="3907" spans="1:6" x14ac:dyDescent="0.25">
      <c r="C3907" s="19"/>
      <c r="D3907" s="19" t="s">
        <v>1514</v>
      </c>
      <c r="E3907" s="19" t="s">
        <v>614</v>
      </c>
      <c r="F3907">
        <v>1</v>
      </c>
    </row>
    <row r="3908" spans="1:6" x14ac:dyDescent="0.25">
      <c r="C3908" s="19"/>
      <c r="D3908" s="19" t="s">
        <v>1515</v>
      </c>
      <c r="E3908" s="19" t="s">
        <v>615</v>
      </c>
      <c r="F3908">
        <v>1</v>
      </c>
    </row>
    <row r="3909" spans="1:6" x14ac:dyDescent="0.25">
      <c r="C3909" s="19"/>
      <c r="D3909" s="19" t="s">
        <v>1516</v>
      </c>
      <c r="E3909" s="19" t="s">
        <v>1517</v>
      </c>
      <c r="F3909">
        <v>1</v>
      </c>
    </row>
    <row r="3910" spans="1:6" x14ac:dyDescent="0.25">
      <c r="C3910" s="19"/>
      <c r="D3910" s="19" t="s">
        <v>1518</v>
      </c>
      <c r="E3910" s="19" t="s">
        <v>1519</v>
      </c>
      <c r="F3910">
        <v>1</v>
      </c>
    </row>
    <row r="3911" spans="1:6" x14ac:dyDescent="0.25">
      <c r="C3911" s="19"/>
      <c r="D3911" s="19" t="s">
        <v>1520</v>
      </c>
      <c r="E3911" s="19" t="s">
        <v>1521</v>
      </c>
      <c r="F3911">
        <v>0</v>
      </c>
    </row>
    <row r="3912" spans="1:6" x14ac:dyDescent="0.25">
      <c r="C3912" s="19"/>
      <c r="D3912" s="19" t="s">
        <v>1522</v>
      </c>
      <c r="E3912" s="19" t="s">
        <v>1523</v>
      </c>
      <c r="F3912">
        <v>0</v>
      </c>
    </row>
    <row r="3913" spans="1:6" x14ac:dyDescent="0.25">
      <c r="C3913" s="19"/>
      <c r="D3913" s="19" t="s">
        <v>1524</v>
      </c>
      <c r="E3913" s="19" t="s">
        <v>1525</v>
      </c>
      <c r="F3913">
        <v>1</v>
      </c>
    </row>
    <row r="3914" spans="1:6" x14ac:dyDescent="0.25">
      <c r="C3914" s="19"/>
      <c r="D3914" s="19" t="s">
        <v>1526</v>
      </c>
      <c r="E3914" s="19" t="s">
        <v>1527</v>
      </c>
      <c r="F3914">
        <v>0</v>
      </c>
    </row>
    <row r="3915" spans="1:6" x14ac:dyDescent="0.25">
      <c r="C3915" s="19"/>
      <c r="D3915" s="19" t="s">
        <v>1528</v>
      </c>
      <c r="E3915" s="19" t="s">
        <v>1529</v>
      </c>
      <c r="F3915">
        <v>1</v>
      </c>
    </row>
    <row r="3916" spans="1:6" x14ac:dyDescent="0.25">
      <c r="C3916" s="19"/>
      <c r="D3916" s="19" t="s">
        <v>1530</v>
      </c>
      <c r="E3916" s="19" t="s">
        <v>1430</v>
      </c>
      <c r="F3916">
        <v>1</v>
      </c>
    </row>
    <row r="3917" spans="1:6" x14ac:dyDescent="0.25">
      <c r="C3917" s="19"/>
      <c r="D3917" s="19" t="s">
        <v>1531</v>
      </c>
      <c r="E3917" s="19" t="s">
        <v>503</v>
      </c>
      <c r="F3917">
        <v>1</v>
      </c>
    </row>
    <row r="3918" spans="1:6" x14ac:dyDescent="0.25">
      <c r="C3918" s="19"/>
      <c r="D3918" s="19" t="s">
        <v>1532</v>
      </c>
      <c r="E3918" s="19" t="s">
        <v>1533</v>
      </c>
      <c r="F3918">
        <v>0</v>
      </c>
    </row>
    <row r="3919" spans="1:6" x14ac:dyDescent="0.25">
      <c r="C3919" s="19"/>
      <c r="D3919" s="19" t="s">
        <v>1534</v>
      </c>
      <c r="E3919" s="19" t="s">
        <v>1535</v>
      </c>
      <c r="F3919">
        <v>1</v>
      </c>
    </row>
    <row r="3920" spans="1:6" x14ac:dyDescent="0.25">
      <c r="A3920" s="3">
        <v>616</v>
      </c>
      <c r="B3920" s="15" t="s">
        <v>176</v>
      </c>
      <c r="C3920" s="19" t="s">
        <v>1474</v>
      </c>
      <c r="D3920" s="19" t="s">
        <v>1475</v>
      </c>
      <c r="E3920" s="19" t="s">
        <v>308</v>
      </c>
      <c r="F3920">
        <v>1</v>
      </c>
    </row>
    <row r="3921" spans="3:6" x14ac:dyDescent="0.25">
      <c r="C3921" s="19"/>
      <c r="D3921" s="19" t="s">
        <v>1476</v>
      </c>
      <c r="E3921" s="19" t="s">
        <v>310</v>
      </c>
      <c r="F3921">
        <v>1</v>
      </c>
    </row>
    <row r="3922" spans="3:6" x14ac:dyDescent="0.25">
      <c r="C3922" s="19"/>
      <c r="D3922" s="19" t="s">
        <v>1477</v>
      </c>
      <c r="E3922" s="19" t="s">
        <v>312</v>
      </c>
      <c r="F3922">
        <v>1</v>
      </c>
    </row>
    <row r="3923" spans="3:6" x14ac:dyDescent="0.25">
      <c r="C3923" s="19"/>
      <c r="D3923" s="19" t="s">
        <v>1478</v>
      </c>
      <c r="E3923" s="19" t="s">
        <v>314</v>
      </c>
      <c r="F3923">
        <v>1</v>
      </c>
    </row>
    <row r="3924" spans="3:6" x14ac:dyDescent="0.25">
      <c r="C3924" s="19"/>
      <c r="D3924" s="19" t="s">
        <v>1479</v>
      </c>
      <c r="E3924" s="19" t="s">
        <v>1480</v>
      </c>
      <c r="F3924">
        <v>1</v>
      </c>
    </row>
    <row r="3925" spans="3:6" x14ac:dyDescent="0.25">
      <c r="C3925" s="19"/>
      <c r="D3925" s="19" t="s">
        <v>1481</v>
      </c>
      <c r="E3925" s="19" t="s">
        <v>938</v>
      </c>
      <c r="F3925">
        <v>1</v>
      </c>
    </row>
    <row r="3926" spans="3:6" x14ac:dyDescent="0.25">
      <c r="C3926" s="19"/>
      <c r="D3926" s="19" t="s">
        <v>1482</v>
      </c>
      <c r="E3926" s="19" t="s">
        <v>1483</v>
      </c>
      <c r="F3926">
        <v>1</v>
      </c>
    </row>
    <row r="3927" spans="3:6" x14ac:dyDescent="0.25">
      <c r="C3927" s="19"/>
      <c r="D3927" s="19" t="s">
        <v>1484</v>
      </c>
      <c r="E3927" s="19" t="s">
        <v>942</v>
      </c>
      <c r="F3927">
        <v>1</v>
      </c>
    </row>
    <row r="3928" spans="3:6" x14ac:dyDescent="0.25">
      <c r="C3928" s="19"/>
      <c r="D3928" s="19" t="s">
        <v>1485</v>
      </c>
      <c r="E3928" s="19" t="s">
        <v>383</v>
      </c>
      <c r="F3928">
        <v>0</v>
      </c>
    </row>
    <row r="3929" spans="3:6" x14ac:dyDescent="0.25">
      <c r="C3929" s="19"/>
      <c r="D3929" s="19" t="s">
        <v>1486</v>
      </c>
      <c r="E3929" s="19" t="s">
        <v>384</v>
      </c>
      <c r="F3929">
        <v>0</v>
      </c>
    </row>
    <row r="3930" spans="3:6" x14ac:dyDescent="0.25">
      <c r="C3930" s="19"/>
      <c r="D3930" s="19" t="s">
        <v>1487</v>
      </c>
      <c r="E3930" s="19" t="s">
        <v>380</v>
      </c>
      <c r="F3930">
        <v>1</v>
      </c>
    </row>
    <row r="3931" spans="3:6" x14ac:dyDescent="0.25">
      <c r="C3931" s="19"/>
      <c r="D3931" s="19" t="s">
        <v>1488</v>
      </c>
      <c r="E3931" s="19" t="s">
        <v>381</v>
      </c>
      <c r="F3931">
        <v>1</v>
      </c>
    </row>
    <row r="3932" spans="3:6" x14ac:dyDescent="0.25">
      <c r="C3932" s="19"/>
      <c r="D3932" s="19" t="s">
        <v>1489</v>
      </c>
      <c r="E3932" s="19" t="s">
        <v>328</v>
      </c>
      <c r="F3932">
        <v>1</v>
      </c>
    </row>
    <row r="3933" spans="3:6" x14ac:dyDescent="0.25">
      <c r="C3933" s="19"/>
      <c r="D3933" s="19" t="s">
        <v>1490</v>
      </c>
      <c r="E3933" s="19" t="s">
        <v>378</v>
      </c>
      <c r="F3933">
        <v>1</v>
      </c>
    </row>
    <row r="3934" spans="3:6" x14ac:dyDescent="0.25">
      <c r="C3934" s="19"/>
      <c r="D3934" s="19" t="s">
        <v>1491</v>
      </c>
      <c r="E3934" s="19" t="s">
        <v>379</v>
      </c>
      <c r="F3934">
        <v>1</v>
      </c>
    </row>
    <row r="3935" spans="3:6" x14ac:dyDescent="0.25">
      <c r="C3935" s="19" t="s">
        <v>1613</v>
      </c>
      <c r="D3935" s="19" t="s">
        <v>1614</v>
      </c>
      <c r="E3935" s="19" t="s">
        <v>273</v>
      </c>
      <c r="F3935">
        <v>1</v>
      </c>
    </row>
    <row r="3936" spans="3:6" x14ac:dyDescent="0.25">
      <c r="C3936" s="19"/>
      <c r="D3936" s="19" t="s">
        <v>1615</v>
      </c>
      <c r="E3936" s="19" t="s">
        <v>312</v>
      </c>
      <c r="F3936">
        <v>1</v>
      </c>
    </row>
    <row r="3937" spans="3:6" x14ac:dyDescent="0.25">
      <c r="C3937" s="19"/>
      <c r="D3937" s="19" t="s">
        <v>1616</v>
      </c>
      <c r="E3937" s="19" t="s">
        <v>316</v>
      </c>
      <c r="F3937">
        <v>1</v>
      </c>
    </row>
    <row r="3938" spans="3:6" x14ac:dyDescent="0.25">
      <c r="C3938" s="19"/>
      <c r="D3938" s="19" t="s">
        <v>1617</v>
      </c>
      <c r="E3938" s="19" t="s">
        <v>314</v>
      </c>
      <c r="F3938">
        <v>1</v>
      </c>
    </row>
    <row r="3939" spans="3:6" x14ac:dyDescent="0.25">
      <c r="C3939" s="19"/>
      <c r="D3939" s="19" t="s">
        <v>1618</v>
      </c>
      <c r="E3939" s="19" t="s">
        <v>318</v>
      </c>
      <c r="F3939">
        <v>1</v>
      </c>
    </row>
    <row r="3940" spans="3:6" x14ac:dyDescent="0.25">
      <c r="C3940" s="19"/>
      <c r="D3940" s="19" t="s">
        <v>1619</v>
      </c>
      <c r="E3940" s="19" t="s">
        <v>1620</v>
      </c>
      <c r="F3940">
        <v>1</v>
      </c>
    </row>
    <row r="3941" spans="3:6" x14ac:dyDescent="0.25">
      <c r="C3941" s="19"/>
      <c r="D3941" s="19" t="s">
        <v>1621</v>
      </c>
      <c r="E3941" s="19" t="s">
        <v>1622</v>
      </c>
      <c r="F3941">
        <v>0</v>
      </c>
    </row>
    <row r="3942" spans="3:6" x14ac:dyDescent="0.25">
      <c r="C3942" s="19"/>
      <c r="D3942" s="19" t="s">
        <v>1623</v>
      </c>
      <c r="E3942" s="19" t="s">
        <v>322</v>
      </c>
      <c r="F3942">
        <v>1</v>
      </c>
    </row>
    <row r="3943" spans="3:6" x14ac:dyDescent="0.25">
      <c r="C3943" s="19"/>
      <c r="D3943" s="19" t="s">
        <v>1624</v>
      </c>
      <c r="E3943" s="19" t="s">
        <v>936</v>
      </c>
      <c r="F3943">
        <v>1</v>
      </c>
    </row>
    <row r="3944" spans="3:6" x14ac:dyDescent="0.25">
      <c r="C3944" s="19"/>
      <c r="D3944" s="19" t="s">
        <v>1625</v>
      </c>
      <c r="E3944" s="19" t="s">
        <v>938</v>
      </c>
      <c r="F3944">
        <v>1</v>
      </c>
    </row>
    <row r="3945" spans="3:6" x14ac:dyDescent="0.25">
      <c r="C3945" s="19"/>
      <c r="D3945" s="19" t="s">
        <v>1626</v>
      </c>
      <c r="E3945" s="19" t="s">
        <v>1483</v>
      </c>
      <c r="F3945">
        <v>1</v>
      </c>
    </row>
    <row r="3946" spans="3:6" x14ac:dyDescent="0.25">
      <c r="C3946" s="19"/>
      <c r="D3946" s="19" t="s">
        <v>1627</v>
      </c>
      <c r="E3946" s="19" t="s">
        <v>942</v>
      </c>
      <c r="F3946">
        <v>1</v>
      </c>
    </row>
    <row r="3947" spans="3:6" x14ac:dyDescent="0.25">
      <c r="C3947" s="19"/>
      <c r="D3947" s="19" t="s">
        <v>1628</v>
      </c>
      <c r="E3947" s="19" t="s">
        <v>383</v>
      </c>
      <c r="F3947">
        <v>0</v>
      </c>
    </row>
    <row r="3948" spans="3:6" x14ac:dyDescent="0.25">
      <c r="C3948" s="19"/>
      <c r="D3948" s="19" t="s">
        <v>1629</v>
      </c>
      <c r="E3948" s="19" t="s">
        <v>1630</v>
      </c>
      <c r="F3948">
        <v>0</v>
      </c>
    </row>
    <row r="3949" spans="3:6" x14ac:dyDescent="0.25">
      <c r="C3949" s="19"/>
      <c r="D3949" s="19" t="s">
        <v>1631</v>
      </c>
      <c r="E3949" s="19" t="s">
        <v>380</v>
      </c>
      <c r="F3949">
        <v>1</v>
      </c>
    </row>
    <row r="3950" spans="3:6" x14ac:dyDescent="0.25">
      <c r="C3950" s="19"/>
      <c r="D3950" s="19" t="s">
        <v>1632</v>
      </c>
      <c r="E3950" s="19" t="s">
        <v>381</v>
      </c>
      <c r="F3950">
        <v>1</v>
      </c>
    </row>
    <row r="3951" spans="3:6" x14ac:dyDescent="0.25">
      <c r="C3951" s="19"/>
      <c r="D3951" s="19" t="s">
        <v>1633</v>
      </c>
      <c r="E3951" s="19" t="s">
        <v>1634</v>
      </c>
      <c r="F3951">
        <v>1</v>
      </c>
    </row>
    <row r="3952" spans="3:6" x14ac:dyDescent="0.25">
      <c r="C3952" s="19"/>
      <c r="D3952" s="19" t="s">
        <v>1635</v>
      </c>
      <c r="E3952" s="19" t="s">
        <v>328</v>
      </c>
      <c r="F3952">
        <v>1</v>
      </c>
    </row>
    <row r="3953" spans="1:6" x14ac:dyDescent="0.25">
      <c r="C3953" s="19"/>
      <c r="D3953" s="19" t="s">
        <v>1636</v>
      </c>
      <c r="E3953" s="19" t="s">
        <v>1637</v>
      </c>
      <c r="F3953">
        <v>1</v>
      </c>
    </row>
    <row r="3954" spans="1:6" x14ac:dyDescent="0.25">
      <c r="C3954" s="19"/>
      <c r="D3954" s="19" t="s">
        <v>1638</v>
      </c>
      <c r="E3954" s="19" t="s">
        <v>1639</v>
      </c>
      <c r="F3954">
        <v>1</v>
      </c>
    </row>
    <row r="3955" spans="1:6" x14ac:dyDescent="0.25">
      <c r="A3955" s="3">
        <v>619</v>
      </c>
      <c r="B3955" s="15" t="s">
        <v>177</v>
      </c>
      <c r="C3955" s="19" t="s">
        <v>1854</v>
      </c>
      <c r="D3955" s="19" t="s">
        <v>1855</v>
      </c>
      <c r="E3955" s="19" t="s">
        <v>1856</v>
      </c>
      <c r="F3955">
        <v>0</v>
      </c>
    </row>
    <row r="3956" spans="1:6" x14ac:dyDescent="0.25">
      <c r="C3956" s="19"/>
      <c r="D3956" s="19" t="s">
        <v>1857</v>
      </c>
      <c r="E3956" s="19" t="s">
        <v>1858</v>
      </c>
      <c r="F3956">
        <v>1</v>
      </c>
    </row>
    <row r="3957" spans="1:6" x14ac:dyDescent="0.25">
      <c r="C3957" s="19"/>
      <c r="D3957" s="19" t="s">
        <v>1859</v>
      </c>
      <c r="E3957" s="19" t="s">
        <v>1860</v>
      </c>
      <c r="F3957">
        <v>0</v>
      </c>
    </row>
    <row r="3958" spans="1:6" x14ac:dyDescent="0.25">
      <c r="C3958" s="19"/>
      <c r="D3958" s="19" t="s">
        <v>1861</v>
      </c>
      <c r="E3958" s="19" t="s">
        <v>1862</v>
      </c>
      <c r="F3958">
        <v>1</v>
      </c>
    </row>
    <row r="3959" spans="1:6" x14ac:dyDescent="0.25">
      <c r="A3959" s="3">
        <v>620</v>
      </c>
      <c r="B3959" s="15" t="s">
        <v>177</v>
      </c>
      <c r="C3959" s="19" t="s">
        <v>1854</v>
      </c>
      <c r="D3959" s="19" t="s">
        <v>1855</v>
      </c>
      <c r="E3959" s="19" t="s">
        <v>1856</v>
      </c>
      <c r="F3959">
        <v>0</v>
      </c>
    </row>
    <row r="3960" spans="1:6" x14ac:dyDescent="0.25">
      <c r="C3960" s="19"/>
      <c r="D3960" s="19" t="s">
        <v>1857</v>
      </c>
      <c r="E3960" s="19" t="s">
        <v>1858</v>
      </c>
      <c r="F3960">
        <v>1</v>
      </c>
    </row>
    <row r="3961" spans="1:6" x14ac:dyDescent="0.25">
      <c r="C3961" s="19"/>
      <c r="D3961" s="19" t="s">
        <v>1859</v>
      </c>
      <c r="E3961" s="19" t="s">
        <v>1860</v>
      </c>
      <c r="F3961">
        <v>0</v>
      </c>
    </row>
    <row r="3962" spans="1:6" x14ac:dyDescent="0.25">
      <c r="C3962" s="19"/>
      <c r="D3962" s="19" t="s">
        <v>1861</v>
      </c>
      <c r="E3962" s="19" t="s">
        <v>1862</v>
      </c>
      <c r="F3962">
        <v>1</v>
      </c>
    </row>
    <row r="3963" spans="1:6" x14ac:dyDescent="0.25">
      <c r="A3963" s="3">
        <v>621</v>
      </c>
      <c r="B3963" s="15" t="s">
        <v>177</v>
      </c>
      <c r="C3963" s="19" t="s">
        <v>1854</v>
      </c>
      <c r="D3963" s="19" t="s">
        <v>1855</v>
      </c>
      <c r="E3963" s="19" t="s">
        <v>1856</v>
      </c>
      <c r="F3963">
        <v>0</v>
      </c>
    </row>
    <row r="3964" spans="1:6" x14ac:dyDescent="0.25">
      <c r="C3964" s="19"/>
      <c r="D3964" s="19" t="s">
        <v>1857</v>
      </c>
      <c r="E3964" s="19" t="s">
        <v>1858</v>
      </c>
      <c r="F3964">
        <v>1</v>
      </c>
    </row>
    <row r="3965" spans="1:6" x14ac:dyDescent="0.25">
      <c r="C3965" s="19"/>
      <c r="D3965" s="19" t="s">
        <v>1859</v>
      </c>
      <c r="E3965" s="19" t="s">
        <v>1860</v>
      </c>
      <c r="F3965">
        <v>0</v>
      </c>
    </row>
    <row r="3966" spans="1:6" x14ac:dyDescent="0.25">
      <c r="C3966" s="19"/>
      <c r="D3966" s="19" t="s">
        <v>1861</v>
      </c>
      <c r="E3966" s="19" t="s">
        <v>1862</v>
      </c>
      <c r="F3966">
        <v>1</v>
      </c>
    </row>
    <row r="3967" spans="1:6" x14ac:dyDescent="0.25">
      <c r="A3967" s="3">
        <v>622</v>
      </c>
      <c r="B3967" s="15" t="s">
        <v>178</v>
      </c>
      <c r="C3967" s="19" t="s">
        <v>1536</v>
      </c>
      <c r="D3967" s="19" t="s">
        <v>1537</v>
      </c>
      <c r="E3967" s="19" t="s">
        <v>1494</v>
      </c>
      <c r="F3967">
        <v>0</v>
      </c>
    </row>
    <row r="3968" spans="1:6" x14ac:dyDescent="0.25">
      <c r="C3968" s="19"/>
      <c r="D3968" s="19" t="s">
        <v>1538</v>
      </c>
      <c r="E3968" s="19" t="s">
        <v>306</v>
      </c>
      <c r="F3968">
        <v>1</v>
      </c>
    </row>
    <row r="3969" spans="3:6" x14ac:dyDescent="0.25">
      <c r="C3969" s="19"/>
      <c r="D3969" s="19" t="s">
        <v>1539</v>
      </c>
      <c r="E3969" s="19" t="s">
        <v>1499</v>
      </c>
      <c r="F3969">
        <v>1</v>
      </c>
    </row>
    <row r="3970" spans="3:6" x14ac:dyDescent="0.25">
      <c r="C3970" s="19"/>
      <c r="D3970" s="19" t="s">
        <v>1540</v>
      </c>
      <c r="E3970" s="19" t="s">
        <v>1541</v>
      </c>
      <c r="F3970">
        <v>1</v>
      </c>
    </row>
    <row r="3971" spans="3:6" x14ac:dyDescent="0.25">
      <c r="C3971" s="19"/>
      <c r="D3971" s="19" t="s">
        <v>1542</v>
      </c>
      <c r="E3971" s="19" t="s">
        <v>1543</v>
      </c>
      <c r="F3971">
        <v>0</v>
      </c>
    </row>
    <row r="3972" spans="3:6" x14ac:dyDescent="0.25">
      <c r="C3972" s="19"/>
      <c r="D3972" s="19" t="s">
        <v>1544</v>
      </c>
      <c r="E3972" s="19" t="s">
        <v>671</v>
      </c>
      <c r="F3972">
        <v>0</v>
      </c>
    </row>
    <row r="3973" spans="3:6" x14ac:dyDescent="0.25">
      <c r="C3973" s="19"/>
      <c r="D3973" s="19" t="s">
        <v>1545</v>
      </c>
      <c r="E3973" s="19" t="s">
        <v>1546</v>
      </c>
      <c r="F3973">
        <v>1</v>
      </c>
    </row>
    <row r="3974" spans="3:6" x14ac:dyDescent="0.25">
      <c r="C3974" s="19"/>
      <c r="D3974" s="19" t="s">
        <v>1547</v>
      </c>
      <c r="E3974" s="19" t="s">
        <v>1548</v>
      </c>
      <c r="F3974">
        <v>0</v>
      </c>
    </row>
    <row r="3975" spans="3:6" x14ac:dyDescent="0.25">
      <c r="C3975" s="19"/>
      <c r="D3975" s="19" t="s">
        <v>1549</v>
      </c>
      <c r="E3975" s="19" t="s">
        <v>1550</v>
      </c>
      <c r="F3975">
        <v>0</v>
      </c>
    </row>
    <row r="3976" spans="3:6" x14ac:dyDescent="0.25">
      <c r="C3976" s="19"/>
      <c r="D3976" s="19" t="s">
        <v>1551</v>
      </c>
      <c r="E3976" s="19" t="s">
        <v>1552</v>
      </c>
      <c r="F3976">
        <v>0</v>
      </c>
    </row>
    <row r="3977" spans="3:6" x14ac:dyDescent="0.25">
      <c r="C3977" s="19"/>
      <c r="D3977" s="19" t="s">
        <v>1553</v>
      </c>
      <c r="E3977" s="19" t="s">
        <v>1554</v>
      </c>
      <c r="F3977">
        <v>0</v>
      </c>
    </row>
    <row r="3978" spans="3:6" x14ac:dyDescent="0.25">
      <c r="C3978" s="19"/>
      <c r="D3978" s="19" t="s">
        <v>1555</v>
      </c>
      <c r="E3978" s="19" t="s">
        <v>1556</v>
      </c>
      <c r="F3978">
        <v>1</v>
      </c>
    </row>
    <row r="3979" spans="3:6" x14ac:dyDescent="0.25">
      <c r="C3979" s="19" t="s">
        <v>1557</v>
      </c>
      <c r="D3979" s="19" t="s">
        <v>1558</v>
      </c>
      <c r="E3979" s="19" t="s">
        <v>583</v>
      </c>
      <c r="F3979">
        <v>0</v>
      </c>
    </row>
    <row r="3980" spans="3:6" x14ac:dyDescent="0.25">
      <c r="C3980" s="19"/>
      <c r="D3980" s="19" t="s">
        <v>1559</v>
      </c>
      <c r="E3980" s="19" t="s">
        <v>306</v>
      </c>
      <c r="F3980">
        <v>1</v>
      </c>
    </row>
    <row r="3981" spans="3:6" x14ac:dyDescent="0.25">
      <c r="C3981" s="19"/>
      <c r="D3981" s="19" t="s">
        <v>1560</v>
      </c>
      <c r="E3981" s="19" t="s">
        <v>1561</v>
      </c>
      <c r="F3981">
        <v>1</v>
      </c>
    </row>
    <row r="3982" spans="3:6" x14ac:dyDescent="0.25">
      <c r="C3982" s="19"/>
      <c r="D3982" s="19" t="s">
        <v>1562</v>
      </c>
      <c r="E3982" s="19" t="s">
        <v>1563</v>
      </c>
      <c r="F3982">
        <v>0</v>
      </c>
    </row>
    <row r="3983" spans="3:6" x14ac:dyDescent="0.25">
      <c r="C3983" s="19"/>
      <c r="D3983" s="19" t="s">
        <v>1564</v>
      </c>
      <c r="E3983" s="19" t="s">
        <v>633</v>
      </c>
      <c r="F3983">
        <v>1</v>
      </c>
    </row>
    <row r="3984" spans="3:6" x14ac:dyDescent="0.25">
      <c r="C3984" s="19"/>
      <c r="D3984" s="19" t="s">
        <v>1565</v>
      </c>
      <c r="E3984" s="19" t="s">
        <v>493</v>
      </c>
      <c r="F3984">
        <v>0</v>
      </c>
    </row>
    <row r="3985" spans="1:6" x14ac:dyDescent="0.25">
      <c r="C3985" s="19"/>
      <c r="D3985" s="19" t="s">
        <v>1566</v>
      </c>
      <c r="E3985" s="19" t="s">
        <v>275</v>
      </c>
      <c r="F3985">
        <v>1</v>
      </c>
    </row>
    <row r="3986" spans="1:6" x14ac:dyDescent="0.25">
      <c r="C3986" s="19"/>
      <c r="D3986" s="19" t="s">
        <v>1567</v>
      </c>
      <c r="E3986" s="19" t="s">
        <v>1568</v>
      </c>
      <c r="F3986">
        <v>0</v>
      </c>
    </row>
    <row r="3987" spans="1:6" x14ac:dyDescent="0.25">
      <c r="C3987" s="19"/>
      <c r="D3987" s="19" t="s">
        <v>1569</v>
      </c>
      <c r="E3987" s="19" t="s">
        <v>1256</v>
      </c>
      <c r="F3987">
        <v>1</v>
      </c>
    </row>
    <row r="3988" spans="1:6" x14ac:dyDescent="0.25">
      <c r="C3988" s="19"/>
      <c r="D3988" s="19" t="s">
        <v>1570</v>
      </c>
      <c r="E3988" s="19" t="s">
        <v>1571</v>
      </c>
      <c r="F3988">
        <v>1</v>
      </c>
    </row>
    <row r="3989" spans="1:6" x14ac:dyDescent="0.25">
      <c r="C3989" s="19"/>
      <c r="D3989" s="19" t="s">
        <v>1572</v>
      </c>
      <c r="E3989" s="19" t="s">
        <v>1573</v>
      </c>
      <c r="F3989">
        <v>1</v>
      </c>
    </row>
    <row r="3990" spans="1:6" x14ac:dyDescent="0.25">
      <c r="C3990" s="19"/>
      <c r="D3990" s="19" t="s">
        <v>1574</v>
      </c>
      <c r="E3990" s="19" t="s">
        <v>1575</v>
      </c>
      <c r="F3990">
        <v>0</v>
      </c>
    </row>
    <row r="3991" spans="1:6" x14ac:dyDescent="0.25">
      <c r="C3991" s="19"/>
      <c r="D3991" s="19" t="s">
        <v>1576</v>
      </c>
      <c r="E3991" s="19" t="s">
        <v>1577</v>
      </c>
      <c r="F3991">
        <v>0</v>
      </c>
    </row>
    <row r="3992" spans="1:6" x14ac:dyDescent="0.25">
      <c r="C3992" s="19"/>
      <c r="D3992" s="19" t="s">
        <v>1578</v>
      </c>
      <c r="E3992" s="19" t="s">
        <v>503</v>
      </c>
      <c r="F3992">
        <v>0</v>
      </c>
    </row>
    <row r="3993" spans="1:6" x14ac:dyDescent="0.25">
      <c r="C3993" s="19"/>
      <c r="D3993" s="19" t="s">
        <v>1579</v>
      </c>
      <c r="E3993" s="19" t="s">
        <v>1580</v>
      </c>
      <c r="F3993">
        <v>1</v>
      </c>
    </row>
    <row r="3994" spans="1:6" x14ac:dyDescent="0.25">
      <c r="C3994" s="19"/>
      <c r="D3994" s="19" t="s">
        <v>1581</v>
      </c>
      <c r="E3994" s="19" t="s">
        <v>1582</v>
      </c>
      <c r="F3994">
        <v>0</v>
      </c>
    </row>
    <row r="3995" spans="1:6" x14ac:dyDescent="0.25">
      <c r="C3995" s="19"/>
      <c r="D3995" s="19" t="s">
        <v>1583</v>
      </c>
      <c r="E3995" s="19" t="s">
        <v>1584</v>
      </c>
      <c r="F3995">
        <v>0</v>
      </c>
    </row>
    <row r="3996" spans="1:6" x14ac:dyDescent="0.25">
      <c r="A3996" s="3">
        <v>625</v>
      </c>
      <c r="B3996" s="15" t="s">
        <v>179</v>
      </c>
      <c r="C3996" s="19" t="s">
        <v>1312</v>
      </c>
      <c r="D3996" s="19" t="s">
        <v>1313</v>
      </c>
      <c r="E3996" s="19" t="s">
        <v>304</v>
      </c>
      <c r="F3996">
        <v>1</v>
      </c>
    </row>
    <row r="3997" spans="1:6" x14ac:dyDescent="0.25">
      <c r="C3997" s="19"/>
      <c r="D3997" s="19" t="s">
        <v>1314</v>
      </c>
      <c r="E3997" s="19" t="s">
        <v>306</v>
      </c>
      <c r="F3997">
        <v>1</v>
      </c>
    </row>
    <row r="3998" spans="1:6" x14ac:dyDescent="0.25">
      <c r="C3998" s="19"/>
      <c r="D3998" s="19" t="s">
        <v>1315</v>
      </c>
      <c r="E3998" s="19" t="s">
        <v>273</v>
      </c>
      <c r="F3998">
        <v>1</v>
      </c>
    </row>
    <row r="3999" spans="1:6" x14ac:dyDescent="0.25">
      <c r="C3999" s="19"/>
      <c r="D3999" s="19" t="s">
        <v>1316</v>
      </c>
      <c r="E3999" s="19" t="s">
        <v>312</v>
      </c>
      <c r="F3999">
        <v>1</v>
      </c>
    </row>
    <row r="4000" spans="1:6" x14ac:dyDescent="0.25">
      <c r="C4000" s="19"/>
      <c r="D4000" s="19" t="s">
        <v>1317</v>
      </c>
      <c r="E4000" s="19" t="s">
        <v>314</v>
      </c>
      <c r="F4000">
        <v>1</v>
      </c>
    </row>
    <row r="4001" spans="3:6" x14ac:dyDescent="0.25">
      <c r="C4001" s="19"/>
      <c r="D4001" s="19" t="s">
        <v>1318</v>
      </c>
      <c r="E4001" s="19" t="s">
        <v>1319</v>
      </c>
      <c r="F4001">
        <v>0</v>
      </c>
    </row>
    <row r="4002" spans="3:6" x14ac:dyDescent="0.25">
      <c r="C4002" s="19"/>
      <c r="D4002" s="19" t="s">
        <v>1320</v>
      </c>
      <c r="E4002" s="19" t="s">
        <v>1321</v>
      </c>
      <c r="F4002">
        <v>1</v>
      </c>
    </row>
    <row r="4003" spans="3:6" x14ac:dyDescent="0.25">
      <c r="C4003" s="19"/>
      <c r="D4003" s="19" t="s">
        <v>1322</v>
      </c>
      <c r="E4003" s="19" t="s">
        <v>1323</v>
      </c>
      <c r="F4003">
        <v>1</v>
      </c>
    </row>
    <row r="4004" spans="3:6" x14ac:dyDescent="0.25">
      <c r="C4004" s="19"/>
      <c r="D4004" s="19" t="s">
        <v>1324</v>
      </c>
      <c r="E4004" s="19" t="s">
        <v>1325</v>
      </c>
      <c r="F4004">
        <v>0</v>
      </c>
    </row>
    <row r="4005" spans="3:6" x14ac:dyDescent="0.25">
      <c r="C4005" s="19"/>
      <c r="D4005" s="19" t="s">
        <v>1326</v>
      </c>
      <c r="E4005" s="19" t="s">
        <v>318</v>
      </c>
      <c r="F4005">
        <v>1</v>
      </c>
    </row>
    <row r="4006" spans="3:6" x14ac:dyDescent="0.25">
      <c r="C4006" s="19"/>
      <c r="D4006" s="19" t="s">
        <v>1327</v>
      </c>
      <c r="E4006" s="19" t="s">
        <v>1328</v>
      </c>
      <c r="F4006">
        <v>1</v>
      </c>
    </row>
    <row r="4007" spans="3:6" x14ac:dyDescent="0.25">
      <c r="C4007" s="19"/>
      <c r="D4007" s="19" t="s">
        <v>1329</v>
      </c>
      <c r="E4007" s="19" t="s">
        <v>1330</v>
      </c>
      <c r="F4007">
        <v>1</v>
      </c>
    </row>
    <row r="4008" spans="3:6" x14ac:dyDescent="0.25">
      <c r="C4008" s="19"/>
      <c r="D4008" s="19" t="s">
        <v>1331</v>
      </c>
      <c r="E4008" s="19" t="s">
        <v>1332</v>
      </c>
      <c r="F4008">
        <v>1</v>
      </c>
    </row>
    <row r="4009" spans="3:6" x14ac:dyDescent="0.25">
      <c r="C4009" s="19"/>
      <c r="D4009" s="19" t="s">
        <v>1333</v>
      </c>
      <c r="E4009" s="19" t="s">
        <v>1334</v>
      </c>
      <c r="F4009">
        <v>0</v>
      </c>
    </row>
    <row r="4010" spans="3:6" x14ac:dyDescent="0.25">
      <c r="C4010" s="19"/>
      <c r="D4010" s="19" t="s">
        <v>1335</v>
      </c>
      <c r="E4010" s="19" t="s">
        <v>991</v>
      </c>
      <c r="F4010">
        <v>1</v>
      </c>
    </row>
    <row r="4011" spans="3:6" x14ac:dyDescent="0.25">
      <c r="C4011" s="19"/>
      <c r="D4011" s="19" t="s">
        <v>1336</v>
      </c>
      <c r="E4011" s="19" t="s">
        <v>1337</v>
      </c>
      <c r="F4011">
        <v>1</v>
      </c>
    </row>
    <row r="4012" spans="3:6" x14ac:dyDescent="0.25">
      <c r="C4012" s="19"/>
      <c r="D4012" s="19" t="s">
        <v>1338</v>
      </c>
      <c r="E4012" s="19" t="s">
        <v>1339</v>
      </c>
      <c r="F4012">
        <v>1</v>
      </c>
    </row>
    <row r="4013" spans="3:6" x14ac:dyDescent="0.25">
      <c r="C4013" s="19"/>
      <c r="D4013" s="19" t="s">
        <v>1340</v>
      </c>
      <c r="E4013" s="19" t="s">
        <v>1341</v>
      </c>
      <c r="F4013">
        <v>2</v>
      </c>
    </row>
    <row r="4014" spans="3:6" x14ac:dyDescent="0.25">
      <c r="C4014" s="19"/>
      <c r="D4014" s="19" t="s">
        <v>1342</v>
      </c>
      <c r="E4014" s="19" t="s">
        <v>1343</v>
      </c>
      <c r="F4014">
        <v>1</v>
      </c>
    </row>
    <row r="4015" spans="3:6" x14ac:dyDescent="0.25">
      <c r="C4015" s="19"/>
      <c r="D4015" s="19" t="s">
        <v>1344</v>
      </c>
      <c r="E4015" s="19" t="s">
        <v>1345</v>
      </c>
      <c r="F4015">
        <v>1</v>
      </c>
    </row>
    <row r="4016" spans="3:6" x14ac:dyDescent="0.25">
      <c r="C4016" s="19"/>
      <c r="D4016" s="19" t="s">
        <v>1346</v>
      </c>
      <c r="E4016" s="19" t="s">
        <v>1347</v>
      </c>
      <c r="F4016">
        <v>1</v>
      </c>
    </row>
    <row r="4017" spans="1:6" x14ac:dyDescent="0.25">
      <c r="C4017" s="19"/>
      <c r="D4017" s="19" t="s">
        <v>1348</v>
      </c>
      <c r="E4017" s="19" t="s">
        <v>1349</v>
      </c>
      <c r="F4017">
        <v>0</v>
      </c>
    </row>
    <row r="4018" spans="1:6" x14ac:dyDescent="0.25">
      <c r="C4018" s="19"/>
      <c r="D4018" s="19" t="s">
        <v>1350</v>
      </c>
      <c r="E4018" s="19" t="s">
        <v>1351</v>
      </c>
      <c r="F4018">
        <v>1</v>
      </c>
    </row>
    <row r="4019" spans="1:6" x14ac:dyDescent="0.25">
      <c r="C4019" s="19"/>
      <c r="D4019" s="19" t="s">
        <v>1352</v>
      </c>
      <c r="E4019" s="19" t="s">
        <v>1353</v>
      </c>
      <c r="F4019">
        <v>1</v>
      </c>
    </row>
    <row r="4020" spans="1:6" x14ac:dyDescent="0.25">
      <c r="A4020" s="3">
        <v>626</v>
      </c>
      <c r="B4020" s="15" t="s">
        <v>180</v>
      </c>
      <c r="C4020" s="19" t="s">
        <v>1492</v>
      </c>
      <c r="D4020" s="19" t="s">
        <v>1493</v>
      </c>
      <c r="E4020" s="19" t="s">
        <v>1494</v>
      </c>
      <c r="F4020">
        <v>1</v>
      </c>
    </row>
    <row r="4021" spans="1:6" x14ac:dyDescent="0.25">
      <c r="C4021" s="19"/>
      <c r="D4021" s="19" t="s">
        <v>1495</v>
      </c>
      <c r="E4021" s="19" t="s">
        <v>1496</v>
      </c>
      <c r="F4021">
        <v>1</v>
      </c>
    </row>
    <row r="4022" spans="1:6" x14ac:dyDescent="0.25">
      <c r="C4022" s="19"/>
      <c r="D4022" s="19" t="s">
        <v>1497</v>
      </c>
      <c r="E4022" s="19" t="s">
        <v>306</v>
      </c>
      <c r="F4022">
        <v>1</v>
      </c>
    </row>
    <row r="4023" spans="1:6" x14ac:dyDescent="0.25">
      <c r="C4023" s="19"/>
      <c r="D4023" s="19" t="s">
        <v>1498</v>
      </c>
      <c r="E4023" s="19" t="s">
        <v>1499</v>
      </c>
      <c r="F4023">
        <v>0</v>
      </c>
    </row>
    <row r="4024" spans="1:6" x14ac:dyDescent="0.25">
      <c r="C4024" s="19"/>
      <c r="D4024" s="19" t="s">
        <v>1500</v>
      </c>
      <c r="E4024" s="19" t="s">
        <v>1397</v>
      </c>
      <c r="F4024">
        <v>1</v>
      </c>
    </row>
    <row r="4025" spans="1:6" x14ac:dyDescent="0.25">
      <c r="C4025" s="19"/>
      <c r="D4025" s="19" t="s">
        <v>1501</v>
      </c>
      <c r="E4025" s="19" t="s">
        <v>1502</v>
      </c>
      <c r="F4025">
        <v>1</v>
      </c>
    </row>
    <row r="4026" spans="1:6" x14ac:dyDescent="0.25">
      <c r="C4026" s="19"/>
      <c r="D4026" s="19" t="s">
        <v>1503</v>
      </c>
      <c r="E4026" s="19" t="s">
        <v>1504</v>
      </c>
      <c r="F4026">
        <v>1</v>
      </c>
    </row>
    <row r="4027" spans="1:6" x14ac:dyDescent="0.25">
      <c r="C4027" s="19"/>
      <c r="D4027" s="19" t="s">
        <v>1505</v>
      </c>
      <c r="E4027" s="19" t="s">
        <v>1506</v>
      </c>
      <c r="F4027">
        <v>0</v>
      </c>
    </row>
    <row r="4028" spans="1:6" x14ac:dyDescent="0.25">
      <c r="C4028" s="19"/>
      <c r="D4028" s="19" t="s">
        <v>1507</v>
      </c>
      <c r="E4028" s="19" t="s">
        <v>611</v>
      </c>
      <c r="F4028">
        <v>1</v>
      </c>
    </row>
    <row r="4029" spans="1:6" x14ac:dyDescent="0.25">
      <c r="C4029" s="19"/>
      <c r="D4029" s="19" t="s">
        <v>1508</v>
      </c>
      <c r="E4029" s="19" t="s">
        <v>1509</v>
      </c>
      <c r="F4029">
        <v>1</v>
      </c>
    </row>
    <row r="4030" spans="1:6" x14ac:dyDescent="0.25">
      <c r="C4030" s="19"/>
      <c r="D4030" s="19" t="s">
        <v>1510</v>
      </c>
      <c r="E4030" s="19" t="s">
        <v>613</v>
      </c>
      <c r="F4030">
        <v>0</v>
      </c>
    </row>
    <row r="4031" spans="1:6" x14ac:dyDescent="0.25">
      <c r="C4031" s="19"/>
      <c r="D4031" s="19" t="s">
        <v>1511</v>
      </c>
      <c r="E4031" s="19" t="s">
        <v>1419</v>
      </c>
      <c r="F4031">
        <v>1</v>
      </c>
    </row>
    <row r="4032" spans="1:6" x14ac:dyDescent="0.25">
      <c r="C4032" s="19"/>
      <c r="D4032" s="19" t="s">
        <v>1512</v>
      </c>
      <c r="E4032" s="19" t="s">
        <v>621</v>
      </c>
      <c r="F4032">
        <v>1</v>
      </c>
    </row>
    <row r="4033" spans="1:6" x14ac:dyDescent="0.25">
      <c r="C4033" s="19"/>
      <c r="D4033" s="19" t="s">
        <v>1513</v>
      </c>
      <c r="E4033" s="19" t="s">
        <v>1422</v>
      </c>
      <c r="F4033">
        <v>1</v>
      </c>
    </row>
    <row r="4034" spans="1:6" x14ac:dyDescent="0.25">
      <c r="C4034" s="19"/>
      <c r="D4034" s="19" t="s">
        <v>1514</v>
      </c>
      <c r="E4034" s="19" t="s">
        <v>614</v>
      </c>
      <c r="F4034">
        <v>0</v>
      </c>
    </row>
    <row r="4035" spans="1:6" x14ac:dyDescent="0.25">
      <c r="C4035" s="19"/>
      <c r="D4035" s="19" t="s">
        <v>1515</v>
      </c>
      <c r="E4035" s="19" t="s">
        <v>615</v>
      </c>
      <c r="F4035">
        <v>1</v>
      </c>
    </row>
    <row r="4036" spans="1:6" x14ac:dyDescent="0.25">
      <c r="C4036" s="19"/>
      <c r="D4036" s="19" t="s">
        <v>1516</v>
      </c>
      <c r="E4036" s="19" t="s">
        <v>1517</v>
      </c>
      <c r="F4036">
        <v>1</v>
      </c>
    </row>
    <row r="4037" spans="1:6" x14ac:dyDescent="0.25">
      <c r="C4037" s="19"/>
      <c r="D4037" s="19" t="s">
        <v>1518</v>
      </c>
      <c r="E4037" s="19" t="s">
        <v>1519</v>
      </c>
      <c r="F4037">
        <v>1</v>
      </c>
    </row>
    <row r="4038" spans="1:6" x14ac:dyDescent="0.25">
      <c r="C4038" s="19"/>
      <c r="D4038" s="19" t="s">
        <v>1520</v>
      </c>
      <c r="E4038" s="19" t="s">
        <v>1521</v>
      </c>
      <c r="F4038">
        <v>0</v>
      </c>
    </row>
    <row r="4039" spans="1:6" x14ac:dyDescent="0.25">
      <c r="C4039" s="19"/>
      <c r="D4039" s="19" t="s">
        <v>1522</v>
      </c>
      <c r="E4039" s="19" t="s">
        <v>1523</v>
      </c>
      <c r="F4039">
        <v>0</v>
      </c>
    </row>
    <row r="4040" spans="1:6" x14ac:dyDescent="0.25">
      <c r="C4040" s="19"/>
      <c r="D4040" s="19" t="s">
        <v>1524</v>
      </c>
      <c r="E4040" s="19" t="s">
        <v>1525</v>
      </c>
      <c r="F4040">
        <v>0</v>
      </c>
    </row>
    <row r="4041" spans="1:6" x14ac:dyDescent="0.25">
      <c r="C4041" s="19"/>
      <c r="D4041" s="19" t="s">
        <v>1526</v>
      </c>
      <c r="E4041" s="19" t="s">
        <v>1527</v>
      </c>
      <c r="F4041">
        <v>1</v>
      </c>
    </row>
    <row r="4042" spans="1:6" x14ac:dyDescent="0.25">
      <c r="C4042" s="19"/>
      <c r="D4042" s="19" t="s">
        <v>1528</v>
      </c>
      <c r="E4042" s="19" t="s">
        <v>1529</v>
      </c>
      <c r="F4042">
        <v>1</v>
      </c>
    </row>
    <row r="4043" spans="1:6" x14ac:dyDescent="0.25">
      <c r="C4043" s="19"/>
      <c r="D4043" s="19" t="s">
        <v>1530</v>
      </c>
      <c r="E4043" s="19" t="s">
        <v>1430</v>
      </c>
      <c r="F4043">
        <v>1</v>
      </c>
    </row>
    <row r="4044" spans="1:6" x14ac:dyDescent="0.25">
      <c r="C4044" s="19"/>
      <c r="D4044" s="19" t="s">
        <v>1531</v>
      </c>
      <c r="E4044" s="19" t="s">
        <v>503</v>
      </c>
      <c r="F4044">
        <v>1</v>
      </c>
    </row>
    <row r="4045" spans="1:6" x14ac:dyDescent="0.25">
      <c r="C4045" s="19"/>
      <c r="D4045" s="19" t="s">
        <v>1532</v>
      </c>
      <c r="E4045" s="19" t="s">
        <v>1533</v>
      </c>
      <c r="F4045">
        <v>0</v>
      </c>
    </row>
    <row r="4046" spans="1:6" x14ac:dyDescent="0.25">
      <c r="C4046" s="19"/>
      <c r="D4046" s="19" t="s">
        <v>1534</v>
      </c>
      <c r="E4046" s="19" t="s">
        <v>1535</v>
      </c>
      <c r="F4046">
        <v>1</v>
      </c>
    </row>
    <row r="4047" spans="1:6" x14ac:dyDescent="0.25">
      <c r="A4047" s="3">
        <v>628</v>
      </c>
      <c r="B4047" s="15" t="s">
        <v>181</v>
      </c>
      <c r="C4047" s="19" t="s">
        <v>1536</v>
      </c>
      <c r="D4047" s="19" t="s">
        <v>1537</v>
      </c>
      <c r="E4047" s="19" t="s">
        <v>1494</v>
      </c>
      <c r="F4047">
        <v>1</v>
      </c>
    </row>
    <row r="4048" spans="1:6" x14ac:dyDescent="0.25">
      <c r="C4048" s="19"/>
      <c r="D4048" s="19" t="s">
        <v>1538</v>
      </c>
      <c r="E4048" s="19" t="s">
        <v>306</v>
      </c>
      <c r="F4048">
        <v>0</v>
      </c>
    </row>
    <row r="4049" spans="1:6" x14ac:dyDescent="0.25">
      <c r="C4049" s="19"/>
      <c r="D4049" s="19" t="s">
        <v>1539</v>
      </c>
      <c r="E4049" s="19" t="s">
        <v>1499</v>
      </c>
      <c r="F4049">
        <v>0</v>
      </c>
    </row>
    <row r="4050" spans="1:6" x14ac:dyDescent="0.25">
      <c r="C4050" s="19"/>
      <c r="D4050" s="19" t="s">
        <v>1540</v>
      </c>
      <c r="E4050" s="19" t="s">
        <v>1541</v>
      </c>
      <c r="F4050">
        <v>1</v>
      </c>
    </row>
    <row r="4051" spans="1:6" x14ac:dyDescent="0.25">
      <c r="C4051" s="19"/>
      <c r="D4051" s="19" t="s">
        <v>1542</v>
      </c>
      <c r="E4051" s="19" t="s">
        <v>1543</v>
      </c>
      <c r="F4051">
        <v>0</v>
      </c>
    </row>
    <row r="4052" spans="1:6" x14ac:dyDescent="0.25">
      <c r="C4052" s="19"/>
      <c r="D4052" s="19" t="s">
        <v>1544</v>
      </c>
      <c r="E4052" s="19" t="s">
        <v>671</v>
      </c>
      <c r="F4052">
        <v>0</v>
      </c>
    </row>
    <row r="4053" spans="1:6" x14ac:dyDescent="0.25">
      <c r="C4053" s="19"/>
      <c r="D4053" s="19" t="s">
        <v>1545</v>
      </c>
      <c r="E4053" s="19" t="s">
        <v>1546</v>
      </c>
      <c r="F4053">
        <v>1</v>
      </c>
    </row>
    <row r="4054" spans="1:6" x14ac:dyDescent="0.25">
      <c r="C4054" s="19"/>
      <c r="D4054" s="19" t="s">
        <v>1547</v>
      </c>
      <c r="E4054" s="19" t="s">
        <v>1548</v>
      </c>
      <c r="F4054">
        <v>0</v>
      </c>
    </row>
    <row r="4055" spans="1:6" x14ac:dyDescent="0.25">
      <c r="C4055" s="19"/>
      <c r="D4055" s="19" t="s">
        <v>1549</v>
      </c>
      <c r="E4055" s="19" t="s">
        <v>1550</v>
      </c>
      <c r="F4055">
        <v>1</v>
      </c>
    </row>
    <row r="4056" spans="1:6" x14ac:dyDescent="0.25">
      <c r="C4056" s="19"/>
      <c r="D4056" s="19" t="s">
        <v>1551</v>
      </c>
      <c r="E4056" s="19" t="s">
        <v>1552</v>
      </c>
      <c r="F4056">
        <v>1</v>
      </c>
    </row>
    <row r="4057" spans="1:6" x14ac:dyDescent="0.25">
      <c r="C4057" s="19"/>
      <c r="D4057" s="19" t="s">
        <v>1553</v>
      </c>
      <c r="E4057" s="19" t="s">
        <v>1554</v>
      </c>
      <c r="F4057">
        <v>1</v>
      </c>
    </row>
    <row r="4058" spans="1:6" x14ac:dyDescent="0.25">
      <c r="C4058" s="19"/>
      <c r="D4058" s="19" t="s">
        <v>1555</v>
      </c>
      <c r="E4058" s="19" t="s">
        <v>1556</v>
      </c>
      <c r="F4058">
        <v>1</v>
      </c>
    </row>
    <row r="4059" spans="1:6" x14ac:dyDescent="0.25">
      <c r="A4059" s="3">
        <v>633</v>
      </c>
      <c r="B4059" s="15" t="s">
        <v>182</v>
      </c>
      <c r="C4059" s="19" t="s">
        <v>957</v>
      </c>
      <c r="D4059" s="19" t="s">
        <v>958</v>
      </c>
      <c r="E4059" s="19" t="s">
        <v>959</v>
      </c>
      <c r="F4059">
        <v>1</v>
      </c>
    </row>
    <row r="4060" spans="1:6" x14ac:dyDescent="0.25">
      <c r="C4060" s="19"/>
      <c r="D4060" s="19" t="s">
        <v>960</v>
      </c>
      <c r="E4060" s="19" t="s">
        <v>961</v>
      </c>
      <c r="F4060">
        <v>1</v>
      </c>
    </row>
    <row r="4061" spans="1:6" x14ac:dyDescent="0.25">
      <c r="C4061" s="19"/>
      <c r="D4061" s="19" t="s">
        <v>962</v>
      </c>
      <c r="E4061" s="19" t="s">
        <v>963</v>
      </c>
      <c r="F4061">
        <v>1</v>
      </c>
    </row>
    <row r="4062" spans="1:6" x14ac:dyDescent="0.25">
      <c r="C4062" s="19"/>
      <c r="D4062" s="19" t="s">
        <v>964</v>
      </c>
      <c r="E4062" s="19" t="s">
        <v>965</v>
      </c>
      <c r="F4062">
        <v>1</v>
      </c>
    </row>
    <row r="4063" spans="1:6" x14ac:dyDescent="0.25">
      <c r="C4063" s="19"/>
      <c r="D4063" s="19" t="s">
        <v>966</v>
      </c>
      <c r="E4063" s="19" t="s">
        <v>967</v>
      </c>
      <c r="F4063">
        <v>1</v>
      </c>
    </row>
    <row r="4064" spans="1:6" x14ac:dyDescent="0.25">
      <c r="C4064" s="19"/>
      <c r="D4064" s="19" t="s">
        <v>968</v>
      </c>
      <c r="E4064" s="19" t="s">
        <v>969</v>
      </c>
      <c r="F4064">
        <v>1</v>
      </c>
    </row>
    <row r="4065" spans="1:6" x14ac:dyDescent="0.25">
      <c r="C4065" s="19"/>
      <c r="D4065" s="19" t="s">
        <v>970</v>
      </c>
      <c r="E4065" s="19" t="s">
        <v>971</v>
      </c>
      <c r="F4065">
        <v>1</v>
      </c>
    </row>
    <row r="4066" spans="1:6" x14ac:dyDescent="0.25">
      <c r="A4066" s="3">
        <v>634</v>
      </c>
      <c r="B4066" s="15" t="s">
        <v>182</v>
      </c>
      <c r="C4066" s="19" t="s">
        <v>957</v>
      </c>
      <c r="D4066" s="19" t="s">
        <v>958</v>
      </c>
      <c r="E4066" s="19" t="s">
        <v>959</v>
      </c>
      <c r="F4066">
        <v>1</v>
      </c>
    </row>
    <row r="4067" spans="1:6" x14ac:dyDescent="0.25">
      <c r="C4067" s="19"/>
      <c r="D4067" s="19" t="s">
        <v>960</v>
      </c>
      <c r="E4067" s="19" t="s">
        <v>961</v>
      </c>
      <c r="F4067">
        <v>1</v>
      </c>
    </row>
    <row r="4068" spans="1:6" x14ac:dyDescent="0.25">
      <c r="C4068" s="19"/>
      <c r="D4068" s="19" t="s">
        <v>962</v>
      </c>
      <c r="E4068" s="19" t="s">
        <v>963</v>
      </c>
      <c r="F4068">
        <v>1</v>
      </c>
    </row>
    <row r="4069" spans="1:6" x14ac:dyDescent="0.25">
      <c r="C4069" s="19"/>
      <c r="D4069" s="19" t="s">
        <v>964</v>
      </c>
      <c r="E4069" s="19" t="s">
        <v>965</v>
      </c>
      <c r="F4069">
        <v>1</v>
      </c>
    </row>
    <row r="4070" spans="1:6" x14ac:dyDescent="0.25">
      <c r="C4070" s="19"/>
      <c r="D4070" s="19" t="s">
        <v>966</v>
      </c>
      <c r="E4070" s="19" t="s">
        <v>967</v>
      </c>
      <c r="F4070">
        <v>1</v>
      </c>
    </row>
    <row r="4071" spans="1:6" x14ac:dyDescent="0.25">
      <c r="C4071" s="19"/>
      <c r="D4071" s="19" t="s">
        <v>968</v>
      </c>
      <c r="E4071" s="19" t="s">
        <v>969</v>
      </c>
      <c r="F4071">
        <v>1</v>
      </c>
    </row>
    <row r="4072" spans="1:6" x14ac:dyDescent="0.25">
      <c r="C4072" s="19"/>
      <c r="D4072" s="19" t="s">
        <v>970</v>
      </c>
      <c r="E4072" s="19" t="s">
        <v>971</v>
      </c>
      <c r="F4072">
        <v>1</v>
      </c>
    </row>
    <row r="4073" spans="1:6" x14ac:dyDescent="0.25">
      <c r="A4073" s="3">
        <v>635</v>
      </c>
      <c r="B4073" s="15" t="s">
        <v>183</v>
      </c>
      <c r="C4073" s="19" t="s">
        <v>581</v>
      </c>
      <c r="D4073" s="19" t="s">
        <v>582</v>
      </c>
      <c r="E4073" s="19" t="s">
        <v>583</v>
      </c>
      <c r="F4073">
        <v>1</v>
      </c>
    </row>
    <row r="4074" spans="1:6" x14ac:dyDescent="0.25">
      <c r="C4074" s="19"/>
      <c r="D4074" s="19" t="s">
        <v>584</v>
      </c>
      <c r="E4074" s="19" t="s">
        <v>306</v>
      </c>
      <c r="F4074">
        <v>1</v>
      </c>
    </row>
    <row r="4075" spans="1:6" x14ac:dyDescent="0.25">
      <c r="C4075" s="19"/>
      <c r="D4075" s="19" t="s">
        <v>585</v>
      </c>
      <c r="E4075" s="19" t="s">
        <v>586</v>
      </c>
      <c r="F4075">
        <v>1</v>
      </c>
    </row>
    <row r="4076" spans="1:6" x14ac:dyDescent="0.25">
      <c r="C4076" s="19"/>
      <c r="D4076" s="19" t="s">
        <v>587</v>
      </c>
      <c r="E4076" s="19" t="s">
        <v>588</v>
      </c>
      <c r="F4076">
        <v>1</v>
      </c>
    </row>
    <row r="4077" spans="1:6" x14ac:dyDescent="0.25">
      <c r="C4077" s="19"/>
      <c r="D4077" s="19" t="s">
        <v>589</v>
      </c>
      <c r="E4077" s="19" t="s">
        <v>312</v>
      </c>
      <c r="F4077">
        <v>1</v>
      </c>
    </row>
    <row r="4078" spans="1:6" x14ac:dyDescent="0.25">
      <c r="C4078" s="19"/>
      <c r="D4078" s="19" t="s">
        <v>590</v>
      </c>
      <c r="E4078" s="19" t="s">
        <v>493</v>
      </c>
      <c r="F4078">
        <v>1</v>
      </c>
    </row>
    <row r="4079" spans="1:6" x14ac:dyDescent="0.25">
      <c r="C4079" s="19"/>
      <c r="D4079" s="19" t="s">
        <v>591</v>
      </c>
      <c r="E4079" s="19" t="s">
        <v>314</v>
      </c>
      <c r="F4079">
        <v>1</v>
      </c>
    </row>
    <row r="4080" spans="1:6" x14ac:dyDescent="0.25">
      <c r="C4080" s="19"/>
      <c r="D4080" s="19" t="s">
        <v>592</v>
      </c>
      <c r="E4080" s="19" t="s">
        <v>275</v>
      </c>
      <c r="F4080">
        <v>1</v>
      </c>
    </row>
    <row r="4081" spans="1:6" x14ac:dyDescent="0.25">
      <c r="C4081" s="19"/>
      <c r="D4081" s="19" t="s">
        <v>593</v>
      </c>
      <c r="E4081" s="19" t="s">
        <v>594</v>
      </c>
      <c r="F4081">
        <v>1</v>
      </c>
    </row>
    <row r="4082" spans="1:6" x14ac:dyDescent="0.25">
      <c r="C4082" s="19"/>
      <c r="D4082" s="19" t="s">
        <v>595</v>
      </c>
      <c r="E4082" s="19" t="s">
        <v>349</v>
      </c>
      <c r="F4082">
        <v>1</v>
      </c>
    </row>
    <row r="4083" spans="1:6" x14ac:dyDescent="0.25">
      <c r="C4083" s="19"/>
      <c r="D4083" s="19" t="s">
        <v>596</v>
      </c>
      <c r="E4083" s="19" t="s">
        <v>597</v>
      </c>
      <c r="F4083">
        <v>1</v>
      </c>
    </row>
    <row r="4084" spans="1:6" x14ac:dyDescent="0.25">
      <c r="C4084" s="19"/>
      <c r="D4084" s="19" t="s">
        <v>598</v>
      </c>
      <c r="E4084" s="19" t="s">
        <v>599</v>
      </c>
      <c r="F4084">
        <v>1</v>
      </c>
    </row>
    <row r="4085" spans="1:6" x14ac:dyDescent="0.25">
      <c r="C4085" s="19"/>
      <c r="D4085" s="19" t="s">
        <v>600</v>
      </c>
      <c r="E4085" s="19" t="s">
        <v>601</v>
      </c>
      <c r="F4085">
        <v>1</v>
      </c>
    </row>
    <row r="4086" spans="1:6" x14ac:dyDescent="0.25">
      <c r="C4086" s="19"/>
      <c r="D4086" s="19" t="s">
        <v>602</v>
      </c>
      <c r="E4086" s="19" t="s">
        <v>603</v>
      </c>
      <c r="F4086">
        <v>1</v>
      </c>
    </row>
    <row r="4087" spans="1:6" x14ac:dyDescent="0.25">
      <c r="C4087" s="19"/>
      <c r="D4087" s="19" t="s">
        <v>604</v>
      </c>
      <c r="E4087" s="19" t="s">
        <v>605</v>
      </c>
      <c r="F4087">
        <v>2</v>
      </c>
    </row>
    <row r="4088" spans="1:6" x14ac:dyDescent="0.25">
      <c r="C4088" s="19"/>
      <c r="D4088" s="19" t="s">
        <v>606</v>
      </c>
      <c r="E4088" s="19" t="s">
        <v>503</v>
      </c>
      <c r="F4088">
        <v>1</v>
      </c>
    </row>
    <row r="4089" spans="1:6" x14ac:dyDescent="0.25">
      <c r="C4089" s="19"/>
      <c r="D4089" s="19" t="s">
        <v>607</v>
      </c>
      <c r="E4089" s="19" t="s">
        <v>505</v>
      </c>
      <c r="F4089">
        <v>1</v>
      </c>
    </row>
    <row r="4090" spans="1:6" x14ac:dyDescent="0.25">
      <c r="C4090" s="19"/>
      <c r="D4090" s="19" t="s">
        <v>608</v>
      </c>
      <c r="E4090" s="19" t="s">
        <v>609</v>
      </c>
      <c r="F4090">
        <v>1</v>
      </c>
    </row>
    <row r="4091" spans="1:6" x14ac:dyDescent="0.25">
      <c r="A4091" s="3">
        <v>636</v>
      </c>
      <c r="B4091" s="15" t="s">
        <v>183</v>
      </c>
      <c r="C4091" s="19" t="s">
        <v>581</v>
      </c>
      <c r="D4091" s="19" t="s">
        <v>582</v>
      </c>
      <c r="E4091" s="19" t="s">
        <v>583</v>
      </c>
      <c r="F4091">
        <v>1</v>
      </c>
    </row>
    <row r="4092" spans="1:6" x14ac:dyDescent="0.25">
      <c r="C4092" s="19"/>
      <c r="D4092" s="19" t="s">
        <v>584</v>
      </c>
      <c r="E4092" s="19" t="s">
        <v>306</v>
      </c>
      <c r="F4092">
        <v>1</v>
      </c>
    </row>
    <row r="4093" spans="1:6" x14ac:dyDescent="0.25">
      <c r="C4093" s="19"/>
      <c r="D4093" s="19" t="s">
        <v>585</v>
      </c>
      <c r="E4093" s="19" t="s">
        <v>586</v>
      </c>
      <c r="F4093">
        <v>1</v>
      </c>
    </row>
    <row r="4094" spans="1:6" x14ac:dyDescent="0.25">
      <c r="C4094" s="19"/>
      <c r="D4094" s="19" t="s">
        <v>587</v>
      </c>
      <c r="E4094" s="19" t="s">
        <v>588</v>
      </c>
      <c r="F4094">
        <v>1</v>
      </c>
    </row>
    <row r="4095" spans="1:6" x14ac:dyDescent="0.25">
      <c r="C4095" s="19"/>
      <c r="D4095" s="19" t="s">
        <v>589</v>
      </c>
      <c r="E4095" s="19" t="s">
        <v>312</v>
      </c>
      <c r="F4095">
        <v>0</v>
      </c>
    </row>
    <row r="4096" spans="1:6" x14ac:dyDescent="0.25">
      <c r="C4096" s="19"/>
      <c r="D4096" s="19" t="s">
        <v>590</v>
      </c>
      <c r="E4096" s="19" t="s">
        <v>493</v>
      </c>
      <c r="F4096">
        <v>1</v>
      </c>
    </row>
    <row r="4097" spans="1:6" x14ac:dyDescent="0.25">
      <c r="C4097" s="19"/>
      <c r="D4097" s="19" t="s">
        <v>591</v>
      </c>
      <c r="E4097" s="19" t="s">
        <v>314</v>
      </c>
      <c r="F4097">
        <v>1</v>
      </c>
    </row>
    <row r="4098" spans="1:6" x14ac:dyDescent="0.25">
      <c r="C4098" s="19"/>
      <c r="D4098" s="19" t="s">
        <v>592</v>
      </c>
      <c r="E4098" s="19" t="s">
        <v>275</v>
      </c>
      <c r="F4098">
        <v>1</v>
      </c>
    </row>
    <row r="4099" spans="1:6" x14ac:dyDescent="0.25">
      <c r="C4099" s="19"/>
      <c r="D4099" s="19" t="s">
        <v>593</v>
      </c>
      <c r="E4099" s="19" t="s">
        <v>594</v>
      </c>
      <c r="F4099">
        <v>1</v>
      </c>
    </row>
    <row r="4100" spans="1:6" x14ac:dyDescent="0.25">
      <c r="C4100" s="19"/>
      <c r="D4100" s="19" t="s">
        <v>595</v>
      </c>
      <c r="E4100" s="19" t="s">
        <v>349</v>
      </c>
      <c r="F4100">
        <v>1</v>
      </c>
    </row>
    <row r="4101" spans="1:6" x14ac:dyDescent="0.25">
      <c r="C4101" s="19"/>
      <c r="D4101" s="19" t="s">
        <v>596</v>
      </c>
      <c r="E4101" s="19" t="s">
        <v>597</v>
      </c>
      <c r="F4101">
        <v>1</v>
      </c>
    </row>
    <row r="4102" spans="1:6" x14ac:dyDescent="0.25">
      <c r="C4102" s="19"/>
      <c r="D4102" s="19" t="s">
        <v>598</v>
      </c>
      <c r="E4102" s="19" t="s">
        <v>599</v>
      </c>
      <c r="F4102">
        <v>1</v>
      </c>
    </row>
    <row r="4103" spans="1:6" x14ac:dyDescent="0.25">
      <c r="C4103" s="19"/>
      <c r="D4103" s="19" t="s">
        <v>600</v>
      </c>
      <c r="E4103" s="19" t="s">
        <v>601</v>
      </c>
      <c r="F4103">
        <v>0</v>
      </c>
    </row>
    <row r="4104" spans="1:6" x14ac:dyDescent="0.25">
      <c r="C4104" s="19"/>
      <c r="D4104" s="19" t="s">
        <v>602</v>
      </c>
      <c r="E4104" s="19" t="s">
        <v>603</v>
      </c>
      <c r="F4104">
        <v>1</v>
      </c>
    </row>
    <row r="4105" spans="1:6" x14ac:dyDescent="0.25">
      <c r="C4105" s="19"/>
      <c r="D4105" s="19" t="s">
        <v>604</v>
      </c>
      <c r="E4105" s="19" t="s">
        <v>605</v>
      </c>
      <c r="F4105">
        <v>2</v>
      </c>
    </row>
    <row r="4106" spans="1:6" x14ac:dyDescent="0.25">
      <c r="C4106" s="19"/>
      <c r="D4106" s="19" t="s">
        <v>606</v>
      </c>
      <c r="E4106" s="19" t="s">
        <v>503</v>
      </c>
      <c r="F4106">
        <v>1</v>
      </c>
    </row>
    <row r="4107" spans="1:6" x14ac:dyDescent="0.25">
      <c r="C4107" s="19"/>
      <c r="D4107" s="19" t="s">
        <v>607</v>
      </c>
      <c r="E4107" s="19" t="s">
        <v>505</v>
      </c>
      <c r="F4107">
        <v>1</v>
      </c>
    </row>
    <row r="4108" spans="1:6" x14ac:dyDescent="0.25">
      <c r="C4108" s="19"/>
      <c r="D4108" s="19" t="s">
        <v>608</v>
      </c>
      <c r="E4108" s="19" t="s">
        <v>609</v>
      </c>
      <c r="F4108">
        <v>1</v>
      </c>
    </row>
    <row r="4109" spans="1:6" x14ac:dyDescent="0.25">
      <c r="A4109" s="3">
        <v>637</v>
      </c>
      <c r="B4109" s="15" t="s">
        <v>184</v>
      </c>
      <c r="C4109" s="19" t="s">
        <v>818</v>
      </c>
      <c r="D4109" s="19" t="s">
        <v>819</v>
      </c>
      <c r="E4109" s="19" t="s">
        <v>820</v>
      </c>
      <c r="F4109">
        <v>1</v>
      </c>
    </row>
    <row r="4110" spans="1:6" x14ac:dyDescent="0.25">
      <c r="C4110" s="19"/>
      <c r="D4110" s="19" t="s">
        <v>821</v>
      </c>
      <c r="E4110" s="19" t="s">
        <v>822</v>
      </c>
      <c r="F4110">
        <v>1</v>
      </c>
    </row>
    <row r="4111" spans="1:6" x14ac:dyDescent="0.25">
      <c r="C4111" s="19"/>
      <c r="D4111" s="19" t="s">
        <v>823</v>
      </c>
      <c r="E4111" s="19" t="s">
        <v>306</v>
      </c>
      <c r="F4111">
        <v>1</v>
      </c>
    </row>
    <row r="4112" spans="1:6" x14ac:dyDescent="0.25">
      <c r="C4112" s="19"/>
      <c r="D4112" s="19" t="s">
        <v>824</v>
      </c>
      <c r="E4112" s="19" t="s">
        <v>825</v>
      </c>
      <c r="F4112">
        <v>1</v>
      </c>
    </row>
    <row r="4113" spans="3:6" x14ac:dyDescent="0.25">
      <c r="C4113" s="19"/>
      <c r="D4113" s="19" t="s">
        <v>826</v>
      </c>
      <c r="E4113" s="19" t="s">
        <v>827</v>
      </c>
      <c r="F4113">
        <v>1</v>
      </c>
    </row>
    <row r="4114" spans="3:6" x14ac:dyDescent="0.25">
      <c r="C4114" s="19"/>
      <c r="D4114" s="19" t="s">
        <v>828</v>
      </c>
      <c r="E4114" s="19" t="s">
        <v>312</v>
      </c>
      <c r="F4114">
        <v>1</v>
      </c>
    </row>
    <row r="4115" spans="3:6" x14ac:dyDescent="0.25">
      <c r="C4115" s="19"/>
      <c r="D4115" s="19" t="s">
        <v>829</v>
      </c>
      <c r="E4115" s="19" t="s">
        <v>316</v>
      </c>
      <c r="F4115">
        <v>1</v>
      </c>
    </row>
    <row r="4116" spans="3:6" x14ac:dyDescent="0.25">
      <c r="C4116" s="19"/>
      <c r="D4116" s="19" t="s">
        <v>830</v>
      </c>
      <c r="E4116" s="19" t="s">
        <v>314</v>
      </c>
      <c r="F4116">
        <v>1</v>
      </c>
    </row>
    <row r="4117" spans="3:6" x14ac:dyDescent="0.25">
      <c r="C4117" s="19"/>
      <c r="D4117" s="19" t="s">
        <v>831</v>
      </c>
      <c r="E4117" s="19" t="s">
        <v>832</v>
      </c>
      <c r="F4117">
        <v>1</v>
      </c>
    </row>
    <row r="4118" spans="3:6" x14ac:dyDescent="0.25">
      <c r="C4118" s="19"/>
      <c r="D4118" s="19" t="s">
        <v>833</v>
      </c>
      <c r="E4118" s="19" t="s">
        <v>834</v>
      </c>
      <c r="F4118">
        <v>0</v>
      </c>
    </row>
    <row r="4119" spans="3:6" x14ac:dyDescent="0.25">
      <c r="C4119" s="19"/>
      <c r="D4119" s="19" t="s">
        <v>835</v>
      </c>
      <c r="E4119" s="19" t="s">
        <v>836</v>
      </c>
      <c r="F4119">
        <v>1</v>
      </c>
    </row>
    <row r="4120" spans="3:6" x14ac:dyDescent="0.25">
      <c r="C4120" s="19"/>
      <c r="D4120" s="19" t="s">
        <v>837</v>
      </c>
      <c r="E4120" s="19" t="s">
        <v>838</v>
      </c>
      <c r="F4120">
        <v>1</v>
      </c>
    </row>
    <row r="4121" spans="3:6" x14ac:dyDescent="0.25">
      <c r="C4121" s="19"/>
      <c r="D4121" s="19" t="s">
        <v>839</v>
      </c>
      <c r="E4121" s="19" t="s">
        <v>840</v>
      </c>
      <c r="F4121">
        <v>1</v>
      </c>
    </row>
    <row r="4122" spans="3:6" x14ac:dyDescent="0.25">
      <c r="C4122" s="19"/>
      <c r="D4122" s="19" t="s">
        <v>841</v>
      </c>
      <c r="E4122" s="19" t="s">
        <v>842</v>
      </c>
      <c r="F4122">
        <v>1</v>
      </c>
    </row>
    <row r="4123" spans="3:6" x14ac:dyDescent="0.25">
      <c r="C4123" s="19"/>
      <c r="D4123" s="19" t="s">
        <v>843</v>
      </c>
      <c r="E4123" s="19" t="s">
        <v>844</v>
      </c>
      <c r="F4123">
        <v>1</v>
      </c>
    </row>
    <row r="4124" spans="3:6" x14ac:dyDescent="0.25">
      <c r="C4124" s="19"/>
      <c r="D4124" s="19" t="s">
        <v>845</v>
      </c>
      <c r="E4124" s="19" t="s">
        <v>846</v>
      </c>
      <c r="F4124">
        <v>0</v>
      </c>
    </row>
    <row r="4125" spans="3:6" x14ac:dyDescent="0.25">
      <c r="C4125" s="19"/>
      <c r="D4125" s="19" t="s">
        <v>847</v>
      </c>
      <c r="E4125" s="19" t="s">
        <v>848</v>
      </c>
      <c r="F4125">
        <v>0</v>
      </c>
    </row>
    <row r="4126" spans="3:6" x14ac:dyDescent="0.25">
      <c r="C4126" s="19"/>
      <c r="D4126" s="19" t="s">
        <v>849</v>
      </c>
      <c r="E4126" s="19" t="s">
        <v>850</v>
      </c>
      <c r="F4126">
        <v>1</v>
      </c>
    </row>
    <row r="4127" spans="3:6" x14ac:dyDescent="0.25">
      <c r="C4127" s="19"/>
      <c r="D4127" s="19" t="s">
        <v>851</v>
      </c>
      <c r="E4127" s="19" t="s">
        <v>852</v>
      </c>
      <c r="F4127">
        <v>0</v>
      </c>
    </row>
    <row r="4128" spans="3:6" x14ac:dyDescent="0.25">
      <c r="C4128" s="19"/>
      <c r="D4128" s="19" t="s">
        <v>853</v>
      </c>
      <c r="E4128" s="19" t="s">
        <v>854</v>
      </c>
      <c r="F4128">
        <v>0</v>
      </c>
    </row>
    <row r="4129" spans="1:6" x14ac:dyDescent="0.25">
      <c r="C4129" s="19"/>
      <c r="D4129" s="19" t="s">
        <v>855</v>
      </c>
      <c r="E4129" s="19" t="s">
        <v>856</v>
      </c>
      <c r="F4129">
        <v>1</v>
      </c>
    </row>
    <row r="4130" spans="1:6" x14ac:dyDescent="0.25">
      <c r="C4130" s="19"/>
      <c r="D4130" s="19" t="s">
        <v>857</v>
      </c>
      <c r="E4130" s="19" t="s">
        <v>858</v>
      </c>
      <c r="F4130">
        <v>1</v>
      </c>
    </row>
    <row r="4131" spans="1:6" x14ac:dyDescent="0.25">
      <c r="A4131" s="3">
        <v>638</v>
      </c>
      <c r="B4131" s="16" t="s">
        <v>184</v>
      </c>
      <c r="C4131" s="19" t="s">
        <v>818</v>
      </c>
      <c r="D4131" s="19" t="s">
        <v>819</v>
      </c>
      <c r="E4131" s="19" t="s">
        <v>820</v>
      </c>
      <c r="F4131">
        <v>1</v>
      </c>
    </row>
    <row r="4132" spans="1:6" x14ac:dyDescent="0.25">
      <c r="C4132" s="19"/>
      <c r="D4132" s="19" t="s">
        <v>821</v>
      </c>
      <c r="E4132" s="19" t="s">
        <v>822</v>
      </c>
      <c r="F4132">
        <v>1</v>
      </c>
    </row>
    <row r="4133" spans="1:6" x14ac:dyDescent="0.25">
      <c r="C4133" s="19"/>
      <c r="D4133" s="19" t="s">
        <v>823</v>
      </c>
      <c r="E4133" s="19" t="s">
        <v>306</v>
      </c>
      <c r="F4133">
        <v>1</v>
      </c>
    </row>
    <row r="4134" spans="1:6" x14ac:dyDescent="0.25">
      <c r="C4134" s="19"/>
      <c r="D4134" s="19" t="s">
        <v>824</v>
      </c>
      <c r="E4134" s="19" t="s">
        <v>825</v>
      </c>
      <c r="F4134">
        <v>1</v>
      </c>
    </row>
    <row r="4135" spans="1:6" x14ac:dyDescent="0.25">
      <c r="C4135" s="19"/>
      <c r="D4135" s="19" t="s">
        <v>826</v>
      </c>
      <c r="E4135" s="19" t="s">
        <v>827</v>
      </c>
      <c r="F4135">
        <v>1</v>
      </c>
    </row>
    <row r="4136" spans="1:6" x14ac:dyDescent="0.25">
      <c r="C4136" s="19"/>
      <c r="D4136" s="19" t="s">
        <v>828</v>
      </c>
      <c r="E4136" s="19" t="s">
        <v>312</v>
      </c>
      <c r="F4136">
        <v>1</v>
      </c>
    </row>
    <row r="4137" spans="1:6" x14ac:dyDescent="0.25">
      <c r="C4137" s="19"/>
      <c r="D4137" s="19" t="s">
        <v>829</v>
      </c>
      <c r="E4137" s="19" t="s">
        <v>316</v>
      </c>
      <c r="F4137">
        <v>1</v>
      </c>
    </row>
    <row r="4138" spans="1:6" x14ac:dyDescent="0.25">
      <c r="C4138" s="19"/>
      <c r="D4138" s="19" t="s">
        <v>830</v>
      </c>
      <c r="E4138" s="19" t="s">
        <v>314</v>
      </c>
      <c r="F4138">
        <v>1</v>
      </c>
    </row>
    <row r="4139" spans="1:6" x14ac:dyDescent="0.25">
      <c r="C4139" s="19"/>
      <c r="D4139" s="19" t="s">
        <v>831</v>
      </c>
      <c r="E4139" s="19" t="s">
        <v>832</v>
      </c>
      <c r="F4139">
        <v>1</v>
      </c>
    </row>
    <row r="4140" spans="1:6" x14ac:dyDescent="0.25">
      <c r="C4140" s="19"/>
      <c r="D4140" s="19" t="s">
        <v>833</v>
      </c>
      <c r="E4140" s="19" t="s">
        <v>834</v>
      </c>
      <c r="F4140">
        <v>0</v>
      </c>
    </row>
    <row r="4141" spans="1:6" x14ac:dyDescent="0.25">
      <c r="C4141" s="19"/>
      <c r="D4141" s="19" t="s">
        <v>835</v>
      </c>
      <c r="E4141" s="19" t="s">
        <v>836</v>
      </c>
      <c r="F4141">
        <v>1</v>
      </c>
    </row>
    <row r="4142" spans="1:6" x14ac:dyDescent="0.25">
      <c r="C4142" s="19"/>
      <c r="D4142" s="19" t="s">
        <v>837</v>
      </c>
      <c r="E4142" s="19" t="s">
        <v>838</v>
      </c>
      <c r="F4142">
        <v>1</v>
      </c>
    </row>
    <row r="4143" spans="1:6" x14ac:dyDescent="0.25">
      <c r="C4143" s="19"/>
      <c r="D4143" s="19" t="s">
        <v>839</v>
      </c>
      <c r="E4143" s="19" t="s">
        <v>840</v>
      </c>
      <c r="F4143">
        <v>1</v>
      </c>
    </row>
    <row r="4144" spans="1:6" x14ac:dyDescent="0.25">
      <c r="C4144" s="19"/>
      <c r="D4144" s="19" t="s">
        <v>841</v>
      </c>
      <c r="E4144" s="19" t="s">
        <v>842</v>
      </c>
      <c r="F4144">
        <v>1</v>
      </c>
    </row>
    <row r="4145" spans="1:6" x14ac:dyDescent="0.25">
      <c r="C4145" s="19"/>
      <c r="D4145" s="19" t="s">
        <v>843</v>
      </c>
      <c r="E4145" s="19" t="s">
        <v>844</v>
      </c>
      <c r="F4145">
        <v>1</v>
      </c>
    </row>
    <row r="4146" spans="1:6" x14ac:dyDescent="0.25">
      <c r="C4146" s="19"/>
      <c r="D4146" s="19" t="s">
        <v>845</v>
      </c>
      <c r="E4146" s="19" t="s">
        <v>846</v>
      </c>
      <c r="F4146">
        <v>0</v>
      </c>
    </row>
    <row r="4147" spans="1:6" x14ac:dyDescent="0.25">
      <c r="C4147" s="19"/>
      <c r="D4147" s="19" t="s">
        <v>847</v>
      </c>
      <c r="E4147" s="19" t="s">
        <v>848</v>
      </c>
      <c r="F4147">
        <v>1</v>
      </c>
    </row>
    <row r="4148" spans="1:6" x14ac:dyDescent="0.25">
      <c r="C4148" s="19"/>
      <c r="D4148" s="19" t="s">
        <v>849</v>
      </c>
      <c r="E4148" s="19" t="s">
        <v>850</v>
      </c>
      <c r="F4148">
        <v>1</v>
      </c>
    </row>
    <row r="4149" spans="1:6" x14ac:dyDescent="0.25">
      <c r="C4149" s="19"/>
      <c r="D4149" s="19" t="s">
        <v>851</v>
      </c>
      <c r="E4149" s="19" t="s">
        <v>852</v>
      </c>
      <c r="F4149">
        <v>0</v>
      </c>
    </row>
    <row r="4150" spans="1:6" x14ac:dyDescent="0.25">
      <c r="C4150" s="19"/>
      <c r="D4150" s="19" t="s">
        <v>853</v>
      </c>
      <c r="E4150" s="19" t="s">
        <v>854</v>
      </c>
      <c r="F4150">
        <v>0</v>
      </c>
    </row>
    <row r="4151" spans="1:6" x14ac:dyDescent="0.25">
      <c r="C4151" s="19"/>
      <c r="D4151" s="19" t="s">
        <v>855</v>
      </c>
      <c r="E4151" s="19" t="s">
        <v>856</v>
      </c>
      <c r="F4151">
        <v>1</v>
      </c>
    </row>
    <row r="4152" spans="1:6" x14ac:dyDescent="0.25">
      <c r="C4152" s="19"/>
      <c r="D4152" s="19" t="s">
        <v>857</v>
      </c>
      <c r="E4152" s="19" t="s">
        <v>858</v>
      </c>
      <c r="F4152">
        <v>1</v>
      </c>
    </row>
    <row r="4153" spans="1:6" x14ac:dyDescent="0.25">
      <c r="A4153" s="3">
        <v>641</v>
      </c>
      <c r="B4153" s="15" t="s">
        <v>185</v>
      </c>
      <c r="C4153" s="19" t="s">
        <v>1141</v>
      </c>
      <c r="D4153" s="19" t="s">
        <v>1142</v>
      </c>
      <c r="E4153" s="19" t="s">
        <v>312</v>
      </c>
      <c r="F4153">
        <v>1</v>
      </c>
    </row>
    <row r="4154" spans="1:6" x14ac:dyDescent="0.25">
      <c r="C4154" s="19"/>
      <c r="D4154" s="19" t="s">
        <v>1143</v>
      </c>
      <c r="E4154" s="19" t="s">
        <v>314</v>
      </c>
      <c r="F4154">
        <v>1</v>
      </c>
    </row>
    <row r="4155" spans="1:6" x14ac:dyDescent="0.25">
      <c r="C4155" s="19"/>
      <c r="D4155" s="19" t="s">
        <v>1144</v>
      </c>
      <c r="E4155" s="19" t="s">
        <v>1145</v>
      </c>
      <c r="F4155">
        <v>0</v>
      </c>
    </row>
    <row r="4156" spans="1:6" x14ac:dyDescent="0.25">
      <c r="C4156" s="19"/>
      <c r="D4156" s="19" t="s">
        <v>1146</v>
      </c>
      <c r="E4156" s="19" t="s">
        <v>1147</v>
      </c>
      <c r="F4156">
        <v>0</v>
      </c>
    </row>
    <row r="4157" spans="1:6" x14ac:dyDescent="0.25">
      <c r="C4157" s="19"/>
      <c r="D4157" s="19" t="s">
        <v>1148</v>
      </c>
      <c r="E4157" s="19" t="s">
        <v>713</v>
      </c>
      <c r="F4157">
        <v>1</v>
      </c>
    </row>
    <row r="4158" spans="1:6" x14ac:dyDescent="0.25">
      <c r="C4158" s="19"/>
      <c r="D4158" s="19" t="s">
        <v>1149</v>
      </c>
      <c r="E4158" s="19" t="s">
        <v>1150</v>
      </c>
      <c r="F4158">
        <v>0</v>
      </c>
    </row>
    <row r="4159" spans="1:6" x14ac:dyDescent="0.25">
      <c r="C4159" s="19"/>
      <c r="D4159" s="19" t="s">
        <v>1151</v>
      </c>
      <c r="E4159" s="19" t="s">
        <v>380</v>
      </c>
      <c r="F4159">
        <v>1</v>
      </c>
    </row>
    <row r="4160" spans="1:6" x14ac:dyDescent="0.25">
      <c r="C4160" s="19"/>
      <c r="D4160" s="19" t="s">
        <v>1152</v>
      </c>
      <c r="E4160" s="19" t="s">
        <v>381</v>
      </c>
      <c r="F4160">
        <v>1</v>
      </c>
    </row>
    <row r="4161" spans="1:6" x14ac:dyDescent="0.25">
      <c r="C4161" s="19"/>
      <c r="D4161" s="19" t="s">
        <v>1153</v>
      </c>
      <c r="E4161" s="19" t="s">
        <v>1154</v>
      </c>
      <c r="F4161">
        <v>1</v>
      </c>
    </row>
    <row r="4162" spans="1:6" x14ac:dyDescent="0.25">
      <c r="A4162" s="3">
        <v>643</v>
      </c>
      <c r="B4162" s="15" t="s">
        <v>186</v>
      </c>
      <c r="C4162" s="19" t="s">
        <v>1169</v>
      </c>
      <c r="D4162" s="19" t="s">
        <v>1170</v>
      </c>
      <c r="E4162" s="19" t="s">
        <v>1171</v>
      </c>
      <c r="F4162">
        <v>0</v>
      </c>
    </row>
    <row r="4163" spans="1:6" x14ac:dyDescent="0.25">
      <c r="C4163" s="19"/>
      <c r="D4163" s="19" t="s">
        <v>1172</v>
      </c>
      <c r="E4163" s="19" t="s">
        <v>1173</v>
      </c>
      <c r="F4163">
        <v>1</v>
      </c>
    </row>
    <row r="4164" spans="1:6" x14ac:dyDescent="0.25">
      <c r="C4164" s="19"/>
      <c r="D4164" s="19" t="s">
        <v>1174</v>
      </c>
      <c r="E4164" s="19" t="s">
        <v>1175</v>
      </c>
      <c r="F4164">
        <v>0</v>
      </c>
    </row>
    <row r="4165" spans="1:6" x14ac:dyDescent="0.25">
      <c r="C4165" s="19"/>
      <c r="D4165" s="19" t="s">
        <v>1176</v>
      </c>
      <c r="E4165" s="19" t="s">
        <v>1177</v>
      </c>
      <c r="F4165">
        <v>1</v>
      </c>
    </row>
    <row r="4166" spans="1:6" x14ac:dyDescent="0.25">
      <c r="C4166" s="19"/>
      <c r="D4166" s="19" t="s">
        <v>1178</v>
      </c>
      <c r="E4166" s="19" t="s">
        <v>1179</v>
      </c>
      <c r="F4166">
        <v>1</v>
      </c>
    </row>
    <row r="4167" spans="1:6" x14ac:dyDescent="0.25">
      <c r="C4167" s="19"/>
      <c r="D4167" s="19" t="s">
        <v>1180</v>
      </c>
      <c r="E4167" s="19" t="s">
        <v>1181</v>
      </c>
      <c r="F4167">
        <v>1</v>
      </c>
    </row>
    <row r="4168" spans="1:6" x14ac:dyDescent="0.25">
      <c r="C4168" s="19"/>
      <c r="D4168" s="19" t="s">
        <v>1182</v>
      </c>
      <c r="E4168" s="19" t="s">
        <v>1183</v>
      </c>
      <c r="F4168">
        <v>2</v>
      </c>
    </row>
    <row r="4169" spans="1:6" x14ac:dyDescent="0.25">
      <c r="C4169" s="19"/>
      <c r="D4169" s="19" t="s">
        <v>1184</v>
      </c>
      <c r="E4169" s="19" t="s">
        <v>1185</v>
      </c>
      <c r="F4169">
        <v>1</v>
      </c>
    </row>
    <row r="4170" spans="1:6" x14ac:dyDescent="0.25">
      <c r="C4170" s="19"/>
      <c r="D4170" s="19" t="s">
        <v>1186</v>
      </c>
      <c r="E4170" s="19" t="s">
        <v>1187</v>
      </c>
      <c r="F4170">
        <v>2</v>
      </c>
    </row>
    <row r="4171" spans="1:6" x14ac:dyDescent="0.25">
      <c r="C4171" s="19"/>
      <c r="D4171" s="19" t="s">
        <v>1188</v>
      </c>
      <c r="E4171" s="19" t="s">
        <v>1189</v>
      </c>
      <c r="F4171">
        <v>2</v>
      </c>
    </row>
    <row r="4172" spans="1:6" x14ac:dyDescent="0.25">
      <c r="C4172" s="19"/>
      <c r="D4172" s="19" t="s">
        <v>1190</v>
      </c>
      <c r="E4172" s="19" t="s">
        <v>1191</v>
      </c>
      <c r="F4172">
        <v>1</v>
      </c>
    </row>
    <row r="4173" spans="1:6" x14ac:dyDescent="0.25">
      <c r="C4173" s="19"/>
      <c r="D4173" s="19" t="s">
        <v>1192</v>
      </c>
      <c r="E4173" s="19" t="s">
        <v>1193</v>
      </c>
      <c r="F4173">
        <v>1</v>
      </c>
    </row>
    <row r="4174" spans="1:6" x14ac:dyDescent="0.25">
      <c r="C4174" s="19"/>
      <c r="D4174" s="19" t="s">
        <v>1194</v>
      </c>
      <c r="E4174" s="19" t="s">
        <v>1195</v>
      </c>
      <c r="F4174">
        <v>0</v>
      </c>
    </row>
    <row r="4175" spans="1:6" x14ac:dyDescent="0.25">
      <c r="C4175" s="19"/>
      <c r="D4175" s="19" t="s">
        <v>1196</v>
      </c>
      <c r="E4175" s="19" t="s">
        <v>1197</v>
      </c>
      <c r="F4175">
        <v>1</v>
      </c>
    </row>
    <row r="4176" spans="1:6" x14ac:dyDescent="0.25">
      <c r="A4176" s="3">
        <v>644</v>
      </c>
      <c r="B4176" s="15" t="s">
        <v>186</v>
      </c>
      <c r="C4176" s="19" t="s">
        <v>1169</v>
      </c>
      <c r="D4176" s="19" t="s">
        <v>1170</v>
      </c>
      <c r="E4176" s="19" t="s">
        <v>1171</v>
      </c>
      <c r="F4176">
        <v>0</v>
      </c>
    </row>
    <row r="4177" spans="1:6" x14ac:dyDescent="0.25">
      <c r="C4177" s="19"/>
      <c r="D4177" s="19" t="s">
        <v>1172</v>
      </c>
      <c r="E4177" s="19" t="s">
        <v>1173</v>
      </c>
      <c r="F4177">
        <v>1</v>
      </c>
    </row>
    <row r="4178" spans="1:6" x14ac:dyDescent="0.25">
      <c r="C4178" s="19"/>
      <c r="D4178" s="19" t="s">
        <v>1174</v>
      </c>
      <c r="E4178" s="19" t="s">
        <v>1175</v>
      </c>
      <c r="F4178">
        <v>0</v>
      </c>
    </row>
    <row r="4179" spans="1:6" x14ac:dyDescent="0.25">
      <c r="C4179" s="19"/>
      <c r="D4179" s="19" t="s">
        <v>1176</v>
      </c>
      <c r="E4179" s="19" t="s">
        <v>1177</v>
      </c>
      <c r="F4179">
        <v>1</v>
      </c>
    </row>
    <row r="4180" spans="1:6" x14ac:dyDescent="0.25">
      <c r="C4180" s="19"/>
      <c r="D4180" s="19" t="s">
        <v>1178</v>
      </c>
      <c r="E4180" s="19" t="s">
        <v>1179</v>
      </c>
      <c r="F4180">
        <v>1</v>
      </c>
    </row>
    <row r="4181" spans="1:6" x14ac:dyDescent="0.25">
      <c r="C4181" s="19"/>
      <c r="D4181" s="19" t="s">
        <v>1180</v>
      </c>
      <c r="E4181" s="19" t="s">
        <v>1181</v>
      </c>
      <c r="F4181">
        <v>1</v>
      </c>
    </row>
    <row r="4182" spans="1:6" x14ac:dyDescent="0.25">
      <c r="C4182" s="19"/>
      <c r="D4182" s="19" t="s">
        <v>1182</v>
      </c>
      <c r="E4182" s="19" t="s">
        <v>1183</v>
      </c>
      <c r="F4182">
        <v>2</v>
      </c>
    </row>
    <row r="4183" spans="1:6" x14ac:dyDescent="0.25">
      <c r="C4183" s="19"/>
      <c r="D4183" s="19" t="s">
        <v>1184</v>
      </c>
      <c r="E4183" s="19" t="s">
        <v>1185</v>
      </c>
      <c r="F4183">
        <v>1</v>
      </c>
    </row>
    <row r="4184" spans="1:6" x14ac:dyDescent="0.25">
      <c r="C4184" s="19"/>
      <c r="D4184" s="19" t="s">
        <v>1186</v>
      </c>
      <c r="E4184" s="19" t="s">
        <v>1187</v>
      </c>
      <c r="F4184">
        <v>2</v>
      </c>
    </row>
    <row r="4185" spans="1:6" x14ac:dyDescent="0.25">
      <c r="C4185" s="19"/>
      <c r="D4185" s="19" t="s">
        <v>1188</v>
      </c>
      <c r="E4185" s="19" t="s">
        <v>1189</v>
      </c>
      <c r="F4185">
        <v>2</v>
      </c>
    </row>
    <row r="4186" spans="1:6" x14ac:dyDescent="0.25">
      <c r="C4186" s="19"/>
      <c r="D4186" s="19" t="s">
        <v>1190</v>
      </c>
      <c r="E4186" s="19" t="s">
        <v>1191</v>
      </c>
      <c r="F4186">
        <v>2</v>
      </c>
    </row>
    <row r="4187" spans="1:6" x14ac:dyDescent="0.25">
      <c r="C4187" s="19"/>
      <c r="D4187" s="19" t="s">
        <v>1192</v>
      </c>
      <c r="E4187" s="19" t="s">
        <v>1193</v>
      </c>
      <c r="F4187">
        <v>1</v>
      </c>
    </row>
    <row r="4188" spans="1:6" x14ac:dyDescent="0.25">
      <c r="C4188" s="19"/>
      <c r="D4188" s="19" t="s">
        <v>1194</v>
      </c>
      <c r="E4188" s="19" t="s">
        <v>1195</v>
      </c>
      <c r="F4188">
        <v>0</v>
      </c>
    </row>
    <row r="4189" spans="1:6" x14ac:dyDescent="0.25">
      <c r="C4189" s="19"/>
      <c r="D4189" s="19" t="s">
        <v>1196</v>
      </c>
      <c r="E4189" s="19" t="s">
        <v>1197</v>
      </c>
      <c r="F4189">
        <v>1</v>
      </c>
    </row>
    <row r="4190" spans="1:6" x14ac:dyDescent="0.25">
      <c r="A4190" s="3">
        <v>648</v>
      </c>
      <c r="B4190" s="15" t="s">
        <v>187</v>
      </c>
      <c r="C4190" s="19" t="s">
        <v>1685</v>
      </c>
      <c r="D4190" s="19" t="s">
        <v>1686</v>
      </c>
      <c r="E4190" s="19" t="s">
        <v>1687</v>
      </c>
      <c r="F4190">
        <v>1</v>
      </c>
    </row>
    <row r="4191" spans="1:6" x14ac:dyDescent="0.25">
      <c r="C4191" s="19"/>
      <c r="D4191" s="19" t="s">
        <v>1688</v>
      </c>
      <c r="E4191" s="19" t="s">
        <v>1689</v>
      </c>
      <c r="F4191">
        <v>1</v>
      </c>
    </row>
    <row r="4192" spans="1:6" x14ac:dyDescent="0.25">
      <c r="C4192" s="19"/>
      <c r="D4192" s="19" t="s">
        <v>1690</v>
      </c>
      <c r="E4192" s="19" t="s">
        <v>1691</v>
      </c>
      <c r="F4192">
        <v>1</v>
      </c>
    </row>
    <row r="4193" spans="1:6" x14ac:dyDescent="0.25">
      <c r="C4193" s="19"/>
      <c r="D4193" s="19" t="s">
        <v>1692</v>
      </c>
      <c r="E4193" s="19" t="s">
        <v>1693</v>
      </c>
      <c r="F4193">
        <v>0</v>
      </c>
    </row>
    <row r="4194" spans="1:6" x14ac:dyDescent="0.25">
      <c r="C4194" s="19"/>
      <c r="D4194" s="19" t="s">
        <v>1694</v>
      </c>
      <c r="E4194" s="19" t="s">
        <v>1695</v>
      </c>
      <c r="F4194">
        <v>1</v>
      </c>
    </row>
    <row r="4195" spans="1:6" x14ac:dyDescent="0.25">
      <c r="C4195" s="19"/>
      <c r="D4195" s="19" t="s">
        <v>1696</v>
      </c>
      <c r="E4195" s="19" t="s">
        <v>1697</v>
      </c>
      <c r="F4195">
        <v>0</v>
      </c>
    </row>
    <row r="4196" spans="1:6" x14ac:dyDescent="0.25">
      <c r="C4196" s="19"/>
      <c r="D4196" s="19" t="s">
        <v>1698</v>
      </c>
      <c r="E4196" s="19" t="s">
        <v>1699</v>
      </c>
      <c r="F4196">
        <v>0</v>
      </c>
    </row>
    <row r="4197" spans="1:6" x14ac:dyDescent="0.25">
      <c r="C4197" s="19"/>
      <c r="D4197" s="19" t="s">
        <v>1700</v>
      </c>
      <c r="E4197" s="19" t="s">
        <v>1701</v>
      </c>
      <c r="F4197">
        <v>1</v>
      </c>
    </row>
    <row r="4198" spans="1:6" x14ac:dyDescent="0.25">
      <c r="C4198" s="19"/>
      <c r="D4198" s="19" t="s">
        <v>1702</v>
      </c>
      <c r="E4198" s="19" t="s">
        <v>314</v>
      </c>
      <c r="F4198">
        <v>1</v>
      </c>
    </row>
    <row r="4199" spans="1:6" x14ac:dyDescent="0.25">
      <c r="C4199" s="19"/>
      <c r="D4199" s="19" t="s">
        <v>1703</v>
      </c>
      <c r="E4199" s="19" t="s">
        <v>1704</v>
      </c>
      <c r="F4199">
        <v>0</v>
      </c>
    </row>
    <row r="4200" spans="1:6" x14ac:dyDescent="0.25">
      <c r="C4200" s="19"/>
      <c r="D4200" s="19" t="s">
        <v>1705</v>
      </c>
      <c r="E4200" s="19" t="s">
        <v>1706</v>
      </c>
      <c r="F4200">
        <v>0</v>
      </c>
    </row>
    <row r="4201" spans="1:6" x14ac:dyDescent="0.25">
      <c r="C4201" s="19"/>
      <c r="D4201" s="19" t="s">
        <v>1707</v>
      </c>
      <c r="E4201" s="19" t="s">
        <v>1708</v>
      </c>
      <c r="F4201">
        <v>1</v>
      </c>
    </row>
    <row r="4202" spans="1:6" x14ac:dyDescent="0.25">
      <c r="C4202" s="19"/>
      <c r="D4202" s="19" t="s">
        <v>1709</v>
      </c>
      <c r="E4202" s="19" t="s">
        <v>1710</v>
      </c>
      <c r="F4202">
        <v>0</v>
      </c>
    </row>
    <row r="4203" spans="1:6" x14ac:dyDescent="0.25">
      <c r="C4203" s="19"/>
      <c r="D4203" s="19" t="s">
        <v>1711</v>
      </c>
      <c r="E4203" s="19" t="s">
        <v>1124</v>
      </c>
      <c r="F4203">
        <v>1</v>
      </c>
    </row>
    <row r="4204" spans="1:6" x14ac:dyDescent="0.25">
      <c r="A4204" s="3">
        <v>649</v>
      </c>
      <c r="B4204" s="15" t="s">
        <v>187</v>
      </c>
      <c r="C4204" s="19" t="s">
        <v>1685</v>
      </c>
      <c r="D4204" s="19" t="s">
        <v>1686</v>
      </c>
      <c r="E4204" s="19" t="s">
        <v>1687</v>
      </c>
      <c r="F4204">
        <v>1</v>
      </c>
    </row>
    <row r="4205" spans="1:6" x14ac:dyDescent="0.25">
      <c r="C4205" s="19"/>
      <c r="D4205" s="19" t="s">
        <v>1688</v>
      </c>
      <c r="E4205" s="19" t="s">
        <v>1689</v>
      </c>
      <c r="F4205">
        <v>1</v>
      </c>
    </row>
    <row r="4206" spans="1:6" x14ac:dyDescent="0.25">
      <c r="C4206" s="19"/>
      <c r="D4206" s="19" t="s">
        <v>1690</v>
      </c>
      <c r="E4206" s="19" t="s">
        <v>1691</v>
      </c>
      <c r="F4206">
        <v>1</v>
      </c>
    </row>
    <row r="4207" spans="1:6" x14ac:dyDescent="0.25">
      <c r="C4207" s="19"/>
      <c r="D4207" s="19" t="s">
        <v>1692</v>
      </c>
      <c r="E4207" s="19" t="s">
        <v>1693</v>
      </c>
      <c r="F4207">
        <v>0</v>
      </c>
    </row>
    <row r="4208" spans="1:6" x14ac:dyDescent="0.25">
      <c r="C4208" s="19"/>
      <c r="D4208" s="19" t="s">
        <v>1694</v>
      </c>
      <c r="E4208" s="19" t="s">
        <v>1695</v>
      </c>
      <c r="F4208">
        <v>1</v>
      </c>
    </row>
    <row r="4209" spans="1:6" x14ac:dyDescent="0.25">
      <c r="C4209" s="19"/>
      <c r="D4209" s="19" t="s">
        <v>1696</v>
      </c>
      <c r="E4209" s="19" t="s">
        <v>1697</v>
      </c>
      <c r="F4209">
        <v>0</v>
      </c>
    </row>
    <row r="4210" spans="1:6" x14ac:dyDescent="0.25">
      <c r="C4210" s="19"/>
      <c r="D4210" s="19" t="s">
        <v>1698</v>
      </c>
      <c r="E4210" s="19" t="s">
        <v>1699</v>
      </c>
      <c r="F4210">
        <v>0</v>
      </c>
    </row>
    <row r="4211" spans="1:6" x14ac:dyDescent="0.25">
      <c r="C4211" s="19"/>
      <c r="D4211" s="19" t="s">
        <v>1700</v>
      </c>
      <c r="E4211" s="19" t="s">
        <v>1701</v>
      </c>
      <c r="F4211">
        <v>1</v>
      </c>
    </row>
    <row r="4212" spans="1:6" x14ac:dyDescent="0.25">
      <c r="C4212" s="19"/>
      <c r="D4212" s="19" t="s">
        <v>1702</v>
      </c>
      <c r="E4212" s="19" t="s">
        <v>314</v>
      </c>
      <c r="F4212">
        <v>1</v>
      </c>
    </row>
    <row r="4213" spans="1:6" x14ac:dyDescent="0.25">
      <c r="C4213" s="19"/>
      <c r="D4213" s="19" t="s">
        <v>1703</v>
      </c>
      <c r="E4213" s="19" t="s">
        <v>1704</v>
      </c>
      <c r="F4213">
        <v>0</v>
      </c>
    </row>
    <row r="4214" spans="1:6" x14ac:dyDescent="0.25">
      <c r="C4214" s="19"/>
      <c r="D4214" s="19" t="s">
        <v>1705</v>
      </c>
      <c r="E4214" s="19" t="s">
        <v>1706</v>
      </c>
      <c r="F4214">
        <v>0</v>
      </c>
    </row>
    <row r="4215" spans="1:6" x14ac:dyDescent="0.25">
      <c r="C4215" s="19"/>
      <c r="D4215" s="19" t="s">
        <v>1707</v>
      </c>
      <c r="E4215" s="19" t="s">
        <v>1708</v>
      </c>
      <c r="F4215">
        <v>1</v>
      </c>
    </row>
    <row r="4216" spans="1:6" x14ac:dyDescent="0.25">
      <c r="C4216" s="19"/>
      <c r="D4216" s="19" t="s">
        <v>1709</v>
      </c>
      <c r="E4216" s="19" t="s">
        <v>1710</v>
      </c>
      <c r="F4216">
        <v>0</v>
      </c>
    </row>
    <row r="4217" spans="1:6" x14ac:dyDescent="0.25">
      <c r="C4217" s="19"/>
      <c r="D4217" s="19" t="s">
        <v>1711</v>
      </c>
      <c r="E4217" s="19" t="s">
        <v>1124</v>
      </c>
      <c r="F4217">
        <v>1</v>
      </c>
    </row>
    <row r="4218" spans="1:6" x14ac:dyDescent="0.25">
      <c r="A4218" s="3">
        <v>652</v>
      </c>
      <c r="B4218" s="15" t="s">
        <v>188</v>
      </c>
      <c r="C4218" s="21" t="s">
        <v>386</v>
      </c>
      <c r="D4218" s="19" t="s">
        <v>387</v>
      </c>
      <c r="E4218" s="19" t="s">
        <v>388</v>
      </c>
      <c r="F4218">
        <v>1</v>
      </c>
    </row>
    <row r="4219" spans="1:6" x14ac:dyDescent="0.25">
      <c r="C4219" s="22"/>
      <c r="D4219" s="19" t="s">
        <v>390</v>
      </c>
      <c r="E4219" s="19" t="s">
        <v>391</v>
      </c>
      <c r="F4219">
        <v>1</v>
      </c>
    </row>
    <row r="4220" spans="1:6" x14ac:dyDescent="0.25">
      <c r="C4220" s="19"/>
      <c r="D4220" s="21" t="s">
        <v>392</v>
      </c>
      <c r="E4220" s="19" t="s">
        <v>393</v>
      </c>
      <c r="F4220">
        <v>0</v>
      </c>
    </row>
    <row r="4221" spans="1:6" x14ac:dyDescent="0.25">
      <c r="C4221" s="19"/>
      <c r="D4221" s="19" t="s">
        <v>394</v>
      </c>
      <c r="E4221" s="19" t="s">
        <v>395</v>
      </c>
      <c r="F4221">
        <v>1</v>
      </c>
    </row>
    <row r="4222" spans="1:6" x14ac:dyDescent="0.25">
      <c r="C4222" s="19"/>
      <c r="D4222" s="19" t="s">
        <v>396</v>
      </c>
      <c r="E4222" s="19" t="s">
        <v>397</v>
      </c>
      <c r="F4222">
        <v>1</v>
      </c>
    </row>
    <row r="4223" spans="1:6" x14ac:dyDescent="0.25">
      <c r="C4223" s="19"/>
      <c r="D4223" s="19" t="s">
        <v>398</v>
      </c>
      <c r="E4223" s="19" t="s">
        <v>399</v>
      </c>
      <c r="F4223">
        <v>1</v>
      </c>
    </row>
    <row r="4224" spans="1:6" x14ac:dyDescent="0.25">
      <c r="C4224" s="19"/>
      <c r="D4224" s="19" t="s">
        <v>400</v>
      </c>
      <c r="E4224" s="19" t="s">
        <v>401</v>
      </c>
      <c r="F4224">
        <v>1</v>
      </c>
    </row>
    <row r="4225" spans="1:6" x14ac:dyDescent="0.25">
      <c r="C4225" s="19"/>
      <c r="D4225" s="19" t="s">
        <v>402</v>
      </c>
      <c r="E4225" s="19" t="s">
        <v>403</v>
      </c>
      <c r="F4225">
        <v>1</v>
      </c>
    </row>
    <row r="4226" spans="1:6" x14ac:dyDescent="0.25">
      <c r="C4226" s="19"/>
      <c r="D4226" s="19" t="s">
        <v>404</v>
      </c>
      <c r="E4226" s="19" t="s">
        <v>405</v>
      </c>
      <c r="F4226">
        <v>1</v>
      </c>
    </row>
    <row r="4227" spans="1:6" x14ac:dyDescent="0.25">
      <c r="A4227" s="3">
        <v>653</v>
      </c>
      <c r="B4227" s="16" t="s">
        <v>188</v>
      </c>
      <c r="C4227" s="21" t="s">
        <v>386</v>
      </c>
      <c r="D4227" s="19" t="s">
        <v>387</v>
      </c>
      <c r="E4227" s="19" t="s">
        <v>388</v>
      </c>
      <c r="F4227">
        <v>1</v>
      </c>
    </row>
    <row r="4228" spans="1:6" x14ac:dyDescent="0.25">
      <c r="C4228" s="22"/>
      <c r="D4228" s="19" t="s">
        <v>390</v>
      </c>
      <c r="E4228" s="19" t="s">
        <v>391</v>
      </c>
      <c r="F4228">
        <v>1</v>
      </c>
    </row>
    <row r="4229" spans="1:6" x14ac:dyDescent="0.25">
      <c r="C4229" s="19"/>
      <c r="D4229" s="21" t="s">
        <v>392</v>
      </c>
      <c r="E4229" s="19" t="s">
        <v>393</v>
      </c>
      <c r="F4229">
        <v>0</v>
      </c>
    </row>
    <row r="4230" spans="1:6" x14ac:dyDescent="0.25">
      <c r="C4230" s="19"/>
      <c r="D4230" s="19" t="s">
        <v>394</v>
      </c>
      <c r="E4230" s="19" t="s">
        <v>395</v>
      </c>
      <c r="F4230">
        <v>1</v>
      </c>
    </row>
    <row r="4231" spans="1:6" x14ac:dyDescent="0.25">
      <c r="C4231" s="19"/>
      <c r="D4231" s="19" t="s">
        <v>396</v>
      </c>
      <c r="E4231" s="19" t="s">
        <v>397</v>
      </c>
      <c r="F4231">
        <v>1</v>
      </c>
    </row>
    <row r="4232" spans="1:6" x14ac:dyDescent="0.25">
      <c r="C4232" s="19"/>
      <c r="D4232" s="19" t="s">
        <v>398</v>
      </c>
      <c r="E4232" s="19" t="s">
        <v>399</v>
      </c>
      <c r="F4232">
        <v>1</v>
      </c>
    </row>
    <row r="4233" spans="1:6" x14ac:dyDescent="0.25">
      <c r="C4233" s="19"/>
      <c r="D4233" s="19" t="s">
        <v>400</v>
      </c>
      <c r="E4233" s="19" t="s">
        <v>401</v>
      </c>
      <c r="F4233">
        <v>1</v>
      </c>
    </row>
    <row r="4234" spans="1:6" x14ac:dyDescent="0.25">
      <c r="C4234" s="19"/>
      <c r="D4234" s="19" t="s">
        <v>402</v>
      </c>
      <c r="E4234" s="19" t="s">
        <v>403</v>
      </c>
      <c r="F4234">
        <v>1</v>
      </c>
    </row>
    <row r="4235" spans="1:6" x14ac:dyDescent="0.25">
      <c r="C4235" s="19"/>
      <c r="D4235" s="19" t="s">
        <v>404</v>
      </c>
      <c r="E4235" s="19" t="s">
        <v>405</v>
      </c>
      <c r="F4235">
        <v>1</v>
      </c>
    </row>
    <row r="4236" spans="1:6" x14ac:dyDescent="0.25">
      <c r="A4236" s="3">
        <v>654</v>
      </c>
      <c r="B4236" s="15" t="s">
        <v>189</v>
      </c>
      <c r="C4236" s="19" t="s">
        <v>1685</v>
      </c>
      <c r="D4236" s="19" t="s">
        <v>1686</v>
      </c>
      <c r="E4236" s="19" t="s">
        <v>1687</v>
      </c>
      <c r="F4236">
        <v>1</v>
      </c>
    </row>
    <row r="4237" spans="1:6" x14ac:dyDescent="0.25">
      <c r="C4237" s="19"/>
      <c r="D4237" s="19" t="s">
        <v>1688</v>
      </c>
      <c r="E4237" s="19" t="s">
        <v>1689</v>
      </c>
      <c r="F4237">
        <v>1</v>
      </c>
    </row>
    <row r="4238" spans="1:6" x14ac:dyDescent="0.25">
      <c r="C4238" s="19"/>
      <c r="D4238" s="19" t="s">
        <v>1690</v>
      </c>
      <c r="E4238" s="19" t="s">
        <v>1691</v>
      </c>
      <c r="F4238">
        <v>1</v>
      </c>
    </row>
    <row r="4239" spans="1:6" x14ac:dyDescent="0.25">
      <c r="C4239" s="19"/>
      <c r="D4239" s="19" t="s">
        <v>1692</v>
      </c>
      <c r="E4239" s="19" t="s">
        <v>1693</v>
      </c>
      <c r="F4239">
        <v>1</v>
      </c>
    </row>
    <row r="4240" spans="1:6" x14ac:dyDescent="0.25">
      <c r="C4240" s="19"/>
      <c r="D4240" s="19" t="s">
        <v>1694</v>
      </c>
      <c r="E4240" s="19" t="s">
        <v>1695</v>
      </c>
      <c r="F4240">
        <v>1</v>
      </c>
    </row>
    <row r="4241" spans="1:6" x14ac:dyDescent="0.25">
      <c r="C4241" s="19"/>
      <c r="D4241" s="19" t="s">
        <v>1696</v>
      </c>
      <c r="E4241" s="19" t="s">
        <v>1697</v>
      </c>
      <c r="F4241">
        <v>1</v>
      </c>
    </row>
    <row r="4242" spans="1:6" x14ac:dyDescent="0.25">
      <c r="C4242" s="19"/>
      <c r="D4242" s="19" t="s">
        <v>1698</v>
      </c>
      <c r="E4242" s="19" t="s">
        <v>1699</v>
      </c>
      <c r="F4242">
        <v>1</v>
      </c>
    </row>
    <row r="4243" spans="1:6" x14ac:dyDescent="0.25">
      <c r="C4243" s="19"/>
      <c r="D4243" s="19" t="s">
        <v>1700</v>
      </c>
      <c r="E4243" s="19" t="s">
        <v>1701</v>
      </c>
      <c r="F4243">
        <v>1</v>
      </c>
    </row>
    <row r="4244" spans="1:6" x14ac:dyDescent="0.25">
      <c r="C4244" s="19"/>
      <c r="D4244" s="19" t="s">
        <v>1702</v>
      </c>
      <c r="E4244" s="19" t="s">
        <v>314</v>
      </c>
      <c r="F4244">
        <v>1</v>
      </c>
    </row>
    <row r="4245" spans="1:6" x14ac:dyDescent="0.25">
      <c r="C4245" s="19"/>
      <c r="D4245" s="19" t="s">
        <v>1703</v>
      </c>
      <c r="E4245" s="19" t="s">
        <v>1704</v>
      </c>
      <c r="F4245">
        <v>1</v>
      </c>
    </row>
    <row r="4246" spans="1:6" x14ac:dyDescent="0.25">
      <c r="C4246" s="19"/>
      <c r="D4246" s="19" t="s">
        <v>1705</v>
      </c>
      <c r="E4246" s="19" t="s">
        <v>1706</v>
      </c>
      <c r="F4246">
        <v>1</v>
      </c>
    </row>
    <row r="4247" spans="1:6" x14ac:dyDescent="0.25">
      <c r="C4247" s="19"/>
      <c r="D4247" s="19" t="s">
        <v>1707</v>
      </c>
      <c r="E4247" s="19" t="s">
        <v>1708</v>
      </c>
      <c r="F4247">
        <v>1</v>
      </c>
    </row>
    <row r="4248" spans="1:6" x14ac:dyDescent="0.25">
      <c r="C4248" s="19"/>
      <c r="D4248" s="19" t="s">
        <v>1709</v>
      </c>
      <c r="E4248" s="19" t="s">
        <v>1710</v>
      </c>
      <c r="F4248">
        <v>1</v>
      </c>
    </row>
    <row r="4249" spans="1:6" x14ac:dyDescent="0.25">
      <c r="C4249" s="19"/>
      <c r="D4249" s="19" t="s">
        <v>1711</v>
      </c>
      <c r="E4249" s="19" t="s">
        <v>1124</v>
      </c>
      <c r="F4249">
        <v>1</v>
      </c>
    </row>
    <row r="4250" spans="1:6" x14ac:dyDescent="0.25">
      <c r="A4250" s="3">
        <v>655</v>
      </c>
      <c r="B4250" s="16" t="s">
        <v>189</v>
      </c>
      <c r="C4250" s="19" t="s">
        <v>1685</v>
      </c>
      <c r="D4250" s="19" t="s">
        <v>1686</v>
      </c>
      <c r="E4250" s="19" t="s">
        <v>1687</v>
      </c>
      <c r="F4250">
        <v>1</v>
      </c>
    </row>
    <row r="4251" spans="1:6" x14ac:dyDescent="0.25">
      <c r="C4251" s="19"/>
      <c r="D4251" s="19" t="s">
        <v>1688</v>
      </c>
      <c r="E4251" s="19" t="s">
        <v>1689</v>
      </c>
      <c r="F4251">
        <v>1</v>
      </c>
    </row>
    <row r="4252" spans="1:6" x14ac:dyDescent="0.25">
      <c r="C4252" s="19"/>
      <c r="D4252" s="19" t="s">
        <v>1690</v>
      </c>
      <c r="E4252" s="19" t="s">
        <v>1691</v>
      </c>
      <c r="F4252">
        <v>1</v>
      </c>
    </row>
    <row r="4253" spans="1:6" x14ac:dyDescent="0.25">
      <c r="C4253" s="19"/>
      <c r="D4253" s="19" t="s">
        <v>1692</v>
      </c>
      <c r="E4253" s="19" t="s">
        <v>1693</v>
      </c>
      <c r="F4253">
        <v>1</v>
      </c>
    </row>
    <row r="4254" spans="1:6" x14ac:dyDescent="0.25">
      <c r="C4254" s="19"/>
      <c r="D4254" s="19" t="s">
        <v>1694</v>
      </c>
      <c r="E4254" s="19" t="s">
        <v>1695</v>
      </c>
      <c r="F4254">
        <v>1</v>
      </c>
    </row>
    <row r="4255" spans="1:6" x14ac:dyDescent="0.25">
      <c r="C4255" s="19"/>
      <c r="D4255" s="19" t="s">
        <v>1696</v>
      </c>
      <c r="E4255" s="19" t="s">
        <v>1697</v>
      </c>
      <c r="F4255">
        <v>1</v>
      </c>
    </row>
    <row r="4256" spans="1:6" x14ac:dyDescent="0.25">
      <c r="C4256" s="19"/>
      <c r="D4256" s="19" t="s">
        <v>1698</v>
      </c>
      <c r="E4256" s="19" t="s">
        <v>1699</v>
      </c>
      <c r="F4256">
        <v>1</v>
      </c>
    </row>
    <row r="4257" spans="1:6" x14ac:dyDescent="0.25">
      <c r="C4257" s="19"/>
      <c r="D4257" s="19" t="s">
        <v>1700</v>
      </c>
      <c r="E4257" s="19" t="s">
        <v>1701</v>
      </c>
      <c r="F4257">
        <v>1</v>
      </c>
    </row>
    <row r="4258" spans="1:6" x14ac:dyDescent="0.25">
      <c r="C4258" s="19"/>
      <c r="D4258" s="19" t="s">
        <v>1702</v>
      </c>
      <c r="E4258" s="19" t="s">
        <v>314</v>
      </c>
      <c r="F4258">
        <v>1</v>
      </c>
    </row>
    <row r="4259" spans="1:6" x14ac:dyDescent="0.25">
      <c r="C4259" s="19"/>
      <c r="D4259" s="19" t="s">
        <v>1703</v>
      </c>
      <c r="E4259" s="19" t="s">
        <v>1704</v>
      </c>
      <c r="F4259">
        <v>1</v>
      </c>
    </row>
    <row r="4260" spans="1:6" x14ac:dyDescent="0.25">
      <c r="C4260" s="19"/>
      <c r="D4260" s="19" t="s">
        <v>1705</v>
      </c>
      <c r="E4260" s="19" t="s">
        <v>1706</v>
      </c>
      <c r="F4260">
        <v>1</v>
      </c>
    </row>
    <row r="4261" spans="1:6" x14ac:dyDescent="0.25">
      <c r="C4261" s="19"/>
      <c r="D4261" s="19" t="s">
        <v>1707</v>
      </c>
      <c r="E4261" s="19" t="s">
        <v>1708</v>
      </c>
      <c r="F4261">
        <v>1</v>
      </c>
    </row>
    <row r="4262" spans="1:6" x14ac:dyDescent="0.25">
      <c r="C4262" s="19"/>
      <c r="D4262" s="19" t="s">
        <v>1709</v>
      </c>
      <c r="E4262" s="19" t="s">
        <v>1710</v>
      </c>
      <c r="F4262">
        <v>1</v>
      </c>
    </row>
    <row r="4263" spans="1:6" x14ac:dyDescent="0.25">
      <c r="C4263" s="19"/>
      <c r="D4263" s="19" t="s">
        <v>1711</v>
      </c>
      <c r="E4263" s="19" t="s">
        <v>1124</v>
      </c>
      <c r="F4263">
        <v>1</v>
      </c>
    </row>
    <row r="4264" spans="1:6" x14ac:dyDescent="0.25">
      <c r="A4264" s="3">
        <v>660</v>
      </c>
      <c r="B4264" s="15" t="s">
        <v>190</v>
      </c>
      <c r="C4264" s="21" t="s">
        <v>386</v>
      </c>
      <c r="D4264" s="19" t="s">
        <v>387</v>
      </c>
      <c r="E4264" s="19" t="s">
        <v>388</v>
      </c>
      <c r="F4264">
        <v>1</v>
      </c>
    </row>
    <row r="4265" spans="1:6" x14ac:dyDescent="0.25">
      <c r="C4265" s="22"/>
      <c r="D4265" s="19" t="s">
        <v>390</v>
      </c>
      <c r="E4265" s="19" t="s">
        <v>391</v>
      </c>
      <c r="F4265">
        <v>1</v>
      </c>
    </row>
    <row r="4266" spans="1:6" x14ac:dyDescent="0.25">
      <c r="C4266" s="19"/>
      <c r="D4266" s="21" t="s">
        <v>392</v>
      </c>
      <c r="E4266" s="19" t="s">
        <v>393</v>
      </c>
      <c r="F4266">
        <v>0</v>
      </c>
    </row>
    <row r="4267" spans="1:6" x14ac:dyDescent="0.25">
      <c r="C4267" s="19"/>
      <c r="D4267" s="19" t="s">
        <v>394</v>
      </c>
      <c r="E4267" s="19" t="s">
        <v>395</v>
      </c>
      <c r="F4267">
        <v>0</v>
      </c>
    </row>
    <row r="4268" spans="1:6" x14ac:dyDescent="0.25">
      <c r="C4268" s="19"/>
      <c r="D4268" s="19" t="s">
        <v>396</v>
      </c>
      <c r="E4268" s="19" t="s">
        <v>397</v>
      </c>
      <c r="F4268">
        <v>0</v>
      </c>
    </row>
    <row r="4269" spans="1:6" x14ac:dyDescent="0.25">
      <c r="C4269" s="19"/>
      <c r="D4269" s="19" t="s">
        <v>398</v>
      </c>
      <c r="E4269" s="19" t="s">
        <v>399</v>
      </c>
      <c r="F4269">
        <v>1</v>
      </c>
    </row>
    <row r="4270" spans="1:6" x14ac:dyDescent="0.25">
      <c r="C4270" s="19"/>
      <c r="D4270" s="19" t="s">
        <v>400</v>
      </c>
      <c r="E4270" s="19" t="s">
        <v>401</v>
      </c>
      <c r="F4270">
        <v>1</v>
      </c>
    </row>
    <row r="4271" spans="1:6" x14ac:dyDescent="0.25">
      <c r="C4271" s="19"/>
      <c r="D4271" s="19" t="s">
        <v>402</v>
      </c>
      <c r="E4271" s="19" t="s">
        <v>403</v>
      </c>
      <c r="F4271">
        <v>1</v>
      </c>
    </row>
    <row r="4272" spans="1:6" x14ac:dyDescent="0.25">
      <c r="C4272" s="19"/>
      <c r="D4272" s="19" t="s">
        <v>404</v>
      </c>
      <c r="E4272" s="19" t="s">
        <v>405</v>
      </c>
      <c r="F4272">
        <v>1</v>
      </c>
    </row>
    <row r="4273" spans="1:6" x14ac:dyDescent="0.25">
      <c r="A4273" s="3">
        <v>661</v>
      </c>
      <c r="B4273" s="15" t="s">
        <v>191</v>
      </c>
      <c r="C4273" s="19" t="s">
        <v>1492</v>
      </c>
      <c r="D4273" s="19" t="s">
        <v>1493</v>
      </c>
      <c r="E4273" s="19" t="s">
        <v>1494</v>
      </c>
      <c r="F4273">
        <v>1</v>
      </c>
    </row>
    <row r="4274" spans="1:6" x14ac:dyDescent="0.25">
      <c r="C4274" s="19"/>
      <c r="D4274" s="19" t="s">
        <v>1495</v>
      </c>
      <c r="E4274" s="19" t="s">
        <v>1496</v>
      </c>
      <c r="F4274">
        <v>1</v>
      </c>
    </row>
    <row r="4275" spans="1:6" x14ac:dyDescent="0.25">
      <c r="C4275" s="19"/>
      <c r="D4275" s="19" t="s">
        <v>1497</v>
      </c>
      <c r="E4275" s="19" t="s">
        <v>306</v>
      </c>
      <c r="F4275">
        <v>1</v>
      </c>
    </row>
    <row r="4276" spans="1:6" x14ac:dyDescent="0.25">
      <c r="C4276" s="19"/>
      <c r="D4276" s="19" t="s">
        <v>1498</v>
      </c>
      <c r="E4276" s="19" t="s">
        <v>1499</v>
      </c>
      <c r="F4276">
        <v>1</v>
      </c>
    </row>
    <row r="4277" spans="1:6" x14ac:dyDescent="0.25">
      <c r="C4277" s="19"/>
      <c r="D4277" s="19" t="s">
        <v>1500</v>
      </c>
      <c r="E4277" s="19" t="s">
        <v>1397</v>
      </c>
      <c r="F4277">
        <v>1</v>
      </c>
    </row>
    <row r="4278" spans="1:6" x14ac:dyDescent="0.25">
      <c r="C4278" s="19"/>
      <c r="D4278" s="19" t="s">
        <v>1501</v>
      </c>
      <c r="E4278" s="19" t="s">
        <v>1502</v>
      </c>
      <c r="F4278">
        <v>1</v>
      </c>
    </row>
    <row r="4279" spans="1:6" x14ac:dyDescent="0.25">
      <c r="C4279" s="19"/>
      <c r="D4279" s="19" t="s">
        <v>1503</v>
      </c>
      <c r="E4279" s="19" t="s">
        <v>1504</v>
      </c>
      <c r="F4279">
        <v>1</v>
      </c>
    </row>
    <row r="4280" spans="1:6" x14ac:dyDescent="0.25">
      <c r="C4280" s="19"/>
      <c r="D4280" s="19" t="s">
        <v>1505</v>
      </c>
      <c r="E4280" s="19" t="s">
        <v>1506</v>
      </c>
      <c r="F4280">
        <v>1</v>
      </c>
    </row>
    <row r="4281" spans="1:6" x14ac:dyDescent="0.25">
      <c r="C4281" s="19"/>
      <c r="D4281" s="19" t="s">
        <v>1507</v>
      </c>
      <c r="E4281" s="19" t="s">
        <v>611</v>
      </c>
      <c r="F4281">
        <v>1</v>
      </c>
    </row>
    <row r="4282" spans="1:6" x14ac:dyDescent="0.25">
      <c r="C4282" s="19"/>
      <c r="D4282" s="19" t="s">
        <v>1508</v>
      </c>
      <c r="E4282" s="19" t="s">
        <v>1509</v>
      </c>
      <c r="F4282">
        <v>1</v>
      </c>
    </row>
    <row r="4283" spans="1:6" x14ac:dyDescent="0.25">
      <c r="C4283" s="19"/>
      <c r="D4283" s="19" t="s">
        <v>1510</v>
      </c>
      <c r="E4283" s="19" t="s">
        <v>613</v>
      </c>
      <c r="F4283">
        <v>0</v>
      </c>
    </row>
    <row r="4284" spans="1:6" x14ac:dyDescent="0.25">
      <c r="C4284" s="19"/>
      <c r="D4284" s="19" t="s">
        <v>1511</v>
      </c>
      <c r="E4284" s="19" t="s">
        <v>1419</v>
      </c>
      <c r="F4284">
        <v>0</v>
      </c>
    </row>
    <row r="4285" spans="1:6" x14ac:dyDescent="0.25">
      <c r="C4285" s="19"/>
      <c r="D4285" s="19" t="s">
        <v>1512</v>
      </c>
      <c r="E4285" s="19" t="s">
        <v>621</v>
      </c>
      <c r="F4285">
        <v>0</v>
      </c>
    </row>
    <row r="4286" spans="1:6" x14ac:dyDescent="0.25">
      <c r="C4286" s="19"/>
      <c r="D4286" s="19" t="s">
        <v>1513</v>
      </c>
      <c r="E4286" s="19" t="s">
        <v>1422</v>
      </c>
      <c r="F4286">
        <v>1</v>
      </c>
    </row>
    <row r="4287" spans="1:6" x14ac:dyDescent="0.25">
      <c r="C4287" s="19"/>
      <c r="D4287" s="19" t="s">
        <v>1514</v>
      </c>
      <c r="E4287" s="19" t="s">
        <v>614</v>
      </c>
      <c r="F4287">
        <v>1</v>
      </c>
    </row>
    <row r="4288" spans="1:6" x14ac:dyDescent="0.25">
      <c r="C4288" s="19"/>
      <c r="D4288" s="19" t="s">
        <v>1515</v>
      </c>
      <c r="E4288" s="19" t="s">
        <v>615</v>
      </c>
      <c r="F4288">
        <v>0</v>
      </c>
    </row>
    <row r="4289" spans="1:6" x14ac:dyDescent="0.25">
      <c r="C4289" s="19"/>
      <c r="D4289" s="19" t="s">
        <v>1516</v>
      </c>
      <c r="E4289" s="19" t="s">
        <v>1517</v>
      </c>
      <c r="F4289">
        <v>1</v>
      </c>
    </row>
    <row r="4290" spans="1:6" x14ac:dyDescent="0.25">
      <c r="C4290" s="19"/>
      <c r="D4290" s="19" t="s">
        <v>1518</v>
      </c>
      <c r="E4290" s="19" t="s">
        <v>1519</v>
      </c>
      <c r="F4290">
        <v>1</v>
      </c>
    </row>
    <row r="4291" spans="1:6" x14ac:dyDescent="0.25">
      <c r="C4291" s="19"/>
      <c r="D4291" s="19" t="s">
        <v>1520</v>
      </c>
      <c r="E4291" s="19" t="s">
        <v>1521</v>
      </c>
      <c r="F4291">
        <v>1</v>
      </c>
    </row>
    <row r="4292" spans="1:6" x14ac:dyDescent="0.25">
      <c r="C4292" s="19"/>
      <c r="D4292" s="19" t="s">
        <v>1522</v>
      </c>
      <c r="E4292" s="19" t="s">
        <v>1523</v>
      </c>
      <c r="F4292">
        <v>0</v>
      </c>
    </row>
    <row r="4293" spans="1:6" x14ac:dyDescent="0.25">
      <c r="C4293" s="19"/>
      <c r="D4293" s="19" t="s">
        <v>1524</v>
      </c>
      <c r="E4293" s="19" t="s">
        <v>1525</v>
      </c>
      <c r="F4293">
        <v>0</v>
      </c>
    </row>
    <row r="4294" spans="1:6" x14ac:dyDescent="0.25">
      <c r="C4294" s="19"/>
      <c r="D4294" s="19" t="s">
        <v>1526</v>
      </c>
      <c r="E4294" s="19" t="s">
        <v>1527</v>
      </c>
      <c r="F4294">
        <v>1</v>
      </c>
    </row>
    <row r="4295" spans="1:6" x14ac:dyDescent="0.25">
      <c r="C4295" s="19"/>
      <c r="D4295" s="19" t="s">
        <v>1528</v>
      </c>
      <c r="E4295" s="19" t="s">
        <v>1529</v>
      </c>
      <c r="F4295">
        <v>0</v>
      </c>
    </row>
    <row r="4296" spans="1:6" x14ac:dyDescent="0.25">
      <c r="C4296" s="19"/>
      <c r="D4296" s="19" t="s">
        <v>1530</v>
      </c>
      <c r="E4296" s="19" t="s">
        <v>1430</v>
      </c>
      <c r="F4296">
        <v>1</v>
      </c>
    </row>
    <row r="4297" spans="1:6" x14ac:dyDescent="0.25">
      <c r="C4297" s="19"/>
      <c r="D4297" s="19" t="s">
        <v>1531</v>
      </c>
      <c r="E4297" s="19" t="s">
        <v>503</v>
      </c>
      <c r="F4297">
        <v>1</v>
      </c>
    </row>
    <row r="4298" spans="1:6" x14ac:dyDescent="0.25">
      <c r="C4298" s="19"/>
      <c r="D4298" s="19" t="s">
        <v>1532</v>
      </c>
      <c r="E4298" s="19" t="s">
        <v>1533</v>
      </c>
      <c r="F4298">
        <v>0</v>
      </c>
    </row>
    <row r="4299" spans="1:6" x14ac:dyDescent="0.25">
      <c r="C4299" s="19"/>
      <c r="D4299" s="19" t="s">
        <v>1534</v>
      </c>
      <c r="E4299" s="19" t="s">
        <v>1535</v>
      </c>
      <c r="F4299">
        <v>1</v>
      </c>
    </row>
    <row r="4300" spans="1:6" x14ac:dyDescent="0.25">
      <c r="A4300" s="3">
        <v>667</v>
      </c>
      <c r="B4300" s="15" t="s">
        <v>192</v>
      </c>
      <c r="C4300" s="19" t="s">
        <v>1685</v>
      </c>
      <c r="D4300" s="19" t="s">
        <v>1686</v>
      </c>
      <c r="E4300" s="19" t="s">
        <v>1687</v>
      </c>
      <c r="F4300">
        <v>1</v>
      </c>
    </row>
    <row r="4301" spans="1:6" x14ac:dyDescent="0.25">
      <c r="C4301" s="19"/>
      <c r="D4301" s="19" t="s">
        <v>1688</v>
      </c>
      <c r="E4301" s="19" t="s">
        <v>1689</v>
      </c>
      <c r="F4301">
        <v>1</v>
      </c>
    </row>
    <row r="4302" spans="1:6" x14ac:dyDescent="0.25">
      <c r="C4302" s="19"/>
      <c r="D4302" s="19" t="s">
        <v>1690</v>
      </c>
      <c r="E4302" s="19" t="s">
        <v>1691</v>
      </c>
      <c r="F4302">
        <v>1</v>
      </c>
    </row>
    <row r="4303" spans="1:6" x14ac:dyDescent="0.25">
      <c r="C4303" s="19"/>
      <c r="D4303" s="19" t="s">
        <v>1692</v>
      </c>
      <c r="E4303" s="19" t="s">
        <v>1693</v>
      </c>
      <c r="F4303">
        <v>0</v>
      </c>
    </row>
    <row r="4304" spans="1:6" x14ac:dyDescent="0.25">
      <c r="C4304" s="19"/>
      <c r="D4304" s="19" t="s">
        <v>1694</v>
      </c>
      <c r="E4304" s="19" t="s">
        <v>1695</v>
      </c>
      <c r="F4304">
        <v>1</v>
      </c>
    </row>
    <row r="4305" spans="1:6" x14ac:dyDescent="0.25">
      <c r="C4305" s="19"/>
      <c r="D4305" s="19" t="s">
        <v>1696</v>
      </c>
      <c r="E4305" s="19" t="s">
        <v>1697</v>
      </c>
      <c r="F4305">
        <v>0</v>
      </c>
    </row>
    <row r="4306" spans="1:6" x14ac:dyDescent="0.25">
      <c r="C4306" s="19"/>
      <c r="D4306" s="19" t="s">
        <v>1698</v>
      </c>
      <c r="E4306" s="19" t="s">
        <v>1699</v>
      </c>
      <c r="F4306">
        <v>1</v>
      </c>
    </row>
    <row r="4307" spans="1:6" x14ac:dyDescent="0.25">
      <c r="C4307" s="19"/>
      <c r="D4307" s="19" t="s">
        <v>1700</v>
      </c>
      <c r="E4307" s="19" t="s">
        <v>1701</v>
      </c>
      <c r="F4307">
        <v>1</v>
      </c>
    </row>
    <row r="4308" spans="1:6" x14ac:dyDescent="0.25">
      <c r="C4308" s="19"/>
      <c r="D4308" s="19" t="s">
        <v>1702</v>
      </c>
      <c r="E4308" s="19" t="s">
        <v>314</v>
      </c>
      <c r="F4308">
        <v>1</v>
      </c>
    </row>
    <row r="4309" spans="1:6" x14ac:dyDescent="0.25">
      <c r="C4309" s="19"/>
      <c r="D4309" s="19" t="s">
        <v>1703</v>
      </c>
      <c r="E4309" s="19" t="s">
        <v>1704</v>
      </c>
      <c r="F4309">
        <v>1</v>
      </c>
    </row>
    <row r="4310" spans="1:6" x14ac:dyDescent="0.25">
      <c r="C4310" s="19"/>
      <c r="D4310" s="19" t="s">
        <v>1705</v>
      </c>
      <c r="E4310" s="19" t="s">
        <v>1706</v>
      </c>
      <c r="F4310">
        <v>1</v>
      </c>
    </row>
    <row r="4311" spans="1:6" x14ac:dyDescent="0.25">
      <c r="C4311" s="19"/>
      <c r="D4311" s="19" t="s">
        <v>1707</v>
      </c>
      <c r="E4311" s="19" t="s">
        <v>1708</v>
      </c>
      <c r="F4311">
        <v>1</v>
      </c>
    </row>
    <row r="4312" spans="1:6" x14ac:dyDescent="0.25">
      <c r="C4312" s="19"/>
      <c r="D4312" s="19" t="s">
        <v>1709</v>
      </c>
      <c r="E4312" s="19" t="s">
        <v>1710</v>
      </c>
      <c r="F4312">
        <v>0</v>
      </c>
    </row>
    <row r="4313" spans="1:6" x14ac:dyDescent="0.25">
      <c r="C4313" s="19"/>
      <c r="D4313" s="19" t="s">
        <v>1711</v>
      </c>
      <c r="E4313" s="19" t="s">
        <v>1124</v>
      </c>
      <c r="F4313">
        <v>1</v>
      </c>
    </row>
    <row r="4314" spans="1:6" x14ac:dyDescent="0.25">
      <c r="A4314" s="3">
        <v>668</v>
      </c>
      <c r="B4314" s="16" t="s">
        <v>192</v>
      </c>
      <c r="C4314" s="19" t="s">
        <v>1685</v>
      </c>
      <c r="D4314" s="19" t="s">
        <v>1686</v>
      </c>
      <c r="E4314" s="19" t="s">
        <v>1687</v>
      </c>
      <c r="F4314">
        <v>0</v>
      </c>
    </row>
    <row r="4315" spans="1:6" x14ac:dyDescent="0.25">
      <c r="C4315" s="19"/>
      <c r="D4315" s="19" t="s">
        <v>1688</v>
      </c>
      <c r="E4315" s="19" t="s">
        <v>1689</v>
      </c>
      <c r="F4315">
        <v>1</v>
      </c>
    </row>
    <row r="4316" spans="1:6" x14ac:dyDescent="0.25">
      <c r="C4316" s="19"/>
      <c r="D4316" s="19" t="s">
        <v>1690</v>
      </c>
      <c r="E4316" s="19" t="s">
        <v>1691</v>
      </c>
      <c r="F4316">
        <v>1</v>
      </c>
    </row>
    <row r="4317" spans="1:6" x14ac:dyDescent="0.25">
      <c r="C4317" s="19"/>
      <c r="D4317" s="19" t="s">
        <v>1692</v>
      </c>
      <c r="E4317" s="19" t="s">
        <v>1693</v>
      </c>
      <c r="F4317">
        <v>0</v>
      </c>
    </row>
    <row r="4318" spans="1:6" x14ac:dyDescent="0.25">
      <c r="C4318" s="19"/>
      <c r="D4318" s="19" t="s">
        <v>1694</v>
      </c>
      <c r="E4318" s="19" t="s">
        <v>1695</v>
      </c>
      <c r="F4318">
        <v>1</v>
      </c>
    </row>
    <row r="4319" spans="1:6" x14ac:dyDescent="0.25">
      <c r="C4319" s="19"/>
      <c r="D4319" s="19" t="s">
        <v>1696</v>
      </c>
      <c r="E4319" s="19" t="s">
        <v>1697</v>
      </c>
      <c r="F4319">
        <v>0</v>
      </c>
    </row>
    <row r="4320" spans="1:6" x14ac:dyDescent="0.25">
      <c r="C4320" s="19"/>
      <c r="D4320" s="19" t="s">
        <v>1698</v>
      </c>
      <c r="E4320" s="19" t="s">
        <v>1699</v>
      </c>
      <c r="F4320">
        <v>1</v>
      </c>
    </row>
    <row r="4321" spans="1:6" x14ac:dyDescent="0.25">
      <c r="C4321" s="19"/>
      <c r="D4321" s="19" t="s">
        <v>1700</v>
      </c>
      <c r="E4321" s="19" t="s">
        <v>1701</v>
      </c>
      <c r="F4321">
        <v>1</v>
      </c>
    </row>
    <row r="4322" spans="1:6" x14ac:dyDescent="0.25">
      <c r="C4322" s="19"/>
      <c r="D4322" s="19" t="s">
        <v>1702</v>
      </c>
      <c r="E4322" s="19" t="s">
        <v>314</v>
      </c>
      <c r="F4322">
        <v>1</v>
      </c>
    </row>
    <row r="4323" spans="1:6" x14ac:dyDescent="0.25">
      <c r="C4323" s="19"/>
      <c r="D4323" s="19" t="s">
        <v>1703</v>
      </c>
      <c r="E4323" s="19" t="s">
        <v>1704</v>
      </c>
      <c r="F4323">
        <v>1</v>
      </c>
    </row>
    <row r="4324" spans="1:6" x14ac:dyDescent="0.25">
      <c r="C4324" s="19"/>
      <c r="D4324" s="19" t="s">
        <v>1705</v>
      </c>
      <c r="E4324" s="19" t="s">
        <v>1706</v>
      </c>
      <c r="F4324">
        <v>0</v>
      </c>
    </row>
    <row r="4325" spans="1:6" x14ac:dyDescent="0.25">
      <c r="C4325" s="19"/>
      <c r="D4325" s="19" t="s">
        <v>1707</v>
      </c>
      <c r="E4325" s="19" t="s">
        <v>1708</v>
      </c>
      <c r="F4325">
        <v>1</v>
      </c>
    </row>
    <row r="4326" spans="1:6" x14ac:dyDescent="0.25">
      <c r="C4326" s="19"/>
      <c r="D4326" s="19" t="s">
        <v>1709</v>
      </c>
      <c r="E4326" s="19" t="s">
        <v>1710</v>
      </c>
      <c r="F4326">
        <v>0</v>
      </c>
    </row>
    <row r="4327" spans="1:6" x14ac:dyDescent="0.25">
      <c r="C4327" s="19"/>
      <c r="D4327" s="19" t="s">
        <v>1711</v>
      </c>
      <c r="E4327" s="19" t="s">
        <v>1124</v>
      </c>
      <c r="F4327">
        <v>1</v>
      </c>
    </row>
    <row r="4328" spans="1:6" x14ac:dyDescent="0.25">
      <c r="A4328" s="3">
        <v>671</v>
      </c>
      <c r="B4328" s="15" t="s">
        <v>193</v>
      </c>
      <c r="C4328" s="19" t="s">
        <v>636</v>
      </c>
      <c r="D4328" s="19" t="s">
        <v>637</v>
      </c>
      <c r="E4328" s="19" t="s">
        <v>638</v>
      </c>
      <c r="F4328">
        <v>0</v>
      </c>
    </row>
    <row r="4329" spans="1:6" x14ac:dyDescent="0.25">
      <c r="C4329" s="19"/>
      <c r="D4329" s="19" t="s">
        <v>639</v>
      </c>
      <c r="E4329" s="19" t="s">
        <v>640</v>
      </c>
      <c r="F4329">
        <v>1</v>
      </c>
    </row>
    <row r="4330" spans="1:6" x14ac:dyDescent="0.25">
      <c r="C4330" s="19"/>
      <c r="D4330" s="19" t="s">
        <v>641</v>
      </c>
      <c r="E4330" s="19" t="s">
        <v>642</v>
      </c>
      <c r="F4330">
        <v>1</v>
      </c>
    </row>
    <row r="4331" spans="1:6" x14ac:dyDescent="0.25">
      <c r="C4331" s="19"/>
      <c r="D4331" s="19" t="s">
        <v>643</v>
      </c>
      <c r="E4331" s="19" t="s">
        <v>644</v>
      </c>
      <c r="F4331">
        <v>1</v>
      </c>
    </row>
    <row r="4332" spans="1:6" x14ac:dyDescent="0.25">
      <c r="C4332" s="19"/>
      <c r="D4332" s="19" t="s">
        <v>645</v>
      </c>
      <c r="E4332" s="19" t="s">
        <v>646</v>
      </c>
      <c r="F4332">
        <v>0</v>
      </c>
    </row>
    <row r="4333" spans="1:6" x14ac:dyDescent="0.25">
      <c r="C4333" s="19"/>
      <c r="D4333" s="19" t="s">
        <v>647</v>
      </c>
      <c r="E4333" s="19" t="s">
        <v>648</v>
      </c>
      <c r="F4333">
        <v>0</v>
      </c>
    </row>
    <row r="4334" spans="1:6" x14ac:dyDescent="0.25">
      <c r="C4334" s="19"/>
      <c r="D4334" s="19" t="s">
        <v>649</v>
      </c>
      <c r="E4334" s="19" t="s">
        <v>650</v>
      </c>
      <c r="F4334">
        <v>1</v>
      </c>
    </row>
    <row r="4335" spans="1:6" x14ac:dyDescent="0.25">
      <c r="C4335" s="19"/>
      <c r="D4335" s="19" t="s">
        <v>651</v>
      </c>
      <c r="E4335" s="19" t="s">
        <v>652</v>
      </c>
      <c r="F4335">
        <v>1</v>
      </c>
    </row>
    <row r="4336" spans="1:6" x14ac:dyDescent="0.25">
      <c r="C4336" s="19"/>
      <c r="D4336" s="19" t="s">
        <v>653</v>
      </c>
      <c r="E4336" s="19" t="s">
        <v>438</v>
      </c>
      <c r="F4336">
        <v>1</v>
      </c>
    </row>
    <row r="4337" spans="1:6" x14ac:dyDescent="0.25">
      <c r="C4337" s="19"/>
      <c r="D4337" s="19" t="s">
        <v>654</v>
      </c>
      <c r="E4337" s="19" t="s">
        <v>440</v>
      </c>
      <c r="F4337">
        <v>1</v>
      </c>
    </row>
    <row r="4338" spans="1:6" x14ac:dyDescent="0.25">
      <c r="C4338" s="19"/>
      <c r="D4338" s="19" t="s">
        <v>655</v>
      </c>
      <c r="E4338" s="19" t="s">
        <v>656</v>
      </c>
      <c r="F4338">
        <v>2</v>
      </c>
    </row>
    <row r="4339" spans="1:6" x14ac:dyDescent="0.25">
      <c r="C4339" s="19"/>
      <c r="D4339" s="19" t="s">
        <v>657</v>
      </c>
      <c r="E4339" s="19" t="s">
        <v>658</v>
      </c>
      <c r="F4339">
        <v>1</v>
      </c>
    </row>
    <row r="4340" spans="1:6" x14ac:dyDescent="0.25">
      <c r="A4340" s="3">
        <v>675</v>
      </c>
      <c r="B4340" s="15" t="s">
        <v>194</v>
      </c>
      <c r="C4340" s="19" t="s">
        <v>1685</v>
      </c>
      <c r="D4340" s="19" t="s">
        <v>1686</v>
      </c>
      <c r="E4340" s="19" t="s">
        <v>1687</v>
      </c>
      <c r="F4340">
        <v>1</v>
      </c>
    </row>
    <row r="4341" spans="1:6" x14ac:dyDescent="0.25">
      <c r="A4341" s="3"/>
      <c r="C4341" s="19"/>
      <c r="D4341" s="19" t="s">
        <v>1688</v>
      </c>
      <c r="E4341" s="19" t="s">
        <v>1689</v>
      </c>
      <c r="F4341">
        <v>1</v>
      </c>
    </row>
    <row r="4342" spans="1:6" x14ac:dyDescent="0.25">
      <c r="A4342" s="3"/>
      <c r="C4342" s="19"/>
      <c r="D4342" s="19" t="s">
        <v>1690</v>
      </c>
      <c r="E4342" s="19" t="s">
        <v>1691</v>
      </c>
      <c r="F4342">
        <v>0</v>
      </c>
    </row>
    <row r="4343" spans="1:6" x14ac:dyDescent="0.25">
      <c r="A4343" s="3"/>
      <c r="C4343" s="19"/>
      <c r="D4343" s="19" t="s">
        <v>1692</v>
      </c>
      <c r="E4343" s="19" t="s">
        <v>1693</v>
      </c>
      <c r="F4343">
        <v>0</v>
      </c>
    </row>
    <row r="4344" spans="1:6" x14ac:dyDescent="0.25">
      <c r="A4344" s="3"/>
      <c r="C4344" s="19"/>
      <c r="D4344" s="19" t="s">
        <v>1694</v>
      </c>
      <c r="E4344" s="19" t="s">
        <v>1695</v>
      </c>
      <c r="F4344">
        <v>1</v>
      </c>
    </row>
    <row r="4345" spans="1:6" x14ac:dyDescent="0.25">
      <c r="A4345" s="3"/>
      <c r="C4345" s="19"/>
      <c r="D4345" s="19" t="s">
        <v>1696</v>
      </c>
      <c r="E4345" s="19" t="s">
        <v>1697</v>
      </c>
      <c r="F4345">
        <v>1</v>
      </c>
    </row>
    <row r="4346" spans="1:6" x14ac:dyDescent="0.25">
      <c r="A4346" s="3"/>
      <c r="C4346" s="19"/>
      <c r="D4346" s="19" t="s">
        <v>1698</v>
      </c>
      <c r="E4346" s="19" t="s">
        <v>1699</v>
      </c>
      <c r="F4346">
        <v>1</v>
      </c>
    </row>
    <row r="4347" spans="1:6" x14ac:dyDescent="0.25">
      <c r="A4347" s="3"/>
      <c r="C4347" s="19"/>
      <c r="D4347" s="19" t="s">
        <v>1700</v>
      </c>
      <c r="E4347" s="19" t="s">
        <v>1701</v>
      </c>
      <c r="F4347">
        <v>0</v>
      </c>
    </row>
    <row r="4348" spans="1:6" x14ac:dyDescent="0.25">
      <c r="A4348" s="3"/>
      <c r="C4348" s="19"/>
      <c r="D4348" s="19" t="s">
        <v>1702</v>
      </c>
      <c r="E4348" s="19" t="s">
        <v>314</v>
      </c>
      <c r="F4348">
        <v>1</v>
      </c>
    </row>
    <row r="4349" spans="1:6" x14ac:dyDescent="0.25">
      <c r="A4349" s="3"/>
      <c r="C4349" s="19"/>
      <c r="D4349" s="19" t="s">
        <v>1703</v>
      </c>
      <c r="E4349" s="19" t="s">
        <v>1704</v>
      </c>
      <c r="F4349">
        <v>0</v>
      </c>
    </row>
    <row r="4350" spans="1:6" x14ac:dyDescent="0.25">
      <c r="A4350" s="3"/>
      <c r="C4350" s="19"/>
      <c r="D4350" s="19" t="s">
        <v>1705</v>
      </c>
      <c r="E4350" s="19" t="s">
        <v>1706</v>
      </c>
      <c r="F4350">
        <v>0</v>
      </c>
    </row>
    <row r="4351" spans="1:6" x14ac:dyDescent="0.25">
      <c r="A4351" s="3"/>
      <c r="C4351" s="19"/>
      <c r="D4351" s="19" t="s">
        <v>1707</v>
      </c>
      <c r="E4351" s="19" t="s">
        <v>1708</v>
      </c>
      <c r="F4351">
        <v>1</v>
      </c>
    </row>
    <row r="4352" spans="1:6" x14ac:dyDescent="0.25">
      <c r="A4352" s="3"/>
      <c r="C4352" s="19"/>
      <c r="D4352" s="19" t="s">
        <v>1709</v>
      </c>
      <c r="E4352" s="19" t="s">
        <v>1710</v>
      </c>
      <c r="F4352">
        <v>1</v>
      </c>
    </row>
    <row r="4353" spans="1:6" x14ac:dyDescent="0.25">
      <c r="A4353" s="3"/>
      <c r="C4353" s="19"/>
      <c r="D4353" s="19" t="s">
        <v>1711</v>
      </c>
      <c r="E4353" s="19" t="s">
        <v>1124</v>
      </c>
      <c r="F4353">
        <v>1</v>
      </c>
    </row>
    <row r="4354" spans="1:6" x14ac:dyDescent="0.25">
      <c r="A4354" s="3">
        <v>676</v>
      </c>
      <c r="B4354" s="15" t="s">
        <v>195</v>
      </c>
      <c r="C4354" s="19" t="s">
        <v>506</v>
      </c>
      <c r="D4354" s="19" t="s">
        <v>507</v>
      </c>
      <c r="E4354" s="19" t="s">
        <v>508</v>
      </c>
      <c r="F4354">
        <v>1</v>
      </c>
    </row>
    <row r="4355" spans="1:6" x14ac:dyDescent="0.25">
      <c r="C4355" s="19"/>
      <c r="D4355" s="19" t="s">
        <v>509</v>
      </c>
      <c r="E4355" s="19" t="s">
        <v>510</v>
      </c>
      <c r="F4355">
        <v>1</v>
      </c>
    </row>
    <row r="4356" spans="1:6" x14ac:dyDescent="0.25">
      <c r="C4356" s="19"/>
      <c r="D4356" s="19" t="s">
        <v>511</v>
      </c>
      <c r="E4356" s="19" t="s">
        <v>512</v>
      </c>
      <c r="F4356">
        <v>1</v>
      </c>
    </row>
    <row r="4357" spans="1:6" x14ac:dyDescent="0.25">
      <c r="C4357" s="19"/>
      <c r="D4357" s="19" t="s">
        <v>513</v>
      </c>
      <c r="E4357" s="19" t="s">
        <v>514</v>
      </c>
      <c r="F4357">
        <v>1</v>
      </c>
    </row>
    <row r="4358" spans="1:6" x14ac:dyDescent="0.25">
      <c r="C4358" s="19"/>
      <c r="D4358" s="19" t="s">
        <v>515</v>
      </c>
      <c r="E4358" s="19" t="s">
        <v>516</v>
      </c>
      <c r="F4358">
        <v>0</v>
      </c>
    </row>
    <row r="4359" spans="1:6" x14ac:dyDescent="0.25">
      <c r="C4359" s="19"/>
      <c r="D4359" s="19" t="s">
        <v>517</v>
      </c>
      <c r="E4359" s="19" t="s">
        <v>518</v>
      </c>
      <c r="F4359">
        <v>0</v>
      </c>
    </row>
    <row r="4360" spans="1:6" x14ac:dyDescent="0.25">
      <c r="C4360" s="19"/>
      <c r="D4360" s="19" t="s">
        <v>519</v>
      </c>
      <c r="E4360" s="19" t="s">
        <v>520</v>
      </c>
      <c r="F4360">
        <v>0</v>
      </c>
    </row>
    <row r="4361" spans="1:6" x14ac:dyDescent="0.25">
      <c r="C4361" s="19"/>
      <c r="D4361" s="19" t="s">
        <v>521</v>
      </c>
      <c r="E4361" s="19" t="s">
        <v>522</v>
      </c>
      <c r="F4361">
        <v>0</v>
      </c>
    </row>
    <row r="4362" spans="1:6" x14ac:dyDescent="0.25">
      <c r="C4362" s="19"/>
      <c r="D4362" s="19" t="s">
        <v>523</v>
      </c>
      <c r="E4362" s="19" t="s">
        <v>524</v>
      </c>
      <c r="F4362">
        <v>0</v>
      </c>
    </row>
    <row r="4363" spans="1:6" x14ac:dyDescent="0.25">
      <c r="C4363" s="19"/>
      <c r="D4363" s="19" t="s">
        <v>525</v>
      </c>
      <c r="E4363" s="19" t="s">
        <v>526</v>
      </c>
      <c r="F4363">
        <v>0</v>
      </c>
    </row>
    <row r="4364" spans="1:6" x14ac:dyDescent="0.25">
      <c r="C4364" s="19"/>
      <c r="D4364" s="19" t="s">
        <v>527</v>
      </c>
      <c r="E4364" s="19" t="s">
        <v>283</v>
      </c>
      <c r="F4364">
        <v>0</v>
      </c>
    </row>
    <row r="4365" spans="1:6" x14ac:dyDescent="0.25">
      <c r="C4365" s="19"/>
      <c r="D4365" s="19" t="s">
        <v>528</v>
      </c>
      <c r="E4365" s="19" t="s">
        <v>529</v>
      </c>
      <c r="F4365">
        <v>0</v>
      </c>
    </row>
    <row r="4366" spans="1:6" x14ac:dyDescent="0.25">
      <c r="C4366" s="19"/>
      <c r="D4366" s="19" t="s">
        <v>530</v>
      </c>
      <c r="E4366" s="19" t="s">
        <v>531</v>
      </c>
      <c r="F4366">
        <v>1</v>
      </c>
    </row>
    <row r="4367" spans="1:6" x14ac:dyDescent="0.25">
      <c r="C4367" s="19"/>
      <c r="D4367" s="19" t="s">
        <v>532</v>
      </c>
      <c r="E4367" s="19" t="s">
        <v>533</v>
      </c>
      <c r="F4367">
        <v>0</v>
      </c>
    </row>
    <row r="4368" spans="1:6" x14ac:dyDescent="0.25">
      <c r="C4368" s="19"/>
      <c r="D4368" s="19" t="s">
        <v>534</v>
      </c>
      <c r="E4368" s="19" t="s">
        <v>535</v>
      </c>
      <c r="F4368">
        <v>0</v>
      </c>
    </row>
    <row r="4369" spans="1:6" x14ac:dyDescent="0.25">
      <c r="C4369" s="19"/>
      <c r="D4369" s="19" t="s">
        <v>536</v>
      </c>
      <c r="E4369" s="19" t="s">
        <v>537</v>
      </c>
      <c r="F4369">
        <v>0</v>
      </c>
    </row>
    <row r="4370" spans="1:6" x14ac:dyDescent="0.25">
      <c r="C4370" s="19"/>
      <c r="D4370" s="19" t="s">
        <v>538</v>
      </c>
      <c r="E4370" s="19" t="s">
        <v>539</v>
      </c>
      <c r="F4370">
        <v>0</v>
      </c>
    </row>
    <row r="4371" spans="1:6" x14ac:dyDescent="0.25">
      <c r="C4371" s="19"/>
      <c r="D4371" s="19" t="s">
        <v>540</v>
      </c>
      <c r="E4371" s="19" t="s">
        <v>541</v>
      </c>
      <c r="F4371">
        <v>1</v>
      </c>
    </row>
    <row r="4372" spans="1:6" x14ac:dyDescent="0.25">
      <c r="C4372" s="19"/>
      <c r="D4372" s="19" t="s">
        <v>542</v>
      </c>
      <c r="E4372" s="19" t="s">
        <v>543</v>
      </c>
      <c r="F4372">
        <v>1</v>
      </c>
    </row>
    <row r="4373" spans="1:6" x14ac:dyDescent="0.25">
      <c r="C4373" s="19"/>
      <c r="D4373" s="19" t="s">
        <v>544</v>
      </c>
      <c r="E4373" s="19" t="s">
        <v>545</v>
      </c>
      <c r="F4373">
        <v>1</v>
      </c>
    </row>
    <row r="4374" spans="1:6" x14ac:dyDescent="0.25">
      <c r="C4374" s="19"/>
      <c r="D4374" s="19" t="s">
        <v>546</v>
      </c>
      <c r="E4374" s="19" t="s">
        <v>547</v>
      </c>
      <c r="F4374">
        <v>0</v>
      </c>
    </row>
    <row r="4375" spans="1:6" x14ac:dyDescent="0.25">
      <c r="C4375" s="19"/>
      <c r="D4375" s="19" t="s">
        <v>548</v>
      </c>
      <c r="E4375" s="19" t="s">
        <v>549</v>
      </c>
      <c r="F4375">
        <v>1</v>
      </c>
    </row>
    <row r="4376" spans="1:6" x14ac:dyDescent="0.25">
      <c r="C4376" s="19"/>
      <c r="D4376" s="19" t="s">
        <v>550</v>
      </c>
      <c r="E4376" s="19" t="s">
        <v>551</v>
      </c>
      <c r="F4376">
        <v>1</v>
      </c>
    </row>
    <row r="4377" spans="1:6" x14ac:dyDescent="0.25">
      <c r="A4377" s="3">
        <v>677</v>
      </c>
      <c r="B4377" s="15" t="s">
        <v>196</v>
      </c>
      <c r="C4377" s="19" t="s">
        <v>701</v>
      </c>
      <c r="D4377" s="19" t="s">
        <v>702</v>
      </c>
      <c r="E4377" s="19" t="s">
        <v>583</v>
      </c>
      <c r="F4377">
        <v>1</v>
      </c>
    </row>
    <row r="4378" spans="1:6" x14ac:dyDescent="0.25">
      <c r="C4378" s="19"/>
      <c r="D4378" s="19" t="s">
        <v>703</v>
      </c>
      <c r="E4378" s="19" t="s">
        <v>306</v>
      </c>
      <c r="F4378">
        <v>0</v>
      </c>
    </row>
    <row r="4379" spans="1:6" x14ac:dyDescent="0.25">
      <c r="C4379" s="19"/>
      <c r="D4379" s="19" t="s">
        <v>704</v>
      </c>
      <c r="E4379" s="19" t="s">
        <v>705</v>
      </c>
      <c r="F4379">
        <v>0</v>
      </c>
    </row>
    <row r="4380" spans="1:6" x14ac:dyDescent="0.25">
      <c r="C4380" s="19"/>
      <c r="D4380" s="19" t="s">
        <v>706</v>
      </c>
      <c r="E4380" s="19" t="s">
        <v>588</v>
      </c>
      <c r="F4380">
        <v>1</v>
      </c>
    </row>
    <row r="4381" spans="1:6" x14ac:dyDescent="0.25">
      <c r="C4381" s="19"/>
      <c r="D4381" s="19" t="s">
        <v>707</v>
      </c>
      <c r="E4381" s="19" t="s">
        <v>312</v>
      </c>
      <c r="F4381">
        <v>1</v>
      </c>
    </row>
    <row r="4382" spans="1:6" x14ac:dyDescent="0.25">
      <c r="C4382" s="19"/>
      <c r="D4382" s="19" t="s">
        <v>708</v>
      </c>
      <c r="E4382" s="19" t="s">
        <v>314</v>
      </c>
      <c r="F4382">
        <v>0</v>
      </c>
    </row>
    <row r="4383" spans="1:6" x14ac:dyDescent="0.25">
      <c r="C4383" s="19"/>
      <c r="D4383" s="19" t="s">
        <v>709</v>
      </c>
      <c r="E4383" s="19" t="s">
        <v>493</v>
      </c>
      <c r="F4383">
        <v>1</v>
      </c>
    </row>
    <row r="4384" spans="1:6" x14ac:dyDescent="0.25">
      <c r="C4384" s="19"/>
      <c r="D4384" s="19" t="s">
        <v>710</v>
      </c>
      <c r="E4384" s="19" t="s">
        <v>275</v>
      </c>
      <c r="F4384">
        <v>1</v>
      </c>
    </row>
    <row r="4385" spans="3:6" x14ac:dyDescent="0.25">
      <c r="C4385" s="19"/>
      <c r="D4385" s="19" t="s">
        <v>711</v>
      </c>
      <c r="E4385" s="19" t="s">
        <v>283</v>
      </c>
      <c r="F4385">
        <v>0</v>
      </c>
    </row>
    <row r="4386" spans="3:6" x14ac:dyDescent="0.25">
      <c r="C4386" s="19"/>
      <c r="D4386" s="19" t="s">
        <v>712</v>
      </c>
      <c r="E4386" s="19" t="s">
        <v>713</v>
      </c>
      <c r="F4386">
        <v>0</v>
      </c>
    </row>
    <row r="4387" spans="3:6" x14ac:dyDescent="0.25">
      <c r="C4387" s="19"/>
      <c r="D4387" s="19" t="s">
        <v>714</v>
      </c>
      <c r="E4387" s="19" t="s">
        <v>715</v>
      </c>
      <c r="F4387">
        <v>0</v>
      </c>
    </row>
    <row r="4388" spans="3:6" x14ac:dyDescent="0.25">
      <c r="C4388" s="19"/>
      <c r="D4388" s="19" t="s">
        <v>716</v>
      </c>
      <c r="E4388" s="19" t="s">
        <v>717</v>
      </c>
      <c r="F4388">
        <v>0</v>
      </c>
    </row>
    <row r="4389" spans="3:6" x14ac:dyDescent="0.25">
      <c r="C4389" s="19"/>
      <c r="D4389" s="19" t="s">
        <v>718</v>
      </c>
      <c r="E4389" s="19" t="s">
        <v>381</v>
      </c>
      <c r="F4389">
        <v>0</v>
      </c>
    </row>
    <row r="4390" spans="3:6" x14ac:dyDescent="0.25">
      <c r="C4390" s="19"/>
      <c r="D4390" s="19" t="s">
        <v>719</v>
      </c>
      <c r="E4390" s="19" t="s">
        <v>720</v>
      </c>
      <c r="F4390">
        <v>0</v>
      </c>
    </row>
    <row r="4391" spans="3:6" x14ac:dyDescent="0.25">
      <c r="C4391" s="19"/>
      <c r="D4391" s="19" t="s">
        <v>721</v>
      </c>
      <c r="E4391" s="19" t="s">
        <v>722</v>
      </c>
      <c r="F4391">
        <v>0</v>
      </c>
    </row>
    <row r="4392" spans="3:6" x14ac:dyDescent="0.25">
      <c r="C4392" s="19" t="s">
        <v>1155</v>
      </c>
      <c r="D4392" s="19" t="s">
        <v>1156</v>
      </c>
      <c r="E4392" s="19" t="s">
        <v>273</v>
      </c>
      <c r="F4392">
        <v>0</v>
      </c>
    </row>
    <row r="4393" spans="3:6" x14ac:dyDescent="0.25">
      <c r="C4393" s="19"/>
      <c r="D4393" s="19" t="s">
        <v>1157</v>
      </c>
      <c r="E4393" s="19" t="s">
        <v>844</v>
      </c>
      <c r="F4393">
        <v>0</v>
      </c>
    </row>
    <row r="4394" spans="3:6" x14ac:dyDescent="0.25">
      <c r="C4394" s="19"/>
      <c r="D4394" s="19" t="s">
        <v>1158</v>
      </c>
      <c r="E4394" s="19" t="s">
        <v>1159</v>
      </c>
      <c r="F4394">
        <v>2</v>
      </c>
    </row>
    <row r="4395" spans="3:6" x14ac:dyDescent="0.25">
      <c r="C4395" s="19"/>
      <c r="D4395" s="19" t="s">
        <v>1160</v>
      </c>
      <c r="E4395" s="19" t="s">
        <v>1161</v>
      </c>
      <c r="F4395">
        <v>2</v>
      </c>
    </row>
    <row r="4396" spans="3:6" x14ac:dyDescent="0.25">
      <c r="C4396" s="19"/>
      <c r="D4396" s="19" t="s">
        <v>1162</v>
      </c>
      <c r="E4396" s="19" t="s">
        <v>1163</v>
      </c>
      <c r="F4396">
        <v>2</v>
      </c>
    </row>
    <row r="4397" spans="3:6" x14ac:dyDescent="0.25">
      <c r="C4397" s="19"/>
      <c r="D4397" s="19" t="s">
        <v>1164</v>
      </c>
      <c r="E4397" s="19" t="s">
        <v>1165</v>
      </c>
      <c r="F4397">
        <v>2</v>
      </c>
    </row>
    <row r="4398" spans="3:6" x14ac:dyDescent="0.25">
      <c r="C4398" s="19"/>
      <c r="D4398" s="19" t="s">
        <v>1166</v>
      </c>
      <c r="E4398" s="19" t="s">
        <v>295</v>
      </c>
      <c r="F4398">
        <v>1</v>
      </c>
    </row>
    <row r="4399" spans="3:6" x14ac:dyDescent="0.25">
      <c r="C4399" s="19"/>
      <c r="D4399" s="19" t="s">
        <v>1167</v>
      </c>
      <c r="E4399" s="19" t="s">
        <v>1168</v>
      </c>
      <c r="F4399">
        <v>1</v>
      </c>
    </row>
    <row r="4400" spans="3:6" x14ac:dyDescent="0.25">
      <c r="C4400" s="19" t="s">
        <v>1292</v>
      </c>
      <c r="D4400" s="19" t="s">
        <v>1293</v>
      </c>
      <c r="E4400" s="19" t="s">
        <v>304</v>
      </c>
      <c r="F4400">
        <v>0</v>
      </c>
    </row>
    <row r="4401" spans="3:6" x14ac:dyDescent="0.25">
      <c r="C4401" s="19"/>
      <c r="D4401" s="19" t="s">
        <v>1294</v>
      </c>
      <c r="E4401" s="19" t="s">
        <v>306</v>
      </c>
      <c r="F4401">
        <v>0</v>
      </c>
    </row>
    <row r="4402" spans="3:6" x14ac:dyDescent="0.25">
      <c r="C4402" s="19"/>
      <c r="D4402" s="19" t="s">
        <v>1295</v>
      </c>
      <c r="E4402" s="19" t="s">
        <v>1296</v>
      </c>
      <c r="F4402">
        <v>0</v>
      </c>
    </row>
    <row r="4403" spans="3:6" x14ac:dyDescent="0.25">
      <c r="C4403" s="19"/>
      <c r="D4403" s="19" t="s">
        <v>1297</v>
      </c>
      <c r="E4403" s="19" t="s">
        <v>729</v>
      </c>
      <c r="F4403">
        <v>0</v>
      </c>
    </row>
    <row r="4404" spans="3:6" x14ac:dyDescent="0.25">
      <c r="C4404" s="19"/>
      <c r="D4404" s="19" t="s">
        <v>1298</v>
      </c>
      <c r="E4404" s="19" t="s">
        <v>343</v>
      </c>
      <c r="F4404">
        <v>0</v>
      </c>
    </row>
    <row r="4405" spans="3:6" x14ac:dyDescent="0.25">
      <c r="C4405" s="19"/>
      <c r="D4405" s="19" t="s">
        <v>1299</v>
      </c>
      <c r="E4405" s="19" t="s">
        <v>1300</v>
      </c>
      <c r="F4405">
        <v>0</v>
      </c>
    </row>
    <row r="4406" spans="3:6" x14ac:dyDescent="0.25">
      <c r="C4406" s="19"/>
      <c r="D4406" s="19" t="s">
        <v>1301</v>
      </c>
      <c r="E4406" s="19" t="s">
        <v>734</v>
      </c>
      <c r="F4406">
        <v>0</v>
      </c>
    </row>
    <row r="4407" spans="3:6" x14ac:dyDescent="0.25">
      <c r="C4407" s="19"/>
      <c r="D4407" s="19" t="s">
        <v>1302</v>
      </c>
      <c r="E4407" s="19" t="s">
        <v>1303</v>
      </c>
      <c r="F4407">
        <v>0</v>
      </c>
    </row>
    <row r="4408" spans="3:6" x14ac:dyDescent="0.25">
      <c r="C4408" s="19"/>
      <c r="D4408" s="19" t="s">
        <v>1304</v>
      </c>
      <c r="E4408" s="19" t="s">
        <v>1305</v>
      </c>
      <c r="F4408">
        <v>1</v>
      </c>
    </row>
    <row r="4409" spans="3:6" x14ac:dyDescent="0.25">
      <c r="C4409" s="19"/>
      <c r="D4409" s="19" t="s">
        <v>1306</v>
      </c>
      <c r="E4409" s="19" t="s">
        <v>1307</v>
      </c>
      <c r="F4409">
        <v>0</v>
      </c>
    </row>
    <row r="4410" spans="3:6" x14ac:dyDescent="0.25">
      <c r="C4410" s="19"/>
      <c r="D4410" s="19" t="s">
        <v>1308</v>
      </c>
      <c r="E4410" s="19" t="s">
        <v>875</v>
      </c>
      <c r="F4410">
        <v>0</v>
      </c>
    </row>
    <row r="4411" spans="3:6" x14ac:dyDescent="0.25">
      <c r="C4411" s="19"/>
      <c r="D4411" s="19" t="s">
        <v>1309</v>
      </c>
      <c r="E4411" s="19" t="s">
        <v>759</v>
      </c>
      <c r="F4411">
        <v>0</v>
      </c>
    </row>
    <row r="4412" spans="3:6" x14ac:dyDescent="0.25">
      <c r="C4412" s="19"/>
      <c r="D4412" s="19" t="s">
        <v>1310</v>
      </c>
      <c r="E4412" s="19" t="s">
        <v>755</v>
      </c>
      <c r="F4412">
        <v>0</v>
      </c>
    </row>
    <row r="4413" spans="3:6" x14ac:dyDescent="0.25">
      <c r="C4413" s="19"/>
      <c r="D4413" s="19" t="s">
        <v>1311</v>
      </c>
      <c r="E4413" s="19" t="s">
        <v>757</v>
      </c>
      <c r="F4413">
        <v>0</v>
      </c>
    </row>
    <row r="4414" spans="3:6" x14ac:dyDescent="0.25">
      <c r="C4414" s="19" t="s">
        <v>782</v>
      </c>
      <c r="D4414" s="19" t="s">
        <v>783</v>
      </c>
      <c r="E4414" s="19" t="s">
        <v>784</v>
      </c>
      <c r="F4414">
        <v>0</v>
      </c>
    </row>
    <row r="4415" spans="3:6" x14ac:dyDescent="0.25">
      <c r="C4415" s="19"/>
      <c r="D4415" s="19" t="s">
        <v>785</v>
      </c>
      <c r="E4415" s="19" t="s">
        <v>786</v>
      </c>
      <c r="F4415">
        <v>0</v>
      </c>
    </row>
    <row r="4416" spans="3:6" x14ac:dyDescent="0.25">
      <c r="C4416" s="19"/>
      <c r="D4416" s="19" t="s">
        <v>787</v>
      </c>
      <c r="E4416" s="19" t="s">
        <v>640</v>
      </c>
      <c r="F4416">
        <v>0</v>
      </c>
    </row>
    <row r="4417" spans="3:6" x14ac:dyDescent="0.25">
      <c r="C4417" s="19"/>
      <c r="D4417" s="19" t="s">
        <v>788</v>
      </c>
      <c r="E4417" s="19" t="s">
        <v>789</v>
      </c>
      <c r="F4417">
        <v>0</v>
      </c>
    </row>
    <row r="4418" spans="3:6" x14ac:dyDescent="0.25">
      <c r="C4418" s="19"/>
      <c r="D4418" s="19" t="s">
        <v>790</v>
      </c>
      <c r="E4418" s="19" t="s">
        <v>791</v>
      </c>
      <c r="F4418">
        <v>1</v>
      </c>
    </row>
    <row r="4419" spans="3:6" x14ac:dyDescent="0.25">
      <c r="C4419" s="19"/>
      <c r="D4419" s="19" t="s">
        <v>792</v>
      </c>
      <c r="E4419" s="19" t="s">
        <v>793</v>
      </c>
      <c r="F4419">
        <v>1</v>
      </c>
    </row>
    <row r="4420" spans="3:6" x14ac:dyDescent="0.25">
      <c r="C4420" s="19"/>
      <c r="D4420" s="19" t="s">
        <v>794</v>
      </c>
      <c r="E4420" s="19" t="s">
        <v>795</v>
      </c>
      <c r="F4420">
        <v>1</v>
      </c>
    </row>
    <row r="4421" spans="3:6" x14ac:dyDescent="0.25">
      <c r="C4421" s="19"/>
      <c r="D4421" s="19" t="s">
        <v>796</v>
      </c>
      <c r="E4421" s="19" t="s">
        <v>797</v>
      </c>
      <c r="F4421">
        <v>0</v>
      </c>
    </row>
    <row r="4422" spans="3:6" x14ac:dyDescent="0.25">
      <c r="C4422" s="19"/>
      <c r="D4422" s="19" t="s">
        <v>798</v>
      </c>
      <c r="E4422" s="19" t="s">
        <v>273</v>
      </c>
      <c r="F4422">
        <v>0</v>
      </c>
    </row>
    <row r="4423" spans="3:6" x14ac:dyDescent="0.25">
      <c r="C4423" s="19"/>
      <c r="D4423" s="19" t="s">
        <v>799</v>
      </c>
      <c r="E4423" s="19" t="s">
        <v>312</v>
      </c>
      <c r="F4423">
        <v>0</v>
      </c>
    </row>
    <row r="4424" spans="3:6" x14ac:dyDescent="0.25">
      <c r="C4424" s="19"/>
      <c r="D4424" s="19" t="s">
        <v>800</v>
      </c>
      <c r="E4424" s="19" t="s">
        <v>801</v>
      </c>
      <c r="F4424">
        <v>0</v>
      </c>
    </row>
    <row r="4425" spans="3:6" x14ac:dyDescent="0.25">
      <c r="C4425" s="19"/>
      <c r="D4425" s="19" t="s">
        <v>802</v>
      </c>
      <c r="E4425" s="19" t="s">
        <v>803</v>
      </c>
      <c r="F4425">
        <v>0</v>
      </c>
    </row>
    <row r="4426" spans="3:6" x14ac:dyDescent="0.25">
      <c r="C4426" s="19"/>
      <c r="D4426" s="19" t="s">
        <v>804</v>
      </c>
      <c r="E4426" s="19" t="s">
        <v>805</v>
      </c>
      <c r="F4426">
        <v>0</v>
      </c>
    </row>
    <row r="4427" spans="3:6" x14ac:dyDescent="0.25">
      <c r="C4427" s="19" t="s">
        <v>1874</v>
      </c>
      <c r="D4427" s="19" t="s">
        <v>1875</v>
      </c>
      <c r="E4427" s="19" t="s">
        <v>820</v>
      </c>
      <c r="F4427">
        <v>0</v>
      </c>
    </row>
    <row r="4428" spans="3:6" x14ac:dyDescent="0.25">
      <c r="C4428" s="19"/>
      <c r="D4428" s="19" t="s">
        <v>1876</v>
      </c>
      <c r="E4428" s="19" t="s">
        <v>1877</v>
      </c>
      <c r="F4428">
        <v>0</v>
      </c>
    </row>
    <row r="4429" spans="3:6" x14ac:dyDescent="0.25">
      <c r="C4429" s="19"/>
      <c r="D4429" s="19" t="s">
        <v>1878</v>
      </c>
      <c r="E4429" s="19" t="s">
        <v>1879</v>
      </c>
      <c r="F4429">
        <v>1</v>
      </c>
    </row>
    <row r="4430" spans="3:6" x14ac:dyDescent="0.25">
      <c r="C4430" s="19"/>
      <c r="D4430" s="19" t="s">
        <v>1880</v>
      </c>
      <c r="E4430" s="19" t="s">
        <v>1881</v>
      </c>
      <c r="F4430">
        <v>0</v>
      </c>
    </row>
    <row r="4431" spans="3:6" x14ac:dyDescent="0.25">
      <c r="C4431" s="19"/>
      <c r="D4431" s="19" t="s">
        <v>2175</v>
      </c>
      <c r="E4431" s="19" t="s">
        <v>1882</v>
      </c>
      <c r="F4431">
        <v>0</v>
      </c>
    </row>
    <row r="4432" spans="3:6" x14ac:dyDescent="0.25">
      <c r="C4432" s="19"/>
      <c r="D4432" s="19" t="s">
        <v>1883</v>
      </c>
      <c r="E4432" s="19" t="s">
        <v>1884</v>
      </c>
      <c r="F4432">
        <v>0</v>
      </c>
    </row>
    <row r="4433" spans="3:6" x14ac:dyDescent="0.25">
      <c r="C4433" s="19"/>
      <c r="D4433" s="19" t="s">
        <v>1885</v>
      </c>
      <c r="E4433" s="19" t="s">
        <v>1886</v>
      </c>
      <c r="F4433">
        <v>0</v>
      </c>
    </row>
    <row r="4434" spans="3:6" x14ac:dyDescent="0.25">
      <c r="C4434" s="19"/>
      <c r="D4434" s="19" t="s">
        <v>1887</v>
      </c>
      <c r="E4434" s="19" t="s">
        <v>1888</v>
      </c>
      <c r="F4434">
        <v>0</v>
      </c>
    </row>
    <row r="4435" spans="3:6" x14ac:dyDescent="0.25">
      <c r="C4435" s="19"/>
      <c r="D4435" s="19" t="s">
        <v>1889</v>
      </c>
      <c r="E4435" s="19" t="s">
        <v>1890</v>
      </c>
      <c r="F4435">
        <v>0</v>
      </c>
    </row>
    <row r="4436" spans="3:6" x14ac:dyDescent="0.25">
      <c r="C4436" s="19"/>
      <c r="D4436" s="19" t="s">
        <v>1891</v>
      </c>
      <c r="E4436" s="19" t="s">
        <v>1892</v>
      </c>
      <c r="F4436">
        <v>0</v>
      </c>
    </row>
    <row r="4437" spans="3:6" x14ac:dyDescent="0.25">
      <c r="C4437" s="19"/>
      <c r="D4437" s="19" t="s">
        <v>1893</v>
      </c>
      <c r="E4437" s="19" t="s">
        <v>1894</v>
      </c>
      <c r="F4437">
        <v>0</v>
      </c>
    </row>
    <row r="4438" spans="3:6" x14ac:dyDescent="0.25">
      <c r="C4438" s="19"/>
      <c r="D4438" s="19" t="s">
        <v>1895</v>
      </c>
      <c r="E4438" s="19" t="s">
        <v>368</v>
      </c>
      <c r="F4438">
        <v>1</v>
      </c>
    </row>
    <row r="4439" spans="3:6" x14ac:dyDescent="0.25">
      <c r="C4439" s="19"/>
      <c r="D4439" s="19" t="s">
        <v>1896</v>
      </c>
      <c r="E4439" s="19" t="s">
        <v>370</v>
      </c>
      <c r="F4439">
        <v>1</v>
      </c>
    </row>
    <row r="4440" spans="3:6" x14ac:dyDescent="0.25">
      <c r="C4440" s="19"/>
      <c r="D4440" s="19" t="s">
        <v>1897</v>
      </c>
      <c r="E4440" s="19" t="s">
        <v>1898</v>
      </c>
      <c r="F4440">
        <v>0</v>
      </c>
    </row>
    <row r="4441" spans="3:6" x14ac:dyDescent="0.25">
      <c r="C4441" s="19"/>
      <c r="D4441" s="19" t="s">
        <v>1899</v>
      </c>
      <c r="E4441" s="19" t="s">
        <v>361</v>
      </c>
      <c r="F4441">
        <v>0</v>
      </c>
    </row>
    <row r="4442" spans="3:6" x14ac:dyDescent="0.25">
      <c r="C4442" s="19"/>
      <c r="D4442" s="19" t="s">
        <v>1900</v>
      </c>
      <c r="E4442" s="19" t="s">
        <v>359</v>
      </c>
      <c r="F4442">
        <v>0</v>
      </c>
    </row>
    <row r="4443" spans="3:6" x14ac:dyDescent="0.25">
      <c r="C4443" s="19"/>
      <c r="D4443" s="19" t="s">
        <v>1901</v>
      </c>
      <c r="E4443" s="19" t="s">
        <v>1902</v>
      </c>
      <c r="F4443">
        <v>0</v>
      </c>
    </row>
    <row r="4444" spans="3:6" x14ac:dyDescent="0.25">
      <c r="C4444" s="19"/>
      <c r="D4444" s="19" t="s">
        <v>1903</v>
      </c>
      <c r="E4444" s="19" t="s">
        <v>1904</v>
      </c>
      <c r="F4444">
        <v>0</v>
      </c>
    </row>
    <row r="4445" spans="3:6" x14ac:dyDescent="0.25">
      <c r="C4445" s="19"/>
      <c r="D4445" s="19" t="s">
        <v>1905</v>
      </c>
      <c r="E4445" s="19" t="s">
        <v>1906</v>
      </c>
      <c r="F4445">
        <v>0</v>
      </c>
    </row>
    <row r="4446" spans="3:6" x14ac:dyDescent="0.25">
      <c r="C4446" s="19"/>
      <c r="D4446" s="19" t="s">
        <v>1907</v>
      </c>
      <c r="E4446" s="19" t="s">
        <v>1908</v>
      </c>
      <c r="F4446">
        <v>0</v>
      </c>
    </row>
    <row r="4447" spans="3:6" x14ac:dyDescent="0.25">
      <c r="C4447" s="19" t="s">
        <v>1366</v>
      </c>
      <c r="D4447" s="19" t="s">
        <v>1367</v>
      </c>
      <c r="E4447" s="19" t="s">
        <v>1368</v>
      </c>
      <c r="F4447">
        <v>0</v>
      </c>
    </row>
    <row r="4448" spans="3:6" x14ac:dyDescent="0.25">
      <c r="C4448" s="19"/>
      <c r="D4448" s="19" t="s">
        <v>1369</v>
      </c>
      <c r="E4448" s="19" t="s">
        <v>1370</v>
      </c>
      <c r="F4448">
        <v>0</v>
      </c>
    </row>
    <row r="4449" spans="1:6" x14ac:dyDescent="0.25">
      <c r="C4449" s="19"/>
      <c r="D4449" s="19" t="s">
        <v>1371</v>
      </c>
      <c r="E4449" s="19" t="s">
        <v>283</v>
      </c>
      <c r="F4449">
        <v>0</v>
      </c>
    </row>
    <row r="4450" spans="1:6" x14ac:dyDescent="0.25">
      <c r="C4450" s="19"/>
      <c r="D4450" s="19" t="s">
        <v>1372</v>
      </c>
      <c r="E4450" s="19" t="s">
        <v>1373</v>
      </c>
      <c r="F4450">
        <v>0</v>
      </c>
    </row>
    <row r="4451" spans="1:6" x14ac:dyDescent="0.25">
      <c r="C4451" s="19"/>
      <c r="D4451" s="19" t="s">
        <v>1374</v>
      </c>
      <c r="E4451" s="19" t="s">
        <v>1375</v>
      </c>
      <c r="F4451">
        <v>0</v>
      </c>
    </row>
    <row r="4452" spans="1:6" x14ac:dyDescent="0.25">
      <c r="C4452" s="19"/>
      <c r="D4452" s="19" t="s">
        <v>1376</v>
      </c>
      <c r="E4452" s="19" t="s">
        <v>531</v>
      </c>
      <c r="F4452">
        <v>0</v>
      </c>
    </row>
    <row r="4453" spans="1:6" x14ac:dyDescent="0.25">
      <c r="C4453" s="19"/>
      <c r="D4453" s="19" t="s">
        <v>1377</v>
      </c>
      <c r="E4453" s="19" t="s">
        <v>539</v>
      </c>
      <c r="F4453">
        <v>0</v>
      </c>
    </row>
    <row r="4454" spans="1:6" x14ac:dyDescent="0.25">
      <c r="C4454" s="19"/>
      <c r="D4454" s="19" t="s">
        <v>1378</v>
      </c>
      <c r="E4454" s="19" t="s">
        <v>541</v>
      </c>
      <c r="F4454">
        <v>0</v>
      </c>
    </row>
    <row r="4455" spans="1:6" x14ac:dyDescent="0.25">
      <c r="C4455" s="19"/>
      <c r="D4455" s="19" t="s">
        <v>1379</v>
      </c>
      <c r="E4455" s="19" t="s">
        <v>1380</v>
      </c>
      <c r="F4455">
        <v>0</v>
      </c>
    </row>
    <row r="4456" spans="1:6" x14ac:dyDescent="0.25">
      <c r="C4456" s="19"/>
      <c r="D4456" s="19" t="s">
        <v>1381</v>
      </c>
      <c r="E4456" s="19" t="s">
        <v>1382</v>
      </c>
      <c r="F4456">
        <v>0</v>
      </c>
    </row>
    <row r="4457" spans="1:6" x14ac:dyDescent="0.25">
      <c r="C4457" s="19"/>
      <c r="D4457" s="19" t="s">
        <v>1383</v>
      </c>
      <c r="E4457" s="19" t="s">
        <v>1384</v>
      </c>
      <c r="F4457">
        <v>0</v>
      </c>
    </row>
    <row r="4458" spans="1:6" x14ac:dyDescent="0.25">
      <c r="C4458" s="19"/>
      <c r="D4458" s="19" t="s">
        <v>1385</v>
      </c>
      <c r="E4458" s="19" t="s">
        <v>1386</v>
      </c>
      <c r="F4458">
        <v>1</v>
      </c>
    </row>
    <row r="4459" spans="1:6" x14ac:dyDescent="0.25">
      <c r="C4459" s="19"/>
      <c r="D4459" s="19" t="s">
        <v>1387</v>
      </c>
      <c r="E4459" s="19" t="s">
        <v>295</v>
      </c>
      <c r="F4459">
        <v>0</v>
      </c>
    </row>
    <row r="4460" spans="1:6" x14ac:dyDescent="0.25">
      <c r="C4460" s="19"/>
      <c r="D4460" s="19" t="s">
        <v>1388</v>
      </c>
      <c r="E4460" s="19" t="s">
        <v>875</v>
      </c>
      <c r="F4460">
        <v>0</v>
      </c>
    </row>
    <row r="4461" spans="1:6" x14ac:dyDescent="0.25">
      <c r="C4461" s="19"/>
      <c r="D4461" s="19" t="s">
        <v>1389</v>
      </c>
      <c r="E4461" s="19" t="s">
        <v>551</v>
      </c>
      <c r="F4461">
        <v>0</v>
      </c>
    </row>
    <row r="4462" spans="1:6" x14ac:dyDescent="0.25">
      <c r="A4462" s="3">
        <v>679</v>
      </c>
      <c r="B4462" s="15" t="s">
        <v>197</v>
      </c>
      <c r="C4462" s="19" t="s">
        <v>859</v>
      </c>
      <c r="D4462" s="19" t="s">
        <v>860</v>
      </c>
      <c r="E4462" s="19" t="s">
        <v>273</v>
      </c>
      <c r="F4462">
        <v>1</v>
      </c>
    </row>
    <row r="4463" spans="1:6" x14ac:dyDescent="0.25">
      <c r="C4463" s="19"/>
      <c r="D4463" s="19" t="s">
        <v>861</v>
      </c>
      <c r="E4463" s="19" t="s">
        <v>275</v>
      </c>
      <c r="F4463">
        <v>1</v>
      </c>
    </row>
    <row r="4464" spans="1:6" x14ac:dyDescent="0.25">
      <c r="C4464" s="19"/>
      <c r="D4464" s="19" t="s">
        <v>862</v>
      </c>
      <c r="E4464" s="19" t="s">
        <v>277</v>
      </c>
      <c r="F4464">
        <v>1</v>
      </c>
    </row>
    <row r="4465" spans="1:6" x14ac:dyDescent="0.25">
      <c r="C4465" s="19"/>
      <c r="D4465" s="19" t="s">
        <v>863</v>
      </c>
      <c r="E4465" s="19" t="s">
        <v>283</v>
      </c>
      <c r="F4465">
        <v>1</v>
      </c>
    </row>
    <row r="4466" spans="1:6" x14ac:dyDescent="0.25">
      <c r="C4466" s="19"/>
      <c r="D4466" s="19" t="s">
        <v>864</v>
      </c>
      <c r="E4466" s="19" t="s">
        <v>289</v>
      </c>
      <c r="F4466">
        <v>1</v>
      </c>
    </row>
    <row r="4467" spans="1:6" x14ac:dyDescent="0.25">
      <c r="C4467" s="19"/>
      <c r="D4467" s="19" t="s">
        <v>865</v>
      </c>
      <c r="E4467" s="19" t="s">
        <v>866</v>
      </c>
      <c r="F4467">
        <v>1</v>
      </c>
    </row>
    <row r="4468" spans="1:6" x14ac:dyDescent="0.25">
      <c r="C4468" s="19"/>
      <c r="D4468" s="19" t="s">
        <v>867</v>
      </c>
      <c r="E4468" s="19" t="s">
        <v>868</v>
      </c>
      <c r="F4468">
        <v>2</v>
      </c>
    </row>
    <row r="4469" spans="1:6" x14ac:dyDescent="0.25">
      <c r="C4469" s="19"/>
      <c r="D4469" s="19" t="s">
        <v>869</v>
      </c>
      <c r="E4469" s="19" t="s">
        <v>870</v>
      </c>
      <c r="F4469">
        <v>1</v>
      </c>
    </row>
    <row r="4470" spans="1:6" x14ac:dyDescent="0.25">
      <c r="C4470" s="19"/>
      <c r="D4470" s="19" t="s">
        <v>871</v>
      </c>
      <c r="E4470" s="19" t="s">
        <v>295</v>
      </c>
      <c r="F4470">
        <v>1</v>
      </c>
    </row>
    <row r="4471" spans="1:6" x14ac:dyDescent="0.25">
      <c r="C4471" s="19"/>
      <c r="D4471" s="19" t="s">
        <v>872</v>
      </c>
      <c r="E4471" s="19" t="s">
        <v>873</v>
      </c>
      <c r="F4471">
        <v>1</v>
      </c>
    </row>
    <row r="4472" spans="1:6" x14ac:dyDescent="0.25">
      <c r="C4472" s="19"/>
      <c r="D4472" s="19" t="s">
        <v>874</v>
      </c>
      <c r="E4472" s="19" t="s">
        <v>875</v>
      </c>
      <c r="F4472">
        <v>1</v>
      </c>
    </row>
    <row r="4473" spans="1:6" x14ac:dyDescent="0.25">
      <c r="C4473" s="19"/>
      <c r="D4473" s="19" t="s">
        <v>876</v>
      </c>
      <c r="E4473" s="19" t="s">
        <v>372</v>
      </c>
      <c r="F4473">
        <v>1</v>
      </c>
    </row>
    <row r="4474" spans="1:6" x14ac:dyDescent="0.25">
      <c r="A4474" s="3">
        <v>681</v>
      </c>
      <c r="B4474" s="15" t="s">
        <v>198</v>
      </c>
      <c r="C4474" s="19" t="s">
        <v>1015</v>
      </c>
      <c r="D4474" s="19" t="s">
        <v>1016</v>
      </c>
      <c r="E4474" s="19" t="s">
        <v>1017</v>
      </c>
      <c r="F4474">
        <v>2</v>
      </c>
    </row>
    <row r="4475" spans="1:6" x14ac:dyDescent="0.25">
      <c r="C4475" s="19"/>
      <c r="D4475" s="19" t="s">
        <v>1018</v>
      </c>
      <c r="E4475" s="19" t="s">
        <v>795</v>
      </c>
      <c r="F4475">
        <v>0</v>
      </c>
    </row>
    <row r="4476" spans="1:6" x14ac:dyDescent="0.25">
      <c r="C4476" s="19"/>
      <c r="D4476" s="19" t="s">
        <v>1019</v>
      </c>
      <c r="E4476" s="19" t="s">
        <v>866</v>
      </c>
      <c r="F4476">
        <v>2</v>
      </c>
    </row>
    <row r="4477" spans="1:6" x14ac:dyDescent="0.25">
      <c r="C4477" s="19"/>
      <c r="D4477" s="19" t="s">
        <v>1020</v>
      </c>
      <c r="E4477" s="19" t="s">
        <v>1021</v>
      </c>
      <c r="F4477">
        <v>2</v>
      </c>
    </row>
    <row r="4478" spans="1:6" x14ac:dyDescent="0.25">
      <c r="C4478" s="19"/>
      <c r="D4478" s="19" t="s">
        <v>1022</v>
      </c>
      <c r="E4478" s="19" t="s">
        <v>1023</v>
      </c>
      <c r="F4478">
        <v>2</v>
      </c>
    </row>
    <row r="4479" spans="1:6" x14ac:dyDescent="0.25">
      <c r="C4479" s="19"/>
      <c r="D4479" s="19" t="s">
        <v>1024</v>
      </c>
      <c r="E4479" s="19" t="s">
        <v>889</v>
      </c>
      <c r="F4479">
        <v>2</v>
      </c>
    </row>
    <row r="4480" spans="1:6" x14ac:dyDescent="0.25">
      <c r="C4480" s="19"/>
      <c r="D4480" s="19" t="s">
        <v>1025</v>
      </c>
      <c r="E4480" s="19" t="s">
        <v>1026</v>
      </c>
      <c r="F4480">
        <v>2</v>
      </c>
    </row>
    <row r="4481" spans="1:6" x14ac:dyDescent="0.25">
      <c r="C4481" s="19"/>
      <c r="D4481" s="19" t="s">
        <v>1027</v>
      </c>
      <c r="E4481" s="19" t="s">
        <v>1028</v>
      </c>
      <c r="F4481">
        <v>2</v>
      </c>
    </row>
    <row r="4482" spans="1:6" x14ac:dyDescent="0.25">
      <c r="C4482" s="19"/>
      <c r="D4482" s="19" t="s">
        <v>1029</v>
      </c>
      <c r="E4482" s="19" t="s">
        <v>295</v>
      </c>
      <c r="F4482">
        <v>1</v>
      </c>
    </row>
    <row r="4483" spans="1:6" x14ac:dyDescent="0.25">
      <c r="A4483" s="3">
        <v>682</v>
      </c>
      <c r="B4483" s="15" t="s">
        <v>199</v>
      </c>
      <c r="C4483" s="19" t="s">
        <v>1640</v>
      </c>
      <c r="D4483" s="19" t="s">
        <v>1641</v>
      </c>
      <c r="E4483" s="19" t="s">
        <v>640</v>
      </c>
      <c r="F4483">
        <v>1</v>
      </c>
    </row>
    <row r="4484" spans="1:6" x14ac:dyDescent="0.25">
      <c r="C4484" s="19"/>
      <c r="D4484" s="19" t="s">
        <v>1642</v>
      </c>
      <c r="E4484" s="19" t="s">
        <v>1643</v>
      </c>
      <c r="F4484">
        <v>1</v>
      </c>
    </row>
    <row r="4485" spans="1:6" x14ac:dyDescent="0.25">
      <c r="C4485" s="19"/>
      <c r="D4485" s="19" t="s">
        <v>1644</v>
      </c>
      <c r="E4485" s="19" t="s">
        <v>1645</v>
      </c>
      <c r="F4485">
        <v>1</v>
      </c>
    </row>
    <row r="4486" spans="1:6" x14ac:dyDescent="0.25">
      <c r="C4486" s="19"/>
      <c r="D4486" s="19" t="s">
        <v>1646</v>
      </c>
      <c r="E4486" s="19" t="s">
        <v>1647</v>
      </c>
      <c r="F4486">
        <v>1</v>
      </c>
    </row>
    <row r="4487" spans="1:6" x14ac:dyDescent="0.25">
      <c r="C4487" s="19"/>
      <c r="D4487" s="19" t="s">
        <v>1648</v>
      </c>
      <c r="E4487" s="19" t="s">
        <v>1649</v>
      </c>
      <c r="F4487">
        <v>1</v>
      </c>
    </row>
    <row r="4488" spans="1:6" x14ac:dyDescent="0.25">
      <c r="C4488" s="19"/>
      <c r="D4488" s="19" t="s">
        <v>1650</v>
      </c>
      <c r="E4488" s="19" t="s">
        <v>791</v>
      </c>
      <c r="F4488">
        <v>1</v>
      </c>
    </row>
    <row r="4489" spans="1:6" x14ac:dyDescent="0.25">
      <c r="C4489" s="19"/>
      <c r="D4489" s="19" t="s">
        <v>1651</v>
      </c>
      <c r="E4489" s="19" t="s">
        <v>1652</v>
      </c>
      <c r="F4489">
        <v>1</v>
      </c>
    </row>
    <row r="4490" spans="1:6" x14ac:dyDescent="0.25">
      <c r="C4490" s="19"/>
      <c r="D4490" s="19" t="s">
        <v>1653</v>
      </c>
      <c r="E4490" s="19" t="s">
        <v>1654</v>
      </c>
      <c r="F4490">
        <v>1</v>
      </c>
    </row>
    <row r="4491" spans="1:6" x14ac:dyDescent="0.25">
      <c r="A4491" s="3">
        <v>684</v>
      </c>
      <c r="B4491" s="15" t="s">
        <v>200</v>
      </c>
      <c r="C4491" s="19" t="s">
        <v>1790</v>
      </c>
      <c r="D4491" s="19" t="s">
        <v>1791</v>
      </c>
      <c r="E4491" s="19" t="s">
        <v>273</v>
      </c>
      <c r="F4491">
        <v>1</v>
      </c>
    </row>
    <row r="4492" spans="1:6" x14ac:dyDescent="0.25">
      <c r="C4492" s="19"/>
      <c r="D4492" s="19" t="s">
        <v>1792</v>
      </c>
      <c r="E4492" s="19" t="s">
        <v>312</v>
      </c>
      <c r="F4492">
        <v>1</v>
      </c>
    </row>
    <row r="4493" spans="1:6" x14ac:dyDescent="0.25">
      <c r="C4493" s="19"/>
      <c r="D4493" s="19" t="s">
        <v>1793</v>
      </c>
      <c r="E4493" s="19" t="s">
        <v>801</v>
      </c>
      <c r="F4493">
        <v>1</v>
      </c>
    </row>
    <row r="4494" spans="1:6" x14ac:dyDescent="0.25">
      <c r="C4494" s="19"/>
      <c r="D4494" s="19" t="s">
        <v>1794</v>
      </c>
      <c r="E4494" s="19" t="s">
        <v>786</v>
      </c>
      <c r="F4494">
        <v>1</v>
      </c>
    </row>
    <row r="4495" spans="1:6" x14ac:dyDescent="0.25">
      <c r="C4495" s="19"/>
      <c r="D4495" s="19" t="s">
        <v>1795</v>
      </c>
      <c r="E4495" s="19" t="s">
        <v>784</v>
      </c>
      <c r="F4495">
        <v>1</v>
      </c>
    </row>
    <row r="4496" spans="1:6" x14ac:dyDescent="0.25">
      <c r="C4496" s="19"/>
      <c r="D4496" s="19" t="s">
        <v>1796</v>
      </c>
      <c r="E4496" s="19" t="s">
        <v>1205</v>
      </c>
      <c r="F4496">
        <v>1</v>
      </c>
    </row>
    <row r="4497" spans="1:7" x14ac:dyDescent="0.25">
      <c r="C4497" s="19"/>
      <c r="D4497" s="19" t="s">
        <v>1797</v>
      </c>
      <c r="E4497" s="19" t="s">
        <v>1207</v>
      </c>
      <c r="F4497">
        <v>1</v>
      </c>
    </row>
    <row r="4498" spans="1:7" x14ac:dyDescent="0.25">
      <c r="C4498" s="19"/>
      <c r="D4498" s="19" t="s">
        <v>1798</v>
      </c>
      <c r="E4498" s="19" t="s">
        <v>1209</v>
      </c>
      <c r="F4498">
        <v>1</v>
      </c>
    </row>
    <row r="4499" spans="1:7" x14ac:dyDescent="0.25">
      <c r="C4499" s="19"/>
      <c r="D4499" s="19" t="s">
        <v>1799</v>
      </c>
      <c r="E4499" s="19" t="s">
        <v>789</v>
      </c>
      <c r="F4499">
        <v>0</v>
      </c>
    </row>
    <row r="4500" spans="1:7" x14ac:dyDescent="0.25">
      <c r="C4500" s="19"/>
      <c r="D4500" s="19" t="s">
        <v>1800</v>
      </c>
      <c r="E4500" s="19" t="s">
        <v>1214</v>
      </c>
      <c r="F4500">
        <v>1</v>
      </c>
    </row>
    <row r="4501" spans="1:7" x14ac:dyDescent="0.25">
      <c r="C4501" s="19"/>
      <c r="D4501" s="19" t="s">
        <v>1801</v>
      </c>
      <c r="E4501" s="19" t="s">
        <v>1784</v>
      </c>
      <c r="F4501">
        <v>1</v>
      </c>
    </row>
    <row r="4502" spans="1:7" x14ac:dyDescent="0.25">
      <c r="C4502" s="19"/>
      <c r="D4502" s="19" t="s">
        <v>1802</v>
      </c>
      <c r="E4502" s="19" t="s">
        <v>791</v>
      </c>
      <c r="F4502">
        <v>1</v>
      </c>
    </row>
    <row r="4503" spans="1:7" x14ac:dyDescent="0.25">
      <c r="C4503" s="19"/>
      <c r="D4503" s="19" t="s">
        <v>1803</v>
      </c>
      <c r="E4503" s="19" t="s">
        <v>795</v>
      </c>
      <c r="F4503">
        <v>1</v>
      </c>
    </row>
    <row r="4504" spans="1:7" x14ac:dyDescent="0.25">
      <c r="C4504" s="19"/>
      <c r="D4504" s="19" t="s">
        <v>1804</v>
      </c>
      <c r="E4504" s="19" t="s">
        <v>372</v>
      </c>
      <c r="F4504">
        <v>0</v>
      </c>
    </row>
    <row r="4505" spans="1:7" x14ac:dyDescent="0.25">
      <c r="C4505" s="19"/>
      <c r="D4505" s="19" t="s">
        <v>1805</v>
      </c>
      <c r="E4505" s="19" t="s">
        <v>1806</v>
      </c>
      <c r="F4505">
        <v>1</v>
      </c>
    </row>
    <row r="4506" spans="1:7" x14ac:dyDescent="0.25">
      <c r="C4506" s="19"/>
      <c r="D4506" s="19" t="s">
        <v>1807</v>
      </c>
      <c r="E4506" s="19" t="s">
        <v>1808</v>
      </c>
      <c r="F4506">
        <v>1</v>
      </c>
    </row>
    <row r="4507" spans="1:7" x14ac:dyDescent="0.25">
      <c r="A4507" s="3">
        <v>693</v>
      </c>
      <c r="B4507" s="15" t="s">
        <v>201</v>
      </c>
      <c r="C4507" s="19" t="s">
        <v>1245</v>
      </c>
      <c r="D4507" s="19" t="s">
        <v>1246</v>
      </c>
      <c r="E4507" s="19" t="s">
        <v>583</v>
      </c>
      <c r="F4507">
        <v>1</v>
      </c>
    </row>
    <row r="4508" spans="1:7" x14ac:dyDescent="0.25">
      <c r="C4508" s="19"/>
      <c r="D4508" s="19" t="s">
        <v>1247</v>
      </c>
      <c r="E4508" s="19" t="s">
        <v>306</v>
      </c>
      <c r="F4508">
        <v>1</v>
      </c>
    </row>
    <row r="4509" spans="1:7" x14ac:dyDescent="0.25">
      <c r="C4509" s="19"/>
      <c r="D4509" s="19" t="s">
        <v>1248</v>
      </c>
      <c r="E4509" s="19" t="s">
        <v>1249</v>
      </c>
      <c r="F4509">
        <v>2</v>
      </c>
      <c r="G4509" s="43" t="s">
        <v>4561</v>
      </c>
    </row>
    <row r="4510" spans="1:7" x14ac:dyDescent="0.25">
      <c r="C4510" s="19"/>
      <c r="D4510" s="19" t="s">
        <v>1250</v>
      </c>
      <c r="E4510" s="19" t="s">
        <v>273</v>
      </c>
      <c r="F4510">
        <v>1</v>
      </c>
    </row>
    <row r="4511" spans="1:7" x14ac:dyDescent="0.25">
      <c r="C4511" s="19"/>
      <c r="D4511" s="19" t="s">
        <v>1251</v>
      </c>
      <c r="E4511" s="19" t="s">
        <v>1252</v>
      </c>
      <c r="F4511">
        <v>1</v>
      </c>
    </row>
    <row r="4512" spans="1:7" x14ac:dyDescent="0.25">
      <c r="C4512" s="19"/>
      <c r="D4512" s="19" t="s">
        <v>1253</v>
      </c>
      <c r="E4512" s="19" t="s">
        <v>633</v>
      </c>
      <c r="F4512">
        <v>1</v>
      </c>
    </row>
    <row r="4513" spans="1:7" x14ac:dyDescent="0.25">
      <c r="C4513" s="19"/>
      <c r="D4513" s="19" t="s">
        <v>1254</v>
      </c>
      <c r="E4513" s="19" t="s">
        <v>668</v>
      </c>
      <c r="F4513">
        <v>1</v>
      </c>
    </row>
    <row r="4514" spans="1:7" x14ac:dyDescent="0.25">
      <c r="C4514" s="19"/>
      <c r="D4514" s="19" t="s">
        <v>1255</v>
      </c>
      <c r="E4514" s="19" t="s">
        <v>1256</v>
      </c>
      <c r="F4514">
        <v>1</v>
      </c>
    </row>
    <row r="4515" spans="1:7" x14ac:dyDescent="0.25">
      <c r="C4515" s="19"/>
      <c r="D4515" s="19" t="s">
        <v>1257</v>
      </c>
      <c r="E4515" s="19" t="s">
        <v>1258</v>
      </c>
      <c r="F4515">
        <v>2</v>
      </c>
      <c r="G4515" s="43" t="s">
        <v>4562</v>
      </c>
    </row>
    <row r="4516" spans="1:7" x14ac:dyDescent="0.25">
      <c r="A4516" s="3">
        <v>694</v>
      </c>
      <c r="B4516" s="15" t="s">
        <v>202</v>
      </c>
      <c r="C4516" s="19" t="s">
        <v>1585</v>
      </c>
      <c r="D4516" s="19" t="s">
        <v>1586</v>
      </c>
      <c r="E4516" s="19" t="s">
        <v>1587</v>
      </c>
      <c r="F4516">
        <v>0</v>
      </c>
    </row>
    <row r="4517" spans="1:7" x14ac:dyDescent="0.25">
      <c r="C4517" s="19"/>
      <c r="D4517" s="19" t="s">
        <v>1588</v>
      </c>
      <c r="E4517" s="19" t="s">
        <v>1589</v>
      </c>
      <c r="F4517">
        <v>1</v>
      </c>
    </row>
    <row r="4518" spans="1:7" x14ac:dyDescent="0.25">
      <c r="C4518" s="19"/>
      <c r="D4518" s="19" t="s">
        <v>1590</v>
      </c>
      <c r="E4518" s="19" t="s">
        <v>1591</v>
      </c>
      <c r="F4518">
        <v>1</v>
      </c>
    </row>
    <row r="4519" spans="1:7" x14ac:dyDescent="0.25">
      <c r="C4519" s="19"/>
      <c r="D4519" s="19" t="s">
        <v>1592</v>
      </c>
      <c r="E4519" s="19" t="s">
        <v>1593</v>
      </c>
      <c r="F4519">
        <v>0</v>
      </c>
    </row>
    <row r="4520" spans="1:7" x14ac:dyDescent="0.25">
      <c r="C4520" s="19"/>
      <c r="D4520" s="19" t="s">
        <v>1594</v>
      </c>
      <c r="E4520" s="19" t="s">
        <v>1595</v>
      </c>
      <c r="F4520">
        <v>1</v>
      </c>
    </row>
    <row r="4521" spans="1:7" x14ac:dyDescent="0.25">
      <c r="C4521" s="19"/>
      <c r="D4521" s="19" t="s">
        <v>1596</v>
      </c>
      <c r="E4521" s="19" t="s">
        <v>1597</v>
      </c>
      <c r="F4521">
        <v>1</v>
      </c>
    </row>
    <row r="4522" spans="1:7" x14ac:dyDescent="0.25">
      <c r="C4522" s="19"/>
      <c r="D4522" s="19" t="s">
        <v>1598</v>
      </c>
      <c r="E4522" s="19" t="s">
        <v>1599</v>
      </c>
      <c r="F4522">
        <v>1</v>
      </c>
    </row>
    <row r="4523" spans="1:7" x14ac:dyDescent="0.25">
      <c r="C4523" s="19"/>
      <c r="D4523" s="19" t="s">
        <v>1600</v>
      </c>
      <c r="E4523" s="19" t="s">
        <v>1601</v>
      </c>
      <c r="F4523">
        <v>2</v>
      </c>
    </row>
    <row r="4524" spans="1:7" x14ac:dyDescent="0.25">
      <c r="C4524" s="19"/>
      <c r="D4524" s="19" t="s">
        <v>1602</v>
      </c>
      <c r="E4524" s="19" t="s">
        <v>1603</v>
      </c>
      <c r="F4524">
        <v>1</v>
      </c>
    </row>
    <row r="4525" spans="1:7" x14ac:dyDescent="0.25">
      <c r="C4525" s="19"/>
      <c r="D4525" s="19" t="s">
        <v>1604</v>
      </c>
      <c r="E4525" s="19" t="s">
        <v>1605</v>
      </c>
      <c r="F4525">
        <v>1</v>
      </c>
    </row>
    <row r="4526" spans="1:7" x14ac:dyDescent="0.25">
      <c r="C4526" s="19"/>
      <c r="D4526" s="19" t="s">
        <v>1606</v>
      </c>
      <c r="E4526" s="19" t="s">
        <v>1607</v>
      </c>
      <c r="F4526">
        <v>1</v>
      </c>
    </row>
    <row r="4527" spans="1:7" x14ac:dyDescent="0.25">
      <c r="C4527" s="19"/>
      <c r="D4527" s="19" t="s">
        <v>1608</v>
      </c>
      <c r="E4527" s="19" t="s">
        <v>1609</v>
      </c>
      <c r="F4527">
        <v>0</v>
      </c>
    </row>
    <row r="4528" spans="1:7" x14ac:dyDescent="0.25">
      <c r="C4528" s="19"/>
      <c r="D4528" s="19" t="s">
        <v>1610</v>
      </c>
      <c r="E4528" s="19" t="s">
        <v>1430</v>
      </c>
      <c r="F4528">
        <v>0</v>
      </c>
    </row>
    <row r="4529" spans="1:6" x14ac:dyDescent="0.25">
      <c r="C4529" s="19"/>
      <c r="D4529" s="19" t="s">
        <v>1611</v>
      </c>
      <c r="E4529" s="19" t="s">
        <v>503</v>
      </c>
      <c r="F4529">
        <v>0</v>
      </c>
    </row>
    <row r="4530" spans="1:6" x14ac:dyDescent="0.25">
      <c r="C4530" s="19"/>
      <c r="D4530" s="19" t="s">
        <v>1612</v>
      </c>
      <c r="E4530" s="19" t="s">
        <v>1535</v>
      </c>
      <c r="F4530">
        <v>0</v>
      </c>
    </row>
    <row r="4531" spans="1:6" x14ac:dyDescent="0.25">
      <c r="A4531" s="3">
        <v>698</v>
      </c>
      <c r="B4531" s="15" t="s">
        <v>203</v>
      </c>
      <c r="C4531" s="19" t="s">
        <v>994</v>
      </c>
      <c r="D4531" s="19" t="s">
        <v>995</v>
      </c>
      <c r="E4531" s="19" t="s">
        <v>996</v>
      </c>
      <c r="F4531">
        <v>1</v>
      </c>
    </row>
    <row r="4532" spans="1:6" x14ac:dyDescent="0.25">
      <c r="C4532" s="19"/>
      <c r="D4532" s="19" t="s">
        <v>997</v>
      </c>
      <c r="E4532" s="19" t="s">
        <v>998</v>
      </c>
      <c r="F4532">
        <v>1</v>
      </c>
    </row>
    <row r="4533" spans="1:6" x14ac:dyDescent="0.25">
      <c r="C4533" s="19"/>
      <c r="D4533" s="19" t="s">
        <v>999</v>
      </c>
      <c r="E4533" s="19" t="s">
        <v>1000</v>
      </c>
      <c r="F4533">
        <v>1</v>
      </c>
    </row>
    <row r="4534" spans="1:6" x14ac:dyDescent="0.25">
      <c r="C4534" s="19"/>
      <c r="D4534" s="19" t="s">
        <v>1001</v>
      </c>
      <c r="E4534" s="19" t="s">
        <v>1002</v>
      </c>
      <c r="F4534">
        <v>1</v>
      </c>
    </row>
    <row r="4535" spans="1:6" x14ac:dyDescent="0.25">
      <c r="C4535" s="19"/>
      <c r="D4535" s="19" t="s">
        <v>1003</v>
      </c>
      <c r="E4535" s="19" t="s">
        <v>1004</v>
      </c>
      <c r="F4535">
        <v>1</v>
      </c>
    </row>
    <row r="4536" spans="1:6" x14ac:dyDescent="0.25">
      <c r="C4536" s="19"/>
      <c r="D4536" s="19" t="s">
        <v>1005</v>
      </c>
      <c r="E4536" s="19" t="s">
        <v>1006</v>
      </c>
      <c r="F4536">
        <v>1</v>
      </c>
    </row>
    <row r="4537" spans="1:6" x14ac:dyDescent="0.25">
      <c r="C4537" s="19"/>
      <c r="D4537" s="19" t="s">
        <v>1007</v>
      </c>
      <c r="E4537" s="19" t="s">
        <v>1008</v>
      </c>
      <c r="F4537">
        <v>1</v>
      </c>
    </row>
    <row r="4538" spans="1:6" x14ac:dyDescent="0.25">
      <c r="C4538" s="19"/>
      <c r="D4538" s="19" t="s">
        <v>1009</v>
      </c>
      <c r="E4538" s="19" t="s">
        <v>1010</v>
      </c>
      <c r="F4538">
        <v>1</v>
      </c>
    </row>
    <row r="4539" spans="1:6" x14ac:dyDescent="0.25">
      <c r="C4539" s="19"/>
      <c r="D4539" s="19" t="s">
        <v>1011</v>
      </c>
      <c r="E4539" s="19" t="s">
        <v>1012</v>
      </c>
      <c r="F4539">
        <v>1</v>
      </c>
    </row>
    <row r="4540" spans="1:6" x14ac:dyDescent="0.25">
      <c r="C4540" s="19"/>
      <c r="D4540" s="19" t="s">
        <v>1013</v>
      </c>
      <c r="E4540" s="19" t="s">
        <v>1014</v>
      </c>
      <c r="F4540">
        <v>1</v>
      </c>
    </row>
    <row r="4541" spans="1:6" x14ac:dyDescent="0.25">
      <c r="A4541" s="3">
        <v>699</v>
      </c>
      <c r="B4541" s="15" t="s">
        <v>203</v>
      </c>
      <c r="C4541" s="19" t="s">
        <v>994</v>
      </c>
      <c r="D4541" s="19" t="s">
        <v>995</v>
      </c>
      <c r="E4541" s="19" t="s">
        <v>996</v>
      </c>
      <c r="F4541">
        <v>1</v>
      </c>
    </row>
    <row r="4542" spans="1:6" x14ac:dyDescent="0.25">
      <c r="C4542" s="19"/>
      <c r="D4542" s="19" t="s">
        <v>997</v>
      </c>
      <c r="E4542" s="19" t="s">
        <v>998</v>
      </c>
      <c r="F4542">
        <v>1</v>
      </c>
    </row>
    <row r="4543" spans="1:6" x14ac:dyDescent="0.25">
      <c r="C4543" s="19"/>
      <c r="D4543" s="19" t="s">
        <v>999</v>
      </c>
      <c r="E4543" s="19" t="s">
        <v>1000</v>
      </c>
      <c r="F4543">
        <v>1</v>
      </c>
    </row>
    <row r="4544" spans="1:6" x14ac:dyDescent="0.25">
      <c r="C4544" s="19"/>
      <c r="D4544" s="19" t="s">
        <v>1001</v>
      </c>
      <c r="E4544" s="19" t="s">
        <v>1002</v>
      </c>
      <c r="F4544">
        <v>1</v>
      </c>
    </row>
    <row r="4545" spans="1:6" x14ac:dyDescent="0.25">
      <c r="C4545" s="19"/>
      <c r="D4545" s="19" t="s">
        <v>1003</v>
      </c>
      <c r="E4545" s="19" t="s">
        <v>1004</v>
      </c>
      <c r="F4545">
        <v>1</v>
      </c>
    </row>
    <row r="4546" spans="1:6" x14ac:dyDescent="0.25">
      <c r="C4546" s="19"/>
      <c r="D4546" s="19" t="s">
        <v>1005</v>
      </c>
      <c r="E4546" s="19" t="s">
        <v>1006</v>
      </c>
      <c r="F4546">
        <v>1</v>
      </c>
    </row>
    <row r="4547" spans="1:6" x14ac:dyDescent="0.25">
      <c r="C4547" s="19"/>
      <c r="D4547" s="19" t="s">
        <v>1007</v>
      </c>
      <c r="E4547" s="19" t="s">
        <v>1008</v>
      </c>
      <c r="F4547">
        <v>1</v>
      </c>
    </row>
    <row r="4548" spans="1:6" x14ac:dyDescent="0.25">
      <c r="C4548" s="19"/>
      <c r="D4548" s="19" t="s">
        <v>1009</v>
      </c>
      <c r="E4548" s="19" t="s">
        <v>1010</v>
      </c>
      <c r="F4548">
        <v>1</v>
      </c>
    </row>
    <row r="4549" spans="1:6" x14ac:dyDescent="0.25">
      <c r="C4549" s="19"/>
      <c r="D4549" s="19" t="s">
        <v>1011</v>
      </c>
      <c r="E4549" s="19" t="s">
        <v>1012</v>
      </c>
      <c r="F4549">
        <v>1</v>
      </c>
    </row>
    <row r="4550" spans="1:6" x14ac:dyDescent="0.25">
      <c r="C4550" s="19"/>
      <c r="D4550" s="19" t="s">
        <v>1013</v>
      </c>
      <c r="E4550" s="19" t="s">
        <v>1014</v>
      </c>
      <c r="F4550">
        <v>1</v>
      </c>
    </row>
    <row r="4551" spans="1:6" x14ac:dyDescent="0.25">
      <c r="A4551" s="3">
        <v>703</v>
      </c>
      <c r="B4551" s="16" t="s">
        <v>204</v>
      </c>
      <c r="C4551" s="19" t="s">
        <v>581</v>
      </c>
      <c r="D4551" s="19" t="s">
        <v>582</v>
      </c>
      <c r="E4551" s="19" t="s">
        <v>583</v>
      </c>
      <c r="F4551">
        <v>1</v>
      </c>
    </row>
    <row r="4552" spans="1:6" x14ac:dyDescent="0.25">
      <c r="C4552" s="19"/>
      <c r="D4552" s="19" t="s">
        <v>584</v>
      </c>
      <c r="E4552" s="19" t="s">
        <v>306</v>
      </c>
      <c r="F4552">
        <v>1</v>
      </c>
    </row>
    <row r="4553" spans="1:6" x14ac:dyDescent="0.25">
      <c r="C4553" s="19"/>
      <c r="D4553" s="19" t="s">
        <v>585</v>
      </c>
      <c r="E4553" s="19" t="s">
        <v>586</v>
      </c>
      <c r="F4553">
        <v>1</v>
      </c>
    </row>
    <row r="4554" spans="1:6" x14ac:dyDescent="0.25">
      <c r="C4554" s="19"/>
      <c r="D4554" s="19" t="s">
        <v>587</v>
      </c>
      <c r="E4554" s="19" t="s">
        <v>588</v>
      </c>
      <c r="F4554">
        <v>1</v>
      </c>
    </row>
    <row r="4555" spans="1:6" x14ac:dyDescent="0.25">
      <c r="C4555" s="19"/>
      <c r="D4555" s="19" t="s">
        <v>589</v>
      </c>
      <c r="E4555" s="19" t="s">
        <v>312</v>
      </c>
      <c r="F4555">
        <v>1</v>
      </c>
    </row>
    <row r="4556" spans="1:6" x14ac:dyDescent="0.25">
      <c r="C4556" s="19"/>
      <c r="D4556" s="19" t="s">
        <v>590</v>
      </c>
      <c r="E4556" s="19" t="s">
        <v>493</v>
      </c>
      <c r="F4556">
        <v>1</v>
      </c>
    </row>
    <row r="4557" spans="1:6" x14ac:dyDescent="0.25">
      <c r="C4557" s="19"/>
      <c r="D4557" s="19" t="s">
        <v>591</v>
      </c>
      <c r="E4557" s="19" t="s">
        <v>314</v>
      </c>
      <c r="F4557">
        <v>1</v>
      </c>
    </row>
    <row r="4558" spans="1:6" x14ac:dyDescent="0.25">
      <c r="C4558" s="19"/>
      <c r="D4558" s="19" t="s">
        <v>592</v>
      </c>
      <c r="E4558" s="19" t="s">
        <v>275</v>
      </c>
      <c r="F4558">
        <v>1</v>
      </c>
    </row>
    <row r="4559" spans="1:6" x14ac:dyDescent="0.25">
      <c r="C4559" s="19"/>
      <c r="D4559" s="19" t="s">
        <v>593</v>
      </c>
      <c r="E4559" s="19" t="s">
        <v>594</v>
      </c>
      <c r="F4559">
        <v>1</v>
      </c>
    </row>
    <row r="4560" spans="1:6" x14ac:dyDescent="0.25">
      <c r="C4560" s="19"/>
      <c r="D4560" s="19" t="s">
        <v>595</v>
      </c>
      <c r="E4560" s="19" t="s">
        <v>349</v>
      </c>
      <c r="F4560">
        <v>1</v>
      </c>
    </row>
    <row r="4561" spans="1:6" x14ac:dyDescent="0.25">
      <c r="C4561" s="19"/>
      <c r="D4561" s="19" t="s">
        <v>596</v>
      </c>
      <c r="E4561" s="19" t="s">
        <v>597</v>
      </c>
      <c r="F4561">
        <v>1</v>
      </c>
    </row>
    <row r="4562" spans="1:6" x14ac:dyDescent="0.25">
      <c r="C4562" s="19"/>
      <c r="D4562" s="19" t="s">
        <v>598</v>
      </c>
      <c r="E4562" s="19" t="s">
        <v>599</v>
      </c>
      <c r="F4562">
        <v>0</v>
      </c>
    </row>
    <row r="4563" spans="1:6" x14ac:dyDescent="0.25">
      <c r="C4563" s="19"/>
      <c r="D4563" s="19" t="s">
        <v>600</v>
      </c>
      <c r="E4563" s="19" t="s">
        <v>601</v>
      </c>
      <c r="F4563">
        <v>0</v>
      </c>
    </row>
    <row r="4564" spans="1:6" x14ac:dyDescent="0.25">
      <c r="C4564" s="19"/>
      <c r="D4564" s="19" t="s">
        <v>602</v>
      </c>
      <c r="E4564" s="19" t="s">
        <v>603</v>
      </c>
      <c r="F4564">
        <v>1</v>
      </c>
    </row>
    <row r="4565" spans="1:6" x14ac:dyDescent="0.25">
      <c r="C4565" s="19"/>
      <c r="D4565" s="19" t="s">
        <v>604</v>
      </c>
      <c r="E4565" s="19" t="s">
        <v>605</v>
      </c>
      <c r="F4565">
        <v>1</v>
      </c>
    </row>
    <row r="4566" spans="1:6" x14ac:dyDescent="0.25">
      <c r="C4566" s="19"/>
      <c r="D4566" s="19" t="s">
        <v>606</v>
      </c>
      <c r="E4566" s="19" t="s">
        <v>503</v>
      </c>
      <c r="F4566">
        <v>1</v>
      </c>
    </row>
    <row r="4567" spans="1:6" x14ac:dyDescent="0.25">
      <c r="C4567" s="19"/>
      <c r="D4567" s="19" t="s">
        <v>607</v>
      </c>
      <c r="E4567" s="19" t="s">
        <v>505</v>
      </c>
      <c r="F4567">
        <v>1</v>
      </c>
    </row>
    <row r="4568" spans="1:6" x14ac:dyDescent="0.25">
      <c r="C4568" s="19"/>
      <c r="D4568" s="19" t="s">
        <v>608</v>
      </c>
      <c r="E4568" s="19" t="s">
        <v>609</v>
      </c>
      <c r="F4568">
        <v>1</v>
      </c>
    </row>
    <row r="4569" spans="1:6" x14ac:dyDescent="0.25">
      <c r="A4569" s="3">
        <v>706</v>
      </c>
      <c r="B4569" s="15" t="s">
        <v>205</v>
      </c>
      <c r="C4569" s="19" t="s">
        <v>1685</v>
      </c>
      <c r="D4569" s="19" t="s">
        <v>1686</v>
      </c>
      <c r="E4569" s="19" t="s">
        <v>1687</v>
      </c>
      <c r="F4569">
        <v>1</v>
      </c>
    </row>
    <row r="4570" spans="1:6" x14ac:dyDescent="0.25">
      <c r="C4570" s="19"/>
      <c r="D4570" s="19" t="s">
        <v>1688</v>
      </c>
      <c r="E4570" s="19" t="s">
        <v>1689</v>
      </c>
      <c r="F4570">
        <v>1</v>
      </c>
    </row>
    <row r="4571" spans="1:6" x14ac:dyDescent="0.25">
      <c r="C4571" s="19"/>
      <c r="D4571" s="19" t="s">
        <v>1690</v>
      </c>
      <c r="E4571" s="19" t="s">
        <v>1691</v>
      </c>
      <c r="F4571">
        <v>1</v>
      </c>
    </row>
    <row r="4572" spans="1:6" x14ac:dyDescent="0.25">
      <c r="C4572" s="19"/>
      <c r="D4572" s="19" t="s">
        <v>1692</v>
      </c>
      <c r="E4572" s="19" t="s">
        <v>1693</v>
      </c>
      <c r="F4572">
        <v>1</v>
      </c>
    </row>
    <row r="4573" spans="1:6" x14ac:dyDescent="0.25">
      <c r="C4573" s="19"/>
      <c r="D4573" s="19" t="s">
        <v>1694</v>
      </c>
      <c r="E4573" s="19" t="s">
        <v>1695</v>
      </c>
      <c r="F4573">
        <v>1</v>
      </c>
    </row>
    <row r="4574" spans="1:6" x14ac:dyDescent="0.25">
      <c r="C4574" s="19"/>
      <c r="D4574" s="19" t="s">
        <v>1696</v>
      </c>
      <c r="E4574" s="19" t="s">
        <v>1697</v>
      </c>
      <c r="F4574">
        <v>1</v>
      </c>
    </row>
    <row r="4575" spans="1:6" x14ac:dyDescent="0.25">
      <c r="C4575" s="19"/>
      <c r="D4575" s="19" t="s">
        <v>1698</v>
      </c>
      <c r="E4575" s="19" t="s">
        <v>1699</v>
      </c>
      <c r="F4575" s="7">
        <v>1</v>
      </c>
    </row>
    <row r="4576" spans="1:6" x14ac:dyDescent="0.25">
      <c r="C4576" s="19"/>
      <c r="D4576" s="19" t="s">
        <v>1700</v>
      </c>
      <c r="E4576" s="19" t="s">
        <v>1701</v>
      </c>
      <c r="F4576" s="7">
        <v>1</v>
      </c>
    </row>
    <row r="4577" spans="1:7" x14ac:dyDescent="0.25">
      <c r="C4577" s="19"/>
      <c r="D4577" s="19" t="s">
        <v>1702</v>
      </c>
      <c r="E4577" s="19" t="s">
        <v>314</v>
      </c>
      <c r="F4577">
        <v>1</v>
      </c>
    </row>
    <row r="4578" spans="1:7" x14ac:dyDescent="0.25">
      <c r="C4578" s="19"/>
      <c r="D4578" s="19" t="s">
        <v>1703</v>
      </c>
      <c r="E4578" s="19" t="s">
        <v>1704</v>
      </c>
      <c r="F4578">
        <v>1</v>
      </c>
    </row>
    <row r="4579" spans="1:7" x14ac:dyDescent="0.25">
      <c r="C4579" s="19"/>
      <c r="D4579" s="19" t="s">
        <v>1705</v>
      </c>
      <c r="E4579" s="19" t="s">
        <v>1706</v>
      </c>
      <c r="F4579">
        <v>1</v>
      </c>
    </row>
    <row r="4580" spans="1:7" x14ac:dyDescent="0.25">
      <c r="C4580" s="19"/>
      <c r="D4580" s="19" t="s">
        <v>1707</v>
      </c>
      <c r="E4580" s="19" t="s">
        <v>1708</v>
      </c>
      <c r="F4580">
        <v>1</v>
      </c>
    </row>
    <row r="4581" spans="1:7" x14ac:dyDescent="0.25">
      <c r="C4581" s="19"/>
      <c r="D4581" s="19" t="s">
        <v>1709</v>
      </c>
      <c r="E4581" s="19" t="s">
        <v>1710</v>
      </c>
      <c r="F4581">
        <v>1</v>
      </c>
    </row>
    <row r="4582" spans="1:7" x14ac:dyDescent="0.25">
      <c r="C4582" s="19"/>
      <c r="D4582" s="19" t="s">
        <v>1711</v>
      </c>
      <c r="E4582" s="19" t="s">
        <v>1124</v>
      </c>
      <c r="F4582">
        <v>1</v>
      </c>
      <c r="G4582" s="7"/>
    </row>
    <row r="4583" spans="1:7" x14ac:dyDescent="0.25">
      <c r="A4583" s="3">
        <v>707</v>
      </c>
      <c r="B4583" s="15" t="s">
        <v>205</v>
      </c>
      <c r="C4583" s="19" t="s">
        <v>1685</v>
      </c>
      <c r="D4583" s="19" t="s">
        <v>1686</v>
      </c>
      <c r="E4583" s="19" t="s">
        <v>1687</v>
      </c>
      <c r="F4583" s="7">
        <v>1</v>
      </c>
    </row>
    <row r="4584" spans="1:7" x14ac:dyDescent="0.25">
      <c r="C4584" s="19"/>
      <c r="D4584" s="19" t="s">
        <v>1688</v>
      </c>
      <c r="E4584" s="19" t="s">
        <v>1689</v>
      </c>
      <c r="F4584" s="7">
        <v>1</v>
      </c>
    </row>
    <row r="4585" spans="1:7" x14ac:dyDescent="0.25">
      <c r="C4585" s="19"/>
      <c r="D4585" s="19" t="s">
        <v>1690</v>
      </c>
      <c r="E4585" s="19" t="s">
        <v>1691</v>
      </c>
      <c r="F4585" s="7">
        <v>1</v>
      </c>
    </row>
    <row r="4586" spans="1:7" x14ac:dyDescent="0.25">
      <c r="C4586" s="19"/>
      <c r="D4586" s="19" t="s">
        <v>1692</v>
      </c>
      <c r="E4586" s="19" t="s">
        <v>1693</v>
      </c>
      <c r="F4586">
        <v>2</v>
      </c>
    </row>
    <row r="4587" spans="1:7" x14ac:dyDescent="0.25">
      <c r="C4587" s="19"/>
      <c r="D4587" s="19" t="s">
        <v>1694</v>
      </c>
      <c r="E4587" s="19" t="s">
        <v>1695</v>
      </c>
      <c r="F4587">
        <v>1</v>
      </c>
    </row>
    <row r="4588" spans="1:7" x14ac:dyDescent="0.25">
      <c r="C4588" s="19"/>
      <c r="D4588" s="19" t="s">
        <v>1696</v>
      </c>
      <c r="E4588" s="19" t="s">
        <v>1697</v>
      </c>
      <c r="F4588">
        <v>1</v>
      </c>
    </row>
    <row r="4589" spans="1:7" x14ac:dyDescent="0.25">
      <c r="C4589" s="19"/>
      <c r="D4589" s="19" t="s">
        <v>1698</v>
      </c>
      <c r="E4589" s="19" t="s">
        <v>1699</v>
      </c>
      <c r="F4589" s="7">
        <v>1</v>
      </c>
    </row>
    <row r="4590" spans="1:7" x14ac:dyDescent="0.25">
      <c r="C4590" s="19"/>
      <c r="D4590" s="19" t="s">
        <v>1700</v>
      </c>
      <c r="E4590" s="19" t="s">
        <v>1701</v>
      </c>
      <c r="F4590" s="7">
        <v>1</v>
      </c>
    </row>
    <row r="4591" spans="1:7" x14ac:dyDescent="0.25">
      <c r="C4591" s="19"/>
      <c r="D4591" s="19" t="s">
        <v>1702</v>
      </c>
      <c r="E4591" s="19" t="s">
        <v>314</v>
      </c>
      <c r="F4591">
        <v>1</v>
      </c>
    </row>
    <row r="4592" spans="1:7" x14ac:dyDescent="0.25">
      <c r="C4592" s="19"/>
      <c r="D4592" s="19" t="s">
        <v>1703</v>
      </c>
      <c r="E4592" s="19" t="s">
        <v>1704</v>
      </c>
      <c r="F4592">
        <v>1</v>
      </c>
    </row>
    <row r="4593" spans="1:6" x14ac:dyDescent="0.25">
      <c r="C4593" s="19"/>
      <c r="D4593" s="19" t="s">
        <v>1705</v>
      </c>
      <c r="E4593" s="19" t="s">
        <v>1706</v>
      </c>
      <c r="F4593">
        <v>1</v>
      </c>
    </row>
    <row r="4594" spans="1:6" x14ac:dyDescent="0.25">
      <c r="C4594" s="19"/>
      <c r="D4594" s="19" t="s">
        <v>1707</v>
      </c>
      <c r="E4594" s="19" t="s">
        <v>1708</v>
      </c>
      <c r="F4594">
        <v>1</v>
      </c>
    </row>
    <row r="4595" spans="1:6" x14ac:dyDescent="0.25">
      <c r="C4595" s="19"/>
      <c r="D4595" s="19" t="s">
        <v>1709</v>
      </c>
      <c r="E4595" s="19" t="s">
        <v>1710</v>
      </c>
      <c r="F4595">
        <v>1</v>
      </c>
    </row>
    <row r="4596" spans="1:6" x14ac:dyDescent="0.25">
      <c r="C4596" s="19"/>
      <c r="D4596" s="19" t="s">
        <v>1711</v>
      </c>
      <c r="E4596" s="19" t="s">
        <v>1124</v>
      </c>
      <c r="F4596">
        <v>1</v>
      </c>
    </row>
    <row r="4597" spans="1:6" x14ac:dyDescent="0.25">
      <c r="A4597" s="3">
        <v>710</v>
      </c>
      <c r="B4597" s="15" t="s">
        <v>206</v>
      </c>
      <c r="C4597" s="19" t="s">
        <v>682</v>
      </c>
      <c r="D4597" s="19" t="s">
        <v>683</v>
      </c>
      <c r="E4597" s="19" t="s">
        <v>684</v>
      </c>
      <c r="F4597">
        <v>0</v>
      </c>
    </row>
    <row r="4598" spans="1:6" x14ac:dyDescent="0.25">
      <c r="C4598" s="19"/>
      <c r="D4598" s="19" t="s">
        <v>685</v>
      </c>
      <c r="E4598" s="19" t="s">
        <v>686</v>
      </c>
      <c r="F4598" s="7">
        <v>1</v>
      </c>
    </row>
    <row r="4599" spans="1:6" x14ac:dyDescent="0.25">
      <c r="C4599" s="19"/>
      <c r="D4599" s="19" t="s">
        <v>687</v>
      </c>
      <c r="E4599" s="19" t="s">
        <v>638</v>
      </c>
      <c r="F4599">
        <v>1</v>
      </c>
    </row>
    <row r="4600" spans="1:6" x14ac:dyDescent="0.25">
      <c r="C4600" s="19"/>
      <c r="D4600" s="19" t="s">
        <v>688</v>
      </c>
      <c r="E4600" s="19" t="s">
        <v>689</v>
      </c>
      <c r="F4600">
        <v>0</v>
      </c>
    </row>
    <row r="4601" spans="1:6" x14ac:dyDescent="0.25">
      <c r="C4601" s="19"/>
      <c r="D4601" s="19" t="s">
        <v>690</v>
      </c>
      <c r="E4601" s="19" t="s">
        <v>640</v>
      </c>
      <c r="F4601">
        <v>1</v>
      </c>
    </row>
    <row r="4602" spans="1:6" x14ac:dyDescent="0.25">
      <c r="C4602" s="19"/>
      <c r="D4602" s="19" t="s">
        <v>691</v>
      </c>
      <c r="E4602" s="19" t="s">
        <v>692</v>
      </c>
      <c r="F4602">
        <v>2</v>
      </c>
    </row>
    <row r="4603" spans="1:6" x14ac:dyDescent="0.25">
      <c r="C4603" s="19"/>
      <c r="D4603" s="19" t="s">
        <v>693</v>
      </c>
      <c r="E4603" s="19" t="s">
        <v>694</v>
      </c>
      <c r="F4603" s="7">
        <v>0</v>
      </c>
    </row>
    <row r="4604" spans="1:6" x14ac:dyDescent="0.25">
      <c r="C4604" s="19"/>
      <c r="D4604" s="19" t="s">
        <v>695</v>
      </c>
      <c r="E4604" s="19" t="s">
        <v>696</v>
      </c>
      <c r="F4604">
        <v>1</v>
      </c>
    </row>
    <row r="4605" spans="1:6" x14ac:dyDescent="0.25">
      <c r="C4605" s="19"/>
      <c r="D4605" s="19" t="s">
        <v>697</v>
      </c>
      <c r="E4605" s="19" t="s">
        <v>698</v>
      </c>
      <c r="F4605">
        <v>1</v>
      </c>
    </row>
    <row r="4606" spans="1:6" x14ac:dyDescent="0.25">
      <c r="C4606" s="19"/>
      <c r="D4606" s="19" t="s">
        <v>699</v>
      </c>
      <c r="E4606" s="19" t="s">
        <v>700</v>
      </c>
      <c r="F4606">
        <v>1</v>
      </c>
    </row>
    <row r="4607" spans="1:6" x14ac:dyDescent="0.25">
      <c r="A4607" s="3">
        <v>712</v>
      </c>
      <c r="B4607" s="15" t="s">
        <v>207</v>
      </c>
      <c r="C4607" s="19" t="s">
        <v>1198</v>
      </c>
      <c r="D4607" s="19" t="s">
        <v>1199</v>
      </c>
      <c r="E4607" s="19" t="s">
        <v>273</v>
      </c>
      <c r="F4607">
        <v>1</v>
      </c>
    </row>
    <row r="4608" spans="1:6" x14ac:dyDescent="0.25">
      <c r="C4608" s="19"/>
      <c r="D4608" s="19" t="s">
        <v>1200</v>
      </c>
      <c r="E4608" s="19" t="s">
        <v>312</v>
      </c>
      <c r="F4608">
        <v>1</v>
      </c>
    </row>
    <row r="4609" spans="1:6" x14ac:dyDescent="0.25">
      <c r="C4609" s="19"/>
      <c r="D4609" s="19" t="s">
        <v>1201</v>
      </c>
      <c r="E4609" s="19" t="s">
        <v>801</v>
      </c>
      <c r="F4609">
        <v>1</v>
      </c>
    </row>
    <row r="4610" spans="1:6" x14ac:dyDescent="0.25">
      <c r="C4610" s="19"/>
      <c r="D4610" s="19" t="s">
        <v>1202</v>
      </c>
      <c r="E4610" s="19" t="s">
        <v>786</v>
      </c>
      <c r="F4610">
        <v>1</v>
      </c>
    </row>
    <row r="4611" spans="1:6" x14ac:dyDescent="0.25">
      <c r="C4611" s="19"/>
      <c r="D4611" s="19" t="s">
        <v>1203</v>
      </c>
      <c r="E4611" s="19" t="s">
        <v>784</v>
      </c>
      <c r="F4611">
        <v>0</v>
      </c>
    </row>
    <row r="4612" spans="1:6" x14ac:dyDescent="0.25">
      <c r="C4612" s="19"/>
      <c r="D4612" s="19" t="s">
        <v>1204</v>
      </c>
      <c r="E4612" s="19" t="s">
        <v>1205</v>
      </c>
      <c r="F4612">
        <v>1</v>
      </c>
    </row>
    <row r="4613" spans="1:6" x14ac:dyDescent="0.25">
      <c r="C4613" s="19"/>
      <c r="D4613" s="19" t="s">
        <v>1206</v>
      </c>
      <c r="E4613" s="19" t="s">
        <v>1207</v>
      </c>
      <c r="F4613">
        <v>1</v>
      </c>
    </row>
    <row r="4614" spans="1:6" x14ac:dyDescent="0.25">
      <c r="C4614" s="19"/>
      <c r="D4614" s="19" t="s">
        <v>1208</v>
      </c>
      <c r="E4614" s="19" t="s">
        <v>1209</v>
      </c>
      <c r="F4614">
        <v>1</v>
      </c>
    </row>
    <row r="4615" spans="1:6" x14ac:dyDescent="0.25">
      <c r="C4615" s="19"/>
      <c r="D4615" s="19" t="s">
        <v>1210</v>
      </c>
      <c r="E4615" s="19" t="s">
        <v>1211</v>
      </c>
      <c r="F4615">
        <v>1</v>
      </c>
    </row>
    <row r="4616" spans="1:6" x14ac:dyDescent="0.25">
      <c r="C4616" s="19"/>
      <c r="D4616" s="19" t="s">
        <v>1212</v>
      </c>
      <c r="E4616" s="19" t="s">
        <v>789</v>
      </c>
      <c r="F4616">
        <v>0</v>
      </c>
    </row>
    <row r="4617" spans="1:6" x14ac:dyDescent="0.25">
      <c r="C4617" s="19"/>
      <c r="D4617" s="19" t="s">
        <v>1213</v>
      </c>
      <c r="E4617" s="19" t="s">
        <v>1214</v>
      </c>
      <c r="F4617">
        <v>1</v>
      </c>
    </row>
    <row r="4618" spans="1:6" x14ac:dyDescent="0.25">
      <c r="C4618" s="19"/>
      <c r="D4618" s="19" t="s">
        <v>1215</v>
      </c>
      <c r="E4618" s="19" t="s">
        <v>1216</v>
      </c>
      <c r="F4618">
        <v>0</v>
      </c>
    </row>
    <row r="4619" spans="1:6" x14ac:dyDescent="0.25">
      <c r="C4619" s="19"/>
      <c r="D4619" s="19" t="s">
        <v>1217</v>
      </c>
      <c r="E4619" s="19" t="s">
        <v>791</v>
      </c>
      <c r="F4619">
        <v>0</v>
      </c>
    </row>
    <row r="4620" spans="1:6" x14ac:dyDescent="0.25">
      <c r="C4620" s="19"/>
      <c r="D4620" s="19" t="s">
        <v>1218</v>
      </c>
      <c r="E4620" s="19" t="s">
        <v>795</v>
      </c>
      <c r="F4620">
        <v>1</v>
      </c>
    </row>
    <row r="4621" spans="1:6" x14ac:dyDescent="0.25">
      <c r="C4621" s="19"/>
      <c r="D4621" s="19" t="s">
        <v>1219</v>
      </c>
      <c r="E4621" s="19" t="s">
        <v>372</v>
      </c>
      <c r="F4621">
        <v>1</v>
      </c>
    </row>
    <row r="4622" spans="1:6" x14ac:dyDescent="0.25">
      <c r="A4622" s="3">
        <v>715</v>
      </c>
      <c r="B4622" s="15" t="s">
        <v>208</v>
      </c>
      <c r="C4622" s="19" t="s">
        <v>818</v>
      </c>
      <c r="D4622" s="19" t="s">
        <v>819</v>
      </c>
      <c r="E4622" s="19" t="s">
        <v>820</v>
      </c>
      <c r="F4622">
        <v>1</v>
      </c>
    </row>
    <row r="4623" spans="1:6" x14ac:dyDescent="0.25">
      <c r="C4623" s="19"/>
      <c r="D4623" s="19" t="s">
        <v>821</v>
      </c>
      <c r="E4623" s="19" t="s">
        <v>822</v>
      </c>
      <c r="F4623">
        <v>1</v>
      </c>
    </row>
    <row r="4624" spans="1:6" x14ac:dyDescent="0.25">
      <c r="C4624" s="19"/>
      <c r="D4624" s="19" t="s">
        <v>823</v>
      </c>
      <c r="E4624" s="19" t="s">
        <v>306</v>
      </c>
      <c r="F4624">
        <v>1</v>
      </c>
    </row>
    <row r="4625" spans="3:6" x14ac:dyDescent="0.25">
      <c r="C4625" s="19"/>
      <c r="D4625" s="19" t="s">
        <v>824</v>
      </c>
      <c r="E4625" s="19" t="s">
        <v>825</v>
      </c>
      <c r="F4625">
        <v>1</v>
      </c>
    </row>
    <row r="4626" spans="3:6" x14ac:dyDescent="0.25">
      <c r="C4626" s="19"/>
      <c r="D4626" s="19" t="s">
        <v>826</v>
      </c>
      <c r="E4626" s="19" t="s">
        <v>827</v>
      </c>
      <c r="F4626">
        <v>1</v>
      </c>
    </row>
    <row r="4627" spans="3:6" x14ac:dyDescent="0.25">
      <c r="C4627" s="19"/>
      <c r="D4627" s="19" t="s">
        <v>828</v>
      </c>
      <c r="E4627" s="19" t="s">
        <v>312</v>
      </c>
      <c r="F4627">
        <v>1</v>
      </c>
    </row>
    <row r="4628" spans="3:6" x14ac:dyDescent="0.25">
      <c r="C4628" s="19"/>
      <c r="D4628" s="19" t="s">
        <v>829</v>
      </c>
      <c r="E4628" s="19" t="s">
        <v>316</v>
      </c>
      <c r="F4628">
        <v>0</v>
      </c>
    </row>
    <row r="4629" spans="3:6" x14ac:dyDescent="0.25">
      <c r="C4629" s="19"/>
      <c r="D4629" s="19" t="s">
        <v>830</v>
      </c>
      <c r="E4629" s="19" t="s">
        <v>314</v>
      </c>
      <c r="F4629">
        <v>1</v>
      </c>
    </row>
    <row r="4630" spans="3:6" x14ac:dyDescent="0.25">
      <c r="C4630" s="19"/>
      <c r="D4630" s="19" t="s">
        <v>831</v>
      </c>
      <c r="E4630" s="19" t="s">
        <v>832</v>
      </c>
      <c r="F4630">
        <v>1</v>
      </c>
    </row>
    <row r="4631" spans="3:6" x14ac:dyDescent="0.25">
      <c r="C4631" s="19"/>
      <c r="D4631" s="19" t="s">
        <v>833</v>
      </c>
      <c r="E4631" s="19" t="s">
        <v>834</v>
      </c>
      <c r="F4631">
        <v>1</v>
      </c>
    </row>
    <row r="4632" spans="3:6" x14ac:dyDescent="0.25">
      <c r="C4632" s="19"/>
      <c r="D4632" s="19" t="s">
        <v>835</v>
      </c>
      <c r="E4632" s="19" t="s">
        <v>836</v>
      </c>
      <c r="F4632">
        <v>1</v>
      </c>
    </row>
    <row r="4633" spans="3:6" x14ac:dyDescent="0.25">
      <c r="C4633" s="19"/>
      <c r="D4633" s="19" t="s">
        <v>837</v>
      </c>
      <c r="E4633" s="19" t="s">
        <v>838</v>
      </c>
      <c r="F4633">
        <v>0</v>
      </c>
    </row>
    <row r="4634" spans="3:6" x14ac:dyDescent="0.25">
      <c r="C4634" s="19"/>
      <c r="D4634" s="19" t="s">
        <v>839</v>
      </c>
      <c r="E4634" s="19" t="s">
        <v>840</v>
      </c>
      <c r="F4634">
        <v>1</v>
      </c>
    </row>
    <row r="4635" spans="3:6" x14ac:dyDescent="0.25">
      <c r="C4635" s="19"/>
      <c r="D4635" s="19" t="s">
        <v>841</v>
      </c>
      <c r="E4635" s="19" t="s">
        <v>842</v>
      </c>
      <c r="F4635">
        <v>1</v>
      </c>
    </row>
    <row r="4636" spans="3:6" x14ac:dyDescent="0.25">
      <c r="C4636" s="19"/>
      <c r="D4636" s="19" t="s">
        <v>843</v>
      </c>
      <c r="E4636" s="19" t="s">
        <v>844</v>
      </c>
      <c r="F4636">
        <v>1</v>
      </c>
    </row>
    <row r="4637" spans="3:6" x14ac:dyDescent="0.25">
      <c r="C4637" s="19"/>
      <c r="D4637" s="19" t="s">
        <v>845</v>
      </c>
      <c r="E4637" s="19" t="s">
        <v>846</v>
      </c>
      <c r="F4637">
        <v>0</v>
      </c>
    </row>
    <row r="4638" spans="3:6" x14ac:dyDescent="0.25">
      <c r="C4638" s="19"/>
      <c r="D4638" s="19" t="s">
        <v>847</v>
      </c>
      <c r="E4638" s="19" t="s">
        <v>848</v>
      </c>
      <c r="F4638">
        <v>1</v>
      </c>
    </row>
    <row r="4639" spans="3:6" x14ac:dyDescent="0.25">
      <c r="C4639" s="19"/>
      <c r="D4639" s="19" t="s">
        <v>849</v>
      </c>
      <c r="E4639" s="19" t="s">
        <v>850</v>
      </c>
      <c r="F4639">
        <v>1</v>
      </c>
    </row>
    <row r="4640" spans="3:6" x14ac:dyDescent="0.25">
      <c r="C4640" s="19"/>
      <c r="D4640" s="19" t="s">
        <v>851</v>
      </c>
      <c r="E4640" s="19" t="s">
        <v>852</v>
      </c>
      <c r="F4640">
        <v>1</v>
      </c>
    </row>
    <row r="4641" spans="1:6" x14ac:dyDescent="0.25">
      <c r="C4641" s="19"/>
      <c r="D4641" s="19" t="s">
        <v>853</v>
      </c>
      <c r="E4641" s="19" t="s">
        <v>854</v>
      </c>
      <c r="F4641">
        <v>1</v>
      </c>
    </row>
    <row r="4642" spans="1:6" x14ac:dyDescent="0.25">
      <c r="C4642" s="19"/>
      <c r="D4642" s="19" t="s">
        <v>855</v>
      </c>
      <c r="E4642" s="19" t="s">
        <v>856</v>
      </c>
      <c r="F4642">
        <v>0</v>
      </c>
    </row>
    <row r="4643" spans="1:6" x14ac:dyDescent="0.25">
      <c r="C4643" s="19"/>
      <c r="D4643" s="19" t="s">
        <v>857</v>
      </c>
      <c r="E4643" s="19" t="s">
        <v>858</v>
      </c>
      <c r="F4643">
        <v>0</v>
      </c>
    </row>
    <row r="4644" spans="1:6" x14ac:dyDescent="0.25">
      <c r="A4644" s="3">
        <v>716</v>
      </c>
      <c r="B4644" s="15" t="s">
        <v>209</v>
      </c>
      <c r="C4644" s="19" t="s">
        <v>362</v>
      </c>
      <c r="D4644" s="19" t="s">
        <v>363</v>
      </c>
      <c r="E4644" s="19" t="s">
        <v>304</v>
      </c>
      <c r="F4644">
        <v>1</v>
      </c>
    </row>
    <row r="4645" spans="1:6" x14ac:dyDescent="0.25">
      <c r="C4645" s="19"/>
      <c r="D4645" s="19" t="s">
        <v>364</v>
      </c>
      <c r="E4645" s="19" t="s">
        <v>306</v>
      </c>
      <c r="F4645">
        <v>1</v>
      </c>
    </row>
    <row r="4646" spans="1:6" x14ac:dyDescent="0.25">
      <c r="C4646" s="19"/>
      <c r="D4646" s="19" t="s">
        <v>365</v>
      </c>
      <c r="E4646" s="19" t="s">
        <v>366</v>
      </c>
      <c r="F4646">
        <v>1</v>
      </c>
    </row>
    <row r="4647" spans="1:6" x14ac:dyDescent="0.25">
      <c r="C4647" s="19"/>
      <c r="D4647" s="19" t="s">
        <v>367</v>
      </c>
      <c r="E4647" s="19" t="s">
        <v>368</v>
      </c>
      <c r="F4647">
        <v>1</v>
      </c>
    </row>
    <row r="4648" spans="1:6" x14ac:dyDescent="0.25">
      <c r="C4648" s="19"/>
      <c r="D4648" s="19" t="s">
        <v>369</v>
      </c>
      <c r="E4648" s="19" t="s">
        <v>370</v>
      </c>
      <c r="F4648">
        <v>1</v>
      </c>
    </row>
    <row r="4649" spans="1:6" x14ac:dyDescent="0.25">
      <c r="C4649" s="19"/>
      <c r="D4649" s="19" t="s">
        <v>371</v>
      </c>
      <c r="E4649" s="19" t="s">
        <v>372</v>
      </c>
      <c r="F4649">
        <v>1</v>
      </c>
    </row>
    <row r="4650" spans="1:6" x14ac:dyDescent="0.25">
      <c r="C4650" s="19"/>
      <c r="D4650" s="19" t="s">
        <v>373</v>
      </c>
      <c r="E4650" s="19" t="s">
        <v>355</v>
      </c>
      <c r="F4650">
        <v>1</v>
      </c>
    </row>
    <row r="4651" spans="1:6" x14ac:dyDescent="0.25">
      <c r="C4651" s="19"/>
      <c r="D4651" s="19" t="s">
        <v>374</v>
      </c>
      <c r="E4651" s="19" t="s">
        <v>357</v>
      </c>
      <c r="F4651">
        <v>1</v>
      </c>
    </row>
    <row r="4652" spans="1:6" x14ac:dyDescent="0.25">
      <c r="C4652" s="19"/>
      <c r="D4652" s="19" t="s">
        <v>375</v>
      </c>
      <c r="E4652" s="19" t="s">
        <v>376</v>
      </c>
      <c r="F4652">
        <v>1</v>
      </c>
    </row>
    <row r="4653" spans="1:6" x14ac:dyDescent="0.25">
      <c r="A4653" s="3">
        <v>722</v>
      </c>
      <c r="B4653" s="15" t="s">
        <v>210</v>
      </c>
      <c r="C4653" s="19" t="s">
        <v>917</v>
      </c>
      <c r="D4653" s="19" t="s">
        <v>918</v>
      </c>
      <c r="E4653" s="19" t="s">
        <v>308</v>
      </c>
      <c r="F4653">
        <v>2</v>
      </c>
    </row>
    <row r="4654" spans="1:6" x14ac:dyDescent="0.25">
      <c r="C4654" s="19"/>
      <c r="D4654" s="19" t="s">
        <v>919</v>
      </c>
      <c r="E4654" s="19" t="s">
        <v>920</v>
      </c>
      <c r="F4654">
        <v>1</v>
      </c>
    </row>
    <row r="4655" spans="1:6" x14ac:dyDescent="0.25">
      <c r="C4655" s="19"/>
      <c r="D4655" s="19" t="s">
        <v>921</v>
      </c>
      <c r="E4655" s="19" t="s">
        <v>922</v>
      </c>
      <c r="F4655">
        <v>1</v>
      </c>
    </row>
    <row r="4656" spans="1:6" x14ac:dyDescent="0.25">
      <c r="C4656" s="19"/>
      <c r="D4656" s="19" t="s">
        <v>923</v>
      </c>
      <c r="E4656" s="19" t="s">
        <v>924</v>
      </c>
      <c r="F4656">
        <v>1</v>
      </c>
    </row>
    <row r="4657" spans="3:6" x14ac:dyDescent="0.25">
      <c r="C4657" s="19"/>
      <c r="D4657" s="19" t="s">
        <v>925</v>
      </c>
      <c r="E4657" s="19" t="s">
        <v>310</v>
      </c>
      <c r="F4657">
        <v>1</v>
      </c>
    </row>
    <row r="4658" spans="3:6" x14ac:dyDescent="0.25">
      <c r="C4658" s="19"/>
      <c r="D4658" s="19" t="s">
        <v>926</v>
      </c>
      <c r="E4658" s="19" t="s">
        <v>927</v>
      </c>
      <c r="F4658">
        <v>1</v>
      </c>
    </row>
    <row r="4659" spans="3:6" x14ac:dyDescent="0.25">
      <c r="C4659" s="19"/>
      <c r="D4659" s="19" t="s">
        <v>928</v>
      </c>
      <c r="E4659" s="19" t="s">
        <v>929</v>
      </c>
      <c r="F4659">
        <v>1</v>
      </c>
    </row>
    <row r="4660" spans="3:6" x14ac:dyDescent="0.25">
      <c r="C4660" s="19"/>
      <c r="D4660" s="19" t="s">
        <v>930</v>
      </c>
      <c r="E4660" s="19" t="s">
        <v>640</v>
      </c>
      <c r="F4660">
        <v>1</v>
      </c>
    </row>
    <row r="4661" spans="3:6" x14ac:dyDescent="0.25">
      <c r="C4661" s="19"/>
      <c r="D4661" s="19" t="s">
        <v>931</v>
      </c>
      <c r="E4661" s="19" t="s">
        <v>932</v>
      </c>
      <c r="F4661">
        <v>1</v>
      </c>
    </row>
    <row r="4662" spans="3:6" x14ac:dyDescent="0.25">
      <c r="C4662" s="19"/>
      <c r="D4662" s="19" t="s">
        <v>933</v>
      </c>
      <c r="E4662" s="19" t="s">
        <v>934</v>
      </c>
      <c r="F4662">
        <v>1</v>
      </c>
    </row>
    <row r="4663" spans="3:6" x14ac:dyDescent="0.25">
      <c r="C4663" s="19"/>
      <c r="D4663" s="19" t="s">
        <v>935</v>
      </c>
      <c r="E4663" s="19" t="s">
        <v>936</v>
      </c>
      <c r="F4663">
        <v>1</v>
      </c>
    </row>
    <row r="4664" spans="3:6" x14ac:dyDescent="0.25">
      <c r="C4664" s="19"/>
      <c r="D4664" s="19" t="s">
        <v>937</v>
      </c>
      <c r="E4664" s="19" t="s">
        <v>938</v>
      </c>
      <c r="F4664">
        <v>1</v>
      </c>
    </row>
    <row r="4665" spans="3:6" x14ac:dyDescent="0.25">
      <c r="C4665" s="19"/>
      <c r="D4665" s="19" t="s">
        <v>939</v>
      </c>
      <c r="E4665" s="19" t="s">
        <v>383</v>
      </c>
      <c r="F4665">
        <v>1</v>
      </c>
    </row>
    <row r="4666" spans="3:6" x14ac:dyDescent="0.25">
      <c r="C4666" s="19"/>
      <c r="D4666" s="19" t="s">
        <v>940</v>
      </c>
      <c r="E4666" s="19" t="s">
        <v>384</v>
      </c>
      <c r="F4666">
        <v>1</v>
      </c>
    </row>
    <row r="4667" spans="3:6" x14ac:dyDescent="0.25">
      <c r="C4667" s="19"/>
      <c r="D4667" s="19" t="s">
        <v>941</v>
      </c>
      <c r="E4667" s="19" t="s">
        <v>942</v>
      </c>
      <c r="F4667">
        <v>1</v>
      </c>
    </row>
    <row r="4668" spans="3:6" x14ac:dyDescent="0.25">
      <c r="C4668" s="19"/>
      <c r="D4668" s="19" t="s">
        <v>943</v>
      </c>
      <c r="E4668" s="19" t="s">
        <v>944</v>
      </c>
      <c r="F4668">
        <v>1</v>
      </c>
    </row>
    <row r="4669" spans="3:6" x14ac:dyDescent="0.25">
      <c r="C4669" s="19"/>
      <c r="D4669" s="19" t="s">
        <v>945</v>
      </c>
      <c r="E4669" s="19" t="s">
        <v>368</v>
      </c>
      <c r="F4669">
        <v>1</v>
      </c>
    </row>
    <row r="4670" spans="3:6" x14ac:dyDescent="0.25">
      <c r="C4670" s="19"/>
      <c r="D4670" s="19" t="s">
        <v>946</v>
      </c>
      <c r="E4670" s="19" t="s">
        <v>370</v>
      </c>
      <c r="F4670">
        <v>1</v>
      </c>
    </row>
    <row r="4671" spans="3:6" x14ac:dyDescent="0.25">
      <c r="C4671" s="19"/>
      <c r="D4671" s="19" t="s">
        <v>947</v>
      </c>
      <c r="E4671" s="19" t="s">
        <v>948</v>
      </c>
      <c r="F4671">
        <v>1</v>
      </c>
    </row>
    <row r="4672" spans="3:6" x14ac:dyDescent="0.25">
      <c r="C4672" s="19"/>
      <c r="D4672" s="19" t="s">
        <v>949</v>
      </c>
      <c r="E4672" s="19" t="s">
        <v>950</v>
      </c>
      <c r="F4672">
        <v>1</v>
      </c>
    </row>
    <row r="4673" spans="1:10" x14ac:dyDescent="0.25">
      <c r="C4673" s="19"/>
      <c r="D4673" s="19" t="s">
        <v>951</v>
      </c>
      <c r="E4673" s="19" t="s">
        <v>952</v>
      </c>
      <c r="F4673">
        <v>1</v>
      </c>
    </row>
    <row r="4674" spans="1:10" x14ac:dyDescent="0.25">
      <c r="C4674" s="19"/>
      <c r="D4674" s="19" t="s">
        <v>953</v>
      </c>
      <c r="E4674" s="19" t="s">
        <v>954</v>
      </c>
      <c r="F4674">
        <v>1</v>
      </c>
    </row>
    <row r="4675" spans="1:10" x14ac:dyDescent="0.25">
      <c r="C4675" s="19"/>
      <c r="D4675" s="19" t="s">
        <v>955</v>
      </c>
      <c r="E4675" s="19" t="s">
        <v>956</v>
      </c>
      <c r="F4675">
        <v>1</v>
      </c>
    </row>
    <row r="4676" spans="1:10" x14ac:dyDescent="0.25">
      <c r="A4676" s="3">
        <v>732</v>
      </c>
      <c r="B4676" s="15" t="s">
        <v>211</v>
      </c>
      <c r="C4676" s="19" t="s">
        <v>1809</v>
      </c>
      <c r="D4676" s="19" t="s">
        <v>1810</v>
      </c>
      <c r="E4676" s="19" t="s">
        <v>273</v>
      </c>
      <c r="F4676">
        <v>1</v>
      </c>
    </row>
    <row r="4677" spans="1:10" ht="23.25" x14ac:dyDescent="0.35">
      <c r="C4677" s="19"/>
      <c r="D4677" s="19" t="s">
        <v>1811</v>
      </c>
      <c r="E4677" s="19" t="s">
        <v>312</v>
      </c>
      <c r="F4677">
        <v>0</v>
      </c>
      <c r="I4677" s="1"/>
      <c r="J4677" s="2"/>
    </row>
    <row r="4678" spans="1:10" ht="23.25" x14ac:dyDescent="0.35">
      <c r="C4678" s="19"/>
      <c r="D4678" s="19" t="s">
        <v>1812</v>
      </c>
      <c r="E4678" s="19" t="s">
        <v>314</v>
      </c>
      <c r="F4678">
        <v>2</v>
      </c>
      <c r="I4678" s="1"/>
      <c r="J4678" s="2"/>
    </row>
    <row r="4679" spans="1:10" ht="23.25" x14ac:dyDescent="0.35">
      <c r="C4679" s="19"/>
      <c r="D4679" s="19" t="s">
        <v>1813</v>
      </c>
      <c r="E4679" s="19" t="s">
        <v>275</v>
      </c>
      <c r="F4679">
        <v>1</v>
      </c>
      <c r="I4679" s="1"/>
      <c r="J4679" s="2"/>
    </row>
    <row r="4680" spans="1:10" ht="23.25" x14ac:dyDescent="0.35">
      <c r="C4680" s="19"/>
      <c r="D4680" s="19" t="s">
        <v>1814</v>
      </c>
      <c r="E4680" s="19" t="s">
        <v>277</v>
      </c>
      <c r="F4680">
        <v>1</v>
      </c>
      <c r="I4680" s="1"/>
      <c r="J4680" s="2"/>
    </row>
    <row r="4681" spans="1:10" ht="23.25" x14ac:dyDescent="0.35">
      <c r="C4681" s="19"/>
      <c r="D4681" s="19" t="s">
        <v>1815</v>
      </c>
      <c r="E4681" s="19" t="s">
        <v>1816</v>
      </c>
      <c r="F4681">
        <v>1</v>
      </c>
      <c r="I4681" s="1"/>
      <c r="J4681" s="2"/>
    </row>
    <row r="4682" spans="1:10" ht="23.25" x14ac:dyDescent="0.35">
      <c r="C4682" s="19"/>
      <c r="D4682" s="19" t="s">
        <v>1817</v>
      </c>
      <c r="E4682" s="19" t="s">
        <v>1818</v>
      </c>
      <c r="F4682">
        <v>1</v>
      </c>
      <c r="I4682" s="1"/>
      <c r="J4682" s="2"/>
    </row>
    <row r="4683" spans="1:10" ht="23.25" x14ac:dyDescent="0.35">
      <c r="C4683" s="19"/>
      <c r="D4683" s="19" t="s">
        <v>1819</v>
      </c>
      <c r="E4683" s="19" t="s">
        <v>1820</v>
      </c>
      <c r="F4683">
        <v>1</v>
      </c>
      <c r="I4683" s="1"/>
      <c r="J4683" s="2"/>
    </row>
    <row r="4684" spans="1:10" ht="23.25" x14ac:dyDescent="0.35">
      <c r="C4684" s="19"/>
      <c r="D4684" s="19" t="s">
        <v>1821</v>
      </c>
      <c r="E4684" s="19" t="s">
        <v>1822</v>
      </c>
      <c r="F4684">
        <v>1</v>
      </c>
      <c r="I4684" s="1"/>
      <c r="J4684" s="2"/>
    </row>
    <row r="4685" spans="1:10" ht="23.25" x14ac:dyDescent="0.35">
      <c r="C4685" s="19"/>
      <c r="D4685" s="19" t="s">
        <v>1823</v>
      </c>
      <c r="E4685" s="19" t="s">
        <v>986</v>
      </c>
      <c r="F4685">
        <v>0</v>
      </c>
      <c r="H4685" s="1"/>
      <c r="I4685" s="1"/>
      <c r="J4685" s="2"/>
    </row>
    <row r="4686" spans="1:10" ht="23.25" x14ac:dyDescent="0.35">
      <c r="C4686" s="19"/>
      <c r="D4686" s="19" t="s">
        <v>1824</v>
      </c>
      <c r="E4686" s="19" t="s">
        <v>482</v>
      </c>
      <c r="F4686">
        <v>0</v>
      </c>
      <c r="H4686" s="1"/>
      <c r="I4686" s="1"/>
      <c r="J4686" s="2"/>
    </row>
    <row r="4687" spans="1:10" ht="23.25" x14ac:dyDescent="0.35">
      <c r="C4687" s="19"/>
      <c r="D4687" s="19" t="s">
        <v>1825</v>
      </c>
      <c r="E4687" s="19" t="s">
        <v>1826</v>
      </c>
      <c r="F4687">
        <v>0</v>
      </c>
      <c r="H4687" s="1"/>
      <c r="I4687" s="1"/>
      <c r="J4687" s="2"/>
    </row>
    <row r="4688" spans="1:10" ht="23.25" x14ac:dyDescent="0.35">
      <c r="C4688" s="19"/>
      <c r="D4688" s="19" t="s">
        <v>1827</v>
      </c>
      <c r="E4688" s="19" t="s">
        <v>1828</v>
      </c>
      <c r="F4688">
        <v>1</v>
      </c>
      <c r="H4688" s="1"/>
      <c r="I4688" s="1"/>
      <c r="J4688" s="2"/>
    </row>
    <row r="4689" spans="1:10" ht="23.25" x14ac:dyDescent="0.35">
      <c r="C4689" s="19"/>
      <c r="D4689" s="19" t="s">
        <v>1829</v>
      </c>
      <c r="E4689" s="19" t="s">
        <v>295</v>
      </c>
      <c r="F4689">
        <v>1</v>
      </c>
      <c r="H4689" s="1"/>
      <c r="I4689" s="1"/>
      <c r="J4689" s="2"/>
    </row>
    <row r="4690" spans="1:10" ht="23.25" x14ac:dyDescent="0.35">
      <c r="C4690" s="19"/>
      <c r="D4690" s="19" t="s">
        <v>1830</v>
      </c>
      <c r="E4690" s="19" t="s">
        <v>1831</v>
      </c>
      <c r="F4690">
        <v>1</v>
      </c>
      <c r="H4690" s="1"/>
      <c r="I4690" s="1"/>
      <c r="J4690" s="2"/>
    </row>
    <row r="4691" spans="1:10" ht="23.25" x14ac:dyDescent="0.35">
      <c r="A4691" s="3">
        <v>733</v>
      </c>
      <c r="B4691" s="16" t="s">
        <v>212</v>
      </c>
      <c r="C4691" s="19" t="s">
        <v>1809</v>
      </c>
      <c r="D4691" s="19" t="s">
        <v>1810</v>
      </c>
      <c r="E4691" s="19" t="s">
        <v>273</v>
      </c>
      <c r="F4691">
        <v>0</v>
      </c>
      <c r="H4691" s="1"/>
      <c r="I4691" s="1"/>
      <c r="J4691" s="2"/>
    </row>
    <row r="4692" spans="1:10" ht="23.25" x14ac:dyDescent="0.35">
      <c r="A4692" s="3"/>
      <c r="B4692" s="16"/>
      <c r="C4692" s="19"/>
      <c r="D4692" s="19" t="s">
        <v>1811</v>
      </c>
      <c r="E4692" s="19" t="s">
        <v>312</v>
      </c>
      <c r="F4692">
        <v>0</v>
      </c>
      <c r="H4692" s="1"/>
    </row>
    <row r="4693" spans="1:10" ht="23.25" x14ac:dyDescent="0.35">
      <c r="A4693" s="3"/>
      <c r="B4693" s="16"/>
      <c r="C4693" s="19"/>
      <c r="D4693" s="19" t="s">
        <v>1812</v>
      </c>
      <c r="E4693" s="19" t="s">
        <v>314</v>
      </c>
      <c r="F4693">
        <v>0</v>
      </c>
      <c r="H4693" s="1"/>
    </row>
    <row r="4694" spans="1:10" ht="23.25" x14ac:dyDescent="0.35">
      <c r="A4694" s="3"/>
      <c r="B4694" s="16"/>
      <c r="C4694" s="19"/>
      <c r="D4694" s="19" t="s">
        <v>1813</v>
      </c>
      <c r="E4694" s="19" t="s">
        <v>275</v>
      </c>
      <c r="F4694">
        <v>0</v>
      </c>
      <c r="H4694" s="1"/>
    </row>
    <row r="4695" spans="1:10" ht="23.25" x14ac:dyDescent="0.35">
      <c r="A4695" s="3"/>
      <c r="B4695" s="16"/>
      <c r="C4695" s="19"/>
      <c r="D4695" s="19" t="s">
        <v>1814</v>
      </c>
      <c r="E4695" s="19" t="s">
        <v>277</v>
      </c>
      <c r="F4695">
        <v>0</v>
      </c>
      <c r="H4695" s="1"/>
    </row>
    <row r="4696" spans="1:10" ht="23.25" x14ac:dyDescent="0.35">
      <c r="A4696" s="3"/>
      <c r="B4696" s="16"/>
      <c r="C4696" s="19"/>
      <c r="D4696" s="19" t="s">
        <v>1815</v>
      </c>
      <c r="E4696" s="19" t="s">
        <v>1816</v>
      </c>
      <c r="F4696">
        <v>0</v>
      </c>
      <c r="H4696" s="1"/>
    </row>
    <row r="4697" spans="1:10" ht="23.25" x14ac:dyDescent="0.35">
      <c r="A4697" s="3"/>
      <c r="B4697" s="16"/>
      <c r="C4697" s="19"/>
      <c r="D4697" s="19" t="s">
        <v>1817</v>
      </c>
      <c r="E4697" s="19" t="s">
        <v>1818</v>
      </c>
      <c r="F4697">
        <v>0</v>
      </c>
      <c r="H4697" s="1"/>
    </row>
    <row r="4698" spans="1:10" ht="23.25" x14ac:dyDescent="0.35">
      <c r="A4698" s="3"/>
      <c r="B4698" s="16"/>
      <c r="C4698" s="19"/>
      <c r="D4698" s="19" t="s">
        <v>1819</v>
      </c>
      <c r="E4698" s="19" t="s">
        <v>1820</v>
      </c>
      <c r="F4698">
        <v>1</v>
      </c>
      <c r="H4698" s="1"/>
    </row>
    <row r="4699" spans="1:10" ht="23.25" x14ac:dyDescent="0.35">
      <c r="A4699" s="3"/>
      <c r="B4699" s="16"/>
      <c r="C4699" s="19"/>
      <c r="D4699" s="19" t="s">
        <v>1821</v>
      </c>
      <c r="E4699" s="19" t="s">
        <v>1822</v>
      </c>
      <c r="F4699">
        <v>1</v>
      </c>
      <c r="H4699" s="1"/>
    </row>
    <row r="4700" spans="1:10" x14ac:dyDescent="0.25">
      <c r="A4700" s="3"/>
      <c r="B4700" s="16"/>
      <c r="C4700" s="19"/>
      <c r="D4700" s="19" t="s">
        <v>1823</v>
      </c>
      <c r="E4700" s="19" t="s">
        <v>986</v>
      </c>
      <c r="F4700">
        <v>0</v>
      </c>
    </row>
    <row r="4701" spans="1:10" x14ac:dyDescent="0.25">
      <c r="A4701" s="3"/>
      <c r="B4701" s="16"/>
      <c r="C4701" s="19"/>
      <c r="D4701" s="19" t="s">
        <v>1824</v>
      </c>
      <c r="E4701" s="19" t="s">
        <v>482</v>
      </c>
      <c r="F4701">
        <v>0</v>
      </c>
    </row>
    <row r="4702" spans="1:10" x14ac:dyDescent="0.25">
      <c r="A4702" s="3"/>
      <c r="B4702" s="16"/>
      <c r="C4702" s="19"/>
      <c r="D4702" s="19" t="s">
        <v>1825</v>
      </c>
      <c r="E4702" s="19" t="s">
        <v>1826</v>
      </c>
      <c r="F4702">
        <v>1</v>
      </c>
    </row>
    <row r="4703" spans="1:10" x14ac:dyDescent="0.25">
      <c r="A4703" s="3"/>
      <c r="B4703" s="16"/>
      <c r="C4703" s="19"/>
      <c r="D4703" s="19" t="s">
        <v>1827</v>
      </c>
      <c r="E4703" s="19" t="s">
        <v>1828</v>
      </c>
      <c r="F4703">
        <v>0</v>
      </c>
    </row>
    <row r="4704" spans="1:10" x14ac:dyDescent="0.25">
      <c r="A4704" s="3"/>
      <c r="B4704" s="16"/>
      <c r="C4704" s="19"/>
      <c r="D4704" s="19" t="s">
        <v>1829</v>
      </c>
      <c r="E4704" s="19" t="s">
        <v>295</v>
      </c>
      <c r="F4704">
        <v>1</v>
      </c>
    </row>
    <row r="4705" spans="1:6" x14ac:dyDescent="0.25">
      <c r="A4705" s="3"/>
      <c r="B4705" s="16"/>
      <c r="C4705" s="19"/>
      <c r="D4705" s="19" t="s">
        <v>1830</v>
      </c>
      <c r="E4705" s="19" t="s">
        <v>1831</v>
      </c>
      <c r="F4705">
        <v>0</v>
      </c>
    </row>
    <row r="4706" spans="1:6" x14ac:dyDescent="0.25">
      <c r="A4706" s="3">
        <v>736</v>
      </c>
      <c r="B4706" s="15" t="s">
        <v>213</v>
      </c>
      <c r="C4706" s="19" t="s">
        <v>1685</v>
      </c>
      <c r="D4706" s="19" t="s">
        <v>1686</v>
      </c>
      <c r="E4706" s="19" t="s">
        <v>1687</v>
      </c>
      <c r="F4706">
        <v>1</v>
      </c>
    </row>
    <row r="4707" spans="1:6" x14ac:dyDescent="0.25">
      <c r="C4707" s="19"/>
      <c r="D4707" s="19" t="s">
        <v>1688</v>
      </c>
      <c r="E4707" s="19" t="s">
        <v>1689</v>
      </c>
      <c r="F4707">
        <v>1</v>
      </c>
    </row>
    <row r="4708" spans="1:6" x14ac:dyDescent="0.25">
      <c r="C4708" s="19"/>
      <c r="D4708" s="19" t="s">
        <v>1690</v>
      </c>
      <c r="E4708" s="19" t="s">
        <v>1691</v>
      </c>
      <c r="F4708">
        <v>1</v>
      </c>
    </row>
    <row r="4709" spans="1:6" x14ac:dyDescent="0.25">
      <c r="C4709" s="19"/>
      <c r="D4709" s="19" t="s">
        <v>1692</v>
      </c>
      <c r="E4709" s="19" t="s">
        <v>1693</v>
      </c>
      <c r="F4709">
        <v>1</v>
      </c>
    </row>
    <row r="4710" spans="1:6" x14ac:dyDescent="0.25">
      <c r="C4710" s="19"/>
      <c r="D4710" s="19" t="s">
        <v>1694</v>
      </c>
      <c r="E4710" s="19" t="s">
        <v>1695</v>
      </c>
      <c r="F4710">
        <v>1</v>
      </c>
    </row>
    <row r="4711" spans="1:6" x14ac:dyDescent="0.25">
      <c r="C4711" s="19"/>
      <c r="D4711" s="19" t="s">
        <v>1696</v>
      </c>
      <c r="E4711" s="19" t="s">
        <v>1697</v>
      </c>
      <c r="F4711">
        <v>1</v>
      </c>
    </row>
    <row r="4712" spans="1:6" x14ac:dyDescent="0.25">
      <c r="C4712" s="19"/>
      <c r="D4712" s="19" t="s">
        <v>1698</v>
      </c>
      <c r="E4712" s="19" t="s">
        <v>1699</v>
      </c>
      <c r="F4712">
        <v>1</v>
      </c>
    </row>
    <row r="4713" spans="1:6" x14ac:dyDescent="0.25">
      <c r="C4713" s="19"/>
      <c r="D4713" s="19" t="s">
        <v>1700</v>
      </c>
      <c r="E4713" s="19" t="s">
        <v>1701</v>
      </c>
      <c r="F4713">
        <v>1</v>
      </c>
    </row>
    <row r="4714" spans="1:6" x14ac:dyDescent="0.25">
      <c r="C4714" s="19"/>
      <c r="D4714" s="19" t="s">
        <v>1702</v>
      </c>
      <c r="E4714" s="19" t="s">
        <v>314</v>
      </c>
      <c r="F4714">
        <v>1</v>
      </c>
    </row>
    <row r="4715" spans="1:6" x14ac:dyDescent="0.25">
      <c r="C4715" s="19"/>
      <c r="D4715" s="19" t="s">
        <v>1703</v>
      </c>
      <c r="E4715" s="19" t="s">
        <v>1704</v>
      </c>
      <c r="F4715">
        <v>1</v>
      </c>
    </row>
    <row r="4716" spans="1:6" x14ac:dyDescent="0.25">
      <c r="C4716" s="19"/>
      <c r="D4716" s="19" t="s">
        <v>1705</v>
      </c>
      <c r="E4716" s="19" t="s">
        <v>1706</v>
      </c>
      <c r="F4716">
        <v>1</v>
      </c>
    </row>
    <row r="4717" spans="1:6" x14ac:dyDescent="0.25">
      <c r="C4717" s="19"/>
      <c r="D4717" s="19" t="s">
        <v>1707</v>
      </c>
      <c r="E4717" s="19" t="s">
        <v>1708</v>
      </c>
      <c r="F4717">
        <v>1</v>
      </c>
    </row>
    <row r="4718" spans="1:6" x14ac:dyDescent="0.25">
      <c r="C4718" s="19"/>
      <c r="D4718" s="19" t="s">
        <v>1709</v>
      </c>
      <c r="E4718" s="19" t="s">
        <v>1710</v>
      </c>
      <c r="F4718">
        <v>1</v>
      </c>
    </row>
    <row r="4719" spans="1:6" x14ac:dyDescent="0.25">
      <c r="C4719" s="19"/>
      <c r="D4719" s="19" t="s">
        <v>1711</v>
      </c>
      <c r="E4719" s="19" t="s">
        <v>1124</v>
      </c>
      <c r="F4719">
        <v>1</v>
      </c>
    </row>
    <row r="4720" spans="1:6" x14ac:dyDescent="0.25">
      <c r="A4720" s="3">
        <v>739</v>
      </c>
      <c r="B4720" s="15" t="s">
        <v>214</v>
      </c>
      <c r="C4720" s="19" t="s">
        <v>422</v>
      </c>
      <c r="D4720" s="19" t="s">
        <v>423</v>
      </c>
      <c r="E4720" s="19" t="s">
        <v>424</v>
      </c>
      <c r="F4720">
        <v>1</v>
      </c>
    </row>
    <row r="4721" spans="1:6" x14ac:dyDescent="0.25">
      <c r="C4721" s="19"/>
      <c r="D4721" s="19" t="s">
        <v>425</v>
      </c>
      <c r="E4721" s="19" t="s">
        <v>426</v>
      </c>
      <c r="F4721">
        <v>1</v>
      </c>
    </row>
    <row r="4722" spans="1:6" x14ac:dyDescent="0.25">
      <c r="C4722" s="19"/>
      <c r="D4722" s="19" t="s">
        <v>427</v>
      </c>
      <c r="E4722" s="19" t="s">
        <v>428</v>
      </c>
      <c r="F4722">
        <v>1</v>
      </c>
    </row>
    <row r="4723" spans="1:6" x14ac:dyDescent="0.25">
      <c r="C4723" s="19"/>
      <c r="D4723" s="19" t="s">
        <v>429</v>
      </c>
      <c r="E4723" s="19" t="s">
        <v>430</v>
      </c>
      <c r="F4723">
        <v>1</v>
      </c>
    </row>
    <row r="4724" spans="1:6" x14ac:dyDescent="0.25">
      <c r="C4724" s="19"/>
      <c r="D4724" s="19" t="s">
        <v>431</v>
      </c>
      <c r="E4724" s="19" t="s">
        <v>432</v>
      </c>
      <c r="F4724">
        <v>1</v>
      </c>
    </row>
    <row r="4725" spans="1:6" x14ac:dyDescent="0.25">
      <c r="C4725" s="19"/>
      <c r="D4725" s="19" t="s">
        <v>433</v>
      </c>
      <c r="E4725" s="19" t="s">
        <v>434</v>
      </c>
      <c r="F4725">
        <v>1</v>
      </c>
    </row>
    <row r="4726" spans="1:6" x14ac:dyDescent="0.25">
      <c r="C4726" s="19"/>
      <c r="D4726" s="19" t="s">
        <v>435</v>
      </c>
      <c r="E4726" s="19" t="s">
        <v>436</v>
      </c>
      <c r="F4726">
        <v>1</v>
      </c>
    </row>
    <row r="4727" spans="1:6" x14ac:dyDescent="0.25">
      <c r="C4727" s="19"/>
      <c r="D4727" s="19" t="s">
        <v>437</v>
      </c>
      <c r="E4727" s="19" t="s">
        <v>438</v>
      </c>
      <c r="F4727">
        <v>1</v>
      </c>
    </row>
    <row r="4728" spans="1:6" x14ac:dyDescent="0.25">
      <c r="C4728" s="19"/>
      <c r="D4728" s="19" t="s">
        <v>439</v>
      </c>
      <c r="E4728" s="19" t="s">
        <v>440</v>
      </c>
      <c r="F4728">
        <v>1</v>
      </c>
    </row>
    <row r="4729" spans="1:6" x14ac:dyDescent="0.25">
      <c r="D4729" s="19" t="s">
        <v>441</v>
      </c>
      <c r="E4729" s="19" t="s">
        <v>442</v>
      </c>
      <c r="F4729">
        <v>0</v>
      </c>
    </row>
    <row r="4730" spans="1:6" x14ac:dyDescent="0.25">
      <c r="D4730" s="19" t="s">
        <v>444</v>
      </c>
      <c r="E4730" s="19" t="s">
        <v>445</v>
      </c>
      <c r="F4730">
        <v>1</v>
      </c>
    </row>
    <row r="4731" spans="1:6" x14ac:dyDescent="0.25">
      <c r="D4731" s="19" t="s">
        <v>446</v>
      </c>
      <c r="E4731" s="19" t="s">
        <v>447</v>
      </c>
      <c r="F4731">
        <v>1</v>
      </c>
    </row>
    <row r="4732" spans="1:6" x14ac:dyDescent="0.25">
      <c r="D4732" s="19" t="s">
        <v>448</v>
      </c>
      <c r="E4732" s="19" t="s">
        <v>449</v>
      </c>
      <c r="F4732">
        <v>1</v>
      </c>
    </row>
    <row r="4733" spans="1:6" x14ac:dyDescent="0.25">
      <c r="A4733" s="3">
        <v>741</v>
      </c>
      <c r="B4733" s="15" t="s">
        <v>215</v>
      </c>
      <c r="C4733" s="21" t="s">
        <v>386</v>
      </c>
      <c r="D4733" s="19" t="s">
        <v>387</v>
      </c>
      <c r="E4733" s="19" t="s">
        <v>388</v>
      </c>
      <c r="F4733">
        <v>1</v>
      </c>
    </row>
    <row r="4734" spans="1:6" x14ac:dyDescent="0.25">
      <c r="C4734" s="22"/>
      <c r="D4734" s="19" t="s">
        <v>390</v>
      </c>
      <c r="E4734" s="19" t="s">
        <v>391</v>
      </c>
      <c r="F4734">
        <v>1</v>
      </c>
    </row>
    <row r="4735" spans="1:6" x14ac:dyDescent="0.25">
      <c r="C4735" s="19"/>
      <c r="D4735" s="21" t="s">
        <v>392</v>
      </c>
      <c r="E4735" s="19" t="s">
        <v>393</v>
      </c>
      <c r="F4735">
        <v>0</v>
      </c>
    </row>
    <row r="4736" spans="1:6" x14ac:dyDescent="0.25">
      <c r="C4736" s="19"/>
      <c r="D4736" s="19" t="s">
        <v>394</v>
      </c>
      <c r="E4736" s="19" t="s">
        <v>395</v>
      </c>
      <c r="F4736">
        <v>0</v>
      </c>
    </row>
    <row r="4737" spans="1:6" x14ac:dyDescent="0.25">
      <c r="C4737" s="19"/>
      <c r="D4737" s="19" t="s">
        <v>396</v>
      </c>
      <c r="E4737" s="19" t="s">
        <v>397</v>
      </c>
      <c r="F4737">
        <v>1</v>
      </c>
    </row>
    <row r="4738" spans="1:6" x14ac:dyDescent="0.25">
      <c r="C4738" s="19"/>
      <c r="D4738" s="19" t="s">
        <v>398</v>
      </c>
      <c r="E4738" s="19" t="s">
        <v>399</v>
      </c>
      <c r="F4738">
        <v>1</v>
      </c>
    </row>
    <row r="4739" spans="1:6" x14ac:dyDescent="0.25">
      <c r="C4739" s="19"/>
      <c r="D4739" s="19" t="s">
        <v>400</v>
      </c>
      <c r="E4739" s="19" t="s">
        <v>401</v>
      </c>
      <c r="F4739">
        <v>1</v>
      </c>
    </row>
    <row r="4740" spans="1:6" x14ac:dyDescent="0.25">
      <c r="C4740" s="19"/>
      <c r="D4740" s="19" t="s">
        <v>402</v>
      </c>
      <c r="E4740" s="19" t="s">
        <v>403</v>
      </c>
      <c r="F4740">
        <v>1</v>
      </c>
    </row>
    <row r="4741" spans="1:6" x14ac:dyDescent="0.25">
      <c r="C4741" s="19"/>
      <c r="D4741" s="19" t="s">
        <v>404</v>
      </c>
      <c r="E4741" s="19" t="s">
        <v>405</v>
      </c>
      <c r="F4741">
        <v>0</v>
      </c>
    </row>
    <row r="4742" spans="1:6" x14ac:dyDescent="0.25">
      <c r="C4742" s="19"/>
      <c r="D4742" s="19" t="s">
        <v>406</v>
      </c>
      <c r="E4742" s="19" t="s">
        <v>407</v>
      </c>
      <c r="F4742">
        <v>0</v>
      </c>
    </row>
    <row r="4743" spans="1:6" x14ac:dyDescent="0.25">
      <c r="C4743" s="19"/>
      <c r="D4743" s="19" t="s">
        <v>408</v>
      </c>
      <c r="E4743" s="19" t="s">
        <v>409</v>
      </c>
      <c r="F4743">
        <v>0</v>
      </c>
    </row>
    <row r="4744" spans="1:6" x14ac:dyDescent="0.25">
      <c r="A4744" s="3">
        <v>742</v>
      </c>
      <c r="B4744" s="15" t="s">
        <v>216</v>
      </c>
      <c r="C4744" s="19" t="s">
        <v>1536</v>
      </c>
      <c r="D4744" s="19" t="s">
        <v>1537</v>
      </c>
      <c r="E4744" s="19" t="s">
        <v>1494</v>
      </c>
      <c r="F4744">
        <v>1</v>
      </c>
    </row>
    <row r="4745" spans="1:6" x14ac:dyDescent="0.25">
      <c r="C4745" s="19"/>
      <c r="D4745" s="19" t="s">
        <v>1538</v>
      </c>
      <c r="E4745" s="19" t="s">
        <v>306</v>
      </c>
      <c r="F4745">
        <v>1</v>
      </c>
    </row>
    <row r="4746" spans="1:6" x14ac:dyDescent="0.25">
      <c r="C4746" s="19"/>
      <c r="D4746" s="19" t="s">
        <v>1539</v>
      </c>
      <c r="E4746" s="19" t="s">
        <v>1499</v>
      </c>
      <c r="F4746">
        <v>1</v>
      </c>
    </row>
    <row r="4747" spans="1:6" x14ac:dyDescent="0.25">
      <c r="C4747" s="19"/>
      <c r="D4747" s="19" t="s">
        <v>1540</v>
      </c>
      <c r="E4747" s="19" t="s">
        <v>1541</v>
      </c>
      <c r="F4747">
        <v>1</v>
      </c>
    </row>
    <row r="4748" spans="1:6" x14ac:dyDescent="0.25">
      <c r="C4748" s="19"/>
      <c r="D4748" s="19" t="s">
        <v>1542</v>
      </c>
      <c r="E4748" s="19" t="s">
        <v>1543</v>
      </c>
      <c r="F4748">
        <v>0</v>
      </c>
    </row>
    <row r="4749" spans="1:6" x14ac:dyDescent="0.25">
      <c r="C4749" s="19"/>
      <c r="D4749" s="19" t="s">
        <v>1544</v>
      </c>
      <c r="E4749" s="19" t="s">
        <v>671</v>
      </c>
      <c r="F4749">
        <v>0</v>
      </c>
    </row>
    <row r="4750" spans="1:6" x14ac:dyDescent="0.25">
      <c r="C4750" s="19"/>
      <c r="D4750" s="19" t="s">
        <v>1545</v>
      </c>
      <c r="E4750" s="19" t="s">
        <v>1546</v>
      </c>
      <c r="F4750">
        <v>1</v>
      </c>
    </row>
    <row r="4751" spans="1:6" x14ac:dyDescent="0.25">
      <c r="C4751" s="19"/>
      <c r="D4751" s="19" t="s">
        <v>1547</v>
      </c>
      <c r="E4751" s="19" t="s">
        <v>1548</v>
      </c>
      <c r="F4751">
        <v>0</v>
      </c>
    </row>
    <row r="4752" spans="1:6" x14ac:dyDescent="0.25">
      <c r="C4752" s="19"/>
      <c r="D4752" s="19" t="s">
        <v>1549</v>
      </c>
      <c r="E4752" s="19" t="s">
        <v>1550</v>
      </c>
      <c r="F4752">
        <v>0</v>
      </c>
    </row>
    <row r="4753" spans="1:6" x14ac:dyDescent="0.25">
      <c r="C4753" s="19"/>
      <c r="D4753" s="19" t="s">
        <v>1551</v>
      </c>
      <c r="E4753" s="19" t="s">
        <v>1552</v>
      </c>
      <c r="F4753">
        <v>0</v>
      </c>
    </row>
    <row r="4754" spans="1:6" x14ac:dyDescent="0.25">
      <c r="C4754" s="19"/>
      <c r="D4754" s="19" t="s">
        <v>1553</v>
      </c>
      <c r="E4754" s="19" t="s">
        <v>1554</v>
      </c>
      <c r="F4754">
        <v>0</v>
      </c>
    </row>
    <row r="4755" spans="1:6" x14ac:dyDescent="0.25">
      <c r="C4755" s="19"/>
      <c r="D4755" s="19" t="s">
        <v>1555</v>
      </c>
      <c r="E4755" s="19" t="s">
        <v>1556</v>
      </c>
      <c r="F4755">
        <v>1</v>
      </c>
    </row>
    <row r="4756" spans="1:6" x14ac:dyDescent="0.25">
      <c r="A4756" s="3">
        <v>744</v>
      </c>
      <c r="B4756" s="15" t="s">
        <v>217</v>
      </c>
      <c r="C4756" s="19" t="s">
        <v>1457</v>
      </c>
      <c r="D4756" s="19" t="s">
        <v>1458</v>
      </c>
      <c r="E4756" s="19" t="s">
        <v>273</v>
      </c>
      <c r="F4756">
        <v>1</v>
      </c>
    </row>
    <row r="4757" spans="1:6" x14ac:dyDescent="0.25">
      <c r="C4757" s="19"/>
      <c r="D4757" s="19" t="s">
        <v>1459</v>
      </c>
      <c r="E4757" s="19" t="s">
        <v>640</v>
      </c>
      <c r="F4757">
        <v>1</v>
      </c>
    </row>
    <row r="4758" spans="1:6" x14ac:dyDescent="0.25">
      <c r="C4758" s="19"/>
      <c r="D4758" s="19" t="s">
        <v>1460</v>
      </c>
      <c r="E4758" s="19" t="s">
        <v>929</v>
      </c>
      <c r="F4758">
        <v>0</v>
      </c>
    </row>
    <row r="4759" spans="1:6" x14ac:dyDescent="0.25">
      <c r="C4759" s="19"/>
      <c r="D4759" s="19" t="s">
        <v>1461</v>
      </c>
      <c r="E4759" s="19" t="s">
        <v>1462</v>
      </c>
      <c r="F4759">
        <v>1</v>
      </c>
    </row>
    <row r="4760" spans="1:6" x14ac:dyDescent="0.25">
      <c r="C4760" s="19"/>
      <c r="D4760" s="19" t="s">
        <v>1463</v>
      </c>
      <c r="E4760" s="19" t="s">
        <v>1464</v>
      </c>
      <c r="F4760">
        <v>0</v>
      </c>
    </row>
    <row r="4761" spans="1:6" x14ac:dyDescent="0.25">
      <c r="C4761" s="19"/>
      <c r="D4761" s="19" t="s">
        <v>1465</v>
      </c>
      <c r="E4761" s="19" t="s">
        <v>347</v>
      </c>
      <c r="F4761">
        <v>0</v>
      </c>
    </row>
    <row r="4762" spans="1:6" x14ac:dyDescent="0.25">
      <c r="C4762" s="19"/>
      <c r="D4762" s="19" t="s">
        <v>1466</v>
      </c>
      <c r="E4762" s="19" t="s">
        <v>1467</v>
      </c>
      <c r="F4762">
        <v>1</v>
      </c>
    </row>
    <row r="4763" spans="1:6" x14ac:dyDescent="0.25">
      <c r="C4763" s="19"/>
      <c r="D4763" s="19" t="s">
        <v>1468</v>
      </c>
      <c r="E4763" s="19" t="s">
        <v>1469</v>
      </c>
      <c r="F4763">
        <v>0</v>
      </c>
    </row>
    <row r="4764" spans="1:6" x14ac:dyDescent="0.25">
      <c r="C4764" s="19"/>
      <c r="D4764" s="19" t="s">
        <v>1470</v>
      </c>
      <c r="E4764" s="19" t="s">
        <v>1471</v>
      </c>
      <c r="F4764">
        <v>0</v>
      </c>
    </row>
    <row r="4765" spans="1:6" x14ac:dyDescent="0.25">
      <c r="C4765" s="19"/>
      <c r="D4765" s="19" t="s">
        <v>1472</v>
      </c>
      <c r="E4765" s="19" t="s">
        <v>391</v>
      </c>
      <c r="F4765">
        <v>1</v>
      </c>
    </row>
    <row r="4766" spans="1:6" x14ac:dyDescent="0.25">
      <c r="C4766" s="19"/>
      <c r="D4766" s="19" t="s">
        <v>1473</v>
      </c>
      <c r="E4766" s="19" t="s">
        <v>956</v>
      </c>
      <c r="F4766">
        <v>1</v>
      </c>
    </row>
    <row r="4767" spans="1:6" x14ac:dyDescent="0.25">
      <c r="C4767" s="19" t="s">
        <v>917</v>
      </c>
      <c r="D4767" s="19" t="s">
        <v>918</v>
      </c>
      <c r="E4767" s="19" t="s">
        <v>308</v>
      </c>
      <c r="F4767">
        <v>0</v>
      </c>
    </row>
    <row r="4768" spans="1:6" x14ac:dyDescent="0.25">
      <c r="C4768" s="19"/>
      <c r="D4768" s="19" t="s">
        <v>919</v>
      </c>
      <c r="E4768" s="19" t="s">
        <v>920</v>
      </c>
      <c r="F4768">
        <v>1</v>
      </c>
    </row>
    <row r="4769" spans="3:6" x14ac:dyDescent="0.25">
      <c r="C4769" s="19"/>
      <c r="D4769" s="19" t="s">
        <v>921</v>
      </c>
      <c r="E4769" s="19" t="s">
        <v>922</v>
      </c>
      <c r="F4769">
        <v>0</v>
      </c>
    </row>
    <row r="4770" spans="3:6" x14ac:dyDescent="0.25">
      <c r="C4770" s="19"/>
      <c r="D4770" s="19" t="s">
        <v>923</v>
      </c>
      <c r="E4770" s="19" t="s">
        <v>924</v>
      </c>
      <c r="F4770">
        <v>1</v>
      </c>
    </row>
    <row r="4771" spans="3:6" x14ac:dyDescent="0.25">
      <c r="C4771" s="19"/>
      <c r="D4771" s="19" t="s">
        <v>925</v>
      </c>
      <c r="E4771" s="19" t="s">
        <v>310</v>
      </c>
      <c r="F4771">
        <v>0</v>
      </c>
    </row>
    <row r="4772" spans="3:6" x14ac:dyDescent="0.25">
      <c r="C4772" s="19"/>
      <c r="D4772" s="19" t="s">
        <v>926</v>
      </c>
      <c r="E4772" s="19" t="s">
        <v>927</v>
      </c>
      <c r="F4772">
        <v>1</v>
      </c>
    </row>
    <row r="4773" spans="3:6" x14ac:dyDescent="0.25">
      <c r="C4773" s="19"/>
      <c r="D4773" s="19" t="s">
        <v>928</v>
      </c>
      <c r="E4773" s="19" t="s">
        <v>929</v>
      </c>
      <c r="F4773">
        <v>0</v>
      </c>
    </row>
    <row r="4774" spans="3:6" x14ac:dyDescent="0.25">
      <c r="C4774" s="19"/>
      <c r="D4774" s="19" t="s">
        <v>930</v>
      </c>
      <c r="E4774" s="19" t="s">
        <v>640</v>
      </c>
      <c r="F4774">
        <v>0</v>
      </c>
    </row>
    <row r="4775" spans="3:6" x14ac:dyDescent="0.25">
      <c r="C4775" s="19"/>
      <c r="D4775" s="19" t="s">
        <v>931</v>
      </c>
      <c r="E4775" s="19" t="s">
        <v>932</v>
      </c>
      <c r="F4775">
        <v>0</v>
      </c>
    </row>
    <row r="4776" spans="3:6" x14ac:dyDescent="0.25">
      <c r="C4776" s="19"/>
      <c r="D4776" s="19" t="s">
        <v>933</v>
      </c>
      <c r="E4776" s="19" t="s">
        <v>934</v>
      </c>
      <c r="F4776">
        <v>0</v>
      </c>
    </row>
    <row r="4777" spans="3:6" x14ac:dyDescent="0.25">
      <c r="C4777" s="19"/>
      <c r="D4777" s="19" t="s">
        <v>935</v>
      </c>
      <c r="E4777" s="19" t="s">
        <v>936</v>
      </c>
      <c r="F4777">
        <v>0</v>
      </c>
    </row>
    <row r="4778" spans="3:6" x14ac:dyDescent="0.25">
      <c r="C4778" s="19"/>
      <c r="D4778" s="19" t="s">
        <v>937</v>
      </c>
      <c r="E4778" s="19" t="s">
        <v>938</v>
      </c>
      <c r="F4778">
        <v>1</v>
      </c>
    </row>
    <row r="4779" spans="3:6" x14ac:dyDescent="0.25">
      <c r="C4779" s="19"/>
      <c r="D4779" s="19" t="s">
        <v>939</v>
      </c>
      <c r="E4779" s="19" t="s">
        <v>383</v>
      </c>
      <c r="F4779">
        <v>0</v>
      </c>
    </row>
    <row r="4780" spans="3:6" x14ac:dyDescent="0.25">
      <c r="C4780" s="19"/>
      <c r="D4780" s="19" t="s">
        <v>940</v>
      </c>
      <c r="E4780" s="19" t="s">
        <v>384</v>
      </c>
      <c r="F4780">
        <v>0</v>
      </c>
    </row>
    <row r="4781" spans="3:6" x14ac:dyDescent="0.25">
      <c r="C4781" s="19"/>
      <c r="D4781" s="19" t="s">
        <v>941</v>
      </c>
      <c r="E4781" s="19" t="s">
        <v>942</v>
      </c>
      <c r="F4781">
        <v>0</v>
      </c>
    </row>
    <row r="4782" spans="3:6" x14ac:dyDescent="0.25">
      <c r="C4782" s="19"/>
      <c r="D4782" s="19" t="s">
        <v>943</v>
      </c>
      <c r="E4782" s="19" t="s">
        <v>944</v>
      </c>
      <c r="F4782">
        <v>0</v>
      </c>
    </row>
    <row r="4783" spans="3:6" x14ac:dyDescent="0.25">
      <c r="C4783" s="19"/>
      <c r="D4783" s="19" t="s">
        <v>945</v>
      </c>
      <c r="E4783" s="19" t="s">
        <v>368</v>
      </c>
      <c r="F4783">
        <v>1</v>
      </c>
    </row>
    <row r="4784" spans="3:6" x14ac:dyDescent="0.25">
      <c r="C4784" s="19"/>
      <c r="D4784" s="19" t="s">
        <v>946</v>
      </c>
      <c r="E4784" s="19" t="s">
        <v>370</v>
      </c>
      <c r="F4784">
        <v>0</v>
      </c>
    </row>
    <row r="4785" spans="3:6" x14ac:dyDescent="0.25">
      <c r="C4785" s="19"/>
      <c r="D4785" s="19" t="s">
        <v>947</v>
      </c>
      <c r="E4785" s="19" t="s">
        <v>948</v>
      </c>
      <c r="F4785">
        <v>0</v>
      </c>
    </row>
    <row r="4786" spans="3:6" x14ac:dyDescent="0.25">
      <c r="C4786" s="19"/>
      <c r="D4786" s="19" t="s">
        <v>949</v>
      </c>
      <c r="E4786" s="19" t="s">
        <v>950</v>
      </c>
      <c r="F4786">
        <v>0</v>
      </c>
    </row>
    <row r="4787" spans="3:6" x14ac:dyDescent="0.25">
      <c r="C4787" s="19"/>
      <c r="D4787" s="19" t="s">
        <v>951</v>
      </c>
      <c r="E4787" s="19" t="s">
        <v>952</v>
      </c>
      <c r="F4787">
        <v>1</v>
      </c>
    </row>
    <row r="4788" spans="3:6" x14ac:dyDescent="0.25">
      <c r="C4788" s="19"/>
      <c r="D4788" s="19" t="s">
        <v>953</v>
      </c>
      <c r="E4788" s="19" t="s">
        <v>954</v>
      </c>
      <c r="F4788">
        <v>1</v>
      </c>
    </row>
    <row r="4789" spans="3:6" x14ac:dyDescent="0.25">
      <c r="C4789" s="19"/>
      <c r="D4789" s="19" t="s">
        <v>955</v>
      </c>
      <c r="E4789" s="19" t="s">
        <v>956</v>
      </c>
      <c r="F4789">
        <v>0</v>
      </c>
    </row>
    <row r="4790" spans="3:6" x14ac:dyDescent="0.25">
      <c r="C4790" s="21" t="s">
        <v>386</v>
      </c>
      <c r="D4790" s="19" t="s">
        <v>387</v>
      </c>
      <c r="E4790" s="19" t="s">
        <v>388</v>
      </c>
      <c r="F4790">
        <v>1</v>
      </c>
    </row>
    <row r="4791" spans="3:6" x14ac:dyDescent="0.25">
      <c r="C4791" s="22"/>
      <c r="D4791" s="19" t="s">
        <v>390</v>
      </c>
      <c r="E4791" s="19" t="s">
        <v>391</v>
      </c>
      <c r="F4791">
        <v>0</v>
      </c>
    </row>
    <row r="4792" spans="3:6" x14ac:dyDescent="0.25">
      <c r="C4792" s="19"/>
      <c r="D4792" s="21" t="s">
        <v>392</v>
      </c>
      <c r="E4792" s="19" t="s">
        <v>393</v>
      </c>
      <c r="F4792">
        <v>1</v>
      </c>
    </row>
    <row r="4793" spans="3:6" x14ac:dyDescent="0.25">
      <c r="C4793" s="19"/>
      <c r="D4793" s="19" t="s">
        <v>394</v>
      </c>
      <c r="E4793" s="19" t="s">
        <v>395</v>
      </c>
      <c r="F4793">
        <v>1</v>
      </c>
    </row>
    <row r="4794" spans="3:6" x14ac:dyDescent="0.25">
      <c r="C4794" s="19"/>
      <c r="D4794" s="19" t="s">
        <v>396</v>
      </c>
      <c r="E4794" s="19" t="s">
        <v>397</v>
      </c>
      <c r="F4794">
        <v>1</v>
      </c>
    </row>
    <row r="4795" spans="3:6" x14ac:dyDescent="0.25">
      <c r="C4795" s="19"/>
      <c r="D4795" s="19" t="s">
        <v>398</v>
      </c>
      <c r="E4795" s="19" t="s">
        <v>399</v>
      </c>
      <c r="F4795">
        <v>1</v>
      </c>
    </row>
    <row r="4796" spans="3:6" x14ac:dyDescent="0.25">
      <c r="C4796" s="19"/>
      <c r="D4796" s="19" t="s">
        <v>400</v>
      </c>
      <c r="E4796" s="19" t="s">
        <v>401</v>
      </c>
      <c r="F4796">
        <v>1</v>
      </c>
    </row>
    <row r="4797" spans="3:6" x14ac:dyDescent="0.25">
      <c r="C4797" s="19"/>
      <c r="D4797" s="19" t="s">
        <v>402</v>
      </c>
      <c r="E4797" s="19" t="s">
        <v>403</v>
      </c>
      <c r="F4797">
        <v>1</v>
      </c>
    </row>
    <row r="4798" spans="3:6" x14ac:dyDescent="0.25">
      <c r="C4798" s="19"/>
      <c r="D4798" s="19" t="s">
        <v>404</v>
      </c>
      <c r="E4798" s="19" t="s">
        <v>405</v>
      </c>
      <c r="F4798">
        <v>1</v>
      </c>
    </row>
    <row r="4799" spans="3:6" x14ac:dyDescent="0.25">
      <c r="C4799" s="19"/>
      <c r="D4799" s="19" t="s">
        <v>406</v>
      </c>
      <c r="E4799" s="19" t="s">
        <v>407</v>
      </c>
      <c r="F4799">
        <v>0</v>
      </c>
    </row>
    <row r="4800" spans="3:6" x14ac:dyDescent="0.25">
      <c r="C4800" s="19"/>
      <c r="D4800" s="19" t="s">
        <v>408</v>
      </c>
      <c r="E4800" s="19" t="s">
        <v>409</v>
      </c>
      <c r="F4800">
        <v>0</v>
      </c>
    </row>
    <row r="4801" spans="3:6" x14ac:dyDescent="0.25">
      <c r="C4801" s="19" t="s">
        <v>782</v>
      </c>
      <c r="D4801" s="19" t="s">
        <v>783</v>
      </c>
      <c r="E4801" s="19" t="s">
        <v>784</v>
      </c>
      <c r="F4801">
        <v>0</v>
      </c>
    </row>
    <row r="4802" spans="3:6" x14ac:dyDescent="0.25">
      <c r="C4802" s="19"/>
      <c r="D4802" s="19" t="s">
        <v>785</v>
      </c>
      <c r="E4802" s="19" t="s">
        <v>786</v>
      </c>
      <c r="F4802">
        <v>1</v>
      </c>
    </row>
    <row r="4803" spans="3:6" x14ac:dyDescent="0.25">
      <c r="C4803" s="19"/>
      <c r="D4803" s="19" t="s">
        <v>787</v>
      </c>
      <c r="E4803" s="19" t="s">
        <v>640</v>
      </c>
      <c r="F4803">
        <v>0</v>
      </c>
    </row>
    <row r="4804" spans="3:6" x14ac:dyDescent="0.25">
      <c r="C4804" s="19"/>
      <c r="D4804" s="19" t="s">
        <v>788</v>
      </c>
      <c r="E4804" s="19" t="s">
        <v>789</v>
      </c>
      <c r="F4804">
        <v>0</v>
      </c>
    </row>
    <row r="4805" spans="3:6" x14ac:dyDescent="0.25">
      <c r="C4805" s="19"/>
      <c r="D4805" s="19" t="s">
        <v>790</v>
      </c>
      <c r="E4805" s="19" t="s">
        <v>791</v>
      </c>
      <c r="F4805">
        <v>0</v>
      </c>
    </row>
    <row r="4806" spans="3:6" x14ac:dyDescent="0.25">
      <c r="C4806" s="19"/>
      <c r="D4806" s="19" t="s">
        <v>792</v>
      </c>
      <c r="E4806" s="19" t="s">
        <v>793</v>
      </c>
      <c r="F4806">
        <v>0</v>
      </c>
    </row>
    <row r="4807" spans="3:6" x14ac:dyDescent="0.25">
      <c r="C4807" s="19"/>
      <c r="D4807" s="19" t="s">
        <v>794</v>
      </c>
      <c r="E4807" s="19" t="s">
        <v>795</v>
      </c>
      <c r="F4807">
        <v>0</v>
      </c>
    </row>
    <row r="4808" spans="3:6" x14ac:dyDescent="0.25">
      <c r="C4808" s="19"/>
      <c r="D4808" s="19" t="s">
        <v>796</v>
      </c>
      <c r="E4808" s="19" t="s">
        <v>797</v>
      </c>
      <c r="F4808">
        <v>0</v>
      </c>
    </row>
    <row r="4809" spans="3:6" x14ac:dyDescent="0.25">
      <c r="C4809" s="19"/>
      <c r="D4809" s="19" t="s">
        <v>798</v>
      </c>
      <c r="E4809" s="19" t="s">
        <v>273</v>
      </c>
      <c r="F4809">
        <v>0</v>
      </c>
    </row>
    <row r="4810" spans="3:6" x14ac:dyDescent="0.25">
      <c r="C4810" s="19"/>
      <c r="D4810" s="19" t="s">
        <v>799</v>
      </c>
      <c r="E4810" s="19" t="s">
        <v>312</v>
      </c>
      <c r="F4810">
        <v>0</v>
      </c>
    </row>
    <row r="4811" spans="3:6" x14ac:dyDescent="0.25">
      <c r="C4811" s="19"/>
      <c r="D4811" s="19" t="s">
        <v>800</v>
      </c>
      <c r="E4811" s="19" t="s">
        <v>801</v>
      </c>
      <c r="F4811">
        <v>0</v>
      </c>
    </row>
    <row r="4812" spans="3:6" x14ac:dyDescent="0.25">
      <c r="C4812" s="19"/>
      <c r="D4812" s="19" t="s">
        <v>802</v>
      </c>
      <c r="E4812" s="19" t="s">
        <v>803</v>
      </c>
      <c r="F4812">
        <v>0</v>
      </c>
    </row>
    <row r="4813" spans="3:6" x14ac:dyDescent="0.25">
      <c r="C4813" s="19"/>
      <c r="D4813" s="19" t="s">
        <v>804</v>
      </c>
      <c r="E4813" s="19" t="s">
        <v>805</v>
      </c>
      <c r="F4813">
        <v>0</v>
      </c>
    </row>
    <row r="4814" spans="3:6" x14ac:dyDescent="0.25">
      <c r="C4814" s="19" t="s">
        <v>1141</v>
      </c>
      <c r="D4814" s="19" t="s">
        <v>1142</v>
      </c>
      <c r="E4814" s="19" t="s">
        <v>312</v>
      </c>
      <c r="F4814">
        <v>0</v>
      </c>
    </row>
    <row r="4815" spans="3:6" x14ac:dyDescent="0.25">
      <c r="C4815" s="19"/>
      <c r="D4815" s="19" t="s">
        <v>1143</v>
      </c>
      <c r="E4815" s="19" t="s">
        <v>314</v>
      </c>
      <c r="F4815">
        <v>1</v>
      </c>
    </row>
    <row r="4816" spans="3:6" x14ac:dyDescent="0.25">
      <c r="C4816" s="19"/>
      <c r="D4816" s="19" t="s">
        <v>1144</v>
      </c>
      <c r="E4816" s="19" t="s">
        <v>1145</v>
      </c>
      <c r="F4816">
        <v>0</v>
      </c>
    </row>
    <row r="4817" spans="1:6" x14ac:dyDescent="0.25">
      <c r="C4817" s="19"/>
      <c r="D4817" s="19" t="s">
        <v>1146</v>
      </c>
      <c r="E4817" s="19" t="s">
        <v>1147</v>
      </c>
      <c r="F4817">
        <v>0</v>
      </c>
    </row>
    <row r="4818" spans="1:6" x14ac:dyDescent="0.25">
      <c r="C4818" s="19"/>
      <c r="D4818" s="19" t="s">
        <v>1148</v>
      </c>
      <c r="E4818" s="19" t="s">
        <v>713</v>
      </c>
      <c r="F4818">
        <v>1</v>
      </c>
    </row>
    <row r="4819" spans="1:6" x14ac:dyDescent="0.25">
      <c r="C4819" s="19"/>
      <c r="D4819" s="19" t="s">
        <v>1149</v>
      </c>
      <c r="E4819" s="19" t="s">
        <v>1150</v>
      </c>
      <c r="F4819">
        <v>0</v>
      </c>
    </row>
    <row r="4820" spans="1:6" x14ac:dyDescent="0.25">
      <c r="C4820" s="19"/>
      <c r="D4820" s="19" t="s">
        <v>1151</v>
      </c>
      <c r="E4820" s="19" t="s">
        <v>380</v>
      </c>
      <c r="F4820">
        <v>1</v>
      </c>
    </row>
    <row r="4821" spans="1:6" x14ac:dyDescent="0.25">
      <c r="C4821" s="19"/>
      <c r="D4821" s="19" t="s">
        <v>1152</v>
      </c>
      <c r="E4821" s="19" t="s">
        <v>381</v>
      </c>
      <c r="F4821">
        <v>0</v>
      </c>
    </row>
    <row r="4822" spans="1:6" x14ac:dyDescent="0.25">
      <c r="C4822" s="19"/>
      <c r="D4822" s="19" t="s">
        <v>1153</v>
      </c>
      <c r="E4822" s="19" t="s">
        <v>1154</v>
      </c>
      <c r="F4822">
        <v>1</v>
      </c>
    </row>
    <row r="4823" spans="1:6" x14ac:dyDescent="0.25">
      <c r="A4823" s="3">
        <v>745</v>
      </c>
      <c r="B4823" s="15" t="s">
        <v>217</v>
      </c>
      <c r="C4823" s="19" t="s">
        <v>1457</v>
      </c>
      <c r="D4823" s="19" t="s">
        <v>1458</v>
      </c>
      <c r="E4823" s="19" t="s">
        <v>273</v>
      </c>
      <c r="F4823">
        <v>1</v>
      </c>
    </row>
    <row r="4824" spans="1:6" x14ac:dyDescent="0.25">
      <c r="C4824" s="19"/>
      <c r="D4824" s="19" t="s">
        <v>1459</v>
      </c>
      <c r="E4824" s="19" t="s">
        <v>640</v>
      </c>
      <c r="F4824">
        <v>1</v>
      </c>
    </row>
    <row r="4825" spans="1:6" x14ac:dyDescent="0.25">
      <c r="C4825" s="19"/>
      <c r="D4825" s="19" t="s">
        <v>1460</v>
      </c>
      <c r="E4825" s="19" t="s">
        <v>929</v>
      </c>
      <c r="F4825">
        <v>0</v>
      </c>
    </row>
    <row r="4826" spans="1:6" x14ac:dyDescent="0.25">
      <c r="C4826" s="19"/>
      <c r="D4826" s="19" t="s">
        <v>1461</v>
      </c>
      <c r="E4826" s="19" t="s">
        <v>1462</v>
      </c>
      <c r="F4826">
        <v>0</v>
      </c>
    </row>
    <row r="4827" spans="1:6" x14ac:dyDescent="0.25">
      <c r="C4827" s="19"/>
      <c r="D4827" s="19" t="s">
        <v>1463</v>
      </c>
      <c r="E4827" s="19" t="s">
        <v>1464</v>
      </c>
      <c r="F4827">
        <v>0</v>
      </c>
    </row>
    <row r="4828" spans="1:6" x14ac:dyDescent="0.25">
      <c r="C4828" s="19"/>
      <c r="D4828" s="19" t="s">
        <v>1465</v>
      </c>
      <c r="E4828" s="19" t="s">
        <v>347</v>
      </c>
      <c r="F4828">
        <v>0</v>
      </c>
    </row>
    <row r="4829" spans="1:6" x14ac:dyDescent="0.25">
      <c r="C4829" s="19"/>
      <c r="D4829" s="19" t="s">
        <v>1466</v>
      </c>
      <c r="E4829" s="19" t="s">
        <v>1467</v>
      </c>
      <c r="F4829">
        <v>1</v>
      </c>
    </row>
    <row r="4830" spans="1:6" x14ac:dyDescent="0.25">
      <c r="C4830" s="19"/>
      <c r="D4830" s="19" t="s">
        <v>1468</v>
      </c>
      <c r="E4830" s="19" t="s">
        <v>1469</v>
      </c>
      <c r="F4830">
        <v>0</v>
      </c>
    </row>
    <row r="4831" spans="1:6" x14ac:dyDescent="0.25">
      <c r="C4831" s="19"/>
      <c r="D4831" s="19" t="s">
        <v>1470</v>
      </c>
      <c r="E4831" s="19" t="s">
        <v>1471</v>
      </c>
      <c r="F4831">
        <v>0</v>
      </c>
    </row>
    <row r="4832" spans="1:6" x14ac:dyDescent="0.25">
      <c r="C4832" s="19"/>
      <c r="D4832" s="19" t="s">
        <v>1472</v>
      </c>
      <c r="E4832" s="19" t="s">
        <v>391</v>
      </c>
      <c r="F4832">
        <v>1</v>
      </c>
    </row>
    <row r="4833" spans="1:6" x14ac:dyDescent="0.25">
      <c r="C4833" s="19"/>
      <c r="D4833" s="19" t="s">
        <v>1473</v>
      </c>
      <c r="E4833" s="19" t="s">
        <v>956</v>
      </c>
      <c r="F4833">
        <v>1</v>
      </c>
    </row>
    <row r="4834" spans="1:6" x14ac:dyDescent="0.25">
      <c r="A4834" s="3">
        <v>746</v>
      </c>
      <c r="B4834" s="15" t="s">
        <v>218</v>
      </c>
      <c r="C4834" s="19" t="s">
        <v>1097</v>
      </c>
      <c r="D4834" s="19" t="s">
        <v>1098</v>
      </c>
      <c r="E4834" s="19" t="s">
        <v>1099</v>
      </c>
      <c r="F4834">
        <v>1</v>
      </c>
    </row>
    <row r="4835" spans="1:6" x14ac:dyDescent="0.25">
      <c r="C4835" s="19"/>
      <c r="D4835" s="19" t="s">
        <v>1100</v>
      </c>
      <c r="E4835" s="19" t="s">
        <v>1101</v>
      </c>
      <c r="F4835">
        <v>1</v>
      </c>
    </row>
    <row r="4836" spans="1:6" x14ac:dyDescent="0.25">
      <c r="C4836" s="19"/>
      <c r="D4836" s="19" t="s">
        <v>1102</v>
      </c>
      <c r="E4836" s="19" t="s">
        <v>1103</v>
      </c>
      <c r="F4836">
        <v>1</v>
      </c>
    </row>
    <row r="4837" spans="1:6" x14ac:dyDescent="0.25">
      <c r="C4837" s="19"/>
      <c r="D4837" s="19" t="s">
        <v>1104</v>
      </c>
      <c r="E4837" s="19" t="s">
        <v>1105</v>
      </c>
      <c r="F4837">
        <v>1</v>
      </c>
    </row>
    <row r="4838" spans="1:6" x14ac:dyDescent="0.25">
      <c r="C4838" s="19"/>
      <c r="D4838" s="19" t="s">
        <v>1106</v>
      </c>
      <c r="E4838" s="19" t="s">
        <v>349</v>
      </c>
      <c r="F4838">
        <v>1</v>
      </c>
    </row>
    <row r="4839" spans="1:6" x14ac:dyDescent="0.25">
      <c r="C4839" s="19"/>
      <c r="D4839" s="19" t="s">
        <v>1107</v>
      </c>
      <c r="E4839" s="19" t="s">
        <v>1108</v>
      </c>
      <c r="F4839">
        <v>1</v>
      </c>
    </row>
    <row r="4840" spans="1:6" x14ac:dyDescent="0.25">
      <c r="C4840" s="19"/>
      <c r="D4840" s="19" t="s">
        <v>1109</v>
      </c>
      <c r="E4840" s="19" t="s">
        <v>1110</v>
      </c>
      <c r="F4840">
        <v>1</v>
      </c>
    </row>
    <row r="4841" spans="1:6" x14ac:dyDescent="0.25">
      <c r="C4841" s="19"/>
      <c r="D4841" s="19" t="s">
        <v>1111</v>
      </c>
      <c r="E4841" s="19" t="s">
        <v>1112</v>
      </c>
      <c r="F4841">
        <v>1</v>
      </c>
    </row>
    <row r="4842" spans="1:6" x14ac:dyDescent="0.25">
      <c r="C4842" s="19"/>
      <c r="D4842" s="19" t="s">
        <v>1113</v>
      </c>
      <c r="E4842" s="19" t="s">
        <v>1114</v>
      </c>
      <c r="F4842">
        <v>1</v>
      </c>
    </row>
    <row r="4843" spans="1:6" x14ac:dyDescent="0.25">
      <c r="C4843" s="19"/>
      <c r="D4843" s="19" t="s">
        <v>1115</v>
      </c>
      <c r="E4843" s="19" t="s">
        <v>1116</v>
      </c>
      <c r="F4843">
        <v>1</v>
      </c>
    </row>
    <row r="4844" spans="1:6" x14ac:dyDescent="0.25">
      <c r="C4844" s="19"/>
      <c r="D4844" s="19" t="s">
        <v>1117</v>
      </c>
      <c r="E4844" s="19" t="s">
        <v>1118</v>
      </c>
      <c r="F4844">
        <v>1</v>
      </c>
    </row>
    <row r="4845" spans="1:6" x14ac:dyDescent="0.25">
      <c r="C4845" s="19"/>
      <c r="D4845" s="19" t="s">
        <v>1119</v>
      </c>
      <c r="E4845" s="19" t="s">
        <v>1120</v>
      </c>
      <c r="F4845">
        <v>1</v>
      </c>
    </row>
    <row r="4846" spans="1:6" x14ac:dyDescent="0.25">
      <c r="C4846" s="19"/>
      <c r="D4846" s="19" t="s">
        <v>1121</v>
      </c>
      <c r="E4846" s="19" t="s">
        <v>1122</v>
      </c>
      <c r="F4846">
        <v>1</v>
      </c>
    </row>
    <row r="4847" spans="1:6" x14ac:dyDescent="0.25">
      <c r="C4847" s="19"/>
      <c r="D4847" s="19" t="s">
        <v>1123</v>
      </c>
      <c r="E4847" s="19" t="s">
        <v>1124</v>
      </c>
      <c r="F4847">
        <v>1</v>
      </c>
    </row>
    <row r="4848" spans="1:6" x14ac:dyDescent="0.25">
      <c r="A4848" s="3">
        <v>748</v>
      </c>
      <c r="B4848" s="15" t="s">
        <v>218</v>
      </c>
      <c r="C4848" s="19" t="s">
        <v>1097</v>
      </c>
      <c r="D4848" s="19" t="s">
        <v>1098</v>
      </c>
      <c r="E4848" s="19" t="s">
        <v>1099</v>
      </c>
      <c r="F4848">
        <v>1</v>
      </c>
    </row>
    <row r="4849" spans="1:6" x14ac:dyDescent="0.25">
      <c r="C4849" s="19"/>
      <c r="D4849" s="19" t="s">
        <v>1100</v>
      </c>
      <c r="E4849" s="19" t="s">
        <v>1101</v>
      </c>
      <c r="F4849">
        <v>1</v>
      </c>
    </row>
    <row r="4850" spans="1:6" x14ac:dyDescent="0.25">
      <c r="C4850" s="19"/>
      <c r="D4850" s="19" t="s">
        <v>1102</v>
      </c>
      <c r="E4850" s="19" t="s">
        <v>1103</v>
      </c>
      <c r="F4850">
        <v>0</v>
      </c>
    </row>
    <row r="4851" spans="1:6" x14ac:dyDescent="0.25">
      <c r="C4851" s="19"/>
      <c r="D4851" s="19" t="s">
        <v>1104</v>
      </c>
      <c r="E4851" s="19" t="s">
        <v>1105</v>
      </c>
      <c r="F4851">
        <v>0</v>
      </c>
    </row>
    <row r="4852" spans="1:6" x14ac:dyDescent="0.25">
      <c r="C4852" s="19"/>
      <c r="D4852" s="19" t="s">
        <v>1106</v>
      </c>
      <c r="E4852" s="19" t="s">
        <v>349</v>
      </c>
      <c r="F4852">
        <v>0</v>
      </c>
    </row>
    <row r="4853" spans="1:6" x14ac:dyDescent="0.25">
      <c r="C4853" s="19"/>
      <c r="D4853" s="19" t="s">
        <v>1107</v>
      </c>
      <c r="E4853" s="19" t="s">
        <v>1108</v>
      </c>
      <c r="F4853">
        <v>1</v>
      </c>
    </row>
    <row r="4854" spans="1:6" x14ac:dyDescent="0.25">
      <c r="C4854" s="19"/>
      <c r="D4854" s="19" t="s">
        <v>1109</v>
      </c>
      <c r="E4854" s="19" t="s">
        <v>1110</v>
      </c>
      <c r="F4854">
        <v>1</v>
      </c>
    </row>
    <row r="4855" spans="1:6" x14ac:dyDescent="0.25">
      <c r="C4855" s="19"/>
      <c r="D4855" s="19" t="s">
        <v>1111</v>
      </c>
      <c r="E4855" s="19" t="s">
        <v>1112</v>
      </c>
      <c r="F4855">
        <v>1</v>
      </c>
    </row>
    <row r="4856" spans="1:6" x14ac:dyDescent="0.25">
      <c r="C4856" s="19"/>
      <c r="D4856" s="19" t="s">
        <v>1113</v>
      </c>
      <c r="E4856" s="19" t="s">
        <v>1114</v>
      </c>
      <c r="F4856">
        <v>0</v>
      </c>
    </row>
    <row r="4857" spans="1:6" x14ac:dyDescent="0.25">
      <c r="C4857" s="19"/>
      <c r="D4857" s="19" t="s">
        <v>1115</v>
      </c>
      <c r="E4857" s="19" t="s">
        <v>1116</v>
      </c>
      <c r="F4857">
        <v>0</v>
      </c>
    </row>
    <row r="4858" spans="1:6" x14ac:dyDescent="0.25">
      <c r="C4858" s="19"/>
      <c r="D4858" s="19" t="s">
        <v>1117</v>
      </c>
      <c r="E4858" s="19" t="s">
        <v>1118</v>
      </c>
      <c r="F4858">
        <v>1</v>
      </c>
    </row>
    <row r="4859" spans="1:6" x14ac:dyDescent="0.25">
      <c r="C4859" s="19"/>
      <c r="D4859" s="19" t="s">
        <v>1119</v>
      </c>
      <c r="E4859" s="19" t="s">
        <v>1120</v>
      </c>
      <c r="F4859">
        <v>1</v>
      </c>
    </row>
    <row r="4860" spans="1:6" x14ac:dyDescent="0.25">
      <c r="C4860" s="19"/>
      <c r="D4860" s="19" t="s">
        <v>1121</v>
      </c>
      <c r="E4860" s="19" t="s">
        <v>1122</v>
      </c>
      <c r="F4860">
        <v>1</v>
      </c>
    </row>
    <row r="4861" spans="1:6" x14ac:dyDescent="0.25">
      <c r="C4861" s="19"/>
      <c r="D4861" s="19" t="s">
        <v>1123</v>
      </c>
      <c r="E4861" s="19" t="s">
        <v>1124</v>
      </c>
      <c r="F4861">
        <v>0</v>
      </c>
    </row>
    <row r="4862" spans="1:6" x14ac:dyDescent="0.25">
      <c r="A4862" s="3">
        <v>750</v>
      </c>
      <c r="B4862" s="15" t="s">
        <v>219</v>
      </c>
      <c r="C4862" s="19" t="s">
        <v>1790</v>
      </c>
      <c r="D4862" s="19" t="s">
        <v>1791</v>
      </c>
      <c r="E4862" s="19" t="s">
        <v>273</v>
      </c>
      <c r="F4862">
        <v>0</v>
      </c>
    </row>
    <row r="4863" spans="1:6" x14ac:dyDescent="0.25">
      <c r="C4863" s="19"/>
      <c r="D4863" s="19" t="s">
        <v>1792</v>
      </c>
      <c r="E4863" s="19" t="s">
        <v>312</v>
      </c>
      <c r="F4863">
        <v>0</v>
      </c>
    </row>
    <row r="4864" spans="1:6" x14ac:dyDescent="0.25">
      <c r="C4864" s="19"/>
      <c r="D4864" s="19" t="s">
        <v>1793</v>
      </c>
      <c r="E4864" s="19" t="s">
        <v>801</v>
      </c>
      <c r="F4864">
        <v>0</v>
      </c>
    </row>
    <row r="4865" spans="3:6" x14ac:dyDescent="0.25">
      <c r="C4865" s="19"/>
      <c r="D4865" s="19" t="s">
        <v>1794</v>
      </c>
      <c r="E4865" s="19" t="s">
        <v>786</v>
      </c>
      <c r="F4865">
        <v>0</v>
      </c>
    </row>
    <row r="4866" spans="3:6" x14ac:dyDescent="0.25">
      <c r="C4866" s="19"/>
      <c r="D4866" s="19" t="s">
        <v>1795</v>
      </c>
      <c r="E4866" s="19" t="s">
        <v>784</v>
      </c>
      <c r="F4866">
        <v>0</v>
      </c>
    </row>
    <row r="4867" spans="3:6" x14ac:dyDescent="0.25">
      <c r="C4867" s="19"/>
      <c r="D4867" s="19" t="s">
        <v>1796</v>
      </c>
      <c r="E4867" s="19" t="s">
        <v>1205</v>
      </c>
      <c r="F4867">
        <v>1</v>
      </c>
    </row>
    <row r="4868" spans="3:6" x14ac:dyDescent="0.25">
      <c r="C4868" s="19"/>
      <c r="D4868" s="19" t="s">
        <v>1797</v>
      </c>
      <c r="E4868" s="19" t="s">
        <v>1207</v>
      </c>
      <c r="F4868">
        <v>0</v>
      </c>
    </row>
    <row r="4869" spans="3:6" x14ac:dyDescent="0.25">
      <c r="C4869" s="19"/>
      <c r="D4869" s="19" t="s">
        <v>1798</v>
      </c>
      <c r="E4869" s="19" t="s">
        <v>1209</v>
      </c>
      <c r="F4869">
        <v>0</v>
      </c>
    </row>
    <row r="4870" spans="3:6" x14ac:dyDescent="0.25">
      <c r="C4870" s="19"/>
      <c r="D4870" s="19" t="s">
        <v>1799</v>
      </c>
      <c r="E4870" s="19" t="s">
        <v>789</v>
      </c>
      <c r="F4870">
        <v>1</v>
      </c>
    </row>
    <row r="4871" spans="3:6" x14ac:dyDescent="0.25">
      <c r="C4871" s="19"/>
      <c r="D4871" s="19" t="s">
        <v>1800</v>
      </c>
      <c r="E4871" s="19" t="s">
        <v>1214</v>
      </c>
      <c r="F4871">
        <v>1</v>
      </c>
    </row>
    <row r="4872" spans="3:6" x14ac:dyDescent="0.25">
      <c r="C4872" s="19"/>
      <c r="D4872" s="19" t="s">
        <v>1801</v>
      </c>
      <c r="E4872" s="19" t="s">
        <v>1784</v>
      </c>
      <c r="F4872">
        <v>0</v>
      </c>
    </row>
    <row r="4873" spans="3:6" x14ac:dyDescent="0.25">
      <c r="C4873" s="19"/>
      <c r="D4873" s="19" t="s">
        <v>1802</v>
      </c>
      <c r="E4873" s="19" t="s">
        <v>791</v>
      </c>
      <c r="F4873">
        <v>0</v>
      </c>
    </row>
    <row r="4874" spans="3:6" x14ac:dyDescent="0.25">
      <c r="C4874" s="19"/>
      <c r="D4874" s="19" t="s">
        <v>1803</v>
      </c>
      <c r="E4874" s="19" t="s">
        <v>795</v>
      </c>
      <c r="F4874">
        <v>0</v>
      </c>
    </row>
    <row r="4875" spans="3:6" x14ac:dyDescent="0.25">
      <c r="C4875" s="19"/>
      <c r="D4875" s="19" t="s">
        <v>1804</v>
      </c>
      <c r="E4875" s="19" t="s">
        <v>372</v>
      </c>
      <c r="F4875">
        <v>0</v>
      </c>
    </row>
    <row r="4876" spans="3:6" x14ac:dyDescent="0.25">
      <c r="C4876" s="19"/>
      <c r="D4876" s="19" t="s">
        <v>1805</v>
      </c>
      <c r="E4876" s="19" t="s">
        <v>1806</v>
      </c>
      <c r="F4876">
        <v>1</v>
      </c>
    </row>
    <row r="4877" spans="3:6" x14ac:dyDescent="0.25">
      <c r="C4877" s="19"/>
      <c r="D4877" s="19" t="s">
        <v>1807</v>
      </c>
      <c r="E4877" s="19" t="s">
        <v>1808</v>
      </c>
      <c r="F4877">
        <v>1</v>
      </c>
    </row>
    <row r="4878" spans="3:6" x14ac:dyDescent="0.25">
      <c r="C4878" s="19" t="s">
        <v>1030</v>
      </c>
      <c r="D4878" s="19" t="s">
        <v>1031</v>
      </c>
      <c r="E4878" s="19" t="s">
        <v>273</v>
      </c>
      <c r="F4878">
        <v>0</v>
      </c>
    </row>
    <row r="4879" spans="3:6" x14ac:dyDescent="0.25">
      <c r="C4879" s="19"/>
      <c r="D4879" s="19" t="s">
        <v>1032</v>
      </c>
      <c r="E4879" s="19" t="s">
        <v>1033</v>
      </c>
      <c r="F4879">
        <v>0</v>
      </c>
    </row>
    <row r="4880" spans="3:6" x14ac:dyDescent="0.25">
      <c r="C4880" s="19"/>
      <c r="D4880" s="19" t="s">
        <v>1034</v>
      </c>
      <c r="E4880" s="19" t="s">
        <v>1035</v>
      </c>
      <c r="F4880">
        <v>0</v>
      </c>
    </row>
    <row r="4881" spans="3:6" x14ac:dyDescent="0.25">
      <c r="C4881" s="19"/>
      <c r="D4881" s="19" t="s">
        <v>1036</v>
      </c>
      <c r="E4881" s="19" t="s">
        <v>1037</v>
      </c>
      <c r="F4881">
        <v>0</v>
      </c>
    </row>
    <row r="4882" spans="3:6" x14ac:dyDescent="0.25">
      <c r="C4882" s="19"/>
      <c r="D4882" s="19" t="s">
        <v>1038</v>
      </c>
      <c r="E4882" s="19" t="s">
        <v>763</v>
      </c>
      <c r="F4882">
        <v>0</v>
      </c>
    </row>
    <row r="4883" spans="3:6" x14ac:dyDescent="0.25">
      <c r="C4883" s="19"/>
      <c r="D4883" s="19" t="s">
        <v>1039</v>
      </c>
      <c r="E4883" s="19" t="s">
        <v>765</v>
      </c>
      <c r="F4883">
        <v>1</v>
      </c>
    </row>
    <row r="4884" spans="3:6" x14ac:dyDescent="0.25">
      <c r="C4884" s="19"/>
      <c r="D4884" s="19" t="s">
        <v>1040</v>
      </c>
      <c r="E4884" s="19" t="s">
        <v>767</v>
      </c>
      <c r="F4884">
        <v>1</v>
      </c>
    </row>
    <row r="4885" spans="3:6" x14ac:dyDescent="0.25">
      <c r="C4885" s="19"/>
      <c r="D4885" s="19" t="s">
        <v>1041</v>
      </c>
      <c r="E4885" s="19" t="s">
        <v>1042</v>
      </c>
      <c r="F4885">
        <v>0</v>
      </c>
    </row>
    <row r="4886" spans="3:6" x14ac:dyDescent="0.25">
      <c r="C4886" s="19"/>
      <c r="D4886" s="19" t="s">
        <v>1043</v>
      </c>
      <c r="E4886" s="19" t="s">
        <v>1044</v>
      </c>
      <c r="F4886">
        <v>0</v>
      </c>
    </row>
    <row r="4887" spans="3:6" x14ac:dyDescent="0.25">
      <c r="C4887" s="19"/>
      <c r="D4887" s="19" t="s">
        <v>1045</v>
      </c>
      <c r="E4887" s="19" t="s">
        <v>1046</v>
      </c>
      <c r="F4887">
        <v>0</v>
      </c>
    </row>
    <row r="4888" spans="3:6" x14ac:dyDescent="0.25">
      <c r="C4888" s="19"/>
      <c r="D4888" s="19" t="s">
        <v>1047</v>
      </c>
      <c r="E4888" s="19" t="s">
        <v>1048</v>
      </c>
      <c r="F4888">
        <v>0</v>
      </c>
    </row>
    <row r="4889" spans="3:6" x14ac:dyDescent="0.25">
      <c r="C4889" s="19"/>
      <c r="D4889" s="19" t="s">
        <v>1049</v>
      </c>
      <c r="E4889" s="19" t="s">
        <v>1050</v>
      </c>
      <c r="F4889">
        <v>0</v>
      </c>
    </row>
    <row r="4890" spans="3:6" x14ac:dyDescent="0.25">
      <c r="C4890" s="19"/>
      <c r="D4890" s="19" t="s">
        <v>1051</v>
      </c>
      <c r="E4890" s="19" t="s">
        <v>1052</v>
      </c>
      <c r="F4890">
        <v>0</v>
      </c>
    </row>
    <row r="4891" spans="3:6" x14ac:dyDescent="0.25">
      <c r="C4891" s="19"/>
      <c r="D4891" s="19" t="s">
        <v>1053</v>
      </c>
      <c r="E4891" s="19" t="s">
        <v>1054</v>
      </c>
      <c r="F4891">
        <v>0</v>
      </c>
    </row>
    <row r="4892" spans="3:6" x14ac:dyDescent="0.25">
      <c r="C4892" s="19"/>
      <c r="D4892" s="19" t="s">
        <v>1055</v>
      </c>
      <c r="E4892" s="19" t="s">
        <v>1056</v>
      </c>
      <c r="F4892">
        <v>0</v>
      </c>
    </row>
    <row r="4893" spans="3:6" x14ac:dyDescent="0.25">
      <c r="C4893" s="19"/>
      <c r="D4893" s="19" t="s">
        <v>1057</v>
      </c>
      <c r="E4893" s="19" t="s">
        <v>1058</v>
      </c>
      <c r="F4893">
        <v>0</v>
      </c>
    </row>
    <row r="4894" spans="3:6" x14ac:dyDescent="0.25">
      <c r="C4894" s="19"/>
      <c r="D4894" s="19" t="s">
        <v>1059</v>
      </c>
      <c r="E4894" s="19" t="s">
        <v>1060</v>
      </c>
      <c r="F4894">
        <v>0</v>
      </c>
    </row>
    <row r="4895" spans="3:6" x14ac:dyDescent="0.25">
      <c r="C4895" s="19"/>
      <c r="D4895" s="19" t="s">
        <v>1061</v>
      </c>
      <c r="E4895" s="19" t="s">
        <v>1062</v>
      </c>
      <c r="F4895">
        <v>0</v>
      </c>
    </row>
    <row r="4896" spans="3:6" x14ac:dyDescent="0.25">
      <c r="C4896" s="19"/>
      <c r="D4896" s="19" t="s">
        <v>1063</v>
      </c>
      <c r="E4896" s="19" t="s">
        <v>1064</v>
      </c>
      <c r="F4896">
        <v>0</v>
      </c>
    </row>
    <row r="4897" spans="1:6" x14ac:dyDescent="0.25">
      <c r="C4897" s="19"/>
      <c r="D4897" s="19" t="s">
        <v>1065</v>
      </c>
      <c r="E4897" s="19" t="s">
        <v>1066</v>
      </c>
      <c r="F4897">
        <v>0</v>
      </c>
    </row>
    <row r="4898" spans="1:6" x14ac:dyDescent="0.25">
      <c r="C4898" s="19"/>
      <c r="D4898" s="19" t="s">
        <v>1067</v>
      </c>
      <c r="E4898" s="19" t="s">
        <v>1068</v>
      </c>
      <c r="F4898">
        <v>0</v>
      </c>
    </row>
    <row r="4899" spans="1:6" x14ac:dyDescent="0.25">
      <c r="C4899" s="19"/>
      <c r="D4899" s="19" t="s">
        <v>1069</v>
      </c>
      <c r="E4899" s="19" t="s">
        <v>1070</v>
      </c>
      <c r="F4899">
        <v>0</v>
      </c>
    </row>
    <row r="4900" spans="1:6" x14ac:dyDescent="0.25">
      <c r="C4900" s="19"/>
      <c r="D4900" s="19" t="s">
        <v>1071</v>
      </c>
      <c r="E4900" s="19" t="s">
        <v>1072</v>
      </c>
      <c r="F4900">
        <v>0</v>
      </c>
    </row>
    <row r="4901" spans="1:6" x14ac:dyDescent="0.25">
      <c r="C4901" s="19"/>
      <c r="D4901" s="19" t="s">
        <v>1073</v>
      </c>
      <c r="E4901" s="19" t="s">
        <v>1074</v>
      </c>
      <c r="F4901">
        <v>0</v>
      </c>
    </row>
    <row r="4902" spans="1:6" x14ac:dyDescent="0.25">
      <c r="C4902" s="19"/>
      <c r="D4902" s="19" t="s">
        <v>1075</v>
      </c>
      <c r="E4902" s="19" t="s">
        <v>1076</v>
      </c>
      <c r="F4902">
        <v>0</v>
      </c>
    </row>
    <row r="4903" spans="1:6" x14ac:dyDescent="0.25">
      <c r="A4903" s="3">
        <v>752</v>
      </c>
      <c r="B4903" s="15" t="s">
        <v>220</v>
      </c>
      <c r="C4903" s="19" t="s">
        <v>1292</v>
      </c>
      <c r="D4903" s="19" t="s">
        <v>1293</v>
      </c>
      <c r="E4903" s="19" t="s">
        <v>304</v>
      </c>
      <c r="F4903">
        <v>1</v>
      </c>
    </row>
    <row r="4904" spans="1:6" x14ac:dyDescent="0.25">
      <c r="C4904" s="19"/>
      <c r="D4904" s="19" t="s">
        <v>1294</v>
      </c>
      <c r="E4904" s="19" t="s">
        <v>306</v>
      </c>
      <c r="F4904">
        <v>1</v>
      </c>
    </row>
    <row r="4905" spans="1:6" x14ac:dyDescent="0.25">
      <c r="C4905" s="19"/>
      <c r="D4905" s="19" t="s">
        <v>1295</v>
      </c>
      <c r="E4905" s="19" t="s">
        <v>1296</v>
      </c>
      <c r="F4905">
        <v>1</v>
      </c>
    </row>
    <row r="4906" spans="1:6" x14ac:dyDescent="0.25">
      <c r="C4906" s="19"/>
      <c r="D4906" s="19" t="s">
        <v>1297</v>
      </c>
      <c r="E4906" s="19" t="s">
        <v>729</v>
      </c>
      <c r="F4906">
        <v>2</v>
      </c>
    </row>
    <row r="4907" spans="1:6" x14ac:dyDescent="0.25">
      <c r="C4907" s="19"/>
      <c r="D4907" s="19" t="s">
        <v>1298</v>
      </c>
      <c r="E4907" s="19" t="s">
        <v>343</v>
      </c>
      <c r="F4907">
        <v>1</v>
      </c>
    </row>
    <row r="4908" spans="1:6" x14ac:dyDescent="0.25">
      <c r="C4908" s="19"/>
      <c r="D4908" s="19" t="s">
        <v>1299</v>
      </c>
      <c r="E4908" s="19" t="s">
        <v>1300</v>
      </c>
      <c r="F4908">
        <v>1</v>
      </c>
    </row>
    <row r="4909" spans="1:6" x14ac:dyDescent="0.25">
      <c r="C4909" s="19"/>
      <c r="D4909" s="19" t="s">
        <v>1301</v>
      </c>
      <c r="E4909" s="19" t="s">
        <v>734</v>
      </c>
      <c r="F4909">
        <v>1</v>
      </c>
    </row>
    <row r="4910" spans="1:6" x14ac:dyDescent="0.25">
      <c r="C4910" s="19"/>
      <c r="D4910" s="19" t="s">
        <v>1302</v>
      </c>
      <c r="E4910" s="19" t="s">
        <v>1303</v>
      </c>
      <c r="F4910">
        <v>1</v>
      </c>
    </row>
    <row r="4911" spans="1:6" x14ac:dyDescent="0.25">
      <c r="C4911" s="19"/>
      <c r="D4911" s="19" t="s">
        <v>1304</v>
      </c>
      <c r="E4911" s="19" t="s">
        <v>1305</v>
      </c>
      <c r="F4911">
        <v>1</v>
      </c>
    </row>
    <row r="4912" spans="1:6" x14ac:dyDescent="0.25">
      <c r="C4912" s="19"/>
      <c r="D4912" s="19" t="s">
        <v>1306</v>
      </c>
      <c r="E4912" s="19" t="s">
        <v>1307</v>
      </c>
      <c r="F4912">
        <v>1</v>
      </c>
    </row>
    <row r="4913" spans="1:6" x14ac:dyDescent="0.25">
      <c r="C4913" s="19"/>
      <c r="D4913" s="19" t="s">
        <v>1308</v>
      </c>
      <c r="E4913" s="19" t="s">
        <v>875</v>
      </c>
      <c r="F4913">
        <v>1</v>
      </c>
    </row>
    <row r="4914" spans="1:6" x14ac:dyDescent="0.25">
      <c r="C4914" s="19"/>
      <c r="D4914" s="19" t="s">
        <v>1309</v>
      </c>
      <c r="E4914" s="19" t="s">
        <v>759</v>
      </c>
      <c r="F4914">
        <v>1</v>
      </c>
    </row>
    <row r="4915" spans="1:6" x14ac:dyDescent="0.25">
      <c r="C4915" s="19"/>
      <c r="D4915" s="19" t="s">
        <v>1310</v>
      </c>
      <c r="E4915" s="19" t="s">
        <v>755</v>
      </c>
      <c r="F4915">
        <v>1</v>
      </c>
    </row>
    <row r="4916" spans="1:6" x14ac:dyDescent="0.25">
      <c r="C4916" s="19"/>
      <c r="D4916" s="19" t="s">
        <v>1311</v>
      </c>
      <c r="E4916" s="19" t="s">
        <v>757</v>
      </c>
      <c r="F4916">
        <v>1</v>
      </c>
    </row>
    <row r="4917" spans="1:6" x14ac:dyDescent="0.25">
      <c r="A4917" s="3">
        <v>753</v>
      </c>
      <c r="B4917" s="15" t="s">
        <v>221</v>
      </c>
      <c r="C4917" s="19" t="s">
        <v>1097</v>
      </c>
      <c r="D4917" s="19" t="s">
        <v>1098</v>
      </c>
      <c r="E4917" s="19" t="s">
        <v>1099</v>
      </c>
      <c r="F4917">
        <v>1</v>
      </c>
    </row>
    <row r="4918" spans="1:6" x14ac:dyDescent="0.25">
      <c r="C4918" s="19"/>
      <c r="D4918" s="19" t="s">
        <v>1100</v>
      </c>
      <c r="E4918" s="19" t="s">
        <v>1101</v>
      </c>
      <c r="F4918">
        <v>1</v>
      </c>
    </row>
    <row r="4919" spans="1:6" x14ac:dyDescent="0.25">
      <c r="C4919" s="19"/>
      <c r="D4919" s="19" t="s">
        <v>1102</v>
      </c>
      <c r="E4919" s="19" t="s">
        <v>1103</v>
      </c>
      <c r="F4919">
        <v>1</v>
      </c>
    </row>
    <row r="4920" spans="1:6" x14ac:dyDescent="0.25">
      <c r="C4920" s="19"/>
      <c r="D4920" s="19" t="s">
        <v>1104</v>
      </c>
      <c r="E4920" s="19" t="s">
        <v>1105</v>
      </c>
      <c r="F4920">
        <v>1</v>
      </c>
    </row>
    <row r="4921" spans="1:6" x14ac:dyDescent="0.25">
      <c r="C4921" s="19"/>
      <c r="D4921" s="19" t="s">
        <v>1106</v>
      </c>
      <c r="E4921" s="19" t="s">
        <v>349</v>
      </c>
      <c r="F4921">
        <v>0</v>
      </c>
    </row>
    <row r="4922" spans="1:6" x14ac:dyDescent="0.25">
      <c r="C4922" s="19"/>
      <c r="D4922" s="19" t="s">
        <v>1107</v>
      </c>
      <c r="E4922" s="19" t="s">
        <v>1108</v>
      </c>
      <c r="F4922">
        <v>0</v>
      </c>
    </row>
    <row r="4923" spans="1:6" x14ac:dyDescent="0.25">
      <c r="C4923" s="19"/>
      <c r="D4923" s="19" t="s">
        <v>1109</v>
      </c>
      <c r="E4923" s="19" t="s">
        <v>1110</v>
      </c>
      <c r="F4923">
        <v>0</v>
      </c>
    </row>
    <row r="4924" spans="1:6" x14ac:dyDescent="0.25">
      <c r="C4924" s="19"/>
      <c r="D4924" s="19" t="s">
        <v>1111</v>
      </c>
      <c r="E4924" s="19" t="s">
        <v>1112</v>
      </c>
      <c r="F4924">
        <v>1</v>
      </c>
    </row>
    <row r="4925" spans="1:6" x14ac:dyDescent="0.25">
      <c r="C4925" s="19"/>
      <c r="D4925" s="19" t="s">
        <v>1113</v>
      </c>
      <c r="E4925" s="19" t="s">
        <v>1114</v>
      </c>
      <c r="F4925">
        <v>1</v>
      </c>
    </row>
    <row r="4926" spans="1:6" x14ac:dyDescent="0.25">
      <c r="C4926" s="19"/>
      <c r="D4926" s="19" t="s">
        <v>1115</v>
      </c>
      <c r="E4926" s="19" t="s">
        <v>1116</v>
      </c>
      <c r="F4926">
        <v>1</v>
      </c>
    </row>
    <row r="4927" spans="1:6" x14ac:dyDescent="0.25">
      <c r="C4927" s="19"/>
      <c r="D4927" s="19" t="s">
        <v>1117</v>
      </c>
      <c r="E4927" s="19" t="s">
        <v>1118</v>
      </c>
      <c r="F4927">
        <v>1</v>
      </c>
    </row>
    <row r="4928" spans="1:6" x14ac:dyDescent="0.25">
      <c r="C4928" s="19"/>
      <c r="D4928" s="19" t="s">
        <v>1119</v>
      </c>
      <c r="E4928" s="19" t="s">
        <v>1120</v>
      </c>
      <c r="F4928">
        <v>1</v>
      </c>
    </row>
    <row r="4929" spans="1:6" x14ac:dyDescent="0.25">
      <c r="C4929" s="19"/>
      <c r="D4929" s="19" t="s">
        <v>1121</v>
      </c>
      <c r="E4929" s="19" t="s">
        <v>1122</v>
      </c>
      <c r="F4929">
        <v>1</v>
      </c>
    </row>
    <row r="4930" spans="1:6" x14ac:dyDescent="0.25">
      <c r="C4930" s="19"/>
      <c r="D4930" s="19" t="s">
        <v>1123</v>
      </c>
      <c r="E4930" s="19" t="s">
        <v>1124</v>
      </c>
      <c r="F4930">
        <v>1</v>
      </c>
    </row>
    <row r="4931" spans="1:6" x14ac:dyDescent="0.25">
      <c r="A4931" s="3">
        <v>754</v>
      </c>
      <c r="B4931" s="15" t="s">
        <v>222</v>
      </c>
      <c r="C4931" s="19" t="s">
        <v>1949</v>
      </c>
      <c r="D4931" s="19" t="s">
        <v>1950</v>
      </c>
      <c r="E4931" s="19" t="s">
        <v>349</v>
      </c>
      <c r="F4931">
        <v>1</v>
      </c>
    </row>
    <row r="4932" spans="1:6" x14ac:dyDescent="0.25">
      <c r="C4932" s="19"/>
      <c r="D4932" s="19" t="s">
        <v>1951</v>
      </c>
      <c r="E4932" s="19" t="s">
        <v>1952</v>
      </c>
      <c r="F4932">
        <v>0</v>
      </c>
    </row>
    <row r="4933" spans="1:6" x14ac:dyDescent="0.25">
      <c r="C4933" s="19"/>
      <c r="D4933" s="19" t="s">
        <v>1953</v>
      </c>
      <c r="E4933" s="19" t="s">
        <v>1954</v>
      </c>
      <c r="F4933">
        <v>0</v>
      </c>
    </row>
    <row r="4934" spans="1:6" x14ac:dyDescent="0.25">
      <c r="C4934" s="19"/>
      <c r="D4934" s="19" t="s">
        <v>1955</v>
      </c>
      <c r="E4934" s="19" t="s">
        <v>1956</v>
      </c>
      <c r="F4934">
        <v>1</v>
      </c>
    </row>
    <row r="4935" spans="1:6" x14ac:dyDescent="0.25">
      <c r="C4935" s="19"/>
      <c r="D4935" s="19" t="s">
        <v>1957</v>
      </c>
      <c r="E4935" s="19" t="s">
        <v>295</v>
      </c>
      <c r="F4935">
        <v>1</v>
      </c>
    </row>
    <row r="4936" spans="1:6" x14ac:dyDescent="0.25">
      <c r="C4936" s="19"/>
      <c r="D4936" s="19" t="s">
        <v>1958</v>
      </c>
      <c r="E4936" s="19" t="s">
        <v>1959</v>
      </c>
      <c r="F4936">
        <v>1</v>
      </c>
    </row>
    <row r="4937" spans="1:6" x14ac:dyDescent="0.25">
      <c r="C4937" s="19"/>
      <c r="D4937" s="19" t="s">
        <v>1960</v>
      </c>
      <c r="E4937" s="19" t="s">
        <v>1961</v>
      </c>
      <c r="F4937">
        <v>0</v>
      </c>
    </row>
    <row r="4938" spans="1:6" x14ac:dyDescent="0.25">
      <c r="C4938" s="19"/>
      <c r="D4938" s="19" t="s">
        <v>1962</v>
      </c>
      <c r="E4938" s="19" t="s">
        <v>1963</v>
      </c>
      <c r="F4938">
        <v>1</v>
      </c>
    </row>
    <row r="4939" spans="1:6" x14ac:dyDescent="0.25">
      <c r="A4939" s="3">
        <v>756</v>
      </c>
      <c r="B4939" s="15" t="s">
        <v>223</v>
      </c>
      <c r="C4939" s="19" t="s">
        <v>1457</v>
      </c>
      <c r="D4939" s="19" t="s">
        <v>1458</v>
      </c>
      <c r="E4939" s="19" t="s">
        <v>273</v>
      </c>
      <c r="F4939">
        <v>1</v>
      </c>
    </row>
    <row r="4940" spans="1:6" x14ac:dyDescent="0.25">
      <c r="C4940" s="19"/>
      <c r="D4940" s="19" t="s">
        <v>1459</v>
      </c>
      <c r="E4940" s="19" t="s">
        <v>640</v>
      </c>
      <c r="F4940">
        <v>1</v>
      </c>
    </row>
    <row r="4941" spans="1:6" x14ac:dyDescent="0.25">
      <c r="C4941" s="19"/>
      <c r="D4941" s="19" t="s">
        <v>1460</v>
      </c>
      <c r="E4941" s="19" t="s">
        <v>929</v>
      </c>
      <c r="F4941">
        <v>1</v>
      </c>
    </row>
    <row r="4942" spans="1:6" x14ac:dyDescent="0.25">
      <c r="C4942" s="19"/>
      <c r="D4942" s="19" t="s">
        <v>1461</v>
      </c>
      <c r="E4942" s="19" t="s">
        <v>1462</v>
      </c>
      <c r="F4942">
        <v>1</v>
      </c>
    </row>
    <row r="4943" spans="1:6" x14ac:dyDescent="0.25">
      <c r="C4943" s="19"/>
      <c r="D4943" s="19" t="s">
        <v>1463</v>
      </c>
      <c r="E4943" s="19" t="s">
        <v>1464</v>
      </c>
      <c r="F4943">
        <v>1</v>
      </c>
    </row>
    <row r="4944" spans="1:6" x14ac:dyDescent="0.25">
      <c r="C4944" s="19"/>
      <c r="D4944" s="19" t="s">
        <v>1465</v>
      </c>
      <c r="E4944" s="19" t="s">
        <v>347</v>
      </c>
      <c r="F4944">
        <v>0</v>
      </c>
    </row>
    <row r="4945" spans="3:6" x14ac:dyDescent="0.25">
      <c r="C4945" s="19"/>
      <c r="D4945" s="19" t="s">
        <v>1466</v>
      </c>
      <c r="E4945" s="19" t="s">
        <v>1467</v>
      </c>
      <c r="F4945">
        <v>1</v>
      </c>
    </row>
    <row r="4946" spans="3:6" x14ac:dyDescent="0.25">
      <c r="C4946" s="19"/>
      <c r="D4946" s="19" t="s">
        <v>1468</v>
      </c>
      <c r="E4946" s="19" t="s">
        <v>1469</v>
      </c>
      <c r="F4946">
        <v>1</v>
      </c>
    </row>
    <row r="4947" spans="3:6" x14ac:dyDescent="0.25">
      <c r="C4947" s="19"/>
      <c r="D4947" s="19" t="s">
        <v>1470</v>
      </c>
      <c r="E4947" s="19" t="s">
        <v>1471</v>
      </c>
      <c r="F4947">
        <v>0</v>
      </c>
    </row>
    <row r="4948" spans="3:6" x14ac:dyDescent="0.25">
      <c r="C4948" s="19"/>
      <c r="D4948" s="19" t="s">
        <v>1472</v>
      </c>
      <c r="E4948" s="19" t="s">
        <v>391</v>
      </c>
      <c r="F4948">
        <v>1</v>
      </c>
    </row>
    <row r="4949" spans="3:6" x14ac:dyDescent="0.25">
      <c r="C4949" s="19"/>
      <c r="D4949" s="19" t="s">
        <v>1473</v>
      </c>
      <c r="E4949" s="19" t="s">
        <v>956</v>
      </c>
      <c r="F4949">
        <v>1</v>
      </c>
    </row>
    <row r="4950" spans="3:6" x14ac:dyDescent="0.25">
      <c r="C4950" s="21" t="s">
        <v>386</v>
      </c>
      <c r="D4950" s="19" t="s">
        <v>387</v>
      </c>
      <c r="E4950" s="19" t="s">
        <v>388</v>
      </c>
      <c r="F4950">
        <v>0</v>
      </c>
    </row>
    <row r="4951" spans="3:6" x14ac:dyDescent="0.25">
      <c r="C4951" s="22"/>
      <c r="D4951" s="19" t="s">
        <v>390</v>
      </c>
      <c r="E4951" s="19" t="s">
        <v>391</v>
      </c>
      <c r="F4951">
        <v>1</v>
      </c>
    </row>
    <row r="4952" spans="3:6" x14ac:dyDescent="0.25">
      <c r="C4952" s="19"/>
      <c r="D4952" s="21" t="s">
        <v>392</v>
      </c>
      <c r="E4952" s="19" t="s">
        <v>393</v>
      </c>
      <c r="F4952">
        <v>0</v>
      </c>
    </row>
    <row r="4953" spans="3:6" x14ac:dyDescent="0.25">
      <c r="C4953" s="19"/>
      <c r="D4953" s="19" t="s">
        <v>394</v>
      </c>
      <c r="E4953" s="19" t="s">
        <v>395</v>
      </c>
      <c r="F4953">
        <v>0</v>
      </c>
    </row>
    <row r="4954" spans="3:6" x14ac:dyDescent="0.25">
      <c r="C4954" s="19"/>
      <c r="D4954" s="19" t="s">
        <v>396</v>
      </c>
      <c r="E4954" s="19" t="s">
        <v>397</v>
      </c>
      <c r="F4954">
        <v>1</v>
      </c>
    </row>
    <row r="4955" spans="3:6" x14ac:dyDescent="0.25">
      <c r="C4955" s="19"/>
      <c r="D4955" s="19" t="s">
        <v>398</v>
      </c>
      <c r="E4955" s="19" t="s">
        <v>399</v>
      </c>
      <c r="F4955">
        <v>0</v>
      </c>
    </row>
    <row r="4956" spans="3:6" x14ac:dyDescent="0.25">
      <c r="C4956" s="19"/>
      <c r="D4956" s="19" t="s">
        <v>400</v>
      </c>
      <c r="E4956" s="19" t="s">
        <v>401</v>
      </c>
      <c r="F4956">
        <v>1</v>
      </c>
    </row>
    <row r="4957" spans="3:6" x14ac:dyDescent="0.25">
      <c r="C4957" s="19"/>
      <c r="D4957" s="19" t="s">
        <v>402</v>
      </c>
      <c r="E4957" s="19" t="s">
        <v>403</v>
      </c>
      <c r="F4957">
        <v>0</v>
      </c>
    </row>
    <row r="4958" spans="3:6" x14ac:dyDescent="0.25">
      <c r="C4958" s="19"/>
      <c r="D4958" s="19" t="s">
        <v>404</v>
      </c>
      <c r="E4958" s="19" t="s">
        <v>405</v>
      </c>
      <c r="F4958">
        <v>0</v>
      </c>
    </row>
    <row r="4959" spans="3:6" x14ac:dyDescent="0.25">
      <c r="C4959" s="19"/>
      <c r="D4959" s="19" t="s">
        <v>406</v>
      </c>
      <c r="E4959" s="19" t="s">
        <v>407</v>
      </c>
      <c r="F4959">
        <v>0</v>
      </c>
    </row>
    <row r="4960" spans="3:6" x14ac:dyDescent="0.25">
      <c r="C4960" s="19"/>
      <c r="D4960" s="19" t="s">
        <v>408</v>
      </c>
      <c r="E4960" s="19" t="s">
        <v>409</v>
      </c>
      <c r="F4960">
        <v>0</v>
      </c>
    </row>
    <row r="4961" spans="1:6" x14ac:dyDescent="0.25">
      <c r="A4961" s="3">
        <v>760</v>
      </c>
      <c r="B4961" s="15" t="s">
        <v>224</v>
      </c>
      <c r="C4961" s="19" t="s">
        <v>1169</v>
      </c>
      <c r="D4961" s="19" t="s">
        <v>1170</v>
      </c>
      <c r="E4961" s="19" t="s">
        <v>1171</v>
      </c>
      <c r="F4961">
        <v>1</v>
      </c>
    </row>
    <row r="4962" spans="1:6" x14ac:dyDescent="0.25">
      <c r="C4962" s="19"/>
      <c r="D4962" s="19" t="s">
        <v>1172</v>
      </c>
      <c r="E4962" s="19" t="s">
        <v>1173</v>
      </c>
      <c r="F4962">
        <v>0</v>
      </c>
    </row>
    <row r="4963" spans="1:6" x14ac:dyDescent="0.25">
      <c r="C4963" s="19"/>
      <c r="D4963" s="19" t="s">
        <v>1174</v>
      </c>
      <c r="E4963" s="19" t="s">
        <v>1175</v>
      </c>
      <c r="F4963">
        <v>1</v>
      </c>
    </row>
    <row r="4964" spans="1:6" x14ac:dyDescent="0.25">
      <c r="C4964" s="19"/>
      <c r="D4964" s="19" t="s">
        <v>1176</v>
      </c>
      <c r="E4964" s="19" t="s">
        <v>1177</v>
      </c>
      <c r="F4964">
        <v>1</v>
      </c>
    </row>
    <row r="4965" spans="1:6" x14ac:dyDescent="0.25">
      <c r="C4965" s="19"/>
      <c r="D4965" s="19" t="s">
        <v>1178</v>
      </c>
      <c r="E4965" s="19" t="s">
        <v>1179</v>
      </c>
      <c r="F4965">
        <v>1</v>
      </c>
    </row>
    <row r="4966" spans="1:6" x14ac:dyDescent="0.25">
      <c r="C4966" s="19"/>
      <c r="D4966" s="19" t="s">
        <v>1180</v>
      </c>
      <c r="E4966" s="19" t="s">
        <v>1181</v>
      </c>
      <c r="F4966">
        <v>1</v>
      </c>
    </row>
    <row r="4967" spans="1:6" x14ac:dyDescent="0.25">
      <c r="C4967" s="19"/>
      <c r="D4967" s="19" t="s">
        <v>1182</v>
      </c>
      <c r="E4967" s="19" t="s">
        <v>1183</v>
      </c>
      <c r="F4967">
        <v>1</v>
      </c>
    </row>
    <row r="4968" spans="1:6" x14ac:dyDescent="0.25">
      <c r="C4968" s="19"/>
      <c r="D4968" s="19" t="s">
        <v>1184</v>
      </c>
      <c r="E4968" s="19" t="s">
        <v>1185</v>
      </c>
      <c r="F4968">
        <v>1</v>
      </c>
    </row>
    <row r="4969" spans="1:6" x14ac:dyDescent="0.25">
      <c r="C4969" s="19"/>
      <c r="D4969" s="19" t="s">
        <v>1186</v>
      </c>
      <c r="E4969" s="19" t="s">
        <v>1187</v>
      </c>
      <c r="F4969">
        <v>1</v>
      </c>
    </row>
    <row r="4970" spans="1:6" x14ac:dyDescent="0.25">
      <c r="C4970" s="19"/>
      <c r="D4970" s="19" t="s">
        <v>1188</v>
      </c>
      <c r="E4970" s="19" t="s">
        <v>1189</v>
      </c>
      <c r="F4970">
        <v>1</v>
      </c>
    </row>
    <row r="4971" spans="1:6" x14ac:dyDescent="0.25">
      <c r="C4971" s="19"/>
      <c r="D4971" s="19" t="s">
        <v>1190</v>
      </c>
      <c r="E4971" s="19" t="s">
        <v>1191</v>
      </c>
      <c r="F4971">
        <v>1</v>
      </c>
    </row>
    <row r="4972" spans="1:6" x14ac:dyDescent="0.25">
      <c r="C4972" s="19"/>
      <c r="D4972" s="19" t="s">
        <v>1192</v>
      </c>
      <c r="E4972" s="19" t="s">
        <v>1193</v>
      </c>
      <c r="F4972">
        <v>0</v>
      </c>
    </row>
    <row r="4973" spans="1:6" x14ac:dyDescent="0.25">
      <c r="C4973" s="19"/>
      <c r="D4973" s="19" t="s">
        <v>1194</v>
      </c>
      <c r="E4973" s="19" t="s">
        <v>1195</v>
      </c>
      <c r="F4973">
        <v>0</v>
      </c>
    </row>
    <row r="4974" spans="1:6" x14ac:dyDescent="0.25">
      <c r="C4974" s="19"/>
      <c r="D4974" s="19" t="s">
        <v>1196</v>
      </c>
      <c r="E4974" s="19" t="s">
        <v>1197</v>
      </c>
      <c r="F4974">
        <v>0</v>
      </c>
    </row>
    <row r="4975" spans="1:6" x14ac:dyDescent="0.25">
      <c r="A4975" s="3">
        <v>761</v>
      </c>
      <c r="B4975" s="15" t="s">
        <v>224</v>
      </c>
      <c r="C4975" s="19" t="s">
        <v>1169</v>
      </c>
      <c r="D4975" s="19" t="s">
        <v>1170</v>
      </c>
      <c r="E4975" s="19" t="s">
        <v>1171</v>
      </c>
      <c r="F4975">
        <v>1</v>
      </c>
    </row>
    <row r="4976" spans="1:6" x14ac:dyDescent="0.25">
      <c r="C4976" s="19"/>
      <c r="D4976" s="19" t="s">
        <v>1172</v>
      </c>
      <c r="E4976" s="19" t="s">
        <v>1173</v>
      </c>
      <c r="F4976">
        <v>1</v>
      </c>
    </row>
    <row r="4977" spans="1:6" x14ac:dyDescent="0.25">
      <c r="C4977" s="19"/>
      <c r="D4977" s="19" t="s">
        <v>1174</v>
      </c>
      <c r="E4977" s="19" t="s">
        <v>1175</v>
      </c>
      <c r="F4977">
        <v>1</v>
      </c>
    </row>
    <row r="4978" spans="1:6" x14ac:dyDescent="0.25">
      <c r="C4978" s="19"/>
      <c r="D4978" s="19" t="s">
        <v>1176</v>
      </c>
      <c r="E4978" s="19" t="s">
        <v>1177</v>
      </c>
      <c r="F4978">
        <v>1</v>
      </c>
    </row>
    <row r="4979" spans="1:6" x14ac:dyDescent="0.25">
      <c r="C4979" s="19"/>
      <c r="D4979" s="19" t="s">
        <v>1178</v>
      </c>
      <c r="E4979" s="19" t="s">
        <v>1179</v>
      </c>
      <c r="F4979">
        <v>1</v>
      </c>
    </row>
    <row r="4980" spans="1:6" x14ac:dyDescent="0.25">
      <c r="C4980" s="19"/>
      <c r="D4980" s="19" t="s">
        <v>1180</v>
      </c>
      <c r="E4980" s="19" t="s">
        <v>1181</v>
      </c>
      <c r="F4980">
        <v>1</v>
      </c>
    </row>
    <row r="4981" spans="1:6" x14ac:dyDescent="0.25">
      <c r="C4981" s="19"/>
      <c r="D4981" s="19" t="s">
        <v>1182</v>
      </c>
      <c r="E4981" s="19" t="s">
        <v>1183</v>
      </c>
      <c r="F4981">
        <v>1</v>
      </c>
    </row>
    <row r="4982" spans="1:6" x14ac:dyDescent="0.25">
      <c r="C4982" s="19"/>
      <c r="D4982" s="19" t="s">
        <v>1184</v>
      </c>
      <c r="E4982" s="19" t="s">
        <v>1185</v>
      </c>
      <c r="F4982">
        <v>1</v>
      </c>
    </row>
    <row r="4983" spans="1:6" x14ac:dyDescent="0.25">
      <c r="C4983" s="19"/>
      <c r="D4983" s="19" t="s">
        <v>1186</v>
      </c>
      <c r="E4983" s="19" t="s">
        <v>1187</v>
      </c>
      <c r="F4983">
        <v>1</v>
      </c>
    </row>
    <row r="4984" spans="1:6" x14ac:dyDescent="0.25">
      <c r="C4984" s="19"/>
      <c r="D4984" s="19" t="s">
        <v>1188</v>
      </c>
      <c r="E4984" s="19" t="s">
        <v>1189</v>
      </c>
      <c r="F4984">
        <v>1</v>
      </c>
    </row>
    <row r="4985" spans="1:6" x14ac:dyDescent="0.25">
      <c r="C4985" s="19"/>
      <c r="D4985" s="19" t="s">
        <v>1190</v>
      </c>
      <c r="E4985" s="19" t="s">
        <v>1191</v>
      </c>
      <c r="F4985">
        <v>1</v>
      </c>
    </row>
    <row r="4986" spans="1:6" x14ac:dyDescent="0.25">
      <c r="C4986" s="19"/>
      <c r="D4986" s="19" t="s">
        <v>1192</v>
      </c>
      <c r="E4986" s="19" t="s">
        <v>1193</v>
      </c>
      <c r="F4986">
        <v>1</v>
      </c>
    </row>
    <row r="4987" spans="1:6" x14ac:dyDescent="0.25">
      <c r="C4987" s="19"/>
      <c r="D4987" s="19" t="s">
        <v>1194</v>
      </c>
      <c r="E4987" s="19" t="s">
        <v>1195</v>
      </c>
      <c r="F4987">
        <v>1</v>
      </c>
    </row>
    <row r="4988" spans="1:6" x14ac:dyDescent="0.25">
      <c r="C4988" s="19"/>
      <c r="D4988" s="19" t="s">
        <v>1196</v>
      </c>
      <c r="E4988" s="19" t="s">
        <v>1197</v>
      </c>
      <c r="F4988">
        <v>1</v>
      </c>
    </row>
    <row r="4989" spans="1:6" x14ac:dyDescent="0.25">
      <c r="A4989" s="3">
        <v>763</v>
      </c>
      <c r="B4989" s="15" t="s">
        <v>225</v>
      </c>
      <c r="C4989" s="19" t="s">
        <v>1613</v>
      </c>
      <c r="D4989" s="19" t="s">
        <v>1614</v>
      </c>
      <c r="E4989" s="19" t="s">
        <v>273</v>
      </c>
      <c r="F4989">
        <v>1</v>
      </c>
    </row>
    <row r="4990" spans="1:6" x14ac:dyDescent="0.25">
      <c r="C4990" s="19"/>
      <c r="D4990" s="19" t="s">
        <v>1615</v>
      </c>
      <c r="E4990" s="19" t="s">
        <v>312</v>
      </c>
      <c r="F4990">
        <v>1</v>
      </c>
    </row>
    <row r="4991" spans="1:6" x14ac:dyDescent="0.25">
      <c r="C4991" s="19"/>
      <c r="D4991" s="19" t="s">
        <v>1616</v>
      </c>
      <c r="E4991" s="19" t="s">
        <v>316</v>
      </c>
      <c r="F4991">
        <v>1</v>
      </c>
    </row>
    <row r="4992" spans="1:6" x14ac:dyDescent="0.25">
      <c r="C4992" s="19"/>
      <c r="D4992" s="19" t="s">
        <v>1617</v>
      </c>
      <c r="E4992" s="19" t="s">
        <v>314</v>
      </c>
      <c r="F4992">
        <v>1</v>
      </c>
    </row>
    <row r="4993" spans="3:6" x14ac:dyDescent="0.25">
      <c r="C4993" s="19"/>
      <c r="D4993" s="19" t="s">
        <v>1618</v>
      </c>
      <c r="E4993" s="19" t="s">
        <v>318</v>
      </c>
      <c r="F4993">
        <v>1</v>
      </c>
    </row>
    <row r="4994" spans="3:6" x14ac:dyDescent="0.25">
      <c r="C4994" s="19"/>
      <c r="D4994" s="19" t="s">
        <v>1619</v>
      </c>
      <c r="E4994" s="19" t="s">
        <v>1620</v>
      </c>
      <c r="F4994">
        <v>1</v>
      </c>
    </row>
    <row r="4995" spans="3:6" x14ac:dyDescent="0.25">
      <c r="C4995" s="19"/>
      <c r="D4995" s="19" t="s">
        <v>1621</v>
      </c>
      <c r="E4995" s="19" t="s">
        <v>1622</v>
      </c>
      <c r="F4995">
        <v>1</v>
      </c>
    </row>
    <row r="4996" spans="3:6" x14ac:dyDescent="0.25">
      <c r="C4996" s="19"/>
      <c r="D4996" s="19" t="s">
        <v>1623</v>
      </c>
      <c r="E4996" s="19" t="s">
        <v>322</v>
      </c>
      <c r="F4996">
        <v>1</v>
      </c>
    </row>
    <row r="4997" spans="3:6" x14ac:dyDescent="0.25">
      <c r="C4997" s="19"/>
      <c r="D4997" s="19" t="s">
        <v>1624</v>
      </c>
      <c r="E4997" s="19" t="s">
        <v>936</v>
      </c>
      <c r="F4997">
        <v>1</v>
      </c>
    </row>
    <row r="4998" spans="3:6" x14ac:dyDescent="0.25">
      <c r="C4998" s="19"/>
      <c r="D4998" s="19" t="s">
        <v>1625</v>
      </c>
      <c r="E4998" s="19" t="s">
        <v>938</v>
      </c>
      <c r="F4998">
        <v>1</v>
      </c>
    </row>
    <row r="4999" spans="3:6" x14ac:dyDescent="0.25">
      <c r="C4999" s="19"/>
      <c r="D4999" s="19" t="s">
        <v>1626</v>
      </c>
      <c r="E4999" s="19" t="s">
        <v>1483</v>
      </c>
      <c r="F4999">
        <v>0</v>
      </c>
    </row>
    <row r="5000" spans="3:6" x14ac:dyDescent="0.25">
      <c r="C5000" s="19"/>
      <c r="D5000" s="19" t="s">
        <v>1627</v>
      </c>
      <c r="E5000" s="19" t="s">
        <v>942</v>
      </c>
      <c r="F5000">
        <v>1</v>
      </c>
    </row>
    <row r="5001" spans="3:6" x14ac:dyDescent="0.25">
      <c r="C5001" s="19"/>
      <c r="D5001" s="19" t="s">
        <v>1628</v>
      </c>
      <c r="E5001" s="19" t="s">
        <v>383</v>
      </c>
      <c r="F5001">
        <v>0</v>
      </c>
    </row>
    <row r="5002" spans="3:6" x14ac:dyDescent="0.25">
      <c r="C5002" s="19"/>
      <c r="D5002" s="19" t="s">
        <v>1629</v>
      </c>
      <c r="E5002" s="19" t="s">
        <v>1630</v>
      </c>
      <c r="F5002">
        <v>0</v>
      </c>
    </row>
    <row r="5003" spans="3:6" x14ac:dyDescent="0.25">
      <c r="C5003" s="19"/>
      <c r="D5003" s="19" t="s">
        <v>1631</v>
      </c>
      <c r="E5003" s="19" t="s">
        <v>380</v>
      </c>
      <c r="F5003">
        <v>0</v>
      </c>
    </row>
    <row r="5004" spans="3:6" x14ac:dyDescent="0.25">
      <c r="C5004" s="19"/>
      <c r="D5004" s="19" t="s">
        <v>1632</v>
      </c>
      <c r="E5004" s="19" t="s">
        <v>381</v>
      </c>
      <c r="F5004">
        <v>1</v>
      </c>
    </row>
    <row r="5005" spans="3:6" x14ac:dyDescent="0.25">
      <c r="C5005" s="19"/>
      <c r="D5005" s="19" t="s">
        <v>1633</v>
      </c>
      <c r="E5005" s="19" t="s">
        <v>1634</v>
      </c>
      <c r="F5005">
        <v>0</v>
      </c>
    </row>
    <row r="5006" spans="3:6" x14ac:dyDescent="0.25">
      <c r="C5006" s="19"/>
      <c r="D5006" s="19" t="s">
        <v>1635</v>
      </c>
      <c r="E5006" s="19" t="s">
        <v>328</v>
      </c>
      <c r="F5006">
        <v>0</v>
      </c>
    </row>
    <row r="5007" spans="3:6" x14ac:dyDescent="0.25">
      <c r="C5007" s="19"/>
      <c r="D5007" s="19" t="s">
        <v>1636</v>
      </c>
      <c r="E5007" s="19" t="s">
        <v>1637</v>
      </c>
      <c r="F5007">
        <v>0</v>
      </c>
    </row>
    <row r="5008" spans="3:6" x14ac:dyDescent="0.25">
      <c r="C5008" s="19"/>
      <c r="D5008" s="19" t="s">
        <v>1638</v>
      </c>
      <c r="E5008" s="19" t="s">
        <v>1639</v>
      </c>
      <c r="F5008">
        <v>1</v>
      </c>
    </row>
    <row r="5009" spans="1:6" x14ac:dyDescent="0.25">
      <c r="A5009" s="3">
        <v>765</v>
      </c>
      <c r="B5009" s="15" t="s">
        <v>226</v>
      </c>
      <c r="C5009" s="19" t="s">
        <v>1155</v>
      </c>
      <c r="D5009" s="19" t="s">
        <v>1156</v>
      </c>
      <c r="E5009" s="19" t="s">
        <v>273</v>
      </c>
      <c r="F5009">
        <v>1</v>
      </c>
    </row>
    <row r="5010" spans="1:6" x14ac:dyDescent="0.25">
      <c r="C5010" s="19"/>
      <c r="D5010" s="19" t="s">
        <v>1157</v>
      </c>
      <c r="E5010" s="19" t="s">
        <v>844</v>
      </c>
      <c r="F5010">
        <v>1</v>
      </c>
    </row>
    <row r="5011" spans="1:6" x14ac:dyDescent="0.25">
      <c r="C5011" s="19"/>
      <c r="D5011" s="19" t="s">
        <v>1158</v>
      </c>
      <c r="E5011" s="19" t="s">
        <v>1159</v>
      </c>
      <c r="F5011">
        <v>2</v>
      </c>
    </row>
    <row r="5012" spans="1:6" x14ac:dyDescent="0.25">
      <c r="C5012" s="19"/>
      <c r="D5012" s="19" t="s">
        <v>1160</v>
      </c>
      <c r="E5012" s="19" t="s">
        <v>1161</v>
      </c>
      <c r="F5012">
        <v>2</v>
      </c>
    </row>
    <row r="5013" spans="1:6" x14ac:dyDescent="0.25">
      <c r="C5013" s="19"/>
      <c r="D5013" s="19" t="s">
        <v>1162</v>
      </c>
      <c r="E5013" s="19" t="s">
        <v>1163</v>
      </c>
      <c r="F5013">
        <v>2</v>
      </c>
    </row>
    <row r="5014" spans="1:6" x14ac:dyDescent="0.25">
      <c r="C5014" s="19"/>
      <c r="D5014" s="19" t="s">
        <v>1164</v>
      </c>
      <c r="E5014" s="19" t="s">
        <v>1165</v>
      </c>
      <c r="F5014">
        <v>2</v>
      </c>
    </row>
    <row r="5015" spans="1:6" x14ac:dyDescent="0.25">
      <c r="C5015" s="19"/>
      <c r="D5015" s="19" t="s">
        <v>1166</v>
      </c>
      <c r="E5015" s="19" t="s">
        <v>295</v>
      </c>
      <c r="F5015">
        <v>1</v>
      </c>
    </row>
    <row r="5016" spans="1:6" x14ac:dyDescent="0.25">
      <c r="C5016" s="19"/>
      <c r="D5016" s="19" t="s">
        <v>1167</v>
      </c>
      <c r="E5016" s="19" t="s">
        <v>1168</v>
      </c>
      <c r="F5016">
        <v>0</v>
      </c>
    </row>
    <row r="5017" spans="1:6" x14ac:dyDescent="0.25">
      <c r="A5017" s="3">
        <v>766</v>
      </c>
      <c r="B5017" s="15" t="s">
        <v>227</v>
      </c>
      <c r="C5017" s="19" t="s">
        <v>581</v>
      </c>
      <c r="D5017" s="19" t="s">
        <v>582</v>
      </c>
      <c r="E5017" s="19" t="s">
        <v>583</v>
      </c>
      <c r="F5017">
        <v>1</v>
      </c>
    </row>
    <row r="5018" spans="1:6" x14ac:dyDescent="0.25">
      <c r="C5018" s="19"/>
      <c r="D5018" s="19" t="s">
        <v>584</v>
      </c>
      <c r="E5018" s="19" t="s">
        <v>306</v>
      </c>
      <c r="F5018">
        <v>1</v>
      </c>
    </row>
    <row r="5019" spans="1:6" x14ac:dyDescent="0.25">
      <c r="C5019" s="19"/>
      <c r="D5019" s="19" t="s">
        <v>585</v>
      </c>
      <c r="E5019" s="19" t="s">
        <v>586</v>
      </c>
      <c r="F5019">
        <v>1</v>
      </c>
    </row>
    <row r="5020" spans="1:6" x14ac:dyDescent="0.25">
      <c r="C5020" s="19"/>
      <c r="D5020" s="19" t="s">
        <v>587</v>
      </c>
      <c r="E5020" s="19" t="s">
        <v>588</v>
      </c>
      <c r="F5020">
        <v>1</v>
      </c>
    </row>
    <row r="5021" spans="1:6" x14ac:dyDescent="0.25">
      <c r="C5021" s="19"/>
      <c r="D5021" s="19" t="s">
        <v>589</v>
      </c>
      <c r="E5021" s="19" t="s">
        <v>312</v>
      </c>
      <c r="F5021">
        <v>1</v>
      </c>
    </row>
    <row r="5022" spans="1:6" x14ac:dyDescent="0.25">
      <c r="C5022" s="19"/>
      <c r="D5022" s="19" t="s">
        <v>590</v>
      </c>
      <c r="E5022" s="19" t="s">
        <v>493</v>
      </c>
      <c r="F5022">
        <v>0</v>
      </c>
    </row>
    <row r="5023" spans="1:6" x14ac:dyDescent="0.25">
      <c r="C5023" s="19"/>
      <c r="D5023" s="19" t="s">
        <v>591</v>
      </c>
      <c r="E5023" s="19" t="s">
        <v>314</v>
      </c>
      <c r="F5023">
        <v>1</v>
      </c>
    </row>
    <row r="5024" spans="1:6" x14ac:dyDescent="0.25">
      <c r="C5024" s="19"/>
      <c r="D5024" s="19" t="s">
        <v>592</v>
      </c>
      <c r="E5024" s="19" t="s">
        <v>275</v>
      </c>
      <c r="F5024">
        <v>1</v>
      </c>
    </row>
    <row r="5025" spans="1:6" x14ac:dyDescent="0.25">
      <c r="C5025" s="19"/>
      <c r="D5025" s="19" t="s">
        <v>593</v>
      </c>
      <c r="E5025" s="19" t="s">
        <v>594</v>
      </c>
      <c r="F5025">
        <v>1</v>
      </c>
    </row>
    <row r="5026" spans="1:6" x14ac:dyDescent="0.25">
      <c r="C5026" s="19"/>
      <c r="D5026" s="19" t="s">
        <v>595</v>
      </c>
      <c r="E5026" s="19" t="s">
        <v>349</v>
      </c>
      <c r="F5026">
        <v>1</v>
      </c>
    </row>
    <row r="5027" spans="1:6" x14ac:dyDescent="0.25">
      <c r="C5027" s="19"/>
      <c r="D5027" s="19" t="s">
        <v>596</v>
      </c>
      <c r="E5027" s="19" t="s">
        <v>597</v>
      </c>
      <c r="F5027">
        <v>1</v>
      </c>
    </row>
    <row r="5028" spans="1:6" x14ac:dyDescent="0.25">
      <c r="C5028" s="19"/>
      <c r="D5028" s="19" t="s">
        <v>598</v>
      </c>
      <c r="E5028" s="19" t="s">
        <v>599</v>
      </c>
      <c r="F5028">
        <v>0</v>
      </c>
    </row>
    <row r="5029" spans="1:6" x14ac:dyDescent="0.25">
      <c r="C5029" s="19"/>
      <c r="D5029" s="19" t="s">
        <v>600</v>
      </c>
      <c r="E5029" s="19" t="s">
        <v>601</v>
      </c>
      <c r="F5029">
        <v>1</v>
      </c>
    </row>
    <row r="5030" spans="1:6" x14ac:dyDescent="0.25">
      <c r="C5030" s="19"/>
      <c r="D5030" s="19" t="s">
        <v>602</v>
      </c>
      <c r="E5030" s="19" t="s">
        <v>603</v>
      </c>
      <c r="F5030">
        <v>1</v>
      </c>
    </row>
    <row r="5031" spans="1:6" x14ac:dyDescent="0.25">
      <c r="C5031" s="19"/>
      <c r="D5031" s="19" t="s">
        <v>604</v>
      </c>
      <c r="E5031" s="19" t="s">
        <v>605</v>
      </c>
      <c r="F5031">
        <v>1</v>
      </c>
    </row>
    <row r="5032" spans="1:6" x14ac:dyDescent="0.25">
      <c r="C5032" s="19"/>
      <c r="D5032" s="19" t="s">
        <v>606</v>
      </c>
      <c r="E5032" s="19" t="s">
        <v>503</v>
      </c>
      <c r="F5032">
        <v>1</v>
      </c>
    </row>
    <row r="5033" spans="1:6" x14ac:dyDescent="0.25">
      <c r="C5033" s="19"/>
      <c r="D5033" s="19" t="s">
        <v>607</v>
      </c>
      <c r="E5033" s="19" t="s">
        <v>505</v>
      </c>
      <c r="F5033">
        <v>1</v>
      </c>
    </row>
    <row r="5034" spans="1:6" x14ac:dyDescent="0.25">
      <c r="C5034" s="19"/>
      <c r="D5034" s="19" t="s">
        <v>608</v>
      </c>
      <c r="E5034" s="19" t="s">
        <v>609</v>
      </c>
      <c r="F5034">
        <v>1</v>
      </c>
    </row>
    <row r="5035" spans="1:6" x14ac:dyDescent="0.25">
      <c r="A5035" s="3">
        <v>767</v>
      </c>
      <c r="B5035" s="15" t="s">
        <v>228</v>
      </c>
      <c r="C5035" s="19" t="s">
        <v>636</v>
      </c>
      <c r="D5035" s="19" t="s">
        <v>637</v>
      </c>
      <c r="E5035" s="19" t="s">
        <v>638</v>
      </c>
      <c r="F5035">
        <v>1</v>
      </c>
    </row>
    <row r="5036" spans="1:6" x14ac:dyDescent="0.25">
      <c r="C5036" s="19"/>
      <c r="D5036" s="19" t="s">
        <v>639</v>
      </c>
      <c r="E5036" s="19" t="s">
        <v>640</v>
      </c>
      <c r="F5036">
        <v>1</v>
      </c>
    </row>
    <row r="5037" spans="1:6" x14ac:dyDescent="0.25">
      <c r="C5037" s="19"/>
      <c r="D5037" s="19" t="s">
        <v>641</v>
      </c>
      <c r="E5037" s="19" t="s">
        <v>642</v>
      </c>
      <c r="F5037">
        <v>1</v>
      </c>
    </row>
    <row r="5038" spans="1:6" x14ac:dyDescent="0.25">
      <c r="C5038" s="19"/>
      <c r="D5038" s="19" t="s">
        <v>643</v>
      </c>
      <c r="E5038" s="19" t="s">
        <v>644</v>
      </c>
      <c r="F5038">
        <v>1</v>
      </c>
    </row>
    <row r="5039" spans="1:6" x14ac:dyDescent="0.25">
      <c r="C5039" s="19"/>
      <c r="D5039" s="19" t="s">
        <v>645</v>
      </c>
      <c r="E5039" s="19" t="s">
        <v>646</v>
      </c>
      <c r="F5039">
        <v>1</v>
      </c>
    </row>
    <row r="5040" spans="1:6" x14ac:dyDescent="0.25">
      <c r="C5040" s="19"/>
      <c r="D5040" s="19" t="s">
        <v>647</v>
      </c>
      <c r="E5040" s="19" t="s">
        <v>648</v>
      </c>
      <c r="F5040">
        <v>1</v>
      </c>
    </row>
    <row r="5041" spans="1:6" x14ac:dyDescent="0.25">
      <c r="C5041" s="19"/>
      <c r="D5041" s="19" t="s">
        <v>649</v>
      </c>
      <c r="E5041" s="19" t="s">
        <v>650</v>
      </c>
      <c r="F5041">
        <v>1</v>
      </c>
    </row>
    <row r="5042" spans="1:6" x14ac:dyDescent="0.25">
      <c r="C5042" s="19"/>
      <c r="D5042" s="19" t="s">
        <v>651</v>
      </c>
      <c r="E5042" s="19" t="s">
        <v>652</v>
      </c>
      <c r="F5042">
        <v>1</v>
      </c>
    </row>
    <row r="5043" spans="1:6" x14ac:dyDescent="0.25">
      <c r="C5043" s="19"/>
      <c r="D5043" s="19" t="s">
        <v>653</v>
      </c>
      <c r="E5043" s="19" t="s">
        <v>438</v>
      </c>
      <c r="F5043">
        <v>1</v>
      </c>
    </row>
    <row r="5044" spans="1:6" x14ac:dyDescent="0.25">
      <c r="C5044" s="19"/>
      <c r="D5044" s="19" t="s">
        <v>654</v>
      </c>
      <c r="E5044" s="19" t="s">
        <v>440</v>
      </c>
      <c r="F5044">
        <v>1</v>
      </c>
    </row>
    <row r="5045" spans="1:6" x14ac:dyDescent="0.25">
      <c r="C5045" s="19"/>
      <c r="D5045" s="19" t="s">
        <v>655</v>
      </c>
      <c r="E5045" s="19" t="s">
        <v>656</v>
      </c>
      <c r="F5045">
        <v>1</v>
      </c>
    </row>
    <row r="5046" spans="1:6" x14ac:dyDescent="0.25">
      <c r="C5046" s="19"/>
      <c r="D5046" s="19" t="s">
        <v>657</v>
      </c>
      <c r="E5046" s="19" t="s">
        <v>658</v>
      </c>
      <c r="F5046">
        <v>1</v>
      </c>
    </row>
    <row r="5047" spans="1:6" x14ac:dyDescent="0.25">
      <c r="A5047" s="3">
        <v>768</v>
      </c>
      <c r="B5047" s="15" t="s">
        <v>229</v>
      </c>
      <c r="C5047" s="19" t="s">
        <v>701</v>
      </c>
      <c r="D5047" s="19" t="s">
        <v>702</v>
      </c>
      <c r="E5047" s="19" t="s">
        <v>583</v>
      </c>
      <c r="F5047">
        <v>1</v>
      </c>
    </row>
    <row r="5048" spans="1:6" x14ac:dyDescent="0.25">
      <c r="C5048" s="19"/>
      <c r="D5048" s="19" t="s">
        <v>703</v>
      </c>
      <c r="E5048" s="19" t="s">
        <v>306</v>
      </c>
      <c r="F5048">
        <v>1</v>
      </c>
    </row>
    <row r="5049" spans="1:6" x14ac:dyDescent="0.25">
      <c r="C5049" s="19"/>
      <c r="D5049" s="19" t="s">
        <v>704</v>
      </c>
      <c r="E5049" s="19" t="s">
        <v>705</v>
      </c>
      <c r="F5049">
        <v>0</v>
      </c>
    </row>
    <row r="5050" spans="1:6" x14ac:dyDescent="0.25">
      <c r="C5050" s="19"/>
      <c r="D5050" s="19" t="s">
        <v>706</v>
      </c>
      <c r="E5050" s="19" t="s">
        <v>588</v>
      </c>
      <c r="F5050">
        <v>1</v>
      </c>
    </row>
    <row r="5051" spans="1:6" x14ac:dyDescent="0.25">
      <c r="C5051" s="19"/>
      <c r="D5051" s="19" t="s">
        <v>707</v>
      </c>
      <c r="E5051" s="19" t="s">
        <v>312</v>
      </c>
      <c r="F5051">
        <v>1</v>
      </c>
    </row>
    <row r="5052" spans="1:6" x14ac:dyDescent="0.25">
      <c r="C5052" s="19"/>
      <c r="D5052" s="19" t="s">
        <v>708</v>
      </c>
      <c r="E5052" s="19" t="s">
        <v>314</v>
      </c>
      <c r="F5052">
        <v>1</v>
      </c>
    </row>
    <row r="5053" spans="1:6" x14ac:dyDescent="0.25">
      <c r="C5053" s="19"/>
      <c r="D5053" s="19" t="s">
        <v>709</v>
      </c>
      <c r="E5053" s="19" t="s">
        <v>493</v>
      </c>
      <c r="F5053">
        <v>1</v>
      </c>
    </row>
    <row r="5054" spans="1:6" x14ac:dyDescent="0.25">
      <c r="C5054" s="19"/>
      <c r="D5054" s="19" t="s">
        <v>710</v>
      </c>
      <c r="E5054" s="19" t="s">
        <v>275</v>
      </c>
      <c r="F5054">
        <v>1</v>
      </c>
    </row>
    <row r="5055" spans="1:6" x14ac:dyDescent="0.25">
      <c r="C5055" s="19"/>
      <c r="D5055" s="19" t="s">
        <v>711</v>
      </c>
      <c r="E5055" s="19" t="s">
        <v>283</v>
      </c>
      <c r="F5055">
        <v>1</v>
      </c>
    </row>
    <row r="5056" spans="1:6" x14ac:dyDescent="0.25">
      <c r="C5056" s="19"/>
      <c r="D5056" s="19" t="s">
        <v>712</v>
      </c>
      <c r="E5056" s="19" t="s">
        <v>713</v>
      </c>
      <c r="F5056">
        <v>1</v>
      </c>
    </row>
    <row r="5057" spans="1:6" x14ac:dyDescent="0.25">
      <c r="C5057" s="19"/>
      <c r="D5057" s="19" t="s">
        <v>714</v>
      </c>
      <c r="E5057" s="19" t="s">
        <v>715</v>
      </c>
      <c r="F5057">
        <v>1</v>
      </c>
    </row>
    <row r="5058" spans="1:6" x14ac:dyDescent="0.25">
      <c r="C5058" s="19"/>
      <c r="D5058" s="19" t="s">
        <v>716</v>
      </c>
      <c r="E5058" s="19" t="s">
        <v>717</v>
      </c>
      <c r="F5058">
        <v>1</v>
      </c>
    </row>
    <row r="5059" spans="1:6" x14ac:dyDescent="0.25">
      <c r="C5059" s="19"/>
      <c r="D5059" s="19" t="s">
        <v>718</v>
      </c>
      <c r="E5059" s="19" t="s">
        <v>381</v>
      </c>
      <c r="F5059">
        <v>1</v>
      </c>
    </row>
    <row r="5060" spans="1:6" x14ac:dyDescent="0.25">
      <c r="C5060" s="19"/>
      <c r="D5060" s="19" t="s">
        <v>719</v>
      </c>
      <c r="E5060" s="19" t="s">
        <v>720</v>
      </c>
      <c r="F5060">
        <v>0</v>
      </c>
    </row>
    <row r="5061" spans="1:6" x14ac:dyDescent="0.25">
      <c r="C5061" s="19"/>
      <c r="D5061" s="19" t="s">
        <v>721</v>
      </c>
      <c r="E5061" s="19" t="s">
        <v>722</v>
      </c>
      <c r="F5061">
        <v>0</v>
      </c>
    </row>
    <row r="5062" spans="1:6" x14ac:dyDescent="0.25">
      <c r="A5062" s="3">
        <v>769</v>
      </c>
      <c r="B5062" s="15" t="s">
        <v>230</v>
      </c>
      <c r="C5062" s="19" t="s">
        <v>1198</v>
      </c>
      <c r="D5062" s="19" t="s">
        <v>1199</v>
      </c>
      <c r="E5062" s="19" t="s">
        <v>273</v>
      </c>
      <c r="F5062">
        <v>1</v>
      </c>
    </row>
    <row r="5063" spans="1:6" x14ac:dyDescent="0.25">
      <c r="C5063" s="19"/>
      <c r="D5063" s="19" t="s">
        <v>1200</v>
      </c>
      <c r="E5063" s="19" t="s">
        <v>312</v>
      </c>
      <c r="F5063">
        <v>1</v>
      </c>
    </row>
    <row r="5064" spans="1:6" x14ac:dyDescent="0.25">
      <c r="C5064" s="19"/>
      <c r="D5064" s="19" t="s">
        <v>1201</v>
      </c>
      <c r="E5064" s="19" t="s">
        <v>801</v>
      </c>
      <c r="F5064">
        <v>1</v>
      </c>
    </row>
    <row r="5065" spans="1:6" x14ac:dyDescent="0.25">
      <c r="C5065" s="19"/>
      <c r="D5065" s="19" t="s">
        <v>1202</v>
      </c>
      <c r="E5065" s="19" t="s">
        <v>786</v>
      </c>
      <c r="F5065">
        <v>1</v>
      </c>
    </row>
    <row r="5066" spans="1:6" x14ac:dyDescent="0.25">
      <c r="C5066" s="19"/>
      <c r="D5066" s="19" t="s">
        <v>1203</v>
      </c>
      <c r="E5066" s="19" t="s">
        <v>784</v>
      </c>
      <c r="F5066">
        <v>1</v>
      </c>
    </row>
    <row r="5067" spans="1:6" x14ac:dyDescent="0.25">
      <c r="C5067" s="19"/>
      <c r="D5067" s="19" t="s">
        <v>1204</v>
      </c>
      <c r="E5067" s="19" t="s">
        <v>1205</v>
      </c>
      <c r="F5067">
        <v>1</v>
      </c>
    </row>
    <row r="5068" spans="1:6" x14ac:dyDescent="0.25">
      <c r="C5068" s="19"/>
      <c r="D5068" s="19" t="s">
        <v>1206</v>
      </c>
      <c r="E5068" s="19" t="s">
        <v>1207</v>
      </c>
      <c r="F5068">
        <v>1</v>
      </c>
    </row>
    <row r="5069" spans="1:6" x14ac:dyDescent="0.25">
      <c r="C5069" s="19"/>
      <c r="D5069" s="19" t="s">
        <v>1208</v>
      </c>
      <c r="E5069" s="19" t="s">
        <v>1209</v>
      </c>
      <c r="F5069">
        <v>1</v>
      </c>
    </row>
    <row r="5070" spans="1:6" x14ac:dyDescent="0.25">
      <c r="C5070" s="19"/>
      <c r="D5070" s="19" t="s">
        <v>1210</v>
      </c>
      <c r="E5070" s="19" t="s">
        <v>1211</v>
      </c>
      <c r="F5070">
        <v>1</v>
      </c>
    </row>
    <row r="5071" spans="1:6" x14ac:dyDescent="0.25">
      <c r="C5071" s="19"/>
      <c r="D5071" s="19" t="s">
        <v>1212</v>
      </c>
      <c r="E5071" s="19" t="s">
        <v>789</v>
      </c>
      <c r="F5071">
        <v>1</v>
      </c>
    </row>
    <row r="5072" spans="1:6" x14ac:dyDescent="0.25">
      <c r="C5072" s="19"/>
      <c r="D5072" s="19" t="s">
        <v>1213</v>
      </c>
      <c r="E5072" s="19" t="s">
        <v>1214</v>
      </c>
      <c r="F5072">
        <v>1</v>
      </c>
    </row>
    <row r="5073" spans="1:6" x14ac:dyDescent="0.25">
      <c r="C5073" s="19"/>
      <c r="D5073" s="19" t="s">
        <v>1215</v>
      </c>
      <c r="E5073" s="19" t="s">
        <v>1216</v>
      </c>
      <c r="F5073">
        <v>1</v>
      </c>
    </row>
    <row r="5074" spans="1:6" x14ac:dyDescent="0.25">
      <c r="C5074" s="19"/>
      <c r="D5074" s="19" t="s">
        <v>1217</v>
      </c>
      <c r="E5074" s="19" t="s">
        <v>791</v>
      </c>
      <c r="F5074">
        <v>0</v>
      </c>
    </row>
    <row r="5075" spans="1:6" x14ac:dyDescent="0.25">
      <c r="C5075" s="19"/>
      <c r="D5075" s="19" t="s">
        <v>1218</v>
      </c>
      <c r="E5075" s="19" t="s">
        <v>795</v>
      </c>
      <c r="F5075">
        <v>0</v>
      </c>
    </row>
    <row r="5076" spans="1:6" x14ac:dyDescent="0.25">
      <c r="C5076" s="19"/>
      <c r="D5076" s="19" t="s">
        <v>1219</v>
      </c>
      <c r="E5076" s="19" t="s">
        <v>372</v>
      </c>
      <c r="F5076">
        <v>1</v>
      </c>
    </row>
    <row r="5077" spans="1:6" x14ac:dyDescent="0.25">
      <c r="A5077" s="3">
        <v>772</v>
      </c>
      <c r="B5077" s="15" t="s">
        <v>231</v>
      </c>
      <c r="C5077" s="19" t="s">
        <v>1685</v>
      </c>
      <c r="D5077" s="19" t="s">
        <v>1686</v>
      </c>
      <c r="E5077" s="19" t="s">
        <v>1687</v>
      </c>
      <c r="F5077">
        <v>1</v>
      </c>
    </row>
    <row r="5078" spans="1:6" x14ac:dyDescent="0.25">
      <c r="C5078" s="19"/>
      <c r="D5078" s="19" t="s">
        <v>1688</v>
      </c>
      <c r="E5078" s="19" t="s">
        <v>1689</v>
      </c>
      <c r="F5078">
        <v>1</v>
      </c>
    </row>
    <row r="5079" spans="1:6" x14ac:dyDescent="0.25">
      <c r="C5079" s="19"/>
      <c r="D5079" s="19" t="s">
        <v>1690</v>
      </c>
      <c r="E5079" s="19" t="s">
        <v>1691</v>
      </c>
      <c r="F5079">
        <v>1</v>
      </c>
    </row>
    <row r="5080" spans="1:6" x14ac:dyDescent="0.25">
      <c r="C5080" s="19"/>
      <c r="D5080" s="19" t="s">
        <v>1692</v>
      </c>
      <c r="E5080" s="19" t="s">
        <v>1693</v>
      </c>
      <c r="F5080">
        <v>1</v>
      </c>
    </row>
    <row r="5081" spans="1:6" x14ac:dyDescent="0.25">
      <c r="C5081" s="19"/>
      <c r="D5081" s="19" t="s">
        <v>1694</v>
      </c>
      <c r="E5081" s="19" t="s">
        <v>1695</v>
      </c>
      <c r="F5081">
        <v>1</v>
      </c>
    </row>
    <row r="5082" spans="1:6" x14ac:dyDescent="0.25">
      <c r="C5082" s="19"/>
      <c r="D5082" s="19" t="s">
        <v>1696</v>
      </c>
      <c r="E5082" s="19" t="s">
        <v>1697</v>
      </c>
      <c r="F5082">
        <v>1</v>
      </c>
    </row>
    <row r="5083" spans="1:6" x14ac:dyDescent="0.25">
      <c r="C5083" s="19"/>
      <c r="D5083" s="19" t="s">
        <v>1698</v>
      </c>
      <c r="E5083" s="19" t="s">
        <v>1699</v>
      </c>
      <c r="F5083">
        <v>1</v>
      </c>
    </row>
    <row r="5084" spans="1:6" x14ac:dyDescent="0.25">
      <c r="C5084" s="19"/>
      <c r="D5084" s="19" t="s">
        <v>1700</v>
      </c>
      <c r="E5084" s="19" t="s">
        <v>1701</v>
      </c>
      <c r="F5084">
        <v>1</v>
      </c>
    </row>
    <row r="5085" spans="1:6" x14ac:dyDescent="0.25">
      <c r="C5085" s="19"/>
      <c r="D5085" s="19" t="s">
        <v>1702</v>
      </c>
      <c r="E5085" s="19" t="s">
        <v>314</v>
      </c>
      <c r="F5085">
        <v>1</v>
      </c>
    </row>
    <row r="5086" spans="1:6" x14ac:dyDescent="0.25">
      <c r="C5086" s="19"/>
      <c r="D5086" s="19" t="s">
        <v>1703</v>
      </c>
      <c r="E5086" s="19" t="s">
        <v>1704</v>
      </c>
      <c r="F5086">
        <v>1</v>
      </c>
    </row>
    <row r="5087" spans="1:6" x14ac:dyDescent="0.25">
      <c r="C5087" s="19"/>
      <c r="D5087" s="19" t="s">
        <v>1705</v>
      </c>
      <c r="E5087" s="19" t="s">
        <v>1706</v>
      </c>
      <c r="F5087">
        <v>1</v>
      </c>
    </row>
    <row r="5088" spans="1:6" x14ac:dyDescent="0.25">
      <c r="C5088" s="19"/>
      <c r="D5088" s="19" t="s">
        <v>1707</v>
      </c>
      <c r="E5088" s="19" t="s">
        <v>1708</v>
      </c>
      <c r="F5088">
        <v>1</v>
      </c>
    </row>
    <row r="5089" spans="1:6" x14ac:dyDescent="0.25">
      <c r="C5089" s="19"/>
      <c r="D5089" s="19" t="s">
        <v>1709</v>
      </c>
      <c r="E5089" s="19" t="s">
        <v>1710</v>
      </c>
      <c r="F5089">
        <v>1</v>
      </c>
    </row>
    <row r="5090" spans="1:6" x14ac:dyDescent="0.25">
      <c r="C5090" s="19"/>
      <c r="D5090" s="19" t="s">
        <v>1711</v>
      </c>
      <c r="E5090" s="19" t="s">
        <v>1124</v>
      </c>
      <c r="F5090">
        <v>1</v>
      </c>
    </row>
    <row r="5091" spans="1:6" x14ac:dyDescent="0.25">
      <c r="A5091" s="3">
        <v>777</v>
      </c>
      <c r="B5091" s="15" t="s">
        <v>232</v>
      </c>
      <c r="C5091" s="19" t="s">
        <v>917</v>
      </c>
      <c r="D5091" s="19" t="s">
        <v>918</v>
      </c>
      <c r="E5091" s="19" t="s">
        <v>308</v>
      </c>
      <c r="F5091">
        <v>1</v>
      </c>
    </row>
    <row r="5092" spans="1:6" x14ac:dyDescent="0.25">
      <c r="C5092" s="19"/>
      <c r="D5092" s="19" t="s">
        <v>919</v>
      </c>
      <c r="E5092" s="19" t="s">
        <v>920</v>
      </c>
      <c r="F5092">
        <v>1</v>
      </c>
    </row>
    <row r="5093" spans="1:6" x14ac:dyDescent="0.25">
      <c r="C5093" s="19"/>
      <c r="D5093" s="19" t="s">
        <v>921</v>
      </c>
      <c r="E5093" s="19" t="s">
        <v>922</v>
      </c>
      <c r="F5093">
        <v>1</v>
      </c>
    </row>
    <row r="5094" spans="1:6" x14ac:dyDescent="0.25">
      <c r="C5094" s="19"/>
      <c r="D5094" s="19" t="s">
        <v>923</v>
      </c>
      <c r="E5094" s="19" t="s">
        <v>924</v>
      </c>
      <c r="F5094">
        <v>0</v>
      </c>
    </row>
    <row r="5095" spans="1:6" x14ac:dyDescent="0.25">
      <c r="C5095" s="19"/>
      <c r="D5095" s="19" t="s">
        <v>925</v>
      </c>
      <c r="E5095" s="19" t="s">
        <v>310</v>
      </c>
      <c r="F5095">
        <v>1</v>
      </c>
    </row>
    <row r="5096" spans="1:6" x14ac:dyDescent="0.25">
      <c r="C5096" s="19"/>
      <c r="D5096" s="19" t="s">
        <v>926</v>
      </c>
      <c r="E5096" s="19" t="s">
        <v>927</v>
      </c>
      <c r="F5096">
        <v>1</v>
      </c>
    </row>
    <row r="5097" spans="1:6" x14ac:dyDescent="0.25">
      <c r="C5097" s="19"/>
      <c r="D5097" s="19" t="s">
        <v>928</v>
      </c>
      <c r="E5097" s="19" t="s">
        <v>929</v>
      </c>
      <c r="F5097">
        <v>1</v>
      </c>
    </row>
    <row r="5098" spans="1:6" x14ac:dyDescent="0.25">
      <c r="C5098" s="19"/>
      <c r="D5098" s="19" t="s">
        <v>930</v>
      </c>
      <c r="E5098" s="19" t="s">
        <v>640</v>
      </c>
      <c r="F5098">
        <v>1</v>
      </c>
    </row>
    <row r="5099" spans="1:6" x14ac:dyDescent="0.25">
      <c r="C5099" s="19"/>
      <c r="D5099" s="19" t="s">
        <v>931</v>
      </c>
      <c r="E5099" s="19" t="s">
        <v>932</v>
      </c>
      <c r="F5099">
        <v>0</v>
      </c>
    </row>
    <row r="5100" spans="1:6" x14ac:dyDescent="0.25">
      <c r="C5100" s="19"/>
      <c r="D5100" s="19" t="s">
        <v>933</v>
      </c>
      <c r="E5100" s="19" t="s">
        <v>934</v>
      </c>
      <c r="F5100">
        <v>0</v>
      </c>
    </row>
    <row r="5101" spans="1:6" x14ac:dyDescent="0.25">
      <c r="C5101" s="19"/>
      <c r="D5101" s="19" t="s">
        <v>935</v>
      </c>
      <c r="E5101" s="19" t="s">
        <v>936</v>
      </c>
      <c r="F5101">
        <v>0</v>
      </c>
    </row>
    <row r="5102" spans="1:6" x14ac:dyDescent="0.25">
      <c r="C5102" s="19"/>
      <c r="D5102" s="19" t="s">
        <v>937</v>
      </c>
      <c r="E5102" s="19" t="s">
        <v>938</v>
      </c>
      <c r="F5102">
        <v>1</v>
      </c>
    </row>
    <row r="5103" spans="1:6" x14ac:dyDescent="0.25">
      <c r="C5103" s="19"/>
      <c r="D5103" s="19" t="s">
        <v>939</v>
      </c>
      <c r="E5103" s="19" t="s">
        <v>383</v>
      </c>
      <c r="F5103">
        <v>0</v>
      </c>
    </row>
    <row r="5104" spans="1:6" x14ac:dyDescent="0.25">
      <c r="C5104" s="19"/>
      <c r="D5104" s="19" t="s">
        <v>940</v>
      </c>
      <c r="E5104" s="19" t="s">
        <v>384</v>
      </c>
      <c r="F5104">
        <v>0</v>
      </c>
    </row>
    <row r="5105" spans="1:6" x14ac:dyDescent="0.25">
      <c r="C5105" s="19"/>
      <c r="D5105" s="19" t="s">
        <v>941</v>
      </c>
      <c r="E5105" s="19" t="s">
        <v>942</v>
      </c>
      <c r="F5105">
        <v>1</v>
      </c>
    </row>
    <row r="5106" spans="1:6" x14ac:dyDescent="0.25">
      <c r="C5106" s="19"/>
      <c r="D5106" s="19" t="s">
        <v>943</v>
      </c>
      <c r="E5106" s="19" t="s">
        <v>944</v>
      </c>
      <c r="F5106">
        <v>0</v>
      </c>
    </row>
    <row r="5107" spans="1:6" x14ac:dyDescent="0.25">
      <c r="C5107" s="19"/>
      <c r="D5107" s="19" t="s">
        <v>945</v>
      </c>
      <c r="E5107" s="19" t="s">
        <v>368</v>
      </c>
      <c r="F5107">
        <v>1</v>
      </c>
    </row>
    <row r="5108" spans="1:6" x14ac:dyDescent="0.25">
      <c r="C5108" s="19"/>
      <c r="D5108" s="19" t="s">
        <v>946</v>
      </c>
      <c r="E5108" s="19" t="s">
        <v>370</v>
      </c>
      <c r="F5108">
        <v>1</v>
      </c>
    </row>
    <row r="5109" spans="1:6" x14ac:dyDescent="0.25">
      <c r="C5109" s="19"/>
      <c r="D5109" s="19" t="s">
        <v>947</v>
      </c>
      <c r="E5109" s="19" t="s">
        <v>948</v>
      </c>
      <c r="F5109">
        <v>1</v>
      </c>
    </row>
    <row r="5110" spans="1:6" x14ac:dyDescent="0.25">
      <c r="C5110" s="19"/>
      <c r="D5110" s="19" t="s">
        <v>949</v>
      </c>
      <c r="E5110" s="19" t="s">
        <v>950</v>
      </c>
      <c r="F5110">
        <v>1</v>
      </c>
    </row>
    <row r="5111" spans="1:6" x14ac:dyDescent="0.25">
      <c r="C5111" s="19"/>
      <c r="D5111" s="19" t="s">
        <v>951</v>
      </c>
      <c r="E5111" s="19" t="s">
        <v>952</v>
      </c>
      <c r="F5111">
        <v>0</v>
      </c>
    </row>
    <row r="5112" spans="1:6" x14ac:dyDescent="0.25">
      <c r="C5112" s="19"/>
      <c r="D5112" s="19" t="s">
        <v>953</v>
      </c>
      <c r="E5112" s="19" t="s">
        <v>954</v>
      </c>
      <c r="F5112">
        <v>1</v>
      </c>
    </row>
    <row r="5113" spans="1:6" x14ac:dyDescent="0.25">
      <c r="C5113" s="19"/>
      <c r="D5113" s="19" t="s">
        <v>955</v>
      </c>
      <c r="E5113" s="19" t="s">
        <v>956</v>
      </c>
      <c r="F5113">
        <v>1</v>
      </c>
    </row>
    <row r="5114" spans="1:6" x14ac:dyDescent="0.25">
      <c r="A5114" s="3">
        <v>779</v>
      </c>
      <c r="B5114" s="15" t="s">
        <v>233</v>
      </c>
      <c r="C5114" s="19" t="s">
        <v>1155</v>
      </c>
      <c r="D5114" s="19" t="s">
        <v>1156</v>
      </c>
      <c r="E5114" s="19" t="s">
        <v>273</v>
      </c>
      <c r="F5114">
        <v>1</v>
      </c>
    </row>
    <row r="5115" spans="1:6" x14ac:dyDescent="0.25">
      <c r="C5115" s="19"/>
      <c r="D5115" s="19" t="s">
        <v>1157</v>
      </c>
      <c r="E5115" s="19" t="s">
        <v>844</v>
      </c>
      <c r="F5115">
        <v>1</v>
      </c>
    </row>
    <row r="5116" spans="1:6" x14ac:dyDescent="0.25">
      <c r="C5116" s="19"/>
      <c r="D5116" s="19" t="s">
        <v>1158</v>
      </c>
      <c r="E5116" s="19" t="s">
        <v>1159</v>
      </c>
      <c r="F5116">
        <v>0</v>
      </c>
    </row>
    <row r="5117" spans="1:6" x14ac:dyDescent="0.25">
      <c r="C5117" s="19"/>
      <c r="D5117" s="19" t="s">
        <v>1160</v>
      </c>
      <c r="E5117" s="19" t="s">
        <v>1161</v>
      </c>
      <c r="F5117">
        <v>0</v>
      </c>
    </row>
    <row r="5118" spans="1:6" x14ac:dyDescent="0.25">
      <c r="C5118" s="19"/>
      <c r="D5118" s="19" t="s">
        <v>1162</v>
      </c>
      <c r="E5118" s="19" t="s">
        <v>1163</v>
      </c>
      <c r="F5118">
        <v>0</v>
      </c>
    </row>
    <row r="5119" spans="1:6" x14ac:dyDescent="0.25">
      <c r="C5119" s="19"/>
      <c r="D5119" s="19" t="s">
        <v>1164</v>
      </c>
      <c r="E5119" s="19" t="s">
        <v>1165</v>
      </c>
      <c r="F5119">
        <v>0</v>
      </c>
    </row>
    <row r="5120" spans="1:6" x14ac:dyDescent="0.25">
      <c r="C5120" s="19"/>
      <c r="D5120" s="19" t="s">
        <v>1166</v>
      </c>
      <c r="E5120" s="19" t="s">
        <v>295</v>
      </c>
      <c r="F5120">
        <v>0</v>
      </c>
    </row>
    <row r="5121" spans="1:6" x14ac:dyDescent="0.25">
      <c r="C5121" s="19"/>
      <c r="D5121" s="19" t="s">
        <v>1167</v>
      </c>
      <c r="E5121" s="19" t="s">
        <v>1168</v>
      </c>
      <c r="F5121">
        <v>1</v>
      </c>
    </row>
    <row r="5122" spans="1:6" x14ac:dyDescent="0.25">
      <c r="A5122" s="3">
        <v>780</v>
      </c>
      <c r="B5122" s="15" t="s">
        <v>234</v>
      </c>
      <c r="C5122" s="19" t="s">
        <v>506</v>
      </c>
      <c r="D5122" s="19" t="s">
        <v>507</v>
      </c>
      <c r="E5122" s="19" t="s">
        <v>508</v>
      </c>
      <c r="F5122">
        <v>1</v>
      </c>
    </row>
    <row r="5123" spans="1:6" x14ac:dyDescent="0.25">
      <c r="C5123" s="19"/>
      <c r="D5123" s="19" t="s">
        <v>509</v>
      </c>
      <c r="E5123" s="19" t="s">
        <v>510</v>
      </c>
      <c r="F5123">
        <v>1</v>
      </c>
    </row>
    <row r="5124" spans="1:6" x14ac:dyDescent="0.25">
      <c r="C5124" s="19"/>
      <c r="D5124" s="19" t="s">
        <v>511</v>
      </c>
      <c r="E5124" s="19" t="s">
        <v>512</v>
      </c>
      <c r="F5124">
        <v>1</v>
      </c>
    </row>
    <row r="5125" spans="1:6" x14ac:dyDescent="0.25">
      <c r="C5125" s="19"/>
      <c r="D5125" s="19" t="s">
        <v>513</v>
      </c>
      <c r="E5125" s="19" t="s">
        <v>514</v>
      </c>
      <c r="F5125">
        <v>0</v>
      </c>
    </row>
    <row r="5126" spans="1:6" x14ac:dyDescent="0.25">
      <c r="C5126" s="19"/>
      <c r="D5126" s="19" t="s">
        <v>515</v>
      </c>
      <c r="E5126" s="19" t="s">
        <v>516</v>
      </c>
      <c r="F5126">
        <v>0</v>
      </c>
    </row>
    <row r="5127" spans="1:6" x14ac:dyDescent="0.25">
      <c r="C5127" s="19"/>
      <c r="D5127" s="19" t="s">
        <v>517</v>
      </c>
      <c r="E5127" s="19" t="s">
        <v>518</v>
      </c>
      <c r="F5127">
        <v>0</v>
      </c>
    </row>
    <row r="5128" spans="1:6" x14ac:dyDescent="0.25">
      <c r="C5128" s="19"/>
      <c r="D5128" s="19" t="s">
        <v>519</v>
      </c>
      <c r="E5128" s="19" t="s">
        <v>520</v>
      </c>
      <c r="F5128">
        <v>0</v>
      </c>
    </row>
    <row r="5129" spans="1:6" x14ac:dyDescent="0.25">
      <c r="C5129" s="19"/>
      <c r="D5129" s="19" t="s">
        <v>521</v>
      </c>
      <c r="E5129" s="19" t="s">
        <v>522</v>
      </c>
      <c r="F5129">
        <v>0</v>
      </c>
    </row>
    <row r="5130" spans="1:6" x14ac:dyDescent="0.25">
      <c r="C5130" s="19"/>
      <c r="D5130" s="19" t="s">
        <v>523</v>
      </c>
      <c r="E5130" s="19" t="s">
        <v>524</v>
      </c>
      <c r="F5130">
        <v>0</v>
      </c>
    </row>
    <row r="5131" spans="1:6" x14ac:dyDescent="0.25">
      <c r="C5131" s="19"/>
      <c r="D5131" s="19" t="s">
        <v>525</v>
      </c>
      <c r="E5131" s="19" t="s">
        <v>526</v>
      </c>
      <c r="F5131">
        <v>0</v>
      </c>
    </row>
    <row r="5132" spans="1:6" x14ac:dyDescent="0.25">
      <c r="C5132" s="19"/>
      <c r="D5132" s="19" t="s">
        <v>527</v>
      </c>
      <c r="E5132" s="19" t="s">
        <v>283</v>
      </c>
      <c r="F5132">
        <v>1</v>
      </c>
    </row>
    <row r="5133" spans="1:6" x14ac:dyDescent="0.25">
      <c r="C5133" s="19"/>
      <c r="D5133" s="19" t="s">
        <v>528</v>
      </c>
      <c r="E5133" s="19" t="s">
        <v>529</v>
      </c>
      <c r="F5133">
        <v>0</v>
      </c>
    </row>
    <row r="5134" spans="1:6" x14ac:dyDescent="0.25">
      <c r="C5134" s="19"/>
      <c r="D5134" s="19" t="s">
        <v>530</v>
      </c>
      <c r="E5134" s="19" t="s">
        <v>531</v>
      </c>
      <c r="F5134">
        <v>1</v>
      </c>
    </row>
    <row r="5135" spans="1:6" x14ac:dyDescent="0.25">
      <c r="C5135" s="19"/>
      <c r="D5135" s="19" t="s">
        <v>532</v>
      </c>
      <c r="E5135" s="19" t="s">
        <v>533</v>
      </c>
      <c r="F5135">
        <v>1</v>
      </c>
    </row>
    <row r="5136" spans="1:6" x14ac:dyDescent="0.25">
      <c r="C5136" s="19"/>
      <c r="D5136" s="19" t="s">
        <v>534</v>
      </c>
      <c r="E5136" s="19" t="s">
        <v>535</v>
      </c>
      <c r="F5136">
        <v>0</v>
      </c>
    </row>
    <row r="5137" spans="1:6" x14ac:dyDescent="0.25">
      <c r="C5137" s="19"/>
      <c r="D5137" s="19" t="s">
        <v>536</v>
      </c>
      <c r="E5137" s="19" t="s">
        <v>537</v>
      </c>
      <c r="F5137">
        <v>1</v>
      </c>
    </row>
    <row r="5138" spans="1:6" x14ac:dyDescent="0.25">
      <c r="C5138" s="19"/>
      <c r="D5138" s="19" t="s">
        <v>538</v>
      </c>
      <c r="E5138" s="19" t="s">
        <v>539</v>
      </c>
      <c r="F5138">
        <v>1</v>
      </c>
    </row>
    <row r="5139" spans="1:6" x14ac:dyDescent="0.25">
      <c r="C5139" s="19"/>
      <c r="D5139" s="19" t="s">
        <v>540</v>
      </c>
      <c r="E5139" s="19" t="s">
        <v>541</v>
      </c>
      <c r="F5139">
        <v>1</v>
      </c>
    </row>
    <row r="5140" spans="1:6" x14ac:dyDescent="0.25">
      <c r="C5140" s="19"/>
      <c r="D5140" s="19" t="s">
        <v>542</v>
      </c>
      <c r="E5140" s="19" t="s">
        <v>543</v>
      </c>
      <c r="F5140">
        <v>1</v>
      </c>
    </row>
    <row r="5141" spans="1:6" x14ac:dyDescent="0.25">
      <c r="C5141" s="19"/>
      <c r="D5141" s="19" t="s">
        <v>544</v>
      </c>
      <c r="E5141" s="19" t="s">
        <v>545</v>
      </c>
      <c r="F5141">
        <v>1</v>
      </c>
    </row>
    <row r="5142" spans="1:6" x14ac:dyDescent="0.25">
      <c r="C5142" s="19"/>
      <c r="D5142" s="19" t="s">
        <v>546</v>
      </c>
      <c r="E5142" s="19" t="s">
        <v>547</v>
      </c>
      <c r="F5142">
        <v>0</v>
      </c>
    </row>
    <row r="5143" spans="1:6" x14ac:dyDescent="0.25">
      <c r="C5143" s="19"/>
      <c r="D5143" s="19" t="s">
        <v>548</v>
      </c>
      <c r="E5143" s="19" t="s">
        <v>549</v>
      </c>
      <c r="F5143">
        <v>1</v>
      </c>
    </row>
    <row r="5144" spans="1:6" x14ac:dyDescent="0.25">
      <c r="C5144" s="19"/>
      <c r="D5144" s="19" t="s">
        <v>550</v>
      </c>
      <c r="E5144" s="19" t="s">
        <v>551</v>
      </c>
      <c r="F5144">
        <v>1</v>
      </c>
    </row>
    <row r="5145" spans="1:6" x14ac:dyDescent="0.25">
      <c r="A5145" s="3">
        <v>786</v>
      </c>
      <c r="B5145" s="15" t="s">
        <v>235</v>
      </c>
      <c r="C5145" s="19" t="s">
        <v>1492</v>
      </c>
      <c r="D5145" s="19" t="s">
        <v>1493</v>
      </c>
      <c r="E5145" s="19" t="s">
        <v>1494</v>
      </c>
      <c r="F5145">
        <v>1</v>
      </c>
    </row>
    <row r="5146" spans="1:6" x14ac:dyDescent="0.25">
      <c r="C5146" s="19"/>
      <c r="D5146" s="19" t="s">
        <v>1495</v>
      </c>
      <c r="E5146" s="19" t="s">
        <v>1496</v>
      </c>
      <c r="F5146">
        <v>1</v>
      </c>
    </row>
    <row r="5147" spans="1:6" x14ac:dyDescent="0.25">
      <c r="C5147" s="19"/>
      <c r="D5147" s="19" t="s">
        <v>1497</v>
      </c>
      <c r="E5147" s="19" t="s">
        <v>306</v>
      </c>
      <c r="F5147">
        <v>0</v>
      </c>
    </row>
    <row r="5148" spans="1:6" x14ac:dyDescent="0.25">
      <c r="C5148" s="19"/>
      <c r="D5148" s="19" t="s">
        <v>1498</v>
      </c>
      <c r="E5148" s="19" t="s">
        <v>1499</v>
      </c>
      <c r="F5148">
        <v>1</v>
      </c>
    </row>
    <row r="5149" spans="1:6" x14ac:dyDescent="0.25">
      <c r="C5149" s="19"/>
      <c r="D5149" s="19" t="s">
        <v>1500</v>
      </c>
      <c r="E5149" s="19" t="s">
        <v>1397</v>
      </c>
      <c r="F5149">
        <v>0</v>
      </c>
    </row>
    <row r="5150" spans="1:6" x14ac:dyDescent="0.25">
      <c r="C5150" s="19"/>
      <c r="D5150" s="19" t="s">
        <v>1501</v>
      </c>
      <c r="E5150" s="19" t="s">
        <v>1502</v>
      </c>
      <c r="F5150">
        <v>1</v>
      </c>
    </row>
    <row r="5151" spans="1:6" x14ac:dyDescent="0.25">
      <c r="C5151" s="19"/>
      <c r="D5151" s="19" t="s">
        <v>1503</v>
      </c>
      <c r="E5151" s="19" t="s">
        <v>1504</v>
      </c>
      <c r="F5151">
        <v>0</v>
      </c>
    </row>
    <row r="5152" spans="1:6" x14ac:dyDescent="0.25">
      <c r="C5152" s="19"/>
      <c r="D5152" s="19" t="s">
        <v>1505</v>
      </c>
      <c r="E5152" s="19" t="s">
        <v>1506</v>
      </c>
      <c r="F5152">
        <v>0</v>
      </c>
    </row>
    <row r="5153" spans="3:6" x14ac:dyDescent="0.25">
      <c r="C5153" s="19"/>
      <c r="D5153" s="19" t="s">
        <v>1507</v>
      </c>
      <c r="E5153" s="19" t="s">
        <v>611</v>
      </c>
      <c r="F5153">
        <v>0</v>
      </c>
    </row>
    <row r="5154" spans="3:6" x14ac:dyDescent="0.25">
      <c r="C5154" s="19"/>
      <c r="D5154" s="19" t="s">
        <v>1508</v>
      </c>
      <c r="E5154" s="19" t="s">
        <v>1509</v>
      </c>
      <c r="F5154">
        <v>1</v>
      </c>
    </row>
    <row r="5155" spans="3:6" x14ac:dyDescent="0.25">
      <c r="C5155" s="19"/>
      <c r="D5155" s="19" t="s">
        <v>1510</v>
      </c>
      <c r="E5155" s="19" t="s">
        <v>613</v>
      </c>
      <c r="F5155">
        <v>0</v>
      </c>
    </row>
    <row r="5156" spans="3:6" x14ac:dyDescent="0.25">
      <c r="C5156" s="19"/>
      <c r="D5156" s="19" t="s">
        <v>1511</v>
      </c>
      <c r="E5156" s="19" t="s">
        <v>1419</v>
      </c>
      <c r="F5156">
        <v>0</v>
      </c>
    </row>
    <row r="5157" spans="3:6" x14ac:dyDescent="0.25">
      <c r="C5157" s="19"/>
      <c r="D5157" s="19" t="s">
        <v>1512</v>
      </c>
      <c r="E5157" s="19" t="s">
        <v>621</v>
      </c>
      <c r="F5157">
        <v>0</v>
      </c>
    </row>
    <row r="5158" spans="3:6" x14ac:dyDescent="0.25">
      <c r="C5158" s="19"/>
      <c r="D5158" s="19" t="s">
        <v>1513</v>
      </c>
      <c r="E5158" s="19" t="s">
        <v>1422</v>
      </c>
      <c r="F5158">
        <v>0</v>
      </c>
    </row>
    <row r="5159" spans="3:6" x14ac:dyDescent="0.25">
      <c r="C5159" s="19"/>
      <c r="D5159" s="19" t="s">
        <v>1514</v>
      </c>
      <c r="E5159" s="19" t="s">
        <v>614</v>
      </c>
      <c r="F5159">
        <v>0</v>
      </c>
    </row>
    <row r="5160" spans="3:6" x14ac:dyDescent="0.25">
      <c r="C5160" s="19"/>
      <c r="D5160" s="19" t="s">
        <v>1515</v>
      </c>
      <c r="E5160" s="19" t="s">
        <v>615</v>
      </c>
      <c r="F5160">
        <v>0</v>
      </c>
    </row>
    <row r="5161" spans="3:6" x14ac:dyDescent="0.25">
      <c r="C5161" s="19"/>
      <c r="D5161" s="19" t="s">
        <v>1516</v>
      </c>
      <c r="E5161" s="19" t="s">
        <v>1517</v>
      </c>
      <c r="F5161">
        <v>1</v>
      </c>
    </row>
    <row r="5162" spans="3:6" x14ac:dyDescent="0.25">
      <c r="C5162" s="19"/>
      <c r="D5162" s="19" t="s">
        <v>1518</v>
      </c>
      <c r="E5162" s="19" t="s">
        <v>1519</v>
      </c>
      <c r="F5162">
        <v>1</v>
      </c>
    </row>
    <row r="5163" spans="3:6" x14ac:dyDescent="0.25">
      <c r="C5163" s="19"/>
      <c r="D5163" s="19" t="s">
        <v>1520</v>
      </c>
      <c r="E5163" s="19" t="s">
        <v>1521</v>
      </c>
      <c r="F5163">
        <v>0</v>
      </c>
    </row>
    <row r="5164" spans="3:6" x14ac:dyDescent="0.25">
      <c r="C5164" s="19"/>
      <c r="D5164" s="19" t="s">
        <v>1522</v>
      </c>
      <c r="E5164" s="19" t="s">
        <v>1523</v>
      </c>
      <c r="F5164">
        <v>0</v>
      </c>
    </row>
    <row r="5165" spans="3:6" x14ac:dyDescent="0.25">
      <c r="C5165" s="19"/>
      <c r="D5165" s="19" t="s">
        <v>1524</v>
      </c>
      <c r="E5165" s="19" t="s">
        <v>1525</v>
      </c>
      <c r="F5165">
        <v>0</v>
      </c>
    </row>
    <row r="5166" spans="3:6" x14ac:dyDescent="0.25">
      <c r="C5166" s="19"/>
      <c r="D5166" s="19" t="s">
        <v>1526</v>
      </c>
      <c r="E5166" s="19" t="s">
        <v>1527</v>
      </c>
      <c r="F5166">
        <v>1</v>
      </c>
    </row>
    <row r="5167" spans="3:6" x14ac:dyDescent="0.25">
      <c r="C5167" s="19"/>
      <c r="D5167" s="19" t="s">
        <v>1528</v>
      </c>
      <c r="E5167" s="19" t="s">
        <v>1529</v>
      </c>
      <c r="F5167">
        <v>1</v>
      </c>
    </row>
    <row r="5168" spans="3:6" x14ac:dyDescent="0.25">
      <c r="C5168" s="19"/>
      <c r="D5168" s="19" t="s">
        <v>1530</v>
      </c>
      <c r="E5168" s="19" t="s">
        <v>1430</v>
      </c>
      <c r="F5168">
        <v>1</v>
      </c>
    </row>
    <row r="5169" spans="1:6" x14ac:dyDescent="0.25">
      <c r="C5169" s="19"/>
      <c r="D5169" s="19" t="s">
        <v>1531</v>
      </c>
      <c r="E5169" s="19" t="s">
        <v>503</v>
      </c>
      <c r="F5169">
        <v>1</v>
      </c>
    </row>
    <row r="5170" spans="1:6" x14ac:dyDescent="0.25">
      <c r="C5170" s="19"/>
      <c r="D5170" s="19" t="s">
        <v>1532</v>
      </c>
      <c r="E5170" s="19" t="s">
        <v>1533</v>
      </c>
      <c r="F5170">
        <v>1</v>
      </c>
    </row>
    <row r="5171" spans="1:6" x14ac:dyDescent="0.25">
      <c r="C5171" s="19"/>
      <c r="D5171" s="19" t="s">
        <v>1534</v>
      </c>
      <c r="E5171" s="19" t="s">
        <v>1535</v>
      </c>
      <c r="F5171">
        <v>1</v>
      </c>
    </row>
    <row r="5172" spans="1:6" x14ac:dyDescent="0.25">
      <c r="A5172" s="3">
        <v>787</v>
      </c>
      <c r="B5172" s="15" t="s">
        <v>236</v>
      </c>
      <c r="C5172" s="19" t="s">
        <v>1259</v>
      </c>
      <c r="D5172" s="19" t="s">
        <v>1260</v>
      </c>
      <c r="E5172" s="19" t="s">
        <v>273</v>
      </c>
      <c r="F5172">
        <v>1</v>
      </c>
    </row>
    <row r="5173" spans="1:6" x14ac:dyDescent="0.25">
      <c r="C5173" s="19"/>
      <c r="D5173" s="19" t="s">
        <v>1261</v>
      </c>
      <c r="E5173" s="19" t="s">
        <v>1262</v>
      </c>
      <c r="F5173">
        <v>0</v>
      </c>
    </row>
    <row r="5174" spans="1:6" x14ac:dyDescent="0.25">
      <c r="C5174" s="19"/>
      <c r="D5174" s="19" t="s">
        <v>1263</v>
      </c>
      <c r="E5174" s="19" t="s">
        <v>1264</v>
      </c>
      <c r="F5174">
        <v>0</v>
      </c>
    </row>
    <row r="5175" spans="1:6" x14ac:dyDescent="0.25">
      <c r="C5175" s="19"/>
      <c r="D5175" s="19" t="s">
        <v>1265</v>
      </c>
      <c r="E5175" s="19" t="s">
        <v>1266</v>
      </c>
      <c r="F5175">
        <v>0</v>
      </c>
    </row>
    <row r="5176" spans="1:6" x14ac:dyDescent="0.25">
      <c r="A5176" s="3">
        <v>797</v>
      </c>
      <c r="B5176" s="15" t="s">
        <v>237</v>
      </c>
      <c r="C5176" s="19" t="s">
        <v>1354</v>
      </c>
      <c r="D5176" s="19" t="s">
        <v>1355</v>
      </c>
      <c r="E5176" s="19" t="s">
        <v>270</v>
      </c>
      <c r="F5176">
        <v>1</v>
      </c>
    </row>
    <row r="5177" spans="1:6" x14ac:dyDescent="0.25">
      <c r="C5177" s="19"/>
      <c r="D5177" s="19" t="s">
        <v>1356</v>
      </c>
      <c r="E5177" s="19" t="s">
        <v>1357</v>
      </c>
      <c r="F5177">
        <v>1</v>
      </c>
    </row>
    <row r="5178" spans="1:6" x14ac:dyDescent="0.25">
      <c r="C5178" s="19"/>
      <c r="D5178" s="19" t="s">
        <v>1358</v>
      </c>
      <c r="E5178" s="19" t="s">
        <v>1359</v>
      </c>
      <c r="F5178">
        <v>0</v>
      </c>
    </row>
    <row r="5179" spans="1:6" x14ac:dyDescent="0.25">
      <c r="C5179" s="19"/>
      <c r="D5179" s="19" t="s">
        <v>1360</v>
      </c>
      <c r="E5179" s="19" t="s">
        <v>1361</v>
      </c>
      <c r="F5179">
        <v>0</v>
      </c>
    </row>
    <row r="5180" spans="1:6" x14ac:dyDescent="0.25">
      <c r="C5180" s="19"/>
      <c r="D5180" s="19" t="s">
        <v>1362</v>
      </c>
      <c r="E5180" s="19" t="s">
        <v>1363</v>
      </c>
      <c r="F5180">
        <v>1</v>
      </c>
    </row>
    <row r="5181" spans="1:6" x14ac:dyDescent="0.25">
      <c r="C5181" s="19"/>
      <c r="D5181" s="19" t="s">
        <v>1364</v>
      </c>
      <c r="E5181" s="19" t="s">
        <v>1365</v>
      </c>
      <c r="F5181">
        <v>1</v>
      </c>
    </row>
    <row r="5182" spans="1:6" x14ac:dyDescent="0.25">
      <c r="C5182" s="19" t="s">
        <v>1198</v>
      </c>
      <c r="D5182" s="19" t="s">
        <v>1199</v>
      </c>
      <c r="E5182" s="19" t="s">
        <v>273</v>
      </c>
      <c r="F5182">
        <v>0</v>
      </c>
    </row>
    <row r="5183" spans="1:6" x14ac:dyDescent="0.25">
      <c r="C5183" s="19"/>
      <c r="D5183" s="19" t="s">
        <v>1200</v>
      </c>
      <c r="E5183" s="19" t="s">
        <v>312</v>
      </c>
      <c r="F5183">
        <v>0</v>
      </c>
    </row>
    <row r="5184" spans="1:6" x14ac:dyDescent="0.25">
      <c r="C5184" s="19"/>
      <c r="D5184" s="19" t="s">
        <v>1201</v>
      </c>
      <c r="E5184" s="19" t="s">
        <v>801</v>
      </c>
      <c r="F5184">
        <v>0</v>
      </c>
    </row>
    <row r="5185" spans="3:6" x14ac:dyDescent="0.25">
      <c r="C5185" s="19"/>
      <c r="D5185" s="19" t="s">
        <v>1202</v>
      </c>
      <c r="E5185" s="19" t="s">
        <v>786</v>
      </c>
      <c r="F5185">
        <v>1</v>
      </c>
    </row>
    <row r="5186" spans="3:6" x14ac:dyDescent="0.25">
      <c r="C5186" s="19"/>
      <c r="D5186" s="19" t="s">
        <v>1203</v>
      </c>
      <c r="E5186" s="19" t="s">
        <v>784</v>
      </c>
      <c r="F5186">
        <v>0</v>
      </c>
    </row>
    <row r="5187" spans="3:6" x14ac:dyDescent="0.25">
      <c r="C5187" s="19"/>
      <c r="D5187" s="19" t="s">
        <v>1204</v>
      </c>
      <c r="E5187" s="19" t="s">
        <v>1205</v>
      </c>
      <c r="F5187">
        <v>0</v>
      </c>
    </row>
    <row r="5188" spans="3:6" x14ac:dyDescent="0.25">
      <c r="C5188" s="19"/>
      <c r="D5188" s="19" t="s">
        <v>1206</v>
      </c>
      <c r="E5188" s="19" t="s">
        <v>1207</v>
      </c>
      <c r="F5188">
        <v>0</v>
      </c>
    </row>
    <row r="5189" spans="3:6" x14ac:dyDescent="0.25">
      <c r="C5189" s="19"/>
      <c r="D5189" s="19" t="s">
        <v>1208</v>
      </c>
      <c r="E5189" s="19" t="s">
        <v>1209</v>
      </c>
      <c r="F5189">
        <v>0</v>
      </c>
    </row>
    <row r="5190" spans="3:6" x14ac:dyDescent="0.25">
      <c r="C5190" s="19"/>
      <c r="D5190" s="19" t="s">
        <v>1210</v>
      </c>
      <c r="E5190" s="19" t="s">
        <v>1211</v>
      </c>
      <c r="F5190">
        <v>0</v>
      </c>
    </row>
    <row r="5191" spans="3:6" x14ac:dyDescent="0.25">
      <c r="C5191" s="19"/>
      <c r="D5191" s="19" t="s">
        <v>1212</v>
      </c>
      <c r="E5191" s="19" t="s">
        <v>789</v>
      </c>
      <c r="F5191">
        <v>0</v>
      </c>
    </row>
    <row r="5192" spans="3:6" x14ac:dyDescent="0.25">
      <c r="C5192" s="19"/>
      <c r="D5192" s="19" t="s">
        <v>1213</v>
      </c>
      <c r="E5192" s="19" t="s">
        <v>1214</v>
      </c>
      <c r="F5192">
        <v>1</v>
      </c>
    </row>
    <row r="5193" spans="3:6" x14ac:dyDescent="0.25">
      <c r="C5193" s="19"/>
      <c r="D5193" s="19" t="s">
        <v>1215</v>
      </c>
      <c r="E5193" s="19" t="s">
        <v>1216</v>
      </c>
      <c r="F5193">
        <v>0</v>
      </c>
    </row>
    <row r="5194" spans="3:6" x14ac:dyDescent="0.25">
      <c r="C5194" s="19"/>
      <c r="D5194" s="19" t="s">
        <v>1217</v>
      </c>
      <c r="E5194" s="19" t="s">
        <v>791</v>
      </c>
      <c r="F5194">
        <v>0</v>
      </c>
    </row>
    <row r="5195" spans="3:6" x14ac:dyDescent="0.25">
      <c r="C5195" s="19"/>
      <c r="D5195" s="19" t="s">
        <v>1218</v>
      </c>
      <c r="E5195" s="19" t="s">
        <v>795</v>
      </c>
      <c r="F5195">
        <v>1</v>
      </c>
    </row>
    <row r="5196" spans="3:6" x14ac:dyDescent="0.25">
      <c r="C5196" s="19"/>
      <c r="D5196" s="19" t="s">
        <v>1219</v>
      </c>
      <c r="E5196" s="19" t="s">
        <v>372</v>
      </c>
      <c r="F5196">
        <v>1</v>
      </c>
    </row>
    <row r="5197" spans="3:6" x14ac:dyDescent="0.25">
      <c r="C5197" s="19" t="s">
        <v>1832</v>
      </c>
      <c r="D5197" s="19" t="s">
        <v>1833</v>
      </c>
      <c r="E5197" s="19" t="s">
        <v>273</v>
      </c>
      <c r="F5197">
        <v>1</v>
      </c>
    </row>
    <row r="5198" spans="3:6" x14ac:dyDescent="0.25">
      <c r="C5198" s="19"/>
      <c r="D5198" s="19" t="s">
        <v>1834</v>
      </c>
      <c r="E5198" s="19" t="s">
        <v>1835</v>
      </c>
      <c r="F5198">
        <v>1</v>
      </c>
    </row>
    <row r="5199" spans="3:6" x14ac:dyDescent="0.25">
      <c r="C5199" s="19"/>
      <c r="D5199" s="19" t="s">
        <v>1836</v>
      </c>
      <c r="E5199" s="19" t="s">
        <v>1837</v>
      </c>
      <c r="F5199">
        <v>0</v>
      </c>
    </row>
    <row r="5200" spans="3:6" x14ac:dyDescent="0.25">
      <c r="C5200" s="19"/>
      <c r="D5200" s="19" t="s">
        <v>1838</v>
      </c>
      <c r="E5200" s="19" t="s">
        <v>686</v>
      </c>
      <c r="F5200">
        <v>0</v>
      </c>
    </row>
    <row r="5201" spans="1:6" x14ac:dyDescent="0.25">
      <c r="C5201" s="19"/>
      <c r="D5201" s="19" t="s">
        <v>1839</v>
      </c>
      <c r="E5201" s="19" t="s">
        <v>1840</v>
      </c>
      <c r="F5201">
        <v>0</v>
      </c>
    </row>
    <row r="5202" spans="1:6" x14ac:dyDescent="0.25">
      <c r="C5202" s="19"/>
      <c r="D5202" s="19" t="s">
        <v>1841</v>
      </c>
      <c r="E5202" s="19" t="s">
        <v>929</v>
      </c>
      <c r="F5202">
        <v>0</v>
      </c>
    </row>
    <row r="5203" spans="1:6" x14ac:dyDescent="0.25">
      <c r="C5203" s="19"/>
      <c r="D5203" s="19" t="s">
        <v>1842</v>
      </c>
      <c r="E5203" s="19" t="s">
        <v>1214</v>
      </c>
      <c r="F5203">
        <v>1</v>
      </c>
    </row>
    <row r="5204" spans="1:6" x14ac:dyDescent="0.25">
      <c r="C5204" s="19"/>
      <c r="D5204" s="19" t="s">
        <v>1843</v>
      </c>
      <c r="E5204" s="19" t="s">
        <v>1844</v>
      </c>
      <c r="F5204">
        <v>2</v>
      </c>
    </row>
    <row r="5205" spans="1:6" x14ac:dyDescent="0.25">
      <c r="C5205" s="19"/>
      <c r="D5205" s="19" t="s">
        <v>1845</v>
      </c>
      <c r="E5205" s="19" t="s">
        <v>372</v>
      </c>
      <c r="F5205">
        <v>0</v>
      </c>
    </row>
    <row r="5206" spans="1:6" x14ac:dyDescent="0.25">
      <c r="C5206" s="19"/>
      <c r="D5206" s="19" t="s">
        <v>1846</v>
      </c>
      <c r="E5206" s="19" t="s">
        <v>1847</v>
      </c>
      <c r="F5206">
        <v>0</v>
      </c>
    </row>
    <row r="5207" spans="1:6" x14ac:dyDescent="0.25">
      <c r="C5207" s="19"/>
      <c r="D5207" s="19" t="s">
        <v>1848</v>
      </c>
      <c r="E5207" s="19" t="s">
        <v>1849</v>
      </c>
      <c r="F5207">
        <v>0</v>
      </c>
    </row>
    <row r="5208" spans="1:6" x14ac:dyDescent="0.25">
      <c r="C5208" s="19"/>
      <c r="D5208" s="19" t="s">
        <v>1850</v>
      </c>
      <c r="E5208" s="19" t="s">
        <v>1851</v>
      </c>
      <c r="F5208">
        <v>0</v>
      </c>
    </row>
    <row r="5209" spans="1:6" x14ac:dyDescent="0.25">
      <c r="C5209" s="19"/>
      <c r="D5209" s="19" t="s">
        <v>1852</v>
      </c>
      <c r="E5209" s="19" t="s">
        <v>1853</v>
      </c>
      <c r="F5209">
        <v>0</v>
      </c>
    </row>
    <row r="5210" spans="1:6" x14ac:dyDescent="0.25">
      <c r="A5210" s="3">
        <v>800</v>
      </c>
      <c r="B5210" s="15" t="s">
        <v>238</v>
      </c>
      <c r="C5210" s="19" t="s">
        <v>1790</v>
      </c>
      <c r="D5210" s="19" t="s">
        <v>1791</v>
      </c>
      <c r="E5210" s="19" t="s">
        <v>273</v>
      </c>
      <c r="F5210">
        <v>1</v>
      </c>
    </row>
    <row r="5211" spans="1:6" x14ac:dyDescent="0.25">
      <c r="C5211" s="19"/>
      <c r="D5211" s="19" t="s">
        <v>1792</v>
      </c>
      <c r="E5211" s="19" t="s">
        <v>312</v>
      </c>
      <c r="F5211">
        <v>1</v>
      </c>
    </row>
    <row r="5212" spans="1:6" x14ac:dyDescent="0.25">
      <c r="C5212" s="19"/>
      <c r="D5212" s="19" t="s">
        <v>1793</v>
      </c>
      <c r="E5212" s="19" t="s">
        <v>801</v>
      </c>
      <c r="F5212">
        <v>1</v>
      </c>
    </row>
    <row r="5213" spans="1:6" x14ac:dyDescent="0.25">
      <c r="C5213" s="19"/>
      <c r="D5213" s="19" t="s">
        <v>1794</v>
      </c>
      <c r="E5213" s="19" t="s">
        <v>786</v>
      </c>
      <c r="F5213">
        <v>1</v>
      </c>
    </row>
    <row r="5214" spans="1:6" x14ac:dyDescent="0.25">
      <c r="C5214" s="19"/>
      <c r="D5214" s="19" t="s">
        <v>1795</v>
      </c>
      <c r="E5214" s="19" t="s">
        <v>784</v>
      </c>
      <c r="F5214">
        <v>0</v>
      </c>
    </row>
    <row r="5215" spans="1:6" x14ac:dyDescent="0.25">
      <c r="C5215" s="19"/>
      <c r="D5215" s="19" t="s">
        <v>1796</v>
      </c>
      <c r="E5215" s="19" t="s">
        <v>1205</v>
      </c>
      <c r="F5215">
        <v>0</v>
      </c>
    </row>
    <row r="5216" spans="1:6" x14ac:dyDescent="0.25">
      <c r="C5216" s="19"/>
      <c r="D5216" s="19" t="s">
        <v>1797</v>
      </c>
      <c r="E5216" s="19" t="s">
        <v>1207</v>
      </c>
      <c r="F5216">
        <v>0</v>
      </c>
    </row>
    <row r="5217" spans="1:6" x14ac:dyDescent="0.25">
      <c r="C5217" s="19"/>
      <c r="D5217" s="19" t="s">
        <v>1798</v>
      </c>
      <c r="E5217" s="19" t="s">
        <v>1209</v>
      </c>
      <c r="F5217">
        <v>0</v>
      </c>
    </row>
    <row r="5218" spans="1:6" x14ac:dyDescent="0.25">
      <c r="C5218" s="19"/>
      <c r="D5218" s="19" t="s">
        <v>1799</v>
      </c>
      <c r="E5218" s="19" t="s">
        <v>789</v>
      </c>
      <c r="F5218">
        <v>0</v>
      </c>
    </row>
    <row r="5219" spans="1:6" x14ac:dyDescent="0.25">
      <c r="C5219" s="19"/>
      <c r="D5219" s="19" t="s">
        <v>1800</v>
      </c>
      <c r="E5219" s="19" t="s">
        <v>1214</v>
      </c>
      <c r="F5219">
        <v>1</v>
      </c>
    </row>
    <row r="5220" spans="1:6" x14ac:dyDescent="0.25">
      <c r="C5220" s="19"/>
      <c r="D5220" s="19" t="s">
        <v>1801</v>
      </c>
      <c r="E5220" s="19" t="s">
        <v>1784</v>
      </c>
      <c r="F5220">
        <v>0</v>
      </c>
    </row>
    <row r="5221" spans="1:6" x14ac:dyDescent="0.25">
      <c r="C5221" s="19"/>
      <c r="D5221" s="19" t="s">
        <v>1802</v>
      </c>
      <c r="E5221" s="19" t="s">
        <v>791</v>
      </c>
      <c r="F5221">
        <v>0</v>
      </c>
    </row>
    <row r="5222" spans="1:6" x14ac:dyDescent="0.25">
      <c r="C5222" s="19"/>
      <c r="D5222" s="19" t="s">
        <v>1803</v>
      </c>
      <c r="E5222" s="19" t="s">
        <v>795</v>
      </c>
      <c r="F5222">
        <v>1</v>
      </c>
    </row>
    <row r="5223" spans="1:6" x14ac:dyDescent="0.25">
      <c r="C5223" s="19"/>
      <c r="D5223" s="19" t="s">
        <v>1804</v>
      </c>
      <c r="E5223" s="19" t="s">
        <v>372</v>
      </c>
      <c r="F5223">
        <v>0</v>
      </c>
    </row>
    <row r="5224" spans="1:6" x14ac:dyDescent="0.25">
      <c r="C5224" s="19"/>
      <c r="D5224" s="19" t="s">
        <v>1805</v>
      </c>
      <c r="E5224" s="19" t="s">
        <v>1806</v>
      </c>
      <c r="F5224">
        <v>0</v>
      </c>
    </row>
    <row r="5225" spans="1:6" x14ac:dyDescent="0.25">
      <c r="C5225" s="19"/>
      <c r="D5225" s="19" t="s">
        <v>1807</v>
      </c>
      <c r="E5225" s="19" t="s">
        <v>1808</v>
      </c>
      <c r="F5225">
        <v>0</v>
      </c>
    </row>
    <row r="5226" spans="1:6" x14ac:dyDescent="0.25">
      <c r="A5226" s="3">
        <v>802</v>
      </c>
      <c r="B5226" s="15" t="s">
        <v>239</v>
      </c>
      <c r="C5226" s="19" t="s">
        <v>818</v>
      </c>
      <c r="D5226" s="19" t="s">
        <v>819</v>
      </c>
      <c r="E5226" s="19" t="s">
        <v>820</v>
      </c>
      <c r="F5226">
        <v>1</v>
      </c>
    </row>
    <row r="5227" spans="1:6" x14ac:dyDescent="0.25">
      <c r="C5227" s="19"/>
      <c r="D5227" s="19" t="s">
        <v>821</v>
      </c>
      <c r="E5227" s="19" t="s">
        <v>822</v>
      </c>
      <c r="F5227">
        <v>0</v>
      </c>
    </row>
    <row r="5228" spans="1:6" x14ac:dyDescent="0.25">
      <c r="C5228" s="19"/>
      <c r="D5228" s="19" t="s">
        <v>823</v>
      </c>
      <c r="E5228" s="19" t="s">
        <v>306</v>
      </c>
      <c r="F5228">
        <v>1</v>
      </c>
    </row>
    <row r="5229" spans="1:6" x14ac:dyDescent="0.25">
      <c r="C5229" s="19"/>
      <c r="D5229" s="19" t="s">
        <v>824</v>
      </c>
      <c r="E5229" s="19" t="s">
        <v>825</v>
      </c>
      <c r="F5229">
        <v>1</v>
      </c>
    </row>
    <row r="5230" spans="1:6" x14ac:dyDescent="0.25">
      <c r="C5230" s="19"/>
      <c r="D5230" s="19" t="s">
        <v>826</v>
      </c>
      <c r="E5230" s="19" t="s">
        <v>827</v>
      </c>
      <c r="F5230">
        <v>1</v>
      </c>
    </row>
    <row r="5231" spans="1:6" x14ac:dyDescent="0.25">
      <c r="C5231" s="19"/>
      <c r="D5231" s="19" t="s">
        <v>828</v>
      </c>
      <c r="E5231" s="19" t="s">
        <v>312</v>
      </c>
      <c r="F5231">
        <v>1</v>
      </c>
    </row>
    <row r="5232" spans="1:6" x14ac:dyDescent="0.25">
      <c r="C5232" s="19"/>
      <c r="D5232" s="19" t="s">
        <v>829</v>
      </c>
      <c r="E5232" s="19" t="s">
        <v>316</v>
      </c>
      <c r="F5232">
        <v>1</v>
      </c>
    </row>
    <row r="5233" spans="1:6" x14ac:dyDescent="0.25">
      <c r="C5233" s="19"/>
      <c r="D5233" s="19" t="s">
        <v>830</v>
      </c>
      <c r="E5233" s="19" t="s">
        <v>314</v>
      </c>
      <c r="F5233">
        <v>1</v>
      </c>
    </row>
    <row r="5234" spans="1:6" x14ac:dyDescent="0.25">
      <c r="C5234" s="19"/>
      <c r="D5234" s="19" t="s">
        <v>831</v>
      </c>
      <c r="E5234" s="19" t="s">
        <v>832</v>
      </c>
      <c r="F5234">
        <v>1</v>
      </c>
    </row>
    <row r="5235" spans="1:6" x14ac:dyDescent="0.25">
      <c r="C5235" s="19"/>
      <c r="D5235" s="19" t="s">
        <v>833</v>
      </c>
      <c r="E5235" s="19" t="s">
        <v>834</v>
      </c>
      <c r="F5235">
        <v>1</v>
      </c>
    </row>
    <row r="5236" spans="1:6" x14ac:dyDescent="0.25">
      <c r="C5236" s="19"/>
      <c r="D5236" s="19" t="s">
        <v>835</v>
      </c>
      <c r="E5236" s="19" t="s">
        <v>836</v>
      </c>
      <c r="F5236">
        <v>0</v>
      </c>
    </row>
    <row r="5237" spans="1:6" x14ac:dyDescent="0.25">
      <c r="C5237" s="19"/>
      <c r="D5237" s="19" t="s">
        <v>837</v>
      </c>
      <c r="E5237" s="19" t="s">
        <v>838</v>
      </c>
      <c r="F5237">
        <v>0</v>
      </c>
    </row>
    <row r="5238" spans="1:6" x14ac:dyDescent="0.25">
      <c r="C5238" s="19"/>
      <c r="D5238" s="19" t="s">
        <v>839</v>
      </c>
      <c r="E5238" s="19" t="s">
        <v>840</v>
      </c>
      <c r="F5238">
        <v>0</v>
      </c>
    </row>
    <row r="5239" spans="1:6" x14ac:dyDescent="0.25">
      <c r="C5239" s="19"/>
      <c r="D5239" s="19" t="s">
        <v>841</v>
      </c>
      <c r="E5239" s="19" t="s">
        <v>842</v>
      </c>
      <c r="F5239">
        <v>0</v>
      </c>
    </row>
    <row r="5240" spans="1:6" x14ac:dyDescent="0.25">
      <c r="C5240" s="19"/>
      <c r="D5240" s="19" t="s">
        <v>843</v>
      </c>
      <c r="E5240" s="19" t="s">
        <v>844</v>
      </c>
      <c r="F5240">
        <v>1</v>
      </c>
    </row>
    <row r="5241" spans="1:6" x14ac:dyDescent="0.25">
      <c r="C5241" s="19"/>
      <c r="D5241" s="19" t="s">
        <v>845</v>
      </c>
      <c r="E5241" s="19" t="s">
        <v>846</v>
      </c>
      <c r="F5241">
        <v>0</v>
      </c>
    </row>
    <row r="5242" spans="1:6" x14ac:dyDescent="0.25">
      <c r="C5242" s="19"/>
      <c r="D5242" s="19" t="s">
        <v>847</v>
      </c>
      <c r="E5242" s="19" t="s">
        <v>848</v>
      </c>
      <c r="F5242">
        <v>0</v>
      </c>
    </row>
    <row r="5243" spans="1:6" x14ac:dyDescent="0.25">
      <c r="C5243" s="19"/>
      <c r="D5243" s="19" t="s">
        <v>849</v>
      </c>
      <c r="E5243" s="19" t="s">
        <v>850</v>
      </c>
      <c r="F5243">
        <v>0</v>
      </c>
    </row>
    <row r="5244" spans="1:6" x14ac:dyDescent="0.25">
      <c r="C5244" s="19"/>
      <c r="D5244" s="19" t="s">
        <v>851</v>
      </c>
      <c r="E5244" s="19" t="s">
        <v>852</v>
      </c>
      <c r="F5244">
        <v>1</v>
      </c>
    </row>
    <row r="5245" spans="1:6" x14ac:dyDescent="0.25">
      <c r="C5245" s="19"/>
      <c r="D5245" s="19" t="s">
        <v>853</v>
      </c>
      <c r="E5245" s="19" t="s">
        <v>854</v>
      </c>
      <c r="F5245">
        <v>1</v>
      </c>
    </row>
    <row r="5246" spans="1:6" x14ac:dyDescent="0.25">
      <c r="C5246" s="19"/>
      <c r="D5246" s="19" t="s">
        <v>855</v>
      </c>
      <c r="E5246" s="19" t="s">
        <v>856</v>
      </c>
      <c r="F5246">
        <v>0</v>
      </c>
    </row>
    <row r="5247" spans="1:6" x14ac:dyDescent="0.25">
      <c r="C5247" s="19"/>
      <c r="D5247" s="19" t="s">
        <v>857</v>
      </c>
      <c r="E5247" s="19" t="s">
        <v>858</v>
      </c>
      <c r="F5247">
        <v>0</v>
      </c>
    </row>
    <row r="5248" spans="1:6" x14ac:dyDescent="0.25">
      <c r="A5248" s="3">
        <v>803</v>
      </c>
      <c r="B5248" s="15" t="s">
        <v>239</v>
      </c>
      <c r="C5248" s="19" t="s">
        <v>818</v>
      </c>
      <c r="D5248" s="19" t="s">
        <v>819</v>
      </c>
      <c r="E5248" s="19" t="s">
        <v>820</v>
      </c>
      <c r="F5248">
        <v>1</v>
      </c>
    </row>
    <row r="5249" spans="3:6" x14ac:dyDescent="0.25">
      <c r="C5249" s="19"/>
      <c r="D5249" s="19" t="s">
        <v>821</v>
      </c>
      <c r="E5249" s="19" t="s">
        <v>822</v>
      </c>
      <c r="F5249">
        <v>0</v>
      </c>
    </row>
    <row r="5250" spans="3:6" x14ac:dyDescent="0.25">
      <c r="C5250" s="19"/>
      <c r="D5250" s="19" t="s">
        <v>823</v>
      </c>
      <c r="E5250" s="19" t="s">
        <v>306</v>
      </c>
      <c r="F5250">
        <v>1</v>
      </c>
    </row>
    <row r="5251" spans="3:6" x14ac:dyDescent="0.25">
      <c r="C5251" s="19"/>
      <c r="D5251" s="19" t="s">
        <v>824</v>
      </c>
      <c r="E5251" s="19" t="s">
        <v>825</v>
      </c>
      <c r="F5251">
        <v>1</v>
      </c>
    </row>
    <row r="5252" spans="3:6" x14ac:dyDescent="0.25">
      <c r="C5252" s="19"/>
      <c r="D5252" s="19" t="s">
        <v>826</v>
      </c>
      <c r="E5252" s="19" t="s">
        <v>827</v>
      </c>
      <c r="F5252">
        <v>1</v>
      </c>
    </row>
    <row r="5253" spans="3:6" x14ac:dyDescent="0.25">
      <c r="C5253" s="19"/>
      <c r="D5253" s="19" t="s">
        <v>828</v>
      </c>
      <c r="E5253" s="19" t="s">
        <v>312</v>
      </c>
      <c r="F5253">
        <v>1</v>
      </c>
    </row>
    <row r="5254" spans="3:6" x14ac:dyDescent="0.25">
      <c r="C5254" s="19"/>
      <c r="D5254" s="19" t="s">
        <v>829</v>
      </c>
      <c r="E5254" s="19" t="s">
        <v>316</v>
      </c>
      <c r="F5254">
        <v>1</v>
      </c>
    </row>
    <row r="5255" spans="3:6" x14ac:dyDescent="0.25">
      <c r="C5255" s="19"/>
      <c r="D5255" s="19" t="s">
        <v>830</v>
      </c>
      <c r="E5255" s="19" t="s">
        <v>314</v>
      </c>
      <c r="F5255">
        <v>1</v>
      </c>
    </row>
    <row r="5256" spans="3:6" x14ac:dyDescent="0.25">
      <c r="C5256" s="19"/>
      <c r="D5256" s="19" t="s">
        <v>831</v>
      </c>
      <c r="E5256" s="19" t="s">
        <v>832</v>
      </c>
      <c r="F5256">
        <v>1</v>
      </c>
    </row>
    <row r="5257" spans="3:6" x14ac:dyDescent="0.25">
      <c r="C5257" s="19"/>
      <c r="D5257" s="19" t="s">
        <v>833</v>
      </c>
      <c r="E5257" s="19" t="s">
        <v>834</v>
      </c>
      <c r="F5257">
        <v>1</v>
      </c>
    </row>
    <row r="5258" spans="3:6" x14ac:dyDescent="0.25">
      <c r="C5258" s="19"/>
      <c r="D5258" s="19" t="s">
        <v>835</v>
      </c>
      <c r="E5258" s="19" t="s">
        <v>836</v>
      </c>
      <c r="F5258">
        <v>0</v>
      </c>
    </row>
    <row r="5259" spans="3:6" x14ac:dyDescent="0.25">
      <c r="C5259" s="19"/>
      <c r="D5259" s="19" t="s">
        <v>837</v>
      </c>
      <c r="E5259" s="19" t="s">
        <v>838</v>
      </c>
      <c r="F5259">
        <v>0</v>
      </c>
    </row>
    <row r="5260" spans="3:6" x14ac:dyDescent="0.25">
      <c r="C5260" s="19"/>
      <c r="D5260" s="19" t="s">
        <v>839</v>
      </c>
      <c r="E5260" s="19" t="s">
        <v>840</v>
      </c>
      <c r="F5260">
        <v>0</v>
      </c>
    </row>
    <row r="5261" spans="3:6" x14ac:dyDescent="0.25">
      <c r="C5261" s="19"/>
      <c r="D5261" s="19" t="s">
        <v>841</v>
      </c>
      <c r="E5261" s="19" t="s">
        <v>842</v>
      </c>
      <c r="F5261">
        <v>0</v>
      </c>
    </row>
    <row r="5262" spans="3:6" x14ac:dyDescent="0.25">
      <c r="C5262" s="19"/>
      <c r="D5262" s="19" t="s">
        <v>843</v>
      </c>
      <c r="E5262" s="19" t="s">
        <v>844</v>
      </c>
      <c r="F5262">
        <v>1</v>
      </c>
    </row>
    <row r="5263" spans="3:6" x14ac:dyDescent="0.25">
      <c r="C5263" s="19"/>
      <c r="D5263" s="19" t="s">
        <v>845</v>
      </c>
      <c r="E5263" s="19" t="s">
        <v>846</v>
      </c>
      <c r="F5263">
        <v>0</v>
      </c>
    </row>
    <row r="5264" spans="3:6" x14ac:dyDescent="0.25">
      <c r="C5264" s="19"/>
      <c r="D5264" s="19" t="s">
        <v>847</v>
      </c>
      <c r="E5264" s="19" t="s">
        <v>848</v>
      </c>
      <c r="F5264">
        <v>0</v>
      </c>
    </row>
    <row r="5265" spans="1:6" x14ac:dyDescent="0.25">
      <c r="C5265" s="19"/>
      <c r="D5265" s="19" t="s">
        <v>849</v>
      </c>
      <c r="E5265" s="19" t="s">
        <v>850</v>
      </c>
      <c r="F5265">
        <v>0</v>
      </c>
    </row>
    <row r="5266" spans="1:6" x14ac:dyDescent="0.25">
      <c r="C5266" s="19"/>
      <c r="D5266" s="19" t="s">
        <v>851</v>
      </c>
      <c r="E5266" s="19" t="s">
        <v>852</v>
      </c>
      <c r="F5266">
        <v>1</v>
      </c>
    </row>
    <row r="5267" spans="1:6" x14ac:dyDescent="0.25">
      <c r="C5267" s="19"/>
      <c r="D5267" s="19" t="s">
        <v>853</v>
      </c>
      <c r="E5267" s="19" t="s">
        <v>854</v>
      </c>
      <c r="F5267">
        <v>1</v>
      </c>
    </row>
    <row r="5268" spans="1:6" x14ac:dyDescent="0.25">
      <c r="C5268" s="19"/>
      <c r="D5268" s="19" t="s">
        <v>855</v>
      </c>
      <c r="E5268" s="19" t="s">
        <v>856</v>
      </c>
      <c r="F5268">
        <v>0</v>
      </c>
    </row>
    <row r="5269" spans="1:6" x14ac:dyDescent="0.25">
      <c r="C5269" s="19"/>
      <c r="D5269" s="19" t="s">
        <v>857</v>
      </c>
      <c r="E5269" s="19" t="s">
        <v>858</v>
      </c>
      <c r="F5269">
        <v>0</v>
      </c>
    </row>
    <row r="5270" spans="1:6" x14ac:dyDescent="0.25">
      <c r="A5270" s="3">
        <v>805</v>
      </c>
      <c r="B5270" s="15" t="s">
        <v>241</v>
      </c>
      <c r="C5270" s="19" t="s">
        <v>1685</v>
      </c>
      <c r="D5270" s="19" t="s">
        <v>1686</v>
      </c>
      <c r="E5270" s="19" t="s">
        <v>1687</v>
      </c>
      <c r="F5270">
        <v>1</v>
      </c>
    </row>
    <row r="5271" spans="1:6" x14ac:dyDescent="0.25">
      <c r="C5271" s="19"/>
      <c r="D5271" s="19" t="s">
        <v>1688</v>
      </c>
      <c r="E5271" s="19" t="s">
        <v>1689</v>
      </c>
      <c r="F5271">
        <v>1</v>
      </c>
    </row>
    <row r="5272" spans="1:6" x14ac:dyDescent="0.25">
      <c r="C5272" s="19"/>
      <c r="D5272" s="19" t="s">
        <v>1690</v>
      </c>
      <c r="E5272" s="19" t="s">
        <v>1691</v>
      </c>
      <c r="F5272">
        <v>1</v>
      </c>
    </row>
    <row r="5273" spans="1:6" x14ac:dyDescent="0.25">
      <c r="C5273" s="19"/>
      <c r="D5273" s="19" t="s">
        <v>1692</v>
      </c>
      <c r="E5273" s="19" t="s">
        <v>1693</v>
      </c>
      <c r="F5273">
        <v>1</v>
      </c>
    </row>
    <row r="5274" spans="1:6" x14ac:dyDescent="0.25">
      <c r="C5274" s="19"/>
      <c r="D5274" s="19" t="s">
        <v>1694</v>
      </c>
      <c r="E5274" s="19" t="s">
        <v>1695</v>
      </c>
      <c r="F5274">
        <v>1</v>
      </c>
    </row>
    <row r="5275" spans="1:6" x14ac:dyDescent="0.25">
      <c r="C5275" s="19"/>
      <c r="D5275" s="19" t="s">
        <v>1696</v>
      </c>
      <c r="E5275" s="19" t="s">
        <v>1697</v>
      </c>
      <c r="F5275">
        <v>1</v>
      </c>
    </row>
    <row r="5276" spans="1:6" x14ac:dyDescent="0.25">
      <c r="C5276" s="19"/>
      <c r="D5276" s="19" t="s">
        <v>1698</v>
      </c>
      <c r="E5276" s="19" t="s">
        <v>1699</v>
      </c>
      <c r="F5276">
        <v>1</v>
      </c>
    </row>
    <row r="5277" spans="1:6" x14ac:dyDescent="0.25">
      <c r="C5277" s="19"/>
      <c r="D5277" s="19" t="s">
        <v>1700</v>
      </c>
      <c r="E5277" s="19" t="s">
        <v>1701</v>
      </c>
      <c r="F5277">
        <v>1</v>
      </c>
    </row>
    <row r="5278" spans="1:6" x14ac:dyDescent="0.25">
      <c r="C5278" s="19"/>
      <c r="D5278" s="19" t="s">
        <v>1702</v>
      </c>
      <c r="E5278" s="19" t="s">
        <v>314</v>
      </c>
      <c r="F5278">
        <v>1</v>
      </c>
    </row>
    <row r="5279" spans="1:6" x14ac:dyDescent="0.25">
      <c r="C5279" s="19"/>
      <c r="D5279" s="19" t="s">
        <v>1703</v>
      </c>
      <c r="E5279" s="19" t="s">
        <v>1704</v>
      </c>
      <c r="F5279">
        <v>1</v>
      </c>
    </row>
    <row r="5280" spans="1:6" x14ac:dyDescent="0.25">
      <c r="C5280" s="19"/>
      <c r="D5280" s="19" t="s">
        <v>1705</v>
      </c>
      <c r="E5280" s="19" t="s">
        <v>1706</v>
      </c>
      <c r="F5280">
        <v>1</v>
      </c>
    </row>
    <row r="5281" spans="1:6" x14ac:dyDescent="0.25">
      <c r="C5281" s="19"/>
      <c r="D5281" s="19" t="s">
        <v>1707</v>
      </c>
      <c r="E5281" s="19" t="s">
        <v>1708</v>
      </c>
      <c r="F5281">
        <v>1</v>
      </c>
    </row>
    <row r="5282" spans="1:6" x14ac:dyDescent="0.25">
      <c r="C5282" s="19"/>
      <c r="D5282" s="19" t="s">
        <v>1709</v>
      </c>
      <c r="E5282" s="19" t="s">
        <v>1710</v>
      </c>
      <c r="F5282">
        <v>1</v>
      </c>
    </row>
    <row r="5283" spans="1:6" x14ac:dyDescent="0.25">
      <c r="C5283" s="19"/>
      <c r="D5283" s="19" t="s">
        <v>1711</v>
      </c>
      <c r="E5283" s="19" t="s">
        <v>1124</v>
      </c>
      <c r="F5283">
        <v>1</v>
      </c>
    </row>
    <row r="5284" spans="1:6" x14ac:dyDescent="0.25">
      <c r="A5284" s="11">
        <v>806</v>
      </c>
      <c r="B5284" s="16" t="s">
        <v>241</v>
      </c>
      <c r="C5284" s="19" t="s">
        <v>1685</v>
      </c>
      <c r="D5284" s="19" t="s">
        <v>1686</v>
      </c>
      <c r="E5284" s="19" t="s">
        <v>1687</v>
      </c>
      <c r="F5284">
        <v>1</v>
      </c>
    </row>
    <row r="5285" spans="1:6" x14ac:dyDescent="0.25">
      <c r="C5285" s="19"/>
      <c r="D5285" s="19" t="s">
        <v>1688</v>
      </c>
      <c r="E5285" s="19" t="s">
        <v>1689</v>
      </c>
      <c r="F5285">
        <v>1</v>
      </c>
    </row>
    <row r="5286" spans="1:6" x14ac:dyDescent="0.25">
      <c r="C5286" s="19"/>
      <c r="D5286" s="19" t="s">
        <v>1690</v>
      </c>
      <c r="E5286" s="19" t="s">
        <v>1691</v>
      </c>
      <c r="F5286">
        <v>1</v>
      </c>
    </row>
    <row r="5287" spans="1:6" x14ac:dyDescent="0.25">
      <c r="C5287" s="19"/>
      <c r="D5287" s="19" t="s">
        <v>1692</v>
      </c>
      <c r="E5287" s="19" t="s">
        <v>1693</v>
      </c>
      <c r="F5287">
        <v>1</v>
      </c>
    </row>
    <row r="5288" spans="1:6" x14ac:dyDescent="0.25">
      <c r="C5288" s="19"/>
      <c r="D5288" s="19" t="s">
        <v>1694</v>
      </c>
      <c r="E5288" s="19" t="s">
        <v>1695</v>
      </c>
      <c r="F5288">
        <v>1</v>
      </c>
    </row>
    <row r="5289" spans="1:6" x14ac:dyDescent="0.25">
      <c r="C5289" s="19"/>
      <c r="D5289" s="19" t="s">
        <v>1696</v>
      </c>
      <c r="E5289" s="19" t="s">
        <v>1697</v>
      </c>
      <c r="F5289">
        <v>1</v>
      </c>
    </row>
    <row r="5290" spans="1:6" x14ac:dyDescent="0.25">
      <c r="C5290" s="19"/>
      <c r="D5290" s="19" t="s">
        <v>1698</v>
      </c>
      <c r="E5290" s="19" t="s">
        <v>1699</v>
      </c>
      <c r="F5290">
        <v>1</v>
      </c>
    </row>
    <row r="5291" spans="1:6" x14ac:dyDescent="0.25">
      <c r="C5291" s="19"/>
      <c r="D5291" s="19" t="s">
        <v>1700</v>
      </c>
      <c r="E5291" s="19" t="s">
        <v>1701</v>
      </c>
      <c r="F5291">
        <v>1</v>
      </c>
    </row>
    <row r="5292" spans="1:6" x14ac:dyDescent="0.25">
      <c r="C5292" s="19"/>
      <c r="D5292" s="19" t="s">
        <v>1702</v>
      </c>
      <c r="E5292" s="19" t="s">
        <v>314</v>
      </c>
      <c r="F5292">
        <v>1</v>
      </c>
    </row>
    <row r="5293" spans="1:6" x14ac:dyDescent="0.25">
      <c r="C5293" s="19"/>
      <c r="D5293" s="19" t="s">
        <v>1703</v>
      </c>
      <c r="E5293" s="19" t="s">
        <v>1704</v>
      </c>
      <c r="F5293">
        <v>1</v>
      </c>
    </row>
    <row r="5294" spans="1:6" x14ac:dyDescent="0.25">
      <c r="C5294" s="19"/>
      <c r="D5294" s="19" t="s">
        <v>1705</v>
      </c>
      <c r="E5294" s="19" t="s">
        <v>1706</v>
      </c>
      <c r="F5294">
        <v>1</v>
      </c>
    </row>
    <row r="5295" spans="1:6" x14ac:dyDescent="0.25">
      <c r="C5295" s="19"/>
      <c r="D5295" s="19" t="s">
        <v>1707</v>
      </c>
      <c r="E5295" s="19" t="s">
        <v>1708</v>
      </c>
      <c r="F5295">
        <v>1</v>
      </c>
    </row>
    <row r="5296" spans="1:6" x14ac:dyDescent="0.25">
      <c r="C5296" s="19"/>
      <c r="D5296" s="19" t="s">
        <v>1709</v>
      </c>
      <c r="E5296" s="19" t="s">
        <v>1710</v>
      </c>
      <c r="F5296">
        <v>1</v>
      </c>
    </row>
    <row r="5297" spans="1:6" x14ac:dyDescent="0.25">
      <c r="C5297" s="19"/>
      <c r="D5297" s="19" t="s">
        <v>1711</v>
      </c>
      <c r="E5297" s="19" t="s">
        <v>1124</v>
      </c>
      <c r="F5297">
        <v>1</v>
      </c>
    </row>
    <row r="5298" spans="1:6" x14ac:dyDescent="0.25">
      <c r="A5298" s="11">
        <v>808</v>
      </c>
      <c r="B5298" s="16" t="s">
        <v>241</v>
      </c>
      <c r="C5298" s="19" t="s">
        <v>1685</v>
      </c>
      <c r="D5298" s="19" t="s">
        <v>1686</v>
      </c>
      <c r="E5298" s="19" t="s">
        <v>1687</v>
      </c>
      <c r="F5298">
        <v>1</v>
      </c>
    </row>
    <row r="5299" spans="1:6" x14ac:dyDescent="0.25">
      <c r="A5299" s="11"/>
      <c r="B5299" s="16"/>
      <c r="C5299" s="19"/>
      <c r="D5299" s="19" t="s">
        <v>1688</v>
      </c>
      <c r="E5299" s="19" t="s">
        <v>1689</v>
      </c>
      <c r="F5299">
        <v>1</v>
      </c>
    </row>
    <row r="5300" spans="1:6" x14ac:dyDescent="0.25">
      <c r="A5300" s="11"/>
      <c r="B5300" s="16"/>
      <c r="C5300" s="19"/>
      <c r="D5300" s="19" t="s">
        <v>1690</v>
      </c>
      <c r="E5300" s="19" t="s">
        <v>1691</v>
      </c>
      <c r="F5300">
        <v>1</v>
      </c>
    </row>
    <row r="5301" spans="1:6" x14ac:dyDescent="0.25">
      <c r="A5301" s="11"/>
      <c r="B5301" s="16"/>
      <c r="C5301" s="19"/>
      <c r="D5301" s="19" t="s">
        <v>1692</v>
      </c>
      <c r="E5301" s="19" t="s">
        <v>1693</v>
      </c>
      <c r="F5301">
        <v>1</v>
      </c>
    </row>
    <row r="5302" spans="1:6" x14ac:dyDescent="0.25">
      <c r="A5302" s="11"/>
      <c r="B5302" s="16"/>
      <c r="C5302" s="19"/>
      <c r="D5302" s="19" t="s">
        <v>1694</v>
      </c>
      <c r="E5302" s="19" t="s">
        <v>1695</v>
      </c>
      <c r="F5302">
        <v>1</v>
      </c>
    </row>
    <row r="5303" spans="1:6" x14ac:dyDescent="0.25">
      <c r="A5303" s="11"/>
      <c r="B5303" s="16"/>
      <c r="C5303" s="19"/>
      <c r="D5303" s="19" t="s">
        <v>1696</v>
      </c>
      <c r="E5303" s="19" t="s">
        <v>1697</v>
      </c>
      <c r="F5303">
        <v>1</v>
      </c>
    </row>
    <row r="5304" spans="1:6" x14ac:dyDescent="0.25">
      <c r="A5304" s="11"/>
      <c r="B5304" s="16"/>
      <c r="C5304" s="19"/>
      <c r="D5304" s="19" t="s">
        <v>1698</v>
      </c>
      <c r="E5304" s="19" t="s">
        <v>1699</v>
      </c>
      <c r="F5304">
        <v>1</v>
      </c>
    </row>
    <row r="5305" spans="1:6" x14ac:dyDescent="0.25">
      <c r="A5305" s="11"/>
      <c r="B5305" s="16"/>
      <c r="C5305" s="19"/>
      <c r="D5305" s="19" t="s">
        <v>1700</v>
      </c>
      <c r="E5305" s="19" t="s">
        <v>1701</v>
      </c>
      <c r="F5305">
        <v>1</v>
      </c>
    </row>
    <row r="5306" spans="1:6" x14ac:dyDescent="0.25">
      <c r="A5306" s="11"/>
      <c r="B5306" s="16"/>
      <c r="C5306" s="19"/>
      <c r="D5306" s="19" t="s">
        <v>1702</v>
      </c>
      <c r="E5306" s="19" t="s">
        <v>314</v>
      </c>
      <c r="F5306">
        <v>1</v>
      </c>
    </row>
    <row r="5307" spans="1:6" x14ac:dyDescent="0.25">
      <c r="A5307" s="11"/>
      <c r="B5307" s="16"/>
      <c r="C5307" s="19"/>
      <c r="D5307" s="19" t="s">
        <v>1703</v>
      </c>
      <c r="E5307" s="19" t="s">
        <v>1704</v>
      </c>
      <c r="F5307">
        <v>1</v>
      </c>
    </row>
    <row r="5308" spans="1:6" x14ac:dyDescent="0.25">
      <c r="A5308" s="11"/>
      <c r="B5308" s="16"/>
      <c r="C5308" s="19"/>
      <c r="D5308" s="19" t="s">
        <v>1705</v>
      </c>
      <c r="E5308" s="19" t="s">
        <v>1706</v>
      </c>
      <c r="F5308">
        <v>1</v>
      </c>
    </row>
    <row r="5309" spans="1:6" x14ac:dyDescent="0.25">
      <c r="A5309" s="11"/>
      <c r="B5309" s="16"/>
      <c r="C5309" s="19"/>
      <c r="D5309" s="19" t="s">
        <v>1707</v>
      </c>
      <c r="E5309" s="19" t="s">
        <v>1708</v>
      </c>
      <c r="F5309">
        <v>1</v>
      </c>
    </row>
    <row r="5310" spans="1:6" x14ac:dyDescent="0.25">
      <c r="A5310" s="11"/>
      <c r="B5310" s="16"/>
      <c r="C5310" s="19"/>
      <c r="D5310" s="19" t="s">
        <v>1709</v>
      </c>
      <c r="E5310" s="19" t="s">
        <v>1710</v>
      </c>
      <c r="F5310">
        <v>1</v>
      </c>
    </row>
    <row r="5311" spans="1:6" x14ac:dyDescent="0.25">
      <c r="C5311" s="19"/>
      <c r="D5311" s="19" t="s">
        <v>1711</v>
      </c>
      <c r="E5311" s="19" t="s">
        <v>1124</v>
      </c>
      <c r="F5311">
        <v>1</v>
      </c>
    </row>
    <row r="5312" spans="1:6" x14ac:dyDescent="0.25">
      <c r="A5312" s="3">
        <v>809</v>
      </c>
      <c r="B5312" s="15" t="s">
        <v>242</v>
      </c>
      <c r="C5312" s="19" t="s">
        <v>1492</v>
      </c>
      <c r="D5312" s="19" t="s">
        <v>1493</v>
      </c>
      <c r="E5312" s="19" t="s">
        <v>1494</v>
      </c>
      <c r="F5312">
        <v>1</v>
      </c>
    </row>
    <row r="5313" spans="3:6" x14ac:dyDescent="0.25">
      <c r="C5313" s="19"/>
      <c r="D5313" s="19" t="s">
        <v>1495</v>
      </c>
      <c r="E5313" s="19" t="s">
        <v>1496</v>
      </c>
      <c r="F5313">
        <v>1</v>
      </c>
    </row>
    <row r="5314" spans="3:6" x14ac:dyDescent="0.25">
      <c r="C5314" s="19"/>
      <c r="D5314" s="19" t="s">
        <v>1497</v>
      </c>
      <c r="E5314" s="19" t="s">
        <v>306</v>
      </c>
      <c r="F5314">
        <v>0</v>
      </c>
    </row>
    <row r="5315" spans="3:6" x14ac:dyDescent="0.25">
      <c r="C5315" s="19"/>
      <c r="D5315" s="19" t="s">
        <v>1498</v>
      </c>
      <c r="E5315" s="19" t="s">
        <v>1499</v>
      </c>
      <c r="F5315">
        <v>1</v>
      </c>
    </row>
    <row r="5316" spans="3:6" x14ac:dyDescent="0.25">
      <c r="C5316" s="19"/>
      <c r="D5316" s="19" t="s">
        <v>1500</v>
      </c>
      <c r="E5316" s="19" t="s">
        <v>1397</v>
      </c>
      <c r="F5316">
        <v>1</v>
      </c>
    </row>
    <row r="5317" spans="3:6" x14ac:dyDescent="0.25">
      <c r="C5317" s="19"/>
      <c r="D5317" s="19" t="s">
        <v>1501</v>
      </c>
      <c r="E5317" s="19" t="s">
        <v>1502</v>
      </c>
      <c r="F5317">
        <v>0</v>
      </c>
    </row>
    <row r="5318" spans="3:6" x14ac:dyDescent="0.25">
      <c r="C5318" s="19"/>
      <c r="D5318" s="19" t="s">
        <v>1503</v>
      </c>
      <c r="E5318" s="19" t="s">
        <v>1504</v>
      </c>
      <c r="F5318">
        <v>0</v>
      </c>
    </row>
    <row r="5319" spans="3:6" x14ac:dyDescent="0.25">
      <c r="C5319" s="19"/>
      <c r="D5319" s="19" t="s">
        <v>1505</v>
      </c>
      <c r="E5319" s="19" t="s">
        <v>1506</v>
      </c>
      <c r="F5319">
        <v>0</v>
      </c>
    </row>
    <row r="5320" spans="3:6" x14ac:dyDescent="0.25">
      <c r="C5320" s="19"/>
      <c r="D5320" s="19" t="s">
        <v>1507</v>
      </c>
      <c r="E5320" s="19" t="s">
        <v>611</v>
      </c>
      <c r="F5320">
        <v>1</v>
      </c>
    </row>
    <row r="5321" spans="3:6" x14ac:dyDescent="0.25">
      <c r="C5321" s="19"/>
      <c r="D5321" s="19" t="s">
        <v>1508</v>
      </c>
      <c r="E5321" s="19" t="s">
        <v>1509</v>
      </c>
      <c r="F5321">
        <v>1</v>
      </c>
    </row>
    <row r="5322" spans="3:6" x14ac:dyDescent="0.25">
      <c r="C5322" s="19"/>
      <c r="D5322" s="19" t="s">
        <v>1510</v>
      </c>
      <c r="E5322" s="19" t="s">
        <v>613</v>
      </c>
      <c r="F5322">
        <v>1</v>
      </c>
    </row>
    <row r="5323" spans="3:6" x14ac:dyDescent="0.25">
      <c r="C5323" s="19"/>
      <c r="D5323" s="19" t="s">
        <v>1511</v>
      </c>
      <c r="E5323" s="19" t="s">
        <v>1419</v>
      </c>
      <c r="F5323">
        <v>0</v>
      </c>
    </row>
    <row r="5324" spans="3:6" x14ac:dyDescent="0.25">
      <c r="C5324" s="19"/>
      <c r="D5324" s="19" t="s">
        <v>1512</v>
      </c>
      <c r="E5324" s="19" t="s">
        <v>621</v>
      </c>
      <c r="F5324">
        <v>0</v>
      </c>
    </row>
    <row r="5325" spans="3:6" x14ac:dyDescent="0.25">
      <c r="C5325" s="19"/>
      <c r="D5325" s="19" t="s">
        <v>1513</v>
      </c>
      <c r="E5325" s="19" t="s">
        <v>1422</v>
      </c>
      <c r="F5325">
        <v>0</v>
      </c>
    </row>
    <row r="5326" spans="3:6" x14ac:dyDescent="0.25">
      <c r="C5326" s="19"/>
      <c r="D5326" s="19" t="s">
        <v>1514</v>
      </c>
      <c r="E5326" s="19" t="s">
        <v>614</v>
      </c>
      <c r="F5326">
        <v>0</v>
      </c>
    </row>
    <row r="5327" spans="3:6" x14ac:dyDescent="0.25">
      <c r="C5327" s="19"/>
      <c r="D5327" s="19" t="s">
        <v>1515</v>
      </c>
      <c r="E5327" s="19" t="s">
        <v>615</v>
      </c>
      <c r="F5327">
        <v>0</v>
      </c>
    </row>
    <row r="5328" spans="3:6" x14ac:dyDescent="0.25">
      <c r="C5328" s="19"/>
      <c r="D5328" s="19" t="s">
        <v>1516</v>
      </c>
      <c r="E5328" s="19" t="s">
        <v>1517</v>
      </c>
      <c r="F5328">
        <v>0</v>
      </c>
    </row>
    <row r="5329" spans="1:6" x14ac:dyDescent="0.25">
      <c r="C5329" s="19"/>
      <c r="D5329" s="19" t="s">
        <v>1518</v>
      </c>
      <c r="E5329" s="19" t="s">
        <v>1519</v>
      </c>
      <c r="F5329">
        <v>1</v>
      </c>
    </row>
    <row r="5330" spans="1:6" x14ac:dyDescent="0.25">
      <c r="C5330" s="19"/>
      <c r="D5330" s="19" t="s">
        <v>1520</v>
      </c>
      <c r="E5330" s="19" t="s">
        <v>1521</v>
      </c>
      <c r="F5330">
        <v>0</v>
      </c>
    </row>
    <row r="5331" spans="1:6" x14ac:dyDescent="0.25">
      <c r="C5331" s="19"/>
      <c r="D5331" s="19" t="s">
        <v>1522</v>
      </c>
      <c r="E5331" s="19" t="s">
        <v>1523</v>
      </c>
      <c r="F5331">
        <v>0</v>
      </c>
    </row>
    <row r="5332" spans="1:6" x14ac:dyDescent="0.25">
      <c r="C5332" s="19"/>
      <c r="D5332" s="19" t="s">
        <v>1524</v>
      </c>
      <c r="E5332" s="19" t="s">
        <v>1525</v>
      </c>
      <c r="F5332">
        <v>0</v>
      </c>
    </row>
    <row r="5333" spans="1:6" x14ac:dyDescent="0.25">
      <c r="C5333" s="19"/>
      <c r="D5333" s="19" t="s">
        <v>1526</v>
      </c>
      <c r="E5333" s="19" t="s">
        <v>1527</v>
      </c>
      <c r="F5333">
        <v>1</v>
      </c>
    </row>
    <row r="5334" spans="1:6" x14ac:dyDescent="0.25">
      <c r="C5334" s="19"/>
      <c r="D5334" s="19" t="s">
        <v>1528</v>
      </c>
      <c r="E5334" s="19" t="s">
        <v>1529</v>
      </c>
      <c r="F5334">
        <v>1</v>
      </c>
    </row>
    <row r="5335" spans="1:6" x14ac:dyDescent="0.25">
      <c r="C5335" s="19"/>
      <c r="D5335" s="19" t="s">
        <v>1530</v>
      </c>
      <c r="E5335" s="19" t="s">
        <v>1430</v>
      </c>
      <c r="F5335">
        <v>1</v>
      </c>
    </row>
    <row r="5336" spans="1:6" x14ac:dyDescent="0.25">
      <c r="C5336" s="19"/>
      <c r="D5336" s="19" t="s">
        <v>1531</v>
      </c>
      <c r="E5336" s="19" t="s">
        <v>503</v>
      </c>
      <c r="F5336">
        <v>1</v>
      </c>
    </row>
    <row r="5337" spans="1:6" x14ac:dyDescent="0.25">
      <c r="C5337" s="19"/>
      <c r="D5337" s="19" t="s">
        <v>1532</v>
      </c>
      <c r="E5337" s="19" t="s">
        <v>1533</v>
      </c>
      <c r="F5337">
        <v>1</v>
      </c>
    </row>
    <row r="5338" spans="1:6" x14ac:dyDescent="0.25">
      <c r="C5338" s="19"/>
      <c r="D5338" s="19" t="s">
        <v>1534</v>
      </c>
      <c r="E5338" s="19" t="s">
        <v>1535</v>
      </c>
      <c r="F5338">
        <v>1</v>
      </c>
    </row>
    <row r="5339" spans="1:6" x14ac:dyDescent="0.25">
      <c r="A5339" s="3">
        <v>814</v>
      </c>
      <c r="B5339" s="15" t="s">
        <v>243</v>
      </c>
      <c r="C5339" s="19" t="s">
        <v>760</v>
      </c>
      <c r="D5339" s="19" t="s">
        <v>761</v>
      </c>
      <c r="E5339" s="19" t="s">
        <v>273</v>
      </c>
      <c r="F5339">
        <v>1</v>
      </c>
    </row>
    <row r="5340" spans="1:6" x14ac:dyDescent="0.25">
      <c r="C5340" s="19"/>
      <c r="D5340" s="19" t="s">
        <v>762</v>
      </c>
      <c r="E5340" s="19" t="s">
        <v>763</v>
      </c>
      <c r="F5340">
        <v>1</v>
      </c>
    </row>
    <row r="5341" spans="1:6" x14ac:dyDescent="0.25">
      <c r="C5341" s="19"/>
      <c r="D5341" s="19" t="s">
        <v>764</v>
      </c>
      <c r="E5341" s="19" t="s">
        <v>765</v>
      </c>
      <c r="F5341">
        <v>0</v>
      </c>
    </row>
    <row r="5342" spans="1:6" x14ac:dyDescent="0.25">
      <c r="C5342" s="19"/>
      <c r="D5342" s="19" t="s">
        <v>766</v>
      </c>
      <c r="E5342" s="19" t="s">
        <v>767</v>
      </c>
      <c r="F5342">
        <v>0</v>
      </c>
    </row>
    <row r="5343" spans="1:6" x14ac:dyDescent="0.25">
      <c r="C5343" s="19"/>
      <c r="D5343" s="19" t="s">
        <v>768</v>
      </c>
      <c r="E5343" s="19" t="s">
        <v>769</v>
      </c>
      <c r="F5343">
        <v>0</v>
      </c>
    </row>
    <row r="5344" spans="1:6" x14ac:dyDescent="0.25">
      <c r="C5344" s="19"/>
      <c r="D5344" s="19" t="s">
        <v>770</v>
      </c>
      <c r="E5344" s="19" t="s">
        <v>771</v>
      </c>
      <c r="F5344">
        <v>0</v>
      </c>
    </row>
    <row r="5345" spans="1:6" x14ac:dyDescent="0.25">
      <c r="C5345" s="19"/>
      <c r="D5345" s="19" t="s">
        <v>772</v>
      </c>
      <c r="E5345" s="19" t="s">
        <v>773</v>
      </c>
      <c r="F5345">
        <v>0</v>
      </c>
    </row>
    <row r="5346" spans="1:6" x14ac:dyDescent="0.25">
      <c r="C5346" s="19"/>
      <c r="D5346" s="19" t="s">
        <v>774</v>
      </c>
      <c r="E5346" s="19" t="s">
        <v>775</v>
      </c>
      <c r="F5346">
        <v>0</v>
      </c>
    </row>
    <row r="5347" spans="1:6" x14ac:dyDescent="0.25">
      <c r="C5347" s="19"/>
      <c r="D5347" s="19" t="s">
        <v>776</v>
      </c>
      <c r="E5347" s="19" t="s">
        <v>777</v>
      </c>
      <c r="F5347">
        <v>1</v>
      </c>
    </row>
    <row r="5348" spans="1:6" x14ac:dyDescent="0.25">
      <c r="C5348" s="19"/>
      <c r="D5348" s="19" t="s">
        <v>778</v>
      </c>
      <c r="E5348" s="19" t="s">
        <v>779</v>
      </c>
      <c r="F5348">
        <v>1</v>
      </c>
    </row>
    <row r="5349" spans="1:6" x14ac:dyDescent="0.25">
      <c r="C5349" s="19"/>
      <c r="D5349" s="19" t="s">
        <v>780</v>
      </c>
      <c r="E5349" s="19" t="s">
        <v>781</v>
      </c>
      <c r="F5349">
        <v>0</v>
      </c>
    </row>
    <row r="5350" spans="1:6" x14ac:dyDescent="0.25">
      <c r="A5350" s="3">
        <v>817</v>
      </c>
      <c r="B5350" s="15" t="s">
        <v>244</v>
      </c>
      <c r="C5350" s="19" t="s">
        <v>723</v>
      </c>
      <c r="D5350" s="19" t="s">
        <v>724</v>
      </c>
      <c r="E5350" s="19" t="s">
        <v>304</v>
      </c>
      <c r="F5350">
        <v>1</v>
      </c>
    </row>
    <row r="5351" spans="1:6" x14ac:dyDescent="0.25">
      <c r="C5351" s="19"/>
      <c r="D5351" s="19" t="s">
        <v>725</v>
      </c>
      <c r="E5351" s="19" t="s">
        <v>306</v>
      </c>
      <c r="F5351">
        <v>1</v>
      </c>
    </row>
    <row r="5352" spans="1:6" x14ac:dyDescent="0.25">
      <c r="C5352" s="19"/>
      <c r="D5352" s="19" t="s">
        <v>726</v>
      </c>
      <c r="E5352" s="19" t="s">
        <v>727</v>
      </c>
      <c r="F5352">
        <v>0</v>
      </c>
    </row>
    <row r="5353" spans="1:6" x14ac:dyDescent="0.25">
      <c r="C5353" s="19"/>
      <c r="D5353" s="19" t="s">
        <v>728</v>
      </c>
      <c r="E5353" s="19" t="s">
        <v>729</v>
      </c>
      <c r="F5353">
        <v>0</v>
      </c>
    </row>
    <row r="5354" spans="1:6" x14ac:dyDescent="0.25">
      <c r="C5354" s="19"/>
      <c r="D5354" s="19" t="s">
        <v>730</v>
      </c>
      <c r="E5354" s="19" t="s">
        <v>343</v>
      </c>
      <c r="F5354">
        <v>0</v>
      </c>
    </row>
    <row r="5355" spans="1:6" x14ac:dyDescent="0.25">
      <c r="C5355" s="19"/>
      <c r="D5355" s="19" t="s">
        <v>731</v>
      </c>
      <c r="E5355" s="19" t="s">
        <v>732</v>
      </c>
      <c r="F5355">
        <v>0</v>
      </c>
    </row>
    <row r="5356" spans="1:6" x14ac:dyDescent="0.25">
      <c r="C5356" s="19"/>
      <c r="D5356" s="19" t="s">
        <v>733</v>
      </c>
      <c r="E5356" s="19" t="s">
        <v>734</v>
      </c>
      <c r="F5356">
        <v>0</v>
      </c>
    </row>
    <row r="5357" spans="1:6" x14ac:dyDescent="0.25">
      <c r="C5357" s="19"/>
      <c r="D5357" s="19" t="s">
        <v>735</v>
      </c>
      <c r="E5357" s="19" t="s">
        <v>736</v>
      </c>
      <c r="F5357">
        <v>0</v>
      </c>
    </row>
    <row r="5358" spans="1:6" x14ac:dyDescent="0.25">
      <c r="C5358" s="19"/>
      <c r="D5358" s="19" t="s">
        <v>737</v>
      </c>
      <c r="E5358" s="19" t="s">
        <v>738</v>
      </c>
      <c r="F5358">
        <v>0</v>
      </c>
    </row>
    <row r="5359" spans="1:6" x14ac:dyDescent="0.25">
      <c r="C5359" s="19"/>
      <c r="D5359" s="19" t="s">
        <v>739</v>
      </c>
      <c r="E5359" s="19" t="s">
        <v>740</v>
      </c>
      <c r="F5359">
        <v>0</v>
      </c>
    </row>
    <row r="5360" spans="1:6" x14ac:dyDescent="0.25">
      <c r="C5360" s="19"/>
      <c r="D5360" s="19" t="s">
        <v>741</v>
      </c>
      <c r="E5360" s="19" t="s">
        <v>742</v>
      </c>
      <c r="F5360">
        <v>0</v>
      </c>
    </row>
    <row r="5361" spans="3:6" x14ac:dyDescent="0.25">
      <c r="C5361" s="19"/>
      <c r="D5361" s="19" t="s">
        <v>743</v>
      </c>
      <c r="E5361" s="19" t="s">
        <v>744</v>
      </c>
      <c r="F5361">
        <v>0</v>
      </c>
    </row>
    <row r="5362" spans="3:6" x14ac:dyDescent="0.25">
      <c r="C5362" s="19"/>
      <c r="D5362" s="19" t="s">
        <v>745</v>
      </c>
      <c r="E5362" s="19" t="s">
        <v>746</v>
      </c>
      <c r="F5362">
        <v>0</v>
      </c>
    </row>
    <row r="5363" spans="3:6" x14ac:dyDescent="0.25">
      <c r="C5363" s="19"/>
      <c r="D5363" s="19" t="s">
        <v>747</v>
      </c>
      <c r="E5363" s="19" t="s">
        <v>748</v>
      </c>
      <c r="F5363">
        <v>0</v>
      </c>
    </row>
    <row r="5364" spans="3:6" x14ac:dyDescent="0.25">
      <c r="C5364" s="19"/>
      <c r="D5364" s="19" t="s">
        <v>749</v>
      </c>
      <c r="E5364" s="19" t="s">
        <v>750</v>
      </c>
      <c r="F5364">
        <v>0</v>
      </c>
    </row>
    <row r="5365" spans="3:6" x14ac:dyDescent="0.25">
      <c r="C5365" s="19"/>
      <c r="D5365" s="19" t="s">
        <v>751</v>
      </c>
      <c r="E5365" s="19" t="s">
        <v>347</v>
      </c>
      <c r="F5365">
        <v>0</v>
      </c>
    </row>
    <row r="5366" spans="3:6" x14ac:dyDescent="0.25">
      <c r="C5366" s="19"/>
      <c r="D5366" s="19" t="s">
        <v>752</v>
      </c>
      <c r="E5366" s="19" t="s">
        <v>753</v>
      </c>
      <c r="F5366">
        <v>0</v>
      </c>
    </row>
    <row r="5367" spans="3:6" x14ac:dyDescent="0.25">
      <c r="C5367" s="19"/>
      <c r="D5367" s="19" t="s">
        <v>754</v>
      </c>
      <c r="E5367" s="19" t="s">
        <v>755</v>
      </c>
      <c r="F5367">
        <v>0</v>
      </c>
    </row>
    <row r="5368" spans="3:6" x14ac:dyDescent="0.25">
      <c r="C5368" s="19"/>
      <c r="D5368" s="19" t="s">
        <v>756</v>
      </c>
      <c r="E5368" s="19" t="s">
        <v>757</v>
      </c>
      <c r="F5368">
        <v>0</v>
      </c>
    </row>
    <row r="5369" spans="3:6" x14ac:dyDescent="0.25">
      <c r="C5369" s="19"/>
      <c r="D5369" s="19" t="s">
        <v>758</v>
      </c>
      <c r="E5369" s="19" t="s">
        <v>759</v>
      </c>
      <c r="F5369">
        <v>0</v>
      </c>
    </row>
    <row r="5370" spans="3:6" x14ac:dyDescent="0.25">
      <c r="C5370" s="19" t="s">
        <v>1198</v>
      </c>
      <c r="D5370" s="19" t="s">
        <v>1199</v>
      </c>
      <c r="E5370" s="19" t="s">
        <v>273</v>
      </c>
      <c r="F5370">
        <v>1</v>
      </c>
    </row>
    <row r="5371" spans="3:6" x14ac:dyDescent="0.25">
      <c r="C5371" s="19"/>
      <c r="D5371" s="19" t="s">
        <v>1200</v>
      </c>
      <c r="E5371" s="19" t="s">
        <v>312</v>
      </c>
      <c r="F5371">
        <v>1</v>
      </c>
    </row>
    <row r="5372" spans="3:6" x14ac:dyDescent="0.25">
      <c r="C5372" s="19"/>
      <c r="D5372" s="19" t="s">
        <v>1201</v>
      </c>
      <c r="E5372" s="19" t="s">
        <v>801</v>
      </c>
      <c r="F5372">
        <v>0</v>
      </c>
    </row>
    <row r="5373" spans="3:6" x14ac:dyDescent="0.25">
      <c r="C5373" s="19"/>
      <c r="D5373" s="19" t="s">
        <v>1202</v>
      </c>
      <c r="E5373" s="19" t="s">
        <v>786</v>
      </c>
      <c r="F5373">
        <v>1</v>
      </c>
    </row>
    <row r="5374" spans="3:6" x14ac:dyDescent="0.25">
      <c r="C5374" s="19"/>
      <c r="D5374" s="19" t="s">
        <v>1203</v>
      </c>
      <c r="E5374" s="19" t="s">
        <v>784</v>
      </c>
      <c r="F5374">
        <v>1</v>
      </c>
    </row>
    <row r="5375" spans="3:6" x14ac:dyDescent="0.25">
      <c r="C5375" s="19"/>
      <c r="D5375" s="19" t="s">
        <v>1204</v>
      </c>
      <c r="E5375" s="19" t="s">
        <v>1205</v>
      </c>
      <c r="F5375">
        <v>0</v>
      </c>
    </row>
    <row r="5376" spans="3:6" x14ac:dyDescent="0.25">
      <c r="C5376" s="19"/>
      <c r="D5376" s="19" t="s">
        <v>1206</v>
      </c>
      <c r="E5376" s="19" t="s">
        <v>1207</v>
      </c>
      <c r="F5376">
        <v>0</v>
      </c>
    </row>
    <row r="5377" spans="3:6" x14ac:dyDescent="0.25">
      <c r="C5377" s="19"/>
      <c r="D5377" s="19" t="s">
        <v>1208</v>
      </c>
      <c r="E5377" s="19" t="s">
        <v>1209</v>
      </c>
      <c r="F5377">
        <v>0</v>
      </c>
    </row>
    <row r="5378" spans="3:6" x14ac:dyDescent="0.25">
      <c r="C5378" s="19"/>
      <c r="D5378" s="19" t="s">
        <v>1210</v>
      </c>
      <c r="E5378" s="19" t="s">
        <v>1211</v>
      </c>
      <c r="F5378">
        <v>0</v>
      </c>
    </row>
    <row r="5379" spans="3:6" x14ac:dyDescent="0.25">
      <c r="C5379" s="19"/>
      <c r="D5379" s="19" t="s">
        <v>1212</v>
      </c>
      <c r="E5379" s="19" t="s">
        <v>789</v>
      </c>
      <c r="F5379">
        <v>0</v>
      </c>
    </row>
    <row r="5380" spans="3:6" x14ac:dyDescent="0.25">
      <c r="C5380" s="19"/>
      <c r="D5380" s="19" t="s">
        <v>1213</v>
      </c>
      <c r="E5380" s="19" t="s">
        <v>1214</v>
      </c>
      <c r="F5380">
        <v>1</v>
      </c>
    </row>
    <row r="5381" spans="3:6" x14ac:dyDescent="0.25">
      <c r="C5381" s="19"/>
      <c r="D5381" s="19" t="s">
        <v>1215</v>
      </c>
      <c r="E5381" s="19" t="s">
        <v>1216</v>
      </c>
      <c r="F5381">
        <v>0</v>
      </c>
    </row>
    <row r="5382" spans="3:6" x14ac:dyDescent="0.25">
      <c r="C5382" s="19"/>
      <c r="D5382" s="19" t="s">
        <v>1217</v>
      </c>
      <c r="E5382" s="19" t="s">
        <v>791</v>
      </c>
      <c r="F5382">
        <v>0</v>
      </c>
    </row>
    <row r="5383" spans="3:6" x14ac:dyDescent="0.25">
      <c r="C5383" s="19"/>
      <c r="D5383" s="19" t="s">
        <v>1218</v>
      </c>
      <c r="E5383" s="19" t="s">
        <v>795</v>
      </c>
      <c r="F5383">
        <v>1</v>
      </c>
    </row>
    <row r="5384" spans="3:6" x14ac:dyDescent="0.25">
      <c r="C5384" s="19"/>
      <c r="D5384" s="19" t="s">
        <v>1219</v>
      </c>
      <c r="E5384" s="19" t="s">
        <v>372</v>
      </c>
      <c r="F5384">
        <v>0</v>
      </c>
    </row>
    <row r="5385" spans="3:6" x14ac:dyDescent="0.25">
      <c r="C5385" s="19" t="s">
        <v>1259</v>
      </c>
      <c r="D5385" s="19" t="s">
        <v>1260</v>
      </c>
      <c r="E5385" s="19" t="s">
        <v>273</v>
      </c>
      <c r="F5385">
        <v>1</v>
      </c>
    </row>
    <row r="5386" spans="3:6" x14ac:dyDescent="0.25">
      <c r="C5386" s="19"/>
      <c r="D5386" s="19" t="s">
        <v>1261</v>
      </c>
      <c r="E5386" s="19" t="s">
        <v>1262</v>
      </c>
      <c r="F5386">
        <v>0</v>
      </c>
    </row>
    <row r="5387" spans="3:6" x14ac:dyDescent="0.25">
      <c r="C5387" s="19"/>
      <c r="D5387" s="19" t="s">
        <v>1263</v>
      </c>
      <c r="E5387" s="19" t="s">
        <v>1264</v>
      </c>
      <c r="F5387">
        <v>0</v>
      </c>
    </row>
    <row r="5388" spans="3:6" x14ac:dyDescent="0.25">
      <c r="C5388" s="19"/>
      <c r="D5388" s="19" t="s">
        <v>1265</v>
      </c>
      <c r="E5388" s="19" t="s">
        <v>1266</v>
      </c>
      <c r="F5388">
        <v>0</v>
      </c>
    </row>
    <row r="5389" spans="3:6" x14ac:dyDescent="0.25">
      <c r="C5389" s="19" t="s">
        <v>1125</v>
      </c>
      <c r="D5389" s="19" t="s">
        <v>1126</v>
      </c>
      <c r="E5389" s="19" t="s">
        <v>273</v>
      </c>
      <c r="F5389">
        <v>1</v>
      </c>
    </row>
    <row r="5390" spans="3:6" x14ac:dyDescent="0.25">
      <c r="C5390" s="19"/>
      <c r="D5390" s="19" t="s">
        <v>1127</v>
      </c>
      <c r="E5390" s="19" t="s">
        <v>312</v>
      </c>
      <c r="F5390">
        <v>1</v>
      </c>
    </row>
    <row r="5391" spans="3:6" x14ac:dyDescent="0.25">
      <c r="C5391" s="19"/>
      <c r="D5391" s="19" t="s">
        <v>1128</v>
      </c>
      <c r="E5391" s="19" t="s">
        <v>1129</v>
      </c>
      <c r="F5391">
        <v>0</v>
      </c>
    </row>
    <row r="5392" spans="3:6" x14ac:dyDescent="0.25">
      <c r="C5392" s="19"/>
      <c r="D5392" s="19" t="s">
        <v>1130</v>
      </c>
      <c r="E5392" s="19" t="s">
        <v>1131</v>
      </c>
      <c r="F5392">
        <v>1</v>
      </c>
    </row>
    <row r="5393" spans="3:6" x14ac:dyDescent="0.25">
      <c r="C5393" s="19"/>
      <c r="D5393" s="19" t="s">
        <v>1132</v>
      </c>
      <c r="E5393" s="19" t="s">
        <v>1133</v>
      </c>
      <c r="F5393">
        <v>0</v>
      </c>
    </row>
    <row r="5394" spans="3:6" x14ac:dyDescent="0.25">
      <c r="C5394" s="19"/>
      <c r="D5394" s="19" t="s">
        <v>1134</v>
      </c>
      <c r="E5394" s="19" t="s">
        <v>347</v>
      </c>
      <c r="F5394">
        <v>0</v>
      </c>
    </row>
    <row r="5395" spans="3:6" x14ac:dyDescent="0.25">
      <c r="C5395" s="19"/>
      <c r="D5395" s="19" t="s">
        <v>1135</v>
      </c>
      <c r="E5395" s="19" t="s">
        <v>1136</v>
      </c>
      <c r="F5395">
        <v>0</v>
      </c>
    </row>
    <row r="5396" spans="3:6" x14ac:dyDescent="0.25">
      <c r="C5396" s="19"/>
      <c r="D5396" s="19" t="s">
        <v>1137</v>
      </c>
      <c r="E5396" s="19" t="s">
        <v>1138</v>
      </c>
      <c r="F5396">
        <v>1</v>
      </c>
    </row>
    <row r="5397" spans="3:6" x14ac:dyDescent="0.25">
      <c r="C5397" s="19"/>
      <c r="D5397" s="19" t="s">
        <v>1139</v>
      </c>
      <c r="E5397" s="19" t="s">
        <v>1140</v>
      </c>
      <c r="F5397">
        <v>0</v>
      </c>
    </row>
    <row r="5398" spans="3:6" x14ac:dyDescent="0.25">
      <c r="C5398" s="19" t="s">
        <v>1723</v>
      </c>
      <c r="D5398" s="19" t="s">
        <v>1724</v>
      </c>
      <c r="E5398" s="19" t="s">
        <v>273</v>
      </c>
      <c r="F5398">
        <v>1</v>
      </c>
    </row>
    <row r="5399" spans="3:6" x14ac:dyDescent="0.25">
      <c r="C5399" s="19"/>
      <c r="D5399" s="19" t="s">
        <v>1725</v>
      </c>
      <c r="E5399" s="19" t="s">
        <v>312</v>
      </c>
      <c r="F5399">
        <v>1</v>
      </c>
    </row>
    <row r="5400" spans="3:6" x14ac:dyDescent="0.25">
      <c r="C5400" s="19"/>
      <c r="D5400" s="19" t="s">
        <v>1726</v>
      </c>
      <c r="E5400" s="19" t="s">
        <v>1727</v>
      </c>
      <c r="F5400">
        <v>1</v>
      </c>
    </row>
    <row r="5401" spans="3:6" x14ac:dyDescent="0.25">
      <c r="C5401" s="19"/>
      <c r="D5401" s="19" t="s">
        <v>1728</v>
      </c>
      <c r="E5401" s="19" t="s">
        <v>380</v>
      </c>
      <c r="F5401">
        <v>0</v>
      </c>
    </row>
    <row r="5402" spans="3:6" x14ac:dyDescent="0.25">
      <c r="C5402" s="19"/>
      <c r="D5402" s="19" t="s">
        <v>1729</v>
      </c>
      <c r="E5402" s="19" t="s">
        <v>1730</v>
      </c>
      <c r="F5402">
        <v>0</v>
      </c>
    </row>
    <row r="5403" spans="3:6" x14ac:dyDescent="0.25">
      <c r="C5403" s="19"/>
      <c r="D5403" s="19" t="s">
        <v>1731</v>
      </c>
      <c r="E5403" s="19" t="s">
        <v>322</v>
      </c>
      <c r="F5403">
        <v>0</v>
      </c>
    </row>
    <row r="5404" spans="3:6" x14ac:dyDescent="0.25">
      <c r="C5404" s="19"/>
      <c r="D5404" s="19" t="s">
        <v>1732</v>
      </c>
      <c r="E5404" s="19" t="s">
        <v>1733</v>
      </c>
      <c r="F5404">
        <v>0</v>
      </c>
    </row>
    <row r="5405" spans="3:6" x14ac:dyDescent="0.25">
      <c r="C5405" s="19"/>
      <c r="D5405" s="19" t="s">
        <v>1734</v>
      </c>
      <c r="E5405" s="19" t="s">
        <v>1735</v>
      </c>
      <c r="F5405">
        <v>0</v>
      </c>
    </row>
    <row r="5406" spans="3:6" x14ac:dyDescent="0.25">
      <c r="C5406" s="19"/>
      <c r="D5406" s="19" t="s">
        <v>1736</v>
      </c>
      <c r="E5406" s="19" t="s">
        <v>1737</v>
      </c>
      <c r="F5406">
        <v>0</v>
      </c>
    </row>
    <row r="5407" spans="3:6" x14ac:dyDescent="0.25">
      <c r="C5407" s="19"/>
      <c r="D5407" s="19" t="s">
        <v>1738</v>
      </c>
      <c r="E5407" s="19" t="s">
        <v>1739</v>
      </c>
      <c r="F5407">
        <v>1</v>
      </c>
    </row>
    <row r="5408" spans="3:6" x14ac:dyDescent="0.25">
      <c r="C5408" s="19"/>
      <c r="D5408" s="19" t="s">
        <v>1740</v>
      </c>
      <c r="E5408" s="19" t="s">
        <v>1741</v>
      </c>
      <c r="F5408">
        <v>0</v>
      </c>
    </row>
    <row r="5409" spans="3:6" x14ac:dyDescent="0.25">
      <c r="C5409" s="19"/>
      <c r="D5409" s="19" t="s">
        <v>1742</v>
      </c>
      <c r="E5409" s="19" t="s">
        <v>1743</v>
      </c>
      <c r="F5409">
        <v>0</v>
      </c>
    </row>
    <row r="5410" spans="3:6" x14ac:dyDescent="0.25">
      <c r="C5410" s="19"/>
      <c r="D5410" s="19" t="s">
        <v>1744</v>
      </c>
      <c r="E5410" s="19" t="s">
        <v>1745</v>
      </c>
      <c r="F5410">
        <v>0</v>
      </c>
    </row>
    <row r="5411" spans="3:6" x14ac:dyDescent="0.25">
      <c r="C5411" s="19"/>
      <c r="D5411" s="19" t="s">
        <v>1746</v>
      </c>
      <c r="E5411" s="19" t="s">
        <v>1747</v>
      </c>
      <c r="F5411">
        <v>0</v>
      </c>
    </row>
    <row r="5412" spans="3:6" x14ac:dyDescent="0.25">
      <c r="C5412" s="19"/>
      <c r="D5412" s="19" t="s">
        <v>1748</v>
      </c>
      <c r="E5412" s="19" t="s">
        <v>1749</v>
      </c>
      <c r="F5412">
        <v>0</v>
      </c>
    </row>
    <row r="5413" spans="3:6" x14ac:dyDescent="0.25">
      <c r="C5413" s="19"/>
      <c r="D5413" s="19" t="s">
        <v>1750</v>
      </c>
      <c r="E5413" s="19" t="s">
        <v>954</v>
      </c>
      <c r="F5413">
        <v>0</v>
      </c>
    </row>
    <row r="5414" spans="3:6" x14ac:dyDescent="0.25">
      <c r="C5414" s="21" t="s">
        <v>386</v>
      </c>
      <c r="D5414" s="19" t="s">
        <v>387</v>
      </c>
      <c r="E5414" s="19" t="s">
        <v>388</v>
      </c>
      <c r="F5414">
        <v>0</v>
      </c>
    </row>
    <row r="5415" spans="3:6" x14ac:dyDescent="0.25">
      <c r="C5415" s="22"/>
      <c r="D5415" s="19" t="s">
        <v>390</v>
      </c>
      <c r="E5415" s="19" t="s">
        <v>391</v>
      </c>
      <c r="F5415">
        <v>0</v>
      </c>
    </row>
    <row r="5416" spans="3:6" x14ac:dyDescent="0.25">
      <c r="C5416" s="19"/>
      <c r="D5416" s="21" t="s">
        <v>392</v>
      </c>
      <c r="E5416" s="19" t="s">
        <v>393</v>
      </c>
      <c r="F5416">
        <v>0</v>
      </c>
    </row>
    <row r="5417" spans="3:6" x14ac:dyDescent="0.25">
      <c r="C5417" s="19"/>
      <c r="D5417" s="19" t="s">
        <v>394</v>
      </c>
      <c r="E5417" s="19" t="s">
        <v>395</v>
      </c>
      <c r="F5417">
        <v>0</v>
      </c>
    </row>
    <row r="5418" spans="3:6" x14ac:dyDescent="0.25">
      <c r="C5418" s="19"/>
      <c r="D5418" s="19" t="s">
        <v>396</v>
      </c>
      <c r="E5418" s="19" t="s">
        <v>397</v>
      </c>
      <c r="F5418">
        <v>1</v>
      </c>
    </row>
    <row r="5419" spans="3:6" x14ac:dyDescent="0.25">
      <c r="C5419" s="19"/>
      <c r="D5419" s="19" t="s">
        <v>398</v>
      </c>
      <c r="E5419" s="19" t="s">
        <v>399</v>
      </c>
      <c r="F5419">
        <v>1</v>
      </c>
    </row>
    <row r="5420" spans="3:6" x14ac:dyDescent="0.25">
      <c r="C5420" s="19"/>
      <c r="D5420" s="19" t="s">
        <v>400</v>
      </c>
      <c r="E5420" s="19" t="s">
        <v>401</v>
      </c>
      <c r="F5420">
        <v>1</v>
      </c>
    </row>
    <row r="5421" spans="3:6" x14ac:dyDescent="0.25">
      <c r="C5421" s="19"/>
      <c r="D5421" s="19" t="s">
        <v>402</v>
      </c>
      <c r="E5421" s="19" t="s">
        <v>403</v>
      </c>
      <c r="F5421">
        <v>0</v>
      </c>
    </row>
    <row r="5422" spans="3:6" x14ac:dyDescent="0.25">
      <c r="C5422" s="19"/>
      <c r="D5422" s="19" t="s">
        <v>404</v>
      </c>
      <c r="E5422" s="19" t="s">
        <v>405</v>
      </c>
      <c r="F5422">
        <v>0</v>
      </c>
    </row>
    <row r="5423" spans="3:6" x14ac:dyDescent="0.25">
      <c r="C5423" s="19"/>
      <c r="D5423" s="19" t="s">
        <v>406</v>
      </c>
      <c r="E5423" s="19" t="s">
        <v>407</v>
      </c>
      <c r="F5423">
        <v>0</v>
      </c>
    </row>
    <row r="5424" spans="3:6" x14ac:dyDescent="0.25">
      <c r="C5424" s="19"/>
      <c r="D5424" s="19" t="s">
        <v>408</v>
      </c>
      <c r="E5424" s="19" t="s">
        <v>409</v>
      </c>
      <c r="F5424">
        <v>0</v>
      </c>
    </row>
    <row r="5425" spans="1:6" x14ac:dyDescent="0.25">
      <c r="C5425" s="19" t="s">
        <v>1863</v>
      </c>
      <c r="D5425" s="19" t="s">
        <v>1864</v>
      </c>
      <c r="E5425" s="19" t="s">
        <v>1865</v>
      </c>
      <c r="F5425">
        <v>0</v>
      </c>
    </row>
    <row r="5426" spans="1:6" x14ac:dyDescent="0.25">
      <c r="C5426" s="19"/>
      <c r="D5426" s="19" t="s">
        <v>1866</v>
      </c>
      <c r="E5426" s="19" t="s">
        <v>1867</v>
      </c>
      <c r="F5426">
        <v>0</v>
      </c>
    </row>
    <row r="5427" spans="1:6" x14ac:dyDescent="0.25">
      <c r="C5427" s="19"/>
      <c r="D5427" s="19" t="s">
        <v>1868</v>
      </c>
      <c r="E5427" s="19" t="s">
        <v>289</v>
      </c>
      <c r="F5427">
        <v>0</v>
      </c>
    </row>
    <row r="5428" spans="1:6" x14ac:dyDescent="0.25">
      <c r="C5428" s="19"/>
      <c r="D5428" s="19" t="s">
        <v>1869</v>
      </c>
      <c r="E5428" s="19" t="s">
        <v>391</v>
      </c>
      <c r="F5428">
        <v>0</v>
      </c>
    </row>
    <row r="5429" spans="1:6" x14ac:dyDescent="0.25">
      <c r="C5429" s="19"/>
      <c r="D5429" s="19" t="s">
        <v>1870</v>
      </c>
      <c r="E5429" s="19" t="s">
        <v>1871</v>
      </c>
      <c r="F5429">
        <v>1</v>
      </c>
    </row>
    <row r="5430" spans="1:6" x14ac:dyDescent="0.25">
      <c r="C5430" s="19"/>
      <c r="D5430" s="19" t="s">
        <v>1872</v>
      </c>
      <c r="E5430" s="19" t="s">
        <v>1873</v>
      </c>
      <c r="F5430">
        <v>1</v>
      </c>
    </row>
    <row r="5431" spans="1:6" x14ac:dyDescent="0.25">
      <c r="C5431" s="19" t="s">
        <v>1354</v>
      </c>
      <c r="D5431" s="19" t="s">
        <v>1355</v>
      </c>
      <c r="E5431" s="19" t="s">
        <v>270</v>
      </c>
      <c r="F5431">
        <v>1</v>
      </c>
    </row>
    <row r="5432" spans="1:6" x14ac:dyDescent="0.25">
      <c r="C5432" s="19"/>
      <c r="D5432" s="19" t="s">
        <v>1356</v>
      </c>
      <c r="E5432" s="19" t="s">
        <v>1357</v>
      </c>
      <c r="F5432">
        <v>1</v>
      </c>
    </row>
    <row r="5433" spans="1:6" x14ac:dyDescent="0.25">
      <c r="C5433" s="19"/>
      <c r="D5433" s="19" t="s">
        <v>1358</v>
      </c>
      <c r="E5433" s="19" t="s">
        <v>1359</v>
      </c>
      <c r="F5433">
        <v>0</v>
      </c>
    </row>
    <row r="5434" spans="1:6" x14ac:dyDescent="0.25">
      <c r="C5434" s="19"/>
      <c r="D5434" s="19" t="s">
        <v>1360</v>
      </c>
      <c r="E5434" s="19" t="s">
        <v>1361</v>
      </c>
      <c r="F5434">
        <v>0</v>
      </c>
    </row>
    <row r="5435" spans="1:6" x14ac:dyDescent="0.25">
      <c r="C5435" s="19"/>
      <c r="D5435" s="19" t="s">
        <v>1362</v>
      </c>
      <c r="E5435" s="19" t="s">
        <v>1363</v>
      </c>
      <c r="F5435">
        <v>1</v>
      </c>
    </row>
    <row r="5436" spans="1:6" x14ac:dyDescent="0.25">
      <c r="C5436" s="19"/>
      <c r="D5436" s="19" t="s">
        <v>1364</v>
      </c>
      <c r="E5436" s="19" t="s">
        <v>1365</v>
      </c>
      <c r="F5436">
        <v>1</v>
      </c>
    </row>
    <row r="5437" spans="1:6" x14ac:dyDescent="0.25">
      <c r="A5437" s="3">
        <v>818</v>
      </c>
      <c r="B5437" s="15" t="s">
        <v>245</v>
      </c>
      <c r="C5437" s="19" t="s">
        <v>1390</v>
      </c>
      <c r="D5437" s="19" t="s">
        <v>1391</v>
      </c>
      <c r="E5437" s="19" t="s">
        <v>583</v>
      </c>
      <c r="F5437">
        <v>1</v>
      </c>
    </row>
    <row r="5438" spans="1:6" x14ac:dyDescent="0.25">
      <c r="C5438" s="19"/>
      <c r="D5438" s="19" t="s">
        <v>1392</v>
      </c>
      <c r="E5438" s="19" t="s">
        <v>306</v>
      </c>
      <c r="F5438">
        <v>0</v>
      </c>
    </row>
    <row r="5439" spans="1:6" x14ac:dyDescent="0.25">
      <c r="C5439" s="19"/>
      <c r="D5439" s="19" t="s">
        <v>1393</v>
      </c>
      <c r="E5439" s="19" t="s">
        <v>1394</v>
      </c>
      <c r="F5439">
        <v>0</v>
      </c>
    </row>
    <row r="5440" spans="1:6" x14ac:dyDescent="0.25">
      <c r="C5440" s="19"/>
      <c r="D5440" s="19" t="s">
        <v>1395</v>
      </c>
      <c r="E5440" s="19" t="s">
        <v>273</v>
      </c>
      <c r="F5440">
        <v>0</v>
      </c>
    </row>
    <row r="5441" spans="3:6" x14ac:dyDescent="0.25">
      <c r="C5441" s="19"/>
      <c r="D5441" s="19" t="s">
        <v>1396</v>
      </c>
      <c r="E5441" s="19" t="s">
        <v>1397</v>
      </c>
      <c r="F5441">
        <v>1</v>
      </c>
    </row>
    <row r="5442" spans="3:6" x14ac:dyDescent="0.25">
      <c r="C5442" s="19"/>
      <c r="D5442" s="19" t="s">
        <v>1398</v>
      </c>
      <c r="E5442" s="19" t="s">
        <v>493</v>
      </c>
      <c r="F5442">
        <v>0</v>
      </c>
    </row>
    <row r="5443" spans="3:6" x14ac:dyDescent="0.25">
      <c r="C5443" s="19"/>
      <c r="D5443" s="19" t="s">
        <v>1400</v>
      </c>
      <c r="E5443" s="19" t="s">
        <v>1401</v>
      </c>
      <c r="F5443">
        <v>0</v>
      </c>
    </row>
    <row r="5444" spans="3:6" x14ac:dyDescent="0.25">
      <c r="C5444" s="19"/>
      <c r="D5444" s="19" t="s">
        <v>1404</v>
      </c>
      <c r="E5444" s="19" t="s">
        <v>626</v>
      </c>
      <c r="F5444">
        <v>0</v>
      </c>
    </row>
    <row r="5445" spans="3:6" x14ac:dyDescent="0.25">
      <c r="C5445" s="19"/>
      <c r="D5445" s="19" t="s">
        <v>1407</v>
      </c>
      <c r="E5445" s="19" t="s">
        <v>627</v>
      </c>
      <c r="F5445">
        <v>1</v>
      </c>
    </row>
    <row r="5446" spans="3:6" x14ac:dyDescent="0.25">
      <c r="C5446" s="19"/>
      <c r="D5446" s="19" t="s">
        <v>1410</v>
      </c>
      <c r="E5446" s="19" t="s">
        <v>628</v>
      </c>
      <c r="F5446">
        <v>0</v>
      </c>
    </row>
    <row r="5447" spans="3:6" x14ac:dyDescent="0.25">
      <c r="C5447" s="19"/>
      <c r="D5447" s="19" t="s">
        <v>1411</v>
      </c>
      <c r="E5447" s="19" t="s">
        <v>629</v>
      </c>
      <c r="F5447">
        <v>0</v>
      </c>
    </row>
    <row r="5448" spans="3:6" x14ac:dyDescent="0.25">
      <c r="C5448" s="19"/>
      <c r="D5448" s="19" t="s">
        <v>1412</v>
      </c>
      <c r="E5448" s="19" t="s">
        <v>630</v>
      </c>
      <c r="F5448">
        <v>0</v>
      </c>
    </row>
    <row r="5449" spans="3:6" x14ac:dyDescent="0.25">
      <c r="C5449" s="19"/>
      <c r="D5449" s="19" t="s">
        <v>1413</v>
      </c>
      <c r="E5449" s="19" t="s">
        <v>1414</v>
      </c>
      <c r="F5449">
        <v>0</v>
      </c>
    </row>
    <row r="5450" spans="3:6" x14ac:dyDescent="0.25">
      <c r="C5450" s="19"/>
      <c r="D5450" s="19" t="s">
        <v>1415</v>
      </c>
      <c r="E5450" s="19" t="s">
        <v>611</v>
      </c>
      <c r="F5450">
        <v>0</v>
      </c>
    </row>
    <row r="5451" spans="3:6" x14ac:dyDescent="0.25">
      <c r="C5451" s="19"/>
      <c r="D5451" s="19" t="s">
        <v>1416</v>
      </c>
      <c r="E5451" s="19" t="s">
        <v>612</v>
      </c>
      <c r="F5451">
        <v>1</v>
      </c>
    </row>
    <row r="5452" spans="3:6" x14ac:dyDescent="0.25">
      <c r="C5452" s="19"/>
      <c r="D5452" s="19" t="s">
        <v>1417</v>
      </c>
      <c r="E5452" s="19" t="s">
        <v>613</v>
      </c>
      <c r="F5452">
        <v>1</v>
      </c>
    </row>
    <row r="5453" spans="3:6" x14ac:dyDescent="0.25">
      <c r="C5453" s="19"/>
      <c r="D5453" s="19" t="s">
        <v>1418</v>
      </c>
      <c r="E5453" s="19" t="s">
        <v>1419</v>
      </c>
      <c r="F5453">
        <v>0</v>
      </c>
    </row>
    <row r="5454" spans="3:6" x14ac:dyDescent="0.25">
      <c r="C5454" s="19"/>
      <c r="D5454" s="19" t="s">
        <v>1420</v>
      </c>
      <c r="E5454" s="19" t="s">
        <v>621</v>
      </c>
      <c r="F5454">
        <v>0</v>
      </c>
    </row>
    <row r="5455" spans="3:6" x14ac:dyDescent="0.25">
      <c r="C5455" s="19"/>
      <c r="D5455" s="19" t="s">
        <v>1421</v>
      </c>
      <c r="E5455" s="19" t="s">
        <v>1422</v>
      </c>
      <c r="F5455">
        <v>0</v>
      </c>
    </row>
    <row r="5456" spans="3:6" x14ac:dyDescent="0.25">
      <c r="C5456" s="19"/>
      <c r="D5456" s="19" t="s">
        <v>1423</v>
      </c>
      <c r="E5456" s="19" t="s">
        <v>614</v>
      </c>
      <c r="F5456">
        <v>0</v>
      </c>
    </row>
    <row r="5457" spans="1:6" x14ac:dyDescent="0.25">
      <c r="C5457" s="19"/>
      <c r="D5457" s="19" t="s">
        <v>1424</v>
      </c>
      <c r="E5457" s="19" t="s">
        <v>615</v>
      </c>
      <c r="F5457">
        <v>0</v>
      </c>
    </row>
    <row r="5458" spans="1:6" x14ac:dyDescent="0.25">
      <c r="C5458" s="19"/>
      <c r="D5458" s="19" t="s">
        <v>1425</v>
      </c>
      <c r="E5458" s="19" t="s">
        <v>616</v>
      </c>
      <c r="F5458">
        <v>1</v>
      </c>
    </row>
    <row r="5459" spans="1:6" x14ac:dyDescent="0.25">
      <c r="C5459" s="19"/>
      <c r="D5459" s="19" t="s">
        <v>1426</v>
      </c>
      <c r="E5459" s="19" t="s">
        <v>617</v>
      </c>
      <c r="F5459">
        <v>0</v>
      </c>
    </row>
    <row r="5460" spans="1:6" x14ac:dyDescent="0.25">
      <c r="C5460" s="19"/>
      <c r="D5460" s="19" t="s">
        <v>1427</v>
      </c>
      <c r="E5460" s="19" t="s">
        <v>1428</v>
      </c>
      <c r="F5460">
        <v>0</v>
      </c>
    </row>
    <row r="5461" spans="1:6" x14ac:dyDescent="0.25">
      <c r="C5461" s="19"/>
      <c r="D5461" s="19" t="s">
        <v>1429</v>
      </c>
      <c r="E5461" s="19" t="s">
        <v>1430</v>
      </c>
      <c r="F5461">
        <v>0</v>
      </c>
    </row>
    <row r="5462" spans="1:6" x14ac:dyDescent="0.25">
      <c r="C5462" s="19"/>
      <c r="D5462" s="19" t="s">
        <v>1431</v>
      </c>
      <c r="E5462" s="19" t="s">
        <v>1432</v>
      </c>
      <c r="F5462">
        <v>1</v>
      </c>
    </row>
    <row r="5463" spans="1:6" x14ac:dyDescent="0.25">
      <c r="C5463" s="19"/>
      <c r="D5463" s="19" t="s">
        <v>1433</v>
      </c>
      <c r="E5463" s="19" t="s">
        <v>623</v>
      </c>
      <c r="F5463">
        <v>0</v>
      </c>
    </row>
    <row r="5464" spans="1:6" x14ac:dyDescent="0.25">
      <c r="C5464" s="19"/>
      <c r="D5464" s="19" t="s">
        <v>1434</v>
      </c>
      <c r="E5464" s="19" t="s">
        <v>624</v>
      </c>
      <c r="F5464">
        <v>0</v>
      </c>
    </row>
    <row r="5465" spans="1:6" x14ac:dyDescent="0.25">
      <c r="C5465" s="19"/>
      <c r="D5465" s="19" t="s">
        <v>1435</v>
      </c>
      <c r="E5465" s="19" t="s">
        <v>625</v>
      </c>
      <c r="F5465">
        <v>0</v>
      </c>
    </row>
    <row r="5466" spans="1:6" x14ac:dyDescent="0.25">
      <c r="A5466" s="3">
        <v>830</v>
      </c>
      <c r="B5466" s="15" t="s">
        <v>246</v>
      </c>
      <c r="C5466" s="19" t="s">
        <v>1723</v>
      </c>
      <c r="D5466" s="19" t="s">
        <v>1724</v>
      </c>
      <c r="E5466" s="19" t="s">
        <v>273</v>
      </c>
      <c r="F5466">
        <v>1</v>
      </c>
    </row>
    <row r="5467" spans="1:6" x14ac:dyDescent="0.25">
      <c r="C5467" s="19"/>
      <c r="D5467" s="19" t="s">
        <v>1725</v>
      </c>
      <c r="E5467" s="19" t="s">
        <v>312</v>
      </c>
      <c r="F5467">
        <v>1</v>
      </c>
    </row>
    <row r="5468" spans="1:6" x14ac:dyDescent="0.25">
      <c r="C5468" s="19"/>
      <c r="D5468" s="19" t="s">
        <v>1726</v>
      </c>
      <c r="E5468" s="19" t="s">
        <v>1727</v>
      </c>
      <c r="F5468">
        <v>1</v>
      </c>
    </row>
    <row r="5469" spans="1:6" x14ac:dyDescent="0.25">
      <c r="C5469" s="19"/>
      <c r="D5469" s="19" t="s">
        <v>1728</v>
      </c>
      <c r="E5469" s="19" t="s">
        <v>380</v>
      </c>
      <c r="F5469">
        <v>1</v>
      </c>
    </row>
    <row r="5470" spans="1:6" x14ac:dyDescent="0.25">
      <c r="C5470" s="19"/>
      <c r="D5470" s="19" t="s">
        <v>1729</v>
      </c>
      <c r="E5470" s="19" t="s">
        <v>1730</v>
      </c>
      <c r="F5470">
        <v>1</v>
      </c>
    </row>
    <row r="5471" spans="1:6" x14ac:dyDescent="0.25">
      <c r="C5471" s="19"/>
      <c r="D5471" s="19" t="s">
        <v>1731</v>
      </c>
      <c r="E5471" s="19" t="s">
        <v>322</v>
      </c>
      <c r="F5471">
        <v>1</v>
      </c>
    </row>
    <row r="5472" spans="1:6" x14ac:dyDescent="0.25">
      <c r="C5472" s="19"/>
      <c r="D5472" s="19" t="s">
        <v>1732</v>
      </c>
      <c r="E5472" s="19" t="s">
        <v>1733</v>
      </c>
      <c r="F5472">
        <v>1</v>
      </c>
    </row>
    <row r="5473" spans="1:6" x14ac:dyDescent="0.25">
      <c r="C5473" s="19"/>
      <c r="D5473" s="19" t="s">
        <v>1734</v>
      </c>
      <c r="E5473" s="19" t="s">
        <v>1735</v>
      </c>
      <c r="F5473">
        <v>1</v>
      </c>
    </row>
    <row r="5474" spans="1:6" x14ac:dyDescent="0.25">
      <c r="C5474" s="19"/>
      <c r="D5474" s="19" t="s">
        <v>1736</v>
      </c>
      <c r="E5474" s="19" t="s">
        <v>1737</v>
      </c>
      <c r="F5474">
        <v>1</v>
      </c>
    </row>
    <row r="5475" spans="1:6" x14ac:dyDescent="0.25">
      <c r="C5475" s="19"/>
      <c r="D5475" s="19" t="s">
        <v>1738</v>
      </c>
      <c r="E5475" s="19" t="s">
        <v>1739</v>
      </c>
      <c r="F5475">
        <v>1</v>
      </c>
    </row>
    <row r="5476" spans="1:6" x14ac:dyDescent="0.25">
      <c r="C5476" s="19"/>
      <c r="D5476" s="19" t="s">
        <v>1740</v>
      </c>
      <c r="E5476" s="19" t="s">
        <v>1741</v>
      </c>
      <c r="F5476">
        <v>1</v>
      </c>
    </row>
    <row r="5477" spans="1:6" x14ac:dyDescent="0.25">
      <c r="C5477" s="19"/>
      <c r="D5477" s="19" t="s">
        <v>1742</v>
      </c>
      <c r="E5477" s="19" t="s">
        <v>1743</v>
      </c>
      <c r="F5477">
        <v>1</v>
      </c>
    </row>
    <row r="5478" spans="1:6" x14ac:dyDescent="0.25">
      <c r="C5478" s="19"/>
      <c r="D5478" s="19" t="s">
        <v>1744</v>
      </c>
      <c r="E5478" s="19" t="s">
        <v>1745</v>
      </c>
      <c r="F5478">
        <v>1</v>
      </c>
    </row>
    <row r="5479" spans="1:6" x14ac:dyDescent="0.25">
      <c r="C5479" s="19"/>
      <c r="D5479" s="19" t="s">
        <v>1746</v>
      </c>
      <c r="E5479" s="19" t="s">
        <v>1747</v>
      </c>
      <c r="F5479">
        <v>1</v>
      </c>
    </row>
    <row r="5480" spans="1:6" x14ac:dyDescent="0.25">
      <c r="C5480" s="19"/>
      <c r="D5480" s="19" t="s">
        <v>1748</v>
      </c>
      <c r="E5480" s="19" t="s">
        <v>1749</v>
      </c>
      <c r="F5480">
        <v>1</v>
      </c>
    </row>
    <row r="5481" spans="1:6" x14ac:dyDescent="0.25">
      <c r="C5481" s="19"/>
      <c r="D5481" s="19" t="s">
        <v>1750</v>
      </c>
      <c r="E5481" s="19" t="s">
        <v>954</v>
      </c>
      <c r="F5481">
        <v>1</v>
      </c>
    </row>
    <row r="5482" spans="1:6" x14ac:dyDescent="0.25">
      <c r="A5482" s="3">
        <v>834</v>
      </c>
      <c r="B5482" s="15" t="s">
        <v>247</v>
      </c>
      <c r="C5482" s="19" t="s">
        <v>1790</v>
      </c>
      <c r="D5482" s="19" t="s">
        <v>1791</v>
      </c>
      <c r="E5482" s="19" t="s">
        <v>273</v>
      </c>
      <c r="F5482">
        <v>1</v>
      </c>
    </row>
    <row r="5483" spans="1:6" x14ac:dyDescent="0.25">
      <c r="C5483" s="19"/>
      <c r="D5483" s="19" t="s">
        <v>1792</v>
      </c>
      <c r="E5483" s="19" t="s">
        <v>312</v>
      </c>
      <c r="F5483">
        <v>0</v>
      </c>
    </row>
    <row r="5484" spans="1:6" x14ac:dyDescent="0.25">
      <c r="C5484" s="19"/>
      <c r="D5484" s="19" t="s">
        <v>1793</v>
      </c>
      <c r="E5484" s="19" t="s">
        <v>801</v>
      </c>
      <c r="F5484">
        <v>1</v>
      </c>
    </row>
    <row r="5485" spans="1:6" x14ac:dyDescent="0.25">
      <c r="C5485" s="19"/>
      <c r="D5485" s="19" t="s">
        <v>1794</v>
      </c>
      <c r="E5485" s="19" t="s">
        <v>786</v>
      </c>
      <c r="F5485">
        <v>1</v>
      </c>
    </row>
    <row r="5486" spans="1:6" x14ac:dyDescent="0.25">
      <c r="C5486" s="19"/>
      <c r="D5486" s="19" t="s">
        <v>1795</v>
      </c>
      <c r="E5486" s="19" t="s">
        <v>784</v>
      </c>
      <c r="F5486">
        <v>0</v>
      </c>
    </row>
    <row r="5487" spans="1:6" x14ac:dyDescent="0.25">
      <c r="C5487" s="19"/>
      <c r="D5487" s="19" t="s">
        <v>1796</v>
      </c>
      <c r="E5487" s="19" t="s">
        <v>1205</v>
      </c>
      <c r="F5487">
        <v>1</v>
      </c>
    </row>
    <row r="5488" spans="1:6" x14ac:dyDescent="0.25">
      <c r="C5488" s="19"/>
      <c r="D5488" s="19" t="s">
        <v>1797</v>
      </c>
      <c r="E5488" s="19" t="s">
        <v>1207</v>
      </c>
      <c r="F5488">
        <v>0</v>
      </c>
    </row>
    <row r="5489" spans="3:6" x14ac:dyDescent="0.25">
      <c r="C5489" s="19"/>
      <c r="D5489" s="19" t="s">
        <v>1798</v>
      </c>
      <c r="E5489" s="19" t="s">
        <v>1209</v>
      </c>
      <c r="F5489">
        <v>0</v>
      </c>
    </row>
    <row r="5490" spans="3:6" x14ac:dyDescent="0.25">
      <c r="C5490" s="19"/>
      <c r="D5490" s="19" t="s">
        <v>1799</v>
      </c>
      <c r="E5490" s="19" t="s">
        <v>789</v>
      </c>
      <c r="F5490">
        <v>0</v>
      </c>
    </row>
    <row r="5491" spans="3:6" x14ac:dyDescent="0.25">
      <c r="C5491" s="19"/>
      <c r="D5491" s="19" t="s">
        <v>1800</v>
      </c>
      <c r="E5491" s="19" t="s">
        <v>1214</v>
      </c>
      <c r="F5491">
        <v>1</v>
      </c>
    </row>
    <row r="5492" spans="3:6" x14ac:dyDescent="0.25">
      <c r="C5492" s="19"/>
      <c r="D5492" s="19" t="s">
        <v>1801</v>
      </c>
      <c r="E5492" s="19" t="s">
        <v>1784</v>
      </c>
      <c r="F5492">
        <v>1</v>
      </c>
    </row>
    <row r="5493" spans="3:6" x14ac:dyDescent="0.25">
      <c r="C5493" s="19"/>
      <c r="D5493" s="19" t="s">
        <v>1802</v>
      </c>
      <c r="E5493" s="19" t="s">
        <v>791</v>
      </c>
      <c r="F5493">
        <v>1</v>
      </c>
    </row>
    <row r="5494" spans="3:6" x14ac:dyDescent="0.25">
      <c r="C5494" s="19"/>
      <c r="D5494" s="19" t="s">
        <v>1803</v>
      </c>
      <c r="E5494" s="19" t="s">
        <v>795</v>
      </c>
      <c r="F5494">
        <v>1</v>
      </c>
    </row>
    <row r="5495" spans="3:6" x14ac:dyDescent="0.25">
      <c r="C5495" s="19"/>
      <c r="D5495" s="19" t="s">
        <v>1804</v>
      </c>
      <c r="E5495" s="19" t="s">
        <v>372</v>
      </c>
      <c r="F5495">
        <v>1</v>
      </c>
    </row>
    <row r="5496" spans="3:6" x14ac:dyDescent="0.25">
      <c r="C5496" s="19"/>
      <c r="D5496" s="19" t="s">
        <v>1805</v>
      </c>
      <c r="E5496" s="19" t="s">
        <v>1806</v>
      </c>
      <c r="F5496">
        <v>0</v>
      </c>
    </row>
    <row r="5497" spans="3:6" x14ac:dyDescent="0.25">
      <c r="C5497" s="19"/>
      <c r="D5497" s="19" t="s">
        <v>1807</v>
      </c>
      <c r="E5497" s="19" t="s">
        <v>1808</v>
      </c>
      <c r="F5497">
        <v>1</v>
      </c>
    </row>
    <row r="5498" spans="3:6" x14ac:dyDescent="0.25">
      <c r="C5498" s="19" t="s">
        <v>682</v>
      </c>
      <c r="D5498" s="19" t="s">
        <v>683</v>
      </c>
      <c r="E5498" s="19" t="s">
        <v>684</v>
      </c>
      <c r="F5498">
        <v>0</v>
      </c>
    </row>
    <row r="5499" spans="3:6" x14ac:dyDescent="0.25">
      <c r="C5499" s="19"/>
      <c r="D5499" s="19" t="s">
        <v>685</v>
      </c>
      <c r="E5499" s="19" t="s">
        <v>686</v>
      </c>
      <c r="F5499">
        <v>1</v>
      </c>
    </row>
    <row r="5500" spans="3:6" x14ac:dyDescent="0.25">
      <c r="C5500" s="19"/>
      <c r="D5500" s="19" t="s">
        <v>687</v>
      </c>
      <c r="E5500" s="19" t="s">
        <v>638</v>
      </c>
      <c r="F5500">
        <v>1</v>
      </c>
    </row>
    <row r="5501" spans="3:6" x14ac:dyDescent="0.25">
      <c r="C5501" s="19"/>
      <c r="D5501" s="19" t="s">
        <v>688</v>
      </c>
      <c r="E5501" s="19" t="s">
        <v>689</v>
      </c>
      <c r="F5501">
        <v>0</v>
      </c>
    </row>
    <row r="5502" spans="3:6" x14ac:dyDescent="0.25">
      <c r="C5502" s="19"/>
      <c r="D5502" s="19" t="s">
        <v>690</v>
      </c>
      <c r="E5502" s="19" t="s">
        <v>640</v>
      </c>
      <c r="F5502">
        <v>1</v>
      </c>
    </row>
    <row r="5503" spans="3:6" x14ac:dyDescent="0.25">
      <c r="C5503" s="19"/>
      <c r="D5503" s="19" t="s">
        <v>691</v>
      </c>
      <c r="E5503" s="19" t="s">
        <v>692</v>
      </c>
      <c r="F5503">
        <v>0</v>
      </c>
    </row>
    <row r="5504" spans="3:6" x14ac:dyDescent="0.25">
      <c r="C5504" s="19"/>
      <c r="D5504" s="19" t="s">
        <v>693</v>
      </c>
      <c r="E5504" s="19" t="s">
        <v>694</v>
      </c>
      <c r="F5504">
        <v>0</v>
      </c>
    </row>
    <row r="5505" spans="1:6" x14ac:dyDescent="0.25">
      <c r="C5505" s="19"/>
      <c r="D5505" s="19" t="s">
        <v>695</v>
      </c>
      <c r="E5505" s="19" t="s">
        <v>696</v>
      </c>
      <c r="F5505">
        <v>0</v>
      </c>
    </row>
    <row r="5506" spans="1:6" x14ac:dyDescent="0.25">
      <c r="C5506" s="19"/>
      <c r="D5506" s="19" t="s">
        <v>697</v>
      </c>
      <c r="E5506" s="19" t="s">
        <v>698</v>
      </c>
      <c r="F5506">
        <v>0</v>
      </c>
    </row>
    <row r="5507" spans="1:6" x14ac:dyDescent="0.25">
      <c r="C5507" s="19"/>
      <c r="D5507" s="19" t="s">
        <v>699</v>
      </c>
      <c r="E5507" s="19" t="s">
        <v>700</v>
      </c>
      <c r="F5507">
        <v>1</v>
      </c>
    </row>
    <row r="5508" spans="1:6" x14ac:dyDescent="0.25">
      <c r="A5508" s="3">
        <v>838</v>
      </c>
      <c r="B5508" s="15" t="s">
        <v>248</v>
      </c>
      <c r="C5508" s="19" t="s">
        <v>1790</v>
      </c>
      <c r="D5508" s="19" t="s">
        <v>1791</v>
      </c>
      <c r="E5508" s="19" t="s">
        <v>273</v>
      </c>
      <c r="F5508">
        <v>1</v>
      </c>
    </row>
    <row r="5509" spans="1:6" x14ac:dyDescent="0.25">
      <c r="C5509" s="19"/>
      <c r="D5509" s="19" t="s">
        <v>1792</v>
      </c>
      <c r="E5509" s="19" t="s">
        <v>312</v>
      </c>
      <c r="F5509">
        <v>1</v>
      </c>
    </row>
    <row r="5510" spans="1:6" x14ac:dyDescent="0.25">
      <c r="C5510" s="19"/>
      <c r="D5510" s="19" t="s">
        <v>1793</v>
      </c>
      <c r="E5510" s="19" t="s">
        <v>801</v>
      </c>
      <c r="F5510">
        <v>1</v>
      </c>
    </row>
    <row r="5511" spans="1:6" x14ac:dyDescent="0.25">
      <c r="C5511" s="19"/>
      <c r="D5511" s="19" t="s">
        <v>1794</v>
      </c>
      <c r="E5511" s="19" t="s">
        <v>786</v>
      </c>
      <c r="F5511">
        <v>1</v>
      </c>
    </row>
    <row r="5512" spans="1:6" x14ac:dyDescent="0.25">
      <c r="C5512" s="19"/>
      <c r="D5512" s="19" t="s">
        <v>1795</v>
      </c>
      <c r="E5512" s="19" t="s">
        <v>784</v>
      </c>
      <c r="F5512">
        <v>1</v>
      </c>
    </row>
    <row r="5513" spans="1:6" x14ac:dyDescent="0.25">
      <c r="C5513" s="19"/>
      <c r="D5513" s="19" t="s">
        <v>1796</v>
      </c>
      <c r="E5513" s="19" t="s">
        <v>1205</v>
      </c>
      <c r="F5513">
        <v>1</v>
      </c>
    </row>
    <row r="5514" spans="1:6" x14ac:dyDescent="0.25">
      <c r="C5514" s="19"/>
      <c r="D5514" s="19" t="s">
        <v>1797</v>
      </c>
      <c r="E5514" s="19" t="s">
        <v>1207</v>
      </c>
      <c r="F5514">
        <v>1</v>
      </c>
    </row>
    <row r="5515" spans="1:6" x14ac:dyDescent="0.25">
      <c r="C5515" s="19"/>
      <c r="D5515" s="19" t="s">
        <v>1798</v>
      </c>
      <c r="E5515" s="19" t="s">
        <v>1209</v>
      </c>
      <c r="F5515">
        <v>1</v>
      </c>
    </row>
    <row r="5516" spans="1:6" x14ac:dyDescent="0.25">
      <c r="C5516" s="19"/>
      <c r="D5516" s="19" t="s">
        <v>1799</v>
      </c>
      <c r="E5516" s="19" t="s">
        <v>789</v>
      </c>
      <c r="F5516">
        <v>1</v>
      </c>
    </row>
    <row r="5517" spans="1:6" x14ac:dyDescent="0.25">
      <c r="C5517" s="19"/>
      <c r="D5517" s="19" t="s">
        <v>1800</v>
      </c>
      <c r="E5517" s="19" t="s">
        <v>1214</v>
      </c>
      <c r="F5517">
        <v>1</v>
      </c>
    </row>
    <row r="5518" spans="1:6" x14ac:dyDescent="0.25">
      <c r="C5518" s="19"/>
      <c r="D5518" s="19" t="s">
        <v>1801</v>
      </c>
      <c r="E5518" s="19" t="s">
        <v>1784</v>
      </c>
      <c r="F5518">
        <v>1</v>
      </c>
    </row>
    <row r="5519" spans="1:6" x14ac:dyDescent="0.25">
      <c r="C5519" s="19"/>
      <c r="D5519" s="19" t="s">
        <v>1802</v>
      </c>
      <c r="E5519" s="19" t="s">
        <v>791</v>
      </c>
      <c r="F5519">
        <v>1</v>
      </c>
    </row>
    <row r="5520" spans="1:6" x14ac:dyDescent="0.25">
      <c r="C5520" s="19"/>
      <c r="D5520" s="19" t="s">
        <v>1803</v>
      </c>
      <c r="E5520" s="19" t="s">
        <v>795</v>
      </c>
      <c r="F5520">
        <v>1</v>
      </c>
    </row>
    <row r="5521" spans="1:6" x14ac:dyDescent="0.25">
      <c r="C5521" s="19"/>
      <c r="D5521" s="19" t="s">
        <v>1804</v>
      </c>
      <c r="E5521" s="19" t="s">
        <v>372</v>
      </c>
      <c r="F5521">
        <v>1</v>
      </c>
    </row>
    <row r="5522" spans="1:6" x14ac:dyDescent="0.25">
      <c r="C5522" s="19"/>
      <c r="D5522" s="19" t="s">
        <v>1805</v>
      </c>
      <c r="E5522" s="19" t="s">
        <v>1806</v>
      </c>
      <c r="F5522">
        <v>1</v>
      </c>
    </row>
    <row r="5523" spans="1:6" x14ac:dyDescent="0.25">
      <c r="C5523" s="19"/>
      <c r="D5523" s="19" t="s">
        <v>1807</v>
      </c>
      <c r="E5523" s="19" t="s">
        <v>1808</v>
      </c>
      <c r="F5523">
        <v>1</v>
      </c>
    </row>
    <row r="5524" spans="1:6" x14ac:dyDescent="0.25">
      <c r="A5524" s="3">
        <v>842</v>
      </c>
      <c r="B5524" s="15" t="s">
        <v>249</v>
      </c>
      <c r="C5524" s="19" t="s">
        <v>410</v>
      </c>
      <c r="D5524" s="19" t="s">
        <v>411</v>
      </c>
      <c r="E5524" s="19" t="s">
        <v>412</v>
      </c>
      <c r="F5524">
        <v>1</v>
      </c>
    </row>
    <row r="5525" spans="1:6" x14ac:dyDescent="0.25">
      <c r="C5525" s="19"/>
      <c r="D5525" s="19" t="s">
        <v>413</v>
      </c>
      <c r="E5525" s="19" t="s">
        <v>414</v>
      </c>
      <c r="F5525">
        <v>1</v>
      </c>
    </row>
    <row r="5526" spans="1:6" x14ac:dyDescent="0.25">
      <c r="C5526" s="19"/>
      <c r="D5526" s="19" t="s">
        <v>415</v>
      </c>
      <c r="E5526" s="19" t="s">
        <v>289</v>
      </c>
      <c r="F5526">
        <v>1</v>
      </c>
    </row>
    <row r="5527" spans="1:6" x14ac:dyDescent="0.25">
      <c r="C5527" s="19"/>
      <c r="D5527" s="19" t="s">
        <v>416</v>
      </c>
      <c r="E5527" s="19" t="s">
        <v>417</v>
      </c>
      <c r="F5527">
        <v>1</v>
      </c>
    </row>
    <row r="5528" spans="1:6" x14ac:dyDescent="0.25">
      <c r="C5528" s="19"/>
      <c r="D5528" s="19" t="s">
        <v>418</v>
      </c>
      <c r="E5528" s="19" t="s">
        <v>419</v>
      </c>
      <c r="F5528">
        <v>1</v>
      </c>
    </row>
    <row r="5529" spans="1:6" x14ac:dyDescent="0.25">
      <c r="C5529" s="19"/>
      <c r="D5529" s="19" t="s">
        <v>420</v>
      </c>
      <c r="E5529" s="19" t="s">
        <v>421</v>
      </c>
      <c r="F5529">
        <v>1</v>
      </c>
    </row>
    <row r="5530" spans="1:6" x14ac:dyDescent="0.25">
      <c r="A5530" s="3">
        <v>845</v>
      </c>
      <c r="B5530" s="16" t="s">
        <v>250</v>
      </c>
      <c r="C5530" s="19" t="s">
        <v>1536</v>
      </c>
      <c r="D5530" s="19" t="s">
        <v>1537</v>
      </c>
      <c r="E5530" s="19" t="s">
        <v>1494</v>
      </c>
      <c r="F5530">
        <v>1</v>
      </c>
    </row>
    <row r="5531" spans="1:6" x14ac:dyDescent="0.25">
      <c r="C5531" s="19"/>
      <c r="D5531" s="19" t="s">
        <v>1538</v>
      </c>
      <c r="E5531" s="19" t="s">
        <v>306</v>
      </c>
      <c r="F5531">
        <v>1</v>
      </c>
    </row>
    <row r="5532" spans="1:6" x14ac:dyDescent="0.25">
      <c r="C5532" s="19"/>
      <c r="D5532" s="19" t="s">
        <v>1539</v>
      </c>
      <c r="E5532" s="19" t="s">
        <v>1499</v>
      </c>
      <c r="F5532">
        <v>1</v>
      </c>
    </row>
    <row r="5533" spans="1:6" x14ac:dyDescent="0.25">
      <c r="C5533" s="19"/>
      <c r="D5533" s="19" t="s">
        <v>1540</v>
      </c>
      <c r="E5533" s="19" t="s">
        <v>1541</v>
      </c>
      <c r="F5533">
        <v>1</v>
      </c>
    </row>
    <row r="5534" spans="1:6" x14ac:dyDescent="0.25">
      <c r="C5534" s="19"/>
      <c r="D5534" s="19" t="s">
        <v>1542</v>
      </c>
      <c r="E5534" s="19" t="s">
        <v>1543</v>
      </c>
      <c r="F5534">
        <v>1</v>
      </c>
    </row>
    <row r="5535" spans="1:6" x14ac:dyDescent="0.25">
      <c r="C5535" s="19"/>
      <c r="D5535" s="19" t="s">
        <v>1544</v>
      </c>
      <c r="E5535" s="19" t="s">
        <v>671</v>
      </c>
      <c r="F5535">
        <v>1</v>
      </c>
    </row>
    <row r="5536" spans="1:6" x14ac:dyDescent="0.25">
      <c r="C5536" s="19"/>
      <c r="D5536" s="19" t="s">
        <v>1545</v>
      </c>
      <c r="E5536" s="19" t="s">
        <v>1546</v>
      </c>
      <c r="F5536">
        <v>1</v>
      </c>
    </row>
    <row r="5537" spans="1:6" x14ac:dyDescent="0.25">
      <c r="C5537" s="19"/>
      <c r="D5537" s="19" t="s">
        <v>1547</v>
      </c>
      <c r="E5537" s="19" t="s">
        <v>1548</v>
      </c>
      <c r="F5537">
        <v>1</v>
      </c>
    </row>
    <row r="5538" spans="1:6" x14ac:dyDescent="0.25">
      <c r="C5538" s="19"/>
      <c r="D5538" s="19" t="s">
        <v>1549</v>
      </c>
      <c r="E5538" s="19" t="s">
        <v>1550</v>
      </c>
      <c r="F5538">
        <v>1</v>
      </c>
    </row>
    <row r="5539" spans="1:6" x14ac:dyDescent="0.25">
      <c r="C5539" s="19"/>
      <c r="D5539" s="19" t="s">
        <v>1551</v>
      </c>
      <c r="E5539" s="19" t="s">
        <v>1552</v>
      </c>
      <c r="F5539">
        <v>1</v>
      </c>
    </row>
    <row r="5540" spans="1:6" x14ac:dyDescent="0.25">
      <c r="C5540" s="19"/>
      <c r="D5540" s="19" t="s">
        <v>1553</v>
      </c>
      <c r="E5540" s="19" t="s">
        <v>1554</v>
      </c>
      <c r="F5540">
        <v>1</v>
      </c>
    </row>
    <row r="5541" spans="1:6" x14ac:dyDescent="0.25">
      <c r="C5541" s="19"/>
      <c r="D5541" s="19" t="s">
        <v>1555</v>
      </c>
      <c r="E5541" s="19" t="s">
        <v>1556</v>
      </c>
      <c r="F5541">
        <v>1</v>
      </c>
    </row>
    <row r="5542" spans="1:6" x14ac:dyDescent="0.25">
      <c r="A5542" s="3">
        <v>846</v>
      </c>
      <c r="B5542" s="15" t="s">
        <v>250</v>
      </c>
      <c r="C5542" s="19" t="s">
        <v>1536</v>
      </c>
      <c r="D5542" s="19" t="s">
        <v>1537</v>
      </c>
      <c r="E5542" s="19" t="s">
        <v>1494</v>
      </c>
      <c r="F5542">
        <v>1</v>
      </c>
    </row>
    <row r="5543" spans="1:6" x14ac:dyDescent="0.25">
      <c r="C5543" s="19"/>
      <c r="D5543" s="19" t="s">
        <v>1538</v>
      </c>
      <c r="E5543" s="19" t="s">
        <v>306</v>
      </c>
      <c r="F5543">
        <v>1</v>
      </c>
    </row>
    <row r="5544" spans="1:6" x14ac:dyDescent="0.25">
      <c r="C5544" s="19"/>
      <c r="D5544" s="19" t="s">
        <v>1539</v>
      </c>
      <c r="E5544" s="19" t="s">
        <v>1499</v>
      </c>
      <c r="F5544">
        <v>1</v>
      </c>
    </row>
    <row r="5545" spans="1:6" x14ac:dyDescent="0.25">
      <c r="C5545" s="19"/>
      <c r="D5545" s="19" t="s">
        <v>1540</v>
      </c>
      <c r="E5545" s="19" t="s">
        <v>1541</v>
      </c>
      <c r="F5545">
        <v>1</v>
      </c>
    </row>
    <row r="5546" spans="1:6" x14ac:dyDescent="0.25">
      <c r="C5546" s="19"/>
      <c r="D5546" s="19" t="s">
        <v>1542</v>
      </c>
      <c r="E5546" s="19" t="s">
        <v>1543</v>
      </c>
      <c r="F5546">
        <v>1</v>
      </c>
    </row>
    <row r="5547" spans="1:6" x14ac:dyDescent="0.25">
      <c r="C5547" s="19"/>
      <c r="D5547" s="19" t="s">
        <v>1544</v>
      </c>
      <c r="E5547" s="19" t="s">
        <v>671</v>
      </c>
      <c r="F5547">
        <v>1</v>
      </c>
    </row>
    <row r="5548" spans="1:6" x14ac:dyDescent="0.25">
      <c r="C5548" s="19"/>
      <c r="D5548" s="19" t="s">
        <v>1545</v>
      </c>
      <c r="E5548" s="19" t="s">
        <v>1546</v>
      </c>
      <c r="F5548">
        <v>1</v>
      </c>
    </row>
    <row r="5549" spans="1:6" x14ac:dyDescent="0.25">
      <c r="C5549" s="19"/>
      <c r="D5549" s="19" t="s">
        <v>1547</v>
      </c>
      <c r="E5549" s="19" t="s">
        <v>1548</v>
      </c>
      <c r="F5549">
        <v>1</v>
      </c>
    </row>
    <row r="5550" spans="1:6" x14ac:dyDescent="0.25">
      <c r="C5550" s="19"/>
      <c r="D5550" s="19" t="s">
        <v>1549</v>
      </c>
      <c r="E5550" s="19" t="s">
        <v>1550</v>
      </c>
      <c r="F5550">
        <v>1</v>
      </c>
    </row>
    <row r="5551" spans="1:6" x14ac:dyDescent="0.25">
      <c r="C5551" s="19"/>
      <c r="D5551" s="19" t="s">
        <v>1551</v>
      </c>
      <c r="E5551" s="19" t="s">
        <v>1552</v>
      </c>
      <c r="F5551">
        <v>1</v>
      </c>
    </row>
    <row r="5552" spans="1:6" x14ac:dyDescent="0.25">
      <c r="C5552" s="19"/>
      <c r="D5552" s="19" t="s">
        <v>1553</v>
      </c>
      <c r="E5552" s="19" t="s">
        <v>1554</v>
      </c>
      <c r="F5552">
        <v>2</v>
      </c>
    </row>
    <row r="5553" spans="1:6" x14ac:dyDescent="0.25">
      <c r="C5553" s="19"/>
      <c r="D5553" s="19" t="s">
        <v>1555</v>
      </c>
      <c r="E5553" s="19" t="s">
        <v>1556</v>
      </c>
      <c r="F5553">
        <v>1</v>
      </c>
    </row>
    <row r="5554" spans="1:6" x14ac:dyDescent="0.25">
      <c r="A5554" s="3">
        <v>848</v>
      </c>
      <c r="B5554" s="15" t="s">
        <v>251</v>
      </c>
      <c r="C5554" s="19" t="s">
        <v>1457</v>
      </c>
      <c r="D5554" s="19" t="s">
        <v>1458</v>
      </c>
      <c r="E5554" s="19" t="s">
        <v>273</v>
      </c>
      <c r="F5554">
        <v>1</v>
      </c>
    </row>
    <row r="5555" spans="1:6" x14ac:dyDescent="0.25">
      <c r="C5555" s="19"/>
      <c r="D5555" s="19" t="s">
        <v>1459</v>
      </c>
      <c r="E5555" s="19" t="s">
        <v>640</v>
      </c>
      <c r="F5555">
        <v>1</v>
      </c>
    </row>
    <row r="5556" spans="1:6" x14ac:dyDescent="0.25">
      <c r="C5556" s="19"/>
      <c r="D5556" s="19" t="s">
        <v>1460</v>
      </c>
      <c r="E5556" s="19" t="s">
        <v>929</v>
      </c>
      <c r="F5556">
        <v>1</v>
      </c>
    </row>
    <row r="5557" spans="1:6" x14ac:dyDescent="0.25">
      <c r="C5557" s="19"/>
      <c r="D5557" s="19" t="s">
        <v>1461</v>
      </c>
      <c r="E5557" s="19" t="s">
        <v>1462</v>
      </c>
      <c r="F5557">
        <v>1</v>
      </c>
    </row>
    <row r="5558" spans="1:6" x14ac:dyDescent="0.25">
      <c r="C5558" s="19"/>
      <c r="D5558" s="19" t="s">
        <v>1463</v>
      </c>
      <c r="E5558" s="19" t="s">
        <v>1464</v>
      </c>
      <c r="F5558">
        <v>1</v>
      </c>
    </row>
    <row r="5559" spans="1:6" x14ac:dyDescent="0.25">
      <c r="C5559" s="19"/>
      <c r="D5559" s="19" t="s">
        <v>1465</v>
      </c>
      <c r="E5559" s="19" t="s">
        <v>347</v>
      </c>
      <c r="F5559">
        <v>0</v>
      </c>
    </row>
    <row r="5560" spans="1:6" x14ac:dyDescent="0.25">
      <c r="C5560" s="19"/>
      <c r="D5560" s="19" t="s">
        <v>1466</v>
      </c>
      <c r="E5560" s="19" t="s">
        <v>1467</v>
      </c>
      <c r="F5560">
        <v>1</v>
      </c>
    </row>
    <row r="5561" spans="1:6" x14ac:dyDescent="0.25">
      <c r="C5561" s="19"/>
      <c r="D5561" s="19" t="s">
        <v>1468</v>
      </c>
      <c r="E5561" s="19" t="s">
        <v>1469</v>
      </c>
      <c r="F5561">
        <v>1</v>
      </c>
    </row>
    <row r="5562" spans="1:6" x14ac:dyDescent="0.25">
      <c r="C5562" s="19"/>
      <c r="D5562" s="19" t="s">
        <v>1470</v>
      </c>
      <c r="E5562" s="19" t="s">
        <v>1471</v>
      </c>
      <c r="F5562">
        <v>1</v>
      </c>
    </row>
    <row r="5563" spans="1:6" x14ac:dyDescent="0.25">
      <c r="C5563" s="19"/>
      <c r="D5563" s="19" t="s">
        <v>1472</v>
      </c>
      <c r="E5563" s="19" t="s">
        <v>391</v>
      </c>
      <c r="F5563">
        <v>1</v>
      </c>
    </row>
    <row r="5564" spans="1:6" x14ac:dyDescent="0.25">
      <c r="C5564" s="19"/>
      <c r="D5564" s="19" t="s">
        <v>1473</v>
      </c>
      <c r="E5564" s="19" t="s">
        <v>956</v>
      </c>
      <c r="F5564">
        <v>1</v>
      </c>
    </row>
    <row r="5565" spans="1:6" x14ac:dyDescent="0.25">
      <c r="A5565" s="3">
        <v>851</v>
      </c>
      <c r="B5565" s="15" t="s">
        <v>252</v>
      </c>
      <c r="C5565" s="19" t="s">
        <v>1125</v>
      </c>
      <c r="D5565" s="19" t="s">
        <v>1126</v>
      </c>
      <c r="E5565" s="19" t="s">
        <v>273</v>
      </c>
      <c r="F5565">
        <v>1</v>
      </c>
    </row>
    <row r="5566" spans="1:6" x14ac:dyDescent="0.25">
      <c r="C5566" s="19"/>
      <c r="D5566" s="19" t="s">
        <v>1127</v>
      </c>
      <c r="E5566" s="19" t="s">
        <v>312</v>
      </c>
      <c r="F5566">
        <v>1</v>
      </c>
    </row>
    <row r="5567" spans="1:6" x14ac:dyDescent="0.25">
      <c r="C5567" s="19"/>
      <c r="D5567" s="19" t="s">
        <v>1128</v>
      </c>
      <c r="E5567" s="19" t="s">
        <v>1129</v>
      </c>
      <c r="F5567">
        <v>1</v>
      </c>
    </row>
    <row r="5568" spans="1:6" x14ac:dyDescent="0.25">
      <c r="C5568" s="19"/>
      <c r="D5568" s="19" t="s">
        <v>1130</v>
      </c>
      <c r="E5568" s="19" t="s">
        <v>1131</v>
      </c>
      <c r="F5568">
        <v>1</v>
      </c>
    </row>
    <row r="5569" spans="1:6" x14ac:dyDescent="0.25">
      <c r="C5569" s="19"/>
      <c r="D5569" s="19" t="s">
        <v>1132</v>
      </c>
      <c r="E5569" s="19" t="s">
        <v>1133</v>
      </c>
      <c r="F5569">
        <v>1</v>
      </c>
    </row>
    <row r="5570" spans="1:6" x14ac:dyDescent="0.25">
      <c r="C5570" s="19"/>
      <c r="D5570" s="19" t="s">
        <v>1134</v>
      </c>
      <c r="E5570" s="19" t="s">
        <v>347</v>
      </c>
      <c r="F5570">
        <v>0</v>
      </c>
    </row>
    <row r="5571" spans="1:6" x14ac:dyDescent="0.25">
      <c r="C5571" s="19"/>
      <c r="D5571" s="19" t="s">
        <v>1135</v>
      </c>
      <c r="E5571" s="19" t="s">
        <v>1136</v>
      </c>
      <c r="F5571">
        <v>1</v>
      </c>
    </row>
    <row r="5572" spans="1:6" x14ac:dyDescent="0.25">
      <c r="C5572" s="19"/>
      <c r="D5572" s="19" t="s">
        <v>1137</v>
      </c>
      <c r="E5572" s="19" t="s">
        <v>1138</v>
      </c>
      <c r="F5572">
        <v>1</v>
      </c>
    </row>
    <row r="5573" spans="1:6" x14ac:dyDescent="0.25">
      <c r="C5573" s="19"/>
      <c r="D5573" s="19" t="s">
        <v>1139</v>
      </c>
      <c r="E5573" s="19" t="s">
        <v>1140</v>
      </c>
      <c r="F5573">
        <v>1</v>
      </c>
    </row>
    <row r="5574" spans="1:6" x14ac:dyDescent="0.25">
      <c r="A5574" s="3">
        <v>856</v>
      </c>
      <c r="B5574" s="15" t="s">
        <v>253</v>
      </c>
      <c r="C5574" s="19" t="s">
        <v>337</v>
      </c>
      <c r="D5574" s="19" t="s">
        <v>338</v>
      </c>
      <c r="E5574" s="19" t="s">
        <v>304</v>
      </c>
      <c r="F5574">
        <v>1</v>
      </c>
    </row>
    <row r="5575" spans="1:6" x14ac:dyDescent="0.25">
      <c r="C5575" s="19"/>
      <c r="D5575" s="19" t="s">
        <v>339</v>
      </c>
      <c r="E5575" s="19" t="s">
        <v>306</v>
      </c>
      <c r="F5575">
        <v>1</v>
      </c>
    </row>
    <row r="5576" spans="1:6" x14ac:dyDescent="0.25">
      <c r="C5576" s="19"/>
      <c r="D5576" s="19" t="s">
        <v>340</v>
      </c>
      <c r="E5576" s="19" t="s">
        <v>341</v>
      </c>
      <c r="F5576">
        <v>1</v>
      </c>
    </row>
    <row r="5577" spans="1:6" x14ac:dyDescent="0.25">
      <c r="C5577" s="19"/>
      <c r="D5577" s="19" t="s">
        <v>342</v>
      </c>
      <c r="E5577" s="19" t="s">
        <v>343</v>
      </c>
      <c r="F5577">
        <v>1</v>
      </c>
    </row>
    <row r="5578" spans="1:6" x14ac:dyDescent="0.25">
      <c r="C5578" s="19"/>
      <c r="D5578" s="19" t="s">
        <v>344</v>
      </c>
      <c r="E5578" s="19" t="s">
        <v>345</v>
      </c>
      <c r="F5578">
        <v>1</v>
      </c>
    </row>
    <row r="5579" spans="1:6" x14ac:dyDescent="0.25">
      <c r="C5579" s="19"/>
      <c r="D5579" s="19" t="s">
        <v>346</v>
      </c>
      <c r="E5579" s="19" t="s">
        <v>347</v>
      </c>
      <c r="F5579">
        <v>0</v>
      </c>
    </row>
    <row r="5580" spans="1:6" x14ac:dyDescent="0.25">
      <c r="C5580" s="19"/>
      <c r="D5580" s="19" t="s">
        <v>348</v>
      </c>
      <c r="E5580" s="19" t="s">
        <v>349</v>
      </c>
      <c r="F5580">
        <v>1</v>
      </c>
    </row>
    <row r="5581" spans="1:6" x14ac:dyDescent="0.25">
      <c r="C5581" s="19"/>
      <c r="D5581" s="19" t="s">
        <v>350</v>
      </c>
      <c r="E5581" s="19" t="s">
        <v>351</v>
      </c>
      <c r="F5581">
        <v>0</v>
      </c>
    </row>
    <row r="5582" spans="1:6" x14ac:dyDescent="0.25">
      <c r="C5582" s="19"/>
      <c r="D5582" s="19" t="s">
        <v>352</v>
      </c>
      <c r="E5582" s="19" t="s">
        <v>353</v>
      </c>
      <c r="F5582">
        <v>1</v>
      </c>
    </row>
    <row r="5583" spans="1:6" x14ac:dyDescent="0.25">
      <c r="C5583" s="19"/>
      <c r="D5583" s="19" t="s">
        <v>354</v>
      </c>
      <c r="E5583" s="19" t="s">
        <v>355</v>
      </c>
      <c r="F5583">
        <v>1</v>
      </c>
    </row>
    <row r="5584" spans="1:6" x14ac:dyDescent="0.25">
      <c r="C5584" s="19"/>
      <c r="D5584" s="19" t="s">
        <v>356</v>
      </c>
      <c r="E5584" s="19" t="s">
        <v>357</v>
      </c>
      <c r="F5584">
        <v>2</v>
      </c>
    </row>
    <row r="5585" spans="1:6" x14ac:dyDescent="0.25">
      <c r="C5585" s="19"/>
      <c r="D5585" s="19" t="s">
        <v>358</v>
      </c>
      <c r="E5585" s="19" t="s">
        <v>359</v>
      </c>
      <c r="F5585">
        <v>1</v>
      </c>
    </row>
    <row r="5586" spans="1:6" x14ac:dyDescent="0.25">
      <c r="C5586" s="19"/>
      <c r="D5586" s="19" t="s">
        <v>360</v>
      </c>
      <c r="E5586" s="19" t="s">
        <v>361</v>
      </c>
      <c r="F5586">
        <v>1</v>
      </c>
    </row>
    <row r="5587" spans="1:6" x14ac:dyDescent="0.25">
      <c r="A5587" s="3">
        <v>860</v>
      </c>
      <c r="B5587" s="15" t="s">
        <v>254</v>
      </c>
      <c r="C5587" s="19" t="s">
        <v>1909</v>
      </c>
      <c r="D5587" s="19" t="s">
        <v>1910</v>
      </c>
      <c r="E5587" s="19" t="s">
        <v>273</v>
      </c>
      <c r="F5587">
        <v>1</v>
      </c>
    </row>
    <row r="5588" spans="1:6" x14ac:dyDescent="0.25">
      <c r="C5588" s="19"/>
      <c r="D5588" s="19" t="s">
        <v>1911</v>
      </c>
      <c r="E5588" s="19" t="s">
        <v>1912</v>
      </c>
      <c r="F5588">
        <v>1</v>
      </c>
    </row>
    <row r="5589" spans="1:6" x14ac:dyDescent="0.25">
      <c r="C5589" s="19"/>
      <c r="D5589" s="19" t="s">
        <v>1913</v>
      </c>
      <c r="E5589" s="19" t="s">
        <v>1914</v>
      </c>
      <c r="F5589">
        <v>1</v>
      </c>
    </row>
    <row r="5590" spans="1:6" x14ac:dyDescent="0.25">
      <c r="C5590" s="19"/>
      <c r="D5590" s="19" t="s">
        <v>1915</v>
      </c>
      <c r="E5590" s="19" t="s">
        <v>1916</v>
      </c>
      <c r="F5590">
        <v>1</v>
      </c>
    </row>
    <row r="5591" spans="1:6" x14ac:dyDescent="0.25">
      <c r="C5591" s="19"/>
      <c r="D5591" s="19" t="s">
        <v>1917</v>
      </c>
      <c r="E5591" s="19" t="s">
        <v>1918</v>
      </c>
      <c r="F5591">
        <v>0</v>
      </c>
    </row>
    <row r="5592" spans="1:6" x14ac:dyDescent="0.25">
      <c r="C5592" s="19"/>
      <c r="D5592" s="19" t="s">
        <v>1919</v>
      </c>
      <c r="E5592" s="19" t="s">
        <v>1920</v>
      </c>
      <c r="F5592">
        <v>1</v>
      </c>
    </row>
    <row r="5593" spans="1:6" x14ac:dyDescent="0.25">
      <c r="C5593" s="19"/>
      <c r="D5593" s="19" t="s">
        <v>1921</v>
      </c>
      <c r="E5593" s="19" t="s">
        <v>1922</v>
      </c>
      <c r="F5593">
        <v>1</v>
      </c>
    </row>
    <row r="5594" spans="1:6" x14ac:dyDescent="0.25">
      <c r="C5594" s="19"/>
      <c r="D5594" s="19" t="s">
        <v>1923</v>
      </c>
      <c r="E5594" s="19" t="s">
        <v>1924</v>
      </c>
      <c r="F5594">
        <v>1</v>
      </c>
    </row>
    <row r="5595" spans="1:6" x14ac:dyDescent="0.25">
      <c r="C5595" s="19"/>
      <c r="D5595" s="19" t="s">
        <v>1925</v>
      </c>
      <c r="E5595" s="19" t="s">
        <v>1926</v>
      </c>
      <c r="F5595">
        <v>0</v>
      </c>
    </row>
    <row r="5596" spans="1:6" x14ac:dyDescent="0.25">
      <c r="C5596" s="19"/>
      <c r="D5596" s="19" t="s">
        <v>1927</v>
      </c>
      <c r="E5596" s="19" t="s">
        <v>1928</v>
      </c>
      <c r="F5596">
        <v>0</v>
      </c>
    </row>
    <row r="5597" spans="1:6" x14ac:dyDescent="0.25">
      <c r="C5597" s="19"/>
      <c r="D5597" s="19" t="s">
        <v>1929</v>
      </c>
      <c r="E5597" s="19" t="s">
        <v>1930</v>
      </c>
      <c r="F5597">
        <v>0</v>
      </c>
    </row>
    <row r="5598" spans="1:6" x14ac:dyDescent="0.25">
      <c r="C5598" s="19"/>
      <c r="D5598" s="19" t="s">
        <v>1931</v>
      </c>
      <c r="E5598" s="19" t="s">
        <v>1932</v>
      </c>
      <c r="F5598">
        <v>0</v>
      </c>
    </row>
    <row r="5599" spans="1:6" x14ac:dyDescent="0.25">
      <c r="C5599" s="19"/>
      <c r="D5599" s="19" t="s">
        <v>1933</v>
      </c>
      <c r="E5599" s="19" t="s">
        <v>1934</v>
      </c>
      <c r="F5599">
        <v>1</v>
      </c>
    </row>
    <row r="5600" spans="1:6" x14ac:dyDescent="0.25">
      <c r="C5600" s="19"/>
      <c r="D5600" s="19" t="s">
        <v>1935</v>
      </c>
      <c r="E5600" s="19" t="s">
        <v>1936</v>
      </c>
      <c r="F5600">
        <v>0</v>
      </c>
    </row>
    <row r="5601" spans="1:6" x14ac:dyDescent="0.25">
      <c r="C5601" s="19"/>
      <c r="D5601" s="19" t="s">
        <v>1937</v>
      </c>
      <c r="E5601" s="19" t="s">
        <v>1938</v>
      </c>
      <c r="F5601">
        <v>0</v>
      </c>
    </row>
    <row r="5602" spans="1:6" x14ac:dyDescent="0.25">
      <c r="C5602" s="19"/>
      <c r="D5602" s="19" t="s">
        <v>1939</v>
      </c>
      <c r="E5602" s="19" t="s">
        <v>1940</v>
      </c>
      <c r="F5602">
        <v>1</v>
      </c>
    </row>
    <row r="5603" spans="1:6" x14ac:dyDescent="0.25">
      <c r="C5603" s="19"/>
      <c r="D5603" s="19" t="s">
        <v>1941</v>
      </c>
      <c r="E5603" s="19" t="s">
        <v>1942</v>
      </c>
      <c r="F5603">
        <v>0</v>
      </c>
    </row>
    <row r="5604" spans="1:6" x14ac:dyDescent="0.25">
      <c r="C5604" s="19"/>
      <c r="D5604" s="19" t="s">
        <v>1943</v>
      </c>
      <c r="E5604" s="19" t="s">
        <v>1944</v>
      </c>
      <c r="F5604">
        <v>0</v>
      </c>
    </row>
    <row r="5605" spans="1:6" x14ac:dyDescent="0.25">
      <c r="C5605" s="19"/>
      <c r="D5605" s="19" t="s">
        <v>1945</v>
      </c>
      <c r="E5605" s="19" t="s">
        <v>1946</v>
      </c>
      <c r="F5605">
        <v>0</v>
      </c>
    </row>
    <row r="5606" spans="1:6" x14ac:dyDescent="0.25">
      <c r="C5606" s="19"/>
      <c r="D5606" s="19" t="s">
        <v>1947</v>
      </c>
      <c r="E5606" s="19" t="s">
        <v>1948</v>
      </c>
      <c r="F5606">
        <v>1</v>
      </c>
    </row>
    <row r="5607" spans="1:6" x14ac:dyDescent="0.25">
      <c r="A5607" s="3">
        <v>866</v>
      </c>
      <c r="B5607" s="15" t="s">
        <v>255</v>
      </c>
      <c r="C5607" s="19" t="s">
        <v>506</v>
      </c>
      <c r="D5607" s="19" t="s">
        <v>507</v>
      </c>
      <c r="E5607" s="19" t="s">
        <v>508</v>
      </c>
      <c r="F5607">
        <v>1</v>
      </c>
    </row>
    <row r="5608" spans="1:6" x14ac:dyDescent="0.25">
      <c r="C5608" s="19"/>
      <c r="D5608" s="19" t="s">
        <v>509</v>
      </c>
      <c r="E5608" s="19" t="s">
        <v>510</v>
      </c>
      <c r="F5608">
        <v>1</v>
      </c>
    </row>
    <row r="5609" spans="1:6" x14ac:dyDescent="0.25">
      <c r="C5609" s="19"/>
      <c r="D5609" s="19" t="s">
        <v>511</v>
      </c>
      <c r="E5609" s="19" t="s">
        <v>512</v>
      </c>
      <c r="F5609">
        <v>0</v>
      </c>
    </row>
    <row r="5610" spans="1:6" x14ac:dyDescent="0.25">
      <c r="C5610" s="19"/>
      <c r="D5610" s="19" t="s">
        <v>513</v>
      </c>
      <c r="E5610" s="19" t="s">
        <v>514</v>
      </c>
      <c r="F5610">
        <v>2</v>
      </c>
    </row>
    <row r="5611" spans="1:6" x14ac:dyDescent="0.25">
      <c r="C5611" s="19"/>
      <c r="D5611" s="19" t="s">
        <v>515</v>
      </c>
      <c r="E5611" s="19" t="s">
        <v>516</v>
      </c>
      <c r="F5611">
        <v>1</v>
      </c>
    </row>
    <row r="5612" spans="1:6" x14ac:dyDescent="0.25">
      <c r="C5612" s="19"/>
      <c r="D5612" s="19" t="s">
        <v>517</v>
      </c>
      <c r="E5612" s="19" t="s">
        <v>518</v>
      </c>
      <c r="F5612">
        <v>2</v>
      </c>
    </row>
    <row r="5613" spans="1:6" x14ac:dyDescent="0.25">
      <c r="C5613" s="19"/>
      <c r="D5613" s="19" t="s">
        <v>519</v>
      </c>
      <c r="E5613" s="19" t="s">
        <v>520</v>
      </c>
      <c r="F5613">
        <v>1</v>
      </c>
    </row>
    <row r="5614" spans="1:6" x14ac:dyDescent="0.25">
      <c r="C5614" s="19"/>
      <c r="D5614" s="19" t="s">
        <v>521</v>
      </c>
      <c r="E5614" s="19" t="s">
        <v>522</v>
      </c>
      <c r="F5614">
        <v>0</v>
      </c>
    </row>
    <row r="5615" spans="1:6" x14ac:dyDescent="0.25">
      <c r="C5615" s="19"/>
      <c r="D5615" s="19" t="s">
        <v>523</v>
      </c>
      <c r="E5615" s="19" t="s">
        <v>524</v>
      </c>
      <c r="F5615">
        <v>1</v>
      </c>
    </row>
    <row r="5616" spans="1:6" x14ac:dyDescent="0.25">
      <c r="C5616" s="19"/>
      <c r="D5616" s="19" t="s">
        <v>525</v>
      </c>
      <c r="E5616" s="19" t="s">
        <v>526</v>
      </c>
      <c r="F5616">
        <v>1</v>
      </c>
    </row>
    <row r="5617" spans="1:6" x14ac:dyDescent="0.25">
      <c r="C5617" s="19"/>
      <c r="D5617" s="19" t="s">
        <v>527</v>
      </c>
      <c r="E5617" s="19" t="s">
        <v>283</v>
      </c>
      <c r="F5617">
        <v>0</v>
      </c>
    </row>
    <row r="5618" spans="1:6" x14ac:dyDescent="0.25">
      <c r="C5618" s="19"/>
      <c r="D5618" s="19" t="s">
        <v>528</v>
      </c>
      <c r="E5618" s="19" t="s">
        <v>529</v>
      </c>
      <c r="F5618">
        <v>0</v>
      </c>
    </row>
    <row r="5619" spans="1:6" x14ac:dyDescent="0.25">
      <c r="C5619" s="19"/>
      <c r="D5619" s="19" t="s">
        <v>530</v>
      </c>
      <c r="E5619" s="19" t="s">
        <v>531</v>
      </c>
      <c r="F5619">
        <v>0</v>
      </c>
    </row>
    <row r="5620" spans="1:6" x14ac:dyDescent="0.25">
      <c r="C5620" s="19"/>
      <c r="D5620" s="19" t="s">
        <v>532</v>
      </c>
      <c r="E5620" s="19" t="s">
        <v>533</v>
      </c>
      <c r="F5620">
        <v>1</v>
      </c>
    </row>
    <row r="5621" spans="1:6" x14ac:dyDescent="0.25">
      <c r="C5621" s="19"/>
      <c r="D5621" s="19" t="s">
        <v>534</v>
      </c>
      <c r="E5621" s="19" t="s">
        <v>535</v>
      </c>
      <c r="F5621">
        <v>1</v>
      </c>
    </row>
    <row r="5622" spans="1:6" x14ac:dyDescent="0.25">
      <c r="C5622" s="19"/>
      <c r="D5622" s="19" t="s">
        <v>536</v>
      </c>
      <c r="E5622" s="19" t="s">
        <v>537</v>
      </c>
      <c r="F5622">
        <v>0</v>
      </c>
    </row>
    <row r="5623" spans="1:6" x14ac:dyDescent="0.25">
      <c r="C5623" s="19"/>
      <c r="D5623" s="19" t="s">
        <v>538</v>
      </c>
      <c r="E5623" s="19" t="s">
        <v>539</v>
      </c>
      <c r="F5623">
        <v>0</v>
      </c>
    </row>
    <row r="5624" spans="1:6" x14ac:dyDescent="0.25">
      <c r="C5624" s="19"/>
      <c r="D5624" s="19" t="s">
        <v>540</v>
      </c>
      <c r="E5624" s="19" t="s">
        <v>541</v>
      </c>
      <c r="F5624">
        <v>1</v>
      </c>
    </row>
    <row r="5625" spans="1:6" x14ac:dyDescent="0.25">
      <c r="C5625" s="19"/>
      <c r="D5625" s="19" t="s">
        <v>542</v>
      </c>
      <c r="E5625" s="19" t="s">
        <v>543</v>
      </c>
      <c r="F5625">
        <v>1</v>
      </c>
    </row>
    <row r="5626" spans="1:6" x14ac:dyDescent="0.25">
      <c r="C5626" s="19"/>
      <c r="D5626" s="19" t="s">
        <v>544</v>
      </c>
      <c r="E5626" s="19" t="s">
        <v>545</v>
      </c>
      <c r="F5626">
        <v>1</v>
      </c>
    </row>
    <row r="5627" spans="1:6" x14ac:dyDescent="0.25">
      <c r="C5627" s="19"/>
      <c r="D5627" s="19" t="s">
        <v>546</v>
      </c>
      <c r="E5627" s="19" t="s">
        <v>547</v>
      </c>
      <c r="F5627">
        <v>0</v>
      </c>
    </row>
    <row r="5628" spans="1:6" x14ac:dyDescent="0.25">
      <c r="C5628" s="19"/>
      <c r="D5628" s="19" t="s">
        <v>548</v>
      </c>
      <c r="E5628" s="19" t="s">
        <v>549</v>
      </c>
      <c r="F5628">
        <v>1</v>
      </c>
    </row>
    <row r="5629" spans="1:6" x14ac:dyDescent="0.25">
      <c r="C5629" s="19"/>
      <c r="D5629" s="19" t="s">
        <v>550</v>
      </c>
      <c r="E5629" s="19" t="s">
        <v>551</v>
      </c>
      <c r="F5629">
        <v>1</v>
      </c>
    </row>
    <row r="5630" spans="1:6" x14ac:dyDescent="0.25">
      <c r="A5630" s="59">
        <v>435</v>
      </c>
      <c r="B5630" s="60" t="s">
        <v>3339</v>
      </c>
      <c r="C5630" s="2" t="s">
        <v>1613</v>
      </c>
      <c r="D5630" s="2" t="s">
        <v>1614</v>
      </c>
      <c r="E5630" s="2" t="s">
        <v>273</v>
      </c>
      <c r="F5630">
        <v>1</v>
      </c>
    </row>
    <row r="5631" spans="1:6" x14ac:dyDescent="0.25">
      <c r="B5631" s="59"/>
      <c r="C5631" s="2"/>
      <c r="D5631" s="2" t="s">
        <v>1615</v>
      </c>
      <c r="E5631" s="2" t="s">
        <v>312</v>
      </c>
      <c r="F5631">
        <v>1</v>
      </c>
    </row>
    <row r="5632" spans="1:6" x14ac:dyDescent="0.25">
      <c r="B5632" s="59"/>
      <c r="C5632" s="2"/>
      <c r="D5632" s="2" t="s">
        <v>1616</v>
      </c>
      <c r="E5632" s="2" t="s">
        <v>316</v>
      </c>
      <c r="F5632">
        <v>1</v>
      </c>
    </row>
    <row r="5633" spans="1:6" x14ac:dyDescent="0.25">
      <c r="B5633" s="59"/>
      <c r="C5633" s="2"/>
      <c r="D5633" s="2" t="s">
        <v>1617</v>
      </c>
      <c r="E5633" s="2" t="s">
        <v>314</v>
      </c>
      <c r="F5633">
        <v>1</v>
      </c>
    </row>
    <row r="5634" spans="1:6" x14ac:dyDescent="0.25">
      <c r="B5634" s="59"/>
      <c r="C5634" s="2"/>
      <c r="D5634" s="2" t="s">
        <v>1618</v>
      </c>
      <c r="E5634" s="2" t="s">
        <v>318</v>
      </c>
      <c r="F5634">
        <v>0</v>
      </c>
    </row>
    <row r="5635" spans="1:6" x14ac:dyDescent="0.25">
      <c r="A5635" s="59"/>
      <c r="B5635" s="59"/>
      <c r="C5635" s="2"/>
      <c r="D5635" s="2" t="s">
        <v>1619</v>
      </c>
      <c r="E5635" s="2" t="s">
        <v>1620</v>
      </c>
      <c r="F5635">
        <v>0</v>
      </c>
    </row>
    <row r="5636" spans="1:6" x14ac:dyDescent="0.25">
      <c r="A5636" s="59"/>
      <c r="B5636" s="59"/>
      <c r="C5636" s="2"/>
      <c r="D5636" s="2" t="s">
        <v>1621</v>
      </c>
      <c r="E5636" s="2" t="s">
        <v>1622</v>
      </c>
      <c r="F5636">
        <v>1</v>
      </c>
    </row>
    <row r="5637" spans="1:6" x14ac:dyDescent="0.25">
      <c r="A5637" s="59"/>
      <c r="B5637" s="59"/>
      <c r="C5637" s="2"/>
      <c r="D5637" s="2" t="s">
        <v>1623</v>
      </c>
      <c r="E5637" s="2" t="s">
        <v>322</v>
      </c>
      <c r="F5637">
        <v>1</v>
      </c>
    </row>
    <row r="5638" spans="1:6" x14ac:dyDescent="0.25">
      <c r="B5638" s="59"/>
      <c r="C5638" s="2"/>
      <c r="D5638" s="2" t="s">
        <v>1624</v>
      </c>
      <c r="E5638" s="2" t="s">
        <v>936</v>
      </c>
      <c r="F5638">
        <v>0</v>
      </c>
    </row>
    <row r="5639" spans="1:6" x14ac:dyDescent="0.25">
      <c r="B5639" s="59"/>
      <c r="C5639" s="2"/>
      <c r="D5639" s="2" t="s">
        <v>1625</v>
      </c>
      <c r="E5639" s="2" t="s">
        <v>938</v>
      </c>
      <c r="F5639">
        <v>1</v>
      </c>
    </row>
    <row r="5640" spans="1:6" x14ac:dyDescent="0.25">
      <c r="A5640" s="59"/>
      <c r="B5640" s="59"/>
      <c r="C5640" s="2"/>
      <c r="D5640" s="2" t="s">
        <v>1626</v>
      </c>
      <c r="E5640" s="2" t="s">
        <v>1483</v>
      </c>
      <c r="F5640">
        <v>0</v>
      </c>
    </row>
    <row r="5641" spans="1:6" x14ac:dyDescent="0.25">
      <c r="A5641" s="59"/>
      <c r="B5641" s="59"/>
      <c r="C5641" s="2"/>
      <c r="D5641" s="2" t="s">
        <v>1627</v>
      </c>
      <c r="E5641" s="2" t="s">
        <v>942</v>
      </c>
      <c r="F5641">
        <v>0</v>
      </c>
    </row>
    <row r="5642" spans="1:6" x14ac:dyDescent="0.25">
      <c r="A5642" s="59"/>
      <c r="B5642" s="59"/>
      <c r="C5642" s="2"/>
      <c r="D5642" s="2" t="s">
        <v>1628</v>
      </c>
      <c r="E5642" s="2" t="s">
        <v>383</v>
      </c>
      <c r="F5642">
        <v>1</v>
      </c>
    </row>
    <row r="5643" spans="1:6" x14ac:dyDescent="0.25">
      <c r="A5643" s="59"/>
      <c r="B5643" s="59"/>
      <c r="C5643" s="2"/>
      <c r="D5643" s="2" t="s">
        <v>1629</v>
      </c>
      <c r="E5643" s="2" t="s">
        <v>1630</v>
      </c>
      <c r="F5643">
        <v>1</v>
      </c>
    </row>
    <row r="5644" spans="1:6" x14ac:dyDescent="0.25">
      <c r="A5644" s="59"/>
      <c r="B5644" s="59"/>
      <c r="C5644" s="2"/>
      <c r="D5644" s="2" t="s">
        <v>1631</v>
      </c>
      <c r="E5644" s="2" t="s">
        <v>380</v>
      </c>
      <c r="F5644">
        <v>0</v>
      </c>
    </row>
    <row r="5645" spans="1:6" x14ac:dyDescent="0.25">
      <c r="A5645" s="59"/>
      <c r="B5645" s="59"/>
      <c r="C5645" s="2"/>
      <c r="D5645" s="2" t="s">
        <v>1632</v>
      </c>
      <c r="E5645" s="2" t="s">
        <v>381</v>
      </c>
      <c r="F5645">
        <v>1</v>
      </c>
    </row>
    <row r="5646" spans="1:6" x14ac:dyDescent="0.25">
      <c r="A5646" s="59"/>
      <c r="B5646" s="59"/>
      <c r="C5646" s="2"/>
      <c r="D5646" s="2" t="s">
        <v>1633</v>
      </c>
      <c r="E5646" s="2" t="s">
        <v>1634</v>
      </c>
      <c r="F5646">
        <v>0</v>
      </c>
    </row>
    <row r="5647" spans="1:6" x14ac:dyDescent="0.25">
      <c r="A5647" s="59"/>
      <c r="B5647" s="59"/>
      <c r="C5647" s="2"/>
      <c r="D5647" s="2" t="s">
        <v>1635</v>
      </c>
      <c r="E5647" s="2" t="s">
        <v>328</v>
      </c>
      <c r="F5647">
        <v>0</v>
      </c>
    </row>
    <row r="5648" spans="1:6" x14ac:dyDescent="0.25">
      <c r="A5648" s="59"/>
      <c r="B5648" s="59"/>
      <c r="C5648" s="2"/>
      <c r="D5648" s="2" t="s">
        <v>1636</v>
      </c>
      <c r="E5648" s="2" t="s">
        <v>1637</v>
      </c>
      <c r="F5648">
        <v>0</v>
      </c>
    </row>
    <row r="5649" spans="1:6" x14ac:dyDescent="0.25">
      <c r="A5649" s="59"/>
      <c r="B5649" s="59"/>
      <c r="C5649" s="2"/>
      <c r="D5649" s="2" t="s">
        <v>1638</v>
      </c>
      <c r="E5649" s="2" t="s">
        <v>1639</v>
      </c>
      <c r="F5649">
        <v>1</v>
      </c>
    </row>
    <row r="5650" spans="1:6" x14ac:dyDescent="0.25">
      <c r="A5650" s="59"/>
      <c r="B5650" s="59"/>
      <c r="C5650" s="2" t="s">
        <v>1474</v>
      </c>
      <c r="D5650" s="2" t="s">
        <v>1475</v>
      </c>
      <c r="E5650" s="2" t="s">
        <v>308</v>
      </c>
      <c r="F5650">
        <v>1</v>
      </c>
    </row>
    <row r="5651" spans="1:6" x14ac:dyDescent="0.25">
      <c r="A5651" s="59"/>
      <c r="B5651" s="59"/>
      <c r="C5651" s="2"/>
      <c r="D5651" s="2" t="s">
        <v>1476</v>
      </c>
      <c r="E5651" s="2" t="s">
        <v>310</v>
      </c>
      <c r="F5651">
        <v>1</v>
      </c>
    </row>
    <row r="5652" spans="1:6" x14ac:dyDescent="0.25">
      <c r="A5652" s="59"/>
      <c r="B5652" s="59"/>
      <c r="C5652" s="2"/>
      <c r="D5652" s="2" t="s">
        <v>1477</v>
      </c>
      <c r="E5652" s="2" t="s">
        <v>312</v>
      </c>
      <c r="F5652">
        <v>1</v>
      </c>
    </row>
    <row r="5653" spans="1:6" x14ac:dyDescent="0.25">
      <c r="A5653" s="59"/>
      <c r="B5653" s="59"/>
      <c r="C5653" s="2"/>
      <c r="D5653" s="2" t="s">
        <v>1478</v>
      </c>
      <c r="E5653" s="2" t="s">
        <v>314</v>
      </c>
      <c r="F5653">
        <v>1</v>
      </c>
    </row>
    <row r="5654" spans="1:6" x14ac:dyDescent="0.25">
      <c r="A5654" s="59"/>
      <c r="B5654" s="59"/>
      <c r="C5654" s="2"/>
      <c r="D5654" s="2" t="s">
        <v>1479</v>
      </c>
      <c r="E5654" s="2" t="s">
        <v>1480</v>
      </c>
      <c r="F5654">
        <v>0</v>
      </c>
    </row>
    <row r="5655" spans="1:6" x14ac:dyDescent="0.25">
      <c r="A5655" s="59"/>
      <c r="B5655" s="59"/>
      <c r="C5655" s="2"/>
      <c r="D5655" s="2" t="s">
        <v>1481</v>
      </c>
      <c r="E5655" s="2" t="s">
        <v>938</v>
      </c>
      <c r="F5655">
        <v>1</v>
      </c>
    </row>
    <row r="5656" spans="1:6" x14ac:dyDescent="0.25">
      <c r="A5656" s="59"/>
      <c r="B5656" s="59"/>
      <c r="C5656" s="2"/>
      <c r="D5656" s="2" t="s">
        <v>1482</v>
      </c>
      <c r="E5656" s="2" t="s">
        <v>1483</v>
      </c>
      <c r="F5656">
        <v>0</v>
      </c>
    </row>
    <row r="5657" spans="1:6" x14ac:dyDescent="0.25">
      <c r="A5657" s="59"/>
      <c r="B5657" s="59"/>
      <c r="C5657" s="2"/>
      <c r="D5657" s="2" t="s">
        <v>1484</v>
      </c>
      <c r="E5657" s="2" t="s">
        <v>942</v>
      </c>
      <c r="F5657">
        <v>0</v>
      </c>
    </row>
    <row r="5658" spans="1:6" x14ac:dyDescent="0.25">
      <c r="A5658" s="59"/>
      <c r="B5658" s="59"/>
      <c r="C5658" s="2"/>
      <c r="D5658" s="2" t="s">
        <v>1485</v>
      </c>
      <c r="E5658" s="2" t="s">
        <v>383</v>
      </c>
      <c r="F5658">
        <v>1</v>
      </c>
    </row>
    <row r="5659" spans="1:6" x14ac:dyDescent="0.25">
      <c r="A5659" s="59"/>
      <c r="B5659" s="59"/>
      <c r="C5659" s="2"/>
      <c r="D5659" s="2" t="s">
        <v>1486</v>
      </c>
      <c r="E5659" s="2" t="s">
        <v>384</v>
      </c>
      <c r="F5659">
        <v>1</v>
      </c>
    </row>
    <row r="5660" spans="1:6" x14ac:dyDescent="0.25">
      <c r="A5660" s="59"/>
      <c r="B5660" s="59"/>
      <c r="C5660" s="2"/>
      <c r="D5660" s="2" t="s">
        <v>1487</v>
      </c>
      <c r="E5660" s="2" t="s">
        <v>380</v>
      </c>
      <c r="F5660">
        <v>0</v>
      </c>
    </row>
    <row r="5661" spans="1:6" x14ac:dyDescent="0.25">
      <c r="A5661" s="59"/>
      <c r="B5661" s="59"/>
      <c r="C5661" s="2"/>
      <c r="D5661" s="2" t="s">
        <v>1488</v>
      </c>
      <c r="E5661" s="2" t="s">
        <v>381</v>
      </c>
      <c r="F5661">
        <v>1</v>
      </c>
    </row>
    <row r="5662" spans="1:6" x14ac:dyDescent="0.25">
      <c r="A5662" s="59"/>
      <c r="B5662" s="59"/>
      <c r="C5662" s="2"/>
      <c r="D5662" s="2" t="s">
        <v>1489</v>
      </c>
      <c r="E5662" s="2" t="s">
        <v>328</v>
      </c>
      <c r="F5662">
        <v>0</v>
      </c>
    </row>
    <row r="5663" spans="1:6" x14ac:dyDescent="0.25">
      <c r="A5663" s="59"/>
      <c r="B5663" s="59"/>
      <c r="C5663" s="2"/>
      <c r="D5663" s="2" t="s">
        <v>1490</v>
      </c>
      <c r="E5663" s="2" t="s">
        <v>378</v>
      </c>
      <c r="F5663">
        <v>0</v>
      </c>
    </row>
    <row r="5664" spans="1:6" x14ac:dyDescent="0.25">
      <c r="A5664" s="59"/>
      <c r="B5664" s="59"/>
      <c r="C5664" s="2"/>
      <c r="D5664" s="2" t="s">
        <v>1491</v>
      </c>
      <c r="E5664" s="2" t="s">
        <v>379</v>
      </c>
      <c r="F5664">
        <v>1</v>
      </c>
    </row>
    <row r="5665" spans="1:6" x14ac:dyDescent="0.25">
      <c r="A5665" s="61">
        <v>735</v>
      </c>
      <c r="B5665" s="62" t="s">
        <v>3340</v>
      </c>
      <c r="C5665" s="2" t="s">
        <v>636</v>
      </c>
      <c r="D5665" s="2" t="s">
        <v>637</v>
      </c>
      <c r="E5665" s="2" t="s">
        <v>638</v>
      </c>
      <c r="F5665" s="59">
        <v>0</v>
      </c>
    </row>
    <row r="5666" spans="1:6" x14ac:dyDescent="0.25">
      <c r="A5666" s="59"/>
      <c r="B5666"/>
      <c r="C5666" s="2"/>
      <c r="D5666" s="2" t="s">
        <v>639</v>
      </c>
      <c r="E5666" s="2" t="s">
        <v>640</v>
      </c>
      <c r="F5666" s="59">
        <v>1</v>
      </c>
    </row>
    <row r="5667" spans="1:6" x14ac:dyDescent="0.25">
      <c r="A5667" s="59"/>
      <c r="B5667"/>
      <c r="C5667" s="2"/>
      <c r="D5667" s="2" t="s">
        <v>641</v>
      </c>
      <c r="E5667" s="2" t="s">
        <v>642</v>
      </c>
      <c r="F5667" s="59">
        <v>1</v>
      </c>
    </row>
    <row r="5668" spans="1:6" x14ac:dyDescent="0.25">
      <c r="A5668" s="59"/>
      <c r="B5668"/>
      <c r="C5668" s="2"/>
      <c r="D5668" s="2" t="s">
        <v>643</v>
      </c>
      <c r="E5668" s="2" t="s">
        <v>644</v>
      </c>
      <c r="F5668" s="59">
        <v>0</v>
      </c>
    </row>
    <row r="5669" spans="1:6" x14ac:dyDescent="0.25">
      <c r="B5669"/>
      <c r="C5669" s="2"/>
      <c r="D5669" s="2" t="s">
        <v>645</v>
      </c>
      <c r="E5669" s="2" t="s">
        <v>646</v>
      </c>
      <c r="F5669" s="59">
        <v>0</v>
      </c>
    </row>
    <row r="5670" spans="1:6" x14ac:dyDescent="0.25">
      <c r="A5670" s="61"/>
      <c r="B5670"/>
      <c r="C5670" s="2"/>
      <c r="D5670" s="2" t="s">
        <v>647</v>
      </c>
      <c r="E5670" s="2" t="s">
        <v>648</v>
      </c>
      <c r="F5670" s="59">
        <v>1</v>
      </c>
    </row>
    <row r="5671" spans="1:6" x14ac:dyDescent="0.25">
      <c r="A5671" s="61"/>
      <c r="B5671"/>
      <c r="C5671" s="2"/>
      <c r="D5671" s="2" t="s">
        <v>649</v>
      </c>
      <c r="E5671" s="2" t="s">
        <v>650</v>
      </c>
      <c r="F5671" s="59">
        <v>1</v>
      </c>
    </row>
    <row r="5672" spans="1:6" x14ac:dyDescent="0.25">
      <c r="A5672" s="61"/>
      <c r="B5672"/>
      <c r="C5672" s="2"/>
      <c r="D5672" s="2" t="s">
        <v>651</v>
      </c>
      <c r="E5672" s="2" t="s">
        <v>652</v>
      </c>
      <c r="F5672" s="59">
        <v>1</v>
      </c>
    </row>
    <row r="5673" spans="1:6" x14ac:dyDescent="0.25">
      <c r="A5673" s="61"/>
      <c r="B5673"/>
      <c r="C5673" s="2"/>
      <c r="D5673" s="2" t="s">
        <v>653</v>
      </c>
      <c r="E5673" s="2" t="s">
        <v>438</v>
      </c>
      <c r="F5673" s="59">
        <v>1</v>
      </c>
    </row>
    <row r="5674" spans="1:6" x14ac:dyDescent="0.25">
      <c r="A5674" s="61"/>
      <c r="B5674"/>
      <c r="C5674" s="2"/>
      <c r="D5674" s="2" t="s">
        <v>654</v>
      </c>
      <c r="E5674" s="2" t="s">
        <v>440</v>
      </c>
      <c r="F5674" s="59">
        <v>1</v>
      </c>
    </row>
    <row r="5675" spans="1:6" x14ac:dyDescent="0.25">
      <c r="A5675" s="61"/>
      <c r="B5675"/>
      <c r="C5675" s="2"/>
      <c r="D5675" s="2" t="s">
        <v>655</v>
      </c>
      <c r="E5675" s="2" t="s">
        <v>656</v>
      </c>
      <c r="F5675" s="59">
        <v>1</v>
      </c>
    </row>
    <row r="5676" spans="1:6" x14ac:dyDescent="0.25">
      <c r="A5676" s="61"/>
      <c r="B5676"/>
      <c r="C5676" s="2"/>
      <c r="D5676" s="2" t="s">
        <v>657</v>
      </c>
      <c r="E5676" s="2" t="s">
        <v>658</v>
      </c>
      <c r="F5676" s="59">
        <v>1</v>
      </c>
    </row>
    <row r="5677" spans="1:6" x14ac:dyDescent="0.25">
      <c r="A5677" s="3">
        <v>55</v>
      </c>
      <c r="B5677" t="s">
        <v>3411</v>
      </c>
      <c r="C5677" s="2" t="s">
        <v>1536</v>
      </c>
      <c r="D5677" s="2" t="s">
        <v>1537</v>
      </c>
      <c r="E5677" s="2" t="s">
        <v>1494</v>
      </c>
      <c r="F5677" s="2">
        <v>1</v>
      </c>
    </row>
    <row r="5678" spans="1:6" x14ac:dyDescent="0.25">
      <c r="A5678" s="3"/>
      <c r="B5678"/>
      <c r="C5678" s="2"/>
      <c r="D5678" s="2" t="s">
        <v>1538</v>
      </c>
      <c r="E5678" s="2" t="s">
        <v>306</v>
      </c>
      <c r="F5678" s="2">
        <v>1</v>
      </c>
    </row>
    <row r="5679" spans="1:6" x14ac:dyDescent="0.25">
      <c r="A5679" s="3"/>
      <c r="B5679"/>
      <c r="C5679" s="2"/>
      <c r="D5679" s="2" t="s">
        <v>1539</v>
      </c>
      <c r="E5679" s="2" t="s">
        <v>1499</v>
      </c>
      <c r="F5679" s="2">
        <v>1</v>
      </c>
    </row>
    <row r="5680" spans="1:6" x14ac:dyDescent="0.25">
      <c r="A5680" s="3"/>
      <c r="B5680"/>
      <c r="C5680" s="2"/>
      <c r="D5680" s="2" t="s">
        <v>1540</v>
      </c>
      <c r="E5680" s="2" t="s">
        <v>1541</v>
      </c>
      <c r="F5680" s="2">
        <v>1</v>
      </c>
    </row>
    <row r="5681" spans="1:6" x14ac:dyDescent="0.25">
      <c r="A5681" s="3"/>
      <c r="B5681"/>
      <c r="C5681" s="2"/>
      <c r="D5681" s="2" t="s">
        <v>1542</v>
      </c>
      <c r="E5681" s="2" t="s">
        <v>1543</v>
      </c>
      <c r="F5681" s="2">
        <v>1</v>
      </c>
    </row>
    <row r="5682" spans="1:6" x14ac:dyDescent="0.25">
      <c r="A5682" s="3"/>
      <c r="B5682"/>
      <c r="C5682" s="2"/>
      <c r="D5682" s="2" t="s">
        <v>1544</v>
      </c>
      <c r="E5682" s="2" t="s">
        <v>671</v>
      </c>
      <c r="F5682" s="2">
        <v>0</v>
      </c>
    </row>
    <row r="5683" spans="1:6" x14ac:dyDescent="0.25">
      <c r="A5683" s="3"/>
      <c r="B5683"/>
      <c r="C5683" s="2"/>
      <c r="D5683" s="2" t="s">
        <v>1545</v>
      </c>
      <c r="E5683" s="2" t="s">
        <v>1546</v>
      </c>
      <c r="F5683" s="2">
        <v>1</v>
      </c>
    </row>
    <row r="5684" spans="1:6" x14ac:dyDescent="0.25">
      <c r="A5684" s="3"/>
      <c r="B5684"/>
      <c r="C5684" s="2"/>
      <c r="D5684" s="2" t="s">
        <v>1547</v>
      </c>
      <c r="E5684" s="2" t="s">
        <v>1548</v>
      </c>
      <c r="F5684" s="2">
        <v>0</v>
      </c>
    </row>
    <row r="5685" spans="1:6" x14ac:dyDescent="0.25">
      <c r="A5685" s="3"/>
      <c r="B5685"/>
      <c r="C5685" s="2"/>
      <c r="D5685" s="2" t="s">
        <v>1549</v>
      </c>
      <c r="E5685" s="2" t="s">
        <v>1550</v>
      </c>
      <c r="F5685" s="2">
        <v>0</v>
      </c>
    </row>
    <row r="5686" spans="1:6" x14ac:dyDescent="0.25">
      <c r="A5686" s="3"/>
      <c r="B5686"/>
      <c r="C5686" s="2"/>
      <c r="D5686" s="2" t="s">
        <v>1551</v>
      </c>
      <c r="E5686" s="2" t="s">
        <v>1552</v>
      </c>
      <c r="F5686" s="2">
        <v>0</v>
      </c>
    </row>
    <row r="5687" spans="1:6" x14ac:dyDescent="0.25">
      <c r="A5687" s="3"/>
      <c r="B5687"/>
      <c r="C5687" s="2"/>
      <c r="D5687" s="2" t="s">
        <v>1553</v>
      </c>
      <c r="E5687" s="2" t="s">
        <v>1554</v>
      </c>
      <c r="F5687" s="2">
        <v>0</v>
      </c>
    </row>
    <row r="5688" spans="1:6" x14ac:dyDescent="0.25">
      <c r="A5688" s="3"/>
      <c r="B5688"/>
      <c r="C5688" s="2"/>
      <c r="D5688" s="2" t="s">
        <v>1555</v>
      </c>
      <c r="E5688" s="2" t="s">
        <v>1556</v>
      </c>
      <c r="F5688" s="2">
        <v>0</v>
      </c>
    </row>
    <row r="5689" spans="1:6" x14ac:dyDescent="0.25">
      <c r="A5689" s="3">
        <v>344</v>
      </c>
      <c r="B5689" t="s">
        <v>3686</v>
      </c>
      <c r="C5689" s="2" t="s">
        <v>701</v>
      </c>
      <c r="D5689" s="2" t="s">
        <v>702</v>
      </c>
      <c r="E5689" s="2" t="s">
        <v>583</v>
      </c>
      <c r="F5689" s="2">
        <v>1</v>
      </c>
    </row>
    <row r="5690" spans="1:6" x14ac:dyDescent="0.25">
      <c r="A5690" s="3"/>
      <c r="B5690"/>
      <c r="C5690" s="2"/>
      <c r="D5690" s="2" t="s">
        <v>703</v>
      </c>
      <c r="E5690" s="2" t="s">
        <v>306</v>
      </c>
      <c r="F5690" s="2">
        <v>1</v>
      </c>
    </row>
    <row r="5691" spans="1:6" x14ac:dyDescent="0.25">
      <c r="C5691" s="2"/>
      <c r="D5691" s="2" t="s">
        <v>704</v>
      </c>
      <c r="E5691" s="2" t="s">
        <v>705</v>
      </c>
      <c r="F5691" s="2">
        <v>0</v>
      </c>
    </row>
    <row r="5692" spans="1:6" x14ac:dyDescent="0.25">
      <c r="C5692" s="2"/>
      <c r="D5692" s="2" t="s">
        <v>706</v>
      </c>
      <c r="E5692" s="2" t="s">
        <v>588</v>
      </c>
      <c r="F5692" s="2">
        <v>1</v>
      </c>
    </row>
    <row r="5693" spans="1:6" x14ac:dyDescent="0.25">
      <c r="C5693" s="2"/>
      <c r="D5693" s="2" t="s">
        <v>707</v>
      </c>
      <c r="E5693" s="2" t="s">
        <v>312</v>
      </c>
      <c r="F5693" s="2">
        <v>1</v>
      </c>
    </row>
    <row r="5694" spans="1:6" x14ac:dyDescent="0.25">
      <c r="C5694" s="2"/>
      <c r="D5694" s="2" t="s">
        <v>708</v>
      </c>
      <c r="E5694" s="2" t="s">
        <v>314</v>
      </c>
      <c r="F5694" s="2">
        <v>1</v>
      </c>
    </row>
    <row r="5695" spans="1:6" x14ac:dyDescent="0.25">
      <c r="C5695" s="2"/>
      <c r="D5695" s="2" t="s">
        <v>709</v>
      </c>
      <c r="E5695" s="2" t="s">
        <v>493</v>
      </c>
      <c r="F5695" s="2">
        <v>1</v>
      </c>
    </row>
    <row r="5696" spans="1:6" x14ac:dyDescent="0.25">
      <c r="C5696" s="2"/>
      <c r="D5696" s="2" t="s">
        <v>710</v>
      </c>
      <c r="E5696" s="2" t="s">
        <v>275</v>
      </c>
      <c r="F5696" s="2">
        <v>1</v>
      </c>
    </row>
    <row r="5697" spans="1:6" x14ac:dyDescent="0.25">
      <c r="C5697" s="2"/>
      <c r="D5697" s="2" t="s">
        <v>711</v>
      </c>
      <c r="E5697" s="2" t="s">
        <v>283</v>
      </c>
      <c r="F5697" s="2">
        <v>1</v>
      </c>
    </row>
    <row r="5698" spans="1:6" x14ac:dyDescent="0.25">
      <c r="C5698" s="2"/>
      <c r="D5698" s="2" t="s">
        <v>712</v>
      </c>
      <c r="E5698" s="2" t="s">
        <v>713</v>
      </c>
      <c r="F5698" s="2">
        <v>1</v>
      </c>
    </row>
    <row r="5699" spans="1:6" x14ac:dyDescent="0.25">
      <c r="C5699" s="2"/>
      <c r="D5699" s="2" t="s">
        <v>714</v>
      </c>
      <c r="E5699" s="2" t="s">
        <v>715</v>
      </c>
      <c r="F5699" s="2">
        <v>1</v>
      </c>
    </row>
    <row r="5700" spans="1:6" x14ac:dyDescent="0.25">
      <c r="C5700" s="2"/>
      <c r="D5700" s="2" t="s">
        <v>716</v>
      </c>
      <c r="E5700" s="2" t="s">
        <v>717</v>
      </c>
      <c r="F5700" s="2">
        <v>1</v>
      </c>
    </row>
    <row r="5701" spans="1:6" x14ac:dyDescent="0.25">
      <c r="C5701" s="2"/>
      <c r="D5701" s="2" t="s">
        <v>718</v>
      </c>
      <c r="E5701" s="2" t="s">
        <v>381</v>
      </c>
      <c r="F5701" s="2">
        <v>1</v>
      </c>
    </row>
    <row r="5702" spans="1:6" x14ac:dyDescent="0.25">
      <c r="C5702" s="2"/>
      <c r="D5702" s="2" t="s">
        <v>719</v>
      </c>
      <c r="E5702" s="2" t="s">
        <v>720</v>
      </c>
      <c r="F5702" s="2">
        <v>1</v>
      </c>
    </row>
    <row r="5703" spans="1:6" x14ac:dyDescent="0.25">
      <c r="C5703" s="2"/>
      <c r="D5703" s="2" t="s">
        <v>721</v>
      </c>
      <c r="E5703" s="2" t="s">
        <v>722</v>
      </c>
      <c r="F5703" s="2">
        <v>1</v>
      </c>
    </row>
    <row r="5704" spans="1:6" x14ac:dyDescent="0.25">
      <c r="A5704" s="3">
        <v>556</v>
      </c>
      <c r="B5704" t="s">
        <v>4263</v>
      </c>
      <c r="C5704" s="2" t="s">
        <v>506</v>
      </c>
      <c r="D5704" s="2" t="s">
        <v>507</v>
      </c>
      <c r="E5704" s="2" t="s">
        <v>508</v>
      </c>
      <c r="F5704" s="59">
        <v>1</v>
      </c>
    </row>
    <row r="5705" spans="1:6" x14ac:dyDescent="0.25">
      <c r="D5705" s="2" t="s">
        <v>509</v>
      </c>
      <c r="E5705" s="2" t="s">
        <v>510</v>
      </c>
      <c r="F5705" s="59">
        <v>0</v>
      </c>
    </row>
    <row r="5706" spans="1:6" x14ac:dyDescent="0.25">
      <c r="D5706" s="2" t="s">
        <v>511</v>
      </c>
      <c r="E5706" s="2" t="s">
        <v>512</v>
      </c>
      <c r="F5706" s="59">
        <v>0</v>
      </c>
    </row>
    <row r="5707" spans="1:6" x14ac:dyDescent="0.25">
      <c r="D5707" s="2" t="s">
        <v>513</v>
      </c>
      <c r="E5707" s="2" t="s">
        <v>514</v>
      </c>
      <c r="F5707" s="59">
        <v>1</v>
      </c>
    </row>
    <row r="5708" spans="1:6" x14ac:dyDescent="0.25">
      <c r="D5708" s="2" t="s">
        <v>515</v>
      </c>
      <c r="E5708" s="2" t="s">
        <v>516</v>
      </c>
      <c r="F5708" s="59">
        <v>1</v>
      </c>
    </row>
    <row r="5709" spans="1:6" x14ac:dyDescent="0.25">
      <c r="D5709" s="2" t="s">
        <v>517</v>
      </c>
      <c r="E5709" s="2" t="s">
        <v>518</v>
      </c>
      <c r="F5709" s="59">
        <v>0</v>
      </c>
    </row>
    <row r="5710" spans="1:6" x14ac:dyDescent="0.25">
      <c r="D5710" s="2" t="s">
        <v>519</v>
      </c>
      <c r="E5710" s="2" t="s">
        <v>520</v>
      </c>
      <c r="F5710" s="59">
        <v>1</v>
      </c>
    </row>
    <row r="5711" spans="1:6" x14ac:dyDescent="0.25">
      <c r="D5711" s="2" t="s">
        <v>521</v>
      </c>
      <c r="E5711" s="2" t="s">
        <v>522</v>
      </c>
      <c r="F5711" s="59">
        <v>1</v>
      </c>
    </row>
    <row r="5712" spans="1:6" x14ac:dyDescent="0.25">
      <c r="D5712" s="2" t="s">
        <v>523</v>
      </c>
      <c r="E5712" s="2" t="s">
        <v>524</v>
      </c>
      <c r="F5712" s="59">
        <v>0</v>
      </c>
    </row>
    <row r="5713" spans="4:6" x14ac:dyDescent="0.25">
      <c r="D5713" s="2" t="s">
        <v>525</v>
      </c>
      <c r="E5713" s="2" t="s">
        <v>526</v>
      </c>
      <c r="F5713" s="59">
        <v>0</v>
      </c>
    </row>
    <row r="5714" spans="4:6" x14ac:dyDescent="0.25">
      <c r="D5714" s="2" t="s">
        <v>527</v>
      </c>
      <c r="E5714" s="2" t="s">
        <v>283</v>
      </c>
      <c r="F5714" s="59">
        <v>1</v>
      </c>
    </row>
    <row r="5715" spans="4:6" x14ac:dyDescent="0.25">
      <c r="D5715" s="2" t="s">
        <v>528</v>
      </c>
      <c r="E5715" s="2" t="s">
        <v>529</v>
      </c>
      <c r="F5715" s="59">
        <v>0</v>
      </c>
    </row>
    <row r="5716" spans="4:6" x14ac:dyDescent="0.25">
      <c r="D5716" s="2" t="s">
        <v>530</v>
      </c>
      <c r="E5716" s="2" t="s">
        <v>531</v>
      </c>
      <c r="F5716" s="59">
        <v>0</v>
      </c>
    </row>
    <row r="5717" spans="4:6" x14ac:dyDescent="0.25">
      <c r="D5717" s="2" t="s">
        <v>532</v>
      </c>
      <c r="E5717" s="2" t="s">
        <v>533</v>
      </c>
      <c r="F5717" s="59">
        <v>1</v>
      </c>
    </row>
    <row r="5718" spans="4:6" x14ac:dyDescent="0.25">
      <c r="D5718" s="2" t="s">
        <v>534</v>
      </c>
      <c r="E5718" s="2" t="s">
        <v>535</v>
      </c>
      <c r="F5718" s="59">
        <v>0</v>
      </c>
    </row>
    <row r="5719" spans="4:6" x14ac:dyDescent="0.25">
      <c r="D5719" s="2" t="s">
        <v>536</v>
      </c>
      <c r="E5719" s="2" t="s">
        <v>537</v>
      </c>
      <c r="F5719" s="59">
        <v>0</v>
      </c>
    </row>
    <row r="5720" spans="4:6" x14ac:dyDescent="0.25">
      <c r="D5720" s="2" t="s">
        <v>538</v>
      </c>
      <c r="E5720" s="2" t="s">
        <v>539</v>
      </c>
      <c r="F5720" s="59">
        <v>0</v>
      </c>
    </row>
    <row r="5721" spans="4:6" x14ac:dyDescent="0.25">
      <c r="D5721" s="2" t="s">
        <v>540</v>
      </c>
      <c r="E5721" s="2" t="s">
        <v>541</v>
      </c>
      <c r="F5721" s="59">
        <v>0</v>
      </c>
    </row>
    <row r="5722" spans="4:6" x14ac:dyDescent="0.25">
      <c r="D5722" s="2" t="s">
        <v>542</v>
      </c>
      <c r="E5722" s="2" t="s">
        <v>543</v>
      </c>
      <c r="F5722" s="59">
        <v>1</v>
      </c>
    </row>
    <row r="5723" spans="4:6" x14ac:dyDescent="0.25">
      <c r="D5723" s="2" t="s">
        <v>544</v>
      </c>
      <c r="E5723" s="2" t="s">
        <v>545</v>
      </c>
      <c r="F5723" s="59">
        <v>1</v>
      </c>
    </row>
    <row r="5724" spans="4:6" x14ac:dyDescent="0.25">
      <c r="D5724" s="2" t="s">
        <v>546</v>
      </c>
      <c r="E5724" s="2" t="s">
        <v>547</v>
      </c>
      <c r="F5724" s="59">
        <v>1</v>
      </c>
    </row>
    <row r="5725" spans="4:6" x14ac:dyDescent="0.25">
      <c r="D5725" s="2" t="s">
        <v>548</v>
      </c>
      <c r="E5725" s="2" t="s">
        <v>549</v>
      </c>
      <c r="F5725" s="59">
        <v>0</v>
      </c>
    </row>
    <row r="5726" spans="4:6" x14ac:dyDescent="0.25">
      <c r="D5726" s="2" t="s">
        <v>550</v>
      </c>
      <c r="E5726" s="2" t="s">
        <v>551</v>
      </c>
      <c r="F5726" s="59">
        <v>1</v>
      </c>
    </row>
  </sheetData>
  <autoFilter ref="A1:H5726" xr:uid="{0956E5A7-7226-4A12-A4ED-1745DDC3416D}"/>
  <sortState xmlns:xlrd2="http://schemas.microsoft.com/office/spreadsheetml/2017/richdata2" ref="D479:F507">
    <sortCondition ref="D479:D50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3C10-7FCB-46F5-A64B-229069E0F2C7}">
  <sheetPr filterMode="1"/>
  <dimension ref="A1:H5736"/>
  <sheetViews>
    <sheetView zoomScale="130" zoomScaleNormal="130" workbookViewId="0">
      <pane xSplit="1" ySplit="1" topLeftCell="B58" activePane="bottomRight" state="frozen"/>
      <selection pane="topRight" activeCell="B1" sqref="B1"/>
      <selection pane="bottomLeft" activeCell="A2" sqref="A2"/>
      <selection pane="bottomRight" activeCell="H543" sqref="H543"/>
    </sheetView>
  </sheetViews>
  <sheetFormatPr defaultRowHeight="15.75" x14ac:dyDescent="0.25"/>
  <cols>
    <col min="1" max="1" width="8" customWidth="1"/>
    <col min="2" max="2" width="17.5" customWidth="1"/>
    <col min="3" max="3" width="18.25" customWidth="1"/>
    <col min="4" max="4" width="15.125" customWidth="1"/>
    <col min="5" max="5" width="27" customWidth="1"/>
    <col min="6" max="6" width="10.875" customWidth="1"/>
    <col min="7" max="7" width="22.625" style="43" customWidth="1"/>
    <col min="8" max="8" width="26.125" style="43" customWidth="1"/>
  </cols>
  <sheetData>
    <row r="1" spans="1:8" x14ac:dyDescent="0.25">
      <c r="A1" s="43" t="s">
        <v>0</v>
      </c>
      <c r="B1" s="43" t="s">
        <v>1964</v>
      </c>
      <c r="C1" s="43" t="s">
        <v>1965</v>
      </c>
      <c r="D1" s="43" t="s">
        <v>1966</v>
      </c>
      <c r="E1" s="43" t="s">
        <v>1967</v>
      </c>
      <c r="F1" s="43" t="s">
        <v>1968</v>
      </c>
      <c r="G1" s="43" t="s">
        <v>4573</v>
      </c>
      <c r="H1" s="43" t="s">
        <v>4574</v>
      </c>
    </row>
    <row r="2" spans="1:8" hidden="1" x14ac:dyDescent="0.25">
      <c r="A2" s="43">
        <v>10</v>
      </c>
      <c r="B2" s="43" t="s">
        <v>3</v>
      </c>
      <c r="C2" s="43" t="s">
        <v>581</v>
      </c>
      <c r="D2" s="43" t="s">
        <v>582</v>
      </c>
      <c r="E2" s="43" t="s">
        <v>583</v>
      </c>
      <c r="F2" s="43">
        <v>1</v>
      </c>
      <c r="G2"/>
      <c r="H2"/>
    </row>
    <row r="3" spans="1:8" hidden="1" x14ac:dyDescent="0.25">
      <c r="A3" s="43">
        <v>10</v>
      </c>
      <c r="B3" s="43" t="s">
        <v>3</v>
      </c>
      <c r="C3" s="43" t="s">
        <v>581</v>
      </c>
      <c r="D3" s="43" t="s">
        <v>584</v>
      </c>
      <c r="E3" s="43" t="s">
        <v>306</v>
      </c>
      <c r="F3" s="43">
        <v>1</v>
      </c>
      <c r="G3"/>
      <c r="H3"/>
    </row>
    <row r="4" spans="1:8" hidden="1" x14ac:dyDescent="0.25">
      <c r="A4" s="43">
        <v>10</v>
      </c>
      <c r="B4" s="43" t="s">
        <v>3</v>
      </c>
      <c r="C4" s="43" t="s">
        <v>581</v>
      </c>
      <c r="D4" s="43" t="s">
        <v>585</v>
      </c>
      <c r="E4" s="43" t="s">
        <v>586</v>
      </c>
      <c r="F4" s="43">
        <v>1</v>
      </c>
      <c r="G4"/>
      <c r="H4"/>
    </row>
    <row r="5" spans="1:8" hidden="1" x14ac:dyDescent="0.25">
      <c r="A5" s="43">
        <v>10</v>
      </c>
      <c r="B5" s="43" t="s">
        <v>3</v>
      </c>
      <c r="C5" s="43" t="s">
        <v>581</v>
      </c>
      <c r="D5" s="43" t="s">
        <v>587</v>
      </c>
      <c r="E5" s="43" t="s">
        <v>588</v>
      </c>
      <c r="F5" s="43">
        <v>1</v>
      </c>
      <c r="G5"/>
      <c r="H5"/>
    </row>
    <row r="6" spans="1:8" hidden="1" x14ac:dyDescent="0.25">
      <c r="A6" s="43">
        <v>10</v>
      </c>
      <c r="B6" s="43" t="s">
        <v>3</v>
      </c>
      <c r="C6" s="43" t="s">
        <v>581</v>
      </c>
      <c r="D6" s="43" t="s">
        <v>589</v>
      </c>
      <c r="E6" s="43" t="s">
        <v>312</v>
      </c>
      <c r="F6" s="43">
        <v>1</v>
      </c>
      <c r="G6"/>
      <c r="H6"/>
    </row>
    <row r="7" spans="1:8" hidden="1" x14ac:dyDescent="0.25">
      <c r="A7" s="43">
        <v>10</v>
      </c>
      <c r="B7" s="43" t="s">
        <v>3</v>
      </c>
      <c r="C7" s="43" t="s">
        <v>581</v>
      </c>
      <c r="D7" s="43" t="s">
        <v>590</v>
      </c>
      <c r="E7" s="43" t="s">
        <v>493</v>
      </c>
      <c r="F7" s="43">
        <v>0</v>
      </c>
      <c r="G7" s="43" t="s">
        <v>4583</v>
      </c>
      <c r="H7"/>
    </row>
    <row r="8" spans="1:8" hidden="1" x14ac:dyDescent="0.25">
      <c r="A8" s="43">
        <v>10</v>
      </c>
      <c r="B8" s="43" t="s">
        <v>3</v>
      </c>
      <c r="C8" s="43" t="s">
        <v>581</v>
      </c>
      <c r="D8" s="43" t="s">
        <v>591</v>
      </c>
      <c r="E8" s="43" t="s">
        <v>314</v>
      </c>
      <c r="F8" s="43">
        <v>0</v>
      </c>
      <c r="G8" s="43" t="s">
        <v>4583</v>
      </c>
      <c r="H8"/>
    </row>
    <row r="9" spans="1:8" hidden="1" x14ac:dyDescent="0.25">
      <c r="A9" s="43">
        <v>10</v>
      </c>
      <c r="B9" s="43" t="s">
        <v>3</v>
      </c>
      <c r="C9" s="43" t="s">
        <v>581</v>
      </c>
      <c r="D9" s="43" t="s">
        <v>592</v>
      </c>
      <c r="E9" s="43" t="s">
        <v>275</v>
      </c>
      <c r="F9" s="43">
        <v>1</v>
      </c>
      <c r="G9"/>
      <c r="H9"/>
    </row>
    <row r="10" spans="1:8" hidden="1" x14ac:dyDescent="0.25">
      <c r="A10" s="43">
        <v>10</v>
      </c>
      <c r="B10" s="43" t="s">
        <v>3</v>
      </c>
      <c r="C10" s="43" t="s">
        <v>581</v>
      </c>
      <c r="D10" s="43" t="s">
        <v>593</v>
      </c>
      <c r="E10" s="43" t="s">
        <v>594</v>
      </c>
      <c r="F10" s="43">
        <v>1</v>
      </c>
      <c r="G10"/>
      <c r="H10"/>
    </row>
    <row r="11" spans="1:8" hidden="1" x14ac:dyDescent="0.25">
      <c r="A11" s="43">
        <v>10</v>
      </c>
      <c r="B11" s="43" t="s">
        <v>3</v>
      </c>
      <c r="C11" s="43" t="s">
        <v>581</v>
      </c>
      <c r="D11" s="43" t="s">
        <v>595</v>
      </c>
      <c r="E11" s="43" t="s">
        <v>349</v>
      </c>
      <c r="F11" s="43">
        <v>1</v>
      </c>
      <c r="G11"/>
      <c r="H11"/>
    </row>
    <row r="12" spans="1:8" hidden="1" x14ac:dyDescent="0.25">
      <c r="A12" s="43">
        <v>10</v>
      </c>
      <c r="B12" s="43" t="s">
        <v>3</v>
      </c>
      <c r="C12" s="43" t="s">
        <v>581</v>
      </c>
      <c r="D12" s="43" t="s">
        <v>596</v>
      </c>
      <c r="E12" s="43" t="s">
        <v>597</v>
      </c>
      <c r="F12" s="43">
        <v>1</v>
      </c>
      <c r="G12"/>
      <c r="H12"/>
    </row>
    <row r="13" spans="1:8" hidden="1" x14ac:dyDescent="0.25">
      <c r="A13" s="43">
        <v>10</v>
      </c>
      <c r="B13" s="43" t="s">
        <v>3</v>
      </c>
      <c r="C13" s="43" t="s">
        <v>581</v>
      </c>
      <c r="D13" s="43" t="s">
        <v>598</v>
      </c>
      <c r="E13" s="43" t="s">
        <v>599</v>
      </c>
      <c r="F13" s="43">
        <v>0</v>
      </c>
      <c r="G13" s="43" t="s">
        <v>4583</v>
      </c>
      <c r="H13"/>
    </row>
    <row r="14" spans="1:8" hidden="1" x14ac:dyDescent="0.25">
      <c r="A14" s="43">
        <v>10</v>
      </c>
      <c r="B14" s="43" t="s">
        <v>3</v>
      </c>
      <c r="C14" s="43" t="s">
        <v>581</v>
      </c>
      <c r="D14" s="43" t="s">
        <v>600</v>
      </c>
      <c r="E14" s="43" t="s">
        <v>601</v>
      </c>
      <c r="F14" s="43">
        <v>0</v>
      </c>
      <c r="G14" s="43" t="s">
        <v>4583</v>
      </c>
      <c r="H14"/>
    </row>
    <row r="15" spans="1:8" hidden="1" x14ac:dyDescent="0.25">
      <c r="A15" s="43">
        <v>10</v>
      </c>
      <c r="B15" s="43" t="s">
        <v>3</v>
      </c>
      <c r="C15" s="43" t="s">
        <v>581</v>
      </c>
      <c r="D15" s="43" t="s">
        <v>602</v>
      </c>
      <c r="E15" s="43" t="s">
        <v>603</v>
      </c>
      <c r="F15" s="43">
        <v>1</v>
      </c>
      <c r="G15"/>
      <c r="H15"/>
    </row>
    <row r="16" spans="1:8" hidden="1" x14ac:dyDescent="0.25">
      <c r="A16" s="43">
        <v>10</v>
      </c>
      <c r="B16" s="43" t="s">
        <v>3</v>
      </c>
      <c r="C16" s="43" t="s">
        <v>581</v>
      </c>
      <c r="D16" s="43" t="s">
        <v>604</v>
      </c>
      <c r="E16" s="43" t="s">
        <v>605</v>
      </c>
      <c r="F16" s="43">
        <v>0</v>
      </c>
      <c r="G16" s="43" t="s">
        <v>4583</v>
      </c>
      <c r="H16"/>
    </row>
    <row r="17" spans="1:8" hidden="1" x14ac:dyDescent="0.25">
      <c r="A17" s="43">
        <v>10</v>
      </c>
      <c r="B17" s="43" t="s">
        <v>3</v>
      </c>
      <c r="C17" s="43" t="s">
        <v>581</v>
      </c>
      <c r="D17" s="43" t="s">
        <v>606</v>
      </c>
      <c r="E17" s="43" t="s">
        <v>503</v>
      </c>
      <c r="F17" s="43">
        <v>1</v>
      </c>
      <c r="G17"/>
      <c r="H17"/>
    </row>
    <row r="18" spans="1:8" hidden="1" x14ac:dyDescent="0.25">
      <c r="A18" s="43">
        <v>10</v>
      </c>
      <c r="B18" s="43" t="s">
        <v>3</v>
      </c>
      <c r="C18" s="43" t="s">
        <v>581</v>
      </c>
      <c r="D18" s="43" t="s">
        <v>607</v>
      </c>
      <c r="E18" s="43" t="s">
        <v>505</v>
      </c>
      <c r="F18" s="43">
        <v>1</v>
      </c>
      <c r="G18"/>
      <c r="H18"/>
    </row>
    <row r="19" spans="1:8" hidden="1" x14ac:dyDescent="0.25">
      <c r="A19" s="43">
        <v>10</v>
      </c>
      <c r="B19" s="43" t="s">
        <v>3</v>
      </c>
      <c r="C19" s="43" t="s">
        <v>581</v>
      </c>
      <c r="D19" s="43" t="s">
        <v>608</v>
      </c>
      <c r="E19" s="43" t="s">
        <v>609</v>
      </c>
      <c r="F19" s="43">
        <v>0</v>
      </c>
      <c r="G19" s="43" t="s">
        <v>4583</v>
      </c>
      <c r="H19"/>
    </row>
    <row r="20" spans="1:8" hidden="1" x14ac:dyDescent="0.25">
      <c r="A20" s="43">
        <v>11</v>
      </c>
      <c r="B20" s="43" t="s">
        <v>4</v>
      </c>
      <c r="C20" s="43" t="s">
        <v>1169</v>
      </c>
      <c r="D20" s="43" t="s">
        <v>1170</v>
      </c>
      <c r="E20" s="43" t="s">
        <v>1171</v>
      </c>
      <c r="F20" s="43">
        <v>1</v>
      </c>
      <c r="G20"/>
      <c r="H20"/>
    </row>
    <row r="21" spans="1:8" hidden="1" x14ac:dyDescent="0.25">
      <c r="A21" s="43">
        <v>11</v>
      </c>
      <c r="B21" s="43" t="s">
        <v>4</v>
      </c>
      <c r="C21" s="43" t="s">
        <v>1169</v>
      </c>
      <c r="D21" s="43" t="s">
        <v>1172</v>
      </c>
      <c r="E21" s="43" t="s">
        <v>1173</v>
      </c>
      <c r="F21" s="43">
        <v>0</v>
      </c>
      <c r="G21" s="43" t="s">
        <v>4583</v>
      </c>
      <c r="H21"/>
    </row>
    <row r="22" spans="1:8" hidden="1" x14ac:dyDescent="0.25">
      <c r="A22" s="43">
        <v>11</v>
      </c>
      <c r="B22" s="43" t="s">
        <v>4</v>
      </c>
      <c r="C22" s="43" t="s">
        <v>1169</v>
      </c>
      <c r="D22" s="43" t="s">
        <v>1174</v>
      </c>
      <c r="E22" s="43" t="s">
        <v>1175</v>
      </c>
      <c r="F22" s="43">
        <v>0</v>
      </c>
      <c r="G22" s="43" t="s">
        <v>4583</v>
      </c>
      <c r="H22"/>
    </row>
    <row r="23" spans="1:8" hidden="1" x14ac:dyDescent="0.25">
      <c r="A23" s="43">
        <v>11</v>
      </c>
      <c r="B23" s="43" t="s">
        <v>4</v>
      </c>
      <c r="C23" s="43" t="s">
        <v>1169</v>
      </c>
      <c r="D23" s="43" t="s">
        <v>1176</v>
      </c>
      <c r="E23" s="43" t="s">
        <v>1177</v>
      </c>
      <c r="F23" s="43">
        <v>1</v>
      </c>
      <c r="G23"/>
      <c r="H23"/>
    </row>
    <row r="24" spans="1:8" hidden="1" x14ac:dyDescent="0.25">
      <c r="A24" s="43">
        <v>11</v>
      </c>
      <c r="B24" s="43" t="s">
        <v>4</v>
      </c>
      <c r="C24" s="43" t="s">
        <v>1169</v>
      </c>
      <c r="D24" s="43" t="s">
        <v>1178</v>
      </c>
      <c r="E24" s="43" t="s">
        <v>1179</v>
      </c>
      <c r="F24" s="43">
        <v>1</v>
      </c>
      <c r="G24"/>
      <c r="H24"/>
    </row>
    <row r="25" spans="1:8" hidden="1" x14ac:dyDescent="0.25">
      <c r="A25" s="43">
        <v>11</v>
      </c>
      <c r="B25" s="43" t="s">
        <v>4</v>
      </c>
      <c r="C25" s="43" t="s">
        <v>1169</v>
      </c>
      <c r="D25" s="43" t="s">
        <v>1180</v>
      </c>
      <c r="E25" s="43" t="s">
        <v>1181</v>
      </c>
      <c r="F25" s="43">
        <v>1</v>
      </c>
      <c r="G25"/>
      <c r="H25"/>
    </row>
    <row r="26" spans="1:8" hidden="1" x14ac:dyDescent="0.25">
      <c r="A26" s="43">
        <v>11</v>
      </c>
      <c r="B26" s="43" t="s">
        <v>4</v>
      </c>
      <c r="C26" s="43" t="s">
        <v>1169</v>
      </c>
      <c r="D26" s="43" t="s">
        <v>1182</v>
      </c>
      <c r="E26" s="43" t="s">
        <v>1183</v>
      </c>
      <c r="F26" s="43">
        <v>0</v>
      </c>
      <c r="G26" s="43" t="s">
        <v>4583</v>
      </c>
      <c r="H26"/>
    </row>
    <row r="27" spans="1:8" hidden="1" x14ac:dyDescent="0.25">
      <c r="A27" s="43">
        <v>11</v>
      </c>
      <c r="B27" s="43" t="s">
        <v>4</v>
      </c>
      <c r="C27" s="43" t="s">
        <v>1169</v>
      </c>
      <c r="D27" s="43" t="s">
        <v>1184</v>
      </c>
      <c r="E27" s="43" t="s">
        <v>1185</v>
      </c>
      <c r="F27" s="43">
        <v>0</v>
      </c>
      <c r="G27" s="43" t="s">
        <v>4583</v>
      </c>
      <c r="H27"/>
    </row>
    <row r="28" spans="1:8" hidden="1" x14ac:dyDescent="0.25">
      <c r="A28" s="43">
        <v>11</v>
      </c>
      <c r="B28" s="43" t="s">
        <v>4</v>
      </c>
      <c r="C28" s="43" t="s">
        <v>1169</v>
      </c>
      <c r="D28" s="43" t="s">
        <v>1186</v>
      </c>
      <c r="E28" s="43" t="s">
        <v>1187</v>
      </c>
      <c r="F28" s="43">
        <v>0</v>
      </c>
      <c r="G28" s="43" t="s">
        <v>4583</v>
      </c>
      <c r="H28"/>
    </row>
    <row r="29" spans="1:8" hidden="1" x14ac:dyDescent="0.25">
      <c r="A29" s="43">
        <v>11</v>
      </c>
      <c r="B29" s="43" t="s">
        <v>4</v>
      </c>
      <c r="C29" s="43" t="s">
        <v>1169</v>
      </c>
      <c r="D29" s="43" t="s">
        <v>1188</v>
      </c>
      <c r="E29" s="43" t="s">
        <v>1189</v>
      </c>
      <c r="F29" s="43">
        <v>0</v>
      </c>
      <c r="G29" s="43" t="s">
        <v>4583</v>
      </c>
      <c r="H29"/>
    </row>
    <row r="30" spans="1:8" hidden="1" x14ac:dyDescent="0.25">
      <c r="A30" s="43">
        <v>11</v>
      </c>
      <c r="B30" s="43" t="s">
        <v>4</v>
      </c>
      <c r="C30" s="43" t="s">
        <v>1169</v>
      </c>
      <c r="D30" s="43" t="s">
        <v>1190</v>
      </c>
      <c r="E30" s="43" t="s">
        <v>1191</v>
      </c>
      <c r="F30" s="43">
        <v>0</v>
      </c>
      <c r="G30" s="43" t="s">
        <v>4583</v>
      </c>
      <c r="H30"/>
    </row>
    <row r="31" spans="1:8" hidden="1" x14ac:dyDescent="0.25">
      <c r="A31" s="43">
        <v>11</v>
      </c>
      <c r="B31" s="43" t="s">
        <v>4</v>
      </c>
      <c r="C31" s="43" t="s">
        <v>1169</v>
      </c>
      <c r="D31" s="43" t="s">
        <v>1192</v>
      </c>
      <c r="E31" s="43" t="s">
        <v>1193</v>
      </c>
      <c r="F31" s="43">
        <v>0</v>
      </c>
      <c r="G31" s="43" t="s">
        <v>4583</v>
      </c>
      <c r="H31"/>
    </row>
    <row r="32" spans="1:8" hidden="1" x14ac:dyDescent="0.25">
      <c r="A32" s="43">
        <v>11</v>
      </c>
      <c r="B32" s="43" t="s">
        <v>4</v>
      </c>
      <c r="C32" s="43" t="s">
        <v>1169</v>
      </c>
      <c r="D32" s="43" t="s">
        <v>1194</v>
      </c>
      <c r="E32" s="43" t="s">
        <v>1195</v>
      </c>
      <c r="F32" s="43">
        <v>0</v>
      </c>
      <c r="G32" s="43" t="s">
        <v>4583</v>
      </c>
      <c r="H32"/>
    </row>
    <row r="33" spans="1:8" hidden="1" x14ac:dyDescent="0.25">
      <c r="A33" s="43">
        <v>11</v>
      </c>
      <c r="B33" s="43" t="s">
        <v>4</v>
      </c>
      <c r="C33" s="43" t="s">
        <v>1169</v>
      </c>
      <c r="D33" s="43" t="s">
        <v>1196</v>
      </c>
      <c r="E33" s="43" t="s">
        <v>1197</v>
      </c>
      <c r="F33" s="43">
        <v>0</v>
      </c>
      <c r="G33" s="43" t="s">
        <v>4583</v>
      </c>
      <c r="H33"/>
    </row>
    <row r="34" spans="1:8" hidden="1" x14ac:dyDescent="0.25">
      <c r="A34" s="43">
        <v>12</v>
      </c>
      <c r="B34" s="43" t="s">
        <v>5</v>
      </c>
      <c r="C34" s="43" t="s">
        <v>1366</v>
      </c>
      <c r="D34" s="43" t="s">
        <v>1367</v>
      </c>
      <c r="E34" s="43" t="s">
        <v>1368</v>
      </c>
      <c r="F34" s="43">
        <v>1</v>
      </c>
      <c r="G34"/>
      <c r="H34"/>
    </row>
    <row r="35" spans="1:8" hidden="1" x14ac:dyDescent="0.25">
      <c r="A35" s="43">
        <v>12</v>
      </c>
      <c r="B35" s="43" t="s">
        <v>5</v>
      </c>
      <c r="C35" s="43" t="s">
        <v>1366</v>
      </c>
      <c r="D35" s="43" t="s">
        <v>1369</v>
      </c>
      <c r="E35" s="43" t="s">
        <v>1370</v>
      </c>
      <c r="F35" s="43">
        <v>1</v>
      </c>
      <c r="G35"/>
      <c r="H35"/>
    </row>
    <row r="36" spans="1:8" hidden="1" x14ac:dyDescent="0.25">
      <c r="A36" s="43">
        <v>12</v>
      </c>
      <c r="B36" s="43" t="s">
        <v>5</v>
      </c>
      <c r="C36" s="43" t="s">
        <v>1366</v>
      </c>
      <c r="D36" s="43" t="s">
        <v>1371</v>
      </c>
      <c r="E36" s="43" t="s">
        <v>283</v>
      </c>
      <c r="F36" s="43">
        <v>1</v>
      </c>
      <c r="G36"/>
      <c r="H36"/>
    </row>
    <row r="37" spans="1:8" hidden="1" x14ac:dyDescent="0.25">
      <c r="A37" s="43">
        <v>12</v>
      </c>
      <c r="B37" s="43" t="s">
        <v>5</v>
      </c>
      <c r="C37" s="43" t="s">
        <v>1366</v>
      </c>
      <c r="D37" s="43" t="s">
        <v>1372</v>
      </c>
      <c r="E37" s="43" t="s">
        <v>4468</v>
      </c>
      <c r="F37" s="43">
        <v>1</v>
      </c>
      <c r="G37"/>
      <c r="H37"/>
    </row>
    <row r="38" spans="1:8" hidden="1" x14ac:dyDescent="0.25">
      <c r="A38" s="43">
        <v>12</v>
      </c>
      <c r="B38" s="43" t="s">
        <v>5</v>
      </c>
      <c r="C38" s="43" t="s">
        <v>1366</v>
      </c>
      <c r="D38" s="43" t="s">
        <v>1374</v>
      </c>
      <c r="E38" s="43" t="s">
        <v>1375</v>
      </c>
      <c r="F38" s="43">
        <v>1</v>
      </c>
      <c r="G38"/>
      <c r="H38"/>
    </row>
    <row r="39" spans="1:8" hidden="1" x14ac:dyDescent="0.25">
      <c r="A39" s="43">
        <v>12</v>
      </c>
      <c r="B39" s="43" t="s">
        <v>5</v>
      </c>
      <c r="C39" s="43" t="s">
        <v>1366</v>
      </c>
      <c r="D39" s="43" t="s">
        <v>1376</v>
      </c>
      <c r="E39" s="43" t="s">
        <v>531</v>
      </c>
      <c r="F39" s="43">
        <v>1</v>
      </c>
      <c r="G39"/>
      <c r="H39"/>
    </row>
    <row r="40" spans="1:8" hidden="1" x14ac:dyDescent="0.25">
      <c r="A40" s="43">
        <v>12</v>
      </c>
      <c r="B40" s="43" t="s">
        <v>5</v>
      </c>
      <c r="C40" s="43" t="s">
        <v>1366</v>
      </c>
      <c r="D40" s="43" t="s">
        <v>1377</v>
      </c>
      <c r="E40" s="43" t="s">
        <v>875</v>
      </c>
      <c r="F40" s="43">
        <v>1</v>
      </c>
      <c r="G40"/>
      <c r="H40"/>
    </row>
    <row r="41" spans="1:8" hidden="1" x14ac:dyDescent="0.25">
      <c r="A41" s="43">
        <v>12</v>
      </c>
      <c r="B41" s="43" t="s">
        <v>5</v>
      </c>
      <c r="C41" s="43" t="s">
        <v>1366</v>
      </c>
      <c r="D41" s="43" t="s">
        <v>1378</v>
      </c>
      <c r="E41" s="43" t="s">
        <v>541</v>
      </c>
      <c r="F41" s="43">
        <v>1</v>
      </c>
      <c r="G41"/>
      <c r="H41"/>
    </row>
    <row r="42" spans="1:8" hidden="1" x14ac:dyDescent="0.25">
      <c r="A42" s="43">
        <v>12</v>
      </c>
      <c r="B42" s="43" t="s">
        <v>5</v>
      </c>
      <c r="C42" s="43" t="s">
        <v>1366</v>
      </c>
      <c r="D42" s="43" t="s">
        <v>1379</v>
      </c>
      <c r="E42" s="43" t="s">
        <v>1380</v>
      </c>
      <c r="F42" s="43">
        <v>1</v>
      </c>
      <c r="G42"/>
      <c r="H42"/>
    </row>
    <row r="43" spans="1:8" hidden="1" x14ac:dyDescent="0.25">
      <c r="A43" s="43">
        <v>12</v>
      </c>
      <c r="B43" s="43" t="s">
        <v>5</v>
      </c>
      <c r="C43" s="43" t="s">
        <v>1366</v>
      </c>
      <c r="D43" s="43" t="s">
        <v>1381</v>
      </c>
      <c r="E43" s="43" t="s">
        <v>1382</v>
      </c>
      <c r="F43" s="43">
        <v>1</v>
      </c>
      <c r="G43"/>
      <c r="H43"/>
    </row>
    <row r="44" spans="1:8" hidden="1" x14ac:dyDescent="0.25">
      <c r="A44" s="43">
        <v>12</v>
      </c>
      <c r="B44" s="43" t="s">
        <v>5</v>
      </c>
      <c r="C44" s="43" t="s">
        <v>1366</v>
      </c>
      <c r="D44" s="43" t="s">
        <v>1383</v>
      </c>
      <c r="E44" s="43" t="s">
        <v>1384</v>
      </c>
      <c r="F44" s="43">
        <v>1</v>
      </c>
      <c r="G44"/>
      <c r="H44"/>
    </row>
    <row r="45" spans="1:8" hidden="1" x14ac:dyDescent="0.25">
      <c r="A45" s="43">
        <v>12</v>
      </c>
      <c r="B45" s="43" t="s">
        <v>5</v>
      </c>
      <c r="C45" s="43" t="s">
        <v>1366</v>
      </c>
      <c r="D45" s="43" t="s">
        <v>1385</v>
      </c>
      <c r="E45" s="43" t="s">
        <v>1386</v>
      </c>
      <c r="F45" s="43">
        <v>1</v>
      </c>
      <c r="G45"/>
      <c r="H45"/>
    </row>
    <row r="46" spans="1:8" hidden="1" x14ac:dyDescent="0.25">
      <c r="A46" s="43">
        <v>12</v>
      </c>
      <c r="B46" s="43" t="s">
        <v>5</v>
      </c>
      <c r="C46" s="43" t="s">
        <v>1366</v>
      </c>
      <c r="D46" s="43" t="s">
        <v>1387</v>
      </c>
      <c r="E46" s="43" t="s">
        <v>295</v>
      </c>
      <c r="F46" s="43">
        <v>1</v>
      </c>
      <c r="G46"/>
      <c r="H46"/>
    </row>
    <row r="47" spans="1:8" hidden="1" x14ac:dyDescent="0.25">
      <c r="A47" s="43">
        <v>12</v>
      </c>
      <c r="B47" s="43" t="s">
        <v>5</v>
      </c>
      <c r="C47" s="43" t="s">
        <v>1366</v>
      </c>
      <c r="D47" s="43" t="s">
        <v>1388</v>
      </c>
      <c r="E47" s="43" t="s">
        <v>539</v>
      </c>
      <c r="F47" s="43">
        <v>1</v>
      </c>
      <c r="G47"/>
      <c r="H47"/>
    </row>
    <row r="48" spans="1:8" hidden="1" x14ac:dyDescent="0.25">
      <c r="A48" s="43">
        <v>12</v>
      </c>
      <c r="B48" s="43" t="s">
        <v>5</v>
      </c>
      <c r="C48" s="43" t="s">
        <v>1366</v>
      </c>
      <c r="D48" s="43" t="s">
        <v>1389</v>
      </c>
      <c r="E48" s="43" t="s">
        <v>551</v>
      </c>
      <c r="F48" s="43">
        <v>1</v>
      </c>
      <c r="G48"/>
      <c r="H48"/>
    </row>
    <row r="49" spans="1:8" hidden="1" x14ac:dyDescent="0.25">
      <c r="A49" s="43">
        <v>14</v>
      </c>
      <c r="B49" s="43" t="s">
        <v>6</v>
      </c>
      <c r="C49" s="43" t="s">
        <v>422</v>
      </c>
      <c r="D49" s="43" t="s">
        <v>437</v>
      </c>
      <c r="E49" s="43" t="s">
        <v>438</v>
      </c>
      <c r="F49" s="43">
        <v>1</v>
      </c>
      <c r="G49"/>
      <c r="H49"/>
    </row>
    <row r="50" spans="1:8" hidden="1" x14ac:dyDescent="0.25">
      <c r="A50" s="43">
        <v>14</v>
      </c>
      <c r="B50" s="43" t="s">
        <v>6</v>
      </c>
      <c r="C50" s="43" t="s">
        <v>422</v>
      </c>
      <c r="D50" s="43" t="s">
        <v>439</v>
      </c>
      <c r="E50" s="43" t="s">
        <v>440</v>
      </c>
      <c r="F50" s="43">
        <v>1</v>
      </c>
      <c r="G50"/>
      <c r="H50"/>
    </row>
    <row r="51" spans="1:8" hidden="1" x14ac:dyDescent="0.25">
      <c r="A51" s="43">
        <v>14</v>
      </c>
      <c r="B51" s="43" t="s">
        <v>6</v>
      </c>
      <c r="C51" s="43" t="s">
        <v>422</v>
      </c>
      <c r="D51" s="43" t="s">
        <v>429</v>
      </c>
      <c r="E51" s="43" t="s">
        <v>430</v>
      </c>
      <c r="F51" s="43">
        <v>1</v>
      </c>
      <c r="G51"/>
      <c r="H51"/>
    </row>
    <row r="52" spans="1:8" hidden="1" x14ac:dyDescent="0.25">
      <c r="A52" s="43">
        <v>14</v>
      </c>
      <c r="B52" s="43" t="s">
        <v>6</v>
      </c>
      <c r="C52" s="43" t="s">
        <v>422</v>
      </c>
      <c r="D52" s="43" t="s">
        <v>431</v>
      </c>
      <c r="E52" s="43" t="s">
        <v>432</v>
      </c>
      <c r="F52" s="43">
        <v>1</v>
      </c>
      <c r="G52"/>
      <c r="H52"/>
    </row>
    <row r="53" spans="1:8" hidden="1" x14ac:dyDescent="0.25">
      <c r="A53" s="43">
        <v>14</v>
      </c>
      <c r="B53" s="43" t="s">
        <v>6</v>
      </c>
      <c r="C53" s="43" t="s">
        <v>422</v>
      </c>
      <c r="D53" s="43" t="s">
        <v>433</v>
      </c>
      <c r="E53" s="43" t="s">
        <v>434</v>
      </c>
      <c r="F53" s="43">
        <v>1</v>
      </c>
      <c r="G53"/>
      <c r="H53"/>
    </row>
    <row r="54" spans="1:8" hidden="1" x14ac:dyDescent="0.25">
      <c r="A54" s="43">
        <v>14</v>
      </c>
      <c r="B54" s="43" t="s">
        <v>6</v>
      </c>
      <c r="C54" s="43" t="s">
        <v>422</v>
      </c>
      <c r="D54" s="43" t="s">
        <v>435</v>
      </c>
      <c r="E54" s="43" t="s">
        <v>436</v>
      </c>
      <c r="F54" s="43">
        <v>1</v>
      </c>
      <c r="G54"/>
      <c r="H54"/>
    </row>
    <row r="55" spans="1:8" hidden="1" x14ac:dyDescent="0.25">
      <c r="A55" s="43">
        <v>14</v>
      </c>
      <c r="B55" s="43" t="s">
        <v>6</v>
      </c>
      <c r="C55" s="43" t="s">
        <v>422</v>
      </c>
      <c r="D55" s="43" t="s">
        <v>423</v>
      </c>
      <c r="E55" s="43" t="s">
        <v>424</v>
      </c>
      <c r="F55" s="43">
        <v>1</v>
      </c>
      <c r="G55"/>
      <c r="H55"/>
    </row>
    <row r="56" spans="1:8" hidden="1" x14ac:dyDescent="0.25">
      <c r="A56" s="43">
        <v>14</v>
      </c>
      <c r="B56" s="43" t="s">
        <v>6</v>
      </c>
      <c r="C56" s="43" t="s">
        <v>422</v>
      </c>
      <c r="D56" s="43" t="s">
        <v>425</v>
      </c>
      <c r="E56" s="43" t="s">
        <v>426</v>
      </c>
      <c r="F56" s="43">
        <v>1</v>
      </c>
      <c r="G56"/>
      <c r="H56"/>
    </row>
    <row r="57" spans="1:8" hidden="1" x14ac:dyDescent="0.25">
      <c r="A57" s="43">
        <v>14</v>
      </c>
      <c r="B57" s="43" t="s">
        <v>6</v>
      </c>
      <c r="C57" s="43" t="s">
        <v>422</v>
      </c>
      <c r="D57" s="43" t="s">
        <v>427</v>
      </c>
      <c r="E57" s="43" t="s">
        <v>428</v>
      </c>
      <c r="F57" s="43">
        <v>1</v>
      </c>
      <c r="G57"/>
      <c r="H57"/>
    </row>
    <row r="58" spans="1:8" x14ac:dyDescent="0.25">
      <c r="A58" s="43">
        <v>14</v>
      </c>
      <c r="B58" s="43" t="s">
        <v>6</v>
      </c>
      <c r="C58" s="43" t="s">
        <v>422</v>
      </c>
      <c r="D58" s="43" t="s">
        <v>444</v>
      </c>
      <c r="E58" s="43" t="s">
        <v>1969</v>
      </c>
      <c r="F58" s="43">
        <v>2</v>
      </c>
      <c r="G58" s="43" t="s">
        <v>4495</v>
      </c>
      <c r="H58" s="43" t="s">
        <v>4580</v>
      </c>
    </row>
    <row r="59" spans="1:8" hidden="1" x14ac:dyDescent="0.25">
      <c r="A59" s="43">
        <v>14</v>
      </c>
      <c r="B59" s="43" t="s">
        <v>6</v>
      </c>
      <c r="C59" s="43" t="s">
        <v>422</v>
      </c>
      <c r="D59" s="43" t="s">
        <v>446</v>
      </c>
      <c r="E59" s="43" t="s">
        <v>1970</v>
      </c>
      <c r="F59" s="43">
        <v>1</v>
      </c>
    </row>
    <row r="60" spans="1:8" x14ac:dyDescent="0.25">
      <c r="A60" s="43">
        <v>14</v>
      </c>
      <c r="B60" s="43" t="s">
        <v>6</v>
      </c>
      <c r="C60" s="43" t="s">
        <v>422</v>
      </c>
      <c r="D60" s="43" t="s">
        <v>448</v>
      </c>
      <c r="E60" s="43" t="s">
        <v>1971</v>
      </c>
      <c r="F60" s="43">
        <v>2</v>
      </c>
      <c r="G60" s="43" t="s">
        <v>4496</v>
      </c>
      <c r="H60" s="43" t="s">
        <v>4580</v>
      </c>
    </row>
    <row r="61" spans="1:8" hidden="1" x14ac:dyDescent="0.25">
      <c r="A61" s="43">
        <v>15</v>
      </c>
      <c r="B61" s="43" t="s">
        <v>7</v>
      </c>
      <c r="C61" s="43" t="s">
        <v>1169</v>
      </c>
      <c r="D61" s="43" t="s">
        <v>1186</v>
      </c>
      <c r="E61" s="43" t="s">
        <v>1187</v>
      </c>
      <c r="F61" s="43">
        <v>1</v>
      </c>
      <c r="G61"/>
      <c r="H61"/>
    </row>
    <row r="62" spans="1:8" hidden="1" x14ac:dyDescent="0.25">
      <c r="A62" s="43">
        <v>15</v>
      </c>
      <c r="B62" s="43" t="s">
        <v>7</v>
      </c>
      <c r="C62" s="43" t="s">
        <v>1169</v>
      </c>
      <c r="D62" s="43" t="s">
        <v>1188</v>
      </c>
      <c r="E62" s="43" t="s">
        <v>1189</v>
      </c>
      <c r="F62" s="43">
        <v>1</v>
      </c>
      <c r="G62"/>
      <c r="H62"/>
    </row>
    <row r="63" spans="1:8" hidden="1" x14ac:dyDescent="0.25">
      <c r="A63" s="43">
        <v>15</v>
      </c>
      <c r="B63" s="43" t="s">
        <v>7</v>
      </c>
      <c r="C63" s="43" t="s">
        <v>1169</v>
      </c>
      <c r="D63" s="43" t="s">
        <v>1190</v>
      </c>
      <c r="E63" s="43" t="s">
        <v>1191</v>
      </c>
      <c r="F63" s="43">
        <v>1</v>
      </c>
      <c r="G63"/>
      <c r="H63"/>
    </row>
    <row r="64" spans="1:8" hidden="1" x14ac:dyDescent="0.25">
      <c r="A64" s="43">
        <v>15</v>
      </c>
      <c r="B64" s="43" t="s">
        <v>7</v>
      </c>
      <c r="C64" s="43" t="s">
        <v>1169</v>
      </c>
      <c r="D64" s="43" t="s">
        <v>1178</v>
      </c>
      <c r="E64" s="43" t="s">
        <v>1179</v>
      </c>
      <c r="F64" s="43">
        <v>1</v>
      </c>
      <c r="G64"/>
      <c r="H64"/>
    </row>
    <row r="65" spans="1:8" hidden="1" x14ac:dyDescent="0.25">
      <c r="A65" s="43">
        <v>15</v>
      </c>
      <c r="B65" s="43" t="s">
        <v>7</v>
      </c>
      <c r="C65" s="43" t="s">
        <v>1169</v>
      </c>
      <c r="D65" s="43" t="s">
        <v>1180</v>
      </c>
      <c r="E65" s="43" t="s">
        <v>1181</v>
      </c>
      <c r="F65" s="43">
        <v>1</v>
      </c>
      <c r="G65"/>
      <c r="H65"/>
    </row>
    <row r="66" spans="1:8" hidden="1" x14ac:dyDescent="0.25">
      <c r="A66" s="43">
        <v>15</v>
      </c>
      <c r="B66" s="43" t="s">
        <v>7</v>
      </c>
      <c r="C66" s="43" t="s">
        <v>1169</v>
      </c>
      <c r="D66" s="43" t="s">
        <v>1182</v>
      </c>
      <c r="E66" s="43" t="s">
        <v>1183</v>
      </c>
      <c r="F66" s="43">
        <v>1</v>
      </c>
      <c r="G66"/>
      <c r="H66"/>
    </row>
    <row r="67" spans="1:8" hidden="1" x14ac:dyDescent="0.25">
      <c r="A67" s="43">
        <v>15</v>
      </c>
      <c r="B67" s="43" t="s">
        <v>7</v>
      </c>
      <c r="C67" s="43" t="s">
        <v>1169</v>
      </c>
      <c r="D67" s="43" t="s">
        <v>1184</v>
      </c>
      <c r="E67" s="43" t="s">
        <v>1185</v>
      </c>
      <c r="F67" s="43">
        <v>1</v>
      </c>
      <c r="G67"/>
      <c r="H67"/>
    </row>
    <row r="68" spans="1:8" hidden="1" x14ac:dyDescent="0.25">
      <c r="A68" s="43">
        <v>15</v>
      </c>
      <c r="B68" s="43" t="s">
        <v>7</v>
      </c>
      <c r="C68" s="43" t="s">
        <v>1169</v>
      </c>
      <c r="D68" s="43" t="s">
        <v>1192</v>
      </c>
      <c r="E68" s="43" t="s">
        <v>1193</v>
      </c>
      <c r="F68" s="43">
        <v>1</v>
      </c>
      <c r="G68"/>
      <c r="H68"/>
    </row>
    <row r="69" spans="1:8" hidden="1" x14ac:dyDescent="0.25">
      <c r="A69" s="43">
        <v>15</v>
      </c>
      <c r="B69" s="43" t="s">
        <v>7</v>
      </c>
      <c r="C69" s="43" t="s">
        <v>1169</v>
      </c>
      <c r="D69" s="43" t="s">
        <v>1194</v>
      </c>
      <c r="E69" s="43" t="s">
        <v>1195</v>
      </c>
      <c r="F69" s="43">
        <v>1</v>
      </c>
      <c r="G69"/>
      <c r="H69"/>
    </row>
    <row r="70" spans="1:8" hidden="1" x14ac:dyDescent="0.25">
      <c r="A70" s="43">
        <v>15</v>
      </c>
      <c r="B70" s="43" t="s">
        <v>7</v>
      </c>
      <c r="C70" s="43" t="s">
        <v>1169</v>
      </c>
      <c r="D70" s="43" t="s">
        <v>1196</v>
      </c>
      <c r="E70" s="43" t="s">
        <v>1197</v>
      </c>
      <c r="F70" s="43">
        <v>1</v>
      </c>
      <c r="G70"/>
      <c r="H70"/>
    </row>
    <row r="71" spans="1:8" hidden="1" x14ac:dyDescent="0.25">
      <c r="A71" s="43">
        <v>15</v>
      </c>
      <c r="B71" s="43" t="s">
        <v>7</v>
      </c>
      <c r="C71" s="43" t="s">
        <v>1169</v>
      </c>
      <c r="D71" s="43" t="s">
        <v>1170</v>
      </c>
      <c r="E71" s="43" t="s">
        <v>1171</v>
      </c>
      <c r="F71" s="43">
        <v>0</v>
      </c>
      <c r="G71" s="43" t="s">
        <v>4584</v>
      </c>
      <c r="H71" s="43" t="s">
        <v>4755</v>
      </c>
    </row>
    <row r="72" spans="1:8" hidden="1" x14ac:dyDescent="0.25">
      <c r="A72" s="43">
        <v>15</v>
      </c>
      <c r="B72" s="43" t="s">
        <v>7</v>
      </c>
      <c r="C72" s="43" t="s">
        <v>1169</v>
      </c>
      <c r="D72" s="43" t="s">
        <v>1172</v>
      </c>
      <c r="E72" s="43" t="s">
        <v>1173</v>
      </c>
      <c r="F72" s="43">
        <v>0</v>
      </c>
      <c r="G72" s="43" t="s">
        <v>4584</v>
      </c>
      <c r="H72" s="43" t="s">
        <v>4755</v>
      </c>
    </row>
    <row r="73" spans="1:8" hidden="1" x14ac:dyDescent="0.25">
      <c r="A73" s="43">
        <v>15</v>
      </c>
      <c r="B73" s="43" t="s">
        <v>7</v>
      </c>
      <c r="C73" s="43" t="s">
        <v>1169</v>
      </c>
      <c r="D73" s="43" t="s">
        <v>1174</v>
      </c>
      <c r="E73" s="43" t="s">
        <v>1175</v>
      </c>
      <c r="F73" s="43">
        <v>0</v>
      </c>
      <c r="G73" s="43" t="s">
        <v>4584</v>
      </c>
      <c r="H73" s="43" t="s">
        <v>4755</v>
      </c>
    </row>
    <row r="74" spans="1:8" hidden="1" x14ac:dyDescent="0.25">
      <c r="A74" s="43">
        <v>15</v>
      </c>
      <c r="B74" s="43" t="s">
        <v>7</v>
      </c>
      <c r="C74" s="43" t="s">
        <v>1169</v>
      </c>
      <c r="D74" s="43" t="s">
        <v>1176</v>
      </c>
      <c r="E74" s="43" t="s">
        <v>1177</v>
      </c>
      <c r="F74" s="43">
        <v>1</v>
      </c>
      <c r="G74"/>
      <c r="H74"/>
    </row>
    <row r="75" spans="1:8" hidden="1" x14ac:dyDescent="0.25">
      <c r="A75" s="43">
        <v>15</v>
      </c>
      <c r="B75" s="43" t="s">
        <v>7</v>
      </c>
      <c r="C75" s="43" t="s">
        <v>422</v>
      </c>
      <c r="D75" s="43" t="s">
        <v>437</v>
      </c>
      <c r="E75" s="43" t="s">
        <v>438</v>
      </c>
      <c r="F75" s="43">
        <v>0</v>
      </c>
      <c r="G75" s="43" t="s">
        <v>4585</v>
      </c>
      <c r="H75" s="43" t="s">
        <v>4755</v>
      </c>
    </row>
    <row r="76" spans="1:8" hidden="1" x14ac:dyDescent="0.25">
      <c r="A76" s="43">
        <v>15</v>
      </c>
      <c r="B76" s="43" t="s">
        <v>7</v>
      </c>
      <c r="C76" s="43" t="s">
        <v>422</v>
      </c>
      <c r="D76" s="43" t="s">
        <v>439</v>
      </c>
      <c r="E76" s="43" t="s">
        <v>440</v>
      </c>
      <c r="F76" s="43">
        <v>1</v>
      </c>
      <c r="G76"/>
      <c r="H76"/>
    </row>
    <row r="77" spans="1:8" hidden="1" x14ac:dyDescent="0.25">
      <c r="A77" s="43">
        <v>15</v>
      </c>
      <c r="B77" s="43" t="s">
        <v>7</v>
      </c>
      <c r="C77" s="43" t="s">
        <v>422</v>
      </c>
      <c r="D77" s="43" t="s">
        <v>429</v>
      </c>
      <c r="E77" s="43" t="s">
        <v>430</v>
      </c>
      <c r="F77" s="43">
        <v>1</v>
      </c>
      <c r="G77"/>
      <c r="H77"/>
    </row>
    <row r="78" spans="1:8" hidden="1" x14ac:dyDescent="0.25">
      <c r="A78" s="43">
        <v>15</v>
      </c>
      <c r="B78" s="43" t="s">
        <v>7</v>
      </c>
      <c r="C78" s="43" t="s">
        <v>422</v>
      </c>
      <c r="D78" s="43" t="s">
        <v>431</v>
      </c>
      <c r="E78" s="43" t="s">
        <v>432</v>
      </c>
      <c r="F78" s="43">
        <v>1</v>
      </c>
      <c r="G78"/>
      <c r="H78"/>
    </row>
    <row r="79" spans="1:8" hidden="1" x14ac:dyDescent="0.25">
      <c r="A79" s="43">
        <v>15</v>
      </c>
      <c r="B79" s="43" t="s">
        <v>7</v>
      </c>
      <c r="C79" s="43" t="s">
        <v>422</v>
      </c>
      <c r="D79" s="43" t="s">
        <v>433</v>
      </c>
      <c r="E79" s="43" t="s">
        <v>434</v>
      </c>
      <c r="F79" s="43">
        <v>1</v>
      </c>
      <c r="G79"/>
      <c r="H79"/>
    </row>
    <row r="80" spans="1:8" hidden="1" x14ac:dyDescent="0.25">
      <c r="A80" s="43">
        <v>15</v>
      </c>
      <c r="B80" s="43" t="s">
        <v>7</v>
      </c>
      <c r="C80" s="43" t="s">
        <v>422</v>
      </c>
      <c r="D80" s="43" t="s">
        <v>435</v>
      </c>
      <c r="E80" s="43" t="s">
        <v>436</v>
      </c>
      <c r="F80" s="43">
        <v>0</v>
      </c>
      <c r="G80" s="43" t="s">
        <v>4585</v>
      </c>
      <c r="H80" s="43" t="s">
        <v>4755</v>
      </c>
    </row>
    <row r="81" spans="1:8" hidden="1" x14ac:dyDescent="0.25">
      <c r="A81" s="43">
        <v>15</v>
      </c>
      <c r="B81" s="43" t="s">
        <v>7</v>
      </c>
      <c r="C81" s="43" t="s">
        <v>422</v>
      </c>
      <c r="D81" s="43" t="s">
        <v>423</v>
      </c>
      <c r="E81" s="43" t="s">
        <v>424</v>
      </c>
      <c r="F81" s="43">
        <v>0</v>
      </c>
      <c r="G81" s="43" t="s">
        <v>4585</v>
      </c>
      <c r="H81" s="43" t="s">
        <v>4755</v>
      </c>
    </row>
    <row r="82" spans="1:8" hidden="1" x14ac:dyDescent="0.25">
      <c r="A82" s="43">
        <v>15</v>
      </c>
      <c r="B82" s="43" t="s">
        <v>7</v>
      </c>
      <c r="C82" s="43" t="s">
        <v>422</v>
      </c>
      <c r="D82" s="43" t="s">
        <v>425</v>
      </c>
      <c r="E82" s="43" t="s">
        <v>426</v>
      </c>
      <c r="F82" s="43">
        <v>0</v>
      </c>
      <c r="G82" s="43" t="s">
        <v>4585</v>
      </c>
      <c r="H82" s="43" t="s">
        <v>4755</v>
      </c>
    </row>
    <row r="83" spans="1:8" hidden="1" x14ac:dyDescent="0.25">
      <c r="A83" s="43">
        <v>15</v>
      </c>
      <c r="B83" s="43" t="s">
        <v>7</v>
      </c>
      <c r="C83" s="43" t="s">
        <v>422</v>
      </c>
      <c r="D83" s="43" t="s">
        <v>427</v>
      </c>
      <c r="E83" s="43" t="s">
        <v>428</v>
      </c>
      <c r="F83" s="43">
        <v>0</v>
      </c>
      <c r="G83" s="43" t="s">
        <v>4585</v>
      </c>
      <c r="H83" s="43" t="s">
        <v>4755</v>
      </c>
    </row>
    <row r="84" spans="1:8" hidden="1" x14ac:dyDescent="0.25">
      <c r="A84" s="43">
        <v>17</v>
      </c>
      <c r="B84" s="43" t="s">
        <v>8</v>
      </c>
      <c r="C84" s="43" t="s">
        <v>1790</v>
      </c>
      <c r="D84" s="43" t="s">
        <v>1794</v>
      </c>
      <c r="E84" s="43" t="s">
        <v>786</v>
      </c>
      <c r="F84" s="43">
        <v>0</v>
      </c>
      <c r="G84" s="43" t="s">
        <v>4583</v>
      </c>
      <c r="H84"/>
    </row>
    <row r="85" spans="1:8" hidden="1" x14ac:dyDescent="0.25">
      <c r="A85" s="43">
        <v>17</v>
      </c>
      <c r="B85" s="43" t="s">
        <v>8</v>
      </c>
      <c r="C85" s="43" t="s">
        <v>1790</v>
      </c>
      <c r="D85" s="43" t="s">
        <v>1795</v>
      </c>
      <c r="E85" s="43" t="s">
        <v>784</v>
      </c>
      <c r="F85" s="43">
        <v>0</v>
      </c>
      <c r="G85" s="43" t="s">
        <v>4583</v>
      </c>
      <c r="H85"/>
    </row>
    <row r="86" spans="1:8" hidden="1" x14ac:dyDescent="0.25">
      <c r="A86" s="43">
        <v>17</v>
      </c>
      <c r="B86" s="43" t="s">
        <v>8</v>
      </c>
      <c r="C86" s="43" t="s">
        <v>1790</v>
      </c>
      <c r="D86" s="43" t="s">
        <v>1796</v>
      </c>
      <c r="E86" s="43" t="s">
        <v>1205</v>
      </c>
      <c r="F86" s="43">
        <v>0</v>
      </c>
      <c r="G86" s="43" t="s">
        <v>4583</v>
      </c>
      <c r="H86"/>
    </row>
    <row r="87" spans="1:8" hidden="1" x14ac:dyDescent="0.25">
      <c r="A87" s="43">
        <v>17</v>
      </c>
      <c r="B87" s="43" t="s">
        <v>8</v>
      </c>
      <c r="C87" s="43" t="s">
        <v>1790</v>
      </c>
      <c r="D87" s="43" t="s">
        <v>1797</v>
      </c>
      <c r="E87" s="43" t="s">
        <v>1207</v>
      </c>
      <c r="F87" s="43">
        <v>0</v>
      </c>
      <c r="G87" s="43" t="s">
        <v>4583</v>
      </c>
      <c r="H87"/>
    </row>
    <row r="88" spans="1:8" hidden="1" x14ac:dyDescent="0.25">
      <c r="A88" s="43">
        <v>17</v>
      </c>
      <c r="B88" s="43" t="s">
        <v>8</v>
      </c>
      <c r="C88" s="43" t="s">
        <v>1790</v>
      </c>
      <c r="D88" s="43" t="s">
        <v>1798</v>
      </c>
      <c r="E88" s="43" t="s">
        <v>1209</v>
      </c>
      <c r="F88" s="43">
        <v>0</v>
      </c>
      <c r="G88" s="43" t="s">
        <v>4583</v>
      </c>
      <c r="H88"/>
    </row>
    <row r="89" spans="1:8" hidden="1" x14ac:dyDescent="0.25">
      <c r="A89" s="43">
        <v>17</v>
      </c>
      <c r="B89" s="43" t="s">
        <v>8</v>
      </c>
      <c r="C89" s="43" t="s">
        <v>1790</v>
      </c>
      <c r="D89" s="43" t="s">
        <v>1799</v>
      </c>
      <c r="E89" s="43" t="s">
        <v>789</v>
      </c>
      <c r="F89" s="43">
        <v>0</v>
      </c>
      <c r="G89" s="43" t="s">
        <v>4583</v>
      </c>
      <c r="H89"/>
    </row>
    <row r="90" spans="1:8" hidden="1" x14ac:dyDescent="0.25">
      <c r="A90" s="43">
        <v>17</v>
      </c>
      <c r="B90" s="43" t="s">
        <v>8</v>
      </c>
      <c r="C90" s="43" t="s">
        <v>1790</v>
      </c>
      <c r="D90" s="43" t="s">
        <v>1800</v>
      </c>
      <c r="E90" s="43" t="s">
        <v>1214</v>
      </c>
      <c r="F90" s="43">
        <v>0</v>
      </c>
      <c r="G90" s="43" t="s">
        <v>4583</v>
      </c>
      <c r="H90"/>
    </row>
    <row r="91" spans="1:8" hidden="1" x14ac:dyDescent="0.25">
      <c r="A91" s="43">
        <v>17</v>
      </c>
      <c r="B91" s="43" t="s">
        <v>8</v>
      </c>
      <c r="C91" s="43" t="s">
        <v>1790</v>
      </c>
      <c r="D91" s="43" t="s">
        <v>1791</v>
      </c>
      <c r="E91" s="43" t="s">
        <v>273</v>
      </c>
      <c r="F91" s="43">
        <v>1</v>
      </c>
      <c r="G91"/>
      <c r="H91"/>
    </row>
    <row r="92" spans="1:8" hidden="1" x14ac:dyDescent="0.25">
      <c r="A92" s="43">
        <v>17</v>
      </c>
      <c r="B92" s="43" t="s">
        <v>8</v>
      </c>
      <c r="C92" s="43" t="s">
        <v>1790</v>
      </c>
      <c r="D92" s="43" t="s">
        <v>1792</v>
      </c>
      <c r="E92" s="43" t="s">
        <v>312</v>
      </c>
      <c r="F92" s="43">
        <v>1</v>
      </c>
      <c r="G92"/>
      <c r="H92"/>
    </row>
    <row r="93" spans="1:8" hidden="1" x14ac:dyDescent="0.25">
      <c r="A93" s="43">
        <v>17</v>
      </c>
      <c r="B93" s="43" t="s">
        <v>8</v>
      </c>
      <c r="C93" s="43" t="s">
        <v>1790</v>
      </c>
      <c r="D93" s="43" t="s">
        <v>1793</v>
      </c>
      <c r="E93" s="43" t="s">
        <v>801</v>
      </c>
      <c r="F93" s="43">
        <v>0</v>
      </c>
      <c r="G93" s="43" t="s">
        <v>4583</v>
      </c>
      <c r="H93"/>
    </row>
    <row r="94" spans="1:8" hidden="1" x14ac:dyDescent="0.25">
      <c r="A94" s="43">
        <v>17</v>
      </c>
      <c r="B94" s="43" t="s">
        <v>8</v>
      </c>
      <c r="C94" s="43" t="s">
        <v>1790</v>
      </c>
      <c r="D94" s="43" t="s">
        <v>1804</v>
      </c>
      <c r="E94" s="43" t="s">
        <v>372</v>
      </c>
      <c r="F94" s="43">
        <v>0</v>
      </c>
      <c r="G94" s="43" t="s">
        <v>4583</v>
      </c>
      <c r="H94"/>
    </row>
    <row r="95" spans="1:8" hidden="1" x14ac:dyDescent="0.25">
      <c r="A95" s="43">
        <v>17</v>
      </c>
      <c r="B95" s="43" t="s">
        <v>8</v>
      </c>
      <c r="C95" s="43" t="s">
        <v>1790</v>
      </c>
      <c r="D95" s="43" t="s">
        <v>1805</v>
      </c>
      <c r="E95" s="43" t="s">
        <v>1806</v>
      </c>
      <c r="F95" s="43">
        <v>0</v>
      </c>
      <c r="G95" s="43" t="s">
        <v>4583</v>
      </c>
      <c r="H95"/>
    </row>
    <row r="96" spans="1:8" hidden="1" x14ac:dyDescent="0.25">
      <c r="A96" s="43">
        <v>17</v>
      </c>
      <c r="B96" s="43" t="s">
        <v>8</v>
      </c>
      <c r="C96" s="43" t="s">
        <v>1790</v>
      </c>
      <c r="D96" s="43" t="s">
        <v>1807</v>
      </c>
      <c r="E96" s="43" t="s">
        <v>1808</v>
      </c>
      <c r="F96" s="43">
        <v>0</v>
      </c>
      <c r="G96" s="43" t="s">
        <v>4583</v>
      </c>
      <c r="H96"/>
    </row>
    <row r="97" spans="1:8" hidden="1" x14ac:dyDescent="0.25">
      <c r="A97" s="43">
        <v>17</v>
      </c>
      <c r="B97" s="43" t="s">
        <v>8</v>
      </c>
      <c r="C97" s="43" t="s">
        <v>1790</v>
      </c>
      <c r="D97" s="43" t="s">
        <v>1801</v>
      </c>
      <c r="E97" s="43" t="s">
        <v>1784</v>
      </c>
      <c r="F97" s="43">
        <v>0</v>
      </c>
      <c r="G97" s="43" t="s">
        <v>4583</v>
      </c>
      <c r="H97"/>
    </row>
    <row r="98" spans="1:8" hidden="1" x14ac:dyDescent="0.25">
      <c r="A98" s="43">
        <v>17</v>
      </c>
      <c r="B98" s="43" t="s">
        <v>8</v>
      </c>
      <c r="C98" s="43" t="s">
        <v>1790</v>
      </c>
      <c r="D98" s="43" t="s">
        <v>1802</v>
      </c>
      <c r="E98" s="43" t="s">
        <v>791</v>
      </c>
      <c r="F98" s="43">
        <v>0</v>
      </c>
      <c r="G98" s="43" t="s">
        <v>4583</v>
      </c>
      <c r="H98"/>
    </row>
    <row r="99" spans="1:8" hidden="1" x14ac:dyDescent="0.25">
      <c r="A99" s="43">
        <v>17</v>
      </c>
      <c r="B99" s="43" t="s">
        <v>8</v>
      </c>
      <c r="C99" s="43" t="s">
        <v>1790</v>
      </c>
      <c r="D99" s="43" t="s">
        <v>1803</v>
      </c>
      <c r="E99" s="43" t="s">
        <v>795</v>
      </c>
      <c r="F99" s="43">
        <v>0</v>
      </c>
      <c r="G99" s="43" t="s">
        <v>4583</v>
      </c>
      <c r="H99"/>
    </row>
    <row r="100" spans="1:8" hidden="1" x14ac:dyDescent="0.25">
      <c r="A100" s="43">
        <v>21</v>
      </c>
      <c r="B100" s="43" t="s">
        <v>9</v>
      </c>
      <c r="C100" s="43" t="s">
        <v>581</v>
      </c>
      <c r="D100" s="43" t="s">
        <v>585</v>
      </c>
      <c r="E100" s="43" t="s">
        <v>586</v>
      </c>
      <c r="F100" s="43">
        <v>1</v>
      </c>
      <c r="G100"/>
      <c r="H100"/>
    </row>
    <row r="101" spans="1:8" hidden="1" x14ac:dyDescent="0.25">
      <c r="A101" s="43">
        <v>21</v>
      </c>
      <c r="B101" s="43" t="s">
        <v>9</v>
      </c>
      <c r="C101" s="43" t="s">
        <v>581</v>
      </c>
      <c r="D101" s="43" t="s">
        <v>593</v>
      </c>
      <c r="E101" s="43" t="s">
        <v>594</v>
      </c>
      <c r="F101" s="43">
        <v>0</v>
      </c>
      <c r="G101" s="43" t="s">
        <v>4583</v>
      </c>
      <c r="H101"/>
    </row>
    <row r="102" spans="1:8" hidden="1" x14ac:dyDescent="0.25">
      <c r="A102" s="43">
        <v>21</v>
      </c>
      <c r="B102" s="43" t="s">
        <v>9</v>
      </c>
      <c r="C102" s="43" t="s">
        <v>581</v>
      </c>
      <c r="D102" s="43" t="s">
        <v>587</v>
      </c>
      <c r="E102" s="43" t="s">
        <v>588</v>
      </c>
      <c r="F102" s="43">
        <v>1</v>
      </c>
      <c r="G102"/>
      <c r="H102"/>
    </row>
    <row r="103" spans="1:8" hidden="1" x14ac:dyDescent="0.25">
      <c r="A103" s="43">
        <v>21</v>
      </c>
      <c r="B103" s="43" t="s">
        <v>9</v>
      </c>
      <c r="C103" s="43" t="s">
        <v>581</v>
      </c>
      <c r="D103" s="43" t="s">
        <v>604</v>
      </c>
      <c r="E103" s="43" t="s">
        <v>605</v>
      </c>
      <c r="F103" s="43">
        <v>0</v>
      </c>
      <c r="G103" s="43" t="s">
        <v>4583</v>
      </c>
      <c r="H103"/>
    </row>
    <row r="104" spans="1:8" hidden="1" x14ac:dyDescent="0.25">
      <c r="A104" s="43">
        <v>21</v>
      </c>
      <c r="B104" s="43" t="s">
        <v>9</v>
      </c>
      <c r="C104" s="43" t="s">
        <v>581</v>
      </c>
      <c r="D104" s="43" t="s">
        <v>582</v>
      </c>
      <c r="E104" s="43" t="s">
        <v>583</v>
      </c>
      <c r="F104" s="43">
        <v>1</v>
      </c>
      <c r="G104"/>
      <c r="H104"/>
    </row>
    <row r="105" spans="1:8" hidden="1" x14ac:dyDescent="0.25">
      <c r="A105" s="43">
        <v>21</v>
      </c>
      <c r="B105" s="43" t="s">
        <v>9</v>
      </c>
      <c r="C105" s="43" t="s">
        <v>581</v>
      </c>
      <c r="D105" s="43" t="s">
        <v>584</v>
      </c>
      <c r="E105" s="43" t="s">
        <v>306</v>
      </c>
      <c r="F105" s="43">
        <v>1</v>
      </c>
      <c r="G105"/>
      <c r="H105"/>
    </row>
    <row r="106" spans="1:8" hidden="1" x14ac:dyDescent="0.25">
      <c r="A106" s="43">
        <v>21</v>
      </c>
      <c r="B106" s="43" t="s">
        <v>9</v>
      </c>
      <c r="C106" s="43" t="s">
        <v>581</v>
      </c>
      <c r="D106" s="43" t="s">
        <v>592</v>
      </c>
      <c r="E106" s="43" t="s">
        <v>275</v>
      </c>
      <c r="F106" s="43">
        <v>1</v>
      </c>
      <c r="G106"/>
      <c r="H106"/>
    </row>
    <row r="107" spans="1:8" hidden="1" x14ac:dyDescent="0.25">
      <c r="A107" s="43">
        <v>21</v>
      </c>
      <c r="B107" s="43" t="s">
        <v>9</v>
      </c>
      <c r="C107" s="43" t="s">
        <v>581</v>
      </c>
      <c r="D107" s="43" t="s">
        <v>606</v>
      </c>
      <c r="E107" s="43" t="s">
        <v>503</v>
      </c>
      <c r="F107" s="43">
        <v>0</v>
      </c>
      <c r="G107" s="43" t="s">
        <v>4583</v>
      </c>
      <c r="H107"/>
    </row>
    <row r="108" spans="1:8" hidden="1" x14ac:dyDescent="0.25">
      <c r="A108" s="43">
        <v>21</v>
      </c>
      <c r="B108" s="43" t="s">
        <v>9</v>
      </c>
      <c r="C108" s="43" t="s">
        <v>581</v>
      </c>
      <c r="D108" s="43" t="s">
        <v>607</v>
      </c>
      <c r="E108" s="43" t="s">
        <v>505</v>
      </c>
      <c r="F108" s="43">
        <v>0</v>
      </c>
      <c r="G108" s="43" t="s">
        <v>4583</v>
      </c>
      <c r="H108"/>
    </row>
    <row r="109" spans="1:8" hidden="1" x14ac:dyDescent="0.25">
      <c r="A109" s="43">
        <v>21</v>
      </c>
      <c r="B109" s="43" t="s">
        <v>9</v>
      </c>
      <c r="C109" s="43" t="s">
        <v>581</v>
      </c>
      <c r="D109" s="43" t="s">
        <v>608</v>
      </c>
      <c r="E109" s="43" t="s">
        <v>609</v>
      </c>
      <c r="F109" s="43">
        <v>0</v>
      </c>
      <c r="G109" s="43" t="s">
        <v>4583</v>
      </c>
      <c r="H109"/>
    </row>
    <row r="110" spans="1:8" hidden="1" x14ac:dyDescent="0.25">
      <c r="A110" s="43">
        <v>21</v>
      </c>
      <c r="B110" s="43" t="s">
        <v>9</v>
      </c>
      <c r="C110" s="43" t="s">
        <v>581</v>
      </c>
      <c r="D110" s="43" t="s">
        <v>598</v>
      </c>
      <c r="E110" s="43" t="s">
        <v>599</v>
      </c>
      <c r="F110" s="43">
        <v>1</v>
      </c>
      <c r="G110"/>
      <c r="H110"/>
    </row>
    <row r="111" spans="1:8" hidden="1" x14ac:dyDescent="0.25">
      <c r="A111" s="43">
        <v>21</v>
      </c>
      <c r="B111" s="43" t="s">
        <v>9</v>
      </c>
      <c r="C111" s="43" t="s">
        <v>581</v>
      </c>
      <c r="D111" s="43" t="s">
        <v>600</v>
      </c>
      <c r="E111" s="43" t="s">
        <v>601</v>
      </c>
      <c r="F111" s="43">
        <v>0</v>
      </c>
      <c r="G111" s="43" t="s">
        <v>4583</v>
      </c>
      <c r="H111"/>
    </row>
    <row r="112" spans="1:8" hidden="1" x14ac:dyDescent="0.25">
      <c r="A112" s="43">
        <v>21</v>
      </c>
      <c r="B112" s="43" t="s">
        <v>9</v>
      </c>
      <c r="C112" s="43" t="s">
        <v>581</v>
      </c>
      <c r="D112" s="43" t="s">
        <v>602</v>
      </c>
      <c r="E112" s="43" t="s">
        <v>603</v>
      </c>
      <c r="F112" s="43">
        <v>0</v>
      </c>
      <c r="G112" s="43" t="s">
        <v>4583</v>
      </c>
      <c r="H112"/>
    </row>
    <row r="113" spans="1:8" hidden="1" x14ac:dyDescent="0.25">
      <c r="A113" s="43">
        <v>21</v>
      </c>
      <c r="B113" s="43" t="s">
        <v>9</v>
      </c>
      <c r="C113" s="43" t="s">
        <v>581</v>
      </c>
      <c r="D113" s="43" t="s">
        <v>589</v>
      </c>
      <c r="E113" s="43" t="s">
        <v>312</v>
      </c>
      <c r="F113" s="43">
        <v>1</v>
      </c>
      <c r="G113"/>
      <c r="H113"/>
    </row>
    <row r="114" spans="1:8" hidden="1" x14ac:dyDescent="0.25">
      <c r="A114" s="43">
        <v>21</v>
      </c>
      <c r="B114" s="43" t="s">
        <v>9</v>
      </c>
      <c r="C114" s="43" t="s">
        <v>581</v>
      </c>
      <c r="D114" s="43" t="s">
        <v>590</v>
      </c>
      <c r="E114" s="43" t="s">
        <v>493</v>
      </c>
      <c r="F114" s="43">
        <v>1</v>
      </c>
      <c r="G114"/>
      <c r="H114"/>
    </row>
    <row r="115" spans="1:8" hidden="1" x14ac:dyDescent="0.25">
      <c r="A115" s="43">
        <v>21</v>
      </c>
      <c r="B115" s="43" t="s">
        <v>9</v>
      </c>
      <c r="C115" s="43" t="s">
        <v>581</v>
      </c>
      <c r="D115" s="43" t="s">
        <v>591</v>
      </c>
      <c r="E115" s="43" t="s">
        <v>314</v>
      </c>
      <c r="F115" s="43">
        <v>1</v>
      </c>
      <c r="G115"/>
      <c r="H115"/>
    </row>
    <row r="116" spans="1:8" hidden="1" x14ac:dyDescent="0.25">
      <c r="A116" s="43">
        <v>21</v>
      </c>
      <c r="B116" s="43" t="s">
        <v>9</v>
      </c>
      <c r="C116" s="43" t="s">
        <v>581</v>
      </c>
      <c r="D116" s="43" t="s">
        <v>595</v>
      </c>
      <c r="E116" s="43" t="s">
        <v>349</v>
      </c>
      <c r="F116" s="43">
        <v>1</v>
      </c>
      <c r="G116"/>
      <c r="H116"/>
    </row>
    <row r="117" spans="1:8" hidden="1" x14ac:dyDescent="0.25">
      <c r="A117" s="43">
        <v>21</v>
      </c>
      <c r="B117" s="43" t="s">
        <v>9</v>
      </c>
      <c r="C117" s="43" t="s">
        <v>581</v>
      </c>
      <c r="D117" s="43" t="s">
        <v>596</v>
      </c>
      <c r="E117" s="43" t="s">
        <v>597</v>
      </c>
      <c r="F117" s="43">
        <v>0</v>
      </c>
      <c r="G117" s="43" t="s">
        <v>4583</v>
      </c>
      <c r="H117"/>
    </row>
    <row r="118" spans="1:8" hidden="1" x14ac:dyDescent="0.25">
      <c r="A118" s="43">
        <v>21</v>
      </c>
      <c r="B118" s="43" t="s">
        <v>9</v>
      </c>
      <c r="C118" s="43" t="s">
        <v>1390</v>
      </c>
      <c r="D118" s="43" t="s">
        <v>1391</v>
      </c>
      <c r="E118" s="43" t="s">
        <v>583</v>
      </c>
      <c r="F118" s="43">
        <v>1</v>
      </c>
      <c r="G118"/>
      <c r="H118"/>
    </row>
    <row r="119" spans="1:8" hidden="1" x14ac:dyDescent="0.25">
      <c r="A119" s="43">
        <v>21</v>
      </c>
      <c r="B119" s="43" t="s">
        <v>9</v>
      </c>
      <c r="C119" s="43" t="s">
        <v>1390</v>
      </c>
      <c r="D119" s="43" t="s">
        <v>1392</v>
      </c>
      <c r="E119" s="43" t="s">
        <v>306</v>
      </c>
      <c r="F119" s="43">
        <v>1</v>
      </c>
      <c r="G119"/>
      <c r="H119"/>
    </row>
    <row r="120" spans="1:8" hidden="1" x14ac:dyDescent="0.25">
      <c r="A120" s="43">
        <v>21</v>
      </c>
      <c r="B120" s="43" t="s">
        <v>9</v>
      </c>
      <c r="C120" s="43" t="s">
        <v>1390</v>
      </c>
      <c r="D120" s="43" t="s">
        <v>1393</v>
      </c>
      <c r="E120" s="43" t="s">
        <v>1394</v>
      </c>
      <c r="F120" s="43">
        <v>1</v>
      </c>
      <c r="G120"/>
      <c r="H120"/>
    </row>
    <row r="121" spans="1:8" hidden="1" x14ac:dyDescent="0.25">
      <c r="A121" s="43">
        <v>21</v>
      </c>
      <c r="B121" s="43" t="s">
        <v>9</v>
      </c>
      <c r="C121" s="43" t="s">
        <v>1390</v>
      </c>
      <c r="D121" s="43" t="s">
        <v>1395</v>
      </c>
      <c r="E121" s="43" t="s">
        <v>273</v>
      </c>
      <c r="F121" s="43">
        <v>1</v>
      </c>
      <c r="G121"/>
      <c r="H121"/>
    </row>
    <row r="122" spans="1:8" hidden="1" x14ac:dyDescent="0.25">
      <c r="A122" s="43">
        <v>21</v>
      </c>
      <c r="B122" s="43" t="s">
        <v>9</v>
      </c>
      <c r="C122" s="43" t="s">
        <v>1390</v>
      </c>
      <c r="D122" s="43" t="s">
        <v>1396</v>
      </c>
      <c r="E122" s="43" t="s">
        <v>1397</v>
      </c>
      <c r="F122" s="43">
        <v>1</v>
      </c>
      <c r="G122"/>
      <c r="H122"/>
    </row>
    <row r="123" spans="1:8" hidden="1" x14ac:dyDescent="0.25">
      <c r="A123" s="43">
        <v>21</v>
      </c>
      <c r="B123" s="43" t="s">
        <v>9</v>
      </c>
      <c r="C123" s="43" t="s">
        <v>1390</v>
      </c>
      <c r="D123" s="43" t="s">
        <v>1398</v>
      </c>
      <c r="E123" s="43" t="s">
        <v>493</v>
      </c>
      <c r="F123" s="43">
        <v>1</v>
      </c>
      <c r="G123"/>
      <c r="H123"/>
    </row>
    <row r="124" spans="1:8" hidden="1" x14ac:dyDescent="0.25">
      <c r="A124" s="43">
        <v>21</v>
      </c>
      <c r="B124" s="43" t="s">
        <v>9</v>
      </c>
      <c r="C124" s="43" t="s">
        <v>1390</v>
      </c>
      <c r="D124" s="43" t="s">
        <v>1402</v>
      </c>
      <c r="E124" s="43" t="s">
        <v>1403</v>
      </c>
      <c r="F124" s="43">
        <v>1</v>
      </c>
      <c r="G124"/>
      <c r="H124"/>
    </row>
    <row r="125" spans="1:8" hidden="1" x14ac:dyDescent="0.25">
      <c r="A125" s="43">
        <v>21</v>
      </c>
      <c r="B125" s="43" t="s">
        <v>9</v>
      </c>
      <c r="C125" s="43" t="s">
        <v>1390</v>
      </c>
      <c r="D125" s="43" t="s">
        <v>1415</v>
      </c>
      <c r="E125" s="43" t="s">
        <v>611</v>
      </c>
      <c r="F125" s="43">
        <v>0</v>
      </c>
      <c r="G125" s="43" t="s">
        <v>4583</v>
      </c>
      <c r="H125"/>
    </row>
    <row r="126" spans="1:8" hidden="1" x14ac:dyDescent="0.25">
      <c r="A126" s="43">
        <v>21</v>
      </c>
      <c r="B126" s="43" t="s">
        <v>9</v>
      </c>
      <c r="C126" s="43" t="s">
        <v>1390</v>
      </c>
      <c r="D126" s="43" t="s">
        <v>1416</v>
      </c>
      <c r="E126" s="43" t="s">
        <v>612</v>
      </c>
      <c r="F126" s="43">
        <v>0</v>
      </c>
      <c r="G126" s="43" t="s">
        <v>4583</v>
      </c>
      <c r="H126"/>
    </row>
    <row r="127" spans="1:8" hidden="1" x14ac:dyDescent="0.25">
      <c r="A127" s="43">
        <v>21</v>
      </c>
      <c r="B127" s="43" t="s">
        <v>9</v>
      </c>
      <c r="C127" s="43" t="s">
        <v>1390</v>
      </c>
      <c r="D127" s="43" t="s">
        <v>1417</v>
      </c>
      <c r="E127" s="43" t="s">
        <v>613</v>
      </c>
      <c r="F127" s="43">
        <v>0</v>
      </c>
      <c r="G127" s="43" t="s">
        <v>4583</v>
      </c>
      <c r="H127"/>
    </row>
    <row r="128" spans="1:8" hidden="1" x14ac:dyDescent="0.25">
      <c r="A128" s="43">
        <v>21</v>
      </c>
      <c r="B128" s="43" t="s">
        <v>9</v>
      </c>
      <c r="C128" s="43" t="s">
        <v>1390</v>
      </c>
      <c r="D128" s="43" t="s">
        <v>1418</v>
      </c>
      <c r="E128" s="43" t="s">
        <v>1419</v>
      </c>
      <c r="F128" s="43">
        <v>1</v>
      </c>
      <c r="G128"/>
      <c r="H128"/>
    </row>
    <row r="129" spans="1:8" hidden="1" x14ac:dyDescent="0.25">
      <c r="A129" s="43">
        <v>21</v>
      </c>
      <c r="B129" s="43" t="s">
        <v>9</v>
      </c>
      <c r="C129" s="43" t="s">
        <v>1390</v>
      </c>
      <c r="D129" s="43" t="s">
        <v>1420</v>
      </c>
      <c r="E129" s="43" t="s">
        <v>621</v>
      </c>
      <c r="F129" s="43">
        <v>0</v>
      </c>
      <c r="G129" s="43" t="s">
        <v>4583</v>
      </c>
      <c r="H129"/>
    </row>
    <row r="130" spans="1:8" hidden="1" x14ac:dyDescent="0.25">
      <c r="A130" s="43">
        <v>21</v>
      </c>
      <c r="B130" s="43" t="s">
        <v>9</v>
      </c>
      <c r="C130" s="43" t="s">
        <v>1390</v>
      </c>
      <c r="D130" s="43" t="s">
        <v>1421</v>
      </c>
      <c r="E130" s="43" t="s">
        <v>1422</v>
      </c>
      <c r="F130" s="43">
        <v>0</v>
      </c>
      <c r="G130" s="43" t="s">
        <v>4583</v>
      </c>
      <c r="H130"/>
    </row>
    <row r="131" spans="1:8" hidden="1" x14ac:dyDescent="0.25">
      <c r="A131" s="43">
        <v>21</v>
      </c>
      <c r="B131" s="43" t="s">
        <v>9</v>
      </c>
      <c r="C131" s="43" t="s">
        <v>1390</v>
      </c>
      <c r="D131" s="43" t="s">
        <v>1423</v>
      </c>
      <c r="E131" s="43" t="s">
        <v>614</v>
      </c>
      <c r="F131" s="43">
        <v>0</v>
      </c>
      <c r="G131" s="43" t="s">
        <v>4583</v>
      </c>
      <c r="H131"/>
    </row>
    <row r="132" spans="1:8" hidden="1" x14ac:dyDescent="0.25">
      <c r="A132" s="43">
        <v>21</v>
      </c>
      <c r="B132" s="43" t="s">
        <v>9</v>
      </c>
      <c r="C132" s="43" t="s">
        <v>1390</v>
      </c>
      <c r="D132" s="43" t="s">
        <v>1424</v>
      </c>
      <c r="E132" s="43" t="s">
        <v>615</v>
      </c>
      <c r="F132" s="43">
        <v>0</v>
      </c>
      <c r="G132" s="43" t="s">
        <v>4583</v>
      </c>
      <c r="H132"/>
    </row>
    <row r="133" spans="1:8" hidden="1" x14ac:dyDescent="0.25">
      <c r="A133" s="43">
        <v>21</v>
      </c>
      <c r="B133" s="43" t="s">
        <v>9</v>
      </c>
      <c r="C133" s="43" t="s">
        <v>1390</v>
      </c>
      <c r="D133" s="43" t="s">
        <v>1425</v>
      </c>
      <c r="E133" s="43" t="s">
        <v>616</v>
      </c>
      <c r="F133" s="43">
        <v>1</v>
      </c>
      <c r="G133"/>
      <c r="H133"/>
    </row>
    <row r="134" spans="1:8" hidden="1" x14ac:dyDescent="0.25">
      <c r="A134" s="43">
        <v>21</v>
      </c>
      <c r="B134" s="43" t="s">
        <v>9</v>
      </c>
      <c r="C134" s="43" t="s">
        <v>1390</v>
      </c>
      <c r="D134" s="43" t="s">
        <v>1426</v>
      </c>
      <c r="E134" s="43" t="s">
        <v>617</v>
      </c>
      <c r="F134" s="43">
        <v>0</v>
      </c>
      <c r="G134" s="43" t="s">
        <v>4583</v>
      </c>
      <c r="H134"/>
    </row>
    <row r="135" spans="1:8" hidden="1" x14ac:dyDescent="0.25">
      <c r="A135" s="43">
        <v>21</v>
      </c>
      <c r="B135" s="43" t="s">
        <v>9</v>
      </c>
      <c r="C135" s="43" t="s">
        <v>1390</v>
      </c>
      <c r="D135" s="43" t="s">
        <v>1427</v>
      </c>
      <c r="E135" s="43" t="s">
        <v>1428</v>
      </c>
      <c r="F135" s="43">
        <v>0</v>
      </c>
      <c r="G135" s="43" t="s">
        <v>4583</v>
      </c>
      <c r="H135"/>
    </row>
    <row r="136" spans="1:8" hidden="1" x14ac:dyDescent="0.25">
      <c r="A136" s="43">
        <v>21</v>
      </c>
      <c r="B136" s="43" t="s">
        <v>9</v>
      </c>
      <c r="C136" s="43" t="s">
        <v>1390</v>
      </c>
      <c r="D136" s="43" t="s">
        <v>1429</v>
      </c>
      <c r="E136" s="43" t="s">
        <v>1430</v>
      </c>
      <c r="F136" s="43">
        <v>1</v>
      </c>
      <c r="G136"/>
      <c r="H136"/>
    </row>
    <row r="137" spans="1:8" hidden="1" x14ac:dyDescent="0.25">
      <c r="A137" s="43">
        <v>21</v>
      </c>
      <c r="B137" s="43" t="s">
        <v>9</v>
      </c>
      <c r="C137" s="43" t="s">
        <v>1390</v>
      </c>
      <c r="D137" s="43" t="s">
        <v>1431</v>
      </c>
      <c r="E137" s="43" t="s">
        <v>4469</v>
      </c>
      <c r="F137" s="43">
        <v>0</v>
      </c>
      <c r="G137" s="43" t="s">
        <v>4583</v>
      </c>
      <c r="H137"/>
    </row>
    <row r="138" spans="1:8" hidden="1" x14ac:dyDescent="0.25">
      <c r="A138" s="43">
        <v>21</v>
      </c>
      <c r="B138" s="43" t="s">
        <v>9</v>
      </c>
      <c r="C138" s="43" t="s">
        <v>1390</v>
      </c>
      <c r="D138" s="43" t="s">
        <v>1433</v>
      </c>
      <c r="E138" s="43" t="s">
        <v>623</v>
      </c>
      <c r="F138" s="43">
        <v>0</v>
      </c>
      <c r="G138" s="43" t="s">
        <v>4583</v>
      </c>
      <c r="H138"/>
    </row>
    <row r="139" spans="1:8" hidden="1" x14ac:dyDescent="0.25">
      <c r="A139" s="43">
        <v>21</v>
      </c>
      <c r="B139" s="43" t="s">
        <v>9</v>
      </c>
      <c r="C139" s="43" t="s">
        <v>1390</v>
      </c>
      <c r="D139" s="43" t="s">
        <v>1434</v>
      </c>
      <c r="E139" s="43" t="s">
        <v>624</v>
      </c>
      <c r="F139" s="43">
        <v>0</v>
      </c>
      <c r="G139" s="43" t="s">
        <v>4583</v>
      </c>
      <c r="H139"/>
    </row>
    <row r="140" spans="1:8" hidden="1" x14ac:dyDescent="0.25">
      <c r="A140" s="43">
        <v>21</v>
      </c>
      <c r="B140" s="43" t="s">
        <v>9</v>
      </c>
      <c r="C140" s="43" t="s">
        <v>1390</v>
      </c>
      <c r="D140" s="43" t="s">
        <v>1435</v>
      </c>
      <c r="E140" s="43" t="s">
        <v>625</v>
      </c>
      <c r="F140" s="43">
        <v>0</v>
      </c>
      <c r="G140" s="43" t="s">
        <v>4583</v>
      </c>
      <c r="H140"/>
    </row>
    <row r="141" spans="1:8" hidden="1" x14ac:dyDescent="0.25">
      <c r="A141" s="43">
        <v>27</v>
      </c>
      <c r="B141" s="43" t="s">
        <v>10</v>
      </c>
      <c r="C141" s="43" t="s">
        <v>636</v>
      </c>
      <c r="D141" s="43" t="s">
        <v>653</v>
      </c>
      <c r="E141" s="43" t="s">
        <v>438</v>
      </c>
      <c r="F141" s="43">
        <v>1</v>
      </c>
      <c r="G141"/>
      <c r="H141"/>
    </row>
    <row r="142" spans="1:8" hidden="1" x14ac:dyDescent="0.25">
      <c r="A142" s="43">
        <v>27</v>
      </c>
      <c r="B142" s="43" t="s">
        <v>10</v>
      </c>
      <c r="C142" s="43" t="s">
        <v>636</v>
      </c>
      <c r="D142" s="43" t="s">
        <v>654</v>
      </c>
      <c r="E142" s="43" t="s">
        <v>440</v>
      </c>
      <c r="F142" s="43">
        <v>0</v>
      </c>
      <c r="G142" s="43" t="s">
        <v>4583</v>
      </c>
      <c r="H142"/>
    </row>
    <row r="143" spans="1:8" hidden="1" x14ac:dyDescent="0.25">
      <c r="A143" s="43">
        <v>27</v>
      </c>
      <c r="B143" s="43" t="s">
        <v>10</v>
      </c>
      <c r="C143" s="43" t="s">
        <v>636</v>
      </c>
      <c r="D143" s="43" t="s">
        <v>637</v>
      </c>
      <c r="E143" s="43" t="s">
        <v>638</v>
      </c>
      <c r="F143" s="43">
        <v>1</v>
      </c>
      <c r="G143"/>
      <c r="H143"/>
    </row>
    <row r="144" spans="1:8" hidden="1" x14ac:dyDescent="0.25">
      <c r="A144" s="43">
        <v>27</v>
      </c>
      <c r="B144" s="43" t="s">
        <v>10</v>
      </c>
      <c r="C144" s="43" t="s">
        <v>636</v>
      </c>
      <c r="D144" s="43" t="s">
        <v>639</v>
      </c>
      <c r="E144" s="43" t="s">
        <v>640</v>
      </c>
      <c r="F144" s="43">
        <v>0</v>
      </c>
      <c r="G144" s="43" t="s">
        <v>4583</v>
      </c>
      <c r="H144"/>
    </row>
    <row r="145" spans="1:8" hidden="1" x14ac:dyDescent="0.25">
      <c r="A145" s="43">
        <v>27</v>
      </c>
      <c r="B145" s="43" t="s">
        <v>10</v>
      </c>
      <c r="C145" s="43" t="s">
        <v>636</v>
      </c>
      <c r="D145" s="43" t="s">
        <v>641</v>
      </c>
      <c r="E145" s="43" t="s">
        <v>642</v>
      </c>
      <c r="F145" s="43">
        <v>0</v>
      </c>
      <c r="G145" s="43" t="s">
        <v>4583</v>
      </c>
      <c r="H145"/>
    </row>
    <row r="146" spans="1:8" hidden="1" x14ac:dyDescent="0.25">
      <c r="A146" s="43">
        <v>27</v>
      </c>
      <c r="B146" s="43" t="s">
        <v>10</v>
      </c>
      <c r="C146" s="43" t="s">
        <v>636</v>
      </c>
      <c r="D146" s="43" t="s">
        <v>643</v>
      </c>
      <c r="E146" s="43" t="s">
        <v>644</v>
      </c>
      <c r="F146" s="43">
        <v>0</v>
      </c>
      <c r="G146" s="43" t="s">
        <v>4583</v>
      </c>
      <c r="H146"/>
    </row>
    <row r="147" spans="1:8" hidden="1" x14ac:dyDescent="0.25">
      <c r="A147" s="43">
        <v>27</v>
      </c>
      <c r="B147" s="43" t="s">
        <v>10</v>
      </c>
      <c r="C147" s="43" t="s">
        <v>636</v>
      </c>
      <c r="D147" s="43" t="s">
        <v>645</v>
      </c>
      <c r="E147" s="43" t="s">
        <v>646</v>
      </c>
      <c r="F147" s="43">
        <v>0</v>
      </c>
      <c r="G147" s="43" t="s">
        <v>4583</v>
      </c>
      <c r="H147"/>
    </row>
    <row r="148" spans="1:8" hidden="1" x14ac:dyDescent="0.25">
      <c r="A148" s="43">
        <v>27</v>
      </c>
      <c r="B148" s="43" t="s">
        <v>10</v>
      </c>
      <c r="C148" s="43" t="s">
        <v>636</v>
      </c>
      <c r="D148" s="43" t="s">
        <v>647</v>
      </c>
      <c r="E148" s="43" t="s">
        <v>648</v>
      </c>
      <c r="F148" s="43">
        <v>0</v>
      </c>
      <c r="G148" s="43" t="s">
        <v>4583</v>
      </c>
      <c r="H148"/>
    </row>
    <row r="149" spans="1:8" hidden="1" x14ac:dyDescent="0.25">
      <c r="A149" s="43">
        <v>27</v>
      </c>
      <c r="B149" s="43" t="s">
        <v>10</v>
      </c>
      <c r="C149" s="43" t="s">
        <v>636</v>
      </c>
      <c r="D149" s="43" t="s">
        <v>649</v>
      </c>
      <c r="E149" s="43" t="s">
        <v>650</v>
      </c>
      <c r="F149" s="43">
        <v>0</v>
      </c>
      <c r="G149" s="43" t="s">
        <v>4583</v>
      </c>
      <c r="H149"/>
    </row>
    <row r="150" spans="1:8" hidden="1" x14ac:dyDescent="0.25">
      <c r="A150" s="43">
        <v>27</v>
      </c>
      <c r="B150" s="43" t="s">
        <v>10</v>
      </c>
      <c r="C150" s="43" t="s">
        <v>636</v>
      </c>
      <c r="D150" s="43" t="s">
        <v>651</v>
      </c>
      <c r="E150" s="43" t="s">
        <v>652</v>
      </c>
      <c r="F150" s="43">
        <v>0</v>
      </c>
      <c r="G150" s="43" t="s">
        <v>4583</v>
      </c>
      <c r="H150"/>
    </row>
    <row r="151" spans="1:8" hidden="1" x14ac:dyDescent="0.25">
      <c r="A151" s="43">
        <v>27</v>
      </c>
      <c r="B151" s="43" t="s">
        <v>10</v>
      </c>
      <c r="C151" s="43" t="s">
        <v>636</v>
      </c>
      <c r="D151" s="43" t="s">
        <v>655</v>
      </c>
      <c r="E151" s="43" t="s">
        <v>656</v>
      </c>
      <c r="F151" s="43">
        <v>0</v>
      </c>
      <c r="G151" s="43" t="s">
        <v>4583</v>
      </c>
      <c r="H151"/>
    </row>
    <row r="152" spans="1:8" hidden="1" x14ac:dyDescent="0.25">
      <c r="A152" s="43">
        <v>27</v>
      </c>
      <c r="B152" s="43" t="s">
        <v>10</v>
      </c>
      <c r="C152" s="43" t="s">
        <v>636</v>
      </c>
      <c r="D152" s="43" t="s">
        <v>657</v>
      </c>
      <c r="E152" s="43" t="s">
        <v>658</v>
      </c>
      <c r="F152" s="43">
        <v>0</v>
      </c>
      <c r="G152" s="43" t="s">
        <v>4583</v>
      </c>
      <c r="H152"/>
    </row>
    <row r="153" spans="1:8" hidden="1" x14ac:dyDescent="0.25">
      <c r="A153" s="43">
        <v>27</v>
      </c>
      <c r="B153" s="43" t="s">
        <v>10</v>
      </c>
      <c r="C153" s="43" t="s">
        <v>1790</v>
      </c>
      <c r="D153" s="43" t="s">
        <v>1794</v>
      </c>
      <c r="E153" s="43" t="s">
        <v>786</v>
      </c>
      <c r="F153" s="43">
        <v>0</v>
      </c>
      <c r="G153" s="43" t="s">
        <v>4583</v>
      </c>
      <c r="H153"/>
    </row>
    <row r="154" spans="1:8" hidden="1" x14ac:dyDescent="0.25">
      <c r="A154" s="43">
        <v>27</v>
      </c>
      <c r="B154" s="43" t="s">
        <v>10</v>
      </c>
      <c r="C154" s="43" t="s">
        <v>1790</v>
      </c>
      <c r="D154" s="43" t="s">
        <v>1795</v>
      </c>
      <c r="E154" s="43" t="s">
        <v>784</v>
      </c>
      <c r="F154" s="43">
        <v>0</v>
      </c>
      <c r="G154" s="43" t="s">
        <v>4583</v>
      </c>
      <c r="H154"/>
    </row>
    <row r="155" spans="1:8" hidden="1" x14ac:dyDescent="0.25">
      <c r="A155" s="43">
        <v>27</v>
      </c>
      <c r="B155" s="43" t="s">
        <v>10</v>
      </c>
      <c r="C155" s="43" t="s">
        <v>1790</v>
      </c>
      <c r="D155" s="43" t="s">
        <v>1796</v>
      </c>
      <c r="E155" s="43" t="s">
        <v>1205</v>
      </c>
      <c r="F155" s="43">
        <v>0</v>
      </c>
      <c r="G155" s="43" t="s">
        <v>4583</v>
      </c>
      <c r="H155"/>
    </row>
    <row r="156" spans="1:8" hidden="1" x14ac:dyDescent="0.25">
      <c r="A156" s="43">
        <v>27</v>
      </c>
      <c r="B156" s="43" t="s">
        <v>10</v>
      </c>
      <c r="C156" s="43" t="s">
        <v>1790</v>
      </c>
      <c r="D156" s="43" t="s">
        <v>1797</v>
      </c>
      <c r="E156" s="43" t="s">
        <v>1207</v>
      </c>
      <c r="F156" s="43">
        <v>0</v>
      </c>
      <c r="G156" s="43" t="s">
        <v>4583</v>
      </c>
      <c r="H156"/>
    </row>
    <row r="157" spans="1:8" hidden="1" x14ac:dyDescent="0.25">
      <c r="A157" s="43">
        <v>27</v>
      </c>
      <c r="B157" s="43" t="s">
        <v>10</v>
      </c>
      <c r="C157" s="43" t="s">
        <v>1790</v>
      </c>
      <c r="D157" s="43" t="s">
        <v>1798</v>
      </c>
      <c r="E157" s="43" t="s">
        <v>1209</v>
      </c>
      <c r="F157" s="43">
        <v>0</v>
      </c>
      <c r="G157" s="43" t="s">
        <v>4583</v>
      </c>
      <c r="H157"/>
    </row>
    <row r="158" spans="1:8" hidden="1" x14ac:dyDescent="0.25">
      <c r="A158" s="43">
        <v>27</v>
      </c>
      <c r="B158" s="43" t="s">
        <v>10</v>
      </c>
      <c r="C158" s="43" t="s">
        <v>1790</v>
      </c>
      <c r="D158" s="43" t="s">
        <v>1799</v>
      </c>
      <c r="E158" s="43" t="s">
        <v>789</v>
      </c>
      <c r="F158" s="43">
        <v>0</v>
      </c>
      <c r="G158" s="43" t="s">
        <v>4583</v>
      </c>
      <c r="H158"/>
    </row>
    <row r="159" spans="1:8" hidden="1" x14ac:dyDescent="0.25">
      <c r="A159" s="43">
        <v>27</v>
      </c>
      <c r="B159" s="43" t="s">
        <v>10</v>
      </c>
      <c r="C159" s="43" t="s">
        <v>1790</v>
      </c>
      <c r="D159" s="43" t="s">
        <v>1800</v>
      </c>
      <c r="E159" s="43" t="s">
        <v>1214</v>
      </c>
      <c r="F159" s="43">
        <v>0</v>
      </c>
      <c r="G159" s="43" t="s">
        <v>4583</v>
      </c>
      <c r="H159"/>
    </row>
    <row r="160" spans="1:8" hidden="1" x14ac:dyDescent="0.25">
      <c r="A160" s="43">
        <v>27</v>
      </c>
      <c r="B160" s="43" t="s">
        <v>10</v>
      </c>
      <c r="C160" s="43" t="s">
        <v>1790</v>
      </c>
      <c r="D160" s="43" t="s">
        <v>1791</v>
      </c>
      <c r="E160" s="43" t="s">
        <v>273</v>
      </c>
      <c r="F160" s="43">
        <v>1</v>
      </c>
      <c r="G160"/>
      <c r="H160"/>
    </row>
    <row r="161" spans="1:8" hidden="1" x14ac:dyDescent="0.25">
      <c r="A161" s="43">
        <v>27</v>
      </c>
      <c r="B161" s="43" t="s">
        <v>10</v>
      </c>
      <c r="C161" s="43" t="s">
        <v>1790</v>
      </c>
      <c r="D161" s="43" t="s">
        <v>1792</v>
      </c>
      <c r="E161" s="43" t="s">
        <v>312</v>
      </c>
      <c r="F161" s="43">
        <v>0</v>
      </c>
      <c r="G161" s="43" t="s">
        <v>4583</v>
      </c>
      <c r="H161"/>
    </row>
    <row r="162" spans="1:8" hidden="1" x14ac:dyDescent="0.25">
      <c r="A162" s="43">
        <v>27</v>
      </c>
      <c r="B162" s="43" t="s">
        <v>10</v>
      </c>
      <c r="C162" s="43" t="s">
        <v>1790</v>
      </c>
      <c r="D162" s="43" t="s">
        <v>1793</v>
      </c>
      <c r="E162" s="43" t="s">
        <v>801</v>
      </c>
      <c r="F162" s="43">
        <v>0</v>
      </c>
      <c r="G162" s="43" t="s">
        <v>4583</v>
      </c>
      <c r="H162"/>
    </row>
    <row r="163" spans="1:8" hidden="1" x14ac:dyDescent="0.25">
      <c r="A163" s="43">
        <v>27</v>
      </c>
      <c r="B163" s="43" t="s">
        <v>10</v>
      </c>
      <c r="C163" s="43" t="s">
        <v>1790</v>
      </c>
      <c r="D163" s="43" t="s">
        <v>1804</v>
      </c>
      <c r="E163" s="43" t="s">
        <v>372</v>
      </c>
      <c r="F163" s="43">
        <v>0</v>
      </c>
      <c r="G163" s="43" t="s">
        <v>4583</v>
      </c>
      <c r="H163"/>
    </row>
    <row r="164" spans="1:8" hidden="1" x14ac:dyDescent="0.25">
      <c r="A164" s="43">
        <v>27</v>
      </c>
      <c r="B164" s="43" t="s">
        <v>10</v>
      </c>
      <c r="C164" s="43" t="s">
        <v>1790</v>
      </c>
      <c r="D164" s="43" t="s">
        <v>1805</v>
      </c>
      <c r="E164" s="43" t="s">
        <v>1806</v>
      </c>
      <c r="F164" s="43">
        <v>0</v>
      </c>
      <c r="G164" s="43" t="s">
        <v>4583</v>
      </c>
      <c r="H164"/>
    </row>
    <row r="165" spans="1:8" hidden="1" x14ac:dyDescent="0.25">
      <c r="A165" s="43">
        <v>27</v>
      </c>
      <c r="B165" s="43" t="s">
        <v>10</v>
      </c>
      <c r="C165" s="43" t="s">
        <v>1790</v>
      </c>
      <c r="D165" s="43" t="s">
        <v>1807</v>
      </c>
      <c r="E165" s="43" t="s">
        <v>1808</v>
      </c>
      <c r="F165" s="43">
        <v>0</v>
      </c>
      <c r="G165" s="43" t="s">
        <v>4583</v>
      </c>
      <c r="H165"/>
    </row>
    <row r="166" spans="1:8" hidden="1" x14ac:dyDescent="0.25">
      <c r="A166" s="43">
        <v>27</v>
      </c>
      <c r="B166" s="43" t="s">
        <v>10</v>
      </c>
      <c r="C166" s="43" t="s">
        <v>1790</v>
      </c>
      <c r="D166" s="43" t="s">
        <v>1801</v>
      </c>
      <c r="E166" s="43" t="s">
        <v>1784</v>
      </c>
      <c r="F166" s="43">
        <v>0</v>
      </c>
      <c r="G166" s="43" t="s">
        <v>4583</v>
      </c>
      <c r="H166"/>
    </row>
    <row r="167" spans="1:8" hidden="1" x14ac:dyDescent="0.25">
      <c r="A167" s="43">
        <v>27</v>
      </c>
      <c r="B167" s="43" t="s">
        <v>10</v>
      </c>
      <c r="C167" s="43" t="s">
        <v>1790</v>
      </c>
      <c r="D167" s="43" t="s">
        <v>1802</v>
      </c>
      <c r="E167" s="43" t="s">
        <v>791</v>
      </c>
      <c r="F167" s="43">
        <v>0</v>
      </c>
      <c r="G167" s="43" t="s">
        <v>4583</v>
      </c>
      <c r="H167"/>
    </row>
    <row r="168" spans="1:8" hidden="1" x14ac:dyDescent="0.25">
      <c r="A168" s="43">
        <v>27</v>
      </c>
      <c r="B168" s="43" t="s">
        <v>10</v>
      </c>
      <c r="C168" s="43" t="s">
        <v>1790</v>
      </c>
      <c r="D168" s="43" t="s">
        <v>1803</v>
      </c>
      <c r="E168" s="43" t="s">
        <v>795</v>
      </c>
      <c r="F168" s="43">
        <v>1</v>
      </c>
      <c r="G168"/>
      <c r="H168"/>
    </row>
    <row r="169" spans="1:8" hidden="1" x14ac:dyDescent="0.25">
      <c r="A169" s="43">
        <v>28</v>
      </c>
      <c r="B169" s="43" t="s">
        <v>10</v>
      </c>
      <c r="C169" s="43" t="s">
        <v>636</v>
      </c>
      <c r="D169" s="43" t="s">
        <v>653</v>
      </c>
      <c r="E169" s="43" t="s">
        <v>438</v>
      </c>
      <c r="F169" s="43">
        <v>1</v>
      </c>
      <c r="G169"/>
      <c r="H169"/>
    </row>
    <row r="170" spans="1:8" hidden="1" x14ac:dyDescent="0.25">
      <c r="A170" s="43">
        <v>28</v>
      </c>
      <c r="B170" s="43" t="s">
        <v>10</v>
      </c>
      <c r="C170" s="43" t="s">
        <v>636</v>
      </c>
      <c r="D170" s="43" t="s">
        <v>654</v>
      </c>
      <c r="E170" s="43" t="s">
        <v>440</v>
      </c>
      <c r="F170" s="43">
        <v>0</v>
      </c>
      <c r="G170" s="43" t="s">
        <v>4583</v>
      </c>
      <c r="H170"/>
    </row>
    <row r="171" spans="1:8" hidden="1" x14ac:dyDescent="0.25">
      <c r="A171" s="43">
        <v>28</v>
      </c>
      <c r="B171" s="43" t="s">
        <v>10</v>
      </c>
      <c r="C171" s="43" t="s">
        <v>636</v>
      </c>
      <c r="D171" s="43" t="s">
        <v>637</v>
      </c>
      <c r="E171" s="43" t="s">
        <v>638</v>
      </c>
      <c r="F171" s="43">
        <v>1</v>
      </c>
      <c r="G171"/>
      <c r="H171"/>
    </row>
    <row r="172" spans="1:8" hidden="1" x14ac:dyDescent="0.25">
      <c r="A172" s="43">
        <v>28</v>
      </c>
      <c r="B172" s="43" t="s">
        <v>10</v>
      </c>
      <c r="C172" s="43" t="s">
        <v>636</v>
      </c>
      <c r="D172" s="43" t="s">
        <v>639</v>
      </c>
      <c r="E172" s="43" t="s">
        <v>640</v>
      </c>
      <c r="F172" s="43">
        <v>1</v>
      </c>
      <c r="G172"/>
      <c r="H172"/>
    </row>
    <row r="173" spans="1:8" hidden="1" x14ac:dyDescent="0.25">
      <c r="A173" s="43">
        <v>28</v>
      </c>
      <c r="B173" s="43" t="s">
        <v>10</v>
      </c>
      <c r="C173" s="43" t="s">
        <v>636</v>
      </c>
      <c r="D173" s="43" t="s">
        <v>641</v>
      </c>
      <c r="E173" s="43" t="s">
        <v>642</v>
      </c>
      <c r="F173" s="43">
        <v>0</v>
      </c>
      <c r="G173" s="43" t="s">
        <v>4583</v>
      </c>
      <c r="H173"/>
    </row>
    <row r="174" spans="1:8" hidden="1" x14ac:dyDescent="0.25">
      <c r="A174" s="43">
        <v>28</v>
      </c>
      <c r="B174" s="43" t="s">
        <v>10</v>
      </c>
      <c r="C174" s="43" t="s">
        <v>636</v>
      </c>
      <c r="D174" s="43" t="s">
        <v>643</v>
      </c>
      <c r="E174" s="43" t="s">
        <v>644</v>
      </c>
      <c r="F174" s="43">
        <v>0</v>
      </c>
      <c r="G174" s="43" t="s">
        <v>4583</v>
      </c>
      <c r="H174"/>
    </row>
    <row r="175" spans="1:8" hidden="1" x14ac:dyDescent="0.25">
      <c r="A175" s="43">
        <v>28</v>
      </c>
      <c r="B175" s="43" t="s">
        <v>10</v>
      </c>
      <c r="C175" s="43" t="s">
        <v>636</v>
      </c>
      <c r="D175" s="43" t="s">
        <v>645</v>
      </c>
      <c r="E175" s="43" t="s">
        <v>646</v>
      </c>
      <c r="F175" s="43">
        <v>0</v>
      </c>
      <c r="G175" s="43" t="s">
        <v>4583</v>
      </c>
      <c r="H175"/>
    </row>
    <row r="176" spans="1:8" hidden="1" x14ac:dyDescent="0.25">
      <c r="A176" s="43">
        <v>28</v>
      </c>
      <c r="B176" s="43" t="s">
        <v>10</v>
      </c>
      <c r="C176" s="43" t="s">
        <v>636</v>
      </c>
      <c r="D176" s="43" t="s">
        <v>647</v>
      </c>
      <c r="E176" s="43" t="s">
        <v>648</v>
      </c>
      <c r="F176" s="43">
        <v>0</v>
      </c>
      <c r="G176" s="43" t="s">
        <v>4583</v>
      </c>
      <c r="H176"/>
    </row>
    <row r="177" spans="1:8" hidden="1" x14ac:dyDescent="0.25">
      <c r="A177" s="43">
        <v>28</v>
      </c>
      <c r="B177" s="43" t="s">
        <v>10</v>
      </c>
      <c r="C177" s="43" t="s">
        <v>636</v>
      </c>
      <c r="D177" s="43" t="s">
        <v>649</v>
      </c>
      <c r="E177" s="43" t="s">
        <v>650</v>
      </c>
      <c r="F177" s="43">
        <v>0</v>
      </c>
      <c r="G177" s="43" t="s">
        <v>4583</v>
      </c>
      <c r="H177"/>
    </row>
    <row r="178" spans="1:8" hidden="1" x14ac:dyDescent="0.25">
      <c r="A178" s="43">
        <v>28</v>
      </c>
      <c r="B178" s="43" t="s">
        <v>10</v>
      </c>
      <c r="C178" s="43" t="s">
        <v>636</v>
      </c>
      <c r="D178" s="43" t="s">
        <v>651</v>
      </c>
      <c r="E178" s="43" t="s">
        <v>652</v>
      </c>
      <c r="F178" s="43">
        <v>0</v>
      </c>
      <c r="G178" s="43" t="s">
        <v>4583</v>
      </c>
      <c r="H178"/>
    </row>
    <row r="179" spans="1:8" hidden="1" x14ac:dyDescent="0.25">
      <c r="A179" s="43">
        <v>28</v>
      </c>
      <c r="B179" s="43" t="s">
        <v>10</v>
      </c>
      <c r="C179" s="43" t="s">
        <v>636</v>
      </c>
      <c r="D179" s="43" t="s">
        <v>655</v>
      </c>
      <c r="E179" s="43" t="s">
        <v>656</v>
      </c>
      <c r="F179" s="43">
        <v>0</v>
      </c>
      <c r="G179" s="43" t="s">
        <v>4583</v>
      </c>
      <c r="H179"/>
    </row>
    <row r="180" spans="1:8" hidden="1" x14ac:dyDescent="0.25">
      <c r="A180" s="43">
        <v>28</v>
      </c>
      <c r="B180" s="43" t="s">
        <v>10</v>
      </c>
      <c r="C180" s="43" t="s">
        <v>636</v>
      </c>
      <c r="D180" s="43" t="s">
        <v>657</v>
      </c>
      <c r="E180" s="43" t="s">
        <v>658</v>
      </c>
      <c r="F180" s="43">
        <v>0</v>
      </c>
      <c r="G180" s="43" t="s">
        <v>4583</v>
      </c>
      <c r="H180"/>
    </row>
    <row r="181" spans="1:8" hidden="1" x14ac:dyDescent="0.25">
      <c r="A181" s="43">
        <v>28</v>
      </c>
      <c r="B181" s="43" t="s">
        <v>10</v>
      </c>
      <c r="C181" s="43" t="s">
        <v>1790</v>
      </c>
      <c r="D181" s="43" t="s">
        <v>1794</v>
      </c>
      <c r="E181" s="43" t="s">
        <v>786</v>
      </c>
      <c r="F181" s="43">
        <v>0</v>
      </c>
      <c r="G181" s="43" t="s">
        <v>4583</v>
      </c>
      <c r="H181"/>
    </row>
    <row r="182" spans="1:8" hidden="1" x14ac:dyDescent="0.25">
      <c r="A182" s="43">
        <v>28</v>
      </c>
      <c r="B182" s="43" t="s">
        <v>10</v>
      </c>
      <c r="C182" s="43" t="s">
        <v>1790</v>
      </c>
      <c r="D182" s="43" t="s">
        <v>1795</v>
      </c>
      <c r="E182" s="43" t="s">
        <v>784</v>
      </c>
      <c r="F182" s="43">
        <v>0</v>
      </c>
      <c r="G182" s="43" t="s">
        <v>4583</v>
      </c>
      <c r="H182"/>
    </row>
    <row r="183" spans="1:8" hidden="1" x14ac:dyDescent="0.25">
      <c r="A183" s="43">
        <v>28</v>
      </c>
      <c r="B183" s="43" t="s">
        <v>10</v>
      </c>
      <c r="C183" s="43" t="s">
        <v>1790</v>
      </c>
      <c r="D183" s="43" t="s">
        <v>1796</v>
      </c>
      <c r="E183" s="43" t="s">
        <v>1205</v>
      </c>
      <c r="F183" s="43">
        <v>0</v>
      </c>
      <c r="G183" s="43" t="s">
        <v>4583</v>
      </c>
      <c r="H183"/>
    </row>
    <row r="184" spans="1:8" hidden="1" x14ac:dyDescent="0.25">
      <c r="A184" s="43">
        <v>28</v>
      </c>
      <c r="B184" s="43" t="s">
        <v>10</v>
      </c>
      <c r="C184" s="43" t="s">
        <v>1790</v>
      </c>
      <c r="D184" s="43" t="s">
        <v>1797</v>
      </c>
      <c r="E184" s="43" t="s">
        <v>1207</v>
      </c>
      <c r="F184" s="43">
        <v>0</v>
      </c>
      <c r="G184" s="43" t="s">
        <v>4583</v>
      </c>
      <c r="H184"/>
    </row>
    <row r="185" spans="1:8" hidden="1" x14ac:dyDescent="0.25">
      <c r="A185" s="43">
        <v>28</v>
      </c>
      <c r="B185" s="43" t="s">
        <v>10</v>
      </c>
      <c r="C185" s="43" t="s">
        <v>1790</v>
      </c>
      <c r="D185" s="43" t="s">
        <v>1798</v>
      </c>
      <c r="E185" s="43" t="s">
        <v>1209</v>
      </c>
      <c r="F185" s="43">
        <v>0</v>
      </c>
      <c r="G185" s="43" t="s">
        <v>4583</v>
      </c>
      <c r="H185"/>
    </row>
    <row r="186" spans="1:8" hidden="1" x14ac:dyDescent="0.25">
      <c r="A186" s="43">
        <v>28</v>
      </c>
      <c r="B186" s="43" t="s">
        <v>10</v>
      </c>
      <c r="C186" s="43" t="s">
        <v>1790</v>
      </c>
      <c r="D186" s="43" t="s">
        <v>1791</v>
      </c>
      <c r="E186" s="43" t="s">
        <v>273</v>
      </c>
      <c r="F186" s="43">
        <v>1</v>
      </c>
      <c r="G186"/>
      <c r="H186"/>
    </row>
    <row r="187" spans="1:8" hidden="1" x14ac:dyDescent="0.25">
      <c r="A187" s="43">
        <v>28</v>
      </c>
      <c r="B187" s="43" t="s">
        <v>10</v>
      </c>
      <c r="C187" s="43" t="s">
        <v>1790</v>
      </c>
      <c r="D187" s="43" t="s">
        <v>1792</v>
      </c>
      <c r="E187" s="43" t="s">
        <v>312</v>
      </c>
      <c r="F187" s="43">
        <v>0</v>
      </c>
      <c r="G187" s="43" t="s">
        <v>4583</v>
      </c>
      <c r="H187"/>
    </row>
    <row r="188" spans="1:8" hidden="1" x14ac:dyDescent="0.25">
      <c r="A188" s="43">
        <v>28</v>
      </c>
      <c r="B188" s="43" t="s">
        <v>10</v>
      </c>
      <c r="C188" s="43" t="s">
        <v>1790</v>
      </c>
      <c r="D188" s="43" t="s">
        <v>1791</v>
      </c>
      <c r="E188" s="43" t="s">
        <v>801</v>
      </c>
      <c r="F188" s="43">
        <v>0</v>
      </c>
      <c r="G188" s="43" t="s">
        <v>4583</v>
      </c>
      <c r="H188"/>
    </row>
    <row r="189" spans="1:8" hidden="1" x14ac:dyDescent="0.25">
      <c r="A189" s="43">
        <v>28</v>
      </c>
      <c r="B189" s="43" t="s">
        <v>10</v>
      </c>
      <c r="C189" s="43" t="s">
        <v>1790</v>
      </c>
      <c r="D189" s="43" t="s">
        <v>1804</v>
      </c>
      <c r="E189" s="43" t="s">
        <v>372</v>
      </c>
      <c r="F189" s="43">
        <v>0</v>
      </c>
      <c r="G189" s="43" t="s">
        <v>4583</v>
      </c>
      <c r="H189"/>
    </row>
    <row r="190" spans="1:8" hidden="1" x14ac:dyDescent="0.25">
      <c r="A190" s="43">
        <v>28</v>
      </c>
      <c r="B190" s="43" t="s">
        <v>10</v>
      </c>
      <c r="C190" s="43" t="s">
        <v>1790</v>
      </c>
      <c r="D190" s="43" t="s">
        <v>1793</v>
      </c>
      <c r="E190" s="43" t="s">
        <v>1806</v>
      </c>
      <c r="F190" s="43">
        <v>0</v>
      </c>
      <c r="G190" s="43" t="s">
        <v>4583</v>
      </c>
      <c r="H190"/>
    </row>
    <row r="191" spans="1:8" hidden="1" x14ac:dyDescent="0.25">
      <c r="A191" s="43">
        <v>28</v>
      </c>
      <c r="B191" s="43" t="s">
        <v>10</v>
      </c>
      <c r="C191" s="43" t="s">
        <v>1790</v>
      </c>
      <c r="D191" s="43" t="s">
        <v>1807</v>
      </c>
      <c r="E191" s="43" t="s">
        <v>1808</v>
      </c>
      <c r="F191" s="43">
        <v>0</v>
      </c>
      <c r="G191" s="43" t="s">
        <v>4583</v>
      </c>
      <c r="H191"/>
    </row>
    <row r="192" spans="1:8" hidden="1" x14ac:dyDescent="0.25">
      <c r="A192" s="43">
        <v>28</v>
      </c>
      <c r="B192" s="43" t="s">
        <v>10</v>
      </c>
      <c r="C192" s="43" t="s">
        <v>1790</v>
      </c>
      <c r="D192" s="43" t="s">
        <v>1801</v>
      </c>
      <c r="E192" s="43" t="s">
        <v>1784</v>
      </c>
      <c r="F192" s="43">
        <v>0</v>
      </c>
      <c r="G192" s="43" t="s">
        <v>4583</v>
      </c>
      <c r="H192"/>
    </row>
    <row r="193" spans="1:8" hidden="1" x14ac:dyDescent="0.25">
      <c r="A193" s="43">
        <v>28</v>
      </c>
      <c r="B193" s="43" t="s">
        <v>10</v>
      </c>
      <c r="C193" s="43" t="s">
        <v>1790</v>
      </c>
      <c r="D193" s="43" t="s">
        <v>1802</v>
      </c>
      <c r="E193" s="43" t="s">
        <v>791</v>
      </c>
      <c r="F193" s="43">
        <v>0</v>
      </c>
      <c r="G193" s="43" t="s">
        <v>4583</v>
      </c>
      <c r="H193"/>
    </row>
    <row r="194" spans="1:8" hidden="1" x14ac:dyDescent="0.25">
      <c r="A194" s="43">
        <v>28</v>
      </c>
      <c r="B194" s="43" t="s">
        <v>10</v>
      </c>
      <c r="C194" s="43" t="s">
        <v>1790</v>
      </c>
      <c r="D194" s="43" t="s">
        <v>1803</v>
      </c>
      <c r="E194" s="43" t="s">
        <v>795</v>
      </c>
      <c r="F194" s="43">
        <v>1</v>
      </c>
      <c r="G194"/>
      <c r="H194"/>
    </row>
    <row r="195" spans="1:8" hidden="1" x14ac:dyDescent="0.25">
      <c r="A195" s="43">
        <v>29</v>
      </c>
      <c r="B195" s="43" t="s">
        <v>11</v>
      </c>
      <c r="C195" s="43" t="s">
        <v>818</v>
      </c>
      <c r="D195" s="43" t="s">
        <v>826</v>
      </c>
      <c r="E195" s="43" t="s">
        <v>827</v>
      </c>
      <c r="F195" s="43">
        <v>1</v>
      </c>
      <c r="G195"/>
      <c r="H195"/>
    </row>
    <row r="196" spans="1:8" hidden="1" x14ac:dyDescent="0.25">
      <c r="A196" s="43">
        <v>29</v>
      </c>
      <c r="B196" s="43" t="s">
        <v>11</v>
      </c>
      <c r="C196" s="43" t="s">
        <v>818</v>
      </c>
      <c r="D196" s="43" t="s">
        <v>831</v>
      </c>
      <c r="E196" s="43" t="s">
        <v>832</v>
      </c>
      <c r="F196" s="43">
        <v>1</v>
      </c>
      <c r="G196"/>
      <c r="H196"/>
    </row>
    <row r="197" spans="1:8" hidden="1" x14ac:dyDescent="0.25">
      <c r="A197" s="43">
        <v>29</v>
      </c>
      <c r="B197" s="43" t="s">
        <v>11</v>
      </c>
      <c r="C197" s="43" t="s">
        <v>818</v>
      </c>
      <c r="D197" s="43" t="s">
        <v>833</v>
      </c>
      <c r="E197" s="43" t="s">
        <v>834</v>
      </c>
      <c r="F197" s="43">
        <v>1</v>
      </c>
      <c r="G197"/>
      <c r="H197"/>
    </row>
    <row r="198" spans="1:8" hidden="1" x14ac:dyDescent="0.25">
      <c r="A198" s="43">
        <v>29</v>
      </c>
      <c r="B198" s="43" t="s">
        <v>11</v>
      </c>
      <c r="C198" s="43" t="s">
        <v>818</v>
      </c>
      <c r="D198" s="43" t="s">
        <v>845</v>
      </c>
      <c r="E198" s="43" t="s">
        <v>846</v>
      </c>
      <c r="F198" s="43">
        <v>0</v>
      </c>
      <c r="G198" s="43" t="s">
        <v>4583</v>
      </c>
      <c r="H198"/>
    </row>
    <row r="199" spans="1:8" hidden="1" x14ac:dyDescent="0.25">
      <c r="A199" s="43">
        <v>29</v>
      </c>
      <c r="B199" s="43" t="s">
        <v>11</v>
      </c>
      <c r="C199" s="43" t="s">
        <v>818</v>
      </c>
      <c r="D199" s="43" t="s">
        <v>847</v>
      </c>
      <c r="E199" s="43" t="s">
        <v>848</v>
      </c>
      <c r="F199" s="43">
        <v>1</v>
      </c>
      <c r="G199"/>
      <c r="H199"/>
    </row>
    <row r="200" spans="1:8" hidden="1" x14ac:dyDescent="0.25">
      <c r="A200" s="43">
        <v>29</v>
      </c>
      <c r="B200" s="43" t="s">
        <v>11</v>
      </c>
      <c r="C200" s="43" t="s">
        <v>818</v>
      </c>
      <c r="D200" s="43" t="s">
        <v>849</v>
      </c>
      <c r="E200" s="43" t="s">
        <v>850</v>
      </c>
      <c r="F200" s="43">
        <v>1</v>
      </c>
      <c r="G200"/>
      <c r="H200"/>
    </row>
    <row r="201" spans="1:8" hidden="1" x14ac:dyDescent="0.25">
      <c r="A201" s="43">
        <v>29</v>
      </c>
      <c r="B201" s="43" t="s">
        <v>11</v>
      </c>
      <c r="C201" s="43" t="s">
        <v>818</v>
      </c>
      <c r="D201" s="43" t="s">
        <v>835</v>
      </c>
      <c r="E201" s="43" t="s">
        <v>836</v>
      </c>
      <c r="F201" s="43">
        <v>1</v>
      </c>
      <c r="G201"/>
      <c r="H201"/>
    </row>
    <row r="202" spans="1:8" hidden="1" x14ac:dyDescent="0.25">
      <c r="A202" s="43">
        <v>29</v>
      </c>
      <c r="B202" s="43" t="s">
        <v>11</v>
      </c>
      <c r="C202" s="43" t="s">
        <v>818</v>
      </c>
      <c r="D202" s="43" t="s">
        <v>837</v>
      </c>
      <c r="E202" s="43" t="s">
        <v>838</v>
      </c>
      <c r="F202" s="43">
        <v>0</v>
      </c>
      <c r="G202" s="43" t="s">
        <v>4583</v>
      </c>
      <c r="H202"/>
    </row>
    <row r="203" spans="1:8" hidden="1" x14ac:dyDescent="0.25">
      <c r="A203" s="43">
        <v>29</v>
      </c>
      <c r="B203" s="43" t="s">
        <v>11</v>
      </c>
      <c r="C203" s="43" t="s">
        <v>818</v>
      </c>
      <c r="D203" s="43" t="s">
        <v>839</v>
      </c>
      <c r="E203" s="43" t="s">
        <v>840</v>
      </c>
      <c r="F203" s="43">
        <v>1</v>
      </c>
      <c r="G203"/>
      <c r="H203"/>
    </row>
    <row r="204" spans="1:8" hidden="1" x14ac:dyDescent="0.25">
      <c r="A204" s="43">
        <v>29</v>
      </c>
      <c r="B204" s="43" t="s">
        <v>11</v>
      </c>
      <c r="C204" s="43" t="s">
        <v>818</v>
      </c>
      <c r="D204" s="43" t="s">
        <v>841</v>
      </c>
      <c r="E204" s="43" t="s">
        <v>842</v>
      </c>
      <c r="F204" s="43">
        <v>1</v>
      </c>
      <c r="G204"/>
      <c r="H204"/>
    </row>
    <row r="205" spans="1:8" hidden="1" x14ac:dyDescent="0.25">
      <c r="A205" s="43">
        <v>29</v>
      </c>
      <c r="B205" s="43" t="s">
        <v>11</v>
      </c>
      <c r="C205" s="43" t="s">
        <v>818</v>
      </c>
      <c r="D205" s="43" t="s">
        <v>819</v>
      </c>
      <c r="E205" s="43" t="s">
        <v>820</v>
      </c>
      <c r="F205" s="43">
        <v>1</v>
      </c>
      <c r="G205"/>
      <c r="H205"/>
    </row>
    <row r="206" spans="1:8" hidden="1" x14ac:dyDescent="0.25">
      <c r="A206" s="43">
        <v>29</v>
      </c>
      <c r="B206" s="43" t="s">
        <v>11</v>
      </c>
      <c r="C206" s="43" t="s">
        <v>818</v>
      </c>
      <c r="D206" s="43" t="s">
        <v>821</v>
      </c>
      <c r="E206" s="43" t="s">
        <v>822</v>
      </c>
      <c r="F206" s="43">
        <v>1</v>
      </c>
      <c r="G206"/>
      <c r="H206"/>
    </row>
    <row r="207" spans="1:8" hidden="1" x14ac:dyDescent="0.25">
      <c r="A207" s="43">
        <v>29</v>
      </c>
      <c r="B207" s="43" t="s">
        <v>11</v>
      </c>
      <c r="C207" s="43" t="s">
        <v>818</v>
      </c>
      <c r="D207" s="43" t="s">
        <v>823</v>
      </c>
      <c r="E207" s="43" t="s">
        <v>306</v>
      </c>
      <c r="F207" s="43">
        <v>1</v>
      </c>
      <c r="G207"/>
      <c r="H207"/>
    </row>
    <row r="208" spans="1:8" hidden="1" x14ac:dyDescent="0.25">
      <c r="A208" s="43">
        <v>29</v>
      </c>
      <c r="B208" s="43" t="s">
        <v>11</v>
      </c>
      <c r="C208" s="43" t="s">
        <v>818</v>
      </c>
      <c r="D208" s="43" t="s">
        <v>824</v>
      </c>
      <c r="E208" s="43" t="s">
        <v>825</v>
      </c>
      <c r="F208" s="43">
        <v>1</v>
      </c>
      <c r="G208"/>
      <c r="H208"/>
    </row>
    <row r="209" spans="1:8" hidden="1" x14ac:dyDescent="0.25">
      <c r="A209" s="43">
        <v>29</v>
      </c>
      <c r="B209" s="43" t="s">
        <v>11</v>
      </c>
      <c r="C209" s="43" t="s">
        <v>818</v>
      </c>
      <c r="D209" s="43" t="s">
        <v>855</v>
      </c>
      <c r="E209" s="43" t="s">
        <v>856</v>
      </c>
      <c r="F209" s="43">
        <v>1</v>
      </c>
      <c r="G209"/>
      <c r="H209"/>
    </row>
    <row r="210" spans="1:8" hidden="1" x14ac:dyDescent="0.25">
      <c r="A210" s="43">
        <v>29</v>
      </c>
      <c r="B210" s="43" t="s">
        <v>11</v>
      </c>
      <c r="C210" s="43" t="s">
        <v>818</v>
      </c>
      <c r="D210" s="43" t="s">
        <v>857</v>
      </c>
      <c r="E210" s="43" t="s">
        <v>858</v>
      </c>
      <c r="F210" s="43">
        <v>1</v>
      </c>
      <c r="G210"/>
      <c r="H210"/>
    </row>
    <row r="211" spans="1:8" hidden="1" x14ac:dyDescent="0.25">
      <c r="A211" s="43">
        <v>29</v>
      </c>
      <c r="B211" s="43" t="s">
        <v>11</v>
      </c>
      <c r="C211" s="43" t="s">
        <v>818</v>
      </c>
      <c r="D211" s="43" t="s">
        <v>851</v>
      </c>
      <c r="E211" s="43" t="s">
        <v>852</v>
      </c>
      <c r="F211" s="43">
        <v>0</v>
      </c>
      <c r="G211" s="43" t="s">
        <v>4583</v>
      </c>
      <c r="H211"/>
    </row>
    <row r="212" spans="1:8" hidden="1" x14ac:dyDescent="0.25">
      <c r="A212" s="43">
        <v>29</v>
      </c>
      <c r="B212" s="43" t="s">
        <v>11</v>
      </c>
      <c r="C212" s="43" t="s">
        <v>818</v>
      </c>
      <c r="D212" s="43" t="s">
        <v>853</v>
      </c>
      <c r="E212" s="43" t="s">
        <v>854</v>
      </c>
      <c r="F212" s="43">
        <v>0</v>
      </c>
      <c r="G212" s="43" t="s">
        <v>4583</v>
      </c>
      <c r="H212"/>
    </row>
    <row r="213" spans="1:8" hidden="1" x14ac:dyDescent="0.25">
      <c r="A213" s="43">
        <v>29</v>
      </c>
      <c r="B213" s="43" t="s">
        <v>11</v>
      </c>
      <c r="C213" s="43" t="s">
        <v>818</v>
      </c>
      <c r="D213" s="43" t="s">
        <v>828</v>
      </c>
      <c r="E213" s="43" t="s">
        <v>312</v>
      </c>
      <c r="F213" s="43">
        <v>1</v>
      </c>
      <c r="G213"/>
      <c r="H213"/>
    </row>
    <row r="214" spans="1:8" hidden="1" x14ac:dyDescent="0.25">
      <c r="A214" s="43">
        <v>29</v>
      </c>
      <c r="B214" s="43" t="s">
        <v>11</v>
      </c>
      <c r="C214" s="43" t="s">
        <v>818</v>
      </c>
      <c r="D214" s="43" t="s">
        <v>829</v>
      </c>
      <c r="E214" s="43" t="s">
        <v>316</v>
      </c>
      <c r="F214" s="43">
        <v>1</v>
      </c>
      <c r="G214"/>
      <c r="H214"/>
    </row>
    <row r="215" spans="1:8" hidden="1" x14ac:dyDescent="0.25">
      <c r="A215" s="43">
        <v>29</v>
      </c>
      <c r="B215" s="43" t="s">
        <v>11</v>
      </c>
      <c r="C215" s="43" t="s">
        <v>818</v>
      </c>
      <c r="D215" s="43" t="s">
        <v>830</v>
      </c>
      <c r="E215" s="43" t="s">
        <v>314</v>
      </c>
      <c r="F215" s="43">
        <v>1</v>
      </c>
      <c r="G215"/>
      <c r="H215"/>
    </row>
    <row r="216" spans="1:8" hidden="1" x14ac:dyDescent="0.25">
      <c r="A216" s="43">
        <v>29</v>
      </c>
      <c r="B216" s="43" t="s">
        <v>11</v>
      </c>
      <c r="C216" s="43" t="s">
        <v>818</v>
      </c>
      <c r="D216" s="43" t="s">
        <v>843</v>
      </c>
      <c r="E216" s="43" t="s">
        <v>844</v>
      </c>
      <c r="F216" s="43">
        <v>1</v>
      </c>
      <c r="G216"/>
      <c r="H216"/>
    </row>
    <row r="217" spans="1:8" hidden="1" x14ac:dyDescent="0.25">
      <c r="A217" s="43">
        <v>30</v>
      </c>
      <c r="B217" s="43" t="s">
        <v>12</v>
      </c>
      <c r="C217" s="43" t="s">
        <v>1155</v>
      </c>
      <c r="D217" s="43" t="s">
        <v>1157</v>
      </c>
      <c r="E217" s="43" t="s">
        <v>844</v>
      </c>
      <c r="F217" s="43">
        <v>1</v>
      </c>
      <c r="G217"/>
      <c r="H217"/>
    </row>
    <row r="218" spans="1:8" hidden="1" x14ac:dyDescent="0.25">
      <c r="A218" s="43">
        <v>30</v>
      </c>
      <c r="B218" s="43" t="s">
        <v>12</v>
      </c>
      <c r="C218" s="43" t="s">
        <v>1155</v>
      </c>
      <c r="D218" s="43" t="s">
        <v>1156</v>
      </c>
      <c r="E218" s="43" t="s">
        <v>273</v>
      </c>
      <c r="F218" s="43">
        <v>1</v>
      </c>
      <c r="G218"/>
      <c r="H218"/>
    </row>
    <row r="219" spans="1:8" hidden="1" x14ac:dyDescent="0.25">
      <c r="A219" s="43">
        <v>30</v>
      </c>
      <c r="B219" s="43" t="s">
        <v>12</v>
      </c>
      <c r="C219" s="43" t="s">
        <v>1155</v>
      </c>
      <c r="D219" s="43" t="s">
        <v>1158</v>
      </c>
      <c r="E219" s="43" t="s">
        <v>1159</v>
      </c>
      <c r="F219" s="43">
        <v>0</v>
      </c>
      <c r="G219" s="43" t="s">
        <v>4583</v>
      </c>
      <c r="H219"/>
    </row>
    <row r="220" spans="1:8" hidden="1" x14ac:dyDescent="0.25">
      <c r="A220" s="43">
        <v>30</v>
      </c>
      <c r="B220" s="43" t="s">
        <v>12</v>
      </c>
      <c r="C220" s="43" t="s">
        <v>1155</v>
      </c>
      <c r="D220" s="43" t="s">
        <v>1160</v>
      </c>
      <c r="E220" s="43" t="s">
        <v>1161</v>
      </c>
      <c r="F220" s="43">
        <v>0</v>
      </c>
      <c r="G220" s="43" t="s">
        <v>4583</v>
      </c>
      <c r="H220"/>
    </row>
    <row r="221" spans="1:8" hidden="1" x14ac:dyDescent="0.25">
      <c r="A221" s="43">
        <v>30</v>
      </c>
      <c r="B221" s="43" t="s">
        <v>12</v>
      </c>
      <c r="C221" s="43" t="s">
        <v>1155</v>
      </c>
      <c r="D221" s="43" t="s">
        <v>1162</v>
      </c>
      <c r="E221" s="43" t="s">
        <v>1163</v>
      </c>
      <c r="F221" s="43">
        <v>0</v>
      </c>
      <c r="G221" s="43" t="s">
        <v>4583</v>
      </c>
      <c r="H221"/>
    </row>
    <row r="222" spans="1:8" hidden="1" x14ac:dyDescent="0.25">
      <c r="A222" s="43">
        <v>30</v>
      </c>
      <c r="B222" s="43" t="s">
        <v>12</v>
      </c>
      <c r="C222" s="43" t="s">
        <v>1155</v>
      </c>
      <c r="D222" s="43" t="s">
        <v>1164</v>
      </c>
      <c r="E222" s="43" t="s">
        <v>1165</v>
      </c>
      <c r="F222" s="43">
        <v>0</v>
      </c>
      <c r="G222" s="43" t="s">
        <v>4583</v>
      </c>
      <c r="H222"/>
    </row>
    <row r="223" spans="1:8" hidden="1" x14ac:dyDescent="0.25">
      <c r="A223" s="43">
        <v>30</v>
      </c>
      <c r="B223" s="43" t="s">
        <v>12</v>
      </c>
      <c r="C223" s="43" t="s">
        <v>1155</v>
      </c>
      <c r="D223" s="43" t="s">
        <v>1166</v>
      </c>
      <c r="E223" s="43" t="s">
        <v>295</v>
      </c>
      <c r="F223" s="43">
        <v>1</v>
      </c>
      <c r="G223"/>
      <c r="H223"/>
    </row>
    <row r="224" spans="1:8" hidden="1" x14ac:dyDescent="0.25">
      <c r="A224" s="43">
        <v>30</v>
      </c>
      <c r="B224" s="43" t="s">
        <v>12</v>
      </c>
      <c r="C224" s="43" t="s">
        <v>1155</v>
      </c>
      <c r="D224" s="43" t="s">
        <v>1167</v>
      </c>
      <c r="E224" s="43" t="s">
        <v>1168</v>
      </c>
      <c r="F224" s="43">
        <v>1</v>
      </c>
      <c r="G224"/>
      <c r="H224"/>
    </row>
    <row r="225" spans="1:8" hidden="1" x14ac:dyDescent="0.25">
      <c r="A225" s="43">
        <v>35</v>
      </c>
      <c r="B225" s="43" t="s">
        <v>13</v>
      </c>
      <c r="C225" s="43" t="s">
        <v>818</v>
      </c>
      <c r="D225" s="43" t="s">
        <v>826</v>
      </c>
      <c r="E225" s="43" t="s">
        <v>827</v>
      </c>
      <c r="F225" s="43">
        <v>1</v>
      </c>
      <c r="G225"/>
      <c r="H225"/>
    </row>
    <row r="226" spans="1:8" hidden="1" x14ac:dyDescent="0.25">
      <c r="A226" s="43">
        <v>35</v>
      </c>
      <c r="B226" s="43" t="s">
        <v>13</v>
      </c>
      <c r="C226" s="43" t="s">
        <v>818</v>
      </c>
      <c r="D226" s="43" t="s">
        <v>831</v>
      </c>
      <c r="E226" s="43" t="s">
        <v>832</v>
      </c>
      <c r="F226" s="43">
        <v>1</v>
      </c>
      <c r="G226"/>
      <c r="H226"/>
    </row>
    <row r="227" spans="1:8" hidden="1" x14ac:dyDescent="0.25">
      <c r="A227" s="43">
        <v>35</v>
      </c>
      <c r="B227" s="43" t="s">
        <v>13</v>
      </c>
      <c r="C227" s="43" t="s">
        <v>818</v>
      </c>
      <c r="D227" s="43" t="s">
        <v>833</v>
      </c>
      <c r="E227" s="43" t="s">
        <v>834</v>
      </c>
      <c r="F227" s="43">
        <v>1</v>
      </c>
      <c r="G227"/>
      <c r="H227"/>
    </row>
    <row r="228" spans="1:8" hidden="1" x14ac:dyDescent="0.25">
      <c r="A228" s="43">
        <v>35</v>
      </c>
      <c r="B228" s="43" t="s">
        <v>13</v>
      </c>
      <c r="C228" s="43" t="s">
        <v>818</v>
      </c>
      <c r="D228" s="43" t="s">
        <v>845</v>
      </c>
      <c r="E228" s="43" t="s">
        <v>846</v>
      </c>
      <c r="F228" s="43">
        <v>1</v>
      </c>
      <c r="G228"/>
      <c r="H228"/>
    </row>
    <row r="229" spans="1:8" hidden="1" x14ac:dyDescent="0.25">
      <c r="A229" s="43">
        <v>35</v>
      </c>
      <c r="B229" s="43" t="s">
        <v>13</v>
      </c>
      <c r="C229" s="43" t="s">
        <v>818</v>
      </c>
      <c r="D229" s="43" t="s">
        <v>847</v>
      </c>
      <c r="E229" s="43" t="s">
        <v>848</v>
      </c>
      <c r="F229" s="43">
        <v>1</v>
      </c>
      <c r="G229"/>
      <c r="H229"/>
    </row>
    <row r="230" spans="1:8" hidden="1" x14ac:dyDescent="0.25">
      <c r="A230" s="43">
        <v>35</v>
      </c>
      <c r="B230" s="43" t="s">
        <v>13</v>
      </c>
      <c r="C230" s="43" t="s">
        <v>818</v>
      </c>
      <c r="D230" s="43" t="s">
        <v>849</v>
      </c>
      <c r="E230" s="43" t="s">
        <v>850</v>
      </c>
      <c r="F230" s="43">
        <v>1</v>
      </c>
      <c r="G230"/>
      <c r="H230"/>
    </row>
    <row r="231" spans="1:8" hidden="1" x14ac:dyDescent="0.25">
      <c r="A231" s="43">
        <v>35</v>
      </c>
      <c r="B231" s="43" t="s">
        <v>13</v>
      </c>
      <c r="C231" s="43" t="s">
        <v>818</v>
      </c>
      <c r="D231" s="43" t="s">
        <v>835</v>
      </c>
      <c r="E231" s="43" t="s">
        <v>836</v>
      </c>
      <c r="F231" s="43">
        <v>1</v>
      </c>
      <c r="G231"/>
      <c r="H231"/>
    </row>
    <row r="232" spans="1:8" hidden="1" x14ac:dyDescent="0.25">
      <c r="A232" s="43">
        <v>35</v>
      </c>
      <c r="B232" s="43" t="s">
        <v>13</v>
      </c>
      <c r="C232" s="43" t="s">
        <v>818</v>
      </c>
      <c r="D232" s="43" t="s">
        <v>837</v>
      </c>
      <c r="E232" s="43" t="s">
        <v>838</v>
      </c>
      <c r="F232" s="43">
        <v>1</v>
      </c>
      <c r="G232"/>
      <c r="H232"/>
    </row>
    <row r="233" spans="1:8" hidden="1" x14ac:dyDescent="0.25">
      <c r="A233" s="43">
        <v>35</v>
      </c>
      <c r="B233" s="43" t="s">
        <v>13</v>
      </c>
      <c r="C233" s="43" t="s">
        <v>818</v>
      </c>
      <c r="D233" s="43" t="s">
        <v>839</v>
      </c>
      <c r="E233" s="43" t="s">
        <v>840</v>
      </c>
      <c r="F233" s="43">
        <v>1</v>
      </c>
      <c r="G233"/>
      <c r="H233"/>
    </row>
    <row r="234" spans="1:8" hidden="1" x14ac:dyDescent="0.25">
      <c r="A234" s="43">
        <v>35</v>
      </c>
      <c r="B234" s="43" t="s">
        <v>13</v>
      </c>
      <c r="C234" s="43" t="s">
        <v>818</v>
      </c>
      <c r="D234" s="43" t="s">
        <v>841</v>
      </c>
      <c r="E234" s="43" t="s">
        <v>842</v>
      </c>
      <c r="F234" s="43">
        <v>1</v>
      </c>
      <c r="G234"/>
      <c r="H234"/>
    </row>
    <row r="235" spans="1:8" hidden="1" x14ac:dyDescent="0.25">
      <c r="A235" s="43">
        <v>35</v>
      </c>
      <c r="B235" s="43" t="s">
        <v>13</v>
      </c>
      <c r="C235" s="43" t="s">
        <v>818</v>
      </c>
      <c r="D235" s="43" t="s">
        <v>819</v>
      </c>
      <c r="E235" s="43" t="s">
        <v>820</v>
      </c>
      <c r="F235" s="43">
        <v>1</v>
      </c>
      <c r="G235"/>
      <c r="H235"/>
    </row>
    <row r="236" spans="1:8" hidden="1" x14ac:dyDescent="0.25">
      <c r="A236" s="43">
        <v>35</v>
      </c>
      <c r="B236" s="43" t="s">
        <v>13</v>
      </c>
      <c r="C236" s="43" t="s">
        <v>818</v>
      </c>
      <c r="D236" s="43" t="s">
        <v>821</v>
      </c>
      <c r="E236" s="43" t="s">
        <v>822</v>
      </c>
      <c r="F236" s="43">
        <v>1</v>
      </c>
      <c r="G236"/>
      <c r="H236"/>
    </row>
    <row r="237" spans="1:8" hidden="1" x14ac:dyDescent="0.25">
      <c r="A237" s="43">
        <v>35</v>
      </c>
      <c r="B237" s="43" t="s">
        <v>13</v>
      </c>
      <c r="C237" s="43" t="s">
        <v>818</v>
      </c>
      <c r="D237" s="43" t="s">
        <v>823</v>
      </c>
      <c r="E237" s="43" t="s">
        <v>306</v>
      </c>
      <c r="F237" s="43">
        <v>1</v>
      </c>
      <c r="G237"/>
      <c r="H237"/>
    </row>
    <row r="238" spans="1:8" hidden="1" x14ac:dyDescent="0.25">
      <c r="A238" s="43">
        <v>35</v>
      </c>
      <c r="B238" s="43" t="s">
        <v>13</v>
      </c>
      <c r="C238" s="43" t="s">
        <v>818</v>
      </c>
      <c r="D238" s="43" t="s">
        <v>824</v>
      </c>
      <c r="E238" s="43" t="s">
        <v>825</v>
      </c>
      <c r="F238" s="43">
        <v>1</v>
      </c>
      <c r="G238"/>
      <c r="H238"/>
    </row>
    <row r="239" spans="1:8" hidden="1" x14ac:dyDescent="0.25">
      <c r="A239" s="43">
        <v>35</v>
      </c>
      <c r="B239" s="43" t="s">
        <v>13</v>
      </c>
      <c r="C239" s="43" t="s">
        <v>818</v>
      </c>
      <c r="D239" s="43" t="s">
        <v>855</v>
      </c>
      <c r="E239" s="43" t="s">
        <v>856</v>
      </c>
      <c r="F239" s="43">
        <v>1</v>
      </c>
      <c r="G239"/>
      <c r="H239"/>
    </row>
    <row r="240" spans="1:8" hidden="1" x14ac:dyDescent="0.25">
      <c r="A240" s="43">
        <v>35</v>
      </c>
      <c r="B240" s="43" t="s">
        <v>13</v>
      </c>
      <c r="C240" s="43" t="s">
        <v>818</v>
      </c>
      <c r="D240" s="43" t="s">
        <v>857</v>
      </c>
      <c r="E240" s="43" t="s">
        <v>858</v>
      </c>
      <c r="F240" s="43">
        <v>1</v>
      </c>
      <c r="G240"/>
      <c r="H240"/>
    </row>
    <row r="241" spans="1:8" hidden="1" x14ac:dyDescent="0.25">
      <c r="A241" s="43">
        <v>35</v>
      </c>
      <c r="B241" s="43" t="s">
        <v>13</v>
      </c>
      <c r="C241" s="43" t="s">
        <v>818</v>
      </c>
      <c r="D241" s="43" t="s">
        <v>851</v>
      </c>
      <c r="E241" s="43" t="s">
        <v>852</v>
      </c>
      <c r="F241" s="43">
        <v>1</v>
      </c>
      <c r="G241"/>
      <c r="H241"/>
    </row>
    <row r="242" spans="1:8" hidden="1" x14ac:dyDescent="0.25">
      <c r="A242" s="43">
        <v>35</v>
      </c>
      <c r="B242" s="43" t="s">
        <v>13</v>
      </c>
      <c r="C242" s="43" t="s">
        <v>818</v>
      </c>
      <c r="D242" s="43" t="s">
        <v>853</v>
      </c>
      <c r="E242" s="43" t="s">
        <v>854</v>
      </c>
      <c r="F242" s="43">
        <v>1</v>
      </c>
      <c r="G242"/>
      <c r="H242"/>
    </row>
    <row r="243" spans="1:8" hidden="1" x14ac:dyDescent="0.25">
      <c r="A243" s="43">
        <v>35</v>
      </c>
      <c r="B243" s="43" t="s">
        <v>13</v>
      </c>
      <c r="C243" s="43" t="s">
        <v>818</v>
      </c>
      <c r="D243" s="43" t="s">
        <v>828</v>
      </c>
      <c r="E243" s="43" t="s">
        <v>312</v>
      </c>
      <c r="F243" s="43">
        <v>1</v>
      </c>
      <c r="G243"/>
      <c r="H243"/>
    </row>
    <row r="244" spans="1:8" hidden="1" x14ac:dyDescent="0.25">
      <c r="A244" s="43">
        <v>35</v>
      </c>
      <c r="B244" s="43" t="s">
        <v>13</v>
      </c>
      <c r="C244" s="43" t="s">
        <v>818</v>
      </c>
      <c r="D244" s="43" t="s">
        <v>829</v>
      </c>
      <c r="E244" s="43" t="s">
        <v>316</v>
      </c>
      <c r="F244" s="43">
        <v>1</v>
      </c>
      <c r="G244"/>
      <c r="H244"/>
    </row>
    <row r="245" spans="1:8" hidden="1" x14ac:dyDescent="0.25">
      <c r="A245" s="43">
        <v>35</v>
      </c>
      <c r="B245" s="43" t="s">
        <v>13</v>
      </c>
      <c r="C245" s="43" t="s">
        <v>818</v>
      </c>
      <c r="D245" s="43" t="s">
        <v>830</v>
      </c>
      <c r="E245" s="43" t="s">
        <v>314</v>
      </c>
      <c r="F245" s="43">
        <v>1</v>
      </c>
      <c r="G245"/>
      <c r="H245"/>
    </row>
    <row r="246" spans="1:8" hidden="1" x14ac:dyDescent="0.25">
      <c r="A246" s="43">
        <v>35</v>
      </c>
      <c r="B246" s="43" t="s">
        <v>13</v>
      </c>
      <c r="C246" s="43" t="s">
        <v>818</v>
      </c>
      <c r="D246" s="43" t="s">
        <v>843</v>
      </c>
      <c r="E246" s="43" t="s">
        <v>844</v>
      </c>
      <c r="F246" s="43">
        <v>1</v>
      </c>
      <c r="G246"/>
      <c r="H246"/>
    </row>
    <row r="247" spans="1:8" hidden="1" x14ac:dyDescent="0.25">
      <c r="A247" s="43">
        <v>36</v>
      </c>
      <c r="B247" s="43" t="s">
        <v>14</v>
      </c>
      <c r="C247" s="43" t="s">
        <v>362</v>
      </c>
      <c r="D247" s="43" t="s">
        <v>363</v>
      </c>
      <c r="E247" s="43" t="s">
        <v>304</v>
      </c>
      <c r="F247" s="43">
        <v>1</v>
      </c>
      <c r="G247"/>
      <c r="H247"/>
    </row>
    <row r="248" spans="1:8" hidden="1" x14ac:dyDescent="0.25">
      <c r="A248" s="43">
        <v>36</v>
      </c>
      <c r="B248" s="43" t="s">
        <v>14</v>
      </c>
      <c r="C248" s="43" t="s">
        <v>362</v>
      </c>
      <c r="D248" s="43" t="s">
        <v>364</v>
      </c>
      <c r="E248" s="43" t="s">
        <v>306</v>
      </c>
      <c r="F248" s="43">
        <v>1</v>
      </c>
      <c r="G248"/>
      <c r="H248"/>
    </row>
    <row r="249" spans="1:8" hidden="1" x14ac:dyDescent="0.25">
      <c r="A249" s="43">
        <v>36</v>
      </c>
      <c r="B249" s="43" t="s">
        <v>14</v>
      </c>
      <c r="C249" s="43" t="s">
        <v>362</v>
      </c>
      <c r="D249" s="43" t="s">
        <v>365</v>
      </c>
      <c r="E249" s="43" t="s">
        <v>366</v>
      </c>
      <c r="F249" s="43">
        <v>1</v>
      </c>
      <c r="G249"/>
      <c r="H249"/>
    </row>
    <row r="250" spans="1:8" hidden="1" x14ac:dyDescent="0.25">
      <c r="A250" s="43">
        <v>36</v>
      </c>
      <c r="B250" s="43" t="s">
        <v>14</v>
      </c>
      <c r="C250" s="43" t="s">
        <v>362</v>
      </c>
      <c r="D250" s="43" t="s">
        <v>367</v>
      </c>
      <c r="E250" s="43" t="s">
        <v>368</v>
      </c>
      <c r="F250" s="43">
        <v>1</v>
      </c>
      <c r="G250"/>
      <c r="H250"/>
    </row>
    <row r="251" spans="1:8" hidden="1" x14ac:dyDescent="0.25">
      <c r="A251" s="43">
        <v>36</v>
      </c>
      <c r="B251" s="43" t="s">
        <v>14</v>
      </c>
      <c r="C251" s="43" t="s">
        <v>362</v>
      </c>
      <c r="D251" s="43" t="s">
        <v>369</v>
      </c>
      <c r="E251" s="43" t="s">
        <v>370</v>
      </c>
      <c r="F251" s="43">
        <v>1</v>
      </c>
      <c r="G251"/>
      <c r="H251"/>
    </row>
    <row r="252" spans="1:8" hidden="1" x14ac:dyDescent="0.25">
      <c r="A252" s="43">
        <v>36</v>
      </c>
      <c r="B252" s="43" t="s">
        <v>14</v>
      </c>
      <c r="C252" s="43" t="s">
        <v>362</v>
      </c>
      <c r="D252" s="43" t="s">
        <v>371</v>
      </c>
      <c r="E252" s="43" t="s">
        <v>372</v>
      </c>
      <c r="F252" s="43">
        <v>1</v>
      </c>
      <c r="G252"/>
      <c r="H252"/>
    </row>
    <row r="253" spans="1:8" hidden="1" x14ac:dyDescent="0.25">
      <c r="A253" s="43">
        <v>36</v>
      </c>
      <c r="B253" s="43" t="s">
        <v>14</v>
      </c>
      <c r="C253" s="43" t="s">
        <v>362</v>
      </c>
      <c r="D253" s="43" t="s">
        <v>373</v>
      </c>
      <c r="E253" s="43" t="s">
        <v>355</v>
      </c>
      <c r="F253" s="43">
        <v>1</v>
      </c>
      <c r="G253"/>
      <c r="H253"/>
    </row>
    <row r="254" spans="1:8" hidden="1" x14ac:dyDescent="0.25">
      <c r="A254" s="43">
        <v>36</v>
      </c>
      <c r="B254" s="43" t="s">
        <v>14</v>
      </c>
      <c r="C254" s="43" t="s">
        <v>362</v>
      </c>
      <c r="D254" s="43" t="s">
        <v>374</v>
      </c>
      <c r="E254" s="43" t="s">
        <v>357</v>
      </c>
      <c r="F254" s="43">
        <v>1</v>
      </c>
      <c r="G254"/>
      <c r="H254"/>
    </row>
    <row r="255" spans="1:8" hidden="1" x14ac:dyDescent="0.25">
      <c r="A255" s="43">
        <v>36</v>
      </c>
      <c r="B255" s="43" t="s">
        <v>14</v>
      </c>
      <c r="C255" s="43" t="s">
        <v>362</v>
      </c>
      <c r="D255" s="43" t="s">
        <v>375</v>
      </c>
      <c r="E255" s="43" t="s">
        <v>376</v>
      </c>
      <c r="F255" s="43">
        <v>1</v>
      </c>
      <c r="G255"/>
      <c r="H255"/>
    </row>
    <row r="256" spans="1:8" hidden="1" x14ac:dyDescent="0.25">
      <c r="A256" s="43">
        <v>39</v>
      </c>
      <c r="B256" s="43" t="s">
        <v>1972</v>
      </c>
      <c r="C256" s="43" t="s">
        <v>682</v>
      </c>
      <c r="D256" s="43" t="s">
        <v>683</v>
      </c>
      <c r="E256" s="43" t="s">
        <v>684</v>
      </c>
      <c r="F256" s="43">
        <v>0</v>
      </c>
      <c r="G256" s="43" t="s">
        <v>4756</v>
      </c>
      <c r="H256" s="43" t="s">
        <v>4765</v>
      </c>
    </row>
    <row r="257" spans="1:8" hidden="1" x14ac:dyDescent="0.25">
      <c r="A257" s="43">
        <v>39</v>
      </c>
      <c r="B257" s="43" t="s">
        <v>1972</v>
      </c>
      <c r="C257" s="43" t="s">
        <v>682</v>
      </c>
      <c r="D257" s="43" t="s">
        <v>685</v>
      </c>
      <c r="E257" s="43" t="s">
        <v>686</v>
      </c>
      <c r="F257" s="43">
        <v>1</v>
      </c>
      <c r="G257"/>
      <c r="H257"/>
    </row>
    <row r="258" spans="1:8" hidden="1" x14ac:dyDescent="0.25">
      <c r="A258" s="43">
        <v>39</v>
      </c>
      <c r="B258" s="43" t="s">
        <v>1972</v>
      </c>
      <c r="C258" s="43" t="s">
        <v>682</v>
      </c>
      <c r="D258" s="43" t="s">
        <v>687</v>
      </c>
      <c r="E258" s="43" t="s">
        <v>638</v>
      </c>
      <c r="F258" s="43">
        <v>0</v>
      </c>
      <c r="G258" s="43" t="s">
        <v>4754</v>
      </c>
      <c r="H258" s="43" t="s">
        <v>4765</v>
      </c>
    </row>
    <row r="259" spans="1:8" hidden="1" x14ac:dyDescent="0.25">
      <c r="A259" s="43">
        <v>39</v>
      </c>
      <c r="B259" s="43" t="s">
        <v>1972</v>
      </c>
      <c r="C259" s="43" t="s">
        <v>682</v>
      </c>
      <c r="D259" s="43" t="s">
        <v>688</v>
      </c>
      <c r="E259" s="43" t="s">
        <v>689</v>
      </c>
      <c r="F259" s="43">
        <v>1</v>
      </c>
      <c r="G259"/>
      <c r="H259"/>
    </row>
    <row r="260" spans="1:8" hidden="1" x14ac:dyDescent="0.25">
      <c r="A260" s="43">
        <v>39</v>
      </c>
      <c r="B260" s="43" t="s">
        <v>1972</v>
      </c>
      <c r="C260" s="43" t="s">
        <v>682</v>
      </c>
      <c r="D260" s="43" t="s">
        <v>690</v>
      </c>
      <c r="E260" s="43" t="s">
        <v>640</v>
      </c>
      <c r="F260" s="43">
        <v>1</v>
      </c>
      <c r="G260"/>
      <c r="H260"/>
    </row>
    <row r="261" spans="1:8" hidden="1" x14ac:dyDescent="0.25">
      <c r="A261" s="43">
        <v>39</v>
      </c>
      <c r="B261" s="43" t="s">
        <v>1972</v>
      </c>
      <c r="C261" s="43" t="s">
        <v>682</v>
      </c>
      <c r="D261" s="43" t="s">
        <v>691</v>
      </c>
      <c r="E261" s="43" t="s">
        <v>692</v>
      </c>
      <c r="F261" s="43">
        <v>1</v>
      </c>
      <c r="G261"/>
      <c r="H261"/>
    </row>
    <row r="262" spans="1:8" hidden="1" x14ac:dyDescent="0.25">
      <c r="A262" s="43">
        <v>39</v>
      </c>
      <c r="B262" s="43" t="s">
        <v>1972</v>
      </c>
      <c r="C262" s="43" t="s">
        <v>682</v>
      </c>
      <c r="D262" s="43" t="s">
        <v>693</v>
      </c>
      <c r="E262" s="43" t="s">
        <v>694</v>
      </c>
      <c r="F262" s="43">
        <v>1</v>
      </c>
      <c r="G262"/>
      <c r="H262"/>
    </row>
    <row r="263" spans="1:8" hidden="1" x14ac:dyDescent="0.25">
      <c r="A263" s="43">
        <v>39</v>
      </c>
      <c r="B263" s="43" t="s">
        <v>1972</v>
      </c>
      <c r="C263" s="43" t="s">
        <v>682</v>
      </c>
      <c r="D263" s="43" t="s">
        <v>695</v>
      </c>
      <c r="E263" s="43" t="s">
        <v>696</v>
      </c>
      <c r="F263" s="43">
        <v>0</v>
      </c>
      <c r="G263" s="43" t="s">
        <v>4757</v>
      </c>
      <c r="H263" s="43" t="s">
        <v>4765</v>
      </c>
    </row>
    <row r="264" spans="1:8" hidden="1" x14ac:dyDescent="0.25">
      <c r="A264" s="43">
        <v>39</v>
      </c>
      <c r="B264" s="43" t="s">
        <v>1972</v>
      </c>
      <c r="C264" s="43" t="s">
        <v>682</v>
      </c>
      <c r="D264" s="43" t="s">
        <v>697</v>
      </c>
      <c r="E264" s="43" t="s">
        <v>698</v>
      </c>
      <c r="F264" s="43">
        <v>1</v>
      </c>
      <c r="G264"/>
      <c r="H264"/>
    </row>
    <row r="265" spans="1:8" hidden="1" x14ac:dyDescent="0.25">
      <c r="A265" s="43">
        <v>39</v>
      </c>
      <c r="B265" s="43" t="s">
        <v>1972</v>
      </c>
      <c r="C265" s="43" t="s">
        <v>682</v>
      </c>
      <c r="D265" s="43" t="s">
        <v>699</v>
      </c>
      <c r="E265" s="43" t="s">
        <v>700</v>
      </c>
      <c r="F265" s="43">
        <v>1</v>
      </c>
      <c r="G265"/>
      <c r="H265"/>
    </row>
    <row r="266" spans="1:8" hidden="1" x14ac:dyDescent="0.25">
      <c r="A266" s="43">
        <v>39</v>
      </c>
      <c r="B266" s="43" t="s">
        <v>1972</v>
      </c>
      <c r="C266" s="43" t="s">
        <v>636</v>
      </c>
      <c r="D266" s="43" t="s">
        <v>653</v>
      </c>
      <c r="E266" s="43" t="s">
        <v>438</v>
      </c>
      <c r="F266" s="43">
        <v>1</v>
      </c>
      <c r="G266"/>
      <c r="H266"/>
    </row>
    <row r="267" spans="1:8" hidden="1" x14ac:dyDescent="0.25">
      <c r="A267" s="43">
        <v>39</v>
      </c>
      <c r="B267" s="43" t="s">
        <v>1972</v>
      </c>
      <c r="C267" s="43" t="s">
        <v>636</v>
      </c>
      <c r="D267" s="43" t="s">
        <v>654</v>
      </c>
      <c r="E267" s="43" t="s">
        <v>440</v>
      </c>
      <c r="F267" s="43">
        <v>1</v>
      </c>
      <c r="G267"/>
      <c r="H267"/>
    </row>
    <row r="268" spans="1:8" ht="17.25" hidden="1" customHeight="1" x14ac:dyDescent="0.25">
      <c r="A268" s="43">
        <v>39</v>
      </c>
      <c r="B268" s="43" t="s">
        <v>1972</v>
      </c>
      <c r="C268" s="43" t="s">
        <v>636</v>
      </c>
      <c r="D268" s="43" t="s">
        <v>637</v>
      </c>
      <c r="E268" s="43" t="s">
        <v>638</v>
      </c>
      <c r="F268" s="43">
        <v>0</v>
      </c>
      <c r="G268" s="43" t="s">
        <v>4754</v>
      </c>
      <c r="H268" s="43" t="s">
        <v>4765</v>
      </c>
    </row>
    <row r="269" spans="1:8" ht="20.25" hidden="1" customHeight="1" x14ac:dyDescent="0.25">
      <c r="A269" s="43">
        <v>39</v>
      </c>
      <c r="B269" s="43" t="s">
        <v>1972</v>
      </c>
      <c r="C269" s="43" t="s">
        <v>636</v>
      </c>
      <c r="D269" s="43" t="s">
        <v>639</v>
      </c>
      <c r="E269" s="43" t="s">
        <v>640</v>
      </c>
      <c r="F269" s="43">
        <v>1</v>
      </c>
      <c r="H269"/>
    </row>
    <row r="270" spans="1:8" hidden="1" x14ac:dyDescent="0.25">
      <c r="A270" s="43">
        <v>39</v>
      </c>
      <c r="B270" s="43" t="s">
        <v>1972</v>
      </c>
      <c r="C270" s="43" t="s">
        <v>636</v>
      </c>
      <c r="D270" s="43" t="s">
        <v>641</v>
      </c>
      <c r="E270" s="43" t="s">
        <v>642</v>
      </c>
      <c r="F270" s="43">
        <v>0</v>
      </c>
      <c r="G270" s="43" t="s">
        <v>4583</v>
      </c>
      <c r="H270"/>
    </row>
    <row r="271" spans="1:8" hidden="1" x14ac:dyDescent="0.25">
      <c r="A271" s="43">
        <v>39</v>
      </c>
      <c r="B271" s="43" t="s">
        <v>1972</v>
      </c>
      <c r="C271" s="43" t="s">
        <v>636</v>
      </c>
      <c r="D271" s="43" t="s">
        <v>643</v>
      </c>
      <c r="E271" s="43" t="s">
        <v>644</v>
      </c>
      <c r="F271" s="43">
        <v>0</v>
      </c>
      <c r="G271" s="43" t="s">
        <v>4583</v>
      </c>
      <c r="H271"/>
    </row>
    <row r="272" spans="1:8" hidden="1" x14ac:dyDescent="0.25">
      <c r="A272" s="43">
        <v>39</v>
      </c>
      <c r="B272" s="43" t="s">
        <v>1972</v>
      </c>
      <c r="C272" s="43" t="s">
        <v>636</v>
      </c>
      <c r="D272" s="43" t="s">
        <v>645</v>
      </c>
      <c r="E272" s="43" t="s">
        <v>646</v>
      </c>
      <c r="F272" s="43">
        <v>0</v>
      </c>
      <c r="G272" s="43" t="s">
        <v>4583</v>
      </c>
      <c r="H272"/>
    </row>
    <row r="273" spans="1:8" hidden="1" x14ac:dyDescent="0.25">
      <c r="A273" s="43">
        <v>39</v>
      </c>
      <c r="B273" s="43" t="s">
        <v>1972</v>
      </c>
      <c r="C273" s="43" t="s">
        <v>636</v>
      </c>
      <c r="D273" s="43" t="s">
        <v>647</v>
      </c>
      <c r="E273" s="43" t="s">
        <v>648</v>
      </c>
      <c r="F273" s="43">
        <v>1</v>
      </c>
      <c r="G273"/>
      <c r="H273"/>
    </row>
    <row r="274" spans="1:8" hidden="1" x14ac:dyDescent="0.25">
      <c r="A274" s="43">
        <v>39</v>
      </c>
      <c r="B274" s="43" t="s">
        <v>1972</v>
      </c>
      <c r="C274" s="43" t="s">
        <v>636</v>
      </c>
      <c r="D274" s="43" t="s">
        <v>649</v>
      </c>
      <c r="E274" s="43" t="s">
        <v>650</v>
      </c>
      <c r="F274" s="43">
        <v>0</v>
      </c>
      <c r="G274" s="43" t="s">
        <v>4583</v>
      </c>
      <c r="H274"/>
    </row>
    <row r="275" spans="1:8" hidden="1" x14ac:dyDescent="0.25">
      <c r="A275" s="43">
        <v>39</v>
      </c>
      <c r="B275" s="43" t="s">
        <v>1972</v>
      </c>
      <c r="C275" s="43" t="s">
        <v>636</v>
      </c>
      <c r="D275" s="43" t="s">
        <v>651</v>
      </c>
      <c r="E275" s="43" t="s">
        <v>652</v>
      </c>
      <c r="F275" s="43">
        <v>1</v>
      </c>
      <c r="G275"/>
      <c r="H275"/>
    </row>
    <row r="276" spans="1:8" hidden="1" x14ac:dyDescent="0.25">
      <c r="A276" s="43">
        <v>39</v>
      </c>
      <c r="B276" s="43" t="s">
        <v>1972</v>
      </c>
      <c r="C276" s="43" t="s">
        <v>636</v>
      </c>
      <c r="D276" s="43" t="s">
        <v>655</v>
      </c>
      <c r="E276" s="43" t="s">
        <v>656</v>
      </c>
      <c r="F276" s="43">
        <v>1</v>
      </c>
      <c r="G276"/>
      <c r="H276"/>
    </row>
    <row r="277" spans="1:8" hidden="1" x14ac:dyDescent="0.25">
      <c r="A277" s="43">
        <v>39</v>
      </c>
      <c r="B277" s="43" t="s">
        <v>1972</v>
      </c>
      <c r="C277" s="43" t="s">
        <v>636</v>
      </c>
      <c r="D277" s="43" t="s">
        <v>657</v>
      </c>
      <c r="E277" s="43" t="s">
        <v>658</v>
      </c>
      <c r="F277" s="43">
        <v>1</v>
      </c>
      <c r="G277"/>
      <c r="H277"/>
    </row>
    <row r="278" spans="1:8" hidden="1" x14ac:dyDescent="0.25">
      <c r="A278" s="43">
        <v>39</v>
      </c>
      <c r="B278" s="43" t="s">
        <v>1972</v>
      </c>
      <c r="C278" s="43" t="s">
        <v>1790</v>
      </c>
      <c r="D278" s="43" t="s">
        <v>1794</v>
      </c>
      <c r="E278" s="43" t="s">
        <v>786</v>
      </c>
      <c r="F278" s="43">
        <v>1</v>
      </c>
      <c r="G278"/>
      <c r="H278"/>
    </row>
    <row r="279" spans="1:8" hidden="1" x14ac:dyDescent="0.25">
      <c r="A279" s="43">
        <v>39</v>
      </c>
      <c r="B279" s="43" t="s">
        <v>1972</v>
      </c>
      <c r="C279" s="43" t="s">
        <v>1790</v>
      </c>
      <c r="D279" s="43" t="s">
        <v>1795</v>
      </c>
      <c r="E279" s="43" t="s">
        <v>784</v>
      </c>
      <c r="F279" s="43">
        <v>0</v>
      </c>
      <c r="G279" s="43" t="s">
        <v>4756</v>
      </c>
      <c r="H279" s="43" t="s">
        <v>4765</v>
      </c>
    </row>
    <row r="280" spans="1:8" hidden="1" x14ac:dyDescent="0.25">
      <c r="A280" s="43">
        <v>39</v>
      </c>
      <c r="B280" s="43" t="s">
        <v>1972</v>
      </c>
      <c r="C280" s="43" t="s">
        <v>1790</v>
      </c>
      <c r="D280" s="43" t="s">
        <v>1796</v>
      </c>
      <c r="E280" s="43" t="s">
        <v>1205</v>
      </c>
      <c r="F280" s="43">
        <v>1</v>
      </c>
      <c r="G280"/>
      <c r="H280"/>
    </row>
    <row r="281" spans="1:8" hidden="1" x14ac:dyDescent="0.25">
      <c r="A281" s="43">
        <v>39</v>
      </c>
      <c r="B281" s="43" t="s">
        <v>1972</v>
      </c>
      <c r="C281" s="43" t="s">
        <v>1790</v>
      </c>
      <c r="D281" s="43" t="s">
        <v>1797</v>
      </c>
      <c r="E281" s="43" t="s">
        <v>1207</v>
      </c>
      <c r="F281" s="43">
        <v>0</v>
      </c>
      <c r="G281" s="43" t="s">
        <v>4583</v>
      </c>
      <c r="H281"/>
    </row>
    <row r="282" spans="1:8" ht="21" hidden="1" customHeight="1" x14ac:dyDescent="0.25">
      <c r="A282" s="43">
        <v>39</v>
      </c>
      <c r="B282" s="43" t="s">
        <v>1972</v>
      </c>
      <c r="C282" s="43" t="s">
        <v>1790</v>
      </c>
      <c r="D282" s="43" t="s">
        <v>1798</v>
      </c>
      <c r="E282" s="43" t="s">
        <v>1209</v>
      </c>
      <c r="F282" s="43">
        <v>0</v>
      </c>
      <c r="G282" s="43" t="s">
        <v>4583</v>
      </c>
      <c r="H282"/>
    </row>
    <row r="283" spans="1:8" ht="18" hidden="1" customHeight="1" x14ac:dyDescent="0.25">
      <c r="A283" s="43">
        <v>39</v>
      </c>
      <c r="B283" s="43" t="s">
        <v>1972</v>
      </c>
      <c r="C283" s="43" t="s">
        <v>1790</v>
      </c>
      <c r="D283" s="43" t="s">
        <v>1799</v>
      </c>
      <c r="E283" s="43" t="s">
        <v>789</v>
      </c>
      <c r="F283" s="43">
        <v>0</v>
      </c>
      <c r="G283" s="43" t="s">
        <v>4754</v>
      </c>
      <c r="H283" s="43" t="s">
        <v>4765</v>
      </c>
    </row>
    <row r="284" spans="1:8" ht="18.75" hidden="1" customHeight="1" x14ac:dyDescent="0.25">
      <c r="A284" s="43">
        <v>39</v>
      </c>
      <c r="B284" s="43" t="s">
        <v>1972</v>
      </c>
      <c r="C284" s="43" t="s">
        <v>1790</v>
      </c>
      <c r="D284" s="43" t="s">
        <v>1800</v>
      </c>
      <c r="E284" s="43" t="s">
        <v>1214</v>
      </c>
      <c r="F284" s="43">
        <v>1</v>
      </c>
      <c r="H284"/>
    </row>
    <row r="285" spans="1:8" ht="15.75" hidden="1" customHeight="1" x14ac:dyDescent="0.25">
      <c r="A285" s="43">
        <v>39</v>
      </c>
      <c r="B285" s="43" t="s">
        <v>1972</v>
      </c>
      <c r="C285" s="43" t="s">
        <v>1790</v>
      </c>
      <c r="D285" s="43" t="s">
        <v>1791</v>
      </c>
      <c r="E285" s="43" t="s">
        <v>273</v>
      </c>
      <c r="F285" s="43">
        <v>1</v>
      </c>
      <c r="H285"/>
    </row>
    <row r="286" spans="1:8" hidden="1" x14ac:dyDescent="0.25">
      <c r="A286" s="43">
        <v>39</v>
      </c>
      <c r="B286" s="43" t="s">
        <v>1972</v>
      </c>
      <c r="C286" s="43" t="s">
        <v>1790</v>
      </c>
      <c r="D286" s="43" t="s">
        <v>1792</v>
      </c>
      <c r="E286" s="43" t="s">
        <v>312</v>
      </c>
      <c r="F286" s="43">
        <v>0</v>
      </c>
      <c r="G286" s="43" t="s">
        <v>4583</v>
      </c>
      <c r="H286"/>
    </row>
    <row r="287" spans="1:8" hidden="1" x14ac:dyDescent="0.25">
      <c r="A287" s="43">
        <v>39</v>
      </c>
      <c r="B287" s="43" t="s">
        <v>1972</v>
      </c>
      <c r="C287" s="43" t="s">
        <v>1790</v>
      </c>
      <c r="D287" s="43" t="s">
        <v>1793</v>
      </c>
      <c r="E287" s="43" t="s">
        <v>801</v>
      </c>
      <c r="F287" s="43">
        <v>1</v>
      </c>
      <c r="G287"/>
      <c r="H287"/>
    </row>
    <row r="288" spans="1:8" hidden="1" x14ac:dyDescent="0.25">
      <c r="A288" s="43">
        <v>39</v>
      </c>
      <c r="B288" s="43" t="s">
        <v>1972</v>
      </c>
      <c r="C288" s="43" t="s">
        <v>1790</v>
      </c>
      <c r="D288" s="43" t="s">
        <v>1804</v>
      </c>
      <c r="E288" s="43" t="s">
        <v>372</v>
      </c>
      <c r="F288" s="43">
        <v>1</v>
      </c>
      <c r="G288"/>
      <c r="H288"/>
    </row>
    <row r="289" spans="1:8" hidden="1" x14ac:dyDescent="0.25">
      <c r="A289" s="43">
        <v>39</v>
      </c>
      <c r="B289" s="43" t="s">
        <v>1972</v>
      </c>
      <c r="C289" s="43" t="s">
        <v>1790</v>
      </c>
      <c r="D289" s="43" t="s">
        <v>1805</v>
      </c>
      <c r="E289" s="43" t="s">
        <v>1806</v>
      </c>
      <c r="F289" s="43">
        <v>0</v>
      </c>
      <c r="G289" s="43" t="s">
        <v>4583</v>
      </c>
      <c r="H289"/>
    </row>
    <row r="290" spans="1:8" hidden="1" x14ac:dyDescent="0.25">
      <c r="A290" s="43">
        <v>39</v>
      </c>
      <c r="B290" s="43" t="s">
        <v>1972</v>
      </c>
      <c r="C290" s="43" t="s">
        <v>1790</v>
      </c>
      <c r="D290" s="43" t="s">
        <v>1807</v>
      </c>
      <c r="E290" s="43" t="s">
        <v>1808</v>
      </c>
      <c r="F290" s="43">
        <v>0</v>
      </c>
      <c r="G290" s="43" t="s">
        <v>4583</v>
      </c>
      <c r="H290"/>
    </row>
    <row r="291" spans="1:8" hidden="1" x14ac:dyDescent="0.25">
      <c r="A291" s="43">
        <v>39</v>
      </c>
      <c r="B291" s="43" t="s">
        <v>1972</v>
      </c>
      <c r="C291" s="43" t="s">
        <v>1790</v>
      </c>
      <c r="D291" s="43" t="s">
        <v>1801</v>
      </c>
      <c r="E291" s="43" t="s">
        <v>1784</v>
      </c>
      <c r="F291" s="43">
        <v>0</v>
      </c>
      <c r="G291" s="43" t="s">
        <v>4583</v>
      </c>
      <c r="H291"/>
    </row>
    <row r="292" spans="1:8" hidden="1" x14ac:dyDescent="0.25">
      <c r="A292" s="43">
        <v>39</v>
      </c>
      <c r="B292" s="43" t="s">
        <v>1972</v>
      </c>
      <c r="C292" s="43" t="s">
        <v>1790</v>
      </c>
      <c r="D292" s="43" t="s">
        <v>1802</v>
      </c>
      <c r="E292" s="43" t="s">
        <v>791</v>
      </c>
      <c r="F292" s="43">
        <v>1</v>
      </c>
      <c r="G292"/>
      <c r="H292"/>
    </row>
    <row r="293" spans="1:8" hidden="1" x14ac:dyDescent="0.25">
      <c r="A293" s="43">
        <v>39</v>
      </c>
      <c r="B293" s="43" t="s">
        <v>1972</v>
      </c>
      <c r="C293" s="43" t="s">
        <v>1790</v>
      </c>
      <c r="D293" s="43" t="s">
        <v>1803</v>
      </c>
      <c r="E293" s="43" t="s">
        <v>795</v>
      </c>
      <c r="F293" s="43">
        <v>1</v>
      </c>
      <c r="G293"/>
      <c r="H293"/>
    </row>
    <row r="294" spans="1:8" hidden="1" x14ac:dyDescent="0.25">
      <c r="A294" s="43">
        <v>40</v>
      </c>
      <c r="B294" s="43" t="s">
        <v>16</v>
      </c>
      <c r="C294" s="43" t="s">
        <v>1685</v>
      </c>
      <c r="D294" s="43" t="s">
        <v>1709</v>
      </c>
      <c r="E294" s="43" t="s">
        <v>1710</v>
      </c>
      <c r="F294" s="43">
        <v>0</v>
      </c>
      <c r="G294" s="43" t="s">
        <v>4583</v>
      </c>
      <c r="H294"/>
    </row>
    <row r="295" spans="1:8" hidden="1" x14ac:dyDescent="0.25">
      <c r="A295" s="43">
        <v>40</v>
      </c>
      <c r="B295" s="43" t="s">
        <v>16</v>
      </c>
      <c r="C295" s="43" t="s">
        <v>1685</v>
      </c>
      <c r="D295" s="43" t="s">
        <v>1711</v>
      </c>
      <c r="E295" s="43" t="s">
        <v>1124</v>
      </c>
      <c r="F295" s="43">
        <v>1</v>
      </c>
      <c r="G295"/>
      <c r="H295"/>
    </row>
    <row r="296" spans="1:8" hidden="1" x14ac:dyDescent="0.25">
      <c r="A296" s="43">
        <v>40</v>
      </c>
      <c r="B296" s="43" t="s">
        <v>16</v>
      </c>
      <c r="C296" s="43" t="s">
        <v>1685</v>
      </c>
      <c r="D296" s="43" t="s">
        <v>1686</v>
      </c>
      <c r="E296" s="43" t="s">
        <v>1687</v>
      </c>
      <c r="F296" s="43">
        <v>1</v>
      </c>
      <c r="G296"/>
      <c r="H296"/>
    </row>
    <row r="297" spans="1:8" hidden="1" x14ac:dyDescent="0.25">
      <c r="A297" s="43">
        <v>40</v>
      </c>
      <c r="B297" s="43" t="s">
        <v>16</v>
      </c>
      <c r="C297" s="43" t="s">
        <v>1685</v>
      </c>
      <c r="D297" s="43" t="s">
        <v>1688</v>
      </c>
      <c r="E297" s="43" t="s">
        <v>1689</v>
      </c>
      <c r="F297" s="43">
        <v>1</v>
      </c>
      <c r="G297"/>
      <c r="H297"/>
    </row>
    <row r="298" spans="1:8" hidden="1" x14ac:dyDescent="0.25">
      <c r="A298" s="43">
        <v>40</v>
      </c>
      <c r="B298" s="43" t="s">
        <v>16</v>
      </c>
      <c r="C298" s="43" t="s">
        <v>1685</v>
      </c>
      <c r="D298" s="43" t="s">
        <v>1690</v>
      </c>
      <c r="E298" s="43" t="s">
        <v>1691</v>
      </c>
      <c r="F298" s="43">
        <v>0</v>
      </c>
      <c r="G298" s="43" t="s">
        <v>4583</v>
      </c>
      <c r="H298"/>
    </row>
    <row r="299" spans="1:8" hidden="1" x14ac:dyDescent="0.25">
      <c r="A299" s="43">
        <v>40</v>
      </c>
      <c r="B299" s="43" t="s">
        <v>16</v>
      </c>
      <c r="C299" s="43" t="s">
        <v>1685</v>
      </c>
      <c r="D299" s="43" t="s">
        <v>1692</v>
      </c>
      <c r="E299" s="43" t="s">
        <v>1693</v>
      </c>
      <c r="F299" s="43">
        <v>0</v>
      </c>
      <c r="G299" s="43" t="s">
        <v>4583</v>
      </c>
      <c r="H299"/>
    </row>
    <row r="300" spans="1:8" hidden="1" x14ac:dyDescent="0.25">
      <c r="A300" s="43">
        <v>40</v>
      </c>
      <c r="B300" s="43" t="s">
        <v>16</v>
      </c>
      <c r="C300" s="43" t="s">
        <v>1685</v>
      </c>
      <c r="D300" s="43" t="s">
        <v>1694</v>
      </c>
      <c r="E300" s="43" t="s">
        <v>1695</v>
      </c>
      <c r="F300" s="43">
        <v>1</v>
      </c>
      <c r="G300"/>
      <c r="H300"/>
    </row>
    <row r="301" spans="1:8" hidden="1" x14ac:dyDescent="0.25">
      <c r="A301" s="43">
        <v>40</v>
      </c>
      <c r="B301" s="43" t="s">
        <v>16</v>
      </c>
      <c r="C301" s="43" t="s">
        <v>1685</v>
      </c>
      <c r="D301" s="43" t="s">
        <v>1703</v>
      </c>
      <c r="E301" s="43" t="s">
        <v>1704</v>
      </c>
      <c r="F301" s="43">
        <v>0</v>
      </c>
      <c r="G301" s="43" t="s">
        <v>4583</v>
      </c>
      <c r="H301"/>
    </row>
    <row r="302" spans="1:8" hidden="1" x14ac:dyDescent="0.25">
      <c r="A302" s="43">
        <v>40</v>
      </c>
      <c r="B302" s="43" t="s">
        <v>16</v>
      </c>
      <c r="C302" s="43" t="s">
        <v>1685</v>
      </c>
      <c r="D302" s="43" t="s">
        <v>1705</v>
      </c>
      <c r="E302" s="43" t="s">
        <v>1706</v>
      </c>
      <c r="F302" s="43">
        <v>1</v>
      </c>
      <c r="G302"/>
      <c r="H302"/>
    </row>
    <row r="303" spans="1:8" hidden="1" x14ac:dyDescent="0.25">
      <c r="A303" s="43">
        <v>40</v>
      </c>
      <c r="B303" s="43" t="s">
        <v>16</v>
      </c>
      <c r="C303" s="43" t="s">
        <v>1685</v>
      </c>
      <c r="D303" s="43" t="s">
        <v>1707</v>
      </c>
      <c r="E303" s="43" t="s">
        <v>1708</v>
      </c>
      <c r="F303" s="43">
        <v>1</v>
      </c>
      <c r="G303"/>
      <c r="H303"/>
    </row>
    <row r="304" spans="1:8" hidden="1" x14ac:dyDescent="0.25">
      <c r="A304" s="43">
        <v>40</v>
      </c>
      <c r="B304" s="43" t="s">
        <v>16</v>
      </c>
      <c r="C304" s="43" t="s">
        <v>1685</v>
      </c>
      <c r="D304" s="43" t="s">
        <v>1696</v>
      </c>
      <c r="E304" s="43" t="s">
        <v>1697</v>
      </c>
      <c r="F304" s="43">
        <v>1</v>
      </c>
      <c r="G304"/>
      <c r="H304"/>
    </row>
    <row r="305" spans="1:8" hidden="1" x14ac:dyDescent="0.25">
      <c r="A305" s="43">
        <v>40</v>
      </c>
      <c r="B305" s="43" t="s">
        <v>16</v>
      </c>
      <c r="C305" s="43" t="s">
        <v>1685</v>
      </c>
      <c r="D305" s="43" t="s">
        <v>1698</v>
      </c>
      <c r="E305" s="43" t="s">
        <v>1699</v>
      </c>
      <c r="F305" s="43">
        <v>1</v>
      </c>
      <c r="G305"/>
      <c r="H305"/>
    </row>
    <row r="306" spans="1:8" hidden="1" x14ac:dyDescent="0.25">
      <c r="A306" s="43">
        <v>40</v>
      </c>
      <c r="B306" s="43" t="s">
        <v>16</v>
      </c>
      <c r="C306" s="43" t="s">
        <v>1685</v>
      </c>
      <c r="D306" s="43" t="s">
        <v>1700</v>
      </c>
      <c r="E306" s="43" t="s">
        <v>1701</v>
      </c>
      <c r="F306" s="43">
        <v>0</v>
      </c>
      <c r="G306" s="43" t="s">
        <v>4583</v>
      </c>
      <c r="H306"/>
    </row>
    <row r="307" spans="1:8" hidden="1" x14ac:dyDescent="0.25">
      <c r="A307" s="43">
        <v>40</v>
      </c>
      <c r="B307" s="43" t="s">
        <v>16</v>
      </c>
      <c r="C307" s="43" t="s">
        <v>1685</v>
      </c>
      <c r="D307" s="43" t="s">
        <v>1702</v>
      </c>
      <c r="E307" s="43" t="s">
        <v>314</v>
      </c>
      <c r="F307" s="43">
        <v>1</v>
      </c>
      <c r="G307"/>
      <c r="H307"/>
    </row>
    <row r="308" spans="1:8" hidden="1" x14ac:dyDescent="0.25">
      <c r="A308" s="43">
        <v>42</v>
      </c>
      <c r="B308" s="43" t="s">
        <v>17</v>
      </c>
      <c r="C308" s="43" t="s">
        <v>1685</v>
      </c>
      <c r="D308" s="43" t="s">
        <v>1709</v>
      </c>
      <c r="E308" s="43" t="s">
        <v>1710</v>
      </c>
      <c r="F308" s="43">
        <v>1</v>
      </c>
      <c r="G308"/>
      <c r="H308"/>
    </row>
    <row r="309" spans="1:8" hidden="1" x14ac:dyDescent="0.25">
      <c r="A309" s="43">
        <v>42</v>
      </c>
      <c r="B309" s="43" t="s">
        <v>17</v>
      </c>
      <c r="C309" s="43" t="s">
        <v>1685</v>
      </c>
      <c r="D309" s="43" t="s">
        <v>1711</v>
      </c>
      <c r="E309" s="43" t="s">
        <v>1124</v>
      </c>
      <c r="F309" s="43">
        <v>1</v>
      </c>
      <c r="G309"/>
      <c r="H309"/>
    </row>
    <row r="310" spans="1:8" hidden="1" x14ac:dyDescent="0.25">
      <c r="A310" s="43">
        <v>42</v>
      </c>
      <c r="B310" s="43" t="s">
        <v>17</v>
      </c>
      <c r="C310" s="43" t="s">
        <v>1685</v>
      </c>
      <c r="D310" s="43" t="s">
        <v>1686</v>
      </c>
      <c r="E310" s="43" t="s">
        <v>1687</v>
      </c>
      <c r="F310" s="43">
        <v>1</v>
      </c>
      <c r="G310"/>
      <c r="H310"/>
    </row>
    <row r="311" spans="1:8" hidden="1" x14ac:dyDescent="0.25">
      <c r="A311" s="43">
        <v>42</v>
      </c>
      <c r="B311" s="43" t="s">
        <v>17</v>
      </c>
      <c r="C311" s="43" t="s">
        <v>1685</v>
      </c>
      <c r="D311" s="43" t="s">
        <v>1688</v>
      </c>
      <c r="E311" s="43" t="s">
        <v>1689</v>
      </c>
      <c r="F311" s="43">
        <v>1</v>
      </c>
      <c r="G311"/>
      <c r="H311"/>
    </row>
    <row r="312" spans="1:8" hidden="1" x14ac:dyDescent="0.25">
      <c r="A312" s="43">
        <v>42</v>
      </c>
      <c r="B312" s="43" t="s">
        <v>17</v>
      </c>
      <c r="C312" s="43" t="s">
        <v>1685</v>
      </c>
      <c r="D312" s="43" t="s">
        <v>1690</v>
      </c>
      <c r="E312" s="43" t="s">
        <v>1691</v>
      </c>
      <c r="F312" s="43">
        <v>1</v>
      </c>
      <c r="G312"/>
      <c r="H312"/>
    </row>
    <row r="313" spans="1:8" x14ac:dyDescent="0.25">
      <c r="A313" s="43">
        <v>42</v>
      </c>
      <c r="B313" s="43" t="s">
        <v>17</v>
      </c>
      <c r="C313" s="43" t="s">
        <v>1685</v>
      </c>
      <c r="D313" s="43" t="s">
        <v>1692</v>
      </c>
      <c r="E313" s="43" t="s">
        <v>1693</v>
      </c>
      <c r="F313" s="43">
        <v>2</v>
      </c>
      <c r="G313" s="43" t="s">
        <v>4497</v>
      </c>
      <c r="H313" s="43" t="s">
        <v>4580</v>
      </c>
    </row>
    <row r="314" spans="1:8" hidden="1" x14ac:dyDescent="0.25">
      <c r="A314" s="43">
        <v>42</v>
      </c>
      <c r="B314" s="43" t="s">
        <v>17</v>
      </c>
      <c r="C314" s="43" t="s">
        <v>1685</v>
      </c>
      <c r="D314" s="43" t="s">
        <v>1694</v>
      </c>
      <c r="E314" s="43" t="s">
        <v>1695</v>
      </c>
      <c r="F314" s="43">
        <v>1</v>
      </c>
      <c r="G314"/>
      <c r="H314"/>
    </row>
    <row r="315" spans="1:8" hidden="1" x14ac:dyDescent="0.25">
      <c r="A315" s="43">
        <v>42</v>
      </c>
      <c r="B315" s="43" t="s">
        <v>17</v>
      </c>
      <c r="C315" s="43" t="s">
        <v>1685</v>
      </c>
      <c r="D315" s="43" t="s">
        <v>1703</v>
      </c>
      <c r="E315" s="43" t="s">
        <v>1704</v>
      </c>
      <c r="F315" s="43">
        <v>2</v>
      </c>
      <c r="G315" s="43" t="s">
        <v>4498</v>
      </c>
      <c r="H315" s="43" t="s">
        <v>4581</v>
      </c>
    </row>
    <row r="316" spans="1:8" hidden="1" x14ac:dyDescent="0.25">
      <c r="A316" s="43">
        <v>42</v>
      </c>
      <c r="B316" s="43" t="s">
        <v>17</v>
      </c>
      <c r="C316" s="43" t="s">
        <v>1685</v>
      </c>
      <c r="D316" s="43" t="s">
        <v>1705</v>
      </c>
      <c r="E316" s="43" t="s">
        <v>1706</v>
      </c>
      <c r="F316" s="43">
        <v>1</v>
      </c>
      <c r="G316"/>
      <c r="H316"/>
    </row>
    <row r="317" spans="1:8" hidden="1" x14ac:dyDescent="0.25">
      <c r="A317" s="43">
        <v>42</v>
      </c>
      <c r="B317" s="43" t="s">
        <v>17</v>
      </c>
      <c r="C317" s="43" t="s">
        <v>1685</v>
      </c>
      <c r="D317" s="43" t="s">
        <v>1707</v>
      </c>
      <c r="E317" s="43" t="s">
        <v>1708</v>
      </c>
      <c r="F317" s="43">
        <v>1</v>
      </c>
      <c r="G317"/>
      <c r="H317"/>
    </row>
    <row r="318" spans="1:8" hidden="1" x14ac:dyDescent="0.25">
      <c r="A318" s="43">
        <v>42</v>
      </c>
      <c r="B318" s="43" t="s">
        <v>17</v>
      </c>
      <c r="C318" s="43" t="s">
        <v>1685</v>
      </c>
      <c r="D318" s="43" t="s">
        <v>1696</v>
      </c>
      <c r="E318" s="43" t="s">
        <v>1697</v>
      </c>
      <c r="F318" s="43">
        <v>1</v>
      </c>
      <c r="G318"/>
      <c r="H318"/>
    </row>
    <row r="319" spans="1:8" hidden="1" x14ac:dyDescent="0.25">
      <c r="A319" s="43">
        <v>42</v>
      </c>
      <c r="B319" s="43" t="s">
        <v>17</v>
      </c>
      <c r="C319" s="43" t="s">
        <v>1685</v>
      </c>
      <c r="D319" s="43" t="s">
        <v>1698</v>
      </c>
      <c r="E319" s="43" t="s">
        <v>1699</v>
      </c>
      <c r="F319" s="43">
        <v>1</v>
      </c>
      <c r="G319"/>
      <c r="H319"/>
    </row>
    <row r="320" spans="1:8" hidden="1" x14ac:dyDescent="0.25">
      <c r="A320" s="43">
        <v>42</v>
      </c>
      <c r="B320" s="43" t="s">
        <v>17</v>
      </c>
      <c r="C320" s="43" t="s">
        <v>1685</v>
      </c>
      <c r="D320" s="43" t="s">
        <v>1700</v>
      </c>
      <c r="E320" s="43" t="s">
        <v>1701</v>
      </c>
      <c r="F320" s="43">
        <v>1</v>
      </c>
      <c r="G320"/>
      <c r="H320"/>
    </row>
    <row r="321" spans="1:8" hidden="1" x14ac:dyDescent="0.25">
      <c r="A321" s="43">
        <v>42</v>
      </c>
      <c r="B321" s="43" t="s">
        <v>17</v>
      </c>
      <c r="C321" s="43" t="s">
        <v>1685</v>
      </c>
      <c r="D321" s="43" t="s">
        <v>1702</v>
      </c>
      <c r="E321" s="43" t="s">
        <v>314</v>
      </c>
      <c r="F321" s="43">
        <v>1</v>
      </c>
      <c r="G321"/>
      <c r="H321"/>
    </row>
    <row r="322" spans="1:8" hidden="1" x14ac:dyDescent="0.25">
      <c r="A322" s="43">
        <v>42</v>
      </c>
      <c r="B322" s="43" t="s">
        <v>17</v>
      </c>
      <c r="C322" s="43" t="s">
        <v>1832</v>
      </c>
      <c r="D322" s="43" t="s">
        <v>1845</v>
      </c>
      <c r="E322" s="43" t="s">
        <v>372</v>
      </c>
      <c r="F322" s="43">
        <v>1</v>
      </c>
      <c r="G322"/>
      <c r="H322"/>
    </row>
    <row r="323" spans="1:8" x14ac:dyDescent="0.25">
      <c r="A323" s="43">
        <v>42</v>
      </c>
      <c r="B323" s="43" t="s">
        <v>17</v>
      </c>
      <c r="C323" s="43" t="s">
        <v>1832</v>
      </c>
      <c r="D323" s="43" t="s">
        <v>1846</v>
      </c>
      <c r="E323" s="43" t="s">
        <v>1847</v>
      </c>
      <c r="F323" s="43">
        <v>2</v>
      </c>
      <c r="G323" s="43" t="s">
        <v>4499</v>
      </c>
      <c r="H323" s="43" t="s">
        <v>4580</v>
      </c>
    </row>
    <row r="324" spans="1:8" hidden="1" x14ac:dyDescent="0.25">
      <c r="A324" s="43">
        <v>42</v>
      </c>
      <c r="B324" s="43" t="s">
        <v>17</v>
      </c>
      <c r="C324" s="43" t="s">
        <v>1832</v>
      </c>
      <c r="D324" s="43" t="s">
        <v>1848</v>
      </c>
      <c r="E324" s="43" t="s">
        <v>1849</v>
      </c>
      <c r="F324" s="43">
        <v>2</v>
      </c>
      <c r="G324" s="43" t="s">
        <v>4500</v>
      </c>
      <c r="H324" s="43" t="s">
        <v>4581</v>
      </c>
    </row>
    <row r="325" spans="1:8" hidden="1" x14ac:dyDescent="0.25">
      <c r="A325" s="43">
        <v>42</v>
      </c>
      <c r="B325" s="43" t="s">
        <v>17</v>
      </c>
      <c r="C325" s="43" t="s">
        <v>1832</v>
      </c>
      <c r="D325" s="43" t="s">
        <v>1834</v>
      </c>
      <c r="E325" s="43" t="s">
        <v>1835</v>
      </c>
      <c r="F325" s="43">
        <v>1</v>
      </c>
      <c r="G325"/>
      <c r="H325"/>
    </row>
    <row r="326" spans="1:8" hidden="1" x14ac:dyDescent="0.25">
      <c r="A326" s="43">
        <v>42</v>
      </c>
      <c r="B326" s="43" t="s">
        <v>17</v>
      </c>
      <c r="C326" s="43" t="s">
        <v>1832</v>
      </c>
      <c r="D326" s="43" t="s">
        <v>1836</v>
      </c>
      <c r="E326" s="43" t="s">
        <v>1837</v>
      </c>
      <c r="F326" s="43">
        <v>1</v>
      </c>
      <c r="G326"/>
      <c r="H326"/>
    </row>
    <row r="327" spans="1:8" hidden="1" x14ac:dyDescent="0.25">
      <c r="A327" s="43">
        <v>42</v>
      </c>
      <c r="B327" s="43" t="s">
        <v>17</v>
      </c>
      <c r="C327" s="43" t="s">
        <v>1832</v>
      </c>
      <c r="D327" s="43" t="s">
        <v>1838</v>
      </c>
      <c r="E327" s="43" t="s">
        <v>686</v>
      </c>
      <c r="F327" s="43">
        <v>1</v>
      </c>
      <c r="H327"/>
    </row>
    <row r="328" spans="1:8" hidden="1" x14ac:dyDescent="0.25">
      <c r="A328" s="43">
        <v>42</v>
      </c>
      <c r="B328" s="43" t="s">
        <v>17</v>
      </c>
      <c r="C328" s="43" t="s">
        <v>1832</v>
      </c>
      <c r="D328" s="43" t="s">
        <v>1839</v>
      </c>
      <c r="E328" s="43" t="s">
        <v>1840</v>
      </c>
      <c r="F328" s="43">
        <v>1</v>
      </c>
      <c r="G328"/>
      <c r="H328"/>
    </row>
    <row r="329" spans="1:8" hidden="1" x14ac:dyDescent="0.25">
      <c r="A329" s="43">
        <v>42</v>
      </c>
      <c r="B329" s="43" t="s">
        <v>17</v>
      </c>
      <c r="C329" s="43" t="s">
        <v>1832</v>
      </c>
      <c r="D329" s="43" t="s">
        <v>1841</v>
      </c>
      <c r="E329" s="43" t="s">
        <v>929</v>
      </c>
      <c r="F329" s="43">
        <v>1</v>
      </c>
      <c r="G329"/>
      <c r="H329"/>
    </row>
    <row r="330" spans="1:8" hidden="1" x14ac:dyDescent="0.25">
      <c r="A330" s="43">
        <v>42</v>
      </c>
      <c r="B330" s="43" t="s">
        <v>17</v>
      </c>
      <c r="C330" s="43" t="s">
        <v>1832</v>
      </c>
      <c r="D330" s="43" t="s">
        <v>1842</v>
      </c>
      <c r="E330" s="43" t="s">
        <v>1214</v>
      </c>
      <c r="F330" s="43">
        <v>1</v>
      </c>
      <c r="G330"/>
      <c r="H330"/>
    </row>
    <row r="331" spans="1:8" hidden="1" x14ac:dyDescent="0.25">
      <c r="A331" s="43">
        <v>42</v>
      </c>
      <c r="B331" s="43" t="s">
        <v>17</v>
      </c>
      <c r="C331" s="43" t="s">
        <v>1832</v>
      </c>
      <c r="D331" s="43" t="s">
        <v>1833</v>
      </c>
      <c r="E331" s="43" t="s">
        <v>273</v>
      </c>
      <c r="F331" s="43">
        <v>1</v>
      </c>
      <c r="G331"/>
      <c r="H331"/>
    </row>
    <row r="332" spans="1:8" hidden="1" x14ac:dyDescent="0.25">
      <c r="A332" s="43">
        <v>42</v>
      </c>
      <c r="B332" s="43" t="s">
        <v>17</v>
      </c>
      <c r="C332" s="43" t="s">
        <v>1832</v>
      </c>
      <c r="D332" s="43" t="s">
        <v>1850</v>
      </c>
      <c r="E332" s="43" t="s">
        <v>1851</v>
      </c>
      <c r="F332" s="43">
        <v>2</v>
      </c>
      <c r="G332" s="92" t="s">
        <v>4501</v>
      </c>
      <c r="H332" s="43" t="s">
        <v>4502</v>
      </c>
    </row>
    <row r="333" spans="1:8" hidden="1" x14ac:dyDescent="0.25">
      <c r="A333" s="43">
        <v>42</v>
      </c>
      <c r="B333" s="43" t="s">
        <v>17</v>
      </c>
      <c r="C333" s="43" t="s">
        <v>1832</v>
      </c>
      <c r="D333" s="43" t="s">
        <v>1852</v>
      </c>
      <c r="E333" s="43" t="s">
        <v>1853</v>
      </c>
      <c r="F333" s="43">
        <v>2</v>
      </c>
      <c r="G333" s="92" t="s">
        <v>4501</v>
      </c>
      <c r="H333" s="43" t="s">
        <v>4502</v>
      </c>
    </row>
    <row r="334" spans="1:8" hidden="1" x14ac:dyDescent="0.25">
      <c r="A334" s="43">
        <v>42</v>
      </c>
      <c r="B334" s="43" t="s">
        <v>17</v>
      </c>
      <c r="C334" s="43" t="s">
        <v>1832</v>
      </c>
      <c r="D334" s="43" t="s">
        <v>1843</v>
      </c>
      <c r="E334" s="43" t="s">
        <v>1844</v>
      </c>
      <c r="F334" s="43">
        <v>1</v>
      </c>
      <c r="G334"/>
      <c r="H334"/>
    </row>
    <row r="335" spans="1:8" hidden="1" x14ac:dyDescent="0.25">
      <c r="A335" s="43">
        <v>48</v>
      </c>
      <c r="B335" s="43" t="s">
        <v>18</v>
      </c>
      <c r="C335" s="43" t="s">
        <v>859</v>
      </c>
      <c r="D335" s="43" t="s">
        <v>872</v>
      </c>
      <c r="E335" s="43" t="s">
        <v>873</v>
      </c>
      <c r="F335" s="43">
        <v>1</v>
      </c>
      <c r="G335"/>
      <c r="H335"/>
    </row>
    <row r="336" spans="1:8" hidden="1" x14ac:dyDescent="0.25">
      <c r="A336" s="43">
        <v>48</v>
      </c>
      <c r="B336" s="43" t="s">
        <v>18</v>
      </c>
      <c r="C336" s="43" t="s">
        <v>859</v>
      </c>
      <c r="D336" s="43" t="s">
        <v>874</v>
      </c>
      <c r="E336" s="43" t="s">
        <v>875</v>
      </c>
      <c r="F336" s="43">
        <v>1</v>
      </c>
      <c r="G336"/>
      <c r="H336"/>
    </row>
    <row r="337" spans="1:8" hidden="1" x14ac:dyDescent="0.25">
      <c r="A337" s="43">
        <v>48</v>
      </c>
      <c r="B337" s="43" t="s">
        <v>18</v>
      </c>
      <c r="C337" s="43" t="s">
        <v>859</v>
      </c>
      <c r="D337" s="43" t="s">
        <v>876</v>
      </c>
      <c r="E337" s="43" t="s">
        <v>372</v>
      </c>
      <c r="F337" s="43">
        <v>1</v>
      </c>
      <c r="G337"/>
      <c r="H337"/>
    </row>
    <row r="338" spans="1:8" hidden="1" x14ac:dyDescent="0.25">
      <c r="A338" s="43">
        <v>48</v>
      </c>
      <c r="B338" s="43" t="s">
        <v>18</v>
      </c>
      <c r="C338" s="43" t="s">
        <v>859</v>
      </c>
      <c r="D338" s="43" t="s">
        <v>860</v>
      </c>
      <c r="E338" s="43" t="s">
        <v>273</v>
      </c>
      <c r="F338" s="43">
        <v>1</v>
      </c>
      <c r="G338"/>
      <c r="H338"/>
    </row>
    <row r="339" spans="1:8" hidden="1" x14ac:dyDescent="0.25">
      <c r="A339" s="43">
        <v>48</v>
      </c>
      <c r="B339" s="43" t="s">
        <v>18</v>
      </c>
      <c r="C339" s="43" t="s">
        <v>859</v>
      </c>
      <c r="D339" s="43" t="s">
        <v>861</v>
      </c>
      <c r="E339" s="43" t="s">
        <v>275</v>
      </c>
      <c r="F339" s="43">
        <v>1</v>
      </c>
      <c r="G339"/>
      <c r="H339"/>
    </row>
    <row r="340" spans="1:8" hidden="1" x14ac:dyDescent="0.25">
      <c r="A340" s="43">
        <v>48</v>
      </c>
      <c r="B340" s="43" t="s">
        <v>18</v>
      </c>
      <c r="C340" s="43" t="s">
        <v>859</v>
      </c>
      <c r="D340" s="43" t="s">
        <v>862</v>
      </c>
      <c r="E340" s="43" t="s">
        <v>277</v>
      </c>
      <c r="F340" s="43">
        <v>1</v>
      </c>
      <c r="G340"/>
      <c r="H340"/>
    </row>
    <row r="341" spans="1:8" hidden="1" x14ac:dyDescent="0.25">
      <c r="A341" s="43">
        <v>48</v>
      </c>
      <c r="B341" s="43" t="s">
        <v>18</v>
      </c>
      <c r="C341" s="43" t="s">
        <v>859</v>
      </c>
      <c r="D341" s="43" t="s">
        <v>871</v>
      </c>
      <c r="E341" s="43" t="s">
        <v>295</v>
      </c>
      <c r="F341" s="43">
        <v>1</v>
      </c>
      <c r="G341"/>
      <c r="H341"/>
    </row>
    <row r="342" spans="1:8" hidden="1" x14ac:dyDescent="0.25">
      <c r="A342" s="43">
        <v>48</v>
      </c>
      <c r="B342" s="43" t="s">
        <v>18</v>
      </c>
      <c r="C342" s="43" t="s">
        <v>859</v>
      </c>
      <c r="D342" s="43" t="s">
        <v>865</v>
      </c>
      <c r="E342" s="43" t="s">
        <v>866</v>
      </c>
      <c r="F342" s="43">
        <v>0</v>
      </c>
      <c r="G342" s="43" t="s">
        <v>4583</v>
      </c>
      <c r="H342"/>
    </row>
    <row r="343" spans="1:8" hidden="1" x14ac:dyDescent="0.25">
      <c r="A343" s="43">
        <v>48</v>
      </c>
      <c r="B343" s="43" t="s">
        <v>18</v>
      </c>
      <c r="C343" s="43" t="s">
        <v>859</v>
      </c>
      <c r="D343" s="43" t="s">
        <v>867</v>
      </c>
      <c r="E343" s="43" t="s">
        <v>3016</v>
      </c>
      <c r="F343" s="43">
        <v>1</v>
      </c>
      <c r="G343"/>
      <c r="H343"/>
    </row>
    <row r="344" spans="1:8" hidden="1" x14ac:dyDescent="0.25">
      <c r="A344" s="43">
        <v>48</v>
      </c>
      <c r="B344" s="43" t="s">
        <v>18</v>
      </c>
      <c r="C344" s="43" t="s">
        <v>859</v>
      </c>
      <c r="D344" s="43" t="s">
        <v>869</v>
      </c>
      <c r="E344" s="43" t="s">
        <v>870</v>
      </c>
      <c r="F344" s="43">
        <v>0</v>
      </c>
      <c r="G344" s="43" t="s">
        <v>4583</v>
      </c>
      <c r="H344"/>
    </row>
    <row r="345" spans="1:8" hidden="1" x14ac:dyDescent="0.25">
      <c r="A345" s="43">
        <v>48</v>
      </c>
      <c r="B345" s="43" t="s">
        <v>18</v>
      </c>
      <c r="C345" s="43" t="s">
        <v>859</v>
      </c>
      <c r="D345" s="43" t="s">
        <v>863</v>
      </c>
      <c r="E345" s="43" t="s">
        <v>283</v>
      </c>
      <c r="F345" s="43">
        <v>0</v>
      </c>
      <c r="G345" s="43" t="s">
        <v>4583</v>
      </c>
      <c r="H345"/>
    </row>
    <row r="346" spans="1:8" hidden="1" x14ac:dyDescent="0.25">
      <c r="A346" s="43">
        <v>48</v>
      </c>
      <c r="B346" s="43" t="s">
        <v>18</v>
      </c>
      <c r="C346" s="43" t="s">
        <v>859</v>
      </c>
      <c r="D346" s="43" t="s">
        <v>864</v>
      </c>
      <c r="E346" s="43" t="s">
        <v>289</v>
      </c>
      <c r="F346" s="43">
        <v>0</v>
      </c>
      <c r="G346" s="43" t="s">
        <v>4583</v>
      </c>
      <c r="H346"/>
    </row>
    <row r="347" spans="1:8" hidden="1" x14ac:dyDescent="0.25">
      <c r="A347" s="43">
        <v>49</v>
      </c>
      <c r="B347" s="43" t="s">
        <v>18</v>
      </c>
      <c r="C347" s="43" t="s">
        <v>859</v>
      </c>
      <c r="D347" s="43" t="s">
        <v>872</v>
      </c>
      <c r="E347" s="43" t="s">
        <v>873</v>
      </c>
      <c r="F347" s="43">
        <v>1</v>
      </c>
      <c r="G347"/>
      <c r="H347"/>
    </row>
    <row r="348" spans="1:8" hidden="1" x14ac:dyDescent="0.25">
      <c r="A348" s="43">
        <v>49</v>
      </c>
      <c r="B348" s="43" t="s">
        <v>18</v>
      </c>
      <c r="C348" s="43" t="s">
        <v>859</v>
      </c>
      <c r="D348" s="43" t="s">
        <v>874</v>
      </c>
      <c r="E348" s="43" t="s">
        <v>875</v>
      </c>
      <c r="F348" s="89">
        <v>1</v>
      </c>
      <c r="H348"/>
    </row>
    <row r="349" spans="1:8" hidden="1" x14ac:dyDescent="0.25">
      <c r="A349" s="43">
        <v>49</v>
      </c>
      <c r="B349" s="43" t="s">
        <v>18</v>
      </c>
      <c r="C349" s="43" t="s">
        <v>859</v>
      </c>
      <c r="D349" s="43" t="s">
        <v>876</v>
      </c>
      <c r="E349" s="43" t="s">
        <v>372</v>
      </c>
      <c r="F349" s="89">
        <v>1</v>
      </c>
      <c r="H349"/>
    </row>
    <row r="350" spans="1:8" hidden="1" x14ac:dyDescent="0.25">
      <c r="A350" s="43">
        <v>49</v>
      </c>
      <c r="B350" s="43" t="s">
        <v>18</v>
      </c>
      <c r="C350" s="43" t="s">
        <v>859</v>
      </c>
      <c r="D350" s="43" t="s">
        <v>860</v>
      </c>
      <c r="E350" s="43" t="s">
        <v>273</v>
      </c>
      <c r="F350" s="43">
        <v>1</v>
      </c>
      <c r="G350"/>
      <c r="H350"/>
    </row>
    <row r="351" spans="1:8" hidden="1" x14ac:dyDescent="0.25">
      <c r="A351" s="43">
        <v>49</v>
      </c>
      <c r="B351" s="43" t="s">
        <v>18</v>
      </c>
      <c r="C351" s="43" t="s">
        <v>859</v>
      </c>
      <c r="D351" s="43" t="s">
        <v>861</v>
      </c>
      <c r="E351" s="43" t="s">
        <v>275</v>
      </c>
      <c r="F351" s="43">
        <v>1</v>
      </c>
      <c r="G351"/>
      <c r="H351"/>
    </row>
    <row r="352" spans="1:8" hidden="1" x14ac:dyDescent="0.25">
      <c r="A352" s="43">
        <v>49</v>
      </c>
      <c r="B352" s="43" t="s">
        <v>18</v>
      </c>
      <c r="C352" s="43" t="s">
        <v>859</v>
      </c>
      <c r="D352" s="43" t="s">
        <v>862</v>
      </c>
      <c r="E352" s="43" t="s">
        <v>277</v>
      </c>
      <c r="F352" s="43">
        <v>1</v>
      </c>
      <c r="G352"/>
      <c r="H352"/>
    </row>
    <row r="353" spans="1:8" hidden="1" x14ac:dyDescent="0.25">
      <c r="A353" s="43">
        <v>49</v>
      </c>
      <c r="B353" s="43" t="s">
        <v>18</v>
      </c>
      <c r="C353" s="43" t="s">
        <v>859</v>
      </c>
      <c r="D353" s="43" t="s">
        <v>871</v>
      </c>
      <c r="E353" s="43" t="s">
        <v>295</v>
      </c>
      <c r="F353" s="43">
        <v>0</v>
      </c>
      <c r="G353" s="43" t="s">
        <v>4583</v>
      </c>
      <c r="H353"/>
    </row>
    <row r="354" spans="1:8" hidden="1" x14ac:dyDescent="0.25">
      <c r="A354" s="43">
        <v>49</v>
      </c>
      <c r="B354" s="43" t="s">
        <v>18</v>
      </c>
      <c r="C354" s="43" t="s">
        <v>859</v>
      </c>
      <c r="D354" s="43" t="s">
        <v>865</v>
      </c>
      <c r="E354" s="43" t="s">
        <v>866</v>
      </c>
      <c r="F354" s="43">
        <v>0</v>
      </c>
      <c r="G354" s="43" t="s">
        <v>4583</v>
      </c>
      <c r="H354"/>
    </row>
    <row r="355" spans="1:8" hidden="1" x14ac:dyDescent="0.25">
      <c r="A355" s="43">
        <v>49</v>
      </c>
      <c r="B355" s="43" t="s">
        <v>18</v>
      </c>
      <c r="C355" s="43" t="s">
        <v>859</v>
      </c>
      <c r="D355" s="43" t="s">
        <v>867</v>
      </c>
      <c r="E355" s="43" t="s">
        <v>3016</v>
      </c>
      <c r="F355" s="89">
        <v>2</v>
      </c>
      <c r="G355" s="43" t="s">
        <v>4586</v>
      </c>
      <c r="H355"/>
    </row>
    <row r="356" spans="1:8" hidden="1" x14ac:dyDescent="0.25">
      <c r="A356" s="43">
        <v>49</v>
      </c>
      <c r="B356" s="43" t="s">
        <v>18</v>
      </c>
      <c r="C356" s="43" t="s">
        <v>859</v>
      </c>
      <c r="D356" s="43" t="s">
        <v>869</v>
      </c>
      <c r="E356" s="43" t="s">
        <v>870</v>
      </c>
      <c r="F356" s="43">
        <v>0</v>
      </c>
      <c r="G356" s="43" t="s">
        <v>4583</v>
      </c>
      <c r="H356"/>
    </row>
    <row r="357" spans="1:8" hidden="1" x14ac:dyDescent="0.25">
      <c r="A357" s="43">
        <v>49</v>
      </c>
      <c r="B357" s="43" t="s">
        <v>18</v>
      </c>
      <c r="C357" s="43" t="s">
        <v>859</v>
      </c>
      <c r="D357" s="43" t="s">
        <v>863</v>
      </c>
      <c r="E357" s="43" t="s">
        <v>283</v>
      </c>
      <c r="F357" s="43">
        <v>0</v>
      </c>
      <c r="G357" s="43" t="s">
        <v>4583</v>
      </c>
      <c r="H357"/>
    </row>
    <row r="358" spans="1:8" hidden="1" x14ac:dyDescent="0.25">
      <c r="A358" s="43">
        <v>49</v>
      </c>
      <c r="B358" s="43" t="s">
        <v>18</v>
      </c>
      <c r="C358" s="43" t="s">
        <v>859</v>
      </c>
      <c r="D358" s="43" t="s">
        <v>864</v>
      </c>
      <c r="E358" s="43" t="s">
        <v>289</v>
      </c>
      <c r="F358" s="43">
        <v>0</v>
      </c>
      <c r="G358" s="43" t="s">
        <v>4583</v>
      </c>
      <c r="H358"/>
    </row>
    <row r="359" spans="1:8" hidden="1" x14ac:dyDescent="0.25">
      <c r="A359" s="43">
        <v>50</v>
      </c>
      <c r="B359" s="43" t="s">
        <v>18</v>
      </c>
      <c r="C359" s="43" t="s">
        <v>859</v>
      </c>
      <c r="D359" s="43" t="s">
        <v>872</v>
      </c>
      <c r="E359" s="43" t="s">
        <v>873</v>
      </c>
      <c r="F359" s="43">
        <v>1</v>
      </c>
      <c r="G359"/>
      <c r="H359"/>
    </row>
    <row r="360" spans="1:8" hidden="1" x14ac:dyDescent="0.25">
      <c r="A360" s="43">
        <v>50</v>
      </c>
      <c r="B360" s="43" t="s">
        <v>18</v>
      </c>
      <c r="C360" s="43" t="s">
        <v>859</v>
      </c>
      <c r="D360" s="43" t="s">
        <v>874</v>
      </c>
      <c r="E360" s="43" t="s">
        <v>875</v>
      </c>
      <c r="F360" s="43">
        <v>0</v>
      </c>
      <c r="G360" s="43" t="s">
        <v>4583</v>
      </c>
      <c r="H360"/>
    </row>
    <row r="361" spans="1:8" hidden="1" x14ac:dyDescent="0.25">
      <c r="A361" s="43">
        <v>50</v>
      </c>
      <c r="B361" s="43" t="s">
        <v>18</v>
      </c>
      <c r="C361" s="43" t="s">
        <v>859</v>
      </c>
      <c r="D361" s="43" t="s">
        <v>876</v>
      </c>
      <c r="E361" s="43" t="s">
        <v>372</v>
      </c>
      <c r="F361" s="43">
        <v>0</v>
      </c>
      <c r="G361" s="43" t="s">
        <v>4583</v>
      </c>
      <c r="H361"/>
    </row>
    <row r="362" spans="1:8" hidden="1" x14ac:dyDescent="0.25">
      <c r="A362" s="43">
        <v>50</v>
      </c>
      <c r="B362" s="43" t="s">
        <v>18</v>
      </c>
      <c r="C362" s="43" t="s">
        <v>859</v>
      </c>
      <c r="D362" s="43" t="s">
        <v>860</v>
      </c>
      <c r="E362" s="43" t="s">
        <v>273</v>
      </c>
      <c r="F362" s="43">
        <v>1</v>
      </c>
      <c r="G362"/>
      <c r="H362"/>
    </row>
    <row r="363" spans="1:8" hidden="1" x14ac:dyDescent="0.25">
      <c r="A363" s="43">
        <v>50</v>
      </c>
      <c r="B363" s="43" t="s">
        <v>18</v>
      </c>
      <c r="C363" s="43" t="s">
        <v>859</v>
      </c>
      <c r="D363" s="43" t="s">
        <v>861</v>
      </c>
      <c r="E363" s="43" t="s">
        <v>275</v>
      </c>
      <c r="F363" s="43">
        <v>1</v>
      </c>
      <c r="G363"/>
      <c r="H363"/>
    </row>
    <row r="364" spans="1:8" hidden="1" x14ac:dyDescent="0.25">
      <c r="A364" s="43">
        <v>50</v>
      </c>
      <c r="B364" s="43" t="s">
        <v>18</v>
      </c>
      <c r="C364" s="43" t="s">
        <v>859</v>
      </c>
      <c r="D364" s="43" t="s">
        <v>862</v>
      </c>
      <c r="E364" s="43" t="s">
        <v>277</v>
      </c>
      <c r="F364" s="43">
        <v>0</v>
      </c>
      <c r="G364" s="43" t="s">
        <v>4583</v>
      </c>
      <c r="H364"/>
    </row>
    <row r="365" spans="1:8" hidden="1" x14ac:dyDescent="0.25">
      <c r="A365" s="43">
        <v>50</v>
      </c>
      <c r="B365" s="43" t="s">
        <v>18</v>
      </c>
      <c r="C365" s="43" t="s">
        <v>859</v>
      </c>
      <c r="D365" s="43" t="s">
        <v>871</v>
      </c>
      <c r="E365" s="43" t="s">
        <v>295</v>
      </c>
      <c r="F365" s="43">
        <v>0</v>
      </c>
      <c r="G365" s="43" t="s">
        <v>4583</v>
      </c>
      <c r="H365"/>
    </row>
    <row r="366" spans="1:8" hidden="1" x14ac:dyDescent="0.25">
      <c r="A366" s="43">
        <v>50</v>
      </c>
      <c r="B366" s="43" t="s">
        <v>18</v>
      </c>
      <c r="C366" s="43" t="s">
        <v>859</v>
      </c>
      <c r="D366" s="43" t="s">
        <v>865</v>
      </c>
      <c r="E366" s="43" t="s">
        <v>866</v>
      </c>
      <c r="F366" s="43">
        <v>0</v>
      </c>
      <c r="G366" s="43" t="s">
        <v>4583</v>
      </c>
      <c r="H366"/>
    </row>
    <row r="367" spans="1:8" hidden="1" x14ac:dyDescent="0.25">
      <c r="A367" s="43">
        <v>50</v>
      </c>
      <c r="B367" s="43" t="s">
        <v>18</v>
      </c>
      <c r="C367" s="43" t="s">
        <v>859</v>
      </c>
      <c r="D367" s="43" t="s">
        <v>867</v>
      </c>
      <c r="E367" s="43" t="s">
        <v>3016</v>
      </c>
      <c r="F367" s="43">
        <v>0</v>
      </c>
      <c r="G367" s="43" t="s">
        <v>4583</v>
      </c>
      <c r="H367"/>
    </row>
    <row r="368" spans="1:8" hidden="1" x14ac:dyDescent="0.25">
      <c r="A368" s="43">
        <v>50</v>
      </c>
      <c r="B368" s="43" t="s">
        <v>18</v>
      </c>
      <c r="C368" s="43" t="s">
        <v>859</v>
      </c>
      <c r="D368" s="43" t="s">
        <v>869</v>
      </c>
      <c r="E368" s="43" t="s">
        <v>870</v>
      </c>
      <c r="F368" s="43">
        <v>0</v>
      </c>
      <c r="G368" s="43" t="s">
        <v>4583</v>
      </c>
      <c r="H368"/>
    </row>
    <row r="369" spans="1:8" hidden="1" x14ac:dyDescent="0.25">
      <c r="A369" s="43">
        <v>50</v>
      </c>
      <c r="B369" s="43" t="s">
        <v>18</v>
      </c>
      <c r="C369" s="43" t="s">
        <v>859</v>
      </c>
      <c r="D369" s="43" t="s">
        <v>863</v>
      </c>
      <c r="E369" s="43" t="s">
        <v>283</v>
      </c>
      <c r="F369" s="43">
        <v>0</v>
      </c>
      <c r="G369" s="43" t="s">
        <v>4583</v>
      </c>
      <c r="H369"/>
    </row>
    <row r="370" spans="1:8" hidden="1" x14ac:dyDescent="0.25">
      <c r="A370" s="43">
        <v>51</v>
      </c>
      <c r="B370" s="43" t="s">
        <v>19</v>
      </c>
      <c r="C370" s="43" t="s">
        <v>581</v>
      </c>
      <c r="D370" s="43" t="s">
        <v>585</v>
      </c>
      <c r="E370" s="43" t="s">
        <v>586</v>
      </c>
      <c r="F370" s="43">
        <v>0</v>
      </c>
      <c r="G370" s="43" t="s">
        <v>4583</v>
      </c>
      <c r="H370"/>
    </row>
    <row r="371" spans="1:8" hidden="1" x14ac:dyDescent="0.25">
      <c r="A371" s="43">
        <v>51</v>
      </c>
      <c r="B371" s="43" t="s">
        <v>19</v>
      </c>
      <c r="C371" s="43" t="s">
        <v>581</v>
      </c>
      <c r="D371" s="43" t="s">
        <v>593</v>
      </c>
      <c r="E371" s="43" t="s">
        <v>594</v>
      </c>
      <c r="F371" s="43">
        <v>1</v>
      </c>
      <c r="G371"/>
      <c r="H371"/>
    </row>
    <row r="372" spans="1:8" hidden="1" x14ac:dyDescent="0.25">
      <c r="A372" s="43">
        <v>51</v>
      </c>
      <c r="B372" s="43" t="s">
        <v>19</v>
      </c>
      <c r="C372" s="43" t="s">
        <v>581</v>
      </c>
      <c r="D372" s="43" t="s">
        <v>587</v>
      </c>
      <c r="E372" s="43" t="s">
        <v>588</v>
      </c>
      <c r="F372" s="43">
        <v>1</v>
      </c>
      <c r="G372"/>
      <c r="H372"/>
    </row>
    <row r="373" spans="1:8" hidden="1" x14ac:dyDescent="0.25">
      <c r="A373" s="43">
        <v>51</v>
      </c>
      <c r="B373" s="43" t="s">
        <v>19</v>
      </c>
      <c r="C373" s="43" t="s">
        <v>581</v>
      </c>
      <c r="D373" s="43" t="s">
        <v>604</v>
      </c>
      <c r="E373" s="43" t="s">
        <v>605</v>
      </c>
      <c r="F373" s="43">
        <v>0</v>
      </c>
      <c r="G373" s="43" t="s">
        <v>4583</v>
      </c>
      <c r="H373"/>
    </row>
    <row r="374" spans="1:8" hidden="1" x14ac:dyDescent="0.25">
      <c r="A374" s="43">
        <v>51</v>
      </c>
      <c r="B374" s="43" t="s">
        <v>19</v>
      </c>
      <c r="C374" s="43" t="s">
        <v>581</v>
      </c>
      <c r="D374" s="43" t="s">
        <v>582</v>
      </c>
      <c r="E374" s="43" t="s">
        <v>583</v>
      </c>
      <c r="F374" s="43">
        <v>0</v>
      </c>
      <c r="G374" s="43" t="s">
        <v>4583</v>
      </c>
      <c r="H374"/>
    </row>
    <row r="375" spans="1:8" hidden="1" x14ac:dyDescent="0.25">
      <c r="A375" s="43">
        <v>51</v>
      </c>
      <c r="B375" s="43" t="s">
        <v>19</v>
      </c>
      <c r="C375" s="43" t="s">
        <v>581</v>
      </c>
      <c r="D375" s="43" t="s">
        <v>584</v>
      </c>
      <c r="E375" s="43" t="s">
        <v>306</v>
      </c>
      <c r="F375" s="43">
        <v>1</v>
      </c>
      <c r="G375"/>
      <c r="H375"/>
    </row>
    <row r="376" spans="1:8" hidden="1" x14ac:dyDescent="0.25">
      <c r="A376" s="43">
        <v>51</v>
      </c>
      <c r="B376" s="43" t="s">
        <v>19</v>
      </c>
      <c r="C376" s="43" t="s">
        <v>581</v>
      </c>
      <c r="D376" s="43" t="s">
        <v>592</v>
      </c>
      <c r="E376" s="43" t="s">
        <v>275</v>
      </c>
      <c r="F376" s="43">
        <v>1</v>
      </c>
      <c r="G376"/>
      <c r="H376"/>
    </row>
    <row r="377" spans="1:8" hidden="1" x14ac:dyDescent="0.25">
      <c r="A377" s="43">
        <v>51</v>
      </c>
      <c r="B377" s="43" t="s">
        <v>19</v>
      </c>
      <c r="C377" s="43" t="s">
        <v>581</v>
      </c>
      <c r="D377" s="43" t="s">
        <v>606</v>
      </c>
      <c r="E377" s="43" t="s">
        <v>503</v>
      </c>
      <c r="F377" s="43">
        <v>1</v>
      </c>
      <c r="G377"/>
      <c r="H377"/>
    </row>
    <row r="378" spans="1:8" hidden="1" x14ac:dyDescent="0.25">
      <c r="A378" s="43">
        <v>51</v>
      </c>
      <c r="B378" s="43" t="s">
        <v>19</v>
      </c>
      <c r="C378" s="43" t="s">
        <v>581</v>
      </c>
      <c r="D378" s="43" t="s">
        <v>607</v>
      </c>
      <c r="E378" s="43" t="s">
        <v>505</v>
      </c>
      <c r="F378" s="43">
        <v>1</v>
      </c>
      <c r="G378"/>
      <c r="H378"/>
    </row>
    <row r="379" spans="1:8" hidden="1" x14ac:dyDescent="0.25">
      <c r="A379" s="43">
        <v>51</v>
      </c>
      <c r="B379" s="43" t="s">
        <v>19</v>
      </c>
      <c r="C379" s="43" t="s">
        <v>581</v>
      </c>
      <c r="D379" s="43" t="s">
        <v>608</v>
      </c>
      <c r="E379" s="43" t="s">
        <v>609</v>
      </c>
      <c r="F379" s="43">
        <v>0</v>
      </c>
      <c r="G379" s="43" t="s">
        <v>4583</v>
      </c>
      <c r="H379"/>
    </row>
    <row r="380" spans="1:8" hidden="1" x14ac:dyDescent="0.25">
      <c r="A380" s="43">
        <v>51</v>
      </c>
      <c r="B380" s="43" t="s">
        <v>19</v>
      </c>
      <c r="C380" s="43" t="s">
        <v>581</v>
      </c>
      <c r="D380" s="43" t="s">
        <v>598</v>
      </c>
      <c r="E380" s="43" t="s">
        <v>599</v>
      </c>
      <c r="F380" s="43">
        <v>0</v>
      </c>
      <c r="G380" s="43" t="s">
        <v>4583</v>
      </c>
      <c r="H380"/>
    </row>
    <row r="381" spans="1:8" hidden="1" x14ac:dyDescent="0.25">
      <c r="A381" s="43">
        <v>51</v>
      </c>
      <c r="B381" s="43" t="s">
        <v>19</v>
      </c>
      <c r="C381" s="43" t="s">
        <v>581</v>
      </c>
      <c r="D381" s="43" t="s">
        <v>600</v>
      </c>
      <c r="E381" s="43" t="s">
        <v>601</v>
      </c>
      <c r="F381" s="43">
        <v>1</v>
      </c>
      <c r="G381"/>
      <c r="H381"/>
    </row>
    <row r="382" spans="1:8" hidden="1" x14ac:dyDescent="0.25">
      <c r="A382" s="43">
        <v>51</v>
      </c>
      <c r="B382" s="43" t="s">
        <v>19</v>
      </c>
      <c r="C382" s="43" t="s">
        <v>581</v>
      </c>
      <c r="D382" s="43" t="s">
        <v>602</v>
      </c>
      <c r="E382" s="43" t="s">
        <v>603</v>
      </c>
      <c r="F382" s="43">
        <v>1</v>
      </c>
      <c r="G382"/>
      <c r="H382"/>
    </row>
    <row r="383" spans="1:8" hidden="1" x14ac:dyDescent="0.25">
      <c r="A383" s="43">
        <v>51</v>
      </c>
      <c r="B383" s="43" t="s">
        <v>19</v>
      </c>
      <c r="C383" s="43" t="s">
        <v>581</v>
      </c>
      <c r="D383" s="43" t="s">
        <v>589</v>
      </c>
      <c r="E383" s="43" t="s">
        <v>312</v>
      </c>
      <c r="F383" s="43">
        <v>1</v>
      </c>
      <c r="G383"/>
      <c r="H383"/>
    </row>
    <row r="384" spans="1:8" hidden="1" x14ac:dyDescent="0.25">
      <c r="A384" s="43">
        <v>51</v>
      </c>
      <c r="B384" s="43" t="s">
        <v>19</v>
      </c>
      <c r="C384" s="43" t="s">
        <v>581</v>
      </c>
      <c r="D384" s="43" t="s">
        <v>590</v>
      </c>
      <c r="E384" s="43" t="s">
        <v>493</v>
      </c>
      <c r="F384" s="43">
        <v>1</v>
      </c>
      <c r="G384"/>
      <c r="H384"/>
    </row>
    <row r="385" spans="1:8" hidden="1" x14ac:dyDescent="0.25">
      <c r="A385" s="43">
        <v>51</v>
      </c>
      <c r="B385" s="43" t="s">
        <v>19</v>
      </c>
      <c r="C385" s="43" t="s">
        <v>581</v>
      </c>
      <c r="D385" s="43" t="s">
        <v>591</v>
      </c>
      <c r="E385" s="43" t="s">
        <v>314</v>
      </c>
      <c r="F385" s="43">
        <v>1</v>
      </c>
      <c r="G385"/>
      <c r="H385"/>
    </row>
    <row r="386" spans="1:8" hidden="1" x14ac:dyDescent="0.25">
      <c r="A386" s="43">
        <v>51</v>
      </c>
      <c r="B386" s="43" t="s">
        <v>19</v>
      </c>
      <c r="C386" s="43" t="s">
        <v>581</v>
      </c>
      <c r="D386" s="43" t="s">
        <v>595</v>
      </c>
      <c r="E386" s="43" t="s">
        <v>349</v>
      </c>
      <c r="F386" s="43">
        <v>1</v>
      </c>
      <c r="G386"/>
      <c r="H386"/>
    </row>
    <row r="387" spans="1:8" hidden="1" x14ac:dyDescent="0.25">
      <c r="A387" s="43">
        <v>51</v>
      </c>
      <c r="B387" s="43" t="s">
        <v>19</v>
      </c>
      <c r="C387" s="43" t="s">
        <v>581</v>
      </c>
      <c r="D387" s="43" t="s">
        <v>596</v>
      </c>
      <c r="E387" s="43" t="s">
        <v>597</v>
      </c>
      <c r="F387" s="43">
        <v>1</v>
      </c>
      <c r="G387"/>
      <c r="H387"/>
    </row>
    <row r="388" spans="1:8" hidden="1" x14ac:dyDescent="0.25">
      <c r="A388" s="43">
        <v>52</v>
      </c>
      <c r="B388" s="43" t="s">
        <v>20</v>
      </c>
      <c r="C388" s="43" t="s">
        <v>422</v>
      </c>
      <c r="D388" s="43" t="s">
        <v>423</v>
      </c>
      <c r="E388" s="43" t="s">
        <v>424</v>
      </c>
      <c r="F388" s="43">
        <v>1</v>
      </c>
      <c r="G388"/>
      <c r="H388"/>
    </row>
    <row r="389" spans="1:8" hidden="1" x14ac:dyDescent="0.25">
      <c r="A389" s="43">
        <v>52</v>
      </c>
      <c r="B389" s="43" t="s">
        <v>20</v>
      </c>
      <c r="C389" s="43" t="s">
        <v>422</v>
      </c>
      <c r="D389" s="43" t="s">
        <v>425</v>
      </c>
      <c r="E389" s="43" t="s">
        <v>426</v>
      </c>
      <c r="F389" s="43">
        <v>1</v>
      </c>
      <c r="G389"/>
      <c r="H389"/>
    </row>
    <row r="390" spans="1:8" hidden="1" x14ac:dyDescent="0.25">
      <c r="A390" s="43">
        <v>52</v>
      </c>
      <c r="B390" s="43" t="s">
        <v>20</v>
      </c>
      <c r="C390" s="43" t="s">
        <v>422</v>
      </c>
      <c r="D390" s="43" t="s">
        <v>427</v>
      </c>
      <c r="E390" s="43" t="s">
        <v>428</v>
      </c>
      <c r="F390" s="43">
        <v>1</v>
      </c>
      <c r="G390"/>
      <c r="H390"/>
    </row>
    <row r="391" spans="1:8" hidden="1" x14ac:dyDescent="0.25">
      <c r="A391" s="43">
        <v>52</v>
      </c>
      <c r="B391" s="43" t="s">
        <v>20</v>
      </c>
      <c r="C391" s="43" t="s">
        <v>422</v>
      </c>
      <c r="D391" s="43" t="s">
        <v>429</v>
      </c>
      <c r="E391" s="43" t="s">
        <v>430</v>
      </c>
      <c r="F391" s="43">
        <v>1</v>
      </c>
      <c r="G391"/>
      <c r="H391"/>
    </row>
    <row r="392" spans="1:8" hidden="1" x14ac:dyDescent="0.25">
      <c r="A392" s="43">
        <v>52</v>
      </c>
      <c r="B392" s="43" t="s">
        <v>20</v>
      </c>
      <c r="C392" s="43" t="s">
        <v>422</v>
      </c>
      <c r="D392" s="43" t="s">
        <v>431</v>
      </c>
      <c r="E392" s="43" t="s">
        <v>432</v>
      </c>
      <c r="F392" s="43">
        <v>1</v>
      </c>
      <c r="G392"/>
      <c r="H392"/>
    </row>
    <row r="393" spans="1:8" hidden="1" x14ac:dyDescent="0.25">
      <c r="A393" s="43">
        <v>52</v>
      </c>
      <c r="B393" s="43" t="s">
        <v>20</v>
      </c>
      <c r="C393" s="43" t="s">
        <v>422</v>
      </c>
      <c r="D393" s="43" t="s">
        <v>433</v>
      </c>
      <c r="E393" s="43" t="s">
        <v>434</v>
      </c>
      <c r="F393" s="43">
        <v>1</v>
      </c>
      <c r="G393"/>
      <c r="H393"/>
    </row>
    <row r="394" spans="1:8" hidden="1" x14ac:dyDescent="0.25">
      <c r="A394" s="43">
        <v>52</v>
      </c>
      <c r="B394" s="43" t="s">
        <v>20</v>
      </c>
      <c r="C394" s="43" t="s">
        <v>422</v>
      </c>
      <c r="D394" s="43" t="s">
        <v>435</v>
      </c>
      <c r="E394" s="43" t="s">
        <v>436</v>
      </c>
      <c r="F394" s="43">
        <v>1</v>
      </c>
      <c r="G394"/>
      <c r="H394"/>
    </row>
    <row r="395" spans="1:8" hidden="1" x14ac:dyDescent="0.25">
      <c r="A395" s="43">
        <v>52</v>
      </c>
      <c r="B395" s="43" t="s">
        <v>20</v>
      </c>
      <c r="C395" s="43" t="s">
        <v>422</v>
      </c>
      <c r="D395" s="43" t="s">
        <v>437</v>
      </c>
      <c r="E395" s="43" t="s">
        <v>438</v>
      </c>
      <c r="F395" s="43">
        <v>1</v>
      </c>
      <c r="G395"/>
      <c r="H395"/>
    </row>
    <row r="396" spans="1:8" hidden="1" x14ac:dyDescent="0.25">
      <c r="A396" s="43">
        <v>52</v>
      </c>
      <c r="B396" s="43" t="s">
        <v>20</v>
      </c>
      <c r="C396" s="43" t="s">
        <v>422</v>
      </c>
      <c r="D396" s="43" t="s">
        <v>439</v>
      </c>
      <c r="E396" s="43" t="s">
        <v>440</v>
      </c>
      <c r="F396" s="43">
        <v>1</v>
      </c>
      <c r="G396"/>
      <c r="H396"/>
    </row>
    <row r="397" spans="1:8" hidden="1" x14ac:dyDescent="0.25">
      <c r="A397" s="43">
        <v>52</v>
      </c>
      <c r="B397" s="43" t="s">
        <v>20</v>
      </c>
      <c r="C397" s="43" t="s">
        <v>422</v>
      </c>
      <c r="D397" s="43" t="s">
        <v>441</v>
      </c>
      <c r="E397" s="43" t="s">
        <v>442</v>
      </c>
      <c r="F397" s="43">
        <v>0</v>
      </c>
      <c r="G397" s="43" t="s">
        <v>4587</v>
      </c>
      <c r="H397" s="43" t="s">
        <v>4758</v>
      </c>
    </row>
    <row r="398" spans="1:8" hidden="1" x14ac:dyDescent="0.25">
      <c r="A398" s="43">
        <v>52</v>
      </c>
      <c r="B398" s="43" t="s">
        <v>20</v>
      </c>
      <c r="C398" s="43" t="s">
        <v>422</v>
      </c>
      <c r="D398" s="43" t="s">
        <v>444</v>
      </c>
      <c r="E398" s="43" t="s">
        <v>445</v>
      </c>
      <c r="F398" s="43">
        <v>1</v>
      </c>
      <c r="G398"/>
      <c r="H398"/>
    </row>
    <row r="399" spans="1:8" hidden="1" x14ac:dyDescent="0.25">
      <c r="A399" s="43">
        <v>52</v>
      </c>
      <c r="B399" s="43" t="s">
        <v>20</v>
      </c>
      <c r="C399" s="43" t="s">
        <v>422</v>
      </c>
      <c r="D399" s="43" t="s">
        <v>446</v>
      </c>
      <c r="E399" s="43" t="s">
        <v>1970</v>
      </c>
      <c r="F399" s="43">
        <v>1</v>
      </c>
      <c r="G399"/>
      <c r="H399"/>
    </row>
    <row r="400" spans="1:8" hidden="1" x14ac:dyDescent="0.25">
      <c r="A400" s="43">
        <v>52</v>
      </c>
      <c r="B400" s="43" t="s">
        <v>20</v>
      </c>
      <c r="C400" s="43" t="s">
        <v>422</v>
      </c>
      <c r="D400" s="43" t="s">
        <v>448</v>
      </c>
      <c r="E400" s="43" t="s">
        <v>449</v>
      </c>
      <c r="F400" s="89">
        <v>2</v>
      </c>
      <c r="G400" s="43" t="s">
        <v>4588</v>
      </c>
      <c r="H400"/>
    </row>
    <row r="401" spans="1:8" hidden="1" x14ac:dyDescent="0.25">
      <c r="A401" s="43">
        <v>52</v>
      </c>
      <c r="B401" s="43" t="s">
        <v>20</v>
      </c>
      <c r="C401" s="43" t="s">
        <v>1436</v>
      </c>
      <c r="D401" s="43" t="s">
        <v>1437</v>
      </c>
      <c r="E401" s="43" t="s">
        <v>1438</v>
      </c>
      <c r="F401" s="43">
        <v>1</v>
      </c>
      <c r="G401"/>
      <c r="H401"/>
    </row>
    <row r="402" spans="1:8" hidden="1" x14ac:dyDescent="0.25">
      <c r="A402" s="43">
        <v>52</v>
      </c>
      <c r="B402" s="43" t="s">
        <v>20</v>
      </c>
      <c r="C402" s="43" t="s">
        <v>1436</v>
      </c>
      <c r="D402" s="43" t="s">
        <v>1439</v>
      </c>
      <c r="E402" s="43" t="s">
        <v>1440</v>
      </c>
      <c r="F402" s="43">
        <v>1</v>
      </c>
      <c r="G402"/>
      <c r="H402"/>
    </row>
    <row r="403" spans="1:8" hidden="1" x14ac:dyDescent="0.25">
      <c r="A403" s="43">
        <v>52</v>
      </c>
      <c r="B403" s="43" t="s">
        <v>20</v>
      </c>
      <c r="C403" s="43" t="s">
        <v>1436</v>
      </c>
      <c r="D403" s="43" t="s">
        <v>1441</v>
      </c>
      <c r="E403" s="43" t="s">
        <v>1442</v>
      </c>
      <c r="F403" s="43">
        <v>1</v>
      </c>
      <c r="G403"/>
      <c r="H403"/>
    </row>
    <row r="404" spans="1:8" x14ac:dyDescent="0.25">
      <c r="A404" s="43">
        <v>52</v>
      </c>
      <c r="B404" s="43" t="s">
        <v>20</v>
      </c>
      <c r="C404" s="43" t="s">
        <v>1436</v>
      </c>
      <c r="D404" s="43" t="s">
        <v>1443</v>
      </c>
      <c r="E404" s="43" t="s">
        <v>1444</v>
      </c>
      <c r="F404" s="43">
        <v>2</v>
      </c>
      <c r="G404" s="43" t="s">
        <v>4503</v>
      </c>
      <c r="H404" s="43" t="s">
        <v>4580</v>
      </c>
    </row>
    <row r="405" spans="1:8" hidden="1" x14ac:dyDescent="0.25">
      <c r="A405" s="43">
        <v>52</v>
      </c>
      <c r="B405" s="43" t="s">
        <v>20</v>
      </c>
      <c r="C405" s="43" t="s">
        <v>1436</v>
      </c>
      <c r="D405" s="43" t="s">
        <v>1445</v>
      </c>
      <c r="E405" s="43" t="s">
        <v>1446</v>
      </c>
      <c r="F405" s="43">
        <v>1</v>
      </c>
      <c r="G405"/>
      <c r="H405"/>
    </row>
    <row r="406" spans="1:8" hidden="1" x14ac:dyDescent="0.25">
      <c r="A406" s="43">
        <v>52</v>
      </c>
      <c r="B406" s="43" t="s">
        <v>20</v>
      </c>
      <c r="C406" s="43" t="s">
        <v>1436</v>
      </c>
      <c r="D406" s="43" t="s">
        <v>1447</v>
      </c>
      <c r="E406" s="43" t="s">
        <v>1448</v>
      </c>
      <c r="F406" s="43">
        <v>1</v>
      </c>
      <c r="G406"/>
      <c r="H406"/>
    </row>
    <row r="407" spans="1:8" hidden="1" x14ac:dyDescent="0.25">
      <c r="A407" s="43">
        <v>52</v>
      </c>
      <c r="B407" s="43" t="s">
        <v>20</v>
      </c>
      <c r="C407" s="43" t="s">
        <v>1436</v>
      </c>
      <c r="D407" s="43" t="s">
        <v>1449</v>
      </c>
      <c r="E407" s="43" t="s">
        <v>1450</v>
      </c>
      <c r="F407" s="43">
        <v>1</v>
      </c>
      <c r="G407"/>
      <c r="H407"/>
    </row>
    <row r="408" spans="1:8" hidden="1" x14ac:dyDescent="0.25">
      <c r="A408" s="43">
        <v>52</v>
      </c>
      <c r="B408" s="43" t="s">
        <v>20</v>
      </c>
      <c r="C408" s="43" t="s">
        <v>1436</v>
      </c>
      <c r="D408" s="43" t="s">
        <v>1451</v>
      </c>
      <c r="E408" s="43" t="s">
        <v>1452</v>
      </c>
      <c r="F408" s="43">
        <v>1</v>
      </c>
      <c r="G408"/>
      <c r="H408"/>
    </row>
    <row r="409" spans="1:8" hidden="1" x14ac:dyDescent="0.25">
      <c r="A409" s="43">
        <v>52</v>
      </c>
      <c r="B409" s="43" t="s">
        <v>20</v>
      </c>
      <c r="C409" s="43" t="s">
        <v>1436</v>
      </c>
      <c r="D409" s="43" t="s">
        <v>1453</v>
      </c>
      <c r="E409" s="43" t="s">
        <v>1454</v>
      </c>
      <c r="F409" s="43">
        <v>0</v>
      </c>
      <c r="G409" s="43" t="s">
        <v>4583</v>
      </c>
      <c r="H409"/>
    </row>
    <row r="410" spans="1:8" hidden="1" x14ac:dyDescent="0.25">
      <c r="A410" s="43">
        <v>52</v>
      </c>
      <c r="B410" s="43" t="s">
        <v>20</v>
      </c>
      <c r="C410" s="43" t="s">
        <v>1436</v>
      </c>
      <c r="D410" s="43" t="s">
        <v>1455</v>
      </c>
      <c r="E410" s="43" t="s">
        <v>1456</v>
      </c>
      <c r="F410" s="43">
        <v>1</v>
      </c>
      <c r="G410"/>
      <c r="H410"/>
    </row>
    <row r="411" spans="1:8" hidden="1" x14ac:dyDescent="0.25">
      <c r="A411" s="43">
        <v>53</v>
      </c>
      <c r="B411" s="43" t="s">
        <v>20</v>
      </c>
      <c r="C411" s="43" t="s">
        <v>422</v>
      </c>
      <c r="D411" s="43" t="s">
        <v>423</v>
      </c>
      <c r="E411" s="43" t="s">
        <v>424</v>
      </c>
      <c r="F411" s="43">
        <v>1</v>
      </c>
      <c r="G411"/>
      <c r="H411"/>
    </row>
    <row r="412" spans="1:8" hidden="1" x14ac:dyDescent="0.25">
      <c r="A412" s="43">
        <v>53</v>
      </c>
      <c r="B412" s="43" t="s">
        <v>20</v>
      </c>
      <c r="C412" s="43" t="s">
        <v>422</v>
      </c>
      <c r="D412" s="43" t="s">
        <v>425</v>
      </c>
      <c r="E412" s="43" t="s">
        <v>426</v>
      </c>
      <c r="F412" s="43">
        <v>1</v>
      </c>
      <c r="G412"/>
      <c r="H412"/>
    </row>
    <row r="413" spans="1:8" hidden="1" x14ac:dyDescent="0.25">
      <c r="A413" s="43">
        <v>53</v>
      </c>
      <c r="B413" s="43" t="s">
        <v>20</v>
      </c>
      <c r="C413" s="43" t="s">
        <v>422</v>
      </c>
      <c r="D413" s="43" t="s">
        <v>427</v>
      </c>
      <c r="E413" s="43" t="s">
        <v>428</v>
      </c>
      <c r="F413" s="43">
        <v>1</v>
      </c>
      <c r="G413"/>
      <c r="H413"/>
    </row>
    <row r="414" spans="1:8" hidden="1" x14ac:dyDescent="0.25">
      <c r="A414" s="43">
        <v>53</v>
      </c>
      <c r="B414" s="43" t="s">
        <v>20</v>
      </c>
      <c r="C414" s="43" t="s">
        <v>422</v>
      </c>
      <c r="D414" s="43" t="s">
        <v>429</v>
      </c>
      <c r="E414" s="43" t="s">
        <v>430</v>
      </c>
      <c r="F414" s="43">
        <v>1</v>
      </c>
      <c r="G414"/>
      <c r="H414"/>
    </row>
    <row r="415" spans="1:8" hidden="1" x14ac:dyDescent="0.25">
      <c r="A415" s="43">
        <v>53</v>
      </c>
      <c r="B415" s="43" t="s">
        <v>20</v>
      </c>
      <c r="C415" s="43" t="s">
        <v>422</v>
      </c>
      <c r="D415" s="43" t="s">
        <v>431</v>
      </c>
      <c r="E415" s="43" t="s">
        <v>432</v>
      </c>
      <c r="F415" s="43">
        <v>1</v>
      </c>
      <c r="G415"/>
      <c r="H415"/>
    </row>
    <row r="416" spans="1:8" hidden="1" x14ac:dyDescent="0.25">
      <c r="A416" s="43">
        <v>53</v>
      </c>
      <c r="B416" s="43" t="s">
        <v>20</v>
      </c>
      <c r="C416" s="43" t="s">
        <v>422</v>
      </c>
      <c r="D416" s="43" t="s">
        <v>433</v>
      </c>
      <c r="E416" s="43" t="s">
        <v>434</v>
      </c>
      <c r="F416" s="43">
        <v>1</v>
      </c>
      <c r="G416"/>
      <c r="H416"/>
    </row>
    <row r="417" spans="1:8" hidden="1" x14ac:dyDescent="0.25">
      <c r="A417" s="43">
        <v>53</v>
      </c>
      <c r="B417" s="43" t="s">
        <v>20</v>
      </c>
      <c r="C417" s="43" t="s">
        <v>422</v>
      </c>
      <c r="D417" s="43" t="s">
        <v>435</v>
      </c>
      <c r="E417" s="43" t="s">
        <v>436</v>
      </c>
      <c r="F417" s="43">
        <v>1</v>
      </c>
      <c r="G417"/>
      <c r="H417"/>
    </row>
    <row r="418" spans="1:8" hidden="1" x14ac:dyDescent="0.25">
      <c r="A418" s="43">
        <v>53</v>
      </c>
      <c r="B418" s="43" t="s">
        <v>20</v>
      </c>
      <c r="C418" s="43" t="s">
        <v>422</v>
      </c>
      <c r="D418" s="43" t="s">
        <v>437</v>
      </c>
      <c r="E418" s="43" t="s">
        <v>438</v>
      </c>
      <c r="F418" s="43">
        <v>1</v>
      </c>
      <c r="G418"/>
      <c r="H418"/>
    </row>
    <row r="419" spans="1:8" hidden="1" x14ac:dyDescent="0.25">
      <c r="A419" s="43">
        <v>53</v>
      </c>
      <c r="B419" s="43" t="s">
        <v>20</v>
      </c>
      <c r="C419" s="43" t="s">
        <v>422</v>
      </c>
      <c r="D419" s="43" t="s">
        <v>439</v>
      </c>
      <c r="E419" s="43" t="s">
        <v>440</v>
      </c>
      <c r="F419" s="43">
        <v>1</v>
      </c>
      <c r="G419"/>
      <c r="H419"/>
    </row>
    <row r="420" spans="1:8" hidden="1" x14ac:dyDescent="0.25">
      <c r="A420" s="43">
        <v>53</v>
      </c>
      <c r="B420" s="43" t="s">
        <v>20</v>
      </c>
      <c r="C420" s="43" t="s">
        <v>422</v>
      </c>
      <c r="D420" s="43" t="s">
        <v>441</v>
      </c>
      <c r="E420" s="43" t="s">
        <v>442</v>
      </c>
      <c r="F420" s="43">
        <v>0</v>
      </c>
      <c r="G420" s="43" t="s">
        <v>4587</v>
      </c>
      <c r="H420" s="43" t="s">
        <v>4758</v>
      </c>
    </row>
    <row r="421" spans="1:8" hidden="1" x14ac:dyDescent="0.25">
      <c r="A421" s="43">
        <v>53</v>
      </c>
      <c r="B421" s="43" t="s">
        <v>20</v>
      </c>
      <c r="C421" s="43" t="s">
        <v>422</v>
      </c>
      <c r="D421" s="43" t="s">
        <v>444</v>
      </c>
      <c r="E421" s="43" t="s">
        <v>445</v>
      </c>
      <c r="F421" s="43">
        <v>1</v>
      </c>
      <c r="G421"/>
      <c r="H421"/>
    </row>
    <row r="422" spans="1:8" hidden="1" x14ac:dyDescent="0.25">
      <c r="A422" s="43">
        <v>53</v>
      </c>
      <c r="B422" s="43" t="s">
        <v>20</v>
      </c>
      <c r="C422" s="43" t="s">
        <v>422</v>
      </c>
      <c r="D422" s="43" t="s">
        <v>446</v>
      </c>
      <c r="E422" s="43" t="s">
        <v>1970</v>
      </c>
      <c r="F422" s="43">
        <v>1</v>
      </c>
      <c r="G422"/>
      <c r="H422"/>
    </row>
    <row r="423" spans="1:8" hidden="1" x14ac:dyDescent="0.25">
      <c r="A423" s="43">
        <v>53</v>
      </c>
      <c r="B423" s="43" t="s">
        <v>20</v>
      </c>
      <c r="C423" s="43" t="s">
        <v>422</v>
      </c>
      <c r="D423" s="43" t="s">
        <v>448</v>
      </c>
      <c r="E423" s="43" t="s">
        <v>449</v>
      </c>
      <c r="F423" s="89">
        <v>2</v>
      </c>
      <c r="G423" s="43" t="s">
        <v>4588</v>
      </c>
      <c r="H423"/>
    </row>
    <row r="424" spans="1:8" hidden="1" x14ac:dyDescent="0.25">
      <c r="A424" s="43">
        <v>56</v>
      </c>
      <c r="B424" s="43" t="s">
        <v>21</v>
      </c>
      <c r="C424" s="43" t="s">
        <v>4470</v>
      </c>
      <c r="D424" s="43" t="s">
        <v>1493</v>
      </c>
      <c r="E424" s="43" t="s">
        <v>1494</v>
      </c>
      <c r="F424" s="43">
        <v>1</v>
      </c>
      <c r="G424"/>
      <c r="H424"/>
    </row>
    <row r="425" spans="1:8" hidden="1" x14ac:dyDescent="0.25">
      <c r="A425" s="43">
        <v>56</v>
      </c>
      <c r="B425" s="43" t="s">
        <v>21</v>
      </c>
      <c r="C425" s="43" t="s">
        <v>4470</v>
      </c>
      <c r="D425" s="43" t="s">
        <v>1495</v>
      </c>
      <c r="E425" s="43" t="s">
        <v>1496</v>
      </c>
      <c r="F425" s="43">
        <v>0</v>
      </c>
      <c r="G425" s="43" t="s">
        <v>4583</v>
      </c>
      <c r="H425"/>
    </row>
    <row r="426" spans="1:8" hidden="1" x14ac:dyDescent="0.25">
      <c r="A426" s="43">
        <v>56</v>
      </c>
      <c r="B426" s="43" t="s">
        <v>21</v>
      </c>
      <c r="C426" s="43" t="s">
        <v>4470</v>
      </c>
      <c r="D426" s="43" t="s">
        <v>1497</v>
      </c>
      <c r="E426" s="43" t="s">
        <v>306</v>
      </c>
      <c r="F426" s="43">
        <v>1</v>
      </c>
      <c r="G426"/>
      <c r="H426"/>
    </row>
    <row r="427" spans="1:8" hidden="1" x14ac:dyDescent="0.25">
      <c r="A427" s="43">
        <v>56</v>
      </c>
      <c r="B427" s="43" t="s">
        <v>21</v>
      </c>
      <c r="C427" s="43" t="s">
        <v>4470</v>
      </c>
      <c r="D427" s="43" t="s">
        <v>1498</v>
      </c>
      <c r="E427" s="43" t="s">
        <v>1499</v>
      </c>
      <c r="F427" s="43">
        <v>1</v>
      </c>
      <c r="G427"/>
      <c r="H427"/>
    </row>
    <row r="428" spans="1:8" hidden="1" x14ac:dyDescent="0.25">
      <c r="A428" s="43">
        <v>56</v>
      </c>
      <c r="B428" s="43" t="s">
        <v>21</v>
      </c>
      <c r="C428" s="43" t="s">
        <v>4470</v>
      </c>
      <c r="D428" s="43" t="s">
        <v>1500</v>
      </c>
      <c r="E428" s="43" t="s">
        <v>1397</v>
      </c>
      <c r="F428" s="43">
        <v>1</v>
      </c>
      <c r="G428"/>
      <c r="H428"/>
    </row>
    <row r="429" spans="1:8" hidden="1" x14ac:dyDescent="0.25">
      <c r="A429" s="43">
        <v>56</v>
      </c>
      <c r="B429" s="43" t="s">
        <v>21</v>
      </c>
      <c r="C429" s="43" t="s">
        <v>4470</v>
      </c>
      <c r="D429" s="43" t="s">
        <v>1501</v>
      </c>
      <c r="E429" s="43" t="s">
        <v>1502</v>
      </c>
      <c r="F429" s="43">
        <v>0</v>
      </c>
      <c r="G429" s="43" t="s">
        <v>4583</v>
      </c>
      <c r="H429"/>
    </row>
    <row r="430" spans="1:8" hidden="1" x14ac:dyDescent="0.25">
      <c r="A430" s="43">
        <v>56</v>
      </c>
      <c r="B430" s="43" t="s">
        <v>21</v>
      </c>
      <c r="C430" s="43" t="s">
        <v>4470</v>
      </c>
      <c r="D430" s="43" t="s">
        <v>1503</v>
      </c>
      <c r="E430" s="43" t="s">
        <v>1504</v>
      </c>
      <c r="F430" s="43">
        <v>0</v>
      </c>
      <c r="G430" s="43" t="s">
        <v>4583</v>
      </c>
      <c r="H430"/>
    </row>
    <row r="431" spans="1:8" hidden="1" x14ac:dyDescent="0.25">
      <c r="A431" s="43">
        <v>56</v>
      </c>
      <c r="B431" s="43" t="s">
        <v>21</v>
      </c>
      <c r="C431" s="43" t="s">
        <v>4470</v>
      </c>
      <c r="D431" s="43" t="s">
        <v>1505</v>
      </c>
      <c r="E431" s="43" t="s">
        <v>1506</v>
      </c>
      <c r="F431" s="43">
        <v>0</v>
      </c>
      <c r="G431" s="43" t="s">
        <v>4583</v>
      </c>
      <c r="H431"/>
    </row>
    <row r="432" spans="1:8" hidden="1" x14ac:dyDescent="0.25">
      <c r="A432" s="43">
        <v>56</v>
      </c>
      <c r="B432" s="43" t="s">
        <v>21</v>
      </c>
      <c r="C432" s="43" t="s">
        <v>4470</v>
      </c>
      <c r="D432" s="43" t="s">
        <v>1507</v>
      </c>
      <c r="E432" s="43" t="s">
        <v>611</v>
      </c>
      <c r="F432" s="43">
        <v>0</v>
      </c>
      <c r="G432" s="43" t="s">
        <v>4583</v>
      </c>
      <c r="H432"/>
    </row>
    <row r="433" spans="1:8" hidden="1" x14ac:dyDescent="0.25">
      <c r="A433" s="43">
        <v>56</v>
      </c>
      <c r="B433" s="43" t="s">
        <v>21</v>
      </c>
      <c r="C433" s="43" t="s">
        <v>4470</v>
      </c>
      <c r="D433" s="43" t="s">
        <v>1508</v>
      </c>
      <c r="E433" s="43" t="s">
        <v>1509</v>
      </c>
      <c r="F433" s="43">
        <v>0</v>
      </c>
      <c r="G433" s="43" t="s">
        <v>4583</v>
      </c>
      <c r="H433"/>
    </row>
    <row r="434" spans="1:8" hidden="1" x14ac:dyDescent="0.25">
      <c r="A434" s="43">
        <v>56</v>
      </c>
      <c r="B434" s="43" t="s">
        <v>21</v>
      </c>
      <c r="C434" s="43" t="s">
        <v>4470</v>
      </c>
      <c r="D434" s="43" t="s">
        <v>1510</v>
      </c>
      <c r="E434" s="43" t="s">
        <v>613</v>
      </c>
      <c r="F434" s="43">
        <v>1</v>
      </c>
      <c r="G434"/>
      <c r="H434"/>
    </row>
    <row r="435" spans="1:8" hidden="1" x14ac:dyDescent="0.25">
      <c r="A435" s="43">
        <v>56</v>
      </c>
      <c r="B435" s="43" t="s">
        <v>21</v>
      </c>
      <c r="C435" s="43" t="s">
        <v>4470</v>
      </c>
      <c r="D435" s="43" t="s">
        <v>1511</v>
      </c>
      <c r="E435" s="43" t="s">
        <v>1419</v>
      </c>
      <c r="F435" s="43">
        <v>0</v>
      </c>
      <c r="G435" s="43" t="s">
        <v>4583</v>
      </c>
      <c r="H435"/>
    </row>
    <row r="436" spans="1:8" hidden="1" x14ac:dyDescent="0.25">
      <c r="A436" s="43">
        <v>56</v>
      </c>
      <c r="B436" s="43" t="s">
        <v>21</v>
      </c>
      <c r="C436" s="43" t="s">
        <v>4470</v>
      </c>
      <c r="D436" s="43" t="s">
        <v>1512</v>
      </c>
      <c r="E436" s="43" t="s">
        <v>621</v>
      </c>
      <c r="F436" s="43">
        <v>0</v>
      </c>
      <c r="G436" s="43" t="s">
        <v>4583</v>
      </c>
      <c r="H436"/>
    </row>
    <row r="437" spans="1:8" hidden="1" x14ac:dyDescent="0.25">
      <c r="A437" s="43">
        <v>56</v>
      </c>
      <c r="B437" s="43" t="s">
        <v>21</v>
      </c>
      <c r="C437" s="43" t="s">
        <v>4470</v>
      </c>
      <c r="D437" s="43" t="s">
        <v>1513</v>
      </c>
      <c r="E437" s="43" t="s">
        <v>1422</v>
      </c>
      <c r="F437" s="43">
        <v>0</v>
      </c>
      <c r="G437" s="43" t="s">
        <v>4583</v>
      </c>
      <c r="H437"/>
    </row>
    <row r="438" spans="1:8" hidden="1" x14ac:dyDescent="0.25">
      <c r="A438" s="43">
        <v>56</v>
      </c>
      <c r="B438" s="43" t="s">
        <v>21</v>
      </c>
      <c r="C438" s="43" t="s">
        <v>4470</v>
      </c>
      <c r="D438" s="43" t="s">
        <v>1514</v>
      </c>
      <c r="E438" s="43" t="s">
        <v>614</v>
      </c>
      <c r="F438" s="43">
        <v>0</v>
      </c>
      <c r="G438" s="43" t="s">
        <v>4583</v>
      </c>
      <c r="H438"/>
    </row>
    <row r="439" spans="1:8" hidden="1" x14ac:dyDescent="0.25">
      <c r="A439" s="43">
        <v>56</v>
      </c>
      <c r="B439" s="43" t="s">
        <v>21</v>
      </c>
      <c r="C439" s="43" t="s">
        <v>4470</v>
      </c>
      <c r="D439" s="43" t="s">
        <v>1515</v>
      </c>
      <c r="E439" s="43" t="s">
        <v>615</v>
      </c>
      <c r="F439" s="43">
        <v>0</v>
      </c>
      <c r="G439" s="43" t="s">
        <v>4583</v>
      </c>
      <c r="H439"/>
    </row>
    <row r="440" spans="1:8" hidden="1" x14ac:dyDescent="0.25">
      <c r="A440" s="43">
        <v>56</v>
      </c>
      <c r="B440" s="43" t="s">
        <v>21</v>
      </c>
      <c r="C440" s="43" t="s">
        <v>4470</v>
      </c>
      <c r="D440" s="43" t="s">
        <v>1516</v>
      </c>
      <c r="E440" s="43" t="s">
        <v>1517</v>
      </c>
      <c r="F440" s="43">
        <v>1</v>
      </c>
      <c r="G440"/>
      <c r="H440"/>
    </row>
    <row r="441" spans="1:8" hidden="1" x14ac:dyDescent="0.25">
      <c r="A441" s="43">
        <v>56</v>
      </c>
      <c r="B441" s="43" t="s">
        <v>21</v>
      </c>
      <c r="C441" s="43" t="s">
        <v>4470</v>
      </c>
      <c r="D441" s="43" t="s">
        <v>1518</v>
      </c>
      <c r="E441" s="43" t="s">
        <v>1519</v>
      </c>
      <c r="F441" s="43">
        <v>0</v>
      </c>
      <c r="G441" s="43" t="s">
        <v>4583</v>
      </c>
      <c r="H441"/>
    </row>
    <row r="442" spans="1:8" hidden="1" x14ac:dyDescent="0.25">
      <c r="A442" s="43">
        <v>56</v>
      </c>
      <c r="B442" s="43" t="s">
        <v>21</v>
      </c>
      <c r="C442" s="43" t="s">
        <v>4470</v>
      </c>
      <c r="D442" s="43" t="s">
        <v>1520</v>
      </c>
      <c r="E442" s="43" t="s">
        <v>1521</v>
      </c>
      <c r="F442" s="43">
        <v>0</v>
      </c>
      <c r="G442" s="43" t="s">
        <v>4583</v>
      </c>
      <c r="H442"/>
    </row>
    <row r="443" spans="1:8" hidden="1" x14ac:dyDescent="0.25">
      <c r="A443" s="43">
        <v>56</v>
      </c>
      <c r="B443" s="43" t="s">
        <v>21</v>
      </c>
      <c r="C443" s="43" t="s">
        <v>4470</v>
      </c>
      <c r="D443" s="43" t="s">
        <v>1522</v>
      </c>
      <c r="E443" s="43" t="s">
        <v>1523</v>
      </c>
      <c r="F443" s="43">
        <v>0</v>
      </c>
      <c r="G443" s="43" t="s">
        <v>4583</v>
      </c>
      <c r="H443"/>
    </row>
    <row r="444" spans="1:8" hidden="1" x14ac:dyDescent="0.25">
      <c r="A444" s="43">
        <v>56</v>
      </c>
      <c r="B444" s="43" t="s">
        <v>21</v>
      </c>
      <c r="C444" s="43" t="s">
        <v>4470</v>
      </c>
      <c r="D444" s="43" t="s">
        <v>1524</v>
      </c>
      <c r="E444" s="43" t="s">
        <v>1525</v>
      </c>
      <c r="F444" s="43">
        <v>0</v>
      </c>
      <c r="G444" s="43" t="s">
        <v>4583</v>
      </c>
      <c r="H444"/>
    </row>
    <row r="445" spans="1:8" hidden="1" x14ac:dyDescent="0.25">
      <c r="A445" s="43">
        <v>56</v>
      </c>
      <c r="B445" s="43" t="s">
        <v>21</v>
      </c>
      <c r="C445" s="43" t="s">
        <v>4470</v>
      </c>
      <c r="D445" s="43" t="s">
        <v>1526</v>
      </c>
      <c r="E445" s="43" t="s">
        <v>1527</v>
      </c>
      <c r="F445" s="43">
        <v>0</v>
      </c>
      <c r="G445" s="43" t="s">
        <v>4583</v>
      </c>
      <c r="H445"/>
    </row>
    <row r="446" spans="1:8" hidden="1" x14ac:dyDescent="0.25">
      <c r="A446" s="43">
        <v>56</v>
      </c>
      <c r="B446" s="43" t="s">
        <v>21</v>
      </c>
      <c r="C446" s="43" t="s">
        <v>4470</v>
      </c>
      <c r="D446" s="43" t="s">
        <v>1528</v>
      </c>
      <c r="E446" s="43" t="s">
        <v>4471</v>
      </c>
      <c r="F446" s="43">
        <v>0</v>
      </c>
      <c r="G446" s="43" t="s">
        <v>4583</v>
      </c>
      <c r="H446"/>
    </row>
    <row r="447" spans="1:8" hidden="1" x14ac:dyDescent="0.25">
      <c r="A447" s="43">
        <v>56</v>
      </c>
      <c r="B447" s="43" t="s">
        <v>21</v>
      </c>
      <c r="C447" s="43" t="s">
        <v>4470</v>
      </c>
      <c r="D447" s="43" t="s">
        <v>1530</v>
      </c>
      <c r="E447" s="43" t="s">
        <v>1430</v>
      </c>
      <c r="F447" s="43">
        <v>0</v>
      </c>
      <c r="G447" s="43" t="s">
        <v>4583</v>
      </c>
      <c r="H447"/>
    </row>
    <row r="448" spans="1:8" hidden="1" x14ac:dyDescent="0.25">
      <c r="A448" s="43">
        <v>56</v>
      </c>
      <c r="B448" s="43" t="s">
        <v>21</v>
      </c>
      <c r="C448" s="43" t="s">
        <v>4470</v>
      </c>
      <c r="D448" s="43" t="s">
        <v>1531</v>
      </c>
      <c r="E448" s="43" t="s">
        <v>503</v>
      </c>
      <c r="F448" s="43">
        <v>0</v>
      </c>
      <c r="G448" s="43" t="s">
        <v>4583</v>
      </c>
      <c r="H448"/>
    </row>
    <row r="449" spans="1:8" hidden="1" x14ac:dyDescent="0.25">
      <c r="A449" s="43">
        <v>56</v>
      </c>
      <c r="B449" s="43" t="s">
        <v>21</v>
      </c>
      <c r="C449" s="43" t="s">
        <v>4470</v>
      </c>
      <c r="D449" s="43" t="s">
        <v>1532</v>
      </c>
      <c r="E449" s="43" t="s">
        <v>1533</v>
      </c>
      <c r="F449" s="43">
        <v>0</v>
      </c>
      <c r="G449" s="43" t="s">
        <v>4583</v>
      </c>
      <c r="H449"/>
    </row>
    <row r="450" spans="1:8" hidden="1" x14ac:dyDescent="0.25">
      <c r="A450" s="43">
        <v>56</v>
      </c>
      <c r="B450" s="43" t="s">
        <v>21</v>
      </c>
      <c r="C450" s="43" t="s">
        <v>4470</v>
      </c>
      <c r="D450" s="43" t="s">
        <v>1534</v>
      </c>
      <c r="E450" s="43" t="s">
        <v>1535</v>
      </c>
      <c r="F450" s="43">
        <v>0</v>
      </c>
      <c r="G450" s="43" t="s">
        <v>4583</v>
      </c>
      <c r="H450"/>
    </row>
    <row r="451" spans="1:8" hidden="1" x14ac:dyDescent="0.25">
      <c r="A451" s="43">
        <v>58</v>
      </c>
      <c r="B451" s="43" t="s">
        <v>22</v>
      </c>
      <c r="C451" s="43" t="s">
        <v>4470</v>
      </c>
      <c r="D451" s="43" t="s">
        <v>1493</v>
      </c>
      <c r="E451" s="43" t="s">
        <v>1494</v>
      </c>
      <c r="F451" s="43">
        <v>1</v>
      </c>
      <c r="G451"/>
      <c r="H451"/>
    </row>
    <row r="452" spans="1:8" hidden="1" x14ac:dyDescent="0.25">
      <c r="A452" s="43">
        <v>58</v>
      </c>
      <c r="B452" s="43" t="s">
        <v>22</v>
      </c>
      <c r="C452" s="43" t="s">
        <v>4470</v>
      </c>
      <c r="D452" s="43" t="s">
        <v>1495</v>
      </c>
      <c r="E452" s="43" t="s">
        <v>1496</v>
      </c>
      <c r="F452" s="43">
        <v>1</v>
      </c>
      <c r="G452"/>
      <c r="H452"/>
    </row>
    <row r="453" spans="1:8" hidden="1" x14ac:dyDescent="0.25">
      <c r="A453" s="43">
        <v>58</v>
      </c>
      <c r="B453" s="43" t="s">
        <v>22</v>
      </c>
      <c r="C453" s="43" t="s">
        <v>4470</v>
      </c>
      <c r="D453" s="43" t="s">
        <v>1497</v>
      </c>
      <c r="E453" s="43" t="s">
        <v>306</v>
      </c>
      <c r="F453" s="43">
        <v>1</v>
      </c>
      <c r="G453"/>
      <c r="H453"/>
    </row>
    <row r="454" spans="1:8" hidden="1" x14ac:dyDescent="0.25">
      <c r="A454" s="43">
        <v>58</v>
      </c>
      <c r="B454" s="43" t="s">
        <v>22</v>
      </c>
      <c r="C454" s="43" t="s">
        <v>4470</v>
      </c>
      <c r="D454" s="43" t="s">
        <v>1498</v>
      </c>
      <c r="E454" s="43" t="s">
        <v>1499</v>
      </c>
      <c r="F454" s="43">
        <v>0</v>
      </c>
      <c r="G454" s="43" t="s">
        <v>4583</v>
      </c>
      <c r="H454"/>
    </row>
    <row r="455" spans="1:8" hidden="1" x14ac:dyDescent="0.25">
      <c r="A455" s="43">
        <v>58</v>
      </c>
      <c r="B455" s="43" t="s">
        <v>22</v>
      </c>
      <c r="C455" s="43" t="s">
        <v>4470</v>
      </c>
      <c r="D455" s="43" t="s">
        <v>1500</v>
      </c>
      <c r="E455" s="43" t="s">
        <v>1397</v>
      </c>
      <c r="F455" s="43">
        <v>1</v>
      </c>
      <c r="G455"/>
      <c r="H455"/>
    </row>
    <row r="456" spans="1:8" hidden="1" x14ac:dyDescent="0.25">
      <c r="A456" s="43">
        <v>58</v>
      </c>
      <c r="B456" s="43" t="s">
        <v>22</v>
      </c>
      <c r="C456" s="43" t="s">
        <v>4470</v>
      </c>
      <c r="D456" s="43" t="s">
        <v>1501</v>
      </c>
      <c r="E456" s="43" t="s">
        <v>1502</v>
      </c>
      <c r="F456" s="43">
        <v>1</v>
      </c>
      <c r="G456"/>
      <c r="H456"/>
    </row>
    <row r="457" spans="1:8" hidden="1" x14ac:dyDescent="0.25">
      <c r="A457" s="43">
        <v>58</v>
      </c>
      <c r="B457" s="43" t="s">
        <v>22</v>
      </c>
      <c r="C457" s="43" t="s">
        <v>4470</v>
      </c>
      <c r="D457" s="43" t="s">
        <v>1503</v>
      </c>
      <c r="E457" s="43" t="s">
        <v>1504</v>
      </c>
      <c r="F457" s="43">
        <v>1</v>
      </c>
      <c r="G457"/>
      <c r="H457"/>
    </row>
    <row r="458" spans="1:8" hidden="1" x14ac:dyDescent="0.25">
      <c r="A458" s="43">
        <v>58</v>
      </c>
      <c r="B458" s="43" t="s">
        <v>22</v>
      </c>
      <c r="C458" s="43" t="s">
        <v>4470</v>
      </c>
      <c r="D458" s="43" t="s">
        <v>1505</v>
      </c>
      <c r="E458" s="43" t="s">
        <v>1506</v>
      </c>
      <c r="F458" s="43">
        <v>0</v>
      </c>
      <c r="G458" s="43" t="s">
        <v>4583</v>
      </c>
      <c r="H458"/>
    </row>
    <row r="459" spans="1:8" hidden="1" x14ac:dyDescent="0.25">
      <c r="A459" s="43">
        <v>58</v>
      </c>
      <c r="B459" s="43" t="s">
        <v>22</v>
      </c>
      <c r="C459" s="43" t="s">
        <v>4470</v>
      </c>
      <c r="D459" s="43" t="s">
        <v>1507</v>
      </c>
      <c r="E459" s="43" t="s">
        <v>611</v>
      </c>
      <c r="F459" s="43">
        <v>1</v>
      </c>
      <c r="G459"/>
      <c r="H459"/>
    </row>
    <row r="460" spans="1:8" hidden="1" x14ac:dyDescent="0.25">
      <c r="A460" s="43">
        <v>58</v>
      </c>
      <c r="B460" s="43" t="s">
        <v>22</v>
      </c>
      <c r="C460" s="43" t="s">
        <v>4470</v>
      </c>
      <c r="D460" s="43" t="s">
        <v>1508</v>
      </c>
      <c r="E460" s="43" t="s">
        <v>1509</v>
      </c>
      <c r="F460" s="43">
        <v>1</v>
      </c>
      <c r="G460"/>
      <c r="H460"/>
    </row>
    <row r="461" spans="1:8" hidden="1" x14ac:dyDescent="0.25">
      <c r="A461" s="43">
        <v>58</v>
      </c>
      <c r="B461" s="43" t="s">
        <v>22</v>
      </c>
      <c r="C461" s="43" t="s">
        <v>4470</v>
      </c>
      <c r="D461" s="43" t="s">
        <v>1510</v>
      </c>
      <c r="E461" s="43" t="s">
        <v>613</v>
      </c>
      <c r="F461" s="43">
        <v>1</v>
      </c>
      <c r="G461"/>
      <c r="H461"/>
    </row>
    <row r="462" spans="1:8" hidden="1" x14ac:dyDescent="0.25">
      <c r="A462" s="43">
        <v>58</v>
      </c>
      <c r="B462" s="43" t="s">
        <v>22</v>
      </c>
      <c r="C462" s="43" t="s">
        <v>4470</v>
      </c>
      <c r="D462" s="43" t="s">
        <v>1511</v>
      </c>
      <c r="E462" s="43" t="s">
        <v>1419</v>
      </c>
      <c r="F462" s="43">
        <v>0</v>
      </c>
      <c r="G462" s="43" t="s">
        <v>4583</v>
      </c>
      <c r="H462"/>
    </row>
    <row r="463" spans="1:8" hidden="1" x14ac:dyDescent="0.25">
      <c r="A463" s="43">
        <v>58</v>
      </c>
      <c r="B463" s="43" t="s">
        <v>22</v>
      </c>
      <c r="C463" s="43" t="s">
        <v>4470</v>
      </c>
      <c r="D463" s="43" t="s">
        <v>1512</v>
      </c>
      <c r="E463" s="43" t="s">
        <v>621</v>
      </c>
      <c r="F463" s="43">
        <v>0</v>
      </c>
      <c r="G463" s="43" t="s">
        <v>4583</v>
      </c>
      <c r="H463"/>
    </row>
    <row r="464" spans="1:8" hidden="1" x14ac:dyDescent="0.25">
      <c r="A464" s="43">
        <v>58</v>
      </c>
      <c r="B464" s="43" t="s">
        <v>22</v>
      </c>
      <c r="C464" s="43" t="s">
        <v>4470</v>
      </c>
      <c r="D464" s="43" t="s">
        <v>1513</v>
      </c>
      <c r="E464" s="43" t="s">
        <v>1422</v>
      </c>
      <c r="F464" s="43">
        <v>1</v>
      </c>
      <c r="G464"/>
      <c r="H464"/>
    </row>
    <row r="465" spans="1:8" hidden="1" x14ac:dyDescent="0.25">
      <c r="A465" s="43">
        <v>58</v>
      </c>
      <c r="B465" s="43" t="s">
        <v>22</v>
      </c>
      <c r="C465" s="43" t="s">
        <v>4470</v>
      </c>
      <c r="D465" s="43" t="s">
        <v>1514</v>
      </c>
      <c r="E465" s="43" t="s">
        <v>614</v>
      </c>
      <c r="F465" s="43">
        <v>1</v>
      </c>
      <c r="G465"/>
      <c r="H465"/>
    </row>
    <row r="466" spans="1:8" hidden="1" x14ac:dyDescent="0.25">
      <c r="A466" s="43">
        <v>58</v>
      </c>
      <c r="B466" s="43" t="s">
        <v>22</v>
      </c>
      <c r="C466" s="43" t="s">
        <v>4470</v>
      </c>
      <c r="D466" s="43" t="s">
        <v>1515</v>
      </c>
      <c r="E466" s="43" t="s">
        <v>615</v>
      </c>
      <c r="F466" s="43">
        <v>0</v>
      </c>
      <c r="G466" s="43" t="s">
        <v>4583</v>
      </c>
      <c r="H466"/>
    </row>
    <row r="467" spans="1:8" hidden="1" x14ac:dyDescent="0.25">
      <c r="A467" s="43">
        <v>58</v>
      </c>
      <c r="B467" s="43" t="s">
        <v>22</v>
      </c>
      <c r="C467" s="43" t="s">
        <v>4470</v>
      </c>
      <c r="D467" s="43" t="s">
        <v>1516</v>
      </c>
      <c r="E467" s="43" t="s">
        <v>1517</v>
      </c>
      <c r="F467" s="43">
        <v>1</v>
      </c>
      <c r="G467"/>
      <c r="H467"/>
    </row>
    <row r="468" spans="1:8" hidden="1" x14ac:dyDescent="0.25">
      <c r="A468" s="43">
        <v>58</v>
      </c>
      <c r="B468" s="43" t="s">
        <v>22</v>
      </c>
      <c r="C468" s="43" t="s">
        <v>4470</v>
      </c>
      <c r="D468" s="43" t="s">
        <v>1518</v>
      </c>
      <c r="E468" s="43" t="s">
        <v>1519</v>
      </c>
      <c r="F468" s="43">
        <v>1</v>
      </c>
      <c r="G468"/>
      <c r="H468"/>
    </row>
    <row r="469" spans="1:8" hidden="1" x14ac:dyDescent="0.25">
      <c r="A469" s="43">
        <v>58</v>
      </c>
      <c r="B469" s="43" t="s">
        <v>22</v>
      </c>
      <c r="C469" s="43" t="s">
        <v>4470</v>
      </c>
      <c r="D469" s="43" t="s">
        <v>1520</v>
      </c>
      <c r="E469" s="43" t="s">
        <v>1521</v>
      </c>
      <c r="F469" s="43">
        <v>0</v>
      </c>
      <c r="G469" s="43" t="s">
        <v>4583</v>
      </c>
      <c r="H469"/>
    </row>
    <row r="470" spans="1:8" hidden="1" x14ac:dyDescent="0.25">
      <c r="A470" s="43">
        <v>58</v>
      </c>
      <c r="B470" s="43" t="s">
        <v>22</v>
      </c>
      <c r="C470" s="43" t="s">
        <v>4470</v>
      </c>
      <c r="D470" s="43" t="s">
        <v>1522</v>
      </c>
      <c r="E470" s="43" t="s">
        <v>1523</v>
      </c>
      <c r="F470" s="43">
        <v>0</v>
      </c>
      <c r="G470" s="43" t="s">
        <v>4583</v>
      </c>
      <c r="H470"/>
    </row>
    <row r="471" spans="1:8" hidden="1" x14ac:dyDescent="0.25">
      <c r="A471" s="43">
        <v>58</v>
      </c>
      <c r="B471" s="43" t="s">
        <v>22</v>
      </c>
      <c r="C471" s="43" t="s">
        <v>4470</v>
      </c>
      <c r="D471" s="43" t="s">
        <v>1524</v>
      </c>
      <c r="E471" s="43" t="s">
        <v>1525</v>
      </c>
      <c r="F471" s="43">
        <v>0</v>
      </c>
      <c r="G471" s="43" t="s">
        <v>4583</v>
      </c>
      <c r="H471"/>
    </row>
    <row r="472" spans="1:8" hidden="1" x14ac:dyDescent="0.25">
      <c r="A472" s="43">
        <v>58</v>
      </c>
      <c r="B472" s="43" t="s">
        <v>22</v>
      </c>
      <c r="C472" s="43" t="s">
        <v>4470</v>
      </c>
      <c r="D472" s="43" t="s">
        <v>1526</v>
      </c>
      <c r="E472" s="43" t="s">
        <v>1527</v>
      </c>
      <c r="F472" s="43">
        <v>0</v>
      </c>
      <c r="G472" s="43" t="s">
        <v>4583</v>
      </c>
      <c r="H472"/>
    </row>
    <row r="473" spans="1:8" hidden="1" x14ac:dyDescent="0.25">
      <c r="A473" s="43">
        <v>58</v>
      </c>
      <c r="B473" s="43" t="s">
        <v>22</v>
      </c>
      <c r="C473" s="43" t="s">
        <v>4470</v>
      </c>
      <c r="D473" s="43" t="s">
        <v>1528</v>
      </c>
      <c r="E473" s="43" t="s">
        <v>4471</v>
      </c>
      <c r="F473" s="43">
        <v>0</v>
      </c>
      <c r="G473" s="43" t="s">
        <v>4583</v>
      </c>
      <c r="H473"/>
    </row>
    <row r="474" spans="1:8" hidden="1" x14ac:dyDescent="0.25">
      <c r="A474" s="43">
        <v>58</v>
      </c>
      <c r="B474" s="43" t="s">
        <v>22</v>
      </c>
      <c r="C474" s="43" t="s">
        <v>4470</v>
      </c>
      <c r="D474" s="43" t="s">
        <v>1530</v>
      </c>
      <c r="E474" s="43" t="s">
        <v>1430</v>
      </c>
      <c r="F474" s="43">
        <v>1</v>
      </c>
      <c r="G474"/>
      <c r="H474"/>
    </row>
    <row r="475" spans="1:8" hidden="1" x14ac:dyDescent="0.25">
      <c r="A475" s="43">
        <v>58</v>
      </c>
      <c r="B475" s="43" t="s">
        <v>22</v>
      </c>
      <c r="C475" s="43" t="s">
        <v>4470</v>
      </c>
      <c r="D475" s="43" t="s">
        <v>1531</v>
      </c>
      <c r="E475" s="43" t="s">
        <v>503</v>
      </c>
      <c r="F475" s="43">
        <v>0</v>
      </c>
      <c r="G475" s="43" t="s">
        <v>4583</v>
      </c>
      <c r="H475"/>
    </row>
    <row r="476" spans="1:8" hidden="1" x14ac:dyDescent="0.25">
      <c r="A476" s="43">
        <v>58</v>
      </c>
      <c r="B476" s="43" t="s">
        <v>22</v>
      </c>
      <c r="C476" s="43" t="s">
        <v>4470</v>
      </c>
      <c r="D476" s="43" t="s">
        <v>1532</v>
      </c>
      <c r="E476" s="43" t="s">
        <v>1533</v>
      </c>
      <c r="F476" s="43">
        <v>1</v>
      </c>
      <c r="G476"/>
      <c r="H476"/>
    </row>
    <row r="477" spans="1:8" hidden="1" x14ac:dyDescent="0.25">
      <c r="A477" s="43">
        <v>58</v>
      </c>
      <c r="B477" s="43" t="s">
        <v>22</v>
      </c>
      <c r="C477" s="43" t="s">
        <v>4470</v>
      </c>
      <c r="D477" s="43" t="s">
        <v>1534</v>
      </c>
      <c r="E477" s="43" t="s">
        <v>1535</v>
      </c>
      <c r="F477" s="43">
        <v>0</v>
      </c>
      <c r="G477" s="43" t="s">
        <v>4583</v>
      </c>
      <c r="H477"/>
    </row>
    <row r="478" spans="1:8" hidden="1" x14ac:dyDescent="0.25">
      <c r="A478" s="43">
        <v>69</v>
      </c>
      <c r="B478" s="43" t="s">
        <v>23</v>
      </c>
      <c r="C478" s="43" t="s">
        <v>1390</v>
      </c>
      <c r="D478" s="43" t="s">
        <v>1393</v>
      </c>
      <c r="E478" s="43" t="s">
        <v>1394</v>
      </c>
      <c r="F478" s="43">
        <v>1</v>
      </c>
      <c r="G478"/>
      <c r="H478"/>
    </row>
    <row r="479" spans="1:8" hidden="1" x14ac:dyDescent="0.25">
      <c r="A479" s="43">
        <v>69</v>
      </c>
      <c r="B479" s="43" t="s">
        <v>23</v>
      </c>
      <c r="C479" s="43" t="s">
        <v>1390</v>
      </c>
      <c r="D479" s="43" t="s">
        <v>1415</v>
      </c>
      <c r="E479" s="43" t="s">
        <v>611</v>
      </c>
      <c r="F479" s="43">
        <v>1</v>
      </c>
      <c r="G479"/>
      <c r="H479"/>
    </row>
    <row r="480" spans="1:8" hidden="1" x14ac:dyDescent="0.25">
      <c r="A480" s="43">
        <v>69</v>
      </c>
      <c r="B480" s="43" t="s">
        <v>23</v>
      </c>
      <c r="C480" s="43" t="s">
        <v>1390</v>
      </c>
      <c r="D480" s="43" t="s">
        <v>1416</v>
      </c>
      <c r="E480" s="43" t="s">
        <v>612</v>
      </c>
      <c r="F480" s="43">
        <v>2</v>
      </c>
      <c r="G480" s="43" t="s">
        <v>4500</v>
      </c>
      <c r="H480" s="43" t="s">
        <v>4581</v>
      </c>
    </row>
    <row r="481" spans="1:8" hidden="1" x14ac:dyDescent="0.25">
      <c r="A481" s="43">
        <v>69</v>
      </c>
      <c r="B481" s="43" t="s">
        <v>23</v>
      </c>
      <c r="C481" s="43" t="s">
        <v>1390</v>
      </c>
      <c r="D481" s="43" t="s">
        <v>1417</v>
      </c>
      <c r="E481" s="43" t="s">
        <v>613</v>
      </c>
      <c r="F481" s="43">
        <v>2</v>
      </c>
      <c r="G481" s="43" t="s">
        <v>4500</v>
      </c>
      <c r="H481" s="43" t="s">
        <v>4581</v>
      </c>
    </row>
    <row r="482" spans="1:8" hidden="1" x14ac:dyDescent="0.25">
      <c r="A482" s="43">
        <v>69</v>
      </c>
      <c r="B482" s="43" t="s">
        <v>23</v>
      </c>
      <c r="C482" s="43" t="s">
        <v>1390</v>
      </c>
      <c r="D482" s="43" t="s">
        <v>1429</v>
      </c>
      <c r="E482" s="43" t="s">
        <v>1430</v>
      </c>
      <c r="F482" s="43">
        <v>1</v>
      </c>
      <c r="G482"/>
      <c r="H482"/>
    </row>
    <row r="483" spans="1:8" hidden="1" x14ac:dyDescent="0.25">
      <c r="A483" s="43">
        <v>69</v>
      </c>
      <c r="B483" s="43" t="s">
        <v>23</v>
      </c>
      <c r="C483" s="43" t="s">
        <v>1390</v>
      </c>
      <c r="D483" s="43" t="s">
        <v>1431</v>
      </c>
      <c r="E483" s="43" t="s">
        <v>4469</v>
      </c>
      <c r="F483" s="43">
        <v>1</v>
      </c>
      <c r="G483"/>
      <c r="H483"/>
    </row>
    <row r="484" spans="1:8" hidden="1" x14ac:dyDescent="0.25">
      <c r="A484" s="43">
        <v>69</v>
      </c>
      <c r="B484" s="43" t="s">
        <v>23</v>
      </c>
      <c r="C484" s="43" t="s">
        <v>1390</v>
      </c>
      <c r="D484" s="43" t="s">
        <v>1423</v>
      </c>
      <c r="E484" s="43" t="s">
        <v>614</v>
      </c>
      <c r="F484" s="43">
        <v>1</v>
      </c>
      <c r="G484"/>
      <c r="H484"/>
    </row>
    <row r="485" spans="1:8" hidden="1" x14ac:dyDescent="0.25">
      <c r="A485" s="43">
        <v>69</v>
      </c>
      <c r="B485" s="43" t="s">
        <v>23</v>
      </c>
      <c r="C485" s="43" t="s">
        <v>1390</v>
      </c>
      <c r="D485" s="43" t="s">
        <v>1424</v>
      </c>
      <c r="E485" s="43" t="s">
        <v>615</v>
      </c>
      <c r="F485" s="43">
        <v>1</v>
      </c>
      <c r="G485"/>
      <c r="H485"/>
    </row>
    <row r="486" spans="1:8" hidden="1" x14ac:dyDescent="0.25">
      <c r="A486" s="43">
        <v>69</v>
      </c>
      <c r="B486" s="43" t="s">
        <v>23</v>
      </c>
      <c r="C486" s="43" t="s">
        <v>1390</v>
      </c>
      <c r="D486" s="43" t="s">
        <v>1395</v>
      </c>
      <c r="E486" s="43" t="s">
        <v>273</v>
      </c>
      <c r="F486" s="43">
        <v>1</v>
      </c>
      <c r="G486"/>
      <c r="H486"/>
    </row>
    <row r="487" spans="1:8" hidden="1" x14ac:dyDescent="0.25">
      <c r="A487" s="43">
        <v>69</v>
      </c>
      <c r="B487" s="43" t="s">
        <v>23</v>
      </c>
      <c r="C487" s="43" t="s">
        <v>1390</v>
      </c>
      <c r="D487" s="43" t="s">
        <v>1391</v>
      </c>
      <c r="E487" s="43" t="s">
        <v>583</v>
      </c>
      <c r="F487" s="43">
        <v>1</v>
      </c>
      <c r="G487"/>
      <c r="H487"/>
    </row>
    <row r="488" spans="1:8" hidden="1" x14ac:dyDescent="0.25">
      <c r="A488" s="43">
        <v>69</v>
      </c>
      <c r="B488" s="43" t="s">
        <v>23</v>
      </c>
      <c r="C488" s="43" t="s">
        <v>1390</v>
      </c>
      <c r="D488" s="43" t="s">
        <v>1392</v>
      </c>
      <c r="E488" s="43" t="s">
        <v>306</v>
      </c>
      <c r="F488" s="43">
        <v>1</v>
      </c>
      <c r="G488"/>
      <c r="H488"/>
    </row>
    <row r="489" spans="1:8" hidden="1" x14ac:dyDescent="0.25">
      <c r="A489" s="43">
        <v>69</v>
      </c>
      <c r="B489" s="43" t="s">
        <v>23</v>
      </c>
      <c r="C489" s="43" t="s">
        <v>1390</v>
      </c>
      <c r="D489" s="43" t="s">
        <v>1425</v>
      </c>
      <c r="E489" s="43" t="s">
        <v>616</v>
      </c>
      <c r="F489" s="43">
        <v>1</v>
      </c>
      <c r="G489"/>
      <c r="H489"/>
    </row>
    <row r="490" spans="1:8" hidden="1" x14ac:dyDescent="0.25">
      <c r="A490" s="43">
        <v>69</v>
      </c>
      <c r="B490" s="43" t="s">
        <v>23</v>
      </c>
      <c r="C490" s="43" t="s">
        <v>1390</v>
      </c>
      <c r="D490" s="43" t="s">
        <v>1426</v>
      </c>
      <c r="E490" s="43" t="s">
        <v>617</v>
      </c>
      <c r="F490" s="43">
        <v>1</v>
      </c>
      <c r="G490"/>
      <c r="H490"/>
    </row>
    <row r="491" spans="1:8" hidden="1" x14ac:dyDescent="0.25">
      <c r="A491" s="43">
        <v>69</v>
      </c>
      <c r="B491" s="43" t="s">
        <v>23</v>
      </c>
      <c r="C491" s="43" t="s">
        <v>1390</v>
      </c>
      <c r="D491" s="43" t="s">
        <v>1418</v>
      </c>
      <c r="E491" s="43" t="s">
        <v>1419</v>
      </c>
      <c r="F491" s="43">
        <v>2</v>
      </c>
      <c r="G491" s="43" t="s">
        <v>4500</v>
      </c>
      <c r="H491" s="43" t="s">
        <v>4581</v>
      </c>
    </row>
    <row r="492" spans="1:8" hidden="1" x14ac:dyDescent="0.25">
      <c r="A492" s="43">
        <v>69</v>
      </c>
      <c r="B492" s="43" t="s">
        <v>23</v>
      </c>
      <c r="C492" s="43" t="s">
        <v>1390</v>
      </c>
      <c r="D492" s="43" t="s">
        <v>1420</v>
      </c>
      <c r="E492" s="43" t="s">
        <v>621</v>
      </c>
      <c r="F492" s="43">
        <v>2</v>
      </c>
      <c r="G492" s="43" t="s">
        <v>4500</v>
      </c>
      <c r="H492" s="43" t="s">
        <v>4581</v>
      </c>
    </row>
    <row r="493" spans="1:8" hidden="1" x14ac:dyDescent="0.25">
      <c r="A493" s="43">
        <v>69</v>
      </c>
      <c r="B493" s="43" t="s">
        <v>23</v>
      </c>
      <c r="C493" s="43" t="s">
        <v>1390</v>
      </c>
      <c r="D493" s="43" t="s">
        <v>1421</v>
      </c>
      <c r="E493" s="43" t="s">
        <v>1422</v>
      </c>
      <c r="F493" s="43">
        <v>2</v>
      </c>
      <c r="G493" s="43" t="s">
        <v>4500</v>
      </c>
      <c r="H493" s="43" t="s">
        <v>4581</v>
      </c>
    </row>
    <row r="494" spans="1:8" hidden="1" x14ac:dyDescent="0.25">
      <c r="A494" s="43">
        <v>69</v>
      </c>
      <c r="B494" s="43" t="s">
        <v>23</v>
      </c>
      <c r="C494" s="43" t="s">
        <v>1390</v>
      </c>
      <c r="D494" s="43" t="s">
        <v>1433</v>
      </c>
      <c r="E494" s="43" t="s">
        <v>623</v>
      </c>
      <c r="F494" s="43">
        <v>0</v>
      </c>
      <c r="G494" s="43" t="s">
        <v>4583</v>
      </c>
      <c r="H494"/>
    </row>
    <row r="495" spans="1:8" hidden="1" x14ac:dyDescent="0.25">
      <c r="A495" s="43">
        <v>69</v>
      </c>
      <c r="B495" s="43" t="s">
        <v>23</v>
      </c>
      <c r="C495" s="43" t="s">
        <v>1390</v>
      </c>
      <c r="D495" s="43" t="s">
        <v>1434</v>
      </c>
      <c r="E495" s="43" t="s">
        <v>624</v>
      </c>
      <c r="F495" s="43">
        <v>0</v>
      </c>
      <c r="G495" s="43" t="s">
        <v>4583</v>
      </c>
      <c r="H495"/>
    </row>
    <row r="496" spans="1:8" hidden="1" x14ac:dyDescent="0.25">
      <c r="A496" s="43">
        <v>69</v>
      </c>
      <c r="B496" s="43" t="s">
        <v>23</v>
      </c>
      <c r="C496" s="43" t="s">
        <v>1390</v>
      </c>
      <c r="D496" s="43" t="s">
        <v>1435</v>
      </c>
      <c r="E496" s="43" t="s">
        <v>625</v>
      </c>
      <c r="F496" s="43">
        <v>0</v>
      </c>
      <c r="G496" s="43" t="s">
        <v>4583</v>
      </c>
      <c r="H496"/>
    </row>
    <row r="497" spans="1:8" hidden="1" x14ac:dyDescent="0.25">
      <c r="A497" s="43">
        <v>69</v>
      </c>
      <c r="B497" s="43" t="s">
        <v>23</v>
      </c>
      <c r="C497" s="43" t="s">
        <v>1390</v>
      </c>
      <c r="D497" s="43" t="s">
        <v>1404</v>
      </c>
      <c r="E497" s="43" t="s">
        <v>626</v>
      </c>
      <c r="F497" s="43">
        <v>0</v>
      </c>
      <c r="G497" s="43" t="s">
        <v>4583</v>
      </c>
      <c r="H497"/>
    </row>
    <row r="498" spans="1:8" hidden="1" x14ac:dyDescent="0.25">
      <c r="A498" s="43">
        <v>69</v>
      </c>
      <c r="B498" s="43" t="s">
        <v>23</v>
      </c>
      <c r="C498" s="43" t="s">
        <v>1390</v>
      </c>
      <c r="D498" s="43" t="s">
        <v>1407</v>
      </c>
      <c r="E498" s="43" t="s">
        <v>627</v>
      </c>
      <c r="F498" s="43">
        <v>2</v>
      </c>
      <c r="G498" s="43" t="s">
        <v>4500</v>
      </c>
      <c r="H498" s="43" t="s">
        <v>4581</v>
      </c>
    </row>
    <row r="499" spans="1:8" hidden="1" x14ac:dyDescent="0.25">
      <c r="A499" s="43">
        <v>69</v>
      </c>
      <c r="B499" s="43" t="s">
        <v>23</v>
      </c>
      <c r="C499" s="43" t="s">
        <v>1390</v>
      </c>
      <c r="D499" s="43" t="s">
        <v>1410</v>
      </c>
      <c r="E499" s="43" t="s">
        <v>628</v>
      </c>
      <c r="F499" s="43">
        <v>0</v>
      </c>
      <c r="G499" s="43" t="s">
        <v>4583</v>
      </c>
      <c r="H499"/>
    </row>
    <row r="500" spans="1:8" hidden="1" x14ac:dyDescent="0.25">
      <c r="A500" s="43">
        <v>69</v>
      </c>
      <c r="B500" s="43" t="s">
        <v>23</v>
      </c>
      <c r="C500" s="43" t="s">
        <v>1390</v>
      </c>
      <c r="D500" s="43" t="s">
        <v>1411</v>
      </c>
      <c r="E500" s="43" t="s">
        <v>629</v>
      </c>
      <c r="F500" s="43">
        <v>0</v>
      </c>
      <c r="G500" s="43" t="s">
        <v>4583</v>
      </c>
      <c r="H500"/>
    </row>
    <row r="501" spans="1:8" hidden="1" x14ac:dyDescent="0.25">
      <c r="A501" s="43">
        <v>69</v>
      </c>
      <c r="B501" s="43" t="s">
        <v>23</v>
      </c>
      <c r="C501" s="43" t="s">
        <v>1390</v>
      </c>
      <c r="D501" s="43" t="s">
        <v>1412</v>
      </c>
      <c r="E501" s="43" t="s">
        <v>630</v>
      </c>
      <c r="F501" s="43">
        <v>0</v>
      </c>
      <c r="G501" s="43" t="s">
        <v>4583</v>
      </c>
      <c r="H501"/>
    </row>
    <row r="502" spans="1:8" hidden="1" x14ac:dyDescent="0.25">
      <c r="A502" s="43">
        <v>69</v>
      </c>
      <c r="B502" s="43" t="s">
        <v>23</v>
      </c>
      <c r="C502" s="43" t="s">
        <v>1390</v>
      </c>
      <c r="D502" s="43" t="s">
        <v>1413</v>
      </c>
      <c r="E502" s="43" t="s">
        <v>1414</v>
      </c>
      <c r="F502" s="43">
        <v>0</v>
      </c>
      <c r="G502" s="43" t="s">
        <v>4583</v>
      </c>
      <c r="H502"/>
    </row>
    <row r="503" spans="1:8" hidden="1" x14ac:dyDescent="0.25">
      <c r="A503" s="43">
        <v>69</v>
      </c>
      <c r="B503" s="43" t="s">
        <v>23</v>
      </c>
      <c r="C503" s="43" t="s">
        <v>1390</v>
      </c>
      <c r="D503" s="43" t="s">
        <v>1400</v>
      </c>
      <c r="E503" s="43" t="s">
        <v>1401</v>
      </c>
      <c r="F503" s="43">
        <v>0</v>
      </c>
      <c r="G503" s="43" t="s">
        <v>4583</v>
      </c>
      <c r="H503"/>
    </row>
    <row r="504" spans="1:8" hidden="1" x14ac:dyDescent="0.25">
      <c r="A504" s="43">
        <v>69</v>
      </c>
      <c r="B504" s="43" t="s">
        <v>23</v>
      </c>
      <c r="C504" s="43" t="s">
        <v>1390</v>
      </c>
      <c r="D504" s="43" t="s">
        <v>1396</v>
      </c>
      <c r="E504" s="43" t="s">
        <v>1397</v>
      </c>
      <c r="F504" s="43">
        <v>1</v>
      </c>
      <c r="G504"/>
      <c r="H504"/>
    </row>
    <row r="505" spans="1:8" hidden="1" x14ac:dyDescent="0.25">
      <c r="A505" s="43">
        <v>69</v>
      </c>
      <c r="B505" s="43" t="s">
        <v>23</v>
      </c>
      <c r="C505" s="43" t="s">
        <v>1390</v>
      </c>
      <c r="D505" s="43" t="s">
        <v>1398</v>
      </c>
      <c r="E505" s="43" t="s">
        <v>493</v>
      </c>
      <c r="F505" s="43">
        <v>1</v>
      </c>
      <c r="G505"/>
      <c r="H505"/>
    </row>
    <row r="506" spans="1:8" hidden="1" x14ac:dyDescent="0.25">
      <c r="A506" s="43">
        <v>69</v>
      </c>
      <c r="B506" s="43" t="s">
        <v>23</v>
      </c>
      <c r="C506" s="43" t="s">
        <v>1390</v>
      </c>
      <c r="D506" s="43" t="s">
        <v>1427</v>
      </c>
      <c r="E506" s="43" t="s">
        <v>1428</v>
      </c>
      <c r="F506" s="43">
        <v>1</v>
      </c>
      <c r="G506"/>
      <c r="H506"/>
    </row>
    <row r="507" spans="1:8" hidden="1" x14ac:dyDescent="0.25">
      <c r="A507" s="43">
        <v>70</v>
      </c>
      <c r="B507" s="43" t="s">
        <v>24</v>
      </c>
      <c r="C507" s="43" t="s">
        <v>659</v>
      </c>
      <c r="D507" s="43" t="s">
        <v>662</v>
      </c>
      <c r="E507" s="43" t="s">
        <v>663</v>
      </c>
      <c r="F507" s="43">
        <v>1</v>
      </c>
      <c r="G507"/>
      <c r="H507"/>
    </row>
    <row r="508" spans="1:8" hidden="1" x14ac:dyDescent="0.25">
      <c r="A508" s="43">
        <v>70</v>
      </c>
      <c r="B508" s="43" t="s">
        <v>24</v>
      </c>
      <c r="C508" s="43" t="s">
        <v>659</v>
      </c>
      <c r="D508" s="43" t="s">
        <v>669</v>
      </c>
      <c r="E508" s="43" t="s">
        <v>611</v>
      </c>
      <c r="F508" s="43">
        <v>0</v>
      </c>
      <c r="G508" s="43" t="s">
        <v>4583</v>
      </c>
      <c r="H508"/>
    </row>
    <row r="509" spans="1:8" hidden="1" x14ac:dyDescent="0.25">
      <c r="A509" s="43">
        <v>70</v>
      </c>
      <c r="B509" s="43" t="s">
        <v>24</v>
      </c>
      <c r="C509" s="43" t="s">
        <v>659</v>
      </c>
      <c r="D509" s="43" t="s">
        <v>670</v>
      </c>
      <c r="E509" s="43" t="s">
        <v>671</v>
      </c>
      <c r="F509" s="43">
        <v>0</v>
      </c>
      <c r="G509" s="43" t="s">
        <v>4583</v>
      </c>
      <c r="H509"/>
    </row>
    <row r="510" spans="1:8" hidden="1" x14ac:dyDescent="0.25">
      <c r="A510" s="43">
        <v>70</v>
      </c>
      <c r="B510" s="43" t="s">
        <v>24</v>
      </c>
      <c r="C510" s="43" t="s">
        <v>659</v>
      </c>
      <c r="D510" s="43" t="s">
        <v>664</v>
      </c>
      <c r="E510" s="43" t="s">
        <v>665</v>
      </c>
      <c r="F510" s="43">
        <v>1</v>
      </c>
      <c r="G510"/>
      <c r="H510"/>
    </row>
    <row r="511" spans="1:8" hidden="1" x14ac:dyDescent="0.25">
      <c r="A511" s="43">
        <v>70</v>
      </c>
      <c r="B511" s="43" t="s">
        <v>24</v>
      </c>
      <c r="C511" s="43" t="s">
        <v>659</v>
      </c>
      <c r="D511" s="43" t="s">
        <v>660</v>
      </c>
      <c r="E511" s="43" t="s">
        <v>583</v>
      </c>
      <c r="F511" s="43">
        <v>1</v>
      </c>
      <c r="G511"/>
      <c r="H511"/>
    </row>
    <row r="512" spans="1:8" hidden="1" x14ac:dyDescent="0.25">
      <c r="A512" s="43">
        <v>70</v>
      </c>
      <c r="B512" s="43" t="s">
        <v>24</v>
      </c>
      <c r="C512" s="43" t="s">
        <v>659</v>
      </c>
      <c r="D512" s="43" t="s">
        <v>661</v>
      </c>
      <c r="E512" s="43" t="s">
        <v>306</v>
      </c>
      <c r="F512" s="43">
        <v>1</v>
      </c>
      <c r="G512"/>
      <c r="H512"/>
    </row>
    <row r="513" spans="1:8" hidden="1" x14ac:dyDescent="0.25">
      <c r="A513" s="43">
        <v>70</v>
      </c>
      <c r="B513" s="43" t="s">
        <v>24</v>
      </c>
      <c r="C513" s="43" t="s">
        <v>659</v>
      </c>
      <c r="D513" s="43" t="s">
        <v>680</v>
      </c>
      <c r="E513" s="43" t="s">
        <v>681</v>
      </c>
      <c r="F513" s="43">
        <v>0</v>
      </c>
      <c r="G513" s="43" t="s">
        <v>4583</v>
      </c>
      <c r="H513"/>
    </row>
    <row r="514" spans="1:8" hidden="1" x14ac:dyDescent="0.25">
      <c r="A514" s="43">
        <v>70</v>
      </c>
      <c r="B514" s="43" t="s">
        <v>24</v>
      </c>
      <c r="C514" s="43" t="s">
        <v>659</v>
      </c>
      <c r="D514" s="43" t="s">
        <v>676</v>
      </c>
      <c r="E514" s="43" t="s">
        <v>677</v>
      </c>
      <c r="F514" s="43">
        <v>0</v>
      </c>
      <c r="G514" s="43" t="s">
        <v>4583</v>
      </c>
      <c r="H514"/>
    </row>
    <row r="515" spans="1:8" hidden="1" x14ac:dyDescent="0.25">
      <c r="A515" s="43">
        <v>70</v>
      </c>
      <c r="B515" s="43" t="s">
        <v>24</v>
      </c>
      <c r="C515" s="43" t="s">
        <v>659</v>
      </c>
      <c r="D515" s="43" t="s">
        <v>678</v>
      </c>
      <c r="E515" s="43" t="s">
        <v>679</v>
      </c>
      <c r="F515" s="43">
        <v>0</v>
      </c>
      <c r="G515" s="43" t="s">
        <v>4583</v>
      </c>
      <c r="H515"/>
    </row>
    <row r="516" spans="1:8" hidden="1" x14ac:dyDescent="0.25">
      <c r="A516" s="43">
        <v>70</v>
      </c>
      <c r="B516" s="43" t="s">
        <v>24</v>
      </c>
      <c r="C516" s="43" t="s">
        <v>659</v>
      </c>
      <c r="D516" s="43" t="s">
        <v>667</v>
      </c>
      <c r="E516" s="43" t="s">
        <v>668</v>
      </c>
      <c r="F516" s="43">
        <v>0</v>
      </c>
      <c r="G516" s="43" t="s">
        <v>4583</v>
      </c>
      <c r="H516"/>
    </row>
    <row r="517" spans="1:8" hidden="1" x14ac:dyDescent="0.25">
      <c r="A517" s="43">
        <v>70</v>
      </c>
      <c r="B517" s="43" t="s">
        <v>24</v>
      </c>
      <c r="C517" s="43" t="s">
        <v>659</v>
      </c>
      <c r="D517" s="43" t="s">
        <v>666</v>
      </c>
      <c r="E517" s="43" t="s">
        <v>633</v>
      </c>
      <c r="F517" s="43">
        <v>1</v>
      </c>
      <c r="G517"/>
      <c r="H517"/>
    </row>
    <row r="518" spans="1:8" hidden="1" x14ac:dyDescent="0.25">
      <c r="A518" s="43">
        <v>70</v>
      </c>
      <c r="B518" s="43" t="s">
        <v>24</v>
      </c>
      <c r="C518" s="43" t="s">
        <v>659</v>
      </c>
      <c r="D518" s="43" t="s">
        <v>672</v>
      </c>
      <c r="E518" s="43" t="s">
        <v>673</v>
      </c>
      <c r="F518" s="43">
        <v>1</v>
      </c>
      <c r="G518"/>
      <c r="H518"/>
    </row>
    <row r="519" spans="1:8" hidden="1" x14ac:dyDescent="0.25">
      <c r="A519" s="43">
        <v>70</v>
      </c>
      <c r="B519" s="43" t="s">
        <v>24</v>
      </c>
      <c r="C519" s="43" t="s">
        <v>659</v>
      </c>
      <c r="D519" s="43" t="s">
        <v>674</v>
      </c>
      <c r="E519" s="43" t="s">
        <v>675</v>
      </c>
      <c r="F519" s="43">
        <v>0</v>
      </c>
      <c r="G519" s="43" t="s">
        <v>4583</v>
      </c>
      <c r="H519"/>
    </row>
    <row r="520" spans="1:8" hidden="1" x14ac:dyDescent="0.25">
      <c r="A520" s="43">
        <v>70</v>
      </c>
      <c r="B520" s="43" t="s">
        <v>24</v>
      </c>
      <c r="C520" s="43" t="s">
        <v>1155</v>
      </c>
      <c r="D520" s="43" t="s">
        <v>1157</v>
      </c>
      <c r="E520" s="43" t="s">
        <v>844</v>
      </c>
      <c r="F520" s="43">
        <v>1</v>
      </c>
      <c r="G520"/>
      <c r="H520"/>
    </row>
    <row r="521" spans="1:8" hidden="1" x14ac:dyDescent="0.25">
      <c r="A521" s="43">
        <v>70</v>
      </c>
      <c r="B521" s="43" t="s">
        <v>24</v>
      </c>
      <c r="C521" s="43" t="s">
        <v>1155</v>
      </c>
      <c r="D521" s="43" t="s">
        <v>1156</v>
      </c>
      <c r="E521" s="43" t="s">
        <v>273</v>
      </c>
      <c r="F521" s="43">
        <v>1</v>
      </c>
      <c r="G521"/>
      <c r="H521"/>
    </row>
    <row r="522" spans="1:8" hidden="1" x14ac:dyDescent="0.25">
      <c r="A522" s="43">
        <v>70</v>
      </c>
      <c r="B522" s="43" t="s">
        <v>24</v>
      </c>
      <c r="C522" s="43" t="s">
        <v>1155</v>
      </c>
      <c r="D522" s="43" t="s">
        <v>1158</v>
      </c>
      <c r="E522" s="43" t="s">
        <v>1159</v>
      </c>
      <c r="F522" s="43">
        <v>0</v>
      </c>
      <c r="G522" s="43" t="s">
        <v>4583</v>
      </c>
      <c r="H522"/>
    </row>
    <row r="523" spans="1:8" hidden="1" x14ac:dyDescent="0.25">
      <c r="A523" s="43">
        <v>70</v>
      </c>
      <c r="B523" s="43" t="s">
        <v>24</v>
      </c>
      <c r="C523" s="43" t="s">
        <v>1155</v>
      </c>
      <c r="D523" s="43" t="s">
        <v>1160</v>
      </c>
      <c r="E523" s="43" t="s">
        <v>1161</v>
      </c>
      <c r="F523" s="43">
        <v>0</v>
      </c>
      <c r="G523" s="43" t="s">
        <v>4583</v>
      </c>
      <c r="H523"/>
    </row>
    <row r="524" spans="1:8" hidden="1" x14ac:dyDescent="0.25">
      <c r="A524" s="43">
        <v>70</v>
      </c>
      <c r="B524" s="43" t="s">
        <v>24</v>
      </c>
      <c r="C524" s="43" t="s">
        <v>1155</v>
      </c>
      <c r="D524" s="43" t="s">
        <v>1162</v>
      </c>
      <c r="E524" s="43" t="s">
        <v>1163</v>
      </c>
      <c r="F524" s="43">
        <v>0</v>
      </c>
      <c r="G524" s="43" t="s">
        <v>4583</v>
      </c>
      <c r="H524"/>
    </row>
    <row r="525" spans="1:8" hidden="1" x14ac:dyDescent="0.25">
      <c r="A525" s="43">
        <v>70</v>
      </c>
      <c r="B525" s="43" t="s">
        <v>24</v>
      </c>
      <c r="C525" s="43" t="s">
        <v>1155</v>
      </c>
      <c r="D525" s="43" t="s">
        <v>1164</v>
      </c>
      <c r="E525" s="43" t="s">
        <v>1165</v>
      </c>
      <c r="F525" s="43">
        <v>0</v>
      </c>
      <c r="G525" s="43" t="s">
        <v>4583</v>
      </c>
      <c r="H525"/>
    </row>
    <row r="526" spans="1:8" hidden="1" x14ac:dyDescent="0.25">
      <c r="A526" s="43">
        <v>70</v>
      </c>
      <c r="B526" s="43" t="s">
        <v>24</v>
      </c>
      <c r="C526" s="43" t="s">
        <v>1155</v>
      </c>
      <c r="D526" s="43" t="s">
        <v>1166</v>
      </c>
      <c r="E526" s="43" t="s">
        <v>295</v>
      </c>
      <c r="F526" s="43">
        <v>1</v>
      </c>
      <c r="G526"/>
      <c r="H526"/>
    </row>
    <row r="527" spans="1:8" hidden="1" x14ac:dyDescent="0.25">
      <c r="A527" s="43">
        <v>70</v>
      </c>
      <c r="B527" s="43" t="s">
        <v>24</v>
      </c>
      <c r="C527" s="43" t="s">
        <v>1155</v>
      </c>
      <c r="D527" s="43" t="s">
        <v>1167</v>
      </c>
      <c r="E527" s="43" t="s">
        <v>1168</v>
      </c>
      <c r="F527" s="43">
        <v>0</v>
      </c>
      <c r="G527" s="43" t="s">
        <v>4583</v>
      </c>
      <c r="H527"/>
    </row>
    <row r="528" spans="1:8" hidden="1" x14ac:dyDescent="0.25">
      <c r="A528" s="43">
        <v>70</v>
      </c>
      <c r="B528" s="43" t="s">
        <v>24</v>
      </c>
      <c r="C528" s="43" t="s">
        <v>1949</v>
      </c>
      <c r="D528" s="43" t="s">
        <v>1951</v>
      </c>
      <c r="E528" s="43" t="s">
        <v>1952</v>
      </c>
      <c r="F528" s="43">
        <v>0</v>
      </c>
      <c r="G528" s="43" t="s">
        <v>4583</v>
      </c>
      <c r="H528"/>
    </row>
    <row r="529" spans="1:8" hidden="1" x14ac:dyDescent="0.25">
      <c r="A529" s="43">
        <v>70</v>
      </c>
      <c r="B529" s="43" t="s">
        <v>24</v>
      </c>
      <c r="C529" s="43" t="s">
        <v>1949</v>
      </c>
      <c r="D529" s="43" t="s">
        <v>1953</v>
      </c>
      <c r="E529" s="43" t="s">
        <v>1954</v>
      </c>
      <c r="F529" s="43">
        <v>0</v>
      </c>
      <c r="G529" s="43" t="s">
        <v>4583</v>
      </c>
      <c r="H529"/>
    </row>
    <row r="530" spans="1:8" hidden="1" x14ac:dyDescent="0.25">
      <c r="A530" s="43">
        <v>70</v>
      </c>
      <c r="B530" s="43" t="s">
        <v>24</v>
      </c>
      <c r="C530" s="43" t="s">
        <v>1949</v>
      </c>
      <c r="D530" s="43" t="s">
        <v>1955</v>
      </c>
      <c r="E530" s="43" t="s">
        <v>1956</v>
      </c>
      <c r="F530" s="43">
        <v>0</v>
      </c>
      <c r="G530" s="43" t="s">
        <v>4583</v>
      </c>
      <c r="H530"/>
    </row>
    <row r="531" spans="1:8" hidden="1" x14ac:dyDescent="0.25">
      <c r="A531" s="43">
        <v>70</v>
      </c>
      <c r="B531" s="43" t="s">
        <v>24</v>
      </c>
      <c r="C531" s="43" t="s">
        <v>1949</v>
      </c>
      <c r="D531" s="43" t="s">
        <v>1958</v>
      </c>
      <c r="E531" s="43" t="s">
        <v>1959</v>
      </c>
      <c r="F531" s="43">
        <v>0</v>
      </c>
      <c r="G531" s="43" t="s">
        <v>4583</v>
      </c>
      <c r="H531"/>
    </row>
    <row r="532" spans="1:8" hidden="1" x14ac:dyDescent="0.25">
      <c r="A532" s="43">
        <v>70</v>
      </c>
      <c r="B532" s="43" t="s">
        <v>24</v>
      </c>
      <c r="C532" s="43" t="s">
        <v>1949</v>
      </c>
      <c r="D532" s="43" t="s">
        <v>1960</v>
      </c>
      <c r="E532" s="43" t="s">
        <v>1961</v>
      </c>
      <c r="F532" s="43">
        <v>0</v>
      </c>
      <c r="G532" s="43" t="s">
        <v>4583</v>
      </c>
      <c r="H532"/>
    </row>
    <row r="533" spans="1:8" hidden="1" x14ac:dyDescent="0.25">
      <c r="A533" s="43">
        <v>70</v>
      </c>
      <c r="B533" s="43" t="s">
        <v>24</v>
      </c>
      <c r="C533" s="43" t="s">
        <v>1949</v>
      </c>
      <c r="D533" s="43" t="s">
        <v>1962</v>
      </c>
      <c r="E533" s="43" t="s">
        <v>1963</v>
      </c>
      <c r="F533" s="43">
        <v>0</v>
      </c>
      <c r="G533" s="43" t="s">
        <v>4583</v>
      </c>
      <c r="H533"/>
    </row>
    <row r="534" spans="1:8" hidden="1" x14ac:dyDescent="0.25">
      <c r="A534" s="43">
        <v>70</v>
      </c>
      <c r="B534" s="43" t="s">
        <v>24</v>
      </c>
      <c r="C534" s="43" t="s">
        <v>1949</v>
      </c>
      <c r="D534" s="43" t="s">
        <v>1957</v>
      </c>
      <c r="E534" s="43" t="s">
        <v>295</v>
      </c>
      <c r="F534" s="43">
        <v>1</v>
      </c>
      <c r="G534"/>
      <c r="H534"/>
    </row>
    <row r="535" spans="1:8" hidden="1" x14ac:dyDescent="0.25">
      <c r="A535" s="43">
        <v>70</v>
      </c>
      <c r="B535" s="43" t="s">
        <v>24</v>
      </c>
      <c r="C535" s="43" t="s">
        <v>1949</v>
      </c>
      <c r="D535" s="43" t="s">
        <v>1950</v>
      </c>
      <c r="E535" s="43" t="s">
        <v>349</v>
      </c>
      <c r="F535" s="43">
        <v>1</v>
      </c>
      <c r="G535"/>
      <c r="H535"/>
    </row>
    <row r="536" spans="1:8" hidden="1" x14ac:dyDescent="0.25">
      <c r="A536" s="43">
        <v>71</v>
      </c>
      <c r="B536" s="43" t="s">
        <v>25</v>
      </c>
      <c r="C536" s="43" t="s">
        <v>506</v>
      </c>
      <c r="D536" s="43" t="s">
        <v>507</v>
      </c>
      <c r="E536" s="43" t="s">
        <v>508</v>
      </c>
      <c r="F536" s="43">
        <v>1</v>
      </c>
      <c r="G536"/>
      <c r="H536"/>
    </row>
    <row r="537" spans="1:8" hidden="1" x14ac:dyDescent="0.25">
      <c r="A537" s="43">
        <v>71</v>
      </c>
      <c r="B537" s="43" t="s">
        <v>25</v>
      </c>
      <c r="C537" s="43" t="s">
        <v>506</v>
      </c>
      <c r="D537" s="43" t="s">
        <v>509</v>
      </c>
      <c r="E537" s="43" t="s">
        <v>510</v>
      </c>
      <c r="F537" s="43">
        <v>1</v>
      </c>
      <c r="G537"/>
      <c r="H537"/>
    </row>
    <row r="538" spans="1:8" hidden="1" x14ac:dyDescent="0.25">
      <c r="A538" s="43">
        <v>71</v>
      </c>
      <c r="B538" s="43" t="s">
        <v>25</v>
      </c>
      <c r="C538" s="43" t="s">
        <v>506</v>
      </c>
      <c r="D538" s="43" t="s">
        <v>511</v>
      </c>
      <c r="E538" s="43" t="s">
        <v>512</v>
      </c>
      <c r="F538" s="43">
        <v>1</v>
      </c>
      <c r="G538"/>
      <c r="H538"/>
    </row>
    <row r="539" spans="1:8" hidden="1" x14ac:dyDescent="0.25">
      <c r="A539" s="43">
        <v>71</v>
      </c>
      <c r="B539" s="43" t="s">
        <v>25</v>
      </c>
      <c r="C539" s="43" t="s">
        <v>506</v>
      </c>
      <c r="D539" s="43" t="s">
        <v>513</v>
      </c>
      <c r="E539" s="43" t="s">
        <v>514</v>
      </c>
      <c r="F539" s="43">
        <v>1</v>
      </c>
      <c r="G539"/>
      <c r="H539"/>
    </row>
    <row r="540" spans="1:8" hidden="1" x14ac:dyDescent="0.25">
      <c r="A540" s="43">
        <v>71</v>
      </c>
      <c r="B540" s="43" t="s">
        <v>25</v>
      </c>
      <c r="C540" s="43" t="s">
        <v>506</v>
      </c>
      <c r="D540" s="43" t="s">
        <v>515</v>
      </c>
      <c r="E540" s="43" t="s">
        <v>516</v>
      </c>
      <c r="F540" s="43">
        <v>1</v>
      </c>
      <c r="G540"/>
      <c r="H540"/>
    </row>
    <row r="541" spans="1:8" x14ac:dyDescent="0.25">
      <c r="A541" s="43">
        <v>71</v>
      </c>
      <c r="B541" s="43" t="s">
        <v>25</v>
      </c>
      <c r="C541" s="43" t="s">
        <v>506</v>
      </c>
      <c r="D541" s="43" t="s">
        <v>517</v>
      </c>
      <c r="E541" s="43" t="s">
        <v>518</v>
      </c>
      <c r="F541" s="43">
        <v>2</v>
      </c>
      <c r="G541" s="43" t="s">
        <v>4504</v>
      </c>
      <c r="H541" s="43" t="s">
        <v>4580</v>
      </c>
    </row>
    <row r="542" spans="1:8" x14ac:dyDescent="0.25">
      <c r="A542" s="43">
        <v>71</v>
      </c>
      <c r="B542" s="43" t="s">
        <v>25</v>
      </c>
      <c r="C542" s="43" t="s">
        <v>506</v>
      </c>
      <c r="D542" s="43" t="s">
        <v>519</v>
      </c>
      <c r="E542" s="43" t="s">
        <v>520</v>
      </c>
      <c r="F542" s="43">
        <v>2</v>
      </c>
      <c r="G542" s="43" t="s">
        <v>4504</v>
      </c>
      <c r="H542" s="43" t="s">
        <v>4580</v>
      </c>
    </row>
    <row r="543" spans="1:8" x14ac:dyDescent="0.25">
      <c r="A543" s="43">
        <v>71</v>
      </c>
      <c r="B543" s="43" t="s">
        <v>25</v>
      </c>
      <c r="C543" s="43" t="s">
        <v>506</v>
      </c>
      <c r="D543" s="43" t="s">
        <v>521</v>
      </c>
      <c r="E543" s="43" t="s">
        <v>522</v>
      </c>
      <c r="F543" s="43">
        <v>2</v>
      </c>
      <c r="G543" s="43" t="s">
        <v>4504</v>
      </c>
      <c r="H543" s="43" t="s">
        <v>4580</v>
      </c>
    </row>
    <row r="544" spans="1:8" hidden="1" x14ac:dyDescent="0.25">
      <c r="A544" s="43">
        <v>71</v>
      </c>
      <c r="B544" s="43" t="s">
        <v>25</v>
      </c>
      <c r="C544" s="43" t="s">
        <v>506</v>
      </c>
      <c r="D544" s="43" t="s">
        <v>523</v>
      </c>
      <c r="E544" s="43" t="s">
        <v>4472</v>
      </c>
      <c r="F544" s="43">
        <v>1</v>
      </c>
      <c r="G544"/>
      <c r="H544"/>
    </row>
    <row r="545" spans="1:8" hidden="1" x14ac:dyDescent="0.25">
      <c r="A545" s="43">
        <v>71</v>
      </c>
      <c r="B545" s="43" t="s">
        <v>25</v>
      </c>
      <c r="C545" s="43" t="s">
        <v>506</v>
      </c>
      <c r="D545" s="43" t="s">
        <v>525</v>
      </c>
      <c r="E545" s="43" t="s">
        <v>526</v>
      </c>
      <c r="F545" s="43">
        <v>1</v>
      </c>
      <c r="G545"/>
      <c r="H545"/>
    </row>
    <row r="546" spans="1:8" hidden="1" x14ac:dyDescent="0.25">
      <c r="A546" s="43">
        <v>71</v>
      </c>
      <c r="B546" s="43" t="s">
        <v>25</v>
      </c>
      <c r="C546" s="43" t="s">
        <v>506</v>
      </c>
      <c r="D546" s="43" t="s">
        <v>527</v>
      </c>
      <c r="E546" s="43" t="s">
        <v>283</v>
      </c>
      <c r="F546" s="43">
        <v>1</v>
      </c>
      <c r="G546"/>
      <c r="H546"/>
    </row>
    <row r="547" spans="1:8" hidden="1" x14ac:dyDescent="0.25">
      <c r="A547" s="43">
        <v>71</v>
      </c>
      <c r="B547" s="43" t="s">
        <v>25</v>
      </c>
      <c r="C547" s="43" t="s">
        <v>506</v>
      </c>
      <c r="D547" s="43" t="s">
        <v>528</v>
      </c>
      <c r="E547" s="43" t="s">
        <v>529</v>
      </c>
      <c r="F547" s="43">
        <v>1</v>
      </c>
      <c r="G547"/>
      <c r="H547"/>
    </row>
    <row r="548" spans="1:8" hidden="1" x14ac:dyDescent="0.25">
      <c r="A548" s="43">
        <v>71</v>
      </c>
      <c r="B548" s="43" t="s">
        <v>25</v>
      </c>
      <c r="C548" s="43" t="s">
        <v>506</v>
      </c>
      <c r="D548" s="43" t="s">
        <v>530</v>
      </c>
      <c r="E548" s="43" t="s">
        <v>531</v>
      </c>
      <c r="F548" s="43">
        <v>1</v>
      </c>
      <c r="G548"/>
      <c r="H548"/>
    </row>
    <row r="549" spans="1:8" hidden="1" x14ac:dyDescent="0.25">
      <c r="A549" s="43">
        <v>71</v>
      </c>
      <c r="B549" s="43" t="s">
        <v>25</v>
      </c>
      <c r="C549" s="43" t="s">
        <v>506</v>
      </c>
      <c r="D549" s="43" t="s">
        <v>532</v>
      </c>
      <c r="E549" s="43" t="s">
        <v>533</v>
      </c>
      <c r="F549" s="43">
        <v>1</v>
      </c>
      <c r="G549"/>
      <c r="H549"/>
    </row>
    <row r="550" spans="1:8" hidden="1" x14ac:dyDescent="0.25">
      <c r="A550" s="43">
        <v>71</v>
      </c>
      <c r="B550" s="43" t="s">
        <v>25</v>
      </c>
      <c r="C550" s="43" t="s">
        <v>506</v>
      </c>
      <c r="D550" s="43" t="s">
        <v>534</v>
      </c>
      <c r="E550" s="43" t="s">
        <v>535</v>
      </c>
      <c r="F550" s="43">
        <v>1</v>
      </c>
      <c r="G550"/>
      <c r="H550"/>
    </row>
    <row r="551" spans="1:8" hidden="1" x14ac:dyDescent="0.25">
      <c r="A551" s="43">
        <v>71</v>
      </c>
      <c r="B551" s="43" t="s">
        <v>25</v>
      </c>
      <c r="C551" s="43" t="s">
        <v>506</v>
      </c>
      <c r="D551" s="43" t="s">
        <v>536</v>
      </c>
      <c r="E551" s="43" t="s">
        <v>537</v>
      </c>
      <c r="F551" s="43">
        <v>1</v>
      </c>
      <c r="G551"/>
      <c r="H551"/>
    </row>
    <row r="552" spans="1:8" hidden="1" x14ac:dyDescent="0.25">
      <c r="A552" s="43">
        <v>71</v>
      </c>
      <c r="B552" s="43" t="s">
        <v>25</v>
      </c>
      <c r="C552" s="43" t="s">
        <v>506</v>
      </c>
      <c r="D552" s="43" t="s">
        <v>538</v>
      </c>
      <c r="E552" s="43" t="s">
        <v>539</v>
      </c>
      <c r="F552" s="43">
        <v>1</v>
      </c>
      <c r="G552"/>
      <c r="H552"/>
    </row>
    <row r="553" spans="1:8" hidden="1" x14ac:dyDescent="0.25">
      <c r="A553" s="43">
        <v>71</v>
      </c>
      <c r="B553" s="43" t="s">
        <v>25</v>
      </c>
      <c r="C553" s="43" t="s">
        <v>506</v>
      </c>
      <c r="D553" s="43" t="s">
        <v>540</v>
      </c>
      <c r="E553" s="43" t="s">
        <v>541</v>
      </c>
      <c r="F553" s="43">
        <v>1</v>
      </c>
      <c r="G553"/>
      <c r="H553"/>
    </row>
    <row r="554" spans="1:8" hidden="1" x14ac:dyDescent="0.25">
      <c r="A554" s="43">
        <v>71</v>
      </c>
      <c r="B554" s="43" t="s">
        <v>25</v>
      </c>
      <c r="C554" s="43" t="s">
        <v>506</v>
      </c>
      <c r="D554" s="43" t="s">
        <v>542</v>
      </c>
      <c r="E554" s="43" t="s">
        <v>543</v>
      </c>
      <c r="F554" s="43">
        <v>1</v>
      </c>
      <c r="G554"/>
      <c r="H554"/>
    </row>
    <row r="555" spans="1:8" hidden="1" x14ac:dyDescent="0.25">
      <c r="A555" s="43">
        <v>71</v>
      </c>
      <c r="B555" s="43" t="s">
        <v>25</v>
      </c>
      <c r="C555" s="43" t="s">
        <v>506</v>
      </c>
      <c r="D555" s="43" t="s">
        <v>544</v>
      </c>
      <c r="E555" s="43" t="s">
        <v>545</v>
      </c>
      <c r="F555" s="43">
        <v>1</v>
      </c>
      <c r="G555"/>
      <c r="H555"/>
    </row>
    <row r="556" spans="1:8" hidden="1" x14ac:dyDescent="0.25">
      <c r="A556" s="43">
        <v>71</v>
      </c>
      <c r="B556" s="43" t="s">
        <v>25</v>
      </c>
      <c r="C556" s="43" t="s">
        <v>506</v>
      </c>
      <c r="D556" s="43" t="s">
        <v>546</v>
      </c>
      <c r="E556" s="43" t="s">
        <v>547</v>
      </c>
      <c r="F556" s="43">
        <v>1</v>
      </c>
      <c r="G556"/>
      <c r="H556"/>
    </row>
    <row r="557" spans="1:8" hidden="1" x14ac:dyDescent="0.25">
      <c r="A557" s="43">
        <v>71</v>
      </c>
      <c r="B557" s="43" t="s">
        <v>25</v>
      </c>
      <c r="C557" s="43" t="s">
        <v>506</v>
      </c>
      <c r="D557" s="43" t="s">
        <v>548</v>
      </c>
      <c r="E557" s="43" t="s">
        <v>549</v>
      </c>
      <c r="F557" s="43">
        <v>1</v>
      </c>
      <c r="G557"/>
      <c r="H557"/>
    </row>
    <row r="558" spans="1:8" hidden="1" x14ac:dyDescent="0.25">
      <c r="A558" s="43">
        <v>71</v>
      </c>
      <c r="B558" s="43" t="s">
        <v>25</v>
      </c>
      <c r="C558" s="43" t="s">
        <v>506</v>
      </c>
      <c r="D558" s="43" t="s">
        <v>550</v>
      </c>
      <c r="E558" s="43" t="s">
        <v>551</v>
      </c>
      <c r="F558" s="43">
        <v>1</v>
      </c>
      <c r="G558"/>
      <c r="H558"/>
    </row>
    <row r="559" spans="1:8" hidden="1" x14ac:dyDescent="0.25">
      <c r="A559" s="43">
        <v>75</v>
      </c>
      <c r="B559" s="43" t="s">
        <v>26</v>
      </c>
      <c r="C559" s="43" t="s">
        <v>581</v>
      </c>
      <c r="D559" s="43" t="s">
        <v>582</v>
      </c>
      <c r="E559" s="43" t="s">
        <v>583</v>
      </c>
      <c r="F559" s="43">
        <v>1</v>
      </c>
      <c r="G559"/>
      <c r="H559"/>
    </row>
    <row r="560" spans="1:8" hidden="1" x14ac:dyDescent="0.25">
      <c r="A560" s="43">
        <v>75</v>
      </c>
      <c r="B560" s="43" t="s">
        <v>26</v>
      </c>
      <c r="C560" s="43" t="s">
        <v>581</v>
      </c>
      <c r="D560" s="43" t="s">
        <v>584</v>
      </c>
      <c r="E560" s="43" t="s">
        <v>306</v>
      </c>
      <c r="F560" s="43">
        <v>1</v>
      </c>
      <c r="G560"/>
      <c r="H560"/>
    </row>
    <row r="561" spans="1:8" hidden="1" x14ac:dyDescent="0.25">
      <c r="A561" s="43">
        <v>75</v>
      </c>
      <c r="B561" s="43" t="s">
        <v>26</v>
      </c>
      <c r="C561" s="43" t="s">
        <v>581</v>
      </c>
      <c r="D561" s="43" t="s">
        <v>585</v>
      </c>
      <c r="E561" s="43" t="s">
        <v>586</v>
      </c>
      <c r="F561" s="43">
        <v>1</v>
      </c>
      <c r="G561"/>
      <c r="H561"/>
    </row>
    <row r="562" spans="1:8" hidden="1" x14ac:dyDescent="0.25">
      <c r="A562" s="43">
        <v>75</v>
      </c>
      <c r="B562" s="43" t="s">
        <v>26</v>
      </c>
      <c r="C562" s="43" t="s">
        <v>581</v>
      </c>
      <c r="D562" s="43" t="s">
        <v>587</v>
      </c>
      <c r="E562" s="43" t="s">
        <v>588</v>
      </c>
      <c r="F562" s="43">
        <v>1</v>
      </c>
      <c r="G562"/>
      <c r="H562"/>
    </row>
    <row r="563" spans="1:8" hidden="1" x14ac:dyDescent="0.25">
      <c r="A563" s="43">
        <v>75</v>
      </c>
      <c r="B563" s="43" t="s">
        <v>26</v>
      </c>
      <c r="C563" s="43" t="s">
        <v>581</v>
      </c>
      <c r="D563" s="43" t="s">
        <v>589</v>
      </c>
      <c r="E563" s="43" t="s">
        <v>312</v>
      </c>
      <c r="F563" s="43">
        <v>1</v>
      </c>
      <c r="G563"/>
      <c r="H563"/>
    </row>
    <row r="564" spans="1:8" hidden="1" x14ac:dyDescent="0.25">
      <c r="A564" s="43">
        <v>75</v>
      </c>
      <c r="B564" s="43" t="s">
        <v>26</v>
      </c>
      <c r="C564" s="43" t="s">
        <v>581</v>
      </c>
      <c r="D564" s="43" t="s">
        <v>590</v>
      </c>
      <c r="E564" s="43" t="s">
        <v>493</v>
      </c>
      <c r="F564" s="43">
        <v>1</v>
      </c>
      <c r="G564"/>
      <c r="H564"/>
    </row>
    <row r="565" spans="1:8" hidden="1" x14ac:dyDescent="0.25">
      <c r="A565" s="43">
        <v>75</v>
      </c>
      <c r="B565" s="43" t="s">
        <v>26</v>
      </c>
      <c r="C565" s="43" t="s">
        <v>581</v>
      </c>
      <c r="D565" s="43" t="s">
        <v>591</v>
      </c>
      <c r="E565" s="43" t="s">
        <v>314</v>
      </c>
      <c r="F565" s="43">
        <v>1</v>
      </c>
      <c r="G565"/>
      <c r="H565"/>
    </row>
    <row r="566" spans="1:8" hidden="1" x14ac:dyDescent="0.25">
      <c r="A566" s="43">
        <v>75</v>
      </c>
      <c r="B566" s="43" t="s">
        <v>26</v>
      </c>
      <c r="C566" s="43" t="s">
        <v>581</v>
      </c>
      <c r="D566" s="43" t="s">
        <v>592</v>
      </c>
      <c r="E566" s="43" t="s">
        <v>275</v>
      </c>
      <c r="F566" s="43">
        <v>1</v>
      </c>
      <c r="G566"/>
      <c r="H566"/>
    </row>
    <row r="567" spans="1:8" hidden="1" x14ac:dyDescent="0.25">
      <c r="A567" s="43">
        <v>75</v>
      </c>
      <c r="B567" s="43" t="s">
        <v>26</v>
      </c>
      <c r="C567" s="43" t="s">
        <v>581</v>
      </c>
      <c r="D567" s="43" t="s">
        <v>593</v>
      </c>
      <c r="E567" s="43" t="s">
        <v>594</v>
      </c>
      <c r="F567" s="43">
        <v>1</v>
      </c>
      <c r="G567"/>
      <c r="H567"/>
    </row>
    <row r="568" spans="1:8" hidden="1" x14ac:dyDescent="0.25">
      <c r="A568" s="43">
        <v>75</v>
      </c>
      <c r="B568" s="43" t="s">
        <v>26</v>
      </c>
      <c r="C568" s="43" t="s">
        <v>581</v>
      </c>
      <c r="D568" s="43" t="s">
        <v>595</v>
      </c>
      <c r="E568" s="43" t="s">
        <v>349</v>
      </c>
      <c r="F568" s="43">
        <v>1</v>
      </c>
      <c r="G568"/>
      <c r="H568"/>
    </row>
    <row r="569" spans="1:8" hidden="1" x14ac:dyDescent="0.25">
      <c r="A569" s="43">
        <v>75</v>
      </c>
      <c r="B569" s="43" t="s">
        <v>26</v>
      </c>
      <c r="C569" s="43" t="s">
        <v>581</v>
      </c>
      <c r="D569" s="43" t="s">
        <v>596</v>
      </c>
      <c r="E569" s="43" t="s">
        <v>597</v>
      </c>
      <c r="F569" s="43">
        <v>0</v>
      </c>
      <c r="G569" s="43" t="s">
        <v>4589</v>
      </c>
      <c r="H569" s="43" t="s">
        <v>4759</v>
      </c>
    </row>
    <row r="570" spans="1:8" hidden="1" x14ac:dyDescent="0.25">
      <c r="A570" s="43">
        <v>75</v>
      </c>
      <c r="B570" s="43" t="s">
        <v>26</v>
      </c>
      <c r="C570" s="43" t="s">
        <v>581</v>
      </c>
      <c r="D570" s="43" t="s">
        <v>598</v>
      </c>
      <c r="E570" s="43" t="s">
        <v>599</v>
      </c>
      <c r="F570" s="43">
        <v>0</v>
      </c>
      <c r="G570" s="43" t="s">
        <v>4589</v>
      </c>
      <c r="H570" s="43" t="s">
        <v>4759</v>
      </c>
    </row>
    <row r="571" spans="1:8" hidden="1" x14ac:dyDescent="0.25">
      <c r="A571" s="43">
        <v>75</v>
      </c>
      <c r="B571" s="43" t="s">
        <v>26</v>
      </c>
      <c r="C571" s="43" t="s">
        <v>581</v>
      </c>
      <c r="D571" s="43" t="s">
        <v>600</v>
      </c>
      <c r="E571" s="43" t="s">
        <v>601</v>
      </c>
      <c r="F571" s="43">
        <v>0</v>
      </c>
      <c r="G571" s="43" t="s">
        <v>4589</v>
      </c>
      <c r="H571" s="43" t="s">
        <v>4759</v>
      </c>
    </row>
    <row r="572" spans="1:8" hidden="1" x14ac:dyDescent="0.25">
      <c r="A572" s="43">
        <v>75</v>
      </c>
      <c r="B572" s="43" t="s">
        <v>26</v>
      </c>
      <c r="C572" s="43" t="s">
        <v>581</v>
      </c>
      <c r="D572" s="43" t="s">
        <v>602</v>
      </c>
      <c r="E572" s="43" t="s">
        <v>603</v>
      </c>
      <c r="F572" s="43">
        <v>0</v>
      </c>
      <c r="G572" s="43" t="s">
        <v>4589</v>
      </c>
      <c r="H572" s="43" t="s">
        <v>4759</v>
      </c>
    </row>
    <row r="573" spans="1:8" hidden="1" x14ac:dyDescent="0.25">
      <c r="A573" s="43">
        <v>75</v>
      </c>
      <c r="B573" s="43" t="s">
        <v>26</v>
      </c>
      <c r="C573" s="43" t="s">
        <v>581</v>
      </c>
      <c r="D573" s="43" t="s">
        <v>604</v>
      </c>
      <c r="E573" s="43" t="s">
        <v>605</v>
      </c>
      <c r="F573" s="43">
        <v>0</v>
      </c>
      <c r="G573" s="43" t="s">
        <v>4589</v>
      </c>
      <c r="H573" s="43" t="s">
        <v>4759</v>
      </c>
    </row>
    <row r="574" spans="1:8" hidden="1" x14ac:dyDescent="0.25">
      <c r="A574" s="43">
        <v>75</v>
      </c>
      <c r="B574" s="43" t="s">
        <v>26</v>
      </c>
      <c r="C574" s="43" t="s">
        <v>581</v>
      </c>
      <c r="D574" s="43" t="s">
        <v>606</v>
      </c>
      <c r="E574" s="43" t="s">
        <v>503</v>
      </c>
      <c r="F574" s="43">
        <v>1</v>
      </c>
      <c r="G574"/>
      <c r="H574"/>
    </row>
    <row r="575" spans="1:8" hidden="1" x14ac:dyDescent="0.25">
      <c r="A575" s="43">
        <v>75</v>
      </c>
      <c r="B575" s="43" t="s">
        <v>26</v>
      </c>
      <c r="C575" s="43" t="s">
        <v>581</v>
      </c>
      <c r="D575" s="43" t="s">
        <v>607</v>
      </c>
      <c r="E575" s="43" t="s">
        <v>505</v>
      </c>
      <c r="F575" s="43">
        <v>1</v>
      </c>
      <c r="G575"/>
      <c r="H575"/>
    </row>
    <row r="576" spans="1:8" hidden="1" x14ac:dyDescent="0.25">
      <c r="A576" s="43">
        <v>75</v>
      </c>
      <c r="B576" s="43" t="s">
        <v>26</v>
      </c>
      <c r="C576" s="43" t="s">
        <v>581</v>
      </c>
      <c r="D576" s="43" t="s">
        <v>608</v>
      </c>
      <c r="E576" s="43" t="s">
        <v>609</v>
      </c>
      <c r="F576" s="43">
        <v>1</v>
      </c>
      <c r="G576"/>
      <c r="H576"/>
    </row>
    <row r="577" spans="1:8" hidden="1" x14ac:dyDescent="0.25">
      <c r="A577" s="43">
        <v>78</v>
      </c>
      <c r="B577" s="43" t="s">
        <v>27</v>
      </c>
      <c r="C577" s="43" t="s">
        <v>859</v>
      </c>
      <c r="D577" s="43" t="s">
        <v>872</v>
      </c>
      <c r="E577" s="43" t="s">
        <v>873</v>
      </c>
      <c r="F577" s="43">
        <v>1</v>
      </c>
      <c r="G577"/>
      <c r="H577"/>
    </row>
    <row r="578" spans="1:8" hidden="1" x14ac:dyDescent="0.25">
      <c r="A578" s="43">
        <v>78</v>
      </c>
      <c r="B578" s="43" t="s">
        <v>27</v>
      </c>
      <c r="C578" s="43" t="s">
        <v>859</v>
      </c>
      <c r="D578" s="43" t="s">
        <v>874</v>
      </c>
      <c r="E578" s="43" t="s">
        <v>875</v>
      </c>
      <c r="F578" s="43">
        <v>1</v>
      </c>
      <c r="G578"/>
      <c r="H578"/>
    </row>
    <row r="579" spans="1:8" hidden="1" x14ac:dyDescent="0.25">
      <c r="A579" s="43">
        <v>78</v>
      </c>
      <c r="B579" s="43" t="s">
        <v>27</v>
      </c>
      <c r="C579" s="43" t="s">
        <v>859</v>
      </c>
      <c r="D579" s="43" t="s">
        <v>876</v>
      </c>
      <c r="E579" s="43" t="s">
        <v>372</v>
      </c>
      <c r="F579" s="43">
        <v>1</v>
      </c>
      <c r="G579"/>
      <c r="H579"/>
    </row>
    <row r="580" spans="1:8" hidden="1" x14ac:dyDescent="0.25">
      <c r="A580" s="43">
        <v>78</v>
      </c>
      <c r="B580" s="43" t="s">
        <v>27</v>
      </c>
      <c r="C580" s="43" t="s">
        <v>859</v>
      </c>
      <c r="D580" s="43" t="s">
        <v>860</v>
      </c>
      <c r="E580" s="43" t="s">
        <v>273</v>
      </c>
      <c r="F580" s="43">
        <v>1</v>
      </c>
      <c r="G580"/>
      <c r="H580"/>
    </row>
    <row r="581" spans="1:8" hidden="1" x14ac:dyDescent="0.25">
      <c r="A581" s="43">
        <v>78</v>
      </c>
      <c r="B581" s="43" t="s">
        <v>27</v>
      </c>
      <c r="C581" s="43" t="s">
        <v>859</v>
      </c>
      <c r="D581" s="43" t="s">
        <v>861</v>
      </c>
      <c r="E581" s="43" t="s">
        <v>275</v>
      </c>
      <c r="F581" s="43">
        <v>1</v>
      </c>
      <c r="G581"/>
      <c r="H581"/>
    </row>
    <row r="582" spans="1:8" hidden="1" x14ac:dyDescent="0.25">
      <c r="A582" s="43">
        <v>78</v>
      </c>
      <c r="B582" s="43" t="s">
        <v>27</v>
      </c>
      <c r="C582" s="43" t="s">
        <v>859</v>
      </c>
      <c r="D582" s="43" t="s">
        <v>862</v>
      </c>
      <c r="E582" s="43" t="s">
        <v>277</v>
      </c>
      <c r="F582" s="89">
        <v>1</v>
      </c>
      <c r="H582"/>
    </row>
    <row r="583" spans="1:8" hidden="1" x14ac:dyDescent="0.25">
      <c r="A583" s="43">
        <v>78</v>
      </c>
      <c r="B583" s="43" t="s">
        <v>27</v>
      </c>
      <c r="C583" s="43" t="s">
        <v>859</v>
      </c>
      <c r="D583" s="43" t="s">
        <v>871</v>
      </c>
      <c r="E583" s="43" t="s">
        <v>295</v>
      </c>
      <c r="F583" s="43">
        <v>0</v>
      </c>
      <c r="G583" s="43" t="s">
        <v>4583</v>
      </c>
      <c r="H583"/>
    </row>
    <row r="584" spans="1:8" hidden="1" x14ac:dyDescent="0.25">
      <c r="A584" s="43">
        <v>78</v>
      </c>
      <c r="B584" s="43" t="s">
        <v>27</v>
      </c>
      <c r="C584" s="43" t="s">
        <v>859</v>
      </c>
      <c r="D584" s="43" t="s">
        <v>865</v>
      </c>
      <c r="E584" s="43" t="s">
        <v>866</v>
      </c>
      <c r="F584" s="43">
        <v>1</v>
      </c>
      <c r="G584"/>
      <c r="H584"/>
    </row>
    <row r="585" spans="1:8" hidden="1" x14ac:dyDescent="0.25">
      <c r="A585" s="43">
        <v>78</v>
      </c>
      <c r="B585" s="43" t="s">
        <v>27</v>
      </c>
      <c r="C585" s="43" t="s">
        <v>859</v>
      </c>
      <c r="D585" s="43" t="s">
        <v>867</v>
      </c>
      <c r="E585" s="43" t="s">
        <v>3016</v>
      </c>
      <c r="F585" s="43">
        <v>1</v>
      </c>
      <c r="G585"/>
      <c r="H585"/>
    </row>
    <row r="586" spans="1:8" hidden="1" x14ac:dyDescent="0.25">
      <c r="A586" s="43">
        <v>78</v>
      </c>
      <c r="B586" s="43" t="s">
        <v>27</v>
      </c>
      <c r="C586" s="43" t="s">
        <v>859</v>
      </c>
      <c r="D586" s="43" t="s">
        <v>869</v>
      </c>
      <c r="E586" s="43" t="s">
        <v>870</v>
      </c>
      <c r="F586" s="43">
        <v>1</v>
      </c>
      <c r="G586"/>
      <c r="H586"/>
    </row>
    <row r="587" spans="1:8" hidden="1" x14ac:dyDescent="0.25">
      <c r="A587" s="43">
        <v>78</v>
      </c>
      <c r="B587" s="43" t="s">
        <v>27</v>
      </c>
      <c r="C587" s="43" t="s">
        <v>859</v>
      </c>
      <c r="D587" s="43" t="s">
        <v>863</v>
      </c>
      <c r="E587" s="43" t="s">
        <v>283</v>
      </c>
      <c r="F587" s="43">
        <v>1</v>
      </c>
      <c r="G587"/>
      <c r="H587"/>
    </row>
    <row r="588" spans="1:8" hidden="1" x14ac:dyDescent="0.25">
      <c r="A588" s="43">
        <v>78</v>
      </c>
      <c r="B588" s="43" t="s">
        <v>27</v>
      </c>
      <c r="C588" s="43" t="s">
        <v>859</v>
      </c>
      <c r="D588" s="43" t="s">
        <v>864</v>
      </c>
      <c r="E588" s="43" t="s">
        <v>289</v>
      </c>
      <c r="F588" s="43">
        <v>1</v>
      </c>
      <c r="G588"/>
      <c r="H588"/>
    </row>
    <row r="589" spans="1:8" hidden="1" x14ac:dyDescent="0.25">
      <c r="A589" s="43">
        <v>82</v>
      </c>
      <c r="B589" s="43" t="s">
        <v>28</v>
      </c>
      <c r="C589" s="43" t="s">
        <v>1685</v>
      </c>
      <c r="D589" s="43" t="s">
        <v>1709</v>
      </c>
      <c r="E589" s="43" t="s">
        <v>1710</v>
      </c>
      <c r="F589" s="43">
        <v>1</v>
      </c>
      <c r="G589"/>
      <c r="H589"/>
    </row>
    <row r="590" spans="1:8" hidden="1" x14ac:dyDescent="0.25">
      <c r="A590" s="43">
        <v>82</v>
      </c>
      <c r="B590" s="43" t="s">
        <v>28</v>
      </c>
      <c r="C590" s="43" t="s">
        <v>1685</v>
      </c>
      <c r="D590" s="43" t="s">
        <v>1711</v>
      </c>
      <c r="E590" s="43" t="s">
        <v>1124</v>
      </c>
      <c r="F590" s="43">
        <v>1</v>
      </c>
      <c r="G590"/>
      <c r="H590"/>
    </row>
    <row r="591" spans="1:8" hidden="1" x14ac:dyDescent="0.25">
      <c r="A591" s="43">
        <v>82</v>
      </c>
      <c r="B591" s="43" t="s">
        <v>28</v>
      </c>
      <c r="C591" s="43" t="s">
        <v>1685</v>
      </c>
      <c r="D591" s="43" t="s">
        <v>1686</v>
      </c>
      <c r="E591" s="43" t="s">
        <v>1687</v>
      </c>
      <c r="F591" s="43">
        <v>1</v>
      </c>
      <c r="G591"/>
      <c r="H591"/>
    </row>
    <row r="592" spans="1:8" hidden="1" x14ac:dyDescent="0.25">
      <c r="A592" s="43">
        <v>82</v>
      </c>
      <c r="B592" s="43" t="s">
        <v>28</v>
      </c>
      <c r="C592" s="43" t="s">
        <v>1685</v>
      </c>
      <c r="D592" s="43" t="s">
        <v>1688</v>
      </c>
      <c r="E592" s="43" t="s">
        <v>1689</v>
      </c>
      <c r="F592" s="43">
        <v>1</v>
      </c>
      <c r="G592"/>
      <c r="H592"/>
    </row>
    <row r="593" spans="1:8" hidden="1" x14ac:dyDescent="0.25">
      <c r="A593" s="43">
        <v>82</v>
      </c>
      <c r="B593" s="43" t="s">
        <v>28</v>
      </c>
      <c r="C593" s="43" t="s">
        <v>1685</v>
      </c>
      <c r="D593" s="43" t="s">
        <v>1690</v>
      </c>
      <c r="E593" s="43" t="s">
        <v>1691</v>
      </c>
      <c r="F593" s="43">
        <v>1</v>
      </c>
      <c r="G593"/>
      <c r="H593"/>
    </row>
    <row r="594" spans="1:8" hidden="1" x14ac:dyDescent="0.25">
      <c r="A594" s="43">
        <v>82</v>
      </c>
      <c r="B594" s="43" t="s">
        <v>28</v>
      </c>
      <c r="C594" s="43" t="s">
        <v>1685</v>
      </c>
      <c r="D594" s="43" t="s">
        <v>1692</v>
      </c>
      <c r="E594" s="43" t="s">
        <v>1693</v>
      </c>
      <c r="F594" s="43">
        <v>1</v>
      </c>
      <c r="G594"/>
      <c r="H594"/>
    </row>
    <row r="595" spans="1:8" hidden="1" x14ac:dyDescent="0.25">
      <c r="A595" s="43">
        <v>82</v>
      </c>
      <c r="B595" s="43" t="s">
        <v>28</v>
      </c>
      <c r="C595" s="43" t="s">
        <v>1685</v>
      </c>
      <c r="D595" s="43" t="s">
        <v>1694</v>
      </c>
      <c r="E595" s="43" t="s">
        <v>1695</v>
      </c>
      <c r="F595" s="43">
        <v>1</v>
      </c>
      <c r="G595"/>
      <c r="H595"/>
    </row>
    <row r="596" spans="1:8" hidden="1" x14ac:dyDescent="0.25">
      <c r="A596" s="43">
        <v>82</v>
      </c>
      <c r="B596" s="43" t="s">
        <v>28</v>
      </c>
      <c r="C596" s="43" t="s">
        <v>1685</v>
      </c>
      <c r="D596" s="43" t="s">
        <v>1703</v>
      </c>
      <c r="E596" s="43" t="s">
        <v>1704</v>
      </c>
      <c r="F596" s="43">
        <v>1</v>
      </c>
      <c r="G596"/>
      <c r="H596"/>
    </row>
    <row r="597" spans="1:8" hidden="1" x14ac:dyDescent="0.25">
      <c r="A597" s="43">
        <v>82</v>
      </c>
      <c r="B597" s="43" t="s">
        <v>28</v>
      </c>
      <c r="C597" s="43" t="s">
        <v>1685</v>
      </c>
      <c r="D597" s="43" t="s">
        <v>1705</v>
      </c>
      <c r="E597" s="43" t="s">
        <v>1706</v>
      </c>
      <c r="F597" s="43">
        <v>1</v>
      </c>
      <c r="G597"/>
      <c r="H597"/>
    </row>
    <row r="598" spans="1:8" hidden="1" x14ac:dyDescent="0.25">
      <c r="A598" s="43">
        <v>82</v>
      </c>
      <c r="B598" s="43" t="s">
        <v>28</v>
      </c>
      <c r="C598" s="43" t="s">
        <v>1685</v>
      </c>
      <c r="D598" s="43" t="s">
        <v>1707</v>
      </c>
      <c r="E598" s="43" t="s">
        <v>1708</v>
      </c>
      <c r="F598" s="43">
        <v>1</v>
      </c>
      <c r="G598"/>
      <c r="H598"/>
    </row>
    <row r="599" spans="1:8" hidden="1" x14ac:dyDescent="0.25">
      <c r="A599" s="43">
        <v>82</v>
      </c>
      <c r="B599" s="43" t="s">
        <v>28</v>
      </c>
      <c r="C599" s="43" t="s">
        <v>1685</v>
      </c>
      <c r="D599" s="43" t="s">
        <v>1696</v>
      </c>
      <c r="E599" s="43" t="s">
        <v>1697</v>
      </c>
      <c r="F599" s="43">
        <v>1</v>
      </c>
      <c r="G599"/>
      <c r="H599"/>
    </row>
    <row r="600" spans="1:8" hidden="1" x14ac:dyDescent="0.25">
      <c r="A600" s="43">
        <v>82</v>
      </c>
      <c r="B600" s="43" t="s">
        <v>28</v>
      </c>
      <c r="C600" s="43" t="s">
        <v>1685</v>
      </c>
      <c r="D600" s="43" t="s">
        <v>1698</v>
      </c>
      <c r="E600" s="43" t="s">
        <v>1699</v>
      </c>
      <c r="F600" s="43">
        <v>1</v>
      </c>
      <c r="G600"/>
      <c r="H600"/>
    </row>
    <row r="601" spans="1:8" hidden="1" x14ac:dyDescent="0.25">
      <c r="A601" s="43">
        <v>82</v>
      </c>
      <c r="B601" s="43" t="s">
        <v>28</v>
      </c>
      <c r="C601" s="43" t="s">
        <v>1685</v>
      </c>
      <c r="D601" s="43" t="s">
        <v>1700</v>
      </c>
      <c r="E601" s="43" t="s">
        <v>1701</v>
      </c>
      <c r="F601" s="43">
        <v>1</v>
      </c>
      <c r="G601"/>
      <c r="H601"/>
    </row>
    <row r="602" spans="1:8" hidden="1" x14ac:dyDescent="0.25">
      <c r="A602" s="43">
        <v>82</v>
      </c>
      <c r="B602" s="43" t="s">
        <v>28</v>
      </c>
      <c r="C602" s="43" t="s">
        <v>1685</v>
      </c>
      <c r="D602" s="43" t="s">
        <v>1702</v>
      </c>
      <c r="E602" s="43" t="s">
        <v>314</v>
      </c>
      <c r="F602" s="43">
        <v>1</v>
      </c>
      <c r="G602"/>
      <c r="H602"/>
    </row>
    <row r="603" spans="1:8" hidden="1" x14ac:dyDescent="0.25">
      <c r="A603" s="43">
        <v>89</v>
      </c>
      <c r="B603" s="43" t="s">
        <v>29</v>
      </c>
      <c r="C603" s="43" t="s">
        <v>1155</v>
      </c>
      <c r="D603" s="43" t="s">
        <v>1157</v>
      </c>
      <c r="E603" s="43" t="s">
        <v>844</v>
      </c>
      <c r="F603" s="43">
        <v>1</v>
      </c>
      <c r="G603"/>
      <c r="H603"/>
    </row>
    <row r="604" spans="1:8" hidden="1" x14ac:dyDescent="0.25">
      <c r="A604" s="43">
        <v>89</v>
      </c>
      <c r="B604" s="43" t="s">
        <v>29</v>
      </c>
      <c r="C604" s="43" t="s">
        <v>1155</v>
      </c>
      <c r="D604" s="43" t="s">
        <v>1156</v>
      </c>
      <c r="E604" s="43" t="s">
        <v>273</v>
      </c>
      <c r="F604" s="43">
        <v>0</v>
      </c>
      <c r="G604" s="43" t="s">
        <v>4590</v>
      </c>
      <c r="H604" s="43" t="s">
        <v>4760</v>
      </c>
    </row>
    <row r="605" spans="1:8" hidden="1" x14ac:dyDescent="0.25">
      <c r="A605" s="43">
        <v>89</v>
      </c>
      <c r="B605" s="43" t="s">
        <v>29</v>
      </c>
      <c r="C605" s="43" t="s">
        <v>1155</v>
      </c>
      <c r="D605" s="43" t="s">
        <v>1158</v>
      </c>
      <c r="E605" s="43" t="s">
        <v>1159</v>
      </c>
      <c r="F605" s="89">
        <v>2</v>
      </c>
      <c r="G605" s="43" t="s">
        <v>4591</v>
      </c>
      <c r="H605"/>
    </row>
    <row r="606" spans="1:8" hidden="1" x14ac:dyDescent="0.25">
      <c r="A606" s="43">
        <v>89</v>
      </c>
      <c r="B606" s="43" t="s">
        <v>29</v>
      </c>
      <c r="C606" s="43" t="s">
        <v>1155</v>
      </c>
      <c r="D606" s="43" t="s">
        <v>1160</v>
      </c>
      <c r="E606" s="43" t="s">
        <v>1161</v>
      </c>
      <c r="F606" s="89">
        <v>2</v>
      </c>
      <c r="G606" s="43" t="s">
        <v>4591</v>
      </c>
      <c r="H606"/>
    </row>
    <row r="607" spans="1:8" hidden="1" x14ac:dyDescent="0.25">
      <c r="A607" s="43">
        <v>89</v>
      </c>
      <c r="B607" s="43" t="s">
        <v>29</v>
      </c>
      <c r="C607" s="43" t="s">
        <v>1155</v>
      </c>
      <c r="D607" s="43" t="s">
        <v>1162</v>
      </c>
      <c r="E607" s="43" t="s">
        <v>1163</v>
      </c>
      <c r="F607" s="89">
        <v>2</v>
      </c>
      <c r="G607" s="43" t="s">
        <v>4591</v>
      </c>
      <c r="H607"/>
    </row>
    <row r="608" spans="1:8" hidden="1" x14ac:dyDescent="0.25">
      <c r="A608" s="43">
        <v>89</v>
      </c>
      <c r="B608" s="43" t="s">
        <v>29</v>
      </c>
      <c r="C608" s="43" t="s">
        <v>1155</v>
      </c>
      <c r="D608" s="43" t="s">
        <v>1164</v>
      </c>
      <c r="E608" s="43" t="s">
        <v>1165</v>
      </c>
      <c r="F608" s="89">
        <v>2</v>
      </c>
      <c r="G608" s="43" t="s">
        <v>4591</v>
      </c>
      <c r="H608"/>
    </row>
    <row r="609" spans="1:8" hidden="1" x14ac:dyDescent="0.25">
      <c r="A609" s="43">
        <v>89</v>
      </c>
      <c r="B609" s="43" t="s">
        <v>29</v>
      </c>
      <c r="C609" s="43" t="s">
        <v>1155</v>
      </c>
      <c r="D609" s="43" t="s">
        <v>1166</v>
      </c>
      <c r="E609" s="43" t="s">
        <v>295</v>
      </c>
      <c r="F609" s="43">
        <v>1</v>
      </c>
      <c r="G609"/>
      <c r="H609"/>
    </row>
    <row r="610" spans="1:8" hidden="1" x14ac:dyDescent="0.25">
      <c r="A610" s="43">
        <v>89</v>
      </c>
      <c r="B610" s="43" t="s">
        <v>29</v>
      </c>
      <c r="C610" s="43" t="s">
        <v>1155</v>
      </c>
      <c r="D610" s="43" t="s">
        <v>1167</v>
      </c>
      <c r="E610" s="43" t="s">
        <v>1168</v>
      </c>
      <c r="F610" s="43">
        <v>0</v>
      </c>
      <c r="G610" s="43" t="s">
        <v>4583</v>
      </c>
      <c r="H610"/>
    </row>
    <row r="611" spans="1:8" hidden="1" x14ac:dyDescent="0.25">
      <c r="A611" s="43">
        <v>90</v>
      </c>
      <c r="B611" s="43" t="s">
        <v>30</v>
      </c>
      <c r="C611" s="43" t="s">
        <v>1366</v>
      </c>
      <c r="D611" s="43" t="s">
        <v>1367</v>
      </c>
      <c r="E611" s="43" t="s">
        <v>1368</v>
      </c>
      <c r="F611" s="43">
        <v>0</v>
      </c>
      <c r="G611" s="43" t="s">
        <v>4592</v>
      </c>
      <c r="H611" s="43" t="s">
        <v>4765</v>
      </c>
    </row>
    <row r="612" spans="1:8" hidden="1" x14ac:dyDescent="0.25">
      <c r="A612" s="43">
        <v>90</v>
      </c>
      <c r="B612" s="43" t="s">
        <v>30</v>
      </c>
      <c r="C612" s="43" t="s">
        <v>1366</v>
      </c>
      <c r="D612" s="43" t="s">
        <v>1369</v>
      </c>
      <c r="E612" s="43" t="s">
        <v>1370</v>
      </c>
      <c r="F612" s="43">
        <v>1</v>
      </c>
      <c r="G612"/>
      <c r="H612"/>
    </row>
    <row r="613" spans="1:8" hidden="1" x14ac:dyDescent="0.25">
      <c r="A613" s="43">
        <v>90</v>
      </c>
      <c r="B613" s="43" t="s">
        <v>30</v>
      </c>
      <c r="C613" s="43" t="s">
        <v>1366</v>
      </c>
      <c r="D613" s="43" t="s">
        <v>1377</v>
      </c>
      <c r="E613" s="43" t="s">
        <v>875</v>
      </c>
      <c r="F613" s="43">
        <v>1</v>
      </c>
      <c r="G613"/>
      <c r="H613"/>
    </row>
    <row r="614" spans="1:8" hidden="1" x14ac:dyDescent="0.25">
      <c r="A614" s="43">
        <v>90</v>
      </c>
      <c r="B614" s="43" t="s">
        <v>30</v>
      </c>
      <c r="C614" s="43" t="s">
        <v>1366</v>
      </c>
      <c r="D614" s="43" t="s">
        <v>1389</v>
      </c>
      <c r="E614" s="43" t="s">
        <v>551</v>
      </c>
      <c r="F614" s="43">
        <v>1</v>
      </c>
      <c r="G614"/>
      <c r="H614"/>
    </row>
    <row r="615" spans="1:8" hidden="1" x14ac:dyDescent="0.25">
      <c r="A615" s="43">
        <v>90</v>
      </c>
      <c r="B615" s="43" t="s">
        <v>30</v>
      </c>
      <c r="C615" s="43" t="s">
        <v>1366</v>
      </c>
      <c r="D615" s="43" t="s">
        <v>1388</v>
      </c>
      <c r="E615" s="43" t="s">
        <v>539</v>
      </c>
      <c r="F615" s="43">
        <v>1</v>
      </c>
      <c r="G615"/>
      <c r="H615"/>
    </row>
    <row r="616" spans="1:8" hidden="1" x14ac:dyDescent="0.25">
      <c r="A616" s="43">
        <v>90</v>
      </c>
      <c r="B616" s="43" t="s">
        <v>30</v>
      </c>
      <c r="C616" s="43" t="s">
        <v>1366</v>
      </c>
      <c r="D616" s="43" t="s">
        <v>1378</v>
      </c>
      <c r="E616" s="43" t="s">
        <v>541</v>
      </c>
      <c r="F616" s="43">
        <v>1</v>
      </c>
      <c r="G616"/>
      <c r="H616"/>
    </row>
    <row r="617" spans="1:8" hidden="1" x14ac:dyDescent="0.25">
      <c r="A617" s="43">
        <v>90</v>
      </c>
      <c r="B617" s="43" t="s">
        <v>30</v>
      </c>
      <c r="C617" s="43" t="s">
        <v>1366</v>
      </c>
      <c r="D617" s="43" t="s">
        <v>1379</v>
      </c>
      <c r="E617" s="43" t="s">
        <v>1380</v>
      </c>
      <c r="F617" s="43">
        <v>1</v>
      </c>
      <c r="G617"/>
      <c r="H617"/>
    </row>
    <row r="618" spans="1:8" hidden="1" x14ac:dyDescent="0.25">
      <c r="A618" s="43">
        <v>90</v>
      </c>
      <c r="B618" s="43" t="s">
        <v>30</v>
      </c>
      <c r="C618" s="43" t="s">
        <v>1366</v>
      </c>
      <c r="D618" s="43" t="s">
        <v>1381</v>
      </c>
      <c r="E618" s="43" t="s">
        <v>1382</v>
      </c>
      <c r="F618" s="43">
        <v>1</v>
      </c>
      <c r="G618"/>
      <c r="H618"/>
    </row>
    <row r="619" spans="1:8" hidden="1" x14ac:dyDescent="0.25">
      <c r="A619" s="43">
        <v>90</v>
      </c>
      <c r="B619" s="43" t="s">
        <v>30</v>
      </c>
      <c r="C619" s="43" t="s">
        <v>1366</v>
      </c>
      <c r="D619" s="43" t="s">
        <v>1371</v>
      </c>
      <c r="E619" s="43" t="s">
        <v>283</v>
      </c>
      <c r="F619" s="43">
        <v>1</v>
      </c>
      <c r="G619"/>
      <c r="H619"/>
    </row>
    <row r="620" spans="1:8" hidden="1" x14ac:dyDescent="0.25">
      <c r="A620" s="43">
        <v>90</v>
      </c>
      <c r="B620" s="43" t="s">
        <v>30</v>
      </c>
      <c r="C620" s="43" t="s">
        <v>1366</v>
      </c>
      <c r="D620" s="43" t="s">
        <v>1372</v>
      </c>
      <c r="E620" s="43" t="s">
        <v>4468</v>
      </c>
      <c r="F620" s="43">
        <v>1</v>
      </c>
      <c r="G620"/>
      <c r="H620"/>
    </row>
    <row r="621" spans="1:8" hidden="1" x14ac:dyDescent="0.25">
      <c r="A621" s="43">
        <v>90</v>
      </c>
      <c r="B621" s="43" t="s">
        <v>30</v>
      </c>
      <c r="C621" s="43" t="s">
        <v>1366</v>
      </c>
      <c r="D621" s="43" t="s">
        <v>1374</v>
      </c>
      <c r="E621" s="43" t="s">
        <v>1375</v>
      </c>
      <c r="F621" s="43">
        <v>0</v>
      </c>
      <c r="G621" s="43" t="s">
        <v>4583</v>
      </c>
      <c r="H621"/>
    </row>
    <row r="622" spans="1:8" hidden="1" x14ac:dyDescent="0.25">
      <c r="A622" s="43">
        <v>90</v>
      </c>
      <c r="B622" s="43" t="s">
        <v>30</v>
      </c>
      <c r="C622" s="43" t="s">
        <v>1366</v>
      </c>
      <c r="D622" s="43" t="s">
        <v>1376</v>
      </c>
      <c r="E622" s="43" t="s">
        <v>531</v>
      </c>
      <c r="F622" s="43">
        <v>1</v>
      </c>
      <c r="G622"/>
      <c r="H622"/>
    </row>
    <row r="623" spans="1:8" hidden="1" x14ac:dyDescent="0.25">
      <c r="A623" s="43">
        <v>90</v>
      </c>
      <c r="B623" s="43" t="s">
        <v>30</v>
      </c>
      <c r="C623" s="43" t="s">
        <v>1366</v>
      </c>
      <c r="D623" s="43" t="s">
        <v>1383</v>
      </c>
      <c r="E623" s="43" t="s">
        <v>1384</v>
      </c>
      <c r="F623" s="43">
        <v>1</v>
      </c>
      <c r="G623"/>
      <c r="H623"/>
    </row>
    <row r="624" spans="1:8" hidden="1" x14ac:dyDescent="0.25">
      <c r="A624" s="43">
        <v>90</v>
      </c>
      <c r="B624" s="43" t="s">
        <v>30</v>
      </c>
      <c r="C624" s="43" t="s">
        <v>1366</v>
      </c>
      <c r="D624" s="43" t="s">
        <v>1385</v>
      </c>
      <c r="E624" s="43" t="s">
        <v>1386</v>
      </c>
      <c r="F624" s="43">
        <v>1</v>
      </c>
      <c r="G624"/>
      <c r="H624"/>
    </row>
    <row r="625" spans="1:8" hidden="1" x14ac:dyDescent="0.25">
      <c r="A625" s="43">
        <v>90</v>
      </c>
      <c r="B625" s="43" t="s">
        <v>30</v>
      </c>
      <c r="C625" s="43" t="s">
        <v>1366</v>
      </c>
      <c r="D625" s="43" t="s">
        <v>1387</v>
      </c>
      <c r="E625" s="43" t="s">
        <v>295</v>
      </c>
      <c r="F625" s="43">
        <v>1</v>
      </c>
      <c r="G625"/>
      <c r="H625"/>
    </row>
    <row r="626" spans="1:8" hidden="1" x14ac:dyDescent="0.25">
      <c r="A626" s="43">
        <v>91</v>
      </c>
      <c r="B626" s="43" t="s">
        <v>31</v>
      </c>
      <c r="C626" s="43" t="s">
        <v>1366</v>
      </c>
      <c r="D626" s="43" t="s">
        <v>1367</v>
      </c>
      <c r="E626" s="43" t="s">
        <v>1368</v>
      </c>
      <c r="F626" s="43">
        <v>0</v>
      </c>
      <c r="G626" s="43" t="s">
        <v>4583</v>
      </c>
      <c r="H626"/>
    </row>
    <row r="627" spans="1:8" hidden="1" x14ac:dyDescent="0.25">
      <c r="A627" s="43">
        <v>91</v>
      </c>
      <c r="B627" s="43" t="s">
        <v>31</v>
      </c>
      <c r="C627" s="43" t="s">
        <v>1366</v>
      </c>
      <c r="D627" s="43" t="s">
        <v>1369</v>
      </c>
      <c r="E627" s="43" t="s">
        <v>1370</v>
      </c>
      <c r="F627" s="43">
        <v>0</v>
      </c>
      <c r="G627" s="43" t="s">
        <v>4583</v>
      </c>
      <c r="H627"/>
    </row>
    <row r="628" spans="1:8" hidden="1" x14ac:dyDescent="0.25">
      <c r="A628" s="43">
        <v>91</v>
      </c>
      <c r="B628" s="43" t="s">
        <v>31</v>
      </c>
      <c r="C628" s="43" t="s">
        <v>1366</v>
      </c>
      <c r="D628" s="43" t="s">
        <v>1371</v>
      </c>
      <c r="E628" s="43" t="s">
        <v>283</v>
      </c>
      <c r="F628" s="43">
        <v>1</v>
      </c>
      <c r="G628"/>
      <c r="H628"/>
    </row>
    <row r="629" spans="1:8" hidden="1" x14ac:dyDescent="0.25">
      <c r="A629" s="43">
        <v>91</v>
      </c>
      <c r="B629" s="43" t="s">
        <v>31</v>
      </c>
      <c r="C629" s="43" t="s">
        <v>1366</v>
      </c>
      <c r="D629" s="43" t="s">
        <v>1372</v>
      </c>
      <c r="E629" s="43" t="s">
        <v>4468</v>
      </c>
      <c r="F629" s="43">
        <v>1</v>
      </c>
      <c r="G629"/>
      <c r="H629"/>
    </row>
    <row r="630" spans="1:8" hidden="1" x14ac:dyDescent="0.25">
      <c r="A630" s="43">
        <v>91</v>
      </c>
      <c r="B630" s="43" t="s">
        <v>31</v>
      </c>
      <c r="C630" s="43" t="s">
        <v>1366</v>
      </c>
      <c r="D630" s="43" t="s">
        <v>1374</v>
      </c>
      <c r="E630" s="43" t="s">
        <v>1375</v>
      </c>
      <c r="F630" s="43">
        <v>1</v>
      </c>
      <c r="G630"/>
      <c r="H630"/>
    </row>
    <row r="631" spans="1:8" hidden="1" x14ac:dyDescent="0.25">
      <c r="A631" s="43">
        <v>91</v>
      </c>
      <c r="B631" s="43" t="s">
        <v>31</v>
      </c>
      <c r="C631" s="43" t="s">
        <v>1366</v>
      </c>
      <c r="D631" s="43" t="s">
        <v>1376</v>
      </c>
      <c r="E631" s="43" t="s">
        <v>531</v>
      </c>
      <c r="F631" s="43">
        <v>1</v>
      </c>
      <c r="G631"/>
      <c r="H631"/>
    </row>
    <row r="632" spans="1:8" hidden="1" x14ac:dyDescent="0.25">
      <c r="A632" s="43">
        <v>91</v>
      </c>
      <c r="B632" s="43" t="s">
        <v>31</v>
      </c>
      <c r="C632" s="43" t="s">
        <v>1366</v>
      </c>
      <c r="D632" s="43" t="s">
        <v>1377</v>
      </c>
      <c r="E632" s="43" t="s">
        <v>539</v>
      </c>
      <c r="F632" s="43">
        <v>0</v>
      </c>
      <c r="G632" s="43" t="s">
        <v>4583</v>
      </c>
      <c r="H632"/>
    </row>
    <row r="633" spans="1:8" hidden="1" x14ac:dyDescent="0.25">
      <c r="A633" s="43">
        <v>91</v>
      </c>
      <c r="B633" s="43" t="s">
        <v>31</v>
      </c>
      <c r="C633" s="43" t="s">
        <v>1366</v>
      </c>
      <c r="D633" s="43" t="s">
        <v>1378</v>
      </c>
      <c r="E633" s="43" t="s">
        <v>541</v>
      </c>
      <c r="F633" s="43">
        <v>1</v>
      </c>
      <c r="G633"/>
      <c r="H633"/>
    </row>
    <row r="634" spans="1:8" hidden="1" x14ac:dyDescent="0.25">
      <c r="A634" s="43">
        <v>91</v>
      </c>
      <c r="B634" s="43" t="s">
        <v>31</v>
      </c>
      <c r="C634" s="43" t="s">
        <v>1366</v>
      </c>
      <c r="D634" s="43" t="s">
        <v>1379</v>
      </c>
      <c r="E634" s="43" t="s">
        <v>1380</v>
      </c>
      <c r="F634" s="43">
        <v>1</v>
      </c>
      <c r="G634"/>
      <c r="H634"/>
    </row>
    <row r="635" spans="1:8" hidden="1" x14ac:dyDescent="0.25">
      <c r="A635" s="43">
        <v>91</v>
      </c>
      <c r="B635" s="43" t="s">
        <v>31</v>
      </c>
      <c r="C635" s="43" t="s">
        <v>1366</v>
      </c>
      <c r="D635" s="43" t="s">
        <v>1381</v>
      </c>
      <c r="E635" s="43" t="s">
        <v>1382</v>
      </c>
      <c r="F635" s="43">
        <v>1</v>
      </c>
      <c r="G635"/>
      <c r="H635"/>
    </row>
    <row r="636" spans="1:8" hidden="1" x14ac:dyDescent="0.25">
      <c r="A636" s="43">
        <v>91</v>
      </c>
      <c r="B636" s="43" t="s">
        <v>31</v>
      </c>
      <c r="C636" s="43" t="s">
        <v>1366</v>
      </c>
      <c r="D636" s="43" t="s">
        <v>1383</v>
      </c>
      <c r="E636" s="43" t="s">
        <v>1384</v>
      </c>
      <c r="F636" s="43">
        <v>0</v>
      </c>
      <c r="G636" s="43" t="s">
        <v>4583</v>
      </c>
      <c r="H636"/>
    </row>
    <row r="637" spans="1:8" hidden="1" x14ac:dyDescent="0.25">
      <c r="A637" s="43">
        <v>91</v>
      </c>
      <c r="B637" s="43" t="s">
        <v>31</v>
      </c>
      <c r="C637" s="43" t="s">
        <v>1366</v>
      </c>
      <c r="D637" s="43" t="s">
        <v>1385</v>
      </c>
      <c r="E637" s="43" t="s">
        <v>1386</v>
      </c>
      <c r="F637" s="43">
        <v>0</v>
      </c>
      <c r="G637" s="43" t="s">
        <v>4583</v>
      </c>
      <c r="H637"/>
    </row>
    <row r="638" spans="1:8" hidden="1" x14ac:dyDescent="0.25">
      <c r="A638" s="43">
        <v>91</v>
      </c>
      <c r="B638" s="43" t="s">
        <v>31</v>
      </c>
      <c r="C638" s="43" t="s">
        <v>1366</v>
      </c>
      <c r="D638" s="43" t="s">
        <v>1387</v>
      </c>
      <c r="E638" s="43" t="s">
        <v>295</v>
      </c>
      <c r="F638" s="43">
        <v>0</v>
      </c>
      <c r="G638" s="43" t="s">
        <v>4583</v>
      </c>
      <c r="H638"/>
    </row>
    <row r="639" spans="1:8" hidden="1" x14ac:dyDescent="0.25">
      <c r="A639" s="43">
        <v>91</v>
      </c>
      <c r="B639" s="43" t="s">
        <v>31</v>
      </c>
      <c r="C639" s="43" t="s">
        <v>1366</v>
      </c>
      <c r="D639" s="43" t="s">
        <v>1388</v>
      </c>
      <c r="E639" s="43" t="s">
        <v>875</v>
      </c>
      <c r="F639" s="43">
        <v>0</v>
      </c>
      <c r="G639" s="43" t="s">
        <v>4583</v>
      </c>
      <c r="H639"/>
    </row>
    <row r="640" spans="1:8" hidden="1" x14ac:dyDescent="0.25">
      <c r="A640" s="43">
        <v>91</v>
      </c>
      <c r="B640" s="43" t="s">
        <v>31</v>
      </c>
      <c r="C640" s="43" t="s">
        <v>1366</v>
      </c>
      <c r="D640" s="43" t="s">
        <v>1389</v>
      </c>
      <c r="E640" s="43" t="s">
        <v>551</v>
      </c>
      <c r="F640" s="43">
        <v>1</v>
      </c>
      <c r="G640"/>
      <c r="H640"/>
    </row>
    <row r="641" spans="1:8" hidden="1" x14ac:dyDescent="0.25">
      <c r="A641" s="43">
        <v>94</v>
      </c>
      <c r="B641" s="43" t="s">
        <v>32</v>
      </c>
      <c r="C641" s="43" t="s">
        <v>701</v>
      </c>
      <c r="D641" s="43" t="s">
        <v>704</v>
      </c>
      <c r="E641" s="43" t="s">
        <v>705</v>
      </c>
      <c r="F641" s="43">
        <v>1</v>
      </c>
      <c r="G641"/>
      <c r="H641"/>
    </row>
    <row r="642" spans="1:8" hidden="1" x14ac:dyDescent="0.25">
      <c r="A642" s="43">
        <v>94</v>
      </c>
      <c r="B642" s="43" t="s">
        <v>32</v>
      </c>
      <c r="C642" s="43" t="s">
        <v>701</v>
      </c>
      <c r="D642" s="43" t="s">
        <v>706</v>
      </c>
      <c r="E642" s="43" t="s">
        <v>588</v>
      </c>
      <c r="F642" s="43">
        <v>1</v>
      </c>
      <c r="G642"/>
      <c r="H642"/>
    </row>
    <row r="643" spans="1:8" hidden="1" x14ac:dyDescent="0.25">
      <c r="A643" s="43">
        <v>94</v>
      </c>
      <c r="B643" s="43" t="s">
        <v>32</v>
      </c>
      <c r="C643" s="43" t="s">
        <v>701</v>
      </c>
      <c r="D643" s="43" t="s">
        <v>702</v>
      </c>
      <c r="E643" s="43" t="s">
        <v>583</v>
      </c>
      <c r="F643" s="43">
        <v>1</v>
      </c>
      <c r="G643"/>
      <c r="H643"/>
    </row>
    <row r="644" spans="1:8" hidden="1" x14ac:dyDescent="0.25">
      <c r="A644" s="43">
        <v>94</v>
      </c>
      <c r="B644" s="43" t="s">
        <v>32</v>
      </c>
      <c r="C644" s="43" t="s">
        <v>701</v>
      </c>
      <c r="D644" s="43" t="s">
        <v>703</v>
      </c>
      <c r="E644" s="43" t="s">
        <v>306</v>
      </c>
      <c r="F644" s="43">
        <v>1</v>
      </c>
      <c r="G644"/>
      <c r="H644"/>
    </row>
    <row r="645" spans="1:8" hidden="1" x14ac:dyDescent="0.25">
      <c r="A645" s="43">
        <v>94</v>
      </c>
      <c r="B645" s="43" t="s">
        <v>32</v>
      </c>
      <c r="C645" s="43" t="s">
        <v>701</v>
      </c>
      <c r="D645" s="43" t="s">
        <v>714</v>
      </c>
      <c r="E645" s="43" t="s">
        <v>715</v>
      </c>
      <c r="F645" s="43">
        <v>1</v>
      </c>
      <c r="G645"/>
      <c r="H645"/>
    </row>
    <row r="646" spans="1:8" hidden="1" x14ac:dyDescent="0.25">
      <c r="A646" s="43">
        <v>94</v>
      </c>
      <c r="B646" s="43" t="s">
        <v>32</v>
      </c>
      <c r="C646" s="43" t="s">
        <v>701</v>
      </c>
      <c r="D646" s="43" t="s">
        <v>716</v>
      </c>
      <c r="E646" s="43" t="s">
        <v>717</v>
      </c>
      <c r="F646" s="43">
        <v>1</v>
      </c>
      <c r="G646"/>
      <c r="H646"/>
    </row>
    <row r="647" spans="1:8" hidden="1" x14ac:dyDescent="0.25">
      <c r="A647" s="43">
        <v>94</v>
      </c>
      <c r="B647" s="43" t="s">
        <v>32</v>
      </c>
      <c r="C647" s="43" t="s">
        <v>701</v>
      </c>
      <c r="D647" s="43" t="s">
        <v>718</v>
      </c>
      <c r="E647" s="43" t="s">
        <v>381</v>
      </c>
      <c r="F647" s="43">
        <v>1</v>
      </c>
      <c r="G647"/>
      <c r="H647"/>
    </row>
    <row r="648" spans="1:8" hidden="1" x14ac:dyDescent="0.25">
      <c r="A648" s="43">
        <v>94</v>
      </c>
      <c r="B648" s="43" t="s">
        <v>32</v>
      </c>
      <c r="C648" s="43" t="s">
        <v>701</v>
      </c>
      <c r="D648" s="43" t="s">
        <v>711</v>
      </c>
      <c r="E648" s="43" t="s">
        <v>283</v>
      </c>
      <c r="F648" s="43">
        <v>1</v>
      </c>
      <c r="G648"/>
      <c r="H648"/>
    </row>
    <row r="649" spans="1:8" hidden="1" x14ac:dyDescent="0.25">
      <c r="A649" s="43">
        <v>94</v>
      </c>
      <c r="B649" s="43" t="s">
        <v>32</v>
      </c>
      <c r="C649" s="43" t="s">
        <v>701</v>
      </c>
      <c r="D649" s="43" t="s">
        <v>712</v>
      </c>
      <c r="E649" s="43" t="s">
        <v>713</v>
      </c>
      <c r="F649" s="43">
        <v>1</v>
      </c>
      <c r="G649"/>
      <c r="H649"/>
    </row>
    <row r="650" spans="1:8" hidden="1" x14ac:dyDescent="0.25">
      <c r="A650" s="43">
        <v>94</v>
      </c>
      <c r="B650" s="43" t="s">
        <v>32</v>
      </c>
      <c r="C650" s="43" t="s">
        <v>701</v>
      </c>
      <c r="D650" s="43" t="s">
        <v>719</v>
      </c>
      <c r="E650" s="43" t="s">
        <v>720</v>
      </c>
      <c r="F650" s="43">
        <v>1</v>
      </c>
      <c r="G650"/>
      <c r="H650"/>
    </row>
    <row r="651" spans="1:8" hidden="1" x14ac:dyDescent="0.25">
      <c r="A651" s="43">
        <v>94</v>
      </c>
      <c r="B651" s="43" t="s">
        <v>32</v>
      </c>
      <c r="C651" s="43" t="s">
        <v>701</v>
      </c>
      <c r="D651" s="43" t="s">
        <v>721</v>
      </c>
      <c r="E651" s="43" t="s">
        <v>722</v>
      </c>
      <c r="F651" s="43">
        <v>1</v>
      </c>
      <c r="G651"/>
      <c r="H651"/>
    </row>
    <row r="652" spans="1:8" hidden="1" x14ac:dyDescent="0.25">
      <c r="A652" s="43">
        <v>94</v>
      </c>
      <c r="B652" s="43" t="s">
        <v>32</v>
      </c>
      <c r="C652" s="43" t="s">
        <v>701</v>
      </c>
      <c r="D652" s="43" t="s">
        <v>710</v>
      </c>
      <c r="E652" s="43" t="s">
        <v>275</v>
      </c>
      <c r="F652" s="43">
        <v>1</v>
      </c>
      <c r="G652"/>
      <c r="H652"/>
    </row>
    <row r="653" spans="1:8" hidden="1" x14ac:dyDescent="0.25">
      <c r="A653" s="43">
        <v>94</v>
      </c>
      <c r="B653" s="43" t="s">
        <v>32</v>
      </c>
      <c r="C653" s="43" t="s">
        <v>701</v>
      </c>
      <c r="D653" s="43" t="s">
        <v>707</v>
      </c>
      <c r="E653" s="43" t="s">
        <v>312</v>
      </c>
      <c r="F653" s="43">
        <v>1</v>
      </c>
      <c r="G653"/>
      <c r="H653"/>
    </row>
    <row r="654" spans="1:8" hidden="1" x14ac:dyDescent="0.25">
      <c r="A654" s="43">
        <v>94</v>
      </c>
      <c r="B654" s="43" t="s">
        <v>32</v>
      </c>
      <c r="C654" s="43" t="s">
        <v>701</v>
      </c>
      <c r="D654" s="43" t="s">
        <v>708</v>
      </c>
      <c r="E654" s="43" t="s">
        <v>314</v>
      </c>
      <c r="F654" s="43">
        <v>1</v>
      </c>
      <c r="G654"/>
      <c r="H654"/>
    </row>
    <row r="655" spans="1:8" hidden="1" x14ac:dyDescent="0.25">
      <c r="A655" s="43">
        <v>94</v>
      </c>
      <c r="B655" s="43" t="s">
        <v>32</v>
      </c>
      <c r="C655" s="43" t="s">
        <v>701</v>
      </c>
      <c r="D655" s="43" t="s">
        <v>709</v>
      </c>
      <c r="E655" s="43" t="s">
        <v>493</v>
      </c>
      <c r="F655" s="43">
        <v>1</v>
      </c>
      <c r="G655"/>
      <c r="H655"/>
    </row>
    <row r="656" spans="1:8" hidden="1" x14ac:dyDescent="0.25">
      <c r="A656" s="43">
        <v>98</v>
      </c>
      <c r="B656" s="43" t="s">
        <v>33</v>
      </c>
      <c r="C656" s="43" t="s">
        <v>1790</v>
      </c>
      <c r="D656" s="43" t="s">
        <v>1794</v>
      </c>
      <c r="E656" s="43" t="s">
        <v>786</v>
      </c>
      <c r="F656" s="43">
        <v>1</v>
      </c>
      <c r="G656"/>
      <c r="H656"/>
    </row>
    <row r="657" spans="1:8" hidden="1" x14ac:dyDescent="0.25">
      <c r="A657" s="43">
        <v>98</v>
      </c>
      <c r="B657" s="43" t="s">
        <v>33</v>
      </c>
      <c r="C657" s="43" t="s">
        <v>1790</v>
      </c>
      <c r="D657" s="43" t="s">
        <v>1795</v>
      </c>
      <c r="E657" s="43" t="s">
        <v>784</v>
      </c>
      <c r="F657" s="43">
        <v>1</v>
      </c>
      <c r="G657"/>
      <c r="H657"/>
    </row>
    <row r="658" spans="1:8" hidden="1" x14ac:dyDescent="0.25">
      <c r="A658" s="43">
        <v>98</v>
      </c>
      <c r="B658" s="43" t="s">
        <v>33</v>
      </c>
      <c r="C658" s="43" t="s">
        <v>1790</v>
      </c>
      <c r="D658" s="43" t="s">
        <v>1796</v>
      </c>
      <c r="E658" s="43" t="s">
        <v>1205</v>
      </c>
      <c r="F658" s="43">
        <v>1</v>
      </c>
      <c r="G658"/>
      <c r="H658"/>
    </row>
    <row r="659" spans="1:8" hidden="1" x14ac:dyDescent="0.25">
      <c r="A659" s="43">
        <v>98</v>
      </c>
      <c r="B659" s="43" t="s">
        <v>33</v>
      </c>
      <c r="C659" s="43" t="s">
        <v>1790</v>
      </c>
      <c r="D659" s="43" t="s">
        <v>1797</v>
      </c>
      <c r="E659" s="43" t="s">
        <v>1207</v>
      </c>
      <c r="F659" s="43">
        <v>1</v>
      </c>
      <c r="G659"/>
      <c r="H659"/>
    </row>
    <row r="660" spans="1:8" hidden="1" x14ac:dyDescent="0.25">
      <c r="A660" s="43">
        <v>98</v>
      </c>
      <c r="B660" s="43" t="s">
        <v>33</v>
      </c>
      <c r="C660" s="43" t="s">
        <v>1790</v>
      </c>
      <c r="D660" s="43" t="s">
        <v>1798</v>
      </c>
      <c r="E660" s="43" t="s">
        <v>1209</v>
      </c>
      <c r="F660" s="43">
        <v>1</v>
      </c>
      <c r="G660"/>
      <c r="H660"/>
    </row>
    <row r="661" spans="1:8" hidden="1" x14ac:dyDescent="0.25">
      <c r="A661" s="43">
        <v>98</v>
      </c>
      <c r="B661" s="43" t="s">
        <v>33</v>
      </c>
      <c r="C661" s="43" t="s">
        <v>1790</v>
      </c>
      <c r="D661" s="43" t="s">
        <v>1799</v>
      </c>
      <c r="E661" s="43" t="s">
        <v>789</v>
      </c>
      <c r="F661" s="43">
        <v>1</v>
      </c>
      <c r="G661"/>
      <c r="H661"/>
    </row>
    <row r="662" spans="1:8" hidden="1" x14ac:dyDescent="0.25">
      <c r="A662" s="43">
        <v>98</v>
      </c>
      <c r="B662" s="43" t="s">
        <v>33</v>
      </c>
      <c r="C662" s="43" t="s">
        <v>1790</v>
      </c>
      <c r="D662" s="43" t="s">
        <v>1800</v>
      </c>
      <c r="E662" s="43" t="s">
        <v>1214</v>
      </c>
      <c r="F662" s="43">
        <v>1</v>
      </c>
      <c r="G662"/>
      <c r="H662"/>
    </row>
    <row r="663" spans="1:8" hidden="1" x14ac:dyDescent="0.25">
      <c r="A663" s="43">
        <v>98</v>
      </c>
      <c r="B663" s="43" t="s">
        <v>33</v>
      </c>
      <c r="C663" s="43" t="s">
        <v>1790</v>
      </c>
      <c r="D663" s="43" t="s">
        <v>1791</v>
      </c>
      <c r="E663" s="43" t="s">
        <v>273</v>
      </c>
      <c r="F663" s="43">
        <v>1</v>
      </c>
      <c r="G663"/>
      <c r="H663"/>
    </row>
    <row r="664" spans="1:8" hidden="1" x14ac:dyDescent="0.25">
      <c r="A664" s="43">
        <v>98</v>
      </c>
      <c r="B664" s="43" t="s">
        <v>33</v>
      </c>
      <c r="C664" s="43" t="s">
        <v>1790</v>
      </c>
      <c r="D664" s="43" t="s">
        <v>1792</v>
      </c>
      <c r="E664" s="43" t="s">
        <v>312</v>
      </c>
      <c r="F664" s="43">
        <v>1</v>
      </c>
      <c r="G664"/>
      <c r="H664"/>
    </row>
    <row r="665" spans="1:8" hidden="1" x14ac:dyDescent="0.25">
      <c r="A665" s="43">
        <v>98</v>
      </c>
      <c r="B665" s="43" t="s">
        <v>33</v>
      </c>
      <c r="C665" s="43" t="s">
        <v>1790</v>
      </c>
      <c r="D665" s="43" t="s">
        <v>1793</v>
      </c>
      <c r="E665" s="43" t="s">
        <v>801</v>
      </c>
      <c r="F665" s="43">
        <v>1</v>
      </c>
      <c r="G665"/>
      <c r="H665"/>
    </row>
    <row r="666" spans="1:8" hidden="1" x14ac:dyDescent="0.25">
      <c r="A666" s="43">
        <v>98</v>
      </c>
      <c r="B666" s="43" t="s">
        <v>33</v>
      </c>
      <c r="C666" s="43" t="s">
        <v>1790</v>
      </c>
      <c r="D666" s="43" t="s">
        <v>1804</v>
      </c>
      <c r="E666" s="43" t="s">
        <v>372</v>
      </c>
      <c r="F666" s="43">
        <v>1</v>
      </c>
      <c r="G666"/>
      <c r="H666"/>
    </row>
    <row r="667" spans="1:8" hidden="1" x14ac:dyDescent="0.25">
      <c r="A667" s="43">
        <v>98</v>
      </c>
      <c r="B667" s="43" t="s">
        <v>33</v>
      </c>
      <c r="C667" s="43" t="s">
        <v>1790</v>
      </c>
      <c r="D667" s="43" t="s">
        <v>1805</v>
      </c>
      <c r="E667" s="43" t="s">
        <v>1806</v>
      </c>
      <c r="F667" s="43">
        <v>0</v>
      </c>
      <c r="G667" s="43" t="s">
        <v>4583</v>
      </c>
      <c r="H667"/>
    </row>
    <row r="668" spans="1:8" hidden="1" x14ac:dyDescent="0.25">
      <c r="A668" s="43">
        <v>98</v>
      </c>
      <c r="B668" s="43" t="s">
        <v>33</v>
      </c>
      <c r="C668" s="43" t="s">
        <v>1790</v>
      </c>
      <c r="D668" s="43" t="s">
        <v>1807</v>
      </c>
      <c r="E668" s="43" t="s">
        <v>1808</v>
      </c>
      <c r="F668" s="43">
        <v>1</v>
      </c>
      <c r="G668"/>
      <c r="H668"/>
    </row>
    <row r="669" spans="1:8" hidden="1" x14ac:dyDescent="0.25">
      <c r="A669" s="43">
        <v>98</v>
      </c>
      <c r="B669" s="43" t="s">
        <v>33</v>
      </c>
      <c r="C669" s="43" t="s">
        <v>1790</v>
      </c>
      <c r="D669" s="43" t="s">
        <v>1801</v>
      </c>
      <c r="E669" s="43" t="s">
        <v>1784</v>
      </c>
      <c r="F669" s="43">
        <v>1</v>
      </c>
      <c r="G669"/>
      <c r="H669"/>
    </row>
    <row r="670" spans="1:8" hidden="1" x14ac:dyDescent="0.25">
      <c r="A670" s="43">
        <v>98</v>
      </c>
      <c r="B670" s="43" t="s">
        <v>33</v>
      </c>
      <c r="C670" s="43" t="s">
        <v>1790</v>
      </c>
      <c r="D670" s="43" t="s">
        <v>1802</v>
      </c>
      <c r="E670" s="43" t="s">
        <v>791</v>
      </c>
      <c r="F670" s="43">
        <v>1</v>
      </c>
      <c r="G670"/>
      <c r="H670"/>
    </row>
    <row r="671" spans="1:8" hidden="1" x14ac:dyDescent="0.25">
      <c r="A671" s="43">
        <v>98</v>
      </c>
      <c r="B671" s="43" t="s">
        <v>33</v>
      </c>
      <c r="C671" s="43" t="s">
        <v>1790</v>
      </c>
      <c r="D671" s="43" t="s">
        <v>1803</v>
      </c>
      <c r="E671" s="43" t="s">
        <v>795</v>
      </c>
      <c r="F671" s="43">
        <v>1</v>
      </c>
      <c r="G671"/>
      <c r="H671"/>
    </row>
    <row r="672" spans="1:8" hidden="1" x14ac:dyDescent="0.25">
      <c r="A672" s="43">
        <v>102</v>
      </c>
      <c r="B672" s="43" t="s">
        <v>34</v>
      </c>
      <c r="C672" s="43" t="s">
        <v>972</v>
      </c>
      <c r="D672" s="43" t="s">
        <v>973</v>
      </c>
      <c r="E672" s="43" t="s">
        <v>273</v>
      </c>
      <c r="F672" s="43">
        <v>1</v>
      </c>
      <c r="G672"/>
      <c r="H672"/>
    </row>
    <row r="673" spans="1:8" hidden="1" x14ac:dyDescent="0.25">
      <c r="A673" s="43">
        <v>102</v>
      </c>
      <c r="B673" s="43" t="s">
        <v>34</v>
      </c>
      <c r="C673" s="43" t="s">
        <v>972</v>
      </c>
      <c r="D673" s="43" t="s">
        <v>974</v>
      </c>
      <c r="E673" s="43" t="s">
        <v>295</v>
      </c>
      <c r="F673" s="43">
        <v>1</v>
      </c>
      <c r="G673"/>
      <c r="H673"/>
    </row>
    <row r="674" spans="1:8" hidden="1" x14ac:dyDescent="0.25">
      <c r="A674" s="43">
        <v>102</v>
      </c>
      <c r="B674" s="43" t="s">
        <v>34</v>
      </c>
      <c r="C674" s="43" t="s">
        <v>972</v>
      </c>
      <c r="D674" s="43" t="s">
        <v>975</v>
      </c>
      <c r="E674" s="43" t="s">
        <v>976</v>
      </c>
      <c r="F674" s="43">
        <v>0</v>
      </c>
      <c r="G674" s="43" t="s">
        <v>4583</v>
      </c>
      <c r="H674"/>
    </row>
    <row r="675" spans="1:8" hidden="1" x14ac:dyDescent="0.25">
      <c r="A675" s="43">
        <v>102</v>
      </c>
      <c r="B675" s="43" t="s">
        <v>34</v>
      </c>
      <c r="C675" s="43" t="s">
        <v>972</v>
      </c>
      <c r="D675" s="43" t="s">
        <v>977</v>
      </c>
      <c r="E675" s="43" t="s">
        <v>978</v>
      </c>
      <c r="F675" s="43">
        <v>1</v>
      </c>
      <c r="G675"/>
      <c r="H675"/>
    </row>
    <row r="676" spans="1:8" hidden="1" x14ac:dyDescent="0.25">
      <c r="A676" s="43">
        <v>102</v>
      </c>
      <c r="B676" s="43" t="s">
        <v>34</v>
      </c>
      <c r="C676" s="43" t="s">
        <v>972</v>
      </c>
      <c r="D676" s="43" t="s">
        <v>979</v>
      </c>
      <c r="E676" s="43" t="s">
        <v>980</v>
      </c>
      <c r="F676" s="43">
        <v>0</v>
      </c>
      <c r="G676" s="43" t="s">
        <v>4583</v>
      </c>
      <c r="H676"/>
    </row>
    <row r="677" spans="1:8" hidden="1" x14ac:dyDescent="0.25">
      <c r="A677" s="43">
        <v>102</v>
      </c>
      <c r="B677" s="43" t="s">
        <v>34</v>
      </c>
      <c r="C677" s="43" t="s">
        <v>972</v>
      </c>
      <c r="D677" s="43" t="s">
        <v>981</v>
      </c>
      <c r="E677" s="43" t="s">
        <v>982</v>
      </c>
      <c r="F677" s="43">
        <v>1</v>
      </c>
      <c r="G677"/>
      <c r="H677"/>
    </row>
    <row r="678" spans="1:8" hidden="1" x14ac:dyDescent="0.25">
      <c r="A678" s="43">
        <v>102</v>
      </c>
      <c r="B678" s="43" t="s">
        <v>34</v>
      </c>
      <c r="C678" s="43" t="s">
        <v>972</v>
      </c>
      <c r="D678" s="43" t="s">
        <v>983</v>
      </c>
      <c r="E678" s="43" t="s">
        <v>984</v>
      </c>
      <c r="F678" s="43">
        <v>0</v>
      </c>
      <c r="G678" s="43" t="s">
        <v>4583</v>
      </c>
      <c r="H678"/>
    </row>
    <row r="679" spans="1:8" hidden="1" x14ac:dyDescent="0.25">
      <c r="A679" s="43">
        <v>102</v>
      </c>
      <c r="B679" s="43" t="s">
        <v>34</v>
      </c>
      <c r="C679" s="43" t="s">
        <v>972</v>
      </c>
      <c r="D679" s="43" t="s">
        <v>985</v>
      </c>
      <c r="E679" s="43" t="s">
        <v>986</v>
      </c>
      <c r="F679" s="43">
        <v>1</v>
      </c>
      <c r="G679"/>
      <c r="H679"/>
    </row>
    <row r="680" spans="1:8" hidden="1" x14ac:dyDescent="0.25">
      <c r="A680" s="43">
        <v>102</v>
      </c>
      <c r="B680" s="43" t="s">
        <v>34</v>
      </c>
      <c r="C680" s="43" t="s">
        <v>972</v>
      </c>
      <c r="D680" s="43" t="s">
        <v>987</v>
      </c>
      <c r="E680" s="43" t="s">
        <v>482</v>
      </c>
      <c r="F680" s="43">
        <v>1</v>
      </c>
      <c r="G680"/>
      <c r="H680"/>
    </row>
    <row r="681" spans="1:8" hidden="1" x14ac:dyDescent="0.25">
      <c r="A681" s="43">
        <v>102</v>
      </c>
      <c r="B681" s="43" t="s">
        <v>34</v>
      </c>
      <c r="C681" s="43" t="s">
        <v>972</v>
      </c>
      <c r="D681" s="43" t="s">
        <v>988</v>
      </c>
      <c r="E681" s="43" t="s">
        <v>989</v>
      </c>
      <c r="F681" s="43">
        <v>1</v>
      </c>
      <c r="G681"/>
      <c r="H681"/>
    </row>
    <row r="682" spans="1:8" hidden="1" x14ac:dyDescent="0.25">
      <c r="A682" s="43">
        <v>102</v>
      </c>
      <c r="B682" s="43" t="s">
        <v>34</v>
      </c>
      <c r="C682" s="43" t="s">
        <v>972</v>
      </c>
      <c r="D682" s="43" t="s">
        <v>990</v>
      </c>
      <c r="E682" s="43" t="s">
        <v>991</v>
      </c>
      <c r="F682" s="43">
        <v>1</v>
      </c>
      <c r="G682"/>
      <c r="H682"/>
    </row>
    <row r="683" spans="1:8" hidden="1" x14ac:dyDescent="0.25">
      <c r="A683" s="43">
        <v>102</v>
      </c>
      <c r="B683" s="43" t="s">
        <v>34</v>
      </c>
      <c r="C683" s="43" t="s">
        <v>972</v>
      </c>
      <c r="D683" s="43" t="s">
        <v>992</v>
      </c>
      <c r="E683" s="43" t="s">
        <v>993</v>
      </c>
      <c r="F683" s="43">
        <v>1</v>
      </c>
      <c r="G683"/>
      <c r="H683"/>
    </row>
    <row r="684" spans="1:8" hidden="1" x14ac:dyDescent="0.25">
      <c r="A684" s="43">
        <v>119</v>
      </c>
      <c r="B684" s="43" t="s">
        <v>35</v>
      </c>
      <c r="C684" s="43" t="s">
        <v>302</v>
      </c>
      <c r="D684" s="43" t="s">
        <v>309</v>
      </c>
      <c r="E684" s="43" t="s">
        <v>310</v>
      </c>
      <c r="F684" s="43">
        <v>1</v>
      </c>
      <c r="G684"/>
      <c r="H684"/>
    </row>
    <row r="685" spans="1:8" hidden="1" x14ac:dyDescent="0.25">
      <c r="A685" s="43">
        <v>119</v>
      </c>
      <c r="B685" s="43" t="s">
        <v>35</v>
      </c>
      <c r="C685" s="43" t="s">
        <v>302</v>
      </c>
      <c r="D685" s="43" t="s">
        <v>335</v>
      </c>
      <c r="E685" s="43" t="s">
        <v>326</v>
      </c>
      <c r="F685" s="43">
        <v>1</v>
      </c>
      <c r="G685"/>
      <c r="H685"/>
    </row>
    <row r="686" spans="1:8" hidden="1" x14ac:dyDescent="0.25">
      <c r="A686" s="43">
        <v>119</v>
      </c>
      <c r="B686" s="43" t="s">
        <v>35</v>
      </c>
      <c r="C686" s="43" t="s">
        <v>302</v>
      </c>
      <c r="D686" s="43" t="s">
        <v>327</v>
      </c>
      <c r="E686" s="43" t="s">
        <v>4473</v>
      </c>
      <c r="F686" s="43">
        <v>1</v>
      </c>
      <c r="G686"/>
      <c r="H686"/>
    </row>
    <row r="687" spans="1:8" hidden="1" x14ac:dyDescent="0.25">
      <c r="A687" s="43">
        <v>119</v>
      </c>
      <c r="B687" s="43" t="s">
        <v>35</v>
      </c>
      <c r="C687" s="43" t="s">
        <v>302</v>
      </c>
      <c r="D687" s="43" t="s">
        <v>329</v>
      </c>
      <c r="E687" s="43" t="s">
        <v>330</v>
      </c>
      <c r="F687" s="43">
        <v>1</v>
      </c>
      <c r="G687"/>
      <c r="H687"/>
    </row>
    <row r="688" spans="1:8" hidden="1" x14ac:dyDescent="0.25">
      <c r="A688" s="43">
        <v>119</v>
      </c>
      <c r="B688" s="43" t="s">
        <v>35</v>
      </c>
      <c r="C688" s="43" t="s">
        <v>302</v>
      </c>
      <c r="D688" s="43" t="s">
        <v>317</v>
      </c>
      <c r="E688" s="43" t="s">
        <v>318</v>
      </c>
      <c r="F688" s="43">
        <v>0</v>
      </c>
      <c r="G688" s="43" t="s">
        <v>4583</v>
      </c>
      <c r="H688"/>
    </row>
    <row r="689" spans="1:8" hidden="1" x14ac:dyDescent="0.25">
      <c r="A689" s="43">
        <v>119</v>
      </c>
      <c r="B689" s="43" t="s">
        <v>35</v>
      </c>
      <c r="C689" s="43" t="s">
        <v>302</v>
      </c>
      <c r="D689" s="43" t="s">
        <v>319</v>
      </c>
      <c r="E689" s="43" t="s">
        <v>320</v>
      </c>
      <c r="F689" s="43">
        <v>0</v>
      </c>
      <c r="G689" s="43" t="s">
        <v>4583</v>
      </c>
      <c r="H689"/>
    </row>
    <row r="690" spans="1:8" hidden="1" x14ac:dyDescent="0.25">
      <c r="A690" s="43">
        <v>119</v>
      </c>
      <c r="B690" s="43" t="s">
        <v>35</v>
      </c>
      <c r="C690" s="43" t="s">
        <v>302</v>
      </c>
      <c r="D690" s="43" t="s">
        <v>321</v>
      </c>
      <c r="E690" s="43" t="s">
        <v>322</v>
      </c>
      <c r="F690" s="43">
        <v>0</v>
      </c>
      <c r="G690" s="43" t="s">
        <v>4583</v>
      </c>
      <c r="H690"/>
    </row>
    <row r="691" spans="1:8" hidden="1" x14ac:dyDescent="0.25">
      <c r="A691" s="43">
        <v>119</v>
      </c>
      <c r="B691" s="43" t="s">
        <v>35</v>
      </c>
      <c r="C691" s="43" t="s">
        <v>302</v>
      </c>
      <c r="D691" s="43" t="s">
        <v>331</v>
      </c>
      <c r="E691" s="43" t="s">
        <v>332</v>
      </c>
      <c r="F691" s="43">
        <v>0</v>
      </c>
      <c r="G691" s="43" t="s">
        <v>4583</v>
      </c>
      <c r="H691"/>
    </row>
    <row r="692" spans="1:8" hidden="1" x14ac:dyDescent="0.25">
      <c r="A692" s="43">
        <v>119</v>
      </c>
      <c r="B692" s="43" t="s">
        <v>35</v>
      </c>
      <c r="C692" s="43" t="s">
        <v>302</v>
      </c>
      <c r="D692" s="43" t="s">
        <v>303</v>
      </c>
      <c r="E692" s="43" t="s">
        <v>304</v>
      </c>
      <c r="F692" s="43">
        <v>1</v>
      </c>
      <c r="G692"/>
      <c r="H692"/>
    </row>
    <row r="693" spans="1:8" hidden="1" x14ac:dyDescent="0.25">
      <c r="A693" s="43">
        <v>119</v>
      </c>
      <c r="B693" s="43" t="s">
        <v>35</v>
      </c>
      <c r="C693" s="43" t="s">
        <v>302</v>
      </c>
      <c r="D693" s="43" t="s">
        <v>305</v>
      </c>
      <c r="E693" s="43" t="s">
        <v>306</v>
      </c>
      <c r="F693" s="43">
        <v>1</v>
      </c>
      <c r="G693"/>
      <c r="H693"/>
    </row>
    <row r="694" spans="1:8" hidden="1" x14ac:dyDescent="0.25">
      <c r="A694" s="43">
        <v>119</v>
      </c>
      <c r="B694" s="43" t="s">
        <v>35</v>
      </c>
      <c r="C694" s="43" t="s">
        <v>302</v>
      </c>
      <c r="D694" s="43" t="s">
        <v>307</v>
      </c>
      <c r="E694" s="43" t="s">
        <v>308</v>
      </c>
      <c r="F694" s="43">
        <v>0</v>
      </c>
      <c r="G694" s="43" t="s">
        <v>4583</v>
      </c>
      <c r="H694"/>
    </row>
    <row r="695" spans="1:8" hidden="1" x14ac:dyDescent="0.25">
      <c r="A695" s="43">
        <v>119</v>
      </c>
      <c r="B695" s="43" t="s">
        <v>35</v>
      </c>
      <c r="C695" s="43" t="s">
        <v>302</v>
      </c>
      <c r="D695" s="43" t="s">
        <v>333</v>
      </c>
      <c r="E695" s="43" t="s">
        <v>334</v>
      </c>
      <c r="F695" s="43">
        <v>1</v>
      </c>
      <c r="G695"/>
      <c r="H695"/>
    </row>
    <row r="696" spans="1:8" hidden="1" x14ac:dyDescent="0.25">
      <c r="A696" s="43">
        <v>119</v>
      </c>
      <c r="B696" s="43" t="s">
        <v>35</v>
      </c>
      <c r="C696" s="43" t="s">
        <v>302</v>
      </c>
      <c r="D696" s="43" t="s">
        <v>325</v>
      </c>
      <c r="E696" s="43" t="s">
        <v>336</v>
      </c>
      <c r="F696" s="43">
        <v>1</v>
      </c>
      <c r="G696"/>
      <c r="H696"/>
    </row>
    <row r="697" spans="1:8" hidden="1" x14ac:dyDescent="0.25">
      <c r="A697" s="43">
        <v>119</v>
      </c>
      <c r="B697" s="43" t="s">
        <v>35</v>
      </c>
      <c r="C697" s="43" t="s">
        <v>302</v>
      </c>
      <c r="D697" s="43" t="s">
        <v>311</v>
      </c>
      <c r="E697" s="43" t="s">
        <v>312</v>
      </c>
      <c r="F697" s="43">
        <v>1</v>
      </c>
      <c r="G697"/>
      <c r="H697"/>
    </row>
    <row r="698" spans="1:8" hidden="1" x14ac:dyDescent="0.25">
      <c r="A698" s="43">
        <v>119</v>
      </c>
      <c r="B698" s="43" t="s">
        <v>35</v>
      </c>
      <c r="C698" s="43" t="s">
        <v>302</v>
      </c>
      <c r="D698" s="43" t="s">
        <v>313</v>
      </c>
      <c r="E698" s="43" t="s">
        <v>314</v>
      </c>
      <c r="F698" s="43">
        <v>1</v>
      </c>
      <c r="G698"/>
      <c r="H698"/>
    </row>
    <row r="699" spans="1:8" hidden="1" x14ac:dyDescent="0.25">
      <c r="A699" s="43">
        <v>119</v>
      </c>
      <c r="B699" s="43" t="s">
        <v>35</v>
      </c>
      <c r="C699" s="43" t="s">
        <v>302</v>
      </c>
      <c r="D699" s="43" t="s">
        <v>315</v>
      </c>
      <c r="E699" s="43" t="s">
        <v>316</v>
      </c>
      <c r="F699" s="43">
        <v>0</v>
      </c>
      <c r="G699" s="43" t="s">
        <v>4583</v>
      </c>
      <c r="H699"/>
    </row>
    <row r="700" spans="1:8" hidden="1" x14ac:dyDescent="0.25">
      <c r="A700" s="43">
        <v>119</v>
      </c>
      <c r="B700" s="43" t="s">
        <v>35</v>
      </c>
      <c r="C700" s="43" t="s">
        <v>302</v>
      </c>
      <c r="D700" s="43" t="s">
        <v>323</v>
      </c>
      <c r="E700" s="43" t="s">
        <v>324</v>
      </c>
      <c r="F700" s="43">
        <v>1</v>
      </c>
      <c r="G700"/>
      <c r="H700"/>
    </row>
    <row r="701" spans="1:8" hidden="1" x14ac:dyDescent="0.25">
      <c r="A701" s="43">
        <v>120</v>
      </c>
      <c r="B701" s="43" t="s">
        <v>36</v>
      </c>
      <c r="C701" s="43" t="s">
        <v>1457</v>
      </c>
      <c r="D701" s="43" t="s">
        <v>1459</v>
      </c>
      <c r="E701" s="43" t="s">
        <v>640</v>
      </c>
      <c r="F701" s="43">
        <v>1</v>
      </c>
      <c r="G701"/>
      <c r="H701"/>
    </row>
    <row r="702" spans="1:8" hidden="1" x14ac:dyDescent="0.25">
      <c r="A702" s="43">
        <v>120</v>
      </c>
      <c r="B702" s="43" t="s">
        <v>36</v>
      </c>
      <c r="C702" s="43" t="s">
        <v>1457</v>
      </c>
      <c r="D702" s="43" t="s">
        <v>1460</v>
      </c>
      <c r="E702" s="43" t="s">
        <v>929</v>
      </c>
      <c r="F702" s="43">
        <v>0</v>
      </c>
      <c r="G702" s="43" t="s">
        <v>4583</v>
      </c>
      <c r="H702"/>
    </row>
    <row r="703" spans="1:8" hidden="1" x14ac:dyDescent="0.25">
      <c r="A703" s="43">
        <v>120</v>
      </c>
      <c r="B703" s="43" t="s">
        <v>36</v>
      </c>
      <c r="C703" s="43" t="s">
        <v>1457</v>
      </c>
      <c r="D703" s="43" t="s">
        <v>1458</v>
      </c>
      <c r="E703" s="43" t="s">
        <v>273</v>
      </c>
      <c r="F703" s="43">
        <v>1</v>
      </c>
      <c r="G703"/>
      <c r="H703"/>
    </row>
    <row r="704" spans="1:8" hidden="1" x14ac:dyDescent="0.25">
      <c r="A704" s="43">
        <v>120</v>
      </c>
      <c r="B704" s="43" t="s">
        <v>36</v>
      </c>
      <c r="C704" s="43" t="s">
        <v>1457</v>
      </c>
      <c r="D704" s="43" t="s">
        <v>1461</v>
      </c>
      <c r="E704" s="43" t="s">
        <v>1462</v>
      </c>
      <c r="F704" s="43">
        <v>0</v>
      </c>
      <c r="G704" s="43" t="s">
        <v>4583</v>
      </c>
      <c r="H704"/>
    </row>
    <row r="705" spans="1:8" hidden="1" x14ac:dyDescent="0.25">
      <c r="A705" s="43">
        <v>120</v>
      </c>
      <c r="B705" s="43" t="s">
        <v>36</v>
      </c>
      <c r="C705" s="43" t="s">
        <v>1457</v>
      </c>
      <c r="D705" s="43" t="s">
        <v>1463</v>
      </c>
      <c r="E705" s="43" t="s">
        <v>1464</v>
      </c>
      <c r="F705" s="43">
        <v>0</v>
      </c>
      <c r="G705" s="43" t="s">
        <v>4583</v>
      </c>
      <c r="H705"/>
    </row>
    <row r="706" spans="1:8" hidden="1" x14ac:dyDescent="0.25">
      <c r="A706" s="43">
        <v>120</v>
      </c>
      <c r="B706" s="43" t="s">
        <v>36</v>
      </c>
      <c r="C706" s="43" t="s">
        <v>1457</v>
      </c>
      <c r="D706" s="43" t="s">
        <v>1465</v>
      </c>
      <c r="E706" s="43" t="s">
        <v>347</v>
      </c>
      <c r="F706" s="43">
        <v>0</v>
      </c>
      <c r="G706" s="43" t="s">
        <v>4583</v>
      </c>
      <c r="H706"/>
    </row>
    <row r="707" spans="1:8" hidden="1" x14ac:dyDescent="0.25">
      <c r="A707" s="43">
        <v>120</v>
      </c>
      <c r="B707" s="43" t="s">
        <v>36</v>
      </c>
      <c r="C707" s="43" t="s">
        <v>1457</v>
      </c>
      <c r="D707" s="43" t="s">
        <v>1470</v>
      </c>
      <c r="E707" s="43" t="s">
        <v>1471</v>
      </c>
      <c r="F707" s="43">
        <v>0</v>
      </c>
      <c r="G707" s="43" t="s">
        <v>4583</v>
      </c>
      <c r="H707"/>
    </row>
    <row r="708" spans="1:8" hidden="1" x14ac:dyDescent="0.25">
      <c r="A708" s="43">
        <v>120</v>
      </c>
      <c r="B708" s="43" t="s">
        <v>36</v>
      </c>
      <c r="C708" s="43" t="s">
        <v>1457</v>
      </c>
      <c r="D708" s="43" t="s">
        <v>1472</v>
      </c>
      <c r="E708" s="43" t="s">
        <v>391</v>
      </c>
      <c r="F708" s="43">
        <v>1</v>
      </c>
      <c r="G708"/>
      <c r="H708"/>
    </row>
    <row r="709" spans="1:8" hidden="1" x14ac:dyDescent="0.25">
      <c r="A709" s="43">
        <v>120</v>
      </c>
      <c r="B709" s="43" t="s">
        <v>36</v>
      </c>
      <c r="C709" s="43" t="s">
        <v>1457</v>
      </c>
      <c r="D709" s="43" t="s">
        <v>1473</v>
      </c>
      <c r="E709" s="43" t="s">
        <v>956</v>
      </c>
      <c r="F709" s="43">
        <v>0</v>
      </c>
      <c r="G709" s="43" t="s">
        <v>4583</v>
      </c>
      <c r="H709"/>
    </row>
    <row r="710" spans="1:8" hidden="1" x14ac:dyDescent="0.25">
      <c r="A710" s="43">
        <v>120</v>
      </c>
      <c r="B710" s="43" t="s">
        <v>36</v>
      </c>
      <c r="C710" s="43" t="s">
        <v>1457</v>
      </c>
      <c r="D710" s="43" t="s">
        <v>1466</v>
      </c>
      <c r="E710" s="43" t="s">
        <v>1467</v>
      </c>
      <c r="F710" s="43">
        <v>1</v>
      </c>
      <c r="G710"/>
      <c r="H710"/>
    </row>
    <row r="711" spans="1:8" hidden="1" x14ac:dyDescent="0.25">
      <c r="A711" s="43">
        <v>120</v>
      </c>
      <c r="B711" s="43" t="s">
        <v>36</v>
      </c>
      <c r="C711" s="43" t="s">
        <v>1457</v>
      </c>
      <c r="D711" s="43" t="s">
        <v>1468</v>
      </c>
      <c r="E711" s="43" t="s">
        <v>1469</v>
      </c>
      <c r="F711" s="43">
        <v>0</v>
      </c>
      <c r="G711" s="43" t="s">
        <v>4583</v>
      </c>
      <c r="H711"/>
    </row>
    <row r="712" spans="1:8" hidden="1" x14ac:dyDescent="0.25">
      <c r="A712" s="43">
        <v>120</v>
      </c>
      <c r="B712" s="43" t="s">
        <v>36</v>
      </c>
      <c r="C712" s="43" t="s">
        <v>386</v>
      </c>
      <c r="D712" s="43" t="s">
        <v>392</v>
      </c>
      <c r="E712" s="43" t="s">
        <v>393</v>
      </c>
      <c r="F712" s="43">
        <v>0</v>
      </c>
      <c r="G712" s="43" t="s">
        <v>4583</v>
      </c>
      <c r="H712"/>
    </row>
    <row r="713" spans="1:8" hidden="1" x14ac:dyDescent="0.25">
      <c r="A713" s="43">
        <v>120</v>
      </c>
      <c r="B713" s="43" t="s">
        <v>36</v>
      </c>
      <c r="C713" s="43" t="s">
        <v>386</v>
      </c>
      <c r="D713" s="43" t="s">
        <v>394</v>
      </c>
      <c r="E713" s="43" t="s">
        <v>4474</v>
      </c>
      <c r="F713" s="43">
        <v>0</v>
      </c>
      <c r="G713" s="43" t="s">
        <v>4583</v>
      </c>
      <c r="H713"/>
    </row>
    <row r="714" spans="1:8" hidden="1" x14ac:dyDescent="0.25">
      <c r="A714" s="43">
        <v>120</v>
      </c>
      <c r="B714" s="43" t="s">
        <v>36</v>
      </c>
      <c r="C714" s="43" t="s">
        <v>386</v>
      </c>
      <c r="D714" s="43" t="s">
        <v>396</v>
      </c>
      <c r="E714" s="43" t="s">
        <v>397</v>
      </c>
      <c r="F714" s="43">
        <v>0</v>
      </c>
      <c r="G714" s="43" t="s">
        <v>4583</v>
      </c>
      <c r="H714"/>
    </row>
    <row r="715" spans="1:8" hidden="1" x14ac:dyDescent="0.25">
      <c r="A715" s="43">
        <v>120</v>
      </c>
      <c r="B715" s="43" t="s">
        <v>36</v>
      </c>
      <c r="C715" s="43" t="s">
        <v>386</v>
      </c>
      <c r="D715" s="43" t="s">
        <v>398</v>
      </c>
      <c r="E715" s="43" t="s">
        <v>4475</v>
      </c>
      <c r="F715" s="43">
        <v>0</v>
      </c>
      <c r="G715" s="43" t="s">
        <v>4583</v>
      </c>
      <c r="H715"/>
    </row>
    <row r="716" spans="1:8" hidden="1" x14ac:dyDescent="0.25">
      <c r="A716" s="43">
        <v>120</v>
      </c>
      <c r="B716" s="43" t="s">
        <v>36</v>
      </c>
      <c r="C716" s="43" t="s">
        <v>386</v>
      </c>
      <c r="D716" s="43" t="s">
        <v>400</v>
      </c>
      <c r="E716" s="43" t="s">
        <v>401</v>
      </c>
      <c r="F716" s="43">
        <v>0</v>
      </c>
      <c r="G716" s="43" t="s">
        <v>4583</v>
      </c>
      <c r="H716"/>
    </row>
    <row r="717" spans="1:8" hidden="1" x14ac:dyDescent="0.25">
      <c r="A717" s="43">
        <v>120</v>
      </c>
      <c r="B717" s="43" t="s">
        <v>36</v>
      </c>
      <c r="C717" s="43" t="s">
        <v>386</v>
      </c>
      <c r="D717" s="43" t="s">
        <v>387</v>
      </c>
      <c r="E717" s="43" t="s">
        <v>388</v>
      </c>
      <c r="F717" s="43">
        <v>0</v>
      </c>
      <c r="G717" s="43" t="s">
        <v>4583</v>
      </c>
      <c r="H717"/>
    </row>
    <row r="718" spans="1:8" hidden="1" x14ac:dyDescent="0.25">
      <c r="A718" s="43">
        <v>120</v>
      </c>
      <c r="B718" s="43" t="s">
        <v>36</v>
      </c>
      <c r="C718" s="43" t="s">
        <v>386</v>
      </c>
      <c r="D718" s="43" t="s">
        <v>390</v>
      </c>
      <c r="E718" s="43" t="s">
        <v>391</v>
      </c>
      <c r="F718" s="43">
        <v>1</v>
      </c>
      <c r="G718"/>
      <c r="H718"/>
    </row>
    <row r="719" spans="1:8" hidden="1" x14ac:dyDescent="0.25">
      <c r="A719" s="43">
        <v>120</v>
      </c>
      <c r="B719" s="43" t="s">
        <v>36</v>
      </c>
      <c r="C719" s="43" t="s">
        <v>386</v>
      </c>
      <c r="D719" s="43" t="s">
        <v>406</v>
      </c>
      <c r="E719" s="43" t="s">
        <v>407</v>
      </c>
      <c r="F719" s="43">
        <v>0</v>
      </c>
      <c r="G719" s="43" t="s">
        <v>4583</v>
      </c>
      <c r="H719"/>
    </row>
    <row r="720" spans="1:8" hidden="1" x14ac:dyDescent="0.25">
      <c r="A720" s="43">
        <v>120</v>
      </c>
      <c r="B720" s="43" t="s">
        <v>36</v>
      </c>
      <c r="C720" s="43" t="s">
        <v>386</v>
      </c>
      <c r="D720" s="43" t="s">
        <v>408</v>
      </c>
      <c r="E720" s="43" t="s">
        <v>409</v>
      </c>
      <c r="F720" s="43">
        <v>0</v>
      </c>
      <c r="G720" s="43" t="s">
        <v>4583</v>
      </c>
      <c r="H720"/>
    </row>
    <row r="721" spans="1:8" hidden="1" x14ac:dyDescent="0.25">
      <c r="A721" s="43">
        <v>121</v>
      </c>
      <c r="B721" s="43" t="s">
        <v>37</v>
      </c>
      <c r="C721" s="43" t="s">
        <v>581</v>
      </c>
      <c r="D721" s="43" t="s">
        <v>585</v>
      </c>
      <c r="E721" s="43" t="s">
        <v>586</v>
      </c>
      <c r="F721" s="43">
        <v>1</v>
      </c>
      <c r="G721"/>
      <c r="H721"/>
    </row>
    <row r="722" spans="1:8" hidden="1" x14ac:dyDescent="0.25">
      <c r="A722" s="43">
        <v>121</v>
      </c>
      <c r="B722" s="43" t="s">
        <v>37</v>
      </c>
      <c r="C722" s="43" t="s">
        <v>581</v>
      </c>
      <c r="D722" s="43" t="s">
        <v>593</v>
      </c>
      <c r="E722" s="43" t="s">
        <v>594</v>
      </c>
      <c r="F722" s="43">
        <v>1</v>
      </c>
      <c r="G722"/>
      <c r="H722"/>
    </row>
    <row r="723" spans="1:8" hidden="1" x14ac:dyDescent="0.25">
      <c r="A723" s="43">
        <v>121</v>
      </c>
      <c r="B723" s="43" t="s">
        <v>37</v>
      </c>
      <c r="C723" s="43" t="s">
        <v>581</v>
      </c>
      <c r="D723" s="43" t="s">
        <v>587</v>
      </c>
      <c r="E723" s="43" t="s">
        <v>588</v>
      </c>
      <c r="F723" s="43">
        <v>1</v>
      </c>
      <c r="G723"/>
      <c r="H723"/>
    </row>
    <row r="724" spans="1:8" hidden="1" x14ac:dyDescent="0.25">
      <c r="A724" s="43">
        <v>121</v>
      </c>
      <c r="B724" s="43" t="s">
        <v>37</v>
      </c>
      <c r="C724" s="43" t="s">
        <v>581</v>
      </c>
      <c r="D724" s="43" t="s">
        <v>604</v>
      </c>
      <c r="E724" s="43" t="s">
        <v>605</v>
      </c>
      <c r="F724" s="43">
        <v>1</v>
      </c>
      <c r="G724"/>
      <c r="H724"/>
    </row>
    <row r="725" spans="1:8" hidden="1" x14ac:dyDescent="0.25">
      <c r="A725" s="43">
        <v>121</v>
      </c>
      <c r="B725" s="43" t="s">
        <v>37</v>
      </c>
      <c r="C725" s="43" t="s">
        <v>581</v>
      </c>
      <c r="D725" s="43" t="s">
        <v>582</v>
      </c>
      <c r="E725" s="43" t="s">
        <v>583</v>
      </c>
      <c r="F725" s="43">
        <v>1</v>
      </c>
      <c r="G725"/>
      <c r="H725"/>
    </row>
    <row r="726" spans="1:8" hidden="1" x14ac:dyDescent="0.25">
      <c r="A726" s="43">
        <v>121</v>
      </c>
      <c r="B726" s="43" t="s">
        <v>37</v>
      </c>
      <c r="C726" s="43" t="s">
        <v>581</v>
      </c>
      <c r="D726" s="43" t="s">
        <v>584</v>
      </c>
      <c r="E726" s="43" t="s">
        <v>306</v>
      </c>
      <c r="F726" s="43">
        <v>1</v>
      </c>
      <c r="G726"/>
      <c r="H726"/>
    </row>
    <row r="727" spans="1:8" hidden="1" x14ac:dyDescent="0.25">
      <c r="A727" s="43">
        <v>121</v>
      </c>
      <c r="B727" s="43" t="s">
        <v>37</v>
      </c>
      <c r="C727" s="43" t="s">
        <v>581</v>
      </c>
      <c r="D727" s="43" t="s">
        <v>592</v>
      </c>
      <c r="E727" s="43" t="s">
        <v>275</v>
      </c>
      <c r="F727" s="43">
        <v>1</v>
      </c>
      <c r="G727"/>
      <c r="H727"/>
    </row>
    <row r="728" spans="1:8" hidden="1" x14ac:dyDescent="0.25">
      <c r="A728" s="43">
        <v>121</v>
      </c>
      <c r="B728" s="43" t="s">
        <v>37</v>
      </c>
      <c r="C728" s="43" t="s">
        <v>581</v>
      </c>
      <c r="D728" s="43" t="s">
        <v>606</v>
      </c>
      <c r="E728" s="43" t="s">
        <v>503</v>
      </c>
      <c r="F728" s="43">
        <v>1</v>
      </c>
      <c r="G728"/>
      <c r="H728"/>
    </row>
    <row r="729" spans="1:8" hidden="1" x14ac:dyDescent="0.25">
      <c r="A729" s="43">
        <v>121</v>
      </c>
      <c r="B729" s="43" t="s">
        <v>37</v>
      </c>
      <c r="C729" s="43" t="s">
        <v>581</v>
      </c>
      <c r="D729" s="43" t="s">
        <v>607</v>
      </c>
      <c r="E729" s="43" t="s">
        <v>505</v>
      </c>
      <c r="F729" s="43">
        <v>1</v>
      </c>
      <c r="G729"/>
      <c r="H729"/>
    </row>
    <row r="730" spans="1:8" hidden="1" x14ac:dyDescent="0.25">
      <c r="A730" s="43">
        <v>121</v>
      </c>
      <c r="B730" s="43" t="s">
        <v>37</v>
      </c>
      <c r="C730" s="43" t="s">
        <v>581</v>
      </c>
      <c r="D730" s="43" t="s">
        <v>608</v>
      </c>
      <c r="E730" s="43" t="s">
        <v>609</v>
      </c>
      <c r="F730" s="43">
        <v>1</v>
      </c>
      <c r="G730"/>
      <c r="H730"/>
    </row>
    <row r="731" spans="1:8" hidden="1" x14ac:dyDescent="0.25">
      <c r="A731" s="43">
        <v>121</v>
      </c>
      <c r="B731" s="43" t="s">
        <v>37</v>
      </c>
      <c r="C731" s="43" t="s">
        <v>581</v>
      </c>
      <c r="D731" s="43" t="s">
        <v>598</v>
      </c>
      <c r="E731" s="43" t="s">
        <v>599</v>
      </c>
      <c r="F731" s="43">
        <v>1</v>
      </c>
      <c r="G731"/>
      <c r="H731"/>
    </row>
    <row r="732" spans="1:8" hidden="1" x14ac:dyDescent="0.25">
      <c r="A732" s="43">
        <v>121</v>
      </c>
      <c r="B732" s="43" t="s">
        <v>37</v>
      </c>
      <c r="C732" s="43" t="s">
        <v>581</v>
      </c>
      <c r="D732" s="43" t="s">
        <v>600</v>
      </c>
      <c r="E732" s="43" t="s">
        <v>601</v>
      </c>
      <c r="F732" s="43">
        <v>1</v>
      </c>
      <c r="G732"/>
      <c r="H732"/>
    </row>
    <row r="733" spans="1:8" hidden="1" x14ac:dyDescent="0.25">
      <c r="A733" s="43">
        <v>121</v>
      </c>
      <c r="B733" s="43" t="s">
        <v>37</v>
      </c>
      <c r="C733" s="43" t="s">
        <v>581</v>
      </c>
      <c r="D733" s="43" t="s">
        <v>602</v>
      </c>
      <c r="E733" s="43" t="s">
        <v>603</v>
      </c>
      <c r="F733" s="43">
        <v>1</v>
      </c>
      <c r="G733"/>
      <c r="H733"/>
    </row>
    <row r="734" spans="1:8" hidden="1" x14ac:dyDescent="0.25">
      <c r="A734" s="43">
        <v>121</v>
      </c>
      <c r="B734" s="43" t="s">
        <v>37</v>
      </c>
      <c r="C734" s="43" t="s">
        <v>581</v>
      </c>
      <c r="D734" s="43" t="s">
        <v>589</v>
      </c>
      <c r="E734" s="43" t="s">
        <v>312</v>
      </c>
      <c r="F734" s="43">
        <v>1</v>
      </c>
      <c r="G734"/>
      <c r="H734"/>
    </row>
    <row r="735" spans="1:8" hidden="1" x14ac:dyDescent="0.25">
      <c r="A735" s="43">
        <v>121</v>
      </c>
      <c r="B735" s="43" t="s">
        <v>37</v>
      </c>
      <c r="C735" s="43" t="s">
        <v>581</v>
      </c>
      <c r="D735" s="43" t="s">
        <v>590</v>
      </c>
      <c r="E735" s="43" t="s">
        <v>493</v>
      </c>
      <c r="F735" s="43">
        <v>1</v>
      </c>
      <c r="G735"/>
      <c r="H735"/>
    </row>
    <row r="736" spans="1:8" hidden="1" x14ac:dyDescent="0.25">
      <c r="A736" s="43">
        <v>121</v>
      </c>
      <c r="B736" s="43" t="s">
        <v>37</v>
      </c>
      <c r="C736" s="43" t="s">
        <v>581</v>
      </c>
      <c r="D736" s="43" t="s">
        <v>591</v>
      </c>
      <c r="E736" s="43" t="s">
        <v>314</v>
      </c>
      <c r="F736" s="43">
        <v>1</v>
      </c>
      <c r="G736"/>
      <c r="H736"/>
    </row>
    <row r="737" spans="1:8" hidden="1" x14ac:dyDescent="0.25">
      <c r="A737" s="43">
        <v>121</v>
      </c>
      <c r="B737" s="43" t="s">
        <v>37</v>
      </c>
      <c r="C737" s="43" t="s">
        <v>581</v>
      </c>
      <c r="D737" s="43" t="s">
        <v>595</v>
      </c>
      <c r="E737" s="43" t="s">
        <v>349</v>
      </c>
      <c r="F737" s="43">
        <v>1</v>
      </c>
      <c r="G737"/>
      <c r="H737"/>
    </row>
    <row r="738" spans="1:8" hidden="1" x14ac:dyDescent="0.25">
      <c r="A738" s="43">
        <v>121</v>
      </c>
      <c r="B738" s="43" t="s">
        <v>37</v>
      </c>
      <c r="C738" s="43" t="s">
        <v>581</v>
      </c>
      <c r="D738" s="43" t="s">
        <v>596</v>
      </c>
      <c r="E738" s="43" t="s">
        <v>597</v>
      </c>
      <c r="F738" s="43">
        <v>1</v>
      </c>
      <c r="G738"/>
      <c r="H738"/>
    </row>
    <row r="739" spans="1:8" hidden="1" x14ac:dyDescent="0.25">
      <c r="A739" s="43">
        <v>123</v>
      </c>
      <c r="B739" s="43" t="s">
        <v>38</v>
      </c>
      <c r="C739" s="43" t="s">
        <v>581</v>
      </c>
      <c r="D739" s="43" t="s">
        <v>585</v>
      </c>
      <c r="E739" s="43" t="s">
        <v>586</v>
      </c>
      <c r="F739" s="43">
        <v>1</v>
      </c>
      <c r="G739"/>
      <c r="H739"/>
    </row>
    <row r="740" spans="1:8" hidden="1" x14ac:dyDescent="0.25">
      <c r="A740" s="43">
        <v>123</v>
      </c>
      <c r="B740" s="43" t="s">
        <v>38</v>
      </c>
      <c r="C740" s="43" t="s">
        <v>581</v>
      </c>
      <c r="D740" s="43" t="s">
        <v>593</v>
      </c>
      <c r="E740" s="43" t="s">
        <v>594</v>
      </c>
      <c r="F740" s="43">
        <v>1</v>
      </c>
      <c r="G740"/>
      <c r="H740"/>
    </row>
    <row r="741" spans="1:8" hidden="1" x14ac:dyDescent="0.25">
      <c r="A741" s="43">
        <v>123</v>
      </c>
      <c r="B741" s="43" t="s">
        <v>38</v>
      </c>
      <c r="C741" s="43" t="s">
        <v>581</v>
      </c>
      <c r="D741" s="43" t="s">
        <v>587</v>
      </c>
      <c r="E741" s="43" t="s">
        <v>588</v>
      </c>
      <c r="F741" s="43">
        <v>1</v>
      </c>
      <c r="G741"/>
      <c r="H741"/>
    </row>
    <row r="742" spans="1:8" hidden="1" x14ac:dyDescent="0.25">
      <c r="A742" s="43">
        <v>123</v>
      </c>
      <c r="B742" s="43" t="s">
        <v>38</v>
      </c>
      <c r="C742" s="43" t="s">
        <v>581</v>
      </c>
      <c r="D742" s="43" t="s">
        <v>604</v>
      </c>
      <c r="E742" s="43" t="s">
        <v>605</v>
      </c>
      <c r="F742" s="43">
        <v>1</v>
      </c>
      <c r="G742"/>
      <c r="H742"/>
    </row>
    <row r="743" spans="1:8" hidden="1" x14ac:dyDescent="0.25">
      <c r="A743" s="43">
        <v>123</v>
      </c>
      <c r="B743" s="43" t="s">
        <v>38</v>
      </c>
      <c r="C743" s="43" t="s">
        <v>581</v>
      </c>
      <c r="D743" s="43" t="s">
        <v>582</v>
      </c>
      <c r="E743" s="43" t="s">
        <v>583</v>
      </c>
      <c r="F743" s="43">
        <v>1</v>
      </c>
      <c r="G743"/>
      <c r="H743"/>
    </row>
    <row r="744" spans="1:8" hidden="1" x14ac:dyDescent="0.25">
      <c r="A744" s="43">
        <v>123</v>
      </c>
      <c r="B744" s="43" t="s">
        <v>38</v>
      </c>
      <c r="C744" s="43" t="s">
        <v>581</v>
      </c>
      <c r="D744" s="43" t="s">
        <v>584</v>
      </c>
      <c r="E744" s="43" t="s">
        <v>306</v>
      </c>
      <c r="F744" s="43">
        <v>1</v>
      </c>
      <c r="G744"/>
      <c r="H744"/>
    </row>
    <row r="745" spans="1:8" hidden="1" x14ac:dyDescent="0.25">
      <c r="A745" s="43">
        <v>123</v>
      </c>
      <c r="B745" s="43" t="s">
        <v>38</v>
      </c>
      <c r="C745" s="43" t="s">
        <v>581</v>
      </c>
      <c r="D745" s="43" t="s">
        <v>592</v>
      </c>
      <c r="E745" s="43" t="s">
        <v>275</v>
      </c>
      <c r="F745" s="43">
        <v>1</v>
      </c>
      <c r="G745"/>
      <c r="H745"/>
    </row>
    <row r="746" spans="1:8" hidden="1" x14ac:dyDescent="0.25">
      <c r="A746" s="43">
        <v>123</v>
      </c>
      <c r="B746" s="43" t="s">
        <v>38</v>
      </c>
      <c r="C746" s="43" t="s">
        <v>581</v>
      </c>
      <c r="D746" s="43" t="s">
        <v>606</v>
      </c>
      <c r="E746" s="43" t="s">
        <v>503</v>
      </c>
      <c r="F746" s="43">
        <v>1</v>
      </c>
      <c r="G746"/>
      <c r="H746"/>
    </row>
    <row r="747" spans="1:8" hidden="1" x14ac:dyDescent="0.25">
      <c r="A747" s="43">
        <v>123</v>
      </c>
      <c r="B747" s="43" t="s">
        <v>38</v>
      </c>
      <c r="C747" s="43" t="s">
        <v>581</v>
      </c>
      <c r="D747" s="43" t="s">
        <v>607</v>
      </c>
      <c r="E747" s="43" t="s">
        <v>505</v>
      </c>
      <c r="F747" s="43">
        <v>1</v>
      </c>
      <c r="G747"/>
      <c r="H747"/>
    </row>
    <row r="748" spans="1:8" hidden="1" x14ac:dyDescent="0.25">
      <c r="A748" s="43">
        <v>123</v>
      </c>
      <c r="B748" s="43" t="s">
        <v>38</v>
      </c>
      <c r="C748" s="43" t="s">
        <v>581</v>
      </c>
      <c r="D748" s="43" t="s">
        <v>608</v>
      </c>
      <c r="E748" s="43" t="s">
        <v>609</v>
      </c>
      <c r="F748" s="43">
        <v>1</v>
      </c>
      <c r="G748"/>
      <c r="H748"/>
    </row>
    <row r="749" spans="1:8" hidden="1" x14ac:dyDescent="0.25">
      <c r="A749" s="43">
        <v>123</v>
      </c>
      <c r="B749" s="43" t="s">
        <v>38</v>
      </c>
      <c r="C749" s="43" t="s">
        <v>581</v>
      </c>
      <c r="D749" s="43" t="s">
        <v>598</v>
      </c>
      <c r="E749" s="43" t="s">
        <v>599</v>
      </c>
      <c r="F749" s="43">
        <v>1</v>
      </c>
      <c r="G749"/>
      <c r="H749"/>
    </row>
    <row r="750" spans="1:8" hidden="1" x14ac:dyDescent="0.25">
      <c r="A750" s="43">
        <v>123</v>
      </c>
      <c r="B750" s="43" t="s">
        <v>38</v>
      </c>
      <c r="C750" s="43" t="s">
        <v>581</v>
      </c>
      <c r="D750" s="43" t="s">
        <v>600</v>
      </c>
      <c r="E750" s="43" t="s">
        <v>601</v>
      </c>
      <c r="F750" s="43">
        <v>1</v>
      </c>
      <c r="G750"/>
      <c r="H750"/>
    </row>
    <row r="751" spans="1:8" hidden="1" x14ac:dyDescent="0.25">
      <c r="A751" s="43">
        <v>123</v>
      </c>
      <c r="B751" s="43" t="s">
        <v>38</v>
      </c>
      <c r="C751" s="43" t="s">
        <v>581</v>
      </c>
      <c r="D751" s="43" t="s">
        <v>602</v>
      </c>
      <c r="E751" s="43" t="s">
        <v>603</v>
      </c>
      <c r="F751" s="43">
        <v>1</v>
      </c>
      <c r="G751"/>
      <c r="H751"/>
    </row>
    <row r="752" spans="1:8" hidden="1" x14ac:dyDescent="0.25">
      <c r="A752" s="43">
        <v>123</v>
      </c>
      <c r="B752" s="43" t="s">
        <v>38</v>
      </c>
      <c r="C752" s="43" t="s">
        <v>581</v>
      </c>
      <c r="D752" s="43" t="s">
        <v>589</v>
      </c>
      <c r="E752" s="43" t="s">
        <v>312</v>
      </c>
      <c r="F752" s="43">
        <v>1</v>
      </c>
      <c r="G752"/>
      <c r="H752"/>
    </row>
    <row r="753" spans="1:8" hidden="1" x14ac:dyDescent="0.25">
      <c r="A753" s="43">
        <v>123</v>
      </c>
      <c r="B753" s="43" t="s">
        <v>38</v>
      </c>
      <c r="C753" s="43" t="s">
        <v>581</v>
      </c>
      <c r="D753" s="43" t="s">
        <v>590</v>
      </c>
      <c r="E753" s="43" t="s">
        <v>493</v>
      </c>
      <c r="F753" s="43">
        <v>1</v>
      </c>
      <c r="G753"/>
      <c r="H753"/>
    </row>
    <row r="754" spans="1:8" hidden="1" x14ac:dyDescent="0.25">
      <c r="A754" s="43">
        <v>123</v>
      </c>
      <c r="B754" s="43" t="s">
        <v>38</v>
      </c>
      <c r="C754" s="43" t="s">
        <v>581</v>
      </c>
      <c r="D754" s="43" t="s">
        <v>591</v>
      </c>
      <c r="E754" s="43" t="s">
        <v>314</v>
      </c>
      <c r="F754" s="43">
        <v>1</v>
      </c>
      <c r="G754"/>
      <c r="H754"/>
    </row>
    <row r="755" spans="1:8" hidden="1" x14ac:dyDescent="0.25">
      <c r="A755" s="43">
        <v>123</v>
      </c>
      <c r="B755" s="43" t="s">
        <v>38</v>
      </c>
      <c r="C755" s="43" t="s">
        <v>581</v>
      </c>
      <c r="D755" s="43" t="s">
        <v>595</v>
      </c>
      <c r="E755" s="43" t="s">
        <v>349</v>
      </c>
      <c r="F755" s="43">
        <v>1</v>
      </c>
      <c r="G755"/>
      <c r="H755"/>
    </row>
    <row r="756" spans="1:8" hidden="1" x14ac:dyDescent="0.25">
      <c r="A756" s="43">
        <v>123</v>
      </c>
      <c r="B756" s="43" t="s">
        <v>38</v>
      </c>
      <c r="C756" s="43" t="s">
        <v>581</v>
      </c>
      <c r="D756" s="43" t="s">
        <v>596</v>
      </c>
      <c r="E756" s="43" t="s">
        <v>597</v>
      </c>
      <c r="F756" s="43">
        <v>1</v>
      </c>
      <c r="G756"/>
      <c r="H756"/>
    </row>
    <row r="757" spans="1:8" hidden="1" x14ac:dyDescent="0.25">
      <c r="A757" s="43">
        <v>124</v>
      </c>
      <c r="B757" s="43" t="s">
        <v>39</v>
      </c>
      <c r="C757" s="43" t="s">
        <v>1613</v>
      </c>
      <c r="D757" s="43" t="s">
        <v>1614</v>
      </c>
      <c r="E757" s="43" t="s">
        <v>273</v>
      </c>
      <c r="F757" s="43">
        <v>1</v>
      </c>
      <c r="G757"/>
      <c r="H757"/>
    </row>
    <row r="758" spans="1:8" hidden="1" x14ac:dyDescent="0.25">
      <c r="A758" s="43">
        <v>124</v>
      </c>
      <c r="B758" s="43" t="s">
        <v>39</v>
      </c>
      <c r="C758" s="43" t="s">
        <v>1613</v>
      </c>
      <c r="D758" s="43" t="s">
        <v>1636</v>
      </c>
      <c r="E758" s="43" t="s">
        <v>1637</v>
      </c>
      <c r="F758" s="43">
        <v>1</v>
      </c>
      <c r="G758"/>
      <c r="H758"/>
    </row>
    <row r="759" spans="1:8" hidden="1" x14ac:dyDescent="0.25">
      <c r="A759" s="43">
        <v>124</v>
      </c>
      <c r="B759" s="43" t="s">
        <v>39</v>
      </c>
      <c r="C759" s="43" t="s">
        <v>1613</v>
      </c>
      <c r="D759" s="43" t="s">
        <v>1635</v>
      </c>
      <c r="E759" s="43" t="s">
        <v>4473</v>
      </c>
      <c r="F759" s="43">
        <v>1</v>
      </c>
      <c r="G759"/>
      <c r="H759"/>
    </row>
    <row r="760" spans="1:8" hidden="1" x14ac:dyDescent="0.25">
      <c r="A760" s="43">
        <v>124</v>
      </c>
      <c r="B760" s="43" t="s">
        <v>39</v>
      </c>
      <c r="C760" s="43" t="s">
        <v>1613</v>
      </c>
      <c r="D760" s="43" t="s">
        <v>1618</v>
      </c>
      <c r="E760" s="43" t="s">
        <v>318</v>
      </c>
      <c r="F760" s="43">
        <v>1</v>
      </c>
      <c r="G760"/>
      <c r="H760"/>
    </row>
    <row r="761" spans="1:8" hidden="1" x14ac:dyDescent="0.25">
      <c r="A761" s="43">
        <v>124</v>
      </c>
      <c r="B761" s="43" t="s">
        <v>39</v>
      </c>
      <c r="C761" s="43" t="s">
        <v>1613</v>
      </c>
      <c r="D761" s="43" t="s">
        <v>1619</v>
      </c>
      <c r="E761" s="43" t="s">
        <v>1620</v>
      </c>
      <c r="F761" s="43">
        <v>1</v>
      </c>
      <c r="G761"/>
      <c r="H761"/>
    </row>
    <row r="762" spans="1:8" hidden="1" x14ac:dyDescent="0.25">
      <c r="A762" s="43">
        <v>124</v>
      </c>
      <c r="B762" s="43" t="s">
        <v>39</v>
      </c>
      <c r="C762" s="43" t="s">
        <v>1613</v>
      </c>
      <c r="D762" s="43" t="s">
        <v>1621</v>
      </c>
      <c r="E762" s="43" t="s">
        <v>1622</v>
      </c>
      <c r="F762" s="43">
        <v>1</v>
      </c>
      <c r="G762"/>
      <c r="H762"/>
    </row>
    <row r="763" spans="1:8" hidden="1" x14ac:dyDescent="0.25">
      <c r="A763" s="43">
        <v>124</v>
      </c>
      <c r="B763" s="43" t="s">
        <v>39</v>
      </c>
      <c r="C763" s="43" t="s">
        <v>1613</v>
      </c>
      <c r="D763" s="43" t="s">
        <v>1623</v>
      </c>
      <c r="E763" s="43" t="s">
        <v>322</v>
      </c>
      <c r="F763" s="43">
        <v>1</v>
      </c>
      <c r="G763"/>
      <c r="H763"/>
    </row>
    <row r="764" spans="1:8" hidden="1" x14ac:dyDescent="0.25">
      <c r="A764" s="43">
        <v>124</v>
      </c>
      <c r="B764" s="43" t="s">
        <v>39</v>
      </c>
      <c r="C764" s="43" t="s">
        <v>1613</v>
      </c>
      <c r="D764" s="43" t="s">
        <v>1624</v>
      </c>
      <c r="E764" s="43" t="s">
        <v>936</v>
      </c>
      <c r="F764" s="43">
        <v>1</v>
      </c>
      <c r="G764"/>
      <c r="H764"/>
    </row>
    <row r="765" spans="1:8" hidden="1" x14ac:dyDescent="0.25">
      <c r="A765" s="43">
        <v>124</v>
      </c>
      <c r="B765" s="43" t="s">
        <v>39</v>
      </c>
      <c r="C765" s="43" t="s">
        <v>1613</v>
      </c>
      <c r="D765" s="43" t="s">
        <v>1625</v>
      </c>
      <c r="E765" s="43" t="s">
        <v>938</v>
      </c>
      <c r="F765" s="43">
        <v>1</v>
      </c>
      <c r="G765"/>
      <c r="H765"/>
    </row>
    <row r="766" spans="1:8" hidden="1" x14ac:dyDescent="0.25">
      <c r="A766" s="43">
        <v>124</v>
      </c>
      <c r="B766" s="43" t="s">
        <v>39</v>
      </c>
      <c r="C766" s="43" t="s">
        <v>1613</v>
      </c>
      <c r="D766" s="43" t="s">
        <v>1633</v>
      </c>
      <c r="E766" s="43" t="s">
        <v>1634</v>
      </c>
      <c r="F766" s="43">
        <v>1</v>
      </c>
      <c r="G766"/>
      <c r="H766"/>
    </row>
    <row r="767" spans="1:8" hidden="1" x14ac:dyDescent="0.25">
      <c r="A767" s="43">
        <v>124</v>
      </c>
      <c r="B767" s="43" t="s">
        <v>39</v>
      </c>
      <c r="C767" s="43" t="s">
        <v>1613</v>
      </c>
      <c r="D767" s="43" t="s">
        <v>1638</v>
      </c>
      <c r="E767" s="43" t="s">
        <v>1639</v>
      </c>
      <c r="F767" s="43">
        <v>1</v>
      </c>
      <c r="G767"/>
      <c r="H767"/>
    </row>
    <row r="768" spans="1:8" hidden="1" x14ac:dyDescent="0.25">
      <c r="A768" s="43">
        <v>124</v>
      </c>
      <c r="B768" s="43" t="s">
        <v>39</v>
      </c>
      <c r="C768" s="43" t="s">
        <v>1613</v>
      </c>
      <c r="D768" s="43" t="s">
        <v>1631</v>
      </c>
      <c r="E768" s="43" t="s">
        <v>380</v>
      </c>
      <c r="F768" s="43">
        <v>1</v>
      </c>
      <c r="G768"/>
      <c r="H768"/>
    </row>
    <row r="769" spans="1:8" hidden="1" x14ac:dyDescent="0.25">
      <c r="A769" s="43">
        <v>124</v>
      </c>
      <c r="B769" s="43" t="s">
        <v>39</v>
      </c>
      <c r="C769" s="43" t="s">
        <v>1613</v>
      </c>
      <c r="D769" s="43" t="s">
        <v>1632</v>
      </c>
      <c r="E769" s="43" t="s">
        <v>381</v>
      </c>
      <c r="F769" s="43">
        <v>1</v>
      </c>
      <c r="G769"/>
      <c r="H769"/>
    </row>
    <row r="770" spans="1:8" hidden="1" x14ac:dyDescent="0.25">
      <c r="A770" s="43">
        <v>124</v>
      </c>
      <c r="B770" s="43" t="s">
        <v>39</v>
      </c>
      <c r="C770" s="43" t="s">
        <v>1613</v>
      </c>
      <c r="D770" s="43" t="s">
        <v>1626</v>
      </c>
      <c r="E770" s="43" t="s">
        <v>1483</v>
      </c>
      <c r="F770" s="43">
        <v>1</v>
      </c>
      <c r="G770"/>
      <c r="H770"/>
    </row>
    <row r="771" spans="1:8" hidden="1" x14ac:dyDescent="0.25">
      <c r="A771" s="43">
        <v>124</v>
      </c>
      <c r="B771" s="43" t="s">
        <v>39</v>
      </c>
      <c r="C771" s="43" t="s">
        <v>1613</v>
      </c>
      <c r="D771" s="43" t="s">
        <v>1627</v>
      </c>
      <c r="E771" s="43" t="s">
        <v>942</v>
      </c>
      <c r="F771" s="43">
        <v>1</v>
      </c>
      <c r="G771"/>
      <c r="H771"/>
    </row>
    <row r="772" spans="1:8" hidden="1" x14ac:dyDescent="0.25">
      <c r="A772" s="43">
        <v>124</v>
      </c>
      <c r="B772" s="43" t="s">
        <v>39</v>
      </c>
      <c r="C772" s="43" t="s">
        <v>1613</v>
      </c>
      <c r="D772" s="43" t="s">
        <v>1628</v>
      </c>
      <c r="E772" s="43" t="s">
        <v>383</v>
      </c>
      <c r="F772" s="43">
        <v>1</v>
      </c>
      <c r="G772"/>
      <c r="H772"/>
    </row>
    <row r="773" spans="1:8" hidden="1" x14ac:dyDescent="0.25">
      <c r="A773" s="43">
        <v>124</v>
      </c>
      <c r="B773" s="43" t="s">
        <v>39</v>
      </c>
      <c r="C773" s="43" t="s">
        <v>1613</v>
      </c>
      <c r="D773" s="43" t="s">
        <v>1629</v>
      </c>
      <c r="E773" s="43" t="s">
        <v>1630</v>
      </c>
      <c r="F773" s="43">
        <v>1</v>
      </c>
      <c r="G773"/>
      <c r="H773"/>
    </row>
    <row r="774" spans="1:8" hidden="1" x14ac:dyDescent="0.25">
      <c r="A774" s="43">
        <v>124</v>
      </c>
      <c r="B774" s="43" t="s">
        <v>39</v>
      </c>
      <c r="C774" s="43" t="s">
        <v>1613</v>
      </c>
      <c r="D774" s="43" t="s">
        <v>1615</v>
      </c>
      <c r="E774" s="43" t="s">
        <v>312</v>
      </c>
      <c r="F774" s="43">
        <v>1</v>
      </c>
      <c r="G774"/>
      <c r="H774"/>
    </row>
    <row r="775" spans="1:8" hidden="1" x14ac:dyDescent="0.25">
      <c r="A775" s="43">
        <v>124</v>
      </c>
      <c r="B775" s="43" t="s">
        <v>39</v>
      </c>
      <c r="C775" s="43" t="s">
        <v>1613</v>
      </c>
      <c r="D775" s="43" t="s">
        <v>1616</v>
      </c>
      <c r="E775" s="43" t="s">
        <v>316</v>
      </c>
      <c r="F775" s="43">
        <v>1</v>
      </c>
      <c r="G775"/>
      <c r="H775"/>
    </row>
    <row r="776" spans="1:8" hidden="1" x14ac:dyDescent="0.25">
      <c r="A776" s="43">
        <v>124</v>
      </c>
      <c r="B776" s="43" t="s">
        <v>39</v>
      </c>
      <c r="C776" s="43" t="s">
        <v>1613</v>
      </c>
      <c r="D776" s="43" t="s">
        <v>1617</v>
      </c>
      <c r="E776" s="43" t="s">
        <v>314</v>
      </c>
      <c r="F776" s="43">
        <v>1</v>
      </c>
      <c r="G776"/>
      <c r="H776"/>
    </row>
    <row r="777" spans="1:8" hidden="1" x14ac:dyDescent="0.25">
      <c r="A777" s="43">
        <v>126</v>
      </c>
      <c r="B777" s="43" t="s">
        <v>40</v>
      </c>
      <c r="C777" s="43" t="s">
        <v>1909</v>
      </c>
      <c r="D777" s="43" t="s">
        <v>1911</v>
      </c>
      <c r="E777" s="43" t="s">
        <v>1912</v>
      </c>
      <c r="F777" s="43">
        <v>1</v>
      </c>
      <c r="G777"/>
      <c r="H777"/>
    </row>
    <row r="778" spans="1:8" hidden="1" x14ac:dyDescent="0.25">
      <c r="A778" s="43">
        <v>126</v>
      </c>
      <c r="B778" s="43" t="s">
        <v>40</v>
      </c>
      <c r="C778" s="43" t="s">
        <v>1909</v>
      </c>
      <c r="D778" s="43" t="s">
        <v>1913</v>
      </c>
      <c r="E778" s="43" t="s">
        <v>1914</v>
      </c>
      <c r="F778" s="43">
        <v>1</v>
      </c>
      <c r="G778"/>
      <c r="H778"/>
    </row>
    <row r="779" spans="1:8" hidden="1" x14ac:dyDescent="0.25">
      <c r="A779" s="43">
        <v>126</v>
      </c>
      <c r="B779" s="43" t="s">
        <v>40</v>
      </c>
      <c r="C779" s="43" t="s">
        <v>1909</v>
      </c>
      <c r="D779" s="43" t="s">
        <v>1927</v>
      </c>
      <c r="E779" s="43" t="s">
        <v>1928</v>
      </c>
      <c r="F779" s="43">
        <v>1</v>
      </c>
      <c r="G779"/>
      <c r="H779"/>
    </row>
    <row r="780" spans="1:8" hidden="1" x14ac:dyDescent="0.25">
      <c r="A780" s="43">
        <v>126</v>
      </c>
      <c r="B780" s="43" t="s">
        <v>40</v>
      </c>
      <c r="C780" s="43" t="s">
        <v>1909</v>
      </c>
      <c r="D780" s="43" t="s">
        <v>1929</v>
      </c>
      <c r="E780" s="43" t="s">
        <v>1930</v>
      </c>
      <c r="F780" s="43">
        <v>1</v>
      </c>
      <c r="G780"/>
      <c r="H780"/>
    </row>
    <row r="781" spans="1:8" hidden="1" x14ac:dyDescent="0.25">
      <c r="A781" s="43">
        <v>126</v>
      </c>
      <c r="B781" s="43" t="s">
        <v>40</v>
      </c>
      <c r="C781" s="43" t="s">
        <v>1909</v>
      </c>
      <c r="D781" s="43" t="s">
        <v>1915</v>
      </c>
      <c r="E781" s="43" t="s">
        <v>1916</v>
      </c>
      <c r="F781" s="43">
        <v>1</v>
      </c>
      <c r="G781"/>
      <c r="H781"/>
    </row>
    <row r="782" spans="1:8" hidden="1" x14ac:dyDescent="0.25">
      <c r="A782" s="43">
        <v>126</v>
      </c>
      <c r="B782" s="43" t="s">
        <v>40</v>
      </c>
      <c r="C782" s="43" t="s">
        <v>1909</v>
      </c>
      <c r="D782" s="43" t="s">
        <v>1917</v>
      </c>
      <c r="E782" s="43" t="s">
        <v>1918</v>
      </c>
      <c r="F782" s="43">
        <v>1</v>
      </c>
      <c r="G782"/>
      <c r="H782"/>
    </row>
    <row r="783" spans="1:8" hidden="1" x14ac:dyDescent="0.25">
      <c r="A783" s="43">
        <v>126</v>
      </c>
      <c r="B783" s="43" t="s">
        <v>40</v>
      </c>
      <c r="C783" s="43" t="s">
        <v>1909</v>
      </c>
      <c r="D783" s="43" t="s">
        <v>1931</v>
      </c>
      <c r="E783" s="43" t="s">
        <v>1932</v>
      </c>
      <c r="F783" s="43">
        <v>1</v>
      </c>
      <c r="G783"/>
      <c r="H783"/>
    </row>
    <row r="784" spans="1:8" hidden="1" x14ac:dyDescent="0.25">
      <c r="A784" s="43">
        <v>126</v>
      </c>
      <c r="B784" s="43" t="s">
        <v>40</v>
      </c>
      <c r="C784" s="43" t="s">
        <v>1909</v>
      </c>
      <c r="D784" s="43" t="s">
        <v>1933</v>
      </c>
      <c r="E784" s="43" t="s">
        <v>1934</v>
      </c>
      <c r="F784" s="43">
        <v>1</v>
      </c>
      <c r="G784"/>
      <c r="H784"/>
    </row>
    <row r="785" spans="1:8" hidden="1" x14ac:dyDescent="0.25">
      <c r="A785" s="43">
        <v>126</v>
      </c>
      <c r="B785" s="43" t="s">
        <v>40</v>
      </c>
      <c r="C785" s="43" t="s">
        <v>1909</v>
      </c>
      <c r="D785" s="43" t="s">
        <v>1910</v>
      </c>
      <c r="E785" s="43" t="s">
        <v>273</v>
      </c>
      <c r="F785" s="43">
        <v>1</v>
      </c>
      <c r="G785"/>
      <c r="H785"/>
    </row>
    <row r="786" spans="1:8" hidden="1" x14ac:dyDescent="0.25">
      <c r="A786" s="43">
        <v>126</v>
      </c>
      <c r="B786" s="43" t="s">
        <v>40</v>
      </c>
      <c r="C786" s="43" t="s">
        <v>1909</v>
      </c>
      <c r="D786" s="43" t="s">
        <v>1941</v>
      </c>
      <c r="E786" s="43" t="s">
        <v>1942</v>
      </c>
      <c r="F786" s="43">
        <v>1</v>
      </c>
      <c r="G786"/>
      <c r="H786"/>
    </row>
    <row r="787" spans="1:8" hidden="1" x14ac:dyDescent="0.25">
      <c r="A787" s="43">
        <v>126</v>
      </c>
      <c r="B787" s="43" t="s">
        <v>40</v>
      </c>
      <c r="C787" s="43" t="s">
        <v>1909</v>
      </c>
      <c r="D787" s="43" t="s">
        <v>1943</v>
      </c>
      <c r="E787" s="43" t="s">
        <v>1944</v>
      </c>
      <c r="F787" s="43">
        <v>1</v>
      </c>
      <c r="G787"/>
      <c r="H787"/>
    </row>
    <row r="788" spans="1:8" hidden="1" x14ac:dyDescent="0.25">
      <c r="A788" s="43">
        <v>126</v>
      </c>
      <c r="B788" s="43" t="s">
        <v>40</v>
      </c>
      <c r="C788" s="43" t="s">
        <v>1909</v>
      </c>
      <c r="D788" s="43" t="s">
        <v>1945</v>
      </c>
      <c r="E788" s="43" t="s">
        <v>1946</v>
      </c>
      <c r="F788" s="43">
        <v>0</v>
      </c>
      <c r="G788" s="43" t="s">
        <v>4583</v>
      </c>
      <c r="H788"/>
    </row>
    <row r="789" spans="1:8" hidden="1" x14ac:dyDescent="0.25">
      <c r="A789" s="43">
        <v>126</v>
      </c>
      <c r="B789" s="43" t="s">
        <v>40</v>
      </c>
      <c r="C789" s="43" t="s">
        <v>1909</v>
      </c>
      <c r="D789" s="43" t="s">
        <v>1947</v>
      </c>
      <c r="E789" s="43" t="s">
        <v>1948</v>
      </c>
      <c r="F789" s="43">
        <v>1</v>
      </c>
      <c r="G789"/>
      <c r="H789"/>
    </row>
    <row r="790" spans="1:8" hidden="1" x14ac:dyDescent="0.25">
      <c r="A790" s="43">
        <v>126</v>
      </c>
      <c r="B790" s="43" t="s">
        <v>40</v>
      </c>
      <c r="C790" s="43" t="s">
        <v>1909</v>
      </c>
      <c r="D790" s="43" t="s">
        <v>1919</v>
      </c>
      <c r="E790" s="43" t="s">
        <v>1920</v>
      </c>
      <c r="F790" s="43">
        <v>1</v>
      </c>
      <c r="G790"/>
      <c r="H790"/>
    </row>
    <row r="791" spans="1:8" hidden="1" x14ac:dyDescent="0.25">
      <c r="A791" s="43">
        <v>126</v>
      </c>
      <c r="B791" s="43" t="s">
        <v>40</v>
      </c>
      <c r="C791" s="43" t="s">
        <v>1909</v>
      </c>
      <c r="D791" s="43" t="s">
        <v>1921</v>
      </c>
      <c r="E791" s="43" t="s">
        <v>1922</v>
      </c>
      <c r="F791" s="43">
        <v>1</v>
      </c>
      <c r="G791"/>
      <c r="H791"/>
    </row>
    <row r="792" spans="1:8" hidden="1" x14ac:dyDescent="0.25">
      <c r="A792" s="43">
        <v>126</v>
      </c>
      <c r="B792" s="43" t="s">
        <v>40</v>
      </c>
      <c r="C792" s="43" t="s">
        <v>1909</v>
      </c>
      <c r="D792" s="43" t="s">
        <v>1923</v>
      </c>
      <c r="E792" s="43" t="s">
        <v>1924</v>
      </c>
      <c r="F792" s="43">
        <v>1</v>
      </c>
      <c r="G792"/>
      <c r="H792"/>
    </row>
    <row r="793" spans="1:8" hidden="1" x14ac:dyDescent="0.25">
      <c r="A793" s="43">
        <v>126</v>
      </c>
      <c r="B793" s="43" t="s">
        <v>40</v>
      </c>
      <c r="C793" s="43" t="s">
        <v>1909</v>
      </c>
      <c r="D793" s="43" t="s">
        <v>1925</v>
      </c>
      <c r="E793" s="43" t="s">
        <v>1926</v>
      </c>
      <c r="F793" s="43">
        <v>1</v>
      </c>
      <c r="G793"/>
      <c r="H793"/>
    </row>
    <row r="794" spans="1:8" hidden="1" x14ac:dyDescent="0.25">
      <c r="A794" s="43">
        <v>126</v>
      </c>
      <c r="B794" s="43" t="s">
        <v>40</v>
      </c>
      <c r="C794" s="43" t="s">
        <v>1909</v>
      </c>
      <c r="D794" s="43" t="s">
        <v>1935</v>
      </c>
      <c r="E794" s="43" t="s">
        <v>1936</v>
      </c>
      <c r="F794" s="43">
        <v>0</v>
      </c>
      <c r="G794" s="43" t="s">
        <v>4583</v>
      </c>
      <c r="H794"/>
    </row>
    <row r="795" spans="1:8" hidden="1" x14ac:dyDescent="0.25">
      <c r="A795" s="43">
        <v>126</v>
      </c>
      <c r="B795" s="43" t="s">
        <v>40</v>
      </c>
      <c r="C795" s="43" t="s">
        <v>1909</v>
      </c>
      <c r="D795" s="43" t="s">
        <v>1937</v>
      </c>
      <c r="E795" s="43" t="s">
        <v>1938</v>
      </c>
      <c r="F795" s="43">
        <v>1</v>
      </c>
      <c r="G795"/>
      <c r="H795"/>
    </row>
    <row r="796" spans="1:8" hidden="1" x14ac:dyDescent="0.25">
      <c r="A796" s="43">
        <v>126</v>
      </c>
      <c r="B796" s="43" t="s">
        <v>40</v>
      </c>
      <c r="C796" s="43" t="s">
        <v>1909</v>
      </c>
      <c r="D796" s="43" t="s">
        <v>1939</v>
      </c>
      <c r="E796" s="43" t="s">
        <v>1940</v>
      </c>
      <c r="F796" s="43">
        <v>1</v>
      </c>
      <c r="G796"/>
      <c r="H796"/>
    </row>
    <row r="797" spans="1:8" hidden="1" x14ac:dyDescent="0.25">
      <c r="A797" s="43">
        <v>127</v>
      </c>
      <c r="B797" s="43" t="s">
        <v>41</v>
      </c>
      <c r="C797" s="43" t="s">
        <v>4470</v>
      </c>
      <c r="D797" s="43" t="s">
        <v>1498</v>
      </c>
      <c r="E797" s="43" t="s">
        <v>1499</v>
      </c>
      <c r="F797" s="43">
        <v>1</v>
      </c>
      <c r="G797"/>
      <c r="H797"/>
    </row>
    <row r="798" spans="1:8" hidden="1" x14ac:dyDescent="0.25">
      <c r="A798" s="43">
        <v>127</v>
      </c>
      <c r="B798" s="43" t="s">
        <v>41</v>
      </c>
      <c r="C798" s="43" t="s">
        <v>4470</v>
      </c>
      <c r="D798" s="43" t="s">
        <v>1507</v>
      </c>
      <c r="E798" s="43" t="s">
        <v>611</v>
      </c>
      <c r="F798" s="43">
        <v>1</v>
      </c>
      <c r="G798"/>
      <c r="H798"/>
    </row>
    <row r="799" spans="1:8" hidden="1" x14ac:dyDescent="0.25">
      <c r="A799" s="43">
        <v>127</v>
      </c>
      <c r="B799" s="43" t="s">
        <v>41</v>
      </c>
      <c r="C799" s="43" t="s">
        <v>4470</v>
      </c>
      <c r="D799" s="43" t="s">
        <v>1508</v>
      </c>
      <c r="E799" s="43" t="s">
        <v>1509</v>
      </c>
      <c r="F799" s="43">
        <v>1</v>
      </c>
      <c r="G799"/>
      <c r="H799"/>
    </row>
    <row r="800" spans="1:8" hidden="1" x14ac:dyDescent="0.25">
      <c r="A800" s="43">
        <v>127</v>
      </c>
      <c r="B800" s="43" t="s">
        <v>41</v>
      </c>
      <c r="C800" s="43" t="s">
        <v>4470</v>
      </c>
      <c r="D800" s="43" t="s">
        <v>1510</v>
      </c>
      <c r="E800" s="43" t="s">
        <v>613</v>
      </c>
      <c r="F800" s="43">
        <v>1</v>
      </c>
      <c r="G800"/>
      <c r="H800"/>
    </row>
    <row r="801" spans="1:8" hidden="1" x14ac:dyDescent="0.25">
      <c r="A801" s="43">
        <v>127</v>
      </c>
      <c r="B801" s="43" t="s">
        <v>41</v>
      </c>
      <c r="C801" s="43" t="s">
        <v>4470</v>
      </c>
      <c r="D801" s="43" t="s">
        <v>1528</v>
      </c>
      <c r="E801" s="43" t="s">
        <v>4471</v>
      </c>
      <c r="F801" s="43">
        <v>1</v>
      </c>
      <c r="G801"/>
      <c r="H801"/>
    </row>
    <row r="802" spans="1:8" hidden="1" x14ac:dyDescent="0.25">
      <c r="A802" s="43">
        <v>127</v>
      </c>
      <c r="B802" s="43" t="s">
        <v>41</v>
      </c>
      <c r="C802" s="43" t="s">
        <v>4470</v>
      </c>
      <c r="D802" s="43" t="s">
        <v>1530</v>
      </c>
      <c r="E802" s="43" t="s">
        <v>1430</v>
      </c>
      <c r="F802" s="43">
        <v>1</v>
      </c>
      <c r="G802"/>
      <c r="H802"/>
    </row>
    <row r="803" spans="1:8" hidden="1" x14ac:dyDescent="0.25">
      <c r="A803" s="43">
        <v>127</v>
      </c>
      <c r="B803" s="43" t="s">
        <v>41</v>
      </c>
      <c r="C803" s="43" t="s">
        <v>4470</v>
      </c>
      <c r="D803" s="43" t="s">
        <v>1514</v>
      </c>
      <c r="E803" s="43" t="s">
        <v>614</v>
      </c>
      <c r="F803" s="43">
        <v>1</v>
      </c>
      <c r="G803"/>
      <c r="H803"/>
    </row>
    <row r="804" spans="1:8" hidden="1" x14ac:dyDescent="0.25">
      <c r="A804" s="43">
        <v>127</v>
      </c>
      <c r="B804" s="43" t="s">
        <v>41</v>
      </c>
      <c r="C804" s="43" t="s">
        <v>4470</v>
      </c>
      <c r="D804" s="43" t="s">
        <v>1515</v>
      </c>
      <c r="E804" s="43" t="s">
        <v>615</v>
      </c>
      <c r="F804" s="43">
        <v>1</v>
      </c>
      <c r="G804"/>
      <c r="H804"/>
    </row>
    <row r="805" spans="1:8" hidden="1" x14ac:dyDescent="0.25">
      <c r="A805" s="43">
        <v>127</v>
      </c>
      <c r="B805" s="43" t="s">
        <v>41</v>
      </c>
      <c r="C805" s="43" t="s">
        <v>4470</v>
      </c>
      <c r="D805" s="43" t="s">
        <v>1532</v>
      </c>
      <c r="E805" s="43" t="s">
        <v>1533</v>
      </c>
      <c r="F805" s="43">
        <v>1</v>
      </c>
      <c r="G805"/>
      <c r="H805"/>
    </row>
    <row r="806" spans="1:8" hidden="1" x14ac:dyDescent="0.25">
      <c r="A806" s="43">
        <v>127</v>
      </c>
      <c r="B806" s="43" t="s">
        <v>41</v>
      </c>
      <c r="C806" s="43" t="s">
        <v>4470</v>
      </c>
      <c r="D806" s="43" t="s">
        <v>1534</v>
      </c>
      <c r="E806" s="43" t="s">
        <v>1535</v>
      </c>
      <c r="F806" s="43">
        <v>1</v>
      </c>
      <c r="G806"/>
      <c r="H806"/>
    </row>
    <row r="807" spans="1:8" hidden="1" x14ac:dyDescent="0.25">
      <c r="A807" s="43">
        <v>127</v>
      </c>
      <c r="B807" s="43" t="s">
        <v>41</v>
      </c>
      <c r="C807" s="43" t="s">
        <v>4470</v>
      </c>
      <c r="D807" s="43" t="s">
        <v>1493</v>
      </c>
      <c r="E807" s="43" t="s">
        <v>1494</v>
      </c>
      <c r="F807" s="43">
        <v>1</v>
      </c>
      <c r="G807"/>
      <c r="H807"/>
    </row>
    <row r="808" spans="1:8" hidden="1" x14ac:dyDescent="0.25">
      <c r="A808" s="43">
        <v>127</v>
      </c>
      <c r="B808" s="43" t="s">
        <v>41</v>
      </c>
      <c r="C808" s="43" t="s">
        <v>4470</v>
      </c>
      <c r="D808" s="43" t="s">
        <v>1495</v>
      </c>
      <c r="E808" s="43" t="s">
        <v>1496</v>
      </c>
      <c r="F808" s="43">
        <v>1</v>
      </c>
      <c r="G808"/>
      <c r="H808"/>
    </row>
    <row r="809" spans="1:8" hidden="1" x14ac:dyDescent="0.25">
      <c r="A809" s="43">
        <v>127</v>
      </c>
      <c r="B809" s="43" t="s">
        <v>41</v>
      </c>
      <c r="C809" s="43" t="s">
        <v>4470</v>
      </c>
      <c r="D809" s="43" t="s">
        <v>1497</v>
      </c>
      <c r="E809" s="43" t="s">
        <v>306</v>
      </c>
      <c r="F809" s="43">
        <v>1</v>
      </c>
      <c r="G809"/>
      <c r="H809"/>
    </row>
    <row r="810" spans="1:8" hidden="1" x14ac:dyDescent="0.25">
      <c r="A810" s="43">
        <v>127</v>
      </c>
      <c r="B810" s="43" t="s">
        <v>41</v>
      </c>
      <c r="C810" s="43" t="s">
        <v>4470</v>
      </c>
      <c r="D810" s="43" t="s">
        <v>1531</v>
      </c>
      <c r="E810" s="43" t="s">
        <v>503</v>
      </c>
      <c r="F810" s="43">
        <v>1</v>
      </c>
      <c r="G810"/>
      <c r="H810"/>
    </row>
    <row r="811" spans="1:8" hidden="1" x14ac:dyDescent="0.25">
      <c r="A811" s="43">
        <v>127</v>
      </c>
      <c r="B811" s="43" t="s">
        <v>41</v>
      </c>
      <c r="C811" s="43" t="s">
        <v>4470</v>
      </c>
      <c r="D811" s="43" t="s">
        <v>1520</v>
      </c>
      <c r="E811" s="43" t="s">
        <v>1521</v>
      </c>
      <c r="F811" s="43">
        <v>0</v>
      </c>
      <c r="G811" s="43" t="s">
        <v>4583</v>
      </c>
      <c r="H811"/>
    </row>
    <row r="812" spans="1:8" hidden="1" x14ac:dyDescent="0.25">
      <c r="A812" s="43">
        <v>127</v>
      </c>
      <c r="B812" s="43" t="s">
        <v>41</v>
      </c>
      <c r="C812" s="43" t="s">
        <v>4470</v>
      </c>
      <c r="D812" s="43" t="s">
        <v>1522</v>
      </c>
      <c r="E812" s="43" t="s">
        <v>1523</v>
      </c>
      <c r="F812" s="43">
        <v>1</v>
      </c>
      <c r="G812"/>
      <c r="H812"/>
    </row>
    <row r="813" spans="1:8" hidden="1" x14ac:dyDescent="0.25">
      <c r="A813" s="43">
        <v>127</v>
      </c>
      <c r="B813" s="43" t="s">
        <v>41</v>
      </c>
      <c r="C813" s="43" t="s">
        <v>4470</v>
      </c>
      <c r="D813" s="43" t="s">
        <v>1524</v>
      </c>
      <c r="E813" s="43" t="s">
        <v>1525</v>
      </c>
      <c r="F813" s="43">
        <v>1</v>
      </c>
      <c r="G813"/>
      <c r="H813"/>
    </row>
    <row r="814" spans="1:8" hidden="1" x14ac:dyDescent="0.25">
      <c r="A814" s="43">
        <v>127</v>
      </c>
      <c r="B814" s="43" t="s">
        <v>41</v>
      </c>
      <c r="C814" s="43" t="s">
        <v>4470</v>
      </c>
      <c r="D814" s="43" t="s">
        <v>1526</v>
      </c>
      <c r="E814" s="43" t="s">
        <v>1527</v>
      </c>
      <c r="F814" s="43">
        <v>1</v>
      </c>
      <c r="G814"/>
      <c r="H814"/>
    </row>
    <row r="815" spans="1:8" hidden="1" x14ac:dyDescent="0.25">
      <c r="A815" s="43">
        <v>127</v>
      </c>
      <c r="B815" s="43" t="s">
        <v>41</v>
      </c>
      <c r="C815" s="43" t="s">
        <v>4470</v>
      </c>
      <c r="D815" s="43" t="s">
        <v>1511</v>
      </c>
      <c r="E815" s="43" t="s">
        <v>1419</v>
      </c>
      <c r="F815" s="43">
        <v>1</v>
      </c>
      <c r="G815"/>
      <c r="H815"/>
    </row>
    <row r="816" spans="1:8" hidden="1" x14ac:dyDescent="0.25">
      <c r="A816" s="43">
        <v>127</v>
      </c>
      <c r="B816" s="43" t="s">
        <v>41</v>
      </c>
      <c r="C816" s="43" t="s">
        <v>4470</v>
      </c>
      <c r="D816" s="43" t="s">
        <v>1512</v>
      </c>
      <c r="E816" s="43" t="s">
        <v>621</v>
      </c>
      <c r="F816" s="43">
        <v>1</v>
      </c>
      <c r="G816"/>
      <c r="H816"/>
    </row>
    <row r="817" spans="1:8" hidden="1" x14ac:dyDescent="0.25">
      <c r="A817" s="43">
        <v>127</v>
      </c>
      <c r="B817" s="43" t="s">
        <v>41</v>
      </c>
      <c r="C817" s="43" t="s">
        <v>4470</v>
      </c>
      <c r="D817" s="43" t="s">
        <v>1513</v>
      </c>
      <c r="E817" s="43" t="s">
        <v>1422</v>
      </c>
      <c r="F817" s="43">
        <v>1</v>
      </c>
      <c r="G817"/>
      <c r="H817"/>
    </row>
    <row r="818" spans="1:8" hidden="1" x14ac:dyDescent="0.25">
      <c r="A818" s="43">
        <v>127</v>
      </c>
      <c r="B818" s="43" t="s">
        <v>41</v>
      </c>
      <c r="C818" s="43" t="s">
        <v>4470</v>
      </c>
      <c r="D818" s="43" t="s">
        <v>1500</v>
      </c>
      <c r="E818" s="43" t="s">
        <v>1397</v>
      </c>
      <c r="F818" s="43">
        <v>1</v>
      </c>
      <c r="G818"/>
      <c r="H818"/>
    </row>
    <row r="819" spans="1:8" hidden="1" x14ac:dyDescent="0.25">
      <c r="A819" s="43">
        <v>127</v>
      </c>
      <c r="B819" s="43" t="s">
        <v>41</v>
      </c>
      <c r="C819" s="43" t="s">
        <v>4470</v>
      </c>
      <c r="D819" s="43" t="s">
        <v>1501</v>
      </c>
      <c r="E819" s="43" t="s">
        <v>1502</v>
      </c>
      <c r="F819" s="43">
        <v>1</v>
      </c>
      <c r="G819"/>
      <c r="H819"/>
    </row>
    <row r="820" spans="1:8" hidden="1" x14ac:dyDescent="0.25">
      <c r="A820" s="43">
        <v>127</v>
      </c>
      <c r="B820" s="43" t="s">
        <v>41</v>
      </c>
      <c r="C820" s="43" t="s">
        <v>4470</v>
      </c>
      <c r="D820" s="43" t="s">
        <v>1503</v>
      </c>
      <c r="E820" s="43" t="s">
        <v>1504</v>
      </c>
      <c r="F820" s="43">
        <v>1</v>
      </c>
      <c r="G820"/>
      <c r="H820"/>
    </row>
    <row r="821" spans="1:8" hidden="1" x14ac:dyDescent="0.25">
      <c r="A821" s="43">
        <v>127</v>
      </c>
      <c r="B821" s="43" t="s">
        <v>41</v>
      </c>
      <c r="C821" s="43" t="s">
        <v>4470</v>
      </c>
      <c r="D821" s="43" t="s">
        <v>1505</v>
      </c>
      <c r="E821" s="43" t="s">
        <v>1506</v>
      </c>
      <c r="F821" s="43">
        <v>1</v>
      </c>
      <c r="G821"/>
      <c r="H821"/>
    </row>
    <row r="822" spans="1:8" hidden="1" x14ac:dyDescent="0.25">
      <c r="A822" s="43">
        <v>127</v>
      </c>
      <c r="B822" s="43" t="s">
        <v>41</v>
      </c>
      <c r="C822" s="43" t="s">
        <v>4470</v>
      </c>
      <c r="D822" s="43" t="s">
        <v>1516</v>
      </c>
      <c r="E822" s="43" t="s">
        <v>1517</v>
      </c>
      <c r="F822" s="43">
        <v>1</v>
      </c>
      <c r="G822"/>
      <c r="H822"/>
    </row>
    <row r="823" spans="1:8" hidden="1" x14ac:dyDescent="0.25">
      <c r="A823" s="43">
        <v>127</v>
      </c>
      <c r="B823" s="43" t="s">
        <v>41</v>
      </c>
      <c r="C823" s="43" t="s">
        <v>4470</v>
      </c>
      <c r="D823" s="43" t="s">
        <v>1518</v>
      </c>
      <c r="E823" s="43" t="s">
        <v>1519</v>
      </c>
      <c r="F823" s="43">
        <v>1</v>
      </c>
      <c r="G823"/>
      <c r="H823"/>
    </row>
    <row r="824" spans="1:8" hidden="1" x14ac:dyDescent="0.25">
      <c r="A824" s="43">
        <v>128</v>
      </c>
      <c r="B824" s="43" t="s">
        <v>41</v>
      </c>
      <c r="C824" s="43" t="s">
        <v>4470</v>
      </c>
      <c r="D824" s="43" t="s">
        <v>1498</v>
      </c>
      <c r="E824" s="43" t="s">
        <v>1499</v>
      </c>
      <c r="F824" s="43">
        <v>1</v>
      </c>
      <c r="G824"/>
      <c r="H824"/>
    </row>
    <row r="825" spans="1:8" hidden="1" x14ac:dyDescent="0.25">
      <c r="A825" s="43">
        <v>128</v>
      </c>
      <c r="B825" s="43" t="s">
        <v>41</v>
      </c>
      <c r="C825" s="43" t="s">
        <v>4470</v>
      </c>
      <c r="D825" s="43" t="s">
        <v>1507</v>
      </c>
      <c r="E825" s="43" t="s">
        <v>611</v>
      </c>
      <c r="F825" s="43">
        <v>0</v>
      </c>
      <c r="G825" s="43" t="s">
        <v>4583</v>
      </c>
      <c r="H825"/>
    </row>
    <row r="826" spans="1:8" hidden="1" x14ac:dyDescent="0.25">
      <c r="A826" s="43">
        <v>128</v>
      </c>
      <c r="B826" s="43" t="s">
        <v>41</v>
      </c>
      <c r="C826" s="43" t="s">
        <v>4470</v>
      </c>
      <c r="D826" s="43" t="s">
        <v>1508</v>
      </c>
      <c r="E826" s="43" t="s">
        <v>1509</v>
      </c>
      <c r="F826" s="43">
        <v>1</v>
      </c>
      <c r="G826"/>
      <c r="H826"/>
    </row>
    <row r="827" spans="1:8" hidden="1" x14ac:dyDescent="0.25">
      <c r="A827" s="43">
        <v>128</v>
      </c>
      <c r="B827" s="43" t="s">
        <v>41</v>
      </c>
      <c r="C827" s="43" t="s">
        <v>4470</v>
      </c>
      <c r="D827" s="43" t="s">
        <v>1510</v>
      </c>
      <c r="E827" s="43" t="s">
        <v>613</v>
      </c>
      <c r="F827" s="43">
        <v>1</v>
      </c>
      <c r="G827"/>
      <c r="H827"/>
    </row>
    <row r="828" spans="1:8" hidden="1" x14ac:dyDescent="0.25">
      <c r="A828" s="43">
        <v>128</v>
      </c>
      <c r="B828" s="43" t="s">
        <v>41</v>
      </c>
      <c r="C828" s="43" t="s">
        <v>4470</v>
      </c>
      <c r="D828" s="43" t="s">
        <v>1528</v>
      </c>
      <c r="E828" s="43" t="s">
        <v>4471</v>
      </c>
      <c r="F828" s="43">
        <v>1</v>
      </c>
      <c r="G828"/>
      <c r="H828"/>
    </row>
    <row r="829" spans="1:8" hidden="1" x14ac:dyDescent="0.25">
      <c r="A829" s="43">
        <v>128</v>
      </c>
      <c r="B829" s="43" t="s">
        <v>41</v>
      </c>
      <c r="C829" s="43" t="s">
        <v>4470</v>
      </c>
      <c r="D829" s="43" t="s">
        <v>1530</v>
      </c>
      <c r="E829" s="43" t="s">
        <v>1430</v>
      </c>
      <c r="F829" s="43">
        <v>0</v>
      </c>
      <c r="G829" s="43" t="s">
        <v>4583</v>
      </c>
      <c r="H829"/>
    </row>
    <row r="830" spans="1:8" hidden="1" x14ac:dyDescent="0.25">
      <c r="A830" s="43">
        <v>128</v>
      </c>
      <c r="B830" s="43" t="s">
        <v>41</v>
      </c>
      <c r="C830" s="43" t="s">
        <v>4470</v>
      </c>
      <c r="D830" s="43" t="s">
        <v>1514</v>
      </c>
      <c r="E830" s="43" t="s">
        <v>614</v>
      </c>
      <c r="F830" s="43">
        <v>0</v>
      </c>
      <c r="G830" s="43" t="s">
        <v>4583</v>
      </c>
      <c r="H830"/>
    </row>
    <row r="831" spans="1:8" hidden="1" x14ac:dyDescent="0.25">
      <c r="A831" s="43">
        <v>128</v>
      </c>
      <c r="B831" s="43" t="s">
        <v>41</v>
      </c>
      <c r="C831" s="43" t="s">
        <v>4470</v>
      </c>
      <c r="D831" s="43" t="s">
        <v>1515</v>
      </c>
      <c r="E831" s="43" t="s">
        <v>615</v>
      </c>
      <c r="F831" s="43">
        <v>1</v>
      </c>
      <c r="G831"/>
      <c r="H831"/>
    </row>
    <row r="832" spans="1:8" hidden="1" x14ac:dyDescent="0.25">
      <c r="A832" s="43">
        <v>128</v>
      </c>
      <c r="B832" s="43" t="s">
        <v>41</v>
      </c>
      <c r="C832" s="43" t="s">
        <v>4470</v>
      </c>
      <c r="D832" s="43" t="s">
        <v>1532</v>
      </c>
      <c r="E832" s="43" t="s">
        <v>1533</v>
      </c>
      <c r="F832" s="43">
        <v>0</v>
      </c>
      <c r="G832" s="43" t="s">
        <v>4583</v>
      </c>
      <c r="H832"/>
    </row>
    <row r="833" spans="1:8" hidden="1" x14ac:dyDescent="0.25">
      <c r="A833" s="43">
        <v>128</v>
      </c>
      <c r="B833" s="43" t="s">
        <v>41</v>
      </c>
      <c r="C833" s="43" t="s">
        <v>4470</v>
      </c>
      <c r="D833" s="43" t="s">
        <v>1534</v>
      </c>
      <c r="E833" s="43" t="s">
        <v>1535</v>
      </c>
      <c r="F833" s="43">
        <v>0</v>
      </c>
      <c r="G833" s="43" t="s">
        <v>4583</v>
      </c>
      <c r="H833"/>
    </row>
    <row r="834" spans="1:8" hidden="1" x14ac:dyDescent="0.25">
      <c r="A834" s="43">
        <v>128</v>
      </c>
      <c r="B834" s="43" t="s">
        <v>41</v>
      </c>
      <c r="C834" s="43" t="s">
        <v>4470</v>
      </c>
      <c r="D834" s="43" t="s">
        <v>1493</v>
      </c>
      <c r="E834" s="43" t="s">
        <v>1494</v>
      </c>
      <c r="F834" s="43">
        <v>1</v>
      </c>
      <c r="G834"/>
      <c r="H834"/>
    </row>
    <row r="835" spans="1:8" hidden="1" x14ac:dyDescent="0.25">
      <c r="A835" s="43">
        <v>128</v>
      </c>
      <c r="B835" s="43" t="s">
        <v>41</v>
      </c>
      <c r="C835" s="43" t="s">
        <v>4470</v>
      </c>
      <c r="D835" s="43" t="s">
        <v>1495</v>
      </c>
      <c r="E835" s="43" t="s">
        <v>1496</v>
      </c>
      <c r="F835" s="43">
        <v>1</v>
      </c>
      <c r="G835"/>
      <c r="H835"/>
    </row>
    <row r="836" spans="1:8" hidden="1" x14ac:dyDescent="0.25">
      <c r="A836" s="43">
        <v>128</v>
      </c>
      <c r="B836" s="43" t="s">
        <v>41</v>
      </c>
      <c r="C836" s="43" t="s">
        <v>4470</v>
      </c>
      <c r="D836" s="43" t="s">
        <v>1497</v>
      </c>
      <c r="E836" s="43" t="s">
        <v>306</v>
      </c>
      <c r="F836" s="43">
        <v>0</v>
      </c>
      <c r="G836" s="43" t="s">
        <v>4583</v>
      </c>
      <c r="H836"/>
    </row>
    <row r="837" spans="1:8" hidden="1" x14ac:dyDescent="0.25">
      <c r="A837" s="43">
        <v>128</v>
      </c>
      <c r="B837" s="43" t="s">
        <v>41</v>
      </c>
      <c r="C837" s="43" t="s">
        <v>4470</v>
      </c>
      <c r="D837" s="43" t="s">
        <v>1531</v>
      </c>
      <c r="E837" s="43" t="s">
        <v>503</v>
      </c>
      <c r="F837" s="43">
        <v>0</v>
      </c>
      <c r="G837" s="43" t="s">
        <v>4583</v>
      </c>
      <c r="H837"/>
    </row>
    <row r="838" spans="1:8" hidden="1" x14ac:dyDescent="0.25">
      <c r="A838" s="43">
        <v>128</v>
      </c>
      <c r="B838" s="43" t="s">
        <v>41</v>
      </c>
      <c r="C838" s="43" t="s">
        <v>4470</v>
      </c>
      <c r="D838" s="43" t="s">
        <v>1520</v>
      </c>
      <c r="E838" s="43" t="s">
        <v>1521</v>
      </c>
      <c r="F838" s="43">
        <v>1</v>
      </c>
      <c r="G838"/>
      <c r="H838"/>
    </row>
    <row r="839" spans="1:8" hidden="1" x14ac:dyDescent="0.25">
      <c r="A839" s="43">
        <v>128</v>
      </c>
      <c r="B839" s="43" t="s">
        <v>41</v>
      </c>
      <c r="C839" s="43" t="s">
        <v>4470</v>
      </c>
      <c r="D839" s="43" t="s">
        <v>1522</v>
      </c>
      <c r="E839" s="43" t="s">
        <v>1523</v>
      </c>
      <c r="F839" s="43">
        <v>1</v>
      </c>
      <c r="G839"/>
      <c r="H839"/>
    </row>
    <row r="840" spans="1:8" hidden="1" x14ac:dyDescent="0.25">
      <c r="A840" s="43">
        <v>128</v>
      </c>
      <c r="B840" s="43" t="s">
        <v>41</v>
      </c>
      <c r="C840" s="43" t="s">
        <v>4470</v>
      </c>
      <c r="D840" s="43" t="s">
        <v>1524</v>
      </c>
      <c r="E840" s="43" t="s">
        <v>1525</v>
      </c>
      <c r="F840" s="43">
        <v>1</v>
      </c>
      <c r="G840"/>
      <c r="H840"/>
    </row>
    <row r="841" spans="1:8" hidden="1" x14ac:dyDescent="0.25">
      <c r="A841" s="43">
        <v>128</v>
      </c>
      <c r="B841" s="43" t="s">
        <v>41</v>
      </c>
      <c r="C841" s="43" t="s">
        <v>4470</v>
      </c>
      <c r="D841" s="43" t="s">
        <v>1526</v>
      </c>
      <c r="E841" s="43" t="s">
        <v>1527</v>
      </c>
      <c r="F841" s="43">
        <v>0</v>
      </c>
      <c r="G841" s="43" t="s">
        <v>4583</v>
      </c>
      <c r="H841"/>
    </row>
    <row r="842" spans="1:8" hidden="1" x14ac:dyDescent="0.25">
      <c r="A842" s="43">
        <v>128</v>
      </c>
      <c r="B842" s="43" t="s">
        <v>41</v>
      </c>
      <c r="C842" s="43" t="s">
        <v>4470</v>
      </c>
      <c r="D842" s="43" t="s">
        <v>1511</v>
      </c>
      <c r="E842" s="43" t="s">
        <v>1419</v>
      </c>
      <c r="F842" s="43">
        <v>1</v>
      </c>
      <c r="G842"/>
      <c r="H842"/>
    </row>
    <row r="843" spans="1:8" hidden="1" x14ac:dyDescent="0.25">
      <c r="A843" s="43">
        <v>128</v>
      </c>
      <c r="B843" s="43" t="s">
        <v>41</v>
      </c>
      <c r="C843" s="43" t="s">
        <v>4470</v>
      </c>
      <c r="D843" s="43" t="s">
        <v>1512</v>
      </c>
      <c r="E843" s="43" t="s">
        <v>621</v>
      </c>
      <c r="F843" s="43">
        <v>1</v>
      </c>
      <c r="G843"/>
      <c r="H843"/>
    </row>
    <row r="844" spans="1:8" hidden="1" x14ac:dyDescent="0.25">
      <c r="A844" s="43">
        <v>128</v>
      </c>
      <c r="B844" s="43" t="s">
        <v>41</v>
      </c>
      <c r="C844" s="43" t="s">
        <v>4470</v>
      </c>
      <c r="D844" s="43" t="s">
        <v>1513</v>
      </c>
      <c r="E844" s="43" t="s">
        <v>1422</v>
      </c>
      <c r="F844" s="43">
        <v>0</v>
      </c>
      <c r="G844" s="43" t="s">
        <v>4583</v>
      </c>
      <c r="H844"/>
    </row>
    <row r="845" spans="1:8" hidden="1" x14ac:dyDescent="0.25">
      <c r="A845" s="43">
        <v>128</v>
      </c>
      <c r="B845" s="43" t="s">
        <v>41</v>
      </c>
      <c r="C845" s="43" t="s">
        <v>4470</v>
      </c>
      <c r="D845" s="43" t="s">
        <v>1500</v>
      </c>
      <c r="E845" s="43" t="s">
        <v>1397</v>
      </c>
      <c r="F845" s="43">
        <v>1</v>
      </c>
      <c r="G845"/>
      <c r="H845"/>
    </row>
    <row r="846" spans="1:8" hidden="1" x14ac:dyDescent="0.25">
      <c r="A846" s="43">
        <v>128</v>
      </c>
      <c r="B846" s="43" t="s">
        <v>41</v>
      </c>
      <c r="C846" s="43" t="s">
        <v>4470</v>
      </c>
      <c r="D846" s="43" t="s">
        <v>1501</v>
      </c>
      <c r="E846" s="43" t="s">
        <v>1502</v>
      </c>
      <c r="F846" s="43">
        <v>1</v>
      </c>
      <c r="G846"/>
      <c r="H846"/>
    </row>
    <row r="847" spans="1:8" hidden="1" x14ac:dyDescent="0.25">
      <c r="A847" s="43">
        <v>128</v>
      </c>
      <c r="B847" s="43" t="s">
        <v>41</v>
      </c>
      <c r="C847" s="43" t="s">
        <v>4470</v>
      </c>
      <c r="D847" s="43" t="s">
        <v>1503</v>
      </c>
      <c r="E847" s="43" t="s">
        <v>1504</v>
      </c>
      <c r="F847" s="43">
        <v>1</v>
      </c>
      <c r="G847"/>
      <c r="H847"/>
    </row>
    <row r="848" spans="1:8" hidden="1" x14ac:dyDescent="0.25">
      <c r="A848" s="43">
        <v>128</v>
      </c>
      <c r="B848" s="43" t="s">
        <v>41</v>
      </c>
      <c r="C848" s="43" t="s">
        <v>4470</v>
      </c>
      <c r="D848" s="43" t="s">
        <v>1505</v>
      </c>
      <c r="E848" s="43" t="s">
        <v>1506</v>
      </c>
      <c r="F848" s="43">
        <v>0</v>
      </c>
      <c r="G848" s="43" t="s">
        <v>4583</v>
      </c>
      <c r="H848"/>
    </row>
    <row r="849" spans="1:8" hidden="1" x14ac:dyDescent="0.25">
      <c r="A849" s="43">
        <v>128</v>
      </c>
      <c r="B849" s="43" t="s">
        <v>41</v>
      </c>
      <c r="C849" s="43" t="s">
        <v>4470</v>
      </c>
      <c r="D849" s="43" t="s">
        <v>1516</v>
      </c>
      <c r="E849" s="43" t="s">
        <v>1517</v>
      </c>
      <c r="F849" s="43">
        <v>1</v>
      </c>
      <c r="G849"/>
      <c r="H849"/>
    </row>
    <row r="850" spans="1:8" hidden="1" x14ac:dyDescent="0.25">
      <c r="A850" s="43">
        <v>128</v>
      </c>
      <c r="B850" s="43" t="s">
        <v>41</v>
      </c>
      <c r="C850" s="43" t="s">
        <v>4470</v>
      </c>
      <c r="D850" s="43" t="s">
        <v>1518</v>
      </c>
      <c r="E850" s="43" t="s">
        <v>1519</v>
      </c>
      <c r="F850" s="43">
        <v>0</v>
      </c>
      <c r="G850" s="43" t="s">
        <v>4583</v>
      </c>
      <c r="H850"/>
    </row>
    <row r="851" spans="1:8" hidden="1" x14ac:dyDescent="0.25">
      <c r="A851" s="43">
        <v>130</v>
      </c>
      <c r="B851" s="43" t="s">
        <v>42</v>
      </c>
      <c r="C851" s="43" t="s">
        <v>1077</v>
      </c>
      <c r="D851" s="43" t="s">
        <v>1093</v>
      </c>
      <c r="E851" s="43" t="s">
        <v>1094</v>
      </c>
      <c r="F851" s="43">
        <v>1</v>
      </c>
      <c r="G851"/>
      <c r="H851"/>
    </row>
    <row r="852" spans="1:8" hidden="1" x14ac:dyDescent="0.25">
      <c r="A852" s="43">
        <v>130</v>
      </c>
      <c r="B852" s="43" t="s">
        <v>42</v>
      </c>
      <c r="C852" s="43" t="s">
        <v>1077</v>
      </c>
      <c r="D852" s="43" t="s">
        <v>1095</v>
      </c>
      <c r="E852" s="43" t="s">
        <v>1096</v>
      </c>
      <c r="F852" s="43">
        <v>1</v>
      </c>
      <c r="G852"/>
      <c r="H852"/>
    </row>
    <row r="853" spans="1:8" hidden="1" x14ac:dyDescent="0.25">
      <c r="A853" s="43">
        <v>130</v>
      </c>
      <c r="B853" s="43" t="s">
        <v>42</v>
      </c>
      <c r="C853" s="43" t="s">
        <v>1077</v>
      </c>
      <c r="D853" s="43" t="s">
        <v>1085</v>
      </c>
      <c r="E853" s="43" t="s">
        <v>1086</v>
      </c>
      <c r="F853" s="43">
        <v>1</v>
      </c>
      <c r="G853"/>
      <c r="H853"/>
    </row>
    <row r="854" spans="1:8" hidden="1" x14ac:dyDescent="0.25">
      <c r="A854" s="43">
        <v>130</v>
      </c>
      <c r="B854" s="43" t="s">
        <v>42</v>
      </c>
      <c r="C854" s="43" t="s">
        <v>1077</v>
      </c>
      <c r="D854" s="43" t="s">
        <v>1087</v>
      </c>
      <c r="E854" s="43" t="s">
        <v>1088</v>
      </c>
      <c r="F854" s="43">
        <v>1</v>
      </c>
      <c r="G854"/>
      <c r="H854"/>
    </row>
    <row r="855" spans="1:8" hidden="1" x14ac:dyDescent="0.25">
      <c r="A855" s="43">
        <v>130</v>
      </c>
      <c r="B855" s="43" t="s">
        <v>42</v>
      </c>
      <c r="C855" s="43" t="s">
        <v>1077</v>
      </c>
      <c r="D855" s="43" t="s">
        <v>1089</v>
      </c>
      <c r="E855" s="43" t="s">
        <v>535</v>
      </c>
      <c r="F855" s="43">
        <v>1</v>
      </c>
      <c r="G855"/>
      <c r="H855"/>
    </row>
    <row r="856" spans="1:8" hidden="1" x14ac:dyDescent="0.25">
      <c r="A856" s="43">
        <v>130</v>
      </c>
      <c r="B856" s="43" t="s">
        <v>42</v>
      </c>
      <c r="C856" s="43" t="s">
        <v>1077</v>
      </c>
      <c r="D856" s="43" t="s">
        <v>1078</v>
      </c>
      <c r="E856" s="43" t="s">
        <v>1079</v>
      </c>
      <c r="F856" s="43">
        <v>1</v>
      </c>
      <c r="G856"/>
      <c r="H856"/>
    </row>
    <row r="857" spans="1:8" hidden="1" x14ac:dyDescent="0.25">
      <c r="A857" s="43">
        <v>130</v>
      </c>
      <c r="B857" s="43" t="s">
        <v>42</v>
      </c>
      <c r="C857" s="43" t="s">
        <v>1077</v>
      </c>
      <c r="D857" s="43" t="s">
        <v>1080</v>
      </c>
      <c r="E857" s="43" t="s">
        <v>1081</v>
      </c>
      <c r="F857" s="43">
        <v>1</v>
      </c>
      <c r="G857"/>
      <c r="H857"/>
    </row>
    <row r="858" spans="1:8" hidden="1" x14ac:dyDescent="0.25">
      <c r="A858" s="43">
        <v>130</v>
      </c>
      <c r="B858" s="43" t="s">
        <v>42</v>
      </c>
      <c r="C858" s="43" t="s">
        <v>1077</v>
      </c>
      <c r="D858" s="43" t="s">
        <v>1090</v>
      </c>
      <c r="E858" s="43" t="s">
        <v>381</v>
      </c>
      <c r="F858" s="43">
        <v>1</v>
      </c>
      <c r="G858"/>
      <c r="H858"/>
    </row>
    <row r="859" spans="1:8" hidden="1" x14ac:dyDescent="0.25">
      <c r="A859" s="43">
        <v>130</v>
      </c>
      <c r="B859" s="43" t="s">
        <v>42</v>
      </c>
      <c r="C859" s="43" t="s">
        <v>1077</v>
      </c>
      <c r="D859" s="43" t="s">
        <v>1091</v>
      </c>
      <c r="E859" s="43" t="s">
        <v>1092</v>
      </c>
      <c r="F859" s="43">
        <v>1</v>
      </c>
      <c r="G859"/>
      <c r="H859"/>
    </row>
    <row r="860" spans="1:8" hidden="1" x14ac:dyDescent="0.25">
      <c r="A860" s="43">
        <v>130</v>
      </c>
      <c r="B860" s="43" t="s">
        <v>42</v>
      </c>
      <c r="C860" s="43" t="s">
        <v>1077</v>
      </c>
      <c r="D860" s="43" t="s">
        <v>1082</v>
      </c>
      <c r="E860" s="43" t="s">
        <v>289</v>
      </c>
      <c r="F860" s="43">
        <v>1</v>
      </c>
      <c r="G860"/>
      <c r="H860"/>
    </row>
    <row r="861" spans="1:8" hidden="1" x14ac:dyDescent="0.25">
      <c r="A861" s="43">
        <v>130</v>
      </c>
      <c r="B861" s="43" t="s">
        <v>42</v>
      </c>
      <c r="C861" s="43" t="s">
        <v>1077</v>
      </c>
      <c r="D861" s="43" t="s">
        <v>1083</v>
      </c>
      <c r="E861" s="43" t="s">
        <v>1084</v>
      </c>
      <c r="F861" s="43">
        <v>1</v>
      </c>
      <c r="G861"/>
      <c r="H861"/>
    </row>
    <row r="862" spans="1:8" hidden="1" x14ac:dyDescent="0.25">
      <c r="A862" s="43">
        <v>131</v>
      </c>
      <c r="B862" s="43" t="s">
        <v>43</v>
      </c>
      <c r="C862" s="43" t="s">
        <v>859</v>
      </c>
      <c r="D862" s="43" t="s">
        <v>872</v>
      </c>
      <c r="E862" s="43" t="s">
        <v>873</v>
      </c>
      <c r="F862" s="43">
        <v>1</v>
      </c>
      <c r="G862"/>
      <c r="H862"/>
    </row>
    <row r="863" spans="1:8" hidden="1" x14ac:dyDescent="0.25">
      <c r="A863" s="43">
        <v>131</v>
      </c>
      <c r="B863" s="43" t="s">
        <v>43</v>
      </c>
      <c r="C863" s="43" t="s">
        <v>859</v>
      </c>
      <c r="D863" s="43" t="s">
        <v>874</v>
      </c>
      <c r="E863" s="43" t="s">
        <v>875</v>
      </c>
      <c r="F863" s="43">
        <v>1</v>
      </c>
      <c r="G863"/>
      <c r="H863"/>
    </row>
    <row r="864" spans="1:8" hidden="1" x14ac:dyDescent="0.25">
      <c r="A864" s="43">
        <v>131</v>
      </c>
      <c r="B864" s="43" t="s">
        <v>43</v>
      </c>
      <c r="C864" s="43" t="s">
        <v>859</v>
      </c>
      <c r="D864" s="43" t="s">
        <v>876</v>
      </c>
      <c r="E864" s="43" t="s">
        <v>372</v>
      </c>
      <c r="F864" s="43">
        <v>1</v>
      </c>
      <c r="G864"/>
      <c r="H864"/>
    </row>
    <row r="865" spans="1:8" hidden="1" x14ac:dyDescent="0.25">
      <c r="A865" s="43">
        <v>131</v>
      </c>
      <c r="B865" s="43" t="s">
        <v>43</v>
      </c>
      <c r="C865" s="43" t="s">
        <v>859</v>
      </c>
      <c r="D865" s="43" t="s">
        <v>860</v>
      </c>
      <c r="E865" s="43" t="s">
        <v>273</v>
      </c>
      <c r="F865" s="43">
        <v>1</v>
      </c>
      <c r="G865"/>
      <c r="H865"/>
    </row>
    <row r="866" spans="1:8" hidden="1" x14ac:dyDescent="0.25">
      <c r="A866" s="43">
        <v>131</v>
      </c>
      <c r="B866" s="43" t="s">
        <v>43</v>
      </c>
      <c r="C866" s="43" t="s">
        <v>859</v>
      </c>
      <c r="D866" s="43" t="s">
        <v>861</v>
      </c>
      <c r="E866" s="43" t="s">
        <v>275</v>
      </c>
      <c r="F866" s="43">
        <v>1</v>
      </c>
      <c r="G866"/>
      <c r="H866"/>
    </row>
    <row r="867" spans="1:8" hidden="1" x14ac:dyDescent="0.25">
      <c r="A867" s="43">
        <v>131</v>
      </c>
      <c r="B867" s="43" t="s">
        <v>43</v>
      </c>
      <c r="C867" s="43" t="s">
        <v>859</v>
      </c>
      <c r="D867" s="43" t="s">
        <v>862</v>
      </c>
      <c r="E867" s="43" t="s">
        <v>277</v>
      </c>
      <c r="F867" s="43">
        <v>1</v>
      </c>
      <c r="G867"/>
      <c r="H867"/>
    </row>
    <row r="868" spans="1:8" hidden="1" x14ac:dyDescent="0.25">
      <c r="A868" s="43">
        <v>131</v>
      </c>
      <c r="B868" s="43" t="s">
        <v>43</v>
      </c>
      <c r="C868" s="43" t="s">
        <v>859</v>
      </c>
      <c r="D868" s="43" t="s">
        <v>871</v>
      </c>
      <c r="E868" s="43" t="s">
        <v>295</v>
      </c>
      <c r="F868" s="43">
        <v>1</v>
      </c>
      <c r="G868"/>
      <c r="H868"/>
    </row>
    <row r="869" spans="1:8" hidden="1" x14ac:dyDescent="0.25">
      <c r="A869" s="43">
        <v>131</v>
      </c>
      <c r="B869" s="43" t="s">
        <v>43</v>
      </c>
      <c r="C869" s="43" t="s">
        <v>859</v>
      </c>
      <c r="D869" s="43" t="s">
        <v>865</v>
      </c>
      <c r="E869" s="43" t="s">
        <v>866</v>
      </c>
      <c r="F869" s="43">
        <v>0</v>
      </c>
      <c r="G869" s="43" t="s">
        <v>4583</v>
      </c>
      <c r="H869"/>
    </row>
    <row r="870" spans="1:8" hidden="1" x14ac:dyDescent="0.25">
      <c r="A870" s="43">
        <v>131</v>
      </c>
      <c r="B870" s="43" t="s">
        <v>43</v>
      </c>
      <c r="C870" s="43" t="s">
        <v>859</v>
      </c>
      <c r="D870" s="43" t="s">
        <v>867</v>
      </c>
      <c r="E870" s="43" t="s">
        <v>3016</v>
      </c>
      <c r="F870" s="43">
        <v>0</v>
      </c>
      <c r="G870" s="43" t="s">
        <v>4583</v>
      </c>
      <c r="H870"/>
    </row>
    <row r="871" spans="1:8" hidden="1" x14ac:dyDescent="0.25">
      <c r="A871" s="43">
        <v>131</v>
      </c>
      <c r="B871" s="43" t="s">
        <v>43</v>
      </c>
      <c r="C871" s="43" t="s">
        <v>859</v>
      </c>
      <c r="D871" s="43" t="s">
        <v>869</v>
      </c>
      <c r="E871" s="43" t="s">
        <v>870</v>
      </c>
      <c r="F871" s="43">
        <v>0</v>
      </c>
      <c r="G871" s="43" t="s">
        <v>4583</v>
      </c>
      <c r="H871"/>
    </row>
    <row r="872" spans="1:8" hidden="1" x14ac:dyDescent="0.25">
      <c r="A872" s="43">
        <v>131</v>
      </c>
      <c r="B872" s="43" t="s">
        <v>43</v>
      </c>
      <c r="C872" s="43" t="s">
        <v>859</v>
      </c>
      <c r="D872" s="43" t="s">
        <v>863</v>
      </c>
      <c r="E872" s="43" t="s">
        <v>283</v>
      </c>
      <c r="F872" s="43">
        <v>0</v>
      </c>
      <c r="G872" s="43" t="s">
        <v>4583</v>
      </c>
      <c r="H872"/>
    </row>
    <row r="873" spans="1:8" hidden="1" x14ac:dyDescent="0.25">
      <c r="A873" s="43">
        <v>131</v>
      </c>
      <c r="B873" s="43" t="s">
        <v>43</v>
      </c>
      <c r="C873" s="43" t="s">
        <v>859</v>
      </c>
      <c r="D873" s="43" t="s">
        <v>864</v>
      </c>
      <c r="E873" s="43" t="s">
        <v>289</v>
      </c>
      <c r="F873" s="43">
        <v>0</v>
      </c>
      <c r="G873" s="43" t="s">
        <v>4583</v>
      </c>
      <c r="H873"/>
    </row>
    <row r="874" spans="1:8" x14ac:dyDescent="0.25">
      <c r="A874" s="43">
        <v>132</v>
      </c>
      <c r="B874" s="43" t="s">
        <v>44</v>
      </c>
      <c r="C874" s="43" t="s">
        <v>506</v>
      </c>
      <c r="D874" s="43" t="s">
        <v>513</v>
      </c>
      <c r="E874" s="43" t="s">
        <v>514</v>
      </c>
      <c r="F874" s="43">
        <v>2</v>
      </c>
      <c r="G874" s="43" t="s">
        <v>4505</v>
      </c>
      <c r="H874" s="43" t="s">
        <v>4580</v>
      </c>
    </row>
    <row r="875" spans="1:8" x14ac:dyDescent="0.25">
      <c r="A875" s="43">
        <v>132</v>
      </c>
      <c r="B875" s="43" t="s">
        <v>44</v>
      </c>
      <c r="C875" s="43" t="s">
        <v>506</v>
      </c>
      <c r="D875" s="43" t="s">
        <v>515</v>
      </c>
      <c r="E875" s="43" t="s">
        <v>516</v>
      </c>
      <c r="F875" s="43">
        <v>2</v>
      </c>
      <c r="G875" s="43" t="s">
        <v>4505</v>
      </c>
      <c r="H875" s="43" t="s">
        <v>4580</v>
      </c>
    </row>
    <row r="876" spans="1:8" hidden="1" x14ac:dyDescent="0.25">
      <c r="A876" s="43">
        <v>132</v>
      </c>
      <c r="B876" s="43" t="s">
        <v>44</v>
      </c>
      <c r="C876" s="43" t="s">
        <v>506</v>
      </c>
      <c r="D876" s="43" t="s">
        <v>517</v>
      </c>
      <c r="E876" s="43" t="s">
        <v>518</v>
      </c>
      <c r="F876" s="43">
        <v>1</v>
      </c>
      <c r="G876"/>
    </row>
    <row r="877" spans="1:8" x14ac:dyDescent="0.25">
      <c r="A877" s="43">
        <v>132</v>
      </c>
      <c r="B877" s="43" t="s">
        <v>44</v>
      </c>
      <c r="C877" s="43" t="s">
        <v>506</v>
      </c>
      <c r="D877" s="43" t="s">
        <v>519</v>
      </c>
      <c r="E877" s="43" t="s">
        <v>520</v>
      </c>
      <c r="F877" s="43">
        <v>2</v>
      </c>
      <c r="G877" s="43" t="s">
        <v>4506</v>
      </c>
      <c r="H877" s="43" t="s">
        <v>4580</v>
      </c>
    </row>
    <row r="878" spans="1:8" x14ac:dyDescent="0.25">
      <c r="A878" s="43">
        <v>132</v>
      </c>
      <c r="B878" s="43" t="s">
        <v>44</v>
      </c>
      <c r="C878" s="43" t="s">
        <v>506</v>
      </c>
      <c r="D878" s="43" t="s">
        <v>521</v>
      </c>
      <c r="E878" s="43" t="s">
        <v>522</v>
      </c>
      <c r="F878" s="43">
        <v>2</v>
      </c>
      <c r="G878" s="43" t="s">
        <v>4506</v>
      </c>
      <c r="H878" s="43" t="s">
        <v>4580</v>
      </c>
    </row>
    <row r="879" spans="1:8" hidden="1" x14ac:dyDescent="0.25">
      <c r="A879" s="43">
        <v>132</v>
      </c>
      <c r="B879" s="43" t="s">
        <v>44</v>
      </c>
      <c r="C879" s="43" t="s">
        <v>506</v>
      </c>
      <c r="D879" s="43" t="s">
        <v>548</v>
      </c>
      <c r="E879" s="43" t="s">
        <v>549</v>
      </c>
      <c r="F879" s="43">
        <v>1</v>
      </c>
      <c r="G879"/>
    </row>
    <row r="880" spans="1:8" hidden="1" x14ac:dyDescent="0.25">
      <c r="A880" s="43">
        <v>132</v>
      </c>
      <c r="B880" s="43" t="s">
        <v>44</v>
      </c>
      <c r="C880" s="43" t="s">
        <v>506</v>
      </c>
      <c r="D880" s="43" t="s">
        <v>550</v>
      </c>
      <c r="E880" s="43" t="s">
        <v>551</v>
      </c>
      <c r="F880" s="43">
        <v>1</v>
      </c>
      <c r="G880"/>
    </row>
    <row r="881" spans="1:8" hidden="1" x14ac:dyDescent="0.25">
      <c r="A881" s="43">
        <v>132</v>
      </c>
      <c r="B881" s="43" t="s">
        <v>44</v>
      </c>
      <c r="C881" s="43" t="s">
        <v>506</v>
      </c>
      <c r="D881" s="43" t="s">
        <v>532</v>
      </c>
      <c r="E881" s="43" t="s">
        <v>533</v>
      </c>
      <c r="F881" s="43">
        <v>1</v>
      </c>
      <c r="G881"/>
    </row>
    <row r="882" spans="1:8" hidden="1" x14ac:dyDescent="0.25">
      <c r="A882" s="43">
        <v>132</v>
      </c>
      <c r="B882" s="43" t="s">
        <v>44</v>
      </c>
      <c r="C882" s="43" t="s">
        <v>506</v>
      </c>
      <c r="D882" s="43" t="s">
        <v>534</v>
      </c>
      <c r="E882" s="43" t="s">
        <v>535</v>
      </c>
      <c r="F882" s="43">
        <v>1</v>
      </c>
      <c r="G882"/>
    </row>
    <row r="883" spans="1:8" hidden="1" x14ac:dyDescent="0.25">
      <c r="A883" s="43">
        <v>132</v>
      </c>
      <c r="B883" s="43" t="s">
        <v>44</v>
      </c>
      <c r="C883" s="43" t="s">
        <v>506</v>
      </c>
      <c r="D883" s="43" t="s">
        <v>536</v>
      </c>
      <c r="E883" s="43" t="s">
        <v>537</v>
      </c>
      <c r="F883" s="43">
        <v>1</v>
      </c>
      <c r="G883"/>
    </row>
    <row r="884" spans="1:8" hidden="1" x14ac:dyDescent="0.25">
      <c r="A884" s="43">
        <v>132</v>
      </c>
      <c r="B884" s="43" t="s">
        <v>44</v>
      </c>
      <c r="C884" s="43" t="s">
        <v>506</v>
      </c>
      <c r="D884" s="43" t="s">
        <v>523</v>
      </c>
      <c r="E884" s="43" t="s">
        <v>4472</v>
      </c>
      <c r="F884" s="43">
        <v>1</v>
      </c>
      <c r="G884"/>
    </row>
    <row r="885" spans="1:8" hidden="1" x14ac:dyDescent="0.25">
      <c r="A885" s="43">
        <v>132</v>
      </c>
      <c r="B885" s="43" t="s">
        <v>44</v>
      </c>
      <c r="C885" s="43" t="s">
        <v>506</v>
      </c>
      <c r="D885" s="43" t="s">
        <v>525</v>
      </c>
      <c r="E885" s="43" t="s">
        <v>526</v>
      </c>
      <c r="F885" s="43">
        <v>1</v>
      </c>
      <c r="G885"/>
    </row>
    <row r="886" spans="1:8" x14ac:dyDescent="0.25">
      <c r="A886" s="43">
        <v>132</v>
      </c>
      <c r="B886" s="43" t="s">
        <v>44</v>
      </c>
      <c r="C886" s="43" t="s">
        <v>506</v>
      </c>
      <c r="D886" s="43" t="s">
        <v>527</v>
      </c>
      <c r="E886" s="43" t="s">
        <v>283</v>
      </c>
      <c r="F886" s="43">
        <v>2</v>
      </c>
      <c r="G886" s="43" t="s">
        <v>4507</v>
      </c>
      <c r="H886" s="43" t="s">
        <v>4580</v>
      </c>
    </row>
    <row r="887" spans="1:8" hidden="1" x14ac:dyDescent="0.25">
      <c r="A887" s="43">
        <v>132</v>
      </c>
      <c r="B887" s="43" t="s">
        <v>44</v>
      </c>
      <c r="C887" s="43" t="s">
        <v>506</v>
      </c>
      <c r="D887" s="43" t="s">
        <v>528</v>
      </c>
      <c r="E887" s="43" t="s">
        <v>529</v>
      </c>
      <c r="F887" s="43">
        <v>1</v>
      </c>
      <c r="G887"/>
    </row>
    <row r="888" spans="1:8" hidden="1" x14ac:dyDescent="0.25">
      <c r="A888" s="43">
        <v>132</v>
      </c>
      <c r="B888" s="43" t="s">
        <v>44</v>
      </c>
      <c r="C888" s="43" t="s">
        <v>506</v>
      </c>
      <c r="D888" s="43" t="s">
        <v>530</v>
      </c>
      <c r="E888" s="43" t="s">
        <v>531</v>
      </c>
      <c r="F888" s="43">
        <v>1</v>
      </c>
      <c r="G888"/>
    </row>
    <row r="889" spans="1:8" hidden="1" x14ac:dyDescent="0.25">
      <c r="A889" s="43">
        <v>132</v>
      </c>
      <c r="B889" s="43" t="s">
        <v>44</v>
      </c>
      <c r="C889" s="43" t="s">
        <v>506</v>
      </c>
      <c r="D889" s="43" t="s">
        <v>542</v>
      </c>
      <c r="E889" s="43" t="s">
        <v>543</v>
      </c>
      <c r="F889" s="43">
        <v>1</v>
      </c>
      <c r="G889"/>
    </row>
    <row r="890" spans="1:8" hidden="1" x14ac:dyDescent="0.25">
      <c r="A890" s="43">
        <v>132</v>
      </c>
      <c r="B890" s="43" t="s">
        <v>44</v>
      </c>
      <c r="C890" s="43" t="s">
        <v>506</v>
      </c>
      <c r="D890" s="43" t="s">
        <v>544</v>
      </c>
      <c r="E890" s="43" t="s">
        <v>545</v>
      </c>
      <c r="F890" s="43">
        <v>1</v>
      </c>
      <c r="G890"/>
    </row>
    <row r="891" spans="1:8" x14ac:dyDescent="0.25">
      <c r="A891" s="43">
        <v>132</v>
      </c>
      <c r="B891" s="43" t="s">
        <v>44</v>
      </c>
      <c r="C891" s="43" t="s">
        <v>506</v>
      </c>
      <c r="D891" s="43" t="s">
        <v>538</v>
      </c>
      <c r="E891" s="43" t="s">
        <v>539</v>
      </c>
      <c r="F891" s="43">
        <v>2</v>
      </c>
      <c r="G891" s="43" t="s">
        <v>4505</v>
      </c>
      <c r="H891" s="43" t="s">
        <v>4580</v>
      </c>
    </row>
    <row r="892" spans="1:8" x14ac:dyDescent="0.25">
      <c r="A892" s="43">
        <v>132</v>
      </c>
      <c r="B892" s="43" t="s">
        <v>44</v>
      </c>
      <c r="C892" s="43" t="s">
        <v>506</v>
      </c>
      <c r="D892" s="43" t="s">
        <v>540</v>
      </c>
      <c r="E892" s="43" t="s">
        <v>541</v>
      </c>
      <c r="F892" s="43">
        <v>2</v>
      </c>
      <c r="G892" s="43" t="s">
        <v>4505</v>
      </c>
      <c r="H892" s="43" t="s">
        <v>4580</v>
      </c>
    </row>
    <row r="893" spans="1:8" hidden="1" x14ac:dyDescent="0.25">
      <c r="A893" s="43">
        <v>132</v>
      </c>
      <c r="B893" s="43" t="s">
        <v>44</v>
      </c>
      <c r="C893" s="43" t="s">
        <v>506</v>
      </c>
      <c r="D893" s="43" t="s">
        <v>507</v>
      </c>
      <c r="E893" s="43" t="s">
        <v>508</v>
      </c>
      <c r="F893" s="43">
        <v>1</v>
      </c>
      <c r="G893"/>
      <c r="H893"/>
    </row>
    <row r="894" spans="1:8" hidden="1" x14ac:dyDescent="0.25">
      <c r="A894" s="43">
        <v>132</v>
      </c>
      <c r="B894" s="43" t="s">
        <v>44</v>
      </c>
      <c r="C894" s="43" t="s">
        <v>506</v>
      </c>
      <c r="D894" s="43" t="s">
        <v>509</v>
      </c>
      <c r="E894" s="43" t="s">
        <v>510</v>
      </c>
      <c r="F894" s="43">
        <v>2</v>
      </c>
      <c r="G894" s="43" t="s">
        <v>4508</v>
      </c>
      <c r="H894" s="43" t="s">
        <v>4581</v>
      </c>
    </row>
    <row r="895" spans="1:8" hidden="1" x14ac:dyDescent="0.25">
      <c r="A895" s="43">
        <v>132</v>
      </c>
      <c r="B895" s="43" t="s">
        <v>44</v>
      </c>
      <c r="C895" s="43" t="s">
        <v>506</v>
      </c>
      <c r="D895" s="43" t="s">
        <v>511</v>
      </c>
      <c r="E895" s="43" t="s">
        <v>512</v>
      </c>
      <c r="F895" s="43">
        <v>1</v>
      </c>
      <c r="G895"/>
      <c r="H895"/>
    </row>
    <row r="896" spans="1:8" hidden="1" x14ac:dyDescent="0.25">
      <c r="A896" s="43">
        <v>132</v>
      </c>
      <c r="B896" s="43" t="s">
        <v>44</v>
      </c>
      <c r="C896" s="43" t="s">
        <v>506</v>
      </c>
      <c r="D896" s="43" t="s">
        <v>546</v>
      </c>
      <c r="E896" s="43" t="s">
        <v>547</v>
      </c>
      <c r="F896" s="43">
        <v>1</v>
      </c>
      <c r="G896"/>
      <c r="H896"/>
    </row>
    <row r="897" spans="1:8" x14ac:dyDescent="0.25">
      <c r="A897" s="43">
        <v>133</v>
      </c>
      <c r="B897" s="43" t="s">
        <v>44</v>
      </c>
      <c r="C897" s="43" t="s">
        <v>506</v>
      </c>
      <c r="D897" s="43" t="s">
        <v>513</v>
      </c>
      <c r="E897" s="43" t="s">
        <v>514</v>
      </c>
      <c r="F897" s="43">
        <v>2</v>
      </c>
      <c r="G897" s="43" t="s">
        <v>4505</v>
      </c>
      <c r="H897" s="43" t="s">
        <v>4580</v>
      </c>
    </row>
    <row r="898" spans="1:8" x14ac:dyDescent="0.25">
      <c r="A898" s="43">
        <v>133</v>
      </c>
      <c r="B898" s="43" t="s">
        <v>44</v>
      </c>
      <c r="C898" s="43" t="s">
        <v>506</v>
      </c>
      <c r="D898" s="43" t="s">
        <v>515</v>
      </c>
      <c r="E898" s="43" t="s">
        <v>516</v>
      </c>
      <c r="F898" s="43">
        <v>2</v>
      </c>
      <c r="G898" s="43" t="s">
        <v>4505</v>
      </c>
      <c r="H898" s="43" t="s">
        <v>4580</v>
      </c>
    </row>
    <row r="899" spans="1:8" hidden="1" x14ac:dyDescent="0.25">
      <c r="A899" s="43">
        <v>133</v>
      </c>
      <c r="B899" s="43" t="s">
        <v>44</v>
      </c>
      <c r="C899" s="43" t="s">
        <v>506</v>
      </c>
      <c r="D899" s="43" t="s">
        <v>517</v>
      </c>
      <c r="E899" s="43" t="s">
        <v>518</v>
      </c>
      <c r="F899" s="43">
        <v>1</v>
      </c>
      <c r="G899"/>
      <c r="H899"/>
    </row>
    <row r="900" spans="1:8" x14ac:dyDescent="0.25">
      <c r="A900" s="43">
        <v>133</v>
      </c>
      <c r="B900" s="43" t="s">
        <v>44</v>
      </c>
      <c r="C900" s="43" t="s">
        <v>506</v>
      </c>
      <c r="D900" s="43" t="s">
        <v>519</v>
      </c>
      <c r="E900" s="43" t="s">
        <v>520</v>
      </c>
      <c r="F900" s="43">
        <v>2</v>
      </c>
      <c r="G900" s="43" t="s">
        <v>4506</v>
      </c>
      <c r="H900" s="43" t="s">
        <v>4580</v>
      </c>
    </row>
    <row r="901" spans="1:8" x14ac:dyDescent="0.25">
      <c r="A901" s="43">
        <v>133</v>
      </c>
      <c r="B901" s="43" t="s">
        <v>44</v>
      </c>
      <c r="C901" s="43" t="s">
        <v>506</v>
      </c>
      <c r="D901" s="43" t="s">
        <v>521</v>
      </c>
      <c r="E901" s="43" t="s">
        <v>522</v>
      </c>
      <c r="F901" s="43">
        <v>2</v>
      </c>
      <c r="G901" s="43" t="s">
        <v>4506</v>
      </c>
      <c r="H901" s="43" t="s">
        <v>4580</v>
      </c>
    </row>
    <row r="902" spans="1:8" hidden="1" x14ac:dyDescent="0.25">
      <c r="A902" s="43">
        <v>133</v>
      </c>
      <c r="B902" s="43" t="s">
        <v>44</v>
      </c>
      <c r="C902" s="43" t="s">
        <v>506</v>
      </c>
      <c r="D902" s="43" t="s">
        <v>548</v>
      </c>
      <c r="E902" s="43" t="s">
        <v>549</v>
      </c>
      <c r="F902" s="43">
        <v>1</v>
      </c>
      <c r="G902"/>
      <c r="H902"/>
    </row>
    <row r="903" spans="1:8" hidden="1" x14ac:dyDescent="0.25">
      <c r="A903" s="43">
        <v>133</v>
      </c>
      <c r="B903" s="43" t="s">
        <v>44</v>
      </c>
      <c r="C903" s="43" t="s">
        <v>506</v>
      </c>
      <c r="D903" s="43" t="s">
        <v>550</v>
      </c>
      <c r="E903" s="43" t="s">
        <v>551</v>
      </c>
      <c r="F903" s="43">
        <v>1</v>
      </c>
      <c r="G903"/>
      <c r="H903"/>
    </row>
    <row r="904" spans="1:8" hidden="1" x14ac:dyDescent="0.25">
      <c r="A904" s="43">
        <v>133</v>
      </c>
      <c r="B904" s="43" t="s">
        <v>44</v>
      </c>
      <c r="C904" s="43" t="s">
        <v>506</v>
      </c>
      <c r="D904" s="43" t="s">
        <v>532</v>
      </c>
      <c r="E904" s="43" t="s">
        <v>533</v>
      </c>
      <c r="F904" s="43">
        <v>1</v>
      </c>
      <c r="G904"/>
      <c r="H904"/>
    </row>
    <row r="905" spans="1:8" hidden="1" x14ac:dyDescent="0.25">
      <c r="A905" s="43">
        <v>133</v>
      </c>
      <c r="B905" s="43" t="s">
        <v>44</v>
      </c>
      <c r="C905" s="43" t="s">
        <v>506</v>
      </c>
      <c r="D905" s="43" t="s">
        <v>534</v>
      </c>
      <c r="E905" s="43" t="s">
        <v>535</v>
      </c>
      <c r="F905" s="43">
        <v>1</v>
      </c>
      <c r="G905"/>
      <c r="H905"/>
    </row>
    <row r="906" spans="1:8" hidden="1" x14ac:dyDescent="0.25">
      <c r="A906" s="43">
        <v>133</v>
      </c>
      <c r="B906" s="43" t="s">
        <v>44</v>
      </c>
      <c r="C906" s="43" t="s">
        <v>506</v>
      </c>
      <c r="D906" s="43" t="s">
        <v>536</v>
      </c>
      <c r="E906" s="43" t="s">
        <v>537</v>
      </c>
      <c r="F906" s="43">
        <v>1</v>
      </c>
      <c r="G906"/>
      <c r="H906"/>
    </row>
    <row r="907" spans="1:8" x14ac:dyDescent="0.25">
      <c r="A907" s="43">
        <v>133</v>
      </c>
      <c r="B907" s="43" t="s">
        <v>44</v>
      </c>
      <c r="C907" s="43" t="s">
        <v>506</v>
      </c>
      <c r="D907" s="43" t="s">
        <v>523</v>
      </c>
      <c r="E907" s="43" t="s">
        <v>4472</v>
      </c>
      <c r="F907" s="43">
        <v>2</v>
      </c>
      <c r="G907" s="43" t="s">
        <v>4509</v>
      </c>
      <c r="H907" s="43" t="s">
        <v>4580</v>
      </c>
    </row>
    <row r="908" spans="1:8" hidden="1" x14ac:dyDescent="0.25">
      <c r="A908" s="43">
        <v>133</v>
      </c>
      <c r="B908" s="43" t="s">
        <v>44</v>
      </c>
      <c r="C908" s="43" t="s">
        <v>506</v>
      </c>
      <c r="D908" s="43" t="s">
        <v>525</v>
      </c>
      <c r="E908" s="43" t="s">
        <v>526</v>
      </c>
      <c r="F908" s="43">
        <v>1</v>
      </c>
    </row>
    <row r="909" spans="1:8" hidden="1" x14ac:dyDescent="0.25">
      <c r="A909" s="43">
        <v>133</v>
      </c>
      <c r="B909" s="43" t="s">
        <v>44</v>
      </c>
      <c r="C909" s="43" t="s">
        <v>506</v>
      </c>
      <c r="D909" s="43" t="s">
        <v>527</v>
      </c>
      <c r="E909" s="43" t="s">
        <v>283</v>
      </c>
      <c r="F909" s="43">
        <v>1</v>
      </c>
      <c r="G909"/>
      <c r="H909"/>
    </row>
    <row r="910" spans="1:8" hidden="1" x14ac:dyDescent="0.25">
      <c r="A910" s="43">
        <v>133</v>
      </c>
      <c r="B910" s="43" t="s">
        <v>44</v>
      </c>
      <c r="C910" s="43" t="s">
        <v>506</v>
      </c>
      <c r="D910" s="43" t="s">
        <v>528</v>
      </c>
      <c r="E910" s="43" t="s">
        <v>529</v>
      </c>
      <c r="F910" s="43">
        <v>0</v>
      </c>
      <c r="G910" s="43" t="s">
        <v>4593</v>
      </c>
      <c r="H910" s="43" t="s">
        <v>4761</v>
      </c>
    </row>
    <row r="911" spans="1:8" hidden="1" x14ac:dyDescent="0.25">
      <c r="A911" s="43">
        <v>133</v>
      </c>
      <c r="B911" s="43" t="s">
        <v>44</v>
      </c>
      <c r="C911" s="43" t="s">
        <v>506</v>
      </c>
      <c r="D911" s="43" t="s">
        <v>530</v>
      </c>
      <c r="E911" s="43" t="s">
        <v>531</v>
      </c>
      <c r="F911" s="43">
        <v>1</v>
      </c>
      <c r="G911"/>
      <c r="H911"/>
    </row>
    <row r="912" spans="1:8" hidden="1" x14ac:dyDescent="0.25">
      <c r="A912" s="43">
        <v>133</v>
      </c>
      <c r="B912" s="43" t="s">
        <v>44</v>
      </c>
      <c r="C912" s="43" t="s">
        <v>506</v>
      </c>
      <c r="D912" s="43" t="s">
        <v>542</v>
      </c>
      <c r="E912" s="43" t="s">
        <v>543</v>
      </c>
      <c r="F912" s="43">
        <v>1</v>
      </c>
      <c r="G912"/>
      <c r="H912"/>
    </row>
    <row r="913" spans="1:8" hidden="1" x14ac:dyDescent="0.25">
      <c r="A913" s="43">
        <v>133</v>
      </c>
      <c r="B913" s="43" t="s">
        <v>44</v>
      </c>
      <c r="C913" s="43" t="s">
        <v>506</v>
      </c>
      <c r="D913" s="43" t="s">
        <v>544</v>
      </c>
      <c r="E913" s="43" t="s">
        <v>545</v>
      </c>
      <c r="F913" s="43">
        <v>0</v>
      </c>
      <c r="G913" s="43" t="s">
        <v>4583</v>
      </c>
      <c r="H913"/>
    </row>
    <row r="914" spans="1:8" hidden="1" x14ac:dyDescent="0.25">
      <c r="A914" s="43">
        <v>133</v>
      </c>
      <c r="B914" s="43" t="s">
        <v>44</v>
      </c>
      <c r="C914" s="43" t="s">
        <v>506</v>
      </c>
      <c r="D914" s="43" t="s">
        <v>538</v>
      </c>
      <c r="E914" s="43" t="s">
        <v>539</v>
      </c>
      <c r="F914" s="43">
        <v>1</v>
      </c>
    </row>
    <row r="915" spans="1:8" x14ac:dyDescent="0.25">
      <c r="A915" s="43">
        <v>133</v>
      </c>
      <c r="B915" s="43" t="s">
        <v>44</v>
      </c>
      <c r="C915" s="43" t="s">
        <v>506</v>
      </c>
      <c r="D915" s="43" t="s">
        <v>540</v>
      </c>
      <c r="E915" s="43" t="s">
        <v>541</v>
      </c>
      <c r="F915" s="43">
        <v>2</v>
      </c>
      <c r="G915" s="43" t="s">
        <v>4505</v>
      </c>
      <c r="H915" s="43" t="s">
        <v>4580</v>
      </c>
    </row>
    <row r="916" spans="1:8" hidden="1" x14ac:dyDescent="0.25">
      <c r="A916" s="43">
        <v>133</v>
      </c>
      <c r="B916" s="43" t="s">
        <v>44</v>
      </c>
      <c r="C916" s="43" t="s">
        <v>506</v>
      </c>
      <c r="D916" s="43" t="s">
        <v>507</v>
      </c>
      <c r="E916" s="43" t="s">
        <v>508</v>
      </c>
      <c r="F916" s="43">
        <v>1</v>
      </c>
      <c r="G916"/>
      <c r="H916"/>
    </row>
    <row r="917" spans="1:8" hidden="1" x14ac:dyDescent="0.25">
      <c r="A917" s="43">
        <v>133</v>
      </c>
      <c r="B917" s="43" t="s">
        <v>44</v>
      </c>
      <c r="C917" s="43" t="s">
        <v>506</v>
      </c>
      <c r="D917" s="43" t="s">
        <v>509</v>
      </c>
      <c r="E917" s="43" t="s">
        <v>510</v>
      </c>
      <c r="F917" s="43">
        <v>1</v>
      </c>
      <c r="G917"/>
      <c r="H917"/>
    </row>
    <row r="918" spans="1:8" hidden="1" x14ac:dyDescent="0.25">
      <c r="A918" s="43">
        <v>133</v>
      </c>
      <c r="B918" s="43" t="s">
        <v>44</v>
      </c>
      <c r="C918" s="43" t="s">
        <v>506</v>
      </c>
      <c r="D918" s="43" t="s">
        <v>511</v>
      </c>
      <c r="E918" s="43" t="s">
        <v>512</v>
      </c>
      <c r="F918" s="43">
        <v>1</v>
      </c>
      <c r="G918"/>
      <c r="H918"/>
    </row>
    <row r="919" spans="1:8" hidden="1" x14ac:dyDescent="0.25">
      <c r="A919" s="43">
        <v>133</v>
      </c>
      <c r="B919" s="43" t="s">
        <v>44</v>
      </c>
      <c r="C919" s="43" t="s">
        <v>506</v>
      </c>
      <c r="D919" s="43" t="s">
        <v>546</v>
      </c>
      <c r="E919" s="43" t="s">
        <v>547</v>
      </c>
      <c r="F919" s="43">
        <v>0</v>
      </c>
      <c r="G919" s="43" t="s">
        <v>4593</v>
      </c>
      <c r="H919" s="43" t="s">
        <v>4761</v>
      </c>
    </row>
    <row r="920" spans="1:8" hidden="1" x14ac:dyDescent="0.25">
      <c r="A920" s="43">
        <v>134</v>
      </c>
      <c r="B920" s="43" t="s">
        <v>45</v>
      </c>
      <c r="C920" s="43" t="s">
        <v>1155</v>
      </c>
      <c r="D920" s="43" t="s">
        <v>1157</v>
      </c>
      <c r="E920" s="43" t="s">
        <v>844</v>
      </c>
      <c r="F920" s="43">
        <v>1</v>
      </c>
      <c r="G920"/>
      <c r="H920"/>
    </row>
    <row r="921" spans="1:8" hidden="1" x14ac:dyDescent="0.25">
      <c r="A921" s="43">
        <v>134</v>
      </c>
      <c r="B921" s="43" t="s">
        <v>45</v>
      </c>
      <c r="C921" s="43" t="s">
        <v>1155</v>
      </c>
      <c r="D921" s="43" t="s">
        <v>1156</v>
      </c>
      <c r="E921" s="43" t="s">
        <v>273</v>
      </c>
      <c r="F921" s="43">
        <v>1</v>
      </c>
      <c r="G921"/>
      <c r="H921"/>
    </row>
    <row r="922" spans="1:8" hidden="1" x14ac:dyDescent="0.25">
      <c r="A922" s="43">
        <v>134</v>
      </c>
      <c r="B922" s="43" t="s">
        <v>45</v>
      </c>
      <c r="C922" s="43" t="s">
        <v>1155</v>
      </c>
      <c r="D922" s="43" t="s">
        <v>1158</v>
      </c>
      <c r="E922" s="43" t="s">
        <v>1159</v>
      </c>
      <c r="F922" s="43">
        <v>1</v>
      </c>
      <c r="G922"/>
      <c r="H922"/>
    </row>
    <row r="923" spans="1:8" hidden="1" x14ac:dyDescent="0.25">
      <c r="A923" s="43">
        <v>134</v>
      </c>
      <c r="B923" s="43" t="s">
        <v>45</v>
      </c>
      <c r="C923" s="43" t="s">
        <v>1155</v>
      </c>
      <c r="D923" s="43" t="s">
        <v>1160</v>
      </c>
      <c r="E923" s="43" t="s">
        <v>1161</v>
      </c>
      <c r="F923" s="43">
        <v>1</v>
      </c>
      <c r="G923"/>
      <c r="H923"/>
    </row>
    <row r="924" spans="1:8" hidden="1" x14ac:dyDescent="0.25">
      <c r="A924" s="43">
        <v>134</v>
      </c>
      <c r="B924" s="43" t="s">
        <v>45</v>
      </c>
      <c r="C924" s="43" t="s">
        <v>1155</v>
      </c>
      <c r="D924" s="43" t="s">
        <v>1162</v>
      </c>
      <c r="E924" s="43" t="s">
        <v>1163</v>
      </c>
      <c r="F924" s="43">
        <v>1</v>
      </c>
      <c r="G924"/>
      <c r="H924"/>
    </row>
    <row r="925" spans="1:8" hidden="1" x14ac:dyDescent="0.25">
      <c r="A925" s="43">
        <v>134</v>
      </c>
      <c r="B925" s="43" t="s">
        <v>45</v>
      </c>
      <c r="C925" s="43" t="s">
        <v>1155</v>
      </c>
      <c r="D925" s="43" t="s">
        <v>1164</v>
      </c>
      <c r="E925" s="43" t="s">
        <v>1165</v>
      </c>
      <c r="F925" s="43">
        <v>1</v>
      </c>
      <c r="G925"/>
      <c r="H925"/>
    </row>
    <row r="926" spans="1:8" hidden="1" x14ac:dyDescent="0.25">
      <c r="A926" s="43">
        <v>134</v>
      </c>
      <c r="B926" s="43" t="s">
        <v>45</v>
      </c>
      <c r="C926" s="43" t="s">
        <v>1155</v>
      </c>
      <c r="D926" s="43" t="s">
        <v>1166</v>
      </c>
      <c r="E926" s="43" t="s">
        <v>295</v>
      </c>
      <c r="F926" s="89">
        <v>1</v>
      </c>
      <c r="H926"/>
    </row>
    <row r="927" spans="1:8" hidden="1" x14ac:dyDescent="0.25">
      <c r="A927" s="43">
        <v>134</v>
      </c>
      <c r="B927" s="43" t="s">
        <v>45</v>
      </c>
      <c r="C927" s="43" t="s">
        <v>1155</v>
      </c>
      <c r="D927" s="43" t="s">
        <v>1167</v>
      </c>
      <c r="E927" s="43" t="s">
        <v>1168</v>
      </c>
      <c r="F927" s="43">
        <v>1</v>
      </c>
      <c r="G927"/>
      <c r="H927"/>
    </row>
    <row r="928" spans="1:8" hidden="1" x14ac:dyDescent="0.25">
      <c r="A928" s="43">
        <v>142</v>
      </c>
      <c r="B928" s="43" t="s">
        <v>46</v>
      </c>
      <c r="C928" s="43" t="s">
        <v>1097</v>
      </c>
      <c r="D928" s="43" t="s">
        <v>1121</v>
      </c>
      <c r="E928" s="43" t="s">
        <v>1122</v>
      </c>
      <c r="F928" s="43">
        <v>0</v>
      </c>
      <c r="G928" s="43" t="s">
        <v>4594</v>
      </c>
      <c r="H928" s="43" t="s">
        <v>4759</v>
      </c>
    </row>
    <row r="929" spans="1:8" hidden="1" x14ac:dyDescent="0.25">
      <c r="A929" s="43">
        <v>142</v>
      </c>
      <c r="B929" s="43" t="s">
        <v>46</v>
      </c>
      <c r="C929" s="43" t="s">
        <v>1097</v>
      </c>
      <c r="D929" s="43" t="s">
        <v>1123</v>
      </c>
      <c r="E929" s="43" t="s">
        <v>1124</v>
      </c>
      <c r="F929" s="43">
        <v>1</v>
      </c>
      <c r="G929"/>
      <c r="H929"/>
    </row>
    <row r="930" spans="1:8" hidden="1" x14ac:dyDescent="0.25">
      <c r="A930" s="43">
        <v>142</v>
      </c>
      <c r="B930" s="43" t="s">
        <v>46</v>
      </c>
      <c r="C930" s="43" t="s">
        <v>1097</v>
      </c>
      <c r="D930" s="43" t="s">
        <v>1115</v>
      </c>
      <c r="E930" s="43" t="s">
        <v>1116</v>
      </c>
      <c r="F930" s="43">
        <v>0</v>
      </c>
      <c r="G930" s="43" t="s">
        <v>4594</v>
      </c>
      <c r="H930" s="43" t="s">
        <v>4759</v>
      </c>
    </row>
    <row r="931" spans="1:8" hidden="1" x14ac:dyDescent="0.25">
      <c r="A931" s="43">
        <v>142</v>
      </c>
      <c r="B931" s="43" t="s">
        <v>46</v>
      </c>
      <c r="C931" s="43" t="s">
        <v>1097</v>
      </c>
      <c r="D931" s="43" t="s">
        <v>1117</v>
      </c>
      <c r="E931" s="43" t="s">
        <v>1118</v>
      </c>
      <c r="F931" s="43">
        <v>0</v>
      </c>
      <c r="G931" s="43" t="s">
        <v>4594</v>
      </c>
      <c r="H931" s="43" t="s">
        <v>4759</v>
      </c>
    </row>
    <row r="932" spans="1:8" hidden="1" x14ac:dyDescent="0.25">
      <c r="A932" s="43">
        <v>142</v>
      </c>
      <c r="B932" s="43" t="s">
        <v>46</v>
      </c>
      <c r="C932" s="43" t="s">
        <v>1097</v>
      </c>
      <c r="D932" s="43" t="s">
        <v>1119</v>
      </c>
      <c r="E932" s="43" t="s">
        <v>1120</v>
      </c>
      <c r="F932" s="43">
        <v>0</v>
      </c>
      <c r="G932" s="43" t="s">
        <v>4594</v>
      </c>
      <c r="H932" s="43" t="s">
        <v>4759</v>
      </c>
    </row>
    <row r="933" spans="1:8" hidden="1" x14ac:dyDescent="0.25">
      <c r="A933" s="43">
        <v>142</v>
      </c>
      <c r="B933" s="43" t="s">
        <v>46</v>
      </c>
      <c r="C933" s="43" t="s">
        <v>1097</v>
      </c>
      <c r="D933" s="43" t="s">
        <v>1107</v>
      </c>
      <c r="E933" s="43" t="s">
        <v>4476</v>
      </c>
      <c r="F933" s="43">
        <v>1</v>
      </c>
      <c r="G933"/>
      <c r="H933"/>
    </row>
    <row r="934" spans="1:8" hidden="1" x14ac:dyDescent="0.25">
      <c r="A934" s="43">
        <v>142</v>
      </c>
      <c r="B934" s="43" t="s">
        <v>46</v>
      </c>
      <c r="C934" s="43" t="s">
        <v>1097</v>
      </c>
      <c r="D934" s="43" t="s">
        <v>1109</v>
      </c>
      <c r="E934" s="43" t="s">
        <v>3050</v>
      </c>
      <c r="F934" s="43">
        <v>1</v>
      </c>
      <c r="G934"/>
      <c r="H934"/>
    </row>
    <row r="935" spans="1:8" hidden="1" x14ac:dyDescent="0.25">
      <c r="A935" s="43">
        <v>142</v>
      </c>
      <c r="B935" s="43" t="s">
        <v>46</v>
      </c>
      <c r="C935" s="43" t="s">
        <v>1097</v>
      </c>
      <c r="D935" s="43" t="s">
        <v>1111</v>
      </c>
      <c r="E935" s="43" t="s">
        <v>1112</v>
      </c>
      <c r="F935" s="43">
        <v>0</v>
      </c>
      <c r="G935" s="43" t="s">
        <v>4594</v>
      </c>
      <c r="H935" s="43" t="s">
        <v>4759</v>
      </c>
    </row>
    <row r="936" spans="1:8" hidden="1" x14ac:dyDescent="0.25">
      <c r="A936" s="43">
        <v>142</v>
      </c>
      <c r="B936" s="43" t="s">
        <v>46</v>
      </c>
      <c r="C936" s="43" t="s">
        <v>1097</v>
      </c>
      <c r="D936" s="43" t="s">
        <v>1113</v>
      </c>
      <c r="E936" s="43" t="s">
        <v>1114</v>
      </c>
      <c r="F936" s="43">
        <v>1</v>
      </c>
      <c r="G936"/>
      <c r="H936"/>
    </row>
    <row r="937" spans="1:8" hidden="1" x14ac:dyDescent="0.25">
      <c r="A937" s="43">
        <v>142</v>
      </c>
      <c r="B937" s="43" t="s">
        <v>46</v>
      </c>
      <c r="C937" s="43" t="s">
        <v>1097</v>
      </c>
      <c r="D937" s="43" t="s">
        <v>1098</v>
      </c>
      <c r="E937" s="43" t="s">
        <v>1099</v>
      </c>
      <c r="F937" s="43">
        <v>0</v>
      </c>
      <c r="G937" s="43" t="s">
        <v>4583</v>
      </c>
      <c r="H937"/>
    </row>
    <row r="938" spans="1:8" hidden="1" x14ac:dyDescent="0.25">
      <c r="A938" s="43">
        <v>142</v>
      </c>
      <c r="B938" s="43" t="s">
        <v>46</v>
      </c>
      <c r="C938" s="43" t="s">
        <v>1097</v>
      </c>
      <c r="D938" s="43" t="s">
        <v>1100</v>
      </c>
      <c r="E938" s="43" t="s">
        <v>1101</v>
      </c>
      <c r="F938" s="43">
        <v>0</v>
      </c>
      <c r="G938" s="43" t="s">
        <v>4594</v>
      </c>
      <c r="H938" s="43" t="s">
        <v>4759</v>
      </c>
    </row>
    <row r="939" spans="1:8" hidden="1" x14ac:dyDescent="0.25">
      <c r="A939" s="43">
        <v>142</v>
      </c>
      <c r="B939" s="43" t="s">
        <v>46</v>
      </c>
      <c r="C939" s="43" t="s">
        <v>1097</v>
      </c>
      <c r="D939" s="43" t="s">
        <v>1102</v>
      </c>
      <c r="E939" s="43" t="s">
        <v>1103</v>
      </c>
      <c r="F939" s="43">
        <v>1</v>
      </c>
      <c r="G939"/>
      <c r="H939"/>
    </row>
    <row r="940" spans="1:8" hidden="1" x14ac:dyDescent="0.25">
      <c r="A940" s="43">
        <v>142</v>
      </c>
      <c r="B940" s="43" t="s">
        <v>46</v>
      </c>
      <c r="C940" s="43" t="s">
        <v>1097</v>
      </c>
      <c r="D940" s="43" t="s">
        <v>1104</v>
      </c>
      <c r="E940" s="43" t="s">
        <v>1105</v>
      </c>
      <c r="F940" s="43">
        <v>1</v>
      </c>
      <c r="G940"/>
      <c r="H940"/>
    </row>
    <row r="941" spans="1:8" hidden="1" x14ac:dyDescent="0.25">
      <c r="A941" s="43">
        <v>142</v>
      </c>
      <c r="B941" s="43" t="s">
        <v>46</v>
      </c>
      <c r="C941" s="43" t="s">
        <v>1097</v>
      </c>
      <c r="D941" s="43" t="s">
        <v>1106</v>
      </c>
      <c r="E941" s="43" t="s">
        <v>349</v>
      </c>
      <c r="F941" s="43">
        <v>1</v>
      </c>
      <c r="G941"/>
      <c r="H941"/>
    </row>
    <row r="942" spans="1:8" x14ac:dyDescent="0.25">
      <c r="A942" s="43">
        <v>146</v>
      </c>
      <c r="B942" s="43" t="s">
        <v>47</v>
      </c>
      <c r="C942" s="43" t="s">
        <v>337</v>
      </c>
      <c r="D942" s="43" t="s">
        <v>354</v>
      </c>
      <c r="E942" s="43" t="s">
        <v>355</v>
      </c>
      <c r="F942" s="43">
        <v>2</v>
      </c>
      <c r="G942" s="43" t="s">
        <v>4510</v>
      </c>
      <c r="H942" s="43" t="s">
        <v>4580</v>
      </c>
    </row>
    <row r="943" spans="1:8" hidden="1" x14ac:dyDescent="0.25">
      <c r="A943" s="43">
        <v>146</v>
      </c>
      <c r="B943" s="43" t="s">
        <v>47</v>
      </c>
      <c r="C943" s="43" t="s">
        <v>337</v>
      </c>
      <c r="D943" s="43" t="s">
        <v>356</v>
      </c>
      <c r="E943" s="43" t="s">
        <v>357</v>
      </c>
      <c r="F943" s="43">
        <v>1</v>
      </c>
      <c r="G943"/>
      <c r="H943"/>
    </row>
    <row r="944" spans="1:8" hidden="1" x14ac:dyDescent="0.25">
      <c r="A944" s="43">
        <v>146</v>
      </c>
      <c r="B944" s="43" t="s">
        <v>47</v>
      </c>
      <c r="C944" s="43" t="s">
        <v>337</v>
      </c>
      <c r="D944" s="43" t="s">
        <v>358</v>
      </c>
      <c r="E944" s="43" t="s">
        <v>359</v>
      </c>
      <c r="F944" s="43">
        <v>0</v>
      </c>
      <c r="G944" s="43" t="s">
        <v>4595</v>
      </c>
      <c r="H944" s="43" t="s">
        <v>4759</v>
      </c>
    </row>
    <row r="945" spans="1:8" x14ac:dyDescent="0.25">
      <c r="A945" s="43">
        <v>146</v>
      </c>
      <c r="B945" s="43" t="s">
        <v>47</v>
      </c>
      <c r="C945" s="43" t="s">
        <v>337</v>
      </c>
      <c r="D945" s="43" t="s">
        <v>360</v>
      </c>
      <c r="E945" s="43" t="s">
        <v>361</v>
      </c>
      <c r="F945" s="43">
        <v>2</v>
      </c>
      <c r="G945" s="43" t="s">
        <v>4510</v>
      </c>
      <c r="H945" s="43" t="s">
        <v>4580</v>
      </c>
    </row>
    <row r="946" spans="1:8" hidden="1" x14ac:dyDescent="0.25">
      <c r="A946" s="43">
        <v>146</v>
      </c>
      <c r="B946" s="43" t="s">
        <v>47</v>
      </c>
      <c r="C946" s="43" t="s">
        <v>337</v>
      </c>
      <c r="D946" s="43" t="s">
        <v>342</v>
      </c>
      <c r="E946" s="43" t="s">
        <v>343</v>
      </c>
      <c r="F946" s="43">
        <v>1</v>
      </c>
      <c r="G946"/>
      <c r="H946"/>
    </row>
    <row r="947" spans="1:8" hidden="1" x14ac:dyDescent="0.25">
      <c r="A947" s="43">
        <v>146</v>
      </c>
      <c r="B947" s="43" t="s">
        <v>47</v>
      </c>
      <c r="C947" s="43" t="s">
        <v>337</v>
      </c>
      <c r="D947" s="43" t="s">
        <v>348</v>
      </c>
      <c r="E947" s="43" t="s">
        <v>349</v>
      </c>
      <c r="F947" s="43">
        <v>1</v>
      </c>
      <c r="G947"/>
      <c r="H947"/>
    </row>
    <row r="948" spans="1:8" hidden="1" x14ac:dyDescent="0.25">
      <c r="A948" s="43">
        <v>146</v>
      </c>
      <c r="B948" s="43" t="s">
        <v>47</v>
      </c>
      <c r="C948" s="43" t="s">
        <v>337</v>
      </c>
      <c r="D948" s="43" t="s">
        <v>338</v>
      </c>
      <c r="E948" s="43" t="s">
        <v>304</v>
      </c>
      <c r="F948" s="43">
        <v>1</v>
      </c>
      <c r="G948"/>
      <c r="H948"/>
    </row>
    <row r="949" spans="1:8" hidden="1" x14ac:dyDescent="0.25">
      <c r="A949" s="43">
        <v>146</v>
      </c>
      <c r="B949" s="43" t="s">
        <v>47</v>
      </c>
      <c r="C949" s="43" t="s">
        <v>337</v>
      </c>
      <c r="D949" s="43" t="s">
        <v>339</v>
      </c>
      <c r="E949" s="43" t="s">
        <v>306</v>
      </c>
      <c r="F949" s="43">
        <v>1</v>
      </c>
      <c r="G949"/>
      <c r="H949"/>
    </row>
    <row r="950" spans="1:8" hidden="1" x14ac:dyDescent="0.25">
      <c r="A950" s="43">
        <v>146</v>
      </c>
      <c r="B950" s="43" t="s">
        <v>47</v>
      </c>
      <c r="C950" s="43" t="s">
        <v>337</v>
      </c>
      <c r="D950" s="43" t="s">
        <v>340</v>
      </c>
      <c r="E950" s="43" t="s">
        <v>341</v>
      </c>
      <c r="F950" s="43">
        <v>1</v>
      </c>
      <c r="G950"/>
      <c r="H950"/>
    </row>
    <row r="951" spans="1:8" hidden="1" x14ac:dyDescent="0.25">
      <c r="A951" s="43">
        <v>146</v>
      </c>
      <c r="B951" s="43" t="s">
        <v>47</v>
      </c>
      <c r="C951" s="43" t="s">
        <v>337</v>
      </c>
      <c r="D951" s="43" t="s">
        <v>344</v>
      </c>
      <c r="E951" s="43" t="s">
        <v>345</v>
      </c>
      <c r="F951" s="43">
        <v>1</v>
      </c>
      <c r="G951"/>
      <c r="H951"/>
    </row>
    <row r="952" spans="1:8" hidden="1" x14ac:dyDescent="0.25">
      <c r="A952" s="43">
        <v>146</v>
      </c>
      <c r="B952" s="43" t="s">
        <v>47</v>
      </c>
      <c r="C952" s="43" t="s">
        <v>337</v>
      </c>
      <c r="D952" s="43" t="s">
        <v>346</v>
      </c>
      <c r="E952" s="43" t="s">
        <v>347</v>
      </c>
      <c r="F952" s="43">
        <v>0</v>
      </c>
      <c r="G952" s="43" t="s">
        <v>4595</v>
      </c>
      <c r="H952" s="43" t="s">
        <v>4759</v>
      </c>
    </row>
    <row r="953" spans="1:8" hidden="1" x14ac:dyDescent="0.25">
      <c r="A953" s="43">
        <v>146</v>
      </c>
      <c r="B953" s="43" t="s">
        <v>47</v>
      </c>
      <c r="C953" s="43" t="s">
        <v>337</v>
      </c>
      <c r="D953" s="43" t="s">
        <v>350</v>
      </c>
      <c r="E953" s="43" t="s">
        <v>351</v>
      </c>
      <c r="F953" s="43">
        <v>0</v>
      </c>
      <c r="G953" s="43" t="s">
        <v>4595</v>
      </c>
      <c r="H953" s="43" t="s">
        <v>4759</v>
      </c>
    </row>
    <row r="954" spans="1:8" hidden="1" x14ac:dyDescent="0.25">
      <c r="A954" s="43">
        <v>146</v>
      </c>
      <c r="B954" s="43" t="s">
        <v>47</v>
      </c>
      <c r="C954" s="43" t="s">
        <v>337</v>
      </c>
      <c r="D954" s="43" t="s">
        <v>352</v>
      </c>
      <c r="E954" s="43" t="s">
        <v>353</v>
      </c>
      <c r="F954" s="43">
        <v>1</v>
      </c>
      <c r="G954"/>
      <c r="H954"/>
    </row>
    <row r="955" spans="1:8" hidden="1" x14ac:dyDescent="0.25">
      <c r="A955" s="43">
        <v>147</v>
      </c>
      <c r="B955" s="43" t="s">
        <v>48</v>
      </c>
      <c r="C955" s="43" t="s">
        <v>1874</v>
      </c>
      <c r="D955" s="43" t="s">
        <v>1883</v>
      </c>
      <c r="E955" s="43" t="s">
        <v>1884</v>
      </c>
      <c r="F955" s="89">
        <v>1</v>
      </c>
      <c r="H955"/>
    </row>
    <row r="956" spans="1:8" hidden="1" x14ac:dyDescent="0.25">
      <c r="A956" s="43">
        <v>147</v>
      </c>
      <c r="B956" s="43" t="s">
        <v>48</v>
      </c>
      <c r="C956" s="43" t="s">
        <v>1874</v>
      </c>
      <c r="D956" s="43" t="s">
        <v>1885</v>
      </c>
      <c r="E956" s="43" t="s">
        <v>1886</v>
      </c>
      <c r="F956" s="43">
        <v>1</v>
      </c>
      <c r="G956"/>
      <c r="H956"/>
    </row>
    <row r="957" spans="1:8" hidden="1" x14ac:dyDescent="0.25">
      <c r="A957" s="43">
        <v>147</v>
      </c>
      <c r="B957" s="43" t="s">
        <v>48</v>
      </c>
      <c r="C957" s="43" t="s">
        <v>1874</v>
      </c>
      <c r="D957" s="43" t="s">
        <v>1887</v>
      </c>
      <c r="E957" s="43" t="s">
        <v>1888</v>
      </c>
      <c r="F957" s="43">
        <v>1</v>
      </c>
      <c r="G957"/>
      <c r="H957"/>
    </row>
    <row r="958" spans="1:8" hidden="1" x14ac:dyDescent="0.25">
      <c r="A958" s="43">
        <v>147</v>
      </c>
      <c r="B958" s="43" t="s">
        <v>48</v>
      </c>
      <c r="C958" s="43" t="s">
        <v>1874</v>
      </c>
      <c r="D958" s="43" t="s">
        <v>1880</v>
      </c>
      <c r="E958" s="43" t="s">
        <v>1881</v>
      </c>
      <c r="F958" s="43">
        <v>1</v>
      </c>
      <c r="G958"/>
      <c r="H958"/>
    </row>
    <row r="959" spans="1:8" hidden="1" x14ac:dyDescent="0.25">
      <c r="A959" s="43">
        <v>147</v>
      </c>
      <c r="B959" s="43" t="s">
        <v>48</v>
      </c>
      <c r="C959" s="43" t="s">
        <v>1874</v>
      </c>
      <c r="D959" s="43" t="s">
        <v>2175</v>
      </c>
      <c r="E959" s="43" t="s">
        <v>1882</v>
      </c>
      <c r="F959" s="43">
        <v>1</v>
      </c>
      <c r="G959"/>
      <c r="H959"/>
    </row>
    <row r="960" spans="1:8" hidden="1" x14ac:dyDescent="0.25">
      <c r="A960" s="43">
        <v>147</v>
      </c>
      <c r="B960" s="43" t="s">
        <v>48</v>
      </c>
      <c r="C960" s="43" t="s">
        <v>1874</v>
      </c>
      <c r="D960" s="43" t="s">
        <v>1875</v>
      </c>
      <c r="E960" s="43" t="s">
        <v>820</v>
      </c>
      <c r="F960" s="43">
        <v>1</v>
      </c>
      <c r="G960"/>
      <c r="H960"/>
    </row>
    <row r="961" spans="1:8" hidden="1" x14ac:dyDescent="0.25">
      <c r="A961" s="43">
        <v>147</v>
      </c>
      <c r="B961" s="43" t="s">
        <v>48</v>
      </c>
      <c r="C961" s="43" t="s">
        <v>1874</v>
      </c>
      <c r="D961" s="43" t="s">
        <v>1876</v>
      </c>
      <c r="E961" s="43" t="s">
        <v>1877</v>
      </c>
      <c r="F961" s="43">
        <v>1</v>
      </c>
      <c r="G961"/>
      <c r="H961"/>
    </row>
    <row r="962" spans="1:8" hidden="1" x14ac:dyDescent="0.25">
      <c r="A962" s="43">
        <v>147</v>
      </c>
      <c r="B962" s="43" t="s">
        <v>48</v>
      </c>
      <c r="C962" s="43" t="s">
        <v>1874</v>
      </c>
      <c r="D962" s="43" t="s">
        <v>1878</v>
      </c>
      <c r="E962" s="43" t="s">
        <v>1879</v>
      </c>
      <c r="F962" s="43">
        <v>1</v>
      </c>
      <c r="G962"/>
      <c r="H962"/>
    </row>
    <row r="963" spans="1:8" hidden="1" x14ac:dyDescent="0.25">
      <c r="A963" s="43">
        <v>147</v>
      </c>
      <c r="B963" s="43" t="s">
        <v>48</v>
      </c>
      <c r="C963" s="43" t="s">
        <v>1874</v>
      </c>
      <c r="D963" s="43" t="s">
        <v>1895</v>
      </c>
      <c r="E963" s="43" t="s">
        <v>368</v>
      </c>
      <c r="F963" s="43">
        <v>1</v>
      </c>
      <c r="G963"/>
      <c r="H963"/>
    </row>
    <row r="964" spans="1:8" hidden="1" x14ac:dyDescent="0.25">
      <c r="A964" s="43">
        <v>147</v>
      </c>
      <c r="B964" s="43" t="s">
        <v>48</v>
      </c>
      <c r="C964" s="43" t="s">
        <v>1874</v>
      </c>
      <c r="D964" s="43" t="s">
        <v>1896</v>
      </c>
      <c r="E964" s="43" t="s">
        <v>370</v>
      </c>
      <c r="F964" s="43">
        <v>1</v>
      </c>
      <c r="G964"/>
      <c r="H964"/>
    </row>
    <row r="965" spans="1:8" hidden="1" x14ac:dyDescent="0.25">
      <c r="A965" s="43">
        <v>147</v>
      </c>
      <c r="B965" s="43" t="s">
        <v>48</v>
      </c>
      <c r="C965" s="43" t="s">
        <v>1874</v>
      </c>
      <c r="D965" s="43" t="s">
        <v>1889</v>
      </c>
      <c r="E965" s="43" t="s">
        <v>1890</v>
      </c>
      <c r="F965" s="43">
        <v>1</v>
      </c>
      <c r="G965"/>
      <c r="H965"/>
    </row>
    <row r="966" spans="1:8" hidden="1" x14ac:dyDescent="0.25">
      <c r="A966" s="43">
        <v>147</v>
      </c>
      <c r="B966" s="43" t="s">
        <v>48</v>
      </c>
      <c r="C966" s="43" t="s">
        <v>1874</v>
      </c>
      <c r="D966" s="43" t="s">
        <v>1891</v>
      </c>
      <c r="E966" s="43" t="s">
        <v>1892</v>
      </c>
      <c r="F966" s="43">
        <v>1</v>
      </c>
      <c r="G966"/>
      <c r="H966"/>
    </row>
    <row r="967" spans="1:8" hidden="1" x14ac:dyDescent="0.25">
      <c r="A967" s="43">
        <v>147</v>
      </c>
      <c r="B967" s="43" t="s">
        <v>48</v>
      </c>
      <c r="C967" s="43" t="s">
        <v>1874</v>
      </c>
      <c r="D967" s="43" t="s">
        <v>1893</v>
      </c>
      <c r="E967" s="43" t="s">
        <v>1894</v>
      </c>
      <c r="F967" s="43">
        <v>1</v>
      </c>
      <c r="G967"/>
      <c r="H967"/>
    </row>
    <row r="968" spans="1:8" hidden="1" x14ac:dyDescent="0.25">
      <c r="A968" s="43">
        <v>147</v>
      </c>
      <c r="B968" s="43" t="s">
        <v>48</v>
      </c>
      <c r="C968" s="43" t="s">
        <v>1874</v>
      </c>
      <c r="D968" s="43" t="s">
        <v>1901</v>
      </c>
      <c r="E968" s="43" t="s">
        <v>1902</v>
      </c>
      <c r="F968" s="43">
        <v>1</v>
      </c>
      <c r="G968"/>
      <c r="H968"/>
    </row>
    <row r="969" spans="1:8" hidden="1" x14ac:dyDescent="0.25">
      <c r="A969" s="43">
        <v>147</v>
      </c>
      <c r="B969" s="43" t="s">
        <v>48</v>
      </c>
      <c r="C969" s="43" t="s">
        <v>1874</v>
      </c>
      <c r="D969" s="43" t="s">
        <v>1903</v>
      </c>
      <c r="E969" s="43" t="s">
        <v>1904</v>
      </c>
      <c r="F969" s="43">
        <v>1</v>
      </c>
      <c r="G969"/>
      <c r="H969"/>
    </row>
    <row r="970" spans="1:8" hidden="1" x14ac:dyDescent="0.25">
      <c r="A970" s="43">
        <v>147</v>
      </c>
      <c r="B970" s="43" t="s">
        <v>48</v>
      </c>
      <c r="C970" s="43" t="s">
        <v>1874</v>
      </c>
      <c r="D970" s="43" t="s">
        <v>1905</v>
      </c>
      <c r="E970" s="43" t="s">
        <v>1906</v>
      </c>
      <c r="F970" s="43">
        <v>1</v>
      </c>
      <c r="G970"/>
      <c r="H970"/>
    </row>
    <row r="971" spans="1:8" hidden="1" x14ac:dyDescent="0.25">
      <c r="A971" s="43">
        <v>147</v>
      </c>
      <c r="B971" s="43" t="s">
        <v>48</v>
      </c>
      <c r="C971" s="43" t="s">
        <v>1874</v>
      </c>
      <c r="D971" s="43" t="s">
        <v>1907</v>
      </c>
      <c r="E971" s="43" t="s">
        <v>1908</v>
      </c>
      <c r="F971" s="43">
        <v>1</v>
      </c>
      <c r="G971"/>
      <c r="H971"/>
    </row>
    <row r="972" spans="1:8" hidden="1" x14ac:dyDescent="0.25">
      <c r="A972" s="43">
        <v>147</v>
      </c>
      <c r="B972" s="43" t="s">
        <v>48</v>
      </c>
      <c r="C972" s="43" t="s">
        <v>1874</v>
      </c>
      <c r="D972" s="43" t="s">
        <v>1897</v>
      </c>
      <c r="E972" s="43" t="s">
        <v>1898</v>
      </c>
      <c r="F972" s="43">
        <v>1</v>
      </c>
      <c r="G972"/>
      <c r="H972"/>
    </row>
    <row r="973" spans="1:8" hidden="1" x14ac:dyDescent="0.25">
      <c r="A973" s="43">
        <v>147</v>
      </c>
      <c r="B973" s="43" t="s">
        <v>48</v>
      </c>
      <c r="C973" s="43" t="s">
        <v>1874</v>
      </c>
      <c r="D973" s="43" t="s">
        <v>1899</v>
      </c>
      <c r="E973" s="43" t="s">
        <v>361</v>
      </c>
      <c r="F973" s="43">
        <v>1</v>
      </c>
      <c r="G973"/>
      <c r="H973"/>
    </row>
    <row r="974" spans="1:8" hidden="1" x14ac:dyDescent="0.25">
      <c r="A974" s="43">
        <v>147</v>
      </c>
      <c r="B974" s="43" t="s">
        <v>48</v>
      </c>
      <c r="C974" s="43" t="s">
        <v>1874</v>
      </c>
      <c r="D974" s="43" t="s">
        <v>1900</v>
      </c>
      <c r="E974" s="43" t="s">
        <v>359</v>
      </c>
      <c r="F974" s="43">
        <v>1</v>
      </c>
      <c r="G974"/>
      <c r="H974"/>
    </row>
    <row r="975" spans="1:8" hidden="1" x14ac:dyDescent="0.25">
      <c r="A975" s="43">
        <v>147</v>
      </c>
      <c r="B975" s="43" t="s">
        <v>48</v>
      </c>
      <c r="C975" s="43" t="s">
        <v>891</v>
      </c>
      <c r="D975" s="43" t="s">
        <v>911</v>
      </c>
      <c r="E975" s="43" t="s">
        <v>4477</v>
      </c>
      <c r="F975" s="43">
        <v>1</v>
      </c>
      <c r="G975"/>
      <c r="H975"/>
    </row>
    <row r="976" spans="1:8" hidden="1" x14ac:dyDescent="0.25">
      <c r="A976" s="43">
        <v>147</v>
      </c>
      <c r="B976" s="43" t="s">
        <v>48</v>
      </c>
      <c r="C976" s="43" t="s">
        <v>891</v>
      </c>
      <c r="D976" s="43" t="s">
        <v>913</v>
      </c>
      <c r="E976" s="43" t="s">
        <v>914</v>
      </c>
      <c r="F976" s="43">
        <v>1</v>
      </c>
      <c r="G976"/>
      <c r="H976"/>
    </row>
    <row r="977" spans="1:8" hidden="1" x14ac:dyDescent="0.25">
      <c r="A977" s="43">
        <v>147</v>
      </c>
      <c r="B977" s="43" t="s">
        <v>48</v>
      </c>
      <c r="C977" s="43" t="s">
        <v>891</v>
      </c>
      <c r="D977" s="43" t="s">
        <v>915</v>
      </c>
      <c r="E977" s="43" t="s">
        <v>916</v>
      </c>
      <c r="F977" s="43">
        <v>1</v>
      </c>
      <c r="G977"/>
      <c r="H977"/>
    </row>
    <row r="978" spans="1:8" hidden="1" x14ac:dyDescent="0.25">
      <c r="A978" s="43">
        <v>147</v>
      </c>
      <c r="B978" s="43" t="s">
        <v>48</v>
      </c>
      <c r="C978" s="43" t="s">
        <v>891</v>
      </c>
      <c r="D978" s="43" t="s">
        <v>905</v>
      </c>
      <c r="E978" s="43" t="s">
        <v>906</v>
      </c>
      <c r="F978" s="43">
        <v>1</v>
      </c>
      <c r="G978"/>
      <c r="H978"/>
    </row>
    <row r="979" spans="1:8" hidden="1" x14ac:dyDescent="0.25">
      <c r="A979" s="43">
        <v>147</v>
      </c>
      <c r="B979" s="43" t="s">
        <v>48</v>
      </c>
      <c r="C979" s="43" t="s">
        <v>891</v>
      </c>
      <c r="D979" s="43" t="s">
        <v>907</v>
      </c>
      <c r="E979" s="43" t="s">
        <v>908</v>
      </c>
      <c r="F979" s="43">
        <v>1</v>
      </c>
      <c r="G979"/>
      <c r="H979"/>
    </row>
    <row r="980" spans="1:8" hidden="1" x14ac:dyDescent="0.25">
      <c r="A980" s="43">
        <v>147</v>
      </c>
      <c r="B980" s="43" t="s">
        <v>48</v>
      </c>
      <c r="C980" s="43" t="s">
        <v>891</v>
      </c>
      <c r="D980" s="43" t="s">
        <v>909</v>
      </c>
      <c r="E980" s="43" t="s">
        <v>910</v>
      </c>
      <c r="F980" s="43">
        <v>1</v>
      </c>
      <c r="G980"/>
      <c r="H980"/>
    </row>
    <row r="981" spans="1:8" hidden="1" x14ac:dyDescent="0.25">
      <c r="A981" s="43">
        <v>147</v>
      </c>
      <c r="B981" s="43" t="s">
        <v>48</v>
      </c>
      <c r="C981" s="43" t="s">
        <v>891</v>
      </c>
      <c r="D981" s="43" t="s">
        <v>892</v>
      </c>
      <c r="E981" s="43" t="s">
        <v>893</v>
      </c>
      <c r="F981" s="43">
        <v>1</v>
      </c>
      <c r="G981"/>
      <c r="H981"/>
    </row>
    <row r="982" spans="1:8" hidden="1" x14ac:dyDescent="0.25">
      <c r="A982" s="43">
        <v>147</v>
      </c>
      <c r="B982" s="43" t="s">
        <v>48</v>
      </c>
      <c r="C982" s="43" t="s">
        <v>891</v>
      </c>
      <c r="D982" s="43" t="s">
        <v>894</v>
      </c>
      <c r="E982" s="43" t="s">
        <v>895</v>
      </c>
      <c r="F982" s="43">
        <v>1</v>
      </c>
      <c r="G982"/>
      <c r="H982"/>
    </row>
    <row r="983" spans="1:8" hidden="1" x14ac:dyDescent="0.25">
      <c r="A983" s="43">
        <v>147</v>
      </c>
      <c r="B983" s="43" t="s">
        <v>48</v>
      </c>
      <c r="C983" s="43" t="s">
        <v>891</v>
      </c>
      <c r="D983" s="43" t="s">
        <v>901</v>
      </c>
      <c r="E983" s="43" t="s">
        <v>902</v>
      </c>
      <c r="F983" s="43">
        <v>1</v>
      </c>
      <c r="G983"/>
      <c r="H983"/>
    </row>
    <row r="984" spans="1:8" hidden="1" x14ac:dyDescent="0.25">
      <c r="A984" s="43">
        <v>147</v>
      </c>
      <c r="B984" s="43" t="s">
        <v>48</v>
      </c>
      <c r="C984" s="43" t="s">
        <v>891</v>
      </c>
      <c r="D984" s="43" t="s">
        <v>903</v>
      </c>
      <c r="E984" s="43" t="s">
        <v>904</v>
      </c>
      <c r="F984" s="43">
        <v>1</v>
      </c>
      <c r="G984"/>
      <c r="H984"/>
    </row>
    <row r="985" spans="1:8" hidden="1" x14ac:dyDescent="0.25">
      <c r="A985" s="43">
        <v>147</v>
      </c>
      <c r="B985" s="43" t="s">
        <v>48</v>
      </c>
      <c r="C985" s="43" t="s">
        <v>891</v>
      </c>
      <c r="D985" s="43" t="s">
        <v>896</v>
      </c>
      <c r="E985" s="43" t="s">
        <v>897</v>
      </c>
      <c r="F985" s="43">
        <v>1</v>
      </c>
      <c r="G985"/>
      <c r="H985"/>
    </row>
    <row r="986" spans="1:8" hidden="1" x14ac:dyDescent="0.25">
      <c r="A986" s="43">
        <v>147</v>
      </c>
      <c r="B986" s="43" t="s">
        <v>48</v>
      </c>
      <c r="C986" s="43" t="s">
        <v>891</v>
      </c>
      <c r="D986" s="43" t="s">
        <v>898</v>
      </c>
      <c r="E986" s="43" t="s">
        <v>899</v>
      </c>
      <c r="F986" s="43">
        <v>1</v>
      </c>
      <c r="G986"/>
      <c r="H986"/>
    </row>
    <row r="987" spans="1:8" hidden="1" x14ac:dyDescent="0.25">
      <c r="A987" s="43">
        <v>147</v>
      </c>
      <c r="B987" s="43" t="s">
        <v>48</v>
      </c>
      <c r="C987" s="43" t="s">
        <v>891</v>
      </c>
      <c r="D987" s="43" t="s">
        <v>900</v>
      </c>
      <c r="E987" s="43" t="s">
        <v>349</v>
      </c>
      <c r="F987" s="43">
        <v>1</v>
      </c>
      <c r="G987"/>
      <c r="H987"/>
    </row>
    <row r="988" spans="1:8" hidden="1" x14ac:dyDescent="0.25">
      <c r="A988" s="43">
        <v>147</v>
      </c>
      <c r="B988" s="43" t="s">
        <v>48</v>
      </c>
      <c r="C988" s="43" t="s">
        <v>1909</v>
      </c>
      <c r="D988" s="43" t="s">
        <v>1911</v>
      </c>
      <c r="E988" s="43" t="s">
        <v>1912</v>
      </c>
      <c r="F988" s="43">
        <v>0</v>
      </c>
      <c r="G988" s="43" t="s">
        <v>4583</v>
      </c>
    </row>
    <row r="989" spans="1:8" hidden="1" x14ac:dyDescent="0.25">
      <c r="A989" s="43">
        <v>147</v>
      </c>
      <c r="B989" s="43" t="s">
        <v>48</v>
      </c>
      <c r="C989" s="43" t="s">
        <v>1909</v>
      </c>
      <c r="D989" s="43" t="s">
        <v>1913</v>
      </c>
      <c r="E989" s="43" t="s">
        <v>1914</v>
      </c>
      <c r="F989" s="43">
        <v>0</v>
      </c>
      <c r="G989" s="43" t="s">
        <v>4583</v>
      </c>
    </row>
    <row r="990" spans="1:8" hidden="1" x14ac:dyDescent="0.25">
      <c r="A990" s="43">
        <v>147</v>
      </c>
      <c r="B990" s="43" t="s">
        <v>48</v>
      </c>
      <c r="C990" s="43" t="s">
        <v>1909</v>
      </c>
      <c r="D990" s="43" t="s">
        <v>1927</v>
      </c>
      <c r="E990" s="43" t="s">
        <v>1928</v>
      </c>
      <c r="F990" s="43">
        <v>0</v>
      </c>
      <c r="G990" s="43" t="s">
        <v>4583</v>
      </c>
    </row>
    <row r="991" spans="1:8" hidden="1" x14ac:dyDescent="0.25">
      <c r="A991" s="43">
        <v>147</v>
      </c>
      <c r="B991" s="43" t="s">
        <v>48</v>
      </c>
      <c r="C991" s="43" t="s">
        <v>1909</v>
      </c>
      <c r="D991" s="43" t="s">
        <v>1929</v>
      </c>
      <c r="E991" s="43" t="s">
        <v>1930</v>
      </c>
      <c r="F991" s="43">
        <v>0</v>
      </c>
      <c r="G991" s="43" t="s">
        <v>4583</v>
      </c>
    </row>
    <row r="992" spans="1:8" hidden="1" x14ac:dyDescent="0.25">
      <c r="A992" s="43">
        <v>147</v>
      </c>
      <c r="B992" s="43" t="s">
        <v>48</v>
      </c>
      <c r="C992" s="43" t="s">
        <v>1909</v>
      </c>
      <c r="D992" s="43" t="s">
        <v>1915</v>
      </c>
      <c r="E992" s="43" t="s">
        <v>1916</v>
      </c>
      <c r="F992" s="43">
        <v>1</v>
      </c>
      <c r="G992"/>
      <c r="H992"/>
    </row>
    <row r="993" spans="1:8" hidden="1" x14ac:dyDescent="0.25">
      <c r="A993" s="43">
        <v>147</v>
      </c>
      <c r="B993" s="43" t="s">
        <v>48</v>
      </c>
      <c r="C993" s="43" t="s">
        <v>1909</v>
      </c>
      <c r="D993" s="43" t="s">
        <v>1917</v>
      </c>
      <c r="E993" s="43" t="s">
        <v>1918</v>
      </c>
      <c r="F993" s="43">
        <v>0</v>
      </c>
      <c r="G993" s="43" t="s">
        <v>4583</v>
      </c>
    </row>
    <row r="994" spans="1:8" hidden="1" x14ac:dyDescent="0.25">
      <c r="A994" s="43">
        <v>147</v>
      </c>
      <c r="B994" s="43" t="s">
        <v>48</v>
      </c>
      <c r="C994" s="43" t="s">
        <v>1909</v>
      </c>
      <c r="D994" s="43" t="s">
        <v>1931</v>
      </c>
      <c r="E994" s="43" t="s">
        <v>1932</v>
      </c>
      <c r="F994" s="43">
        <v>1</v>
      </c>
    </row>
    <row r="995" spans="1:8" hidden="1" x14ac:dyDescent="0.25">
      <c r="A995" s="43">
        <v>147</v>
      </c>
      <c r="B995" s="43" t="s">
        <v>48</v>
      </c>
      <c r="C995" s="43" t="s">
        <v>1909</v>
      </c>
      <c r="D995" s="43" t="s">
        <v>1933</v>
      </c>
      <c r="E995" s="43" t="s">
        <v>1934</v>
      </c>
      <c r="F995" s="43">
        <v>1</v>
      </c>
    </row>
    <row r="996" spans="1:8" hidden="1" x14ac:dyDescent="0.25">
      <c r="A996" s="43">
        <v>147</v>
      </c>
      <c r="B996" s="43" t="s">
        <v>48</v>
      </c>
      <c r="C996" s="43" t="s">
        <v>1909</v>
      </c>
      <c r="D996" s="43" t="s">
        <v>1910</v>
      </c>
      <c r="E996" s="43" t="s">
        <v>273</v>
      </c>
      <c r="F996" s="43">
        <v>0</v>
      </c>
      <c r="G996" s="43" t="s">
        <v>4583</v>
      </c>
    </row>
    <row r="997" spans="1:8" hidden="1" x14ac:dyDescent="0.25">
      <c r="A997" s="43">
        <v>147</v>
      </c>
      <c r="B997" s="43" t="s">
        <v>48</v>
      </c>
      <c r="C997" s="43" t="s">
        <v>1909</v>
      </c>
      <c r="D997" s="43" t="s">
        <v>1941</v>
      </c>
      <c r="E997" s="43" t="s">
        <v>1942</v>
      </c>
      <c r="F997" s="43">
        <v>1</v>
      </c>
      <c r="G997"/>
      <c r="H997"/>
    </row>
    <row r="998" spans="1:8" hidden="1" x14ac:dyDescent="0.25">
      <c r="A998" s="43">
        <v>147</v>
      </c>
      <c r="B998" s="43" t="s">
        <v>48</v>
      </c>
      <c r="C998" s="43" t="s">
        <v>1909</v>
      </c>
      <c r="D998" s="43" t="s">
        <v>1943</v>
      </c>
      <c r="E998" s="43" t="s">
        <v>1944</v>
      </c>
      <c r="F998" s="43">
        <v>0</v>
      </c>
      <c r="G998" s="43" t="s">
        <v>4583</v>
      </c>
    </row>
    <row r="999" spans="1:8" hidden="1" x14ac:dyDescent="0.25">
      <c r="A999" s="43">
        <v>147</v>
      </c>
      <c r="B999" s="43" t="s">
        <v>48</v>
      </c>
      <c r="C999" s="43" t="s">
        <v>1909</v>
      </c>
      <c r="D999" s="43" t="s">
        <v>1945</v>
      </c>
      <c r="E999" s="43" t="s">
        <v>1946</v>
      </c>
      <c r="F999" s="43">
        <v>0</v>
      </c>
      <c r="G999" s="43" t="s">
        <v>4583</v>
      </c>
    </row>
    <row r="1000" spans="1:8" hidden="1" x14ac:dyDescent="0.25">
      <c r="A1000" s="43">
        <v>147</v>
      </c>
      <c r="B1000" s="43" t="s">
        <v>48</v>
      </c>
      <c r="C1000" s="43" t="s">
        <v>1909</v>
      </c>
      <c r="D1000" s="43" t="s">
        <v>1947</v>
      </c>
      <c r="E1000" s="43" t="s">
        <v>1948</v>
      </c>
      <c r="F1000" s="43">
        <v>0</v>
      </c>
      <c r="G1000" s="43" t="s">
        <v>4583</v>
      </c>
    </row>
    <row r="1001" spans="1:8" hidden="1" x14ac:dyDescent="0.25">
      <c r="A1001" s="43">
        <v>147</v>
      </c>
      <c r="B1001" s="43" t="s">
        <v>48</v>
      </c>
      <c r="C1001" s="43" t="s">
        <v>1909</v>
      </c>
      <c r="D1001" s="43" t="s">
        <v>1919</v>
      </c>
      <c r="E1001" s="43" t="s">
        <v>1920</v>
      </c>
      <c r="F1001" s="43">
        <v>0</v>
      </c>
      <c r="G1001" s="43" t="s">
        <v>4583</v>
      </c>
    </row>
    <row r="1002" spans="1:8" hidden="1" x14ac:dyDescent="0.25">
      <c r="A1002" s="43">
        <v>147</v>
      </c>
      <c r="B1002" s="43" t="s">
        <v>48</v>
      </c>
      <c r="C1002" s="43" t="s">
        <v>1909</v>
      </c>
      <c r="D1002" s="43" t="s">
        <v>1921</v>
      </c>
      <c r="E1002" s="43" t="s">
        <v>1922</v>
      </c>
      <c r="F1002" s="43">
        <v>0</v>
      </c>
      <c r="G1002" s="43" t="s">
        <v>4583</v>
      </c>
    </row>
    <row r="1003" spans="1:8" hidden="1" x14ac:dyDescent="0.25">
      <c r="A1003" s="43">
        <v>147</v>
      </c>
      <c r="B1003" s="43" t="s">
        <v>48</v>
      </c>
      <c r="C1003" s="43" t="s">
        <v>1909</v>
      </c>
      <c r="D1003" s="43" t="s">
        <v>1923</v>
      </c>
      <c r="E1003" s="43" t="s">
        <v>1924</v>
      </c>
      <c r="F1003" s="43">
        <v>0</v>
      </c>
      <c r="G1003" s="43" t="s">
        <v>4583</v>
      </c>
    </row>
    <row r="1004" spans="1:8" hidden="1" x14ac:dyDescent="0.25">
      <c r="A1004" s="43">
        <v>147</v>
      </c>
      <c r="B1004" s="43" t="s">
        <v>48</v>
      </c>
      <c r="C1004" s="43" t="s">
        <v>1909</v>
      </c>
      <c r="D1004" s="43" t="s">
        <v>1925</v>
      </c>
      <c r="E1004" s="43" t="s">
        <v>1926</v>
      </c>
      <c r="F1004" s="43">
        <v>0</v>
      </c>
      <c r="G1004" s="43" t="s">
        <v>4583</v>
      </c>
    </row>
    <row r="1005" spans="1:8" hidden="1" x14ac:dyDescent="0.25">
      <c r="A1005" s="43">
        <v>147</v>
      </c>
      <c r="B1005" s="43" t="s">
        <v>48</v>
      </c>
      <c r="C1005" s="43" t="s">
        <v>1909</v>
      </c>
      <c r="D1005" s="43" t="s">
        <v>1935</v>
      </c>
      <c r="E1005" s="43" t="s">
        <v>1936</v>
      </c>
      <c r="F1005" s="43">
        <v>0</v>
      </c>
      <c r="G1005" s="43" t="s">
        <v>4583</v>
      </c>
    </row>
    <row r="1006" spans="1:8" hidden="1" x14ac:dyDescent="0.25">
      <c r="A1006" s="43">
        <v>147</v>
      </c>
      <c r="B1006" s="43" t="s">
        <v>48</v>
      </c>
      <c r="C1006" s="43" t="s">
        <v>1909</v>
      </c>
      <c r="D1006" s="43" t="s">
        <v>1937</v>
      </c>
      <c r="E1006" s="43" t="s">
        <v>1938</v>
      </c>
      <c r="F1006" s="43">
        <v>0</v>
      </c>
      <c r="G1006" s="43" t="s">
        <v>4583</v>
      </c>
    </row>
    <row r="1007" spans="1:8" hidden="1" x14ac:dyDescent="0.25">
      <c r="A1007" s="43">
        <v>147</v>
      </c>
      <c r="B1007" s="43" t="s">
        <v>48</v>
      </c>
      <c r="C1007" s="43" t="s">
        <v>1909</v>
      </c>
      <c r="D1007" s="43" t="s">
        <v>1939</v>
      </c>
      <c r="E1007" s="43" t="s">
        <v>1940</v>
      </c>
      <c r="F1007" s="43">
        <v>0</v>
      </c>
      <c r="G1007" s="43" t="s">
        <v>4583</v>
      </c>
    </row>
    <row r="1008" spans="1:8" hidden="1" x14ac:dyDescent="0.25">
      <c r="A1008" s="43">
        <v>149</v>
      </c>
      <c r="B1008" s="43" t="s">
        <v>49</v>
      </c>
      <c r="C1008" s="43" t="s">
        <v>1155</v>
      </c>
      <c r="D1008" s="43" t="s">
        <v>1157</v>
      </c>
      <c r="E1008" s="43" t="s">
        <v>844</v>
      </c>
      <c r="F1008" s="43">
        <v>1</v>
      </c>
      <c r="G1008"/>
      <c r="H1008"/>
    </row>
    <row r="1009" spans="1:8" hidden="1" x14ac:dyDescent="0.25">
      <c r="A1009" s="43">
        <v>149</v>
      </c>
      <c r="B1009" s="43" t="s">
        <v>49</v>
      </c>
      <c r="C1009" s="43" t="s">
        <v>1155</v>
      </c>
      <c r="D1009" s="43" t="s">
        <v>1156</v>
      </c>
      <c r="E1009" s="43" t="s">
        <v>273</v>
      </c>
      <c r="F1009" s="43">
        <v>1</v>
      </c>
      <c r="G1009"/>
      <c r="H1009"/>
    </row>
    <row r="1010" spans="1:8" x14ac:dyDescent="0.25">
      <c r="A1010" s="43">
        <v>149</v>
      </c>
      <c r="B1010" s="43" t="s">
        <v>49</v>
      </c>
      <c r="C1010" s="43" t="s">
        <v>1155</v>
      </c>
      <c r="D1010" s="43" t="s">
        <v>1158</v>
      </c>
      <c r="E1010" s="43" t="s">
        <v>1159</v>
      </c>
      <c r="F1010" s="43">
        <v>2</v>
      </c>
      <c r="G1010" s="43" t="s">
        <v>4511</v>
      </c>
      <c r="H1010" s="43" t="s">
        <v>4580</v>
      </c>
    </row>
    <row r="1011" spans="1:8" x14ac:dyDescent="0.25">
      <c r="A1011" s="43">
        <v>149</v>
      </c>
      <c r="B1011" s="43" t="s">
        <v>49</v>
      </c>
      <c r="C1011" s="43" t="s">
        <v>1155</v>
      </c>
      <c r="D1011" s="43" t="s">
        <v>1160</v>
      </c>
      <c r="E1011" s="43" t="s">
        <v>1161</v>
      </c>
      <c r="F1011" s="43">
        <v>2</v>
      </c>
      <c r="G1011" s="43" t="s">
        <v>4511</v>
      </c>
      <c r="H1011" s="43" t="s">
        <v>4580</v>
      </c>
    </row>
    <row r="1012" spans="1:8" x14ac:dyDescent="0.25">
      <c r="A1012" s="43">
        <v>149</v>
      </c>
      <c r="B1012" s="43" t="s">
        <v>49</v>
      </c>
      <c r="C1012" s="43" t="s">
        <v>1155</v>
      </c>
      <c r="D1012" s="43" t="s">
        <v>1162</v>
      </c>
      <c r="E1012" s="43" t="s">
        <v>1163</v>
      </c>
      <c r="F1012" s="43">
        <v>2</v>
      </c>
      <c r="G1012" s="43" t="s">
        <v>4511</v>
      </c>
      <c r="H1012" s="43" t="s">
        <v>4580</v>
      </c>
    </row>
    <row r="1013" spans="1:8" x14ac:dyDescent="0.25">
      <c r="A1013" s="43">
        <v>149</v>
      </c>
      <c r="B1013" s="43" t="s">
        <v>49</v>
      </c>
      <c r="C1013" s="43" t="s">
        <v>1155</v>
      </c>
      <c r="D1013" s="43" t="s">
        <v>1164</v>
      </c>
      <c r="E1013" s="43" t="s">
        <v>1165</v>
      </c>
      <c r="F1013" s="43">
        <v>2</v>
      </c>
      <c r="G1013" s="43" t="s">
        <v>4511</v>
      </c>
      <c r="H1013" s="43" t="s">
        <v>4580</v>
      </c>
    </row>
    <row r="1014" spans="1:8" hidden="1" x14ac:dyDescent="0.25">
      <c r="A1014" s="43">
        <v>149</v>
      </c>
      <c r="B1014" s="43" t="s">
        <v>49</v>
      </c>
      <c r="C1014" s="43" t="s">
        <v>1155</v>
      </c>
      <c r="D1014" s="43" t="s">
        <v>1166</v>
      </c>
      <c r="E1014" s="43" t="s">
        <v>295</v>
      </c>
      <c r="F1014" s="43">
        <v>1</v>
      </c>
      <c r="G1014"/>
      <c r="H1014"/>
    </row>
    <row r="1015" spans="1:8" hidden="1" x14ac:dyDescent="0.25">
      <c r="A1015" s="43">
        <v>149</v>
      </c>
      <c r="B1015" s="43" t="s">
        <v>49</v>
      </c>
      <c r="C1015" s="43" t="s">
        <v>1155</v>
      </c>
      <c r="D1015" s="43" t="s">
        <v>1167</v>
      </c>
      <c r="E1015" s="43" t="s">
        <v>1168</v>
      </c>
      <c r="F1015" s="43">
        <v>1</v>
      </c>
      <c r="G1015"/>
      <c r="H1015"/>
    </row>
    <row r="1016" spans="1:8" hidden="1" x14ac:dyDescent="0.25">
      <c r="A1016" s="43">
        <v>152</v>
      </c>
      <c r="B1016" s="43" t="s">
        <v>50</v>
      </c>
      <c r="C1016" s="43" t="s">
        <v>581</v>
      </c>
      <c r="D1016" s="43" t="s">
        <v>585</v>
      </c>
      <c r="E1016" s="43" t="s">
        <v>586</v>
      </c>
      <c r="F1016" s="43">
        <v>1</v>
      </c>
      <c r="G1016"/>
      <c r="H1016"/>
    </row>
    <row r="1017" spans="1:8" hidden="1" x14ac:dyDescent="0.25">
      <c r="A1017" s="43">
        <v>152</v>
      </c>
      <c r="B1017" s="43" t="s">
        <v>50</v>
      </c>
      <c r="C1017" s="43" t="s">
        <v>581</v>
      </c>
      <c r="D1017" s="43" t="s">
        <v>593</v>
      </c>
      <c r="E1017" s="43" t="s">
        <v>594</v>
      </c>
      <c r="F1017" s="43">
        <v>1</v>
      </c>
      <c r="G1017"/>
      <c r="H1017"/>
    </row>
    <row r="1018" spans="1:8" hidden="1" x14ac:dyDescent="0.25">
      <c r="A1018" s="43">
        <v>152</v>
      </c>
      <c r="B1018" s="43" t="s">
        <v>50</v>
      </c>
      <c r="C1018" s="43" t="s">
        <v>581</v>
      </c>
      <c r="D1018" s="43" t="s">
        <v>587</v>
      </c>
      <c r="E1018" s="43" t="s">
        <v>588</v>
      </c>
      <c r="F1018" s="43">
        <v>1</v>
      </c>
      <c r="G1018"/>
      <c r="H1018"/>
    </row>
    <row r="1019" spans="1:8" hidden="1" x14ac:dyDescent="0.25">
      <c r="A1019" s="43">
        <v>152</v>
      </c>
      <c r="B1019" s="43" t="s">
        <v>50</v>
      </c>
      <c r="C1019" s="43" t="s">
        <v>581</v>
      </c>
      <c r="D1019" s="43" t="s">
        <v>604</v>
      </c>
      <c r="E1019" s="43" t="s">
        <v>605</v>
      </c>
      <c r="F1019" s="43">
        <v>0</v>
      </c>
      <c r="G1019" s="43" t="s">
        <v>4583</v>
      </c>
    </row>
    <row r="1020" spans="1:8" hidden="1" x14ac:dyDescent="0.25">
      <c r="A1020" s="43">
        <v>152</v>
      </c>
      <c r="B1020" s="43" t="s">
        <v>50</v>
      </c>
      <c r="C1020" s="43" t="s">
        <v>581</v>
      </c>
      <c r="D1020" s="43" t="s">
        <v>582</v>
      </c>
      <c r="E1020" s="43" t="s">
        <v>583</v>
      </c>
      <c r="F1020" s="43">
        <v>1</v>
      </c>
      <c r="G1020"/>
      <c r="H1020"/>
    </row>
    <row r="1021" spans="1:8" hidden="1" x14ac:dyDescent="0.25">
      <c r="A1021" s="43">
        <v>152</v>
      </c>
      <c r="B1021" s="43" t="s">
        <v>50</v>
      </c>
      <c r="C1021" s="43" t="s">
        <v>581</v>
      </c>
      <c r="D1021" s="43" t="s">
        <v>584</v>
      </c>
      <c r="E1021" s="43" t="s">
        <v>306</v>
      </c>
      <c r="F1021" s="43">
        <v>1</v>
      </c>
      <c r="G1021"/>
      <c r="H1021"/>
    </row>
    <row r="1022" spans="1:8" hidden="1" x14ac:dyDescent="0.25">
      <c r="A1022" s="43">
        <v>152</v>
      </c>
      <c r="B1022" s="43" t="s">
        <v>50</v>
      </c>
      <c r="C1022" s="43" t="s">
        <v>581</v>
      </c>
      <c r="D1022" s="43" t="s">
        <v>592</v>
      </c>
      <c r="E1022" s="43" t="s">
        <v>275</v>
      </c>
      <c r="F1022" s="43">
        <v>1</v>
      </c>
      <c r="G1022"/>
      <c r="H1022"/>
    </row>
    <row r="1023" spans="1:8" hidden="1" x14ac:dyDescent="0.25">
      <c r="A1023" s="43">
        <v>152</v>
      </c>
      <c r="B1023" s="43" t="s">
        <v>50</v>
      </c>
      <c r="C1023" s="43" t="s">
        <v>581</v>
      </c>
      <c r="D1023" s="43" t="s">
        <v>606</v>
      </c>
      <c r="E1023" s="43" t="s">
        <v>503</v>
      </c>
      <c r="F1023" s="43">
        <v>1</v>
      </c>
      <c r="G1023"/>
      <c r="H1023"/>
    </row>
    <row r="1024" spans="1:8" hidden="1" x14ac:dyDescent="0.25">
      <c r="A1024" s="43">
        <v>152</v>
      </c>
      <c r="B1024" s="43" t="s">
        <v>50</v>
      </c>
      <c r="C1024" s="43" t="s">
        <v>581</v>
      </c>
      <c r="D1024" s="43" t="s">
        <v>607</v>
      </c>
      <c r="E1024" s="43" t="s">
        <v>505</v>
      </c>
      <c r="F1024" s="43">
        <v>1</v>
      </c>
      <c r="G1024"/>
      <c r="H1024"/>
    </row>
    <row r="1025" spans="1:8" hidden="1" x14ac:dyDescent="0.25">
      <c r="A1025" s="43">
        <v>152</v>
      </c>
      <c r="B1025" s="43" t="s">
        <v>50</v>
      </c>
      <c r="C1025" s="43" t="s">
        <v>581</v>
      </c>
      <c r="D1025" s="43" t="s">
        <v>608</v>
      </c>
      <c r="E1025" s="43" t="s">
        <v>609</v>
      </c>
      <c r="F1025" s="43">
        <v>1</v>
      </c>
      <c r="G1025"/>
      <c r="H1025"/>
    </row>
    <row r="1026" spans="1:8" hidden="1" x14ac:dyDescent="0.25">
      <c r="A1026" s="43">
        <v>152</v>
      </c>
      <c r="B1026" s="43" t="s">
        <v>50</v>
      </c>
      <c r="C1026" s="43" t="s">
        <v>581</v>
      </c>
      <c r="D1026" s="43" t="s">
        <v>598</v>
      </c>
      <c r="E1026" s="43" t="s">
        <v>599</v>
      </c>
      <c r="F1026" s="43">
        <v>1</v>
      </c>
      <c r="G1026"/>
      <c r="H1026"/>
    </row>
    <row r="1027" spans="1:8" hidden="1" x14ac:dyDescent="0.25">
      <c r="A1027" s="43">
        <v>152</v>
      </c>
      <c r="B1027" s="43" t="s">
        <v>50</v>
      </c>
      <c r="C1027" s="43" t="s">
        <v>581</v>
      </c>
      <c r="D1027" s="43" t="s">
        <v>600</v>
      </c>
      <c r="E1027" s="43" t="s">
        <v>601</v>
      </c>
      <c r="F1027" s="43">
        <v>1</v>
      </c>
      <c r="G1027"/>
      <c r="H1027"/>
    </row>
    <row r="1028" spans="1:8" hidden="1" x14ac:dyDescent="0.25">
      <c r="A1028" s="43">
        <v>152</v>
      </c>
      <c r="B1028" s="43" t="s">
        <v>50</v>
      </c>
      <c r="C1028" s="43" t="s">
        <v>581</v>
      </c>
      <c r="D1028" s="43" t="s">
        <v>602</v>
      </c>
      <c r="E1028" s="43" t="s">
        <v>603</v>
      </c>
      <c r="F1028" s="43">
        <v>1</v>
      </c>
      <c r="G1028"/>
      <c r="H1028"/>
    </row>
    <row r="1029" spans="1:8" hidden="1" x14ac:dyDescent="0.25">
      <c r="A1029" s="43">
        <v>152</v>
      </c>
      <c r="B1029" s="43" t="s">
        <v>50</v>
      </c>
      <c r="C1029" s="43" t="s">
        <v>581</v>
      </c>
      <c r="D1029" s="43" t="s">
        <v>589</v>
      </c>
      <c r="E1029" s="43" t="s">
        <v>312</v>
      </c>
      <c r="F1029" s="43">
        <v>1</v>
      </c>
      <c r="G1029"/>
      <c r="H1029"/>
    </row>
    <row r="1030" spans="1:8" hidden="1" x14ac:dyDescent="0.25">
      <c r="A1030" s="43">
        <v>152</v>
      </c>
      <c r="B1030" s="43" t="s">
        <v>50</v>
      </c>
      <c r="C1030" s="43" t="s">
        <v>581</v>
      </c>
      <c r="D1030" s="43" t="s">
        <v>590</v>
      </c>
      <c r="E1030" s="43" t="s">
        <v>493</v>
      </c>
      <c r="F1030" s="43">
        <v>0</v>
      </c>
      <c r="G1030" s="43" t="s">
        <v>4583</v>
      </c>
      <c r="H1030"/>
    </row>
    <row r="1031" spans="1:8" hidden="1" x14ac:dyDescent="0.25">
      <c r="A1031" s="43">
        <v>152</v>
      </c>
      <c r="B1031" s="43" t="s">
        <v>50</v>
      </c>
      <c r="C1031" s="43" t="s">
        <v>581</v>
      </c>
      <c r="D1031" s="43" t="s">
        <v>591</v>
      </c>
      <c r="E1031" s="43" t="s">
        <v>314</v>
      </c>
      <c r="F1031" s="43">
        <v>0</v>
      </c>
      <c r="G1031" s="43" t="s">
        <v>4583</v>
      </c>
      <c r="H1031"/>
    </row>
    <row r="1032" spans="1:8" hidden="1" x14ac:dyDescent="0.25">
      <c r="A1032" s="43">
        <v>152</v>
      </c>
      <c r="B1032" s="43" t="s">
        <v>50</v>
      </c>
      <c r="C1032" s="43" t="s">
        <v>581</v>
      </c>
      <c r="D1032" s="43" t="s">
        <v>595</v>
      </c>
      <c r="E1032" s="43" t="s">
        <v>349</v>
      </c>
      <c r="F1032" s="43">
        <v>1</v>
      </c>
      <c r="G1032"/>
      <c r="H1032"/>
    </row>
    <row r="1033" spans="1:8" hidden="1" x14ac:dyDescent="0.25">
      <c r="A1033" s="43">
        <v>152</v>
      </c>
      <c r="B1033" s="43" t="s">
        <v>50</v>
      </c>
      <c r="C1033" s="43" t="s">
        <v>581</v>
      </c>
      <c r="D1033" s="43" t="s">
        <v>596</v>
      </c>
      <c r="E1033" s="43" t="s">
        <v>597</v>
      </c>
      <c r="F1033" s="43">
        <v>0</v>
      </c>
      <c r="G1033" s="43" t="s">
        <v>4583</v>
      </c>
      <c r="H1033"/>
    </row>
    <row r="1034" spans="1:8" hidden="1" x14ac:dyDescent="0.25">
      <c r="A1034" s="43">
        <v>154</v>
      </c>
      <c r="B1034" s="43" t="s">
        <v>51</v>
      </c>
      <c r="C1034" s="43" t="s">
        <v>4470</v>
      </c>
      <c r="D1034" s="43" t="s">
        <v>1498</v>
      </c>
      <c r="E1034" s="43" t="s">
        <v>1499</v>
      </c>
      <c r="F1034" s="43">
        <v>1</v>
      </c>
      <c r="G1034"/>
      <c r="H1034"/>
    </row>
    <row r="1035" spans="1:8" hidden="1" x14ac:dyDescent="0.25">
      <c r="A1035" s="43">
        <v>154</v>
      </c>
      <c r="B1035" s="43" t="s">
        <v>51</v>
      </c>
      <c r="C1035" s="43" t="s">
        <v>4470</v>
      </c>
      <c r="D1035" s="43" t="s">
        <v>1507</v>
      </c>
      <c r="E1035" s="43" t="s">
        <v>611</v>
      </c>
      <c r="F1035" s="43">
        <v>1</v>
      </c>
      <c r="G1035"/>
      <c r="H1035"/>
    </row>
    <row r="1036" spans="1:8" hidden="1" x14ac:dyDescent="0.25">
      <c r="A1036" s="43">
        <v>154</v>
      </c>
      <c r="B1036" s="43" t="s">
        <v>51</v>
      </c>
      <c r="C1036" s="43" t="s">
        <v>4470</v>
      </c>
      <c r="D1036" s="43" t="s">
        <v>1508</v>
      </c>
      <c r="E1036" s="43" t="s">
        <v>1509</v>
      </c>
      <c r="F1036" s="43">
        <v>1</v>
      </c>
      <c r="G1036"/>
      <c r="H1036"/>
    </row>
    <row r="1037" spans="1:8" hidden="1" x14ac:dyDescent="0.25">
      <c r="A1037" s="43">
        <v>154</v>
      </c>
      <c r="B1037" s="43" t="s">
        <v>51</v>
      </c>
      <c r="C1037" s="43" t="s">
        <v>4470</v>
      </c>
      <c r="D1037" s="43" t="s">
        <v>1510</v>
      </c>
      <c r="E1037" s="43" t="s">
        <v>613</v>
      </c>
      <c r="F1037" s="89">
        <v>1</v>
      </c>
      <c r="H1037"/>
    </row>
    <row r="1038" spans="1:8" hidden="1" x14ac:dyDescent="0.25">
      <c r="A1038" s="43">
        <v>154</v>
      </c>
      <c r="B1038" s="43" t="s">
        <v>51</v>
      </c>
      <c r="C1038" s="43" t="s">
        <v>4470</v>
      </c>
      <c r="D1038" s="43" t="s">
        <v>1528</v>
      </c>
      <c r="E1038" s="43" t="s">
        <v>4471</v>
      </c>
      <c r="F1038" s="43">
        <v>0</v>
      </c>
      <c r="G1038" s="43" t="s">
        <v>4583</v>
      </c>
      <c r="H1038"/>
    </row>
    <row r="1039" spans="1:8" hidden="1" x14ac:dyDescent="0.25">
      <c r="A1039" s="43">
        <v>154</v>
      </c>
      <c r="B1039" s="43" t="s">
        <v>51</v>
      </c>
      <c r="C1039" s="43" t="s">
        <v>4470</v>
      </c>
      <c r="D1039" s="43" t="s">
        <v>1530</v>
      </c>
      <c r="E1039" s="43" t="s">
        <v>1430</v>
      </c>
      <c r="F1039" s="43">
        <v>1</v>
      </c>
      <c r="G1039"/>
      <c r="H1039"/>
    </row>
    <row r="1040" spans="1:8" hidden="1" x14ac:dyDescent="0.25">
      <c r="A1040" s="43">
        <v>154</v>
      </c>
      <c r="B1040" s="43" t="s">
        <v>51</v>
      </c>
      <c r="C1040" s="43" t="s">
        <v>4470</v>
      </c>
      <c r="D1040" s="43" t="s">
        <v>1514</v>
      </c>
      <c r="E1040" s="43" t="s">
        <v>614</v>
      </c>
      <c r="F1040" s="43">
        <v>1</v>
      </c>
      <c r="G1040"/>
      <c r="H1040"/>
    </row>
    <row r="1041" spans="1:8" hidden="1" x14ac:dyDescent="0.25">
      <c r="A1041" s="43">
        <v>154</v>
      </c>
      <c r="B1041" s="43" t="s">
        <v>51</v>
      </c>
      <c r="C1041" s="43" t="s">
        <v>4470</v>
      </c>
      <c r="D1041" s="43" t="s">
        <v>1515</v>
      </c>
      <c r="E1041" s="43" t="s">
        <v>615</v>
      </c>
      <c r="F1041" s="43">
        <v>0</v>
      </c>
      <c r="G1041" s="43" t="s">
        <v>4583</v>
      </c>
      <c r="H1041"/>
    </row>
    <row r="1042" spans="1:8" hidden="1" x14ac:dyDescent="0.25">
      <c r="A1042" s="43">
        <v>154</v>
      </c>
      <c r="B1042" s="43" t="s">
        <v>51</v>
      </c>
      <c r="C1042" s="43" t="s">
        <v>4470</v>
      </c>
      <c r="D1042" s="43" t="s">
        <v>1532</v>
      </c>
      <c r="E1042" s="43" t="s">
        <v>1533</v>
      </c>
      <c r="F1042" s="43">
        <v>0</v>
      </c>
      <c r="G1042" s="43" t="s">
        <v>4583</v>
      </c>
      <c r="H1042"/>
    </row>
    <row r="1043" spans="1:8" hidden="1" x14ac:dyDescent="0.25">
      <c r="A1043" s="43">
        <v>154</v>
      </c>
      <c r="B1043" s="43" t="s">
        <v>51</v>
      </c>
      <c r="C1043" s="43" t="s">
        <v>4470</v>
      </c>
      <c r="D1043" s="43" t="s">
        <v>1534</v>
      </c>
      <c r="E1043" s="43" t="s">
        <v>1535</v>
      </c>
      <c r="F1043" s="43">
        <v>0</v>
      </c>
      <c r="G1043" s="43" t="s">
        <v>4583</v>
      </c>
      <c r="H1043"/>
    </row>
    <row r="1044" spans="1:8" hidden="1" x14ac:dyDescent="0.25">
      <c r="A1044" s="43">
        <v>154</v>
      </c>
      <c r="B1044" s="43" t="s">
        <v>51</v>
      </c>
      <c r="C1044" s="43" t="s">
        <v>4470</v>
      </c>
      <c r="D1044" s="43" t="s">
        <v>1493</v>
      </c>
      <c r="E1044" s="43" t="s">
        <v>1494</v>
      </c>
      <c r="F1044" s="43">
        <v>1</v>
      </c>
      <c r="G1044"/>
      <c r="H1044"/>
    </row>
    <row r="1045" spans="1:8" hidden="1" x14ac:dyDescent="0.25">
      <c r="A1045" s="43">
        <v>154</v>
      </c>
      <c r="B1045" s="43" t="s">
        <v>51</v>
      </c>
      <c r="C1045" s="43" t="s">
        <v>4470</v>
      </c>
      <c r="D1045" s="43" t="s">
        <v>1495</v>
      </c>
      <c r="E1045" s="43" t="s">
        <v>1496</v>
      </c>
      <c r="F1045" s="43">
        <v>0</v>
      </c>
      <c r="G1045" s="43" t="s">
        <v>4583</v>
      </c>
      <c r="H1045"/>
    </row>
    <row r="1046" spans="1:8" hidden="1" x14ac:dyDescent="0.25">
      <c r="A1046" s="43">
        <v>154</v>
      </c>
      <c r="B1046" s="43" t="s">
        <v>51</v>
      </c>
      <c r="C1046" s="43" t="s">
        <v>4470</v>
      </c>
      <c r="D1046" s="43" t="s">
        <v>1497</v>
      </c>
      <c r="E1046" s="43" t="s">
        <v>306</v>
      </c>
      <c r="F1046" s="43">
        <v>1</v>
      </c>
      <c r="G1046"/>
      <c r="H1046"/>
    </row>
    <row r="1047" spans="1:8" hidden="1" x14ac:dyDescent="0.25">
      <c r="A1047" s="43">
        <v>154</v>
      </c>
      <c r="B1047" s="43" t="s">
        <v>51</v>
      </c>
      <c r="C1047" s="43" t="s">
        <v>4470</v>
      </c>
      <c r="D1047" s="43" t="s">
        <v>1531</v>
      </c>
      <c r="E1047" s="43" t="s">
        <v>503</v>
      </c>
      <c r="F1047" s="43">
        <v>1</v>
      </c>
      <c r="G1047"/>
      <c r="H1047"/>
    </row>
    <row r="1048" spans="1:8" hidden="1" x14ac:dyDescent="0.25">
      <c r="A1048" s="43">
        <v>154</v>
      </c>
      <c r="B1048" s="43" t="s">
        <v>51</v>
      </c>
      <c r="C1048" s="43" t="s">
        <v>4470</v>
      </c>
      <c r="D1048" s="43" t="s">
        <v>1520</v>
      </c>
      <c r="E1048" s="43" t="s">
        <v>1521</v>
      </c>
      <c r="F1048" s="43">
        <v>0</v>
      </c>
      <c r="G1048" s="43" t="s">
        <v>4583</v>
      </c>
      <c r="H1048"/>
    </row>
    <row r="1049" spans="1:8" hidden="1" x14ac:dyDescent="0.25">
      <c r="A1049" s="43">
        <v>154</v>
      </c>
      <c r="B1049" s="43" t="s">
        <v>51</v>
      </c>
      <c r="C1049" s="43" t="s">
        <v>4470</v>
      </c>
      <c r="D1049" s="43" t="s">
        <v>1522</v>
      </c>
      <c r="E1049" s="43" t="s">
        <v>1523</v>
      </c>
      <c r="F1049" s="43">
        <v>0</v>
      </c>
      <c r="G1049" s="43" t="s">
        <v>4583</v>
      </c>
      <c r="H1049"/>
    </row>
    <row r="1050" spans="1:8" hidden="1" x14ac:dyDescent="0.25">
      <c r="A1050" s="43">
        <v>154</v>
      </c>
      <c r="B1050" s="43" t="s">
        <v>51</v>
      </c>
      <c r="C1050" s="43" t="s">
        <v>4470</v>
      </c>
      <c r="D1050" s="43" t="s">
        <v>1524</v>
      </c>
      <c r="E1050" s="43" t="s">
        <v>1525</v>
      </c>
      <c r="F1050" s="43">
        <v>0</v>
      </c>
      <c r="G1050" s="43" t="s">
        <v>4583</v>
      </c>
      <c r="H1050"/>
    </row>
    <row r="1051" spans="1:8" hidden="1" x14ac:dyDescent="0.25">
      <c r="A1051" s="43">
        <v>154</v>
      </c>
      <c r="B1051" s="43" t="s">
        <v>51</v>
      </c>
      <c r="C1051" s="43" t="s">
        <v>4470</v>
      </c>
      <c r="D1051" s="43" t="s">
        <v>1526</v>
      </c>
      <c r="E1051" s="43" t="s">
        <v>1527</v>
      </c>
      <c r="F1051" s="43">
        <v>0</v>
      </c>
      <c r="G1051" s="43" t="s">
        <v>4583</v>
      </c>
      <c r="H1051"/>
    </row>
    <row r="1052" spans="1:8" hidden="1" x14ac:dyDescent="0.25">
      <c r="A1052" s="43">
        <v>154</v>
      </c>
      <c r="B1052" s="43" t="s">
        <v>51</v>
      </c>
      <c r="C1052" s="43" t="s">
        <v>4470</v>
      </c>
      <c r="D1052" s="43" t="s">
        <v>1511</v>
      </c>
      <c r="E1052" s="43" t="s">
        <v>1419</v>
      </c>
      <c r="F1052" s="43">
        <v>0</v>
      </c>
      <c r="G1052" s="43" t="s">
        <v>4583</v>
      </c>
      <c r="H1052"/>
    </row>
    <row r="1053" spans="1:8" hidden="1" x14ac:dyDescent="0.25">
      <c r="A1053" s="43">
        <v>154</v>
      </c>
      <c r="B1053" s="43" t="s">
        <v>51</v>
      </c>
      <c r="C1053" s="43" t="s">
        <v>4470</v>
      </c>
      <c r="D1053" s="43" t="s">
        <v>1512</v>
      </c>
      <c r="E1053" s="43" t="s">
        <v>621</v>
      </c>
      <c r="F1053" s="43">
        <v>0</v>
      </c>
      <c r="G1053" s="43" t="s">
        <v>4583</v>
      </c>
      <c r="H1053"/>
    </row>
    <row r="1054" spans="1:8" hidden="1" x14ac:dyDescent="0.25">
      <c r="A1054" s="43">
        <v>154</v>
      </c>
      <c r="B1054" s="43" t="s">
        <v>51</v>
      </c>
      <c r="C1054" s="43" t="s">
        <v>4470</v>
      </c>
      <c r="D1054" s="43" t="s">
        <v>1513</v>
      </c>
      <c r="E1054" s="43" t="s">
        <v>1422</v>
      </c>
      <c r="F1054" s="43">
        <v>1</v>
      </c>
      <c r="G1054"/>
      <c r="H1054"/>
    </row>
    <row r="1055" spans="1:8" hidden="1" x14ac:dyDescent="0.25">
      <c r="A1055" s="43">
        <v>154</v>
      </c>
      <c r="B1055" s="43" t="s">
        <v>51</v>
      </c>
      <c r="C1055" s="43" t="s">
        <v>4470</v>
      </c>
      <c r="D1055" s="43" t="s">
        <v>1500</v>
      </c>
      <c r="E1055" s="43" t="s">
        <v>1397</v>
      </c>
      <c r="F1055" s="43">
        <v>0</v>
      </c>
      <c r="G1055" s="43" t="s">
        <v>4583</v>
      </c>
      <c r="H1055"/>
    </row>
    <row r="1056" spans="1:8" hidden="1" x14ac:dyDescent="0.25">
      <c r="A1056" s="43">
        <v>154</v>
      </c>
      <c r="B1056" s="43" t="s">
        <v>51</v>
      </c>
      <c r="C1056" s="43" t="s">
        <v>4470</v>
      </c>
      <c r="D1056" s="43" t="s">
        <v>1501</v>
      </c>
      <c r="E1056" s="43" t="s">
        <v>1502</v>
      </c>
      <c r="F1056" s="43">
        <v>0</v>
      </c>
      <c r="G1056" s="43" t="s">
        <v>4583</v>
      </c>
      <c r="H1056"/>
    </row>
    <row r="1057" spans="1:8" hidden="1" x14ac:dyDescent="0.25">
      <c r="A1057" s="43">
        <v>154</v>
      </c>
      <c r="B1057" s="43" t="s">
        <v>51</v>
      </c>
      <c r="C1057" s="43" t="s">
        <v>4470</v>
      </c>
      <c r="D1057" s="43" t="s">
        <v>1503</v>
      </c>
      <c r="E1057" s="43" t="s">
        <v>1504</v>
      </c>
      <c r="F1057" s="43">
        <v>0</v>
      </c>
      <c r="G1057" s="43" t="s">
        <v>4583</v>
      </c>
      <c r="H1057"/>
    </row>
    <row r="1058" spans="1:8" hidden="1" x14ac:dyDescent="0.25">
      <c r="A1058" s="43">
        <v>154</v>
      </c>
      <c r="B1058" s="43" t="s">
        <v>51</v>
      </c>
      <c r="C1058" s="43" t="s">
        <v>4470</v>
      </c>
      <c r="D1058" s="43" t="s">
        <v>1505</v>
      </c>
      <c r="E1058" s="43" t="s">
        <v>1506</v>
      </c>
      <c r="F1058" s="43">
        <v>0</v>
      </c>
      <c r="G1058" s="43" t="s">
        <v>4583</v>
      </c>
      <c r="H1058"/>
    </row>
    <row r="1059" spans="1:8" hidden="1" x14ac:dyDescent="0.25">
      <c r="A1059" s="43">
        <v>154</v>
      </c>
      <c r="B1059" s="43" t="s">
        <v>51</v>
      </c>
      <c r="C1059" s="43" t="s">
        <v>4470</v>
      </c>
      <c r="D1059" s="43" t="s">
        <v>1516</v>
      </c>
      <c r="E1059" s="43" t="s">
        <v>1517</v>
      </c>
      <c r="F1059" s="43">
        <v>1</v>
      </c>
      <c r="G1059"/>
      <c r="H1059"/>
    </row>
    <row r="1060" spans="1:8" hidden="1" x14ac:dyDescent="0.25">
      <c r="A1060" s="43">
        <v>154</v>
      </c>
      <c r="B1060" s="43" t="s">
        <v>51</v>
      </c>
      <c r="C1060" s="43" t="s">
        <v>4470</v>
      </c>
      <c r="D1060" s="43" t="s">
        <v>1518</v>
      </c>
      <c r="E1060" s="43" t="s">
        <v>1519</v>
      </c>
      <c r="F1060" s="43">
        <v>1</v>
      </c>
      <c r="G1060"/>
      <c r="H1060"/>
    </row>
    <row r="1061" spans="1:8" hidden="1" x14ac:dyDescent="0.25">
      <c r="A1061" s="43">
        <v>154</v>
      </c>
      <c r="B1061" s="43" t="s">
        <v>51</v>
      </c>
      <c r="C1061" s="43" t="s">
        <v>4478</v>
      </c>
      <c r="D1061" s="43" t="s">
        <v>1539</v>
      </c>
      <c r="E1061" s="43" t="s">
        <v>1499</v>
      </c>
      <c r="F1061" s="43">
        <v>1</v>
      </c>
      <c r="G1061"/>
      <c r="H1061"/>
    </row>
    <row r="1062" spans="1:8" hidden="1" x14ac:dyDescent="0.25">
      <c r="A1062" s="43">
        <v>154</v>
      </c>
      <c r="B1062" s="43" t="s">
        <v>51</v>
      </c>
      <c r="C1062" s="43" t="s">
        <v>4478</v>
      </c>
      <c r="D1062" s="43" t="s">
        <v>1547</v>
      </c>
      <c r="E1062" s="43" t="s">
        <v>1548</v>
      </c>
      <c r="F1062" s="43">
        <v>0</v>
      </c>
      <c r="G1062" s="43" t="s">
        <v>4583</v>
      </c>
      <c r="H1062"/>
    </row>
    <row r="1063" spans="1:8" hidden="1" x14ac:dyDescent="0.25">
      <c r="A1063" s="43">
        <v>154</v>
      </c>
      <c r="B1063" s="43" t="s">
        <v>51</v>
      </c>
      <c r="C1063" s="43" t="s">
        <v>4478</v>
      </c>
      <c r="D1063" s="43" t="s">
        <v>1540</v>
      </c>
      <c r="E1063" s="43" t="s">
        <v>1541</v>
      </c>
      <c r="F1063" s="43">
        <v>1</v>
      </c>
      <c r="G1063"/>
      <c r="H1063"/>
    </row>
    <row r="1064" spans="1:8" hidden="1" x14ac:dyDescent="0.25">
      <c r="A1064" s="43">
        <v>154</v>
      </c>
      <c r="B1064" s="43" t="s">
        <v>51</v>
      </c>
      <c r="C1064" s="43" t="s">
        <v>4478</v>
      </c>
      <c r="D1064" s="43" t="s">
        <v>1542</v>
      </c>
      <c r="E1064" s="43" t="s">
        <v>1543</v>
      </c>
      <c r="F1064" s="43">
        <v>1</v>
      </c>
      <c r="G1064"/>
      <c r="H1064"/>
    </row>
    <row r="1065" spans="1:8" hidden="1" x14ac:dyDescent="0.25">
      <c r="A1065" s="43">
        <v>154</v>
      </c>
      <c r="B1065" s="43" t="s">
        <v>51</v>
      </c>
      <c r="C1065" s="43" t="s">
        <v>4478</v>
      </c>
      <c r="D1065" s="43" t="s">
        <v>1544</v>
      </c>
      <c r="E1065" s="43" t="s">
        <v>671</v>
      </c>
      <c r="F1065" s="43">
        <v>1</v>
      </c>
      <c r="G1065"/>
      <c r="H1065"/>
    </row>
    <row r="1066" spans="1:8" hidden="1" x14ac:dyDescent="0.25">
      <c r="A1066" s="43">
        <v>154</v>
      </c>
      <c r="B1066" s="43" t="s">
        <v>51</v>
      </c>
      <c r="C1066" s="43" t="s">
        <v>4478</v>
      </c>
      <c r="D1066" s="43" t="s">
        <v>1545</v>
      </c>
      <c r="E1066" s="43" t="s">
        <v>1546</v>
      </c>
      <c r="F1066" s="43">
        <v>1</v>
      </c>
      <c r="G1066"/>
      <c r="H1066"/>
    </row>
    <row r="1067" spans="1:8" hidden="1" x14ac:dyDescent="0.25">
      <c r="A1067" s="43">
        <v>154</v>
      </c>
      <c r="B1067" s="43" t="s">
        <v>51</v>
      </c>
      <c r="C1067" s="43" t="s">
        <v>4478</v>
      </c>
      <c r="D1067" s="43" t="s">
        <v>1537</v>
      </c>
      <c r="E1067" s="43" t="s">
        <v>1494</v>
      </c>
      <c r="F1067" s="43">
        <v>1</v>
      </c>
      <c r="G1067"/>
      <c r="H1067"/>
    </row>
    <row r="1068" spans="1:8" hidden="1" x14ac:dyDescent="0.25">
      <c r="A1068" s="43">
        <v>154</v>
      </c>
      <c r="B1068" s="43" t="s">
        <v>51</v>
      </c>
      <c r="C1068" s="43" t="s">
        <v>4478</v>
      </c>
      <c r="D1068" s="43" t="s">
        <v>1538</v>
      </c>
      <c r="E1068" s="43" t="s">
        <v>306</v>
      </c>
      <c r="F1068" s="43">
        <v>1</v>
      </c>
      <c r="G1068"/>
      <c r="H1068"/>
    </row>
    <row r="1069" spans="1:8" hidden="1" x14ac:dyDescent="0.25">
      <c r="A1069" s="43">
        <v>154</v>
      </c>
      <c r="B1069" s="43" t="s">
        <v>51</v>
      </c>
      <c r="C1069" s="43" t="s">
        <v>4478</v>
      </c>
      <c r="D1069" s="43" t="s">
        <v>1549</v>
      </c>
      <c r="E1069" s="43" t="s">
        <v>1550</v>
      </c>
      <c r="F1069" s="43">
        <v>0</v>
      </c>
      <c r="G1069" s="43" t="s">
        <v>4583</v>
      </c>
      <c r="H1069"/>
    </row>
    <row r="1070" spans="1:8" hidden="1" x14ac:dyDescent="0.25">
      <c r="A1070" s="43">
        <v>154</v>
      </c>
      <c r="B1070" s="43" t="s">
        <v>51</v>
      </c>
      <c r="C1070" s="43" t="s">
        <v>4478</v>
      </c>
      <c r="D1070" s="43" t="s">
        <v>1551</v>
      </c>
      <c r="E1070" s="43" t="s">
        <v>1552</v>
      </c>
      <c r="F1070" s="43">
        <v>0</v>
      </c>
      <c r="G1070" s="43" t="s">
        <v>4583</v>
      </c>
      <c r="H1070"/>
    </row>
    <row r="1071" spans="1:8" hidden="1" x14ac:dyDescent="0.25">
      <c r="A1071" s="43">
        <v>154</v>
      </c>
      <c r="B1071" s="43" t="s">
        <v>51</v>
      </c>
      <c r="C1071" s="43" t="s">
        <v>4478</v>
      </c>
      <c r="D1071" s="43" t="s">
        <v>1553</v>
      </c>
      <c r="E1071" s="43" t="s">
        <v>1554</v>
      </c>
      <c r="F1071" s="43">
        <v>0</v>
      </c>
      <c r="G1071" s="43" t="s">
        <v>4583</v>
      </c>
      <c r="H1071"/>
    </row>
    <row r="1072" spans="1:8" hidden="1" x14ac:dyDescent="0.25">
      <c r="A1072" s="43">
        <v>154</v>
      </c>
      <c r="B1072" s="43" t="s">
        <v>51</v>
      </c>
      <c r="C1072" s="43" t="s">
        <v>4478</v>
      </c>
      <c r="D1072" s="43" t="s">
        <v>1555</v>
      </c>
      <c r="E1072" s="43" t="s">
        <v>1556</v>
      </c>
      <c r="F1072" s="43">
        <v>1</v>
      </c>
      <c r="G1072"/>
      <c r="H1072"/>
    </row>
    <row r="1073" spans="1:8" hidden="1" x14ac:dyDescent="0.25">
      <c r="A1073" s="43">
        <v>154</v>
      </c>
      <c r="B1073" s="43" t="s">
        <v>51</v>
      </c>
      <c r="C1073" s="43" t="s">
        <v>4479</v>
      </c>
      <c r="D1073" s="43" t="s">
        <v>1560</v>
      </c>
      <c r="E1073" s="43" t="s">
        <v>1561</v>
      </c>
      <c r="F1073" s="43">
        <v>1</v>
      </c>
      <c r="G1073"/>
      <c r="H1073"/>
    </row>
    <row r="1074" spans="1:8" hidden="1" x14ac:dyDescent="0.25">
      <c r="A1074" s="43">
        <v>154</v>
      </c>
      <c r="B1074" s="43" t="s">
        <v>51</v>
      </c>
      <c r="C1074" s="43" t="s">
        <v>4479</v>
      </c>
      <c r="D1074" s="43" t="s">
        <v>1562</v>
      </c>
      <c r="E1074" s="43" t="s">
        <v>1563</v>
      </c>
      <c r="F1074" s="43">
        <v>0</v>
      </c>
      <c r="G1074" s="43" t="s">
        <v>4583</v>
      </c>
      <c r="H1074"/>
    </row>
    <row r="1075" spans="1:8" hidden="1" x14ac:dyDescent="0.25">
      <c r="A1075" s="43">
        <v>154</v>
      </c>
      <c r="B1075" s="43" t="s">
        <v>51</v>
      </c>
      <c r="C1075" s="43" t="s">
        <v>4479</v>
      </c>
      <c r="D1075" s="43" t="s">
        <v>1579</v>
      </c>
      <c r="E1075" s="43" t="s">
        <v>1580</v>
      </c>
      <c r="F1075" s="43">
        <v>0</v>
      </c>
      <c r="G1075" s="43" t="s">
        <v>4583</v>
      </c>
      <c r="H1075"/>
    </row>
    <row r="1076" spans="1:8" hidden="1" x14ac:dyDescent="0.25">
      <c r="A1076" s="43">
        <v>154</v>
      </c>
      <c r="B1076" s="43" t="s">
        <v>51</v>
      </c>
      <c r="C1076" s="43" t="s">
        <v>4479</v>
      </c>
      <c r="D1076" s="43" t="s">
        <v>1581</v>
      </c>
      <c r="E1076" s="43" t="s">
        <v>1582</v>
      </c>
      <c r="F1076" s="43">
        <v>0</v>
      </c>
      <c r="G1076" s="43" t="s">
        <v>4583</v>
      </c>
      <c r="H1076"/>
    </row>
    <row r="1077" spans="1:8" hidden="1" x14ac:dyDescent="0.25">
      <c r="A1077" s="43">
        <v>154</v>
      </c>
      <c r="B1077" s="43" t="s">
        <v>51</v>
      </c>
      <c r="C1077" s="43" t="s">
        <v>4479</v>
      </c>
      <c r="D1077" s="43" t="s">
        <v>1583</v>
      </c>
      <c r="E1077" s="43" t="s">
        <v>1584</v>
      </c>
      <c r="F1077" s="43">
        <v>0</v>
      </c>
      <c r="G1077" s="43" t="s">
        <v>4583</v>
      </c>
      <c r="H1077"/>
    </row>
    <row r="1078" spans="1:8" hidden="1" x14ac:dyDescent="0.25">
      <c r="A1078" s="43">
        <v>154</v>
      </c>
      <c r="B1078" s="43" t="s">
        <v>51</v>
      </c>
      <c r="C1078" s="43" t="s">
        <v>4479</v>
      </c>
      <c r="D1078" s="43" t="s">
        <v>1558</v>
      </c>
      <c r="E1078" s="43" t="s">
        <v>583</v>
      </c>
      <c r="F1078" s="43">
        <v>1</v>
      </c>
      <c r="G1078"/>
      <c r="H1078"/>
    </row>
    <row r="1079" spans="1:8" hidden="1" x14ac:dyDescent="0.25">
      <c r="A1079" s="43">
        <v>154</v>
      </c>
      <c r="B1079" s="43" t="s">
        <v>51</v>
      </c>
      <c r="C1079" s="43" t="s">
        <v>4479</v>
      </c>
      <c r="D1079" s="43" t="s">
        <v>1559</v>
      </c>
      <c r="E1079" s="43" t="s">
        <v>306</v>
      </c>
      <c r="F1079" s="43">
        <v>1</v>
      </c>
      <c r="G1079"/>
      <c r="H1079"/>
    </row>
    <row r="1080" spans="1:8" hidden="1" x14ac:dyDescent="0.25">
      <c r="A1080" s="43">
        <v>154</v>
      </c>
      <c r="B1080" s="43" t="s">
        <v>51</v>
      </c>
      <c r="C1080" s="43" t="s">
        <v>4479</v>
      </c>
      <c r="D1080" s="43" t="s">
        <v>1566</v>
      </c>
      <c r="E1080" s="43" t="s">
        <v>275</v>
      </c>
      <c r="F1080" s="43">
        <v>0</v>
      </c>
      <c r="G1080" s="43" t="s">
        <v>4583</v>
      </c>
      <c r="H1080"/>
    </row>
    <row r="1081" spans="1:8" hidden="1" x14ac:dyDescent="0.25">
      <c r="A1081" s="43">
        <v>154</v>
      </c>
      <c r="B1081" s="43" t="s">
        <v>51</v>
      </c>
      <c r="C1081" s="43" t="s">
        <v>4479</v>
      </c>
      <c r="D1081" s="43" t="s">
        <v>1567</v>
      </c>
      <c r="E1081" s="43" t="s">
        <v>1568</v>
      </c>
      <c r="F1081" s="43">
        <v>0</v>
      </c>
      <c r="G1081" s="43" t="s">
        <v>4583</v>
      </c>
      <c r="H1081"/>
    </row>
    <row r="1082" spans="1:8" hidden="1" x14ac:dyDescent="0.25">
      <c r="A1082" s="43">
        <v>154</v>
      </c>
      <c r="B1082" s="43" t="s">
        <v>51</v>
      </c>
      <c r="C1082" s="43" t="s">
        <v>4479</v>
      </c>
      <c r="D1082" s="43" t="s">
        <v>1578</v>
      </c>
      <c r="E1082" s="43" t="s">
        <v>503</v>
      </c>
      <c r="F1082" s="43">
        <v>1</v>
      </c>
      <c r="G1082"/>
      <c r="H1082"/>
    </row>
    <row r="1083" spans="1:8" hidden="1" x14ac:dyDescent="0.25">
      <c r="A1083" s="43">
        <v>154</v>
      </c>
      <c r="B1083" s="43" t="s">
        <v>51</v>
      </c>
      <c r="C1083" s="43" t="s">
        <v>4479</v>
      </c>
      <c r="D1083" s="43" t="s">
        <v>1576</v>
      </c>
      <c r="E1083" s="43" t="s">
        <v>1577</v>
      </c>
      <c r="F1083" s="43">
        <v>0</v>
      </c>
      <c r="G1083" s="43" t="s">
        <v>4583</v>
      </c>
      <c r="H1083"/>
    </row>
    <row r="1084" spans="1:8" hidden="1" x14ac:dyDescent="0.25">
      <c r="A1084" s="43">
        <v>154</v>
      </c>
      <c r="B1084" s="43" t="s">
        <v>51</v>
      </c>
      <c r="C1084" s="43" t="s">
        <v>4479</v>
      </c>
      <c r="D1084" s="43" t="s">
        <v>1572</v>
      </c>
      <c r="E1084" s="43" t="s">
        <v>4480</v>
      </c>
      <c r="F1084" s="43">
        <v>0</v>
      </c>
      <c r="G1084" s="43" t="s">
        <v>4583</v>
      </c>
      <c r="H1084"/>
    </row>
    <row r="1085" spans="1:8" hidden="1" x14ac:dyDescent="0.25">
      <c r="A1085" s="43">
        <v>154</v>
      </c>
      <c r="B1085" s="43" t="s">
        <v>51</v>
      </c>
      <c r="C1085" s="43" t="s">
        <v>4479</v>
      </c>
      <c r="D1085" s="43" t="s">
        <v>1574</v>
      </c>
      <c r="E1085" s="43" t="s">
        <v>1575</v>
      </c>
      <c r="F1085" s="43">
        <v>0</v>
      </c>
      <c r="G1085" s="43" t="s">
        <v>4583</v>
      </c>
      <c r="H1085"/>
    </row>
    <row r="1086" spans="1:8" hidden="1" x14ac:dyDescent="0.25">
      <c r="A1086" s="43">
        <v>154</v>
      </c>
      <c r="B1086" s="43" t="s">
        <v>51</v>
      </c>
      <c r="C1086" s="43" t="s">
        <v>4479</v>
      </c>
      <c r="D1086" s="43" t="s">
        <v>1564</v>
      </c>
      <c r="E1086" s="43" t="s">
        <v>633</v>
      </c>
      <c r="F1086" s="43">
        <v>0</v>
      </c>
      <c r="G1086" s="43" t="s">
        <v>4583</v>
      </c>
      <c r="H1086"/>
    </row>
    <row r="1087" spans="1:8" hidden="1" x14ac:dyDescent="0.25">
      <c r="A1087" s="43">
        <v>154</v>
      </c>
      <c r="B1087" s="43" t="s">
        <v>51</v>
      </c>
      <c r="C1087" s="43" t="s">
        <v>4479</v>
      </c>
      <c r="D1087" s="43" t="s">
        <v>1565</v>
      </c>
      <c r="E1087" s="43" t="s">
        <v>493</v>
      </c>
      <c r="F1087" s="43">
        <v>0</v>
      </c>
      <c r="G1087" s="43" t="s">
        <v>4583</v>
      </c>
      <c r="H1087"/>
    </row>
    <row r="1088" spans="1:8" hidden="1" x14ac:dyDescent="0.25">
      <c r="A1088" s="43">
        <v>154</v>
      </c>
      <c r="B1088" s="43" t="s">
        <v>51</v>
      </c>
      <c r="C1088" s="43" t="s">
        <v>4479</v>
      </c>
      <c r="D1088" s="43" t="s">
        <v>1569</v>
      </c>
      <c r="E1088" s="43" t="s">
        <v>1256</v>
      </c>
      <c r="F1088" s="43">
        <v>1</v>
      </c>
      <c r="G1088"/>
      <c r="H1088"/>
    </row>
    <row r="1089" spans="1:8" hidden="1" x14ac:dyDescent="0.25">
      <c r="A1089" s="43">
        <v>154</v>
      </c>
      <c r="B1089" s="43" t="s">
        <v>51</v>
      </c>
      <c r="C1089" s="43" t="s">
        <v>4479</v>
      </c>
      <c r="D1089" s="43" t="s">
        <v>1570</v>
      </c>
      <c r="E1089" s="43" t="s">
        <v>1571</v>
      </c>
      <c r="F1089" s="43">
        <v>1</v>
      </c>
      <c r="G1089"/>
      <c r="H1089"/>
    </row>
    <row r="1090" spans="1:8" hidden="1" x14ac:dyDescent="0.25">
      <c r="A1090" s="43">
        <v>157</v>
      </c>
      <c r="B1090" s="43" t="s">
        <v>52</v>
      </c>
      <c r="C1090" s="43" t="s">
        <v>1723</v>
      </c>
      <c r="D1090" s="43" t="s">
        <v>1724</v>
      </c>
      <c r="E1090" s="43" t="s">
        <v>273</v>
      </c>
      <c r="F1090" s="43">
        <v>1</v>
      </c>
      <c r="G1090"/>
      <c r="H1090"/>
    </row>
    <row r="1091" spans="1:8" hidden="1" x14ac:dyDescent="0.25">
      <c r="A1091" s="43">
        <v>157</v>
      </c>
      <c r="B1091" s="43" t="s">
        <v>52</v>
      </c>
      <c r="C1091" s="43" t="s">
        <v>1723</v>
      </c>
      <c r="D1091" s="43" t="s">
        <v>1726</v>
      </c>
      <c r="E1091" s="43" t="s">
        <v>1727</v>
      </c>
      <c r="F1091" s="43">
        <v>1</v>
      </c>
      <c r="G1091"/>
      <c r="H1091"/>
    </row>
    <row r="1092" spans="1:8" hidden="1" x14ac:dyDescent="0.25">
      <c r="A1092" s="43">
        <v>157</v>
      </c>
      <c r="B1092" s="43" t="s">
        <v>52</v>
      </c>
      <c r="C1092" s="43" t="s">
        <v>1723</v>
      </c>
      <c r="D1092" s="43" t="s">
        <v>1728</v>
      </c>
      <c r="E1092" s="43" t="s">
        <v>380</v>
      </c>
      <c r="F1092" s="43">
        <v>1</v>
      </c>
      <c r="G1092"/>
      <c r="H1092"/>
    </row>
    <row r="1093" spans="1:8" hidden="1" x14ac:dyDescent="0.25">
      <c r="A1093" s="43">
        <v>157</v>
      </c>
      <c r="B1093" s="43" t="s">
        <v>52</v>
      </c>
      <c r="C1093" s="43" t="s">
        <v>1723</v>
      </c>
      <c r="D1093" s="43" t="s">
        <v>1729</v>
      </c>
      <c r="E1093" s="43" t="s">
        <v>1730</v>
      </c>
      <c r="F1093" s="43">
        <v>0</v>
      </c>
      <c r="G1093" s="43" t="s">
        <v>4583</v>
      </c>
      <c r="H1093"/>
    </row>
    <row r="1094" spans="1:8" hidden="1" x14ac:dyDescent="0.25">
      <c r="A1094" s="43">
        <v>157</v>
      </c>
      <c r="B1094" s="43" t="s">
        <v>52</v>
      </c>
      <c r="C1094" s="43" t="s">
        <v>1723</v>
      </c>
      <c r="D1094" s="43" t="s">
        <v>1731</v>
      </c>
      <c r="E1094" s="43" t="s">
        <v>322</v>
      </c>
      <c r="F1094" s="43">
        <v>0</v>
      </c>
      <c r="G1094" s="43" t="s">
        <v>4583</v>
      </c>
      <c r="H1094"/>
    </row>
    <row r="1095" spans="1:8" hidden="1" x14ac:dyDescent="0.25">
      <c r="A1095" s="43">
        <v>157</v>
      </c>
      <c r="B1095" s="43" t="s">
        <v>52</v>
      </c>
      <c r="C1095" s="43" t="s">
        <v>1723</v>
      </c>
      <c r="D1095" s="43" t="s">
        <v>1732</v>
      </c>
      <c r="E1095" s="43" t="s">
        <v>1733</v>
      </c>
      <c r="F1095" s="43">
        <v>0</v>
      </c>
      <c r="G1095" s="43" t="s">
        <v>4583</v>
      </c>
      <c r="H1095"/>
    </row>
    <row r="1096" spans="1:8" hidden="1" x14ac:dyDescent="0.25">
      <c r="A1096" s="43">
        <v>157</v>
      </c>
      <c r="B1096" s="43" t="s">
        <v>52</v>
      </c>
      <c r="C1096" s="43" t="s">
        <v>1723</v>
      </c>
      <c r="D1096" s="43" t="s">
        <v>1740</v>
      </c>
      <c r="E1096" s="43" t="s">
        <v>1741</v>
      </c>
      <c r="F1096" s="43">
        <v>1</v>
      </c>
      <c r="G1096"/>
      <c r="H1096"/>
    </row>
    <row r="1097" spans="1:8" hidden="1" x14ac:dyDescent="0.25">
      <c r="A1097" s="43">
        <v>157</v>
      </c>
      <c r="B1097" s="43" t="s">
        <v>52</v>
      </c>
      <c r="C1097" s="43" t="s">
        <v>1723</v>
      </c>
      <c r="D1097" s="43" t="s">
        <v>1742</v>
      </c>
      <c r="E1097" s="43" t="s">
        <v>1743</v>
      </c>
      <c r="F1097" s="43">
        <v>0</v>
      </c>
      <c r="G1097" s="43" t="s">
        <v>4583</v>
      </c>
      <c r="H1097"/>
    </row>
    <row r="1098" spans="1:8" hidden="1" x14ac:dyDescent="0.25">
      <c r="A1098" s="43">
        <v>157</v>
      </c>
      <c r="B1098" s="43" t="s">
        <v>52</v>
      </c>
      <c r="C1098" s="43" t="s">
        <v>1723</v>
      </c>
      <c r="D1098" s="43" t="s">
        <v>1744</v>
      </c>
      <c r="E1098" s="43" t="s">
        <v>1745</v>
      </c>
      <c r="F1098" s="43">
        <v>0</v>
      </c>
      <c r="G1098" s="43" t="s">
        <v>4583</v>
      </c>
      <c r="H1098"/>
    </row>
    <row r="1099" spans="1:8" hidden="1" x14ac:dyDescent="0.25">
      <c r="A1099" s="43">
        <v>157</v>
      </c>
      <c r="B1099" s="43" t="s">
        <v>52</v>
      </c>
      <c r="C1099" s="43" t="s">
        <v>1723</v>
      </c>
      <c r="D1099" s="43" t="s">
        <v>1734</v>
      </c>
      <c r="E1099" s="43" t="s">
        <v>1735</v>
      </c>
      <c r="F1099" s="43">
        <v>0</v>
      </c>
      <c r="G1099" s="43" t="s">
        <v>4583</v>
      </c>
      <c r="H1099"/>
    </row>
    <row r="1100" spans="1:8" hidden="1" x14ac:dyDescent="0.25">
      <c r="A1100" s="43">
        <v>157</v>
      </c>
      <c r="B1100" s="43" t="s">
        <v>52</v>
      </c>
      <c r="C1100" s="43" t="s">
        <v>1723</v>
      </c>
      <c r="D1100" s="43" t="s">
        <v>1736</v>
      </c>
      <c r="E1100" s="43" t="s">
        <v>4481</v>
      </c>
      <c r="F1100" s="43">
        <v>0</v>
      </c>
      <c r="G1100" s="43" t="s">
        <v>4583</v>
      </c>
      <c r="H1100"/>
    </row>
    <row r="1101" spans="1:8" hidden="1" x14ac:dyDescent="0.25">
      <c r="A1101" s="43">
        <v>157</v>
      </c>
      <c r="B1101" s="43" t="s">
        <v>52</v>
      </c>
      <c r="C1101" s="43" t="s">
        <v>1723</v>
      </c>
      <c r="D1101" s="43" t="s">
        <v>1738</v>
      </c>
      <c r="E1101" s="43" t="s">
        <v>1739</v>
      </c>
      <c r="F1101" s="43">
        <v>0</v>
      </c>
      <c r="G1101" s="43" t="s">
        <v>4583</v>
      </c>
      <c r="H1101"/>
    </row>
    <row r="1102" spans="1:8" hidden="1" x14ac:dyDescent="0.25">
      <c r="A1102" s="43">
        <v>157</v>
      </c>
      <c r="B1102" s="43" t="s">
        <v>52</v>
      </c>
      <c r="C1102" s="43" t="s">
        <v>1723</v>
      </c>
      <c r="D1102" s="43" t="s">
        <v>1746</v>
      </c>
      <c r="E1102" s="43" t="s">
        <v>1747</v>
      </c>
      <c r="F1102" s="43">
        <v>1</v>
      </c>
      <c r="G1102"/>
      <c r="H1102"/>
    </row>
    <row r="1103" spans="1:8" hidden="1" x14ac:dyDescent="0.25">
      <c r="A1103" s="43">
        <v>157</v>
      </c>
      <c r="B1103" s="43" t="s">
        <v>52</v>
      </c>
      <c r="C1103" s="43" t="s">
        <v>1723</v>
      </c>
      <c r="D1103" s="43" t="s">
        <v>1748</v>
      </c>
      <c r="E1103" s="43" t="s">
        <v>1749</v>
      </c>
      <c r="F1103" s="43">
        <v>1</v>
      </c>
      <c r="G1103"/>
      <c r="H1103"/>
    </row>
    <row r="1104" spans="1:8" hidden="1" x14ac:dyDescent="0.25">
      <c r="A1104" s="43">
        <v>157</v>
      </c>
      <c r="B1104" s="43" t="s">
        <v>52</v>
      </c>
      <c r="C1104" s="43" t="s">
        <v>1723</v>
      </c>
      <c r="D1104" s="43" t="s">
        <v>1750</v>
      </c>
      <c r="E1104" s="43" t="s">
        <v>954</v>
      </c>
      <c r="F1104" s="43">
        <v>1</v>
      </c>
      <c r="G1104"/>
      <c r="H1104"/>
    </row>
    <row r="1105" spans="1:8" hidden="1" x14ac:dyDescent="0.25">
      <c r="A1105" s="43">
        <v>157</v>
      </c>
      <c r="B1105" s="43" t="s">
        <v>52</v>
      </c>
      <c r="C1105" s="43" t="s">
        <v>1723</v>
      </c>
      <c r="D1105" s="43" t="s">
        <v>1725</v>
      </c>
      <c r="E1105" s="43" t="s">
        <v>312</v>
      </c>
      <c r="F1105" s="43">
        <v>0</v>
      </c>
      <c r="G1105" s="43" t="s">
        <v>4583</v>
      </c>
      <c r="H1105"/>
    </row>
    <row r="1106" spans="1:8" hidden="1" x14ac:dyDescent="0.25">
      <c r="A1106" s="43">
        <v>164</v>
      </c>
      <c r="B1106" s="43" t="s">
        <v>53</v>
      </c>
      <c r="C1106" s="43" t="s">
        <v>636</v>
      </c>
      <c r="D1106" s="43" t="s">
        <v>653</v>
      </c>
      <c r="E1106" s="43" t="s">
        <v>438</v>
      </c>
      <c r="F1106" s="43">
        <v>1</v>
      </c>
      <c r="G1106"/>
      <c r="H1106"/>
    </row>
    <row r="1107" spans="1:8" hidden="1" x14ac:dyDescent="0.25">
      <c r="A1107" s="43">
        <v>164</v>
      </c>
      <c r="B1107" s="43" t="s">
        <v>53</v>
      </c>
      <c r="C1107" s="43" t="s">
        <v>636</v>
      </c>
      <c r="D1107" s="43" t="s">
        <v>654</v>
      </c>
      <c r="E1107" s="43" t="s">
        <v>440</v>
      </c>
      <c r="F1107" s="43">
        <v>1</v>
      </c>
      <c r="G1107"/>
      <c r="H1107"/>
    </row>
    <row r="1108" spans="1:8" hidden="1" x14ac:dyDescent="0.25">
      <c r="A1108" s="43">
        <v>164</v>
      </c>
      <c r="B1108" s="43" t="s">
        <v>53</v>
      </c>
      <c r="C1108" s="43" t="s">
        <v>636</v>
      </c>
      <c r="D1108" s="43" t="s">
        <v>637</v>
      </c>
      <c r="E1108" s="43" t="s">
        <v>638</v>
      </c>
      <c r="F1108" s="43">
        <v>1</v>
      </c>
      <c r="G1108"/>
      <c r="H1108"/>
    </row>
    <row r="1109" spans="1:8" hidden="1" x14ac:dyDescent="0.25">
      <c r="A1109" s="43">
        <v>164</v>
      </c>
      <c r="B1109" s="43" t="s">
        <v>53</v>
      </c>
      <c r="C1109" s="43" t="s">
        <v>636</v>
      </c>
      <c r="D1109" s="43" t="s">
        <v>639</v>
      </c>
      <c r="E1109" s="43" t="s">
        <v>640</v>
      </c>
      <c r="F1109" s="43">
        <v>1</v>
      </c>
      <c r="G1109"/>
      <c r="H1109"/>
    </row>
    <row r="1110" spans="1:8" hidden="1" x14ac:dyDescent="0.25">
      <c r="A1110" s="43">
        <v>164</v>
      </c>
      <c r="B1110" s="43" t="s">
        <v>53</v>
      </c>
      <c r="C1110" s="43" t="s">
        <v>636</v>
      </c>
      <c r="D1110" s="43" t="s">
        <v>641</v>
      </c>
      <c r="E1110" s="43" t="s">
        <v>642</v>
      </c>
      <c r="F1110" s="43">
        <v>1</v>
      </c>
      <c r="G1110"/>
      <c r="H1110"/>
    </row>
    <row r="1111" spans="1:8" hidden="1" x14ac:dyDescent="0.25">
      <c r="A1111" s="43">
        <v>164</v>
      </c>
      <c r="B1111" s="43" t="s">
        <v>53</v>
      </c>
      <c r="C1111" s="43" t="s">
        <v>636</v>
      </c>
      <c r="D1111" s="43" t="s">
        <v>643</v>
      </c>
      <c r="E1111" s="43" t="s">
        <v>644</v>
      </c>
      <c r="F1111" s="43">
        <v>1</v>
      </c>
      <c r="G1111"/>
      <c r="H1111"/>
    </row>
    <row r="1112" spans="1:8" hidden="1" x14ac:dyDescent="0.25">
      <c r="A1112" s="43">
        <v>164</v>
      </c>
      <c r="B1112" s="43" t="s">
        <v>53</v>
      </c>
      <c r="C1112" s="43" t="s">
        <v>636</v>
      </c>
      <c r="D1112" s="43" t="s">
        <v>645</v>
      </c>
      <c r="E1112" s="43" t="s">
        <v>646</v>
      </c>
      <c r="F1112" s="43">
        <v>1</v>
      </c>
      <c r="G1112"/>
      <c r="H1112"/>
    </row>
    <row r="1113" spans="1:8" hidden="1" x14ac:dyDescent="0.25">
      <c r="A1113" s="43">
        <v>164</v>
      </c>
      <c r="B1113" s="43" t="s">
        <v>53</v>
      </c>
      <c r="C1113" s="43" t="s">
        <v>636</v>
      </c>
      <c r="D1113" s="43" t="s">
        <v>647</v>
      </c>
      <c r="E1113" s="43" t="s">
        <v>648</v>
      </c>
      <c r="F1113" s="43">
        <v>1</v>
      </c>
      <c r="G1113"/>
      <c r="H1113"/>
    </row>
    <row r="1114" spans="1:8" hidden="1" x14ac:dyDescent="0.25">
      <c r="A1114" s="43">
        <v>164</v>
      </c>
      <c r="B1114" s="43" t="s">
        <v>53</v>
      </c>
      <c r="C1114" s="43" t="s">
        <v>636</v>
      </c>
      <c r="D1114" s="43" t="s">
        <v>649</v>
      </c>
      <c r="E1114" s="43" t="s">
        <v>650</v>
      </c>
      <c r="F1114" s="43">
        <v>1</v>
      </c>
      <c r="G1114"/>
      <c r="H1114"/>
    </row>
    <row r="1115" spans="1:8" hidden="1" x14ac:dyDescent="0.25">
      <c r="A1115" s="43">
        <v>164</v>
      </c>
      <c r="B1115" s="43" t="s">
        <v>53</v>
      </c>
      <c r="C1115" s="43" t="s">
        <v>636</v>
      </c>
      <c r="D1115" s="43" t="s">
        <v>651</v>
      </c>
      <c r="E1115" s="43" t="s">
        <v>652</v>
      </c>
      <c r="F1115" s="43">
        <v>1</v>
      </c>
      <c r="G1115"/>
      <c r="H1115"/>
    </row>
    <row r="1116" spans="1:8" hidden="1" x14ac:dyDescent="0.25">
      <c r="A1116" s="43">
        <v>164</v>
      </c>
      <c r="B1116" s="43" t="s">
        <v>53</v>
      </c>
      <c r="C1116" s="43" t="s">
        <v>636</v>
      </c>
      <c r="D1116" s="43" t="s">
        <v>655</v>
      </c>
      <c r="E1116" s="43" t="s">
        <v>656</v>
      </c>
      <c r="F1116" s="43">
        <v>1</v>
      </c>
      <c r="G1116"/>
      <c r="H1116"/>
    </row>
    <row r="1117" spans="1:8" hidden="1" x14ac:dyDescent="0.25">
      <c r="A1117" s="43">
        <v>164</v>
      </c>
      <c r="B1117" s="43" t="s">
        <v>53</v>
      </c>
      <c r="C1117" s="43" t="s">
        <v>636</v>
      </c>
      <c r="D1117" s="43" t="s">
        <v>657</v>
      </c>
      <c r="E1117" s="43" t="s">
        <v>658</v>
      </c>
      <c r="F1117" s="43">
        <v>1</v>
      </c>
      <c r="G1117"/>
      <c r="H1117"/>
    </row>
    <row r="1118" spans="1:8" hidden="1" x14ac:dyDescent="0.25">
      <c r="A1118" s="43">
        <v>164</v>
      </c>
      <c r="B1118" s="43" t="s">
        <v>53</v>
      </c>
      <c r="C1118" s="43" t="s">
        <v>682</v>
      </c>
      <c r="D1118" s="43" t="s">
        <v>683</v>
      </c>
      <c r="E1118" s="43" t="s">
        <v>684</v>
      </c>
      <c r="F1118" s="43">
        <v>0</v>
      </c>
      <c r="G1118" s="43" t="s">
        <v>4596</v>
      </c>
      <c r="H1118" s="43" t="s">
        <v>4761</v>
      </c>
    </row>
    <row r="1119" spans="1:8" hidden="1" x14ac:dyDescent="0.25">
      <c r="A1119" s="43">
        <v>164</v>
      </c>
      <c r="B1119" s="43" t="s">
        <v>53</v>
      </c>
      <c r="C1119" s="43" t="s">
        <v>682</v>
      </c>
      <c r="D1119" s="43" t="s">
        <v>685</v>
      </c>
      <c r="E1119" s="43" t="s">
        <v>686</v>
      </c>
      <c r="F1119" s="43">
        <v>1</v>
      </c>
      <c r="G1119"/>
      <c r="H1119"/>
    </row>
    <row r="1120" spans="1:8" hidden="1" x14ac:dyDescent="0.25">
      <c r="A1120" s="43">
        <v>164</v>
      </c>
      <c r="B1120" s="43" t="s">
        <v>53</v>
      </c>
      <c r="C1120" s="43" t="s">
        <v>682</v>
      </c>
      <c r="D1120" s="43" t="s">
        <v>687</v>
      </c>
      <c r="E1120" s="43" t="s">
        <v>638</v>
      </c>
      <c r="F1120" s="43">
        <v>1</v>
      </c>
      <c r="G1120"/>
      <c r="H1120"/>
    </row>
    <row r="1121" spans="1:8" hidden="1" x14ac:dyDescent="0.25">
      <c r="A1121" s="43">
        <v>164</v>
      </c>
      <c r="B1121" s="43" t="s">
        <v>53</v>
      </c>
      <c r="C1121" s="43" t="s">
        <v>682</v>
      </c>
      <c r="D1121" s="43" t="s">
        <v>688</v>
      </c>
      <c r="E1121" s="43" t="s">
        <v>689</v>
      </c>
      <c r="F1121" s="43">
        <v>1</v>
      </c>
      <c r="G1121"/>
      <c r="H1121"/>
    </row>
    <row r="1122" spans="1:8" hidden="1" x14ac:dyDescent="0.25">
      <c r="A1122" s="43">
        <v>164</v>
      </c>
      <c r="B1122" s="43" t="s">
        <v>53</v>
      </c>
      <c r="C1122" s="43" t="s">
        <v>682</v>
      </c>
      <c r="D1122" s="43" t="s">
        <v>690</v>
      </c>
      <c r="E1122" s="43" t="s">
        <v>640</v>
      </c>
      <c r="F1122" s="43">
        <v>1</v>
      </c>
      <c r="G1122"/>
      <c r="H1122"/>
    </row>
    <row r="1123" spans="1:8" hidden="1" x14ac:dyDescent="0.25">
      <c r="A1123" s="43">
        <v>164</v>
      </c>
      <c r="B1123" s="43" t="s">
        <v>53</v>
      </c>
      <c r="C1123" s="43" t="s">
        <v>682</v>
      </c>
      <c r="D1123" s="43" t="s">
        <v>691</v>
      </c>
      <c r="E1123" s="43" t="s">
        <v>692</v>
      </c>
      <c r="F1123" s="43">
        <v>0</v>
      </c>
      <c r="G1123" s="43" t="s">
        <v>4597</v>
      </c>
      <c r="H1123" s="43" t="s">
        <v>4761</v>
      </c>
    </row>
    <row r="1124" spans="1:8" hidden="1" x14ac:dyDescent="0.25">
      <c r="A1124" s="43">
        <v>164</v>
      </c>
      <c r="B1124" s="43" t="s">
        <v>53</v>
      </c>
      <c r="C1124" s="43" t="s">
        <v>682</v>
      </c>
      <c r="D1124" s="43" t="s">
        <v>693</v>
      </c>
      <c r="E1124" s="43" t="s">
        <v>694</v>
      </c>
      <c r="F1124" s="43">
        <v>1</v>
      </c>
      <c r="G1124"/>
      <c r="H1124"/>
    </row>
    <row r="1125" spans="1:8" hidden="1" x14ac:dyDescent="0.25">
      <c r="A1125" s="43">
        <v>164</v>
      </c>
      <c r="B1125" s="43" t="s">
        <v>53</v>
      </c>
      <c r="C1125" s="43" t="s">
        <v>682</v>
      </c>
      <c r="D1125" s="43" t="s">
        <v>695</v>
      </c>
      <c r="E1125" s="43" t="s">
        <v>696</v>
      </c>
      <c r="F1125" s="43">
        <v>0</v>
      </c>
      <c r="G1125" s="43" t="s">
        <v>4597</v>
      </c>
      <c r="H1125" s="43" t="s">
        <v>4761</v>
      </c>
    </row>
    <row r="1126" spans="1:8" hidden="1" x14ac:dyDescent="0.25">
      <c r="A1126" s="43">
        <v>164</v>
      </c>
      <c r="B1126" s="43" t="s">
        <v>53</v>
      </c>
      <c r="C1126" s="43" t="s">
        <v>682</v>
      </c>
      <c r="D1126" s="43" t="s">
        <v>697</v>
      </c>
      <c r="E1126" s="43" t="s">
        <v>698</v>
      </c>
      <c r="F1126" s="43">
        <v>0</v>
      </c>
      <c r="G1126" s="43" t="s">
        <v>4596</v>
      </c>
      <c r="H1126" s="43" t="s">
        <v>4761</v>
      </c>
    </row>
    <row r="1127" spans="1:8" hidden="1" x14ac:dyDescent="0.25">
      <c r="A1127" s="43">
        <v>164</v>
      </c>
      <c r="B1127" s="43" t="s">
        <v>53</v>
      </c>
      <c r="C1127" s="43" t="s">
        <v>682</v>
      </c>
      <c r="D1127" s="43" t="s">
        <v>699</v>
      </c>
      <c r="E1127" s="43" t="s">
        <v>700</v>
      </c>
      <c r="F1127" s="43">
        <v>1</v>
      </c>
      <c r="G1127"/>
      <c r="H1127"/>
    </row>
    <row r="1128" spans="1:8" hidden="1" x14ac:dyDescent="0.25">
      <c r="A1128" s="43">
        <v>164</v>
      </c>
      <c r="B1128" s="43" t="s">
        <v>53</v>
      </c>
      <c r="C1128" s="43" t="s">
        <v>1220</v>
      </c>
      <c r="D1128" s="43" t="s">
        <v>1228</v>
      </c>
      <c r="E1128" s="43" t="s">
        <v>438</v>
      </c>
      <c r="F1128" s="43">
        <v>1</v>
      </c>
      <c r="G1128"/>
      <c r="H1128"/>
    </row>
    <row r="1129" spans="1:8" hidden="1" x14ac:dyDescent="0.25">
      <c r="A1129" s="43">
        <v>164</v>
      </c>
      <c r="B1129" s="43" t="s">
        <v>53</v>
      </c>
      <c r="C1129" s="43" t="s">
        <v>1220</v>
      </c>
      <c r="D1129" s="43" t="s">
        <v>1229</v>
      </c>
      <c r="E1129" s="43" t="s">
        <v>440</v>
      </c>
      <c r="F1129" s="43">
        <v>1</v>
      </c>
      <c r="G1129"/>
      <c r="H1129"/>
    </row>
    <row r="1130" spans="1:8" hidden="1" x14ac:dyDescent="0.25">
      <c r="A1130" s="43">
        <v>164</v>
      </c>
      <c r="B1130" s="43" t="s">
        <v>53</v>
      </c>
      <c r="C1130" s="43" t="s">
        <v>1220</v>
      </c>
      <c r="D1130" s="43" t="s">
        <v>1221</v>
      </c>
      <c r="E1130" s="43" t="s">
        <v>430</v>
      </c>
      <c r="F1130" s="43">
        <v>1</v>
      </c>
      <c r="G1130"/>
      <c r="H1130"/>
    </row>
    <row r="1131" spans="1:8" hidden="1" x14ac:dyDescent="0.25">
      <c r="A1131" s="43">
        <v>164</v>
      </c>
      <c r="B1131" s="43" t="s">
        <v>53</v>
      </c>
      <c r="C1131" s="43" t="s">
        <v>1220</v>
      </c>
      <c r="D1131" s="43" t="s">
        <v>1239</v>
      </c>
      <c r="E1131" s="43" t="s">
        <v>1240</v>
      </c>
      <c r="F1131" s="43">
        <v>1</v>
      </c>
      <c r="G1131"/>
      <c r="H1131"/>
    </row>
    <row r="1132" spans="1:8" hidden="1" x14ac:dyDescent="0.25">
      <c r="A1132" s="43">
        <v>164</v>
      </c>
      <c r="B1132" s="43" t="s">
        <v>53</v>
      </c>
      <c r="C1132" s="43" t="s">
        <v>1220</v>
      </c>
      <c r="D1132" s="43" t="s">
        <v>1241</v>
      </c>
      <c r="E1132" s="43" t="s">
        <v>1242</v>
      </c>
      <c r="F1132" s="43">
        <v>1</v>
      </c>
      <c r="G1132"/>
      <c r="H1132"/>
    </row>
    <row r="1133" spans="1:8" hidden="1" x14ac:dyDescent="0.25">
      <c r="A1133" s="43">
        <v>164</v>
      </c>
      <c r="B1133" s="43" t="s">
        <v>53</v>
      </c>
      <c r="C1133" s="43" t="s">
        <v>1220</v>
      </c>
      <c r="D1133" s="43" t="s">
        <v>1243</v>
      </c>
      <c r="E1133" s="43" t="s">
        <v>4482</v>
      </c>
      <c r="F1133" s="43">
        <v>1</v>
      </c>
      <c r="G1133"/>
      <c r="H1133"/>
    </row>
    <row r="1134" spans="1:8" hidden="1" x14ac:dyDescent="0.25">
      <c r="A1134" s="43">
        <v>164</v>
      </c>
      <c r="B1134" s="43" t="s">
        <v>53</v>
      </c>
      <c r="C1134" s="43" t="s">
        <v>1220</v>
      </c>
      <c r="D1134" s="43" t="s">
        <v>1222</v>
      </c>
      <c r="E1134" s="43" t="s">
        <v>1223</v>
      </c>
      <c r="F1134" s="43">
        <v>0</v>
      </c>
      <c r="G1134" s="43" t="s">
        <v>4596</v>
      </c>
      <c r="H1134" s="43" t="s">
        <v>4761</v>
      </c>
    </row>
    <row r="1135" spans="1:8" hidden="1" x14ac:dyDescent="0.25">
      <c r="A1135" s="43">
        <v>164</v>
      </c>
      <c r="B1135" s="43" t="s">
        <v>53</v>
      </c>
      <c r="C1135" s="43" t="s">
        <v>1220</v>
      </c>
      <c r="D1135" s="43" t="s">
        <v>1224</v>
      </c>
      <c r="E1135" s="43" t="s">
        <v>1225</v>
      </c>
      <c r="F1135" s="43">
        <v>1</v>
      </c>
      <c r="G1135"/>
      <c r="H1135"/>
    </row>
    <row r="1136" spans="1:8" hidden="1" x14ac:dyDescent="0.25">
      <c r="A1136" s="43">
        <v>164</v>
      </c>
      <c r="B1136" s="43" t="s">
        <v>53</v>
      </c>
      <c r="C1136" s="43" t="s">
        <v>1220</v>
      </c>
      <c r="D1136" s="43" t="s">
        <v>1226</v>
      </c>
      <c r="E1136" s="43" t="s">
        <v>1227</v>
      </c>
      <c r="F1136" s="43">
        <v>1</v>
      </c>
      <c r="G1136"/>
      <c r="H1136"/>
    </row>
    <row r="1137" spans="1:8" hidden="1" x14ac:dyDescent="0.25">
      <c r="A1137" s="43">
        <v>164</v>
      </c>
      <c r="B1137" s="43" t="s">
        <v>53</v>
      </c>
      <c r="C1137" s="43" t="s">
        <v>1220</v>
      </c>
      <c r="D1137" s="43" t="s">
        <v>1230</v>
      </c>
      <c r="E1137" s="43" t="s">
        <v>424</v>
      </c>
      <c r="F1137" s="43">
        <v>0</v>
      </c>
      <c r="G1137" s="43" t="s">
        <v>4596</v>
      </c>
      <c r="H1137" s="43" t="s">
        <v>4761</v>
      </c>
    </row>
    <row r="1138" spans="1:8" hidden="1" x14ac:dyDescent="0.25">
      <c r="A1138" s="43">
        <v>164</v>
      </c>
      <c r="B1138" s="43" t="s">
        <v>53</v>
      </c>
      <c r="C1138" s="43" t="s">
        <v>1220</v>
      </c>
      <c r="D1138" s="43" t="s">
        <v>1231</v>
      </c>
      <c r="E1138" s="43" t="s">
        <v>1232</v>
      </c>
      <c r="F1138" s="43">
        <v>0</v>
      </c>
      <c r="G1138" s="43" t="s">
        <v>4596</v>
      </c>
      <c r="H1138" s="43" t="s">
        <v>4761</v>
      </c>
    </row>
    <row r="1139" spans="1:8" hidden="1" x14ac:dyDescent="0.25">
      <c r="A1139" s="43">
        <v>164</v>
      </c>
      <c r="B1139" s="43" t="s">
        <v>53</v>
      </c>
      <c r="C1139" s="43" t="s">
        <v>1220</v>
      </c>
      <c r="D1139" s="43" t="s">
        <v>1233</v>
      </c>
      <c r="E1139" s="43" t="s">
        <v>1234</v>
      </c>
      <c r="F1139" s="43">
        <v>1</v>
      </c>
      <c r="G1139"/>
      <c r="H1139"/>
    </row>
    <row r="1140" spans="1:8" hidden="1" x14ac:dyDescent="0.25">
      <c r="A1140" s="43">
        <v>164</v>
      </c>
      <c r="B1140" s="43" t="s">
        <v>53</v>
      </c>
      <c r="C1140" s="43" t="s">
        <v>1220</v>
      </c>
      <c r="D1140" s="43" t="s">
        <v>1235</v>
      </c>
      <c r="E1140" s="43" t="s">
        <v>1236</v>
      </c>
      <c r="F1140" s="43">
        <v>1</v>
      </c>
      <c r="G1140"/>
      <c r="H1140"/>
    </row>
    <row r="1141" spans="1:8" hidden="1" x14ac:dyDescent="0.25">
      <c r="A1141" s="43">
        <v>164</v>
      </c>
      <c r="B1141" s="43" t="s">
        <v>53</v>
      </c>
      <c r="C1141" s="43" t="s">
        <v>1220</v>
      </c>
      <c r="D1141" s="43" t="s">
        <v>1237</v>
      </c>
      <c r="E1141" s="43" t="s">
        <v>656</v>
      </c>
      <c r="F1141" s="43">
        <v>1</v>
      </c>
      <c r="G1141"/>
      <c r="H1141"/>
    </row>
    <row r="1142" spans="1:8" hidden="1" x14ac:dyDescent="0.25">
      <c r="A1142" s="43">
        <v>164</v>
      </c>
      <c r="B1142" s="43" t="s">
        <v>53</v>
      </c>
      <c r="C1142" s="43" t="s">
        <v>1220</v>
      </c>
      <c r="D1142" s="43" t="s">
        <v>1238</v>
      </c>
      <c r="E1142" s="43" t="s">
        <v>658</v>
      </c>
      <c r="F1142" s="43">
        <v>1</v>
      </c>
      <c r="G1142"/>
      <c r="H1142"/>
    </row>
    <row r="1143" spans="1:8" hidden="1" x14ac:dyDescent="0.25">
      <c r="A1143" s="43">
        <v>165</v>
      </c>
      <c r="B1143" s="43" t="s">
        <v>54</v>
      </c>
      <c r="C1143" s="43" t="s">
        <v>636</v>
      </c>
      <c r="D1143" s="43" t="s">
        <v>653</v>
      </c>
      <c r="E1143" s="43" t="s">
        <v>438</v>
      </c>
      <c r="F1143" s="43">
        <v>1</v>
      </c>
      <c r="G1143"/>
      <c r="H1143"/>
    </row>
    <row r="1144" spans="1:8" hidden="1" x14ac:dyDescent="0.25">
      <c r="A1144" s="43">
        <v>165</v>
      </c>
      <c r="B1144" s="43" t="s">
        <v>54</v>
      </c>
      <c r="C1144" s="43" t="s">
        <v>636</v>
      </c>
      <c r="D1144" s="43" t="s">
        <v>654</v>
      </c>
      <c r="E1144" s="43" t="s">
        <v>440</v>
      </c>
      <c r="F1144" s="43">
        <v>1</v>
      </c>
      <c r="G1144"/>
      <c r="H1144"/>
    </row>
    <row r="1145" spans="1:8" hidden="1" x14ac:dyDescent="0.25">
      <c r="A1145" s="43">
        <v>165</v>
      </c>
      <c r="B1145" s="43" t="s">
        <v>54</v>
      </c>
      <c r="C1145" s="43" t="s">
        <v>636</v>
      </c>
      <c r="D1145" s="43" t="s">
        <v>637</v>
      </c>
      <c r="E1145" s="43" t="s">
        <v>638</v>
      </c>
      <c r="F1145" s="43">
        <v>1</v>
      </c>
      <c r="G1145"/>
      <c r="H1145"/>
    </row>
    <row r="1146" spans="1:8" hidden="1" x14ac:dyDescent="0.25">
      <c r="A1146" s="43">
        <v>165</v>
      </c>
      <c r="B1146" s="43" t="s">
        <v>54</v>
      </c>
      <c r="C1146" s="43" t="s">
        <v>636</v>
      </c>
      <c r="D1146" s="43" t="s">
        <v>639</v>
      </c>
      <c r="E1146" s="43" t="s">
        <v>640</v>
      </c>
      <c r="F1146" s="43">
        <v>1</v>
      </c>
      <c r="G1146"/>
      <c r="H1146"/>
    </row>
    <row r="1147" spans="1:8" hidden="1" x14ac:dyDescent="0.25">
      <c r="A1147" s="43">
        <v>165</v>
      </c>
      <c r="B1147" s="43" t="s">
        <v>54</v>
      </c>
      <c r="C1147" s="43" t="s">
        <v>636</v>
      </c>
      <c r="D1147" s="43" t="s">
        <v>641</v>
      </c>
      <c r="E1147" s="43" t="s">
        <v>642</v>
      </c>
      <c r="F1147" s="43">
        <v>1</v>
      </c>
      <c r="G1147"/>
      <c r="H1147"/>
    </row>
    <row r="1148" spans="1:8" hidden="1" x14ac:dyDescent="0.25">
      <c r="A1148" s="43">
        <v>165</v>
      </c>
      <c r="B1148" s="43" t="s">
        <v>54</v>
      </c>
      <c r="C1148" s="43" t="s">
        <v>636</v>
      </c>
      <c r="D1148" s="43" t="s">
        <v>643</v>
      </c>
      <c r="E1148" s="43" t="s">
        <v>644</v>
      </c>
      <c r="F1148" s="43">
        <v>0</v>
      </c>
      <c r="G1148" s="43" t="s">
        <v>4598</v>
      </c>
      <c r="H1148" s="43" t="s">
        <v>4765</v>
      </c>
    </row>
    <row r="1149" spans="1:8" hidden="1" x14ac:dyDescent="0.25">
      <c r="A1149" s="43">
        <v>165</v>
      </c>
      <c r="B1149" s="43" t="s">
        <v>54</v>
      </c>
      <c r="C1149" s="43" t="s">
        <v>636</v>
      </c>
      <c r="D1149" s="43" t="s">
        <v>645</v>
      </c>
      <c r="E1149" s="43" t="s">
        <v>646</v>
      </c>
      <c r="F1149" s="43">
        <v>0</v>
      </c>
      <c r="G1149" s="43" t="s">
        <v>4598</v>
      </c>
      <c r="H1149" s="43" t="s">
        <v>4765</v>
      </c>
    </row>
    <row r="1150" spans="1:8" hidden="1" x14ac:dyDescent="0.25">
      <c r="A1150" s="43">
        <v>165</v>
      </c>
      <c r="B1150" s="43" t="s">
        <v>54</v>
      </c>
      <c r="C1150" s="43" t="s">
        <v>636</v>
      </c>
      <c r="D1150" s="43" t="s">
        <v>647</v>
      </c>
      <c r="E1150" s="43" t="s">
        <v>648</v>
      </c>
      <c r="F1150" s="43">
        <v>1</v>
      </c>
      <c r="G1150"/>
      <c r="H1150"/>
    </row>
    <row r="1151" spans="1:8" hidden="1" x14ac:dyDescent="0.25">
      <c r="A1151" s="43">
        <v>165</v>
      </c>
      <c r="B1151" s="43" t="s">
        <v>54</v>
      </c>
      <c r="C1151" s="43" t="s">
        <v>636</v>
      </c>
      <c r="D1151" s="43" t="s">
        <v>649</v>
      </c>
      <c r="E1151" s="43" t="s">
        <v>650</v>
      </c>
      <c r="F1151" s="43">
        <v>1</v>
      </c>
      <c r="G1151"/>
      <c r="H1151"/>
    </row>
    <row r="1152" spans="1:8" hidden="1" x14ac:dyDescent="0.25">
      <c r="A1152" s="43">
        <v>165</v>
      </c>
      <c r="B1152" s="43" t="s">
        <v>54</v>
      </c>
      <c r="C1152" s="43" t="s">
        <v>636</v>
      </c>
      <c r="D1152" s="43" t="s">
        <v>651</v>
      </c>
      <c r="E1152" s="43" t="s">
        <v>652</v>
      </c>
      <c r="F1152" s="43">
        <v>1</v>
      </c>
      <c r="G1152"/>
      <c r="H1152"/>
    </row>
    <row r="1153" spans="1:8" x14ac:dyDescent="0.25">
      <c r="A1153" s="43">
        <v>165</v>
      </c>
      <c r="B1153" s="43" t="s">
        <v>54</v>
      </c>
      <c r="C1153" s="43" t="s">
        <v>636</v>
      </c>
      <c r="D1153" s="43" t="s">
        <v>655</v>
      </c>
      <c r="E1153" s="43" t="s">
        <v>656</v>
      </c>
      <c r="F1153" s="43">
        <v>2</v>
      </c>
      <c r="G1153" s="43" t="s">
        <v>4512</v>
      </c>
      <c r="H1153" s="43" t="s">
        <v>4580</v>
      </c>
    </row>
    <row r="1154" spans="1:8" hidden="1" x14ac:dyDescent="0.25">
      <c r="A1154" s="43">
        <v>165</v>
      </c>
      <c r="B1154" s="43" t="s">
        <v>54</v>
      </c>
      <c r="C1154" s="43" t="s">
        <v>636</v>
      </c>
      <c r="D1154" s="43" t="s">
        <v>657</v>
      </c>
      <c r="E1154" s="43" t="s">
        <v>658</v>
      </c>
      <c r="F1154" s="43">
        <v>1</v>
      </c>
      <c r="G1154"/>
      <c r="H1154"/>
    </row>
    <row r="1155" spans="1:8" hidden="1" x14ac:dyDescent="0.25">
      <c r="A1155" s="43">
        <v>173</v>
      </c>
      <c r="B1155" s="43" t="s">
        <v>55</v>
      </c>
      <c r="C1155" s="43" t="s">
        <v>4470</v>
      </c>
      <c r="D1155" s="43" t="s">
        <v>1498</v>
      </c>
      <c r="E1155" s="43" t="s">
        <v>1499</v>
      </c>
      <c r="F1155" s="43">
        <v>1</v>
      </c>
      <c r="G1155"/>
      <c r="H1155"/>
    </row>
    <row r="1156" spans="1:8" hidden="1" x14ac:dyDescent="0.25">
      <c r="A1156" s="43">
        <v>173</v>
      </c>
      <c r="B1156" s="43" t="s">
        <v>55</v>
      </c>
      <c r="C1156" s="43" t="s">
        <v>4470</v>
      </c>
      <c r="D1156" s="43" t="s">
        <v>1507</v>
      </c>
      <c r="E1156" s="43" t="s">
        <v>611</v>
      </c>
      <c r="F1156" s="43">
        <v>1</v>
      </c>
      <c r="G1156"/>
      <c r="H1156"/>
    </row>
    <row r="1157" spans="1:8" hidden="1" x14ac:dyDescent="0.25">
      <c r="A1157" s="43">
        <v>173</v>
      </c>
      <c r="B1157" s="43" t="s">
        <v>55</v>
      </c>
      <c r="C1157" s="43" t="s">
        <v>4470</v>
      </c>
      <c r="D1157" s="43" t="s">
        <v>1508</v>
      </c>
      <c r="E1157" s="43" t="s">
        <v>1509</v>
      </c>
      <c r="F1157" s="43">
        <v>1</v>
      </c>
      <c r="G1157"/>
      <c r="H1157"/>
    </row>
    <row r="1158" spans="1:8" hidden="1" x14ac:dyDescent="0.25">
      <c r="A1158" s="43">
        <v>173</v>
      </c>
      <c r="B1158" s="43" t="s">
        <v>55</v>
      </c>
      <c r="C1158" s="43" t="s">
        <v>4470</v>
      </c>
      <c r="D1158" s="43" t="s">
        <v>1510</v>
      </c>
      <c r="E1158" s="43" t="s">
        <v>613</v>
      </c>
      <c r="F1158" s="43">
        <v>1</v>
      </c>
      <c r="G1158"/>
      <c r="H1158"/>
    </row>
    <row r="1159" spans="1:8" hidden="1" x14ac:dyDescent="0.25">
      <c r="A1159" s="43">
        <v>173</v>
      </c>
      <c r="B1159" s="43" t="s">
        <v>55</v>
      </c>
      <c r="C1159" s="43" t="s">
        <v>4470</v>
      </c>
      <c r="D1159" s="43" t="s">
        <v>1528</v>
      </c>
      <c r="E1159" s="43" t="s">
        <v>4471</v>
      </c>
      <c r="F1159" s="43">
        <v>1</v>
      </c>
      <c r="G1159"/>
      <c r="H1159"/>
    </row>
    <row r="1160" spans="1:8" hidden="1" x14ac:dyDescent="0.25">
      <c r="A1160" s="43">
        <v>173</v>
      </c>
      <c r="B1160" s="43" t="s">
        <v>55</v>
      </c>
      <c r="C1160" s="43" t="s">
        <v>4470</v>
      </c>
      <c r="D1160" s="43" t="s">
        <v>1530</v>
      </c>
      <c r="E1160" s="43" t="s">
        <v>1430</v>
      </c>
      <c r="F1160" s="43">
        <v>1</v>
      </c>
      <c r="G1160"/>
      <c r="H1160"/>
    </row>
    <row r="1161" spans="1:8" hidden="1" x14ac:dyDescent="0.25">
      <c r="A1161" s="43">
        <v>173</v>
      </c>
      <c r="B1161" s="43" t="s">
        <v>55</v>
      </c>
      <c r="C1161" s="43" t="s">
        <v>4470</v>
      </c>
      <c r="D1161" s="43" t="s">
        <v>1514</v>
      </c>
      <c r="E1161" s="43" t="s">
        <v>614</v>
      </c>
      <c r="F1161" s="43">
        <v>1</v>
      </c>
      <c r="G1161"/>
      <c r="H1161"/>
    </row>
    <row r="1162" spans="1:8" hidden="1" x14ac:dyDescent="0.25">
      <c r="A1162" s="43">
        <v>173</v>
      </c>
      <c r="B1162" s="43" t="s">
        <v>55</v>
      </c>
      <c r="C1162" s="43" t="s">
        <v>4470</v>
      </c>
      <c r="D1162" s="43" t="s">
        <v>1515</v>
      </c>
      <c r="E1162" s="43" t="s">
        <v>615</v>
      </c>
      <c r="F1162" s="43">
        <v>1</v>
      </c>
      <c r="G1162"/>
      <c r="H1162"/>
    </row>
    <row r="1163" spans="1:8" hidden="1" x14ac:dyDescent="0.25">
      <c r="A1163" s="43">
        <v>173</v>
      </c>
      <c r="B1163" s="43" t="s">
        <v>55</v>
      </c>
      <c r="C1163" s="43" t="s">
        <v>4470</v>
      </c>
      <c r="D1163" s="43" t="s">
        <v>1532</v>
      </c>
      <c r="E1163" s="43" t="s">
        <v>1533</v>
      </c>
      <c r="F1163" s="43">
        <v>1</v>
      </c>
      <c r="G1163"/>
      <c r="H1163"/>
    </row>
    <row r="1164" spans="1:8" hidden="1" x14ac:dyDescent="0.25">
      <c r="A1164" s="43">
        <v>173</v>
      </c>
      <c r="B1164" s="43" t="s">
        <v>55</v>
      </c>
      <c r="C1164" s="43" t="s">
        <v>4470</v>
      </c>
      <c r="D1164" s="43" t="s">
        <v>1534</v>
      </c>
      <c r="E1164" s="43" t="s">
        <v>1535</v>
      </c>
      <c r="F1164" s="43">
        <v>1</v>
      </c>
      <c r="G1164"/>
      <c r="H1164"/>
    </row>
    <row r="1165" spans="1:8" hidden="1" x14ac:dyDescent="0.25">
      <c r="A1165" s="43">
        <v>173</v>
      </c>
      <c r="B1165" s="43" t="s">
        <v>55</v>
      </c>
      <c r="C1165" s="43" t="s">
        <v>4470</v>
      </c>
      <c r="D1165" s="43" t="s">
        <v>1493</v>
      </c>
      <c r="E1165" s="43" t="s">
        <v>1494</v>
      </c>
      <c r="F1165" s="43">
        <v>1</v>
      </c>
      <c r="G1165"/>
      <c r="H1165"/>
    </row>
    <row r="1166" spans="1:8" hidden="1" x14ac:dyDescent="0.25">
      <c r="A1166" s="43">
        <v>173</v>
      </c>
      <c r="B1166" s="43" t="s">
        <v>55</v>
      </c>
      <c r="C1166" s="43" t="s">
        <v>4470</v>
      </c>
      <c r="D1166" s="43" t="s">
        <v>1495</v>
      </c>
      <c r="E1166" s="43" t="s">
        <v>1496</v>
      </c>
      <c r="F1166" s="43">
        <v>1</v>
      </c>
      <c r="G1166"/>
      <c r="H1166"/>
    </row>
    <row r="1167" spans="1:8" hidden="1" x14ac:dyDescent="0.25">
      <c r="A1167" s="43">
        <v>173</v>
      </c>
      <c r="B1167" s="43" t="s">
        <v>55</v>
      </c>
      <c r="C1167" s="43" t="s">
        <v>4470</v>
      </c>
      <c r="D1167" s="43" t="s">
        <v>1497</v>
      </c>
      <c r="E1167" s="43" t="s">
        <v>306</v>
      </c>
      <c r="F1167" s="43">
        <v>1</v>
      </c>
      <c r="G1167"/>
      <c r="H1167"/>
    </row>
    <row r="1168" spans="1:8" hidden="1" x14ac:dyDescent="0.25">
      <c r="A1168" s="43">
        <v>173</v>
      </c>
      <c r="B1168" s="43" t="s">
        <v>55</v>
      </c>
      <c r="C1168" s="43" t="s">
        <v>4470</v>
      </c>
      <c r="D1168" s="43" t="s">
        <v>1531</v>
      </c>
      <c r="E1168" s="43" t="s">
        <v>503</v>
      </c>
      <c r="F1168" s="43">
        <v>1</v>
      </c>
      <c r="G1168"/>
      <c r="H1168"/>
    </row>
    <row r="1169" spans="1:8" hidden="1" x14ac:dyDescent="0.25">
      <c r="A1169" s="43">
        <v>173</v>
      </c>
      <c r="B1169" s="43" t="s">
        <v>55</v>
      </c>
      <c r="C1169" s="43" t="s">
        <v>4470</v>
      </c>
      <c r="D1169" s="43" t="s">
        <v>1520</v>
      </c>
      <c r="E1169" s="43" t="s">
        <v>1521</v>
      </c>
      <c r="F1169" s="43">
        <v>1</v>
      </c>
      <c r="G1169"/>
      <c r="H1169"/>
    </row>
    <row r="1170" spans="1:8" hidden="1" x14ac:dyDescent="0.25">
      <c r="A1170" s="43">
        <v>173</v>
      </c>
      <c r="B1170" s="43" t="s">
        <v>55</v>
      </c>
      <c r="C1170" s="43" t="s">
        <v>4470</v>
      </c>
      <c r="D1170" s="43" t="s">
        <v>1522</v>
      </c>
      <c r="E1170" s="43" t="s">
        <v>1523</v>
      </c>
      <c r="F1170" s="43">
        <v>0</v>
      </c>
      <c r="G1170" s="43" t="s">
        <v>4599</v>
      </c>
      <c r="H1170"/>
    </row>
    <row r="1171" spans="1:8" hidden="1" x14ac:dyDescent="0.25">
      <c r="A1171" s="43">
        <v>173</v>
      </c>
      <c r="B1171" s="43" t="s">
        <v>55</v>
      </c>
      <c r="C1171" s="43" t="s">
        <v>4470</v>
      </c>
      <c r="D1171" s="43" t="s">
        <v>1524</v>
      </c>
      <c r="E1171" s="43" t="s">
        <v>1525</v>
      </c>
      <c r="F1171" s="43">
        <v>0</v>
      </c>
      <c r="G1171" s="43" t="s">
        <v>4599</v>
      </c>
      <c r="H1171"/>
    </row>
    <row r="1172" spans="1:8" hidden="1" x14ac:dyDescent="0.25">
      <c r="A1172" s="43">
        <v>173</v>
      </c>
      <c r="B1172" s="43" t="s">
        <v>55</v>
      </c>
      <c r="C1172" s="43" t="s">
        <v>4470</v>
      </c>
      <c r="D1172" s="43" t="s">
        <v>1526</v>
      </c>
      <c r="E1172" s="43" t="s">
        <v>1527</v>
      </c>
      <c r="F1172" s="43">
        <v>1</v>
      </c>
      <c r="G1172"/>
      <c r="H1172"/>
    </row>
    <row r="1173" spans="1:8" hidden="1" x14ac:dyDescent="0.25">
      <c r="A1173" s="43">
        <v>173</v>
      </c>
      <c r="B1173" s="43" t="s">
        <v>55</v>
      </c>
      <c r="C1173" s="43" t="s">
        <v>4470</v>
      </c>
      <c r="D1173" s="43" t="s">
        <v>1511</v>
      </c>
      <c r="E1173" s="43" t="s">
        <v>1419</v>
      </c>
      <c r="F1173" s="43">
        <v>1</v>
      </c>
      <c r="G1173"/>
      <c r="H1173"/>
    </row>
    <row r="1174" spans="1:8" hidden="1" x14ac:dyDescent="0.25">
      <c r="A1174" s="43">
        <v>173</v>
      </c>
      <c r="B1174" s="43" t="s">
        <v>55</v>
      </c>
      <c r="C1174" s="43" t="s">
        <v>4470</v>
      </c>
      <c r="D1174" s="43" t="s">
        <v>1512</v>
      </c>
      <c r="E1174" s="43" t="s">
        <v>621</v>
      </c>
      <c r="F1174" s="43">
        <v>1</v>
      </c>
      <c r="G1174"/>
      <c r="H1174"/>
    </row>
    <row r="1175" spans="1:8" hidden="1" x14ac:dyDescent="0.25">
      <c r="A1175" s="43">
        <v>173</v>
      </c>
      <c r="B1175" s="43" t="s">
        <v>55</v>
      </c>
      <c r="C1175" s="43" t="s">
        <v>4470</v>
      </c>
      <c r="D1175" s="43" t="s">
        <v>1513</v>
      </c>
      <c r="E1175" s="43" t="s">
        <v>1422</v>
      </c>
      <c r="F1175" s="43">
        <v>0</v>
      </c>
      <c r="G1175" s="43" t="s">
        <v>4583</v>
      </c>
      <c r="H1175"/>
    </row>
    <row r="1176" spans="1:8" hidden="1" x14ac:dyDescent="0.25">
      <c r="A1176" s="43">
        <v>173</v>
      </c>
      <c r="B1176" s="43" t="s">
        <v>55</v>
      </c>
      <c r="C1176" s="43" t="s">
        <v>4470</v>
      </c>
      <c r="D1176" s="43" t="s">
        <v>1500</v>
      </c>
      <c r="E1176" s="43" t="s">
        <v>1397</v>
      </c>
      <c r="F1176" s="43">
        <v>1</v>
      </c>
      <c r="G1176"/>
      <c r="H1176"/>
    </row>
    <row r="1177" spans="1:8" hidden="1" x14ac:dyDescent="0.25">
      <c r="A1177" s="43">
        <v>173</v>
      </c>
      <c r="B1177" s="43" t="s">
        <v>55</v>
      </c>
      <c r="C1177" s="43" t="s">
        <v>4470</v>
      </c>
      <c r="D1177" s="43" t="s">
        <v>1501</v>
      </c>
      <c r="E1177" s="43" t="s">
        <v>1502</v>
      </c>
      <c r="F1177" s="43">
        <v>1</v>
      </c>
      <c r="G1177"/>
      <c r="H1177"/>
    </row>
    <row r="1178" spans="1:8" hidden="1" x14ac:dyDescent="0.25">
      <c r="A1178" s="43">
        <v>173</v>
      </c>
      <c r="B1178" s="43" t="s">
        <v>55</v>
      </c>
      <c r="C1178" s="43" t="s">
        <v>4470</v>
      </c>
      <c r="D1178" s="43" t="s">
        <v>1503</v>
      </c>
      <c r="E1178" s="43" t="s">
        <v>1504</v>
      </c>
      <c r="F1178" s="43">
        <v>1</v>
      </c>
      <c r="G1178"/>
      <c r="H1178"/>
    </row>
    <row r="1179" spans="1:8" hidden="1" x14ac:dyDescent="0.25">
      <c r="A1179" s="43">
        <v>173</v>
      </c>
      <c r="B1179" s="43" t="s">
        <v>55</v>
      </c>
      <c r="C1179" s="43" t="s">
        <v>4470</v>
      </c>
      <c r="D1179" s="43" t="s">
        <v>1505</v>
      </c>
      <c r="E1179" s="43" t="s">
        <v>1506</v>
      </c>
      <c r="F1179" s="43">
        <v>0</v>
      </c>
      <c r="G1179" s="43" t="s">
        <v>4583</v>
      </c>
      <c r="H1179"/>
    </row>
    <row r="1180" spans="1:8" hidden="1" x14ac:dyDescent="0.25">
      <c r="A1180" s="43">
        <v>173</v>
      </c>
      <c r="B1180" s="43" t="s">
        <v>55</v>
      </c>
      <c r="C1180" s="43" t="s">
        <v>4470</v>
      </c>
      <c r="D1180" s="43" t="s">
        <v>1516</v>
      </c>
      <c r="E1180" s="43" t="s">
        <v>1517</v>
      </c>
      <c r="F1180" s="43">
        <v>1</v>
      </c>
      <c r="G1180"/>
      <c r="H1180"/>
    </row>
    <row r="1181" spans="1:8" hidden="1" x14ac:dyDescent="0.25">
      <c r="A1181" s="43">
        <v>173</v>
      </c>
      <c r="B1181" s="43" t="s">
        <v>55</v>
      </c>
      <c r="C1181" s="43" t="s">
        <v>4470</v>
      </c>
      <c r="D1181" s="43" t="s">
        <v>1518</v>
      </c>
      <c r="E1181" s="43" t="s">
        <v>1519</v>
      </c>
      <c r="F1181" s="43">
        <v>1</v>
      </c>
      <c r="G1181"/>
      <c r="H1181"/>
    </row>
    <row r="1182" spans="1:8" hidden="1" x14ac:dyDescent="0.25">
      <c r="A1182" s="43">
        <v>173</v>
      </c>
      <c r="B1182" s="43" t="s">
        <v>55</v>
      </c>
      <c r="C1182" s="43" t="s">
        <v>4478</v>
      </c>
      <c r="D1182" s="43" t="s">
        <v>1539</v>
      </c>
      <c r="E1182" s="43" t="s">
        <v>1499</v>
      </c>
      <c r="F1182" s="43">
        <v>1</v>
      </c>
      <c r="G1182"/>
      <c r="H1182"/>
    </row>
    <row r="1183" spans="1:8" hidden="1" x14ac:dyDescent="0.25">
      <c r="A1183" s="43">
        <v>173</v>
      </c>
      <c r="B1183" s="43" t="s">
        <v>55</v>
      </c>
      <c r="C1183" s="43" t="s">
        <v>4478</v>
      </c>
      <c r="D1183" s="43" t="s">
        <v>1547</v>
      </c>
      <c r="E1183" s="43" t="s">
        <v>1548</v>
      </c>
      <c r="F1183" s="43">
        <v>0</v>
      </c>
      <c r="G1183" s="43" t="s">
        <v>4583</v>
      </c>
      <c r="H1183"/>
    </row>
    <row r="1184" spans="1:8" hidden="1" x14ac:dyDescent="0.25">
      <c r="A1184" s="43">
        <v>173</v>
      </c>
      <c r="B1184" s="43" t="s">
        <v>55</v>
      </c>
      <c r="C1184" s="43" t="s">
        <v>4478</v>
      </c>
      <c r="D1184" s="43" t="s">
        <v>1540</v>
      </c>
      <c r="E1184" s="43" t="s">
        <v>1541</v>
      </c>
      <c r="F1184" s="43">
        <v>1</v>
      </c>
      <c r="G1184"/>
      <c r="H1184"/>
    </row>
    <row r="1185" spans="1:8" hidden="1" x14ac:dyDescent="0.25">
      <c r="A1185" s="43">
        <v>173</v>
      </c>
      <c r="B1185" s="43" t="s">
        <v>55</v>
      </c>
      <c r="C1185" s="43" t="s">
        <v>4478</v>
      </c>
      <c r="D1185" s="43" t="s">
        <v>1542</v>
      </c>
      <c r="E1185" s="43" t="s">
        <v>1543</v>
      </c>
      <c r="F1185" s="43">
        <v>1</v>
      </c>
      <c r="G1185"/>
      <c r="H1185"/>
    </row>
    <row r="1186" spans="1:8" hidden="1" x14ac:dyDescent="0.25">
      <c r="A1186" s="43">
        <v>173</v>
      </c>
      <c r="B1186" s="43" t="s">
        <v>55</v>
      </c>
      <c r="C1186" s="43" t="s">
        <v>4478</v>
      </c>
      <c r="D1186" s="43" t="s">
        <v>1544</v>
      </c>
      <c r="E1186" s="43" t="s">
        <v>671</v>
      </c>
      <c r="F1186" s="43">
        <v>1</v>
      </c>
      <c r="G1186"/>
      <c r="H1186"/>
    </row>
    <row r="1187" spans="1:8" hidden="1" x14ac:dyDescent="0.25">
      <c r="A1187" s="43">
        <v>173</v>
      </c>
      <c r="B1187" s="43" t="s">
        <v>55</v>
      </c>
      <c r="C1187" s="43" t="s">
        <v>4478</v>
      </c>
      <c r="D1187" s="43" t="s">
        <v>1545</v>
      </c>
      <c r="E1187" s="43" t="s">
        <v>1546</v>
      </c>
      <c r="F1187" s="43">
        <v>1</v>
      </c>
      <c r="G1187"/>
      <c r="H1187"/>
    </row>
    <row r="1188" spans="1:8" hidden="1" x14ac:dyDescent="0.25">
      <c r="A1188" s="43">
        <v>173</v>
      </c>
      <c r="B1188" s="43" t="s">
        <v>55</v>
      </c>
      <c r="C1188" s="43" t="s">
        <v>4478</v>
      </c>
      <c r="D1188" s="43" t="s">
        <v>1537</v>
      </c>
      <c r="E1188" s="43" t="s">
        <v>1494</v>
      </c>
      <c r="F1188" s="43">
        <v>1</v>
      </c>
      <c r="G1188"/>
      <c r="H1188"/>
    </row>
    <row r="1189" spans="1:8" hidden="1" x14ac:dyDescent="0.25">
      <c r="A1189" s="43">
        <v>173</v>
      </c>
      <c r="B1189" s="43" t="s">
        <v>55</v>
      </c>
      <c r="C1189" s="43" t="s">
        <v>4478</v>
      </c>
      <c r="D1189" s="43" t="s">
        <v>1538</v>
      </c>
      <c r="E1189" s="43" t="s">
        <v>306</v>
      </c>
      <c r="F1189" s="43">
        <v>1</v>
      </c>
      <c r="G1189"/>
      <c r="H1189"/>
    </row>
    <row r="1190" spans="1:8" hidden="1" x14ac:dyDescent="0.25">
      <c r="A1190" s="43">
        <v>173</v>
      </c>
      <c r="B1190" s="43" t="s">
        <v>55</v>
      </c>
      <c r="C1190" s="43" t="s">
        <v>4478</v>
      </c>
      <c r="D1190" s="43" t="s">
        <v>1549</v>
      </c>
      <c r="E1190" s="43" t="s">
        <v>1550</v>
      </c>
      <c r="F1190" s="43">
        <v>1</v>
      </c>
      <c r="G1190"/>
      <c r="H1190"/>
    </row>
    <row r="1191" spans="1:8" hidden="1" x14ac:dyDescent="0.25">
      <c r="A1191" s="43">
        <v>173</v>
      </c>
      <c r="B1191" s="43" t="s">
        <v>55</v>
      </c>
      <c r="C1191" s="43" t="s">
        <v>4478</v>
      </c>
      <c r="D1191" s="43" t="s">
        <v>1551</v>
      </c>
      <c r="E1191" s="43" t="s">
        <v>1552</v>
      </c>
      <c r="F1191" s="43">
        <v>0</v>
      </c>
      <c r="G1191" s="43" t="s">
        <v>4583</v>
      </c>
      <c r="H1191"/>
    </row>
    <row r="1192" spans="1:8" hidden="1" x14ac:dyDescent="0.25">
      <c r="A1192" s="43">
        <v>173</v>
      </c>
      <c r="B1192" s="43" t="s">
        <v>55</v>
      </c>
      <c r="C1192" s="43" t="s">
        <v>4478</v>
      </c>
      <c r="D1192" s="43" t="s">
        <v>1553</v>
      </c>
      <c r="E1192" s="43" t="s">
        <v>1554</v>
      </c>
      <c r="F1192" s="43">
        <v>0</v>
      </c>
      <c r="G1192" s="43" t="s">
        <v>4583</v>
      </c>
      <c r="H1192"/>
    </row>
    <row r="1193" spans="1:8" hidden="1" x14ac:dyDescent="0.25">
      <c r="A1193" s="43">
        <v>173</v>
      </c>
      <c r="B1193" s="43" t="s">
        <v>55</v>
      </c>
      <c r="C1193" s="43" t="s">
        <v>4478</v>
      </c>
      <c r="D1193" s="43" t="s">
        <v>1555</v>
      </c>
      <c r="E1193" s="43" t="s">
        <v>1556</v>
      </c>
      <c r="F1193" s="43">
        <v>1</v>
      </c>
      <c r="G1193"/>
      <c r="H1193"/>
    </row>
    <row r="1194" spans="1:8" hidden="1" x14ac:dyDescent="0.25">
      <c r="A1194" s="43">
        <v>176</v>
      </c>
      <c r="B1194" s="43" t="s">
        <v>56</v>
      </c>
      <c r="C1194" s="43" t="s">
        <v>1390</v>
      </c>
      <c r="D1194" s="43" t="s">
        <v>1393</v>
      </c>
      <c r="E1194" s="43" t="s">
        <v>1394</v>
      </c>
      <c r="F1194" s="43">
        <v>0</v>
      </c>
      <c r="G1194" s="43" t="s">
        <v>4583</v>
      </c>
      <c r="H1194"/>
    </row>
    <row r="1195" spans="1:8" hidden="1" x14ac:dyDescent="0.25">
      <c r="A1195" s="43">
        <v>176</v>
      </c>
      <c r="B1195" s="43" t="s">
        <v>56</v>
      </c>
      <c r="C1195" s="43" t="s">
        <v>1390</v>
      </c>
      <c r="D1195" s="43" t="s">
        <v>1415</v>
      </c>
      <c r="E1195" s="43" t="s">
        <v>611</v>
      </c>
      <c r="F1195" s="43">
        <v>1</v>
      </c>
      <c r="G1195"/>
      <c r="H1195"/>
    </row>
    <row r="1196" spans="1:8" hidden="1" x14ac:dyDescent="0.25">
      <c r="A1196" s="43">
        <v>176</v>
      </c>
      <c r="B1196" s="43" t="s">
        <v>56</v>
      </c>
      <c r="C1196" s="43" t="s">
        <v>1390</v>
      </c>
      <c r="D1196" s="43" t="s">
        <v>1416</v>
      </c>
      <c r="E1196" s="43" t="s">
        <v>612</v>
      </c>
      <c r="F1196" s="43">
        <v>1</v>
      </c>
      <c r="G1196"/>
      <c r="H1196"/>
    </row>
    <row r="1197" spans="1:8" hidden="1" x14ac:dyDescent="0.25">
      <c r="A1197" s="43">
        <v>176</v>
      </c>
      <c r="B1197" s="43" t="s">
        <v>56</v>
      </c>
      <c r="C1197" s="43" t="s">
        <v>1390</v>
      </c>
      <c r="D1197" s="43" t="s">
        <v>1417</v>
      </c>
      <c r="E1197" s="43" t="s">
        <v>613</v>
      </c>
      <c r="F1197" s="43">
        <v>1</v>
      </c>
      <c r="G1197"/>
      <c r="H1197"/>
    </row>
    <row r="1198" spans="1:8" hidden="1" x14ac:dyDescent="0.25">
      <c r="A1198" s="43">
        <v>176</v>
      </c>
      <c r="B1198" s="43" t="s">
        <v>56</v>
      </c>
      <c r="C1198" s="43" t="s">
        <v>1390</v>
      </c>
      <c r="D1198" s="43" t="s">
        <v>1429</v>
      </c>
      <c r="E1198" s="43" t="s">
        <v>1430</v>
      </c>
      <c r="F1198" s="43">
        <v>1</v>
      </c>
      <c r="G1198"/>
      <c r="H1198"/>
    </row>
    <row r="1199" spans="1:8" hidden="1" x14ac:dyDescent="0.25">
      <c r="A1199" s="43">
        <v>176</v>
      </c>
      <c r="B1199" s="43" t="s">
        <v>56</v>
      </c>
      <c r="C1199" s="43" t="s">
        <v>1390</v>
      </c>
      <c r="D1199" s="43" t="s">
        <v>1431</v>
      </c>
      <c r="E1199" s="43" t="s">
        <v>4469</v>
      </c>
      <c r="F1199" s="43">
        <v>1</v>
      </c>
      <c r="G1199"/>
      <c r="H1199"/>
    </row>
    <row r="1200" spans="1:8" hidden="1" x14ac:dyDescent="0.25">
      <c r="A1200" s="43">
        <v>176</v>
      </c>
      <c r="B1200" s="43" t="s">
        <v>56</v>
      </c>
      <c r="C1200" s="43" t="s">
        <v>1390</v>
      </c>
      <c r="D1200" s="43" t="s">
        <v>1423</v>
      </c>
      <c r="E1200" s="43" t="s">
        <v>614</v>
      </c>
      <c r="F1200" s="43">
        <v>0</v>
      </c>
      <c r="G1200" s="43" t="s">
        <v>4583</v>
      </c>
      <c r="H1200"/>
    </row>
    <row r="1201" spans="1:8" hidden="1" x14ac:dyDescent="0.25">
      <c r="A1201" s="43">
        <v>176</v>
      </c>
      <c r="B1201" s="43" t="s">
        <v>56</v>
      </c>
      <c r="C1201" s="43" t="s">
        <v>1390</v>
      </c>
      <c r="D1201" s="43" t="s">
        <v>1424</v>
      </c>
      <c r="E1201" s="43" t="s">
        <v>615</v>
      </c>
      <c r="F1201" s="43">
        <v>1</v>
      </c>
      <c r="G1201"/>
      <c r="H1201"/>
    </row>
    <row r="1202" spans="1:8" hidden="1" x14ac:dyDescent="0.25">
      <c r="A1202" s="43">
        <v>176</v>
      </c>
      <c r="B1202" s="43" t="s">
        <v>56</v>
      </c>
      <c r="C1202" s="43" t="s">
        <v>1390</v>
      </c>
      <c r="D1202" s="43" t="s">
        <v>1395</v>
      </c>
      <c r="E1202" s="43" t="s">
        <v>273</v>
      </c>
      <c r="F1202" s="43">
        <v>1</v>
      </c>
      <c r="G1202"/>
      <c r="H1202"/>
    </row>
    <row r="1203" spans="1:8" hidden="1" x14ac:dyDescent="0.25">
      <c r="A1203" s="43">
        <v>176</v>
      </c>
      <c r="B1203" s="43" t="s">
        <v>56</v>
      </c>
      <c r="C1203" s="43" t="s">
        <v>1390</v>
      </c>
      <c r="D1203" s="43" t="s">
        <v>1391</v>
      </c>
      <c r="E1203" s="43" t="s">
        <v>583</v>
      </c>
      <c r="F1203" s="43">
        <v>1</v>
      </c>
      <c r="G1203"/>
      <c r="H1203"/>
    </row>
    <row r="1204" spans="1:8" hidden="1" x14ac:dyDescent="0.25">
      <c r="A1204" s="43">
        <v>176</v>
      </c>
      <c r="B1204" s="43" t="s">
        <v>56</v>
      </c>
      <c r="C1204" s="43" t="s">
        <v>1390</v>
      </c>
      <c r="D1204" s="43" t="s">
        <v>1392</v>
      </c>
      <c r="E1204" s="43" t="s">
        <v>306</v>
      </c>
      <c r="F1204" s="43">
        <v>1</v>
      </c>
      <c r="G1204"/>
      <c r="H1204"/>
    </row>
    <row r="1205" spans="1:8" hidden="1" x14ac:dyDescent="0.25">
      <c r="A1205" s="43">
        <v>176</v>
      </c>
      <c r="B1205" s="43" t="s">
        <v>56</v>
      </c>
      <c r="C1205" s="43" t="s">
        <v>1390</v>
      </c>
      <c r="D1205" s="43" t="s">
        <v>1425</v>
      </c>
      <c r="E1205" s="43" t="s">
        <v>616</v>
      </c>
      <c r="F1205" s="43">
        <v>1</v>
      </c>
      <c r="G1205"/>
      <c r="H1205"/>
    </row>
    <row r="1206" spans="1:8" hidden="1" x14ac:dyDescent="0.25">
      <c r="A1206" s="43">
        <v>176</v>
      </c>
      <c r="B1206" s="43" t="s">
        <v>56</v>
      </c>
      <c r="C1206" s="43" t="s">
        <v>1390</v>
      </c>
      <c r="D1206" s="43" t="s">
        <v>1426</v>
      </c>
      <c r="E1206" s="43" t="s">
        <v>617</v>
      </c>
      <c r="F1206" s="43">
        <v>1</v>
      </c>
      <c r="G1206"/>
      <c r="H1206"/>
    </row>
    <row r="1207" spans="1:8" hidden="1" x14ac:dyDescent="0.25">
      <c r="A1207" s="43">
        <v>176</v>
      </c>
      <c r="B1207" s="43" t="s">
        <v>56</v>
      </c>
      <c r="C1207" s="43" t="s">
        <v>1390</v>
      </c>
      <c r="D1207" s="43" t="s">
        <v>1418</v>
      </c>
      <c r="E1207" s="43" t="s">
        <v>1419</v>
      </c>
      <c r="F1207" s="43">
        <v>1</v>
      </c>
      <c r="G1207"/>
      <c r="H1207"/>
    </row>
    <row r="1208" spans="1:8" hidden="1" x14ac:dyDescent="0.25">
      <c r="A1208" s="43">
        <v>176</v>
      </c>
      <c r="B1208" s="43" t="s">
        <v>56</v>
      </c>
      <c r="C1208" s="43" t="s">
        <v>1390</v>
      </c>
      <c r="D1208" s="43" t="s">
        <v>1420</v>
      </c>
      <c r="E1208" s="43" t="s">
        <v>621</v>
      </c>
      <c r="F1208" s="43">
        <v>1</v>
      </c>
      <c r="G1208"/>
      <c r="H1208"/>
    </row>
    <row r="1209" spans="1:8" hidden="1" x14ac:dyDescent="0.25">
      <c r="A1209" s="43">
        <v>176</v>
      </c>
      <c r="B1209" s="43" t="s">
        <v>56</v>
      </c>
      <c r="C1209" s="43" t="s">
        <v>1390</v>
      </c>
      <c r="D1209" s="43" t="s">
        <v>1421</v>
      </c>
      <c r="E1209" s="43" t="s">
        <v>1422</v>
      </c>
      <c r="F1209" s="43">
        <v>1</v>
      </c>
      <c r="G1209"/>
      <c r="H1209"/>
    </row>
    <row r="1210" spans="1:8" hidden="1" x14ac:dyDescent="0.25">
      <c r="A1210" s="43">
        <v>176</v>
      </c>
      <c r="B1210" s="43" t="s">
        <v>56</v>
      </c>
      <c r="C1210" s="43" t="s">
        <v>1390</v>
      </c>
      <c r="D1210" s="43" t="s">
        <v>1433</v>
      </c>
      <c r="E1210" s="43" t="s">
        <v>623</v>
      </c>
      <c r="F1210" s="43">
        <v>1</v>
      </c>
      <c r="G1210"/>
      <c r="H1210"/>
    </row>
    <row r="1211" spans="1:8" hidden="1" x14ac:dyDescent="0.25">
      <c r="A1211" s="43">
        <v>176</v>
      </c>
      <c r="B1211" s="43" t="s">
        <v>56</v>
      </c>
      <c r="C1211" s="43" t="s">
        <v>1390</v>
      </c>
      <c r="D1211" s="43" t="s">
        <v>1434</v>
      </c>
      <c r="E1211" s="43" t="s">
        <v>624</v>
      </c>
      <c r="F1211" s="43">
        <v>1</v>
      </c>
      <c r="G1211"/>
      <c r="H1211"/>
    </row>
    <row r="1212" spans="1:8" hidden="1" x14ac:dyDescent="0.25">
      <c r="A1212" s="43">
        <v>176</v>
      </c>
      <c r="B1212" s="43" t="s">
        <v>56</v>
      </c>
      <c r="C1212" s="43" t="s">
        <v>1390</v>
      </c>
      <c r="D1212" s="43" t="s">
        <v>1435</v>
      </c>
      <c r="E1212" s="43" t="s">
        <v>625</v>
      </c>
      <c r="F1212" s="43">
        <v>0</v>
      </c>
      <c r="G1212" s="43" t="s">
        <v>4583</v>
      </c>
      <c r="H1212"/>
    </row>
    <row r="1213" spans="1:8" hidden="1" x14ac:dyDescent="0.25">
      <c r="A1213" s="43">
        <v>176</v>
      </c>
      <c r="B1213" s="43" t="s">
        <v>56</v>
      </c>
      <c r="C1213" s="43" t="s">
        <v>1390</v>
      </c>
      <c r="D1213" s="43" t="s">
        <v>1404</v>
      </c>
      <c r="E1213" s="43" t="s">
        <v>626</v>
      </c>
      <c r="F1213" s="43">
        <v>0</v>
      </c>
      <c r="G1213" s="43" t="s">
        <v>4583</v>
      </c>
      <c r="H1213"/>
    </row>
    <row r="1214" spans="1:8" hidden="1" x14ac:dyDescent="0.25">
      <c r="A1214" s="43">
        <v>176</v>
      </c>
      <c r="B1214" s="43" t="s">
        <v>56</v>
      </c>
      <c r="C1214" s="43" t="s">
        <v>1390</v>
      </c>
      <c r="D1214" s="43" t="s">
        <v>1407</v>
      </c>
      <c r="E1214" s="43" t="s">
        <v>627</v>
      </c>
      <c r="F1214" s="43">
        <v>1</v>
      </c>
      <c r="G1214"/>
      <c r="H1214"/>
    </row>
    <row r="1215" spans="1:8" hidden="1" x14ac:dyDescent="0.25">
      <c r="A1215" s="43">
        <v>176</v>
      </c>
      <c r="B1215" s="43" t="s">
        <v>56</v>
      </c>
      <c r="C1215" s="43" t="s">
        <v>1390</v>
      </c>
      <c r="D1215" s="43" t="s">
        <v>1410</v>
      </c>
      <c r="E1215" s="43" t="s">
        <v>628</v>
      </c>
      <c r="F1215" s="43">
        <v>0</v>
      </c>
      <c r="G1215" s="43" t="s">
        <v>4583</v>
      </c>
      <c r="H1215"/>
    </row>
    <row r="1216" spans="1:8" hidden="1" x14ac:dyDescent="0.25">
      <c r="A1216" s="43">
        <v>176</v>
      </c>
      <c r="B1216" s="43" t="s">
        <v>56</v>
      </c>
      <c r="C1216" s="43" t="s">
        <v>1390</v>
      </c>
      <c r="D1216" s="43" t="s">
        <v>1411</v>
      </c>
      <c r="E1216" s="43" t="s">
        <v>629</v>
      </c>
      <c r="F1216" s="43">
        <v>1</v>
      </c>
      <c r="G1216"/>
      <c r="H1216"/>
    </row>
    <row r="1217" spans="1:8" hidden="1" x14ac:dyDescent="0.25">
      <c r="A1217" s="43">
        <v>176</v>
      </c>
      <c r="B1217" s="43" t="s">
        <v>56</v>
      </c>
      <c r="C1217" s="43" t="s">
        <v>1390</v>
      </c>
      <c r="D1217" s="43" t="s">
        <v>1412</v>
      </c>
      <c r="E1217" s="43" t="s">
        <v>630</v>
      </c>
      <c r="F1217" s="43">
        <v>1</v>
      </c>
      <c r="G1217"/>
      <c r="H1217"/>
    </row>
    <row r="1218" spans="1:8" hidden="1" x14ac:dyDescent="0.25">
      <c r="A1218" s="43">
        <v>176</v>
      </c>
      <c r="B1218" s="43" t="s">
        <v>56</v>
      </c>
      <c r="C1218" s="43" t="s">
        <v>1390</v>
      </c>
      <c r="D1218" s="43" t="s">
        <v>1413</v>
      </c>
      <c r="E1218" s="43" t="s">
        <v>1414</v>
      </c>
      <c r="F1218" s="43">
        <v>0</v>
      </c>
      <c r="G1218" s="43" t="s">
        <v>4583</v>
      </c>
      <c r="H1218"/>
    </row>
    <row r="1219" spans="1:8" hidden="1" x14ac:dyDescent="0.25">
      <c r="A1219" s="43">
        <v>176</v>
      </c>
      <c r="B1219" s="43" t="s">
        <v>56</v>
      </c>
      <c r="C1219" s="43" t="s">
        <v>1390</v>
      </c>
      <c r="D1219" s="43" t="s">
        <v>1400</v>
      </c>
      <c r="E1219" s="43" t="s">
        <v>1401</v>
      </c>
      <c r="F1219" s="43">
        <v>1</v>
      </c>
      <c r="G1219"/>
      <c r="H1219"/>
    </row>
    <row r="1220" spans="1:8" hidden="1" x14ac:dyDescent="0.25">
      <c r="A1220" s="43">
        <v>176</v>
      </c>
      <c r="B1220" s="43" t="s">
        <v>56</v>
      </c>
      <c r="C1220" s="43" t="s">
        <v>1390</v>
      </c>
      <c r="D1220" s="43" t="s">
        <v>1396</v>
      </c>
      <c r="E1220" s="43" t="s">
        <v>1397</v>
      </c>
      <c r="F1220" s="43">
        <v>1</v>
      </c>
      <c r="G1220"/>
      <c r="H1220"/>
    </row>
    <row r="1221" spans="1:8" hidden="1" x14ac:dyDescent="0.25">
      <c r="A1221" s="43">
        <v>176</v>
      </c>
      <c r="B1221" s="43" t="s">
        <v>56</v>
      </c>
      <c r="C1221" s="43" t="s">
        <v>1390</v>
      </c>
      <c r="D1221" s="43" t="s">
        <v>1398</v>
      </c>
      <c r="E1221" s="43" t="s">
        <v>493</v>
      </c>
      <c r="F1221" s="43">
        <v>1</v>
      </c>
      <c r="G1221"/>
      <c r="H1221"/>
    </row>
    <row r="1222" spans="1:8" hidden="1" x14ac:dyDescent="0.25">
      <c r="A1222" s="43">
        <v>176</v>
      </c>
      <c r="B1222" s="43" t="s">
        <v>56</v>
      </c>
      <c r="C1222" s="43" t="s">
        <v>1390</v>
      </c>
      <c r="D1222" s="43" t="s">
        <v>1427</v>
      </c>
      <c r="E1222" s="43" t="s">
        <v>1428</v>
      </c>
      <c r="F1222" s="43">
        <v>1</v>
      </c>
      <c r="G1222"/>
      <c r="H1222"/>
    </row>
    <row r="1223" spans="1:8" hidden="1" x14ac:dyDescent="0.25">
      <c r="A1223" s="43">
        <v>178</v>
      </c>
      <c r="B1223" s="43" t="s">
        <v>57</v>
      </c>
      <c r="C1223" s="43" t="s">
        <v>386</v>
      </c>
      <c r="D1223" s="43" t="s">
        <v>387</v>
      </c>
      <c r="E1223" s="43" t="s">
        <v>388</v>
      </c>
      <c r="F1223" s="43">
        <v>1</v>
      </c>
      <c r="G1223"/>
      <c r="H1223"/>
    </row>
    <row r="1224" spans="1:8" hidden="1" x14ac:dyDescent="0.25">
      <c r="A1224" s="43">
        <v>178</v>
      </c>
      <c r="B1224" s="43" t="s">
        <v>57</v>
      </c>
      <c r="C1224" s="43" t="s">
        <v>386</v>
      </c>
      <c r="D1224" s="43" t="s">
        <v>390</v>
      </c>
      <c r="E1224" s="43" t="s">
        <v>391</v>
      </c>
      <c r="F1224" s="43">
        <v>1</v>
      </c>
      <c r="G1224"/>
      <c r="H1224"/>
    </row>
    <row r="1225" spans="1:8" hidden="1" x14ac:dyDescent="0.25">
      <c r="A1225" s="43">
        <v>178</v>
      </c>
      <c r="B1225" s="43" t="s">
        <v>57</v>
      </c>
      <c r="C1225" s="43" t="s">
        <v>386</v>
      </c>
      <c r="D1225" s="43" t="s">
        <v>392</v>
      </c>
      <c r="E1225" s="43" t="s">
        <v>393</v>
      </c>
      <c r="F1225" s="43">
        <v>1</v>
      </c>
      <c r="G1225"/>
      <c r="H1225"/>
    </row>
    <row r="1226" spans="1:8" hidden="1" x14ac:dyDescent="0.25">
      <c r="A1226" s="43">
        <v>178</v>
      </c>
      <c r="B1226" s="43" t="s">
        <v>57</v>
      </c>
      <c r="C1226" s="43" t="s">
        <v>386</v>
      </c>
      <c r="D1226" s="43" t="s">
        <v>394</v>
      </c>
      <c r="E1226" s="43" t="s">
        <v>4474</v>
      </c>
      <c r="F1226" s="43">
        <v>1</v>
      </c>
      <c r="G1226"/>
      <c r="H1226"/>
    </row>
    <row r="1227" spans="1:8" hidden="1" x14ac:dyDescent="0.25">
      <c r="A1227" s="43">
        <v>178</v>
      </c>
      <c r="B1227" s="43" t="s">
        <v>57</v>
      </c>
      <c r="C1227" s="43" t="s">
        <v>386</v>
      </c>
      <c r="D1227" s="43" t="s">
        <v>396</v>
      </c>
      <c r="E1227" s="43" t="s">
        <v>397</v>
      </c>
      <c r="F1227" s="43">
        <v>1</v>
      </c>
      <c r="G1227"/>
      <c r="H1227"/>
    </row>
    <row r="1228" spans="1:8" hidden="1" x14ac:dyDescent="0.25">
      <c r="A1228" s="43">
        <v>178</v>
      </c>
      <c r="B1228" s="43" t="s">
        <v>57</v>
      </c>
      <c r="C1228" s="43" t="s">
        <v>386</v>
      </c>
      <c r="D1228" s="43" t="s">
        <v>398</v>
      </c>
      <c r="E1228" s="43" t="s">
        <v>4475</v>
      </c>
      <c r="F1228" s="43">
        <v>1</v>
      </c>
      <c r="G1228"/>
      <c r="H1228"/>
    </row>
    <row r="1229" spans="1:8" hidden="1" x14ac:dyDescent="0.25">
      <c r="A1229" s="43">
        <v>178</v>
      </c>
      <c r="B1229" s="43" t="s">
        <v>57</v>
      </c>
      <c r="C1229" s="43" t="s">
        <v>386</v>
      </c>
      <c r="D1229" s="43" t="s">
        <v>400</v>
      </c>
      <c r="E1229" s="43" t="s">
        <v>401</v>
      </c>
      <c r="F1229" s="43">
        <v>1</v>
      </c>
      <c r="G1229"/>
      <c r="H1229"/>
    </row>
    <row r="1230" spans="1:8" hidden="1" x14ac:dyDescent="0.25">
      <c r="A1230" s="43">
        <v>178</v>
      </c>
      <c r="B1230" s="43" t="s">
        <v>57</v>
      </c>
      <c r="C1230" s="43" t="s">
        <v>386</v>
      </c>
      <c r="D1230" s="43" t="s">
        <v>402</v>
      </c>
      <c r="E1230" s="43" t="s">
        <v>403</v>
      </c>
      <c r="F1230" s="43">
        <v>1</v>
      </c>
      <c r="G1230"/>
      <c r="H1230"/>
    </row>
    <row r="1231" spans="1:8" hidden="1" x14ac:dyDescent="0.25">
      <c r="A1231" s="43">
        <v>178</v>
      </c>
      <c r="B1231" s="43" t="s">
        <v>57</v>
      </c>
      <c r="C1231" s="43" t="s">
        <v>386</v>
      </c>
      <c r="D1231" s="43" t="s">
        <v>404</v>
      </c>
      <c r="E1231" s="43" t="s">
        <v>405</v>
      </c>
      <c r="F1231" s="43">
        <v>1</v>
      </c>
      <c r="G1231"/>
      <c r="H1231"/>
    </row>
    <row r="1232" spans="1:8" hidden="1" x14ac:dyDescent="0.25">
      <c r="A1232" s="43">
        <v>178</v>
      </c>
      <c r="B1232" s="43" t="s">
        <v>57</v>
      </c>
      <c r="C1232" s="43" t="s">
        <v>386</v>
      </c>
      <c r="D1232" s="43" t="s">
        <v>406</v>
      </c>
      <c r="E1232" s="43" t="s">
        <v>407</v>
      </c>
      <c r="F1232" s="43">
        <v>0</v>
      </c>
      <c r="G1232" s="43" t="s">
        <v>4583</v>
      </c>
      <c r="H1232"/>
    </row>
    <row r="1233" spans="1:8" hidden="1" x14ac:dyDescent="0.25">
      <c r="A1233" s="43">
        <v>178</v>
      </c>
      <c r="B1233" s="43" t="s">
        <v>57</v>
      </c>
      <c r="C1233" s="43" t="s">
        <v>386</v>
      </c>
      <c r="D1233" s="43" t="s">
        <v>408</v>
      </c>
      <c r="E1233" s="43" t="s">
        <v>409</v>
      </c>
      <c r="F1233" s="43">
        <v>0</v>
      </c>
      <c r="G1233" s="43" t="s">
        <v>4583</v>
      </c>
      <c r="H1233"/>
    </row>
    <row r="1234" spans="1:8" hidden="1" x14ac:dyDescent="0.25">
      <c r="A1234" s="43">
        <v>184</v>
      </c>
      <c r="B1234" s="43" t="s">
        <v>58</v>
      </c>
      <c r="C1234" s="43" t="s">
        <v>1015</v>
      </c>
      <c r="D1234" s="43" t="s">
        <v>1018</v>
      </c>
      <c r="E1234" s="43" t="s">
        <v>795</v>
      </c>
      <c r="F1234" s="43">
        <v>0</v>
      </c>
      <c r="G1234" s="43" t="s">
        <v>4600</v>
      </c>
      <c r="H1234" s="43" t="s">
        <v>4760</v>
      </c>
    </row>
    <row r="1235" spans="1:8" hidden="1" x14ac:dyDescent="0.25">
      <c r="A1235" s="43">
        <v>184</v>
      </c>
      <c r="B1235" s="43" t="s">
        <v>58</v>
      </c>
      <c r="C1235" s="43" t="s">
        <v>1015</v>
      </c>
      <c r="D1235" s="43" t="s">
        <v>1029</v>
      </c>
      <c r="E1235" s="43" t="s">
        <v>295</v>
      </c>
      <c r="F1235" s="43">
        <v>1</v>
      </c>
      <c r="G1235"/>
      <c r="H1235"/>
    </row>
    <row r="1236" spans="1:8" hidden="1" x14ac:dyDescent="0.25">
      <c r="A1236" s="43">
        <v>184</v>
      </c>
      <c r="B1236" s="43" t="s">
        <v>58</v>
      </c>
      <c r="C1236" s="43" t="s">
        <v>1015</v>
      </c>
      <c r="D1236" s="43" t="s">
        <v>1019</v>
      </c>
      <c r="E1236" s="43" t="s">
        <v>866</v>
      </c>
      <c r="F1236" s="43">
        <v>0</v>
      </c>
      <c r="G1236" s="43" t="s">
        <v>4601</v>
      </c>
      <c r="H1236" s="43" t="s">
        <v>4760</v>
      </c>
    </row>
    <row r="1237" spans="1:8" x14ac:dyDescent="0.25">
      <c r="A1237" s="43">
        <v>184</v>
      </c>
      <c r="B1237" s="43" t="s">
        <v>58</v>
      </c>
      <c r="C1237" s="43" t="s">
        <v>1015</v>
      </c>
      <c r="D1237" s="43" t="s">
        <v>1020</v>
      </c>
      <c r="E1237" s="43" t="s">
        <v>1021</v>
      </c>
      <c r="F1237" s="89">
        <v>2</v>
      </c>
      <c r="G1237" s="43" t="s">
        <v>4602</v>
      </c>
      <c r="H1237" s="43" t="s">
        <v>4580</v>
      </c>
    </row>
    <row r="1238" spans="1:8" hidden="1" x14ac:dyDescent="0.25">
      <c r="A1238" s="43">
        <v>184</v>
      </c>
      <c r="B1238" s="43" t="s">
        <v>58</v>
      </c>
      <c r="C1238" s="43" t="s">
        <v>1015</v>
      </c>
      <c r="D1238" s="43" t="s">
        <v>1022</v>
      </c>
      <c r="E1238" s="43" t="s">
        <v>3092</v>
      </c>
      <c r="F1238" s="43">
        <v>1</v>
      </c>
      <c r="G1238"/>
      <c r="H1238"/>
    </row>
    <row r="1239" spans="1:8" hidden="1" x14ac:dyDescent="0.25">
      <c r="A1239" s="43">
        <v>184</v>
      </c>
      <c r="B1239" s="43" t="s">
        <v>58</v>
      </c>
      <c r="C1239" s="43" t="s">
        <v>1015</v>
      </c>
      <c r="D1239" s="43" t="s">
        <v>1024</v>
      </c>
      <c r="E1239" s="43" t="s">
        <v>889</v>
      </c>
      <c r="F1239" s="43">
        <v>1</v>
      </c>
      <c r="G1239"/>
      <c r="H1239"/>
    </row>
    <row r="1240" spans="1:8" hidden="1" x14ac:dyDescent="0.25">
      <c r="A1240" s="43">
        <v>184</v>
      </c>
      <c r="B1240" s="43" t="s">
        <v>58</v>
      </c>
      <c r="C1240" s="43" t="s">
        <v>1015</v>
      </c>
      <c r="D1240" s="43" t="s">
        <v>1016</v>
      </c>
      <c r="E1240" s="43" t="s">
        <v>1017</v>
      </c>
      <c r="F1240" s="43">
        <v>1</v>
      </c>
      <c r="G1240"/>
      <c r="H1240"/>
    </row>
    <row r="1241" spans="1:8" hidden="1" x14ac:dyDescent="0.25">
      <c r="A1241" s="43">
        <v>184</v>
      </c>
      <c r="B1241" s="43" t="s">
        <v>58</v>
      </c>
      <c r="C1241" s="43" t="s">
        <v>1015</v>
      </c>
      <c r="D1241" s="43" t="s">
        <v>1025</v>
      </c>
      <c r="E1241" s="43" t="s">
        <v>1026</v>
      </c>
      <c r="F1241" s="43">
        <v>1</v>
      </c>
      <c r="G1241"/>
      <c r="H1241"/>
    </row>
    <row r="1242" spans="1:8" hidden="1" x14ac:dyDescent="0.25">
      <c r="A1242" s="43">
        <v>184</v>
      </c>
      <c r="B1242" s="43" t="s">
        <v>58</v>
      </c>
      <c r="C1242" s="43" t="s">
        <v>1015</v>
      </c>
      <c r="D1242" s="43" t="s">
        <v>1027</v>
      </c>
      <c r="E1242" s="43" t="s">
        <v>4483</v>
      </c>
      <c r="F1242" s="43">
        <v>1</v>
      </c>
      <c r="G1242"/>
      <c r="H1242"/>
    </row>
    <row r="1243" spans="1:8" hidden="1" x14ac:dyDescent="0.25">
      <c r="A1243" s="43">
        <v>188</v>
      </c>
      <c r="B1243" s="43" t="s">
        <v>59</v>
      </c>
      <c r="C1243" s="43" t="s">
        <v>1613</v>
      </c>
      <c r="D1243" s="43" t="s">
        <v>1614</v>
      </c>
      <c r="E1243" s="43" t="s">
        <v>273</v>
      </c>
      <c r="F1243" s="43">
        <v>1</v>
      </c>
      <c r="G1243"/>
      <c r="H1243"/>
    </row>
    <row r="1244" spans="1:8" hidden="1" x14ac:dyDescent="0.25">
      <c r="A1244" s="43">
        <v>188</v>
      </c>
      <c r="B1244" s="43" t="s">
        <v>59</v>
      </c>
      <c r="C1244" s="43" t="s">
        <v>1613</v>
      </c>
      <c r="D1244" s="43" t="s">
        <v>1636</v>
      </c>
      <c r="E1244" s="43" t="s">
        <v>1637</v>
      </c>
      <c r="F1244" s="43">
        <v>1</v>
      </c>
      <c r="G1244"/>
      <c r="H1244"/>
    </row>
    <row r="1245" spans="1:8" hidden="1" x14ac:dyDescent="0.25">
      <c r="A1245" s="43">
        <v>188</v>
      </c>
      <c r="B1245" s="43" t="s">
        <v>59</v>
      </c>
      <c r="C1245" s="43" t="s">
        <v>1613</v>
      </c>
      <c r="D1245" s="43" t="s">
        <v>1635</v>
      </c>
      <c r="E1245" s="43" t="s">
        <v>4473</v>
      </c>
      <c r="F1245" s="43">
        <v>1</v>
      </c>
      <c r="G1245"/>
      <c r="H1245"/>
    </row>
    <row r="1246" spans="1:8" hidden="1" x14ac:dyDescent="0.25">
      <c r="A1246" s="43">
        <v>188</v>
      </c>
      <c r="B1246" s="43" t="s">
        <v>59</v>
      </c>
      <c r="C1246" s="43" t="s">
        <v>1613</v>
      </c>
      <c r="D1246" s="43" t="s">
        <v>1618</v>
      </c>
      <c r="E1246" s="43" t="s">
        <v>318</v>
      </c>
      <c r="F1246" s="43">
        <v>1</v>
      </c>
      <c r="G1246"/>
      <c r="H1246"/>
    </row>
    <row r="1247" spans="1:8" hidden="1" x14ac:dyDescent="0.25">
      <c r="A1247" s="43">
        <v>188</v>
      </c>
      <c r="B1247" s="43" t="s">
        <v>59</v>
      </c>
      <c r="C1247" s="43" t="s">
        <v>1613</v>
      </c>
      <c r="D1247" s="43" t="s">
        <v>1619</v>
      </c>
      <c r="E1247" s="43" t="s">
        <v>1620</v>
      </c>
      <c r="F1247" s="43">
        <v>1</v>
      </c>
      <c r="G1247"/>
      <c r="H1247"/>
    </row>
    <row r="1248" spans="1:8" hidden="1" x14ac:dyDescent="0.25">
      <c r="A1248" s="43">
        <v>188</v>
      </c>
      <c r="B1248" s="43" t="s">
        <v>59</v>
      </c>
      <c r="C1248" s="43" t="s">
        <v>1613</v>
      </c>
      <c r="D1248" s="43" t="s">
        <v>1621</v>
      </c>
      <c r="E1248" s="43" t="s">
        <v>1622</v>
      </c>
      <c r="F1248" s="43">
        <v>1</v>
      </c>
      <c r="G1248"/>
      <c r="H1248"/>
    </row>
    <row r="1249" spans="1:8" hidden="1" x14ac:dyDescent="0.25">
      <c r="A1249" s="43">
        <v>188</v>
      </c>
      <c r="B1249" s="43" t="s">
        <v>59</v>
      </c>
      <c r="C1249" s="43" t="s">
        <v>1613</v>
      </c>
      <c r="D1249" s="43" t="s">
        <v>1623</v>
      </c>
      <c r="E1249" s="43" t="s">
        <v>322</v>
      </c>
      <c r="F1249" s="43">
        <v>1</v>
      </c>
      <c r="G1249"/>
      <c r="H1249"/>
    </row>
    <row r="1250" spans="1:8" hidden="1" x14ac:dyDescent="0.25">
      <c r="A1250" s="43">
        <v>188</v>
      </c>
      <c r="B1250" s="43" t="s">
        <v>59</v>
      </c>
      <c r="C1250" s="43" t="s">
        <v>1613</v>
      </c>
      <c r="D1250" s="43" t="s">
        <v>1624</v>
      </c>
      <c r="E1250" s="43" t="s">
        <v>936</v>
      </c>
      <c r="F1250" s="43">
        <v>1</v>
      </c>
      <c r="G1250"/>
      <c r="H1250"/>
    </row>
    <row r="1251" spans="1:8" hidden="1" x14ac:dyDescent="0.25">
      <c r="A1251" s="43">
        <v>188</v>
      </c>
      <c r="B1251" s="43" t="s">
        <v>59</v>
      </c>
      <c r="C1251" s="43" t="s">
        <v>1613</v>
      </c>
      <c r="D1251" s="43" t="s">
        <v>1625</v>
      </c>
      <c r="E1251" s="43" t="s">
        <v>938</v>
      </c>
      <c r="F1251" s="43">
        <v>1</v>
      </c>
      <c r="G1251"/>
      <c r="H1251"/>
    </row>
    <row r="1252" spans="1:8" hidden="1" x14ac:dyDescent="0.25">
      <c r="A1252" s="43">
        <v>188</v>
      </c>
      <c r="B1252" s="43" t="s">
        <v>59</v>
      </c>
      <c r="C1252" s="43" t="s">
        <v>1613</v>
      </c>
      <c r="D1252" s="43" t="s">
        <v>1633</v>
      </c>
      <c r="E1252" s="43" t="s">
        <v>1634</v>
      </c>
      <c r="F1252" s="43">
        <v>1</v>
      </c>
      <c r="G1252"/>
      <c r="H1252"/>
    </row>
    <row r="1253" spans="1:8" hidden="1" x14ac:dyDescent="0.25">
      <c r="A1253" s="43">
        <v>188</v>
      </c>
      <c r="B1253" s="43" t="s">
        <v>59</v>
      </c>
      <c r="C1253" s="43" t="s">
        <v>1613</v>
      </c>
      <c r="D1253" s="43" t="s">
        <v>1638</v>
      </c>
      <c r="E1253" s="43" t="s">
        <v>1639</v>
      </c>
      <c r="F1253" s="43">
        <v>1</v>
      </c>
      <c r="G1253"/>
      <c r="H1253"/>
    </row>
    <row r="1254" spans="1:8" hidden="1" x14ac:dyDescent="0.25">
      <c r="A1254" s="43">
        <v>188</v>
      </c>
      <c r="B1254" s="43" t="s">
        <v>59</v>
      </c>
      <c r="C1254" s="43" t="s">
        <v>1613</v>
      </c>
      <c r="D1254" s="43" t="s">
        <v>1631</v>
      </c>
      <c r="E1254" s="43" t="s">
        <v>380</v>
      </c>
      <c r="F1254" s="43">
        <v>1</v>
      </c>
      <c r="G1254"/>
      <c r="H1254"/>
    </row>
    <row r="1255" spans="1:8" hidden="1" x14ac:dyDescent="0.25">
      <c r="A1255" s="43">
        <v>188</v>
      </c>
      <c r="B1255" s="43" t="s">
        <v>59</v>
      </c>
      <c r="C1255" s="43" t="s">
        <v>1613</v>
      </c>
      <c r="D1255" s="43" t="s">
        <v>1632</v>
      </c>
      <c r="E1255" s="43" t="s">
        <v>381</v>
      </c>
      <c r="F1255" s="43">
        <v>1</v>
      </c>
      <c r="G1255"/>
      <c r="H1255"/>
    </row>
    <row r="1256" spans="1:8" hidden="1" x14ac:dyDescent="0.25">
      <c r="A1256" s="43">
        <v>188</v>
      </c>
      <c r="B1256" s="43" t="s">
        <v>59</v>
      </c>
      <c r="C1256" s="43" t="s">
        <v>1613</v>
      </c>
      <c r="D1256" s="43" t="s">
        <v>1626</v>
      </c>
      <c r="E1256" s="43" t="s">
        <v>1483</v>
      </c>
      <c r="F1256" s="43">
        <v>1</v>
      </c>
      <c r="G1256"/>
      <c r="H1256"/>
    </row>
    <row r="1257" spans="1:8" hidden="1" x14ac:dyDescent="0.25">
      <c r="A1257" s="43">
        <v>188</v>
      </c>
      <c r="B1257" s="43" t="s">
        <v>59</v>
      </c>
      <c r="C1257" s="43" t="s">
        <v>1613</v>
      </c>
      <c r="D1257" s="43" t="s">
        <v>1627</v>
      </c>
      <c r="E1257" s="43" t="s">
        <v>942</v>
      </c>
      <c r="F1257" s="43">
        <v>0</v>
      </c>
      <c r="G1257" s="43" t="s">
        <v>4603</v>
      </c>
      <c r="H1257" s="43" t="s">
        <v>4759</v>
      </c>
    </row>
    <row r="1258" spans="1:8" hidden="1" x14ac:dyDescent="0.25">
      <c r="A1258" s="43">
        <v>188</v>
      </c>
      <c r="B1258" s="43" t="s">
        <v>59</v>
      </c>
      <c r="C1258" s="43" t="s">
        <v>1613</v>
      </c>
      <c r="D1258" s="43" t="s">
        <v>1628</v>
      </c>
      <c r="E1258" s="43" t="s">
        <v>383</v>
      </c>
      <c r="F1258" s="43">
        <v>1</v>
      </c>
      <c r="G1258"/>
      <c r="H1258"/>
    </row>
    <row r="1259" spans="1:8" hidden="1" x14ac:dyDescent="0.25">
      <c r="A1259" s="43">
        <v>188</v>
      </c>
      <c r="B1259" s="43" t="s">
        <v>59</v>
      </c>
      <c r="C1259" s="43" t="s">
        <v>1613</v>
      </c>
      <c r="D1259" s="43" t="s">
        <v>1629</v>
      </c>
      <c r="E1259" s="43" t="s">
        <v>1630</v>
      </c>
      <c r="F1259" s="43">
        <v>1</v>
      </c>
      <c r="G1259"/>
      <c r="H1259"/>
    </row>
    <row r="1260" spans="1:8" hidden="1" x14ac:dyDescent="0.25">
      <c r="A1260" s="43">
        <v>188</v>
      </c>
      <c r="B1260" s="43" t="s">
        <v>59</v>
      </c>
      <c r="C1260" s="43" t="s">
        <v>1613</v>
      </c>
      <c r="D1260" s="43" t="s">
        <v>1615</v>
      </c>
      <c r="E1260" s="43" t="s">
        <v>312</v>
      </c>
      <c r="F1260" s="43">
        <v>1</v>
      </c>
      <c r="G1260"/>
      <c r="H1260"/>
    </row>
    <row r="1261" spans="1:8" hidden="1" x14ac:dyDescent="0.25">
      <c r="A1261" s="43">
        <v>188</v>
      </c>
      <c r="B1261" s="43" t="s">
        <v>59</v>
      </c>
      <c r="C1261" s="43" t="s">
        <v>1613</v>
      </c>
      <c r="D1261" s="43" t="s">
        <v>1616</v>
      </c>
      <c r="E1261" s="43" t="s">
        <v>316</v>
      </c>
      <c r="F1261" s="43">
        <v>1</v>
      </c>
      <c r="G1261"/>
      <c r="H1261"/>
    </row>
    <row r="1262" spans="1:8" hidden="1" x14ac:dyDescent="0.25">
      <c r="A1262" s="43">
        <v>188</v>
      </c>
      <c r="B1262" s="43" t="s">
        <v>59</v>
      </c>
      <c r="C1262" s="43" t="s">
        <v>1613</v>
      </c>
      <c r="D1262" s="43" t="s">
        <v>1617</v>
      </c>
      <c r="E1262" s="43" t="s">
        <v>314</v>
      </c>
      <c r="F1262" s="43">
        <v>1</v>
      </c>
      <c r="G1262"/>
      <c r="H1262"/>
    </row>
    <row r="1263" spans="1:8" hidden="1" x14ac:dyDescent="0.25">
      <c r="A1263" s="43">
        <v>190</v>
      </c>
      <c r="B1263" s="43" t="s">
        <v>60</v>
      </c>
      <c r="C1263" s="43" t="s">
        <v>1790</v>
      </c>
      <c r="D1263" s="43" t="s">
        <v>1794</v>
      </c>
      <c r="E1263" s="43" t="s">
        <v>786</v>
      </c>
      <c r="F1263" s="43">
        <v>1</v>
      </c>
      <c r="G1263"/>
      <c r="H1263"/>
    </row>
    <row r="1264" spans="1:8" hidden="1" x14ac:dyDescent="0.25">
      <c r="A1264" s="43">
        <v>190</v>
      </c>
      <c r="B1264" s="43" t="s">
        <v>60</v>
      </c>
      <c r="C1264" s="43" t="s">
        <v>1790</v>
      </c>
      <c r="D1264" s="43" t="s">
        <v>1795</v>
      </c>
      <c r="E1264" s="43" t="s">
        <v>784</v>
      </c>
      <c r="F1264" s="43">
        <v>1</v>
      </c>
      <c r="G1264"/>
      <c r="H1264"/>
    </row>
    <row r="1265" spans="1:8" hidden="1" x14ac:dyDescent="0.25">
      <c r="A1265" s="43">
        <v>190</v>
      </c>
      <c r="B1265" s="43" t="s">
        <v>60</v>
      </c>
      <c r="C1265" s="43" t="s">
        <v>1790</v>
      </c>
      <c r="D1265" s="43" t="s">
        <v>1796</v>
      </c>
      <c r="E1265" s="43" t="s">
        <v>1205</v>
      </c>
      <c r="F1265" s="43">
        <v>1</v>
      </c>
      <c r="G1265"/>
      <c r="H1265"/>
    </row>
    <row r="1266" spans="1:8" x14ac:dyDescent="0.25">
      <c r="A1266" s="43">
        <v>190</v>
      </c>
      <c r="B1266" s="43" t="s">
        <v>60</v>
      </c>
      <c r="C1266" s="43" t="s">
        <v>1790</v>
      </c>
      <c r="D1266" s="43" t="s">
        <v>1797</v>
      </c>
      <c r="E1266" s="43" t="s">
        <v>1207</v>
      </c>
      <c r="F1266" s="43">
        <v>2</v>
      </c>
      <c r="G1266" s="43" t="s">
        <v>4513</v>
      </c>
      <c r="H1266" s="43" t="s">
        <v>4580</v>
      </c>
    </row>
    <row r="1267" spans="1:8" hidden="1" x14ac:dyDescent="0.25">
      <c r="A1267" s="43">
        <v>190</v>
      </c>
      <c r="B1267" s="43" t="s">
        <v>60</v>
      </c>
      <c r="C1267" s="43" t="s">
        <v>1790</v>
      </c>
      <c r="D1267" s="43" t="s">
        <v>1798</v>
      </c>
      <c r="E1267" s="43" t="s">
        <v>1209</v>
      </c>
      <c r="F1267" s="43">
        <v>1</v>
      </c>
      <c r="G1267"/>
      <c r="H1267"/>
    </row>
    <row r="1268" spans="1:8" hidden="1" x14ac:dyDescent="0.25">
      <c r="A1268" s="43">
        <v>190</v>
      </c>
      <c r="B1268" s="43" t="s">
        <v>60</v>
      </c>
      <c r="C1268" s="43" t="s">
        <v>1790</v>
      </c>
      <c r="D1268" s="43" t="s">
        <v>1799</v>
      </c>
      <c r="E1268" s="43" t="s">
        <v>789</v>
      </c>
      <c r="F1268" s="43">
        <v>0</v>
      </c>
      <c r="G1268" s="43" t="s">
        <v>4604</v>
      </c>
      <c r="H1268" s="43" t="s">
        <v>4766</v>
      </c>
    </row>
    <row r="1269" spans="1:8" hidden="1" x14ac:dyDescent="0.25">
      <c r="A1269" s="43">
        <v>190</v>
      </c>
      <c r="B1269" s="43" t="s">
        <v>60</v>
      </c>
      <c r="C1269" s="43" t="s">
        <v>1790</v>
      </c>
      <c r="D1269" s="43" t="s">
        <v>1800</v>
      </c>
      <c r="E1269" s="43" t="s">
        <v>1214</v>
      </c>
      <c r="F1269" s="43">
        <v>1</v>
      </c>
      <c r="G1269"/>
      <c r="H1269"/>
    </row>
    <row r="1270" spans="1:8" hidden="1" x14ac:dyDescent="0.25">
      <c r="A1270" s="43">
        <v>190</v>
      </c>
      <c r="B1270" s="43" t="s">
        <v>60</v>
      </c>
      <c r="C1270" s="43" t="s">
        <v>1790</v>
      </c>
      <c r="D1270" s="43" t="s">
        <v>1791</v>
      </c>
      <c r="E1270" s="43" t="s">
        <v>273</v>
      </c>
      <c r="F1270" s="43">
        <v>1</v>
      </c>
      <c r="G1270"/>
      <c r="H1270"/>
    </row>
    <row r="1271" spans="1:8" hidden="1" x14ac:dyDescent="0.25">
      <c r="A1271" s="43">
        <v>190</v>
      </c>
      <c r="B1271" s="43" t="s">
        <v>60</v>
      </c>
      <c r="C1271" s="43" t="s">
        <v>1790</v>
      </c>
      <c r="D1271" s="43" t="s">
        <v>1792</v>
      </c>
      <c r="E1271" s="43" t="s">
        <v>312</v>
      </c>
      <c r="F1271" s="43">
        <v>1</v>
      </c>
      <c r="G1271"/>
      <c r="H1271"/>
    </row>
    <row r="1272" spans="1:8" hidden="1" x14ac:dyDescent="0.25">
      <c r="A1272" s="43">
        <v>190</v>
      </c>
      <c r="B1272" s="43" t="s">
        <v>60</v>
      </c>
      <c r="C1272" s="43" t="s">
        <v>1790</v>
      </c>
      <c r="D1272" s="43" t="s">
        <v>1793</v>
      </c>
      <c r="E1272" s="43" t="s">
        <v>801</v>
      </c>
      <c r="F1272" s="43">
        <v>1</v>
      </c>
      <c r="G1272"/>
      <c r="H1272"/>
    </row>
    <row r="1273" spans="1:8" hidden="1" x14ac:dyDescent="0.25">
      <c r="A1273" s="43">
        <v>190</v>
      </c>
      <c r="B1273" s="43" t="s">
        <v>60</v>
      </c>
      <c r="C1273" s="43" t="s">
        <v>1790</v>
      </c>
      <c r="D1273" s="43" t="s">
        <v>1804</v>
      </c>
      <c r="E1273" s="43" t="s">
        <v>372</v>
      </c>
      <c r="F1273" s="43">
        <v>1</v>
      </c>
      <c r="G1273"/>
      <c r="H1273"/>
    </row>
    <row r="1274" spans="1:8" hidden="1" x14ac:dyDescent="0.25">
      <c r="A1274" s="43">
        <v>190</v>
      </c>
      <c r="B1274" s="43" t="s">
        <v>60</v>
      </c>
      <c r="C1274" s="43" t="s">
        <v>1790</v>
      </c>
      <c r="D1274" s="43" t="s">
        <v>1805</v>
      </c>
      <c r="E1274" s="43" t="s">
        <v>1806</v>
      </c>
      <c r="F1274" s="43">
        <v>0</v>
      </c>
      <c r="G1274" s="43" t="s">
        <v>4605</v>
      </c>
      <c r="H1274" s="43" t="s">
        <v>4766</v>
      </c>
    </row>
    <row r="1275" spans="1:8" hidden="1" x14ac:dyDescent="0.25">
      <c r="A1275" s="43">
        <v>190</v>
      </c>
      <c r="B1275" s="43" t="s">
        <v>60</v>
      </c>
      <c r="C1275" s="43" t="s">
        <v>1790</v>
      </c>
      <c r="D1275" s="43" t="s">
        <v>1807</v>
      </c>
      <c r="E1275" s="43" t="s">
        <v>1808</v>
      </c>
      <c r="F1275" s="43">
        <v>1</v>
      </c>
      <c r="G1275"/>
      <c r="H1275"/>
    </row>
    <row r="1276" spans="1:8" hidden="1" x14ac:dyDescent="0.25">
      <c r="A1276" s="43">
        <v>190</v>
      </c>
      <c r="B1276" s="43" t="s">
        <v>60</v>
      </c>
      <c r="C1276" s="43" t="s">
        <v>1790</v>
      </c>
      <c r="D1276" s="43" t="s">
        <v>1801</v>
      </c>
      <c r="E1276" s="43" t="s">
        <v>1784</v>
      </c>
      <c r="F1276" s="43">
        <v>1</v>
      </c>
      <c r="G1276"/>
      <c r="H1276"/>
    </row>
    <row r="1277" spans="1:8" hidden="1" x14ac:dyDescent="0.25">
      <c r="A1277" s="43">
        <v>190</v>
      </c>
      <c r="B1277" s="43" t="s">
        <v>60</v>
      </c>
      <c r="C1277" s="43" t="s">
        <v>1790</v>
      </c>
      <c r="D1277" s="43" t="s">
        <v>1802</v>
      </c>
      <c r="E1277" s="43" t="s">
        <v>791</v>
      </c>
      <c r="F1277" s="43">
        <v>1</v>
      </c>
      <c r="G1277"/>
      <c r="H1277"/>
    </row>
    <row r="1278" spans="1:8" hidden="1" x14ac:dyDescent="0.25">
      <c r="A1278" s="43">
        <v>190</v>
      </c>
      <c r="B1278" s="43" t="s">
        <v>60</v>
      </c>
      <c r="C1278" s="43" t="s">
        <v>1790</v>
      </c>
      <c r="D1278" s="43" t="s">
        <v>1803</v>
      </c>
      <c r="E1278" s="43" t="s">
        <v>795</v>
      </c>
      <c r="F1278" s="43">
        <v>1</v>
      </c>
      <c r="G1278"/>
      <c r="H1278"/>
    </row>
    <row r="1279" spans="1:8" hidden="1" x14ac:dyDescent="0.25">
      <c r="A1279" s="43">
        <v>194</v>
      </c>
      <c r="B1279" s="43" t="s">
        <v>61</v>
      </c>
      <c r="C1279" s="43" t="s">
        <v>1366</v>
      </c>
      <c r="D1279" s="43" t="s">
        <v>1367</v>
      </c>
      <c r="E1279" s="43" t="s">
        <v>1368</v>
      </c>
      <c r="F1279" s="43">
        <v>0</v>
      </c>
      <c r="G1279" s="43" t="s">
        <v>4583</v>
      </c>
      <c r="H1279"/>
    </row>
    <row r="1280" spans="1:8" hidden="1" x14ac:dyDescent="0.25">
      <c r="A1280" s="43">
        <v>194</v>
      </c>
      <c r="B1280" s="43" t="s">
        <v>61</v>
      </c>
      <c r="C1280" s="43" t="s">
        <v>1366</v>
      </c>
      <c r="D1280" s="43" t="s">
        <v>1369</v>
      </c>
      <c r="E1280" s="43" t="s">
        <v>1370</v>
      </c>
      <c r="F1280" s="43">
        <v>1</v>
      </c>
      <c r="G1280"/>
      <c r="H1280"/>
    </row>
    <row r="1281" spans="1:8" hidden="1" x14ac:dyDescent="0.25">
      <c r="A1281" s="43">
        <v>194</v>
      </c>
      <c r="B1281" s="43" t="s">
        <v>61</v>
      </c>
      <c r="C1281" s="43" t="s">
        <v>1366</v>
      </c>
      <c r="D1281" s="43" t="s">
        <v>1377</v>
      </c>
      <c r="E1281" s="43" t="s">
        <v>875</v>
      </c>
      <c r="F1281" s="43">
        <v>1</v>
      </c>
      <c r="G1281"/>
      <c r="H1281"/>
    </row>
    <row r="1282" spans="1:8" hidden="1" x14ac:dyDescent="0.25">
      <c r="A1282" s="43">
        <v>194</v>
      </c>
      <c r="B1282" s="43" t="s">
        <v>61</v>
      </c>
      <c r="C1282" s="43" t="s">
        <v>1366</v>
      </c>
      <c r="D1282" s="43" t="s">
        <v>1389</v>
      </c>
      <c r="E1282" s="43" t="s">
        <v>551</v>
      </c>
      <c r="F1282" s="43">
        <v>1</v>
      </c>
      <c r="G1282"/>
      <c r="H1282"/>
    </row>
    <row r="1283" spans="1:8" hidden="1" x14ac:dyDescent="0.25">
      <c r="A1283" s="43">
        <v>194</v>
      </c>
      <c r="B1283" s="43" t="s">
        <v>61</v>
      </c>
      <c r="C1283" s="43" t="s">
        <v>1366</v>
      </c>
      <c r="D1283" s="43" t="s">
        <v>1388</v>
      </c>
      <c r="E1283" s="43" t="s">
        <v>539</v>
      </c>
      <c r="F1283" s="43">
        <v>1</v>
      </c>
      <c r="G1283"/>
      <c r="H1283"/>
    </row>
    <row r="1284" spans="1:8" hidden="1" x14ac:dyDescent="0.25">
      <c r="A1284" s="43">
        <v>194</v>
      </c>
      <c r="B1284" s="43" t="s">
        <v>61</v>
      </c>
      <c r="C1284" s="43" t="s">
        <v>1366</v>
      </c>
      <c r="D1284" s="43" t="s">
        <v>1378</v>
      </c>
      <c r="E1284" s="43" t="s">
        <v>541</v>
      </c>
      <c r="F1284" s="43">
        <v>1</v>
      </c>
      <c r="G1284"/>
      <c r="H1284"/>
    </row>
    <row r="1285" spans="1:8" hidden="1" x14ac:dyDescent="0.25">
      <c r="A1285" s="43">
        <v>194</v>
      </c>
      <c r="B1285" s="43" t="s">
        <v>61</v>
      </c>
      <c r="C1285" s="43" t="s">
        <v>1366</v>
      </c>
      <c r="D1285" s="43" t="s">
        <v>1379</v>
      </c>
      <c r="E1285" s="43" t="s">
        <v>1380</v>
      </c>
      <c r="F1285" s="43">
        <v>1</v>
      </c>
      <c r="G1285"/>
      <c r="H1285"/>
    </row>
    <row r="1286" spans="1:8" hidden="1" x14ac:dyDescent="0.25">
      <c r="A1286" s="43">
        <v>194</v>
      </c>
      <c r="B1286" s="43" t="s">
        <v>61</v>
      </c>
      <c r="C1286" s="43" t="s">
        <v>1366</v>
      </c>
      <c r="D1286" s="43" t="s">
        <v>1381</v>
      </c>
      <c r="E1286" s="43" t="s">
        <v>1382</v>
      </c>
      <c r="F1286" s="43">
        <v>0</v>
      </c>
      <c r="G1286" s="43" t="s">
        <v>4583</v>
      </c>
      <c r="H1286"/>
    </row>
    <row r="1287" spans="1:8" hidden="1" x14ac:dyDescent="0.25">
      <c r="A1287" s="43">
        <v>194</v>
      </c>
      <c r="B1287" s="43" t="s">
        <v>61</v>
      </c>
      <c r="C1287" s="43" t="s">
        <v>1366</v>
      </c>
      <c r="D1287" s="43" t="s">
        <v>1371</v>
      </c>
      <c r="E1287" s="43" t="s">
        <v>283</v>
      </c>
      <c r="F1287" s="43">
        <v>1</v>
      </c>
      <c r="G1287"/>
      <c r="H1287"/>
    </row>
    <row r="1288" spans="1:8" hidden="1" x14ac:dyDescent="0.25">
      <c r="A1288" s="43">
        <v>194</v>
      </c>
      <c r="B1288" s="43" t="s">
        <v>61</v>
      </c>
      <c r="C1288" s="43" t="s">
        <v>1366</v>
      </c>
      <c r="D1288" s="43" t="s">
        <v>1372</v>
      </c>
      <c r="E1288" s="43" t="s">
        <v>4468</v>
      </c>
      <c r="F1288" s="43">
        <v>1</v>
      </c>
      <c r="G1288"/>
      <c r="H1288"/>
    </row>
    <row r="1289" spans="1:8" hidden="1" x14ac:dyDescent="0.25">
      <c r="A1289" s="43">
        <v>194</v>
      </c>
      <c r="B1289" s="43" t="s">
        <v>61</v>
      </c>
      <c r="C1289" s="43" t="s">
        <v>1366</v>
      </c>
      <c r="D1289" s="43" t="s">
        <v>1374</v>
      </c>
      <c r="E1289" s="43" t="s">
        <v>1375</v>
      </c>
      <c r="F1289" s="43">
        <v>1</v>
      </c>
      <c r="G1289"/>
      <c r="H1289"/>
    </row>
    <row r="1290" spans="1:8" hidden="1" x14ac:dyDescent="0.25">
      <c r="A1290" s="43">
        <v>194</v>
      </c>
      <c r="B1290" s="43" t="s">
        <v>61</v>
      </c>
      <c r="C1290" s="43" t="s">
        <v>1366</v>
      </c>
      <c r="D1290" s="43" t="s">
        <v>1376</v>
      </c>
      <c r="E1290" s="43" t="s">
        <v>531</v>
      </c>
      <c r="F1290" s="43">
        <v>1</v>
      </c>
      <c r="G1290"/>
      <c r="H1290"/>
    </row>
    <row r="1291" spans="1:8" hidden="1" x14ac:dyDescent="0.25">
      <c r="A1291" s="43">
        <v>194</v>
      </c>
      <c r="B1291" s="43" t="s">
        <v>61</v>
      </c>
      <c r="C1291" s="43" t="s">
        <v>1366</v>
      </c>
      <c r="D1291" s="43" t="s">
        <v>1383</v>
      </c>
      <c r="E1291" s="43" t="s">
        <v>1384</v>
      </c>
      <c r="F1291" s="43">
        <v>1</v>
      </c>
      <c r="G1291"/>
      <c r="H1291"/>
    </row>
    <row r="1292" spans="1:8" hidden="1" x14ac:dyDescent="0.25">
      <c r="A1292" s="43">
        <v>194</v>
      </c>
      <c r="B1292" s="43" t="s">
        <v>61</v>
      </c>
      <c r="C1292" s="43" t="s">
        <v>1366</v>
      </c>
      <c r="D1292" s="43" t="s">
        <v>1385</v>
      </c>
      <c r="E1292" s="43" t="s">
        <v>1386</v>
      </c>
      <c r="F1292" s="43">
        <v>1</v>
      </c>
      <c r="G1292"/>
      <c r="H1292"/>
    </row>
    <row r="1293" spans="1:8" hidden="1" x14ac:dyDescent="0.25">
      <c r="A1293" s="43">
        <v>194</v>
      </c>
      <c r="B1293" s="43" t="s">
        <v>61</v>
      </c>
      <c r="C1293" s="43" t="s">
        <v>1366</v>
      </c>
      <c r="D1293" s="43" t="s">
        <v>1387</v>
      </c>
      <c r="E1293" s="43" t="s">
        <v>295</v>
      </c>
      <c r="F1293" s="43">
        <v>1</v>
      </c>
      <c r="G1293"/>
      <c r="H1293"/>
    </row>
    <row r="1294" spans="1:8" hidden="1" x14ac:dyDescent="0.25">
      <c r="A1294" s="43">
        <v>195</v>
      </c>
      <c r="B1294" s="43" t="s">
        <v>62</v>
      </c>
      <c r="C1294" s="43" t="s">
        <v>450</v>
      </c>
      <c r="D1294" s="43" t="s">
        <v>462</v>
      </c>
      <c r="E1294" s="43" t="s">
        <v>372</v>
      </c>
      <c r="F1294" s="43">
        <v>1</v>
      </c>
      <c r="G1294"/>
      <c r="H1294"/>
    </row>
    <row r="1295" spans="1:8" hidden="1" x14ac:dyDescent="0.25">
      <c r="A1295" s="43">
        <v>195</v>
      </c>
      <c r="B1295" s="43" t="s">
        <v>62</v>
      </c>
      <c r="C1295" s="43" t="s">
        <v>450</v>
      </c>
      <c r="D1295" s="43" t="s">
        <v>455</v>
      </c>
      <c r="E1295" s="43" t="s">
        <v>456</v>
      </c>
      <c r="F1295" s="43">
        <v>1</v>
      </c>
      <c r="G1295"/>
      <c r="H1295"/>
    </row>
    <row r="1296" spans="1:8" hidden="1" x14ac:dyDescent="0.25">
      <c r="A1296" s="43">
        <v>195</v>
      </c>
      <c r="B1296" s="43" t="s">
        <v>62</v>
      </c>
      <c r="C1296" s="43" t="s">
        <v>450</v>
      </c>
      <c r="D1296" s="43" t="s">
        <v>451</v>
      </c>
      <c r="E1296" s="43" t="s">
        <v>273</v>
      </c>
      <c r="F1296" s="43">
        <v>1</v>
      </c>
      <c r="G1296"/>
      <c r="H1296"/>
    </row>
    <row r="1297" spans="1:8" hidden="1" x14ac:dyDescent="0.25">
      <c r="A1297" s="43">
        <v>195</v>
      </c>
      <c r="B1297" s="43" t="s">
        <v>62</v>
      </c>
      <c r="C1297" s="43" t="s">
        <v>450</v>
      </c>
      <c r="D1297" s="43" t="s">
        <v>458</v>
      </c>
      <c r="E1297" s="43" t="s">
        <v>459</v>
      </c>
      <c r="F1297" s="43">
        <v>1</v>
      </c>
      <c r="G1297"/>
      <c r="H1297"/>
    </row>
    <row r="1298" spans="1:8" hidden="1" x14ac:dyDescent="0.25">
      <c r="A1298" s="43">
        <v>195</v>
      </c>
      <c r="B1298" s="43" t="s">
        <v>62</v>
      </c>
      <c r="C1298" s="43" t="s">
        <v>450</v>
      </c>
      <c r="D1298" s="43" t="s">
        <v>460</v>
      </c>
      <c r="E1298" s="43" t="s">
        <v>461</v>
      </c>
      <c r="F1298" s="43">
        <v>1</v>
      </c>
      <c r="G1298"/>
      <c r="H1298"/>
    </row>
    <row r="1299" spans="1:8" hidden="1" x14ac:dyDescent="0.25">
      <c r="A1299" s="43">
        <v>195</v>
      </c>
      <c r="B1299" s="43" t="s">
        <v>62</v>
      </c>
      <c r="C1299" s="43" t="s">
        <v>450</v>
      </c>
      <c r="D1299" s="43" t="s">
        <v>457</v>
      </c>
      <c r="E1299" s="43" t="s">
        <v>295</v>
      </c>
      <c r="F1299" s="43">
        <v>1</v>
      </c>
      <c r="G1299"/>
      <c r="H1299"/>
    </row>
    <row r="1300" spans="1:8" hidden="1" x14ac:dyDescent="0.25">
      <c r="A1300" s="43">
        <v>195</v>
      </c>
      <c r="B1300" s="43" t="s">
        <v>62</v>
      </c>
      <c r="C1300" s="43" t="s">
        <v>450</v>
      </c>
      <c r="D1300" s="43" t="s">
        <v>454</v>
      </c>
      <c r="E1300" s="43" t="s">
        <v>283</v>
      </c>
      <c r="F1300" s="43">
        <v>1</v>
      </c>
      <c r="G1300"/>
      <c r="H1300"/>
    </row>
    <row r="1301" spans="1:8" hidden="1" x14ac:dyDescent="0.25">
      <c r="A1301" s="43">
        <v>195</v>
      </c>
      <c r="B1301" s="43" t="s">
        <v>62</v>
      </c>
      <c r="C1301" s="43" t="s">
        <v>450</v>
      </c>
      <c r="D1301" s="43" t="s">
        <v>452</v>
      </c>
      <c r="E1301" s="43" t="s">
        <v>453</v>
      </c>
      <c r="F1301" s="43">
        <v>1</v>
      </c>
      <c r="G1301"/>
      <c r="H1301"/>
    </row>
    <row r="1302" spans="1:8" hidden="1" x14ac:dyDescent="0.25">
      <c r="A1302" s="43">
        <v>200</v>
      </c>
      <c r="B1302" s="43" t="s">
        <v>63</v>
      </c>
      <c r="C1302" s="43" t="s">
        <v>4478</v>
      </c>
      <c r="D1302" s="43" t="s">
        <v>1539</v>
      </c>
      <c r="E1302" s="43" t="s">
        <v>1499</v>
      </c>
      <c r="F1302" s="43">
        <v>1</v>
      </c>
      <c r="G1302"/>
      <c r="H1302"/>
    </row>
    <row r="1303" spans="1:8" hidden="1" x14ac:dyDescent="0.25">
      <c r="A1303" s="43">
        <v>200</v>
      </c>
      <c r="B1303" s="43" t="s">
        <v>63</v>
      </c>
      <c r="C1303" s="43" t="s">
        <v>4478</v>
      </c>
      <c r="D1303" s="43" t="s">
        <v>1547</v>
      </c>
      <c r="E1303" s="43" t="s">
        <v>1548</v>
      </c>
      <c r="F1303" s="43">
        <v>1</v>
      </c>
      <c r="G1303"/>
      <c r="H1303"/>
    </row>
    <row r="1304" spans="1:8" hidden="1" x14ac:dyDescent="0.25">
      <c r="A1304" s="43">
        <v>200</v>
      </c>
      <c r="B1304" s="43" t="s">
        <v>63</v>
      </c>
      <c r="C1304" s="43" t="s">
        <v>4478</v>
      </c>
      <c r="D1304" s="43" t="s">
        <v>1540</v>
      </c>
      <c r="E1304" s="43" t="s">
        <v>1541</v>
      </c>
      <c r="F1304" s="43">
        <v>1</v>
      </c>
      <c r="G1304"/>
      <c r="H1304"/>
    </row>
    <row r="1305" spans="1:8" hidden="1" x14ac:dyDescent="0.25">
      <c r="A1305" s="43">
        <v>200</v>
      </c>
      <c r="B1305" s="43" t="s">
        <v>63</v>
      </c>
      <c r="C1305" s="43" t="s">
        <v>4478</v>
      </c>
      <c r="D1305" s="43" t="s">
        <v>1542</v>
      </c>
      <c r="E1305" s="43" t="s">
        <v>1543</v>
      </c>
      <c r="F1305" s="43">
        <v>1</v>
      </c>
      <c r="G1305"/>
      <c r="H1305"/>
    </row>
    <row r="1306" spans="1:8" hidden="1" x14ac:dyDescent="0.25">
      <c r="A1306" s="43">
        <v>200</v>
      </c>
      <c r="B1306" s="43" t="s">
        <v>63</v>
      </c>
      <c r="C1306" s="43" t="s">
        <v>4478</v>
      </c>
      <c r="D1306" s="43" t="s">
        <v>1544</v>
      </c>
      <c r="E1306" s="43" t="s">
        <v>671</v>
      </c>
      <c r="F1306" s="43">
        <v>0</v>
      </c>
      <c r="G1306" s="43" t="s">
        <v>4606</v>
      </c>
      <c r="H1306" s="43" t="s">
        <v>4759</v>
      </c>
    </row>
    <row r="1307" spans="1:8" hidden="1" x14ac:dyDescent="0.25">
      <c r="A1307" s="43">
        <v>200</v>
      </c>
      <c r="B1307" s="43" t="s">
        <v>63</v>
      </c>
      <c r="C1307" s="43" t="s">
        <v>4478</v>
      </c>
      <c r="D1307" s="43" t="s">
        <v>1545</v>
      </c>
      <c r="E1307" s="43" t="s">
        <v>1546</v>
      </c>
      <c r="F1307" s="43">
        <v>1</v>
      </c>
      <c r="G1307"/>
      <c r="H1307"/>
    </row>
    <row r="1308" spans="1:8" hidden="1" x14ac:dyDescent="0.25">
      <c r="A1308" s="43">
        <v>200</v>
      </c>
      <c r="B1308" s="43" t="s">
        <v>63</v>
      </c>
      <c r="C1308" s="43" t="s">
        <v>4478</v>
      </c>
      <c r="D1308" s="43" t="s">
        <v>1537</v>
      </c>
      <c r="E1308" s="43" t="s">
        <v>1494</v>
      </c>
      <c r="F1308" s="43">
        <v>1</v>
      </c>
      <c r="G1308"/>
      <c r="H1308"/>
    </row>
    <row r="1309" spans="1:8" hidden="1" x14ac:dyDescent="0.25">
      <c r="A1309" s="43">
        <v>200</v>
      </c>
      <c r="B1309" s="43" t="s">
        <v>63</v>
      </c>
      <c r="C1309" s="43" t="s">
        <v>4478</v>
      </c>
      <c r="D1309" s="43" t="s">
        <v>1538</v>
      </c>
      <c r="E1309" s="43" t="s">
        <v>306</v>
      </c>
      <c r="F1309" s="43">
        <v>1</v>
      </c>
      <c r="G1309"/>
      <c r="H1309"/>
    </row>
    <row r="1310" spans="1:8" hidden="1" x14ac:dyDescent="0.25">
      <c r="A1310" s="43">
        <v>200</v>
      </c>
      <c r="B1310" s="43" t="s">
        <v>63</v>
      </c>
      <c r="C1310" s="43" t="s">
        <v>4478</v>
      </c>
      <c r="D1310" s="43" t="s">
        <v>1549</v>
      </c>
      <c r="E1310" s="43" t="s">
        <v>1550</v>
      </c>
      <c r="F1310" s="43">
        <v>1</v>
      </c>
      <c r="G1310"/>
      <c r="H1310"/>
    </row>
    <row r="1311" spans="1:8" hidden="1" x14ac:dyDescent="0.25">
      <c r="A1311" s="43">
        <v>200</v>
      </c>
      <c r="B1311" s="43" t="s">
        <v>63</v>
      </c>
      <c r="C1311" s="43" t="s">
        <v>4478</v>
      </c>
      <c r="D1311" s="43" t="s">
        <v>1551</v>
      </c>
      <c r="E1311" s="43" t="s">
        <v>1552</v>
      </c>
      <c r="F1311" s="43">
        <v>1</v>
      </c>
      <c r="G1311"/>
      <c r="H1311"/>
    </row>
    <row r="1312" spans="1:8" hidden="1" x14ac:dyDescent="0.25">
      <c r="A1312" s="43">
        <v>200</v>
      </c>
      <c r="B1312" s="43" t="s">
        <v>63</v>
      </c>
      <c r="C1312" s="43" t="s">
        <v>4478</v>
      </c>
      <c r="D1312" s="43" t="s">
        <v>1553</v>
      </c>
      <c r="E1312" s="43" t="s">
        <v>1554</v>
      </c>
      <c r="F1312" s="43">
        <v>1</v>
      </c>
      <c r="G1312"/>
      <c r="H1312"/>
    </row>
    <row r="1313" spans="1:8" hidden="1" x14ac:dyDescent="0.25">
      <c r="A1313" s="43">
        <v>200</v>
      </c>
      <c r="B1313" s="43" t="s">
        <v>63</v>
      </c>
      <c r="C1313" s="43" t="s">
        <v>4478</v>
      </c>
      <c r="D1313" s="43" t="s">
        <v>1555</v>
      </c>
      <c r="E1313" s="43" t="s">
        <v>1556</v>
      </c>
      <c r="F1313" s="43">
        <v>1</v>
      </c>
      <c r="G1313"/>
      <c r="H1313"/>
    </row>
    <row r="1314" spans="1:8" hidden="1" x14ac:dyDescent="0.25">
      <c r="A1314" s="43">
        <v>201</v>
      </c>
      <c r="B1314" s="43" t="s">
        <v>63</v>
      </c>
      <c r="C1314" s="43" t="s">
        <v>4478</v>
      </c>
      <c r="D1314" s="43" t="s">
        <v>1539</v>
      </c>
      <c r="E1314" s="43" t="s">
        <v>1499</v>
      </c>
      <c r="F1314" s="43">
        <v>1</v>
      </c>
      <c r="G1314"/>
      <c r="H1314"/>
    </row>
    <row r="1315" spans="1:8" hidden="1" x14ac:dyDescent="0.25">
      <c r="A1315" s="43">
        <v>201</v>
      </c>
      <c r="B1315" s="43" t="s">
        <v>63</v>
      </c>
      <c r="C1315" s="43" t="s">
        <v>4478</v>
      </c>
      <c r="D1315" s="43" t="s">
        <v>1547</v>
      </c>
      <c r="E1315" s="43" t="s">
        <v>1548</v>
      </c>
      <c r="F1315" s="43">
        <v>1</v>
      </c>
      <c r="G1315"/>
      <c r="H1315"/>
    </row>
    <row r="1316" spans="1:8" hidden="1" x14ac:dyDescent="0.25">
      <c r="A1316" s="43">
        <v>201</v>
      </c>
      <c r="B1316" s="43" t="s">
        <v>63</v>
      </c>
      <c r="C1316" s="43" t="s">
        <v>4478</v>
      </c>
      <c r="D1316" s="43" t="s">
        <v>1540</v>
      </c>
      <c r="E1316" s="43" t="s">
        <v>1541</v>
      </c>
      <c r="F1316" s="43">
        <v>1</v>
      </c>
      <c r="G1316"/>
      <c r="H1316"/>
    </row>
    <row r="1317" spans="1:8" hidden="1" x14ac:dyDescent="0.25">
      <c r="A1317" s="43">
        <v>201</v>
      </c>
      <c r="B1317" s="43" t="s">
        <v>63</v>
      </c>
      <c r="C1317" s="43" t="s">
        <v>4478</v>
      </c>
      <c r="D1317" s="43" t="s">
        <v>1542</v>
      </c>
      <c r="E1317" s="43" t="s">
        <v>1543</v>
      </c>
      <c r="F1317" s="43">
        <v>0</v>
      </c>
      <c r="G1317" s="43" t="s">
        <v>4606</v>
      </c>
      <c r="H1317" s="43" t="s">
        <v>4759</v>
      </c>
    </row>
    <row r="1318" spans="1:8" hidden="1" x14ac:dyDescent="0.25">
      <c r="A1318" s="43">
        <v>201</v>
      </c>
      <c r="B1318" s="43" t="s">
        <v>63</v>
      </c>
      <c r="C1318" s="43" t="s">
        <v>4478</v>
      </c>
      <c r="D1318" s="43" t="s">
        <v>1544</v>
      </c>
      <c r="E1318" s="43" t="s">
        <v>671</v>
      </c>
      <c r="F1318" s="43">
        <v>0</v>
      </c>
      <c r="G1318" s="43" t="s">
        <v>4606</v>
      </c>
      <c r="H1318" s="43" t="s">
        <v>4759</v>
      </c>
    </row>
    <row r="1319" spans="1:8" hidden="1" x14ac:dyDescent="0.25">
      <c r="A1319" s="43">
        <v>201</v>
      </c>
      <c r="B1319" s="43" t="s">
        <v>63</v>
      </c>
      <c r="C1319" s="43" t="s">
        <v>4478</v>
      </c>
      <c r="D1319" s="43" t="s">
        <v>1545</v>
      </c>
      <c r="E1319" s="43" t="s">
        <v>1546</v>
      </c>
      <c r="F1319" s="43">
        <v>1</v>
      </c>
      <c r="G1319"/>
      <c r="H1319"/>
    </row>
    <row r="1320" spans="1:8" hidden="1" x14ac:dyDescent="0.25">
      <c r="A1320" s="43">
        <v>201</v>
      </c>
      <c r="B1320" s="43" t="s">
        <v>63</v>
      </c>
      <c r="C1320" s="43" t="s">
        <v>4478</v>
      </c>
      <c r="D1320" s="43" t="s">
        <v>1537</v>
      </c>
      <c r="E1320" s="43" t="s">
        <v>1494</v>
      </c>
      <c r="F1320" s="43">
        <v>1</v>
      </c>
      <c r="G1320"/>
      <c r="H1320"/>
    </row>
    <row r="1321" spans="1:8" hidden="1" x14ac:dyDescent="0.25">
      <c r="A1321" s="43">
        <v>201</v>
      </c>
      <c r="B1321" s="43" t="s">
        <v>63</v>
      </c>
      <c r="C1321" s="43" t="s">
        <v>4478</v>
      </c>
      <c r="D1321" s="43" t="s">
        <v>1538</v>
      </c>
      <c r="E1321" s="43" t="s">
        <v>306</v>
      </c>
      <c r="F1321" s="43">
        <v>1</v>
      </c>
      <c r="G1321"/>
      <c r="H1321"/>
    </row>
    <row r="1322" spans="1:8" hidden="1" x14ac:dyDescent="0.25">
      <c r="A1322" s="43">
        <v>201</v>
      </c>
      <c r="B1322" s="43" t="s">
        <v>63</v>
      </c>
      <c r="C1322" s="43" t="s">
        <v>4478</v>
      </c>
      <c r="D1322" s="43" t="s">
        <v>1549</v>
      </c>
      <c r="E1322" s="43" t="s">
        <v>1550</v>
      </c>
      <c r="F1322" s="43">
        <v>1</v>
      </c>
      <c r="G1322"/>
      <c r="H1322"/>
    </row>
    <row r="1323" spans="1:8" hidden="1" x14ac:dyDescent="0.25">
      <c r="A1323" s="43">
        <v>201</v>
      </c>
      <c r="B1323" s="43" t="s">
        <v>63</v>
      </c>
      <c r="C1323" s="43" t="s">
        <v>4478</v>
      </c>
      <c r="D1323" s="43" t="s">
        <v>1551</v>
      </c>
      <c r="E1323" s="43" t="s">
        <v>1552</v>
      </c>
      <c r="F1323" s="43">
        <v>1</v>
      </c>
      <c r="G1323"/>
      <c r="H1323"/>
    </row>
    <row r="1324" spans="1:8" hidden="1" x14ac:dyDescent="0.25">
      <c r="A1324" s="43">
        <v>201</v>
      </c>
      <c r="B1324" s="43" t="s">
        <v>63</v>
      </c>
      <c r="C1324" s="43" t="s">
        <v>4478</v>
      </c>
      <c r="D1324" s="43" t="s">
        <v>1553</v>
      </c>
      <c r="E1324" s="43" t="s">
        <v>1554</v>
      </c>
      <c r="F1324" s="43">
        <v>1</v>
      </c>
      <c r="G1324"/>
      <c r="H1324"/>
    </row>
    <row r="1325" spans="1:8" hidden="1" x14ac:dyDescent="0.25">
      <c r="A1325" s="43">
        <v>201</v>
      </c>
      <c r="B1325" s="43" t="s">
        <v>63</v>
      </c>
      <c r="C1325" s="43" t="s">
        <v>4478</v>
      </c>
      <c r="D1325" s="43" t="s">
        <v>1555</v>
      </c>
      <c r="E1325" s="43" t="s">
        <v>1556</v>
      </c>
      <c r="F1325" s="43">
        <v>1</v>
      </c>
      <c r="G1325"/>
      <c r="H1325"/>
    </row>
    <row r="1326" spans="1:8" hidden="1" x14ac:dyDescent="0.25">
      <c r="A1326" s="43">
        <v>202</v>
      </c>
      <c r="B1326" s="43" t="s">
        <v>64</v>
      </c>
      <c r="C1326" s="43" t="s">
        <v>1685</v>
      </c>
      <c r="D1326" s="43" t="s">
        <v>1709</v>
      </c>
      <c r="E1326" s="43" t="s">
        <v>1710</v>
      </c>
      <c r="F1326" s="43">
        <v>0</v>
      </c>
      <c r="G1326" s="43" t="s">
        <v>4607</v>
      </c>
      <c r="H1326" s="43" t="s">
        <v>4760</v>
      </c>
    </row>
    <row r="1327" spans="1:8" hidden="1" x14ac:dyDescent="0.25">
      <c r="A1327" s="43">
        <v>202</v>
      </c>
      <c r="B1327" s="43" t="s">
        <v>64</v>
      </c>
      <c r="C1327" s="43" t="s">
        <v>1685</v>
      </c>
      <c r="D1327" s="43" t="s">
        <v>1711</v>
      </c>
      <c r="E1327" s="43" t="s">
        <v>1124</v>
      </c>
      <c r="F1327" s="43">
        <v>1</v>
      </c>
      <c r="G1327"/>
      <c r="H1327"/>
    </row>
    <row r="1328" spans="1:8" x14ac:dyDescent="0.25">
      <c r="A1328" s="43">
        <v>202</v>
      </c>
      <c r="B1328" s="43" t="s">
        <v>64</v>
      </c>
      <c r="C1328" s="43" t="s">
        <v>1685</v>
      </c>
      <c r="D1328" s="43" t="s">
        <v>1686</v>
      </c>
      <c r="E1328" s="43" t="s">
        <v>1687</v>
      </c>
      <c r="F1328" s="43">
        <v>2</v>
      </c>
      <c r="G1328" s="43" t="s">
        <v>4514</v>
      </c>
      <c r="H1328" s="43" t="s">
        <v>4580</v>
      </c>
    </row>
    <row r="1329" spans="1:8" hidden="1" x14ac:dyDescent="0.25">
      <c r="A1329" s="43">
        <v>202</v>
      </c>
      <c r="B1329" s="43" t="s">
        <v>64</v>
      </c>
      <c r="C1329" s="43" t="s">
        <v>1685</v>
      </c>
      <c r="D1329" s="43" t="s">
        <v>1688</v>
      </c>
      <c r="E1329" s="43" t="s">
        <v>1689</v>
      </c>
      <c r="F1329" s="43">
        <v>1</v>
      </c>
      <c r="G1329"/>
      <c r="H1329"/>
    </row>
    <row r="1330" spans="1:8" hidden="1" x14ac:dyDescent="0.25">
      <c r="A1330" s="43">
        <v>202</v>
      </c>
      <c r="B1330" s="43" t="s">
        <v>64</v>
      </c>
      <c r="C1330" s="43" t="s">
        <v>1685</v>
      </c>
      <c r="D1330" s="43" t="s">
        <v>1690</v>
      </c>
      <c r="E1330" s="43" t="s">
        <v>1691</v>
      </c>
      <c r="F1330" s="43">
        <v>2</v>
      </c>
      <c r="G1330" s="43" t="s">
        <v>4515</v>
      </c>
      <c r="H1330" s="43" t="s">
        <v>4582</v>
      </c>
    </row>
    <row r="1331" spans="1:8" x14ac:dyDescent="0.25">
      <c r="A1331" s="43">
        <v>202</v>
      </c>
      <c r="B1331" s="43" t="s">
        <v>64</v>
      </c>
      <c r="C1331" s="43" t="s">
        <v>1685</v>
      </c>
      <c r="D1331" s="43" t="s">
        <v>1692</v>
      </c>
      <c r="E1331" s="43" t="s">
        <v>1693</v>
      </c>
      <c r="F1331" s="43">
        <v>2</v>
      </c>
      <c r="G1331" s="43" t="s">
        <v>4516</v>
      </c>
      <c r="H1331" s="43" t="s">
        <v>4580</v>
      </c>
    </row>
    <row r="1332" spans="1:8" hidden="1" x14ac:dyDescent="0.25">
      <c r="A1332" s="43">
        <v>202</v>
      </c>
      <c r="B1332" s="43" t="s">
        <v>64</v>
      </c>
      <c r="C1332" s="43" t="s">
        <v>1685</v>
      </c>
      <c r="D1332" s="43" t="s">
        <v>1694</v>
      </c>
      <c r="E1332" s="43" t="s">
        <v>1695</v>
      </c>
      <c r="F1332" s="43">
        <v>1</v>
      </c>
      <c r="G1332"/>
      <c r="H1332"/>
    </row>
    <row r="1333" spans="1:8" hidden="1" x14ac:dyDescent="0.25">
      <c r="A1333" s="43">
        <v>202</v>
      </c>
      <c r="B1333" s="43" t="s">
        <v>64</v>
      </c>
      <c r="C1333" s="43" t="s">
        <v>1685</v>
      </c>
      <c r="D1333" s="43" t="s">
        <v>1703</v>
      </c>
      <c r="E1333" s="43" t="s">
        <v>1704</v>
      </c>
      <c r="F1333" s="43">
        <v>1</v>
      </c>
      <c r="G1333"/>
      <c r="H1333"/>
    </row>
    <row r="1334" spans="1:8" hidden="1" x14ac:dyDescent="0.25">
      <c r="A1334" s="43">
        <v>202</v>
      </c>
      <c r="B1334" s="43" t="s">
        <v>64</v>
      </c>
      <c r="C1334" s="43" t="s">
        <v>1685</v>
      </c>
      <c r="D1334" s="43" t="s">
        <v>1705</v>
      </c>
      <c r="E1334" s="43" t="s">
        <v>1706</v>
      </c>
      <c r="F1334" s="43">
        <v>0</v>
      </c>
      <c r="G1334" s="43" t="s">
        <v>4608</v>
      </c>
      <c r="H1334" s="43" t="s">
        <v>4760</v>
      </c>
    </row>
    <row r="1335" spans="1:8" x14ac:dyDescent="0.25">
      <c r="A1335" s="43">
        <v>202</v>
      </c>
      <c r="B1335" s="43" t="s">
        <v>64</v>
      </c>
      <c r="C1335" s="43" t="s">
        <v>1685</v>
      </c>
      <c r="D1335" s="43" t="s">
        <v>1707</v>
      </c>
      <c r="E1335" s="43" t="s">
        <v>1708</v>
      </c>
      <c r="F1335" s="89">
        <v>2</v>
      </c>
      <c r="G1335" s="43" t="s">
        <v>4609</v>
      </c>
      <c r="H1335" s="43" t="s">
        <v>4580</v>
      </c>
    </row>
    <row r="1336" spans="1:8" x14ac:dyDescent="0.25">
      <c r="A1336" s="43">
        <v>202</v>
      </c>
      <c r="B1336" s="43" t="s">
        <v>64</v>
      </c>
      <c r="C1336" s="43" t="s">
        <v>1685</v>
      </c>
      <c r="D1336" s="43" t="s">
        <v>1696</v>
      </c>
      <c r="E1336" s="43" t="s">
        <v>1697</v>
      </c>
      <c r="F1336" s="43">
        <v>2</v>
      </c>
      <c r="G1336" s="43" t="s">
        <v>4517</v>
      </c>
      <c r="H1336" s="43" t="s">
        <v>4580</v>
      </c>
    </row>
    <row r="1337" spans="1:8" hidden="1" x14ac:dyDescent="0.25">
      <c r="A1337" s="43">
        <v>202</v>
      </c>
      <c r="B1337" s="43" t="s">
        <v>64</v>
      </c>
      <c r="C1337" s="43" t="s">
        <v>1685</v>
      </c>
      <c r="D1337" s="43" t="s">
        <v>1698</v>
      </c>
      <c r="E1337" s="43" t="s">
        <v>1699</v>
      </c>
      <c r="F1337" s="43">
        <v>1</v>
      </c>
      <c r="G1337"/>
      <c r="H1337"/>
    </row>
    <row r="1338" spans="1:8" hidden="1" x14ac:dyDescent="0.25">
      <c r="A1338" s="43">
        <v>202</v>
      </c>
      <c r="B1338" s="43" t="s">
        <v>64</v>
      </c>
      <c r="C1338" s="43" t="s">
        <v>1685</v>
      </c>
      <c r="D1338" s="43" t="s">
        <v>1700</v>
      </c>
      <c r="E1338" s="43" t="s">
        <v>1701</v>
      </c>
      <c r="F1338" s="43">
        <v>2</v>
      </c>
      <c r="G1338" s="43" t="s">
        <v>4518</v>
      </c>
      <c r="H1338" s="43" t="s">
        <v>4582</v>
      </c>
    </row>
    <row r="1339" spans="1:8" hidden="1" x14ac:dyDescent="0.25">
      <c r="A1339" s="43">
        <v>202</v>
      </c>
      <c r="B1339" s="43" t="s">
        <v>64</v>
      </c>
      <c r="C1339" s="43" t="s">
        <v>1685</v>
      </c>
      <c r="D1339" s="43" t="s">
        <v>1702</v>
      </c>
      <c r="E1339" s="43" t="s">
        <v>314</v>
      </c>
      <c r="F1339" s="43">
        <v>1</v>
      </c>
      <c r="G1339"/>
      <c r="H1339"/>
    </row>
    <row r="1340" spans="1:8" hidden="1" x14ac:dyDescent="0.25">
      <c r="A1340" s="43">
        <v>205</v>
      </c>
      <c r="B1340" s="43" t="s">
        <v>65</v>
      </c>
      <c r="C1340" s="43" t="s">
        <v>1668</v>
      </c>
      <c r="D1340" s="43" t="s">
        <v>1677</v>
      </c>
      <c r="E1340" s="43" t="s">
        <v>1678</v>
      </c>
      <c r="F1340" s="43">
        <v>1</v>
      </c>
      <c r="G1340"/>
      <c r="H1340"/>
    </row>
    <row r="1341" spans="1:8" hidden="1" x14ac:dyDescent="0.25">
      <c r="A1341" s="43">
        <v>205</v>
      </c>
      <c r="B1341" s="43" t="s">
        <v>65</v>
      </c>
      <c r="C1341" s="43" t="s">
        <v>1668</v>
      </c>
      <c r="D1341" s="43" t="s">
        <v>1679</v>
      </c>
      <c r="E1341" s="43" t="s">
        <v>1680</v>
      </c>
      <c r="F1341" s="43">
        <v>1</v>
      </c>
      <c r="G1341"/>
      <c r="H1341"/>
    </row>
    <row r="1342" spans="1:8" hidden="1" x14ac:dyDescent="0.25">
      <c r="A1342" s="43">
        <v>205</v>
      </c>
      <c r="B1342" s="43" t="s">
        <v>65</v>
      </c>
      <c r="C1342" s="43" t="s">
        <v>1668</v>
      </c>
      <c r="D1342" s="43" t="s">
        <v>1681</v>
      </c>
      <c r="E1342" s="43" t="s">
        <v>1682</v>
      </c>
      <c r="F1342" s="43">
        <v>1</v>
      </c>
      <c r="G1342"/>
      <c r="H1342"/>
    </row>
    <row r="1343" spans="1:8" hidden="1" x14ac:dyDescent="0.25">
      <c r="A1343" s="43">
        <v>205</v>
      </c>
      <c r="B1343" s="43" t="s">
        <v>65</v>
      </c>
      <c r="C1343" s="43" t="s">
        <v>1668</v>
      </c>
      <c r="D1343" s="43" t="s">
        <v>1683</v>
      </c>
      <c r="E1343" s="43" t="s">
        <v>1684</v>
      </c>
      <c r="F1343" s="43">
        <v>1</v>
      </c>
      <c r="G1343"/>
      <c r="H1343"/>
    </row>
    <row r="1344" spans="1:8" hidden="1" x14ac:dyDescent="0.25">
      <c r="A1344" s="43">
        <v>205</v>
      </c>
      <c r="B1344" s="43" t="s">
        <v>65</v>
      </c>
      <c r="C1344" s="43" t="s">
        <v>1668</v>
      </c>
      <c r="D1344" s="43" t="s">
        <v>1673</v>
      </c>
      <c r="E1344" s="43" t="s">
        <v>1674</v>
      </c>
      <c r="F1344" s="43">
        <v>1</v>
      </c>
      <c r="G1344"/>
      <c r="H1344"/>
    </row>
    <row r="1345" spans="1:8" hidden="1" x14ac:dyDescent="0.25">
      <c r="A1345" s="43">
        <v>205</v>
      </c>
      <c r="B1345" s="43" t="s">
        <v>65</v>
      </c>
      <c r="C1345" s="43" t="s">
        <v>1668</v>
      </c>
      <c r="D1345" s="43" t="s">
        <v>1676</v>
      </c>
      <c r="E1345" s="43" t="s">
        <v>372</v>
      </c>
      <c r="F1345" s="43">
        <v>1</v>
      </c>
      <c r="G1345"/>
      <c r="H1345"/>
    </row>
    <row r="1346" spans="1:8" hidden="1" x14ac:dyDescent="0.25">
      <c r="A1346" s="43">
        <v>205</v>
      </c>
      <c r="B1346" s="43" t="s">
        <v>65</v>
      </c>
      <c r="C1346" s="43" t="s">
        <v>1668</v>
      </c>
      <c r="D1346" s="43" t="s">
        <v>1675</v>
      </c>
      <c r="E1346" s="43" t="s">
        <v>844</v>
      </c>
      <c r="F1346" s="43">
        <v>1</v>
      </c>
      <c r="G1346"/>
      <c r="H1346"/>
    </row>
    <row r="1347" spans="1:8" hidden="1" x14ac:dyDescent="0.25">
      <c r="A1347" s="43">
        <v>205</v>
      </c>
      <c r="B1347" s="43" t="s">
        <v>65</v>
      </c>
      <c r="C1347" s="43" t="s">
        <v>1668</v>
      </c>
      <c r="D1347" s="43" t="s">
        <v>1669</v>
      </c>
      <c r="E1347" s="43" t="s">
        <v>304</v>
      </c>
      <c r="F1347" s="43">
        <v>1</v>
      </c>
      <c r="G1347"/>
      <c r="H1347"/>
    </row>
    <row r="1348" spans="1:8" hidden="1" x14ac:dyDescent="0.25">
      <c r="A1348" s="43">
        <v>205</v>
      </c>
      <c r="B1348" s="43" t="s">
        <v>65</v>
      </c>
      <c r="C1348" s="43" t="s">
        <v>1668</v>
      </c>
      <c r="D1348" s="43" t="s">
        <v>1670</v>
      </c>
      <c r="E1348" s="43" t="s">
        <v>306</v>
      </c>
      <c r="F1348" s="43">
        <v>1</v>
      </c>
      <c r="G1348"/>
      <c r="H1348"/>
    </row>
    <row r="1349" spans="1:8" hidden="1" x14ac:dyDescent="0.25">
      <c r="A1349" s="43">
        <v>205</v>
      </c>
      <c r="B1349" s="43" t="s">
        <v>65</v>
      </c>
      <c r="C1349" s="43" t="s">
        <v>1668</v>
      </c>
      <c r="D1349" s="43" t="s">
        <v>1671</v>
      </c>
      <c r="E1349" s="43" t="s">
        <v>1672</v>
      </c>
      <c r="F1349" s="43">
        <v>1</v>
      </c>
      <c r="G1349"/>
      <c r="H1349"/>
    </row>
    <row r="1350" spans="1:8" hidden="1" x14ac:dyDescent="0.25">
      <c r="A1350" s="43">
        <v>206</v>
      </c>
      <c r="B1350" s="43" t="s">
        <v>66</v>
      </c>
      <c r="C1350" s="43" t="s">
        <v>1155</v>
      </c>
      <c r="D1350" s="43" t="s">
        <v>1157</v>
      </c>
      <c r="E1350" s="43" t="s">
        <v>844</v>
      </c>
      <c r="F1350" s="43">
        <v>1</v>
      </c>
      <c r="G1350"/>
      <c r="H1350"/>
    </row>
    <row r="1351" spans="1:8" hidden="1" x14ac:dyDescent="0.25">
      <c r="A1351" s="43">
        <v>206</v>
      </c>
      <c r="B1351" s="43" t="s">
        <v>66</v>
      </c>
      <c r="C1351" s="43" t="s">
        <v>1155</v>
      </c>
      <c r="D1351" s="43" t="s">
        <v>1156</v>
      </c>
      <c r="E1351" s="43" t="s">
        <v>273</v>
      </c>
      <c r="F1351" s="43">
        <v>1</v>
      </c>
      <c r="G1351"/>
      <c r="H1351"/>
    </row>
    <row r="1352" spans="1:8" hidden="1" x14ac:dyDescent="0.25">
      <c r="A1352" s="43">
        <v>206</v>
      </c>
      <c r="B1352" s="43" t="s">
        <v>66</v>
      </c>
      <c r="C1352" s="43" t="s">
        <v>1155</v>
      </c>
      <c r="D1352" s="43" t="s">
        <v>1158</v>
      </c>
      <c r="E1352" s="43" t="s">
        <v>1159</v>
      </c>
      <c r="F1352" s="43">
        <v>1</v>
      </c>
      <c r="G1352"/>
      <c r="H1352"/>
    </row>
    <row r="1353" spans="1:8" hidden="1" x14ac:dyDescent="0.25">
      <c r="A1353" s="43">
        <v>206</v>
      </c>
      <c r="B1353" s="43" t="s">
        <v>66</v>
      </c>
      <c r="C1353" s="43" t="s">
        <v>1155</v>
      </c>
      <c r="D1353" s="43" t="s">
        <v>1160</v>
      </c>
      <c r="E1353" s="43" t="s">
        <v>1161</v>
      </c>
      <c r="F1353" s="43">
        <v>1</v>
      </c>
      <c r="G1353"/>
      <c r="H1353"/>
    </row>
    <row r="1354" spans="1:8" hidden="1" x14ac:dyDescent="0.25">
      <c r="A1354" s="43">
        <v>206</v>
      </c>
      <c r="B1354" s="43" t="s">
        <v>66</v>
      </c>
      <c r="C1354" s="43" t="s">
        <v>1155</v>
      </c>
      <c r="D1354" s="43" t="s">
        <v>1162</v>
      </c>
      <c r="E1354" s="43" t="s">
        <v>1163</v>
      </c>
      <c r="F1354" s="43">
        <v>1</v>
      </c>
      <c r="G1354"/>
      <c r="H1354"/>
    </row>
    <row r="1355" spans="1:8" hidden="1" x14ac:dyDescent="0.25">
      <c r="A1355" s="43">
        <v>206</v>
      </c>
      <c r="B1355" s="43" t="s">
        <v>66</v>
      </c>
      <c r="C1355" s="43" t="s">
        <v>1155</v>
      </c>
      <c r="D1355" s="43" t="s">
        <v>1164</v>
      </c>
      <c r="E1355" s="43" t="s">
        <v>1165</v>
      </c>
      <c r="F1355" s="43">
        <v>0</v>
      </c>
      <c r="G1355" s="43" t="s">
        <v>4610</v>
      </c>
      <c r="H1355" s="43" t="s">
        <v>4767</v>
      </c>
    </row>
    <row r="1356" spans="1:8" hidden="1" x14ac:dyDescent="0.25">
      <c r="A1356" s="43">
        <v>206</v>
      </c>
      <c r="B1356" s="43" t="s">
        <v>66</v>
      </c>
      <c r="C1356" s="43" t="s">
        <v>1155</v>
      </c>
      <c r="D1356" s="43" t="s">
        <v>1166</v>
      </c>
      <c r="E1356" s="43" t="s">
        <v>295</v>
      </c>
      <c r="F1356" s="43">
        <v>1</v>
      </c>
      <c r="G1356"/>
      <c r="H1356"/>
    </row>
    <row r="1357" spans="1:8" hidden="1" x14ac:dyDescent="0.25">
      <c r="A1357" s="43">
        <v>206</v>
      </c>
      <c r="B1357" s="43" t="s">
        <v>66</v>
      </c>
      <c r="C1357" s="43" t="s">
        <v>1155</v>
      </c>
      <c r="D1357" s="43" t="s">
        <v>1167</v>
      </c>
      <c r="E1357" s="43" t="s">
        <v>1168</v>
      </c>
      <c r="F1357" s="43">
        <v>1</v>
      </c>
      <c r="G1357"/>
      <c r="H1357"/>
    </row>
    <row r="1358" spans="1:8" hidden="1" x14ac:dyDescent="0.25">
      <c r="A1358" s="43">
        <v>207</v>
      </c>
      <c r="B1358" s="43" t="s">
        <v>67</v>
      </c>
      <c r="C1358" s="43" t="s">
        <v>1712</v>
      </c>
      <c r="D1358" s="43" t="s">
        <v>1713</v>
      </c>
      <c r="E1358" s="43" t="s">
        <v>1714</v>
      </c>
      <c r="F1358" s="43">
        <v>0</v>
      </c>
      <c r="G1358" s="43" t="s">
        <v>4611</v>
      </c>
      <c r="H1358" s="43" t="s">
        <v>4767</v>
      </c>
    </row>
    <row r="1359" spans="1:8" hidden="1" x14ac:dyDescent="0.25">
      <c r="A1359" s="43">
        <v>207</v>
      </c>
      <c r="B1359" s="43" t="s">
        <v>67</v>
      </c>
      <c r="C1359" s="43" t="s">
        <v>1712</v>
      </c>
      <c r="D1359" s="43" t="s">
        <v>1715</v>
      </c>
      <c r="E1359" s="43" t="s">
        <v>1716</v>
      </c>
      <c r="F1359" s="43">
        <v>1</v>
      </c>
      <c r="G1359"/>
      <c r="H1359"/>
    </row>
    <row r="1360" spans="1:8" hidden="1" x14ac:dyDescent="0.25">
      <c r="A1360" s="43">
        <v>207</v>
      </c>
      <c r="B1360" s="43" t="s">
        <v>67</v>
      </c>
      <c r="C1360" s="43" t="s">
        <v>1712</v>
      </c>
      <c r="D1360" s="43" t="s">
        <v>1717</v>
      </c>
      <c r="E1360" s="43" t="s">
        <v>1718</v>
      </c>
      <c r="F1360" s="43">
        <v>1</v>
      </c>
      <c r="G1360"/>
      <c r="H1360"/>
    </row>
    <row r="1361" spans="1:8" hidden="1" x14ac:dyDescent="0.25">
      <c r="A1361" s="43">
        <v>207</v>
      </c>
      <c r="B1361" s="43" t="s">
        <v>67</v>
      </c>
      <c r="C1361" s="43" t="s">
        <v>1712</v>
      </c>
      <c r="D1361" s="43" t="s">
        <v>1719</v>
      </c>
      <c r="E1361" s="43" t="s">
        <v>1720</v>
      </c>
      <c r="F1361" s="43">
        <v>0</v>
      </c>
      <c r="G1361" s="43" t="s">
        <v>4612</v>
      </c>
      <c r="H1361" s="43" t="s">
        <v>4765</v>
      </c>
    </row>
    <row r="1362" spans="1:8" hidden="1" x14ac:dyDescent="0.25">
      <c r="A1362" s="43">
        <v>207</v>
      </c>
      <c r="B1362" s="43" t="s">
        <v>67</v>
      </c>
      <c r="C1362" s="43" t="s">
        <v>1712</v>
      </c>
      <c r="D1362" s="43" t="s">
        <v>2179</v>
      </c>
      <c r="E1362" s="43" t="s">
        <v>1721</v>
      </c>
      <c r="F1362" s="43">
        <v>1</v>
      </c>
      <c r="G1362"/>
      <c r="H1362"/>
    </row>
    <row r="1363" spans="1:8" hidden="1" x14ac:dyDescent="0.25">
      <c r="A1363" s="43">
        <v>207</v>
      </c>
      <c r="B1363" s="43" t="s">
        <v>67</v>
      </c>
      <c r="C1363" s="43" t="s">
        <v>1712</v>
      </c>
      <c r="D1363" s="43" t="s">
        <v>1722</v>
      </c>
      <c r="E1363" s="43" t="s">
        <v>1234</v>
      </c>
      <c r="F1363" s="89">
        <v>1</v>
      </c>
      <c r="H1363"/>
    </row>
    <row r="1364" spans="1:8" hidden="1" x14ac:dyDescent="0.25">
      <c r="A1364" s="43">
        <v>208</v>
      </c>
      <c r="B1364" s="43" t="s">
        <v>68</v>
      </c>
      <c r="C1364" s="43" t="s">
        <v>760</v>
      </c>
      <c r="D1364" s="43" t="s">
        <v>762</v>
      </c>
      <c r="E1364" s="43" t="s">
        <v>4484</v>
      </c>
      <c r="F1364" s="43">
        <v>1</v>
      </c>
      <c r="G1364"/>
      <c r="H1364"/>
    </row>
    <row r="1365" spans="1:8" hidden="1" x14ac:dyDescent="0.25">
      <c r="A1365" s="43">
        <v>208</v>
      </c>
      <c r="B1365" s="43" t="s">
        <v>68</v>
      </c>
      <c r="C1365" s="43" t="s">
        <v>760</v>
      </c>
      <c r="D1365" s="43" t="s">
        <v>764</v>
      </c>
      <c r="E1365" s="43" t="s">
        <v>765</v>
      </c>
      <c r="F1365" s="43">
        <v>0</v>
      </c>
      <c r="G1365" s="43" t="s">
        <v>4583</v>
      </c>
      <c r="H1365"/>
    </row>
    <row r="1366" spans="1:8" hidden="1" x14ac:dyDescent="0.25">
      <c r="A1366" s="43">
        <v>208</v>
      </c>
      <c r="B1366" s="43" t="s">
        <v>68</v>
      </c>
      <c r="C1366" s="43" t="s">
        <v>760</v>
      </c>
      <c r="D1366" s="43" t="s">
        <v>766</v>
      </c>
      <c r="E1366" s="43" t="s">
        <v>767</v>
      </c>
      <c r="F1366" s="43">
        <v>0</v>
      </c>
      <c r="G1366" s="43" t="s">
        <v>4583</v>
      </c>
      <c r="H1366"/>
    </row>
    <row r="1367" spans="1:8" hidden="1" x14ac:dyDescent="0.25">
      <c r="A1367" s="43">
        <v>208</v>
      </c>
      <c r="B1367" s="43" t="s">
        <v>68</v>
      </c>
      <c r="C1367" s="43" t="s">
        <v>760</v>
      </c>
      <c r="D1367" s="43" t="s">
        <v>768</v>
      </c>
      <c r="E1367" s="43" t="s">
        <v>769</v>
      </c>
      <c r="F1367" s="43">
        <v>0</v>
      </c>
      <c r="G1367" s="43" t="s">
        <v>4583</v>
      </c>
      <c r="H1367"/>
    </row>
    <row r="1368" spans="1:8" hidden="1" x14ac:dyDescent="0.25">
      <c r="A1368" s="43">
        <v>208</v>
      </c>
      <c r="B1368" s="43" t="s">
        <v>68</v>
      </c>
      <c r="C1368" s="43" t="s">
        <v>760</v>
      </c>
      <c r="D1368" s="43" t="s">
        <v>770</v>
      </c>
      <c r="E1368" s="43" t="s">
        <v>771</v>
      </c>
      <c r="F1368" s="43">
        <v>0</v>
      </c>
      <c r="G1368" s="43" t="s">
        <v>4583</v>
      </c>
      <c r="H1368"/>
    </row>
    <row r="1369" spans="1:8" hidden="1" x14ac:dyDescent="0.25">
      <c r="A1369" s="43">
        <v>208</v>
      </c>
      <c r="B1369" s="43" t="s">
        <v>68</v>
      </c>
      <c r="C1369" s="43" t="s">
        <v>760</v>
      </c>
      <c r="D1369" s="43" t="s">
        <v>761</v>
      </c>
      <c r="E1369" s="43" t="s">
        <v>273</v>
      </c>
      <c r="F1369" s="43">
        <v>1</v>
      </c>
      <c r="G1369"/>
      <c r="H1369"/>
    </row>
    <row r="1370" spans="1:8" hidden="1" x14ac:dyDescent="0.25">
      <c r="A1370" s="43">
        <v>208</v>
      </c>
      <c r="B1370" s="43" t="s">
        <v>68</v>
      </c>
      <c r="C1370" s="43" t="s">
        <v>760</v>
      </c>
      <c r="D1370" s="43" t="s">
        <v>772</v>
      </c>
      <c r="E1370" s="43" t="s">
        <v>773</v>
      </c>
      <c r="F1370" s="43">
        <v>0</v>
      </c>
      <c r="G1370" s="43" t="s">
        <v>4583</v>
      </c>
      <c r="H1370"/>
    </row>
    <row r="1371" spans="1:8" hidden="1" x14ac:dyDescent="0.25">
      <c r="A1371" s="43">
        <v>208</v>
      </c>
      <c r="B1371" s="43" t="s">
        <v>68</v>
      </c>
      <c r="C1371" s="43" t="s">
        <v>760</v>
      </c>
      <c r="D1371" s="43" t="s">
        <v>774</v>
      </c>
      <c r="E1371" s="43" t="s">
        <v>775</v>
      </c>
      <c r="F1371" s="43">
        <v>0</v>
      </c>
      <c r="G1371" s="43" t="s">
        <v>4583</v>
      </c>
      <c r="H1371"/>
    </row>
    <row r="1372" spans="1:8" hidden="1" x14ac:dyDescent="0.25">
      <c r="A1372" s="43">
        <v>208</v>
      </c>
      <c r="B1372" s="43" t="s">
        <v>68</v>
      </c>
      <c r="C1372" s="43" t="s">
        <v>760</v>
      </c>
      <c r="D1372" s="43" t="s">
        <v>776</v>
      </c>
      <c r="E1372" s="43" t="s">
        <v>777</v>
      </c>
      <c r="F1372" s="43">
        <v>0</v>
      </c>
      <c r="G1372" s="43" t="s">
        <v>4583</v>
      </c>
      <c r="H1372"/>
    </row>
    <row r="1373" spans="1:8" hidden="1" x14ac:dyDescent="0.25">
      <c r="A1373" s="43">
        <v>208</v>
      </c>
      <c r="B1373" s="43" t="s">
        <v>68</v>
      </c>
      <c r="C1373" s="43" t="s">
        <v>760</v>
      </c>
      <c r="D1373" s="43" t="s">
        <v>778</v>
      </c>
      <c r="E1373" s="43" t="s">
        <v>779</v>
      </c>
      <c r="F1373" s="43">
        <v>0</v>
      </c>
      <c r="G1373" s="43" t="s">
        <v>4583</v>
      </c>
      <c r="H1373"/>
    </row>
    <row r="1374" spans="1:8" hidden="1" x14ac:dyDescent="0.25">
      <c r="A1374" s="43">
        <v>208</v>
      </c>
      <c r="B1374" s="43" t="s">
        <v>68</v>
      </c>
      <c r="C1374" s="43" t="s">
        <v>760</v>
      </c>
      <c r="D1374" s="43" t="s">
        <v>780</v>
      </c>
      <c r="E1374" s="43" t="s">
        <v>781</v>
      </c>
      <c r="F1374" s="43">
        <v>0</v>
      </c>
      <c r="G1374" s="43" t="s">
        <v>4583</v>
      </c>
      <c r="H1374"/>
    </row>
    <row r="1375" spans="1:8" hidden="1" x14ac:dyDescent="0.25">
      <c r="A1375" s="43">
        <v>208</v>
      </c>
      <c r="B1375" s="43" t="s">
        <v>68</v>
      </c>
      <c r="C1375" s="43" t="s">
        <v>1030</v>
      </c>
      <c r="D1375" s="43" t="s">
        <v>1041</v>
      </c>
      <c r="E1375" s="43" t="s">
        <v>1042</v>
      </c>
      <c r="F1375" s="43">
        <v>0</v>
      </c>
      <c r="G1375" s="43" t="s">
        <v>4583</v>
      </c>
      <c r="H1375"/>
    </row>
    <row r="1376" spans="1:8" hidden="1" x14ac:dyDescent="0.25">
      <c r="A1376" s="43">
        <v>208</v>
      </c>
      <c r="B1376" s="43" t="s">
        <v>68</v>
      </c>
      <c r="C1376" s="43" t="s">
        <v>1030</v>
      </c>
      <c r="D1376" s="43" t="s">
        <v>1043</v>
      </c>
      <c r="E1376" s="43" t="s">
        <v>1044</v>
      </c>
      <c r="F1376" s="43">
        <v>0</v>
      </c>
      <c r="G1376" s="43" t="s">
        <v>4583</v>
      </c>
      <c r="H1376"/>
    </row>
    <row r="1377" spans="1:8" hidden="1" x14ac:dyDescent="0.25">
      <c r="A1377" s="43">
        <v>208</v>
      </c>
      <c r="B1377" s="43" t="s">
        <v>68</v>
      </c>
      <c r="C1377" s="43" t="s">
        <v>1030</v>
      </c>
      <c r="D1377" s="43" t="s">
        <v>1071</v>
      </c>
      <c r="E1377" s="43" t="s">
        <v>1072</v>
      </c>
      <c r="F1377" s="43">
        <v>1</v>
      </c>
      <c r="G1377"/>
      <c r="H1377"/>
    </row>
    <row r="1378" spans="1:8" hidden="1" x14ac:dyDescent="0.25">
      <c r="A1378" s="43">
        <v>208</v>
      </c>
      <c r="B1378" s="43" t="s">
        <v>68</v>
      </c>
      <c r="C1378" s="43" t="s">
        <v>1030</v>
      </c>
      <c r="D1378" s="43" t="s">
        <v>1073</v>
      </c>
      <c r="E1378" s="43" t="s">
        <v>1074</v>
      </c>
      <c r="F1378" s="43">
        <v>0</v>
      </c>
      <c r="G1378" s="43" t="s">
        <v>4583</v>
      </c>
      <c r="H1378"/>
    </row>
    <row r="1379" spans="1:8" hidden="1" x14ac:dyDescent="0.25">
      <c r="A1379" s="43">
        <v>208</v>
      </c>
      <c r="B1379" s="43" t="s">
        <v>68</v>
      </c>
      <c r="C1379" s="43" t="s">
        <v>1030</v>
      </c>
      <c r="D1379" s="43" t="s">
        <v>1065</v>
      </c>
      <c r="E1379" s="43" t="s">
        <v>1066</v>
      </c>
      <c r="F1379" s="43">
        <v>1</v>
      </c>
      <c r="G1379"/>
      <c r="H1379"/>
    </row>
    <row r="1380" spans="1:8" hidden="1" x14ac:dyDescent="0.25">
      <c r="A1380" s="43">
        <v>208</v>
      </c>
      <c r="B1380" s="43" t="s">
        <v>68</v>
      </c>
      <c r="C1380" s="43" t="s">
        <v>1030</v>
      </c>
      <c r="D1380" s="43" t="s">
        <v>1067</v>
      </c>
      <c r="E1380" s="43" t="s">
        <v>1068</v>
      </c>
      <c r="F1380" s="43">
        <v>1</v>
      </c>
      <c r="G1380"/>
      <c r="H1380"/>
    </row>
    <row r="1381" spans="1:8" hidden="1" x14ac:dyDescent="0.25">
      <c r="A1381" s="43">
        <v>208</v>
      </c>
      <c r="B1381" s="43" t="s">
        <v>68</v>
      </c>
      <c r="C1381" s="43" t="s">
        <v>1030</v>
      </c>
      <c r="D1381" s="43" t="s">
        <v>1069</v>
      </c>
      <c r="E1381" s="43" t="s">
        <v>1070</v>
      </c>
      <c r="F1381" s="43">
        <v>1</v>
      </c>
      <c r="G1381"/>
      <c r="H1381"/>
    </row>
    <row r="1382" spans="1:8" hidden="1" x14ac:dyDescent="0.25">
      <c r="A1382" s="43">
        <v>208</v>
      </c>
      <c r="B1382" s="43" t="s">
        <v>68</v>
      </c>
      <c r="C1382" s="43" t="s">
        <v>1030</v>
      </c>
      <c r="D1382" s="43" t="s">
        <v>1031</v>
      </c>
      <c r="E1382" s="43" t="s">
        <v>273</v>
      </c>
      <c r="F1382" s="43">
        <v>1</v>
      </c>
      <c r="G1382"/>
      <c r="H1382"/>
    </row>
    <row r="1383" spans="1:8" hidden="1" x14ac:dyDescent="0.25">
      <c r="A1383" s="43">
        <v>208</v>
      </c>
      <c r="B1383" s="43" t="s">
        <v>68</v>
      </c>
      <c r="C1383" s="43" t="s">
        <v>1030</v>
      </c>
      <c r="D1383" s="43" t="s">
        <v>1075</v>
      </c>
      <c r="E1383" s="43" t="s">
        <v>1076</v>
      </c>
      <c r="F1383" s="43">
        <v>0</v>
      </c>
      <c r="G1383" s="43" t="s">
        <v>4583</v>
      </c>
      <c r="H1383"/>
    </row>
    <row r="1384" spans="1:8" hidden="1" x14ac:dyDescent="0.25">
      <c r="A1384" s="43">
        <v>208</v>
      </c>
      <c r="B1384" s="43" t="s">
        <v>68</v>
      </c>
      <c r="C1384" s="43" t="s">
        <v>1030</v>
      </c>
      <c r="D1384" s="43" t="s">
        <v>1055</v>
      </c>
      <c r="E1384" s="43" t="s">
        <v>1056</v>
      </c>
      <c r="F1384" s="43">
        <v>1</v>
      </c>
      <c r="G1384"/>
      <c r="H1384"/>
    </row>
    <row r="1385" spans="1:8" hidden="1" x14ac:dyDescent="0.25">
      <c r="A1385" s="43">
        <v>208</v>
      </c>
      <c r="B1385" s="43" t="s">
        <v>68</v>
      </c>
      <c r="C1385" s="43" t="s">
        <v>1030</v>
      </c>
      <c r="D1385" s="43" t="s">
        <v>1057</v>
      </c>
      <c r="E1385" s="43" t="s">
        <v>1058</v>
      </c>
      <c r="F1385" s="43">
        <v>0</v>
      </c>
      <c r="G1385" s="43" t="s">
        <v>4583</v>
      </c>
      <c r="H1385"/>
    </row>
    <row r="1386" spans="1:8" hidden="1" x14ac:dyDescent="0.25">
      <c r="A1386" s="43">
        <v>208</v>
      </c>
      <c r="B1386" s="43" t="s">
        <v>68</v>
      </c>
      <c r="C1386" s="43" t="s">
        <v>1030</v>
      </c>
      <c r="D1386" s="43" t="s">
        <v>1036</v>
      </c>
      <c r="E1386" s="43" t="s">
        <v>1037</v>
      </c>
      <c r="F1386" s="43">
        <v>0</v>
      </c>
      <c r="G1386" s="43" t="s">
        <v>4583</v>
      </c>
      <c r="H1386"/>
    </row>
    <row r="1387" spans="1:8" hidden="1" x14ac:dyDescent="0.25">
      <c r="A1387" s="43">
        <v>208</v>
      </c>
      <c r="B1387" s="43" t="s">
        <v>68</v>
      </c>
      <c r="C1387" s="43" t="s">
        <v>1030</v>
      </c>
      <c r="D1387" s="43" t="s">
        <v>1038</v>
      </c>
      <c r="E1387" s="43" t="s">
        <v>4484</v>
      </c>
      <c r="F1387" s="43">
        <v>1</v>
      </c>
      <c r="G1387"/>
      <c r="H1387"/>
    </row>
    <row r="1388" spans="1:8" hidden="1" x14ac:dyDescent="0.25">
      <c r="A1388" s="43">
        <v>208</v>
      </c>
      <c r="B1388" s="43" t="s">
        <v>68</v>
      </c>
      <c r="C1388" s="43" t="s">
        <v>1030</v>
      </c>
      <c r="D1388" s="43" t="s">
        <v>1039</v>
      </c>
      <c r="E1388" s="43" t="s">
        <v>765</v>
      </c>
      <c r="F1388" s="43">
        <v>0</v>
      </c>
      <c r="G1388" s="43" t="s">
        <v>4583</v>
      </c>
      <c r="H1388"/>
    </row>
    <row r="1389" spans="1:8" hidden="1" x14ac:dyDescent="0.25">
      <c r="A1389" s="43">
        <v>208</v>
      </c>
      <c r="B1389" s="43" t="s">
        <v>68</v>
      </c>
      <c r="C1389" s="43" t="s">
        <v>1030</v>
      </c>
      <c r="D1389" s="43" t="s">
        <v>1040</v>
      </c>
      <c r="E1389" s="43" t="s">
        <v>767</v>
      </c>
      <c r="F1389" s="43">
        <v>0</v>
      </c>
      <c r="G1389" s="43" t="s">
        <v>4583</v>
      </c>
      <c r="H1389"/>
    </row>
    <row r="1390" spans="1:8" hidden="1" x14ac:dyDescent="0.25">
      <c r="A1390" s="43">
        <v>208</v>
      </c>
      <c r="B1390" s="43" t="s">
        <v>68</v>
      </c>
      <c r="C1390" s="43" t="s">
        <v>1030</v>
      </c>
      <c r="D1390" s="43" t="s">
        <v>1059</v>
      </c>
      <c r="E1390" s="43" t="s">
        <v>1060</v>
      </c>
      <c r="F1390" s="43">
        <v>1</v>
      </c>
      <c r="G1390"/>
      <c r="H1390"/>
    </row>
    <row r="1391" spans="1:8" hidden="1" x14ac:dyDescent="0.25">
      <c r="A1391" s="43">
        <v>208</v>
      </c>
      <c r="B1391" s="43" t="s">
        <v>68</v>
      </c>
      <c r="C1391" s="43" t="s">
        <v>1030</v>
      </c>
      <c r="D1391" s="43" t="s">
        <v>1061</v>
      </c>
      <c r="E1391" s="43" t="s">
        <v>1062</v>
      </c>
      <c r="F1391" s="43">
        <v>1</v>
      </c>
      <c r="G1391"/>
      <c r="H1391"/>
    </row>
    <row r="1392" spans="1:8" hidden="1" x14ac:dyDescent="0.25">
      <c r="A1392" s="43">
        <v>208</v>
      </c>
      <c r="B1392" s="43" t="s">
        <v>68</v>
      </c>
      <c r="C1392" s="43" t="s">
        <v>1030</v>
      </c>
      <c r="D1392" s="43" t="s">
        <v>1063</v>
      </c>
      <c r="E1392" s="43" t="s">
        <v>4485</v>
      </c>
      <c r="F1392" s="43">
        <v>0</v>
      </c>
      <c r="G1392" s="43" t="s">
        <v>4583</v>
      </c>
      <c r="H1392"/>
    </row>
    <row r="1393" spans="1:8" hidden="1" x14ac:dyDescent="0.25">
      <c r="A1393" s="43">
        <v>208</v>
      </c>
      <c r="B1393" s="43" t="s">
        <v>68</v>
      </c>
      <c r="C1393" s="43" t="s">
        <v>1030</v>
      </c>
      <c r="D1393" s="43" t="s">
        <v>1045</v>
      </c>
      <c r="E1393" s="43" t="s">
        <v>1046</v>
      </c>
      <c r="F1393" s="43">
        <v>0</v>
      </c>
      <c r="G1393" s="43" t="s">
        <v>4583</v>
      </c>
      <c r="H1393"/>
    </row>
    <row r="1394" spans="1:8" hidden="1" x14ac:dyDescent="0.25">
      <c r="A1394" s="43">
        <v>208</v>
      </c>
      <c r="B1394" s="43" t="s">
        <v>68</v>
      </c>
      <c r="C1394" s="43" t="s">
        <v>1030</v>
      </c>
      <c r="D1394" s="43" t="s">
        <v>1047</v>
      </c>
      <c r="E1394" s="43" t="s">
        <v>1048</v>
      </c>
      <c r="F1394" s="43">
        <v>0</v>
      </c>
      <c r="G1394" s="43" t="s">
        <v>4583</v>
      </c>
      <c r="H1394"/>
    </row>
    <row r="1395" spans="1:8" hidden="1" x14ac:dyDescent="0.25">
      <c r="A1395" s="43">
        <v>208</v>
      </c>
      <c r="B1395" s="43" t="s">
        <v>68</v>
      </c>
      <c r="C1395" s="43" t="s">
        <v>1030</v>
      </c>
      <c r="D1395" s="43" t="s">
        <v>1049</v>
      </c>
      <c r="E1395" s="43" t="s">
        <v>1050</v>
      </c>
      <c r="F1395" s="43">
        <v>0</v>
      </c>
      <c r="G1395" s="43" t="s">
        <v>4583</v>
      </c>
      <c r="H1395"/>
    </row>
    <row r="1396" spans="1:8" hidden="1" x14ac:dyDescent="0.25">
      <c r="A1396" s="43">
        <v>208</v>
      </c>
      <c r="B1396" s="43" t="s">
        <v>68</v>
      </c>
      <c r="C1396" s="43" t="s">
        <v>1030</v>
      </c>
      <c r="D1396" s="43" t="s">
        <v>1051</v>
      </c>
      <c r="E1396" s="43" t="s">
        <v>1052</v>
      </c>
      <c r="F1396" s="43">
        <v>0</v>
      </c>
      <c r="G1396" s="43" t="s">
        <v>4583</v>
      </c>
      <c r="H1396"/>
    </row>
    <row r="1397" spans="1:8" hidden="1" x14ac:dyDescent="0.25">
      <c r="A1397" s="43">
        <v>208</v>
      </c>
      <c r="B1397" s="43" t="s">
        <v>68</v>
      </c>
      <c r="C1397" s="43" t="s">
        <v>1030</v>
      </c>
      <c r="D1397" s="43" t="s">
        <v>1053</v>
      </c>
      <c r="E1397" s="43" t="s">
        <v>1054</v>
      </c>
      <c r="F1397" s="43">
        <v>0</v>
      </c>
      <c r="G1397" s="43" t="s">
        <v>4583</v>
      </c>
      <c r="H1397"/>
    </row>
    <row r="1398" spans="1:8" hidden="1" x14ac:dyDescent="0.25">
      <c r="A1398" s="43">
        <v>208</v>
      </c>
      <c r="B1398" s="43" t="s">
        <v>68</v>
      </c>
      <c r="C1398" s="43" t="s">
        <v>1030</v>
      </c>
      <c r="D1398" s="43" t="s">
        <v>1032</v>
      </c>
      <c r="E1398" s="43" t="s">
        <v>1033</v>
      </c>
      <c r="F1398" s="43">
        <v>0</v>
      </c>
      <c r="G1398" s="43" t="s">
        <v>4583</v>
      </c>
      <c r="H1398"/>
    </row>
    <row r="1399" spans="1:8" hidden="1" x14ac:dyDescent="0.25">
      <c r="A1399" s="43">
        <v>208</v>
      </c>
      <c r="B1399" s="43" t="s">
        <v>68</v>
      </c>
      <c r="C1399" s="43" t="s">
        <v>1030</v>
      </c>
      <c r="D1399" s="43" t="s">
        <v>1034</v>
      </c>
      <c r="E1399" s="43" t="s">
        <v>1035</v>
      </c>
      <c r="F1399" s="43">
        <v>1</v>
      </c>
      <c r="G1399"/>
      <c r="H1399"/>
    </row>
    <row r="1400" spans="1:8" hidden="1" x14ac:dyDescent="0.25">
      <c r="A1400" s="43">
        <v>208</v>
      </c>
      <c r="B1400" s="43" t="s">
        <v>68</v>
      </c>
      <c r="C1400" s="43" t="s">
        <v>1267</v>
      </c>
      <c r="D1400" s="43" t="s">
        <v>1268</v>
      </c>
      <c r="E1400" s="43" t="s">
        <v>1269</v>
      </c>
      <c r="F1400" s="43">
        <v>0</v>
      </c>
      <c r="G1400" s="43" t="s">
        <v>4583</v>
      </c>
      <c r="H1400"/>
    </row>
    <row r="1401" spans="1:8" hidden="1" x14ac:dyDescent="0.25">
      <c r="A1401" s="43">
        <v>208</v>
      </c>
      <c r="B1401" s="43" t="s">
        <v>68</v>
      </c>
      <c r="C1401" s="43" t="s">
        <v>1267</v>
      </c>
      <c r="D1401" s="43" t="s">
        <v>1270</v>
      </c>
      <c r="E1401" s="43" t="s">
        <v>1271</v>
      </c>
      <c r="F1401" s="43">
        <v>0</v>
      </c>
      <c r="G1401" s="43" t="s">
        <v>4583</v>
      </c>
      <c r="H1401"/>
    </row>
    <row r="1402" spans="1:8" hidden="1" x14ac:dyDescent="0.25">
      <c r="A1402" s="43">
        <v>208</v>
      </c>
      <c r="B1402" s="43" t="s">
        <v>68</v>
      </c>
      <c r="C1402" s="43" t="s">
        <v>1267</v>
      </c>
      <c r="D1402" s="43" t="s">
        <v>1272</v>
      </c>
      <c r="E1402" s="43" t="s">
        <v>4486</v>
      </c>
      <c r="F1402" s="43">
        <v>0</v>
      </c>
      <c r="G1402" s="43" t="s">
        <v>4583</v>
      </c>
      <c r="H1402"/>
    </row>
    <row r="1403" spans="1:8" hidden="1" x14ac:dyDescent="0.25">
      <c r="A1403" s="43">
        <v>208</v>
      </c>
      <c r="B1403" s="43" t="s">
        <v>68</v>
      </c>
      <c r="C1403" s="43" t="s">
        <v>1267</v>
      </c>
      <c r="D1403" s="43" t="s">
        <v>1274</v>
      </c>
      <c r="E1403" s="43" t="s">
        <v>1275</v>
      </c>
      <c r="F1403" s="43">
        <v>0</v>
      </c>
      <c r="G1403" s="43" t="s">
        <v>4583</v>
      </c>
      <c r="H1403"/>
    </row>
    <row r="1404" spans="1:8" hidden="1" x14ac:dyDescent="0.25">
      <c r="A1404" s="43">
        <v>208</v>
      </c>
      <c r="B1404" s="43" t="s">
        <v>68</v>
      </c>
      <c r="C1404" s="43" t="s">
        <v>1267</v>
      </c>
      <c r="D1404" s="43" t="s">
        <v>1276</v>
      </c>
      <c r="E1404" s="43" t="s">
        <v>4484</v>
      </c>
      <c r="F1404" s="43">
        <v>1</v>
      </c>
      <c r="G1404"/>
      <c r="H1404"/>
    </row>
    <row r="1405" spans="1:8" hidden="1" x14ac:dyDescent="0.25">
      <c r="A1405" s="43">
        <v>208</v>
      </c>
      <c r="B1405" s="43" t="s">
        <v>68</v>
      </c>
      <c r="C1405" s="43" t="s">
        <v>1267</v>
      </c>
      <c r="D1405" s="43" t="s">
        <v>2152</v>
      </c>
      <c r="E1405" s="43" t="s">
        <v>765</v>
      </c>
      <c r="F1405" s="43">
        <v>0</v>
      </c>
      <c r="G1405" s="43" t="s">
        <v>4583</v>
      </c>
      <c r="H1405"/>
    </row>
    <row r="1406" spans="1:8" hidden="1" x14ac:dyDescent="0.25">
      <c r="A1406" s="43">
        <v>208</v>
      </c>
      <c r="B1406" s="43" t="s">
        <v>68</v>
      </c>
      <c r="C1406" s="43" t="s">
        <v>1267</v>
      </c>
      <c r="D1406" s="43" t="s">
        <v>1277</v>
      </c>
      <c r="E1406" s="43" t="s">
        <v>767</v>
      </c>
      <c r="F1406" s="43">
        <v>0</v>
      </c>
      <c r="G1406" s="43" t="s">
        <v>4583</v>
      </c>
      <c r="H1406"/>
    </row>
    <row r="1407" spans="1:8" hidden="1" x14ac:dyDescent="0.25">
      <c r="A1407" s="43">
        <v>208</v>
      </c>
      <c r="B1407" s="43" t="s">
        <v>68</v>
      </c>
      <c r="C1407" s="43" t="s">
        <v>1267</v>
      </c>
      <c r="D1407" s="43" t="s">
        <v>1278</v>
      </c>
      <c r="E1407" s="43" t="s">
        <v>1279</v>
      </c>
      <c r="F1407" s="43">
        <v>0</v>
      </c>
      <c r="G1407" s="43" t="s">
        <v>4583</v>
      </c>
      <c r="H1407"/>
    </row>
    <row r="1408" spans="1:8" hidden="1" x14ac:dyDescent="0.25">
      <c r="A1408" s="43">
        <v>208</v>
      </c>
      <c r="B1408" s="43" t="s">
        <v>68</v>
      </c>
      <c r="C1408" s="43" t="s">
        <v>1267</v>
      </c>
      <c r="D1408" s="43" t="s">
        <v>1280</v>
      </c>
      <c r="E1408" s="43" t="s">
        <v>1281</v>
      </c>
      <c r="F1408" s="43">
        <v>0</v>
      </c>
      <c r="G1408" s="43" t="s">
        <v>4583</v>
      </c>
      <c r="H1408"/>
    </row>
    <row r="1409" spans="1:8" hidden="1" x14ac:dyDescent="0.25">
      <c r="A1409" s="43">
        <v>208</v>
      </c>
      <c r="B1409" s="43" t="s">
        <v>68</v>
      </c>
      <c r="C1409" s="43" t="s">
        <v>1267</v>
      </c>
      <c r="D1409" s="43" t="s">
        <v>1282</v>
      </c>
      <c r="E1409" s="43" t="s">
        <v>1283</v>
      </c>
      <c r="F1409" s="43">
        <v>0</v>
      </c>
      <c r="G1409" s="43" t="s">
        <v>4583</v>
      </c>
      <c r="H1409"/>
    </row>
    <row r="1410" spans="1:8" hidden="1" x14ac:dyDescent="0.25">
      <c r="A1410" s="43">
        <v>208</v>
      </c>
      <c r="B1410" s="43" t="s">
        <v>68</v>
      </c>
      <c r="C1410" s="43" t="s">
        <v>1267</v>
      </c>
      <c r="D1410" s="43" t="s">
        <v>1284</v>
      </c>
      <c r="E1410" s="43" t="s">
        <v>1285</v>
      </c>
      <c r="F1410" s="43">
        <v>0</v>
      </c>
      <c r="G1410" s="43" t="s">
        <v>4583</v>
      </c>
      <c r="H1410"/>
    </row>
    <row r="1411" spans="1:8" hidden="1" x14ac:dyDescent="0.25">
      <c r="A1411" s="43">
        <v>208</v>
      </c>
      <c r="B1411" s="43" t="s">
        <v>68</v>
      </c>
      <c r="C1411" s="43" t="s">
        <v>1267</v>
      </c>
      <c r="D1411" s="43" t="s">
        <v>1286</v>
      </c>
      <c r="E1411" s="43" t="s">
        <v>1287</v>
      </c>
      <c r="F1411" s="43">
        <v>0</v>
      </c>
      <c r="G1411" s="43" t="s">
        <v>4583</v>
      </c>
      <c r="H1411"/>
    </row>
    <row r="1412" spans="1:8" hidden="1" x14ac:dyDescent="0.25">
      <c r="A1412" s="43">
        <v>208</v>
      </c>
      <c r="B1412" s="43" t="s">
        <v>68</v>
      </c>
      <c r="C1412" s="43" t="s">
        <v>1267</v>
      </c>
      <c r="D1412" s="43" t="s">
        <v>1288</v>
      </c>
      <c r="E1412" s="43" t="s">
        <v>1289</v>
      </c>
      <c r="F1412" s="43">
        <v>0</v>
      </c>
      <c r="G1412" s="43" t="s">
        <v>4583</v>
      </c>
      <c r="H1412"/>
    </row>
    <row r="1413" spans="1:8" hidden="1" x14ac:dyDescent="0.25">
      <c r="A1413" s="43">
        <v>208</v>
      </c>
      <c r="B1413" s="43" t="s">
        <v>68</v>
      </c>
      <c r="C1413" s="43" t="s">
        <v>1267</v>
      </c>
      <c r="D1413" s="43" t="s">
        <v>1290</v>
      </c>
      <c r="E1413" s="43" t="s">
        <v>1291</v>
      </c>
      <c r="F1413" s="43">
        <v>0</v>
      </c>
      <c r="G1413" s="43" t="s">
        <v>4583</v>
      </c>
      <c r="H1413"/>
    </row>
    <row r="1414" spans="1:8" hidden="1" x14ac:dyDescent="0.25">
      <c r="A1414" s="43">
        <v>208</v>
      </c>
      <c r="B1414" s="43" t="s">
        <v>68</v>
      </c>
      <c r="C1414" s="43" t="s">
        <v>1141</v>
      </c>
      <c r="D1414" s="43" t="s">
        <v>1153</v>
      </c>
      <c r="E1414" s="43" t="s">
        <v>1154</v>
      </c>
      <c r="F1414" s="43">
        <v>0</v>
      </c>
      <c r="G1414" s="43" t="s">
        <v>4583</v>
      </c>
      <c r="H1414"/>
    </row>
    <row r="1415" spans="1:8" hidden="1" x14ac:dyDescent="0.25">
      <c r="A1415" s="43">
        <v>208</v>
      </c>
      <c r="B1415" s="43" t="s">
        <v>68</v>
      </c>
      <c r="C1415" s="43" t="s">
        <v>1141</v>
      </c>
      <c r="D1415" s="43" t="s">
        <v>1151</v>
      </c>
      <c r="E1415" s="43" t="s">
        <v>380</v>
      </c>
      <c r="F1415" s="43">
        <v>0</v>
      </c>
      <c r="G1415" s="43" t="s">
        <v>4583</v>
      </c>
      <c r="H1415"/>
    </row>
    <row r="1416" spans="1:8" hidden="1" x14ac:dyDescent="0.25">
      <c r="A1416" s="43">
        <v>208</v>
      </c>
      <c r="B1416" s="43" t="s">
        <v>68</v>
      </c>
      <c r="C1416" s="43" t="s">
        <v>1141</v>
      </c>
      <c r="D1416" s="43" t="s">
        <v>1152</v>
      </c>
      <c r="E1416" s="43" t="s">
        <v>381</v>
      </c>
      <c r="F1416" s="43">
        <v>1</v>
      </c>
      <c r="G1416"/>
      <c r="H1416"/>
    </row>
    <row r="1417" spans="1:8" hidden="1" x14ac:dyDescent="0.25">
      <c r="A1417" s="43">
        <v>208</v>
      </c>
      <c r="B1417" s="43" t="s">
        <v>68</v>
      </c>
      <c r="C1417" s="43" t="s">
        <v>1141</v>
      </c>
      <c r="D1417" s="43" t="s">
        <v>1144</v>
      </c>
      <c r="E1417" s="43" t="s">
        <v>1145</v>
      </c>
      <c r="F1417" s="43">
        <v>0</v>
      </c>
      <c r="G1417" s="43" t="s">
        <v>4583</v>
      </c>
      <c r="H1417"/>
    </row>
    <row r="1418" spans="1:8" hidden="1" x14ac:dyDescent="0.25">
      <c r="A1418" s="43">
        <v>208</v>
      </c>
      <c r="B1418" s="43" t="s">
        <v>68</v>
      </c>
      <c r="C1418" s="43" t="s">
        <v>1141</v>
      </c>
      <c r="D1418" s="43" t="s">
        <v>1146</v>
      </c>
      <c r="E1418" s="43" t="s">
        <v>1147</v>
      </c>
      <c r="F1418" s="43">
        <v>0</v>
      </c>
      <c r="G1418" s="43" t="s">
        <v>4583</v>
      </c>
      <c r="H1418"/>
    </row>
    <row r="1419" spans="1:8" hidden="1" x14ac:dyDescent="0.25">
      <c r="A1419" s="43">
        <v>208</v>
      </c>
      <c r="B1419" s="43" t="s">
        <v>68</v>
      </c>
      <c r="C1419" s="43" t="s">
        <v>1141</v>
      </c>
      <c r="D1419" s="43" t="s">
        <v>1148</v>
      </c>
      <c r="E1419" s="43" t="s">
        <v>713</v>
      </c>
      <c r="F1419" s="43">
        <v>0</v>
      </c>
      <c r="G1419" s="43" t="s">
        <v>4583</v>
      </c>
      <c r="H1419"/>
    </row>
    <row r="1420" spans="1:8" hidden="1" x14ac:dyDescent="0.25">
      <c r="A1420" s="43">
        <v>208</v>
      </c>
      <c r="B1420" s="43" t="s">
        <v>68</v>
      </c>
      <c r="C1420" s="43" t="s">
        <v>1141</v>
      </c>
      <c r="D1420" s="43" t="s">
        <v>1149</v>
      </c>
      <c r="E1420" s="43" t="s">
        <v>1150</v>
      </c>
      <c r="F1420" s="43">
        <v>0</v>
      </c>
      <c r="G1420" s="43" t="s">
        <v>4583</v>
      </c>
      <c r="H1420"/>
    </row>
    <row r="1421" spans="1:8" hidden="1" x14ac:dyDescent="0.25">
      <c r="A1421" s="43">
        <v>208</v>
      </c>
      <c r="B1421" s="43" t="s">
        <v>68</v>
      </c>
      <c r="C1421" s="43" t="s">
        <v>1141</v>
      </c>
      <c r="D1421" s="43" t="s">
        <v>1142</v>
      </c>
      <c r="E1421" s="43" t="s">
        <v>312</v>
      </c>
      <c r="F1421" s="43">
        <v>1</v>
      </c>
      <c r="G1421"/>
      <c r="H1421"/>
    </row>
    <row r="1422" spans="1:8" hidden="1" x14ac:dyDescent="0.25">
      <c r="A1422" s="43">
        <v>208</v>
      </c>
      <c r="B1422" s="43" t="s">
        <v>68</v>
      </c>
      <c r="C1422" s="43" t="s">
        <v>1141</v>
      </c>
      <c r="D1422" s="43" t="s">
        <v>1143</v>
      </c>
      <c r="E1422" s="43" t="s">
        <v>314</v>
      </c>
      <c r="F1422" s="43">
        <v>1</v>
      </c>
      <c r="G1422"/>
      <c r="H1422"/>
    </row>
    <row r="1423" spans="1:8" hidden="1" x14ac:dyDescent="0.25">
      <c r="A1423" s="43">
        <v>208</v>
      </c>
      <c r="B1423" s="43" t="s">
        <v>68</v>
      </c>
      <c r="C1423" s="43" t="s">
        <v>1457</v>
      </c>
      <c r="D1423" s="43" t="s">
        <v>1459</v>
      </c>
      <c r="E1423" s="43" t="s">
        <v>640</v>
      </c>
      <c r="F1423" s="43">
        <v>1</v>
      </c>
      <c r="G1423"/>
      <c r="H1423"/>
    </row>
    <row r="1424" spans="1:8" hidden="1" x14ac:dyDescent="0.25">
      <c r="A1424" s="43">
        <v>208</v>
      </c>
      <c r="B1424" s="43" t="s">
        <v>68</v>
      </c>
      <c r="C1424" s="43" t="s">
        <v>1457</v>
      </c>
      <c r="D1424" s="43" t="s">
        <v>1460</v>
      </c>
      <c r="E1424" s="43" t="s">
        <v>929</v>
      </c>
      <c r="F1424" s="43">
        <v>0</v>
      </c>
      <c r="G1424" s="43" t="s">
        <v>4583</v>
      </c>
      <c r="H1424"/>
    </row>
    <row r="1425" spans="1:8" hidden="1" x14ac:dyDescent="0.25">
      <c r="A1425" s="43">
        <v>208</v>
      </c>
      <c r="B1425" s="43" t="s">
        <v>68</v>
      </c>
      <c r="C1425" s="43" t="s">
        <v>1457</v>
      </c>
      <c r="D1425" s="43" t="s">
        <v>1458</v>
      </c>
      <c r="E1425" s="43" t="s">
        <v>273</v>
      </c>
      <c r="F1425" s="43">
        <v>1</v>
      </c>
      <c r="G1425"/>
      <c r="H1425"/>
    </row>
    <row r="1426" spans="1:8" hidden="1" x14ac:dyDescent="0.25">
      <c r="A1426" s="43">
        <v>208</v>
      </c>
      <c r="B1426" s="43" t="s">
        <v>68</v>
      </c>
      <c r="C1426" s="43" t="s">
        <v>1457</v>
      </c>
      <c r="D1426" s="43" t="s">
        <v>1461</v>
      </c>
      <c r="E1426" s="43" t="s">
        <v>1462</v>
      </c>
      <c r="F1426" s="43">
        <v>1</v>
      </c>
      <c r="G1426"/>
      <c r="H1426"/>
    </row>
    <row r="1427" spans="1:8" hidden="1" x14ac:dyDescent="0.25">
      <c r="A1427" s="43">
        <v>208</v>
      </c>
      <c r="B1427" s="43" t="s">
        <v>68</v>
      </c>
      <c r="C1427" s="43" t="s">
        <v>1457</v>
      </c>
      <c r="D1427" s="43" t="s">
        <v>1463</v>
      </c>
      <c r="E1427" s="43" t="s">
        <v>1464</v>
      </c>
      <c r="F1427" s="43">
        <v>0</v>
      </c>
      <c r="G1427" s="43" t="s">
        <v>4583</v>
      </c>
      <c r="H1427"/>
    </row>
    <row r="1428" spans="1:8" hidden="1" x14ac:dyDescent="0.25">
      <c r="A1428" s="43">
        <v>208</v>
      </c>
      <c r="B1428" s="43" t="s">
        <v>68</v>
      </c>
      <c r="C1428" s="43" t="s">
        <v>1457</v>
      </c>
      <c r="D1428" s="43" t="s">
        <v>1465</v>
      </c>
      <c r="E1428" s="43" t="s">
        <v>347</v>
      </c>
      <c r="F1428" s="43">
        <v>0</v>
      </c>
      <c r="G1428" s="43" t="s">
        <v>4583</v>
      </c>
      <c r="H1428"/>
    </row>
    <row r="1429" spans="1:8" hidden="1" x14ac:dyDescent="0.25">
      <c r="A1429" s="43">
        <v>208</v>
      </c>
      <c r="B1429" s="43" t="s">
        <v>68</v>
      </c>
      <c r="C1429" s="43" t="s">
        <v>1457</v>
      </c>
      <c r="D1429" s="43" t="s">
        <v>1470</v>
      </c>
      <c r="E1429" s="43" t="s">
        <v>1471</v>
      </c>
      <c r="F1429" s="43">
        <v>0</v>
      </c>
      <c r="G1429" s="43" t="s">
        <v>4583</v>
      </c>
      <c r="H1429"/>
    </row>
    <row r="1430" spans="1:8" hidden="1" x14ac:dyDescent="0.25">
      <c r="A1430" s="43">
        <v>208</v>
      </c>
      <c r="B1430" s="43" t="s">
        <v>68</v>
      </c>
      <c r="C1430" s="43" t="s">
        <v>1457</v>
      </c>
      <c r="D1430" s="43" t="s">
        <v>1472</v>
      </c>
      <c r="E1430" s="43" t="s">
        <v>391</v>
      </c>
      <c r="F1430" s="43">
        <v>1</v>
      </c>
      <c r="G1430"/>
      <c r="H1430"/>
    </row>
    <row r="1431" spans="1:8" hidden="1" x14ac:dyDescent="0.25">
      <c r="A1431" s="43">
        <v>208</v>
      </c>
      <c r="B1431" s="43" t="s">
        <v>68</v>
      </c>
      <c r="C1431" s="43" t="s">
        <v>1457</v>
      </c>
      <c r="D1431" s="43" t="s">
        <v>1473</v>
      </c>
      <c r="E1431" s="43" t="s">
        <v>956</v>
      </c>
      <c r="F1431" s="43">
        <v>1</v>
      </c>
      <c r="G1431"/>
      <c r="H1431"/>
    </row>
    <row r="1432" spans="1:8" hidden="1" x14ac:dyDescent="0.25">
      <c r="A1432" s="43">
        <v>208</v>
      </c>
      <c r="B1432" s="43" t="s">
        <v>68</v>
      </c>
      <c r="C1432" s="43" t="s">
        <v>1457</v>
      </c>
      <c r="D1432" s="43" t="s">
        <v>1466</v>
      </c>
      <c r="E1432" s="43" t="s">
        <v>1467</v>
      </c>
      <c r="F1432" s="43">
        <v>1</v>
      </c>
      <c r="G1432"/>
      <c r="H1432"/>
    </row>
    <row r="1433" spans="1:8" hidden="1" x14ac:dyDescent="0.25">
      <c r="A1433" s="43">
        <v>208</v>
      </c>
      <c r="B1433" s="43" t="s">
        <v>68</v>
      </c>
      <c r="C1433" s="43" t="s">
        <v>1457</v>
      </c>
      <c r="D1433" s="43" t="s">
        <v>1468</v>
      </c>
      <c r="E1433" s="43" t="s">
        <v>1469</v>
      </c>
      <c r="F1433" s="43">
        <v>0</v>
      </c>
      <c r="G1433" s="43" t="s">
        <v>4583</v>
      </c>
      <c r="H1433"/>
    </row>
    <row r="1434" spans="1:8" hidden="1" x14ac:dyDescent="0.25">
      <c r="A1434" s="43">
        <v>208</v>
      </c>
      <c r="B1434" s="43" t="s">
        <v>68</v>
      </c>
      <c r="C1434" s="43" t="s">
        <v>1169</v>
      </c>
      <c r="D1434" s="43" t="s">
        <v>1186</v>
      </c>
      <c r="E1434" s="43" t="s">
        <v>1187</v>
      </c>
      <c r="F1434" s="43">
        <v>0</v>
      </c>
      <c r="G1434" s="43" t="s">
        <v>4583</v>
      </c>
      <c r="H1434"/>
    </row>
    <row r="1435" spans="1:8" hidden="1" x14ac:dyDescent="0.25">
      <c r="A1435" s="43">
        <v>208</v>
      </c>
      <c r="B1435" s="43" t="s">
        <v>68</v>
      </c>
      <c r="C1435" s="43" t="s">
        <v>1169</v>
      </c>
      <c r="D1435" s="43" t="s">
        <v>1188</v>
      </c>
      <c r="E1435" s="43" t="s">
        <v>1189</v>
      </c>
      <c r="F1435" s="43">
        <v>0</v>
      </c>
      <c r="G1435" s="43" t="s">
        <v>4583</v>
      </c>
      <c r="H1435"/>
    </row>
    <row r="1436" spans="1:8" hidden="1" x14ac:dyDescent="0.25">
      <c r="A1436" s="43">
        <v>208</v>
      </c>
      <c r="B1436" s="43" t="s">
        <v>68</v>
      </c>
      <c r="C1436" s="43" t="s">
        <v>1169</v>
      </c>
      <c r="D1436" s="43" t="s">
        <v>1190</v>
      </c>
      <c r="E1436" s="43" t="s">
        <v>1191</v>
      </c>
      <c r="F1436" s="43">
        <v>0</v>
      </c>
      <c r="G1436" s="43" t="s">
        <v>4583</v>
      </c>
      <c r="H1436"/>
    </row>
    <row r="1437" spans="1:8" hidden="1" x14ac:dyDescent="0.25">
      <c r="A1437" s="43">
        <v>208</v>
      </c>
      <c r="B1437" s="43" t="s">
        <v>68</v>
      </c>
      <c r="C1437" s="43" t="s">
        <v>1169</v>
      </c>
      <c r="D1437" s="43" t="s">
        <v>1178</v>
      </c>
      <c r="E1437" s="43" t="s">
        <v>1179</v>
      </c>
      <c r="F1437" s="43">
        <v>1</v>
      </c>
      <c r="G1437"/>
      <c r="H1437"/>
    </row>
    <row r="1438" spans="1:8" hidden="1" x14ac:dyDescent="0.25">
      <c r="A1438" s="43">
        <v>208</v>
      </c>
      <c r="B1438" s="43" t="s">
        <v>68</v>
      </c>
      <c r="C1438" s="43" t="s">
        <v>1169</v>
      </c>
      <c r="D1438" s="43" t="s">
        <v>1180</v>
      </c>
      <c r="E1438" s="43" t="s">
        <v>1181</v>
      </c>
      <c r="F1438" s="43">
        <v>0</v>
      </c>
      <c r="G1438" s="43" t="s">
        <v>4583</v>
      </c>
      <c r="H1438"/>
    </row>
    <row r="1439" spans="1:8" hidden="1" x14ac:dyDescent="0.25">
      <c r="A1439" s="43">
        <v>208</v>
      </c>
      <c r="B1439" s="43" t="s">
        <v>68</v>
      </c>
      <c r="C1439" s="43" t="s">
        <v>1169</v>
      </c>
      <c r="D1439" s="43" t="s">
        <v>1182</v>
      </c>
      <c r="E1439" s="43" t="s">
        <v>1183</v>
      </c>
      <c r="F1439" s="43">
        <v>0</v>
      </c>
      <c r="G1439" s="43" t="s">
        <v>4583</v>
      </c>
      <c r="H1439"/>
    </row>
    <row r="1440" spans="1:8" hidden="1" x14ac:dyDescent="0.25">
      <c r="A1440" s="43">
        <v>208</v>
      </c>
      <c r="B1440" s="43" t="s">
        <v>68</v>
      </c>
      <c r="C1440" s="43" t="s">
        <v>1169</v>
      </c>
      <c r="D1440" s="43" t="s">
        <v>1184</v>
      </c>
      <c r="E1440" s="43" t="s">
        <v>1185</v>
      </c>
      <c r="F1440" s="43">
        <v>1</v>
      </c>
      <c r="G1440"/>
      <c r="H1440"/>
    </row>
    <row r="1441" spans="1:8" hidden="1" x14ac:dyDescent="0.25">
      <c r="A1441" s="43">
        <v>208</v>
      </c>
      <c r="B1441" s="43" t="s">
        <v>68</v>
      </c>
      <c r="C1441" s="43" t="s">
        <v>1169</v>
      </c>
      <c r="D1441" s="43" t="s">
        <v>1192</v>
      </c>
      <c r="E1441" s="43" t="s">
        <v>1193</v>
      </c>
      <c r="F1441" s="43">
        <v>0</v>
      </c>
      <c r="G1441" s="43" t="s">
        <v>4583</v>
      </c>
      <c r="H1441"/>
    </row>
    <row r="1442" spans="1:8" hidden="1" x14ac:dyDescent="0.25">
      <c r="A1442" s="43">
        <v>208</v>
      </c>
      <c r="B1442" s="43" t="s">
        <v>68</v>
      </c>
      <c r="C1442" s="43" t="s">
        <v>1169</v>
      </c>
      <c r="D1442" s="43" t="s">
        <v>1194</v>
      </c>
      <c r="E1442" s="43" t="s">
        <v>1195</v>
      </c>
      <c r="F1442" s="43">
        <v>0</v>
      </c>
      <c r="G1442" s="43" t="s">
        <v>4583</v>
      </c>
      <c r="H1442"/>
    </row>
    <row r="1443" spans="1:8" hidden="1" x14ac:dyDescent="0.25">
      <c r="A1443" s="43">
        <v>208</v>
      </c>
      <c r="B1443" s="43" t="s">
        <v>68</v>
      </c>
      <c r="C1443" s="43" t="s">
        <v>1169</v>
      </c>
      <c r="D1443" s="43" t="s">
        <v>1196</v>
      </c>
      <c r="E1443" s="43" t="s">
        <v>1197</v>
      </c>
      <c r="F1443" s="43">
        <v>1</v>
      </c>
      <c r="G1443"/>
      <c r="H1443"/>
    </row>
    <row r="1444" spans="1:8" hidden="1" x14ac:dyDescent="0.25">
      <c r="A1444" s="43">
        <v>208</v>
      </c>
      <c r="B1444" s="43" t="s">
        <v>68</v>
      </c>
      <c r="C1444" s="43" t="s">
        <v>1169</v>
      </c>
      <c r="D1444" s="43" t="s">
        <v>1170</v>
      </c>
      <c r="E1444" s="43" t="s">
        <v>1171</v>
      </c>
      <c r="F1444" s="43">
        <v>0</v>
      </c>
      <c r="G1444" s="43" t="s">
        <v>4583</v>
      </c>
      <c r="H1444"/>
    </row>
    <row r="1445" spans="1:8" hidden="1" x14ac:dyDescent="0.25">
      <c r="A1445" s="43">
        <v>208</v>
      </c>
      <c r="B1445" s="43" t="s">
        <v>68</v>
      </c>
      <c r="C1445" s="43" t="s">
        <v>1169</v>
      </c>
      <c r="D1445" s="43" t="s">
        <v>1172</v>
      </c>
      <c r="E1445" s="43" t="s">
        <v>1173</v>
      </c>
      <c r="F1445" s="43">
        <v>0</v>
      </c>
      <c r="G1445" s="43" t="s">
        <v>4583</v>
      </c>
      <c r="H1445"/>
    </row>
    <row r="1446" spans="1:8" hidden="1" x14ac:dyDescent="0.25">
      <c r="A1446" s="43">
        <v>208</v>
      </c>
      <c r="B1446" s="43" t="s">
        <v>68</v>
      </c>
      <c r="C1446" s="43" t="s">
        <v>1169</v>
      </c>
      <c r="D1446" s="43" t="s">
        <v>1174</v>
      </c>
      <c r="E1446" s="43" t="s">
        <v>1175</v>
      </c>
      <c r="F1446" s="43">
        <v>1</v>
      </c>
      <c r="G1446"/>
      <c r="H1446"/>
    </row>
    <row r="1447" spans="1:8" hidden="1" x14ac:dyDescent="0.25">
      <c r="A1447" s="43">
        <v>208</v>
      </c>
      <c r="B1447" s="43" t="s">
        <v>68</v>
      </c>
      <c r="C1447" s="43" t="s">
        <v>1169</v>
      </c>
      <c r="D1447" s="43" t="s">
        <v>1176</v>
      </c>
      <c r="E1447" s="43" t="s">
        <v>1177</v>
      </c>
      <c r="F1447" s="43">
        <v>0</v>
      </c>
      <c r="G1447" s="43" t="s">
        <v>4583</v>
      </c>
      <c r="H1447"/>
    </row>
    <row r="1448" spans="1:8" hidden="1" x14ac:dyDescent="0.25">
      <c r="A1448" s="43">
        <v>209</v>
      </c>
      <c r="B1448" s="43" t="s">
        <v>69</v>
      </c>
      <c r="C1448" s="43" t="s">
        <v>1685</v>
      </c>
      <c r="D1448" s="43" t="s">
        <v>1709</v>
      </c>
      <c r="E1448" s="43" t="s">
        <v>1710</v>
      </c>
      <c r="F1448" s="43">
        <v>1</v>
      </c>
      <c r="G1448"/>
      <c r="H1448"/>
    </row>
    <row r="1449" spans="1:8" hidden="1" x14ac:dyDescent="0.25">
      <c r="A1449" s="43">
        <v>209</v>
      </c>
      <c r="B1449" s="43" t="s">
        <v>69</v>
      </c>
      <c r="C1449" s="43" t="s">
        <v>1685</v>
      </c>
      <c r="D1449" s="43" t="s">
        <v>1711</v>
      </c>
      <c r="E1449" s="43" t="s">
        <v>1124</v>
      </c>
      <c r="F1449" s="43">
        <v>1</v>
      </c>
      <c r="G1449"/>
      <c r="H1449"/>
    </row>
    <row r="1450" spans="1:8" hidden="1" x14ac:dyDescent="0.25">
      <c r="A1450" s="43">
        <v>209</v>
      </c>
      <c r="B1450" s="43" t="s">
        <v>69</v>
      </c>
      <c r="C1450" s="43" t="s">
        <v>1685</v>
      </c>
      <c r="D1450" s="43" t="s">
        <v>1686</v>
      </c>
      <c r="E1450" s="43" t="s">
        <v>1687</v>
      </c>
      <c r="F1450" s="43">
        <v>0</v>
      </c>
      <c r="G1450" s="43" t="s">
        <v>4583</v>
      </c>
      <c r="H1450"/>
    </row>
    <row r="1451" spans="1:8" hidden="1" x14ac:dyDescent="0.25">
      <c r="A1451" s="43">
        <v>209</v>
      </c>
      <c r="B1451" s="43" t="s">
        <v>69</v>
      </c>
      <c r="C1451" s="43" t="s">
        <v>1685</v>
      </c>
      <c r="D1451" s="43" t="s">
        <v>1688</v>
      </c>
      <c r="E1451" s="43" t="s">
        <v>1689</v>
      </c>
      <c r="F1451" s="43">
        <v>1</v>
      </c>
      <c r="G1451"/>
      <c r="H1451"/>
    </row>
    <row r="1452" spans="1:8" hidden="1" x14ac:dyDescent="0.25">
      <c r="A1452" s="43">
        <v>209</v>
      </c>
      <c r="B1452" s="43" t="s">
        <v>69</v>
      </c>
      <c r="C1452" s="43" t="s">
        <v>1685</v>
      </c>
      <c r="D1452" s="43" t="s">
        <v>1690</v>
      </c>
      <c r="E1452" s="43" t="s">
        <v>1691</v>
      </c>
      <c r="F1452" s="43">
        <v>1</v>
      </c>
      <c r="G1452"/>
      <c r="H1452"/>
    </row>
    <row r="1453" spans="1:8" hidden="1" x14ac:dyDescent="0.25">
      <c r="A1453" s="43">
        <v>209</v>
      </c>
      <c r="B1453" s="43" t="s">
        <v>69</v>
      </c>
      <c r="C1453" s="43" t="s">
        <v>1685</v>
      </c>
      <c r="D1453" s="43" t="s">
        <v>1692</v>
      </c>
      <c r="E1453" s="43" t="s">
        <v>1693</v>
      </c>
      <c r="F1453" s="43">
        <v>1</v>
      </c>
      <c r="G1453"/>
      <c r="H1453"/>
    </row>
    <row r="1454" spans="1:8" hidden="1" x14ac:dyDescent="0.25">
      <c r="A1454" s="43">
        <v>209</v>
      </c>
      <c r="B1454" s="43" t="s">
        <v>69</v>
      </c>
      <c r="C1454" s="43" t="s">
        <v>1685</v>
      </c>
      <c r="D1454" s="43" t="s">
        <v>1694</v>
      </c>
      <c r="E1454" s="43" t="s">
        <v>1695</v>
      </c>
      <c r="F1454" s="43">
        <v>1</v>
      </c>
      <c r="G1454"/>
      <c r="H1454"/>
    </row>
    <row r="1455" spans="1:8" hidden="1" x14ac:dyDescent="0.25">
      <c r="A1455" s="43">
        <v>209</v>
      </c>
      <c r="B1455" s="43" t="s">
        <v>69</v>
      </c>
      <c r="C1455" s="43" t="s">
        <v>1685</v>
      </c>
      <c r="D1455" s="43" t="s">
        <v>1703</v>
      </c>
      <c r="E1455" s="43" t="s">
        <v>1704</v>
      </c>
      <c r="F1455" s="43">
        <v>0</v>
      </c>
      <c r="G1455" s="43" t="s">
        <v>4583</v>
      </c>
      <c r="H1455"/>
    </row>
    <row r="1456" spans="1:8" hidden="1" x14ac:dyDescent="0.25">
      <c r="A1456" s="43">
        <v>209</v>
      </c>
      <c r="B1456" s="43" t="s">
        <v>69</v>
      </c>
      <c r="C1456" s="43" t="s">
        <v>1685</v>
      </c>
      <c r="D1456" s="43" t="s">
        <v>1705</v>
      </c>
      <c r="E1456" s="43" t="s">
        <v>1706</v>
      </c>
      <c r="F1456" s="43">
        <v>1</v>
      </c>
      <c r="G1456"/>
      <c r="H1456"/>
    </row>
    <row r="1457" spans="1:8" hidden="1" x14ac:dyDescent="0.25">
      <c r="A1457" s="43">
        <v>209</v>
      </c>
      <c r="B1457" s="43" t="s">
        <v>69</v>
      </c>
      <c r="C1457" s="43" t="s">
        <v>1685</v>
      </c>
      <c r="D1457" s="43" t="s">
        <v>1707</v>
      </c>
      <c r="E1457" s="43" t="s">
        <v>1708</v>
      </c>
      <c r="F1457" s="43">
        <v>0</v>
      </c>
      <c r="G1457" s="43" t="s">
        <v>4583</v>
      </c>
      <c r="H1457"/>
    </row>
    <row r="1458" spans="1:8" hidden="1" x14ac:dyDescent="0.25">
      <c r="A1458" s="43">
        <v>209</v>
      </c>
      <c r="B1458" s="43" t="s">
        <v>69</v>
      </c>
      <c r="C1458" s="43" t="s">
        <v>1685</v>
      </c>
      <c r="D1458" s="43" t="s">
        <v>1696</v>
      </c>
      <c r="E1458" s="43" t="s">
        <v>1697</v>
      </c>
      <c r="F1458" s="43">
        <v>1</v>
      </c>
      <c r="G1458"/>
      <c r="H1458"/>
    </row>
    <row r="1459" spans="1:8" hidden="1" x14ac:dyDescent="0.25">
      <c r="A1459" s="43">
        <v>209</v>
      </c>
      <c r="B1459" s="43" t="s">
        <v>69</v>
      </c>
      <c r="C1459" s="43" t="s">
        <v>1685</v>
      </c>
      <c r="D1459" s="43" t="s">
        <v>1698</v>
      </c>
      <c r="E1459" s="43" t="s">
        <v>1699</v>
      </c>
      <c r="F1459" s="43">
        <v>1</v>
      </c>
      <c r="G1459"/>
      <c r="H1459"/>
    </row>
    <row r="1460" spans="1:8" hidden="1" x14ac:dyDescent="0.25">
      <c r="A1460" s="43">
        <v>209</v>
      </c>
      <c r="B1460" s="43" t="s">
        <v>69</v>
      </c>
      <c r="C1460" s="43" t="s">
        <v>1685</v>
      </c>
      <c r="D1460" s="43" t="s">
        <v>1700</v>
      </c>
      <c r="E1460" s="43" t="s">
        <v>1701</v>
      </c>
      <c r="F1460" s="43">
        <v>1</v>
      </c>
      <c r="G1460"/>
      <c r="H1460"/>
    </row>
    <row r="1461" spans="1:8" hidden="1" x14ac:dyDescent="0.25">
      <c r="A1461" s="43">
        <v>209</v>
      </c>
      <c r="B1461" s="43" t="s">
        <v>69</v>
      </c>
      <c r="C1461" s="43" t="s">
        <v>1685</v>
      </c>
      <c r="D1461" s="43" t="s">
        <v>1702</v>
      </c>
      <c r="E1461" s="43" t="s">
        <v>314</v>
      </c>
      <c r="F1461" s="43">
        <v>1</v>
      </c>
      <c r="G1461"/>
      <c r="H1461"/>
    </row>
    <row r="1462" spans="1:8" hidden="1" x14ac:dyDescent="0.25">
      <c r="A1462" s="43">
        <v>209</v>
      </c>
      <c r="B1462" s="43" t="s">
        <v>69</v>
      </c>
      <c r="C1462" s="43" t="s">
        <v>1198</v>
      </c>
      <c r="D1462" s="43" t="s">
        <v>1202</v>
      </c>
      <c r="E1462" s="43" t="s">
        <v>786</v>
      </c>
      <c r="F1462" s="43">
        <v>0</v>
      </c>
      <c r="G1462" s="43" t="s">
        <v>4583</v>
      </c>
      <c r="H1462"/>
    </row>
    <row r="1463" spans="1:8" hidden="1" x14ac:dyDescent="0.25">
      <c r="A1463" s="43">
        <v>209</v>
      </c>
      <c r="B1463" s="43" t="s">
        <v>69</v>
      </c>
      <c r="C1463" s="43" t="s">
        <v>1198</v>
      </c>
      <c r="D1463" s="43" t="s">
        <v>1203</v>
      </c>
      <c r="E1463" s="43" t="s">
        <v>784</v>
      </c>
      <c r="F1463" s="43">
        <v>0</v>
      </c>
      <c r="G1463" s="43" t="s">
        <v>4583</v>
      </c>
      <c r="H1463"/>
    </row>
    <row r="1464" spans="1:8" hidden="1" x14ac:dyDescent="0.25">
      <c r="A1464" s="43">
        <v>209</v>
      </c>
      <c r="B1464" s="43" t="s">
        <v>69</v>
      </c>
      <c r="C1464" s="43" t="s">
        <v>1198</v>
      </c>
      <c r="D1464" s="43" t="s">
        <v>1204</v>
      </c>
      <c r="E1464" s="43" t="s">
        <v>1205</v>
      </c>
      <c r="F1464" s="43">
        <v>0</v>
      </c>
      <c r="G1464" s="43" t="s">
        <v>4583</v>
      </c>
      <c r="H1464"/>
    </row>
    <row r="1465" spans="1:8" hidden="1" x14ac:dyDescent="0.25">
      <c r="A1465" s="43">
        <v>209</v>
      </c>
      <c r="B1465" s="43" t="s">
        <v>69</v>
      </c>
      <c r="C1465" s="43" t="s">
        <v>1198</v>
      </c>
      <c r="D1465" s="43" t="s">
        <v>1206</v>
      </c>
      <c r="E1465" s="43" t="s">
        <v>1207</v>
      </c>
      <c r="F1465" s="43">
        <v>0</v>
      </c>
      <c r="G1465" s="43" t="s">
        <v>4583</v>
      </c>
      <c r="H1465"/>
    </row>
    <row r="1466" spans="1:8" hidden="1" x14ac:dyDescent="0.25">
      <c r="A1466" s="43">
        <v>209</v>
      </c>
      <c r="B1466" s="43" t="s">
        <v>69</v>
      </c>
      <c r="C1466" s="43" t="s">
        <v>1198</v>
      </c>
      <c r="D1466" s="43" t="s">
        <v>1208</v>
      </c>
      <c r="E1466" s="43" t="s">
        <v>1209</v>
      </c>
      <c r="F1466" s="43">
        <v>0</v>
      </c>
      <c r="G1466" s="43" t="s">
        <v>4583</v>
      </c>
      <c r="H1466"/>
    </row>
    <row r="1467" spans="1:8" hidden="1" x14ac:dyDescent="0.25">
      <c r="A1467" s="43">
        <v>209</v>
      </c>
      <c r="B1467" s="43" t="s">
        <v>69</v>
      </c>
      <c r="C1467" s="43" t="s">
        <v>1198</v>
      </c>
      <c r="D1467" s="43" t="s">
        <v>1210</v>
      </c>
      <c r="E1467" s="43" t="s">
        <v>1211</v>
      </c>
      <c r="F1467" s="43">
        <v>0</v>
      </c>
      <c r="G1467" s="43" t="s">
        <v>4583</v>
      </c>
      <c r="H1467"/>
    </row>
    <row r="1468" spans="1:8" hidden="1" x14ac:dyDescent="0.25">
      <c r="A1468" s="43">
        <v>209</v>
      </c>
      <c r="B1468" s="43" t="s">
        <v>69</v>
      </c>
      <c r="C1468" s="43" t="s">
        <v>1198</v>
      </c>
      <c r="D1468" s="43" t="s">
        <v>1212</v>
      </c>
      <c r="E1468" s="43" t="s">
        <v>789</v>
      </c>
      <c r="F1468" s="43">
        <v>0</v>
      </c>
      <c r="G1468" s="43" t="s">
        <v>4583</v>
      </c>
      <c r="H1468"/>
    </row>
    <row r="1469" spans="1:8" hidden="1" x14ac:dyDescent="0.25">
      <c r="A1469" s="43">
        <v>209</v>
      </c>
      <c r="B1469" s="43" t="s">
        <v>69</v>
      </c>
      <c r="C1469" s="43" t="s">
        <v>1198</v>
      </c>
      <c r="D1469" s="43" t="s">
        <v>1213</v>
      </c>
      <c r="E1469" s="43" t="s">
        <v>1214</v>
      </c>
      <c r="F1469" s="43">
        <v>0</v>
      </c>
      <c r="G1469" s="43" t="s">
        <v>4583</v>
      </c>
      <c r="H1469"/>
    </row>
    <row r="1470" spans="1:8" hidden="1" x14ac:dyDescent="0.25">
      <c r="A1470" s="43">
        <v>209</v>
      </c>
      <c r="B1470" s="43" t="s">
        <v>69</v>
      </c>
      <c r="C1470" s="43" t="s">
        <v>1198</v>
      </c>
      <c r="D1470" s="43" t="s">
        <v>1215</v>
      </c>
      <c r="E1470" s="43" t="s">
        <v>1216</v>
      </c>
      <c r="F1470" s="43">
        <v>0</v>
      </c>
      <c r="G1470" s="43" t="s">
        <v>4583</v>
      </c>
      <c r="H1470"/>
    </row>
    <row r="1471" spans="1:8" hidden="1" x14ac:dyDescent="0.25">
      <c r="A1471" s="43">
        <v>209</v>
      </c>
      <c r="B1471" s="43" t="s">
        <v>69</v>
      </c>
      <c r="C1471" s="43" t="s">
        <v>1198</v>
      </c>
      <c r="D1471" s="43" t="s">
        <v>1217</v>
      </c>
      <c r="E1471" s="43" t="s">
        <v>791</v>
      </c>
      <c r="F1471" s="43">
        <v>0</v>
      </c>
      <c r="G1471" s="43" t="s">
        <v>4583</v>
      </c>
      <c r="H1471"/>
    </row>
    <row r="1472" spans="1:8" hidden="1" x14ac:dyDescent="0.25">
      <c r="A1472" s="43">
        <v>209</v>
      </c>
      <c r="B1472" s="43" t="s">
        <v>69</v>
      </c>
      <c r="C1472" s="43" t="s">
        <v>1198</v>
      </c>
      <c r="D1472" s="43" t="s">
        <v>1218</v>
      </c>
      <c r="E1472" s="43" t="s">
        <v>795</v>
      </c>
      <c r="F1472" s="43">
        <v>0</v>
      </c>
      <c r="G1472" s="43" t="s">
        <v>4583</v>
      </c>
      <c r="H1472"/>
    </row>
    <row r="1473" spans="1:8" hidden="1" x14ac:dyDescent="0.25">
      <c r="A1473" s="43">
        <v>209</v>
      </c>
      <c r="B1473" s="43" t="s">
        <v>69</v>
      </c>
      <c r="C1473" s="43" t="s">
        <v>1198</v>
      </c>
      <c r="D1473" s="43" t="s">
        <v>1199</v>
      </c>
      <c r="E1473" s="43" t="s">
        <v>273</v>
      </c>
      <c r="F1473" s="43">
        <v>1</v>
      </c>
      <c r="G1473"/>
      <c r="H1473"/>
    </row>
    <row r="1474" spans="1:8" hidden="1" x14ac:dyDescent="0.25">
      <c r="A1474" s="43">
        <v>209</v>
      </c>
      <c r="B1474" s="43" t="s">
        <v>69</v>
      </c>
      <c r="C1474" s="43" t="s">
        <v>1198</v>
      </c>
      <c r="D1474" s="43" t="s">
        <v>1200</v>
      </c>
      <c r="E1474" s="43" t="s">
        <v>312</v>
      </c>
      <c r="F1474" s="43">
        <v>1</v>
      </c>
      <c r="G1474"/>
      <c r="H1474"/>
    </row>
    <row r="1475" spans="1:8" hidden="1" x14ac:dyDescent="0.25">
      <c r="A1475" s="43">
        <v>209</v>
      </c>
      <c r="B1475" s="43" t="s">
        <v>69</v>
      </c>
      <c r="C1475" s="43" t="s">
        <v>1198</v>
      </c>
      <c r="D1475" s="43" t="s">
        <v>1201</v>
      </c>
      <c r="E1475" s="43" t="s">
        <v>801</v>
      </c>
      <c r="F1475" s="43">
        <v>1</v>
      </c>
      <c r="G1475"/>
      <c r="H1475"/>
    </row>
    <row r="1476" spans="1:8" hidden="1" x14ac:dyDescent="0.25">
      <c r="A1476" s="43">
        <v>209</v>
      </c>
      <c r="B1476" s="43" t="s">
        <v>69</v>
      </c>
      <c r="C1476" s="43" t="s">
        <v>1198</v>
      </c>
      <c r="D1476" s="43" t="s">
        <v>1219</v>
      </c>
      <c r="E1476" s="43" t="s">
        <v>372</v>
      </c>
      <c r="F1476" s="43">
        <v>0</v>
      </c>
      <c r="G1476" s="43" t="s">
        <v>4583</v>
      </c>
      <c r="H1476"/>
    </row>
    <row r="1477" spans="1:8" hidden="1" x14ac:dyDescent="0.25">
      <c r="A1477" s="43">
        <v>213</v>
      </c>
      <c r="B1477" s="43" t="s">
        <v>70</v>
      </c>
      <c r="C1477" s="43" t="s">
        <v>1366</v>
      </c>
      <c r="D1477" s="43" t="s">
        <v>1367</v>
      </c>
      <c r="E1477" s="43" t="s">
        <v>1368</v>
      </c>
      <c r="F1477" s="43">
        <v>0</v>
      </c>
      <c r="G1477" s="43" t="s">
        <v>4583</v>
      </c>
      <c r="H1477"/>
    </row>
    <row r="1478" spans="1:8" hidden="1" x14ac:dyDescent="0.25">
      <c r="A1478" s="43">
        <v>213</v>
      </c>
      <c r="B1478" s="43" t="s">
        <v>70</v>
      </c>
      <c r="C1478" s="43" t="s">
        <v>1366</v>
      </c>
      <c r="D1478" s="43" t="s">
        <v>1369</v>
      </c>
      <c r="E1478" s="43" t="s">
        <v>1370</v>
      </c>
      <c r="F1478" s="43">
        <v>0</v>
      </c>
      <c r="G1478" s="43" t="s">
        <v>4583</v>
      </c>
      <c r="H1478"/>
    </row>
    <row r="1479" spans="1:8" hidden="1" x14ac:dyDescent="0.25">
      <c r="A1479" s="43">
        <v>213</v>
      </c>
      <c r="B1479" s="43" t="s">
        <v>70</v>
      </c>
      <c r="C1479" s="43" t="s">
        <v>1366</v>
      </c>
      <c r="D1479" s="43" t="s">
        <v>1377</v>
      </c>
      <c r="E1479" s="43" t="s">
        <v>875</v>
      </c>
      <c r="F1479" s="43">
        <v>1</v>
      </c>
      <c r="G1479"/>
      <c r="H1479"/>
    </row>
    <row r="1480" spans="1:8" hidden="1" x14ac:dyDescent="0.25">
      <c r="A1480" s="43">
        <v>213</v>
      </c>
      <c r="B1480" s="43" t="s">
        <v>70</v>
      </c>
      <c r="C1480" s="43" t="s">
        <v>1366</v>
      </c>
      <c r="D1480" s="43" t="s">
        <v>1389</v>
      </c>
      <c r="E1480" s="43" t="s">
        <v>551</v>
      </c>
      <c r="F1480" s="43">
        <v>1</v>
      </c>
      <c r="G1480"/>
      <c r="H1480"/>
    </row>
    <row r="1481" spans="1:8" hidden="1" x14ac:dyDescent="0.25">
      <c r="A1481" s="43">
        <v>213</v>
      </c>
      <c r="B1481" s="43" t="s">
        <v>70</v>
      </c>
      <c r="C1481" s="43" t="s">
        <v>1366</v>
      </c>
      <c r="D1481" s="43" t="s">
        <v>1388</v>
      </c>
      <c r="E1481" s="43" t="s">
        <v>539</v>
      </c>
      <c r="F1481" s="43">
        <v>1</v>
      </c>
      <c r="G1481"/>
      <c r="H1481"/>
    </row>
    <row r="1482" spans="1:8" hidden="1" x14ac:dyDescent="0.25">
      <c r="A1482" s="43">
        <v>213</v>
      </c>
      <c r="B1482" s="43" t="s">
        <v>70</v>
      </c>
      <c r="C1482" s="43" t="s">
        <v>1366</v>
      </c>
      <c r="D1482" s="43" t="s">
        <v>1378</v>
      </c>
      <c r="E1482" s="43" t="s">
        <v>541</v>
      </c>
      <c r="F1482" s="43">
        <v>1</v>
      </c>
      <c r="G1482"/>
      <c r="H1482"/>
    </row>
    <row r="1483" spans="1:8" hidden="1" x14ac:dyDescent="0.25">
      <c r="A1483" s="43">
        <v>213</v>
      </c>
      <c r="B1483" s="43" t="s">
        <v>70</v>
      </c>
      <c r="C1483" s="43" t="s">
        <v>1366</v>
      </c>
      <c r="D1483" s="43" t="s">
        <v>1379</v>
      </c>
      <c r="E1483" s="43" t="s">
        <v>1380</v>
      </c>
      <c r="F1483" s="43">
        <v>0</v>
      </c>
      <c r="G1483" s="43" t="s">
        <v>4583</v>
      </c>
      <c r="H1483"/>
    </row>
    <row r="1484" spans="1:8" hidden="1" x14ac:dyDescent="0.25">
      <c r="A1484" s="43">
        <v>213</v>
      </c>
      <c r="B1484" s="43" t="s">
        <v>70</v>
      </c>
      <c r="C1484" s="43" t="s">
        <v>1366</v>
      </c>
      <c r="D1484" s="43" t="s">
        <v>1381</v>
      </c>
      <c r="E1484" s="43" t="s">
        <v>1382</v>
      </c>
      <c r="F1484" s="43">
        <v>0</v>
      </c>
      <c r="G1484" s="43" t="s">
        <v>4583</v>
      </c>
      <c r="H1484"/>
    </row>
    <row r="1485" spans="1:8" hidden="1" x14ac:dyDescent="0.25">
      <c r="A1485" s="43">
        <v>213</v>
      </c>
      <c r="B1485" s="43" t="s">
        <v>70</v>
      </c>
      <c r="C1485" s="43" t="s">
        <v>1366</v>
      </c>
      <c r="D1485" s="43" t="s">
        <v>1371</v>
      </c>
      <c r="E1485" s="43" t="s">
        <v>283</v>
      </c>
      <c r="F1485" s="43">
        <v>1</v>
      </c>
      <c r="G1485"/>
      <c r="H1485"/>
    </row>
    <row r="1486" spans="1:8" hidden="1" x14ac:dyDescent="0.25">
      <c r="A1486" s="43">
        <v>213</v>
      </c>
      <c r="B1486" s="43" t="s">
        <v>70</v>
      </c>
      <c r="C1486" s="43" t="s">
        <v>1366</v>
      </c>
      <c r="D1486" s="43" t="s">
        <v>1372</v>
      </c>
      <c r="E1486" s="43" t="s">
        <v>4468</v>
      </c>
      <c r="F1486" s="43">
        <v>0</v>
      </c>
      <c r="G1486" s="43" t="s">
        <v>4583</v>
      </c>
      <c r="H1486"/>
    </row>
    <row r="1487" spans="1:8" hidden="1" x14ac:dyDescent="0.25">
      <c r="A1487" s="43">
        <v>213</v>
      </c>
      <c r="B1487" s="43" t="s">
        <v>70</v>
      </c>
      <c r="C1487" s="43" t="s">
        <v>1366</v>
      </c>
      <c r="D1487" s="43" t="s">
        <v>1374</v>
      </c>
      <c r="E1487" s="43" t="s">
        <v>1375</v>
      </c>
      <c r="F1487" s="43">
        <v>0</v>
      </c>
      <c r="G1487" s="43" t="s">
        <v>4583</v>
      </c>
      <c r="H1487"/>
    </row>
    <row r="1488" spans="1:8" hidden="1" x14ac:dyDescent="0.25">
      <c r="A1488" s="43">
        <v>213</v>
      </c>
      <c r="B1488" s="43" t="s">
        <v>70</v>
      </c>
      <c r="C1488" s="43" t="s">
        <v>1366</v>
      </c>
      <c r="D1488" s="43" t="s">
        <v>1376</v>
      </c>
      <c r="E1488" s="43" t="s">
        <v>531</v>
      </c>
      <c r="F1488" s="43">
        <v>1</v>
      </c>
      <c r="G1488"/>
      <c r="H1488"/>
    </row>
    <row r="1489" spans="1:8" hidden="1" x14ac:dyDescent="0.25">
      <c r="A1489" s="43">
        <v>213</v>
      </c>
      <c r="B1489" s="43" t="s">
        <v>70</v>
      </c>
      <c r="C1489" s="43" t="s">
        <v>1366</v>
      </c>
      <c r="D1489" s="43" t="s">
        <v>1383</v>
      </c>
      <c r="E1489" s="43" t="s">
        <v>1384</v>
      </c>
      <c r="F1489" s="43">
        <v>0</v>
      </c>
      <c r="G1489" s="43" t="s">
        <v>4583</v>
      </c>
      <c r="H1489"/>
    </row>
    <row r="1490" spans="1:8" hidden="1" x14ac:dyDescent="0.25">
      <c r="A1490" s="43">
        <v>213</v>
      </c>
      <c r="B1490" s="43" t="s">
        <v>70</v>
      </c>
      <c r="C1490" s="43" t="s">
        <v>1366</v>
      </c>
      <c r="D1490" s="43" t="s">
        <v>1385</v>
      </c>
      <c r="E1490" s="43" t="s">
        <v>1386</v>
      </c>
      <c r="F1490" s="43">
        <v>0</v>
      </c>
      <c r="G1490" s="43" t="s">
        <v>4583</v>
      </c>
      <c r="H1490"/>
    </row>
    <row r="1491" spans="1:8" hidden="1" x14ac:dyDescent="0.25">
      <c r="A1491" s="43">
        <v>213</v>
      </c>
      <c r="B1491" s="43" t="s">
        <v>70</v>
      </c>
      <c r="C1491" s="43" t="s">
        <v>1366</v>
      </c>
      <c r="D1491" s="43" t="s">
        <v>1387</v>
      </c>
      <c r="E1491" s="43" t="s">
        <v>295</v>
      </c>
      <c r="F1491" s="43">
        <v>1</v>
      </c>
      <c r="G1491"/>
      <c r="H1491"/>
    </row>
    <row r="1492" spans="1:8" hidden="1" x14ac:dyDescent="0.25">
      <c r="A1492" s="43">
        <v>214</v>
      </c>
      <c r="B1492" s="43" t="s">
        <v>71</v>
      </c>
      <c r="C1492" s="43" t="s">
        <v>302</v>
      </c>
      <c r="D1492" s="43" t="s">
        <v>309</v>
      </c>
      <c r="E1492" s="43" t="s">
        <v>310</v>
      </c>
      <c r="F1492" s="43">
        <v>1</v>
      </c>
      <c r="G1492"/>
      <c r="H1492"/>
    </row>
    <row r="1493" spans="1:8" x14ac:dyDescent="0.25">
      <c r="A1493" s="43">
        <v>214</v>
      </c>
      <c r="B1493" s="43" t="s">
        <v>71</v>
      </c>
      <c r="C1493" s="43" t="s">
        <v>302</v>
      </c>
      <c r="D1493" s="43" t="s">
        <v>335</v>
      </c>
      <c r="E1493" s="43" t="s">
        <v>326</v>
      </c>
      <c r="F1493" s="43">
        <v>2</v>
      </c>
      <c r="G1493" s="43" t="s">
        <v>4519</v>
      </c>
      <c r="H1493" s="43" t="s">
        <v>4580</v>
      </c>
    </row>
    <row r="1494" spans="1:8" x14ac:dyDescent="0.25">
      <c r="A1494" s="43">
        <v>214</v>
      </c>
      <c r="B1494" s="43" t="s">
        <v>71</v>
      </c>
      <c r="C1494" s="43" t="s">
        <v>302</v>
      </c>
      <c r="D1494" s="43" t="s">
        <v>327</v>
      </c>
      <c r="E1494" s="43" t="s">
        <v>4473</v>
      </c>
      <c r="F1494" s="89">
        <v>2</v>
      </c>
      <c r="G1494" s="43" t="s">
        <v>4614</v>
      </c>
      <c r="H1494" s="43" t="s">
        <v>4580</v>
      </c>
    </row>
    <row r="1495" spans="1:8" x14ac:dyDescent="0.25">
      <c r="A1495" s="43">
        <v>214</v>
      </c>
      <c r="B1495" s="43" t="s">
        <v>71</v>
      </c>
      <c r="C1495" s="43" t="s">
        <v>302</v>
      </c>
      <c r="D1495" s="43" t="s">
        <v>329</v>
      </c>
      <c r="E1495" s="43" t="s">
        <v>330</v>
      </c>
      <c r="F1495" s="43">
        <v>2</v>
      </c>
      <c r="G1495" s="43" t="s">
        <v>4519</v>
      </c>
      <c r="H1495" s="43" t="s">
        <v>4580</v>
      </c>
    </row>
    <row r="1496" spans="1:8" hidden="1" x14ac:dyDescent="0.25">
      <c r="A1496" s="43">
        <v>214</v>
      </c>
      <c r="B1496" s="43" t="s">
        <v>71</v>
      </c>
      <c r="C1496" s="43" t="s">
        <v>302</v>
      </c>
      <c r="D1496" s="43" t="s">
        <v>317</v>
      </c>
      <c r="E1496" s="43" t="s">
        <v>318</v>
      </c>
      <c r="F1496" s="43">
        <v>1</v>
      </c>
      <c r="G1496"/>
      <c r="H1496"/>
    </row>
    <row r="1497" spans="1:8" x14ac:dyDescent="0.25">
      <c r="A1497" s="43">
        <v>214</v>
      </c>
      <c r="B1497" s="43" t="s">
        <v>71</v>
      </c>
      <c r="C1497" s="43" t="s">
        <v>302</v>
      </c>
      <c r="D1497" s="43" t="s">
        <v>319</v>
      </c>
      <c r="E1497" s="43" t="s">
        <v>320</v>
      </c>
      <c r="F1497" s="43">
        <v>2</v>
      </c>
      <c r="G1497" s="43" t="s">
        <v>4520</v>
      </c>
      <c r="H1497" s="43" t="s">
        <v>4580</v>
      </c>
    </row>
    <row r="1498" spans="1:8" hidden="1" x14ac:dyDescent="0.25">
      <c r="A1498" s="43">
        <v>214</v>
      </c>
      <c r="B1498" s="43" t="s">
        <v>71</v>
      </c>
      <c r="C1498" s="43" t="s">
        <v>302</v>
      </c>
      <c r="D1498" s="43" t="s">
        <v>321</v>
      </c>
      <c r="E1498" s="43" t="s">
        <v>322</v>
      </c>
      <c r="F1498" s="43">
        <v>0</v>
      </c>
      <c r="G1498" s="43" t="s">
        <v>4613</v>
      </c>
      <c r="H1498" s="43" t="s">
        <v>4761</v>
      </c>
    </row>
    <row r="1499" spans="1:8" x14ac:dyDescent="0.25">
      <c r="A1499" s="43">
        <v>214</v>
      </c>
      <c r="B1499" s="43" t="s">
        <v>71</v>
      </c>
      <c r="C1499" s="43" t="s">
        <v>302</v>
      </c>
      <c r="D1499" s="43" t="s">
        <v>331</v>
      </c>
      <c r="E1499" s="43" t="s">
        <v>332</v>
      </c>
      <c r="F1499" s="43">
        <v>2</v>
      </c>
      <c r="G1499" s="43" t="s">
        <v>4521</v>
      </c>
      <c r="H1499" s="43" t="s">
        <v>4580</v>
      </c>
    </row>
    <row r="1500" spans="1:8" hidden="1" x14ac:dyDescent="0.25">
      <c r="A1500" s="43">
        <v>214</v>
      </c>
      <c r="B1500" s="43" t="s">
        <v>71</v>
      </c>
      <c r="C1500" s="43" t="s">
        <v>302</v>
      </c>
      <c r="D1500" s="43" t="s">
        <v>303</v>
      </c>
      <c r="E1500" s="43" t="s">
        <v>304</v>
      </c>
      <c r="F1500" s="43">
        <v>1</v>
      </c>
      <c r="G1500"/>
      <c r="H1500"/>
    </row>
    <row r="1501" spans="1:8" hidden="1" x14ac:dyDescent="0.25">
      <c r="A1501" s="43">
        <v>214</v>
      </c>
      <c r="B1501" s="43" t="s">
        <v>71</v>
      </c>
      <c r="C1501" s="43" t="s">
        <v>302</v>
      </c>
      <c r="D1501" s="43" t="s">
        <v>305</v>
      </c>
      <c r="E1501" s="43" t="s">
        <v>306</v>
      </c>
      <c r="F1501" s="43">
        <v>1</v>
      </c>
      <c r="G1501"/>
      <c r="H1501"/>
    </row>
    <row r="1502" spans="1:8" hidden="1" x14ac:dyDescent="0.25">
      <c r="A1502" s="43">
        <v>214</v>
      </c>
      <c r="B1502" s="43" t="s">
        <v>71</v>
      </c>
      <c r="C1502" s="43" t="s">
        <v>302</v>
      </c>
      <c r="D1502" s="43" t="s">
        <v>307</v>
      </c>
      <c r="E1502" s="43" t="s">
        <v>308</v>
      </c>
      <c r="F1502" s="43">
        <v>1</v>
      </c>
      <c r="G1502"/>
      <c r="H1502"/>
    </row>
    <row r="1503" spans="1:8" x14ac:dyDescent="0.25">
      <c r="A1503" s="43">
        <v>214</v>
      </c>
      <c r="B1503" s="43" t="s">
        <v>71</v>
      </c>
      <c r="C1503" s="43" t="s">
        <v>302</v>
      </c>
      <c r="D1503" s="43" t="s">
        <v>333</v>
      </c>
      <c r="E1503" s="43" t="s">
        <v>334</v>
      </c>
      <c r="F1503" s="43">
        <v>2</v>
      </c>
      <c r="G1503" s="43" t="s">
        <v>4521</v>
      </c>
      <c r="H1503" s="43" t="s">
        <v>4580</v>
      </c>
    </row>
    <row r="1504" spans="1:8" x14ac:dyDescent="0.25">
      <c r="A1504" s="43">
        <v>214</v>
      </c>
      <c r="B1504" s="43" t="s">
        <v>71</v>
      </c>
      <c r="C1504" s="43" t="s">
        <v>302</v>
      </c>
      <c r="D1504" s="43" t="s">
        <v>325</v>
      </c>
      <c r="E1504" s="43" t="s">
        <v>336</v>
      </c>
      <c r="F1504" s="43">
        <v>2</v>
      </c>
      <c r="G1504" s="43" t="s">
        <v>4522</v>
      </c>
      <c r="H1504" s="43" t="s">
        <v>4580</v>
      </c>
    </row>
    <row r="1505" spans="1:8" hidden="1" x14ac:dyDescent="0.25">
      <c r="A1505" s="43">
        <v>214</v>
      </c>
      <c r="B1505" s="43" t="s">
        <v>71</v>
      </c>
      <c r="C1505" s="43" t="s">
        <v>302</v>
      </c>
      <c r="D1505" s="43" t="s">
        <v>311</v>
      </c>
      <c r="E1505" s="43" t="s">
        <v>312</v>
      </c>
      <c r="F1505" s="43">
        <v>1</v>
      </c>
      <c r="G1505"/>
      <c r="H1505"/>
    </row>
    <row r="1506" spans="1:8" hidden="1" x14ac:dyDescent="0.25">
      <c r="A1506" s="43">
        <v>214</v>
      </c>
      <c r="B1506" s="43" t="s">
        <v>71</v>
      </c>
      <c r="C1506" s="43" t="s">
        <v>302</v>
      </c>
      <c r="D1506" s="43" t="s">
        <v>313</v>
      </c>
      <c r="E1506" s="43" t="s">
        <v>314</v>
      </c>
      <c r="F1506" s="43">
        <v>1</v>
      </c>
      <c r="G1506"/>
      <c r="H1506"/>
    </row>
    <row r="1507" spans="1:8" hidden="1" x14ac:dyDescent="0.25">
      <c r="A1507" s="43">
        <v>214</v>
      </c>
      <c r="B1507" s="43" t="s">
        <v>71</v>
      </c>
      <c r="C1507" s="43" t="s">
        <v>302</v>
      </c>
      <c r="D1507" s="43" t="s">
        <v>315</v>
      </c>
      <c r="E1507" s="43" t="s">
        <v>316</v>
      </c>
      <c r="F1507" s="43">
        <v>1</v>
      </c>
      <c r="G1507"/>
      <c r="H1507"/>
    </row>
    <row r="1508" spans="1:8" hidden="1" x14ac:dyDescent="0.25">
      <c r="A1508" s="43">
        <v>214</v>
      </c>
      <c r="B1508" s="43" t="s">
        <v>71</v>
      </c>
      <c r="C1508" s="43" t="s">
        <v>302</v>
      </c>
      <c r="D1508" s="43" t="s">
        <v>323</v>
      </c>
      <c r="E1508" s="43" t="s">
        <v>324</v>
      </c>
      <c r="F1508" s="43">
        <v>1</v>
      </c>
      <c r="G1508"/>
      <c r="H1508"/>
    </row>
    <row r="1509" spans="1:8" hidden="1" x14ac:dyDescent="0.25">
      <c r="A1509" s="43">
        <v>217</v>
      </c>
      <c r="B1509" s="43" t="s">
        <v>72</v>
      </c>
      <c r="C1509" s="43" t="s">
        <v>1155</v>
      </c>
      <c r="D1509" s="43" t="s">
        <v>1156</v>
      </c>
      <c r="E1509" s="43" t="s">
        <v>273</v>
      </c>
      <c r="F1509" s="43">
        <v>1</v>
      </c>
      <c r="G1509"/>
      <c r="H1509"/>
    </row>
    <row r="1510" spans="1:8" hidden="1" x14ac:dyDescent="0.25">
      <c r="A1510" s="43">
        <v>217</v>
      </c>
      <c r="B1510" s="43" t="s">
        <v>72</v>
      </c>
      <c r="C1510" s="43" t="s">
        <v>1155</v>
      </c>
      <c r="D1510" s="43" t="s">
        <v>1157</v>
      </c>
      <c r="E1510" s="43" t="s">
        <v>844</v>
      </c>
      <c r="F1510" s="43">
        <v>1</v>
      </c>
      <c r="G1510"/>
      <c r="H1510"/>
    </row>
    <row r="1511" spans="1:8" x14ac:dyDescent="0.25">
      <c r="A1511" s="43">
        <v>217</v>
      </c>
      <c r="B1511" s="43" t="s">
        <v>72</v>
      </c>
      <c r="C1511" s="43" t="s">
        <v>1155</v>
      </c>
      <c r="D1511" s="43" t="s">
        <v>1158</v>
      </c>
      <c r="E1511" s="43" t="s">
        <v>1159</v>
      </c>
      <c r="F1511" s="43">
        <v>2</v>
      </c>
      <c r="G1511" s="43" t="s">
        <v>4523</v>
      </c>
      <c r="H1511" s="43" t="s">
        <v>4580</v>
      </c>
    </row>
    <row r="1512" spans="1:8" hidden="1" x14ac:dyDescent="0.25">
      <c r="A1512" s="43">
        <v>217</v>
      </c>
      <c r="B1512" s="43" t="s">
        <v>72</v>
      </c>
      <c r="C1512" s="43" t="s">
        <v>1155</v>
      </c>
      <c r="D1512" s="43" t="s">
        <v>1160</v>
      </c>
      <c r="E1512" s="43" t="s">
        <v>1161</v>
      </c>
      <c r="F1512" s="43">
        <v>1</v>
      </c>
      <c r="G1512"/>
      <c r="H1512"/>
    </row>
    <row r="1513" spans="1:8" x14ac:dyDescent="0.25">
      <c r="A1513" s="43">
        <v>217</v>
      </c>
      <c r="B1513" s="43" t="s">
        <v>72</v>
      </c>
      <c r="C1513" s="43" t="s">
        <v>1155</v>
      </c>
      <c r="D1513" s="43" t="s">
        <v>1162</v>
      </c>
      <c r="E1513" s="43" t="s">
        <v>1163</v>
      </c>
      <c r="F1513" s="43">
        <v>2</v>
      </c>
      <c r="G1513" s="43" t="s">
        <v>4523</v>
      </c>
      <c r="H1513" s="43" t="s">
        <v>4580</v>
      </c>
    </row>
    <row r="1514" spans="1:8" hidden="1" x14ac:dyDescent="0.25">
      <c r="A1514" s="43">
        <v>217</v>
      </c>
      <c r="B1514" s="43" t="s">
        <v>72</v>
      </c>
      <c r="C1514" s="43" t="s">
        <v>1155</v>
      </c>
      <c r="D1514" s="43" t="s">
        <v>1164</v>
      </c>
      <c r="E1514" s="43" t="s">
        <v>1165</v>
      </c>
      <c r="F1514" s="43">
        <v>1</v>
      </c>
      <c r="G1514"/>
      <c r="H1514"/>
    </row>
    <row r="1515" spans="1:8" hidden="1" x14ac:dyDescent="0.25">
      <c r="A1515" s="43">
        <v>217</v>
      </c>
      <c r="B1515" s="43" t="s">
        <v>72</v>
      </c>
      <c r="C1515" s="43" t="s">
        <v>1155</v>
      </c>
      <c r="D1515" s="43" t="s">
        <v>1166</v>
      </c>
      <c r="E1515" s="43" t="s">
        <v>295</v>
      </c>
      <c r="F1515" s="43">
        <v>1</v>
      </c>
      <c r="G1515"/>
      <c r="H1515"/>
    </row>
    <row r="1516" spans="1:8" hidden="1" x14ac:dyDescent="0.25">
      <c r="A1516" s="43">
        <v>217</v>
      </c>
      <c r="B1516" s="43" t="s">
        <v>72</v>
      </c>
      <c r="C1516" s="43" t="s">
        <v>1155</v>
      </c>
      <c r="D1516" s="43" t="s">
        <v>1167</v>
      </c>
      <c r="E1516" s="43" t="s">
        <v>1168</v>
      </c>
      <c r="F1516" s="43">
        <v>1</v>
      </c>
      <c r="G1516"/>
      <c r="H1516"/>
    </row>
    <row r="1517" spans="1:8" hidden="1" x14ac:dyDescent="0.25">
      <c r="A1517" s="43">
        <v>222</v>
      </c>
      <c r="B1517" s="43" t="s">
        <v>73</v>
      </c>
      <c r="C1517" s="43" t="s">
        <v>4470</v>
      </c>
      <c r="D1517" s="43" t="s">
        <v>1493</v>
      </c>
      <c r="E1517" s="43" t="s">
        <v>1494</v>
      </c>
      <c r="F1517" s="43">
        <v>1</v>
      </c>
      <c r="G1517"/>
      <c r="H1517"/>
    </row>
    <row r="1518" spans="1:8" hidden="1" x14ac:dyDescent="0.25">
      <c r="A1518" s="43">
        <v>222</v>
      </c>
      <c r="B1518" s="43" t="s">
        <v>73</v>
      </c>
      <c r="C1518" s="43" t="s">
        <v>4470</v>
      </c>
      <c r="D1518" s="43" t="s">
        <v>1495</v>
      </c>
      <c r="E1518" s="43" t="s">
        <v>1496</v>
      </c>
      <c r="F1518" s="43">
        <v>1</v>
      </c>
      <c r="G1518"/>
      <c r="H1518"/>
    </row>
    <row r="1519" spans="1:8" hidden="1" x14ac:dyDescent="0.25">
      <c r="A1519" s="43">
        <v>222</v>
      </c>
      <c r="B1519" s="43" t="s">
        <v>73</v>
      </c>
      <c r="C1519" s="43" t="s">
        <v>4470</v>
      </c>
      <c r="D1519" s="43" t="s">
        <v>1497</v>
      </c>
      <c r="E1519" s="43" t="s">
        <v>306</v>
      </c>
      <c r="F1519" s="43">
        <v>1</v>
      </c>
      <c r="G1519"/>
      <c r="H1519"/>
    </row>
    <row r="1520" spans="1:8" hidden="1" x14ac:dyDescent="0.25">
      <c r="A1520" s="43">
        <v>222</v>
      </c>
      <c r="B1520" s="43" t="s">
        <v>73</v>
      </c>
      <c r="C1520" s="43" t="s">
        <v>4470</v>
      </c>
      <c r="D1520" s="43" t="s">
        <v>1498</v>
      </c>
      <c r="E1520" s="43" t="s">
        <v>1499</v>
      </c>
      <c r="F1520" s="43">
        <v>0</v>
      </c>
      <c r="G1520" s="43" t="s">
        <v>4615</v>
      </c>
      <c r="H1520" s="43" t="s">
        <v>4761</v>
      </c>
    </row>
    <row r="1521" spans="1:8" hidden="1" x14ac:dyDescent="0.25">
      <c r="A1521" s="43">
        <v>222</v>
      </c>
      <c r="B1521" s="43" t="s">
        <v>73</v>
      </c>
      <c r="C1521" s="43" t="s">
        <v>4470</v>
      </c>
      <c r="D1521" s="43" t="s">
        <v>1500</v>
      </c>
      <c r="E1521" s="43" t="s">
        <v>1397</v>
      </c>
      <c r="F1521" s="43">
        <v>1</v>
      </c>
      <c r="G1521"/>
      <c r="H1521"/>
    </row>
    <row r="1522" spans="1:8" hidden="1" x14ac:dyDescent="0.25">
      <c r="A1522" s="43">
        <v>222</v>
      </c>
      <c r="B1522" s="43" t="s">
        <v>73</v>
      </c>
      <c r="C1522" s="43" t="s">
        <v>4470</v>
      </c>
      <c r="D1522" s="43" t="s">
        <v>1501</v>
      </c>
      <c r="E1522" s="43" t="s">
        <v>1502</v>
      </c>
      <c r="F1522" s="43">
        <v>1</v>
      </c>
      <c r="G1522"/>
      <c r="H1522"/>
    </row>
    <row r="1523" spans="1:8" hidden="1" x14ac:dyDescent="0.25">
      <c r="A1523" s="43">
        <v>222</v>
      </c>
      <c r="B1523" s="43" t="s">
        <v>73</v>
      </c>
      <c r="C1523" s="43" t="s">
        <v>4470</v>
      </c>
      <c r="D1523" s="43" t="s">
        <v>1503</v>
      </c>
      <c r="E1523" s="43" t="s">
        <v>1504</v>
      </c>
      <c r="F1523" s="43">
        <v>0</v>
      </c>
      <c r="G1523" s="43" t="s">
        <v>4615</v>
      </c>
      <c r="H1523" s="43" t="s">
        <v>4761</v>
      </c>
    </row>
    <row r="1524" spans="1:8" hidden="1" x14ac:dyDescent="0.25">
      <c r="A1524" s="43">
        <v>222</v>
      </c>
      <c r="B1524" s="43" t="s">
        <v>73</v>
      </c>
      <c r="C1524" s="43" t="s">
        <v>4470</v>
      </c>
      <c r="D1524" s="43" t="s">
        <v>1505</v>
      </c>
      <c r="E1524" s="43" t="s">
        <v>1506</v>
      </c>
      <c r="F1524" s="43">
        <v>0</v>
      </c>
      <c r="G1524" s="43" t="s">
        <v>4615</v>
      </c>
      <c r="H1524" s="43" t="s">
        <v>4761</v>
      </c>
    </row>
    <row r="1525" spans="1:8" hidden="1" x14ac:dyDescent="0.25">
      <c r="A1525" s="43">
        <v>222</v>
      </c>
      <c r="B1525" s="43" t="s">
        <v>73</v>
      </c>
      <c r="C1525" s="43" t="s">
        <v>4470</v>
      </c>
      <c r="D1525" s="43" t="s">
        <v>1507</v>
      </c>
      <c r="E1525" s="43" t="s">
        <v>611</v>
      </c>
      <c r="F1525" s="43">
        <v>1</v>
      </c>
      <c r="G1525"/>
      <c r="H1525"/>
    </row>
    <row r="1526" spans="1:8" hidden="1" x14ac:dyDescent="0.25">
      <c r="A1526" s="43">
        <v>222</v>
      </c>
      <c r="B1526" s="43" t="s">
        <v>73</v>
      </c>
      <c r="C1526" s="43" t="s">
        <v>4470</v>
      </c>
      <c r="D1526" s="43" t="s">
        <v>1508</v>
      </c>
      <c r="E1526" s="43" t="s">
        <v>1509</v>
      </c>
      <c r="F1526" s="43">
        <v>1</v>
      </c>
      <c r="G1526"/>
      <c r="H1526"/>
    </row>
    <row r="1527" spans="1:8" hidden="1" x14ac:dyDescent="0.25">
      <c r="A1527" s="43">
        <v>222</v>
      </c>
      <c r="B1527" s="43" t="s">
        <v>73</v>
      </c>
      <c r="C1527" s="43" t="s">
        <v>4470</v>
      </c>
      <c r="D1527" s="43" t="s">
        <v>1510</v>
      </c>
      <c r="E1527" s="43" t="s">
        <v>613</v>
      </c>
      <c r="F1527" s="43">
        <v>0</v>
      </c>
      <c r="G1527" s="43" t="s">
        <v>4615</v>
      </c>
      <c r="H1527" s="43" t="s">
        <v>4761</v>
      </c>
    </row>
    <row r="1528" spans="1:8" hidden="1" x14ac:dyDescent="0.25">
      <c r="A1528" s="43">
        <v>222</v>
      </c>
      <c r="B1528" s="43" t="s">
        <v>73</v>
      </c>
      <c r="C1528" s="43" t="s">
        <v>4470</v>
      </c>
      <c r="D1528" s="43" t="s">
        <v>1511</v>
      </c>
      <c r="E1528" s="43" t="s">
        <v>1419</v>
      </c>
      <c r="F1528" s="43">
        <v>2</v>
      </c>
      <c r="G1528" s="43" t="s">
        <v>3269</v>
      </c>
      <c r="H1528" s="43" t="s">
        <v>4581</v>
      </c>
    </row>
    <row r="1529" spans="1:8" hidden="1" x14ac:dyDescent="0.25">
      <c r="A1529" s="43">
        <v>222</v>
      </c>
      <c r="B1529" s="43" t="s">
        <v>73</v>
      </c>
      <c r="C1529" s="43" t="s">
        <v>4470</v>
      </c>
      <c r="D1529" s="43" t="s">
        <v>1512</v>
      </c>
      <c r="E1529" s="43" t="s">
        <v>621</v>
      </c>
      <c r="F1529" s="43">
        <v>0</v>
      </c>
      <c r="G1529" s="43" t="s">
        <v>4615</v>
      </c>
      <c r="H1529" s="43" t="s">
        <v>4761</v>
      </c>
    </row>
    <row r="1530" spans="1:8" hidden="1" x14ac:dyDescent="0.25">
      <c r="A1530" s="43">
        <v>222</v>
      </c>
      <c r="B1530" s="43" t="s">
        <v>73</v>
      </c>
      <c r="C1530" s="43" t="s">
        <v>4470</v>
      </c>
      <c r="D1530" s="43" t="s">
        <v>1513</v>
      </c>
      <c r="E1530" s="43" t="s">
        <v>1422</v>
      </c>
      <c r="F1530" s="43">
        <v>1</v>
      </c>
      <c r="G1530"/>
      <c r="H1530"/>
    </row>
    <row r="1531" spans="1:8" hidden="1" x14ac:dyDescent="0.25">
      <c r="A1531" s="43">
        <v>222</v>
      </c>
      <c r="B1531" s="43" t="s">
        <v>73</v>
      </c>
      <c r="C1531" s="43" t="s">
        <v>4470</v>
      </c>
      <c r="D1531" s="43" t="s">
        <v>1514</v>
      </c>
      <c r="E1531" s="43" t="s">
        <v>614</v>
      </c>
      <c r="F1531" s="43">
        <v>1</v>
      </c>
      <c r="G1531"/>
      <c r="H1531"/>
    </row>
    <row r="1532" spans="1:8" hidden="1" x14ac:dyDescent="0.25">
      <c r="A1532" s="43">
        <v>222</v>
      </c>
      <c r="B1532" s="43" t="s">
        <v>73</v>
      </c>
      <c r="C1532" s="43" t="s">
        <v>4470</v>
      </c>
      <c r="D1532" s="43" t="s">
        <v>1515</v>
      </c>
      <c r="E1532" s="43" t="s">
        <v>615</v>
      </c>
      <c r="F1532" s="43">
        <v>0</v>
      </c>
      <c r="G1532" s="43" t="s">
        <v>4615</v>
      </c>
      <c r="H1532" s="43" t="s">
        <v>4761</v>
      </c>
    </row>
    <row r="1533" spans="1:8" hidden="1" x14ac:dyDescent="0.25">
      <c r="A1533" s="43">
        <v>222</v>
      </c>
      <c r="B1533" s="43" t="s">
        <v>73</v>
      </c>
      <c r="C1533" s="43" t="s">
        <v>4470</v>
      </c>
      <c r="D1533" s="43" t="s">
        <v>1516</v>
      </c>
      <c r="E1533" s="43" t="s">
        <v>1517</v>
      </c>
      <c r="F1533" s="43">
        <v>1</v>
      </c>
      <c r="G1533"/>
      <c r="H1533"/>
    </row>
    <row r="1534" spans="1:8" hidden="1" x14ac:dyDescent="0.25">
      <c r="A1534" s="43">
        <v>222</v>
      </c>
      <c r="B1534" s="43" t="s">
        <v>73</v>
      </c>
      <c r="C1534" s="43" t="s">
        <v>4470</v>
      </c>
      <c r="D1534" s="43" t="s">
        <v>1518</v>
      </c>
      <c r="E1534" s="43" t="s">
        <v>1519</v>
      </c>
      <c r="F1534" s="43">
        <v>1</v>
      </c>
      <c r="G1534"/>
      <c r="H1534"/>
    </row>
    <row r="1535" spans="1:8" hidden="1" x14ac:dyDescent="0.25">
      <c r="A1535" s="43">
        <v>222</v>
      </c>
      <c r="B1535" s="43" t="s">
        <v>73</v>
      </c>
      <c r="C1535" s="43" t="s">
        <v>4470</v>
      </c>
      <c r="D1535" s="43" t="s">
        <v>1520</v>
      </c>
      <c r="E1535" s="43" t="s">
        <v>1521</v>
      </c>
      <c r="F1535" s="43">
        <v>1</v>
      </c>
      <c r="G1535"/>
      <c r="H1535"/>
    </row>
    <row r="1536" spans="1:8" hidden="1" x14ac:dyDescent="0.25">
      <c r="A1536" s="43">
        <v>222</v>
      </c>
      <c r="B1536" s="43" t="s">
        <v>73</v>
      </c>
      <c r="C1536" s="43" t="s">
        <v>4470</v>
      </c>
      <c r="D1536" s="43" t="s">
        <v>1522</v>
      </c>
      <c r="E1536" s="43" t="s">
        <v>1523</v>
      </c>
      <c r="F1536" s="43">
        <v>0</v>
      </c>
      <c r="G1536" s="43" t="s">
        <v>4615</v>
      </c>
      <c r="H1536" s="43" t="s">
        <v>4761</v>
      </c>
    </row>
    <row r="1537" spans="1:8" hidden="1" x14ac:dyDescent="0.25">
      <c r="A1537" s="43">
        <v>222</v>
      </c>
      <c r="B1537" s="43" t="s">
        <v>73</v>
      </c>
      <c r="C1537" s="43" t="s">
        <v>4470</v>
      </c>
      <c r="D1537" s="43" t="s">
        <v>1524</v>
      </c>
      <c r="E1537" s="43" t="s">
        <v>1525</v>
      </c>
      <c r="F1537" s="43">
        <v>2</v>
      </c>
      <c r="G1537" s="43" t="s">
        <v>3269</v>
      </c>
      <c r="H1537" s="43" t="s">
        <v>4581</v>
      </c>
    </row>
    <row r="1538" spans="1:8" hidden="1" x14ac:dyDescent="0.25">
      <c r="A1538" s="43">
        <v>222</v>
      </c>
      <c r="B1538" s="43" t="s">
        <v>73</v>
      </c>
      <c r="C1538" s="43" t="s">
        <v>4470</v>
      </c>
      <c r="D1538" s="43" t="s">
        <v>1526</v>
      </c>
      <c r="E1538" s="43" t="s">
        <v>1527</v>
      </c>
      <c r="F1538" s="43">
        <v>1</v>
      </c>
      <c r="G1538"/>
      <c r="H1538"/>
    </row>
    <row r="1539" spans="1:8" hidden="1" x14ac:dyDescent="0.25">
      <c r="A1539" s="43">
        <v>222</v>
      </c>
      <c r="B1539" s="43" t="s">
        <v>73</v>
      </c>
      <c r="C1539" s="43" t="s">
        <v>4470</v>
      </c>
      <c r="D1539" s="43" t="s">
        <v>1528</v>
      </c>
      <c r="E1539" s="43" t="s">
        <v>4471</v>
      </c>
      <c r="F1539" s="43">
        <v>2</v>
      </c>
      <c r="G1539" s="43" t="s">
        <v>3269</v>
      </c>
      <c r="H1539" s="43" t="s">
        <v>4581</v>
      </c>
    </row>
    <row r="1540" spans="1:8" hidden="1" x14ac:dyDescent="0.25">
      <c r="A1540" s="43">
        <v>222</v>
      </c>
      <c r="B1540" s="43" t="s">
        <v>73</v>
      </c>
      <c r="C1540" s="43" t="s">
        <v>4470</v>
      </c>
      <c r="D1540" s="43" t="s">
        <v>1530</v>
      </c>
      <c r="E1540" s="43" t="s">
        <v>1430</v>
      </c>
      <c r="F1540" s="43">
        <v>1</v>
      </c>
      <c r="G1540"/>
      <c r="H1540"/>
    </row>
    <row r="1541" spans="1:8" hidden="1" x14ac:dyDescent="0.25">
      <c r="A1541" s="43">
        <v>222</v>
      </c>
      <c r="B1541" s="43" t="s">
        <v>73</v>
      </c>
      <c r="C1541" s="43" t="s">
        <v>4470</v>
      </c>
      <c r="D1541" s="43" t="s">
        <v>1531</v>
      </c>
      <c r="E1541" s="43" t="s">
        <v>503</v>
      </c>
      <c r="F1541" s="43">
        <v>1</v>
      </c>
      <c r="G1541"/>
      <c r="H1541"/>
    </row>
    <row r="1542" spans="1:8" hidden="1" x14ac:dyDescent="0.25">
      <c r="A1542" s="43">
        <v>222</v>
      </c>
      <c r="B1542" s="43" t="s">
        <v>73</v>
      </c>
      <c r="C1542" s="43" t="s">
        <v>4470</v>
      </c>
      <c r="D1542" s="43" t="s">
        <v>1532</v>
      </c>
      <c r="E1542" s="43" t="s">
        <v>1533</v>
      </c>
      <c r="F1542" s="43">
        <v>0</v>
      </c>
      <c r="G1542" s="43" t="s">
        <v>4615</v>
      </c>
      <c r="H1542" s="43" t="s">
        <v>4761</v>
      </c>
    </row>
    <row r="1543" spans="1:8" hidden="1" x14ac:dyDescent="0.25">
      <c r="A1543" s="43">
        <v>222</v>
      </c>
      <c r="B1543" s="43" t="s">
        <v>73</v>
      </c>
      <c r="C1543" s="43" t="s">
        <v>4470</v>
      </c>
      <c r="D1543" s="43" t="s">
        <v>1534</v>
      </c>
      <c r="E1543" s="43" t="s">
        <v>1535</v>
      </c>
      <c r="F1543" s="43">
        <v>1</v>
      </c>
      <c r="G1543"/>
      <c r="H1543"/>
    </row>
    <row r="1544" spans="1:8" hidden="1" x14ac:dyDescent="0.25">
      <c r="A1544" s="43">
        <v>228</v>
      </c>
      <c r="B1544" s="43" t="s">
        <v>74</v>
      </c>
      <c r="C1544" s="43" t="s">
        <v>1685</v>
      </c>
      <c r="D1544" s="43" t="s">
        <v>1686</v>
      </c>
      <c r="E1544" s="43" t="s">
        <v>1687</v>
      </c>
      <c r="F1544" s="43">
        <v>0</v>
      </c>
      <c r="G1544" s="43" t="s">
        <v>4616</v>
      </c>
      <c r="H1544" s="43" t="s">
        <v>4760</v>
      </c>
    </row>
    <row r="1545" spans="1:8" hidden="1" x14ac:dyDescent="0.25">
      <c r="A1545" s="43">
        <v>228</v>
      </c>
      <c r="B1545" s="43" t="s">
        <v>74</v>
      </c>
      <c r="C1545" s="43" t="s">
        <v>1685</v>
      </c>
      <c r="D1545" s="43" t="s">
        <v>1688</v>
      </c>
      <c r="E1545" s="43" t="s">
        <v>1689</v>
      </c>
      <c r="F1545" s="43">
        <v>0</v>
      </c>
      <c r="G1545" s="43" t="s">
        <v>4762</v>
      </c>
      <c r="H1545" s="43" t="s">
        <v>4760</v>
      </c>
    </row>
    <row r="1546" spans="1:8" hidden="1" x14ac:dyDescent="0.25">
      <c r="A1546" s="43">
        <v>228</v>
      </c>
      <c r="B1546" s="43" t="s">
        <v>74</v>
      </c>
      <c r="C1546" s="43" t="s">
        <v>1685</v>
      </c>
      <c r="D1546" s="43" t="s">
        <v>1690</v>
      </c>
      <c r="E1546" s="43" t="s">
        <v>1691</v>
      </c>
      <c r="F1546" s="43">
        <v>0</v>
      </c>
      <c r="G1546" s="43" t="s">
        <v>4617</v>
      </c>
      <c r="H1546" s="43" t="s">
        <v>4760</v>
      </c>
    </row>
    <row r="1547" spans="1:8" x14ac:dyDescent="0.25">
      <c r="A1547" s="43">
        <v>228</v>
      </c>
      <c r="B1547" s="43" t="s">
        <v>74</v>
      </c>
      <c r="C1547" s="43" t="s">
        <v>1685</v>
      </c>
      <c r="D1547" s="43" t="s">
        <v>1692</v>
      </c>
      <c r="E1547" s="43" t="s">
        <v>1693</v>
      </c>
      <c r="F1547" s="43">
        <v>2</v>
      </c>
      <c r="G1547" s="43" t="s">
        <v>4575</v>
      </c>
      <c r="H1547" s="43" t="s">
        <v>4580</v>
      </c>
    </row>
    <row r="1548" spans="1:8" hidden="1" x14ac:dyDescent="0.25">
      <c r="A1548" s="43">
        <v>228</v>
      </c>
      <c r="B1548" s="43" t="s">
        <v>74</v>
      </c>
      <c r="C1548" s="43" t="s">
        <v>1685</v>
      </c>
      <c r="D1548" s="43" t="s">
        <v>1694</v>
      </c>
      <c r="E1548" s="43" t="s">
        <v>1695</v>
      </c>
      <c r="F1548" s="43">
        <v>1</v>
      </c>
      <c r="G1548"/>
      <c r="H1548"/>
    </row>
    <row r="1549" spans="1:8" hidden="1" x14ac:dyDescent="0.25">
      <c r="A1549" s="43">
        <v>228</v>
      </c>
      <c r="B1549" s="43" t="s">
        <v>74</v>
      </c>
      <c r="C1549" s="43" t="s">
        <v>1685</v>
      </c>
      <c r="D1549" s="43" t="s">
        <v>1696</v>
      </c>
      <c r="E1549" s="43" t="s">
        <v>1697</v>
      </c>
      <c r="F1549" s="43">
        <v>0</v>
      </c>
      <c r="G1549" s="43" t="s">
        <v>4618</v>
      </c>
      <c r="H1549" s="43" t="s">
        <v>4502</v>
      </c>
    </row>
    <row r="1550" spans="1:8" hidden="1" x14ac:dyDescent="0.25">
      <c r="A1550" s="43">
        <v>228</v>
      </c>
      <c r="B1550" s="43" t="s">
        <v>74</v>
      </c>
      <c r="C1550" s="43" t="s">
        <v>1685</v>
      </c>
      <c r="D1550" s="43" t="s">
        <v>1698</v>
      </c>
      <c r="E1550" s="43" t="s">
        <v>1699</v>
      </c>
      <c r="F1550" s="43">
        <v>0</v>
      </c>
      <c r="G1550" s="43" t="s">
        <v>4619</v>
      </c>
      <c r="H1550" s="43" t="s">
        <v>4760</v>
      </c>
    </row>
    <row r="1551" spans="1:8" x14ac:dyDescent="0.25">
      <c r="A1551" s="43">
        <v>228</v>
      </c>
      <c r="B1551" s="43" t="s">
        <v>74</v>
      </c>
      <c r="C1551" s="43" t="s">
        <v>1685</v>
      </c>
      <c r="D1551" s="43" t="s">
        <v>1700</v>
      </c>
      <c r="E1551" s="43" t="s">
        <v>1701</v>
      </c>
      <c r="F1551" s="89">
        <v>2</v>
      </c>
      <c r="G1551" s="43" t="s">
        <v>4620</v>
      </c>
      <c r="H1551" s="43" t="s">
        <v>4580</v>
      </c>
    </row>
    <row r="1552" spans="1:8" hidden="1" x14ac:dyDescent="0.25">
      <c r="A1552" s="43">
        <v>228</v>
      </c>
      <c r="B1552" s="43" t="s">
        <v>74</v>
      </c>
      <c r="C1552" s="43" t="s">
        <v>1685</v>
      </c>
      <c r="D1552" s="43" t="s">
        <v>1702</v>
      </c>
      <c r="E1552" s="43" t="s">
        <v>314</v>
      </c>
      <c r="F1552" s="43">
        <v>1</v>
      </c>
      <c r="G1552"/>
      <c r="H1552"/>
    </row>
    <row r="1553" spans="1:8" x14ac:dyDescent="0.25">
      <c r="A1553" s="43">
        <v>228</v>
      </c>
      <c r="B1553" s="43" t="s">
        <v>74</v>
      </c>
      <c r="C1553" s="43" t="s">
        <v>1685</v>
      </c>
      <c r="D1553" s="43" t="s">
        <v>1703</v>
      </c>
      <c r="E1553" s="43" t="s">
        <v>1704</v>
      </c>
      <c r="F1553" s="43">
        <v>2</v>
      </c>
      <c r="G1553" s="43" t="s">
        <v>4524</v>
      </c>
      <c r="H1553" s="43" t="s">
        <v>4580</v>
      </c>
    </row>
    <row r="1554" spans="1:8" hidden="1" x14ac:dyDescent="0.25">
      <c r="A1554" s="43">
        <v>228</v>
      </c>
      <c r="B1554" s="43" t="s">
        <v>74</v>
      </c>
      <c r="C1554" s="43" t="s">
        <v>1685</v>
      </c>
      <c r="D1554" s="43" t="s">
        <v>1705</v>
      </c>
      <c r="E1554" s="43" t="s">
        <v>1706</v>
      </c>
      <c r="F1554" s="43">
        <v>0</v>
      </c>
      <c r="G1554" s="43" t="s">
        <v>4621</v>
      </c>
      <c r="H1554" s="43" t="s">
        <v>4763</v>
      </c>
    </row>
    <row r="1555" spans="1:8" hidden="1" x14ac:dyDescent="0.25">
      <c r="A1555" s="43">
        <v>228</v>
      </c>
      <c r="B1555" s="43" t="s">
        <v>74</v>
      </c>
      <c r="C1555" s="43" t="s">
        <v>1685</v>
      </c>
      <c r="D1555" s="43" t="s">
        <v>1707</v>
      </c>
      <c r="E1555" s="43" t="s">
        <v>1708</v>
      </c>
      <c r="F1555" s="89">
        <v>1</v>
      </c>
      <c r="G1555" s="43" t="s">
        <v>4622</v>
      </c>
      <c r="H1555"/>
    </row>
    <row r="1556" spans="1:8" hidden="1" x14ac:dyDescent="0.25">
      <c r="A1556" s="43">
        <v>228</v>
      </c>
      <c r="B1556" s="43" t="s">
        <v>74</v>
      </c>
      <c r="C1556" s="43" t="s">
        <v>1685</v>
      </c>
      <c r="D1556" s="43" t="s">
        <v>1709</v>
      </c>
      <c r="E1556" s="43" t="s">
        <v>1710</v>
      </c>
      <c r="F1556" s="43">
        <v>0</v>
      </c>
      <c r="G1556" s="43" t="s">
        <v>4623</v>
      </c>
      <c r="H1556" s="43" t="s">
        <v>4763</v>
      </c>
    </row>
    <row r="1557" spans="1:8" hidden="1" x14ac:dyDescent="0.25">
      <c r="A1557" s="43">
        <v>228</v>
      </c>
      <c r="B1557" s="43" t="s">
        <v>74</v>
      </c>
      <c r="C1557" s="43" t="s">
        <v>1685</v>
      </c>
      <c r="D1557" s="43" t="s">
        <v>1711</v>
      </c>
      <c r="E1557" s="43" t="s">
        <v>1124</v>
      </c>
      <c r="F1557" s="43">
        <v>1</v>
      </c>
      <c r="G1557"/>
      <c r="H1557"/>
    </row>
    <row r="1558" spans="1:8" hidden="1" x14ac:dyDescent="0.25">
      <c r="A1558" s="43">
        <v>234</v>
      </c>
      <c r="B1558" s="43" t="s">
        <v>75</v>
      </c>
      <c r="C1558" s="43" t="s">
        <v>818</v>
      </c>
      <c r="D1558" s="43" t="s">
        <v>819</v>
      </c>
      <c r="E1558" s="43" t="s">
        <v>820</v>
      </c>
      <c r="F1558" s="43">
        <v>1</v>
      </c>
      <c r="G1558"/>
      <c r="H1558"/>
    </row>
    <row r="1559" spans="1:8" hidden="1" x14ac:dyDescent="0.25">
      <c r="A1559" s="43">
        <v>234</v>
      </c>
      <c r="B1559" s="43" t="s">
        <v>75</v>
      </c>
      <c r="C1559" s="43" t="s">
        <v>818</v>
      </c>
      <c r="D1559" s="43" t="s">
        <v>821</v>
      </c>
      <c r="E1559" s="43" t="s">
        <v>822</v>
      </c>
      <c r="F1559" s="43">
        <v>0</v>
      </c>
      <c r="G1559" s="43" t="s">
        <v>4583</v>
      </c>
      <c r="H1559"/>
    </row>
    <row r="1560" spans="1:8" hidden="1" x14ac:dyDescent="0.25">
      <c r="A1560" s="43">
        <v>234</v>
      </c>
      <c r="B1560" s="43" t="s">
        <v>75</v>
      </c>
      <c r="C1560" s="43" t="s">
        <v>818</v>
      </c>
      <c r="D1560" s="43" t="s">
        <v>823</v>
      </c>
      <c r="E1560" s="43" t="s">
        <v>306</v>
      </c>
      <c r="F1560" s="43">
        <v>1</v>
      </c>
      <c r="G1560"/>
      <c r="H1560"/>
    </row>
    <row r="1561" spans="1:8" hidden="1" x14ac:dyDescent="0.25">
      <c r="A1561" s="43">
        <v>234</v>
      </c>
      <c r="B1561" s="43" t="s">
        <v>75</v>
      </c>
      <c r="C1561" s="43" t="s">
        <v>818</v>
      </c>
      <c r="D1561" s="43" t="s">
        <v>824</v>
      </c>
      <c r="E1561" s="43" t="s">
        <v>825</v>
      </c>
      <c r="F1561" s="43">
        <v>0</v>
      </c>
      <c r="G1561" s="43" t="s">
        <v>4583</v>
      </c>
      <c r="H1561"/>
    </row>
    <row r="1562" spans="1:8" hidden="1" x14ac:dyDescent="0.25">
      <c r="A1562" s="43">
        <v>234</v>
      </c>
      <c r="B1562" s="43" t="s">
        <v>75</v>
      </c>
      <c r="C1562" s="43" t="s">
        <v>818</v>
      </c>
      <c r="D1562" s="43" t="s">
        <v>826</v>
      </c>
      <c r="E1562" s="43" t="s">
        <v>827</v>
      </c>
      <c r="F1562" s="43">
        <v>1</v>
      </c>
      <c r="G1562"/>
      <c r="H1562"/>
    </row>
    <row r="1563" spans="1:8" hidden="1" x14ac:dyDescent="0.25">
      <c r="A1563" s="43">
        <v>234</v>
      </c>
      <c r="B1563" s="43" t="s">
        <v>75</v>
      </c>
      <c r="C1563" s="43" t="s">
        <v>818</v>
      </c>
      <c r="D1563" s="43" t="s">
        <v>828</v>
      </c>
      <c r="E1563" s="43" t="s">
        <v>312</v>
      </c>
      <c r="F1563" s="43">
        <v>1</v>
      </c>
      <c r="G1563"/>
      <c r="H1563"/>
    </row>
    <row r="1564" spans="1:8" hidden="1" x14ac:dyDescent="0.25">
      <c r="A1564" s="43">
        <v>234</v>
      </c>
      <c r="B1564" s="43" t="s">
        <v>75</v>
      </c>
      <c r="C1564" s="43" t="s">
        <v>818</v>
      </c>
      <c r="D1564" s="43" t="s">
        <v>829</v>
      </c>
      <c r="E1564" s="43" t="s">
        <v>316</v>
      </c>
      <c r="F1564" s="43">
        <v>1</v>
      </c>
      <c r="G1564"/>
      <c r="H1564"/>
    </row>
    <row r="1565" spans="1:8" hidden="1" x14ac:dyDescent="0.25">
      <c r="A1565" s="43">
        <v>234</v>
      </c>
      <c r="B1565" s="43" t="s">
        <v>75</v>
      </c>
      <c r="C1565" s="43" t="s">
        <v>818</v>
      </c>
      <c r="D1565" s="43" t="s">
        <v>830</v>
      </c>
      <c r="E1565" s="43" t="s">
        <v>314</v>
      </c>
      <c r="F1565" s="43">
        <v>1</v>
      </c>
      <c r="G1565"/>
      <c r="H1565"/>
    </row>
    <row r="1566" spans="1:8" hidden="1" x14ac:dyDescent="0.25">
      <c r="A1566" s="43">
        <v>234</v>
      </c>
      <c r="B1566" s="43" t="s">
        <v>75</v>
      </c>
      <c r="C1566" s="43" t="s">
        <v>818</v>
      </c>
      <c r="D1566" s="43" t="s">
        <v>831</v>
      </c>
      <c r="E1566" s="43" t="s">
        <v>832</v>
      </c>
      <c r="F1566" s="43">
        <v>1</v>
      </c>
      <c r="G1566"/>
      <c r="H1566"/>
    </row>
    <row r="1567" spans="1:8" hidden="1" x14ac:dyDescent="0.25">
      <c r="A1567" s="43">
        <v>234</v>
      </c>
      <c r="B1567" s="43" t="s">
        <v>75</v>
      </c>
      <c r="C1567" s="43" t="s">
        <v>818</v>
      </c>
      <c r="D1567" s="43" t="s">
        <v>833</v>
      </c>
      <c r="E1567" s="43" t="s">
        <v>834</v>
      </c>
      <c r="F1567" s="43">
        <v>0</v>
      </c>
      <c r="G1567" s="43" t="s">
        <v>4583</v>
      </c>
      <c r="H1567"/>
    </row>
    <row r="1568" spans="1:8" hidden="1" x14ac:dyDescent="0.25">
      <c r="A1568" s="43">
        <v>234</v>
      </c>
      <c r="B1568" s="43" t="s">
        <v>75</v>
      </c>
      <c r="C1568" s="43" t="s">
        <v>818</v>
      </c>
      <c r="D1568" s="43" t="s">
        <v>835</v>
      </c>
      <c r="E1568" s="43" t="s">
        <v>836</v>
      </c>
      <c r="F1568" s="43">
        <v>1</v>
      </c>
      <c r="G1568"/>
      <c r="H1568"/>
    </row>
    <row r="1569" spans="1:8" hidden="1" x14ac:dyDescent="0.25">
      <c r="A1569" s="43">
        <v>234</v>
      </c>
      <c r="B1569" s="43" t="s">
        <v>75</v>
      </c>
      <c r="C1569" s="43" t="s">
        <v>818</v>
      </c>
      <c r="D1569" s="43" t="s">
        <v>837</v>
      </c>
      <c r="E1569" s="43" t="s">
        <v>838</v>
      </c>
      <c r="F1569" s="43">
        <v>1</v>
      </c>
      <c r="G1569"/>
      <c r="H1569"/>
    </row>
    <row r="1570" spans="1:8" hidden="1" x14ac:dyDescent="0.25">
      <c r="A1570" s="43">
        <v>234</v>
      </c>
      <c r="B1570" s="43" t="s">
        <v>75</v>
      </c>
      <c r="C1570" s="43" t="s">
        <v>818</v>
      </c>
      <c r="D1570" s="43" t="s">
        <v>839</v>
      </c>
      <c r="E1570" s="43" t="s">
        <v>840</v>
      </c>
      <c r="F1570" s="43">
        <v>0</v>
      </c>
      <c r="G1570" s="43" t="s">
        <v>4583</v>
      </c>
      <c r="H1570"/>
    </row>
    <row r="1571" spans="1:8" hidden="1" x14ac:dyDescent="0.25">
      <c r="A1571" s="43">
        <v>234</v>
      </c>
      <c r="B1571" s="43" t="s">
        <v>75</v>
      </c>
      <c r="C1571" s="43" t="s">
        <v>818</v>
      </c>
      <c r="D1571" s="43" t="s">
        <v>841</v>
      </c>
      <c r="E1571" s="43" t="s">
        <v>842</v>
      </c>
      <c r="F1571" s="43">
        <v>1</v>
      </c>
      <c r="G1571"/>
      <c r="H1571"/>
    </row>
    <row r="1572" spans="1:8" hidden="1" x14ac:dyDescent="0.25">
      <c r="A1572" s="43">
        <v>234</v>
      </c>
      <c r="B1572" s="43" t="s">
        <v>75</v>
      </c>
      <c r="C1572" s="43" t="s">
        <v>818</v>
      </c>
      <c r="D1572" s="43" t="s">
        <v>843</v>
      </c>
      <c r="E1572" s="43" t="s">
        <v>844</v>
      </c>
      <c r="F1572" s="43">
        <v>1</v>
      </c>
      <c r="G1572"/>
      <c r="H1572"/>
    </row>
    <row r="1573" spans="1:8" hidden="1" x14ac:dyDescent="0.25">
      <c r="A1573" s="43">
        <v>234</v>
      </c>
      <c r="B1573" s="43" t="s">
        <v>75</v>
      </c>
      <c r="C1573" s="43" t="s">
        <v>818</v>
      </c>
      <c r="D1573" s="43" t="s">
        <v>845</v>
      </c>
      <c r="E1573" s="43" t="s">
        <v>846</v>
      </c>
      <c r="F1573" s="43">
        <v>0</v>
      </c>
      <c r="G1573" s="43" t="s">
        <v>4583</v>
      </c>
      <c r="H1573"/>
    </row>
    <row r="1574" spans="1:8" hidden="1" x14ac:dyDescent="0.25">
      <c r="A1574" s="43">
        <v>234</v>
      </c>
      <c r="B1574" s="43" t="s">
        <v>75</v>
      </c>
      <c r="C1574" s="43" t="s">
        <v>818</v>
      </c>
      <c r="D1574" s="43" t="s">
        <v>847</v>
      </c>
      <c r="E1574" s="43" t="s">
        <v>848</v>
      </c>
      <c r="F1574" s="43">
        <v>0</v>
      </c>
      <c r="G1574" s="43" t="s">
        <v>4583</v>
      </c>
      <c r="H1574"/>
    </row>
    <row r="1575" spans="1:8" hidden="1" x14ac:dyDescent="0.25">
      <c r="A1575" s="43">
        <v>234</v>
      </c>
      <c r="B1575" s="43" t="s">
        <v>75</v>
      </c>
      <c r="C1575" s="43" t="s">
        <v>818</v>
      </c>
      <c r="D1575" s="43" t="s">
        <v>849</v>
      </c>
      <c r="E1575" s="43" t="s">
        <v>850</v>
      </c>
      <c r="F1575" s="43">
        <v>0</v>
      </c>
      <c r="G1575" s="43" t="s">
        <v>4583</v>
      </c>
      <c r="H1575"/>
    </row>
    <row r="1576" spans="1:8" hidden="1" x14ac:dyDescent="0.25">
      <c r="A1576" s="43">
        <v>234</v>
      </c>
      <c r="B1576" s="43" t="s">
        <v>75</v>
      </c>
      <c r="C1576" s="43" t="s">
        <v>818</v>
      </c>
      <c r="D1576" s="43" t="s">
        <v>851</v>
      </c>
      <c r="E1576" s="43" t="s">
        <v>852</v>
      </c>
      <c r="F1576" s="43">
        <v>1</v>
      </c>
      <c r="G1576"/>
      <c r="H1576"/>
    </row>
    <row r="1577" spans="1:8" hidden="1" x14ac:dyDescent="0.25">
      <c r="A1577" s="43">
        <v>234</v>
      </c>
      <c r="B1577" s="43" t="s">
        <v>75</v>
      </c>
      <c r="C1577" s="43" t="s">
        <v>818</v>
      </c>
      <c r="D1577" s="43" t="s">
        <v>853</v>
      </c>
      <c r="E1577" s="43" t="s">
        <v>854</v>
      </c>
      <c r="F1577" s="43">
        <v>1</v>
      </c>
      <c r="G1577"/>
      <c r="H1577"/>
    </row>
    <row r="1578" spans="1:8" hidden="1" x14ac:dyDescent="0.25">
      <c r="A1578" s="43">
        <v>234</v>
      </c>
      <c r="B1578" s="43" t="s">
        <v>75</v>
      </c>
      <c r="C1578" s="43" t="s">
        <v>818</v>
      </c>
      <c r="D1578" s="43" t="s">
        <v>855</v>
      </c>
      <c r="E1578" s="43" t="s">
        <v>856</v>
      </c>
      <c r="F1578" s="43">
        <v>0</v>
      </c>
      <c r="G1578" s="43" t="s">
        <v>4583</v>
      </c>
      <c r="H1578"/>
    </row>
    <row r="1579" spans="1:8" hidden="1" x14ac:dyDescent="0.25">
      <c r="A1579" s="43">
        <v>234</v>
      </c>
      <c r="B1579" s="43" t="s">
        <v>75</v>
      </c>
      <c r="C1579" s="43" t="s">
        <v>818</v>
      </c>
      <c r="D1579" s="43" t="s">
        <v>857</v>
      </c>
      <c r="E1579" s="43" t="s">
        <v>858</v>
      </c>
      <c r="F1579" s="43">
        <v>0</v>
      </c>
      <c r="G1579" s="43" t="s">
        <v>4583</v>
      </c>
      <c r="H1579"/>
    </row>
    <row r="1580" spans="1:8" hidden="1" x14ac:dyDescent="0.25">
      <c r="A1580" s="43">
        <v>236</v>
      </c>
      <c r="B1580" s="43" t="s">
        <v>76</v>
      </c>
      <c r="C1580" s="43" t="s">
        <v>581</v>
      </c>
      <c r="D1580" s="43" t="s">
        <v>582</v>
      </c>
      <c r="E1580" s="43" t="s">
        <v>583</v>
      </c>
      <c r="F1580" s="43">
        <v>1</v>
      </c>
      <c r="G1580"/>
      <c r="H1580"/>
    </row>
    <row r="1581" spans="1:8" hidden="1" x14ac:dyDescent="0.25">
      <c r="A1581" s="43">
        <v>236</v>
      </c>
      <c r="B1581" s="43" t="s">
        <v>76</v>
      </c>
      <c r="C1581" s="43" t="s">
        <v>581</v>
      </c>
      <c r="D1581" s="43" t="s">
        <v>584</v>
      </c>
      <c r="E1581" s="43" t="s">
        <v>306</v>
      </c>
      <c r="F1581" s="43">
        <v>1</v>
      </c>
      <c r="G1581"/>
      <c r="H1581"/>
    </row>
    <row r="1582" spans="1:8" hidden="1" x14ac:dyDescent="0.25">
      <c r="A1582" s="43">
        <v>236</v>
      </c>
      <c r="B1582" s="43" t="s">
        <v>76</v>
      </c>
      <c r="C1582" s="43" t="s">
        <v>581</v>
      </c>
      <c r="D1582" s="43" t="s">
        <v>585</v>
      </c>
      <c r="E1582" s="43" t="s">
        <v>586</v>
      </c>
      <c r="F1582" s="43">
        <v>1</v>
      </c>
      <c r="G1582"/>
      <c r="H1582"/>
    </row>
    <row r="1583" spans="1:8" hidden="1" x14ac:dyDescent="0.25">
      <c r="A1583" s="43">
        <v>236</v>
      </c>
      <c r="B1583" s="43" t="s">
        <v>76</v>
      </c>
      <c r="C1583" s="43" t="s">
        <v>581</v>
      </c>
      <c r="D1583" s="43" t="s">
        <v>587</v>
      </c>
      <c r="E1583" s="43" t="s">
        <v>588</v>
      </c>
      <c r="F1583" s="43">
        <v>1</v>
      </c>
      <c r="G1583"/>
      <c r="H1583"/>
    </row>
    <row r="1584" spans="1:8" hidden="1" x14ac:dyDescent="0.25">
      <c r="A1584" s="43">
        <v>236</v>
      </c>
      <c r="B1584" s="43" t="s">
        <v>76</v>
      </c>
      <c r="C1584" s="43" t="s">
        <v>581</v>
      </c>
      <c r="D1584" s="43" t="s">
        <v>589</v>
      </c>
      <c r="E1584" s="43" t="s">
        <v>312</v>
      </c>
      <c r="F1584" s="43">
        <v>1</v>
      </c>
      <c r="G1584"/>
      <c r="H1584"/>
    </row>
    <row r="1585" spans="1:8" hidden="1" x14ac:dyDescent="0.25">
      <c r="A1585" s="43">
        <v>236</v>
      </c>
      <c r="B1585" s="43" t="s">
        <v>76</v>
      </c>
      <c r="C1585" s="43" t="s">
        <v>581</v>
      </c>
      <c r="D1585" s="43" t="s">
        <v>590</v>
      </c>
      <c r="E1585" s="43" t="s">
        <v>493</v>
      </c>
      <c r="F1585" s="43">
        <v>0</v>
      </c>
      <c r="G1585" s="43" t="s">
        <v>4625</v>
      </c>
      <c r="H1585" s="43" t="s">
        <v>4761</v>
      </c>
    </row>
    <row r="1586" spans="1:8" hidden="1" x14ac:dyDescent="0.25">
      <c r="A1586" s="43">
        <v>236</v>
      </c>
      <c r="B1586" s="43" t="s">
        <v>76</v>
      </c>
      <c r="C1586" s="43" t="s">
        <v>581</v>
      </c>
      <c r="D1586" s="43" t="s">
        <v>591</v>
      </c>
      <c r="E1586" s="43" t="s">
        <v>314</v>
      </c>
      <c r="F1586" s="43">
        <v>1</v>
      </c>
      <c r="G1586"/>
      <c r="H1586"/>
    </row>
    <row r="1587" spans="1:8" hidden="1" x14ac:dyDescent="0.25">
      <c r="A1587" s="43">
        <v>236</v>
      </c>
      <c r="B1587" s="43" t="s">
        <v>76</v>
      </c>
      <c r="C1587" s="43" t="s">
        <v>581</v>
      </c>
      <c r="D1587" s="43" t="s">
        <v>592</v>
      </c>
      <c r="E1587" s="43" t="s">
        <v>275</v>
      </c>
      <c r="F1587" s="43">
        <v>1</v>
      </c>
      <c r="G1587"/>
      <c r="H1587"/>
    </row>
    <row r="1588" spans="1:8" hidden="1" x14ac:dyDescent="0.25">
      <c r="A1588" s="43">
        <v>236</v>
      </c>
      <c r="B1588" s="43" t="s">
        <v>76</v>
      </c>
      <c r="C1588" s="43" t="s">
        <v>581</v>
      </c>
      <c r="D1588" s="43" t="s">
        <v>593</v>
      </c>
      <c r="E1588" s="43" t="s">
        <v>594</v>
      </c>
      <c r="F1588" s="43">
        <v>1</v>
      </c>
      <c r="G1588"/>
      <c r="H1588"/>
    </row>
    <row r="1589" spans="1:8" hidden="1" x14ac:dyDescent="0.25">
      <c r="A1589" s="43">
        <v>236</v>
      </c>
      <c r="B1589" s="43" t="s">
        <v>76</v>
      </c>
      <c r="C1589" s="43" t="s">
        <v>581</v>
      </c>
      <c r="D1589" s="43" t="s">
        <v>595</v>
      </c>
      <c r="E1589" s="43" t="s">
        <v>349</v>
      </c>
      <c r="F1589" s="43">
        <v>1</v>
      </c>
      <c r="G1589"/>
      <c r="H1589"/>
    </row>
    <row r="1590" spans="1:8" hidden="1" x14ac:dyDescent="0.25">
      <c r="A1590" s="43">
        <v>236</v>
      </c>
      <c r="B1590" s="43" t="s">
        <v>76</v>
      </c>
      <c r="C1590" s="43" t="s">
        <v>581</v>
      </c>
      <c r="D1590" s="43" t="s">
        <v>596</v>
      </c>
      <c r="E1590" s="43" t="s">
        <v>597</v>
      </c>
      <c r="F1590" s="43">
        <v>1</v>
      </c>
      <c r="G1590"/>
      <c r="H1590"/>
    </row>
    <row r="1591" spans="1:8" hidden="1" x14ac:dyDescent="0.25">
      <c r="A1591" s="43">
        <v>236</v>
      </c>
      <c r="B1591" s="43" t="s">
        <v>76</v>
      </c>
      <c r="C1591" s="43" t="s">
        <v>581</v>
      </c>
      <c r="D1591" s="43" t="s">
        <v>598</v>
      </c>
      <c r="E1591" s="43" t="s">
        <v>599</v>
      </c>
      <c r="F1591" s="43">
        <v>1</v>
      </c>
      <c r="G1591"/>
      <c r="H1591"/>
    </row>
    <row r="1592" spans="1:8" hidden="1" x14ac:dyDescent="0.25">
      <c r="A1592" s="43">
        <v>236</v>
      </c>
      <c r="B1592" s="43" t="s">
        <v>76</v>
      </c>
      <c r="C1592" s="43" t="s">
        <v>581</v>
      </c>
      <c r="D1592" s="43" t="s">
        <v>600</v>
      </c>
      <c r="E1592" s="43" t="s">
        <v>601</v>
      </c>
      <c r="F1592" s="43">
        <v>0</v>
      </c>
      <c r="G1592" s="43" t="s">
        <v>4625</v>
      </c>
      <c r="H1592" s="43" t="s">
        <v>4761</v>
      </c>
    </row>
    <row r="1593" spans="1:8" hidden="1" x14ac:dyDescent="0.25">
      <c r="A1593" s="43">
        <v>236</v>
      </c>
      <c r="B1593" s="43" t="s">
        <v>76</v>
      </c>
      <c r="C1593" s="43" t="s">
        <v>581</v>
      </c>
      <c r="D1593" s="43" t="s">
        <v>602</v>
      </c>
      <c r="E1593" s="43" t="s">
        <v>603</v>
      </c>
      <c r="F1593" s="43">
        <v>1</v>
      </c>
      <c r="G1593"/>
      <c r="H1593"/>
    </row>
    <row r="1594" spans="1:8" hidden="1" x14ac:dyDescent="0.25">
      <c r="A1594" s="43">
        <v>236</v>
      </c>
      <c r="B1594" s="43" t="s">
        <v>76</v>
      </c>
      <c r="C1594" s="43" t="s">
        <v>581</v>
      </c>
      <c r="D1594" s="43" t="s">
        <v>604</v>
      </c>
      <c r="E1594" s="43" t="s">
        <v>605</v>
      </c>
      <c r="F1594" s="43">
        <v>1</v>
      </c>
      <c r="G1594"/>
      <c r="H1594"/>
    </row>
    <row r="1595" spans="1:8" hidden="1" x14ac:dyDescent="0.25">
      <c r="A1595" s="43">
        <v>236</v>
      </c>
      <c r="B1595" s="43" t="s">
        <v>76</v>
      </c>
      <c r="C1595" s="43" t="s">
        <v>581</v>
      </c>
      <c r="D1595" s="43" t="s">
        <v>606</v>
      </c>
      <c r="E1595" s="43" t="s">
        <v>503</v>
      </c>
      <c r="F1595" s="43">
        <v>0</v>
      </c>
      <c r="G1595" s="43" t="s">
        <v>4625</v>
      </c>
      <c r="H1595" s="43" t="s">
        <v>4761</v>
      </c>
    </row>
    <row r="1596" spans="1:8" hidden="1" x14ac:dyDescent="0.25">
      <c r="A1596" s="43">
        <v>236</v>
      </c>
      <c r="B1596" s="43" t="s">
        <v>76</v>
      </c>
      <c r="C1596" s="43" t="s">
        <v>581</v>
      </c>
      <c r="D1596" s="43" t="s">
        <v>607</v>
      </c>
      <c r="E1596" s="43" t="s">
        <v>505</v>
      </c>
      <c r="F1596" s="43">
        <v>1</v>
      </c>
      <c r="G1596"/>
      <c r="H1596"/>
    </row>
    <row r="1597" spans="1:8" hidden="1" x14ac:dyDescent="0.25">
      <c r="A1597" s="43">
        <v>236</v>
      </c>
      <c r="B1597" s="43" t="s">
        <v>76</v>
      </c>
      <c r="C1597" s="43" t="s">
        <v>581</v>
      </c>
      <c r="D1597" s="43" t="s">
        <v>608</v>
      </c>
      <c r="E1597" s="43" t="s">
        <v>609</v>
      </c>
      <c r="F1597" s="43">
        <v>1</v>
      </c>
      <c r="G1597"/>
      <c r="H1597"/>
    </row>
    <row r="1598" spans="1:8" hidden="1" x14ac:dyDescent="0.25">
      <c r="A1598" s="43">
        <v>241</v>
      </c>
      <c r="B1598" s="43" t="s">
        <v>77</v>
      </c>
      <c r="C1598" s="43" t="s">
        <v>581</v>
      </c>
      <c r="D1598" s="43" t="s">
        <v>582</v>
      </c>
      <c r="E1598" s="43" t="s">
        <v>583</v>
      </c>
      <c r="F1598" s="43">
        <v>1</v>
      </c>
      <c r="G1598"/>
      <c r="H1598"/>
    </row>
    <row r="1599" spans="1:8" hidden="1" x14ac:dyDescent="0.25">
      <c r="A1599" s="43">
        <v>241</v>
      </c>
      <c r="B1599" s="43" t="s">
        <v>77</v>
      </c>
      <c r="C1599" s="43" t="s">
        <v>581</v>
      </c>
      <c r="D1599" s="43" t="s">
        <v>584</v>
      </c>
      <c r="E1599" s="43" t="s">
        <v>306</v>
      </c>
      <c r="F1599" s="43">
        <v>1</v>
      </c>
      <c r="G1599"/>
      <c r="H1599"/>
    </row>
    <row r="1600" spans="1:8" hidden="1" x14ac:dyDescent="0.25">
      <c r="A1600" s="43">
        <v>241</v>
      </c>
      <c r="B1600" s="43" t="s">
        <v>77</v>
      </c>
      <c r="C1600" s="43" t="s">
        <v>581</v>
      </c>
      <c r="D1600" s="43" t="s">
        <v>585</v>
      </c>
      <c r="E1600" s="43" t="s">
        <v>586</v>
      </c>
      <c r="F1600" s="43">
        <v>1</v>
      </c>
      <c r="G1600"/>
      <c r="H1600"/>
    </row>
    <row r="1601" spans="1:8" hidden="1" x14ac:dyDescent="0.25">
      <c r="A1601" s="43">
        <v>241</v>
      </c>
      <c r="B1601" s="43" t="s">
        <v>77</v>
      </c>
      <c r="C1601" s="43" t="s">
        <v>581</v>
      </c>
      <c r="D1601" s="43" t="s">
        <v>587</v>
      </c>
      <c r="E1601" s="43" t="s">
        <v>588</v>
      </c>
      <c r="F1601" s="43">
        <v>1</v>
      </c>
      <c r="G1601"/>
      <c r="H1601"/>
    </row>
    <row r="1602" spans="1:8" hidden="1" x14ac:dyDescent="0.25">
      <c r="A1602" s="43">
        <v>241</v>
      </c>
      <c r="B1602" s="43" t="s">
        <v>77</v>
      </c>
      <c r="C1602" s="43" t="s">
        <v>581</v>
      </c>
      <c r="D1602" s="43" t="s">
        <v>589</v>
      </c>
      <c r="E1602" s="43" t="s">
        <v>312</v>
      </c>
      <c r="F1602" s="43">
        <v>1</v>
      </c>
      <c r="G1602"/>
      <c r="H1602"/>
    </row>
    <row r="1603" spans="1:8" hidden="1" x14ac:dyDescent="0.25">
      <c r="A1603" s="43">
        <v>241</v>
      </c>
      <c r="B1603" s="43" t="s">
        <v>77</v>
      </c>
      <c r="C1603" s="43" t="s">
        <v>581</v>
      </c>
      <c r="D1603" s="43" t="s">
        <v>590</v>
      </c>
      <c r="E1603" s="43" t="s">
        <v>493</v>
      </c>
      <c r="F1603" s="43">
        <v>1</v>
      </c>
      <c r="G1603"/>
      <c r="H1603"/>
    </row>
    <row r="1604" spans="1:8" hidden="1" x14ac:dyDescent="0.25">
      <c r="A1604" s="43">
        <v>241</v>
      </c>
      <c r="B1604" s="43" t="s">
        <v>77</v>
      </c>
      <c r="C1604" s="43" t="s">
        <v>581</v>
      </c>
      <c r="D1604" s="43" t="s">
        <v>591</v>
      </c>
      <c r="E1604" s="43" t="s">
        <v>314</v>
      </c>
      <c r="F1604" s="43">
        <v>1</v>
      </c>
      <c r="G1604"/>
      <c r="H1604"/>
    </row>
    <row r="1605" spans="1:8" hidden="1" x14ac:dyDescent="0.25">
      <c r="A1605" s="43">
        <v>241</v>
      </c>
      <c r="B1605" s="43" t="s">
        <v>77</v>
      </c>
      <c r="C1605" s="43" t="s">
        <v>581</v>
      </c>
      <c r="D1605" s="43" t="s">
        <v>592</v>
      </c>
      <c r="E1605" s="43" t="s">
        <v>275</v>
      </c>
      <c r="F1605" s="43">
        <v>1</v>
      </c>
      <c r="G1605"/>
      <c r="H1605"/>
    </row>
    <row r="1606" spans="1:8" hidden="1" x14ac:dyDescent="0.25">
      <c r="A1606" s="43">
        <v>241</v>
      </c>
      <c r="B1606" s="43" t="s">
        <v>77</v>
      </c>
      <c r="C1606" s="43" t="s">
        <v>581</v>
      </c>
      <c r="D1606" s="43" t="s">
        <v>593</v>
      </c>
      <c r="E1606" s="43" t="s">
        <v>594</v>
      </c>
      <c r="F1606" s="43">
        <v>1</v>
      </c>
      <c r="G1606"/>
      <c r="H1606"/>
    </row>
    <row r="1607" spans="1:8" hidden="1" x14ac:dyDescent="0.25">
      <c r="A1607" s="43">
        <v>241</v>
      </c>
      <c r="B1607" s="43" t="s">
        <v>77</v>
      </c>
      <c r="C1607" s="43" t="s">
        <v>581</v>
      </c>
      <c r="D1607" s="43" t="s">
        <v>595</v>
      </c>
      <c r="E1607" s="43" t="s">
        <v>349</v>
      </c>
      <c r="F1607" s="43">
        <v>1</v>
      </c>
      <c r="G1607"/>
      <c r="H1607"/>
    </row>
    <row r="1608" spans="1:8" hidden="1" x14ac:dyDescent="0.25">
      <c r="A1608" s="43">
        <v>241</v>
      </c>
      <c r="B1608" s="43" t="s">
        <v>77</v>
      </c>
      <c r="C1608" s="43" t="s">
        <v>581</v>
      </c>
      <c r="D1608" s="43" t="s">
        <v>596</v>
      </c>
      <c r="E1608" s="43" t="s">
        <v>597</v>
      </c>
      <c r="F1608" s="43">
        <v>1</v>
      </c>
      <c r="G1608"/>
      <c r="H1608"/>
    </row>
    <row r="1609" spans="1:8" hidden="1" x14ac:dyDescent="0.25">
      <c r="A1609" s="43">
        <v>241</v>
      </c>
      <c r="B1609" s="43" t="s">
        <v>77</v>
      </c>
      <c r="C1609" s="43" t="s">
        <v>581</v>
      </c>
      <c r="D1609" s="43" t="s">
        <v>598</v>
      </c>
      <c r="E1609" s="43" t="s">
        <v>599</v>
      </c>
      <c r="F1609" s="43">
        <v>1</v>
      </c>
      <c r="G1609"/>
      <c r="H1609"/>
    </row>
    <row r="1610" spans="1:8" hidden="1" x14ac:dyDescent="0.25">
      <c r="A1610" s="43">
        <v>241</v>
      </c>
      <c r="B1610" s="43" t="s">
        <v>77</v>
      </c>
      <c r="C1610" s="43" t="s">
        <v>581</v>
      </c>
      <c r="D1610" s="43" t="s">
        <v>600</v>
      </c>
      <c r="E1610" s="43" t="s">
        <v>601</v>
      </c>
      <c r="F1610" s="43">
        <v>1</v>
      </c>
      <c r="G1610"/>
      <c r="H1610"/>
    </row>
    <row r="1611" spans="1:8" hidden="1" x14ac:dyDescent="0.25">
      <c r="A1611" s="43">
        <v>241</v>
      </c>
      <c r="B1611" s="43" t="s">
        <v>77</v>
      </c>
      <c r="C1611" s="43" t="s">
        <v>581</v>
      </c>
      <c r="D1611" s="43" t="s">
        <v>602</v>
      </c>
      <c r="E1611" s="43" t="s">
        <v>603</v>
      </c>
      <c r="F1611" s="43">
        <v>1</v>
      </c>
      <c r="G1611"/>
      <c r="H1611"/>
    </row>
    <row r="1612" spans="1:8" hidden="1" x14ac:dyDescent="0.25">
      <c r="A1612" s="43">
        <v>241</v>
      </c>
      <c r="B1612" s="43" t="s">
        <v>77</v>
      </c>
      <c r="C1612" s="43" t="s">
        <v>581</v>
      </c>
      <c r="D1612" s="43" t="s">
        <v>604</v>
      </c>
      <c r="E1612" s="43" t="s">
        <v>605</v>
      </c>
      <c r="F1612" s="43">
        <v>1</v>
      </c>
      <c r="G1612"/>
      <c r="H1612"/>
    </row>
    <row r="1613" spans="1:8" hidden="1" x14ac:dyDescent="0.25">
      <c r="A1613" s="43">
        <v>241</v>
      </c>
      <c r="B1613" s="43" t="s">
        <v>77</v>
      </c>
      <c r="C1613" s="43" t="s">
        <v>581</v>
      </c>
      <c r="D1613" s="43" t="s">
        <v>606</v>
      </c>
      <c r="E1613" s="43" t="s">
        <v>503</v>
      </c>
      <c r="F1613" s="43">
        <v>1</v>
      </c>
      <c r="G1613"/>
      <c r="H1613"/>
    </row>
    <row r="1614" spans="1:8" hidden="1" x14ac:dyDescent="0.25">
      <c r="A1614" s="43">
        <v>241</v>
      </c>
      <c r="B1614" s="43" t="s">
        <v>77</v>
      </c>
      <c r="C1614" s="43" t="s">
        <v>581</v>
      </c>
      <c r="D1614" s="43" t="s">
        <v>607</v>
      </c>
      <c r="E1614" s="43" t="s">
        <v>505</v>
      </c>
      <c r="F1614" s="43">
        <v>1</v>
      </c>
      <c r="G1614"/>
      <c r="H1614"/>
    </row>
    <row r="1615" spans="1:8" hidden="1" x14ac:dyDescent="0.25">
      <c r="A1615" s="43">
        <v>241</v>
      </c>
      <c r="B1615" s="43" t="s">
        <v>77</v>
      </c>
      <c r="C1615" s="43" t="s">
        <v>581</v>
      </c>
      <c r="D1615" s="43" t="s">
        <v>608</v>
      </c>
      <c r="E1615" s="43" t="s">
        <v>609</v>
      </c>
      <c r="F1615" s="43">
        <v>1</v>
      </c>
      <c r="G1615"/>
      <c r="H1615"/>
    </row>
    <row r="1616" spans="1:8" hidden="1" x14ac:dyDescent="0.25">
      <c r="A1616" s="43">
        <v>242</v>
      </c>
      <c r="B1616" s="43" t="s">
        <v>77</v>
      </c>
      <c r="C1616" s="43" t="s">
        <v>581</v>
      </c>
      <c r="D1616" s="43" t="s">
        <v>582</v>
      </c>
      <c r="E1616" s="43" t="s">
        <v>583</v>
      </c>
      <c r="F1616" s="43">
        <v>1</v>
      </c>
      <c r="G1616"/>
      <c r="H1616"/>
    </row>
    <row r="1617" spans="1:8" hidden="1" x14ac:dyDescent="0.25">
      <c r="A1617" s="43">
        <v>242</v>
      </c>
      <c r="B1617" s="43" t="s">
        <v>77</v>
      </c>
      <c r="C1617" s="43" t="s">
        <v>581</v>
      </c>
      <c r="D1617" s="43" t="s">
        <v>584</v>
      </c>
      <c r="E1617" s="43" t="s">
        <v>306</v>
      </c>
      <c r="F1617" s="43">
        <v>1</v>
      </c>
      <c r="G1617"/>
      <c r="H1617"/>
    </row>
    <row r="1618" spans="1:8" hidden="1" x14ac:dyDescent="0.25">
      <c r="A1618" s="43">
        <v>242</v>
      </c>
      <c r="B1618" s="43" t="s">
        <v>77</v>
      </c>
      <c r="C1618" s="43" t="s">
        <v>581</v>
      </c>
      <c r="D1618" s="43" t="s">
        <v>585</v>
      </c>
      <c r="E1618" s="43" t="s">
        <v>586</v>
      </c>
      <c r="F1618" s="43">
        <v>1</v>
      </c>
      <c r="G1618"/>
      <c r="H1618"/>
    </row>
    <row r="1619" spans="1:8" hidden="1" x14ac:dyDescent="0.25">
      <c r="A1619" s="43">
        <v>242</v>
      </c>
      <c r="B1619" s="43" t="s">
        <v>77</v>
      </c>
      <c r="C1619" s="43" t="s">
        <v>581</v>
      </c>
      <c r="D1619" s="43" t="s">
        <v>587</v>
      </c>
      <c r="E1619" s="43" t="s">
        <v>588</v>
      </c>
      <c r="F1619" s="43">
        <v>1</v>
      </c>
      <c r="G1619"/>
      <c r="H1619"/>
    </row>
    <row r="1620" spans="1:8" hidden="1" x14ac:dyDescent="0.25">
      <c r="A1620" s="43">
        <v>242</v>
      </c>
      <c r="B1620" s="43" t="s">
        <v>77</v>
      </c>
      <c r="C1620" s="43" t="s">
        <v>581</v>
      </c>
      <c r="D1620" s="43" t="s">
        <v>589</v>
      </c>
      <c r="E1620" s="43" t="s">
        <v>312</v>
      </c>
      <c r="F1620" s="43">
        <v>1</v>
      </c>
      <c r="G1620"/>
      <c r="H1620"/>
    </row>
    <row r="1621" spans="1:8" hidden="1" x14ac:dyDescent="0.25">
      <c r="A1621" s="43">
        <v>242</v>
      </c>
      <c r="B1621" s="43" t="s">
        <v>77</v>
      </c>
      <c r="C1621" s="43" t="s">
        <v>581</v>
      </c>
      <c r="D1621" s="43" t="s">
        <v>590</v>
      </c>
      <c r="E1621" s="43" t="s">
        <v>493</v>
      </c>
      <c r="F1621" s="43">
        <v>1</v>
      </c>
      <c r="G1621"/>
      <c r="H1621"/>
    </row>
    <row r="1622" spans="1:8" hidden="1" x14ac:dyDescent="0.25">
      <c r="A1622" s="43">
        <v>242</v>
      </c>
      <c r="B1622" s="43" t="s">
        <v>77</v>
      </c>
      <c r="C1622" s="43" t="s">
        <v>581</v>
      </c>
      <c r="D1622" s="43" t="s">
        <v>591</v>
      </c>
      <c r="E1622" s="43" t="s">
        <v>314</v>
      </c>
      <c r="F1622" s="43">
        <v>1</v>
      </c>
      <c r="G1622"/>
      <c r="H1622"/>
    </row>
    <row r="1623" spans="1:8" hidden="1" x14ac:dyDescent="0.25">
      <c r="A1623" s="43">
        <v>242</v>
      </c>
      <c r="B1623" s="43" t="s">
        <v>77</v>
      </c>
      <c r="C1623" s="43" t="s">
        <v>581</v>
      </c>
      <c r="D1623" s="43" t="s">
        <v>592</v>
      </c>
      <c r="E1623" s="43" t="s">
        <v>275</v>
      </c>
      <c r="F1623" s="43">
        <v>1</v>
      </c>
      <c r="G1623"/>
      <c r="H1623"/>
    </row>
    <row r="1624" spans="1:8" hidden="1" x14ac:dyDescent="0.25">
      <c r="A1624" s="43">
        <v>242</v>
      </c>
      <c r="B1624" s="43" t="s">
        <v>77</v>
      </c>
      <c r="C1624" s="43" t="s">
        <v>581</v>
      </c>
      <c r="D1624" s="43" t="s">
        <v>593</v>
      </c>
      <c r="E1624" s="43" t="s">
        <v>594</v>
      </c>
      <c r="F1624" s="43">
        <v>1</v>
      </c>
      <c r="G1624"/>
      <c r="H1624"/>
    </row>
    <row r="1625" spans="1:8" hidden="1" x14ac:dyDescent="0.25">
      <c r="A1625" s="43">
        <v>242</v>
      </c>
      <c r="B1625" s="43" t="s">
        <v>77</v>
      </c>
      <c r="C1625" s="43" t="s">
        <v>581</v>
      </c>
      <c r="D1625" s="43" t="s">
        <v>595</v>
      </c>
      <c r="E1625" s="43" t="s">
        <v>349</v>
      </c>
      <c r="F1625" s="43">
        <v>1</v>
      </c>
      <c r="G1625"/>
      <c r="H1625"/>
    </row>
    <row r="1626" spans="1:8" hidden="1" x14ac:dyDescent="0.25">
      <c r="A1626" s="43">
        <v>242</v>
      </c>
      <c r="B1626" s="43" t="s">
        <v>77</v>
      </c>
      <c r="C1626" s="43" t="s">
        <v>581</v>
      </c>
      <c r="D1626" s="43" t="s">
        <v>596</v>
      </c>
      <c r="E1626" s="43" t="s">
        <v>597</v>
      </c>
      <c r="F1626" s="43">
        <v>1</v>
      </c>
      <c r="G1626"/>
      <c r="H1626"/>
    </row>
    <row r="1627" spans="1:8" hidden="1" x14ac:dyDescent="0.25">
      <c r="A1627" s="43">
        <v>242</v>
      </c>
      <c r="B1627" s="43" t="s">
        <v>77</v>
      </c>
      <c r="C1627" s="43" t="s">
        <v>581</v>
      </c>
      <c r="D1627" s="43" t="s">
        <v>598</v>
      </c>
      <c r="E1627" s="43" t="s">
        <v>599</v>
      </c>
      <c r="F1627" s="43">
        <v>1</v>
      </c>
      <c r="G1627"/>
      <c r="H1627"/>
    </row>
    <row r="1628" spans="1:8" hidden="1" x14ac:dyDescent="0.25">
      <c r="A1628" s="43">
        <v>242</v>
      </c>
      <c r="B1628" s="43" t="s">
        <v>77</v>
      </c>
      <c r="C1628" s="43" t="s">
        <v>581</v>
      </c>
      <c r="D1628" s="43" t="s">
        <v>600</v>
      </c>
      <c r="E1628" s="43" t="s">
        <v>601</v>
      </c>
      <c r="F1628" s="43">
        <v>1</v>
      </c>
      <c r="G1628"/>
      <c r="H1628"/>
    </row>
    <row r="1629" spans="1:8" hidden="1" x14ac:dyDescent="0.25">
      <c r="A1629" s="43">
        <v>242</v>
      </c>
      <c r="B1629" s="43" t="s">
        <v>77</v>
      </c>
      <c r="C1629" s="43" t="s">
        <v>581</v>
      </c>
      <c r="D1629" s="43" t="s">
        <v>602</v>
      </c>
      <c r="E1629" s="43" t="s">
        <v>603</v>
      </c>
      <c r="F1629" s="43">
        <v>1</v>
      </c>
      <c r="G1629"/>
      <c r="H1629"/>
    </row>
    <row r="1630" spans="1:8" hidden="1" x14ac:dyDescent="0.25">
      <c r="A1630" s="43">
        <v>242</v>
      </c>
      <c r="B1630" s="43" t="s">
        <v>77</v>
      </c>
      <c r="C1630" s="43" t="s">
        <v>581</v>
      </c>
      <c r="D1630" s="43" t="s">
        <v>604</v>
      </c>
      <c r="E1630" s="43" t="s">
        <v>605</v>
      </c>
      <c r="F1630" s="43">
        <v>1</v>
      </c>
      <c r="G1630"/>
      <c r="H1630"/>
    </row>
    <row r="1631" spans="1:8" hidden="1" x14ac:dyDescent="0.25">
      <c r="A1631" s="43">
        <v>242</v>
      </c>
      <c r="B1631" s="43" t="s">
        <v>77</v>
      </c>
      <c r="C1631" s="43" t="s">
        <v>581</v>
      </c>
      <c r="D1631" s="43" t="s">
        <v>606</v>
      </c>
      <c r="E1631" s="43" t="s">
        <v>503</v>
      </c>
      <c r="F1631" s="43">
        <v>1</v>
      </c>
      <c r="G1631"/>
      <c r="H1631"/>
    </row>
    <row r="1632" spans="1:8" hidden="1" x14ac:dyDescent="0.25">
      <c r="A1632" s="43">
        <v>242</v>
      </c>
      <c r="B1632" s="43" t="s">
        <v>77</v>
      </c>
      <c r="C1632" s="43" t="s">
        <v>581</v>
      </c>
      <c r="D1632" s="43" t="s">
        <v>607</v>
      </c>
      <c r="E1632" s="43" t="s">
        <v>505</v>
      </c>
      <c r="F1632" s="43">
        <v>1</v>
      </c>
      <c r="G1632"/>
      <c r="H1632"/>
    </row>
    <row r="1633" spans="1:8" hidden="1" x14ac:dyDescent="0.25">
      <c r="A1633" s="43">
        <v>242</v>
      </c>
      <c r="B1633" s="43" t="s">
        <v>77</v>
      </c>
      <c r="C1633" s="43" t="s">
        <v>581</v>
      </c>
      <c r="D1633" s="43" t="s">
        <v>608</v>
      </c>
      <c r="E1633" s="43" t="s">
        <v>609</v>
      </c>
      <c r="F1633" s="43">
        <v>1</v>
      </c>
      <c r="G1633"/>
      <c r="H1633"/>
    </row>
    <row r="1634" spans="1:8" hidden="1" x14ac:dyDescent="0.25">
      <c r="A1634" s="43">
        <v>243</v>
      </c>
      <c r="B1634" s="43" t="s">
        <v>78</v>
      </c>
      <c r="C1634" s="43" t="s">
        <v>1292</v>
      </c>
      <c r="D1634" s="43" t="s">
        <v>1293</v>
      </c>
      <c r="E1634" s="43" t="s">
        <v>304</v>
      </c>
      <c r="F1634" s="43">
        <v>1</v>
      </c>
      <c r="G1634"/>
      <c r="H1634"/>
    </row>
    <row r="1635" spans="1:8" hidden="1" x14ac:dyDescent="0.25">
      <c r="A1635" s="43">
        <v>243</v>
      </c>
      <c r="B1635" s="43" t="s">
        <v>78</v>
      </c>
      <c r="C1635" s="43" t="s">
        <v>1292</v>
      </c>
      <c r="D1635" s="43" t="s">
        <v>1294</v>
      </c>
      <c r="E1635" s="43" t="s">
        <v>306</v>
      </c>
      <c r="F1635" s="43">
        <v>1</v>
      </c>
      <c r="G1635"/>
      <c r="H1635"/>
    </row>
    <row r="1636" spans="1:8" hidden="1" x14ac:dyDescent="0.25">
      <c r="A1636" s="43">
        <v>243</v>
      </c>
      <c r="B1636" s="43" t="s">
        <v>78</v>
      </c>
      <c r="C1636" s="43" t="s">
        <v>1292</v>
      </c>
      <c r="D1636" s="43" t="s">
        <v>1295</v>
      </c>
      <c r="E1636" s="43" t="s">
        <v>1296</v>
      </c>
      <c r="F1636" s="43">
        <v>1</v>
      </c>
      <c r="G1636"/>
      <c r="H1636"/>
    </row>
    <row r="1637" spans="1:8" hidden="1" x14ac:dyDescent="0.25">
      <c r="A1637" s="43">
        <v>243</v>
      </c>
      <c r="B1637" s="43" t="s">
        <v>78</v>
      </c>
      <c r="C1637" s="43" t="s">
        <v>1292</v>
      </c>
      <c r="D1637" s="43" t="s">
        <v>1297</v>
      </c>
      <c r="E1637" s="43" t="s">
        <v>729</v>
      </c>
      <c r="F1637" s="43">
        <v>1</v>
      </c>
      <c r="G1637"/>
      <c r="H1637"/>
    </row>
    <row r="1638" spans="1:8" hidden="1" x14ac:dyDescent="0.25">
      <c r="A1638" s="43">
        <v>243</v>
      </c>
      <c r="B1638" s="43" t="s">
        <v>78</v>
      </c>
      <c r="C1638" s="43" t="s">
        <v>1292</v>
      </c>
      <c r="D1638" s="43" t="s">
        <v>1298</v>
      </c>
      <c r="E1638" s="43" t="s">
        <v>343</v>
      </c>
      <c r="F1638" s="43">
        <v>1</v>
      </c>
      <c r="G1638"/>
      <c r="H1638"/>
    </row>
    <row r="1639" spans="1:8" hidden="1" x14ac:dyDescent="0.25">
      <c r="A1639" s="43">
        <v>243</v>
      </c>
      <c r="B1639" s="43" t="s">
        <v>78</v>
      </c>
      <c r="C1639" s="43" t="s">
        <v>1292</v>
      </c>
      <c r="D1639" s="43" t="s">
        <v>1299</v>
      </c>
      <c r="E1639" s="43" t="s">
        <v>1300</v>
      </c>
      <c r="F1639" s="43">
        <v>1</v>
      </c>
      <c r="G1639"/>
      <c r="H1639"/>
    </row>
    <row r="1640" spans="1:8" hidden="1" x14ac:dyDescent="0.25">
      <c r="A1640" s="43">
        <v>243</v>
      </c>
      <c r="B1640" s="43" t="s">
        <v>78</v>
      </c>
      <c r="C1640" s="43" t="s">
        <v>1292</v>
      </c>
      <c r="D1640" s="43" t="s">
        <v>1301</v>
      </c>
      <c r="E1640" s="43" t="s">
        <v>734</v>
      </c>
      <c r="F1640" s="43">
        <v>1</v>
      </c>
      <c r="G1640"/>
      <c r="H1640"/>
    </row>
    <row r="1641" spans="1:8" hidden="1" x14ac:dyDescent="0.25">
      <c r="A1641" s="43">
        <v>243</v>
      </c>
      <c r="B1641" s="43" t="s">
        <v>78</v>
      </c>
      <c r="C1641" s="43" t="s">
        <v>1292</v>
      </c>
      <c r="D1641" s="43" t="s">
        <v>1302</v>
      </c>
      <c r="E1641" s="43" t="s">
        <v>1303</v>
      </c>
      <c r="F1641" s="43">
        <v>1</v>
      </c>
      <c r="G1641"/>
      <c r="H1641"/>
    </row>
    <row r="1642" spans="1:8" hidden="1" x14ac:dyDescent="0.25">
      <c r="A1642" s="43">
        <v>243</v>
      </c>
      <c r="B1642" s="43" t="s">
        <v>78</v>
      </c>
      <c r="C1642" s="43" t="s">
        <v>1292</v>
      </c>
      <c r="D1642" s="43" t="s">
        <v>1304</v>
      </c>
      <c r="E1642" s="43" t="s">
        <v>1305</v>
      </c>
      <c r="F1642" s="43">
        <v>1</v>
      </c>
      <c r="G1642"/>
      <c r="H1642"/>
    </row>
    <row r="1643" spans="1:8" hidden="1" x14ac:dyDescent="0.25">
      <c r="A1643" s="43">
        <v>243</v>
      </c>
      <c r="B1643" s="43" t="s">
        <v>78</v>
      </c>
      <c r="C1643" s="43" t="s">
        <v>1292</v>
      </c>
      <c r="D1643" s="43" t="s">
        <v>1306</v>
      </c>
      <c r="E1643" s="43" t="s">
        <v>4487</v>
      </c>
      <c r="F1643" s="43">
        <v>1</v>
      </c>
      <c r="G1643"/>
      <c r="H1643"/>
    </row>
    <row r="1644" spans="1:8" hidden="1" x14ac:dyDescent="0.25">
      <c r="A1644" s="43">
        <v>243</v>
      </c>
      <c r="B1644" s="43" t="s">
        <v>78</v>
      </c>
      <c r="C1644" s="43" t="s">
        <v>1292</v>
      </c>
      <c r="D1644" s="43" t="s">
        <v>1308</v>
      </c>
      <c r="E1644" s="43" t="s">
        <v>875</v>
      </c>
      <c r="F1644" s="43">
        <v>1</v>
      </c>
      <c r="G1644"/>
      <c r="H1644"/>
    </row>
    <row r="1645" spans="1:8" hidden="1" x14ac:dyDescent="0.25">
      <c r="A1645" s="43">
        <v>243</v>
      </c>
      <c r="B1645" s="43" t="s">
        <v>78</v>
      </c>
      <c r="C1645" s="43" t="s">
        <v>1292</v>
      </c>
      <c r="D1645" s="43" t="s">
        <v>1309</v>
      </c>
      <c r="E1645" s="43" t="s">
        <v>759</v>
      </c>
      <c r="F1645" s="43">
        <v>1</v>
      </c>
      <c r="G1645"/>
      <c r="H1645"/>
    </row>
    <row r="1646" spans="1:8" hidden="1" x14ac:dyDescent="0.25">
      <c r="A1646" s="43">
        <v>243</v>
      </c>
      <c r="B1646" s="43" t="s">
        <v>78</v>
      </c>
      <c r="C1646" s="43" t="s">
        <v>1292</v>
      </c>
      <c r="D1646" s="43" t="s">
        <v>1310</v>
      </c>
      <c r="E1646" s="43" t="s">
        <v>755</v>
      </c>
      <c r="F1646" s="43">
        <v>1</v>
      </c>
      <c r="G1646"/>
      <c r="H1646"/>
    </row>
    <row r="1647" spans="1:8" hidden="1" x14ac:dyDescent="0.25">
      <c r="A1647" s="43">
        <v>243</v>
      </c>
      <c r="B1647" s="43" t="s">
        <v>78</v>
      </c>
      <c r="C1647" s="43" t="s">
        <v>1292</v>
      </c>
      <c r="D1647" s="43" t="s">
        <v>1311</v>
      </c>
      <c r="E1647" s="43" t="s">
        <v>757</v>
      </c>
      <c r="F1647" s="43">
        <v>1</v>
      </c>
      <c r="G1647"/>
      <c r="H1647"/>
    </row>
    <row r="1648" spans="1:8" hidden="1" x14ac:dyDescent="0.25">
      <c r="A1648" s="43">
        <v>244</v>
      </c>
      <c r="B1648" s="43" t="s">
        <v>78</v>
      </c>
      <c r="C1648" s="43" t="s">
        <v>1292</v>
      </c>
      <c r="D1648" s="43" t="s">
        <v>1293</v>
      </c>
      <c r="E1648" s="43" t="s">
        <v>304</v>
      </c>
      <c r="F1648" s="43">
        <v>1</v>
      </c>
      <c r="G1648"/>
      <c r="H1648"/>
    </row>
    <row r="1649" spans="1:8" hidden="1" x14ac:dyDescent="0.25">
      <c r="A1649" s="43">
        <v>244</v>
      </c>
      <c r="B1649" s="43" t="s">
        <v>78</v>
      </c>
      <c r="C1649" s="43" t="s">
        <v>1292</v>
      </c>
      <c r="D1649" s="43" t="s">
        <v>1294</v>
      </c>
      <c r="E1649" s="43" t="s">
        <v>306</v>
      </c>
      <c r="F1649" s="43">
        <v>1</v>
      </c>
      <c r="G1649"/>
      <c r="H1649"/>
    </row>
    <row r="1650" spans="1:8" hidden="1" x14ac:dyDescent="0.25">
      <c r="A1650" s="43">
        <v>244</v>
      </c>
      <c r="B1650" s="43" t="s">
        <v>78</v>
      </c>
      <c r="C1650" s="43" t="s">
        <v>1292</v>
      </c>
      <c r="D1650" s="43" t="s">
        <v>1295</v>
      </c>
      <c r="E1650" s="43" t="s">
        <v>1296</v>
      </c>
      <c r="F1650" s="43">
        <v>1</v>
      </c>
      <c r="G1650"/>
      <c r="H1650"/>
    </row>
    <row r="1651" spans="1:8" hidden="1" x14ac:dyDescent="0.25">
      <c r="A1651" s="43">
        <v>244</v>
      </c>
      <c r="B1651" s="43" t="s">
        <v>78</v>
      </c>
      <c r="C1651" s="43" t="s">
        <v>1292</v>
      </c>
      <c r="D1651" s="43" t="s">
        <v>1297</v>
      </c>
      <c r="E1651" s="43" t="s">
        <v>729</v>
      </c>
      <c r="F1651" s="43">
        <v>1</v>
      </c>
      <c r="G1651"/>
      <c r="H1651"/>
    </row>
    <row r="1652" spans="1:8" hidden="1" x14ac:dyDescent="0.25">
      <c r="A1652" s="43">
        <v>244</v>
      </c>
      <c r="B1652" s="43" t="s">
        <v>78</v>
      </c>
      <c r="C1652" s="43" t="s">
        <v>1292</v>
      </c>
      <c r="D1652" s="43" t="s">
        <v>1298</v>
      </c>
      <c r="E1652" s="43" t="s">
        <v>343</v>
      </c>
      <c r="F1652" s="43">
        <v>1</v>
      </c>
      <c r="G1652"/>
      <c r="H1652"/>
    </row>
    <row r="1653" spans="1:8" hidden="1" x14ac:dyDescent="0.25">
      <c r="A1653" s="43">
        <v>244</v>
      </c>
      <c r="B1653" s="43" t="s">
        <v>78</v>
      </c>
      <c r="C1653" s="43" t="s">
        <v>1292</v>
      </c>
      <c r="D1653" s="43" t="s">
        <v>1299</v>
      </c>
      <c r="E1653" s="43" t="s">
        <v>1300</v>
      </c>
      <c r="F1653" s="43">
        <v>0</v>
      </c>
      <c r="G1653" s="43" t="s">
        <v>4583</v>
      </c>
      <c r="H1653"/>
    </row>
    <row r="1654" spans="1:8" hidden="1" x14ac:dyDescent="0.25">
      <c r="A1654" s="43">
        <v>244</v>
      </c>
      <c r="B1654" s="43" t="s">
        <v>78</v>
      </c>
      <c r="C1654" s="43" t="s">
        <v>1292</v>
      </c>
      <c r="D1654" s="43" t="s">
        <v>1301</v>
      </c>
      <c r="E1654" s="43" t="s">
        <v>734</v>
      </c>
      <c r="F1654" s="43">
        <v>1</v>
      </c>
      <c r="G1654"/>
      <c r="H1654"/>
    </row>
    <row r="1655" spans="1:8" hidden="1" x14ac:dyDescent="0.25">
      <c r="A1655" s="43">
        <v>244</v>
      </c>
      <c r="B1655" s="43" t="s">
        <v>78</v>
      </c>
      <c r="C1655" s="43" t="s">
        <v>1292</v>
      </c>
      <c r="D1655" s="43" t="s">
        <v>1302</v>
      </c>
      <c r="E1655" s="43" t="s">
        <v>1303</v>
      </c>
      <c r="F1655" s="43">
        <v>1</v>
      </c>
      <c r="G1655"/>
      <c r="H1655"/>
    </row>
    <row r="1656" spans="1:8" hidden="1" x14ac:dyDescent="0.25">
      <c r="A1656" s="43">
        <v>244</v>
      </c>
      <c r="B1656" s="43" t="s">
        <v>78</v>
      </c>
      <c r="C1656" s="43" t="s">
        <v>1292</v>
      </c>
      <c r="D1656" s="43" t="s">
        <v>1304</v>
      </c>
      <c r="E1656" s="43" t="s">
        <v>1305</v>
      </c>
      <c r="F1656" s="43">
        <v>1</v>
      </c>
      <c r="G1656"/>
      <c r="H1656"/>
    </row>
    <row r="1657" spans="1:8" hidden="1" x14ac:dyDescent="0.25">
      <c r="A1657" s="43">
        <v>244</v>
      </c>
      <c r="B1657" s="43" t="s">
        <v>78</v>
      </c>
      <c r="C1657" s="43" t="s">
        <v>1292</v>
      </c>
      <c r="D1657" s="43" t="s">
        <v>1306</v>
      </c>
      <c r="E1657" s="43" t="s">
        <v>4487</v>
      </c>
      <c r="F1657" s="43">
        <v>1</v>
      </c>
      <c r="G1657"/>
      <c r="H1657"/>
    </row>
    <row r="1658" spans="1:8" hidden="1" x14ac:dyDescent="0.25">
      <c r="A1658" s="43">
        <v>244</v>
      </c>
      <c r="B1658" s="43" t="s">
        <v>78</v>
      </c>
      <c r="C1658" s="43" t="s">
        <v>1292</v>
      </c>
      <c r="D1658" s="43" t="s">
        <v>1308</v>
      </c>
      <c r="E1658" s="43" t="s">
        <v>875</v>
      </c>
      <c r="F1658" s="43">
        <v>1</v>
      </c>
      <c r="G1658"/>
      <c r="H1658"/>
    </row>
    <row r="1659" spans="1:8" hidden="1" x14ac:dyDescent="0.25">
      <c r="A1659" s="43">
        <v>244</v>
      </c>
      <c r="B1659" s="43" t="s">
        <v>78</v>
      </c>
      <c r="C1659" s="43" t="s">
        <v>1292</v>
      </c>
      <c r="D1659" s="43" t="s">
        <v>1309</v>
      </c>
      <c r="E1659" s="43" t="s">
        <v>759</v>
      </c>
      <c r="F1659" s="43">
        <v>1</v>
      </c>
      <c r="G1659"/>
      <c r="H1659"/>
    </row>
    <row r="1660" spans="1:8" hidden="1" x14ac:dyDescent="0.25">
      <c r="A1660" s="43">
        <v>244</v>
      </c>
      <c r="B1660" s="43" t="s">
        <v>78</v>
      </c>
      <c r="C1660" s="43" t="s">
        <v>1292</v>
      </c>
      <c r="D1660" s="43" t="s">
        <v>1310</v>
      </c>
      <c r="E1660" s="43" t="s">
        <v>755</v>
      </c>
      <c r="F1660" s="43">
        <v>1</v>
      </c>
      <c r="G1660"/>
      <c r="H1660"/>
    </row>
    <row r="1661" spans="1:8" hidden="1" x14ac:dyDescent="0.25">
      <c r="A1661" s="43">
        <v>244</v>
      </c>
      <c r="B1661" s="43" t="s">
        <v>78</v>
      </c>
      <c r="C1661" s="43" t="s">
        <v>1292</v>
      </c>
      <c r="D1661" s="43" t="s">
        <v>1311</v>
      </c>
      <c r="E1661" s="43" t="s">
        <v>757</v>
      </c>
      <c r="F1661" s="43">
        <v>1</v>
      </c>
      <c r="G1661"/>
      <c r="H1661"/>
    </row>
    <row r="1662" spans="1:8" hidden="1" x14ac:dyDescent="0.25">
      <c r="A1662" s="43">
        <v>250</v>
      </c>
      <c r="B1662" s="43" t="s">
        <v>79</v>
      </c>
      <c r="C1662" s="43" t="s">
        <v>581</v>
      </c>
      <c r="D1662" s="43" t="s">
        <v>582</v>
      </c>
      <c r="E1662" s="43" t="s">
        <v>583</v>
      </c>
      <c r="F1662" s="43">
        <v>1</v>
      </c>
      <c r="G1662"/>
      <c r="H1662"/>
    </row>
    <row r="1663" spans="1:8" hidden="1" x14ac:dyDescent="0.25">
      <c r="A1663" s="43">
        <v>250</v>
      </c>
      <c r="B1663" s="43" t="s">
        <v>79</v>
      </c>
      <c r="C1663" s="43" t="s">
        <v>581</v>
      </c>
      <c r="D1663" s="43" t="s">
        <v>584</v>
      </c>
      <c r="E1663" s="43" t="s">
        <v>306</v>
      </c>
      <c r="F1663" s="43">
        <v>1</v>
      </c>
      <c r="G1663"/>
      <c r="H1663"/>
    </row>
    <row r="1664" spans="1:8" hidden="1" x14ac:dyDescent="0.25">
      <c r="A1664" s="43">
        <v>250</v>
      </c>
      <c r="B1664" s="43" t="s">
        <v>79</v>
      </c>
      <c r="C1664" s="43" t="s">
        <v>581</v>
      </c>
      <c r="D1664" s="43" t="s">
        <v>585</v>
      </c>
      <c r="E1664" s="43" t="s">
        <v>586</v>
      </c>
      <c r="F1664" s="43">
        <v>1</v>
      </c>
      <c r="G1664"/>
      <c r="H1664"/>
    </row>
    <row r="1665" spans="1:8" hidden="1" x14ac:dyDescent="0.25">
      <c r="A1665" s="43">
        <v>250</v>
      </c>
      <c r="B1665" s="43" t="s">
        <v>79</v>
      </c>
      <c r="C1665" s="43" t="s">
        <v>581</v>
      </c>
      <c r="D1665" s="43" t="s">
        <v>587</v>
      </c>
      <c r="E1665" s="43" t="s">
        <v>588</v>
      </c>
      <c r="F1665" s="43">
        <v>1</v>
      </c>
      <c r="G1665"/>
      <c r="H1665"/>
    </row>
    <row r="1666" spans="1:8" hidden="1" x14ac:dyDescent="0.25">
      <c r="A1666" s="43">
        <v>250</v>
      </c>
      <c r="B1666" s="43" t="s">
        <v>79</v>
      </c>
      <c r="C1666" s="43" t="s">
        <v>581</v>
      </c>
      <c r="D1666" s="43" t="s">
        <v>589</v>
      </c>
      <c r="E1666" s="43" t="s">
        <v>312</v>
      </c>
      <c r="F1666" s="43">
        <v>1</v>
      </c>
      <c r="G1666"/>
      <c r="H1666"/>
    </row>
    <row r="1667" spans="1:8" hidden="1" x14ac:dyDescent="0.25">
      <c r="A1667" s="43">
        <v>250</v>
      </c>
      <c r="B1667" s="43" t="s">
        <v>79</v>
      </c>
      <c r="C1667" s="43" t="s">
        <v>581</v>
      </c>
      <c r="D1667" s="43" t="s">
        <v>590</v>
      </c>
      <c r="E1667" s="43" t="s">
        <v>493</v>
      </c>
      <c r="F1667" s="43">
        <v>1</v>
      </c>
      <c r="G1667"/>
      <c r="H1667"/>
    </row>
    <row r="1668" spans="1:8" hidden="1" x14ac:dyDescent="0.25">
      <c r="A1668" s="43">
        <v>250</v>
      </c>
      <c r="B1668" s="43" t="s">
        <v>79</v>
      </c>
      <c r="C1668" s="43" t="s">
        <v>581</v>
      </c>
      <c r="D1668" s="43" t="s">
        <v>591</v>
      </c>
      <c r="E1668" s="43" t="s">
        <v>314</v>
      </c>
      <c r="F1668" s="43">
        <v>1</v>
      </c>
      <c r="G1668"/>
      <c r="H1668"/>
    </row>
    <row r="1669" spans="1:8" hidden="1" x14ac:dyDescent="0.25">
      <c r="A1669" s="43">
        <v>250</v>
      </c>
      <c r="B1669" s="43" t="s">
        <v>79</v>
      </c>
      <c r="C1669" s="43" t="s">
        <v>581</v>
      </c>
      <c r="D1669" s="43" t="s">
        <v>592</v>
      </c>
      <c r="E1669" s="43" t="s">
        <v>275</v>
      </c>
      <c r="F1669" s="43">
        <v>1</v>
      </c>
      <c r="G1669"/>
      <c r="H1669"/>
    </row>
    <row r="1670" spans="1:8" hidden="1" x14ac:dyDescent="0.25">
      <c r="A1670" s="43">
        <v>250</v>
      </c>
      <c r="B1670" s="43" t="s">
        <v>79</v>
      </c>
      <c r="C1670" s="43" t="s">
        <v>581</v>
      </c>
      <c r="D1670" s="43" t="s">
        <v>593</v>
      </c>
      <c r="E1670" s="43" t="s">
        <v>594</v>
      </c>
      <c r="F1670" s="43">
        <v>1</v>
      </c>
      <c r="G1670"/>
      <c r="H1670"/>
    </row>
    <row r="1671" spans="1:8" hidden="1" x14ac:dyDescent="0.25">
      <c r="A1671" s="43">
        <v>250</v>
      </c>
      <c r="B1671" s="43" t="s">
        <v>79</v>
      </c>
      <c r="C1671" s="43" t="s">
        <v>581</v>
      </c>
      <c r="D1671" s="43" t="s">
        <v>595</v>
      </c>
      <c r="E1671" s="43" t="s">
        <v>349</v>
      </c>
      <c r="F1671" s="43">
        <v>1</v>
      </c>
      <c r="G1671"/>
      <c r="H1671"/>
    </row>
    <row r="1672" spans="1:8" hidden="1" x14ac:dyDescent="0.25">
      <c r="A1672" s="43">
        <v>250</v>
      </c>
      <c r="B1672" s="43" t="s">
        <v>79</v>
      </c>
      <c r="C1672" s="43" t="s">
        <v>581</v>
      </c>
      <c r="D1672" s="43" t="s">
        <v>596</v>
      </c>
      <c r="E1672" s="43" t="s">
        <v>597</v>
      </c>
      <c r="F1672" s="43">
        <v>1</v>
      </c>
      <c r="G1672"/>
      <c r="H1672"/>
    </row>
    <row r="1673" spans="1:8" hidden="1" x14ac:dyDescent="0.25">
      <c r="A1673" s="43">
        <v>250</v>
      </c>
      <c r="B1673" s="43" t="s">
        <v>79</v>
      </c>
      <c r="C1673" s="43" t="s">
        <v>581</v>
      </c>
      <c r="D1673" s="43" t="s">
        <v>598</v>
      </c>
      <c r="E1673" s="43" t="s">
        <v>599</v>
      </c>
      <c r="F1673" s="43">
        <v>1</v>
      </c>
      <c r="G1673"/>
      <c r="H1673"/>
    </row>
    <row r="1674" spans="1:8" hidden="1" x14ac:dyDescent="0.25">
      <c r="A1674" s="43">
        <v>250</v>
      </c>
      <c r="B1674" s="43" t="s">
        <v>79</v>
      </c>
      <c r="C1674" s="43" t="s">
        <v>581</v>
      </c>
      <c r="D1674" s="43" t="s">
        <v>600</v>
      </c>
      <c r="E1674" s="43" t="s">
        <v>601</v>
      </c>
      <c r="F1674" s="43">
        <v>1</v>
      </c>
      <c r="G1674"/>
      <c r="H1674"/>
    </row>
    <row r="1675" spans="1:8" hidden="1" x14ac:dyDescent="0.25">
      <c r="A1675" s="43">
        <v>250</v>
      </c>
      <c r="B1675" s="43" t="s">
        <v>79</v>
      </c>
      <c r="C1675" s="43" t="s">
        <v>581</v>
      </c>
      <c r="D1675" s="43" t="s">
        <v>602</v>
      </c>
      <c r="E1675" s="43" t="s">
        <v>603</v>
      </c>
      <c r="F1675" s="43">
        <v>1</v>
      </c>
      <c r="G1675"/>
      <c r="H1675"/>
    </row>
    <row r="1676" spans="1:8" hidden="1" x14ac:dyDescent="0.25">
      <c r="A1676" s="43">
        <v>250</v>
      </c>
      <c r="B1676" s="43" t="s">
        <v>79</v>
      </c>
      <c r="C1676" s="43" t="s">
        <v>581</v>
      </c>
      <c r="D1676" s="43" t="s">
        <v>604</v>
      </c>
      <c r="E1676" s="43" t="s">
        <v>605</v>
      </c>
      <c r="F1676" s="43">
        <v>1</v>
      </c>
      <c r="G1676"/>
      <c r="H1676"/>
    </row>
    <row r="1677" spans="1:8" hidden="1" x14ac:dyDescent="0.25">
      <c r="A1677" s="43">
        <v>250</v>
      </c>
      <c r="B1677" s="43" t="s">
        <v>79</v>
      </c>
      <c r="C1677" s="43" t="s">
        <v>581</v>
      </c>
      <c r="D1677" s="43" t="s">
        <v>606</v>
      </c>
      <c r="E1677" s="43" t="s">
        <v>503</v>
      </c>
      <c r="F1677" s="43">
        <v>1</v>
      </c>
      <c r="G1677"/>
      <c r="H1677"/>
    </row>
    <row r="1678" spans="1:8" hidden="1" x14ac:dyDescent="0.25">
      <c r="A1678" s="43">
        <v>250</v>
      </c>
      <c r="B1678" s="43" t="s">
        <v>79</v>
      </c>
      <c r="C1678" s="43" t="s">
        <v>581</v>
      </c>
      <c r="D1678" s="43" t="s">
        <v>607</v>
      </c>
      <c r="E1678" s="43" t="s">
        <v>505</v>
      </c>
      <c r="F1678" s="43">
        <v>1</v>
      </c>
      <c r="G1678"/>
      <c r="H1678"/>
    </row>
    <row r="1679" spans="1:8" hidden="1" x14ac:dyDescent="0.25">
      <c r="A1679" s="43">
        <v>250</v>
      </c>
      <c r="B1679" s="43" t="s">
        <v>79</v>
      </c>
      <c r="C1679" s="43" t="s">
        <v>581</v>
      </c>
      <c r="D1679" s="43" t="s">
        <v>608</v>
      </c>
      <c r="E1679" s="43" t="s">
        <v>609</v>
      </c>
      <c r="F1679" s="43">
        <v>1</v>
      </c>
      <c r="G1679"/>
      <c r="H1679"/>
    </row>
    <row r="1680" spans="1:8" hidden="1" x14ac:dyDescent="0.25">
      <c r="A1680" s="43">
        <v>255</v>
      </c>
      <c r="B1680" s="43" t="s">
        <v>80</v>
      </c>
      <c r="C1680" s="43" t="s">
        <v>1640</v>
      </c>
      <c r="D1680" s="43" t="s">
        <v>1641</v>
      </c>
      <c r="E1680" s="43" t="s">
        <v>640</v>
      </c>
      <c r="F1680" s="43">
        <v>1</v>
      </c>
      <c r="G1680"/>
      <c r="H1680"/>
    </row>
    <row r="1681" spans="1:8" hidden="1" x14ac:dyDescent="0.25">
      <c r="A1681" s="43">
        <v>255</v>
      </c>
      <c r="B1681" s="43" t="s">
        <v>80</v>
      </c>
      <c r="C1681" s="43" t="s">
        <v>1640</v>
      </c>
      <c r="D1681" s="43" t="s">
        <v>1642</v>
      </c>
      <c r="E1681" s="43" t="s">
        <v>1643</v>
      </c>
      <c r="F1681" s="43">
        <v>1</v>
      </c>
      <c r="G1681"/>
      <c r="H1681"/>
    </row>
    <row r="1682" spans="1:8" hidden="1" x14ac:dyDescent="0.25">
      <c r="A1682" s="43">
        <v>255</v>
      </c>
      <c r="B1682" s="43" t="s">
        <v>80</v>
      </c>
      <c r="C1682" s="43" t="s">
        <v>1640</v>
      </c>
      <c r="D1682" s="43" t="s">
        <v>1644</v>
      </c>
      <c r="E1682" s="43" t="s">
        <v>1645</v>
      </c>
      <c r="F1682" s="43">
        <v>0</v>
      </c>
      <c r="G1682" s="43" t="s">
        <v>4625</v>
      </c>
      <c r="H1682" s="43" t="s">
        <v>4761</v>
      </c>
    </row>
    <row r="1683" spans="1:8" hidden="1" x14ac:dyDescent="0.25">
      <c r="A1683" s="43">
        <v>255</v>
      </c>
      <c r="B1683" s="43" t="s">
        <v>80</v>
      </c>
      <c r="C1683" s="43" t="s">
        <v>1640</v>
      </c>
      <c r="D1683" s="43" t="s">
        <v>1646</v>
      </c>
      <c r="E1683" s="43" t="s">
        <v>1647</v>
      </c>
      <c r="F1683" s="43">
        <v>1</v>
      </c>
      <c r="G1683"/>
      <c r="H1683"/>
    </row>
    <row r="1684" spans="1:8" hidden="1" x14ac:dyDescent="0.25">
      <c r="A1684" s="43">
        <v>255</v>
      </c>
      <c r="B1684" s="43" t="s">
        <v>80</v>
      </c>
      <c r="C1684" s="43" t="s">
        <v>1640</v>
      </c>
      <c r="D1684" s="43" t="s">
        <v>1648</v>
      </c>
      <c r="E1684" s="43" t="s">
        <v>1649</v>
      </c>
      <c r="F1684" s="43">
        <v>1</v>
      </c>
      <c r="G1684"/>
      <c r="H1684"/>
    </row>
    <row r="1685" spans="1:8" hidden="1" x14ac:dyDescent="0.25">
      <c r="A1685" s="43">
        <v>255</v>
      </c>
      <c r="B1685" s="43" t="s">
        <v>80</v>
      </c>
      <c r="C1685" s="43" t="s">
        <v>1640</v>
      </c>
      <c r="D1685" s="43" t="s">
        <v>1650</v>
      </c>
      <c r="E1685" s="43" t="s">
        <v>791</v>
      </c>
      <c r="F1685" s="43">
        <v>0</v>
      </c>
      <c r="G1685" s="43" t="s">
        <v>4625</v>
      </c>
      <c r="H1685" s="43" t="s">
        <v>4761</v>
      </c>
    </row>
    <row r="1686" spans="1:8" hidden="1" x14ac:dyDescent="0.25">
      <c r="A1686" s="43">
        <v>255</v>
      </c>
      <c r="B1686" s="43" t="s">
        <v>80</v>
      </c>
      <c r="C1686" s="43" t="s">
        <v>1640</v>
      </c>
      <c r="D1686" s="43" t="s">
        <v>1651</v>
      </c>
      <c r="E1686" s="43" t="s">
        <v>1652</v>
      </c>
      <c r="F1686" s="43">
        <v>1</v>
      </c>
      <c r="G1686"/>
      <c r="H1686"/>
    </row>
    <row r="1687" spans="1:8" hidden="1" x14ac:dyDescent="0.25">
      <c r="A1687" s="43">
        <v>255</v>
      </c>
      <c r="B1687" s="43" t="s">
        <v>80</v>
      </c>
      <c r="C1687" s="43" t="s">
        <v>1640</v>
      </c>
      <c r="D1687" s="43" t="s">
        <v>1653</v>
      </c>
      <c r="E1687" s="43" t="s">
        <v>1654</v>
      </c>
      <c r="F1687" s="43">
        <v>0</v>
      </c>
      <c r="G1687" s="43" t="s">
        <v>4625</v>
      </c>
      <c r="H1687" s="43" t="s">
        <v>4761</v>
      </c>
    </row>
    <row r="1688" spans="1:8" hidden="1" x14ac:dyDescent="0.25">
      <c r="A1688" s="43">
        <v>261</v>
      </c>
      <c r="B1688" s="43" t="s">
        <v>81</v>
      </c>
      <c r="C1688" s="43" t="s">
        <v>1155</v>
      </c>
      <c r="D1688" s="43" t="s">
        <v>1156</v>
      </c>
      <c r="E1688" s="43" t="s">
        <v>273</v>
      </c>
      <c r="F1688" s="43">
        <v>1</v>
      </c>
      <c r="G1688"/>
      <c r="H1688"/>
    </row>
    <row r="1689" spans="1:8" hidden="1" x14ac:dyDescent="0.25">
      <c r="A1689" s="43">
        <v>261</v>
      </c>
      <c r="B1689" s="43" t="s">
        <v>81</v>
      </c>
      <c r="C1689" s="43" t="s">
        <v>1155</v>
      </c>
      <c r="D1689" s="43" t="s">
        <v>1157</v>
      </c>
      <c r="E1689" s="43" t="s">
        <v>844</v>
      </c>
      <c r="F1689" s="43">
        <v>1</v>
      </c>
      <c r="G1689"/>
      <c r="H1689"/>
    </row>
    <row r="1690" spans="1:8" x14ac:dyDescent="0.25">
      <c r="A1690" s="43">
        <v>261</v>
      </c>
      <c r="B1690" s="43" t="s">
        <v>81</v>
      </c>
      <c r="C1690" s="43" t="s">
        <v>1155</v>
      </c>
      <c r="D1690" s="43" t="s">
        <v>1158</v>
      </c>
      <c r="E1690" s="43" t="s">
        <v>1159</v>
      </c>
      <c r="F1690" s="43">
        <v>2</v>
      </c>
      <c r="G1690" s="43" t="s">
        <v>4525</v>
      </c>
      <c r="H1690" s="43" t="s">
        <v>4580</v>
      </c>
    </row>
    <row r="1691" spans="1:8" x14ac:dyDescent="0.25">
      <c r="A1691" s="43">
        <v>261</v>
      </c>
      <c r="B1691" s="43" t="s">
        <v>81</v>
      </c>
      <c r="C1691" s="43" t="s">
        <v>1155</v>
      </c>
      <c r="D1691" s="43" t="s">
        <v>1160</v>
      </c>
      <c r="E1691" s="43" t="s">
        <v>1161</v>
      </c>
      <c r="F1691" s="43">
        <v>2</v>
      </c>
      <c r="G1691" s="43" t="s">
        <v>4525</v>
      </c>
      <c r="H1691" s="43" t="s">
        <v>4580</v>
      </c>
    </row>
    <row r="1692" spans="1:8" x14ac:dyDescent="0.25">
      <c r="A1692" s="43">
        <v>261</v>
      </c>
      <c r="B1692" s="43" t="s">
        <v>81</v>
      </c>
      <c r="C1692" s="43" t="s">
        <v>1155</v>
      </c>
      <c r="D1692" s="43" t="s">
        <v>1162</v>
      </c>
      <c r="E1692" s="43" t="s">
        <v>1163</v>
      </c>
      <c r="F1692" s="43">
        <v>2</v>
      </c>
      <c r="G1692" s="43" t="s">
        <v>4525</v>
      </c>
      <c r="H1692" s="43" t="s">
        <v>4580</v>
      </c>
    </row>
    <row r="1693" spans="1:8" x14ac:dyDescent="0.25">
      <c r="A1693" s="43">
        <v>261</v>
      </c>
      <c r="B1693" s="43" t="s">
        <v>81</v>
      </c>
      <c r="C1693" s="43" t="s">
        <v>1155</v>
      </c>
      <c r="D1693" s="43" t="s">
        <v>1164</v>
      </c>
      <c r="E1693" s="43" t="s">
        <v>1165</v>
      </c>
      <c r="F1693" s="43">
        <v>2</v>
      </c>
      <c r="G1693" s="43" t="s">
        <v>4525</v>
      </c>
      <c r="H1693" s="43" t="s">
        <v>4580</v>
      </c>
    </row>
    <row r="1694" spans="1:8" hidden="1" x14ac:dyDescent="0.25">
      <c r="A1694" s="43">
        <v>261</v>
      </c>
      <c r="B1694" s="43" t="s">
        <v>81</v>
      </c>
      <c r="C1694" s="43" t="s">
        <v>1155</v>
      </c>
      <c r="D1694" s="43" t="s">
        <v>1166</v>
      </c>
      <c r="E1694" s="43" t="s">
        <v>295</v>
      </c>
      <c r="F1694" s="43">
        <v>1</v>
      </c>
      <c r="G1694"/>
      <c r="H1694"/>
    </row>
    <row r="1695" spans="1:8" hidden="1" x14ac:dyDescent="0.25">
      <c r="A1695" s="43">
        <v>261</v>
      </c>
      <c r="B1695" s="43" t="s">
        <v>81</v>
      </c>
      <c r="C1695" s="43" t="s">
        <v>1155</v>
      </c>
      <c r="D1695" s="43" t="s">
        <v>1167</v>
      </c>
      <c r="E1695" s="43" t="s">
        <v>1168</v>
      </c>
      <c r="F1695" s="43">
        <v>2</v>
      </c>
      <c r="G1695" s="43" t="s">
        <v>4500</v>
      </c>
      <c r="H1695" s="43" t="s">
        <v>4581</v>
      </c>
    </row>
    <row r="1696" spans="1:8" hidden="1" x14ac:dyDescent="0.25">
      <c r="A1696" s="43">
        <v>268</v>
      </c>
      <c r="B1696" s="43" t="s">
        <v>82</v>
      </c>
      <c r="C1696" s="43" t="s">
        <v>1366</v>
      </c>
      <c r="D1696" s="43" t="s">
        <v>1367</v>
      </c>
      <c r="E1696" s="43" t="s">
        <v>1368</v>
      </c>
      <c r="F1696" s="43">
        <v>0</v>
      </c>
      <c r="G1696" s="43" t="s">
        <v>4583</v>
      </c>
      <c r="H1696"/>
    </row>
    <row r="1697" spans="1:8" hidden="1" x14ac:dyDescent="0.25">
      <c r="A1697" s="43">
        <v>268</v>
      </c>
      <c r="B1697" s="43" t="s">
        <v>82</v>
      </c>
      <c r="C1697" s="43" t="s">
        <v>1366</v>
      </c>
      <c r="D1697" s="43" t="s">
        <v>1369</v>
      </c>
      <c r="E1697" s="43" t="s">
        <v>1370</v>
      </c>
      <c r="F1697" s="43">
        <v>0</v>
      </c>
      <c r="G1697" s="43" t="s">
        <v>4583</v>
      </c>
      <c r="H1697"/>
    </row>
    <row r="1698" spans="1:8" hidden="1" x14ac:dyDescent="0.25">
      <c r="A1698" s="43">
        <v>268</v>
      </c>
      <c r="B1698" s="43" t="s">
        <v>82</v>
      </c>
      <c r="C1698" s="43" t="s">
        <v>1366</v>
      </c>
      <c r="D1698" s="43" t="s">
        <v>1371</v>
      </c>
      <c r="E1698" s="43" t="s">
        <v>283</v>
      </c>
      <c r="F1698" s="43">
        <v>1</v>
      </c>
      <c r="G1698"/>
      <c r="H1698"/>
    </row>
    <row r="1699" spans="1:8" hidden="1" x14ac:dyDescent="0.25">
      <c r="A1699" s="43">
        <v>268</v>
      </c>
      <c r="B1699" s="43" t="s">
        <v>82</v>
      </c>
      <c r="C1699" s="43" t="s">
        <v>1366</v>
      </c>
      <c r="D1699" s="43" t="s">
        <v>1372</v>
      </c>
      <c r="E1699" s="43" t="s">
        <v>4468</v>
      </c>
      <c r="F1699" s="43">
        <v>1</v>
      </c>
      <c r="G1699"/>
      <c r="H1699"/>
    </row>
    <row r="1700" spans="1:8" hidden="1" x14ac:dyDescent="0.25">
      <c r="A1700" s="43">
        <v>268</v>
      </c>
      <c r="B1700" s="43" t="s">
        <v>82</v>
      </c>
      <c r="C1700" s="43" t="s">
        <v>1366</v>
      </c>
      <c r="D1700" s="43" t="s">
        <v>1374</v>
      </c>
      <c r="E1700" s="43" t="s">
        <v>1375</v>
      </c>
      <c r="F1700" s="43">
        <v>1</v>
      </c>
      <c r="G1700"/>
      <c r="H1700"/>
    </row>
    <row r="1701" spans="1:8" hidden="1" x14ac:dyDescent="0.25">
      <c r="A1701" s="43">
        <v>268</v>
      </c>
      <c r="B1701" s="43" t="s">
        <v>82</v>
      </c>
      <c r="C1701" s="43" t="s">
        <v>1366</v>
      </c>
      <c r="D1701" s="43" t="s">
        <v>1376</v>
      </c>
      <c r="E1701" s="43" t="s">
        <v>531</v>
      </c>
      <c r="F1701" s="43">
        <v>1</v>
      </c>
      <c r="G1701"/>
      <c r="H1701"/>
    </row>
    <row r="1702" spans="1:8" hidden="1" x14ac:dyDescent="0.25">
      <c r="A1702" s="43">
        <v>268</v>
      </c>
      <c r="B1702" s="43" t="s">
        <v>82</v>
      </c>
      <c r="C1702" s="43" t="s">
        <v>1366</v>
      </c>
      <c r="D1702" s="43" t="s">
        <v>1377</v>
      </c>
      <c r="E1702" s="43" t="s">
        <v>539</v>
      </c>
      <c r="F1702" s="43">
        <v>1</v>
      </c>
      <c r="G1702"/>
      <c r="H1702"/>
    </row>
    <row r="1703" spans="1:8" hidden="1" x14ac:dyDescent="0.25">
      <c r="A1703" s="43">
        <v>268</v>
      </c>
      <c r="B1703" s="43" t="s">
        <v>82</v>
      </c>
      <c r="C1703" s="43" t="s">
        <v>1366</v>
      </c>
      <c r="D1703" s="43" t="s">
        <v>1378</v>
      </c>
      <c r="E1703" s="43" t="s">
        <v>541</v>
      </c>
      <c r="F1703" s="43">
        <v>1</v>
      </c>
      <c r="G1703"/>
      <c r="H1703"/>
    </row>
    <row r="1704" spans="1:8" hidden="1" x14ac:dyDescent="0.25">
      <c r="A1704" s="43">
        <v>268</v>
      </c>
      <c r="B1704" s="43" t="s">
        <v>82</v>
      </c>
      <c r="C1704" s="43" t="s">
        <v>1366</v>
      </c>
      <c r="D1704" s="43" t="s">
        <v>1379</v>
      </c>
      <c r="E1704" s="43" t="s">
        <v>1380</v>
      </c>
      <c r="F1704" s="43">
        <v>1</v>
      </c>
      <c r="G1704"/>
      <c r="H1704"/>
    </row>
    <row r="1705" spans="1:8" hidden="1" x14ac:dyDescent="0.25">
      <c r="A1705" s="43">
        <v>268</v>
      </c>
      <c r="B1705" s="43" t="s">
        <v>82</v>
      </c>
      <c r="C1705" s="43" t="s">
        <v>1366</v>
      </c>
      <c r="D1705" s="43" t="s">
        <v>1381</v>
      </c>
      <c r="E1705" s="43" t="s">
        <v>1382</v>
      </c>
      <c r="F1705" s="43">
        <v>0</v>
      </c>
      <c r="G1705" s="43" t="s">
        <v>4583</v>
      </c>
      <c r="H1705"/>
    </row>
    <row r="1706" spans="1:8" hidden="1" x14ac:dyDescent="0.25">
      <c r="A1706" s="43">
        <v>268</v>
      </c>
      <c r="B1706" s="43" t="s">
        <v>82</v>
      </c>
      <c r="C1706" s="43" t="s">
        <v>1366</v>
      </c>
      <c r="D1706" s="43" t="s">
        <v>1383</v>
      </c>
      <c r="E1706" s="43" t="s">
        <v>1384</v>
      </c>
      <c r="F1706" s="43">
        <v>0</v>
      </c>
      <c r="G1706" s="43" t="s">
        <v>4583</v>
      </c>
      <c r="H1706"/>
    </row>
    <row r="1707" spans="1:8" hidden="1" x14ac:dyDescent="0.25">
      <c r="A1707" s="43">
        <v>268</v>
      </c>
      <c r="B1707" s="43" t="s">
        <v>82</v>
      </c>
      <c r="C1707" s="43" t="s">
        <v>1366</v>
      </c>
      <c r="D1707" s="43" t="s">
        <v>1385</v>
      </c>
      <c r="E1707" s="43" t="s">
        <v>1386</v>
      </c>
      <c r="F1707" s="43">
        <v>1</v>
      </c>
      <c r="G1707"/>
      <c r="H1707"/>
    </row>
    <row r="1708" spans="1:8" hidden="1" x14ac:dyDescent="0.25">
      <c r="A1708" s="43">
        <v>268</v>
      </c>
      <c r="B1708" s="43" t="s">
        <v>82</v>
      </c>
      <c r="C1708" s="43" t="s">
        <v>1366</v>
      </c>
      <c r="D1708" s="43" t="s">
        <v>1387</v>
      </c>
      <c r="E1708" s="43" t="s">
        <v>295</v>
      </c>
      <c r="F1708" s="43">
        <v>1</v>
      </c>
      <c r="G1708"/>
      <c r="H1708"/>
    </row>
    <row r="1709" spans="1:8" hidden="1" x14ac:dyDescent="0.25">
      <c r="A1709" s="43">
        <v>268</v>
      </c>
      <c r="B1709" s="43" t="s">
        <v>82</v>
      </c>
      <c r="C1709" s="43" t="s">
        <v>1366</v>
      </c>
      <c r="D1709" s="43" t="s">
        <v>1388</v>
      </c>
      <c r="E1709" s="43" t="s">
        <v>875</v>
      </c>
      <c r="F1709" s="43">
        <v>1</v>
      </c>
      <c r="G1709"/>
      <c r="H1709"/>
    </row>
    <row r="1710" spans="1:8" hidden="1" x14ac:dyDescent="0.25">
      <c r="A1710" s="43">
        <v>268</v>
      </c>
      <c r="B1710" s="43" t="s">
        <v>82</v>
      </c>
      <c r="C1710" s="43" t="s">
        <v>1366</v>
      </c>
      <c r="D1710" s="43" t="s">
        <v>1389</v>
      </c>
      <c r="E1710" s="43" t="s">
        <v>551</v>
      </c>
      <c r="F1710" s="43">
        <v>1</v>
      </c>
      <c r="G1710"/>
      <c r="H1710"/>
    </row>
    <row r="1711" spans="1:8" hidden="1" x14ac:dyDescent="0.25">
      <c r="A1711" s="43">
        <v>269</v>
      </c>
      <c r="B1711" s="43" t="s">
        <v>83</v>
      </c>
      <c r="C1711" s="43" t="s">
        <v>485</v>
      </c>
      <c r="D1711" s="43" t="s">
        <v>486</v>
      </c>
      <c r="E1711" s="43" t="s">
        <v>487</v>
      </c>
      <c r="F1711" s="43">
        <v>0</v>
      </c>
      <c r="G1711" s="43" t="s">
        <v>4626</v>
      </c>
      <c r="H1711" s="43" t="s">
        <v>4761</v>
      </c>
    </row>
    <row r="1712" spans="1:8" hidden="1" x14ac:dyDescent="0.25">
      <c r="A1712" s="43">
        <v>269</v>
      </c>
      <c r="B1712" s="43" t="s">
        <v>83</v>
      </c>
      <c r="C1712" s="43" t="s">
        <v>485</v>
      </c>
      <c r="D1712" s="43" t="s">
        <v>488</v>
      </c>
      <c r="E1712" s="43" t="s">
        <v>489</v>
      </c>
      <c r="F1712" s="43">
        <v>1</v>
      </c>
      <c r="G1712"/>
      <c r="H1712"/>
    </row>
    <row r="1713" spans="1:8" hidden="1" x14ac:dyDescent="0.25">
      <c r="A1713" s="43">
        <v>269</v>
      </c>
      <c r="B1713" s="43" t="s">
        <v>83</v>
      </c>
      <c r="C1713" s="43" t="s">
        <v>485</v>
      </c>
      <c r="D1713" s="43" t="s">
        <v>490</v>
      </c>
      <c r="E1713" s="43" t="s">
        <v>312</v>
      </c>
      <c r="F1713" s="43">
        <v>1</v>
      </c>
      <c r="G1713"/>
      <c r="H1713"/>
    </row>
    <row r="1714" spans="1:8" hidden="1" x14ac:dyDescent="0.25">
      <c r="A1714" s="43">
        <v>269</v>
      </c>
      <c r="B1714" s="43" t="s">
        <v>83</v>
      </c>
      <c r="C1714" s="43" t="s">
        <v>485</v>
      </c>
      <c r="D1714" s="43" t="s">
        <v>491</v>
      </c>
      <c r="E1714" s="43" t="s">
        <v>314</v>
      </c>
      <c r="F1714" s="43">
        <v>1</v>
      </c>
      <c r="G1714"/>
      <c r="H1714"/>
    </row>
    <row r="1715" spans="1:8" hidden="1" x14ac:dyDescent="0.25">
      <c r="A1715" s="43">
        <v>269</v>
      </c>
      <c r="B1715" s="43" t="s">
        <v>83</v>
      </c>
      <c r="C1715" s="43" t="s">
        <v>485</v>
      </c>
      <c r="D1715" s="43" t="s">
        <v>492</v>
      </c>
      <c r="E1715" s="43" t="s">
        <v>493</v>
      </c>
      <c r="F1715" s="43">
        <v>1</v>
      </c>
      <c r="G1715"/>
      <c r="H1715"/>
    </row>
    <row r="1716" spans="1:8" hidden="1" x14ac:dyDescent="0.25">
      <c r="A1716" s="43">
        <v>269</v>
      </c>
      <c r="B1716" s="43" t="s">
        <v>83</v>
      </c>
      <c r="C1716" s="43" t="s">
        <v>485</v>
      </c>
      <c r="D1716" s="43" t="s">
        <v>494</v>
      </c>
      <c r="E1716" s="43" t="s">
        <v>495</v>
      </c>
      <c r="F1716" s="43">
        <v>1</v>
      </c>
      <c r="G1716"/>
      <c r="H1716"/>
    </row>
    <row r="1717" spans="1:8" hidden="1" x14ac:dyDescent="0.25">
      <c r="A1717" s="43">
        <v>269</v>
      </c>
      <c r="B1717" s="43" t="s">
        <v>83</v>
      </c>
      <c r="C1717" s="43" t="s">
        <v>485</v>
      </c>
      <c r="D1717" s="43" t="s">
        <v>496</v>
      </c>
      <c r="E1717" s="43" t="s">
        <v>497</v>
      </c>
      <c r="F1717" s="43">
        <v>1</v>
      </c>
      <c r="G1717"/>
      <c r="H1717"/>
    </row>
    <row r="1718" spans="1:8" hidden="1" x14ac:dyDescent="0.25">
      <c r="A1718" s="43">
        <v>269</v>
      </c>
      <c r="B1718" s="43" t="s">
        <v>83</v>
      </c>
      <c r="C1718" s="43" t="s">
        <v>485</v>
      </c>
      <c r="D1718" s="43" t="s">
        <v>498</v>
      </c>
      <c r="E1718" s="43" t="s">
        <v>499</v>
      </c>
      <c r="F1718" s="43">
        <v>1</v>
      </c>
      <c r="G1718"/>
      <c r="H1718"/>
    </row>
    <row r="1719" spans="1:8" hidden="1" x14ac:dyDescent="0.25">
      <c r="A1719" s="43">
        <v>269</v>
      </c>
      <c r="B1719" s="43" t="s">
        <v>83</v>
      </c>
      <c r="C1719" s="43" t="s">
        <v>485</v>
      </c>
      <c r="D1719" s="43" t="s">
        <v>500</v>
      </c>
      <c r="E1719" s="43" t="s">
        <v>501</v>
      </c>
      <c r="F1719" s="89">
        <v>1</v>
      </c>
      <c r="H1719"/>
    </row>
    <row r="1720" spans="1:8" hidden="1" x14ac:dyDescent="0.25">
      <c r="A1720" s="43">
        <v>269</v>
      </c>
      <c r="B1720" s="43" t="s">
        <v>83</v>
      </c>
      <c r="C1720" s="43" t="s">
        <v>485</v>
      </c>
      <c r="D1720" s="43" t="s">
        <v>502</v>
      </c>
      <c r="E1720" s="43" t="s">
        <v>503</v>
      </c>
      <c r="F1720" s="43">
        <v>1</v>
      </c>
      <c r="G1720"/>
      <c r="H1720"/>
    </row>
    <row r="1721" spans="1:8" hidden="1" x14ac:dyDescent="0.25">
      <c r="A1721" s="43">
        <v>269</v>
      </c>
      <c r="B1721" s="43" t="s">
        <v>83</v>
      </c>
      <c r="C1721" s="43" t="s">
        <v>485</v>
      </c>
      <c r="D1721" s="43" t="s">
        <v>504</v>
      </c>
      <c r="E1721" s="43" t="s">
        <v>505</v>
      </c>
      <c r="F1721" s="43">
        <v>1</v>
      </c>
      <c r="G1721"/>
      <c r="H1721"/>
    </row>
    <row r="1722" spans="1:8" hidden="1" x14ac:dyDescent="0.25">
      <c r="A1722" s="43">
        <v>269</v>
      </c>
      <c r="B1722" s="43" t="s">
        <v>83</v>
      </c>
      <c r="C1722" s="43" t="s">
        <v>1655</v>
      </c>
      <c r="D1722" s="43" t="s">
        <v>1656</v>
      </c>
      <c r="E1722" s="43" t="s">
        <v>304</v>
      </c>
      <c r="F1722" s="43">
        <v>1</v>
      </c>
      <c r="G1722"/>
      <c r="H1722"/>
    </row>
    <row r="1723" spans="1:8" hidden="1" x14ac:dyDescent="0.25">
      <c r="A1723" s="43">
        <v>269</v>
      </c>
      <c r="B1723" s="43" t="s">
        <v>83</v>
      </c>
      <c r="C1723" s="43" t="s">
        <v>1655</v>
      </c>
      <c r="D1723" s="43" t="s">
        <v>1657</v>
      </c>
      <c r="E1723" s="43" t="s">
        <v>306</v>
      </c>
      <c r="F1723" s="43">
        <v>1</v>
      </c>
      <c r="G1723"/>
      <c r="H1723"/>
    </row>
    <row r="1724" spans="1:8" hidden="1" x14ac:dyDescent="0.25">
      <c r="A1724" s="43">
        <v>269</v>
      </c>
      <c r="B1724" s="43" t="s">
        <v>83</v>
      </c>
      <c r="C1724" s="43" t="s">
        <v>1655</v>
      </c>
      <c r="D1724" s="43" t="s">
        <v>1658</v>
      </c>
      <c r="E1724" s="43" t="s">
        <v>1659</v>
      </c>
      <c r="F1724" s="43">
        <v>1</v>
      </c>
      <c r="G1724"/>
      <c r="H1724"/>
    </row>
    <row r="1725" spans="1:8" hidden="1" x14ac:dyDescent="0.25">
      <c r="A1725" s="43">
        <v>269</v>
      </c>
      <c r="B1725" s="43" t="s">
        <v>83</v>
      </c>
      <c r="C1725" s="43" t="s">
        <v>1655</v>
      </c>
      <c r="D1725" s="43" t="s">
        <v>1660</v>
      </c>
      <c r="E1725" s="43" t="s">
        <v>1661</v>
      </c>
      <c r="F1725" s="43">
        <v>1</v>
      </c>
      <c r="G1725"/>
      <c r="H1725"/>
    </row>
    <row r="1726" spans="1:8" hidden="1" x14ac:dyDescent="0.25">
      <c r="A1726" s="43">
        <v>269</v>
      </c>
      <c r="B1726" s="43" t="s">
        <v>83</v>
      </c>
      <c r="C1726" s="43" t="s">
        <v>1655</v>
      </c>
      <c r="D1726" s="43" t="s">
        <v>1662</v>
      </c>
      <c r="E1726" s="43" t="s">
        <v>312</v>
      </c>
      <c r="F1726" s="43">
        <v>1</v>
      </c>
      <c r="G1726"/>
      <c r="H1726"/>
    </row>
    <row r="1727" spans="1:8" hidden="1" x14ac:dyDescent="0.25">
      <c r="A1727" s="43">
        <v>269</v>
      </c>
      <c r="B1727" s="43" t="s">
        <v>83</v>
      </c>
      <c r="C1727" s="43" t="s">
        <v>1655</v>
      </c>
      <c r="D1727" s="43" t="s">
        <v>1663</v>
      </c>
      <c r="E1727" s="43" t="s">
        <v>314</v>
      </c>
      <c r="F1727" s="43">
        <v>1</v>
      </c>
      <c r="G1727"/>
      <c r="H1727"/>
    </row>
    <row r="1728" spans="1:8" hidden="1" x14ac:dyDescent="0.25">
      <c r="A1728" s="43">
        <v>269</v>
      </c>
      <c r="B1728" s="43" t="s">
        <v>83</v>
      </c>
      <c r="C1728" s="43" t="s">
        <v>1655</v>
      </c>
      <c r="D1728" s="43" t="s">
        <v>1664</v>
      </c>
      <c r="E1728" s="43" t="s">
        <v>1665</v>
      </c>
      <c r="F1728" s="43">
        <v>1</v>
      </c>
      <c r="G1728"/>
      <c r="H1728"/>
    </row>
    <row r="1729" spans="1:8" hidden="1" x14ac:dyDescent="0.25">
      <c r="A1729" s="43">
        <v>269</v>
      </c>
      <c r="B1729" s="43" t="s">
        <v>83</v>
      </c>
      <c r="C1729" s="43" t="s">
        <v>1655</v>
      </c>
      <c r="D1729" s="43" t="s">
        <v>1666</v>
      </c>
      <c r="E1729" s="43" t="s">
        <v>1667</v>
      </c>
      <c r="F1729" s="43">
        <v>1</v>
      </c>
      <c r="G1729"/>
      <c r="H1729"/>
    </row>
    <row r="1730" spans="1:8" x14ac:dyDescent="0.25">
      <c r="A1730" s="43">
        <v>269</v>
      </c>
      <c r="B1730" s="43" t="s">
        <v>83</v>
      </c>
      <c r="C1730" s="43" t="s">
        <v>957</v>
      </c>
      <c r="D1730" s="43" t="s">
        <v>958</v>
      </c>
      <c r="E1730" s="43" t="s">
        <v>959</v>
      </c>
      <c r="F1730" s="43">
        <v>2</v>
      </c>
      <c r="G1730" s="43" t="s">
        <v>4526</v>
      </c>
      <c r="H1730" s="43" t="s">
        <v>4580</v>
      </c>
    </row>
    <row r="1731" spans="1:8" x14ac:dyDescent="0.25">
      <c r="A1731" s="43">
        <v>269</v>
      </c>
      <c r="B1731" s="43" t="s">
        <v>83</v>
      </c>
      <c r="C1731" s="43" t="s">
        <v>957</v>
      </c>
      <c r="D1731" s="43" t="s">
        <v>960</v>
      </c>
      <c r="E1731" s="43" t="s">
        <v>961</v>
      </c>
      <c r="F1731" s="43">
        <v>2</v>
      </c>
      <c r="G1731" s="43" t="s">
        <v>4526</v>
      </c>
      <c r="H1731" s="43" t="s">
        <v>4580</v>
      </c>
    </row>
    <row r="1732" spans="1:8" x14ac:dyDescent="0.25">
      <c r="A1732" s="43">
        <v>269</v>
      </c>
      <c r="B1732" s="43" t="s">
        <v>83</v>
      </c>
      <c r="C1732" s="43" t="s">
        <v>957</v>
      </c>
      <c r="D1732" s="43" t="s">
        <v>962</v>
      </c>
      <c r="E1732" s="43" t="s">
        <v>963</v>
      </c>
      <c r="F1732" s="43">
        <v>2</v>
      </c>
      <c r="G1732" s="43" t="s">
        <v>4526</v>
      </c>
      <c r="H1732" s="43" t="s">
        <v>4580</v>
      </c>
    </row>
    <row r="1733" spans="1:8" x14ac:dyDescent="0.25">
      <c r="A1733" s="43">
        <v>269</v>
      </c>
      <c r="B1733" s="43" t="s">
        <v>83</v>
      </c>
      <c r="C1733" s="43" t="s">
        <v>957</v>
      </c>
      <c r="D1733" s="43" t="s">
        <v>964</v>
      </c>
      <c r="E1733" s="43" t="s">
        <v>965</v>
      </c>
      <c r="F1733" s="43">
        <v>2</v>
      </c>
      <c r="G1733" s="43" t="s">
        <v>4526</v>
      </c>
      <c r="H1733" s="43" t="s">
        <v>4580</v>
      </c>
    </row>
    <row r="1734" spans="1:8" x14ac:dyDescent="0.25">
      <c r="A1734" s="43">
        <v>269</v>
      </c>
      <c r="B1734" s="43" t="s">
        <v>83</v>
      </c>
      <c r="C1734" s="43" t="s">
        <v>957</v>
      </c>
      <c r="D1734" s="43" t="s">
        <v>966</v>
      </c>
      <c r="E1734" s="43" t="s">
        <v>967</v>
      </c>
      <c r="F1734" s="43">
        <v>2</v>
      </c>
      <c r="G1734" s="43" t="s">
        <v>4526</v>
      </c>
      <c r="H1734" s="43" t="s">
        <v>4580</v>
      </c>
    </row>
    <row r="1735" spans="1:8" hidden="1" x14ac:dyDescent="0.25">
      <c r="A1735" s="43">
        <v>269</v>
      </c>
      <c r="B1735" s="43" t="s">
        <v>83</v>
      </c>
      <c r="C1735" s="43" t="s">
        <v>957</v>
      </c>
      <c r="D1735" s="43" t="s">
        <v>968</v>
      </c>
      <c r="E1735" s="43" t="s">
        <v>969</v>
      </c>
      <c r="F1735" s="43">
        <v>1</v>
      </c>
      <c r="G1735"/>
      <c r="H1735"/>
    </row>
    <row r="1736" spans="1:8" hidden="1" x14ac:dyDescent="0.25">
      <c r="A1736" s="43">
        <v>269</v>
      </c>
      <c r="B1736" s="43" t="s">
        <v>83</v>
      </c>
      <c r="C1736" s="43" t="s">
        <v>957</v>
      </c>
      <c r="D1736" s="43" t="s">
        <v>970</v>
      </c>
      <c r="E1736" s="43" t="s">
        <v>971</v>
      </c>
      <c r="F1736" s="43">
        <v>1</v>
      </c>
      <c r="G1736"/>
      <c r="H1736"/>
    </row>
    <row r="1737" spans="1:8" hidden="1" x14ac:dyDescent="0.25">
      <c r="A1737" s="43">
        <v>269</v>
      </c>
      <c r="B1737" s="43" t="s">
        <v>83</v>
      </c>
      <c r="C1737" s="43" t="s">
        <v>1155</v>
      </c>
      <c r="D1737" s="43" t="s">
        <v>1156</v>
      </c>
      <c r="E1737" s="43" t="s">
        <v>273</v>
      </c>
      <c r="F1737" s="43">
        <v>1</v>
      </c>
      <c r="G1737"/>
      <c r="H1737"/>
    </row>
    <row r="1738" spans="1:8" hidden="1" x14ac:dyDescent="0.25">
      <c r="A1738" s="43">
        <v>269</v>
      </c>
      <c r="B1738" s="43" t="s">
        <v>83</v>
      </c>
      <c r="C1738" s="43" t="s">
        <v>1155</v>
      </c>
      <c r="D1738" s="43" t="s">
        <v>1157</v>
      </c>
      <c r="E1738" s="43" t="s">
        <v>844</v>
      </c>
      <c r="F1738" s="43">
        <v>1</v>
      </c>
      <c r="G1738"/>
      <c r="H1738"/>
    </row>
    <row r="1739" spans="1:8" x14ac:dyDescent="0.25">
      <c r="A1739" s="43">
        <v>269</v>
      </c>
      <c r="B1739" s="43" t="s">
        <v>83</v>
      </c>
      <c r="C1739" s="43" t="s">
        <v>1155</v>
      </c>
      <c r="D1739" s="43" t="s">
        <v>1158</v>
      </c>
      <c r="E1739" s="43" t="s">
        <v>1159</v>
      </c>
      <c r="F1739" s="43">
        <v>2</v>
      </c>
      <c r="G1739" s="43" t="s">
        <v>4527</v>
      </c>
      <c r="H1739" s="43" t="s">
        <v>4580</v>
      </c>
    </row>
    <row r="1740" spans="1:8" x14ac:dyDescent="0.25">
      <c r="A1740" s="43">
        <v>269</v>
      </c>
      <c r="B1740" s="43" t="s">
        <v>83</v>
      </c>
      <c r="C1740" s="43" t="s">
        <v>1155</v>
      </c>
      <c r="D1740" s="43" t="s">
        <v>1160</v>
      </c>
      <c r="E1740" s="43" t="s">
        <v>1161</v>
      </c>
      <c r="F1740" s="43">
        <v>2</v>
      </c>
      <c r="G1740" s="43" t="s">
        <v>4527</v>
      </c>
      <c r="H1740" s="43" t="s">
        <v>4580</v>
      </c>
    </row>
    <row r="1741" spans="1:8" x14ac:dyDescent="0.25">
      <c r="A1741" s="43">
        <v>269</v>
      </c>
      <c r="B1741" s="43" t="s">
        <v>83</v>
      </c>
      <c r="C1741" s="43" t="s">
        <v>1155</v>
      </c>
      <c r="D1741" s="43" t="s">
        <v>1162</v>
      </c>
      <c r="E1741" s="43" t="s">
        <v>1163</v>
      </c>
      <c r="F1741" s="43">
        <v>2</v>
      </c>
      <c r="G1741" s="43" t="s">
        <v>4527</v>
      </c>
      <c r="H1741" s="43" t="s">
        <v>4580</v>
      </c>
    </row>
    <row r="1742" spans="1:8" x14ac:dyDescent="0.25">
      <c r="A1742" s="43">
        <v>269</v>
      </c>
      <c r="B1742" s="43" t="s">
        <v>83</v>
      </c>
      <c r="C1742" s="43" t="s">
        <v>1155</v>
      </c>
      <c r="D1742" s="43" t="s">
        <v>1164</v>
      </c>
      <c r="E1742" s="43" t="s">
        <v>1165</v>
      </c>
      <c r="F1742" s="43">
        <v>2</v>
      </c>
      <c r="G1742" s="43" t="s">
        <v>4527</v>
      </c>
      <c r="H1742" s="43" t="s">
        <v>4580</v>
      </c>
    </row>
    <row r="1743" spans="1:8" hidden="1" x14ac:dyDescent="0.25">
      <c r="A1743" s="43">
        <v>269</v>
      </c>
      <c r="B1743" s="43" t="s">
        <v>83</v>
      </c>
      <c r="C1743" s="43" t="s">
        <v>1155</v>
      </c>
      <c r="D1743" s="43" t="s">
        <v>1166</v>
      </c>
      <c r="E1743" s="43" t="s">
        <v>295</v>
      </c>
      <c r="F1743" s="43">
        <v>1</v>
      </c>
      <c r="G1743"/>
      <c r="H1743"/>
    </row>
    <row r="1744" spans="1:8" x14ac:dyDescent="0.25">
      <c r="A1744" s="43">
        <v>269</v>
      </c>
      <c r="B1744" s="43" t="s">
        <v>83</v>
      </c>
      <c r="C1744" s="43" t="s">
        <v>1155</v>
      </c>
      <c r="D1744" s="43" t="s">
        <v>1167</v>
      </c>
      <c r="E1744" s="43" t="s">
        <v>1168</v>
      </c>
      <c r="F1744" s="43">
        <v>2</v>
      </c>
      <c r="G1744" s="43" t="s">
        <v>4528</v>
      </c>
      <c r="H1744" s="43" t="s">
        <v>4580</v>
      </c>
    </row>
    <row r="1745" spans="1:8" hidden="1" x14ac:dyDescent="0.25">
      <c r="A1745" s="43">
        <v>271</v>
      </c>
      <c r="B1745" s="43" t="s">
        <v>84</v>
      </c>
      <c r="C1745" s="43" t="s">
        <v>4470</v>
      </c>
      <c r="D1745" s="43" t="s">
        <v>1493</v>
      </c>
      <c r="E1745" s="43" t="s">
        <v>1494</v>
      </c>
      <c r="F1745" s="43">
        <v>1</v>
      </c>
      <c r="G1745"/>
      <c r="H1745"/>
    </row>
    <row r="1746" spans="1:8" hidden="1" x14ac:dyDescent="0.25">
      <c r="A1746" s="43">
        <v>271</v>
      </c>
      <c r="B1746" s="43" t="s">
        <v>84</v>
      </c>
      <c r="C1746" s="43" t="s">
        <v>4470</v>
      </c>
      <c r="D1746" s="43" t="s">
        <v>1495</v>
      </c>
      <c r="E1746" s="43" t="s">
        <v>1496</v>
      </c>
      <c r="F1746" s="43">
        <v>1</v>
      </c>
      <c r="G1746"/>
      <c r="H1746"/>
    </row>
    <row r="1747" spans="1:8" hidden="1" x14ac:dyDescent="0.25">
      <c r="A1747" s="43">
        <v>271</v>
      </c>
      <c r="B1747" s="43" t="s">
        <v>84</v>
      </c>
      <c r="C1747" s="43" t="s">
        <v>4470</v>
      </c>
      <c r="D1747" s="43" t="s">
        <v>1497</v>
      </c>
      <c r="E1747" s="43" t="s">
        <v>306</v>
      </c>
      <c r="F1747" s="43">
        <v>1</v>
      </c>
      <c r="G1747"/>
      <c r="H1747"/>
    </row>
    <row r="1748" spans="1:8" hidden="1" x14ac:dyDescent="0.25">
      <c r="A1748" s="43">
        <v>271</v>
      </c>
      <c r="B1748" s="43" t="s">
        <v>84</v>
      </c>
      <c r="C1748" s="43" t="s">
        <v>4470</v>
      </c>
      <c r="D1748" s="43" t="s">
        <v>1498</v>
      </c>
      <c r="E1748" s="43" t="s">
        <v>1499</v>
      </c>
      <c r="F1748" s="43">
        <v>1</v>
      </c>
      <c r="G1748"/>
      <c r="H1748"/>
    </row>
    <row r="1749" spans="1:8" hidden="1" x14ac:dyDescent="0.25">
      <c r="A1749" s="43">
        <v>271</v>
      </c>
      <c r="B1749" s="43" t="s">
        <v>84</v>
      </c>
      <c r="C1749" s="43" t="s">
        <v>4470</v>
      </c>
      <c r="D1749" s="43" t="s">
        <v>1500</v>
      </c>
      <c r="E1749" s="43" t="s">
        <v>1397</v>
      </c>
      <c r="F1749" s="43">
        <v>1</v>
      </c>
      <c r="G1749"/>
      <c r="H1749"/>
    </row>
    <row r="1750" spans="1:8" hidden="1" x14ac:dyDescent="0.25">
      <c r="A1750" s="43">
        <v>271</v>
      </c>
      <c r="B1750" s="43" t="s">
        <v>84</v>
      </c>
      <c r="C1750" s="43" t="s">
        <v>4470</v>
      </c>
      <c r="D1750" s="43" t="s">
        <v>1501</v>
      </c>
      <c r="E1750" s="43" t="s">
        <v>1502</v>
      </c>
      <c r="F1750" s="43">
        <v>1</v>
      </c>
      <c r="G1750"/>
      <c r="H1750"/>
    </row>
    <row r="1751" spans="1:8" hidden="1" x14ac:dyDescent="0.25">
      <c r="A1751" s="43">
        <v>271</v>
      </c>
      <c r="B1751" s="43" t="s">
        <v>84</v>
      </c>
      <c r="C1751" s="43" t="s">
        <v>4470</v>
      </c>
      <c r="D1751" s="43" t="s">
        <v>1503</v>
      </c>
      <c r="E1751" s="43" t="s">
        <v>1504</v>
      </c>
      <c r="F1751" s="43">
        <v>1</v>
      </c>
      <c r="G1751"/>
      <c r="H1751"/>
    </row>
    <row r="1752" spans="1:8" hidden="1" x14ac:dyDescent="0.25">
      <c r="A1752" s="43">
        <v>271</v>
      </c>
      <c r="B1752" s="43" t="s">
        <v>84</v>
      </c>
      <c r="C1752" s="43" t="s">
        <v>4470</v>
      </c>
      <c r="D1752" s="43" t="s">
        <v>1505</v>
      </c>
      <c r="E1752" s="43" t="s">
        <v>1506</v>
      </c>
      <c r="F1752" s="43">
        <v>1</v>
      </c>
      <c r="G1752"/>
      <c r="H1752"/>
    </row>
    <row r="1753" spans="1:8" hidden="1" x14ac:dyDescent="0.25">
      <c r="A1753" s="43">
        <v>271</v>
      </c>
      <c r="B1753" s="43" t="s">
        <v>84</v>
      </c>
      <c r="C1753" s="43" t="s">
        <v>4470</v>
      </c>
      <c r="D1753" s="43" t="s">
        <v>1507</v>
      </c>
      <c r="E1753" s="43" t="s">
        <v>611</v>
      </c>
      <c r="F1753" s="43">
        <v>1</v>
      </c>
      <c r="G1753"/>
      <c r="H1753"/>
    </row>
    <row r="1754" spans="1:8" hidden="1" x14ac:dyDescent="0.25">
      <c r="A1754" s="43">
        <v>271</v>
      </c>
      <c r="B1754" s="43" t="s">
        <v>84</v>
      </c>
      <c r="C1754" s="43" t="s">
        <v>4470</v>
      </c>
      <c r="D1754" s="43" t="s">
        <v>1508</v>
      </c>
      <c r="E1754" s="43" t="s">
        <v>1509</v>
      </c>
      <c r="F1754" s="43">
        <v>1</v>
      </c>
      <c r="G1754"/>
      <c r="H1754"/>
    </row>
    <row r="1755" spans="1:8" hidden="1" x14ac:dyDescent="0.25">
      <c r="A1755" s="43">
        <v>271</v>
      </c>
      <c r="B1755" s="43" t="s">
        <v>84</v>
      </c>
      <c r="C1755" s="43" t="s">
        <v>4470</v>
      </c>
      <c r="D1755" s="43" t="s">
        <v>1510</v>
      </c>
      <c r="E1755" s="43" t="s">
        <v>613</v>
      </c>
      <c r="F1755" s="43">
        <v>1</v>
      </c>
      <c r="G1755"/>
      <c r="H1755"/>
    </row>
    <row r="1756" spans="1:8" hidden="1" x14ac:dyDescent="0.25">
      <c r="A1756" s="43">
        <v>271</v>
      </c>
      <c r="B1756" s="43" t="s">
        <v>84</v>
      </c>
      <c r="C1756" s="43" t="s">
        <v>4470</v>
      </c>
      <c r="D1756" s="43" t="s">
        <v>1511</v>
      </c>
      <c r="E1756" s="43" t="s">
        <v>1419</v>
      </c>
      <c r="F1756" s="43">
        <v>1</v>
      </c>
      <c r="G1756" s="43" t="s">
        <v>4529</v>
      </c>
    </row>
    <row r="1757" spans="1:8" hidden="1" x14ac:dyDescent="0.25">
      <c r="A1757" s="43">
        <v>271</v>
      </c>
      <c r="B1757" s="43" t="s">
        <v>84</v>
      </c>
      <c r="C1757" s="43" t="s">
        <v>4470</v>
      </c>
      <c r="D1757" s="43" t="s">
        <v>1512</v>
      </c>
      <c r="E1757" s="43" t="s">
        <v>621</v>
      </c>
      <c r="F1757" s="43">
        <v>1</v>
      </c>
      <c r="G1757" s="43" t="s">
        <v>4530</v>
      </c>
    </row>
    <row r="1758" spans="1:8" x14ac:dyDescent="0.25">
      <c r="A1758" s="43">
        <v>271</v>
      </c>
      <c r="B1758" s="43" t="s">
        <v>84</v>
      </c>
      <c r="C1758" s="43" t="s">
        <v>4470</v>
      </c>
      <c r="D1758" s="43" t="s">
        <v>1513</v>
      </c>
      <c r="E1758" s="43" t="s">
        <v>1422</v>
      </c>
      <c r="F1758" s="43">
        <v>2</v>
      </c>
      <c r="G1758" s="43" t="s">
        <v>4531</v>
      </c>
      <c r="H1758" s="43" t="s">
        <v>4580</v>
      </c>
    </row>
    <row r="1759" spans="1:8" hidden="1" x14ac:dyDescent="0.25">
      <c r="A1759" s="43">
        <v>271</v>
      </c>
      <c r="B1759" s="43" t="s">
        <v>84</v>
      </c>
      <c r="C1759" s="43" t="s">
        <v>4470</v>
      </c>
      <c r="D1759" s="43" t="s">
        <v>1514</v>
      </c>
      <c r="E1759" s="43" t="s">
        <v>614</v>
      </c>
      <c r="F1759" s="43">
        <v>1</v>
      </c>
      <c r="G1759"/>
      <c r="H1759"/>
    </row>
    <row r="1760" spans="1:8" hidden="1" x14ac:dyDescent="0.25">
      <c r="A1760" s="43">
        <v>271</v>
      </c>
      <c r="B1760" s="43" t="s">
        <v>84</v>
      </c>
      <c r="C1760" s="43" t="s">
        <v>4470</v>
      </c>
      <c r="D1760" s="43" t="s">
        <v>1515</v>
      </c>
      <c r="E1760" s="43" t="s">
        <v>615</v>
      </c>
      <c r="F1760" s="43">
        <v>1</v>
      </c>
      <c r="G1760"/>
      <c r="H1760"/>
    </row>
    <row r="1761" spans="1:8" hidden="1" x14ac:dyDescent="0.25">
      <c r="A1761" s="43">
        <v>271</v>
      </c>
      <c r="B1761" s="43" t="s">
        <v>84</v>
      </c>
      <c r="C1761" s="43" t="s">
        <v>4470</v>
      </c>
      <c r="D1761" s="43" t="s">
        <v>1516</v>
      </c>
      <c r="E1761" s="43" t="s">
        <v>1517</v>
      </c>
      <c r="F1761" s="43">
        <v>1</v>
      </c>
      <c r="G1761"/>
      <c r="H1761"/>
    </row>
    <row r="1762" spans="1:8" hidden="1" x14ac:dyDescent="0.25">
      <c r="A1762" s="43">
        <v>271</v>
      </c>
      <c r="B1762" s="43" t="s">
        <v>84</v>
      </c>
      <c r="C1762" s="43" t="s">
        <v>4470</v>
      </c>
      <c r="D1762" s="43" t="s">
        <v>1518</v>
      </c>
      <c r="E1762" s="43" t="s">
        <v>1519</v>
      </c>
      <c r="F1762" s="43">
        <v>1</v>
      </c>
      <c r="G1762"/>
      <c r="H1762"/>
    </row>
    <row r="1763" spans="1:8" hidden="1" x14ac:dyDescent="0.25">
      <c r="A1763" s="43">
        <v>271</v>
      </c>
      <c r="B1763" s="43" t="s">
        <v>84</v>
      </c>
      <c r="C1763" s="43" t="s">
        <v>4470</v>
      </c>
      <c r="D1763" s="43" t="s">
        <v>1520</v>
      </c>
      <c r="E1763" s="43" t="s">
        <v>1521</v>
      </c>
      <c r="F1763" s="43">
        <v>1</v>
      </c>
      <c r="G1763"/>
      <c r="H1763"/>
    </row>
    <row r="1764" spans="1:8" hidden="1" x14ac:dyDescent="0.25">
      <c r="A1764" s="43">
        <v>271</v>
      </c>
      <c r="B1764" s="43" t="s">
        <v>84</v>
      </c>
      <c r="C1764" s="43" t="s">
        <v>4470</v>
      </c>
      <c r="D1764" s="43" t="s">
        <v>1522</v>
      </c>
      <c r="E1764" s="43" t="s">
        <v>1523</v>
      </c>
      <c r="F1764" s="43">
        <v>1</v>
      </c>
      <c r="G1764"/>
      <c r="H1764"/>
    </row>
    <row r="1765" spans="1:8" hidden="1" x14ac:dyDescent="0.25">
      <c r="A1765" s="43">
        <v>271</v>
      </c>
      <c r="B1765" s="43" t="s">
        <v>84</v>
      </c>
      <c r="C1765" s="43" t="s">
        <v>4470</v>
      </c>
      <c r="D1765" s="43" t="s">
        <v>1524</v>
      </c>
      <c r="E1765" s="43" t="s">
        <v>1525</v>
      </c>
      <c r="F1765" s="43">
        <v>0</v>
      </c>
      <c r="G1765" s="43" t="s">
        <v>4627</v>
      </c>
      <c r="H1765" s="43" t="s">
        <v>4763</v>
      </c>
    </row>
    <row r="1766" spans="1:8" hidden="1" x14ac:dyDescent="0.25">
      <c r="A1766" s="43">
        <v>271</v>
      </c>
      <c r="B1766" s="43" t="s">
        <v>84</v>
      </c>
      <c r="C1766" s="43" t="s">
        <v>4470</v>
      </c>
      <c r="D1766" s="43" t="s">
        <v>1526</v>
      </c>
      <c r="E1766" s="43" t="s">
        <v>1527</v>
      </c>
      <c r="F1766" s="43">
        <v>1</v>
      </c>
      <c r="G1766"/>
      <c r="H1766"/>
    </row>
    <row r="1767" spans="1:8" hidden="1" x14ac:dyDescent="0.25">
      <c r="A1767" s="43">
        <v>271</v>
      </c>
      <c r="B1767" s="43" t="s">
        <v>84</v>
      </c>
      <c r="C1767" s="43" t="s">
        <v>4470</v>
      </c>
      <c r="D1767" s="43" t="s">
        <v>1528</v>
      </c>
      <c r="E1767" s="43" t="s">
        <v>4471</v>
      </c>
      <c r="F1767" s="43">
        <v>1</v>
      </c>
      <c r="G1767"/>
      <c r="H1767"/>
    </row>
    <row r="1768" spans="1:8" hidden="1" x14ac:dyDescent="0.25">
      <c r="A1768" s="43">
        <v>271</v>
      </c>
      <c r="B1768" s="43" t="s">
        <v>84</v>
      </c>
      <c r="C1768" s="43" t="s">
        <v>4470</v>
      </c>
      <c r="D1768" s="43" t="s">
        <v>1530</v>
      </c>
      <c r="E1768" s="43" t="s">
        <v>1430</v>
      </c>
      <c r="F1768" s="43">
        <v>1</v>
      </c>
      <c r="G1768"/>
      <c r="H1768"/>
    </row>
    <row r="1769" spans="1:8" hidden="1" x14ac:dyDescent="0.25">
      <c r="A1769" s="43">
        <v>271</v>
      </c>
      <c r="B1769" s="43" t="s">
        <v>84</v>
      </c>
      <c r="C1769" s="43" t="s">
        <v>4470</v>
      </c>
      <c r="D1769" s="43" t="s">
        <v>1531</v>
      </c>
      <c r="E1769" s="43" t="s">
        <v>503</v>
      </c>
      <c r="F1769" s="43">
        <v>1</v>
      </c>
      <c r="G1769"/>
      <c r="H1769"/>
    </row>
    <row r="1770" spans="1:8" hidden="1" x14ac:dyDescent="0.25">
      <c r="A1770" s="43">
        <v>271</v>
      </c>
      <c r="B1770" s="43" t="s">
        <v>84</v>
      </c>
      <c r="C1770" s="43" t="s">
        <v>4470</v>
      </c>
      <c r="D1770" s="43" t="s">
        <v>1532</v>
      </c>
      <c r="E1770" s="43" t="s">
        <v>1533</v>
      </c>
      <c r="F1770" s="43">
        <v>0</v>
      </c>
      <c r="G1770" s="43" t="s">
        <v>4583</v>
      </c>
      <c r="H1770"/>
    </row>
    <row r="1771" spans="1:8" hidden="1" x14ac:dyDescent="0.25">
      <c r="A1771" s="43">
        <v>271</v>
      </c>
      <c r="B1771" s="43" t="s">
        <v>84</v>
      </c>
      <c r="C1771" s="43" t="s">
        <v>4470</v>
      </c>
      <c r="D1771" s="43" t="s">
        <v>1534</v>
      </c>
      <c r="E1771" s="43" t="s">
        <v>1535</v>
      </c>
      <c r="F1771" s="43">
        <v>1</v>
      </c>
      <c r="G1771"/>
      <c r="H1771"/>
    </row>
    <row r="1772" spans="1:8" hidden="1" x14ac:dyDescent="0.25">
      <c r="A1772" s="43">
        <v>274</v>
      </c>
      <c r="B1772" s="43" t="s">
        <v>85</v>
      </c>
      <c r="C1772" s="43" t="s">
        <v>4478</v>
      </c>
      <c r="D1772" s="43" t="s">
        <v>1537</v>
      </c>
      <c r="E1772" s="43" t="s">
        <v>1494</v>
      </c>
      <c r="F1772" s="43">
        <v>1</v>
      </c>
      <c r="G1772"/>
      <c r="H1772"/>
    </row>
    <row r="1773" spans="1:8" hidden="1" x14ac:dyDescent="0.25">
      <c r="A1773" s="43">
        <v>274</v>
      </c>
      <c r="B1773" s="43" t="s">
        <v>85</v>
      </c>
      <c r="C1773" s="43" t="s">
        <v>4478</v>
      </c>
      <c r="D1773" s="43" t="s">
        <v>1538</v>
      </c>
      <c r="E1773" s="43" t="s">
        <v>306</v>
      </c>
      <c r="F1773" s="43">
        <v>1</v>
      </c>
      <c r="G1773"/>
      <c r="H1773"/>
    </row>
    <row r="1774" spans="1:8" hidden="1" x14ac:dyDescent="0.25">
      <c r="A1774" s="43">
        <v>274</v>
      </c>
      <c r="B1774" s="43" t="s">
        <v>85</v>
      </c>
      <c r="C1774" s="43" t="s">
        <v>4478</v>
      </c>
      <c r="D1774" s="43" t="s">
        <v>1539</v>
      </c>
      <c r="E1774" s="43" t="s">
        <v>1499</v>
      </c>
      <c r="F1774" s="43">
        <v>1</v>
      </c>
      <c r="G1774"/>
      <c r="H1774"/>
    </row>
    <row r="1775" spans="1:8" hidden="1" x14ac:dyDescent="0.25">
      <c r="A1775" s="43">
        <v>274</v>
      </c>
      <c r="B1775" s="43" t="s">
        <v>85</v>
      </c>
      <c r="C1775" s="43" t="s">
        <v>4478</v>
      </c>
      <c r="D1775" s="43" t="s">
        <v>1540</v>
      </c>
      <c r="E1775" s="43" t="s">
        <v>1541</v>
      </c>
      <c r="F1775" s="43">
        <v>1</v>
      </c>
      <c r="G1775"/>
      <c r="H1775"/>
    </row>
    <row r="1776" spans="1:8" hidden="1" x14ac:dyDescent="0.25">
      <c r="A1776" s="43">
        <v>274</v>
      </c>
      <c r="B1776" s="43" t="s">
        <v>85</v>
      </c>
      <c r="C1776" s="43" t="s">
        <v>4478</v>
      </c>
      <c r="D1776" s="43" t="s">
        <v>1542</v>
      </c>
      <c r="E1776" s="43" t="s">
        <v>1543</v>
      </c>
      <c r="F1776" s="43">
        <v>1</v>
      </c>
      <c r="G1776"/>
      <c r="H1776"/>
    </row>
    <row r="1777" spans="1:8" hidden="1" x14ac:dyDescent="0.25">
      <c r="A1777" s="43">
        <v>274</v>
      </c>
      <c r="B1777" s="43" t="s">
        <v>85</v>
      </c>
      <c r="C1777" s="43" t="s">
        <v>4478</v>
      </c>
      <c r="D1777" s="43" t="s">
        <v>1544</v>
      </c>
      <c r="E1777" s="43" t="s">
        <v>671</v>
      </c>
      <c r="F1777" s="43">
        <v>1</v>
      </c>
      <c r="G1777"/>
      <c r="H1777"/>
    </row>
    <row r="1778" spans="1:8" hidden="1" x14ac:dyDescent="0.25">
      <c r="A1778" s="43">
        <v>274</v>
      </c>
      <c r="B1778" s="43" t="s">
        <v>85</v>
      </c>
      <c r="C1778" s="43" t="s">
        <v>4478</v>
      </c>
      <c r="D1778" s="43" t="s">
        <v>1545</v>
      </c>
      <c r="E1778" s="43" t="s">
        <v>1546</v>
      </c>
      <c r="F1778" s="43">
        <v>1</v>
      </c>
      <c r="G1778"/>
      <c r="H1778"/>
    </row>
    <row r="1779" spans="1:8" hidden="1" x14ac:dyDescent="0.25">
      <c r="A1779" s="43">
        <v>274</v>
      </c>
      <c r="B1779" s="43" t="s">
        <v>85</v>
      </c>
      <c r="C1779" s="43" t="s">
        <v>4478</v>
      </c>
      <c r="D1779" s="43" t="s">
        <v>1547</v>
      </c>
      <c r="E1779" s="43" t="s">
        <v>1548</v>
      </c>
      <c r="F1779" s="43">
        <v>1</v>
      </c>
      <c r="G1779"/>
      <c r="H1779"/>
    </row>
    <row r="1780" spans="1:8" hidden="1" x14ac:dyDescent="0.25">
      <c r="A1780" s="43">
        <v>274</v>
      </c>
      <c r="B1780" s="43" t="s">
        <v>85</v>
      </c>
      <c r="C1780" s="43" t="s">
        <v>4478</v>
      </c>
      <c r="D1780" s="43" t="s">
        <v>1549</v>
      </c>
      <c r="E1780" s="43" t="s">
        <v>1550</v>
      </c>
      <c r="F1780" s="43">
        <v>1</v>
      </c>
      <c r="G1780"/>
      <c r="H1780"/>
    </row>
    <row r="1781" spans="1:8" hidden="1" x14ac:dyDescent="0.25">
      <c r="A1781" s="43">
        <v>274</v>
      </c>
      <c r="B1781" s="43" t="s">
        <v>85</v>
      </c>
      <c r="C1781" s="43" t="s">
        <v>4478</v>
      </c>
      <c r="D1781" s="43" t="s">
        <v>1551</v>
      </c>
      <c r="E1781" s="43" t="s">
        <v>1552</v>
      </c>
      <c r="F1781" s="43">
        <v>1</v>
      </c>
      <c r="G1781"/>
      <c r="H1781"/>
    </row>
    <row r="1782" spans="1:8" hidden="1" x14ac:dyDescent="0.25">
      <c r="A1782" s="43">
        <v>274</v>
      </c>
      <c r="B1782" s="43" t="s">
        <v>85</v>
      </c>
      <c r="C1782" s="43" t="s">
        <v>4478</v>
      </c>
      <c r="D1782" s="43" t="s">
        <v>1553</v>
      </c>
      <c r="E1782" s="43" t="s">
        <v>1554</v>
      </c>
      <c r="F1782" s="43">
        <v>0</v>
      </c>
      <c r="G1782" s="43" t="s">
        <v>4583</v>
      </c>
      <c r="H1782"/>
    </row>
    <row r="1783" spans="1:8" hidden="1" x14ac:dyDescent="0.25">
      <c r="A1783" s="43">
        <v>274</v>
      </c>
      <c r="B1783" s="43" t="s">
        <v>85</v>
      </c>
      <c r="C1783" s="43" t="s">
        <v>4478</v>
      </c>
      <c r="D1783" s="43" t="s">
        <v>1555</v>
      </c>
      <c r="E1783" s="43" t="s">
        <v>1556</v>
      </c>
      <c r="F1783" s="43">
        <v>1</v>
      </c>
      <c r="G1783"/>
      <c r="H1783"/>
    </row>
    <row r="1784" spans="1:8" hidden="1" x14ac:dyDescent="0.25">
      <c r="A1784" s="43">
        <v>277</v>
      </c>
      <c r="B1784" s="43" t="s">
        <v>86</v>
      </c>
      <c r="C1784" s="43" t="s">
        <v>1909</v>
      </c>
      <c r="D1784" s="43" t="s">
        <v>1910</v>
      </c>
      <c r="E1784" s="43" t="s">
        <v>273</v>
      </c>
      <c r="F1784" s="43">
        <v>1</v>
      </c>
      <c r="G1784"/>
      <c r="H1784"/>
    </row>
    <row r="1785" spans="1:8" hidden="1" x14ac:dyDescent="0.25">
      <c r="A1785" s="43">
        <v>277</v>
      </c>
      <c r="B1785" s="43" t="s">
        <v>86</v>
      </c>
      <c r="C1785" s="43" t="s">
        <v>1909</v>
      </c>
      <c r="D1785" s="43" t="s">
        <v>1911</v>
      </c>
      <c r="E1785" s="43" t="s">
        <v>1912</v>
      </c>
      <c r="F1785" s="43">
        <v>1</v>
      </c>
      <c r="G1785"/>
      <c r="H1785"/>
    </row>
    <row r="1786" spans="1:8" hidden="1" x14ac:dyDescent="0.25">
      <c r="A1786" s="43">
        <v>277</v>
      </c>
      <c r="B1786" s="43" t="s">
        <v>86</v>
      </c>
      <c r="C1786" s="43" t="s">
        <v>1909</v>
      </c>
      <c r="D1786" s="43" t="s">
        <v>1913</v>
      </c>
      <c r="E1786" s="43" t="s">
        <v>1914</v>
      </c>
      <c r="F1786" s="43">
        <v>1</v>
      </c>
      <c r="G1786"/>
      <c r="H1786"/>
    </row>
    <row r="1787" spans="1:8" hidden="1" x14ac:dyDescent="0.25">
      <c r="A1787" s="43">
        <v>277</v>
      </c>
      <c r="B1787" s="43" t="s">
        <v>86</v>
      </c>
      <c r="C1787" s="43" t="s">
        <v>1909</v>
      </c>
      <c r="D1787" s="43" t="s">
        <v>1915</v>
      </c>
      <c r="E1787" s="43" t="s">
        <v>1916</v>
      </c>
      <c r="F1787" s="43">
        <v>1</v>
      </c>
      <c r="G1787"/>
      <c r="H1787"/>
    </row>
    <row r="1788" spans="1:8" hidden="1" x14ac:dyDescent="0.25">
      <c r="A1788" s="43">
        <v>277</v>
      </c>
      <c r="B1788" s="43" t="s">
        <v>86</v>
      </c>
      <c r="C1788" s="43" t="s">
        <v>1909</v>
      </c>
      <c r="D1788" s="43" t="s">
        <v>1917</v>
      </c>
      <c r="E1788" s="43" t="s">
        <v>1918</v>
      </c>
      <c r="F1788" s="43">
        <v>1</v>
      </c>
      <c r="G1788"/>
      <c r="H1788"/>
    </row>
    <row r="1789" spans="1:8" hidden="1" x14ac:dyDescent="0.25">
      <c r="A1789" s="43">
        <v>277</v>
      </c>
      <c r="B1789" s="43" t="s">
        <v>86</v>
      </c>
      <c r="C1789" s="43" t="s">
        <v>1909</v>
      </c>
      <c r="D1789" s="43" t="s">
        <v>1919</v>
      </c>
      <c r="E1789" s="43" t="s">
        <v>1920</v>
      </c>
      <c r="F1789" s="43">
        <v>1</v>
      </c>
      <c r="G1789"/>
      <c r="H1789"/>
    </row>
    <row r="1790" spans="1:8" hidden="1" x14ac:dyDescent="0.25">
      <c r="A1790" s="43">
        <v>277</v>
      </c>
      <c r="B1790" s="43" t="s">
        <v>86</v>
      </c>
      <c r="C1790" s="43" t="s">
        <v>1909</v>
      </c>
      <c r="D1790" s="43" t="s">
        <v>1921</v>
      </c>
      <c r="E1790" s="43" t="s">
        <v>1922</v>
      </c>
      <c r="F1790" s="43">
        <v>1</v>
      </c>
      <c r="G1790"/>
      <c r="H1790"/>
    </row>
    <row r="1791" spans="1:8" hidden="1" x14ac:dyDescent="0.25">
      <c r="A1791" s="43">
        <v>277</v>
      </c>
      <c r="B1791" s="43" t="s">
        <v>86</v>
      </c>
      <c r="C1791" s="43" t="s">
        <v>1909</v>
      </c>
      <c r="D1791" s="43" t="s">
        <v>1923</v>
      </c>
      <c r="E1791" s="43" t="s">
        <v>1924</v>
      </c>
      <c r="F1791" s="43">
        <v>1</v>
      </c>
      <c r="G1791"/>
      <c r="H1791"/>
    </row>
    <row r="1792" spans="1:8" hidden="1" x14ac:dyDescent="0.25">
      <c r="A1792" s="43">
        <v>277</v>
      </c>
      <c r="B1792" s="43" t="s">
        <v>86</v>
      </c>
      <c r="C1792" s="43" t="s">
        <v>1909</v>
      </c>
      <c r="D1792" s="43" t="s">
        <v>1925</v>
      </c>
      <c r="E1792" s="43" t="s">
        <v>1926</v>
      </c>
      <c r="F1792" s="43">
        <v>1</v>
      </c>
      <c r="G1792"/>
      <c r="H1792"/>
    </row>
    <row r="1793" spans="1:8" hidden="1" x14ac:dyDescent="0.25">
      <c r="A1793" s="43">
        <v>277</v>
      </c>
      <c r="B1793" s="43" t="s">
        <v>86</v>
      </c>
      <c r="C1793" s="43" t="s">
        <v>1909</v>
      </c>
      <c r="D1793" s="43" t="s">
        <v>1927</v>
      </c>
      <c r="E1793" s="43" t="s">
        <v>1928</v>
      </c>
      <c r="F1793" s="43">
        <v>1</v>
      </c>
      <c r="G1793"/>
      <c r="H1793"/>
    </row>
    <row r="1794" spans="1:8" hidden="1" x14ac:dyDescent="0.25">
      <c r="A1794" s="43">
        <v>277</v>
      </c>
      <c r="B1794" s="43" t="s">
        <v>86</v>
      </c>
      <c r="C1794" s="43" t="s">
        <v>1909</v>
      </c>
      <c r="D1794" s="43" t="s">
        <v>1929</v>
      </c>
      <c r="E1794" s="43" t="s">
        <v>1930</v>
      </c>
      <c r="F1794" s="43">
        <v>1</v>
      </c>
      <c r="G1794"/>
      <c r="H1794"/>
    </row>
    <row r="1795" spans="1:8" hidden="1" x14ac:dyDescent="0.25">
      <c r="A1795" s="43">
        <v>277</v>
      </c>
      <c r="B1795" s="43" t="s">
        <v>86</v>
      </c>
      <c r="C1795" s="43" t="s">
        <v>1909</v>
      </c>
      <c r="D1795" s="43" t="s">
        <v>1931</v>
      </c>
      <c r="E1795" s="43" t="s">
        <v>1932</v>
      </c>
      <c r="F1795" s="43">
        <v>0</v>
      </c>
      <c r="G1795" s="43" t="s">
        <v>4583</v>
      </c>
      <c r="H1795"/>
    </row>
    <row r="1796" spans="1:8" hidden="1" x14ac:dyDescent="0.25">
      <c r="A1796" s="43">
        <v>277</v>
      </c>
      <c r="B1796" s="43" t="s">
        <v>86</v>
      </c>
      <c r="C1796" s="43" t="s">
        <v>1909</v>
      </c>
      <c r="D1796" s="43" t="s">
        <v>1933</v>
      </c>
      <c r="E1796" s="43" t="s">
        <v>1934</v>
      </c>
      <c r="F1796" s="43">
        <v>0</v>
      </c>
      <c r="G1796" s="43" t="s">
        <v>4583</v>
      </c>
      <c r="H1796"/>
    </row>
    <row r="1797" spans="1:8" hidden="1" x14ac:dyDescent="0.25">
      <c r="A1797" s="43">
        <v>277</v>
      </c>
      <c r="B1797" s="43" t="s">
        <v>86</v>
      </c>
      <c r="C1797" s="43" t="s">
        <v>1909</v>
      </c>
      <c r="D1797" s="43" t="s">
        <v>1935</v>
      </c>
      <c r="E1797" s="43" t="s">
        <v>1936</v>
      </c>
      <c r="F1797" s="43">
        <v>1</v>
      </c>
      <c r="G1797"/>
      <c r="H1797"/>
    </row>
    <row r="1798" spans="1:8" hidden="1" x14ac:dyDescent="0.25">
      <c r="A1798" s="43">
        <v>277</v>
      </c>
      <c r="B1798" s="43" t="s">
        <v>86</v>
      </c>
      <c r="C1798" s="43" t="s">
        <v>1909</v>
      </c>
      <c r="D1798" s="43" t="s">
        <v>1937</v>
      </c>
      <c r="E1798" s="43" t="s">
        <v>1938</v>
      </c>
      <c r="F1798" s="43">
        <v>1</v>
      </c>
      <c r="G1798"/>
      <c r="H1798"/>
    </row>
    <row r="1799" spans="1:8" hidden="1" x14ac:dyDescent="0.25">
      <c r="A1799" s="43">
        <v>277</v>
      </c>
      <c r="B1799" s="43" t="s">
        <v>86</v>
      </c>
      <c r="C1799" s="43" t="s">
        <v>1909</v>
      </c>
      <c r="D1799" s="43" t="s">
        <v>1939</v>
      </c>
      <c r="E1799" s="43" t="s">
        <v>1940</v>
      </c>
      <c r="F1799" s="43">
        <v>1</v>
      </c>
      <c r="G1799"/>
      <c r="H1799"/>
    </row>
    <row r="1800" spans="1:8" hidden="1" x14ac:dyDescent="0.25">
      <c r="A1800" s="43">
        <v>277</v>
      </c>
      <c r="B1800" s="43" t="s">
        <v>86</v>
      </c>
      <c r="C1800" s="43" t="s">
        <v>1909</v>
      </c>
      <c r="D1800" s="43" t="s">
        <v>1941</v>
      </c>
      <c r="E1800" s="43" t="s">
        <v>1942</v>
      </c>
      <c r="F1800" s="43">
        <v>0</v>
      </c>
      <c r="G1800" s="43" t="s">
        <v>4628</v>
      </c>
      <c r="H1800" s="43" t="s">
        <v>4764</v>
      </c>
    </row>
    <row r="1801" spans="1:8" hidden="1" x14ac:dyDescent="0.25">
      <c r="A1801" s="43">
        <v>277</v>
      </c>
      <c r="B1801" s="43" t="s">
        <v>86</v>
      </c>
      <c r="C1801" s="43" t="s">
        <v>1909</v>
      </c>
      <c r="D1801" s="43" t="s">
        <v>1943</v>
      </c>
      <c r="E1801" s="43" t="s">
        <v>1944</v>
      </c>
      <c r="F1801" s="43">
        <v>1</v>
      </c>
      <c r="G1801"/>
      <c r="H1801"/>
    </row>
    <row r="1802" spans="1:8" hidden="1" x14ac:dyDescent="0.25">
      <c r="A1802" s="43">
        <v>277</v>
      </c>
      <c r="B1802" s="43" t="s">
        <v>86</v>
      </c>
      <c r="C1802" s="43" t="s">
        <v>1909</v>
      </c>
      <c r="D1802" s="43" t="s">
        <v>1945</v>
      </c>
      <c r="E1802" s="43" t="s">
        <v>1946</v>
      </c>
      <c r="F1802" s="43">
        <v>1</v>
      </c>
      <c r="G1802"/>
      <c r="H1802"/>
    </row>
    <row r="1803" spans="1:8" hidden="1" x14ac:dyDescent="0.25">
      <c r="A1803" s="43">
        <v>277</v>
      </c>
      <c r="B1803" s="43" t="s">
        <v>86</v>
      </c>
      <c r="C1803" s="43" t="s">
        <v>1909</v>
      </c>
      <c r="D1803" s="43" t="s">
        <v>1947</v>
      </c>
      <c r="E1803" s="43" t="s">
        <v>1948</v>
      </c>
      <c r="F1803" s="43">
        <v>1</v>
      </c>
      <c r="G1803"/>
      <c r="H1803"/>
    </row>
    <row r="1804" spans="1:8" hidden="1" x14ac:dyDescent="0.25">
      <c r="A1804" s="43">
        <v>278</v>
      </c>
      <c r="B1804" s="43" t="s">
        <v>87</v>
      </c>
      <c r="C1804" s="43" t="s">
        <v>1685</v>
      </c>
      <c r="D1804" s="43" t="s">
        <v>1686</v>
      </c>
      <c r="E1804" s="43" t="s">
        <v>1687</v>
      </c>
      <c r="F1804" s="43">
        <v>1</v>
      </c>
      <c r="G1804"/>
      <c r="H1804"/>
    </row>
    <row r="1805" spans="1:8" hidden="1" x14ac:dyDescent="0.25">
      <c r="A1805" s="43">
        <v>278</v>
      </c>
      <c r="B1805" s="43" t="s">
        <v>87</v>
      </c>
      <c r="C1805" s="43" t="s">
        <v>1685</v>
      </c>
      <c r="D1805" s="43" t="s">
        <v>1688</v>
      </c>
      <c r="E1805" s="43" t="s">
        <v>1689</v>
      </c>
      <c r="F1805" s="43">
        <v>1</v>
      </c>
      <c r="G1805"/>
      <c r="H1805"/>
    </row>
    <row r="1806" spans="1:8" hidden="1" x14ac:dyDescent="0.25">
      <c r="A1806" s="43">
        <v>278</v>
      </c>
      <c r="B1806" s="43" t="s">
        <v>87</v>
      </c>
      <c r="C1806" s="43" t="s">
        <v>1685</v>
      </c>
      <c r="D1806" s="43" t="s">
        <v>1690</v>
      </c>
      <c r="E1806" s="43" t="s">
        <v>1691</v>
      </c>
      <c r="F1806" s="43">
        <v>1</v>
      </c>
      <c r="G1806"/>
      <c r="H1806"/>
    </row>
    <row r="1807" spans="1:8" hidden="1" x14ac:dyDescent="0.25">
      <c r="A1807" s="43">
        <v>278</v>
      </c>
      <c r="B1807" s="43" t="s">
        <v>87</v>
      </c>
      <c r="C1807" s="43" t="s">
        <v>1685</v>
      </c>
      <c r="D1807" s="43" t="s">
        <v>1692</v>
      </c>
      <c r="E1807" s="43" t="s">
        <v>1693</v>
      </c>
      <c r="F1807" s="43">
        <v>1</v>
      </c>
      <c r="G1807"/>
      <c r="H1807"/>
    </row>
    <row r="1808" spans="1:8" hidden="1" x14ac:dyDescent="0.25">
      <c r="A1808" s="43">
        <v>278</v>
      </c>
      <c r="B1808" s="43" t="s">
        <v>87</v>
      </c>
      <c r="C1808" s="43" t="s">
        <v>1685</v>
      </c>
      <c r="D1808" s="43" t="s">
        <v>1694</v>
      </c>
      <c r="E1808" s="43" t="s">
        <v>1695</v>
      </c>
      <c r="F1808" s="43">
        <v>1</v>
      </c>
      <c r="G1808"/>
      <c r="H1808"/>
    </row>
    <row r="1809" spans="1:8" hidden="1" x14ac:dyDescent="0.25">
      <c r="A1809" s="43">
        <v>278</v>
      </c>
      <c r="B1809" s="43" t="s">
        <v>87</v>
      </c>
      <c r="C1809" s="43" t="s">
        <v>1685</v>
      </c>
      <c r="D1809" s="43" t="s">
        <v>1696</v>
      </c>
      <c r="E1809" s="43" t="s">
        <v>1697</v>
      </c>
      <c r="F1809" s="43">
        <v>1</v>
      </c>
      <c r="G1809"/>
      <c r="H1809"/>
    </row>
    <row r="1810" spans="1:8" hidden="1" x14ac:dyDescent="0.25">
      <c r="A1810" s="43">
        <v>278</v>
      </c>
      <c r="B1810" s="43" t="s">
        <v>87</v>
      </c>
      <c r="C1810" s="43" t="s">
        <v>1685</v>
      </c>
      <c r="D1810" s="43" t="s">
        <v>1698</v>
      </c>
      <c r="E1810" s="43" t="s">
        <v>1699</v>
      </c>
      <c r="F1810" s="43">
        <v>1</v>
      </c>
      <c r="G1810"/>
      <c r="H1810"/>
    </row>
    <row r="1811" spans="1:8" hidden="1" x14ac:dyDescent="0.25">
      <c r="A1811" s="43">
        <v>278</v>
      </c>
      <c r="B1811" s="43" t="s">
        <v>87</v>
      </c>
      <c r="C1811" s="43" t="s">
        <v>1685</v>
      </c>
      <c r="D1811" s="43" t="s">
        <v>1700</v>
      </c>
      <c r="E1811" s="43" t="s">
        <v>1701</v>
      </c>
      <c r="F1811" s="43">
        <v>1</v>
      </c>
      <c r="G1811"/>
      <c r="H1811"/>
    </row>
    <row r="1812" spans="1:8" hidden="1" x14ac:dyDescent="0.25">
      <c r="A1812" s="43">
        <v>278</v>
      </c>
      <c r="B1812" s="43" t="s">
        <v>87</v>
      </c>
      <c r="C1812" s="43" t="s">
        <v>1685</v>
      </c>
      <c r="D1812" s="43" t="s">
        <v>1702</v>
      </c>
      <c r="E1812" s="43" t="s">
        <v>314</v>
      </c>
      <c r="F1812" s="43">
        <v>1</v>
      </c>
      <c r="G1812"/>
      <c r="H1812"/>
    </row>
    <row r="1813" spans="1:8" hidden="1" x14ac:dyDescent="0.25">
      <c r="A1813" s="43">
        <v>278</v>
      </c>
      <c r="B1813" s="43" t="s">
        <v>87</v>
      </c>
      <c r="C1813" s="43" t="s">
        <v>1685</v>
      </c>
      <c r="D1813" s="43" t="s">
        <v>1703</v>
      </c>
      <c r="E1813" s="43" t="s">
        <v>1704</v>
      </c>
      <c r="F1813" s="43">
        <v>1</v>
      </c>
      <c r="G1813"/>
      <c r="H1813"/>
    </row>
    <row r="1814" spans="1:8" hidden="1" x14ac:dyDescent="0.25">
      <c r="A1814" s="43">
        <v>278</v>
      </c>
      <c r="B1814" s="43" t="s">
        <v>87</v>
      </c>
      <c r="C1814" s="43" t="s">
        <v>1685</v>
      </c>
      <c r="D1814" s="43" t="s">
        <v>1705</v>
      </c>
      <c r="E1814" s="43" t="s">
        <v>1706</v>
      </c>
      <c r="F1814" s="43">
        <v>1</v>
      </c>
      <c r="G1814"/>
      <c r="H1814"/>
    </row>
    <row r="1815" spans="1:8" hidden="1" x14ac:dyDescent="0.25">
      <c r="A1815" s="43">
        <v>278</v>
      </c>
      <c r="B1815" s="43" t="s">
        <v>87</v>
      </c>
      <c r="C1815" s="43" t="s">
        <v>1685</v>
      </c>
      <c r="D1815" s="43" t="s">
        <v>1707</v>
      </c>
      <c r="E1815" s="43" t="s">
        <v>1708</v>
      </c>
      <c r="F1815" s="43">
        <v>1</v>
      </c>
      <c r="G1815"/>
      <c r="H1815"/>
    </row>
    <row r="1816" spans="1:8" hidden="1" x14ac:dyDescent="0.25">
      <c r="A1816" s="43">
        <v>278</v>
      </c>
      <c r="B1816" s="43" t="s">
        <v>87</v>
      </c>
      <c r="C1816" s="43" t="s">
        <v>1685</v>
      </c>
      <c r="D1816" s="43" t="s">
        <v>1709</v>
      </c>
      <c r="E1816" s="43" t="s">
        <v>1710</v>
      </c>
      <c r="F1816" s="43">
        <v>1</v>
      </c>
      <c r="G1816"/>
      <c r="H1816"/>
    </row>
    <row r="1817" spans="1:8" hidden="1" x14ac:dyDescent="0.25">
      <c r="A1817" s="43">
        <v>278</v>
      </c>
      <c r="B1817" s="43" t="s">
        <v>87</v>
      </c>
      <c r="C1817" s="43" t="s">
        <v>1685</v>
      </c>
      <c r="D1817" s="43" t="s">
        <v>1711</v>
      </c>
      <c r="E1817" s="43" t="s">
        <v>1124</v>
      </c>
      <c r="F1817" s="43">
        <v>1</v>
      </c>
      <c r="G1817"/>
      <c r="H1817"/>
    </row>
    <row r="1818" spans="1:8" hidden="1" x14ac:dyDescent="0.25">
      <c r="A1818" s="43">
        <v>280</v>
      </c>
      <c r="B1818" s="43" t="s">
        <v>88</v>
      </c>
      <c r="C1818" s="43" t="s">
        <v>1141</v>
      </c>
      <c r="D1818" s="43" t="s">
        <v>1142</v>
      </c>
      <c r="E1818" s="43" t="s">
        <v>312</v>
      </c>
      <c r="F1818" s="43">
        <v>1</v>
      </c>
      <c r="G1818"/>
      <c r="H1818"/>
    </row>
    <row r="1819" spans="1:8" hidden="1" x14ac:dyDescent="0.25">
      <c r="A1819" s="43">
        <v>280</v>
      </c>
      <c r="B1819" s="43" t="s">
        <v>88</v>
      </c>
      <c r="C1819" s="43" t="s">
        <v>1141</v>
      </c>
      <c r="D1819" s="43" t="s">
        <v>1143</v>
      </c>
      <c r="E1819" s="43" t="s">
        <v>314</v>
      </c>
      <c r="F1819" s="43">
        <v>1</v>
      </c>
      <c r="G1819"/>
      <c r="H1819"/>
    </row>
    <row r="1820" spans="1:8" hidden="1" x14ac:dyDescent="0.25">
      <c r="A1820" s="43">
        <v>280</v>
      </c>
      <c r="B1820" s="43" t="s">
        <v>88</v>
      </c>
      <c r="C1820" s="43" t="s">
        <v>1141</v>
      </c>
      <c r="D1820" s="43" t="s">
        <v>1144</v>
      </c>
      <c r="E1820" s="43" t="s">
        <v>1145</v>
      </c>
      <c r="F1820" s="43">
        <v>0</v>
      </c>
      <c r="G1820" s="43" t="s">
        <v>4583</v>
      </c>
      <c r="H1820"/>
    </row>
    <row r="1821" spans="1:8" hidden="1" x14ac:dyDescent="0.25">
      <c r="A1821" s="43">
        <v>280</v>
      </c>
      <c r="B1821" s="43" t="s">
        <v>88</v>
      </c>
      <c r="C1821" s="43" t="s">
        <v>1141</v>
      </c>
      <c r="D1821" s="43" t="s">
        <v>1146</v>
      </c>
      <c r="E1821" s="43" t="s">
        <v>1147</v>
      </c>
      <c r="F1821" s="43">
        <v>0</v>
      </c>
      <c r="G1821" s="43" t="s">
        <v>4583</v>
      </c>
      <c r="H1821"/>
    </row>
    <row r="1822" spans="1:8" hidden="1" x14ac:dyDescent="0.25">
      <c r="A1822" s="43">
        <v>280</v>
      </c>
      <c r="B1822" s="43" t="s">
        <v>88</v>
      </c>
      <c r="C1822" s="43" t="s">
        <v>1141</v>
      </c>
      <c r="D1822" s="43" t="s">
        <v>1148</v>
      </c>
      <c r="E1822" s="43" t="s">
        <v>713</v>
      </c>
      <c r="F1822" s="43">
        <v>1</v>
      </c>
      <c r="G1822"/>
      <c r="H1822"/>
    </row>
    <row r="1823" spans="1:8" hidden="1" x14ac:dyDescent="0.25">
      <c r="A1823" s="43">
        <v>280</v>
      </c>
      <c r="B1823" s="43" t="s">
        <v>88</v>
      </c>
      <c r="C1823" s="43" t="s">
        <v>1141</v>
      </c>
      <c r="D1823" s="43" t="s">
        <v>1149</v>
      </c>
      <c r="E1823" s="43" t="s">
        <v>1150</v>
      </c>
      <c r="F1823" s="43">
        <v>0</v>
      </c>
      <c r="G1823" s="43" t="s">
        <v>4583</v>
      </c>
      <c r="H1823"/>
    </row>
    <row r="1824" spans="1:8" hidden="1" x14ac:dyDescent="0.25">
      <c r="A1824" s="43">
        <v>280</v>
      </c>
      <c r="B1824" s="43" t="s">
        <v>88</v>
      </c>
      <c r="C1824" s="43" t="s">
        <v>1141</v>
      </c>
      <c r="D1824" s="43" t="s">
        <v>1151</v>
      </c>
      <c r="E1824" s="43" t="s">
        <v>380</v>
      </c>
      <c r="F1824" s="43">
        <v>1</v>
      </c>
      <c r="G1824"/>
      <c r="H1824"/>
    </row>
    <row r="1825" spans="1:8" hidden="1" x14ac:dyDescent="0.25">
      <c r="A1825" s="43">
        <v>280</v>
      </c>
      <c r="B1825" s="43" t="s">
        <v>88</v>
      </c>
      <c r="C1825" s="43" t="s">
        <v>1141</v>
      </c>
      <c r="D1825" s="43" t="s">
        <v>1152</v>
      </c>
      <c r="E1825" s="43" t="s">
        <v>381</v>
      </c>
      <c r="F1825" s="43">
        <v>1</v>
      </c>
      <c r="G1825"/>
      <c r="H1825"/>
    </row>
    <row r="1826" spans="1:8" hidden="1" x14ac:dyDescent="0.25">
      <c r="A1826" s="43">
        <v>280</v>
      </c>
      <c r="B1826" s="43" t="s">
        <v>88</v>
      </c>
      <c r="C1826" s="43" t="s">
        <v>1141</v>
      </c>
      <c r="D1826" s="43" t="s">
        <v>1153</v>
      </c>
      <c r="E1826" s="43" t="s">
        <v>1154</v>
      </c>
      <c r="F1826" s="43">
        <v>1</v>
      </c>
      <c r="G1826"/>
      <c r="H1826"/>
    </row>
    <row r="1827" spans="1:8" hidden="1" x14ac:dyDescent="0.25">
      <c r="A1827" s="43">
        <v>291</v>
      </c>
      <c r="B1827" s="43" t="s">
        <v>89</v>
      </c>
      <c r="C1827" s="43" t="s">
        <v>818</v>
      </c>
      <c r="D1827" s="43" t="s">
        <v>819</v>
      </c>
      <c r="E1827" s="43" t="s">
        <v>820</v>
      </c>
      <c r="F1827" s="43">
        <v>1</v>
      </c>
      <c r="G1827"/>
      <c r="H1827"/>
    </row>
    <row r="1828" spans="1:8" hidden="1" x14ac:dyDescent="0.25">
      <c r="A1828" s="43">
        <v>291</v>
      </c>
      <c r="B1828" s="43" t="s">
        <v>89</v>
      </c>
      <c r="C1828" s="43" t="s">
        <v>818</v>
      </c>
      <c r="D1828" s="43" t="s">
        <v>821</v>
      </c>
      <c r="E1828" s="43" t="s">
        <v>822</v>
      </c>
      <c r="F1828" s="43">
        <v>1</v>
      </c>
      <c r="G1828"/>
      <c r="H1828"/>
    </row>
    <row r="1829" spans="1:8" hidden="1" x14ac:dyDescent="0.25">
      <c r="A1829" s="43">
        <v>291</v>
      </c>
      <c r="B1829" s="43" t="s">
        <v>89</v>
      </c>
      <c r="C1829" s="43" t="s">
        <v>818</v>
      </c>
      <c r="D1829" s="43" t="s">
        <v>823</v>
      </c>
      <c r="E1829" s="43" t="s">
        <v>306</v>
      </c>
      <c r="F1829" s="43">
        <v>1</v>
      </c>
      <c r="G1829"/>
      <c r="H1829"/>
    </row>
    <row r="1830" spans="1:8" hidden="1" x14ac:dyDescent="0.25">
      <c r="A1830" s="43">
        <v>291</v>
      </c>
      <c r="B1830" s="43" t="s">
        <v>89</v>
      </c>
      <c r="C1830" s="43" t="s">
        <v>818</v>
      </c>
      <c r="D1830" s="43" t="s">
        <v>824</v>
      </c>
      <c r="E1830" s="43" t="s">
        <v>825</v>
      </c>
      <c r="F1830" s="43">
        <v>1</v>
      </c>
      <c r="G1830"/>
      <c r="H1830"/>
    </row>
    <row r="1831" spans="1:8" hidden="1" x14ac:dyDescent="0.25">
      <c r="A1831" s="43">
        <v>291</v>
      </c>
      <c r="B1831" s="43" t="s">
        <v>89</v>
      </c>
      <c r="C1831" s="43" t="s">
        <v>818</v>
      </c>
      <c r="D1831" s="43" t="s">
        <v>826</v>
      </c>
      <c r="E1831" s="43" t="s">
        <v>827</v>
      </c>
      <c r="F1831" s="43">
        <v>1</v>
      </c>
      <c r="G1831"/>
      <c r="H1831"/>
    </row>
    <row r="1832" spans="1:8" hidden="1" x14ac:dyDescent="0.25">
      <c r="A1832" s="43">
        <v>291</v>
      </c>
      <c r="B1832" s="43" t="s">
        <v>89</v>
      </c>
      <c r="C1832" s="43" t="s">
        <v>818</v>
      </c>
      <c r="D1832" s="43" t="s">
        <v>828</v>
      </c>
      <c r="E1832" s="43" t="s">
        <v>312</v>
      </c>
      <c r="F1832" s="43">
        <v>1</v>
      </c>
      <c r="G1832"/>
      <c r="H1832"/>
    </row>
    <row r="1833" spans="1:8" hidden="1" x14ac:dyDescent="0.25">
      <c r="A1833" s="43">
        <v>291</v>
      </c>
      <c r="B1833" s="43" t="s">
        <v>89</v>
      </c>
      <c r="C1833" s="43" t="s">
        <v>818</v>
      </c>
      <c r="D1833" s="43" t="s">
        <v>829</v>
      </c>
      <c r="E1833" s="43" t="s">
        <v>316</v>
      </c>
      <c r="F1833" s="43">
        <v>1</v>
      </c>
      <c r="G1833"/>
      <c r="H1833"/>
    </row>
    <row r="1834" spans="1:8" hidden="1" x14ac:dyDescent="0.25">
      <c r="A1834" s="43">
        <v>291</v>
      </c>
      <c r="B1834" s="43" t="s">
        <v>89</v>
      </c>
      <c r="C1834" s="43" t="s">
        <v>818</v>
      </c>
      <c r="D1834" s="43" t="s">
        <v>830</v>
      </c>
      <c r="E1834" s="43" t="s">
        <v>314</v>
      </c>
      <c r="F1834" s="43">
        <v>1</v>
      </c>
      <c r="G1834"/>
      <c r="H1834"/>
    </row>
    <row r="1835" spans="1:8" hidden="1" x14ac:dyDescent="0.25">
      <c r="A1835" s="43">
        <v>291</v>
      </c>
      <c r="B1835" s="43" t="s">
        <v>89</v>
      </c>
      <c r="C1835" s="43" t="s">
        <v>818</v>
      </c>
      <c r="D1835" s="43" t="s">
        <v>831</v>
      </c>
      <c r="E1835" s="43" t="s">
        <v>832</v>
      </c>
      <c r="F1835" s="43">
        <v>1</v>
      </c>
      <c r="G1835"/>
      <c r="H1835"/>
    </row>
    <row r="1836" spans="1:8" x14ac:dyDescent="0.25">
      <c r="A1836" s="43">
        <v>291</v>
      </c>
      <c r="B1836" s="43" t="s">
        <v>89</v>
      </c>
      <c r="C1836" s="43" t="s">
        <v>818</v>
      </c>
      <c r="D1836" s="43" t="s">
        <v>833</v>
      </c>
      <c r="E1836" s="43" t="s">
        <v>834</v>
      </c>
      <c r="F1836" s="43">
        <v>2</v>
      </c>
      <c r="G1836" s="43" t="s">
        <v>4532</v>
      </c>
      <c r="H1836" s="43" t="s">
        <v>4580</v>
      </c>
    </row>
    <row r="1837" spans="1:8" hidden="1" x14ac:dyDescent="0.25">
      <c r="A1837" s="43">
        <v>291</v>
      </c>
      <c r="B1837" s="43" t="s">
        <v>89</v>
      </c>
      <c r="C1837" s="43" t="s">
        <v>818</v>
      </c>
      <c r="D1837" s="43" t="s">
        <v>835</v>
      </c>
      <c r="E1837" s="43" t="s">
        <v>836</v>
      </c>
      <c r="F1837" s="43">
        <v>1</v>
      </c>
      <c r="G1837"/>
      <c r="H1837"/>
    </row>
    <row r="1838" spans="1:8" hidden="1" x14ac:dyDescent="0.25">
      <c r="A1838" s="43">
        <v>291</v>
      </c>
      <c r="B1838" s="43" t="s">
        <v>89</v>
      </c>
      <c r="C1838" s="43" t="s">
        <v>818</v>
      </c>
      <c r="D1838" s="43" t="s">
        <v>837</v>
      </c>
      <c r="E1838" s="43" t="s">
        <v>838</v>
      </c>
      <c r="F1838" s="43">
        <v>1</v>
      </c>
      <c r="G1838"/>
      <c r="H1838"/>
    </row>
    <row r="1839" spans="1:8" hidden="1" x14ac:dyDescent="0.25">
      <c r="A1839" s="43">
        <v>291</v>
      </c>
      <c r="B1839" s="43" t="s">
        <v>89</v>
      </c>
      <c r="C1839" s="43" t="s">
        <v>818</v>
      </c>
      <c r="D1839" s="43" t="s">
        <v>839</v>
      </c>
      <c r="E1839" s="43" t="s">
        <v>840</v>
      </c>
      <c r="F1839" s="43">
        <v>1</v>
      </c>
      <c r="G1839"/>
      <c r="H1839"/>
    </row>
    <row r="1840" spans="1:8" hidden="1" x14ac:dyDescent="0.25">
      <c r="A1840" s="43">
        <v>291</v>
      </c>
      <c r="B1840" s="43" t="s">
        <v>89</v>
      </c>
      <c r="C1840" s="43" t="s">
        <v>818</v>
      </c>
      <c r="D1840" s="43" t="s">
        <v>841</v>
      </c>
      <c r="E1840" s="43" t="s">
        <v>842</v>
      </c>
      <c r="F1840" s="43">
        <v>1</v>
      </c>
      <c r="G1840"/>
      <c r="H1840"/>
    </row>
    <row r="1841" spans="1:8" hidden="1" x14ac:dyDescent="0.25">
      <c r="A1841" s="43">
        <v>291</v>
      </c>
      <c r="B1841" s="43" t="s">
        <v>89</v>
      </c>
      <c r="C1841" s="43" t="s">
        <v>818</v>
      </c>
      <c r="D1841" s="43" t="s">
        <v>843</v>
      </c>
      <c r="E1841" s="43" t="s">
        <v>844</v>
      </c>
      <c r="F1841" s="43">
        <v>1</v>
      </c>
      <c r="G1841"/>
      <c r="H1841"/>
    </row>
    <row r="1842" spans="1:8" hidden="1" x14ac:dyDescent="0.25">
      <c r="A1842" s="43">
        <v>291</v>
      </c>
      <c r="B1842" s="43" t="s">
        <v>89</v>
      </c>
      <c r="C1842" s="43" t="s">
        <v>818</v>
      </c>
      <c r="D1842" s="43" t="s">
        <v>845</v>
      </c>
      <c r="E1842" s="43" t="s">
        <v>846</v>
      </c>
      <c r="F1842" s="43">
        <v>1</v>
      </c>
      <c r="G1842"/>
      <c r="H1842"/>
    </row>
    <row r="1843" spans="1:8" hidden="1" x14ac:dyDescent="0.25">
      <c r="A1843" s="43">
        <v>291</v>
      </c>
      <c r="B1843" s="43" t="s">
        <v>89</v>
      </c>
      <c r="C1843" s="43" t="s">
        <v>818</v>
      </c>
      <c r="D1843" s="43" t="s">
        <v>847</v>
      </c>
      <c r="E1843" s="43" t="s">
        <v>848</v>
      </c>
      <c r="F1843" s="43">
        <v>1</v>
      </c>
      <c r="G1843"/>
      <c r="H1843"/>
    </row>
    <row r="1844" spans="1:8" hidden="1" x14ac:dyDescent="0.25">
      <c r="A1844" s="43">
        <v>291</v>
      </c>
      <c r="B1844" s="43" t="s">
        <v>89</v>
      </c>
      <c r="C1844" s="43" t="s">
        <v>818</v>
      </c>
      <c r="D1844" s="43" t="s">
        <v>849</v>
      </c>
      <c r="E1844" s="43" t="s">
        <v>850</v>
      </c>
      <c r="F1844" s="43">
        <v>1</v>
      </c>
      <c r="G1844"/>
      <c r="H1844"/>
    </row>
    <row r="1845" spans="1:8" hidden="1" x14ac:dyDescent="0.25">
      <c r="A1845" s="43">
        <v>291</v>
      </c>
      <c r="B1845" s="43" t="s">
        <v>89</v>
      </c>
      <c r="C1845" s="43" t="s">
        <v>818</v>
      </c>
      <c r="D1845" s="43" t="s">
        <v>851</v>
      </c>
      <c r="E1845" s="43" t="s">
        <v>852</v>
      </c>
      <c r="F1845" s="43">
        <v>1</v>
      </c>
      <c r="G1845"/>
      <c r="H1845"/>
    </row>
    <row r="1846" spans="1:8" hidden="1" x14ac:dyDescent="0.25">
      <c r="A1846" s="43">
        <v>291</v>
      </c>
      <c r="B1846" s="43" t="s">
        <v>89</v>
      </c>
      <c r="C1846" s="43" t="s">
        <v>818</v>
      </c>
      <c r="D1846" s="43" t="s">
        <v>853</v>
      </c>
      <c r="E1846" s="43" t="s">
        <v>854</v>
      </c>
      <c r="F1846" s="43">
        <v>1</v>
      </c>
      <c r="G1846"/>
      <c r="H1846"/>
    </row>
    <row r="1847" spans="1:8" hidden="1" x14ac:dyDescent="0.25">
      <c r="A1847" s="43">
        <v>291</v>
      </c>
      <c r="B1847" s="43" t="s">
        <v>89</v>
      </c>
      <c r="C1847" s="43" t="s">
        <v>818</v>
      </c>
      <c r="D1847" s="43" t="s">
        <v>855</v>
      </c>
      <c r="E1847" s="43" t="s">
        <v>856</v>
      </c>
      <c r="F1847" s="43">
        <v>1</v>
      </c>
      <c r="G1847"/>
      <c r="H1847"/>
    </row>
    <row r="1848" spans="1:8" hidden="1" x14ac:dyDescent="0.25">
      <c r="A1848" s="43">
        <v>291</v>
      </c>
      <c r="B1848" s="43" t="s">
        <v>89</v>
      </c>
      <c r="C1848" s="43" t="s">
        <v>818</v>
      </c>
      <c r="D1848" s="43" t="s">
        <v>857</v>
      </c>
      <c r="E1848" s="43" t="s">
        <v>858</v>
      </c>
      <c r="F1848" s="43">
        <v>1</v>
      </c>
      <c r="G1848"/>
      <c r="H1848"/>
    </row>
    <row r="1849" spans="1:8" hidden="1" x14ac:dyDescent="0.25">
      <c r="A1849" s="43">
        <v>295</v>
      </c>
      <c r="B1849" s="43" t="s">
        <v>90</v>
      </c>
      <c r="C1849" s="43" t="s">
        <v>337</v>
      </c>
      <c r="D1849" s="43" t="s">
        <v>338</v>
      </c>
      <c r="E1849" s="43" t="s">
        <v>304</v>
      </c>
      <c r="F1849" s="43">
        <v>1</v>
      </c>
      <c r="G1849"/>
      <c r="H1849"/>
    </row>
    <row r="1850" spans="1:8" hidden="1" x14ac:dyDescent="0.25">
      <c r="A1850" s="43">
        <v>295</v>
      </c>
      <c r="B1850" s="43" t="s">
        <v>90</v>
      </c>
      <c r="C1850" s="43" t="s">
        <v>337</v>
      </c>
      <c r="D1850" s="43" t="s">
        <v>339</v>
      </c>
      <c r="E1850" s="43" t="s">
        <v>306</v>
      </c>
      <c r="F1850" s="43">
        <v>1</v>
      </c>
      <c r="G1850"/>
      <c r="H1850"/>
    </row>
    <row r="1851" spans="1:8" hidden="1" x14ac:dyDescent="0.25">
      <c r="A1851" s="43">
        <v>295</v>
      </c>
      <c r="B1851" s="43" t="s">
        <v>90</v>
      </c>
      <c r="C1851" s="43" t="s">
        <v>337</v>
      </c>
      <c r="D1851" s="43" t="s">
        <v>340</v>
      </c>
      <c r="E1851" s="43" t="s">
        <v>341</v>
      </c>
      <c r="F1851" s="43">
        <v>1</v>
      </c>
      <c r="G1851"/>
      <c r="H1851"/>
    </row>
    <row r="1852" spans="1:8" hidden="1" x14ac:dyDescent="0.25">
      <c r="A1852" s="43">
        <v>295</v>
      </c>
      <c r="B1852" s="43" t="s">
        <v>90</v>
      </c>
      <c r="C1852" s="43" t="s">
        <v>337</v>
      </c>
      <c r="D1852" s="43" t="s">
        <v>342</v>
      </c>
      <c r="E1852" s="43" t="s">
        <v>343</v>
      </c>
      <c r="F1852" s="43">
        <v>1</v>
      </c>
      <c r="G1852"/>
      <c r="H1852"/>
    </row>
    <row r="1853" spans="1:8" hidden="1" x14ac:dyDescent="0.25">
      <c r="A1853" s="43">
        <v>295</v>
      </c>
      <c r="B1853" s="43" t="s">
        <v>90</v>
      </c>
      <c r="C1853" s="43" t="s">
        <v>337</v>
      </c>
      <c r="D1853" s="43" t="s">
        <v>344</v>
      </c>
      <c r="E1853" s="43" t="s">
        <v>345</v>
      </c>
      <c r="F1853" s="43">
        <v>0</v>
      </c>
      <c r="G1853" s="43" t="s">
        <v>4624</v>
      </c>
      <c r="H1853" s="43" t="s">
        <v>4761</v>
      </c>
    </row>
    <row r="1854" spans="1:8" hidden="1" x14ac:dyDescent="0.25">
      <c r="A1854" s="43">
        <v>295</v>
      </c>
      <c r="B1854" s="43" t="s">
        <v>90</v>
      </c>
      <c r="C1854" s="43" t="s">
        <v>337</v>
      </c>
      <c r="D1854" s="43" t="s">
        <v>346</v>
      </c>
      <c r="E1854" s="43" t="s">
        <v>347</v>
      </c>
      <c r="F1854" s="43">
        <v>0</v>
      </c>
      <c r="G1854" s="43" t="s">
        <v>4624</v>
      </c>
      <c r="H1854" s="43" t="s">
        <v>4761</v>
      </c>
    </row>
    <row r="1855" spans="1:8" hidden="1" x14ac:dyDescent="0.25">
      <c r="A1855" s="43">
        <v>295</v>
      </c>
      <c r="B1855" s="43" t="s">
        <v>90</v>
      </c>
      <c r="C1855" s="43" t="s">
        <v>337</v>
      </c>
      <c r="D1855" s="43" t="s">
        <v>348</v>
      </c>
      <c r="E1855" s="43" t="s">
        <v>349</v>
      </c>
      <c r="F1855" s="43">
        <v>1</v>
      </c>
      <c r="G1855"/>
      <c r="H1855"/>
    </row>
    <row r="1856" spans="1:8" hidden="1" x14ac:dyDescent="0.25">
      <c r="A1856" s="43">
        <v>295</v>
      </c>
      <c r="B1856" s="43" t="s">
        <v>90</v>
      </c>
      <c r="C1856" s="43" t="s">
        <v>337</v>
      </c>
      <c r="D1856" s="43" t="s">
        <v>350</v>
      </c>
      <c r="E1856" s="43" t="s">
        <v>351</v>
      </c>
      <c r="F1856" s="43">
        <v>0</v>
      </c>
      <c r="G1856" s="43" t="s">
        <v>4624</v>
      </c>
      <c r="H1856" s="43" t="s">
        <v>4761</v>
      </c>
    </row>
    <row r="1857" spans="1:8" hidden="1" x14ac:dyDescent="0.25">
      <c r="A1857" s="43">
        <v>295</v>
      </c>
      <c r="B1857" s="43" t="s">
        <v>90</v>
      </c>
      <c r="C1857" s="43" t="s">
        <v>337</v>
      </c>
      <c r="D1857" s="43" t="s">
        <v>352</v>
      </c>
      <c r="E1857" s="43" t="s">
        <v>353</v>
      </c>
      <c r="F1857" s="43">
        <v>1</v>
      </c>
      <c r="G1857"/>
      <c r="H1857"/>
    </row>
    <row r="1858" spans="1:8" hidden="1" x14ac:dyDescent="0.25">
      <c r="A1858" s="43">
        <v>295</v>
      </c>
      <c r="B1858" s="43" t="s">
        <v>90</v>
      </c>
      <c r="C1858" s="43" t="s">
        <v>337</v>
      </c>
      <c r="D1858" s="43" t="s">
        <v>354</v>
      </c>
      <c r="E1858" s="43" t="s">
        <v>355</v>
      </c>
      <c r="F1858" s="43">
        <v>1</v>
      </c>
      <c r="G1858"/>
      <c r="H1858"/>
    </row>
    <row r="1859" spans="1:8" hidden="1" x14ac:dyDescent="0.25">
      <c r="A1859" s="43">
        <v>295</v>
      </c>
      <c r="B1859" s="43" t="s">
        <v>90</v>
      </c>
      <c r="C1859" s="43" t="s">
        <v>337</v>
      </c>
      <c r="D1859" s="43" t="s">
        <v>356</v>
      </c>
      <c r="E1859" s="43" t="s">
        <v>357</v>
      </c>
      <c r="F1859" s="43">
        <v>0</v>
      </c>
      <c r="G1859" s="43" t="s">
        <v>4624</v>
      </c>
      <c r="H1859" s="43" t="s">
        <v>4761</v>
      </c>
    </row>
    <row r="1860" spans="1:8" hidden="1" x14ac:dyDescent="0.25">
      <c r="A1860" s="43">
        <v>295</v>
      </c>
      <c r="B1860" s="43" t="s">
        <v>90</v>
      </c>
      <c r="C1860" s="43" t="s">
        <v>337</v>
      </c>
      <c r="D1860" s="43" t="s">
        <v>358</v>
      </c>
      <c r="E1860" s="43" t="s">
        <v>359</v>
      </c>
      <c r="F1860" s="43">
        <v>0</v>
      </c>
      <c r="G1860" s="43" t="s">
        <v>4624</v>
      </c>
      <c r="H1860" s="43" t="s">
        <v>4761</v>
      </c>
    </row>
    <row r="1861" spans="1:8" hidden="1" x14ac:dyDescent="0.25">
      <c r="A1861" s="43">
        <v>295</v>
      </c>
      <c r="B1861" s="43" t="s">
        <v>90</v>
      </c>
      <c r="C1861" s="43" t="s">
        <v>337</v>
      </c>
      <c r="D1861" s="43" t="s">
        <v>360</v>
      </c>
      <c r="E1861" s="43" t="s">
        <v>361</v>
      </c>
      <c r="F1861" s="43">
        <v>0</v>
      </c>
      <c r="G1861" s="43" t="s">
        <v>4624</v>
      </c>
      <c r="H1861" s="43" t="s">
        <v>4761</v>
      </c>
    </row>
    <row r="1862" spans="1:8" hidden="1" x14ac:dyDescent="0.25">
      <c r="A1862" s="43">
        <v>295</v>
      </c>
      <c r="B1862" s="43" t="s">
        <v>90</v>
      </c>
      <c r="C1862" s="43" t="s">
        <v>1751</v>
      </c>
      <c r="D1862" s="43" t="s">
        <v>1752</v>
      </c>
      <c r="E1862" s="43" t="s">
        <v>304</v>
      </c>
      <c r="F1862" s="43">
        <v>1</v>
      </c>
      <c r="G1862"/>
      <c r="H1862"/>
    </row>
    <row r="1863" spans="1:8" hidden="1" x14ac:dyDescent="0.25">
      <c r="A1863" s="43">
        <v>295</v>
      </c>
      <c r="B1863" s="43" t="s">
        <v>90</v>
      </c>
      <c r="C1863" s="43" t="s">
        <v>1751</v>
      </c>
      <c r="D1863" s="43" t="s">
        <v>1753</v>
      </c>
      <c r="E1863" s="43" t="s">
        <v>306</v>
      </c>
      <c r="F1863" s="43">
        <v>1</v>
      </c>
      <c r="G1863"/>
      <c r="H1863"/>
    </row>
    <row r="1864" spans="1:8" hidden="1" x14ac:dyDescent="0.25">
      <c r="A1864" s="43">
        <v>295</v>
      </c>
      <c r="B1864" s="43" t="s">
        <v>90</v>
      </c>
      <c r="C1864" s="43" t="s">
        <v>1751</v>
      </c>
      <c r="D1864" s="43" t="s">
        <v>1754</v>
      </c>
      <c r="E1864" s="43" t="s">
        <v>1755</v>
      </c>
      <c r="F1864" s="43">
        <v>1</v>
      </c>
      <c r="G1864"/>
      <c r="H1864"/>
    </row>
    <row r="1865" spans="1:8" hidden="1" x14ac:dyDescent="0.25">
      <c r="A1865" s="43">
        <v>295</v>
      </c>
      <c r="B1865" s="43" t="s">
        <v>90</v>
      </c>
      <c r="C1865" s="43" t="s">
        <v>1751</v>
      </c>
      <c r="D1865" s="43" t="s">
        <v>1756</v>
      </c>
      <c r="E1865" s="43" t="s">
        <v>343</v>
      </c>
      <c r="F1865" s="43">
        <v>1</v>
      </c>
      <c r="G1865"/>
      <c r="H1865"/>
    </row>
    <row r="1866" spans="1:8" hidden="1" x14ac:dyDescent="0.25">
      <c r="A1866" s="43">
        <v>295</v>
      </c>
      <c r="B1866" s="43" t="s">
        <v>90</v>
      </c>
      <c r="C1866" s="43" t="s">
        <v>1751</v>
      </c>
      <c r="D1866" s="43" t="s">
        <v>1757</v>
      </c>
      <c r="E1866" s="43" t="s">
        <v>349</v>
      </c>
      <c r="F1866" s="43">
        <v>1</v>
      </c>
      <c r="G1866"/>
      <c r="H1866"/>
    </row>
    <row r="1867" spans="1:8" hidden="1" x14ac:dyDescent="0.25">
      <c r="A1867" s="43">
        <v>295</v>
      </c>
      <c r="B1867" s="43" t="s">
        <v>90</v>
      </c>
      <c r="C1867" s="43" t="s">
        <v>1751</v>
      </c>
      <c r="D1867" s="43" t="s">
        <v>1758</v>
      </c>
      <c r="E1867" s="43" t="s">
        <v>793</v>
      </c>
      <c r="F1867" s="43">
        <v>1</v>
      </c>
      <c r="G1867"/>
      <c r="H1867"/>
    </row>
    <row r="1868" spans="1:8" hidden="1" x14ac:dyDescent="0.25">
      <c r="A1868" s="43">
        <v>295</v>
      </c>
      <c r="B1868" s="43" t="s">
        <v>90</v>
      </c>
      <c r="C1868" s="43" t="s">
        <v>1751</v>
      </c>
      <c r="D1868" s="43" t="s">
        <v>1759</v>
      </c>
      <c r="E1868" s="43" t="s">
        <v>1760</v>
      </c>
      <c r="F1868" s="43">
        <v>0</v>
      </c>
      <c r="G1868" s="43" t="s">
        <v>4624</v>
      </c>
      <c r="H1868" s="43" t="s">
        <v>4761</v>
      </c>
    </row>
    <row r="1869" spans="1:8" hidden="1" x14ac:dyDescent="0.25">
      <c r="A1869" s="43">
        <v>295</v>
      </c>
      <c r="B1869" s="43" t="s">
        <v>90</v>
      </c>
      <c r="C1869" s="43" t="s">
        <v>1751</v>
      </c>
      <c r="D1869" s="43" t="s">
        <v>1761</v>
      </c>
      <c r="E1869" s="43" t="s">
        <v>359</v>
      </c>
      <c r="F1869" s="43">
        <v>0</v>
      </c>
      <c r="G1869" s="43" t="s">
        <v>4583</v>
      </c>
      <c r="H1869"/>
    </row>
    <row r="1870" spans="1:8" hidden="1" x14ac:dyDescent="0.25">
      <c r="A1870" s="43">
        <v>295</v>
      </c>
      <c r="B1870" s="43" t="s">
        <v>90</v>
      </c>
      <c r="C1870" s="43" t="s">
        <v>1751</v>
      </c>
      <c r="D1870" s="43" t="s">
        <v>1762</v>
      </c>
      <c r="E1870" s="43" t="s">
        <v>361</v>
      </c>
      <c r="F1870" s="43">
        <v>0</v>
      </c>
      <c r="G1870" s="43" t="s">
        <v>4583</v>
      </c>
      <c r="H1870"/>
    </row>
    <row r="1871" spans="1:8" hidden="1" x14ac:dyDescent="0.25">
      <c r="A1871" s="43">
        <v>295</v>
      </c>
      <c r="B1871" s="43" t="s">
        <v>90</v>
      </c>
      <c r="C1871" s="43" t="s">
        <v>1751</v>
      </c>
      <c r="D1871" s="43" t="s">
        <v>1763</v>
      </c>
      <c r="E1871" s="43" t="s">
        <v>1303</v>
      </c>
      <c r="F1871" s="43">
        <v>1</v>
      </c>
      <c r="G1871"/>
      <c r="H1871"/>
    </row>
    <row r="1872" spans="1:8" hidden="1" x14ac:dyDescent="0.25">
      <c r="A1872" s="43">
        <v>297</v>
      </c>
      <c r="B1872" s="43" t="s">
        <v>91</v>
      </c>
      <c r="C1872" s="43" t="s">
        <v>636</v>
      </c>
      <c r="D1872" s="43" t="s">
        <v>637</v>
      </c>
      <c r="E1872" s="43" t="s">
        <v>638</v>
      </c>
      <c r="F1872" s="43">
        <v>1</v>
      </c>
      <c r="G1872"/>
      <c r="H1872"/>
    </row>
    <row r="1873" spans="1:8" hidden="1" x14ac:dyDescent="0.25">
      <c r="A1873" s="43">
        <v>297</v>
      </c>
      <c r="B1873" s="43" t="s">
        <v>91</v>
      </c>
      <c r="C1873" s="43" t="s">
        <v>636</v>
      </c>
      <c r="D1873" s="43" t="s">
        <v>639</v>
      </c>
      <c r="E1873" s="43" t="s">
        <v>640</v>
      </c>
      <c r="F1873" s="43">
        <v>1</v>
      </c>
      <c r="G1873"/>
      <c r="H1873"/>
    </row>
    <row r="1874" spans="1:8" hidden="1" x14ac:dyDescent="0.25">
      <c r="A1874" s="43">
        <v>297</v>
      </c>
      <c r="B1874" s="43" t="s">
        <v>91</v>
      </c>
      <c r="C1874" s="43" t="s">
        <v>636</v>
      </c>
      <c r="D1874" s="43" t="s">
        <v>641</v>
      </c>
      <c r="E1874" s="43" t="s">
        <v>642</v>
      </c>
      <c r="F1874" s="43">
        <v>1</v>
      </c>
      <c r="G1874"/>
      <c r="H1874"/>
    </row>
    <row r="1875" spans="1:8" hidden="1" x14ac:dyDescent="0.25">
      <c r="A1875" s="43">
        <v>297</v>
      </c>
      <c r="B1875" s="43" t="s">
        <v>91</v>
      </c>
      <c r="C1875" s="43" t="s">
        <v>636</v>
      </c>
      <c r="D1875" s="43" t="s">
        <v>643</v>
      </c>
      <c r="E1875" s="43" t="s">
        <v>644</v>
      </c>
      <c r="F1875" s="43">
        <v>1</v>
      </c>
      <c r="G1875"/>
      <c r="H1875"/>
    </row>
    <row r="1876" spans="1:8" hidden="1" x14ac:dyDescent="0.25">
      <c r="A1876" s="43">
        <v>297</v>
      </c>
      <c r="B1876" s="43" t="s">
        <v>91</v>
      </c>
      <c r="C1876" s="43" t="s">
        <v>636</v>
      </c>
      <c r="D1876" s="43" t="s">
        <v>645</v>
      </c>
      <c r="E1876" s="43" t="s">
        <v>646</v>
      </c>
      <c r="F1876" s="43">
        <v>1</v>
      </c>
      <c r="G1876"/>
      <c r="H1876"/>
    </row>
    <row r="1877" spans="1:8" hidden="1" x14ac:dyDescent="0.25">
      <c r="A1877" s="43">
        <v>297</v>
      </c>
      <c r="B1877" s="43" t="s">
        <v>91</v>
      </c>
      <c r="C1877" s="43" t="s">
        <v>636</v>
      </c>
      <c r="D1877" s="43" t="s">
        <v>647</v>
      </c>
      <c r="E1877" s="43" t="s">
        <v>648</v>
      </c>
      <c r="F1877" s="43">
        <v>1</v>
      </c>
      <c r="G1877"/>
      <c r="H1877"/>
    </row>
    <row r="1878" spans="1:8" hidden="1" x14ac:dyDescent="0.25">
      <c r="A1878" s="43">
        <v>297</v>
      </c>
      <c r="B1878" s="43" t="s">
        <v>91</v>
      </c>
      <c r="C1878" s="43" t="s">
        <v>636</v>
      </c>
      <c r="D1878" s="43" t="s">
        <v>649</v>
      </c>
      <c r="E1878" s="43" t="s">
        <v>650</v>
      </c>
      <c r="F1878" s="43">
        <v>1</v>
      </c>
      <c r="G1878"/>
      <c r="H1878"/>
    </row>
    <row r="1879" spans="1:8" hidden="1" x14ac:dyDescent="0.25">
      <c r="A1879" s="43">
        <v>297</v>
      </c>
      <c r="B1879" s="43" t="s">
        <v>91</v>
      </c>
      <c r="C1879" s="43" t="s">
        <v>636</v>
      </c>
      <c r="D1879" s="43" t="s">
        <v>651</v>
      </c>
      <c r="E1879" s="43" t="s">
        <v>652</v>
      </c>
      <c r="F1879" s="43">
        <v>1</v>
      </c>
      <c r="G1879"/>
      <c r="H1879"/>
    </row>
    <row r="1880" spans="1:8" hidden="1" x14ac:dyDescent="0.25">
      <c r="A1880" s="43">
        <v>297</v>
      </c>
      <c r="B1880" s="43" t="s">
        <v>91</v>
      </c>
      <c r="C1880" s="43" t="s">
        <v>636</v>
      </c>
      <c r="D1880" s="43" t="s">
        <v>653</v>
      </c>
      <c r="E1880" s="43" t="s">
        <v>438</v>
      </c>
      <c r="F1880" s="43">
        <v>1</v>
      </c>
      <c r="G1880"/>
      <c r="H1880"/>
    </row>
    <row r="1881" spans="1:8" hidden="1" x14ac:dyDescent="0.25">
      <c r="A1881" s="43">
        <v>297</v>
      </c>
      <c r="B1881" s="43" t="s">
        <v>91</v>
      </c>
      <c r="C1881" s="43" t="s">
        <v>636</v>
      </c>
      <c r="D1881" s="43" t="s">
        <v>654</v>
      </c>
      <c r="E1881" s="43" t="s">
        <v>440</v>
      </c>
      <c r="F1881" s="43">
        <v>1</v>
      </c>
      <c r="G1881"/>
      <c r="H1881"/>
    </row>
    <row r="1882" spans="1:8" hidden="1" x14ac:dyDescent="0.25">
      <c r="A1882" s="43">
        <v>297</v>
      </c>
      <c r="B1882" s="43" t="s">
        <v>91</v>
      </c>
      <c r="C1882" s="43" t="s">
        <v>636</v>
      </c>
      <c r="D1882" s="43" t="s">
        <v>655</v>
      </c>
      <c r="E1882" s="43" t="s">
        <v>656</v>
      </c>
      <c r="F1882" s="43">
        <v>1</v>
      </c>
      <c r="G1882"/>
      <c r="H1882"/>
    </row>
    <row r="1883" spans="1:8" hidden="1" x14ac:dyDescent="0.25">
      <c r="A1883" s="43">
        <v>297</v>
      </c>
      <c r="B1883" s="43" t="s">
        <v>91</v>
      </c>
      <c r="C1883" s="43" t="s">
        <v>636</v>
      </c>
      <c r="D1883" s="43" t="s">
        <v>657</v>
      </c>
      <c r="E1883" s="43" t="s">
        <v>658</v>
      </c>
      <c r="F1883" s="43">
        <v>1</v>
      </c>
      <c r="G1883"/>
      <c r="H1883"/>
    </row>
    <row r="1884" spans="1:8" hidden="1" x14ac:dyDescent="0.25">
      <c r="A1884" s="43">
        <v>298</v>
      </c>
      <c r="B1884" s="43" t="s">
        <v>91</v>
      </c>
      <c r="C1884" s="43" t="s">
        <v>636</v>
      </c>
      <c r="D1884" s="43" t="s">
        <v>637</v>
      </c>
      <c r="E1884" s="43" t="s">
        <v>638</v>
      </c>
      <c r="F1884" s="43">
        <v>1</v>
      </c>
      <c r="G1884"/>
      <c r="H1884"/>
    </row>
    <row r="1885" spans="1:8" hidden="1" x14ac:dyDescent="0.25">
      <c r="A1885" s="43">
        <v>298</v>
      </c>
      <c r="B1885" s="43" t="s">
        <v>91</v>
      </c>
      <c r="C1885" s="43" t="s">
        <v>636</v>
      </c>
      <c r="D1885" s="43" t="s">
        <v>639</v>
      </c>
      <c r="E1885" s="43" t="s">
        <v>640</v>
      </c>
      <c r="F1885" s="43">
        <v>1</v>
      </c>
      <c r="G1885"/>
      <c r="H1885"/>
    </row>
    <row r="1886" spans="1:8" hidden="1" x14ac:dyDescent="0.25">
      <c r="A1886" s="43">
        <v>298</v>
      </c>
      <c r="B1886" s="43" t="s">
        <v>91</v>
      </c>
      <c r="C1886" s="43" t="s">
        <v>636</v>
      </c>
      <c r="D1886" s="43" t="s">
        <v>641</v>
      </c>
      <c r="E1886" s="43" t="s">
        <v>642</v>
      </c>
      <c r="F1886" s="43">
        <v>1</v>
      </c>
      <c r="G1886"/>
      <c r="H1886"/>
    </row>
    <row r="1887" spans="1:8" hidden="1" x14ac:dyDescent="0.25">
      <c r="A1887" s="43">
        <v>298</v>
      </c>
      <c r="B1887" s="43" t="s">
        <v>91</v>
      </c>
      <c r="C1887" s="43" t="s">
        <v>636</v>
      </c>
      <c r="D1887" s="43" t="s">
        <v>643</v>
      </c>
      <c r="E1887" s="43" t="s">
        <v>644</v>
      </c>
      <c r="F1887" s="43">
        <v>1</v>
      </c>
      <c r="G1887"/>
      <c r="H1887"/>
    </row>
    <row r="1888" spans="1:8" hidden="1" x14ac:dyDescent="0.25">
      <c r="A1888" s="43">
        <v>298</v>
      </c>
      <c r="B1888" s="43" t="s">
        <v>91</v>
      </c>
      <c r="C1888" s="43" t="s">
        <v>636</v>
      </c>
      <c r="D1888" s="43" t="s">
        <v>645</v>
      </c>
      <c r="E1888" s="43" t="s">
        <v>646</v>
      </c>
      <c r="F1888" s="43">
        <v>1</v>
      </c>
      <c r="G1888"/>
      <c r="H1888"/>
    </row>
    <row r="1889" spans="1:8" hidden="1" x14ac:dyDescent="0.25">
      <c r="A1889" s="43">
        <v>298</v>
      </c>
      <c r="B1889" s="43" t="s">
        <v>91</v>
      </c>
      <c r="C1889" s="43" t="s">
        <v>636</v>
      </c>
      <c r="D1889" s="43" t="s">
        <v>647</v>
      </c>
      <c r="E1889" s="43" t="s">
        <v>648</v>
      </c>
      <c r="F1889" s="43">
        <v>1</v>
      </c>
      <c r="G1889"/>
      <c r="H1889"/>
    </row>
    <row r="1890" spans="1:8" hidden="1" x14ac:dyDescent="0.25">
      <c r="A1890" s="43">
        <v>298</v>
      </c>
      <c r="B1890" s="43" t="s">
        <v>91</v>
      </c>
      <c r="C1890" s="43" t="s">
        <v>636</v>
      </c>
      <c r="D1890" s="43" t="s">
        <v>649</v>
      </c>
      <c r="E1890" s="43" t="s">
        <v>650</v>
      </c>
      <c r="F1890" s="43">
        <v>1</v>
      </c>
      <c r="G1890"/>
      <c r="H1890"/>
    </row>
    <row r="1891" spans="1:8" hidden="1" x14ac:dyDescent="0.25">
      <c r="A1891" s="43">
        <v>298</v>
      </c>
      <c r="B1891" s="43" t="s">
        <v>91</v>
      </c>
      <c r="C1891" s="43" t="s">
        <v>636</v>
      </c>
      <c r="D1891" s="43" t="s">
        <v>651</v>
      </c>
      <c r="E1891" s="43" t="s">
        <v>652</v>
      </c>
      <c r="F1891" s="43">
        <v>1</v>
      </c>
      <c r="G1891"/>
      <c r="H1891"/>
    </row>
    <row r="1892" spans="1:8" hidden="1" x14ac:dyDescent="0.25">
      <c r="A1892" s="43">
        <v>298</v>
      </c>
      <c r="B1892" s="43" t="s">
        <v>91</v>
      </c>
      <c r="C1892" s="43" t="s">
        <v>636</v>
      </c>
      <c r="D1892" s="43" t="s">
        <v>653</v>
      </c>
      <c r="E1892" s="43" t="s">
        <v>438</v>
      </c>
      <c r="F1892" s="43">
        <v>1</v>
      </c>
      <c r="G1892"/>
      <c r="H1892"/>
    </row>
    <row r="1893" spans="1:8" hidden="1" x14ac:dyDescent="0.25">
      <c r="A1893" s="43">
        <v>298</v>
      </c>
      <c r="B1893" s="43" t="s">
        <v>91</v>
      </c>
      <c r="C1893" s="43" t="s">
        <v>636</v>
      </c>
      <c r="D1893" s="43" t="s">
        <v>654</v>
      </c>
      <c r="E1893" s="43" t="s">
        <v>440</v>
      </c>
      <c r="F1893" s="43">
        <v>1</v>
      </c>
      <c r="G1893"/>
      <c r="H1893"/>
    </row>
    <row r="1894" spans="1:8" hidden="1" x14ac:dyDescent="0.25">
      <c r="A1894" s="43">
        <v>298</v>
      </c>
      <c r="B1894" s="43" t="s">
        <v>91</v>
      </c>
      <c r="C1894" s="43" t="s">
        <v>636</v>
      </c>
      <c r="D1894" s="43" t="s">
        <v>655</v>
      </c>
      <c r="E1894" s="43" t="s">
        <v>656</v>
      </c>
      <c r="F1894" s="43">
        <v>1</v>
      </c>
      <c r="G1894"/>
      <c r="H1894"/>
    </row>
    <row r="1895" spans="1:8" hidden="1" x14ac:dyDescent="0.25">
      <c r="A1895" s="43">
        <v>298</v>
      </c>
      <c r="B1895" s="43" t="s">
        <v>91</v>
      </c>
      <c r="C1895" s="43" t="s">
        <v>636</v>
      </c>
      <c r="D1895" s="43" t="s">
        <v>657</v>
      </c>
      <c r="E1895" s="43" t="s">
        <v>658</v>
      </c>
      <c r="F1895" s="43">
        <v>1</v>
      </c>
      <c r="G1895"/>
      <c r="H1895"/>
    </row>
    <row r="1896" spans="1:8" hidden="1" x14ac:dyDescent="0.25">
      <c r="A1896" s="43">
        <v>304</v>
      </c>
      <c r="B1896" s="43" t="s">
        <v>92</v>
      </c>
      <c r="C1896" s="43" t="s">
        <v>877</v>
      </c>
      <c r="D1896" s="43" t="s">
        <v>878</v>
      </c>
      <c r="E1896" s="43" t="s">
        <v>312</v>
      </c>
      <c r="F1896" s="43">
        <v>1</v>
      </c>
      <c r="G1896"/>
      <c r="H1896"/>
    </row>
    <row r="1897" spans="1:8" hidden="1" x14ac:dyDescent="0.25">
      <c r="A1897" s="43">
        <v>304</v>
      </c>
      <c r="B1897" s="43" t="s">
        <v>92</v>
      </c>
      <c r="C1897" s="43" t="s">
        <v>877</v>
      </c>
      <c r="D1897" s="43" t="s">
        <v>879</v>
      </c>
      <c r="E1897" s="43" t="s">
        <v>880</v>
      </c>
      <c r="F1897" s="43">
        <v>1</v>
      </c>
      <c r="G1897"/>
      <c r="H1897"/>
    </row>
    <row r="1898" spans="1:8" hidden="1" x14ac:dyDescent="0.25">
      <c r="A1898" s="43">
        <v>304</v>
      </c>
      <c r="B1898" s="43" t="s">
        <v>92</v>
      </c>
      <c r="C1898" s="43" t="s">
        <v>877</v>
      </c>
      <c r="D1898" s="43" t="s">
        <v>881</v>
      </c>
      <c r="E1898" s="43" t="s">
        <v>370</v>
      </c>
      <c r="F1898" s="43">
        <v>0</v>
      </c>
      <c r="G1898" s="43" t="s">
        <v>4632</v>
      </c>
      <c r="H1898" s="43" t="s">
        <v>4764</v>
      </c>
    </row>
    <row r="1899" spans="1:8" hidden="1" x14ac:dyDescent="0.25">
      <c r="A1899" s="43">
        <v>304</v>
      </c>
      <c r="B1899" s="43" t="s">
        <v>92</v>
      </c>
      <c r="C1899" s="43" t="s">
        <v>877</v>
      </c>
      <c r="D1899" s="43" t="s">
        <v>882</v>
      </c>
      <c r="E1899" s="43" t="s">
        <v>883</v>
      </c>
      <c r="F1899" s="43">
        <v>1</v>
      </c>
      <c r="G1899" t="s">
        <v>4629</v>
      </c>
      <c r="H1899"/>
    </row>
    <row r="1900" spans="1:8" hidden="1" x14ac:dyDescent="0.25">
      <c r="A1900" s="43">
        <v>304</v>
      </c>
      <c r="B1900" s="43" t="s">
        <v>92</v>
      </c>
      <c r="C1900" s="43" t="s">
        <v>877</v>
      </c>
      <c r="D1900" s="43" t="s">
        <v>884</v>
      </c>
      <c r="E1900" s="43" t="s">
        <v>4488</v>
      </c>
      <c r="F1900" s="43">
        <v>1</v>
      </c>
      <c r="G1900" t="s">
        <v>4630</v>
      </c>
      <c r="H1900"/>
    </row>
    <row r="1901" spans="1:8" hidden="1" x14ac:dyDescent="0.25">
      <c r="A1901" s="43">
        <v>304</v>
      </c>
      <c r="B1901" s="43" t="s">
        <v>92</v>
      </c>
      <c r="C1901" s="43" t="s">
        <v>877</v>
      </c>
      <c r="D1901" s="43" t="s">
        <v>886</v>
      </c>
      <c r="E1901" s="43" t="s">
        <v>4489</v>
      </c>
      <c r="F1901" s="43">
        <v>1</v>
      </c>
      <c r="G1901" t="s">
        <v>4631</v>
      </c>
      <c r="H1901"/>
    </row>
    <row r="1902" spans="1:8" hidden="1" x14ac:dyDescent="0.25">
      <c r="A1902" s="43">
        <v>304</v>
      </c>
      <c r="B1902" s="43" t="s">
        <v>92</v>
      </c>
      <c r="C1902" s="43" t="s">
        <v>877</v>
      </c>
      <c r="D1902" s="43" t="s">
        <v>888</v>
      </c>
      <c r="E1902" s="43" t="s">
        <v>889</v>
      </c>
      <c r="F1902" s="43">
        <v>0</v>
      </c>
      <c r="G1902" s="43" t="s">
        <v>4633</v>
      </c>
      <c r="H1902" s="43" t="s">
        <v>4759</v>
      </c>
    </row>
    <row r="1903" spans="1:8" hidden="1" x14ac:dyDescent="0.25">
      <c r="A1903" s="43">
        <v>304</v>
      </c>
      <c r="B1903" s="43" t="s">
        <v>92</v>
      </c>
      <c r="C1903" s="43" t="s">
        <v>877</v>
      </c>
      <c r="D1903" s="43" t="s">
        <v>890</v>
      </c>
      <c r="E1903" s="43" t="s">
        <v>295</v>
      </c>
      <c r="F1903" s="43">
        <v>1</v>
      </c>
      <c r="G1903"/>
      <c r="H1903"/>
    </row>
    <row r="1904" spans="1:8" hidden="1" x14ac:dyDescent="0.25">
      <c r="A1904" s="43">
        <v>306</v>
      </c>
      <c r="B1904" s="43" t="s">
        <v>93</v>
      </c>
      <c r="C1904" s="43" t="s">
        <v>1155</v>
      </c>
      <c r="D1904" s="43" t="s">
        <v>1156</v>
      </c>
      <c r="E1904" s="43" t="s">
        <v>273</v>
      </c>
      <c r="F1904" s="43">
        <v>1</v>
      </c>
      <c r="G1904"/>
      <c r="H1904"/>
    </row>
    <row r="1905" spans="1:8" hidden="1" x14ac:dyDescent="0.25">
      <c r="A1905" s="43">
        <v>306</v>
      </c>
      <c r="B1905" s="43" t="s">
        <v>93</v>
      </c>
      <c r="C1905" s="43" t="s">
        <v>1155</v>
      </c>
      <c r="D1905" s="43" t="s">
        <v>1157</v>
      </c>
      <c r="E1905" s="43" t="s">
        <v>844</v>
      </c>
      <c r="F1905" s="43">
        <v>1</v>
      </c>
      <c r="G1905"/>
      <c r="H1905"/>
    </row>
    <row r="1906" spans="1:8" hidden="1" x14ac:dyDescent="0.25">
      <c r="A1906" s="43">
        <v>306</v>
      </c>
      <c r="B1906" s="43" t="s">
        <v>93</v>
      </c>
      <c r="C1906" s="43" t="s">
        <v>1155</v>
      </c>
      <c r="D1906" s="43" t="s">
        <v>1158</v>
      </c>
      <c r="E1906" s="43" t="s">
        <v>1159</v>
      </c>
      <c r="F1906" s="43">
        <v>0</v>
      </c>
      <c r="G1906" s="43" t="s">
        <v>4583</v>
      </c>
      <c r="H1906"/>
    </row>
    <row r="1907" spans="1:8" hidden="1" x14ac:dyDescent="0.25">
      <c r="A1907" s="43">
        <v>306</v>
      </c>
      <c r="B1907" s="43" t="s">
        <v>93</v>
      </c>
      <c r="C1907" s="43" t="s">
        <v>1155</v>
      </c>
      <c r="D1907" s="43" t="s">
        <v>1160</v>
      </c>
      <c r="E1907" s="43" t="s">
        <v>1161</v>
      </c>
      <c r="F1907" s="43">
        <v>0</v>
      </c>
      <c r="G1907" s="43" t="s">
        <v>4583</v>
      </c>
      <c r="H1907"/>
    </row>
    <row r="1908" spans="1:8" hidden="1" x14ac:dyDescent="0.25">
      <c r="A1908" s="43">
        <v>306</v>
      </c>
      <c r="B1908" s="43" t="s">
        <v>93</v>
      </c>
      <c r="C1908" s="43" t="s">
        <v>1155</v>
      </c>
      <c r="D1908" s="43" t="s">
        <v>1162</v>
      </c>
      <c r="E1908" s="43" t="s">
        <v>1163</v>
      </c>
      <c r="F1908" s="43">
        <v>0</v>
      </c>
      <c r="G1908" s="43" t="s">
        <v>4583</v>
      </c>
      <c r="H1908"/>
    </row>
    <row r="1909" spans="1:8" hidden="1" x14ac:dyDescent="0.25">
      <c r="A1909" s="43">
        <v>306</v>
      </c>
      <c r="B1909" s="43" t="s">
        <v>93</v>
      </c>
      <c r="C1909" s="43" t="s">
        <v>1155</v>
      </c>
      <c r="D1909" s="43" t="s">
        <v>1164</v>
      </c>
      <c r="E1909" s="43" t="s">
        <v>1165</v>
      </c>
      <c r="F1909" s="43">
        <v>0</v>
      </c>
      <c r="G1909" s="43" t="s">
        <v>4583</v>
      </c>
      <c r="H1909"/>
    </row>
    <row r="1910" spans="1:8" hidden="1" x14ac:dyDescent="0.25">
      <c r="A1910" s="43">
        <v>306</v>
      </c>
      <c r="B1910" s="43" t="s">
        <v>93</v>
      </c>
      <c r="C1910" s="43" t="s">
        <v>1155</v>
      </c>
      <c r="D1910" s="43" t="s">
        <v>1166</v>
      </c>
      <c r="E1910" s="43" t="s">
        <v>295</v>
      </c>
      <c r="F1910" s="43">
        <v>1</v>
      </c>
      <c r="G1910"/>
      <c r="H1910"/>
    </row>
    <row r="1911" spans="1:8" hidden="1" x14ac:dyDescent="0.25">
      <c r="A1911" s="43">
        <v>306</v>
      </c>
      <c r="B1911" s="43" t="s">
        <v>93</v>
      </c>
      <c r="C1911" s="43" t="s">
        <v>1155</v>
      </c>
      <c r="D1911" s="43" t="s">
        <v>1167</v>
      </c>
      <c r="E1911" s="43" t="s">
        <v>1168</v>
      </c>
      <c r="F1911" s="43">
        <v>0</v>
      </c>
      <c r="G1911" s="43" t="s">
        <v>4634</v>
      </c>
      <c r="H1911" s="43" t="s">
        <v>4761</v>
      </c>
    </row>
    <row r="1912" spans="1:8" hidden="1" x14ac:dyDescent="0.25">
      <c r="A1912" s="43">
        <v>310</v>
      </c>
      <c r="B1912" s="43" t="s">
        <v>94</v>
      </c>
      <c r="C1912" s="43" t="s">
        <v>386</v>
      </c>
      <c r="D1912" s="43" t="s">
        <v>387</v>
      </c>
      <c r="E1912" s="43" t="s">
        <v>388</v>
      </c>
      <c r="F1912" s="43">
        <v>1</v>
      </c>
      <c r="G1912"/>
      <c r="H1912"/>
    </row>
    <row r="1913" spans="1:8" hidden="1" x14ac:dyDescent="0.25">
      <c r="A1913" s="43">
        <v>310</v>
      </c>
      <c r="B1913" s="43" t="s">
        <v>94</v>
      </c>
      <c r="C1913" s="43" t="s">
        <v>386</v>
      </c>
      <c r="D1913" s="43" t="s">
        <v>390</v>
      </c>
      <c r="E1913" s="43" t="s">
        <v>391</v>
      </c>
      <c r="F1913" s="43">
        <v>1</v>
      </c>
      <c r="G1913"/>
      <c r="H1913"/>
    </row>
    <row r="1914" spans="1:8" hidden="1" x14ac:dyDescent="0.25">
      <c r="A1914" s="43">
        <v>310</v>
      </c>
      <c r="B1914" s="43" t="s">
        <v>94</v>
      </c>
      <c r="C1914" s="43" t="s">
        <v>386</v>
      </c>
      <c r="D1914" s="43" t="s">
        <v>392</v>
      </c>
      <c r="E1914" s="43" t="s">
        <v>393</v>
      </c>
      <c r="F1914" s="43">
        <v>1</v>
      </c>
      <c r="G1914"/>
      <c r="H1914"/>
    </row>
    <row r="1915" spans="1:8" hidden="1" x14ac:dyDescent="0.25">
      <c r="A1915" s="43">
        <v>310</v>
      </c>
      <c r="B1915" s="43" t="s">
        <v>94</v>
      </c>
      <c r="C1915" s="43" t="s">
        <v>386</v>
      </c>
      <c r="D1915" s="43" t="s">
        <v>394</v>
      </c>
      <c r="E1915" s="43" t="s">
        <v>4474</v>
      </c>
      <c r="F1915" s="43">
        <v>0</v>
      </c>
      <c r="G1915" s="43" t="s">
        <v>4635</v>
      </c>
      <c r="H1915" s="43" t="s">
        <v>4759</v>
      </c>
    </row>
    <row r="1916" spans="1:8" hidden="1" x14ac:dyDescent="0.25">
      <c r="A1916" s="43">
        <v>310</v>
      </c>
      <c r="B1916" s="43" t="s">
        <v>94</v>
      </c>
      <c r="C1916" s="43" t="s">
        <v>386</v>
      </c>
      <c r="D1916" s="43" t="s">
        <v>396</v>
      </c>
      <c r="E1916" s="43" t="s">
        <v>397</v>
      </c>
      <c r="F1916" s="43">
        <v>1</v>
      </c>
      <c r="G1916"/>
      <c r="H1916"/>
    </row>
    <row r="1917" spans="1:8" hidden="1" x14ac:dyDescent="0.25">
      <c r="A1917" s="43">
        <v>310</v>
      </c>
      <c r="B1917" s="43" t="s">
        <v>94</v>
      </c>
      <c r="C1917" s="43" t="s">
        <v>386</v>
      </c>
      <c r="D1917" s="43" t="s">
        <v>398</v>
      </c>
      <c r="E1917" s="43" t="s">
        <v>4475</v>
      </c>
      <c r="F1917" s="43">
        <v>0</v>
      </c>
      <c r="G1917" s="43" t="s">
        <v>4636</v>
      </c>
      <c r="H1917" s="43" t="s">
        <v>4765</v>
      </c>
    </row>
    <row r="1918" spans="1:8" hidden="1" x14ac:dyDescent="0.25">
      <c r="A1918" s="43">
        <v>310</v>
      </c>
      <c r="B1918" s="43" t="s">
        <v>94</v>
      </c>
      <c r="C1918" s="43" t="s">
        <v>386</v>
      </c>
      <c r="D1918" s="43" t="s">
        <v>400</v>
      </c>
      <c r="E1918" s="43" t="s">
        <v>401</v>
      </c>
      <c r="F1918" s="43">
        <v>1</v>
      </c>
      <c r="G1918"/>
      <c r="H1918"/>
    </row>
    <row r="1919" spans="1:8" hidden="1" x14ac:dyDescent="0.25">
      <c r="A1919" s="43">
        <v>310</v>
      </c>
      <c r="B1919" s="43" t="s">
        <v>94</v>
      </c>
      <c r="C1919" s="43" t="s">
        <v>386</v>
      </c>
      <c r="D1919" s="43" t="s">
        <v>402</v>
      </c>
      <c r="E1919" s="43" t="s">
        <v>403</v>
      </c>
      <c r="F1919" s="43">
        <v>1</v>
      </c>
      <c r="G1919"/>
      <c r="H1919"/>
    </row>
    <row r="1920" spans="1:8" hidden="1" x14ac:dyDescent="0.25">
      <c r="A1920" s="43">
        <v>310</v>
      </c>
      <c r="B1920" s="43" t="s">
        <v>94</v>
      </c>
      <c r="C1920" s="43" t="s">
        <v>386</v>
      </c>
      <c r="D1920" s="43" t="s">
        <v>404</v>
      </c>
      <c r="E1920" s="43" t="s">
        <v>405</v>
      </c>
      <c r="F1920" s="43">
        <v>0</v>
      </c>
      <c r="G1920" s="43" t="s">
        <v>4637</v>
      </c>
      <c r="H1920" s="43" t="s">
        <v>4759</v>
      </c>
    </row>
    <row r="1921" spans="1:8" hidden="1" x14ac:dyDescent="0.25">
      <c r="A1921" s="43">
        <v>310</v>
      </c>
      <c r="B1921" s="43" t="s">
        <v>94</v>
      </c>
      <c r="C1921" s="43" t="s">
        <v>1457</v>
      </c>
      <c r="D1921" s="43" t="s">
        <v>1458</v>
      </c>
      <c r="E1921" s="43" t="s">
        <v>273</v>
      </c>
      <c r="F1921" s="43">
        <v>1</v>
      </c>
      <c r="G1921"/>
      <c r="H1921"/>
    </row>
    <row r="1922" spans="1:8" hidden="1" x14ac:dyDescent="0.25">
      <c r="A1922" s="43">
        <v>310</v>
      </c>
      <c r="B1922" s="43" t="s">
        <v>94</v>
      </c>
      <c r="C1922" s="43" t="s">
        <v>1457</v>
      </c>
      <c r="D1922" s="43" t="s">
        <v>1459</v>
      </c>
      <c r="E1922" s="43" t="s">
        <v>640</v>
      </c>
      <c r="F1922" s="43">
        <v>1</v>
      </c>
      <c r="G1922"/>
      <c r="H1922"/>
    </row>
    <row r="1923" spans="1:8" hidden="1" x14ac:dyDescent="0.25">
      <c r="A1923" s="43">
        <v>310</v>
      </c>
      <c r="B1923" s="43" t="s">
        <v>94</v>
      </c>
      <c r="C1923" s="43" t="s">
        <v>1457</v>
      </c>
      <c r="D1923" s="43" t="s">
        <v>1460</v>
      </c>
      <c r="E1923" s="43" t="s">
        <v>929</v>
      </c>
      <c r="F1923" s="43">
        <v>1</v>
      </c>
      <c r="G1923"/>
      <c r="H1923"/>
    </row>
    <row r="1924" spans="1:8" hidden="1" x14ac:dyDescent="0.25">
      <c r="A1924" s="43">
        <v>310</v>
      </c>
      <c r="B1924" s="43" t="s">
        <v>94</v>
      </c>
      <c r="C1924" s="43" t="s">
        <v>1457</v>
      </c>
      <c r="D1924" s="43" t="s">
        <v>1461</v>
      </c>
      <c r="E1924" s="43" t="s">
        <v>1462</v>
      </c>
      <c r="F1924" s="43">
        <v>0</v>
      </c>
      <c r="G1924" s="43" t="s">
        <v>4638</v>
      </c>
      <c r="H1924" s="43" t="s">
        <v>4759</v>
      </c>
    </row>
    <row r="1925" spans="1:8" hidden="1" x14ac:dyDescent="0.25">
      <c r="A1925" s="43">
        <v>310</v>
      </c>
      <c r="B1925" s="43" t="s">
        <v>94</v>
      </c>
      <c r="C1925" s="43" t="s">
        <v>1457</v>
      </c>
      <c r="D1925" s="43" t="s">
        <v>1463</v>
      </c>
      <c r="E1925" s="43" t="s">
        <v>1464</v>
      </c>
      <c r="F1925" s="43">
        <v>0</v>
      </c>
      <c r="G1925" s="43" t="s">
        <v>4639</v>
      </c>
      <c r="H1925" s="43" t="s">
        <v>4759</v>
      </c>
    </row>
    <row r="1926" spans="1:8" hidden="1" x14ac:dyDescent="0.25">
      <c r="A1926" s="43">
        <v>310</v>
      </c>
      <c r="B1926" s="43" t="s">
        <v>94</v>
      </c>
      <c r="C1926" s="43" t="s">
        <v>1457</v>
      </c>
      <c r="D1926" s="43" t="s">
        <v>1465</v>
      </c>
      <c r="E1926" s="43" t="s">
        <v>347</v>
      </c>
      <c r="F1926" s="43">
        <v>1</v>
      </c>
      <c r="G1926"/>
      <c r="H1926"/>
    </row>
    <row r="1927" spans="1:8" hidden="1" x14ac:dyDescent="0.25">
      <c r="A1927" s="43">
        <v>310</v>
      </c>
      <c r="B1927" s="43" t="s">
        <v>94</v>
      </c>
      <c r="C1927" s="43" t="s">
        <v>1457</v>
      </c>
      <c r="D1927" s="43" t="s">
        <v>1466</v>
      </c>
      <c r="E1927" s="43" t="s">
        <v>1467</v>
      </c>
      <c r="F1927" s="43">
        <v>1</v>
      </c>
      <c r="G1927"/>
      <c r="H1927"/>
    </row>
    <row r="1928" spans="1:8" hidden="1" x14ac:dyDescent="0.25">
      <c r="A1928" s="43">
        <v>310</v>
      </c>
      <c r="B1928" s="43" t="s">
        <v>94</v>
      </c>
      <c r="C1928" s="43" t="s">
        <v>1457</v>
      </c>
      <c r="D1928" s="43" t="s">
        <v>1468</v>
      </c>
      <c r="E1928" s="43" t="s">
        <v>1469</v>
      </c>
      <c r="F1928" s="43">
        <v>1</v>
      </c>
      <c r="G1928"/>
      <c r="H1928"/>
    </row>
    <row r="1929" spans="1:8" hidden="1" x14ac:dyDescent="0.25">
      <c r="A1929" s="43">
        <v>310</v>
      </c>
      <c r="B1929" s="43" t="s">
        <v>94</v>
      </c>
      <c r="C1929" s="43" t="s">
        <v>1457</v>
      </c>
      <c r="D1929" s="43" t="s">
        <v>1470</v>
      </c>
      <c r="E1929" s="43" t="s">
        <v>1471</v>
      </c>
      <c r="F1929" s="43">
        <v>0</v>
      </c>
      <c r="G1929" s="43" t="s">
        <v>4640</v>
      </c>
      <c r="H1929" s="43" t="s">
        <v>4759</v>
      </c>
    </row>
    <row r="1930" spans="1:8" hidden="1" x14ac:dyDescent="0.25">
      <c r="A1930" s="43">
        <v>310</v>
      </c>
      <c r="B1930" s="43" t="s">
        <v>94</v>
      </c>
      <c r="C1930" s="43" t="s">
        <v>1457</v>
      </c>
      <c r="D1930" s="43" t="s">
        <v>1472</v>
      </c>
      <c r="E1930" s="43" t="s">
        <v>391</v>
      </c>
      <c r="F1930" s="43">
        <v>1</v>
      </c>
      <c r="G1930"/>
      <c r="H1930"/>
    </row>
    <row r="1931" spans="1:8" hidden="1" x14ac:dyDescent="0.25">
      <c r="A1931" s="43">
        <v>310</v>
      </c>
      <c r="B1931" s="43" t="s">
        <v>94</v>
      </c>
      <c r="C1931" s="43" t="s">
        <v>1457</v>
      </c>
      <c r="D1931" s="43" t="s">
        <v>1473</v>
      </c>
      <c r="E1931" s="43" t="s">
        <v>956</v>
      </c>
      <c r="F1931" s="43">
        <v>1</v>
      </c>
      <c r="G1931"/>
      <c r="H1931"/>
    </row>
    <row r="1932" spans="1:8" hidden="1" x14ac:dyDescent="0.25">
      <c r="A1932" s="43">
        <v>325</v>
      </c>
      <c r="B1932" s="43" t="s">
        <v>95</v>
      </c>
      <c r="C1932" s="43" t="s">
        <v>1613</v>
      </c>
      <c r="D1932" s="43" t="s">
        <v>1614</v>
      </c>
      <c r="E1932" s="43" t="s">
        <v>273</v>
      </c>
      <c r="F1932" s="43">
        <v>1</v>
      </c>
      <c r="G1932"/>
      <c r="H1932"/>
    </row>
    <row r="1933" spans="1:8" hidden="1" x14ac:dyDescent="0.25">
      <c r="A1933" s="43">
        <v>325</v>
      </c>
      <c r="B1933" s="43" t="s">
        <v>95</v>
      </c>
      <c r="C1933" s="43" t="s">
        <v>1613</v>
      </c>
      <c r="D1933" s="43" t="s">
        <v>1615</v>
      </c>
      <c r="E1933" s="43" t="s">
        <v>312</v>
      </c>
      <c r="F1933" s="43">
        <v>1</v>
      </c>
      <c r="G1933"/>
      <c r="H1933"/>
    </row>
    <row r="1934" spans="1:8" hidden="1" x14ac:dyDescent="0.25">
      <c r="A1934" s="43">
        <v>325</v>
      </c>
      <c r="B1934" s="43" t="s">
        <v>95</v>
      </c>
      <c r="C1934" s="43" t="s">
        <v>1613</v>
      </c>
      <c r="D1934" s="43" t="s">
        <v>1616</v>
      </c>
      <c r="E1934" s="43" t="s">
        <v>316</v>
      </c>
      <c r="F1934" s="43">
        <v>1</v>
      </c>
      <c r="G1934"/>
      <c r="H1934"/>
    </row>
    <row r="1935" spans="1:8" hidden="1" x14ac:dyDescent="0.25">
      <c r="A1935" s="43">
        <v>325</v>
      </c>
      <c r="B1935" s="43" t="s">
        <v>95</v>
      </c>
      <c r="C1935" s="43" t="s">
        <v>1613</v>
      </c>
      <c r="D1935" s="43" t="s">
        <v>1617</v>
      </c>
      <c r="E1935" s="43" t="s">
        <v>314</v>
      </c>
      <c r="F1935" s="43">
        <v>1</v>
      </c>
      <c r="G1935"/>
      <c r="H1935"/>
    </row>
    <row r="1936" spans="1:8" hidden="1" x14ac:dyDescent="0.25">
      <c r="A1936" s="43">
        <v>325</v>
      </c>
      <c r="B1936" s="43" t="s">
        <v>95</v>
      </c>
      <c r="C1936" s="43" t="s">
        <v>1613</v>
      </c>
      <c r="D1936" s="43" t="s">
        <v>1618</v>
      </c>
      <c r="E1936" s="43" t="s">
        <v>318</v>
      </c>
      <c r="F1936" s="43">
        <v>1</v>
      </c>
      <c r="G1936"/>
      <c r="H1936"/>
    </row>
    <row r="1937" spans="1:8" hidden="1" x14ac:dyDescent="0.25">
      <c r="A1937" s="43">
        <v>325</v>
      </c>
      <c r="B1937" s="43" t="s">
        <v>95</v>
      </c>
      <c r="C1937" s="43" t="s">
        <v>1613</v>
      </c>
      <c r="D1937" s="43" t="s">
        <v>1619</v>
      </c>
      <c r="E1937" s="43" t="s">
        <v>1620</v>
      </c>
      <c r="F1937" s="43">
        <v>1</v>
      </c>
      <c r="G1937"/>
      <c r="H1937"/>
    </row>
    <row r="1938" spans="1:8" hidden="1" x14ac:dyDescent="0.25">
      <c r="A1938" s="43">
        <v>325</v>
      </c>
      <c r="B1938" s="43" t="s">
        <v>95</v>
      </c>
      <c r="C1938" s="43" t="s">
        <v>1613</v>
      </c>
      <c r="D1938" s="43" t="s">
        <v>1621</v>
      </c>
      <c r="E1938" s="43" t="s">
        <v>1622</v>
      </c>
      <c r="F1938" s="43">
        <v>1</v>
      </c>
      <c r="G1938"/>
      <c r="H1938"/>
    </row>
    <row r="1939" spans="1:8" hidden="1" x14ac:dyDescent="0.25">
      <c r="A1939" s="43">
        <v>325</v>
      </c>
      <c r="B1939" s="43" t="s">
        <v>95</v>
      </c>
      <c r="C1939" s="43" t="s">
        <v>1613</v>
      </c>
      <c r="D1939" s="43" t="s">
        <v>1623</v>
      </c>
      <c r="E1939" s="43" t="s">
        <v>322</v>
      </c>
      <c r="F1939" s="43">
        <v>1</v>
      </c>
      <c r="G1939"/>
      <c r="H1939"/>
    </row>
    <row r="1940" spans="1:8" hidden="1" x14ac:dyDescent="0.25">
      <c r="A1940" s="43">
        <v>325</v>
      </c>
      <c r="B1940" s="43" t="s">
        <v>95</v>
      </c>
      <c r="C1940" s="43" t="s">
        <v>1613</v>
      </c>
      <c r="D1940" s="43" t="s">
        <v>1624</v>
      </c>
      <c r="E1940" s="43" t="s">
        <v>936</v>
      </c>
      <c r="F1940" s="43">
        <v>1</v>
      </c>
      <c r="G1940"/>
      <c r="H1940"/>
    </row>
    <row r="1941" spans="1:8" hidden="1" x14ac:dyDescent="0.25">
      <c r="A1941" s="43">
        <v>325</v>
      </c>
      <c r="B1941" s="43" t="s">
        <v>95</v>
      </c>
      <c r="C1941" s="43" t="s">
        <v>1613</v>
      </c>
      <c r="D1941" s="43" t="s">
        <v>1625</v>
      </c>
      <c r="E1941" s="43" t="s">
        <v>938</v>
      </c>
      <c r="F1941" s="43">
        <v>1</v>
      </c>
      <c r="G1941"/>
      <c r="H1941"/>
    </row>
    <row r="1942" spans="1:8" hidden="1" x14ac:dyDescent="0.25">
      <c r="A1942" s="43">
        <v>325</v>
      </c>
      <c r="B1942" s="43" t="s">
        <v>95</v>
      </c>
      <c r="C1942" s="43" t="s">
        <v>1613</v>
      </c>
      <c r="D1942" s="43" t="s">
        <v>1626</v>
      </c>
      <c r="E1942" s="43" t="s">
        <v>1483</v>
      </c>
      <c r="F1942" s="43">
        <v>0</v>
      </c>
      <c r="G1942" s="43" t="s">
        <v>4583</v>
      </c>
      <c r="H1942"/>
    </row>
    <row r="1943" spans="1:8" hidden="1" x14ac:dyDescent="0.25">
      <c r="A1943" s="43">
        <v>325</v>
      </c>
      <c r="B1943" s="43" t="s">
        <v>95</v>
      </c>
      <c r="C1943" s="43" t="s">
        <v>1613</v>
      </c>
      <c r="D1943" s="43" t="s">
        <v>1627</v>
      </c>
      <c r="E1943" s="43" t="s">
        <v>942</v>
      </c>
      <c r="F1943" s="43">
        <v>1</v>
      </c>
      <c r="G1943"/>
      <c r="H1943"/>
    </row>
    <row r="1944" spans="1:8" hidden="1" x14ac:dyDescent="0.25">
      <c r="A1944" s="43">
        <v>325</v>
      </c>
      <c r="B1944" s="43" t="s">
        <v>95</v>
      </c>
      <c r="C1944" s="43" t="s">
        <v>1613</v>
      </c>
      <c r="D1944" s="43" t="s">
        <v>1628</v>
      </c>
      <c r="E1944" s="43" t="s">
        <v>383</v>
      </c>
      <c r="F1944" s="43">
        <v>1</v>
      </c>
      <c r="G1944"/>
      <c r="H1944"/>
    </row>
    <row r="1945" spans="1:8" hidden="1" x14ac:dyDescent="0.25">
      <c r="A1945" s="43">
        <v>325</v>
      </c>
      <c r="B1945" s="43" t="s">
        <v>95</v>
      </c>
      <c r="C1945" s="43" t="s">
        <v>1613</v>
      </c>
      <c r="D1945" s="43" t="s">
        <v>1629</v>
      </c>
      <c r="E1945" s="43" t="s">
        <v>1630</v>
      </c>
      <c r="F1945" s="43">
        <v>0</v>
      </c>
      <c r="G1945" s="43" t="s">
        <v>4583</v>
      </c>
      <c r="H1945"/>
    </row>
    <row r="1946" spans="1:8" hidden="1" x14ac:dyDescent="0.25">
      <c r="A1946" s="43">
        <v>325</v>
      </c>
      <c r="B1946" s="43" t="s">
        <v>95</v>
      </c>
      <c r="C1946" s="43" t="s">
        <v>1613</v>
      </c>
      <c r="D1946" s="43" t="s">
        <v>1631</v>
      </c>
      <c r="E1946" s="43" t="s">
        <v>380</v>
      </c>
      <c r="F1946" s="43">
        <v>1</v>
      </c>
      <c r="G1946"/>
      <c r="H1946"/>
    </row>
    <row r="1947" spans="1:8" hidden="1" x14ac:dyDescent="0.25">
      <c r="A1947" s="43">
        <v>325</v>
      </c>
      <c r="B1947" s="43" t="s">
        <v>95</v>
      </c>
      <c r="C1947" s="43" t="s">
        <v>1613</v>
      </c>
      <c r="D1947" s="43" t="s">
        <v>1632</v>
      </c>
      <c r="E1947" s="43" t="s">
        <v>381</v>
      </c>
      <c r="F1947" s="43">
        <v>1</v>
      </c>
      <c r="G1947"/>
      <c r="H1947"/>
    </row>
    <row r="1948" spans="1:8" hidden="1" x14ac:dyDescent="0.25">
      <c r="A1948" s="43">
        <v>325</v>
      </c>
      <c r="B1948" s="43" t="s">
        <v>95</v>
      </c>
      <c r="C1948" s="43" t="s">
        <v>1613</v>
      </c>
      <c r="D1948" s="43" t="s">
        <v>1633</v>
      </c>
      <c r="E1948" s="43" t="s">
        <v>1634</v>
      </c>
      <c r="F1948" s="43">
        <v>1</v>
      </c>
      <c r="G1948"/>
      <c r="H1948"/>
    </row>
    <row r="1949" spans="1:8" hidden="1" x14ac:dyDescent="0.25">
      <c r="A1949" s="43">
        <v>325</v>
      </c>
      <c r="B1949" s="43" t="s">
        <v>95</v>
      </c>
      <c r="C1949" s="43" t="s">
        <v>1613</v>
      </c>
      <c r="D1949" s="43" t="s">
        <v>1635</v>
      </c>
      <c r="E1949" s="43" t="s">
        <v>4473</v>
      </c>
      <c r="F1949" s="43">
        <v>1</v>
      </c>
      <c r="G1949"/>
      <c r="H1949"/>
    </row>
    <row r="1950" spans="1:8" hidden="1" x14ac:dyDescent="0.25">
      <c r="A1950" s="43">
        <v>325</v>
      </c>
      <c r="B1950" s="43" t="s">
        <v>95</v>
      </c>
      <c r="C1950" s="43" t="s">
        <v>1613</v>
      </c>
      <c r="D1950" s="43" t="s">
        <v>1636</v>
      </c>
      <c r="E1950" s="43" t="s">
        <v>1637</v>
      </c>
      <c r="F1950" s="43">
        <v>1</v>
      </c>
      <c r="G1950"/>
      <c r="H1950"/>
    </row>
    <row r="1951" spans="1:8" hidden="1" x14ac:dyDescent="0.25">
      <c r="A1951" s="43">
        <v>325</v>
      </c>
      <c r="B1951" s="43" t="s">
        <v>95</v>
      </c>
      <c r="C1951" s="43" t="s">
        <v>1613</v>
      </c>
      <c r="D1951" s="43" t="s">
        <v>1638</v>
      </c>
      <c r="E1951" s="43" t="s">
        <v>1639</v>
      </c>
      <c r="F1951" s="43">
        <v>1</v>
      </c>
      <c r="G1951"/>
      <c r="H1951"/>
    </row>
    <row r="1952" spans="1:8" hidden="1" x14ac:dyDescent="0.25">
      <c r="A1952" s="43">
        <v>326</v>
      </c>
      <c r="B1952" s="43" t="s">
        <v>95</v>
      </c>
      <c r="C1952" s="43" t="s">
        <v>1613</v>
      </c>
      <c r="D1952" s="43" t="s">
        <v>1614</v>
      </c>
      <c r="E1952" s="43" t="s">
        <v>273</v>
      </c>
      <c r="F1952" s="43">
        <v>1</v>
      </c>
      <c r="G1952"/>
      <c r="H1952"/>
    </row>
    <row r="1953" spans="1:8" hidden="1" x14ac:dyDescent="0.25">
      <c r="A1953" s="43">
        <v>326</v>
      </c>
      <c r="B1953" s="43" t="s">
        <v>95</v>
      </c>
      <c r="C1953" s="43" t="s">
        <v>1613</v>
      </c>
      <c r="D1953" s="43" t="s">
        <v>1615</v>
      </c>
      <c r="E1953" s="43" t="s">
        <v>312</v>
      </c>
      <c r="F1953" s="43">
        <v>1</v>
      </c>
      <c r="G1953"/>
      <c r="H1953"/>
    </row>
    <row r="1954" spans="1:8" hidden="1" x14ac:dyDescent="0.25">
      <c r="A1954" s="43">
        <v>326</v>
      </c>
      <c r="B1954" s="43" t="s">
        <v>95</v>
      </c>
      <c r="C1954" s="43" t="s">
        <v>1613</v>
      </c>
      <c r="D1954" s="43" t="s">
        <v>1616</v>
      </c>
      <c r="E1954" s="43" t="s">
        <v>316</v>
      </c>
      <c r="F1954" s="43">
        <v>1</v>
      </c>
      <c r="G1954"/>
      <c r="H1954"/>
    </row>
    <row r="1955" spans="1:8" hidden="1" x14ac:dyDescent="0.25">
      <c r="A1955" s="43">
        <v>326</v>
      </c>
      <c r="B1955" s="43" t="s">
        <v>95</v>
      </c>
      <c r="C1955" s="43" t="s">
        <v>1613</v>
      </c>
      <c r="D1955" s="43" t="s">
        <v>1617</v>
      </c>
      <c r="E1955" s="43" t="s">
        <v>314</v>
      </c>
      <c r="F1955" s="43">
        <v>1</v>
      </c>
      <c r="G1955"/>
      <c r="H1955"/>
    </row>
    <row r="1956" spans="1:8" hidden="1" x14ac:dyDescent="0.25">
      <c r="A1956" s="43">
        <v>326</v>
      </c>
      <c r="B1956" s="43" t="s">
        <v>95</v>
      </c>
      <c r="C1956" s="43" t="s">
        <v>1613</v>
      </c>
      <c r="D1956" s="43" t="s">
        <v>1618</v>
      </c>
      <c r="E1956" s="43" t="s">
        <v>318</v>
      </c>
      <c r="F1956" s="43">
        <v>1</v>
      </c>
      <c r="G1956"/>
      <c r="H1956"/>
    </row>
    <row r="1957" spans="1:8" hidden="1" x14ac:dyDescent="0.25">
      <c r="A1957" s="43">
        <v>326</v>
      </c>
      <c r="B1957" s="43" t="s">
        <v>95</v>
      </c>
      <c r="C1957" s="43" t="s">
        <v>1613</v>
      </c>
      <c r="D1957" s="43" t="s">
        <v>1619</v>
      </c>
      <c r="E1957" s="43" t="s">
        <v>1620</v>
      </c>
      <c r="F1957" s="43">
        <v>1</v>
      </c>
      <c r="G1957"/>
      <c r="H1957"/>
    </row>
    <row r="1958" spans="1:8" hidden="1" x14ac:dyDescent="0.25">
      <c r="A1958" s="43">
        <v>326</v>
      </c>
      <c r="B1958" s="43" t="s">
        <v>95</v>
      </c>
      <c r="C1958" s="43" t="s">
        <v>1613</v>
      </c>
      <c r="D1958" s="43" t="s">
        <v>1621</v>
      </c>
      <c r="E1958" s="43" t="s">
        <v>1622</v>
      </c>
      <c r="F1958" s="43">
        <v>1</v>
      </c>
      <c r="G1958"/>
      <c r="H1958"/>
    </row>
    <row r="1959" spans="1:8" hidden="1" x14ac:dyDescent="0.25">
      <c r="A1959" s="43">
        <v>326</v>
      </c>
      <c r="B1959" s="43" t="s">
        <v>95</v>
      </c>
      <c r="C1959" s="43" t="s">
        <v>1613</v>
      </c>
      <c r="D1959" s="43" t="s">
        <v>1623</v>
      </c>
      <c r="E1959" s="43" t="s">
        <v>322</v>
      </c>
      <c r="F1959" s="43">
        <v>1</v>
      </c>
      <c r="G1959"/>
      <c r="H1959"/>
    </row>
    <row r="1960" spans="1:8" hidden="1" x14ac:dyDescent="0.25">
      <c r="A1960" s="43">
        <v>326</v>
      </c>
      <c r="B1960" s="43" t="s">
        <v>95</v>
      </c>
      <c r="C1960" s="43" t="s">
        <v>1613</v>
      </c>
      <c r="D1960" s="43" t="s">
        <v>1624</v>
      </c>
      <c r="E1960" s="43" t="s">
        <v>936</v>
      </c>
      <c r="F1960" s="43">
        <v>1</v>
      </c>
      <c r="G1960"/>
      <c r="H1960"/>
    </row>
    <row r="1961" spans="1:8" hidden="1" x14ac:dyDescent="0.25">
      <c r="A1961" s="43">
        <v>326</v>
      </c>
      <c r="B1961" s="43" t="s">
        <v>95</v>
      </c>
      <c r="C1961" s="43" t="s">
        <v>1613</v>
      </c>
      <c r="D1961" s="43" t="s">
        <v>1625</v>
      </c>
      <c r="E1961" s="43" t="s">
        <v>938</v>
      </c>
      <c r="F1961" s="43">
        <v>1</v>
      </c>
      <c r="G1961"/>
      <c r="H1961"/>
    </row>
    <row r="1962" spans="1:8" hidden="1" x14ac:dyDescent="0.25">
      <c r="A1962" s="43">
        <v>326</v>
      </c>
      <c r="B1962" s="43" t="s">
        <v>95</v>
      </c>
      <c r="C1962" s="43" t="s">
        <v>1613</v>
      </c>
      <c r="D1962" s="43" t="s">
        <v>1626</v>
      </c>
      <c r="E1962" s="43" t="s">
        <v>1483</v>
      </c>
      <c r="F1962" s="43">
        <v>0</v>
      </c>
      <c r="G1962" s="43" t="s">
        <v>4583</v>
      </c>
      <c r="H1962"/>
    </row>
    <row r="1963" spans="1:8" hidden="1" x14ac:dyDescent="0.25">
      <c r="A1963" s="43">
        <v>326</v>
      </c>
      <c r="B1963" s="43" t="s">
        <v>95</v>
      </c>
      <c r="C1963" s="43" t="s">
        <v>1613</v>
      </c>
      <c r="D1963" s="43" t="s">
        <v>1627</v>
      </c>
      <c r="E1963" s="43" t="s">
        <v>942</v>
      </c>
      <c r="F1963" s="43">
        <v>0</v>
      </c>
      <c r="G1963" s="43" t="s">
        <v>4641</v>
      </c>
      <c r="H1963" s="43" t="s">
        <v>4765</v>
      </c>
    </row>
    <row r="1964" spans="1:8" hidden="1" x14ac:dyDescent="0.25">
      <c r="A1964" s="43">
        <v>326</v>
      </c>
      <c r="B1964" s="43" t="s">
        <v>95</v>
      </c>
      <c r="C1964" s="43" t="s">
        <v>1613</v>
      </c>
      <c r="D1964" s="43" t="s">
        <v>1628</v>
      </c>
      <c r="E1964" s="43" t="s">
        <v>383</v>
      </c>
      <c r="F1964" s="43">
        <v>1</v>
      </c>
      <c r="G1964"/>
      <c r="H1964"/>
    </row>
    <row r="1965" spans="1:8" hidden="1" x14ac:dyDescent="0.25">
      <c r="A1965" s="43">
        <v>326</v>
      </c>
      <c r="B1965" s="43" t="s">
        <v>95</v>
      </c>
      <c r="C1965" s="43" t="s">
        <v>1613</v>
      </c>
      <c r="D1965" s="43" t="s">
        <v>1629</v>
      </c>
      <c r="E1965" s="43" t="s">
        <v>1630</v>
      </c>
      <c r="F1965" s="43">
        <v>0</v>
      </c>
      <c r="G1965" s="43" t="s">
        <v>4583</v>
      </c>
      <c r="H1965"/>
    </row>
    <row r="1966" spans="1:8" hidden="1" x14ac:dyDescent="0.25">
      <c r="A1966" s="43">
        <v>326</v>
      </c>
      <c r="B1966" s="43" t="s">
        <v>95</v>
      </c>
      <c r="C1966" s="43" t="s">
        <v>1613</v>
      </c>
      <c r="D1966" s="43" t="s">
        <v>1631</v>
      </c>
      <c r="E1966" s="43" t="s">
        <v>380</v>
      </c>
      <c r="F1966" s="43">
        <v>1</v>
      </c>
      <c r="G1966"/>
      <c r="H1966"/>
    </row>
    <row r="1967" spans="1:8" hidden="1" x14ac:dyDescent="0.25">
      <c r="A1967" s="43">
        <v>326</v>
      </c>
      <c r="B1967" s="43" t="s">
        <v>95</v>
      </c>
      <c r="C1967" s="43" t="s">
        <v>1613</v>
      </c>
      <c r="D1967" s="43" t="s">
        <v>1632</v>
      </c>
      <c r="E1967" s="43" t="s">
        <v>381</v>
      </c>
      <c r="F1967" s="43">
        <v>1</v>
      </c>
      <c r="G1967"/>
      <c r="H1967"/>
    </row>
    <row r="1968" spans="1:8" hidden="1" x14ac:dyDescent="0.25">
      <c r="A1968" s="43">
        <v>326</v>
      </c>
      <c r="B1968" s="43" t="s">
        <v>95</v>
      </c>
      <c r="C1968" s="43" t="s">
        <v>1613</v>
      </c>
      <c r="D1968" s="43" t="s">
        <v>1633</v>
      </c>
      <c r="E1968" s="43" t="s">
        <v>1634</v>
      </c>
      <c r="F1968" s="43">
        <v>1</v>
      </c>
      <c r="G1968"/>
      <c r="H1968"/>
    </row>
    <row r="1969" spans="1:8" hidden="1" x14ac:dyDescent="0.25">
      <c r="A1969" s="43">
        <v>326</v>
      </c>
      <c r="B1969" s="43" t="s">
        <v>95</v>
      </c>
      <c r="C1969" s="43" t="s">
        <v>1613</v>
      </c>
      <c r="D1969" s="43" t="s">
        <v>1635</v>
      </c>
      <c r="E1969" s="43" t="s">
        <v>4473</v>
      </c>
      <c r="F1969" s="43">
        <v>1</v>
      </c>
      <c r="G1969"/>
      <c r="H1969"/>
    </row>
    <row r="1970" spans="1:8" hidden="1" x14ac:dyDescent="0.25">
      <c r="A1970" s="43">
        <v>326</v>
      </c>
      <c r="B1970" s="43" t="s">
        <v>95</v>
      </c>
      <c r="C1970" s="43" t="s">
        <v>1613</v>
      </c>
      <c r="D1970" s="43" t="s">
        <v>1636</v>
      </c>
      <c r="E1970" s="43" t="s">
        <v>1637</v>
      </c>
      <c r="F1970" s="43">
        <v>1</v>
      </c>
      <c r="G1970"/>
      <c r="H1970"/>
    </row>
    <row r="1971" spans="1:8" hidden="1" x14ac:dyDescent="0.25">
      <c r="A1971" s="43">
        <v>326</v>
      </c>
      <c r="B1971" s="43" t="s">
        <v>95</v>
      </c>
      <c r="C1971" s="43" t="s">
        <v>1613</v>
      </c>
      <c r="D1971" s="43" t="s">
        <v>1638</v>
      </c>
      <c r="E1971" s="43" t="s">
        <v>1639</v>
      </c>
      <c r="F1971" s="43">
        <v>1</v>
      </c>
      <c r="G1971"/>
      <c r="H1971"/>
    </row>
    <row r="1972" spans="1:8" hidden="1" x14ac:dyDescent="0.25">
      <c r="A1972" s="43">
        <v>328</v>
      </c>
      <c r="B1972" s="43" t="s">
        <v>96</v>
      </c>
      <c r="C1972" s="43" t="s">
        <v>463</v>
      </c>
      <c r="D1972" s="43" t="s">
        <v>464</v>
      </c>
      <c r="E1972" s="43" t="s">
        <v>465</v>
      </c>
      <c r="F1972" s="43">
        <v>1</v>
      </c>
      <c r="G1972"/>
      <c r="H1972"/>
    </row>
    <row r="1973" spans="1:8" hidden="1" x14ac:dyDescent="0.25">
      <c r="A1973" s="43">
        <v>328</v>
      </c>
      <c r="B1973" s="43" t="s">
        <v>96</v>
      </c>
      <c r="C1973" s="43" t="s">
        <v>463</v>
      </c>
      <c r="D1973" s="43" t="s">
        <v>466</v>
      </c>
      <c r="E1973" s="43" t="s">
        <v>467</v>
      </c>
      <c r="F1973" s="43">
        <v>1</v>
      </c>
      <c r="G1973"/>
      <c r="H1973"/>
    </row>
    <row r="1974" spans="1:8" hidden="1" x14ac:dyDescent="0.25">
      <c r="A1974" s="43">
        <v>328</v>
      </c>
      <c r="B1974" s="43" t="s">
        <v>96</v>
      </c>
      <c r="C1974" s="43" t="s">
        <v>463</v>
      </c>
      <c r="D1974" s="43" t="s">
        <v>468</v>
      </c>
      <c r="E1974" s="43" t="s">
        <v>469</v>
      </c>
      <c r="F1974" s="43">
        <v>1</v>
      </c>
      <c r="G1974"/>
      <c r="H1974"/>
    </row>
    <row r="1975" spans="1:8" hidden="1" x14ac:dyDescent="0.25">
      <c r="A1975" s="43">
        <v>328</v>
      </c>
      <c r="B1975" s="43" t="s">
        <v>96</v>
      </c>
      <c r="C1975" s="43" t="s">
        <v>463</v>
      </c>
      <c r="D1975" s="43" t="s">
        <v>470</v>
      </c>
      <c r="E1975" s="43" t="s">
        <v>368</v>
      </c>
      <c r="F1975" s="43">
        <v>1</v>
      </c>
      <c r="G1975"/>
      <c r="H1975"/>
    </row>
    <row r="1976" spans="1:8" hidden="1" x14ac:dyDescent="0.25">
      <c r="A1976" s="43">
        <v>328</v>
      </c>
      <c r="B1976" s="43" t="s">
        <v>96</v>
      </c>
      <c r="C1976" s="43" t="s">
        <v>463</v>
      </c>
      <c r="D1976" s="43" t="s">
        <v>471</v>
      </c>
      <c r="E1976" s="43" t="s">
        <v>370</v>
      </c>
      <c r="F1976" s="43">
        <v>1</v>
      </c>
      <c r="G1976"/>
      <c r="H1976"/>
    </row>
    <row r="1977" spans="1:8" hidden="1" x14ac:dyDescent="0.25">
      <c r="A1977" s="43">
        <v>328</v>
      </c>
      <c r="B1977" s="43" t="s">
        <v>96</v>
      </c>
      <c r="C1977" s="43" t="s">
        <v>463</v>
      </c>
      <c r="D1977" s="43" t="s">
        <v>472</v>
      </c>
      <c r="E1977" s="43" t="s">
        <v>473</v>
      </c>
      <c r="F1977" s="43">
        <v>1</v>
      </c>
      <c r="G1977"/>
      <c r="H1977"/>
    </row>
    <row r="1978" spans="1:8" hidden="1" x14ac:dyDescent="0.25">
      <c r="A1978" s="43">
        <v>328</v>
      </c>
      <c r="B1978" s="43" t="s">
        <v>96</v>
      </c>
      <c r="C1978" s="43" t="s">
        <v>463</v>
      </c>
      <c r="D1978" s="43" t="s">
        <v>474</v>
      </c>
      <c r="E1978" s="43" t="s">
        <v>475</v>
      </c>
      <c r="F1978" s="43">
        <v>1</v>
      </c>
      <c r="G1978"/>
      <c r="H1978"/>
    </row>
    <row r="1979" spans="1:8" hidden="1" x14ac:dyDescent="0.25">
      <c r="A1979" s="43">
        <v>328</v>
      </c>
      <c r="B1979" s="43" t="s">
        <v>96</v>
      </c>
      <c r="C1979" s="43" t="s">
        <v>463</v>
      </c>
      <c r="D1979" s="43" t="s">
        <v>476</v>
      </c>
      <c r="E1979" s="43" t="s">
        <v>477</v>
      </c>
      <c r="F1979" s="43">
        <v>1</v>
      </c>
      <c r="G1979"/>
      <c r="H1979"/>
    </row>
    <row r="1980" spans="1:8" hidden="1" x14ac:dyDescent="0.25">
      <c r="A1980" s="43">
        <v>328</v>
      </c>
      <c r="B1980" s="43" t="s">
        <v>96</v>
      </c>
      <c r="C1980" s="43" t="s">
        <v>463</v>
      </c>
      <c r="D1980" s="43" t="s">
        <v>478</v>
      </c>
      <c r="E1980" s="43" t="s">
        <v>295</v>
      </c>
      <c r="F1980" s="43">
        <v>1</v>
      </c>
      <c r="G1980"/>
      <c r="H1980"/>
    </row>
    <row r="1981" spans="1:8" hidden="1" x14ac:dyDescent="0.25">
      <c r="A1981" s="43">
        <v>328</v>
      </c>
      <c r="B1981" s="43" t="s">
        <v>96</v>
      </c>
      <c r="C1981" s="43" t="s">
        <v>463</v>
      </c>
      <c r="D1981" s="43" t="s">
        <v>479</v>
      </c>
      <c r="E1981" s="43" t="s">
        <v>480</v>
      </c>
      <c r="F1981" s="43">
        <v>1</v>
      </c>
      <c r="G1981"/>
      <c r="H1981"/>
    </row>
    <row r="1982" spans="1:8" hidden="1" x14ac:dyDescent="0.25">
      <c r="A1982" s="43">
        <v>328</v>
      </c>
      <c r="B1982" s="43" t="s">
        <v>96</v>
      </c>
      <c r="C1982" s="43" t="s">
        <v>463</v>
      </c>
      <c r="D1982" s="43" t="s">
        <v>481</v>
      </c>
      <c r="E1982" s="43" t="s">
        <v>482</v>
      </c>
      <c r="F1982" s="43">
        <v>0</v>
      </c>
      <c r="G1982" s="43" t="s">
        <v>4642</v>
      </c>
      <c r="H1982" s="43" t="s">
        <v>4760</v>
      </c>
    </row>
    <row r="1983" spans="1:8" hidden="1" x14ac:dyDescent="0.25">
      <c r="A1983" s="43">
        <v>328</v>
      </c>
      <c r="B1983" s="43" t="s">
        <v>96</v>
      </c>
      <c r="C1983" s="43" t="s">
        <v>463</v>
      </c>
      <c r="D1983" s="43" t="s">
        <v>483</v>
      </c>
      <c r="E1983" s="43" t="s">
        <v>484</v>
      </c>
      <c r="F1983" s="43">
        <v>1</v>
      </c>
      <c r="G1983"/>
      <c r="H1983"/>
    </row>
    <row r="1984" spans="1:8" hidden="1" x14ac:dyDescent="0.25">
      <c r="A1984" s="43">
        <v>329</v>
      </c>
      <c r="B1984" s="43" t="s">
        <v>96</v>
      </c>
      <c r="C1984" s="43" t="s">
        <v>463</v>
      </c>
      <c r="D1984" s="43" t="s">
        <v>464</v>
      </c>
      <c r="E1984" s="43" t="s">
        <v>465</v>
      </c>
      <c r="F1984" s="43">
        <v>1</v>
      </c>
      <c r="G1984"/>
      <c r="H1984"/>
    </row>
    <row r="1985" spans="1:8" hidden="1" x14ac:dyDescent="0.25">
      <c r="A1985" s="43">
        <v>329</v>
      </c>
      <c r="B1985" s="43" t="s">
        <v>96</v>
      </c>
      <c r="C1985" s="43" t="s">
        <v>463</v>
      </c>
      <c r="D1985" s="43" t="s">
        <v>466</v>
      </c>
      <c r="E1985" s="43" t="s">
        <v>467</v>
      </c>
      <c r="F1985" s="43">
        <v>1</v>
      </c>
      <c r="G1985"/>
      <c r="H1985"/>
    </row>
    <row r="1986" spans="1:8" hidden="1" x14ac:dyDescent="0.25">
      <c r="A1986" s="43">
        <v>329</v>
      </c>
      <c r="B1986" s="43" t="s">
        <v>96</v>
      </c>
      <c r="C1986" s="43" t="s">
        <v>463</v>
      </c>
      <c r="D1986" s="43" t="s">
        <v>468</v>
      </c>
      <c r="E1986" s="43" t="s">
        <v>469</v>
      </c>
      <c r="F1986" s="43">
        <v>1</v>
      </c>
      <c r="G1986"/>
      <c r="H1986"/>
    </row>
    <row r="1987" spans="1:8" hidden="1" x14ac:dyDescent="0.25">
      <c r="A1987" s="43">
        <v>329</v>
      </c>
      <c r="B1987" s="43" t="s">
        <v>96</v>
      </c>
      <c r="C1987" s="43" t="s">
        <v>463</v>
      </c>
      <c r="D1987" s="43" t="s">
        <v>470</v>
      </c>
      <c r="E1987" s="43" t="s">
        <v>368</v>
      </c>
      <c r="F1987" s="43">
        <v>1</v>
      </c>
      <c r="G1987"/>
      <c r="H1987"/>
    </row>
    <row r="1988" spans="1:8" hidden="1" x14ac:dyDescent="0.25">
      <c r="A1988" s="43">
        <v>329</v>
      </c>
      <c r="B1988" s="43" t="s">
        <v>96</v>
      </c>
      <c r="C1988" s="43" t="s">
        <v>463</v>
      </c>
      <c r="D1988" s="43" t="s">
        <v>471</v>
      </c>
      <c r="E1988" s="43" t="s">
        <v>370</v>
      </c>
      <c r="F1988" s="43">
        <v>1</v>
      </c>
      <c r="G1988"/>
      <c r="H1988"/>
    </row>
    <row r="1989" spans="1:8" hidden="1" x14ac:dyDescent="0.25">
      <c r="A1989" s="43">
        <v>329</v>
      </c>
      <c r="B1989" s="43" t="s">
        <v>96</v>
      </c>
      <c r="C1989" s="43" t="s">
        <v>463</v>
      </c>
      <c r="D1989" s="43" t="s">
        <v>472</v>
      </c>
      <c r="E1989" s="43" t="s">
        <v>473</v>
      </c>
      <c r="F1989" s="43">
        <v>1</v>
      </c>
      <c r="G1989"/>
      <c r="H1989"/>
    </row>
    <row r="1990" spans="1:8" hidden="1" x14ac:dyDescent="0.25">
      <c r="A1990" s="43">
        <v>329</v>
      </c>
      <c r="B1990" s="43" t="s">
        <v>96</v>
      </c>
      <c r="C1990" s="43" t="s">
        <v>463</v>
      </c>
      <c r="D1990" s="43" t="s">
        <v>474</v>
      </c>
      <c r="E1990" s="43" t="s">
        <v>475</v>
      </c>
      <c r="F1990" s="43">
        <v>1</v>
      </c>
      <c r="G1990"/>
      <c r="H1990"/>
    </row>
    <row r="1991" spans="1:8" hidden="1" x14ac:dyDescent="0.25">
      <c r="A1991" s="43">
        <v>329</v>
      </c>
      <c r="B1991" s="43" t="s">
        <v>96</v>
      </c>
      <c r="C1991" s="43" t="s">
        <v>463</v>
      </c>
      <c r="D1991" s="43" t="s">
        <v>476</v>
      </c>
      <c r="E1991" s="43" t="s">
        <v>477</v>
      </c>
      <c r="F1991" s="43">
        <v>1</v>
      </c>
      <c r="G1991"/>
      <c r="H1991"/>
    </row>
    <row r="1992" spans="1:8" hidden="1" x14ac:dyDescent="0.25">
      <c r="A1992" s="43">
        <v>329</v>
      </c>
      <c r="B1992" s="43" t="s">
        <v>96</v>
      </c>
      <c r="C1992" s="43" t="s">
        <v>463</v>
      </c>
      <c r="D1992" s="43" t="s">
        <v>478</v>
      </c>
      <c r="E1992" s="43" t="s">
        <v>295</v>
      </c>
      <c r="F1992" s="43">
        <v>1</v>
      </c>
      <c r="G1992"/>
      <c r="H1992"/>
    </row>
    <row r="1993" spans="1:8" hidden="1" x14ac:dyDescent="0.25">
      <c r="A1993" s="43">
        <v>329</v>
      </c>
      <c r="B1993" s="43" t="s">
        <v>96</v>
      </c>
      <c r="C1993" s="43" t="s">
        <v>463</v>
      </c>
      <c r="D1993" s="43" t="s">
        <v>479</v>
      </c>
      <c r="E1993" s="43" t="s">
        <v>480</v>
      </c>
      <c r="F1993" s="43">
        <v>1</v>
      </c>
      <c r="G1993"/>
      <c r="H1993"/>
    </row>
    <row r="1994" spans="1:8" hidden="1" x14ac:dyDescent="0.25">
      <c r="A1994" s="43">
        <v>329</v>
      </c>
      <c r="B1994" s="43" t="s">
        <v>96</v>
      </c>
      <c r="C1994" s="43" t="s">
        <v>463</v>
      </c>
      <c r="D1994" s="43" t="s">
        <v>481</v>
      </c>
      <c r="E1994" s="43" t="s">
        <v>482</v>
      </c>
      <c r="F1994" s="43">
        <v>0</v>
      </c>
      <c r="G1994" s="43" t="s">
        <v>4643</v>
      </c>
      <c r="H1994" s="43" t="s">
        <v>4760</v>
      </c>
    </row>
    <row r="1995" spans="1:8" hidden="1" x14ac:dyDescent="0.25">
      <c r="A1995" s="43">
        <v>329</v>
      </c>
      <c r="B1995" s="43" t="s">
        <v>96</v>
      </c>
      <c r="C1995" s="43" t="s">
        <v>463</v>
      </c>
      <c r="D1995" s="43" t="s">
        <v>483</v>
      </c>
      <c r="E1995" s="43" t="s">
        <v>484</v>
      </c>
      <c r="F1995" s="43">
        <v>1</v>
      </c>
      <c r="G1995"/>
      <c r="H1995"/>
    </row>
    <row r="1996" spans="1:8" hidden="1" x14ac:dyDescent="0.25">
      <c r="A1996" s="43">
        <v>330</v>
      </c>
      <c r="B1996" s="43" t="s">
        <v>96</v>
      </c>
      <c r="C1996" s="43" t="s">
        <v>463</v>
      </c>
      <c r="D1996" s="43" t="s">
        <v>464</v>
      </c>
      <c r="E1996" s="43" t="s">
        <v>465</v>
      </c>
      <c r="F1996" s="43">
        <v>1</v>
      </c>
      <c r="G1996"/>
      <c r="H1996"/>
    </row>
    <row r="1997" spans="1:8" hidden="1" x14ac:dyDescent="0.25">
      <c r="A1997" s="43">
        <v>330</v>
      </c>
      <c r="B1997" s="43" t="s">
        <v>96</v>
      </c>
      <c r="C1997" s="43" t="s">
        <v>463</v>
      </c>
      <c r="D1997" s="43" t="s">
        <v>466</v>
      </c>
      <c r="E1997" s="43" t="s">
        <v>467</v>
      </c>
      <c r="F1997" s="43">
        <v>1</v>
      </c>
      <c r="G1997"/>
      <c r="H1997"/>
    </row>
    <row r="1998" spans="1:8" hidden="1" x14ac:dyDescent="0.25">
      <c r="A1998" s="43">
        <v>330</v>
      </c>
      <c r="B1998" s="43" t="s">
        <v>96</v>
      </c>
      <c r="C1998" s="43" t="s">
        <v>463</v>
      </c>
      <c r="D1998" s="43" t="s">
        <v>468</v>
      </c>
      <c r="E1998" s="43" t="s">
        <v>469</v>
      </c>
      <c r="F1998" s="43">
        <v>1</v>
      </c>
      <c r="G1998"/>
      <c r="H1998"/>
    </row>
    <row r="1999" spans="1:8" hidden="1" x14ac:dyDescent="0.25">
      <c r="A1999" s="43">
        <v>330</v>
      </c>
      <c r="B1999" s="43" t="s">
        <v>96</v>
      </c>
      <c r="C1999" s="43" t="s">
        <v>463</v>
      </c>
      <c r="D1999" s="43" t="s">
        <v>470</v>
      </c>
      <c r="E1999" s="43" t="s">
        <v>368</v>
      </c>
      <c r="F1999" s="43">
        <v>1</v>
      </c>
      <c r="G1999"/>
      <c r="H1999"/>
    </row>
    <row r="2000" spans="1:8" hidden="1" x14ac:dyDescent="0.25">
      <c r="A2000" s="43">
        <v>330</v>
      </c>
      <c r="B2000" s="43" t="s">
        <v>96</v>
      </c>
      <c r="C2000" s="43" t="s">
        <v>463</v>
      </c>
      <c r="D2000" s="43" t="s">
        <v>471</v>
      </c>
      <c r="E2000" s="43" t="s">
        <v>370</v>
      </c>
      <c r="F2000" s="43">
        <v>1</v>
      </c>
      <c r="G2000"/>
      <c r="H2000"/>
    </row>
    <row r="2001" spans="1:8" hidden="1" x14ac:dyDescent="0.25">
      <c r="A2001" s="43">
        <v>330</v>
      </c>
      <c r="B2001" s="43" t="s">
        <v>96</v>
      </c>
      <c r="C2001" s="43" t="s">
        <v>463</v>
      </c>
      <c r="D2001" s="43" t="s">
        <v>472</v>
      </c>
      <c r="E2001" s="43" t="s">
        <v>473</v>
      </c>
      <c r="F2001" s="43">
        <v>1</v>
      </c>
      <c r="G2001"/>
      <c r="H2001"/>
    </row>
    <row r="2002" spans="1:8" hidden="1" x14ac:dyDescent="0.25">
      <c r="A2002" s="43">
        <v>330</v>
      </c>
      <c r="B2002" s="43" t="s">
        <v>96</v>
      </c>
      <c r="C2002" s="43" t="s">
        <v>463</v>
      </c>
      <c r="D2002" s="43" t="s">
        <v>474</v>
      </c>
      <c r="E2002" s="43" t="s">
        <v>475</v>
      </c>
      <c r="F2002" s="43">
        <v>1</v>
      </c>
      <c r="G2002"/>
      <c r="H2002"/>
    </row>
    <row r="2003" spans="1:8" hidden="1" x14ac:dyDescent="0.25">
      <c r="A2003" s="43">
        <v>330</v>
      </c>
      <c r="B2003" s="43" t="s">
        <v>96</v>
      </c>
      <c r="C2003" s="43" t="s">
        <v>463</v>
      </c>
      <c r="D2003" s="43" t="s">
        <v>476</v>
      </c>
      <c r="E2003" s="43" t="s">
        <v>477</v>
      </c>
      <c r="F2003" s="43">
        <v>1</v>
      </c>
      <c r="G2003"/>
      <c r="H2003"/>
    </row>
    <row r="2004" spans="1:8" hidden="1" x14ac:dyDescent="0.25">
      <c r="A2004" s="43">
        <v>330</v>
      </c>
      <c r="B2004" s="43" t="s">
        <v>96</v>
      </c>
      <c r="C2004" s="43" t="s">
        <v>463</v>
      </c>
      <c r="D2004" s="43" t="s">
        <v>478</v>
      </c>
      <c r="E2004" s="43" t="s">
        <v>295</v>
      </c>
      <c r="F2004" s="43">
        <v>1</v>
      </c>
      <c r="G2004"/>
      <c r="H2004"/>
    </row>
    <row r="2005" spans="1:8" hidden="1" x14ac:dyDescent="0.25">
      <c r="A2005" s="43">
        <v>330</v>
      </c>
      <c r="B2005" s="43" t="s">
        <v>96</v>
      </c>
      <c r="C2005" s="43" t="s">
        <v>463</v>
      </c>
      <c r="D2005" s="43" t="s">
        <v>479</v>
      </c>
      <c r="E2005" s="43" t="s">
        <v>480</v>
      </c>
      <c r="F2005" s="43">
        <v>1</v>
      </c>
      <c r="G2005"/>
      <c r="H2005"/>
    </row>
    <row r="2006" spans="1:8" hidden="1" x14ac:dyDescent="0.25">
      <c r="A2006" s="43">
        <v>330</v>
      </c>
      <c r="B2006" s="43" t="s">
        <v>96</v>
      </c>
      <c r="C2006" s="43" t="s">
        <v>463</v>
      </c>
      <c r="D2006" s="43" t="s">
        <v>481</v>
      </c>
      <c r="E2006" s="43" t="s">
        <v>482</v>
      </c>
      <c r="F2006" s="43">
        <v>0</v>
      </c>
      <c r="G2006" s="43" t="s">
        <v>4644</v>
      </c>
      <c r="H2006" s="43" t="s">
        <v>4760</v>
      </c>
    </row>
    <row r="2007" spans="1:8" hidden="1" x14ac:dyDescent="0.25">
      <c r="A2007" s="43">
        <v>330</v>
      </c>
      <c r="B2007" s="43" t="s">
        <v>96</v>
      </c>
      <c r="C2007" s="43" t="s">
        <v>463</v>
      </c>
      <c r="D2007" s="43" t="s">
        <v>483</v>
      </c>
      <c r="E2007" s="43" t="s">
        <v>484</v>
      </c>
      <c r="F2007" s="43">
        <v>1</v>
      </c>
      <c r="G2007"/>
      <c r="H2007"/>
    </row>
    <row r="2008" spans="1:8" hidden="1" x14ac:dyDescent="0.25">
      <c r="A2008" s="43">
        <v>333</v>
      </c>
      <c r="B2008" s="43" t="s">
        <v>97</v>
      </c>
      <c r="C2008" s="43" t="s">
        <v>450</v>
      </c>
      <c r="D2008" s="43" t="s">
        <v>451</v>
      </c>
      <c r="E2008" s="43" t="s">
        <v>273</v>
      </c>
      <c r="F2008" s="43">
        <v>1</v>
      </c>
      <c r="G2008"/>
      <c r="H2008"/>
    </row>
    <row r="2009" spans="1:8" hidden="1" x14ac:dyDescent="0.25">
      <c r="A2009" s="43">
        <v>333</v>
      </c>
      <c r="B2009" s="43" t="s">
        <v>97</v>
      </c>
      <c r="C2009" s="43" t="s">
        <v>450</v>
      </c>
      <c r="D2009" s="43" t="s">
        <v>452</v>
      </c>
      <c r="E2009" s="43" t="s">
        <v>453</v>
      </c>
      <c r="F2009" s="43">
        <v>1</v>
      </c>
      <c r="G2009"/>
      <c r="H2009"/>
    </row>
    <row r="2010" spans="1:8" hidden="1" x14ac:dyDescent="0.25">
      <c r="A2010" s="43">
        <v>333</v>
      </c>
      <c r="B2010" s="43" t="s">
        <v>97</v>
      </c>
      <c r="C2010" s="43" t="s">
        <v>450</v>
      </c>
      <c r="D2010" s="43" t="s">
        <v>454</v>
      </c>
      <c r="E2010" s="43" t="s">
        <v>283</v>
      </c>
      <c r="F2010" s="43">
        <v>1</v>
      </c>
      <c r="G2010"/>
      <c r="H2010"/>
    </row>
    <row r="2011" spans="1:8" hidden="1" x14ac:dyDescent="0.25">
      <c r="A2011" s="43">
        <v>333</v>
      </c>
      <c r="B2011" s="43" t="s">
        <v>97</v>
      </c>
      <c r="C2011" s="43" t="s">
        <v>450</v>
      </c>
      <c r="D2011" s="43" t="s">
        <v>455</v>
      </c>
      <c r="E2011" s="43" t="s">
        <v>456</v>
      </c>
      <c r="F2011" s="43">
        <v>1</v>
      </c>
      <c r="G2011"/>
      <c r="H2011"/>
    </row>
    <row r="2012" spans="1:8" hidden="1" x14ac:dyDescent="0.25">
      <c r="A2012" s="43">
        <v>333</v>
      </c>
      <c r="B2012" s="43" t="s">
        <v>97</v>
      </c>
      <c r="C2012" s="43" t="s">
        <v>450</v>
      </c>
      <c r="D2012" s="43" t="s">
        <v>457</v>
      </c>
      <c r="E2012" s="43" t="s">
        <v>295</v>
      </c>
      <c r="F2012" s="43">
        <v>1</v>
      </c>
      <c r="G2012"/>
      <c r="H2012"/>
    </row>
    <row r="2013" spans="1:8" hidden="1" x14ac:dyDescent="0.25">
      <c r="A2013" s="43">
        <v>333</v>
      </c>
      <c r="B2013" s="43" t="s">
        <v>97</v>
      </c>
      <c r="C2013" s="43" t="s">
        <v>450</v>
      </c>
      <c r="D2013" s="43" t="s">
        <v>458</v>
      </c>
      <c r="E2013" s="43" t="s">
        <v>459</v>
      </c>
      <c r="F2013" s="89">
        <v>2</v>
      </c>
      <c r="G2013" s="43" t="s">
        <v>3269</v>
      </c>
      <c r="H2013"/>
    </row>
    <row r="2014" spans="1:8" hidden="1" x14ac:dyDescent="0.25">
      <c r="A2014" s="43">
        <v>333</v>
      </c>
      <c r="B2014" s="43" t="s">
        <v>97</v>
      </c>
      <c r="C2014" s="43" t="s">
        <v>450</v>
      </c>
      <c r="D2014" s="43" t="s">
        <v>460</v>
      </c>
      <c r="E2014" s="43" t="s">
        <v>461</v>
      </c>
      <c r="F2014" s="89">
        <v>2</v>
      </c>
      <c r="G2014" s="43" t="s">
        <v>3269</v>
      </c>
      <c r="H2014"/>
    </row>
    <row r="2015" spans="1:8" hidden="1" x14ac:dyDescent="0.25">
      <c r="A2015" s="43">
        <v>333</v>
      </c>
      <c r="B2015" s="43" t="s">
        <v>97</v>
      </c>
      <c r="C2015" s="43" t="s">
        <v>450</v>
      </c>
      <c r="D2015" s="43" t="s">
        <v>462</v>
      </c>
      <c r="E2015" s="43" t="s">
        <v>372</v>
      </c>
      <c r="F2015" s="43">
        <v>1</v>
      </c>
      <c r="G2015"/>
      <c r="H2015"/>
    </row>
    <row r="2016" spans="1:8" hidden="1" x14ac:dyDescent="0.25">
      <c r="A2016" s="43">
        <v>341</v>
      </c>
      <c r="B2016" s="43" t="s">
        <v>98</v>
      </c>
      <c r="C2016" s="43" t="s">
        <v>701</v>
      </c>
      <c r="D2016" s="43" t="s">
        <v>702</v>
      </c>
      <c r="E2016" s="43" t="s">
        <v>583</v>
      </c>
      <c r="F2016" s="43">
        <v>1</v>
      </c>
      <c r="G2016"/>
      <c r="H2016"/>
    </row>
    <row r="2017" spans="1:8" hidden="1" x14ac:dyDescent="0.25">
      <c r="A2017" s="43">
        <v>341</v>
      </c>
      <c r="B2017" s="43" t="s">
        <v>98</v>
      </c>
      <c r="C2017" s="43" t="s">
        <v>701</v>
      </c>
      <c r="D2017" s="43" t="s">
        <v>703</v>
      </c>
      <c r="E2017" s="43" t="s">
        <v>306</v>
      </c>
      <c r="F2017" s="43">
        <v>1</v>
      </c>
      <c r="G2017"/>
      <c r="H2017"/>
    </row>
    <row r="2018" spans="1:8" hidden="1" x14ac:dyDescent="0.25">
      <c r="A2018" s="43">
        <v>341</v>
      </c>
      <c r="B2018" s="43" t="s">
        <v>98</v>
      </c>
      <c r="C2018" s="43" t="s">
        <v>701</v>
      </c>
      <c r="D2018" s="43" t="s">
        <v>704</v>
      </c>
      <c r="E2018" s="43" t="s">
        <v>705</v>
      </c>
      <c r="F2018" s="43">
        <v>1</v>
      </c>
      <c r="G2018"/>
      <c r="H2018"/>
    </row>
    <row r="2019" spans="1:8" hidden="1" x14ac:dyDescent="0.25">
      <c r="A2019" s="43">
        <v>341</v>
      </c>
      <c r="B2019" s="43" t="s">
        <v>98</v>
      </c>
      <c r="C2019" s="43" t="s">
        <v>701</v>
      </c>
      <c r="D2019" s="43" t="s">
        <v>706</v>
      </c>
      <c r="E2019" s="43" t="s">
        <v>588</v>
      </c>
      <c r="F2019" s="43">
        <v>1</v>
      </c>
      <c r="G2019"/>
      <c r="H2019"/>
    </row>
    <row r="2020" spans="1:8" hidden="1" x14ac:dyDescent="0.25">
      <c r="A2020" s="43">
        <v>341</v>
      </c>
      <c r="B2020" s="43" t="s">
        <v>98</v>
      </c>
      <c r="C2020" s="43" t="s">
        <v>701</v>
      </c>
      <c r="D2020" s="43" t="s">
        <v>707</v>
      </c>
      <c r="E2020" s="43" t="s">
        <v>312</v>
      </c>
      <c r="F2020" s="43">
        <v>1</v>
      </c>
      <c r="G2020"/>
      <c r="H2020"/>
    </row>
    <row r="2021" spans="1:8" hidden="1" x14ac:dyDescent="0.25">
      <c r="A2021" s="43">
        <v>341</v>
      </c>
      <c r="B2021" s="43" t="s">
        <v>98</v>
      </c>
      <c r="C2021" s="43" t="s">
        <v>701</v>
      </c>
      <c r="D2021" s="43" t="s">
        <v>708</v>
      </c>
      <c r="E2021" s="43" t="s">
        <v>314</v>
      </c>
      <c r="F2021" s="43">
        <v>1</v>
      </c>
      <c r="G2021"/>
      <c r="H2021"/>
    </row>
    <row r="2022" spans="1:8" hidden="1" x14ac:dyDescent="0.25">
      <c r="A2022" s="43">
        <v>341</v>
      </c>
      <c r="B2022" s="43" t="s">
        <v>98</v>
      </c>
      <c r="C2022" s="43" t="s">
        <v>701</v>
      </c>
      <c r="D2022" s="43" t="s">
        <v>709</v>
      </c>
      <c r="E2022" s="43" t="s">
        <v>493</v>
      </c>
      <c r="F2022" s="43">
        <v>1</v>
      </c>
      <c r="G2022"/>
      <c r="H2022"/>
    </row>
    <row r="2023" spans="1:8" hidden="1" x14ac:dyDescent="0.25">
      <c r="A2023" s="43">
        <v>341</v>
      </c>
      <c r="B2023" s="43" t="s">
        <v>98</v>
      </c>
      <c r="C2023" s="43" t="s">
        <v>701</v>
      </c>
      <c r="D2023" s="43" t="s">
        <v>710</v>
      </c>
      <c r="E2023" s="43" t="s">
        <v>275</v>
      </c>
      <c r="F2023" s="43">
        <v>0</v>
      </c>
      <c r="G2023" s="43" t="s">
        <v>4645</v>
      </c>
      <c r="H2023" s="43" t="s">
        <v>4760</v>
      </c>
    </row>
    <row r="2024" spans="1:8" hidden="1" x14ac:dyDescent="0.25">
      <c r="A2024" s="43">
        <v>341</v>
      </c>
      <c r="B2024" s="43" t="s">
        <v>98</v>
      </c>
      <c r="C2024" s="43" t="s">
        <v>701</v>
      </c>
      <c r="D2024" s="43" t="s">
        <v>711</v>
      </c>
      <c r="E2024" s="43" t="s">
        <v>283</v>
      </c>
      <c r="F2024" s="43">
        <v>1</v>
      </c>
      <c r="G2024"/>
      <c r="H2024"/>
    </row>
    <row r="2025" spans="1:8" hidden="1" x14ac:dyDescent="0.25">
      <c r="A2025" s="43">
        <v>341</v>
      </c>
      <c r="B2025" s="43" t="s">
        <v>98</v>
      </c>
      <c r="C2025" s="43" t="s">
        <v>701</v>
      </c>
      <c r="D2025" s="43" t="s">
        <v>712</v>
      </c>
      <c r="E2025" s="43" t="s">
        <v>713</v>
      </c>
      <c r="F2025" s="43">
        <v>1</v>
      </c>
      <c r="G2025"/>
      <c r="H2025"/>
    </row>
    <row r="2026" spans="1:8" hidden="1" x14ac:dyDescent="0.25">
      <c r="A2026" s="43">
        <v>341</v>
      </c>
      <c r="B2026" s="43" t="s">
        <v>98</v>
      </c>
      <c r="C2026" s="43" t="s">
        <v>701</v>
      </c>
      <c r="D2026" s="43" t="s">
        <v>714</v>
      </c>
      <c r="E2026" s="43" t="s">
        <v>715</v>
      </c>
      <c r="F2026" s="43">
        <v>1</v>
      </c>
      <c r="G2026"/>
      <c r="H2026"/>
    </row>
    <row r="2027" spans="1:8" hidden="1" x14ac:dyDescent="0.25">
      <c r="A2027" s="43">
        <v>341</v>
      </c>
      <c r="B2027" s="43" t="s">
        <v>98</v>
      </c>
      <c r="C2027" s="43" t="s">
        <v>701</v>
      </c>
      <c r="D2027" s="43" t="s">
        <v>716</v>
      </c>
      <c r="E2027" s="43" t="s">
        <v>717</v>
      </c>
      <c r="F2027" s="43">
        <v>1</v>
      </c>
      <c r="G2027"/>
      <c r="H2027"/>
    </row>
    <row r="2028" spans="1:8" hidden="1" x14ac:dyDescent="0.25">
      <c r="A2028" s="43">
        <v>341</v>
      </c>
      <c r="B2028" s="43" t="s">
        <v>98</v>
      </c>
      <c r="C2028" s="43" t="s">
        <v>701</v>
      </c>
      <c r="D2028" s="43" t="s">
        <v>718</v>
      </c>
      <c r="E2028" s="43" t="s">
        <v>381</v>
      </c>
      <c r="F2028" s="43">
        <v>1</v>
      </c>
      <c r="G2028"/>
      <c r="H2028"/>
    </row>
    <row r="2029" spans="1:8" hidden="1" x14ac:dyDescent="0.25">
      <c r="A2029" s="43">
        <v>341</v>
      </c>
      <c r="B2029" s="43" t="s">
        <v>98</v>
      </c>
      <c r="C2029" s="43" t="s">
        <v>701</v>
      </c>
      <c r="D2029" s="43" t="s">
        <v>719</v>
      </c>
      <c r="E2029" s="43" t="s">
        <v>720</v>
      </c>
      <c r="F2029" s="43">
        <v>1</v>
      </c>
      <c r="G2029"/>
      <c r="H2029"/>
    </row>
    <row r="2030" spans="1:8" hidden="1" x14ac:dyDescent="0.25">
      <c r="A2030" s="43">
        <v>341</v>
      </c>
      <c r="B2030" s="43" t="s">
        <v>98</v>
      </c>
      <c r="C2030" s="43" t="s">
        <v>701</v>
      </c>
      <c r="D2030" s="43" t="s">
        <v>721</v>
      </c>
      <c r="E2030" s="43" t="s">
        <v>722</v>
      </c>
      <c r="F2030" s="43">
        <v>1</v>
      </c>
      <c r="G2030"/>
      <c r="H2030"/>
    </row>
    <row r="2031" spans="1:8" hidden="1" x14ac:dyDescent="0.25">
      <c r="A2031" s="43">
        <v>342</v>
      </c>
      <c r="B2031" s="43" t="s">
        <v>98</v>
      </c>
      <c r="C2031" s="43" t="s">
        <v>701</v>
      </c>
      <c r="D2031" s="43" t="s">
        <v>702</v>
      </c>
      <c r="E2031" s="43" t="s">
        <v>583</v>
      </c>
      <c r="F2031" s="43">
        <v>1</v>
      </c>
      <c r="G2031"/>
      <c r="H2031"/>
    </row>
    <row r="2032" spans="1:8" hidden="1" x14ac:dyDescent="0.25">
      <c r="A2032" s="43">
        <v>342</v>
      </c>
      <c r="B2032" s="43" t="s">
        <v>98</v>
      </c>
      <c r="C2032" s="43" t="s">
        <v>701</v>
      </c>
      <c r="D2032" s="43" t="s">
        <v>703</v>
      </c>
      <c r="E2032" s="43" t="s">
        <v>306</v>
      </c>
      <c r="F2032" s="43">
        <v>1</v>
      </c>
      <c r="G2032"/>
      <c r="H2032"/>
    </row>
    <row r="2033" spans="1:8" hidden="1" x14ac:dyDescent="0.25">
      <c r="A2033" s="43">
        <v>342</v>
      </c>
      <c r="B2033" s="43" t="s">
        <v>98</v>
      </c>
      <c r="C2033" s="43" t="s">
        <v>701</v>
      </c>
      <c r="D2033" s="43" t="s">
        <v>704</v>
      </c>
      <c r="E2033" s="43" t="s">
        <v>705</v>
      </c>
      <c r="F2033" s="43">
        <v>1</v>
      </c>
      <c r="G2033"/>
      <c r="H2033"/>
    </row>
    <row r="2034" spans="1:8" hidden="1" x14ac:dyDescent="0.25">
      <c r="A2034" s="43">
        <v>342</v>
      </c>
      <c r="B2034" s="43" t="s">
        <v>98</v>
      </c>
      <c r="C2034" s="43" t="s">
        <v>701</v>
      </c>
      <c r="D2034" s="43" t="s">
        <v>706</v>
      </c>
      <c r="E2034" s="43" t="s">
        <v>588</v>
      </c>
      <c r="F2034" s="43">
        <v>1</v>
      </c>
      <c r="G2034"/>
      <c r="H2034"/>
    </row>
    <row r="2035" spans="1:8" hidden="1" x14ac:dyDescent="0.25">
      <c r="A2035" s="43">
        <v>342</v>
      </c>
      <c r="B2035" s="43" t="s">
        <v>98</v>
      </c>
      <c r="C2035" s="43" t="s">
        <v>701</v>
      </c>
      <c r="D2035" s="43" t="s">
        <v>707</v>
      </c>
      <c r="E2035" s="43" t="s">
        <v>312</v>
      </c>
      <c r="F2035" s="43">
        <v>1</v>
      </c>
      <c r="G2035"/>
      <c r="H2035"/>
    </row>
    <row r="2036" spans="1:8" hidden="1" x14ac:dyDescent="0.25">
      <c r="A2036" s="43">
        <v>342</v>
      </c>
      <c r="B2036" s="43" t="s">
        <v>98</v>
      </c>
      <c r="C2036" s="43" t="s">
        <v>701</v>
      </c>
      <c r="D2036" s="43" t="s">
        <v>708</v>
      </c>
      <c r="E2036" s="43" t="s">
        <v>314</v>
      </c>
      <c r="F2036" s="43">
        <v>1</v>
      </c>
      <c r="G2036"/>
      <c r="H2036"/>
    </row>
    <row r="2037" spans="1:8" hidden="1" x14ac:dyDescent="0.25">
      <c r="A2037" s="43">
        <v>342</v>
      </c>
      <c r="B2037" s="43" t="s">
        <v>98</v>
      </c>
      <c r="C2037" s="43" t="s">
        <v>701</v>
      </c>
      <c r="D2037" s="43" t="s">
        <v>709</v>
      </c>
      <c r="E2037" s="43" t="s">
        <v>493</v>
      </c>
      <c r="F2037" s="43">
        <v>1</v>
      </c>
      <c r="G2037"/>
      <c r="H2037"/>
    </row>
    <row r="2038" spans="1:8" hidden="1" x14ac:dyDescent="0.25">
      <c r="A2038" s="43">
        <v>342</v>
      </c>
      <c r="B2038" s="43" t="s">
        <v>98</v>
      </c>
      <c r="C2038" s="43" t="s">
        <v>701</v>
      </c>
      <c r="D2038" s="43" t="s">
        <v>710</v>
      </c>
      <c r="E2038" s="43" t="s">
        <v>275</v>
      </c>
      <c r="F2038" s="43">
        <v>0</v>
      </c>
      <c r="G2038" s="43" t="s">
        <v>4646</v>
      </c>
      <c r="H2038" s="43" t="s">
        <v>4760</v>
      </c>
    </row>
    <row r="2039" spans="1:8" hidden="1" x14ac:dyDescent="0.25">
      <c r="A2039" s="43">
        <v>342</v>
      </c>
      <c r="B2039" s="43" t="s">
        <v>98</v>
      </c>
      <c r="C2039" s="43" t="s">
        <v>701</v>
      </c>
      <c r="D2039" s="43" t="s">
        <v>711</v>
      </c>
      <c r="E2039" s="43" t="s">
        <v>283</v>
      </c>
      <c r="F2039" s="43">
        <v>1</v>
      </c>
      <c r="G2039"/>
      <c r="H2039"/>
    </row>
    <row r="2040" spans="1:8" hidden="1" x14ac:dyDescent="0.25">
      <c r="A2040" s="43">
        <v>342</v>
      </c>
      <c r="B2040" s="43" t="s">
        <v>98</v>
      </c>
      <c r="C2040" s="43" t="s">
        <v>701</v>
      </c>
      <c r="D2040" s="43" t="s">
        <v>712</v>
      </c>
      <c r="E2040" s="43" t="s">
        <v>713</v>
      </c>
      <c r="F2040" s="89">
        <v>1</v>
      </c>
      <c r="H2040"/>
    </row>
    <row r="2041" spans="1:8" hidden="1" x14ac:dyDescent="0.25">
      <c r="A2041" s="43">
        <v>342</v>
      </c>
      <c r="B2041" s="43" t="s">
        <v>98</v>
      </c>
      <c r="C2041" s="43" t="s">
        <v>701</v>
      </c>
      <c r="D2041" s="43" t="s">
        <v>714</v>
      </c>
      <c r="E2041" s="43" t="s">
        <v>715</v>
      </c>
      <c r="F2041" s="43">
        <v>1</v>
      </c>
      <c r="G2041"/>
      <c r="H2041"/>
    </row>
    <row r="2042" spans="1:8" hidden="1" x14ac:dyDescent="0.25">
      <c r="A2042" s="43">
        <v>342</v>
      </c>
      <c r="B2042" s="43" t="s">
        <v>98</v>
      </c>
      <c r="C2042" s="43" t="s">
        <v>701</v>
      </c>
      <c r="D2042" s="43" t="s">
        <v>716</v>
      </c>
      <c r="E2042" s="43" t="s">
        <v>717</v>
      </c>
      <c r="F2042" s="43">
        <v>1</v>
      </c>
      <c r="G2042"/>
      <c r="H2042"/>
    </row>
    <row r="2043" spans="1:8" hidden="1" x14ac:dyDescent="0.25">
      <c r="A2043" s="43">
        <v>342</v>
      </c>
      <c r="B2043" s="43" t="s">
        <v>98</v>
      </c>
      <c r="C2043" s="43" t="s">
        <v>701</v>
      </c>
      <c r="D2043" s="43" t="s">
        <v>718</v>
      </c>
      <c r="E2043" s="43" t="s">
        <v>381</v>
      </c>
      <c r="F2043" s="43">
        <v>1</v>
      </c>
      <c r="G2043"/>
      <c r="H2043"/>
    </row>
    <row r="2044" spans="1:8" hidden="1" x14ac:dyDescent="0.25">
      <c r="A2044" s="43">
        <v>342</v>
      </c>
      <c r="B2044" s="43" t="s">
        <v>98</v>
      </c>
      <c r="C2044" s="43" t="s">
        <v>701</v>
      </c>
      <c r="D2044" s="43" t="s">
        <v>719</v>
      </c>
      <c r="E2044" s="43" t="s">
        <v>720</v>
      </c>
      <c r="F2044" s="43">
        <v>1</v>
      </c>
      <c r="G2044"/>
      <c r="H2044"/>
    </row>
    <row r="2045" spans="1:8" hidden="1" x14ac:dyDescent="0.25">
      <c r="A2045" s="43">
        <v>342</v>
      </c>
      <c r="B2045" s="43" t="s">
        <v>98</v>
      </c>
      <c r="C2045" s="43" t="s">
        <v>701</v>
      </c>
      <c r="D2045" s="43" t="s">
        <v>721</v>
      </c>
      <c r="E2045" s="43" t="s">
        <v>722</v>
      </c>
      <c r="F2045" s="43">
        <v>1</v>
      </c>
      <c r="G2045"/>
      <c r="H2045"/>
    </row>
    <row r="2046" spans="1:8" hidden="1" x14ac:dyDescent="0.25">
      <c r="A2046" s="43">
        <v>343</v>
      </c>
      <c r="B2046" s="43" t="s">
        <v>99</v>
      </c>
      <c r="C2046" s="43" t="s">
        <v>1155</v>
      </c>
      <c r="D2046" s="43" t="s">
        <v>1156</v>
      </c>
      <c r="E2046" s="43" t="s">
        <v>273</v>
      </c>
      <c r="F2046" s="43">
        <v>1</v>
      </c>
      <c r="G2046"/>
      <c r="H2046"/>
    </row>
    <row r="2047" spans="1:8" hidden="1" x14ac:dyDescent="0.25">
      <c r="A2047" s="43">
        <v>343</v>
      </c>
      <c r="B2047" s="43" t="s">
        <v>99</v>
      </c>
      <c r="C2047" s="43" t="s">
        <v>1155</v>
      </c>
      <c r="D2047" s="43" t="s">
        <v>1157</v>
      </c>
      <c r="E2047" s="43" t="s">
        <v>844</v>
      </c>
      <c r="F2047" s="43">
        <v>1</v>
      </c>
      <c r="G2047"/>
      <c r="H2047"/>
    </row>
    <row r="2048" spans="1:8" hidden="1" x14ac:dyDescent="0.25">
      <c r="A2048" s="43">
        <v>343</v>
      </c>
      <c r="B2048" s="43" t="s">
        <v>99</v>
      </c>
      <c r="C2048" s="43" t="s">
        <v>1155</v>
      </c>
      <c r="D2048" s="43" t="s">
        <v>1158</v>
      </c>
      <c r="E2048" s="43" t="s">
        <v>1159</v>
      </c>
      <c r="F2048" s="43">
        <v>2</v>
      </c>
      <c r="G2048" s="43" t="s">
        <v>4533</v>
      </c>
      <c r="H2048" s="43" t="s">
        <v>4581</v>
      </c>
    </row>
    <row r="2049" spans="1:8" hidden="1" x14ac:dyDescent="0.25">
      <c r="A2049" s="43">
        <v>343</v>
      </c>
      <c r="B2049" s="43" t="s">
        <v>99</v>
      </c>
      <c r="C2049" s="43" t="s">
        <v>1155</v>
      </c>
      <c r="D2049" s="43" t="s">
        <v>1160</v>
      </c>
      <c r="E2049" s="43" t="s">
        <v>1161</v>
      </c>
      <c r="F2049" s="89">
        <v>2</v>
      </c>
      <c r="G2049" s="43" t="s">
        <v>4647</v>
      </c>
      <c r="H2049"/>
    </row>
    <row r="2050" spans="1:8" hidden="1" x14ac:dyDescent="0.25">
      <c r="A2050" s="43">
        <v>343</v>
      </c>
      <c r="B2050" s="43" t="s">
        <v>99</v>
      </c>
      <c r="C2050" s="43" t="s">
        <v>1155</v>
      </c>
      <c r="D2050" s="43" t="s">
        <v>1162</v>
      </c>
      <c r="E2050" s="43" t="s">
        <v>1163</v>
      </c>
      <c r="F2050" s="89">
        <v>2</v>
      </c>
      <c r="G2050" s="43" t="s">
        <v>4647</v>
      </c>
      <c r="H2050"/>
    </row>
    <row r="2051" spans="1:8" hidden="1" x14ac:dyDescent="0.25">
      <c r="A2051" s="43">
        <v>343</v>
      </c>
      <c r="B2051" s="43" t="s">
        <v>99</v>
      </c>
      <c r="C2051" s="43" t="s">
        <v>1155</v>
      </c>
      <c r="D2051" s="43" t="s">
        <v>1164</v>
      </c>
      <c r="E2051" s="43" t="s">
        <v>1165</v>
      </c>
      <c r="F2051" s="89">
        <v>2</v>
      </c>
      <c r="G2051" s="43" t="s">
        <v>4647</v>
      </c>
      <c r="H2051"/>
    </row>
    <row r="2052" spans="1:8" hidden="1" x14ac:dyDescent="0.25">
      <c r="A2052" s="43">
        <v>343</v>
      </c>
      <c r="B2052" s="43" t="s">
        <v>99</v>
      </c>
      <c r="C2052" s="43" t="s">
        <v>1155</v>
      </c>
      <c r="D2052" s="43" t="s">
        <v>1166</v>
      </c>
      <c r="E2052" s="43" t="s">
        <v>295</v>
      </c>
      <c r="F2052" s="43">
        <v>1</v>
      </c>
      <c r="G2052"/>
      <c r="H2052"/>
    </row>
    <row r="2053" spans="1:8" hidden="1" x14ac:dyDescent="0.25">
      <c r="A2053" s="43">
        <v>343</v>
      </c>
      <c r="B2053" s="43" t="s">
        <v>99</v>
      </c>
      <c r="C2053" s="43" t="s">
        <v>1155</v>
      </c>
      <c r="D2053" s="43" t="s">
        <v>1167</v>
      </c>
      <c r="E2053" s="43" t="s">
        <v>1168</v>
      </c>
      <c r="F2053" s="43">
        <v>1</v>
      </c>
      <c r="G2053"/>
      <c r="H2053"/>
    </row>
    <row r="2054" spans="1:8" hidden="1" x14ac:dyDescent="0.25">
      <c r="A2054" s="43">
        <v>346</v>
      </c>
      <c r="B2054" s="43" t="s">
        <v>100</v>
      </c>
      <c r="C2054" s="43" t="s">
        <v>386</v>
      </c>
      <c r="D2054" s="43" t="s">
        <v>387</v>
      </c>
      <c r="E2054" s="43" t="s">
        <v>388</v>
      </c>
      <c r="F2054" s="43">
        <v>1</v>
      </c>
      <c r="G2054"/>
      <c r="H2054"/>
    </row>
    <row r="2055" spans="1:8" hidden="1" x14ac:dyDescent="0.25">
      <c r="A2055" s="43">
        <v>346</v>
      </c>
      <c r="B2055" s="43" t="s">
        <v>100</v>
      </c>
      <c r="C2055" s="43" t="s">
        <v>386</v>
      </c>
      <c r="D2055" s="43" t="s">
        <v>390</v>
      </c>
      <c r="E2055" s="43" t="s">
        <v>391</v>
      </c>
      <c r="F2055" s="43">
        <v>1</v>
      </c>
      <c r="G2055"/>
      <c r="H2055"/>
    </row>
    <row r="2056" spans="1:8" hidden="1" x14ac:dyDescent="0.25">
      <c r="A2056" s="43">
        <v>346</v>
      </c>
      <c r="B2056" s="43" t="s">
        <v>100</v>
      </c>
      <c r="C2056" s="43" t="s">
        <v>386</v>
      </c>
      <c r="D2056" s="43" t="s">
        <v>392</v>
      </c>
      <c r="E2056" s="43" t="s">
        <v>393</v>
      </c>
      <c r="F2056" s="43">
        <v>1</v>
      </c>
      <c r="G2056"/>
      <c r="H2056"/>
    </row>
    <row r="2057" spans="1:8" hidden="1" x14ac:dyDescent="0.25">
      <c r="A2057" s="43">
        <v>346</v>
      </c>
      <c r="B2057" s="43" t="s">
        <v>100</v>
      </c>
      <c r="C2057" s="43" t="s">
        <v>386</v>
      </c>
      <c r="D2057" s="43" t="s">
        <v>394</v>
      </c>
      <c r="E2057" s="43" t="s">
        <v>4474</v>
      </c>
      <c r="F2057" s="43">
        <v>1</v>
      </c>
      <c r="G2057"/>
      <c r="H2057"/>
    </row>
    <row r="2058" spans="1:8" hidden="1" x14ac:dyDescent="0.25">
      <c r="A2058" s="43">
        <v>346</v>
      </c>
      <c r="B2058" s="43" t="s">
        <v>100</v>
      </c>
      <c r="C2058" s="43" t="s">
        <v>386</v>
      </c>
      <c r="D2058" s="43" t="s">
        <v>396</v>
      </c>
      <c r="E2058" s="43" t="s">
        <v>397</v>
      </c>
      <c r="F2058" s="43">
        <v>1</v>
      </c>
      <c r="G2058"/>
      <c r="H2058"/>
    </row>
    <row r="2059" spans="1:8" hidden="1" x14ac:dyDescent="0.25">
      <c r="A2059" s="43">
        <v>346</v>
      </c>
      <c r="B2059" s="43" t="s">
        <v>100</v>
      </c>
      <c r="C2059" s="43" t="s">
        <v>386</v>
      </c>
      <c r="D2059" s="43" t="s">
        <v>398</v>
      </c>
      <c r="E2059" s="43" t="s">
        <v>4475</v>
      </c>
      <c r="F2059" s="43">
        <v>1</v>
      </c>
      <c r="G2059"/>
      <c r="H2059"/>
    </row>
    <row r="2060" spans="1:8" hidden="1" x14ac:dyDescent="0.25">
      <c r="A2060" s="43">
        <v>346</v>
      </c>
      <c r="B2060" s="43" t="s">
        <v>100</v>
      </c>
      <c r="C2060" s="43" t="s">
        <v>386</v>
      </c>
      <c r="D2060" s="43" t="s">
        <v>400</v>
      </c>
      <c r="E2060" s="43" t="s">
        <v>401</v>
      </c>
      <c r="F2060" s="43">
        <v>1</v>
      </c>
      <c r="G2060"/>
      <c r="H2060"/>
    </row>
    <row r="2061" spans="1:8" hidden="1" x14ac:dyDescent="0.25">
      <c r="A2061" s="43">
        <v>346</v>
      </c>
      <c r="B2061" s="43" t="s">
        <v>100</v>
      </c>
      <c r="C2061" s="43" t="s">
        <v>386</v>
      </c>
      <c r="D2061" s="43" t="s">
        <v>402</v>
      </c>
      <c r="E2061" s="43" t="s">
        <v>403</v>
      </c>
      <c r="F2061" s="43">
        <v>1</v>
      </c>
      <c r="G2061"/>
      <c r="H2061"/>
    </row>
    <row r="2062" spans="1:8" hidden="1" x14ac:dyDescent="0.25">
      <c r="A2062" s="43">
        <v>346</v>
      </c>
      <c r="B2062" s="43" t="s">
        <v>100</v>
      </c>
      <c r="C2062" s="43" t="s">
        <v>386</v>
      </c>
      <c r="D2062" s="43" t="s">
        <v>404</v>
      </c>
      <c r="E2062" s="43" t="s">
        <v>405</v>
      </c>
      <c r="F2062" s="43">
        <v>1</v>
      </c>
      <c r="G2062"/>
      <c r="H2062"/>
    </row>
    <row r="2063" spans="1:8" hidden="1" x14ac:dyDescent="0.25">
      <c r="A2063" s="43">
        <v>353</v>
      </c>
      <c r="B2063" s="43" t="s">
        <v>101</v>
      </c>
      <c r="C2063" s="43" t="s">
        <v>1874</v>
      </c>
      <c r="D2063" s="43" t="s">
        <v>1875</v>
      </c>
      <c r="E2063" s="43" t="s">
        <v>820</v>
      </c>
      <c r="F2063" s="43">
        <v>1</v>
      </c>
      <c r="G2063"/>
      <c r="H2063"/>
    </row>
    <row r="2064" spans="1:8" x14ac:dyDescent="0.25">
      <c r="A2064" s="43">
        <v>353</v>
      </c>
      <c r="B2064" s="43" t="s">
        <v>101</v>
      </c>
      <c r="C2064" s="43" t="s">
        <v>1874</v>
      </c>
      <c r="D2064" s="43" t="s">
        <v>1876</v>
      </c>
      <c r="E2064" s="43" t="s">
        <v>1877</v>
      </c>
      <c r="F2064" s="43">
        <v>2</v>
      </c>
      <c r="G2064" s="43" t="s">
        <v>4534</v>
      </c>
      <c r="H2064" s="43" t="s">
        <v>4580</v>
      </c>
    </row>
    <row r="2065" spans="1:8" hidden="1" x14ac:dyDescent="0.25">
      <c r="A2065" s="43">
        <v>353</v>
      </c>
      <c r="B2065" s="43" t="s">
        <v>101</v>
      </c>
      <c r="C2065" s="43" t="s">
        <v>1874</v>
      </c>
      <c r="D2065" s="43" t="s">
        <v>1878</v>
      </c>
      <c r="E2065" s="43" t="s">
        <v>1879</v>
      </c>
      <c r="F2065" s="43">
        <v>1</v>
      </c>
      <c r="G2065"/>
      <c r="H2065"/>
    </row>
    <row r="2066" spans="1:8" hidden="1" x14ac:dyDescent="0.25">
      <c r="A2066" s="43">
        <v>353</v>
      </c>
      <c r="B2066" s="43" t="s">
        <v>101</v>
      </c>
      <c r="C2066" s="43" t="s">
        <v>1874</v>
      </c>
      <c r="D2066" s="43" t="s">
        <v>1880</v>
      </c>
      <c r="E2066" s="43" t="s">
        <v>1881</v>
      </c>
      <c r="F2066" s="43">
        <v>1</v>
      </c>
      <c r="G2066"/>
      <c r="H2066"/>
    </row>
    <row r="2067" spans="1:8" hidden="1" x14ac:dyDescent="0.25">
      <c r="A2067" s="43">
        <v>353</v>
      </c>
      <c r="B2067" s="43" t="s">
        <v>101</v>
      </c>
      <c r="C2067" s="43" t="s">
        <v>1874</v>
      </c>
      <c r="D2067" s="43" t="s">
        <v>2175</v>
      </c>
      <c r="E2067" s="43" t="s">
        <v>1882</v>
      </c>
      <c r="F2067" s="43">
        <v>1</v>
      </c>
      <c r="G2067"/>
      <c r="H2067"/>
    </row>
    <row r="2068" spans="1:8" hidden="1" x14ac:dyDescent="0.25">
      <c r="A2068" s="43">
        <v>353</v>
      </c>
      <c r="B2068" s="43" t="s">
        <v>101</v>
      </c>
      <c r="C2068" s="43" t="s">
        <v>1874</v>
      </c>
      <c r="D2068" s="43" t="s">
        <v>1883</v>
      </c>
      <c r="E2068" s="43" t="s">
        <v>1884</v>
      </c>
      <c r="F2068" s="43">
        <v>0</v>
      </c>
      <c r="G2068" s="43" t="s">
        <v>4583</v>
      </c>
      <c r="H2068"/>
    </row>
    <row r="2069" spans="1:8" hidden="1" x14ac:dyDescent="0.25">
      <c r="A2069" s="43">
        <v>353</v>
      </c>
      <c r="B2069" s="43" t="s">
        <v>101</v>
      </c>
      <c r="C2069" s="43" t="s">
        <v>1874</v>
      </c>
      <c r="D2069" s="43" t="s">
        <v>1885</v>
      </c>
      <c r="E2069" s="43" t="s">
        <v>1886</v>
      </c>
      <c r="F2069" s="43">
        <v>0</v>
      </c>
      <c r="G2069" s="43" t="s">
        <v>4583</v>
      </c>
      <c r="H2069"/>
    </row>
    <row r="2070" spans="1:8" hidden="1" x14ac:dyDescent="0.25">
      <c r="A2070" s="43">
        <v>353</v>
      </c>
      <c r="B2070" s="43" t="s">
        <v>101</v>
      </c>
      <c r="C2070" s="43" t="s">
        <v>1874</v>
      </c>
      <c r="D2070" s="43" t="s">
        <v>1887</v>
      </c>
      <c r="E2070" s="43" t="s">
        <v>1888</v>
      </c>
      <c r="F2070" s="43">
        <v>1</v>
      </c>
      <c r="G2070"/>
      <c r="H2070"/>
    </row>
    <row r="2071" spans="1:8" hidden="1" x14ac:dyDescent="0.25">
      <c r="A2071" s="43">
        <v>353</v>
      </c>
      <c r="B2071" s="43" t="s">
        <v>101</v>
      </c>
      <c r="C2071" s="43" t="s">
        <v>1874</v>
      </c>
      <c r="D2071" s="43" t="s">
        <v>1889</v>
      </c>
      <c r="E2071" s="43" t="s">
        <v>1890</v>
      </c>
      <c r="F2071" s="43">
        <v>0</v>
      </c>
      <c r="G2071" s="43" t="s">
        <v>4583</v>
      </c>
      <c r="H2071"/>
    </row>
    <row r="2072" spans="1:8" x14ac:dyDescent="0.25">
      <c r="A2072" s="43">
        <v>353</v>
      </c>
      <c r="B2072" s="43" t="s">
        <v>101</v>
      </c>
      <c r="C2072" s="43" t="s">
        <v>1874</v>
      </c>
      <c r="D2072" s="43" t="s">
        <v>1891</v>
      </c>
      <c r="E2072" s="43" t="s">
        <v>1892</v>
      </c>
      <c r="F2072" s="43">
        <v>2</v>
      </c>
      <c r="G2072" s="43" t="s">
        <v>4535</v>
      </c>
      <c r="H2072" s="43" t="s">
        <v>4580</v>
      </c>
    </row>
    <row r="2073" spans="1:8" hidden="1" x14ac:dyDescent="0.25">
      <c r="A2073" s="43">
        <v>353</v>
      </c>
      <c r="B2073" s="43" t="s">
        <v>101</v>
      </c>
      <c r="C2073" s="43" t="s">
        <v>1874</v>
      </c>
      <c r="D2073" s="43" t="s">
        <v>1893</v>
      </c>
      <c r="E2073" s="43" t="s">
        <v>1894</v>
      </c>
      <c r="F2073" s="43">
        <v>1</v>
      </c>
      <c r="G2073"/>
      <c r="H2073"/>
    </row>
    <row r="2074" spans="1:8" hidden="1" x14ac:dyDescent="0.25">
      <c r="A2074" s="43">
        <v>353</v>
      </c>
      <c r="B2074" s="43" t="s">
        <v>101</v>
      </c>
      <c r="C2074" s="43" t="s">
        <v>1874</v>
      </c>
      <c r="D2074" s="43" t="s">
        <v>1895</v>
      </c>
      <c r="E2074" s="43" t="s">
        <v>368</v>
      </c>
      <c r="F2074" s="43">
        <v>1</v>
      </c>
      <c r="G2074"/>
      <c r="H2074"/>
    </row>
    <row r="2075" spans="1:8" hidden="1" x14ac:dyDescent="0.25">
      <c r="A2075" s="43">
        <v>353</v>
      </c>
      <c r="B2075" s="43" t="s">
        <v>101</v>
      </c>
      <c r="C2075" s="43" t="s">
        <v>1874</v>
      </c>
      <c r="D2075" s="43" t="s">
        <v>1896</v>
      </c>
      <c r="E2075" s="43" t="s">
        <v>370</v>
      </c>
      <c r="F2075" s="43">
        <v>1</v>
      </c>
      <c r="G2075"/>
      <c r="H2075"/>
    </row>
    <row r="2076" spans="1:8" hidden="1" x14ac:dyDescent="0.25">
      <c r="A2076" s="43">
        <v>353</v>
      </c>
      <c r="B2076" s="43" t="s">
        <v>101</v>
      </c>
      <c r="C2076" s="43" t="s">
        <v>1874</v>
      </c>
      <c r="D2076" s="43" t="s">
        <v>1897</v>
      </c>
      <c r="E2076" s="43" t="s">
        <v>1898</v>
      </c>
      <c r="F2076" s="43">
        <v>1</v>
      </c>
      <c r="G2076"/>
      <c r="H2076"/>
    </row>
    <row r="2077" spans="1:8" hidden="1" x14ac:dyDescent="0.25">
      <c r="A2077" s="43">
        <v>353</v>
      </c>
      <c r="B2077" s="43" t="s">
        <v>101</v>
      </c>
      <c r="C2077" s="43" t="s">
        <v>1874</v>
      </c>
      <c r="D2077" s="43" t="s">
        <v>1899</v>
      </c>
      <c r="E2077" s="43" t="s">
        <v>361</v>
      </c>
      <c r="F2077" s="43">
        <v>0</v>
      </c>
      <c r="G2077" s="43" t="s">
        <v>4583</v>
      </c>
      <c r="H2077"/>
    </row>
    <row r="2078" spans="1:8" hidden="1" x14ac:dyDescent="0.25">
      <c r="A2078" s="43">
        <v>353</v>
      </c>
      <c r="B2078" s="43" t="s">
        <v>101</v>
      </c>
      <c r="C2078" s="43" t="s">
        <v>1874</v>
      </c>
      <c r="D2078" s="43" t="s">
        <v>1900</v>
      </c>
      <c r="E2078" s="43" t="s">
        <v>359</v>
      </c>
      <c r="F2078" s="43">
        <v>0</v>
      </c>
      <c r="G2078" s="43" t="s">
        <v>4583</v>
      </c>
      <c r="H2078"/>
    </row>
    <row r="2079" spans="1:8" x14ac:dyDescent="0.25">
      <c r="A2079" s="43">
        <v>353</v>
      </c>
      <c r="B2079" s="43" t="s">
        <v>101</v>
      </c>
      <c r="C2079" s="43" t="s">
        <v>1874</v>
      </c>
      <c r="D2079" s="43" t="s">
        <v>1901</v>
      </c>
      <c r="E2079" s="43" t="s">
        <v>1902</v>
      </c>
      <c r="F2079" s="43">
        <v>2</v>
      </c>
      <c r="G2079" s="43" t="s">
        <v>4536</v>
      </c>
      <c r="H2079" s="43" t="s">
        <v>4580</v>
      </c>
    </row>
    <row r="2080" spans="1:8" hidden="1" x14ac:dyDescent="0.25">
      <c r="A2080" s="43">
        <v>353</v>
      </c>
      <c r="B2080" s="43" t="s">
        <v>101</v>
      </c>
      <c r="C2080" s="43" t="s">
        <v>1874</v>
      </c>
      <c r="D2080" s="43" t="s">
        <v>1903</v>
      </c>
      <c r="E2080" s="43" t="s">
        <v>1904</v>
      </c>
      <c r="F2080" s="43">
        <v>0</v>
      </c>
      <c r="G2080" s="43" t="s">
        <v>4583</v>
      </c>
      <c r="H2080"/>
    </row>
    <row r="2081" spans="1:8" hidden="1" x14ac:dyDescent="0.25">
      <c r="A2081" s="43">
        <v>353</v>
      </c>
      <c r="B2081" s="43" t="s">
        <v>101</v>
      </c>
      <c r="C2081" s="43" t="s">
        <v>1874</v>
      </c>
      <c r="D2081" s="43" t="s">
        <v>1905</v>
      </c>
      <c r="E2081" s="43" t="s">
        <v>1906</v>
      </c>
      <c r="F2081" s="43">
        <v>1</v>
      </c>
      <c r="G2081"/>
      <c r="H2081"/>
    </row>
    <row r="2082" spans="1:8" hidden="1" x14ac:dyDescent="0.25">
      <c r="A2082" s="43">
        <v>353</v>
      </c>
      <c r="B2082" s="43" t="s">
        <v>101</v>
      </c>
      <c r="C2082" s="43" t="s">
        <v>1874</v>
      </c>
      <c r="D2082" s="43" t="s">
        <v>1907</v>
      </c>
      <c r="E2082" s="43" t="s">
        <v>1908</v>
      </c>
      <c r="F2082" s="43">
        <v>1</v>
      </c>
      <c r="G2082"/>
      <c r="H2082"/>
    </row>
    <row r="2083" spans="1:8" hidden="1" x14ac:dyDescent="0.25">
      <c r="A2083" s="43">
        <v>354</v>
      </c>
      <c r="B2083" s="43" t="s">
        <v>101</v>
      </c>
      <c r="C2083" s="43" t="s">
        <v>1874</v>
      </c>
      <c r="D2083" s="43" t="s">
        <v>1875</v>
      </c>
      <c r="E2083" s="43" t="s">
        <v>820</v>
      </c>
      <c r="F2083" s="43">
        <v>1</v>
      </c>
      <c r="G2083"/>
      <c r="H2083"/>
    </row>
    <row r="2084" spans="1:8" hidden="1" x14ac:dyDescent="0.25">
      <c r="A2084" s="43">
        <v>354</v>
      </c>
      <c r="B2084" s="43" t="s">
        <v>101</v>
      </c>
      <c r="C2084" s="43" t="s">
        <v>1874</v>
      </c>
      <c r="D2084" s="43" t="s">
        <v>1876</v>
      </c>
      <c r="E2084" s="43" t="s">
        <v>1877</v>
      </c>
      <c r="F2084" s="43">
        <v>0</v>
      </c>
      <c r="G2084" s="43" t="s">
        <v>4583</v>
      </c>
      <c r="H2084"/>
    </row>
    <row r="2085" spans="1:8" hidden="1" x14ac:dyDescent="0.25">
      <c r="A2085" s="43">
        <v>354</v>
      </c>
      <c r="B2085" s="43" t="s">
        <v>101</v>
      </c>
      <c r="C2085" s="43" t="s">
        <v>1874</v>
      </c>
      <c r="D2085" s="43" t="s">
        <v>1878</v>
      </c>
      <c r="E2085" s="43" t="s">
        <v>1879</v>
      </c>
      <c r="F2085" s="43">
        <v>1</v>
      </c>
      <c r="G2085"/>
      <c r="H2085"/>
    </row>
    <row r="2086" spans="1:8" hidden="1" x14ac:dyDescent="0.25">
      <c r="A2086" s="43">
        <v>354</v>
      </c>
      <c r="B2086" s="43" t="s">
        <v>101</v>
      </c>
      <c r="C2086" s="43" t="s">
        <v>1874</v>
      </c>
      <c r="D2086" s="43" t="s">
        <v>1880</v>
      </c>
      <c r="E2086" s="43" t="s">
        <v>1881</v>
      </c>
      <c r="F2086" s="43">
        <v>0</v>
      </c>
      <c r="G2086" s="43" t="s">
        <v>4583</v>
      </c>
      <c r="H2086"/>
    </row>
    <row r="2087" spans="1:8" hidden="1" x14ac:dyDescent="0.25">
      <c r="A2087" s="43">
        <v>354</v>
      </c>
      <c r="B2087" s="43" t="s">
        <v>101</v>
      </c>
      <c r="C2087" s="43" t="s">
        <v>1874</v>
      </c>
      <c r="D2087" s="43" t="s">
        <v>2175</v>
      </c>
      <c r="E2087" s="43" t="s">
        <v>1882</v>
      </c>
      <c r="F2087" s="43">
        <v>0</v>
      </c>
      <c r="G2087" s="43" t="s">
        <v>4583</v>
      </c>
      <c r="H2087"/>
    </row>
    <row r="2088" spans="1:8" hidden="1" x14ac:dyDescent="0.25">
      <c r="A2088" s="43">
        <v>354</v>
      </c>
      <c r="B2088" s="43" t="s">
        <v>101</v>
      </c>
      <c r="C2088" s="43" t="s">
        <v>1874</v>
      </c>
      <c r="D2088" s="43" t="s">
        <v>1883</v>
      </c>
      <c r="E2088" s="43" t="s">
        <v>1884</v>
      </c>
      <c r="F2088" s="43">
        <v>0</v>
      </c>
      <c r="G2088" s="43" t="s">
        <v>4583</v>
      </c>
      <c r="H2088"/>
    </row>
    <row r="2089" spans="1:8" hidden="1" x14ac:dyDescent="0.25">
      <c r="A2089" s="43">
        <v>354</v>
      </c>
      <c r="B2089" s="43" t="s">
        <v>101</v>
      </c>
      <c r="C2089" s="43" t="s">
        <v>1874</v>
      </c>
      <c r="D2089" s="43" t="s">
        <v>1885</v>
      </c>
      <c r="E2089" s="43" t="s">
        <v>1886</v>
      </c>
      <c r="F2089" s="43">
        <v>0</v>
      </c>
      <c r="G2089" s="43" t="s">
        <v>4583</v>
      </c>
      <c r="H2089"/>
    </row>
    <row r="2090" spans="1:8" hidden="1" x14ac:dyDescent="0.25">
      <c r="A2090" s="43">
        <v>354</v>
      </c>
      <c r="B2090" s="43" t="s">
        <v>101</v>
      </c>
      <c r="C2090" s="43" t="s">
        <v>1874</v>
      </c>
      <c r="D2090" s="43" t="s">
        <v>1887</v>
      </c>
      <c r="E2090" s="43" t="s">
        <v>1888</v>
      </c>
      <c r="F2090" s="43">
        <v>0</v>
      </c>
      <c r="G2090" s="43" t="s">
        <v>4583</v>
      </c>
      <c r="H2090"/>
    </row>
    <row r="2091" spans="1:8" hidden="1" x14ac:dyDescent="0.25">
      <c r="A2091" s="43">
        <v>354</v>
      </c>
      <c r="B2091" s="43" t="s">
        <v>101</v>
      </c>
      <c r="C2091" s="43" t="s">
        <v>1874</v>
      </c>
      <c r="D2091" s="43" t="s">
        <v>1889</v>
      </c>
      <c r="E2091" s="43" t="s">
        <v>1890</v>
      </c>
      <c r="F2091" s="43">
        <v>0</v>
      </c>
      <c r="G2091" s="43" t="s">
        <v>4583</v>
      </c>
      <c r="H2091"/>
    </row>
    <row r="2092" spans="1:8" hidden="1" x14ac:dyDescent="0.25">
      <c r="A2092" s="43">
        <v>354</v>
      </c>
      <c r="B2092" s="43" t="s">
        <v>101</v>
      </c>
      <c r="C2092" s="43" t="s">
        <v>1874</v>
      </c>
      <c r="D2092" s="43" t="s">
        <v>1891</v>
      </c>
      <c r="E2092" s="43" t="s">
        <v>1892</v>
      </c>
      <c r="F2092" s="43">
        <v>0</v>
      </c>
      <c r="G2092" s="43" t="s">
        <v>4583</v>
      </c>
      <c r="H2092"/>
    </row>
    <row r="2093" spans="1:8" hidden="1" x14ac:dyDescent="0.25">
      <c r="A2093" s="43">
        <v>354</v>
      </c>
      <c r="B2093" s="43" t="s">
        <v>101</v>
      </c>
      <c r="C2093" s="43" t="s">
        <v>1874</v>
      </c>
      <c r="D2093" s="43" t="s">
        <v>1893</v>
      </c>
      <c r="E2093" s="43" t="s">
        <v>1894</v>
      </c>
      <c r="F2093" s="43">
        <v>0</v>
      </c>
      <c r="G2093" s="43" t="s">
        <v>4583</v>
      </c>
      <c r="H2093"/>
    </row>
    <row r="2094" spans="1:8" hidden="1" x14ac:dyDescent="0.25">
      <c r="A2094" s="43">
        <v>354</v>
      </c>
      <c r="B2094" s="43" t="s">
        <v>101</v>
      </c>
      <c r="C2094" s="43" t="s">
        <v>1874</v>
      </c>
      <c r="D2094" s="43" t="s">
        <v>1895</v>
      </c>
      <c r="E2094" s="43" t="s">
        <v>368</v>
      </c>
      <c r="F2094" s="43">
        <v>0</v>
      </c>
      <c r="G2094" s="43" t="s">
        <v>4583</v>
      </c>
      <c r="H2094"/>
    </row>
    <row r="2095" spans="1:8" hidden="1" x14ac:dyDescent="0.25">
      <c r="A2095" s="43">
        <v>354</v>
      </c>
      <c r="B2095" s="43" t="s">
        <v>101</v>
      </c>
      <c r="C2095" s="43" t="s">
        <v>1874</v>
      </c>
      <c r="D2095" s="43" t="s">
        <v>1896</v>
      </c>
      <c r="E2095" s="43" t="s">
        <v>370</v>
      </c>
      <c r="F2095" s="43">
        <v>0</v>
      </c>
      <c r="G2095" s="43" t="s">
        <v>4583</v>
      </c>
      <c r="H2095"/>
    </row>
    <row r="2096" spans="1:8" hidden="1" x14ac:dyDescent="0.25">
      <c r="A2096" s="43">
        <v>354</v>
      </c>
      <c r="B2096" s="43" t="s">
        <v>101</v>
      </c>
      <c r="C2096" s="43" t="s">
        <v>1874</v>
      </c>
      <c r="D2096" s="43" t="s">
        <v>1897</v>
      </c>
      <c r="E2096" s="43" t="s">
        <v>1898</v>
      </c>
      <c r="F2096" s="43">
        <v>1</v>
      </c>
      <c r="G2096"/>
      <c r="H2096"/>
    </row>
    <row r="2097" spans="1:8" hidden="1" x14ac:dyDescent="0.25">
      <c r="A2097" s="43">
        <v>354</v>
      </c>
      <c r="B2097" s="43" t="s">
        <v>101</v>
      </c>
      <c r="C2097" s="43" t="s">
        <v>1874</v>
      </c>
      <c r="D2097" s="43" t="s">
        <v>1899</v>
      </c>
      <c r="E2097" s="43" t="s">
        <v>361</v>
      </c>
      <c r="F2097" s="43">
        <v>0</v>
      </c>
      <c r="G2097" s="43" t="s">
        <v>4583</v>
      </c>
      <c r="H2097"/>
    </row>
    <row r="2098" spans="1:8" hidden="1" x14ac:dyDescent="0.25">
      <c r="A2098" s="43">
        <v>354</v>
      </c>
      <c r="B2098" s="43" t="s">
        <v>101</v>
      </c>
      <c r="C2098" s="43" t="s">
        <v>1874</v>
      </c>
      <c r="D2098" s="43" t="s">
        <v>1900</v>
      </c>
      <c r="E2098" s="43" t="s">
        <v>359</v>
      </c>
      <c r="F2098" s="43">
        <v>0</v>
      </c>
      <c r="G2098" s="43" t="s">
        <v>4583</v>
      </c>
      <c r="H2098"/>
    </row>
    <row r="2099" spans="1:8" hidden="1" x14ac:dyDescent="0.25">
      <c r="A2099" s="43">
        <v>354</v>
      </c>
      <c r="B2099" s="43" t="s">
        <v>101</v>
      </c>
      <c r="C2099" s="43" t="s">
        <v>1874</v>
      </c>
      <c r="D2099" s="43" t="s">
        <v>1901</v>
      </c>
      <c r="E2099" s="43" t="s">
        <v>1902</v>
      </c>
      <c r="F2099" s="43">
        <v>0</v>
      </c>
      <c r="G2099" s="43" t="s">
        <v>4583</v>
      </c>
      <c r="H2099"/>
    </row>
    <row r="2100" spans="1:8" hidden="1" x14ac:dyDescent="0.25">
      <c r="A2100" s="43">
        <v>354</v>
      </c>
      <c r="B2100" s="43" t="s">
        <v>101</v>
      </c>
      <c r="C2100" s="43" t="s">
        <v>1874</v>
      </c>
      <c r="D2100" s="43" t="s">
        <v>1903</v>
      </c>
      <c r="E2100" s="43" t="s">
        <v>1904</v>
      </c>
      <c r="F2100" s="43">
        <v>0</v>
      </c>
      <c r="G2100" s="43" t="s">
        <v>4583</v>
      </c>
      <c r="H2100"/>
    </row>
    <row r="2101" spans="1:8" hidden="1" x14ac:dyDescent="0.25">
      <c r="A2101" s="43">
        <v>354</v>
      </c>
      <c r="B2101" s="43" t="s">
        <v>101</v>
      </c>
      <c r="C2101" s="43" t="s">
        <v>1874</v>
      </c>
      <c r="D2101" s="43" t="s">
        <v>1905</v>
      </c>
      <c r="E2101" s="43" t="s">
        <v>1906</v>
      </c>
      <c r="F2101" s="43">
        <v>0</v>
      </c>
      <c r="G2101" s="43" t="s">
        <v>4583</v>
      </c>
      <c r="H2101"/>
    </row>
    <row r="2102" spans="1:8" hidden="1" x14ac:dyDescent="0.25">
      <c r="A2102" s="43">
        <v>354</v>
      </c>
      <c r="B2102" s="43" t="s">
        <v>101</v>
      </c>
      <c r="C2102" s="43" t="s">
        <v>1874</v>
      </c>
      <c r="D2102" s="43" t="s">
        <v>1907</v>
      </c>
      <c r="E2102" s="43" t="s">
        <v>1908</v>
      </c>
      <c r="F2102" s="43">
        <v>0</v>
      </c>
      <c r="G2102" s="43" t="s">
        <v>4583</v>
      </c>
      <c r="H2102"/>
    </row>
    <row r="2103" spans="1:8" hidden="1" x14ac:dyDescent="0.25">
      <c r="A2103" s="43">
        <v>354</v>
      </c>
      <c r="B2103" s="43" t="s">
        <v>101</v>
      </c>
      <c r="C2103" s="43" t="s">
        <v>1155</v>
      </c>
      <c r="D2103" s="43" t="s">
        <v>1156</v>
      </c>
      <c r="E2103" s="43" t="s">
        <v>273</v>
      </c>
      <c r="F2103" s="43">
        <v>1</v>
      </c>
      <c r="G2103"/>
      <c r="H2103"/>
    </row>
    <row r="2104" spans="1:8" hidden="1" x14ac:dyDescent="0.25">
      <c r="A2104" s="43">
        <v>354</v>
      </c>
      <c r="B2104" s="43" t="s">
        <v>101</v>
      </c>
      <c r="C2104" s="43" t="s">
        <v>1155</v>
      </c>
      <c r="D2104" s="43" t="s">
        <v>1157</v>
      </c>
      <c r="E2104" s="43" t="s">
        <v>844</v>
      </c>
      <c r="F2104" s="43">
        <v>0</v>
      </c>
      <c r="G2104" s="43" t="s">
        <v>4583</v>
      </c>
      <c r="H2104"/>
    </row>
    <row r="2105" spans="1:8" hidden="1" x14ac:dyDescent="0.25">
      <c r="A2105" s="43">
        <v>354</v>
      </c>
      <c r="B2105" s="43" t="s">
        <v>101</v>
      </c>
      <c r="C2105" s="43" t="s">
        <v>1155</v>
      </c>
      <c r="D2105" s="43" t="s">
        <v>1158</v>
      </c>
      <c r="E2105" s="43" t="s">
        <v>1159</v>
      </c>
      <c r="F2105" s="43">
        <v>0</v>
      </c>
      <c r="G2105" s="43" t="s">
        <v>4583</v>
      </c>
      <c r="H2105"/>
    </row>
    <row r="2106" spans="1:8" hidden="1" x14ac:dyDescent="0.25">
      <c r="A2106" s="43">
        <v>354</v>
      </c>
      <c r="B2106" s="43" t="s">
        <v>101</v>
      </c>
      <c r="C2106" s="43" t="s">
        <v>1155</v>
      </c>
      <c r="D2106" s="43" t="s">
        <v>1160</v>
      </c>
      <c r="E2106" s="43" t="s">
        <v>1161</v>
      </c>
      <c r="F2106" s="43">
        <v>0</v>
      </c>
      <c r="G2106" s="43" t="s">
        <v>4583</v>
      </c>
      <c r="H2106"/>
    </row>
    <row r="2107" spans="1:8" hidden="1" x14ac:dyDescent="0.25">
      <c r="A2107" s="43">
        <v>354</v>
      </c>
      <c r="B2107" s="43" t="s">
        <v>101</v>
      </c>
      <c r="C2107" s="43" t="s">
        <v>1155</v>
      </c>
      <c r="D2107" s="43" t="s">
        <v>1162</v>
      </c>
      <c r="E2107" s="43" t="s">
        <v>1163</v>
      </c>
      <c r="F2107" s="43">
        <v>0</v>
      </c>
      <c r="G2107" s="43" t="s">
        <v>4583</v>
      </c>
      <c r="H2107"/>
    </row>
    <row r="2108" spans="1:8" hidden="1" x14ac:dyDescent="0.25">
      <c r="A2108" s="43">
        <v>354</v>
      </c>
      <c r="B2108" s="43" t="s">
        <v>101</v>
      </c>
      <c r="C2108" s="43" t="s">
        <v>1155</v>
      </c>
      <c r="D2108" s="43" t="s">
        <v>1164</v>
      </c>
      <c r="E2108" s="43" t="s">
        <v>1165</v>
      </c>
      <c r="F2108" s="43">
        <v>0</v>
      </c>
      <c r="G2108" s="43" t="s">
        <v>4583</v>
      </c>
      <c r="H2108"/>
    </row>
    <row r="2109" spans="1:8" hidden="1" x14ac:dyDescent="0.25">
      <c r="A2109" s="43">
        <v>354</v>
      </c>
      <c r="B2109" s="43" t="s">
        <v>101</v>
      </c>
      <c r="C2109" s="43" t="s">
        <v>1155</v>
      </c>
      <c r="D2109" s="43" t="s">
        <v>1166</v>
      </c>
      <c r="E2109" s="43" t="s">
        <v>295</v>
      </c>
      <c r="F2109" s="43">
        <v>0</v>
      </c>
      <c r="G2109" s="43" t="s">
        <v>4583</v>
      </c>
      <c r="H2109"/>
    </row>
    <row r="2110" spans="1:8" hidden="1" x14ac:dyDescent="0.25">
      <c r="A2110" s="43">
        <v>354</v>
      </c>
      <c r="B2110" s="43" t="s">
        <v>101</v>
      </c>
      <c r="C2110" s="43" t="s">
        <v>1155</v>
      </c>
      <c r="D2110" s="43" t="s">
        <v>1167</v>
      </c>
      <c r="E2110" s="43" t="s">
        <v>1168</v>
      </c>
      <c r="F2110" s="43">
        <v>0</v>
      </c>
      <c r="G2110" s="43" t="s">
        <v>4583</v>
      </c>
      <c r="H2110"/>
    </row>
    <row r="2111" spans="1:8" hidden="1" x14ac:dyDescent="0.25">
      <c r="A2111" s="43">
        <v>356</v>
      </c>
      <c r="B2111" s="43" t="s">
        <v>102</v>
      </c>
      <c r="C2111" s="43" t="s">
        <v>818</v>
      </c>
      <c r="D2111" s="43" t="s">
        <v>819</v>
      </c>
      <c r="E2111" s="43" t="s">
        <v>820</v>
      </c>
      <c r="F2111" s="43">
        <v>1</v>
      </c>
      <c r="G2111"/>
      <c r="H2111"/>
    </row>
    <row r="2112" spans="1:8" hidden="1" x14ac:dyDescent="0.25">
      <c r="A2112" s="43">
        <v>356</v>
      </c>
      <c r="B2112" s="43" t="s">
        <v>102</v>
      </c>
      <c r="C2112" s="43" t="s">
        <v>818</v>
      </c>
      <c r="D2112" s="43" t="s">
        <v>821</v>
      </c>
      <c r="E2112" s="43" t="s">
        <v>822</v>
      </c>
      <c r="F2112" s="43">
        <v>1</v>
      </c>
      <c r="G2112"/>
      <c r="H2112"/>
    </row>
    <row r="2113" spans="1:8" hidden="1" x14ac:dyDescent="0.25">
      <c r="A2113" s="43">
        <v>356</v>
      </c>
      <c r="B2113" s="43" t="s">
        <v>102</v>
      </c>
      <c r="C2113" s="43" t="s">
        <v>818</v>
      </c>
      <c r="D2113" s="43" t="s">
        <v>823</v>
      </c>
      <c r="E2113" s="43" t="s">
        <v>306</v>
      </c>
      <c r="F2113" s="43">
        <v>1</v>
      </c>
      <c r="G2113"/>
      <c r="H2113"/>
    </row>
    <row r="2114" spans="1:8" hidden="1" x14ac:dyDescent="0.25">
      <c r="A2114" s="43">
        <v>356</v>
      </c>
      <c r="B2114" s="43" t="s">
        <v>102</v>
      </c>
      <c r="C2114" s="43" t="s">
        <v>818</v>
      </c>
      <c r="D2114" s="43" t="s">
        <v>824</v>
      </c>
      <c r="E2114" s="43" t="s">
        <v>825</v>
      </c>
      <c r="F2114" s="43">
        <v>1</v>
      </c>
      <c r="G2114"/>
      <c r="H2114"/>
    </row>
    <row r="2115" spans="1:8" hidden="1" x14ac:dyDescent="0.25">
      <c r="A2115" s="43">
        <v>356</v>
      </c>
      <c r="B2115" s="43" t="s">
        <v>102</v>
      </c>
      <c r="C2115" s="43" t="s">
        <v>818</v>
      </c>
      <c r="D2115" s="43" t="s">
        <v>826</v>
      </c>
      <c r="E2115" s="43" t="s">
        <v>827</v>
      </c>
      <c r="F2115" s="43">
        <v>1</v>
      </c>
      <c r="G2115"/>
      <c r="H2115"/>
    </row>
    <row r="2116" spans="1:8" hidden="1" x14ac:dyDescent="0.25">
      <c r="A2116" s="43">
        <v>356</v>
      </c>
      <c r="B2116" s="43" t="s">
        <v>102</v>
      </c>
      <c r="C2116" s="43" t="s">
        <v>818</v>
      </c>
      <c r="D2116" s="43" t="s">
        <v>828</v>
      </c>
      <c r="E2116" s="43" t="s">
        <v>312</v>
      </c>
      <c r="F2116" s="43">
        <v>1</v>
      </c>
      <c r="G2116"/>
      <c r="H2116"/>
    </row>
    <row r="2117" spans="1:8" hidden="1" x14ac:dyDescent="0.25">
      <c r="A2117" s="43">
        <v>356</v>
      </c>
      <c r="B2117" s="43" t="s">
        <v>102</v>
      </c>
      <c r="C2117" s="43" t="s">
        <v>818</v>
      </c>
      <c r="D2117" s="43" t="s">
        <v>829</v>
      </c>
      <c r="E2117" s="43" t="s">
        <v>316</v>
      </c>
      <c r="F2117" s="43">
        <v>1</v>
      </c>
      <c r="G2117"/>
      <c r="H2117"/>
    </row>
    <row r="2118" spans="1:8" hidden="1" x14ac:dyDescent="0.25">
      <c r="A2118" s="43">
        <v>356</v>
      </c>
      <c r="B2118" s="43" t="s">
        <v>102</v>
      </c>
      <c r="C2118" s="43" t="s">
        <v>818</v>
      </c>
      <c r="D2118" s="43" t="s">
        <v>830</v>
      </c>
      <c r="E2118" s="43" t="s">
        <v>314</v>
      </c>
      <c r="F2118" s="43">
        <v>1</v>
      </c>
      <c r="G2118"/>
      <c r="H2118"/>
    </row>
    <row r="2119" spans="1:8" x14ac:dyDescent="0.25">
      <c r="A2119" s="43">
        <v>356</v>
      </c>
      <c r="B2119" s="43" t="s">
        <v>102</v>
      </c>
      <c r="C2119" s="43" t="s">
        <v>818</v>
      </c>
      <c r="D2119" s="43" t="s">
        <v>831</v>
      </c>
      <c r="E2119" s="43" t="s">
        <v>832</v>
      </c>
      <c r="F2119" s="43">
        <v>2</v>
      </c>
      <c r="G2119" s="43" t="s">
        <v>4537</v>
      </c>
      <c r="H2119" s="43" t="s">
        <v>4580</v>
      </c>
    </row>
    <row r="2120" spans="1:8" hidden="1" x14ac:dyDescent="0.25">
      <c r="A2120" s="43">
        <v>356</v>
      </c>
      <c r="B2120" s="43" t="s">
        <v>102</v>
      </c>
      <c r="C2120" s="43" t="s">
        <v>818</v>
      </c>
      <c r="D2120" s="43" t="s">
        <v>833</v>
      </c>
      <c r="E2120" s="43" t="s">
        <v>834</v>
      </c>
      <c r="F2120" s="43">
        <v>0</v>
      </c>
      <c r="G2120" s="43" t="s">
        <v>4583</v>
      </c>
      <c r="H2120"/>
    </row>
    <row r="2121" spans="1:8" hidden="1" x14ac:dyDescent="0.25">
      <c r="A2121" s="43">
        <v>356</v>
      </c>
      <c r="B2121" s="43" t="s">
        <v>102</v>
      </c>
      <c r="C2121" s="43" t="s">
        <v>818</v>
      </c>
      <c r="D2121" s="43" t="s">
        <v>835</v>
      </c>
      <c r="E2121" s="43" t="s">
        <v>836</v>
      </c>
      <c r="F2121" s="43">
        <v>1</v>
      </c>
      <c r="G2121"/>
      <c r="H2121"/>
    </row>
    <row r="2122" spans="1:8" hidden="1" x14ac:dyDescent="0.25">
      <c r="A2122" s="43">
        <v>356</v>
      </c>
      <c r="B2122" s="43" t="s">
        <v>102</v>
      </c>
      <c r="C2122" s="43" t="s">
        <v>818</v>
      </c>
      <c r="D2122" s="43" t="s">
        <v>837</v>
      </c>
      <c r="E2122" s="43" t="s">
        <v>838</v>
      </c>
      <c r="F2122" s="43">
        <v>1</v>
      </c>
      <c r="G2122"/>
      <c r="H2122"/>
    </row>
    <row r="2123" spans="1:8" hidden="1" x14ac:dyDescent="0.25">
      <c r="A2123" s="43">
        <v>356</v>
      </c>
      <c r="B2123" s="43" t="s">
        <v>102</v>
      </c>
      <c r="C2123" s="43" t="s">
        <v>818</v>
      </c>
      <c r="D2123" s="43" t="s">
        <v>839</v>
      </c>
      <c r="E2123" s="43" t="s">
        <v>840</v>
      </c>
      <c r="F2123" s="43">
        <v>1</v>
      </c>
      <c r="G2123"/>
      <c r="H2123"/>
    </row>
    <row r="2124" spans="1:8" hidden="1" x14ac:dyDescent="0.25">
      <c r="A2124" s="43">
        <v>356</v>
      </c>
      <c r="B2124" s="43" t="s">
        <v>102</v>
      </c>
      <c r="C2124" s="43" t="s">
        <v>818</v>
      </c>
      <c r="D2124" s="43" t="s">
        <v>841</v>
      </c>
      <c r="E2124" s="43" t="s">
        <v>842</v>
      </c>
      <c r="F2124" s="89">
        <v>1</v>
      </c>
      <c r="H2124"/>
    </row>
    <row r="2125" spans="1:8" hidden="1" x14ac:dyDescent="0.25">
      <c r="A2125" s="43">
        <v>356</v>
      </c>
      <c r="B2125" s="43" t="s">
        <v>102</v>
      </c>
      <c r="C2125" s="43" t="s">
        <v>818</v>
      </c>
      <c r="D2125" s="43" t="s">
        <v>843</v>
      </c>
      <c r="E2125" s="43" t="s">
        <v>844</v>
      </c>
      <c r="F2125" s="43">
        <v>1</v>
      </c>
      <c r="G2125"/>
      <c r="H2125"/>
    </row>
    <row r="2126" spans="1:8" hidden="1" x14ac:dyDescent="0.25">
      <c r="A2126" s="43">
        <v>356</v>
      </c>
      <c r="B2126" s="43" t="s">
        <v>102</v>
      </c>
      <c r="C2126" s="43" t="s">
        <v>818</v>
      </c>
      <c r="D2126" s="43" t="s">
        <v>845</v>
      </c>
      <c r="E2126" s="43" t="s">
        <v>846</v>
      </c>
      <c r="F2126" s="43">
        <v>1</v>
      </c>
      <c r="G2126"/>
      <c r="H2126"/>
    </row>
    <row r="2127" spans="1:8" hidden="1" x14ac:dyDescent="0.25">
      <c r="A2127" s="43">
        <v>356</v>
      </c>
      <c r="B2127" s="43" t="s">
        <v>102</v>
      </c>
      <c r="C2127" s="43" t="s">
        <v>818</v>
      </c>
      <c r="D2127" s="43" t="s">
        <v>847</v>
      </c>
      <c r="E2127" s="43" t="s">
        <v>848</v>
      </c>
      <c r="F2127" s="43">
        <v>1</v>
      </c>
      <c r="G2127"/>
      <c r="H2127"/>
    </row>
    <row r="2128" spans="1:8" hidden="1" x14ac:dyDescent="0.25">
      <c r="A2128" s="43">
        <v>356</v>
      </c>
      <c r="B2128" s="43" t="s">
        <v>102</v>
      </c>
      <c r="C2128" s="43" t="s">
        <v>818</v>
      </c>
      <c r="D2128" s="43" t="s">
        <v>849</v>
      </c>
      <c r="E2128" s="43" t="s">
        <v>850</v>
      </c>
      <c r="F2128" s="43">
        <v>1</v>
      </c>
      <c r="G2128"/>
      <c r="H2128"/>
    </row>
    <row r="2129" spans="1:8" hidden="1" x14ac:dyDescent="0.25">
      <c r="A2129" s="43">
        <v>356</v>
      </c>
      <c r="B2129" s="43" t="s">
        <v>102</v>
      </c>
      <c r="C2129" s="43" t="s">
        <v>818</v>
      </c>
      <c r="D2129" s="43" t="s">
        <v>851</v>
      </c>
      <c r="E2129" s="43" t="s">
        <v>852</v>
      </c>
      <c r="F2129" s="43">
        <v>0</v>
      </c>
      <c r="G2129" s="43" t="s">
        <v>4583</v>
      </c>
      <c r="H2129"/>
    </row>
    <row r="2130" spans="1:8" hidden="1" x14ac:dyDescent="0.25">
      <c r="A2130" s="43">
        <v>356</v>
      </c>
      <c r="B2130" s="43" t="s">
        <v>102</v>
      </c>
      <c r="C2130" s="43" t="s">
        <v>818</v>
      </c>
      <c r="D2130" s="43" t="s">
        <v>853</v>
      </c>
      <c r="E2130" s="43" t="s">
        <v>854</v>
      </c>
      <c r="F2130" s="43">
        <v>0</v>
      </c>
      <c r="G2130" s="43" t="s">
        <v>4583</v>
      </c>
      <c r="H2130"/>
    </row>
    <row r="2131" spans="1:8" hidden="1" x14ac:dyDescent="0.25">
      <c r="A2131" s="43">
        <v>356</v>
      </c>
      <c r="B2131" s="43" t="s">
        <v>102</v>
      </c>
      <c r="C2131" s="43" t="s">
        <v>818</v>
      </c>
      <c r="D2131" s="43" t="s">
        <v>855</v>
      </c>
      <c r="E2131" s="43" t="s">
        <v>856</v>
      </c>
      <c r="F2131" s="43">
        <v>1</v>
      </c>
      <c r="G2131"/>
      <c r="H2131"/>
    </row>
    <row r="2132" spans="1:8" hidden="1" x14ac:dyDescent="0.25">
      <c r="A2132" s="43">
        <v>356</v>
      </c>
      <c r="B2132" s="43" t="s">
        <v>102</v>
      </c>
      <c r="C2132" s="43" t="s">
        <v>818</v>
      </c>
      <c r="D2132" s="43" t="s">
        <v>857</v>
      </c>
      <c r="E2132" s="43" t="s">
        <v>858</v>
      </c>
      <c r="F2132" s="43">
        <v>1</v>
      </c>
      <c r="G2132"/>
      <c r="H2132"/>
    </row>
    <row r="2133" spans="1:8" hidden="1" x14ac:dyDescent="0.25">
      <c r="A2133" s="43">
        <v>358</v>
      </c>
      <c r="B2133" s="43" t="s">
        <v>103</v>
      </c>
      <c r="C2133" s="43" t="s">
        <v>362</v>
      </c>
      <c r="D2133" s="43" t="s">
        <v>363</v>
      </c>
      <c r="E2133" s="43" t="s">
        <v>304</v>
      </c>
      <c r="F2133" s="43">
        <v>1</v>
      </c>
      <c r="G2133"/>
      <c r="H2133"/>
    </row>
    <row r="2134" spans="1:8" hidden="1" x14ac:dyDescent="0.25">
      <c r="A2134" s="43">
        <v>358</v>
      </c>
      <c r="B2134" s="43" t="s">
        <v>103</v>
      </c>
      <c r="C2134" s="43" t="s">
        <v>362</v>
      </c>
      <c r="D2134" s="43" t="s">
        <v>364</v>
      </c>
      <c r="E2134" s="43" t="s">
        <v>306</v>
      </c>
      <c r="F2134" s="43">
        <v>1</v>
      </c>
      <c r="G2134"/>
      <c r="H2134"/>
    </row>
    <row r="2135" spans="1:8" hidden="1" x14ac:dyDescent="0.25">
      <c r="A2135" s="43">
        <v>358</v>
      </c>
      <c r="B2135" s="43" t="s">
        <v>103</v>
      </c>
      <c r="C2135" s="43" t="s">
        <v>362</v>
      </c>
      <c r="D2135" s="43" t="s">
        <v>365</v>
      </c>
      <c r="E2135" s="43" t="s">
        <v>366</v>
      </c>
      <c r="F2135" s="43">
        <v>1</v>
      </c>
      <c r="G2135"/>
      <c r="H2135"/>
    </row>
    <row r="2136" spans="1:8" hidden="1" x14ac:dyDescent="0.25">
      <c r="A2136" s="43">
        <v>358</v>
      </c>
      <c r="B2136" s="43" t="s">
        <v>103</v>
      </c>
      <c r="C2136" s="43" t="s">
        <v>362</v>
      </c>
      <c r="D2136" s="43" t="s">
        <v>367</v>
      </c>
      <c r="E2136" s="43" t="s">
        <v>368</v>
      </c>
      <c r="F2136" s="43">
        <v>1</v>
      </c>
      <c r="G2136"/>
      <c r="H2136"/>
    </row>
    <row r="2137" spans="1:8" hidden="1" x14ac:dyDescent="0.25">
      <c r="A2137" s="43">
        <v>358</v>
      </c>
      <c r="B2137" s="43" t="s">
        <v>103</v>
      </c>
      <c r="C2137" s="43" t="s">
        <v>362</v>
      </c>
      <c r="D2137" s="43" t="s">
        <v>369</v>
      </c>
      <c r="E2137" s="43" t="s">
        <v>370</v>
      </c>
      <c r="F2137" s="43">
        <v>1</v>
      </c>
      <c r="G2137"/>
      <c r="H2137"/>
    </row>
    <row r="2138" spans="1:8" hidden="1" x14ac:dyDescent="0.25">
      <c r="A2138" s="43">
        <v>358</v>
      </c>
      <c r="B2138" s="43" t="s">
        <v>103</v>
      </c>
      <c r="C2138" s="43" t="s">
        <v>362</v>
      </c>
      <c r="D2138" s="43" t="s">
        <v>371</v>
      </c>
      <c r="E2138" s="43" t="s">
        <v>372</v>
      </c>
      <c r="F2138" s="43">
        <v>1</v>
      </c>
      <c r="G2138"/>
      <c r="H2138"/>
    </row>
    <row r="2139" spans="1:8" hidden="1" x14ac:dyDescent="0.25">
      <c r="A2139" s="43">
        <v>358</v>
      </c>
      <c r="B2139" s="43" t="s">
        <v>103</v>
      </c>
      <c r="C2139" s="43" t="s">
        <v>362</v>
      </c>
      <c r="D2139" s="43" t="s">
        <v>373</v>
      </c>
      <c r="E2139" s="43" t="s">
        <v>355</v>
      </c>
      <c r="F2139" s="43">
        <v>1</v>
      </c>
      <c r="G2139"/>
      <c r="H2139"/>
    </row>
    <row r="2140" spans="1:8" hidden="1" x14ac:dyDescent="0.25">
      <c r="A2140" s="43">
        <v>358</v>
      </c>
      <c r="B2140" s="43" t="s">
        <v>103</v>
      </c>
      <c r="C2140" s="43" t="s">
        <v>362</v>
      </c>
      <c r="D2140" s="43" t="s">
        <v>374</v>
      </c>
      <c r="E2140" s="43" t="s">
        <v>357</v>
      </c>
      <c r="F2140" s="43">
        <v>1</v>
      </c>
      <c r="G2140"/>
      <c r="H2140"/>
    </row>
    <row r="2141" spans="1:8" hidden="1" x14ac:dyDescent="0.25">
      <c r="A2141" s="43">
        <v>358</v>
      </c>
      <c r="B2141" s="43" t="s">
        <v>103</v>
      </c>
      <c r="C2141" s="43" t="s">
        <v>362</v>
      </c>
      <c r="D2141" s="43" t="s">
        <v>375</v>
      </c>
      <c r="E2141" s="43" t="s">
        <v>376</v>
      </c>
      <c r="F2141" s="43">
        <v>1</v>
      </c>
      <c r="G2141"/>
      <c r="H2141"/>
    </row>
    <row r="2142" spans="1:8" hidden="1" x14ac:dyDescent="0.25">
      <c r="A2142" s="43">
        <v>359</v>
      </c>
      <c r="B2142" s="43" t="s">
        <v>104</v>
      </c>
      <c r="C2142" s="43" t="s">
        <v>1685</v>
      </c>
      <c r="D2142" s="43" t="s">
        <v>1686</v>
      </c>
      <c r="E2142" s="43" t="s">
        <v>1687</v>
      </c>
      <c r="F2142" s="43">
        <v>1</v>
      </c>
      <c r="G2142"/>
      <c r="H2142"/>
    </row>
    <row r="2143" spans="1:8" hidden="1" x14ac:dyDescent="0.25">
      <c r="A2143" s="43">
        <v>359</v>
      </c>
      <c r="B2143" s="43" t="s">
        <v>104</v>
      </c>
      <c r="C2143" s="43" t="s">
        <v>1685</v>
      </c>
      <c r="D2143" s="43" t="s">
        <v>1688</v>
      </c>
      <c r="E2143" s="43" t="s">
        <v>1689</v>
      </c>
      <c r="F2143" s="43">
        <v>1</v>
      </c>
      <c r="G2143"/>
      <c r="H2143"/>
    </row>
    <row r="2144" spans="1:8" hidden="1" x14ac:dyDescent="0.25">
      <c r="A2144" s="43">
        <v>359</v>
      </c>
      <c r="B2144" s="43" t="s">
        <v>104</v>
      </c>
      <c r="C2144" s="43" t="s">
        <v>1685</v>
      </c>
      <c r="D2144" s="43" t="s">
        <v>1690</v>
      </c>
      <c r="E2144" s="43" t="s">
        <v>1691</v>
      </c>
      <c r="F2144" s="43">
        <v>1</v>
      </c>
      <c r="G2144"/>
      <c r="H2144"/>
    </row>
    <row r="2145" spans="1:8" hidden="1" x14ac:dyDescent="0.25">
      <c r="A2145" s="43">
        <v>359</v>
      </c>
      <c r="B2145" s="43" t="s">
        <v>104</v>
      </c>
      <c r="C2145" s="43" t="s">
        <v>1685</v>
      </c>
      <c r="D2145" s="43" t="s">
        <v>1692</v>
      </c>
      <c r="E2145" s="43" t="s">
        <v>1693</v>
      </c>
      <c r="F2145" s="43">
        <v>0</v>
      </c>
      <c r="G2145" s="43" t="s">
        <v>4583</v>
      </c>
      <c r="H2145"/>
    </row>
    <row r="2146" spans="1:8" hidden="1" x14ac:dyDescent="0.25">
      <c r="A2146" s="43">
        <v>359</v>
      </c>
      <c r="B2146" s="43" t="s">
        <v>104</v>
      </c>
      <c r="C2146" s="43" t="s">
        <v>1685</v>
      </c>
      <c r="D2146" s="43" t="s">
        <v>1694</v>
      </c>
      <c r="E2146" s="43" t="s">
        <v>1695</v>
      </c>
      <c r="F2146" s="43">
        <v>0</v>
      </c>
      <c r="G2146" s="43" t="s">
        <v>4583</v>
      </c>
      <c r="H2146"/>
    </row>
    <row r="2147" spans="1:8" hidden="1" x14ac:dyDescent="0.25">
      <c r="A2147" s="43">
        <v>359</v>
      </c>
      <c r="B2147" s="43" t="s">
        <v>104</v>
      </c>
      <c r="C2147" s="43" t="s">
        <v>1685</v>
      </c>
      <c r="D2147" s="43" t="s">
        <v>1696</v>
      </c>
      <c r="E2147" s="43" t="s">
        <v>1697</v>
      </c>
      <c r="F2147" s="43">
        <v>1</v>
      </c>
      <c r="G2147"/>
      <c r="H2147"/>
    </row>
    <row r="2148" spans="1:8" hidden="1" x14ac:dyDescent="0.25">
      <c r="A2148" s="43">
        <v>359</v>
      </c>
      <c r="B2148" s="43" t="s">
        <v>104</v>
      </c>
      <c r="C2148" s="43" t="s">
        <v>1685</v>
      </c>
      <c r="D2148" s="43" t="s">
        <v>1698</v>
      </c>
      <c r="E2148" s="43" t="s">
        <v>1699</v>
      </c>
      <c r="F2148" s="43">
        <v>1</v>
      </c>
      <c r="G2148"/>
      <c r="H2148"/>
    </row>
    <row r="2149" spans="1:8" hidden="1" x14ac:dyDescent="0.25">
      <c r="A2149" s="43">
        <v>359</v>
      </c>
      <c r="B2149" s="43" t="s">
        <v>104</v>
      </c>
      <c r="C2149" s="43" t="s">
        <v>1685</v>
      </c>
      <c r="D2149" s="43" t="s">
        <v>1700</v>
      </c>
      <c r="E2149" s="43" t="s">
        <v>1701</v>
      </c>
      <c r="F2149" s="43">
        <v>1</v>
      </c>
      <c r="G2149"/>
      <c r="H2149"/>
    </row>
    <row r="2150" spans="1:8" hidden="1" x14ac:dyDescent="0.25">
      <c r="A2150" s="43">
        <v>359</v>
      </c>
      <c r="B2150" s="43" t="s">
        <v>104</v>
      </c>
      <c r="C2150" s="43" t="s">
        <v>1685</v>
      </c>
      <c r="D2150" s="43" t="s">
        <v>1702</v>
      </c>
      <c r="E2150" s="43" t="s">
        <v>314</v>
      </c>
      <c r="F2150" s="43">
        <v>0</v>
      </c>
      <c r="G2150" s="43" t="s">
        <v>4583</v>
      </c>
      <c r="H2150"/>
    </row>
    <row r="2151" spans="1:8" hidden="1" x14ac:dyDescent="0.25">
      <c r="A2151" s="43">
        <v>359</v>
      </c>
      <c r="B2151" s="43" t="s">
        <v>104</v>
      </c>
      <c r="C2151" s="43" t="s">
        <v>1685</v>
      </c>
      <c r="D2151" s="43" t="s">
        <v>1703</v>
      </c>
      <c r="E2151" s="43" t="s">
        <v>1704</v>
      </c>
      <c r="F2151" s="43">
        <v>0</v>
      </c>
      <c r="G2151" s="43" t="s">
        <v>4583</v>
      </c>
      <c r="H2151"/>
    </row>
    <row r="2152" spans="1:8" hidden="1" x14ac:dyDescent="0.25">
      <c r="A2152" s="43">
        <v>359</v>
      </c>
      <c r="B2152" s="43" t="s">
        <v>104</v>
      </c>
      <c r="C2152" s="43" t="s">
        <v>1685</v>
      </c>
      <c r="D2152" s="43" t="s">
        <v>1705</v>
      </c>
      <c r="E2152" s="43" t="s">
        <v>1706</v>
      </c>
      <c r="F2152" s="43">
        <v>0</v>
      </c>
      <c r="G2152" s="43" t="s">
        <v>4583</v>
      </c>
      <c r="H2152"/>
    </row>
    <row r="2153" spans="1:8" hidden="1" x14ac:dyDescent="0.25">
      <c r="A2153" s="43">
        <v>359</v>
      </c>
      <c r="B2153" s="43" t="s">
        <v>104</v>
      </c>
      <c r="C2153" s="43" t="s">
        <v>1685</v>
      </c>
      <c r="D2153" s="43" t="s">
        <v>1707</v>
      </c>
      <c r="E2153" s="43" t="s">
        <v>1708</v>
      </c>
      <c r="F2153" s="43">
        <v>0</v>
      </c>
      <c r="G2153" s="43" t="s">
        <v>4583</v>
      </c>
      <c r="H2153"/>
    </row>
    <row r="2154" spans="1:8" hidden="1" x14ac:dyDescent="0.25">
      <c r="A2154" s="43">
        <v>359</v>
      </c>
      <c r="B2154" s="43" t="s">
        <v>104</v>
      </c>
      <c r="C2154" s="43" t="s">
        <v>1685</v>
      </c>
      <c r="D2154" s="43" t="s">
        <v>1709</v>
      </c>
      <c r="E2154" s="43" t="s">
        <v>1710</v>
      </c>
      <c r="F2154" s="43">
        <v>0</v>
      </c>
      <c r="G2154" s="43" t="s">
        <v>4583</v>
      </c>
      <c r="H2154"/>
    </row>
    <row r="2155" spans="1:8" hidden="1" x14ac:dyDescent="0.25">
      <c r="A2155" s="43">
        <v>359</v>
      </c>
      <c r="B2155" s="43" t="s">
        <v>104</v>
      </c>
      <c r="C2155" s="43" t="s">
        <v>1685</v>
      </c>
      <c r="D2155" s="43" t="s">
        <v>1711</v>
      </c>
      <c r="E2155" s="43" t="s">
        <v>1124</v>
      </c>
      <c r="F2155" s="43">
        <v>0</v>
      </c>
      <c r="G2155" s="43" t="s">
        <v>4583</v>
      </c>
      <c r="H2155"/>
    </row>
    <row r="2156" spans="1:8" hidden="1" x14ac:dyDescent="0.25">
      <c r="A2156" s="43">
        <v>360</v>
      </c>
      <c r="B2156" s="43" t="s">
        <v>104</v>
      </c>
      <c r="C2156" s="43" t="s">
        <v>1685</v>
      </c>
      <c r="D2156" s="43" t="s">
        <v>1686</v>
      </c>
      <c r="E2156" s="43" t="s">
        <v>1687</v>
      </c>
      <c r="F2156" s="43">
        <v>1</v>
      </c>
      <c r="G2156"/>
      <c r="H2156"/>
    </row>
    <row r="2157" spans="1:8" hidden="1" x14ac:dyDescent="0.25">
      <c r="A2157" s="43">
        <v>360</v>
      </c>
      <c r="B2157" s="43" t="s">
        <v>104</v>
      </c>
      <c r="C2157" s="43" t="s">
        <v>1685</v>
      </c>
      <c r="D2157" s="43" t="s">
        <v>1688</v>
      </c>
      <c r="E2157" s="43" t="s">
        <v>1689</v>
      </c>
      <c r="F2157" s="43">
        <v>1</v>
      </c>
      <c r="G2157"/>
      <c r="H2157"/>
    </row>
    <row r="2158" spans="1:8" hidden="1" x14ac:dyDescent="0.25">
      <c r="A2158" s="43">
        <v>360</v>
      </c>
      <c r="B2158" s="43" t="s">
        <v>104</v>
      </c>
      <c r="C2158" s="43" t="s">
        <v>1685</v>
      </c>
      <c r="D2158" s="43" t="s">
        <v>1690</v>
      </c>
      <c r="E2158" s="43" t="s">
        <v>1691</v>
      </c>
      <c r="F2158" s="43">
        <v>1</v>
      </c>
      <c r="G2158"/>
      <c r="H2158"/>
    </row>
    <row r="2159" spans="1:8" hidden="1" x14ac:dyDescent="0.25">
      <c r="A2159" s="43">
        <v>360</v>
      </c>
      <c r="B2159" s="43" t="s">
        <v>104</v>
      </c>
      <c r="C2159" s="43" t="s">
        <v>1685</v>
      </c>
      <c r="D2159" s="43" t="s">
        <v>1692</v>
      </c>
      <c r="E2159" s="43" t="s">
        <v>1693</v>
      </c>
      <c r="F2159" s="43">
        <v>0</v>
      </c>
      <c r="G2159" s="43" t="s">
        <v>4583</v>
      </c>
      <c r="H2159"/>
    </row>
    <row r="2160" spans="1:8" hidden="1" x14ac:dyDescent="0.25">
      <c r="A2160" s="43">
        <v>360</v>
      </c>
      <c r="B2160" s="43" t="s">
        <v>104</v>
      </c>
      <c r="C2160" s="43" t="s">
        <v>1685</v>
      </c>
      <c r="D2160" s="43" t="s">
        <v>1694</v>
      </c>
      <c r="E2160" s="43" t="s">
        <v>1695</v>
      </c>
      <c r="F2160" s="43">
        <v>0</v>
      </c>
      <c r="G2160" s="43" t="s">
        <v>4583</v>
      </c>
      <c r="H2160"/>
    </row>
    <row r="2161" spans="1:8" hidden="1" x14ac:dyDescent="0.25">
      <c r="A2161" s="43">
        <v>360</v>
      </c>
      <c r="B2161" s="43" t="s">
        <v>104</v>
      </c>
      <c r="C2161" s="43" t="s">
        <v>1685</v>
      </c>
      <c r="D2161" s="43" t="s">
        <v>1696</v>
      </c>
      <c r="E2161" s="43" t="s">
        <v>1697</v>
      </c>
      <c r="F2161" s="43">
        <v>1</v>
      </c>
      <c r="G2161"/>
      <c r="H2161"/>
    </row>
    <row r="2162" spans="1:8" hidden="1" x14ac:dyDescent="0.25">
      <c r="A2162" s="43">
        <v>360</v>
      </c>
      <c r="B2162" s="43" t="s">
        <v>104</v>
      </c>
      <c r="C2162" s="43" t="s">
        <v>1685</v>
      </c>
      <c r="D2162" s="43" t="s">
        <v>1698</v>
      </c>
      <c r="E2162" s="43" t="s">
        <v>1699</v>
      </c>
      <c r="F2162" s="43">
        <v>1</v>
      </c>
      <c r="G2162"/>
      <c r="H2162"/>
    </row>
    <row r="2163" spans="1:8" hidden="1" x14ac:dyDescent="0.25">
      <c r="A2163" s="43">
        <v>360</v>
      </c>
      <c r="B2163" s="43" t="s">
        <v>104</v>
      </c>
      <c r="C2163" s="43" t="s">
        <v>1685</v>
      </c>
      <c r="D2163" s="43" t="s">
        <v>1700</v>
      </c>
      <c r="E2163" s="43" t="s">
        <v>1701</v>
      </c>
      <c r="F2163" s="43">
        <v>1</v>
      </c>
      <c r="G2163"/>
      <c r="H2163"/>
    </row>
    <row r="2164" spans="1:8" hidden="1" x14ac:dyDescent="0.25">
      <c r="A2164" s="43">
        <v>360</v>
      </c>
      <c r="B2164" s="43" t="s">
        <v>104</v>
      </c>
      <c r="C2164" s="43" t="s">
        <v>1685</v>
      </c>
      <c r="D2164" s="43" t="s">
        <v>1702</v>
      </c>
      <c r="E2164" s="43" t="s">
        <v>314</v>
      </c>
      <c r="F2164" s="43">
        <v>0</v>
      </c>
      <c r="G2164" s="43" t="s">
        <v>4583</v>
      </c>
      <c r="H2164"/>
    </row>
    <row r="2165" spans="1:8" hidden="1" x14ac:dyDescent="0.25">
      <c r="A2165" s="43">
        <v>360</v>
      </c>
      <c r="B2165" s="43" t="s">
        <v>104</v>
      </c>
      <c r="C2165" s="43" t="s">
        <v>1685</v>
      </c>
      <c r="D2165" s="43" t="s">
        <v>1703</v>
      </c>
      <c r="E2165" s="43" t="s">
        <v>1704</v>
      </c>
      <c r="F2165" s="43">
        <v>0</v>
      </c>
      <c r="G2165" s="43" t="s">
        <v>4583</v>
      </c>
      <c r="H2165"/>
    </row>
    <row r="2166" spans="1:8" hidden="1" x14ac:dyDescent="0.25">
      <c r="A2166" s="43">
        <v>360</v>
      </c>
      <c r="B2166" s="43" t="s">
        <v>104</v>
      </c>
      <c r="C2166" s="43" t="s">
        <v>1685</v>
      </c>
      <c r="D2166" s="43" t="s">
        <v>1705</v>
      </c>
      <c r="E2166" s="43" t="s">
        <v>1706</v>
      </c>
      <c r="F2166" s="43">
        <v>0</v>
      </c>
      <c r="G2166" s="43" t="s">
        <v>4583</v>
      </c>
      <c r="H2166"/>
    </row>
    <row r="2167" spans="1:8" hidden="1" x14ac:dyDescent="0.25">
      <c r="A2167" s="43">
        <v>360</v>
      </c>
      <c r="B2167" s="43" t="s">
        <v>104</v>
      </c>
      <c r="C2167" s="43" t="s">
        <v>1685</v>
      </c>
      <c r="D2167" s="43" t="s">
        <v>1707</v>
      </c>
      <c r="E2167" s="43" t="s">
        <v>1708</v>
      </c>
      <c r="F2167" s="43">
        <v>0</v>
      </c>
      <c r="G2167" s="43" t="s">
        <v>4583</v>
      </c>
      <c r="H2167"/>
    </row>
    <row r="2168" spans="1:8" hidden="1" x14ac:dyDescent="0.25">
      <c r="A2168" s="43">
        <v>360</v>
      </c>
      <c r="B2168" s="43" t="s">
        <v>104</v>
      </c>
      <c r="C2168" s="43" t="s">
        <v>1685</v>
      </c>
      <c r="D2168" s="43" t="s">
        <v>1709</v>
      </c>
      <c r="E2168" s="43" t="s">
        <v>1710</v>
      </c>
      <c r="F2168" s="43">
        <v>0</v>
      </c>
      <c r="G2168" s="43" t="s">
        <v>4583</v>
      </c>
      <c r="H2168"/>
    </row>
    <row r="2169" spans="1:8" hidden="1" x14ac:dyDescent="0.25">
      <c r="A2169" s="43">
        <v>360</v>
      </c>
      <c r="B2169" s="43" t="s">
        <v>104</v>
      </c>
      <c r="C2169" s="43" t="s">
        <v>1685</v>
      </c>
      <c r="D2169" s="43" t="s">
        <v>1711</v>
      </c>
      <c r="E2169" s="43" t="s">
        <v>1124</v>
      </c>
      <c r="F2169" s="43">
        <v>0</v>
      </c>
      <c r="G2169" s="43" t="s">
        <v>4583</v>
      </c>
      <c r="H2169"/>
    </row>
    <row r="2170" spans="1:8" hidden="1" x14ac:dyDescent="0.25">
      <c r="A2170" s="43">
        <v>366</v>
      </c>
      <c r="B2170" s="43" t="s">
        <v>105</v>
      </c>
      <c r="C2170" s="43" t="s">
        <v>1613</v>
      </c>
      <c r="D2170" s="43" t="s">
        <v>1614</v>
      </c>
      <c r="E2170" s="43" t="s">
        <v>273</v>
      </c>
      <c r="F2170" s="43">
        <v>1</v>
      </c>
      <c r="G2170"/>
      <c r="H2170"/>
    </row>
    <row r="2171" spans="1:8" hidden="1" x14ac:dyDescent="0.25">
      <c r="A2171" s="43">
        <v>366</v>
      </c>
      <c r="B2171" s="43" t="s">
        <v>105</v>
      </c>
      <c r="C2171" s="43" t="s">
        <v>1613</v>
      </c>
      <c r="D2171" s="43" t="s">
        <v>1615</v>
      </c>
      <c r="E2171" s="43" t="s">
        <v>312</v>
      </c>
      <c r="F2171" s="43">
        <v>1</v>
      </c>
      <c r="G2171"/>
      <c r="H2171"/>
    </row>
    <row r="2172" spans="1:8" hidden="1" x14ac:dyDescent="0.25">
      <c r="A2172" s="43">
        <v>366</v>
      </c>
      <c r="B2172" s="43" t="s">
        <v>105</v>
      </c>
      <c r="C2172" s="43" t="s">
        <v>1613</v>
      </c>
      <c r="D2172" s="43" t="s">
        <v>1616</v>
      </c>
      <c r="E2172" s="43" t="s">
        <v>316</v>
      </c>
      <c r="F2172" s="43">
        <v>1</v>
      </c>
      <c r="G2172"/>
      <c r="H2172"/>
    </row>
    <row r="2173" spans="1:8" hidden="1" x14ac:dyDescent="0.25">
      <c r="A2173" s="43">
        <v>366</v>
      </c>
      <c r="B2173" s="43" t="s">
        <v>105</v>
      </c>
      <c r="C2173" s="43" t="s">
        <v>1613</v>
      </c>
      <c r="D2173" s="43" t="s">
        <v>1617</v>
      </c>
      <c r="E2173" s="43" t="s">
        <v>314</v>
      </c>
      <c r="F2173" s="43">
        <v>1</v>
      </c>
      <c r="G2173"/>
      <c r="H2173"/>
    </row>
    <row r="2174" spans="1:8" hidden="1" x14ac:dyDescent="0.25">
      <c r="A2174" s="43">
        <v>366</v>
      </c>
      <c r="B2174" s="43" t="s">
        <v>105</v>
      </c>
      <c r="C2174" s="43" t="s">
        <v>1613</v>
      </c>
      <c r="D2174" s="43" t="s">
        <v>1618</v>
      </c>
      <c r="E2174" s="43" t="s">
        <v>318</v>
      </c>
      <c r="F2174" s="43">
        <v>1</v>
      </c>
      <c r="G2174"/>
      <c r="H2174"/>
    </row>
    <row r="2175" spans="1:8" hidden="1" x14ac:dyDescent="0.25">
      <c r="A2175" s="43">
        <v>366</v>
      </c>
      <c r="B2175" s="43" t="s">
        <v>105</v>
      </c>
      <c r="C2175" s="43" t="s">
        <v>1613</v>
      </c>
      <c r="D2175" s="43" t="s">
        <v>1619</v>
      </c>
      <c r="E2175" s="43" t="s">
        <v>1620</v>
      </c>
      <c r="F2175" s="43">
        <v>1</v>
      </c>
      <c r="G2175"/>
      <c r="H2175"/>
    </row>
    <row r="2176" spans="1:8" hidden="1" x14ac:dyDescent="0.25">
      <c r="A2176" s="43">
        <v>366</v>
      </c>
      <c r="B2176" s="43" t="s">
        <v>105</v>
      </c>
      <c r="C2176" s="43" t="s">
        <v>1613</v>
      </c>
      <c r="D2176" s="43" t="s">
        <v>1621</v>
      </c>
      <c r="E2176" s="43" t="s">
        <v>1622</v>
      </c>
      <c r="F2176" s="43">
        <v>1</v>
      </c>
      <c r="G2176"/>
      <c r="H2176"/>
    </row>
    <row r="2177" spans="1:8" hidden="1" x14ac:dyDescent="0.25">
      <c r="A2177" s="43">
        <v>366</v>
      </c>
      <c r="B2177" s="43" t="s">
        <v>105</v>
      </c>
      <c r="C2177" s="43" t="s">
        <v>1613</v>
      </c>
      <c r="D2177" s="43" t="s">
        <v>1623</v>
      </c>
      <c r="E2177" s="43" t="s">
        <v>322</v>
      </c>
      <c r="F2177" s="43">
        <v>1</v>
      </c>
      <c r="G2177"/>
      <c r="H2177"/>
    </row>
    <row r="2178" spans="1:8" hidden="1" x14ac:dyDescent="0.25">
      <c r="A2178" s="43">
        <v>366</v>
      </c>
      <c r="B2178" s="43" t="s">
        <v>105</v>
      </c>
      <c r="C2178" s="43" t="s">
        <v>1613</v>
      </c>
      <c r="D2178" s="43" t="s">
        <v>1624</v>
      </c>
      <c r="E2178" s="43" t="s">
        <v>936</v>
      </c>
      <c r="F2178" s="43">
        <v>1</v>
      </c>
      <c r="G2178"/>
      <c r="H2178"/>
    </row>
    <row r="2179" spans="1:8" hidden="1" x14ac:dyDescent="0.25">
      <c r="A2179" s="43">
        <v>366</v>
      </c>
      <c r="B2179" s="43" t="s">
        <v>105</v>
      </c>
      <c r="C2179" s="43" t="s">
        <v>1613</v>
      </c>
      <c r="D2179" s="43" t="s">
        <v>1625</v>
      </c>
      <c r="E2179" s="43" t="s">
        <v>938</v>
      </c>
      <c r="F2179" s="43">
        <v>1</v>
      </c>
      <c r="G2179"/>
      <c r="H2179"/>
    </row>
    <row r="2180" spans="1:8" hidden="1" x14ac:dyDescent="0.25">
      <c r="A2180" s="43">
        <v>366</v>
      </c>
      <c r="B2180" s="43" t="s">
        <v>105</v>
      </c>
      <c r="C2180" s="43" t="s">
        <v>1613</v>
      </c>
      <c r="D2180" s="43" t="s">
        <v>1626</v>
      </c>
      <c r="E2180" s="43" t="s">
        <v>1483</v>
      </c>
      <c r="F2180" s="43">
        <v>1</v>
      </c>
      <c r="G2180"/>
      <c r="H2180"/>
    </row>
    <row r="2181" spans="1:8" hidden="1" x14ac:dyDescent="0.25">
      <c r="A2181" s="43">
        <v>366</v>
      </c>
      <c r="B2181" s="43" t="s">
        <v>105</v>
      </c>
      <c r="C2181" s="43" t="s">
        <v>1613</v>
      </c>
      <c r="D2181" s="43" t="s">
        <v>1627</v>
      </c>
      <c r="E2181" s="43" t="s">
        <v>942</v>
      </c>
      <c r="F2181" s="43">
        <v>1</v>
      </c>
      <c r="G2181"/>
      <c r="H2181"/>
    </row>
    <row r="2182" spans="1:8" hidden="1" x14ac:dyDescent="0.25">
      <c r="A2182" s="43">
        <v>366</v>
      </c>
      <c r="B2182" s="43" t="s">
        <v>105</v>
      </c>
      <c r="C2182" s="43" t="s">
        <v>1613</v>
      </c>
      <c r="D2182" s="43" t="s">
        <v>1628</v>
      </c>
      <c r="E2182" s="43" t="s">
        <v>383</v>
      </c>
      <c r="F2182" s="43">
        <v>1</v>
      </c>
      <c r="G2182"/>
      <c r="H2182"/>
    </row>
    <row r="2183" spans="1:8" hidden="1" x14ac:dyDescent="0.25">
      <c r="A2183" s="43">
        <v>366</v>
      </c>
      <c r="B2183" s="43" t="s">
        <v>105</v>
      </c>
      <c r="C2183" s="43" t="s">
        <v>1613</v>
      </c>
      <c r="D2183" s="43" t="s">
        <v>1629</v>
      </c>
      <c r="E2183" s="43" t="s">
        <v>1630</v>
      </c>
      <c r="F2183" s="43">
        <v>1</v>
      </c>
      <c r="G2183"/>
      <c r="H2183"/>
    </row>
    <row r="2184" spans="1:8" hidden="1" x14ac:dyDescent="0.25">
      <c r="A2184" s="43">
        <v>366</v>
      </c>
      <c r="B2184" s="43" t="s">
        <v>105</v>
      </c>
      <c r="C2184" s="43" t="s">
        <v>1613</v>
      </c>
      <c r="D2184" s="43" t="s">
        <v>1631</v>
      </c>
      <c r="E2184" s="43" t="s">
        <v>380</v>
      </c>
      <c r="F2184" s="43">
        <v>1</v>
      </c>
      <c r="G2184"/>
      <c r="H2184"/>
    </row>
    <row r="2185" spans="1:8" hidden="1" x14ac:dyDescent="0.25">
      <c r="A2185" s="43">
        <v>366</v>
      </c>
      <c r="B2185" s="43" t="s">
        <v>105</v>
      </c>
      <c r="C2185" s="43" t="s">
        <v>1613</v>
      </c>
      <c r="D2185" s="43" t="s">
        <v>1632</v>
      </c>
      <c r="E2185" s="43" t="s">
        <v>381</v>
      </c>
      <c r="F2185" s="43">
        <v>1</v>
      </c>
      <c r="G2185"/>
      <c r="H2185"/>
    </row>
    <row r="2186" spans="1:8" hidden="1" x14ac:dyDescent="0.25">
      <c r="A2186" s="43">
        <v>366</v>
      </c>
      <c r="B2186" s="43" t="s">
        <v>105</v>
      </c>
      <c r="C2186" s="43" t="s">
        <v>1613</v>
      </c>
      <c r="D2186" s="43" t="s">
        <v>1633</v>
      </c>
      <c r="E2186" s="43" t="s">
        <v>1634</v>
      </c>
      <c r="F2186" s="43">
        <v>1</v>
      </c>
      <c r="G2186"/>
      <c r="H2186"/>
    </row>
    <row r="2187" spans="1:8" hidden="1" x14ac:dyDescent="0.25">
      <c r="A2187" s="43">
        <v>366</v>
      </c>
      <c r="B2187" s="43" t="s">
        <v>105</v>
      </c>
      <c r="C2187" s="43" t="s">
        <v>1613</v>
      </c>
      <c r="D2187" s="43" t="s">
        <v>1635</v>
      </c>
      <c r="E2187" s="43" t="s">
        <v>4473</v>
      </c>
      <c r="F2187" s="43">
        <v>1</v>
      </c>
      <c r="G2187"/>
      <c r="H2187"/>
    </row>
    <row r="2188" spans="1:8" hidden="1" x14ac:dyDescent="0.25">
      <c r="A2188" s="43">
        <v>366</v>
      </c>
      <c r="B2188" s="43" t="s">
        <v>105</v>
      </c>
      <c r="C2188" s="43" t="s">
        <v>1613</v>
      </c>
      <c r="D2188" s="43" t="s">
        <v>1636</v>
      </c>
      <c r="E2188" s="43" t="s">
        <v>1637</v>
      </c>
      <c r="F2188" s="43">
        <v>0</v>
      </c>
      <c r="G2188" s="43" t="s">
        <v>4648</v>
      </c>
      <c r="H2188" s="43" t="s">
        <v>4759</v>
      </c>
    </row>
    <row r="2189" spans="1:8" hidden="1" x14ac:dyDescent="0.25">
      <c r="A2189" s="43">
        <v>366</v>
      </c>
      <c r="B2189" s="43" t="s">
        <v>105</v>
      </c>
      <c r="C2189" s="43" t="s">
        <v>1613</v>
      </c>
      <c r="D2189" s="43" t="s">
        <v>1638</v>
      </c>
      <c r="E2189" s="43" t="s">
        <v>1639</v>
      </c>
      <c r="F2189" s="43">
        <v>1</v>
      </c>
      <c r="G2189"/>
      <c r="H2189"/>
    </row>
    <row r="2190" spans="1:8" hidden="1" x14ac:dyDescent="0.25">
      <c r="A2190" s="43">
        <v>367</v>
      </c>
      <c r="B2190" s="43" t="s">
        <v>105</v>
      </c>
      <c r="C2190" s="43" t="s">
        <v>1613</v>
      </c>
      <c r="D2190" s="43" t="s">
        <v>1614</v>
      </c>
      <c r="E2190" s="43" t="s">
        <v>273</v>
      </c>
      <c r="F2190" s="43">
        <v>1</v>
      </c>
      <c r="G2190"/>
      <c r="H2190"/>
    </row>
    <row r="2191" spans="1:8" hidden="1" x14ac:dyDescent="0.25">
      <c r="A2191" s="43">
        <v>367</v>
      </c>
      <c r="B2191" s="43" t="s">
        <v>105</v>
      </c>
      <c r="C2191" s="43" t="s">
        <v>1613</v>
      </c>
      <c r="D2191" s="43" t="s">
        <v>1615</v>
      </c>
      <c r="E2191" s="43" t="s">
        <v>312</v>
      </c>
      <c r="F2191" s="43">
        <v>1</v>
      </c>
      <c r="G2191"/>
      <c r="H2191"/>
    </row>
    <row r="2192" spans="1:8" hidden="1" x14ac:dyDescent="0.25">
      <c r="A2192" s="43">
        <v>367</v>
      </c>
      <c r="B2192" s="43" t="s">
        <v>105</v>
      </c>
      <c r="C2192" s="43" t="s">
        <v>1613</v>
      </c>
      <c r="D2192" s="43" t="s">
        <v>1616</v>
      </c>
      <c r="E2192" s="43" t="s">
        <v>316</v>
      </c>
      <c r="F2192" s="43">
        <v>1</v>
      </c>
      <c r="G2192"/>
      <c r="H2192"/>
    </row>
    <row r="2193" spans="1:8" hidden="1" x14ac:dyDescent="0.25">
      <c r="A2193" s="43">
        <v>367</v>
      </c>
      <c r="B2193" s="43" t="s">
        <v>105</v>
      </c>
      <c r="C2193" s="43" t="s">
        <v>1613</v>
      </c>
      <c r="D2193" s="43" t="s">
        <v>1617</v>
      </c>
      <c r="E2193" s="43" t="s">
        <v>314</v>
      </c>
      <c r="F2193" s="43">
        <v>1</v>
      </c>
      <c r="G2193"/>
      <c r="H2193"/>
    </row>
    <row r="2194" spans="1:8" hidden="1" x14ac:dyDescent="0.25">
      <c r="A2194" s="43">
        <v>367</v>
      </c>
      <c r="B2194" s="43" t="s">
        <v>105</v>
      </c>
      <c r="C2194" s="43" t="s">
        <v>1613</v>
      </c>
      <c r="D2194" s="43" t="s">
        <v>1618</v>
      </c>
      <c r="E2194" s="43" t="s">
        <v>318</v>
      </c>
      <c r="F2194" s="43">
        <v>1</v>
      </c>
      <c r="G2194"/>
      <c r="H2194"/>
    </row>
    <row r="2195" spans="1:8" hidden="1" x14ac:dyDescent="0.25">
      <c r="A2195" s="43">
        <v>367</v>
      </c>
      <c r="B2195" s="43" t="s">
        <v>105</v>
      </c>
      <c r="C2195" s="43" t="s">
        <v>1613</v>
      </c>
      <c r="D2195" s="43" t="s">
        <v>1619</v>
      </c>
      <c r="E2195" s="43" t="s">
        <v>1620</v>
      </c>
      <c r="F2195" s="43">
        <v>1</v>
      </c>
      <c r="G2195"/>
      <c r="H2195"/>
    </row>
    <row r="2196" spans="1:8" hidden="1" x14ac:dyDescent="0.25">
      <c r="A2196" s="43">
        <v>367</v>
      </c>
      <c r="B2196" s="43" t="s">
        <v>105</v>
      </c>
      <c r="C2196" s="43" t="s">
        <v>1613</v>
      </c>
      <c r="D2196" s="43" t="s">
        <v>1621</v>
      </c>
      <c r="E2196" s="43" t="s">
        <v>1622</v>
      </c>
      <c r="F2196" s="43">
        <v>1</v>
      </c>
      <c r="G2196"/>
      <c r="H2196"/>
    </row>
    <row r="2197" spans="1:8" hidden="1" x14ac:dyDescent="0.25">
      <c r="A2197" s="43">
        <v>367</v>
      </c>
      <c r="B2197" s="43" t="s">
        <v>105</v>
      </c>
      <c r="C2197" s="43" t="s">
        <v>1613</v>
      </c>
      <c r="D2197" s="43" t="s">
        <v>1623</v>
      </c>
      <c r="E2197" s="43" t="s">
        <v>322</v>
      </c>
      <c r="F2197" s="43">
        <v>1</v>
      </c>
      <c r="G2197"/>
      <c r="H2197"/>
    </row>
    <row r="2198" spans="1:8" hidden="1" x14ac:dyDescent="0.25">
      <c r="A2198" s="43">
        <v>367</v>
      </c>
      <c r="B2198" s="43" t="s">
        <v>105</v>
      </c>
      <c r="C2198" s="43" t="s">
        <v>1613</v>
      </c>
      <c r="D2198" s="43" t="s">
        <v>1624</v>
      </c>
      <c r="E2198" s="43" t="s">
        <v>936</v>
      </c>
      <c r="F2198" s="43">
        <v>0</v>
      </c>
      <c r="G2198" s="43" t="s">
        <v>4649</v>
      </c>
      <c r="H2198" s="43" t="s">
        <v>4763</v>
      </c>
    </row>
    <row r="2199" spans="1:8" hidden="1" x14ac:dyDescent="0.25">
      <c r="A2199" s="43">
        <v>367</v>
      </c>
      <c r="B2199" s="43" t="s">
        <v>105</v>
      </c>
      <c r="C2199" s="43" t="s">
        <v>1613</v>
      </c>
      <c r="D2199" s="43" t="s">
        <v>1625</v>
      </c>
      <c r="E2199" s="43" t="s">
        <v>938</v>
      </c>
      <c r="F2199" s="43">
        <v>1</v>
      </c>
      <c r="G2199"/>
      <c r="H2199"/>
    </row>
    <row r="2200" spans="1:8" hidden="1" x14ac:dyDescent="0.25">
      <c r="A2200" s="43">
        <v>367</v>
      </c>
      <c r="B2200" s="43" t="s">
        <v>105</v>
      </c>
      <c r="C2200" s="43" t="s">
        <v>1613</v>
      </c>
      <c r="D2200" s="43" t="s">
        <v>1626</v>
      </c>
      <c r="E2200" s="43" t="s">
        <v>1483</v>
      </c>
      <c r="F2200" s="43">
        <v>1</v>
      </c>
      <c r="G2200"/>
      <c r="H2200"/>
    </row>
    <row r="2201" spans="1:8" hidden="1" x14ac:dyDescent="0.25">
      <c r="A2201" s="43">
        <v>367</v>
      </c>
      <c r="B2201" s="43" t="s">
        <v>105</v>
      </c>
      <c r="C2201" s="43" t="s">
        <v>1613</v>
      </c>
      <c r="D2201" s="43" t="s">
        <v>1627</v>
      </c>
      <c r="E2201" s="43" t="s">
        <v>942</v>
      </c>
      <c r="F2201" s="43">
        <v>0</v>
      </c>
      <c r="G2201" s="43" t="s">
        <v>4649</v>
      </c>
      <c r="H2201" s="43" t="s">
        <v>4763</v>
      </c>
    </row>
    <row r="2202" spans="1:8" hidden="1" x14ac:dyDescent="0.25">
      <c r="A2202" s="43">
        <v>367</v>
      </c>
      <c r="B2202" s="43" t="s">
        <v>105</v>
      </c>
      <c r="C2202" s="43" t="s">
        <v>1613</v>
      </c>
      <c r="D2202" s="43" t="s">
        <v>1628</v>
      </c>
      <c r="E2202" s="43" t="s">
        <v>383</v>
      </c>
      <c r="F2202" s="43">
        <v>1</v>
      </c>
      <c r="G2202"/>
      <c r="H2202"/>
    </row>
    <row r="2203" spans="1:8" hidden="1" x14ac:dyDescent="0.25">
      <c r="A2203" s="43">
        <v>367</v>
      </c>
      <c r="B2203" s="43" t="s">
        <v>105</v>
      </c>
      <c r="C2203" s="43" t="s">
        <v>1613</v>
      </c>
      <c r="D2203" s="43" t="s">
        <v>1629</v>
      </c>
      <c r="E2203" s="43" t="s">
        <v>1630</v>
      </c>
      <c r="F2203" s="43">
        <v>1</v>
      </c>
      <c r="G2203"/>
      <c r="H2203"/>
    </row>
    <row r="2204" spans="1:8" hidden="1" x14ac:dyDescent="0.25">
      <c r="A2204" s="43">
        <v>367</v>
      </c>
      <c r="B2204" s="43" t="s">
        <v>105</v>
      </c>
      <c r="C2204" s="43" t="s">
        <v>1613</v>
      </c>
      <c r="D2204" s="43" t="s">
        <v>1631</v>
      </c>
      <c r="E2204" s="43" t="s">
        <v>380</v>
      </c>
      <c r="F2204" s="43">
        <v>1</v>
      </c>
      <c r="G2204"/>
      <c r="H2204"/>
    </row>
    <row r="2205" spans="1:8" hidden="1" x14ac:dyDescent="0.25">
      <c r="A2205" s="43">
        <v>367</v>
      </c>
      <c r="B2205" s="43" t="s">
        <v>105</v>
      </c>
      <c r="C2205" s="43" t="s">
        <v>1613</v>
      </c>
      <c r="D2205" s="43" t="s">
        <v>1632</v>
      </c>
      <c r="E2205" s="43" t="s">
        <v>381</v>
      </c>
      <c r="F2205" s="43">
        <v>1</v>
      </c>
      <c r="G2205"/>
      <c r="H2205"/>
    </row>
    <row r="2206" spans="1:8" hidden="1" x14ac:dyDescent="0.25">
      <c r="A2206" s="43">
        <v>367</v>
      </c>
      <c r="B2206" s="43" t="s">
        <v>105</v>
      </c>
      <c r="C2206" s="43" t="s">
        <v>1613</v>
      </c>
      <c r="D2206" s="43" t="s">
        <v>1633</v>
      </c>
      <c r="E2206" s="43" t="s">
        <v>1634</v>
      </c>
      <c r="F2206" s="43">
        <v>1</v>
      </c>
      <c r="G2206"/>
      <c r="H2206"/>
    </row>
    <row r="2207" spans="1:8" hidden="1" x14ac:dyDescent="0.25">
      <c r="A2207" s="43">
        <v>367</v>
      </c>
      <c r="B2207" s="43" t="s">
        <v>105</v>
      </c>
      <c r="C2207" s="43" t="s">
        <v>1613</v>
      </c>
      <c r="D2207" s="43" t="s">
        <v>1635</v>
      </c>
      <c r="E2207" s="43" t="s">
        <v>4473</v>
      </c>
      <c r="F2207" s="43">
        <v>1</v>
      </c>
      <c r="G2207"/>
      <c r="H2207"/>
    </row>
    <row r="2208" spans="1:8" hidden="1" x14ac:dyDescent="0.25">
      <c r="A2208" s="43">
        <v>367</v>
      </c>
      <c r="B2208" s="43" t="s">
        <v>105</v>
      </c>
      <c r="C2208" s="43" t="s">
        <v>1613</v>
      </c>
      <c r="D2208" s="43" t="s">
        <v>1636</v>
      </c>
      <c r="E2208" s="43" t="s">
        <v>1637</v>
      </c>
      <c r="F2208" s="43">
        <v>0</v>
      </c>
      <c r="G2208" s="43" t="s">
        <v>4650</v>
      </c>
      <c r="H2208" s="43" t="s">
        <v>4759</v>
      </c>
    </row>
    <row r="2209" spans="1:8" hidden="1" x14ac:dyDescent="0.25">
      <c r="A2209" s="43">
        <v>367</v>
      </c>
      <c r="B2209" s="43" t="s">
        <v>105</v>
      </c>
      <c r="C2209" s="43" t="s">
        <v>1613</v>
      </c>
      <c r="D2209" s="43" t="s">
        <v>1638</v>
      </c>
      <c r="E2209" s="43" t="s">
        <v>1639</v>
      </c>
      <c r="F2209" s="43">
        <v>1</v>
      </c>
      <c r="G2209"/>
      <c r="H2209"/>
    </row>
    <row r="2210" spans="1:8" hidden="1" x14ac:dyDescent="0.25">
      <c r="A2210" s="43">
        <v>368</v>
      </c>
      <c r="B2210" s="43" t="s">
        <v>106</v>
      </c>
      <c r="C2210" s="43" t="s">
        <v>4470</v>
      </c>
      <c r="D2210" s="43" t="s">
        <v>1493</v>
      </c>
      <c r="E2210" s="43" t="s">
        <v>1494</v>
      </c>
      <c r="F2210" s="43">
        <v>1</v>
      </c>
      <c r="G2210"/>
      <c r="H2210"/>
    </row>
    <row r="2211" spans="1:8" hidden="1" x14ac:dyDescent="0.25">
      <c r="A2211" s="43">
        <v>368</v>
      </c>
      <c r="B2211" s="43" t="s">
        <v>106</v>
      </c>
      <c r="C2211" s="43" t="s">
        <v>4470</v>
      </c>
      <c r="D2211" s="43" t="s">
        <v>1495</v>
      </c>
      <c r="E2211" s="43" t="s">
        <v>1496</v>
      </c>
      <c r="F2211" s="43">
        <v>1</v>
      </c>
      <c r="G2211"/>
      <c r="H2211"/>
    </row>
    <row r="2212" spans="1:8" hidden="1" x14ac:dyDescent="0.25">
      <c r="A2212" s="43">
        <v>368</v>
      </c>
      <c r="B2212" s="43" t="s">
        <v>106</v>
      </c>
      <c r="C2212" s="43" t="s">
        <v>4470</v>
      </c>
      <c r="D2212" s="43" t="s">
        <v>1497</v>
      </c>
      <c r="E2212" s="43" t="s">
        <v>306</v>
      </c>
      <c r="F2212" s="43">
        <v>1</v>
      </c>
      <c r="G2212"/>
      <c r="H2212"/>
    </row>
    <row r="2213" spans="1:8" hidden="1" x14ac:dyDescent="0.25">
      <c r="A2213" s="43">
        <v>368</v>
      </c>
      <c r="B2213" s="43" t="s">
        <v>106</v>
      </c>
      <c r="C2213" s="43" t="s">
        <v>4470</v>
      </c>
      <c r="D2213" s="43" t="s">
        <v>1498</v>
      </c>
      <c r="E2213" s="43" t="s">
        <v>1499</v>
      </c>
      <c r="F2213" s="43">
        <v>1</v>
      </c>
      <c r="G2213"/>
      <c r="H2213"/>
    </row>
    <row r="2214" spans="1:8" hidden="1" x14ac:dyDescent="0.25">
      <c r="A2214" s="43">
        <v>368</v>
      </c>
      <c r="B2214" s="43" t="s">
        <v>106</v>
      </c>
      <c r="C2214" s="43" t="s">
        <v>4470</v>
      </c>
      <c r="D2214" s="43" t="s">
        <v>1500</v>
      </c>
      <c r="E2214" s="43" t="s">
        <v>1397</v>
      </c>
      <c r="F2214" s="43">
        <v>1</v>
      </c>
      <c r="G2214"/>
      <c r="H2214"/>
    </row>
    <row r="2215" spans="1:8" hidden="1" x14ac:dyDescent="0.25">
      <c r="A2215" s="43">
        <v>368</v>
      </c>
      <c r="B2215" s="43" t="s">
        <v>106</v>
      </c>
      <c r="C2215" s="43" t="s">
        <v>4470</v>
      </c>
      <c r="D2215" s="43" t="s">
        <v>1501</v>
      </c>
      <c r="E2215" s="43" t="s">
        <v>1502</v>
      </c>
      <c r="F2215" s="43">
        <v>1</v>
      </c>
      <c r="G2215"/>
      <c r="H2215"/>
    </row>
    <row r="2216" spans="1:8" hidden="1" x14ac:dyDescent="0.25">
      <c r="A2216" s="43">
        <v>368</v>
      </c>
      <c r="B2216" s="43" t="s">
        <v>106</v>
      </c>
      <c r="C2216" s="43" t="s">
        <v>4470</v>
      </c>
      <c r="D2216" s="43" t="s">
        <v>1503</v>
      </c>
      <c r="E2216" s="43" t="s">
        <v>1504</v>
      </c>
      <c r="F2216" s="43">
        <v>1</v>
      </c>
      <c r="G2216"/>
      <c r="H2216"/>
    </row>
    <row r="2217" spans="1:8" hidden="1" x14ac:dyDescent="0.25">
      <c r="A2217" s="43">
        <v>368</v>
      </c>
      <c r="B2217" s="43" t="s">
        <v>106</v>
      </c>
      <c r="C2217" s="43" t="s">
        <v>4470</v>
      </c>
      <c r="D2217" s="43" t="s">
        <v>1505</v>
      </c>
      <c r="E2217" s="43" t="s">
        <v>1506</v>
      </c>
      <c r="F2217" s="43">
        <v>0</v>
      </c>
      <c r="G2217" s="43" t="s">
        <v>4583</v>
      </c>
      <c r="H2217"/>
    </row>
    <row r="2218" spans="1:8" hidden="1" x14ac:dyDescent="0.25">
      <c r="A2218" s="43">
        <v>368</v>
      </c>
      <c r="B2218" s="43" t="s">
        <v>106</v>
      </c>
      <c r="C2218" s="43" t="s">
        <v>4470</v>
      </c>
      <c r="D2218" s="43" t="s">
        <v>1507</v>
      </c>
      <c r="E2218" s="43" t="s">
        <v>611</v>
      </c>
      <c r="F2218" s="43">
        <v>1</v>
      </c>
      <c r="G2218"/>
      <c r="H2218"/>
    </row>
    <row r="2219" spans="1:8" hidden="1" x14ac:dyDescent="0.25">
      <c r="A2219" s="43">
        <v>368</v>
      </c>
      <c r="B2219" s="43" t="s">
        <v>106</v>
      </c>
      <c r="C2219" s="43" t="s">
        <v>4470</v>
      </c>
      <c r="D2219" s="43" t="s">
        <v>1508</v>
      </c>
      <c r="E2219" s="43" t="s">
        <v>1509</v>
      </c>
      <c r="F2219" s="43">
        <v>0</v>
      </c>
      <c r="G2219" s="43" t="s">
        <v>4583</v>
      </c>
      <c r="H2219"/>
    </row>
    <row r="2220" spans="1:8" hidden="1" x14ac:dyDescent="0.25">
      <c r="A2220" s="43">
        <v>368</v>
      </c>
      <c r="B2220" s="43" t="s">
        <v>106</v>
      </c>
      <c r="C2220" s="43" t="s">
        <v>4470</v>
      </c>
      <c r="D2220" s="43" t="s">
        <v>1510</v>
      </c>
      <c r="E2220" s="43" t="s">
        <v>613</v>
      </c>
      <c r="F2220" s="43">
        <v>1</v>
      </c>
      <c r="G2220"/>
      <c r="H2220"/>
    </row>
    <row r="2221" spans="1:8" hidden="1" x14ac:dyDescent="0.25">
      <c r="A2221" s="43">
        <v>368</v>
      </c>
      <c r="B2221" s="43" t="s">
        <v>106</v>
      </c>
      <c r="C2221" s="43" t="s">
        <v>4470</v>
      </c>
      <c r="D2221" s="43" t="s">
        <v>1511</v>
      </c>
      <c r="E2221" s="43" t="s">
        <v>1419</v>
      </c>
      <c r="F2221" s="43">
        <v>0</v>
      </c>
      <c r="G2221" s="43" t="s">
        <v>4583</v>
      </c>
      <c r="H2221"/>
    </row>
    <row r="2222" spans="1:8" hidden="1" x14ac:dyDescent="0.25">
      <c r="A2222" s="43">
        <v>368</v>
      </c>
      <c r="B2222" s="43" t="s">
        <v>106</v>
      </c>
      <c r="C2222" s="43" t="s">
        <v>4470</v>
      </c>
      <c r="D2222" s="43" t="s">
        <v>1512</v>
      </c>
      <c r="E2222" s="43" t="s">
        <v>621</v>
      </c>
      <c r="F2222" s="43">
        <v>0</v>
      </c>
      <c r="G2222" s="43" t="s">
        <v>4583</v>
      </c>
      <c r="H2222"/>
    </row>
    <row r="2223" spans="1:8" hidden="1" x14ac:dyDescent="0.25">
      <c r="A2223" s="43">
        <v>368</v>
      </c>
      <c r="B2223" s="43" t="s">
        <v>106</v>
      </c>
      <c r="C2223" s="43" t="s">
        <v>4470</v>
      </c>
      <c r="D2223" s="43" t="s">
        <v>1513</v>
      </c>
      <c r="E2223" s="43" t="s">
        <v>1422</v>
      </c>
      <c r="F2223" s="43">
        <v>1</v>
      </c>
      <c r="G2223"/>
      <c r="H2223"/>
    </row>
    <row r="2224" spans="1:8" hidden="1" x14ac:dyDescent="0.25">
      <c r="A2224" s="43">
        <v>368</v>
      </c>
      <c r="B2224" s="43" t="s">
        <v>106</v>
      </c>
      <c r="C2224" s="43" t="s">
        <v>4470</v>
      </c>
      <c r="D2224" s="43" t="s">
        <v>1514</v>
      </c>
      <c r="E2224" s="43" t="s">
        <v>614</v>
      </c>
      <c r="F2224" s="43">
        <v>1</v>
      </c>
      <c r="G2224"/>
      <c r="H2224"/>
    </row>
    <row r="2225" spans="1:8" hidden="1" x14ac:dyDescent="0.25">
      <c r="A2225" s="43">
        <v>368</v>
      </c>
      <c r="B2225" s="43" t="s">
        <v>106</v>
      </c>
      <c r="C2225" s="43" t="s">
        <v>4470</v>
      </c>
      <c r="D2225" s="43" t="s">
        <v>1515</v>
      </c>
      <c r="E2225" s="43" t="s">
        <v>615</v>
      </c>
      <c r="F2225" s="43">
        <v>0</v>
      </c>
      <c r="G2225" s="43" t="s">
        <v>4583</v>
      </c>
      <c r="H2225"/>
    </row>
    <row r="2226" spans="1:8" hidden="1" x14ac:dyDescent="0.25">
      <c r="A2226" s="43">
        <v>368</v>
      </c>
      <c r="B2226" s="43" t="s">
        <v>106</v>
      </c>
      <c r="C2226" s="43" t="s">
        <v>4470</v>
      </c>
      <c r="D2226" s="43" t="s">
        <v>1516</v>
      </c>
      <c r="E2226" s="43" t="s">
        <v>1517</v>
      </c>
      <c r="F2226" s="43">
        <v>1</v>
      </c>
      <c r="G2226"/>
      <c r="H2226"/>
    </row>
    <row r="2227" spans="1:8" hidden="1" x14ac:dyDescent="0.25">
      <c r="A2227" s="43">
        <v>368</v>
      </c>
      <c r="B2227" s="43" t="s">
        <v>106</v>
      </c>
      <c r="C2227" s="43" t="s">
        <v>4470</v>
      </c>
      <c r="D2227" s="43" t="s">
        <v>1518</v>
      </c>
      <c r="E2227" s="43" t="s">
        <v>1519</v>
      </c>
      <c r="F2227" s="43">
        <v>1</v>
      </c>
      <c r="G2227"/>
      <c r="H2227"/>
    </row>
    <row r="2228" spans="1:8" hidden="1" x14ac:dyDescent="0.25">
      <c r="A2228" s="43">
        <v>368</v>
      </c>
      <c r="B2228" s="43" t="s">
        <v>106</v>
      </c>
      <c r="C2228" s="43" t="s">
        <v>4470</v>
      </c>
      <c r="D2228" s="43" t="s">
        <v>1520</v>
      </c>
      <c r="E2228" s="43" t="s">
        <v>1521</v>
      </c>
      <c r="F2228" s="43">
        <v>1</v>
      </c>
      <c r="G2228"/>
      <c r="H2228"/>
    </row>
    <row r="2229" spans="1:8" hidden="1" x14ac:dyDescent="0.25">
      <c r="A2229" s="43">
        <v>368</v>
      </c>
      <c r="B2229" s="43" t="s">
        <v>106</v>
      </c>
      <c r="C2229" s="43" t="s">
        <v>4470</v>
      </c>
      <c r="D2229" s="43" t="s">
        <v>1522</v>
      </c>
      <c r="E2229" s="43" t="s">
        <v>1523</v>
      </c>
      <c r="F2229" s="43">
        <v>0</v>
      </c>
      <c r="G2229" s="43" t="s">
        <v>4583</v>
      </c>
      <c r="H2229"/>
    </row>
    <row r="2230" spans="1:8" hidden="1" x14ac:dyDescent="0.25">
      <c r="A2230" s="43">
        <v>368</v>
      </c>
      <c r="B2230" s="43" t="s">
        <v>106</v>
      </c>
      <c r="C2230" s="43" t="s">
        <v>4470</v>
      </c>
      <c r="D2230" s="43" t="s">
        <v>1524</v>
      </c>
      <c r="E2230" s="43" t="s">
        <v>1525</v>
      </c>
      <c r="F2230" s="43">
        <v>1</v>
      </c>
      <c r="G2230"/>
      <c r="H2230"/>
    </row>
    <row r="2231" spans="1:8" hidden="1" x14ac:dyDescent="0.25">
      <c r="A2231" s="43">
        <v>368</v>
      </c>
      <c r="B2231" s="43" t="s">
        <v>106</v>
      </c>
      <c r="C2231" s="43" t="s">
        <v>4470</v>
      </c>
      <c r="D2231" s="43" t="s">
        <v>1526</v>
      </c>
      <c r="E2231" s="43" t="s">
        <v>1527</v>
      </c>
      <c r="F2231" s="43">
        <v>1</v>
      </c>
      <c r="G2231"/>
      <c r="H2231"/>
    </row>
    <row r="2232" spans="1:8" hidden="1" x14ac:dyDescent="0.25">
      <c r="A2232" s="43">
        <v>368</v>
      </c>
      <c r="B2232" s="43" t="s">
        <v>106</v>
      </c>
      <c r="C2232" s="43" t="s">
        <v>4470</v>
      </c>
      <c r="D2232" s="43" t="s">
        <v>1528</v>
      </c>
      <c r="E2232" s="43" t="s">
        <v>4471</v>
      </c>
      <c r="F2232" s="43">
        <v>0</v>
      </c>
      <c r="G2232" s="43" t="s">
        <v>4583</v>
      </c>
      <c r="H2232"/>
    </row>
    <row r="2233" spans="1:8" hidden="1" x14ac:dyDescent="0.25">
      <c r="A2233" s="43">
        <v>368</v>
      </c>
      <c r="B2233" s="43" t="s">
        <v>106</v>
      </c>
      <c r="C2233" s="43" t="s">
        <v>4470</v>
      </c>
      <c r="D2233" s="43" t="s">
        <v>1530</v>
      </c>
      <c r="E2233" s="43" t="s">
        <v>1430</v>
      </c>
      <c r="F2233" s="43">
        <v>1</v>
      </c>
      <c r="G2233"/>
      <c r="H2233"/>
    </row>
    <row r="2234" spans="1:8" hidden="1" x14ac:dyDescent="0.25">
      <c r="A2234" s="43">
        <v>368</v>
      </c>
      <c r="B2234" s="43" t="s">
        <v>106</v>
      </c>
      <c r="C2234" s="43" t="s">
        <v>4470</v>
      </c>
      <c r="D2234" s="43" t="s">
        <v>1531</v>
      </c>
      <c r="E2234" s="43" t="s">
        <v>503</v>
      </c>
      <c r="F2234" s="43">
        <v>1</v>
      </c>
      <c r="G2234"/>
      <c r="H2234"/>
    </row>
    <row r="2235" spans="1:8" hidden="1" x14ac:dyDescent="0.25">
      <c r="A2235" s="43">
        <v>368</v>
      </c>
      <c r="B2235" s="43" t="s">
        <v>106</v>
      </c>
      <c r="C2235" s="43" t="s">
        <v>4470</v>
      </c>
      <c r="D2235" s="43" t="s">
        <v>1532</v>
      </c>
      <c r="E2235" s="43" t="s">
        <v>1533</v>
      </c>
      <c r="F2235" s="43">
        <v>1</v>
      </c>
      <c r="G2235"/>
      <c r="H2235"/>
    </row>
    <row r="2236" spans="1:8" hidden="1" x14ac:dyDescent="0.25">
      <c r="A2236" s="43">
        <v>368</v>
      </c>
      <c r="B2236" s="43" t="s">
        <v>106</v>
      </c>
      <c r="C2236" s="43" t="s">
        <v>4470</v>
      </c>
      <c r="D2236" s="43" t="s">
        <v>1534</v>
      </c>
      <c r="E2236" s="43" t="s">
        <v>1535</v>
      </c>
      <c r="F2236" s="43">
        <v>1</v>
      </c>
      <c r="G2236"/>
      <c r="H2236"/>
    </row>
    <row r="2237" spans="1:8" hidden="1" x14ac:dyDescent="0.25">
      <c r="A2237" s="43">
        <v>370</v>
      </c>
      <c r="B2237" s="43" t="s">
        <v>106</v>
      </c>
      <c r="C2237" s="43" t="s">
        <v>4470</v>
      </c>
      <c r="D2237" s="43" t="s">
        <v>1493</v>
      </c>
      <c r="E2237" s="43" t="s">
        <v>1494</v>
      </c>
      <c r="F2237" s="43">
        <v>1</v>
      </c>
      <c r="G2237"/>
      <c r="H2237"/>
    </row>
    <row r="2238" spans="1:8" hidden="1" x14ac:dyDescent="0.25">
      <c r="A2238" s="43">
        <v>370</v>
      </c>
      <c r="B2238" s="43" t="s">
        <v>106</v>
      </c>
      <c r="C2238" s="43" t="s">
        <v>4470</v>
      </c>
      <c r="D2238" s="43" t="s">
        <v>1495</v>
      </c>
      <c r="E2238" s="43" t="s">
        <v>1496</v>
      </c>
      <c r="F2238" s="43">
        <v>1</v>
      </c>
      <c r="G2238"/>
      <c r="H2238"/>
    </row>
    <row r="2239" spans="1:8" hidden="1" x14ac:dyDescent="0.25">
      <c r="A2239" s="43">
        <v>370</v>
      </c>
      <c r="B2239" s="43" t="s">
        <v>106</v>
      </c>
      <c r="C2239" s="43" t="s">
        <v>4470</v>
      </c>
      <c r="D2239" s="43" t="s">
        <v>1497</v>
      </c>
      <c r="E2239" s="43" t="s">
        <v>306</v>
      </c>
      <c r="F2239" s="43">
        <v>1</v>
      </c>
      <c r="G2239"/>
      <c r="H2239"/>
    </row>
    <row r="2240" spans="1:8" hidden="1" x14ac:dyDescent="0.25">
      <c r="A2240" s="43">
        <v>370</v>
      </c>
      <c r="B2240" s="43" t="s">
        <v>106</v>
      </c>
      <c r="C2240" s="43" t="s">
        <v>4470</v>
      </c>
      <c r="D2240" s="43" t="s">
        <v>1498</v>
      </c>
      <c r="E2240" s="43" t="s">
        <v>1499</v>
      </c>
      <c r="F2240" s="43">
        <v>1</v>
      </c>
      <c r="G2240"/>
      <c r="H2240"/>
    </row>
    <row r="2241" spans="1:8" hidden="1" x14ac:dyDescent="0.25">
      <c r="A2241" s="43">
        <v>370</v>
      </c>
      <c r="B2241" s="43" t="s">
        <v>106</v>
      </c>
      <c r="C2241" s="43" t="s">
        <v>4470</v>
      </c>
      <c r="D2241" s="43" t="s">
        <v>1500</v>
      </c>
      <c r="E2241" s="43" t="s">
        <v>1397</v>
      </c>
      <c r="F2241" s="43">
        <v>1</v>
      </c>
      <c r="G2241"/>
      <c r="H2241"/>
    </row>
    <row r="2242" spans="1:8" hidden="1" x14ac:dyDescent="0.25">
      <c r="A2242" s="43">
        <v>370</v>
      </c>
      <c r="B2242" s="43" t="s">
        <v>106</v>
      </c>
      <c r="C2242" s="43" t="s">
        <v>4470</v>
      </c>
      <c r="D2242" s="43" t="s">
        <v>1501</v>
      </c>
      <c r="E2242" s="43" t="s">
        <v>1502</v>
      </c>
      <c r="F2242" s="43">
        <v>1</v>
      </c>
      <c r="G2242"/>
      <c r="H2242"/>
    </row>
    <row r="2243" spans="1:8" hidden="1" x14ac:dyDescent="0.25">
      <c r="A2243" s="43">
        <v>370</v>
      </c>
      <c r="B2243" s="43" t="s">
        <v>106</v>
      </c>
      <c r="C2243" s="43" t="s">
        <v>4470</v>
      </c>
      <c r="D2243" s="43" t="s">
        <v>1503</v>
      </c>
      <c r="E2243" s="43" t="s">
        <v>1504</v>
      </c>
      <c r="F2243" s="43">
        <v>0</v>
      </c>
      <c r="G2243" s="43" t="s">
        <v>4583</v>
      </c>
      <c r="H2243"/>
    </row>
    <row r="2244" spans="1:8" hidden="1" x14ac:dyDescent="0.25">
      <c r="A2244" s="43">
        <v>370</v>
      </c>
      <c r="B2244" s="43" t="s">
        <v>106</v>
      </c>
      <c r="C2244" s="43" t="s">
        <v>4470</v>
      </c>
      <c r="D2244" s="43" t="s">
        <v>1505</v>
      </c>
      <c r="E2244" s="43" t="s">
        <v>1506</v>
      </c>
      <c r="F2244" s="43">
        <v>0</v>
      </c>
      <c r="G2244" s="43" t="s">
        <v>4583</v>
      </c>
      <c r="H2244"/>
    </row>
    <row r="2245" spans="1:8" hidden="1" x14ac:dyDescent="0.25">
      <c r="A2245" s="43">
        <v>370</v>
      </c>
      <c r="B2245" s="43" t="s">
        <v>106</v>
      </c>
      <c r="C2245" s="43" t="s">
        <v>4470</v>
      </c>
      <c r="D2245" s="43" t="s">
        <v>1507</v>
      </c>
      <c r="E2245" s="43" t="s">
        <v>611</v>
      </c>
      <c r="F2245" s="43">
        <v>1</v>
      </c>
      <c r="G2245"/>
      <c r="H2245"/>
    </row>
    <row r="2246" spans="1:8" hidden="1" x14ac:dyDescent="0.25">
      <c r="A2246" s="43">
        <v>370</v>
      </c>
      <c r="B2246" s="43" t="s">
        <v>106</v>
      </c>
      <c r="C2246" s="43" t="s">
        <v>4470</v>
      </c>
      <c r="D2246" s="43" t="s">
        <v>1508</v>
      </c>
      <c r="E2246" s="43" t="s">
        <v>1509</v>
      </c>
      <c r="F2246" s="43">
        <v>1</v>
      </c>
      <c r="G2246"/>
      <c r="H2246"/>
    </row>
    <row r="2247" spans="1:8" hidden="1" x14ac:dyDescent="0.25">
      <c r="A2247" s="43">
        <v>370</v>
      </c>
      <c r="B2247" s="43" t="s">
        <v>106</v>
      </c>
      <c r="C2247" s="43" t="s">
        <v>4470</v>
      </c>
      <c r="D2247" s="43" t="s">
        <v>1510</v>
      </c>
      <c r="E2247" s="43" t="s">
        <v>613</v>
      </c>
      <c r="F2247" s="43">
        <v>1</v>
      </c>
      <c r="G2247"/>
      <c r="H2247"/>
    </row>
    <row r="2248" spans="1:8" hidden="1" x14ac:dyDescent="0.25">
      <c r="A2248" s="43">
        <v>370</v>
      </c>
      <c r="B2248" s="43" t="s">
        <v>106</v>
      </c>
      <c r="C2248" s="43" t="s">
        <v>4470</v>
      </c>
      <c r="D2248" s="43" t="s">
        <v>1511</v>
      </c>
      <c r="E2248" s="43" t="s">
        <v>1419</v>
      </c>
      <c r="F2248" s="43">
        <v>0</v>
      </c>
      <c r="G2248" s="43" t="s">
        <v>4583</v>
      </c>
      <c r="H2248"/>
    </row>
    <row r="2249" spans="1:8" hidden="1" x14ac:dyDescent="0.25">
      <c r="A2249" s="43">
        <v>370</v>
      </c>
      <c r="B2249" s="43" t="s">
        <v>106</v>
      </c>
      <c r="C2249" s="43" t="s">
        <v>4470</v>
      </c>
      <c r="D2249" s="43" t="s">
        <v>1512</v>
      </c>
      <c r="E2249" s="43" t="s">
        <v>621</v>
      </c>
      <c r="F2249" s="43">
        <v>0</v>
      </c>
      <c r="G2249" s="43" t="s">
        <v>4583</v>
      </c>
      <c r="H2249"/>
    </row>
    <row r="2250" spans="1:8" hidden="1" x14ac:dyDescent="0.25">
      <c r="A2250" s="43">
        <v>370</v>
      </c>
      <c r="B2250" s="43" t="s">
        <v>106</v>
      </c>
      <c r="C2250" s="43" t="s">
        <v>4470</v>
      </c>
      <c r="D2250" s="43" t="s">
        <v>1513</v>
      </c>
      <c r="E2250" s="43" t="s">
        <v>1422</v>
      </c>
      <c r="F2250" s="43">
        <v>1</v>
      </c>
      <c r="G2250"/>
      <c r="H2250"/>
    </row>
    <row r="2251" spans="1:8" hidden="1" x14ac:dyDescent="0.25">
      <c r="A2251" s="43">
        <v>370</v>
      </c>
      <c r="B2251" s="43" t="s">
        <v>106</v>
      </c>
      <c r="C2251" s="43" t="s">
        <v>4470</v>
      </c>
      <c r="D2251" s="43" t="s">
        <v>1514</v>
      </c>
      <c r="E2251" s="43" t="s">
        <v>614</v>
      </c>
      <c r="F2251" s="43">
        <v>1</v>
      </c>
      <c r="G2251"/>
      <c r="H2251"/>
    </row>
    <row r="2252" spans="1:8" hidden="1" x14ac:dyDescent="0.25">
      <c r="A2252" s="43">
        <v>370</v>
      </c>
      <c r="B2252" s="43" t="s">
        <v>106</v>
      </c>
      <c r="C2252" s="43" t="s">
        <v>4470</v>
      </c>
      <c r="D2252" s="43" t="s">
        <v>1515</v>
      </c>
      <c r="E2252" s="43" t="s">
        <v>615</v>
      </c>
      <c r="F2252" s="43">
        <v>0</v>
      </c>
      <c r="G2252" s="43" t="s">
        <v>4583</v>
      </c>
      <c r="H2252"/>
    </row>
    <row r="2253" spans="1:8" hidden="1" x14ac:dyDescent="0.25">
      <c r="A2253" s="43">
        <v>370</v>
      </c>
      <c r="B2253" s="43" t="s">
        <v>106</v>
      </c>
      <c r="C2253" s="43" t="s">
        <v>4470</v>
      </c>
      <c r="D2253" s="43" t="s">
        <v>1516</v>
      </c>
      <c r="E2253" s="43" t="s">
        <v>1517</v>
      </c>
      <c r="F2253" s="43">
        <v>1</v>
      </c>
      <c r="G2253"/>
      <c r="H2253"/>
    </row>
    <row r="2254" spans="1:8" hidden="1" x14ac:dyDescent="0.25">
      <c r="A2254" s="43">
        <v>370</v>
      </c>
      <c r="B2254" s="43" t="s">
        <v>106</v>
      </c>
      <c r="C2254" s="43" t="s">
        <v>4470</v>
      </c>
      <c r="D2254" s="43" t="s">
        <v>1518</v>
      </c>
      <c r="E2254" s="43" t="s">
        <v>1519</v>
      </c>
      <c r="F2254" s="43">
        <v>1</v>
      </c>
      <c r="G2254"/>
      <c r="H2254"/>
    </row>
    <row r="2255" spans="1:8" hidden="1" x14ac:dyDescent="0.25">
      <c r="A2255" s="43">
        <v>370</v>
      </c>
      <c r="B2255" s="43" t="s">
        <v>106</v>
      </c>
      <c r="C2255" s="43" t="s">
        <v>4470</v>
      </c>
      <c r="D2255" s="43" t="s">
        <v>1520</v>
      </c>
      <c r="E2255" s="43" t="s">
        <v>1521</v>
      </c>
      <c r="F2255" s="43">
        <v>1</v>
      </c>
      <c r="G2255"/>
      <c r="H2255"/>
    </row>
    <row r="2256" spans="1:8" hidden="1" x14ac:dyDescent="0.25">
      <c r="A2256" s="43">
        <v>370</v>
      </c>
      <c r="B2256" s="43" t="s">
        <v>106</v>
      </c>
      <c r="C2256" s="43" t="s">
        <v>4470</v>
      </c>
      <c r="D2256" s="43" t="s">
        <v>1522</v>
      </c>
      <c r="E2256" s="43" t="s">
        <v>1523</v>
      </c>
      <c r="F2256" s="43">
        <v>0</v>
      </c>
      <c r="G2256" s="43" t="s">
        <v>4583</v>
      </c>
      <c r="H2256"/>
    </row>
    <row r="2257" spans="1:8" hidden="1" x14ac:dyDescent="0.25">
      <c r="A2257" s="43">
        <v>370</v>
      </c>
      <c r="B2257" s="43" t="s">
        <v>106</v>
      </c>
      <c r="C2257" s="43" t="s">
        <v>4470</v>
      </c>
      <c r="D2257" s="43" t="s">
        <v>1524</v>
      </c>
      <c r="E2257" s="43" t="s">
        <v>1525</v>
      </c>
      <c r="F2257" s="43">
        <v>0</v>
      </c>
      <c r="G2257" s="43" t="s">
        <v>4583</v>
      </c>
      <c r="H2257"/>
    </row>
    <row r="2258" spans="1:8" hidden="1" x14ac:dyDescent="0.25">
      <c r="A2258" s="43">
        <v>370</v>
      </c>
      <c r="B2258" s="43" t="s">
        <v>106</v>
      </c>
      <c r="C2258" s="43" t="s">
        <v>4470</v>
      </c>
      <c r="D2258" s="43" t="s">
        <v>1526</v>
      </c>
      <c r="E2258" s="43" t="s">
        <v>1527</v>
      </c>
      <c r="F2258" s="43">
        <v>0</v>
      </c>
      <c r="G2258" s="43" t="s">
        <v>4583</v>
      </c>
      <c r="H2258"/>
    </row>
    <row r="2259" spans="1:8" hidden="1" x14ac:dyDescent="0.25">
      <c r="A2259" s="43">
        <v>370</v>
      </c>
      <c r="B2259" s="43" t="s">
        <v>106</v>
      </c>
      <c r="C2259" s="43" t="s">
        <v>4470</v>
      </c>
      <c r="D2259" s="43" t="s">
        <v>1528</v>
      </c>
      <c r="E2259" s="43" t="s">
        <v>4471</v>
      </c>
      <c r="F2259" s="43">
        <v>0</v>
      </c>
      <c r="G2259" s="43" t="s">
        <v>4583</v>
      </c>
      <c r="H2259"/>
    </row>
    <row r="2260" spans="1:8" hidden="1" x14ac:dyDescent="0.25">
      <c r="A2260" s="43">
        <v>370</v>
      </c>
      <c r="B2260" s="43" t="s">
        <v>106</v>
      </c>
      <c r="C2260" s="43" t="s">
        <v>4470</v>
      </c>
      <c r="D2260" s="43" t="s">
        <v>1530</v>
      </c>
      <c r="E2260" s="43" t="s">
        <v>1430</v>
      </c>
      <c r="F2260" s="43">
        <v>1</v>
      </c>
      <c r="G2260"/>
      <c r="H2260"/>
    </row>
    <row r="2261" spans="1:8" hidden="1" x14ac:dyDescent="0.25">
      <c r="A2261" s="43">
        <v>370</v>
      </c>
      <c r="B2261" s="43" t="s">
        <v>106</v>
      </c>
      <c r="C2261" s="43" t="s">
        <v>4470</v>
      </c>
      <c r="D2261" s="43" t="s">
        <v>1531</v>
      </c>
      <c r="E2261" s="43" t="s">
        <v>503</v>
      </c>
      <c r="F2261" s="43">
        <v>1</v>
      </c>
      <c r="G2261"/>
      <c r="H2261"/>
    </row>
    <row r="2262" spans="1:8" hidden="1" x14ac:dyDescent="0.25">
      <c r="A2262" s="43">
        <v>370</v>
      </c>
      <c r="B2262" s="43" t="s">
        <v>106</v>
      </c>
      <c r="C2262" s="43" t="s">
        <v>4470</v>
      </c>
      <c r="D2262" s="43" t="s">
        <v>1532</v>
      </c>
      <c r="E2262" s="43" t="s">
        <v>1533</v>
      </c>
      <c r="F2262" s="43">
        <v>1</v>
      </c>
      <c r="G2262"/>
      <c r="H2262"/>
    </row>
    <row r="2263" spans="1:8" hidden="1" x14ac:dyDescent="0.25">
      <c r="A2263" s="43">
        <v>370</v>
      </c>
      <c r="B2263" s="43" t="s">
        <v>106</v>
      </c>
      <c r="C2263" s="43" t="s">
        <v>4470</v>
      </c>
      <c r="D2263" s="43" t="s">
        <v>1534</v>
      </c>
      <c r="E2263" s="43" t="s">
        <v>1535</v>
      </c>
      <c r="F2263" s="43">
        <v>1</v>
      </c>
      <c r="G2263"/>
      <c r="H2263"/>
    </row>
    <row r="2264" spans="1:8" hidden="1" x14ac:dyDescent="0.25">
      <c r="A2264" s="43">
        <v>372</v>
      </c>
      <c r="B2264" s="43" t="s">
        <v>107</v>
      </c>
      <c r="C2264" s="43" t="s">
        <v>1790</v>
      </c>
      <c r="D2264" s="43" t="s">
        <v>1791</v>
      </c>
      <c r="E2264" s="43" t="s">
        <v>273</v>
      </c>
      <c r="F2264" s="43">
        <v>1</v>
      </c>
      <c r="G2264"/>
      <c r="H2264"/>
    </row>
    <row r="2265" spans="1:8" hidden="1" x14ac:dyDescent="0.25">
      <c r="A2265" s="43">
        <v>372</v>
      </c>
      <c r="B2265" s="43" t="s">
        <v>107</v>
      </c>
      <c r="C2265" s="43" t="s">
        <v>1790</v>
      </c>
      <c r="D2265" s="43" t="s">
        <v>1792</v>
      </c>
      <c r="E2265" s="43" t="s">
        <v>312</v>
      </c>
      <c r="F2265" s="43">
        <v>1</v>
      </c>
      <c r="G2265"/>
      <c r="H2265"/>
    </row>
    <row r="2266" spans="1:8" hidden="1" x14ac:dyDescent="0.25">
      <c r="A2266" s="43">
        <v>372</v>
      </c>
      <c r="B2266" s="43" t="s">
        <v>107</v>
      </c>
      <c r="C2266" s="43" t="s">
        <v>1790</v>
      </c>
      <c r="D2266" s="43" t="s">
        <v>1793</v>
      </c>
      <c r="E2266" s="43" t="s">
        <v>801</v>
      </c>
      <c r="F2266" s="43">
        <v>1</v>
      </c>
      <c r="G2266"/>
      <c r="H2266"/>
    </row>
    <row r="2267" spans="1:8" hidden="1" x14ac:dyDescent="0.25">
      <c r="A2267" s="43">
        <v>372</v>
      </c>
      <c r="B2267" s="43" t="s">
        <v>107</v>
      </c>
      <c r="C2267" s="43" t="s">
        <v>1790</v>
      </c>
      <c r="D2267" s="43" t="s">
        <v>1794</v>
      </c>
      <c r="E2267" s="43" t="s">
        <v>786</v>
      </c>
      <c r="F2267" s="43">
        <v>1</v>
      </c>
      <c r="G2267"/>
      <c r="H2267"/>
    </row>
    <row r="2268" spans="1:8" hidden="1" x14ac:dyDescent="0.25">
      <c r="A2268" s="43">
        <v>372</v>
      </c>
      <c r="B2268" s="43" t="s">
        <v>107</v>
      </c>
      <c r="C2268" s="43" t="s">
        <v>1790</v>
      </c>
      <c r="D2268" s="43" t="s">
        <v>1795</v>
      </c>
      <c r="E2268" s="43" t="s">
        <v>784</v>
      </c>
      <c r="F2268" s="43">
        <v>0</v>
      </c>
      <c r="G2268" s="43" t="s">
        <v>4583</v>
      </c>
      <c r="H2268"/>
    </row>
    <row r="2269" spans="1:8" hidden="1" x14ac:dyDescent="0.25">
      <c r="A2269" s="43">
        <v>372</v>
      </c>
      <c r="B2269" s="43" t="s">
        <v>107</v>
      </c>
      <c r="C2269" s="43" t="s">
        <v>1790</v>
      </c>
      <c r="D2269" s="43" t="s">
        <v>1796</v>
      </c>
      <c r="E2269" s="43" t="s">
        <v>1205</v>
      </c>
      <c r="F2269" s="43">
        <v>0</v>
      </c>
      <c r="G2269" s="43" t="s">
        <v>4583</v>
      </c>
      <c r="H2269"/>
    </row>
    <row r="2270" spans="1:8" hidden="1" x14ac:dyDescent="0.25">
      <c r="A2270" s="43">
        <v>372</v>
      </c>
      <c r="B2270" s="43" t="s">
        <v>107</v>
      </c>
      <c r="C2270" s="43" t="s">
        <v>1790</v>
      </c>
      <c r="D2270" s="43" t="s">
        <v>1797</v>
      </c>
      <c r="E2270" s="43" t="s">
        <v>1207</v>
      </c>
      <c r="F2270" s="43">
        <v>0</v>
      </c>
      <c r="G2270" s="43" t="s">
        <v>4583</v>
      </c>
      <c r="H2270"/>
    </row>
    <row r="2271" spans="1:8" hidden="1" x14ac:dyDescent="0.25">
      <c r="A2271" s="43">
        <v>372</v>
      </c>
      <c r="B2271" s="43" t="s">
        <v>107</v>
      </c>
      <c r="C2271" s="43" t="s">
        <v>1790</v>
      </c>
      <c r="D2271" s="43" t="s">
        <v>1798</v>
      </c>
      <c r="E2271" s="43" t="s">
        <v>1209</v>
      </c>
      <c r="F2271" s="43">
        <v>0</v>
      </c>
      <c r="G2271" s="43" t="s">
        <v>4583</v>
      </c>
      <c r="H2271"/>
    </row>
    <row r="2272" spans="1:8" hidden="1" x14ac:dyDescent="0.25">
      <c r="A2272" s="43">
        <v>372</v>
      </c>
      <c r="B2272" s="43" t="s">
        <v>107</v>
      </c>
      <c r="C2272" s="43" t="s">
        <v>1790</v>
      </c>
      <c r="D2272" s="43" t="s">
        <v>1799</v>
      </c>
      <c r="E2272" s="43" t="s">
        <v>789</v>
      </c>
      <c r="F2272" s="43">
        <v>1</v>
      </c>
      <c r="G2272"/>
      <c r="H2272"/>
    </row>
    <row r="2273" spans="1:8" hidden="1" x14ac:dyDescent="0.25">
      <c r="A2273" s="43">
        <v>372</v>
      </c>
      <c r="B2273" s="43" t="s">
        <v>107</v>
      </c>
      <c r="C2273" s="43" t="s">
        <v>1790</v>
      </c>
      <c r="D2273" s="43" t="s">
        <v>1800</v>
      </c>
      <c r="E2273" s="43" t="s">
        <v>1214</v>
      </c>
      <c r="F2273" s="43">
        <v>1</v>
      </c>
      <c r="G2273"/>
      <c r="H2273"/>
    </row>
    <row r="2274" spans="1:8" hidden="1" x14ac:dyDescent="0.25">
      <c r="A2274" s="43">
        <v>372</v>
      </c>
      <c r="B2274" s="43" t="s">
        <v>107</v>
      </c>
      <c r="C2274" s="43" t="s">
        <v>1790</v>
      </c>
      <c r="D2274" s="43" t="s">
        <v>1801</v>
      </c>
      <c r="E2274" s="43" t="s">
        <v>1784</v>
      </c>
      <c r="F2274" s="43">
        <v>0</v>
      </c>
      <c r="G2274" s="43" t="s">
        <v>4583</v>
      </c>
      <c r="H2274"/>
    </row>
    <row r="2275" spans="1:8" hidden="1" x14ac:dyDescent="0.25">
      <c r="A2275" s="43">
        <v>372</v>
      </c>
      <c r="B2275" s="43" t="s">
        <v>107</v>
      </c>
      <c r="C2275" s="43" t="s">
        <v>1790</v>
      </c>
      <c r="D2275" s="43" t="s">
        <v>1802</v>
      </c>
      <c r="E2275" s="43" t="s">
        <v>791</v>
      </c>
      <c r="F2275" s="43">
        <v>1</v>
      </c>
      <c r="G2275"/>
      <c r="H2275"/>
    </row>
    <row r="2276" spans="1:8" hidden="1" x14ac:dyDescent="0.25">
      <c r="A2276" s="43">
        <v>372</v>
      </c>
      <c r="B2276" s="43" t="s">
        <v>107</v>
      </c>
      <c r="C2276" s="43" t="s">
        <v>1790</v>
      </c>
      <c r="D2276" s="43" t="s">
        <v>1803</v>
      </c>
      <c r="E2276" s="43" t="s">
        <v>795</v>
      </c>
      <c r="F2276" s="43">
        <v>1</v>
      </c>
      <c r="G2276"/>
      <c r="H2276"/>
    </row>
    <row r="2277" spans="1:8" hidden="1" x14ac:dyDescent="0.25">
      <c r="A2277" s="43">
        <v>372</v>
      </c>
      <c r="B2277" s="43" t="s">
        <v>107</v>
      </c>
      <c r="C2277" s="43" t="s">
        <v>1790</v>
      </c>
      <c r="D2277" s="43" t="s">
        <v>1804</v>
      </c>
      <c r="E2277" s="43" t="s">
        <v>372</v>
      </c>
      <c r="F2277" s="43">
        <v>0</v>
      </c>
      <c r="G2277" s="43" t="s">
        <v>4583</v>
      </c>
      <c r="H2277"/>
    </row>
    <row r="2278" spans="1:8" hidden="1" x14ac:dyDescent="0.25">
      <c r="A2278" s="43">
        <v>372</v>
      </c>
      <c r="B2278" s="43" t="s">
        <v>107</v>
      </c>
      <c r="C2278" s="43" t="s">
        <v>1790</v>
      </c>
      <c r="D2278" s="43" t="s">
        <v>1805</v>
      </c>
      <c r="E2278" s="43" t="s">
        <v>1806</v>
      </c>
      <c r="F2278" s="43">
        <v>0</v>
      </c>
      <c r="G2278" s="43" t="s">
        <v>4583</v>
      </c>
      <c r="H2278"/>
    </row>
    <row r="2279" spans="1:8" hidden="1" x14ac:dyDescent="0.25">
      <c r="A2279" s="43">
        <v>372</v>
      </c>
      <c r="B2279" s="43" t="s">
        <v>107</v>
      </c>
      <c r="C2279" s="43" t="s">
        <v>1790</v>
      </c>
      <c r="D2279" s="43" t="s">
        <v>1807</v>
      </c>
      <c r="E2279" s="43" t="s">
        <v>1808</v>
      </c>
      <c r="F2279" s="43">
        <v>1</v>
      </c>
      <c r="G2279"/>
      <c r="H2279"/>
    </row>
    <row r="2280" spans="1:8" hidden="1" x14ac:dyDescent="0.25">
      <c r="A2280" s="43">
        <v>372</v>
      </c>
      <c r="B2280" s="43" t="s">
        <v>107</v>
      </c>
      <c r="C2280" s="43" t="s">
        <v>1015</v>
      </c>
      <c r="D2280" s="43" t="s">
        <v>1016</v>
      </c>
      <c r="E2280" s="43" t="s">
        <v>1017</v>
      </c>
      <c r="F2280" s="43">
        <v>1</v>
      </c>
      <c r="G2280"/>
      <c r="H2280"/>
    </row>
    <row r="2281" spans="1:8" hidden="1" x14ac:dyDescent="0.25">
      <c r="A2281" s="43">
        <v>372</v>
      </c>
      <c r="B2281" s="43" t="s">
        <v>107</v>
      </c>
      <c r="C2281" s="43" t="s">
        <v>1015</v>
      </c>
      <c r="D2281" s="43" t="s">
        <v>1018</v>
      </c>
      <c r="E2281" s="43" t="s">
        <v>795</v>
      </c>
      <c r="F2281" s="43">
        <v>1</v>
      </c>
      <c r="G2281"/>
      <c r="H2281"/>
    </row>
    <row r="2282" spans="1:8" hidden="1" x14ac:dyDescent="0.25">
      <c r="A2282" s="43">
        <v>372</v>
      </c>
      <c r="B2282" s="43" t="s">
        <v>107</v>
      </c>
      <c r="C2282" s="43" t="s">
        <v>1015</v>
      </c>
      <c r="D2282" s="43" t="s">
        <v>1019</v>
      </c>
      <c r="E2282" s="43" t="s">
        <v>866</v>
      </c>
      <c r="F2282" s="43">
        <v>1</v>
      </c>
      <c r="G2282"/>
      <c r="H2282"/>
    </row>
    <row r="2283" spans="1:8" hidden="1" x14ac:dyDescent="0.25">
      <c r="A2283" s="43">
        <v>372</v>
      </c>
      <c r="B2283" s="43" t="s">
        <v>107</v>
      </c>
      <c r="C2283" s="43" t="s">
        <v>1015</v>
      </c>
      <c r="D2283" s="43" t="s">
        <v>1020</v>
      </c>
      <c r="E2283" s="43" t="s">
        <v>1021</v>
      </c>
      <c r="F2283" s="43">
        <v>1</v>
      </c>
      <c r="G2283"/>
      <c r="H2283"/>
    </row>
    <row r="2284" spans="1:8" hidden="1" x14ac:dyDescent="0.25">
      <c r="A2284" s="43">
        <v>372</v>
      </c>
      <c r="B2284" s="43" t="s">
        <v>107</v>
      </c>
      <c r="C2284" s="43" t="s">
        <v>1015</v>
      </c>
      <c r="D2284" s="43" t="s">
        <v>1022</v>
      </c>
      <c r="E2284" s="43" t="s">
        <v>3092</v>
      </c>
      <c r="F2284" s="43">
        <v>1</v>
      </c>
      <c r="G2284"/>
      <c r="H2284"/>
    </row>
    <row r="2285" spans="1:8" hidden="1" x14ac:dyDescent="0.25">
      <c r="A2285" s="43">
        <v>372</v>
      </c>
      <c r="B2285" s="43" t="s">
        <v>107</v>
      </c>
      <c r="C2285" s="43" t="s">
        <v>1015</v>
      </c>
      <c r="D2285" s="43" t="s">
        <v>1024</v>
      </c>
      <c r="E2285" s="43" t="s">
        <v>889</v>
      </c>
      <c r="F2285" s="43">
        <v>1</v>
      </c>
      <c r="G2285"/>
      <c r="H2285"/>
    </row>
    <row r="2286" spans="1:8" hidden="1" x14ac:dyDescent="0.25">
      <c r="A2286" s="43">
        <v>372</v>
      </c>
      <c r="B2286" s="43" t="s">
        <v>107</v>
      </c>
      <c r="C2286" s="43" t="s">
        <v>1015</v>
      </c>
      <c r="D2286" s="43" t="s">
        <v>1025</v>
      </c>
      <c r="E2286" s="43" t="s">
        <v>1026</v>
      </c>
      <c r="F2286" s="43">
        <v>1</v>
      </c>
      <c r="G2286"/>
      <c r="H2286"/>
    </row>
    <row r="2287" spans="1:8" hidden="1" x14ac:dyDescent="0.25">
      <c r="A2287" s="43">
        <v>372</v>
      </c>
      <c r="B2287" s="43" t="s">
        <v>107</v>
      </c>
      <c r="C2287" s="43" t="s">
        <v>1015</v>
      </c>
      <c r="D2287" s="43" t="s">
        <v>1027</v>
      </c>
      <c r="E2287" s="43" t="s">
        <v>4483</v>
      </c>
      <c r="F2287" s="43">
        <v>1</v>
      </c>
      <c r="G2287"/>
      <c r="H2287"/>
    </row>
    <row r="2288" spans="1:8" hidden="1" x14ac:dyDescent="0.25">
      <c r="A2288" s="43">
        <v>372</v>
      </c>
      <c r="B2288" s="43" t="s">
        <v>107</v>
      </c>
      <c r="C2288" s="43" t="s">
        <v>1015</v>
      </c>
      <c r="D2288" s="43" t="s">
        <v>1029</v>
      </c>
      <c r="E2288" s="43" t="s">
        <v>295</v>
      </c>
      <c r="F2288" s="43">
        <v>1</v>
      </c>
      <c r="G2288"/>
      <c r="H2288"/>
    </row>
    <row r="2289" spans="1:8" hidden="1" x14ac:dyDescent="0.25">
      <c r="A2289" s="43">
        <v>379</v>
      </c>
      <c r="B2289" s="43" t="s">
        <v>108</v>
      </c>
      <c r="C2289" s="43" t="s">
        <v>1366</v>
      </c>
      <c r="D2289" s="43" t="s">
        <v>1367</v>
      </c>
      <c r="E2289" s="43" t="s">
        <v>1368</v>
      </c>
      <c r="F2289" s="89">
        <v>2</v>
      </c>
      <c r="G2289" s="43" t="s">
        <v>4651</v>
      </c>
      <c r="H2289"/>
    </row>
    <row r="2290" spans="1:8" hidden="1" x14ac:dyDescent="0.25">
      <c r="A2290" s="43">
        <v>379</v>
      </c>
      <c r="B2290" s="43" t="s">
        <v>108</v>
      </c>
      <c r="C2290" s="43" t="s">
        <v>1366</v>
      </c>
      <c r="D2290" s="43" t="s">
        <v>1369</v>
      </c>
      <c r="E2290" s="43" t="s">
        <v>1370</v>
      </c>
      <c r="F2290" s="89">
        <v>1</v>
      </c>
      <c r="G2290" s="44"/>
      <c r="H2290"/>
    </row>
    <row r="2291" spans="1:8" hidden="1" x14ac:dyDescent="0.25">
      <c r="A2291" s="43">
        <v>379</v>
      </c>
      <c r="B2291" s="43" t="s">
        <v>108</v>
      </c>
      <c r="C2291" s="43" t="s">
        <v>1366</v>
      </c>
      <c r="D2291" s="43" t="s">
        <v>1371</v>
      </c>
      <c r="E2291" s="43" t="s">
        <v>283</v>
      </c>
      <c r="F2291" s="43">
        <v>1</v>
      </c>
      <c r="G2291"/>
      <c r="H2291"/>
    </row>
    <row r="2292" spans="1:8" hidden="1" x14ac:dyDescent="0.25">
      <c r="A2292" s="43">
        <v>379</v>
      </c>
      <c r="B2292" s="43" t="s">
        <v>108</v>
      </c>
      <c r="C2292" s="43" t="s">
        <v>1366</v>
      </c>
      <c r="D2292" s="43" t="s">
        <v>1372</v>
      </c>
      <c r="E2292" s="43" t="s">
        <v>4468</v>
      </c>
      <c r="F2292" s="43">
        <v>1</v>
      </c>
      <c r="G2292"/>
      <c r="H2292"/>
    </row>
    <row r="2293" spans="1:8" hidden="1" x14ac:dyDescent="0.25">
      <c r="A2293" s="43">
        <v>379</v>
      </c>
      <c r="B2293" s="43" t="s">
        <v>108</v>
      </c>
      <c r="C2293" s="43" t="s">
        <v>1366</v>
      </c>
      <c r="D2293" s="43" t="s">
        <v>1374</v>
      </c>
      <c r="E2293" s="43" t="s">
        <v>1375</v>
      </c>
      <c r="F2293" s="43">
        <v>1</v>
      </c>
      <c r="G2293"/>
      <c r="H2293"/>
    </row>
    <row r="2294" spans="1:8" hidden="1" x14ac:dyDescent="0.25">
      <c r="A2294" s="43">
        <v>379</v>
      </c>
      <c r="B2294" s="43" t="s">
        <v>108</v>
      </c>
      <c r="C2294" s="43" t="s">
        <v>1366</v>
      </c>
      <c r="D2294" s="43" t="s">
        <v>1376</v>
      </c>
      <c r="E2294" s="43" t="s">
        <v>531</v>
      </c>
      <c r="F2294" s="43">
        <v>1</v>
      </c>
      <c r="G2294"/>
      <c r="H2294"/>
    </row>
    <row r="2295" spans="1:8" hidden="1" x14ac:dyDescent="0.25">
      <c r="A2295" s="43">
        <v>379</v>
      </c>
      <c r="B2295" s="43" t="s">
        <v>108</v>
      </c>
      <c r="C2295" s="43" t="s">
        <v>1366</v>
      </c>
      <c r="D2295" s="43" t="s">
        <v>1377</v>
      </c>
      <c r="E2295" s="43" t="s">
        <v>539</v>
      </c>
      <c r="F2295" s="43">
        <v>1</v>
      </c>
      <c r="G2295"/>
      <c r="H2295"/>
    </row>
    <row r="2296" spans="1:8" hidden="1" x14ac:dyDescent="0.25">
      <c r="A2296" s="43">
        <v>379</v>
      </c>
      <c r="B2296" s="43" t="s">
        <v>108</v>
      </c>
      <c r="C2296" s="43" t="s">
        <v>1366</v>
      </c>
      <c r="D2296" s="43" t="s">
        <v>1378</v>
      </c>
      <c r="E2296" s="43" t="s">
        <v>541</v>
      </c>
      <c r="F2296" s="43">
        <v>1</v>
      </c>
      <c r="G2296"/>
      <c r="H2296"/>
    </row>
    <row r="2297" spans="1:8" hidden="1" x14ac:dyDescent="0.25">
      <c r="A2297" s="43">
        <v>379</v>
      </c>
      <c r="B2297" s="43" t="s">
        <v>108</v>
      </c>
      <c r="C2297" s="43" t="s">
        <v>1366</v>
      </c>
      <c r="D2297" s="43" t="s">
        <v>1379</v>
      </c>
      <c r="E2297" s="43" t="s">
        <v>1380</v>
      </c>
      <c r="F2297" s="43">
        <v>1</v>
      </c>
      <c r="G2297"/>
      <c r="H2297"/>
    </row>
    <row r="2298" spans="1:8" hidden="1" x14ac:dyDescent="0.25">
      <c r="A2298" s="43">
        <v>379</v>
      </c>
      <c r="B2298" s="43" t="s">
        <v>108</v>
      </c>
      <c r="C2298" s="43" t="s">
        <v>1366</v>
      </c>
      <c r="D2298" s="43" t="s">
        <v>1381</v>
      </c>
      <c r="E2298" s="43" t="s">
        <v>1382</v>
      </c>
      <c r="F2298" s="43">
        <v>1</v>
      </c>
      <c r="G2298"/>
      <c r="H2298"/>
    </row>
    <row r="2299" spans="1:8" hidden="1" x14ac:dyDescent="0.25">
      <c r="A2299" s="43">
        <v>379</v>
      </c>
      <c r="B2299" s="43" t="s">
        <v>108</v>
      </c>
      <c r="C2299" s="43" t="s">
        <v>1366</v>
      </c>
      <c r="D2299" s="43" t="s">
        <v>1383</v>
      </c>
      <c r="E2299" s="43" t="s">
        <v>1384</v>
      </c>
      <c r="F2299" s="43">
        <v>0</v>
      </c>
      <c r="G2299" s="43" t="s">
        <v>4583</v>
      </c>
      <c r="H2299"/>
    </row>
    <row r="2300" spans="1:8" hidden="1" x14ac:dyDescent="0.25">
      <c r="A2300" s="43">
        <v>379</v>
      </c>
      <c r="B2300" s="43" t="s">
        <v>108</v>
      </c>
      <c r="C2300" s="43" t="s">
        <v>1366</v>
      </c>
      <c r="D2300" s="43" t="s">
        <v>1385</v>
      </c>
      <c r="E2300" s="43" t="s">
        <v>1386</v>
      </c>
      <c r="F2300" s="43">
        <v>1</v>
      </c>
      <c r="G2300"/>
      <c r="H2300"/>
    </row>
    <row r="2301" spans="1:8" hidden="1" x14ac:dyDescent="0.25">
      <c r="A2301" s="43">
        <v>379</v>
      </c>
      <c r="B2301" s="43" t="s">
        <v>108</v>
      </c>
      <c r="C2301" s="43" t="s">
        <v>1366</v>
      </c>
      <c r="D2301" s="43" t="s">
        <v>1387</v>
      </c>
      <c r="E2301" s="43" t="s">
        <v>295</v>
      </c>
      <c r="F2301" s="43">
        <v>1</v>
      </c>
      <c r="G2301"/>
      <c r="H2301"/>
    </row>
    <row r="2302" spans="1:8" hidden="1" x14ac:dyDescent="0.25">
      <c r="A2302" s="43">
        <v>379</v>
      </c>
      <c r="B2302" s="43" t="s">
        <v>108</v>
      </c>
      <c r="C2302" s="43" t="s">
        <v>1366</v>
      </c>
      <c r="D2302" s="43" t="s">
        <v>1388</v>
      </c>
      <c r="E2302" s="43" t="s">
        <v>875</v>
      </c>
      <c r="F2302" s="43">
        <v>1</v>
      </c>
      <c r="G2302"/>
      <c r="H2302"/>
    </row>
    <row r="2303" spans="1:8" hidden="1" x14ac:dyDescent="0.25">
      <c r="A2303" s="43">
        <v>379</v>
      </c>
      <c r="B2303" s="43" t="s">
        <v>108</v>
      </c>
      <c r="C2303" s="43" t="s">
        <v>1366</v>
      </c>
      <c r="D2303" s="43" t="s">
        <v>1389</v>
      </c>
      <c r="E2303" s="43" t="s">
        <v>551</v>
      </c>
      <c r="F2303" s="43">
        <v>1</v>
      </c>
      <c r="G2303"/>
      <c r="H2303"/>
    </row>
    <row r="2304" spans="1:8" hidden="1" x14ac:dyDescent="0.25">
      <c r="A2304" s="43">
        <v>381</v>
      </c>
      <c r="B2304" s="43" t="s">
        <v>109</v>
      </c>
      <c r="C2304" s="43" t="s">
        <v>1457</v>
      </c>
      <c r="D2304" s="43" t="s">
        <v>1458</v>
      </c>
      <c r="E2304" s="43" t="s">
        <v>273</v>
      </c>
      <c r="F2304" s="43">
        <v>1</v>
      </c>
      <c r="G2304"/>
      <c r="H2304"/>
    </row>
    <row r="2305" spans="1:8" hidden="1" x14ac:dyDescent="0.25">
      <c r="A2305" s="43">
        <v>381</v>
      </c>
      <c r="B2305" s="43" t="s">
        <v>109</v>
      </c>
      <c r="C2305" s="43" t="s">
        <v>1457</v>
      </c>
      <c r="D2305" s="43" t="s">
        <v>1459</v>
      </c>
      <c r="E2305" s="43" t="s">
        <v>640</v>
      </c>
      <c r="F2305" s="43">
        <v>1</v>
      </c>
      <c r="G2305"/>
      <c r="H2305"/>
    </row>
    <row r="2306" spans="1:8" hidden="1" x14ac:dyDescent="0.25">
      <c r="A2306" s="43">
        <v>381</v>
      </c>
      <c r="B2306" s="43" t="s">
        <v>109</v>
      </c>
      <c r="C2306" s="43" t="s">
        <v>1457</v>
      </c>
      <c r="D2306" s="43" t="s">
        <v>1460</v>
      </c>
      <c r="E2306" s="43" t="s">
        <v>929</v>
      </c>
      <c r="F2306" s="43">
        <v>1</v>
      </c>
      <c r="G2306"/>
      <c r="H2306"/>
    </row>
    <row r="2307" spans="1:8" hidden="1" x14ac:dyDescent="0.25">
      <c r="A2307" s="43">
        <v>381</v>
      </c>
      <c r="B2307" s="43" t="s">
        <v>109</v>
      </c>
      <c r="C2307" s="43" t="s">
        <v>1457</v>
      </c>
      <c r="D2307" s="43" t="s">
        <v>1461</v>
      </c>
      <c r="E2307" s="43" t="s">
        <v>1462</v>
      </c>
      <c r="F2307" s="43">
        <v>0</v>
      </c>
      <c r="G2307" s="43" t="s">
        <v>4583</v>
      </c>
      <c r="H2307"/>
    </row>
    <row r="2308" spans="1:8" hidden="1" x14ac:dyDescent="0.25">
      <c r="A2308" s="43">
        <v>381</v>
      </c>
      <c r="B2308" s="43" t="s">
        <v>109</v>
      </c>
      <c r="C2308" s="43" t="s">
        <v>1457</v>
      </c>
      <c r="D2308" s="43" t="s">
        <v>1463</v>
      </c>
      <c r="E2308" s="43" t="s">
        <v>1464</v>
      </c>
      <c r="F2308" s="43">
        <v>0</v>
      </c>
      <c r="G2308" s="43" t="s">
        <v>4583</v>
      </c>
      <c r="H2308"/>
    </row>
    <row r="2309" spans="1:8" hidden="1" x14ac:dyDescent="0.25">
      <c r="A2309" s="43">
        <v>381</v>
      </c>
      <c r="B2309" s="43" t="s">
        <v>109</v>
      </c>
      <c r="C2309" s="43" t="s">
        <v>1457</v>
      </c>
      <c r="D2309" s="43" t="s">
        <v>1465</v>
      </c>
      <c r="E2309" s="43" t="s">
        <v>347</v>
      </c>
      <c r="F2309" s="43">
        <v>0</v>
      </c>
      <c r="G2309" s="43" t="s">
        <v>4583</v>
      </c>
      <c r="H2309"/>
    </row>
    <row r="2310" spans="1:8" hidden="1" x14ac:dyDescent="0.25">
      <c r="A2310" s="43">
        <v>381</v>
      </c>
      <c r="B2310" s="43" t="s">
        <v>109</v>
      </c>
      <c r="C2310" s="43" t="s">
        <v>1457</v>
      </c>
      <c r="D2310" s="43" t="s">
        <v>1466</v>
      </c>
      <c r="E2310" s="43" t="s">
        <v>1467</v>
      </c>
      <c r="F2310" s="43">
        <v>1</v>
      </c>
      <c r="G2310"/>
      <c r="H2310"/>
    </row>
    <row r="2311" spans="1:8" hidden="1" x14ac:dyDescent="0.25">
      <c r="A2311" s="43">
        <v>381</v>
      </c>
      <c r="B2311" s="43" t="s">
        <v>109</v>
      </c>
      <c r="C2311" s="43" t="s">
        <v>1457</v>
      </c>
      <c r="D2311" s="43" t="s">
        <v>1468</v>
      </c>
      <c r="E2311" s="43" t="s">
        <v>1469</v>
      </c>
      <c r="F2311" s="43">
        <v>0</v>
      </c>
      <c r="G2311" s="43" t="s">
        <v>4583</v>
      </c>
      <c r="H2311"/>
    </row>
    <row r="2312" spans="1:8" hidden="1" x14ac:dyDescent="0.25">
      <c r="A2312" s="43">
        <v>381</v>
      </c>
      <c r="B2312" s="43" t="s">
        <v>109</v>
      </c>
      <c r="C2312" s="43" t="s">
        <v>1457</v>
      </c>
      <c r="D2312" s="43" t="s">
        <v>1470</v>
      </c>
      <c r="E2312" s="43" t="s">
        <v>1471</v>
      </c>
      <c r="F2312" s="43">
        <v>1</v>
      </c>
      <c r="G2312"/>
      <c r="H2312"/>
    </row>
    <row r="2313" spans="1:8" hidden="1" x14ac:dyDescent="0.25">
      <c r="A2313" s="43">
        <v>381</v>
      </c>
      <c r="B2313" s="43" t="s">
        <v>109</v>
      </c>
      <c r="C2313" s="43" t="s">
        <v>1457</v>
      </c>
      <c r="D2313" s="43" t="s">
        <v>1472</v>
      </c>
      <c r="E2313" s="43" t="s">
        <v>391</v>
      </c>
      <c r="F2313" s="43">
        <v>1</v>
      </c>
      <c r="G2313"/>
      <c r="H2313"/>
    </row>
    <row r="2314" spans="1:8" hidden="1" x14ac:dyDescent="0.25">
      <c r="A2314" s="43">
        <v>381</v>
      </c>
      <c r="B2314" s="43" t="s">
        <v>109</v>
      </c>
      <c r="C2314" s="43" t="s">
        <v>1457</v>
      </c>
      <c r="D2314" s="43" t="s">
        <v>1473</v>
      </c>
      <c r="E2314" s="43" t="s">
        <v>956</v>
      </c>
      <c r="F2314" s="43">
        <v>1</v>
      </c>
      <c r="G2314"/>
      <c r="H2314"/>
    </row>
    <row r="2315" spans="1:8" hidden="1" x14ac:dyDescent="0.25">
      <c r="A2315" s="43">
        <v>389</v>
      </c>
      <c r="B2315" s="43" t="s">
        <v>110</v>
      </c>
      <c r="C2315" s="43" t="s">
        <v>271</v>
      </c>
      <c r="D2315" s="43" t="s">
        <v>272</v>
      </c>
      <c r="E2315" s="43" t="s">
        <v>273</v>
      </c>
      <c r="F2315" s="43">
        <v>1</v>
      </c>
      <c r="G2315"/>
      <c r="H2315"/>
    </row>
    <row r="2316" spans="1:8" hidden="1" x14ac:dyDescent="0.25">
      <c r="A2316" s="43">
        <v>389</v>
      </c>
      <c r="B2316" s="43" t="s">
        <v>110</v>
      </c>
      <c r="C2316" s="43" t="s">
        <v>271</v>
      </c>
      <c r="D2316" s="43" t="s">
        <v>274</v>
      </c>
      <c r="E2316" s="43" t="s">
        <v>275</v>
      </c>
      <c r="F2316" s="43">
        <v>1</v>
      </c>
      <c r="G2316"/>
      <c r="H2316"/>
    </row>
    <row r="2317" spans="1:8" hidden="1" x14ac:dyDescent="0.25">
      <c r="A2317" s="43">
        <v>389</v>
      </c>
      <c r="B2317" s="43" t="s">
        <v>110</v>
      </c>
      <c r="C2317" s="43" t="s">
        <v>271</v>
      </c>
      <c r="D2317" s="43" t="s">
        <v>276</v>
      </c>
      <c r="E2317" s="43" t="s">
        <v>277</v>
      </c>
      <c r="F2317" s="43">
        <v>1</v>
      </c>
      <c r="G2317"/>
      <c r="H2317"/>
    </row>
    <row r="2318" spans="1:8" hidden="1" x14ac:dyDescent="0.25">
      <c r="A2318" s="43">
        <v>389</v>
      </c>
      <c r="B2318" s="43" t="s">
        <v>110</v>
      </c>
      <c r="C2318" s="43" t="s">
        <v>271</v>
      </c>
      <c r="D2318" s="43" t="s">
        <v>278</v>
      </c>
      <c r="E2318" s="43" t="s">
        <v>279</v>
      </c>
      <c r="F2318" s="43">
        <v>1</v>
      </c>
      <c r="G2318"/>
      <c r="H2318"/>
    </row>
    <row r="2319" spans="1:8" hidden="1" x14ac:dyDescent="0.25">
      <c r="A2319" s="43">
        <v>389</v>
      </c>
      <c r="B2319" s="43" t="s">
        <v>110</v>
      </c>
      <c r="C2319" s="43" t="s">
        <v>271</v>
      </c>
      <c r="D2319" s="43" t="s">
        <v>280</v>
      </c>
      <c r="E2319" s="43" t="s">
        <v>281</v>
      </c>
      <c r="F2319" s="43">
        <v>1</v>
      </c>
      <c r="G2319"/>
      <c r="H2319"/>
    </row>
    <row r="2320" spans="1:8" hidden="1" x14ac:dyDescent="0.25">
      <c r="A2320" s="43">
        <v>389</v>
      </c>
      <c r="B2320" s="43" t="s">
        <v>110</v>
      </c>
      <c r="C2320" s="43" t="s">
        <v>271</v>
      </c>
      <c r="D2320" s="43" t="s">
        <v>282</v>
      </c>
      <c r="E2320" s="43" t="s">
        <v>283</v>
      </c>
      <c r="F2320" s="43">
        <v>1</v>
      </c>
      <c r="G2320"/>
      <c r="H2320"/>
    </row>
    <row r="2321" spans="1:8" hidden="1" x14ac:dyDescent="0.25">
      <c r="A2321" s="43">
        <v>389</v>
      </c>
      <c r="B2321" s="43" t="s">
        <v>110</v>
      </c>
      <c r="C2321" s="43" t="s">
        <v>271</v>
      </c>
      <c r="D2321" s="43" t="s">
        <v>284</v>
      </c>
      <c r="E2321" s="43" t="s">
        <v>285</v>
      </c>
      <c r="F2321" s="43">
        <v>1</v>
      </c>
      <c r="G2321"/>
      <c r="H2321"/>
    </row>
    <row r="2322" spans="1:8" hidden="1" x14ac:dyDescent="0.25">
      <c r="A2322" s="43">
        <v>389</v>
      </c>
      <c r="B2322" s="43" t="s">
        <v>110</v>
      </c>
      <c r="C2322" s="43" t="s">
        <v>271</v>
      </c>
      <c r="D2322" s="43" t="s">
        <v>286</v>
      </c>
      <c r="E2322" s="43" t="s">
        <v>287</v>
      </c>
      <c r="F2322" s="43">
        <v>1</v>
      </c>
      <c r="G2322"/>
      <c r="H2322"/>
    </row>
    <row r="2323" spans="1:8" hidden="1" x14ac:dyDescent="0.25">
      <c r="A2323" s="43">
        <v>389</v>
      </c>
      <c r="B2323" s="43" t="s">
        <v>110</v>
      </c>
      <c r="C2323" s="43" t="s">
        <v>271</v>
      </c>
      <c r="D2323" s="43" t="s">
        <v>288</v>
      </c>
      <c r="E2323" s="43" t="s">
        <v>289</v>
      </c>
      <c r="F2323" s="43">
        <v>1</v>
      </c>
      <c r="G2323"/>
      <c r="H2323"/>
    </row>
    <row r="2324" spans="1:8" hidden="1" x14ac:dyDescent="0.25">
      <c r="A2324" s="43">
        <v>389</v>
      </c>
      <c r="B2324" s="43" t="s">
        <v>110</v>
      </c>
      <c r="C2324" s="43" t="s">
        <v>271</v>
      </c>
      <c r="D2324" s="43" t="s">
        <v>290</v>
      </c>
      <c r="E2324" s="43" t="s">
        <v>291</v>
      </c>
      <c r="F2324" s="43">
        <v>0</v>
      </c>
      <c r="G2324" s="43" t="s">
        <v>4625</v>
      </c>
      <c r="H2324" s="43" t="s">
        <v>4761</v>
      </c>
    </row>
    <row r="2325" spans="1:8" hidden="1" x14ac:dyDescent="0.25">
      <c r="A2325" s="43">
        <v>389</v>
      </c>
      <c r="B2325" s="43" t="s">
        <v>110</v>
      </c>
      <c r="C2325" s="43" t="s">
        <v>271</v>
      </c>
      <c r="D2325" s="43" t="s">
        <v>292</v>
      </c>
      <c r="E2325" s="43" t="s">
        <v>293</v>
      </c>
      <c r="F2325" s="43">
        <v>1</v>
      </c>
      <c r="G2325"/>
      <c r="H2325"/>
    </row>
    <row r="2326" spans="1:8" hidden="1" x14ac:dyDescent="0.25">
      <c r="A2326" s="43">
        <v>389</v>
      </c>
      <c r="B2326" s="43" t="s">
        <v>110</v>
      </c>
      <c r="C2326" s="43" t="s">
        <v>271</v>
      </c>
      <c r="D2326" s="43" t="s">
        <v>294</v>
      </c>
      <c r="E2326" s="43" t="s">
        <v>295</v>
      </c>
      <c r="F2326" s="43">
        <v>1</v>
      </c>
      <c r="G2326"/>
      <c r="H2326"/>
    </row>
    <row r="2327" spans="1:8" hidden="1" x14ac:dyDescent="0.25">
      <c r="A2327" s="43">
        <v>389</v>
      </c>
      <c r="B2327" s="43" t="s">
        <v>110</v>
      </c>
      <c r="C2327" s="43" t="s">
        <v>271</v>
      </c>
      <c r="D2327" s="43" t="s">
        <v>296</v>
      </c>
      <c r="E2327" s="43" t="s">
        <v>297</v>
      </c>
      <c r="F2327" s="43">
        <v>1</v>
      </c>
      <c r="G2327"/>
      <c r="H2327"/>
    </row>
    <row r="2328" spans="1:8" hidden="1" x14ac:dyDescent="0.25">
      <c r="A2328" s="43">
        <v>389</v>
      </c>
      <c r="B2328" s="43" t="s">
        <v>110</v>
      </c>
      <c r="C2328" s="43" t="s">
        <v>271</v>
      </c>
      <c r="D2328" s="43" t="s">
        <v>298</v>
      </c>
      <c r="E2328" s="43" t="s">
        <v>4490</v>
      </c>
      <c r="F2328" s="43">
        <v>1</v>
      </c>
      <c r="G2328"/>
      <c r="H2328"/>
    </row>
    <row r="2329" spans="1:8" hidden="1" x14ac:dyDescent="0.25">
      <c r="A2329" s="43">
        <v>389</v>
      </c>
      <c r="B2329" s="43" t="s">
        <v>110</v>
      </c>
      <c r="C2329" s="43" t="s">
        <v>271</v>
      </c>
      <c r="D2329" s="43" t="s">
        <v>300</v>
      </c>
      <c r="E2329" s="43" t="s">
        <v>301</v>
      </c>
      <c r="F2329" s="43">
        <v>1</v>
      </c>
      <c r="G2329"/>
      <c r="H2329"/>
    </row>
    <row r="2330" spans="1:8" hidden="1" x14ac:dyDescent="0.25">
      <c r="A2330" s="43">
        <v>390</v>
      </c>
      <c r="B2330" s="43" t="s">
        <v>110</v>
      </c>
      <c r="C2330" s="43" t="s">
        <v>271</v>
      </c>
      <c r="D2330" s="43" t="s">
        <v>272</v>
      </c>
      <c r="E2330" s="43" t="s">
        <v>273</v>
      </c>
      <c r="F2330" s="43">
        <v>1</v>
      </c>
      <c r="G2330"/>
      <c r="H2330"/>
    </row>
    <row r="2331" spans="1:8" hidden="1" x14ac:dyDescent="0.25">
      <c r="A2331" s="43">
        <v>390</v>
      </c>
      <c r="B2331" s="43" t="s">
        <v>110</v>
      </c>
      <c r="C2331" s="43" t="s">
        <v>271</v>
      </c>
      <c r="D2331" s="43" t="s">
        <v>274</v>
      </c>
      <c r="E2331" s="43" t="s">
        <v>275</v>
      </c>
      <c r="F2331" s="43">
        <v>0</v>
      </c>
      <c r="G2331" s="43" t="s">
        <v>4625</v>
      </c>
      <c r="H2331" s="43" t="s">
        <v>4761</v>
      </c>
    </row>
    <row r="2332" spans="1:8" hidden="1" x14ac:dyDescent="0.25">
      <c r="A2332" s="43">
        <v>390</v>
      </c>
      <c r="B2332" s="43" t="s">
        <v>110</v>
      </c>
      <c r="C2332" s="43" t="s">
        <v>271</v>
      </c>
      <c r="D2332" s="43" t="s">
        <v>276</v>
      </c>
      <c r="E2332" s="43" t="s">
        <v>277</v>
      </c>
      <c r="F2332" s="43">
        <v>1</v>
      </c>
      <c r="G2332"/>
      <c r="H2332"/>
    </row>
    <row r="2333" spans="1:8" hidden="1" x14ac:dyDescent="0.25">
      <c r="A2333" s="43">
        <v>390</v>
      </c>
      <c r="B2333" s="43" t="s">
        <v>110</v>
      </c>
      <c r="C2333" s="43" t="s">
        <v>271</v>
      </c>
      <c r="D2333" s="43" t="s">
        <v>278</v>
      </c>
      <c r="E2333" s="43" t="s">
        <v>279</v>
      </c>
      <c r="F2333" s="43">
        <v>0</v>
      </c>
      <c r="G2333" s="43" t="s">
        <v>4625</v>
      </c>
      <c r="H2333" s="43" t="s">
        <v>4761</v>
      </c>
    </row>
    <row r="2334" spans="1:8" hidden="1" x14ac:dyDescent="0.25">
      <c r="A2334" s="43">
        <v>390</v>
      </c>
      <c r="B2334" s="43" t="s">
        <v>110</v>
      </c>
      <c r="C2334" s="43" t="s">
        <v>271</v>
      </c>
      <c r="D2334" s="43" t="s">
        <v>280</v>
      </c>
      <c r="E2334" s="43" t="s">
        <v>281</v>
      </c>
      <c r="F2334" s="43">
        <v>1</v>
      </c>
      <c r="G2334"/>
      <c r="H2334"/>
    </row>
    <row r="2335" spans="1:8" hidden="1" x14ac:dyDescent="0.25">
      <c r="A2335" s="43">
        <v>390</v>
      </c>
      <c r="B2335" s="43" t="s">
        <v>110</v>
      </c>
      <c r="C2335" s="43" t="s">
        <v>271</v>
      </c>
      <c r="D2335" s="43" t="s">
        <v>282</v>
      </c>
      <c r="E2335" s="43" t="s">
        <v>283</v>
      </c>
      <c r="F2335" s="43">
        <v>0</v>
      </c>
      <c r="G2335" s="43" t="s">
        <v>4625</v>
      </c>
      <c r="H2335" s="43" t="s">
        <v>4761</v>
      </c>
    </row>
    <row r="2336" spans="1:8" hidden="1" x14ac:dyDescent="0.25">
      <c r="A2336" s="43">
        <v>390</v>
      </c>
      <c r="B2336" s="43" t="s">
        <v>110</v>
      </c>
      <c r="C2336" s="43" t="s">
        <v>271</v>
      </c>
      <c r="D2336" s="43" t="s">
        <v>284</v>
      </c>
      <c r="E2336" s="43" t="s">
        <v>285</v>
      </c>
      <c r="F2336" s="43">
        <v>0</v>
      </c>
      <c r="G2336" s="43" t="s">
        <v>4625</v>
      </c>
      <c r="H2336" s="43" t="s">
        <v>4761</v>
      </c>
    </row>
    <row r="2337" spans="1:8" hidden="1" x14ac:dyDescent="0.25">
      <c r="A2337" s="43">
        <v>390</v>
      </c>
      <c r="B2337" s="43" t="s">
        <v>110</v>
      </c>
      <c r="C2337" s="43" t="s">
        <v>271</v>
      </c>
      <c r="D2337" s="43" t="s">
        <v>286</v>
      </c>
      <c r="E2337" s="43" t="s">
        <v>287</v>
      </c>
      <c r="F2337" s="43">
        <v>0</v>
      </c>
      <c r="G2337" s="43" t="s">
        <v>4625</v>
      </c>
      <c r="H2337" s="43" t="s">
        <v>4761</v>
      </c>
    </row>
    <row r="2338" spans="1:8" hidden="1" x14ac:dyDescent="0.25">
      <c r="A2338" s="43">
        <v>390</v>
      </c>
      <c r="B2338" s="43" t="s">
        <v>110</v>
      </c>
      <c r="C2338" s="43" t="s">
        <v>271</v>
      </c>
      <c r="D2338" s="43" t="s">
        <v>288</v>
      </c>
      <c r="E2338" s="43" t="s">
        <v>289</v>
      </c>
      <c r="F2338" s="43">
        <v>0</v>
      </c>
      <c r="G2338" s="43" t="s">
        <v>4625</v>
      </c>
      <c r="H2338" s="43" t="s">
        <v>4761</v>
      </c>
    </row>
    <row r="2339" spans="1:8" hidden="1" x14ac:dyDescent="0.25">
      <c r="A2339" s="43">
        <v>390</v>
      </c>
      <c r="B2339" s="43" t="s">
        <v>110</v>
      </c>
      <c r="C2339" s="43" t="s">
        <v>271</v>
      </c>
      <c r="D2339" s="43" t="s">
        <v>290</v>
      </c>
      <c r="E2339" s="43" t="s">
        <v>291</v>
      </c>
      <c r="F2339" s="43">
        <v>0</v>
      </c>
      <c r="G2339" s="43" t="s">
        <v>4625</v>
      </c>
      <c r="H2339" s="43" t="s">
        <v>4761</v>
      </c>
    </row>
    <row r="2340" spans="1:8" hidden="1" x14ac:dyDescent="0.25">
      <c r="A2340" s="43">
        <v>390</v>
      </c>
      <c r="B2340" s="43" t="s">
        <v>110</v>
      </c>
      <c r="C2340" s="43" t="s">
        <v>271</v>
      </c>
      <c r="D2340" s="43" t="s">
        <v>292</v>
      </c>
      <c r="E2340" s="43" t="s">
        <v>293</v>
      </c>
      <c r="F2340" s="43">
        <v>1</v>
      </c>
      <c r="G2340"/>
      <c r="H2340"/>
    </row>
    <row r="2341" spans="1:8" hidden="1" x14ac:dyDescent="0.25">
      <c r="A2341" s="43">
        <v>390</v>
      </c>
      <c r="B2341" s="43" t="s">
        <v>110</v>
      </c>
      <c r="C2341" s="43" t="s">
        <v>271</v>
      </c>
      <c r="D2341" s="43" t="s">
        <v>294</v>
      </c>
      <c r="E2341" s="43" t="s">
        <v>295</v>
      </c>
      <c r="F2341" s="43">
        <v>1</v>
      </c>
      <c r="G2341"/>
      <c r="H2341"/>
    </row>
    <row r="2342" spans="1:8" hidden="1" x14ac:dyDescent="0.25">
      <c r="A2342" s="43">
        <v>390</v>
      </c>
      <c r="B2342" s="43" t="s">
        <v>110</v>
      </c>
      <c r="C2342" s="43" t="s">
        <v>271</v>
      </c>
      <c r="D2342" s="43" t="s">
        <v>296</v>
      </c>
      <c r="E2342" s="43" t="s">
        <v>297</v>
      </c>
      <c r="F2342" s="43">
        <v>1</v>
      </c>
      <c r="G2342"/>
      <c r="H2342"/>
    </row>
    <row r="2343" spans="1:8" hidden="1" x14ac:dyDescent="0.25">
      <c r="A2343" s="43">
        <v>390</v>
      </c>
      <c r="B2343" s="43" t="s">
        <v>110</v>
      </c>
      <c r="C2343" s="43" t="s">
        <v>271</v>
      </c>
      <c r="D2343" s="43" t="s">
        <v>298</v>
      </c>
      <c r="E2343" s="43" t="s">
        <v>4490</v>
      </c>
      <c r="F2343" s="43">
        <v>0</v>
      </c>
      <c r="G2343" s="43" t="s">
        <v>4625</v>
      </c>
      <c r="H2343" s="43" t="s">
        <v>4761</v>
      </c>
    </row>
    <row r="2344" spans="1:8" hidden="1" x14ac:dyDescent="0.25">
      <c r="A2344" s="43">
        <v>390</v>
      </c>
      <c r="B2344" s="43" t="s">
        <v>110</v>
      </c>
      <c r="C2344" s="43" t="s">
        <v>271</v>
      </c>
      <c r="D2344" s="43" t="s">
        <v>300</v>
      </c>
      <c r="E2344" s="43" t="s">
        <v>301</v>
      </c>
      <c r="F2344" s="43">
        <v>1</v>
      </c>
      <c r="G2344"/>
      <c r="H2344"/>
    </row>
    <row r="2345" spans="1:8" hidden="1" x14ac:dyDescent="0.25">
      <c r="A2345" s="43">
        <v>392</v>
      </c>
      <c r="B2345" s="43" t="s">
        <v>111</v>
      </c>
      <c r="C2345" s="43" t="s">
        <v>1015</v>
      </c>
      <c r="D2345" s="43" t="s">
        <v>1016</v>
      </c>
      <c r="E2345" s="43" t="s">
        <v>1017</v>
      </c>
      <c r="F2345" s="43">
        <v>1</v>
      </c>
      <c r="G2345"/>
      <c r="H2345"/>
    </row>
    <row r="2346" spans="1:8" hidden="1" x14ac:dyDescent="0.25">
      <c r="A2346" s="43">
        <v>392</v>
      </c>
      <c r="B2346" s="43" t="s">
        <v>111</v>
      </c>
      <c r="C2346" s="43" t="s">
        <v>1015</v>
      </c>
      <c r="D2346" s="43" t="s">
        <v>1018</v>
      </c>
      <c r="E2346" s="43" t="s">
        <v>795</v>
      </c>
      <c r="F2346" s="43">
        <v>1</v>
      </c>
      <c r="G2346"/>
      <c r="H2346"/>
    </row>
    <row r="2347" spans="1:8" hidden="1" x14ac:dyDescent="0.25">
      <c r="A2347" s="43">
        <v>392</v>
      </c>
      <c r="B2347" s="43" t="s">
        <v>111</v>
      </c>
      <c r="C2347" s="43" t="s">
        <v>1015</v>
      </c>
      <c r="D2347" s="43" t="s">
        <v>1019</v>
      </c>
      <c r="E2347" s="43" t="s">
        <v>866</v>
      </c>
      <c r="F2347" s="43">
        <v>1</v>
      </c>
      <c r="G2347"/>
      <c r="H2347"/>
    </row>
    <row r="2348" spans="1:8" hidden="1" x14ac:dyDescent="0.25">
      <c r="A2348" s="43">
        <v>392</v>
      </c>
      <c r="B2348" s="43" t="s">
        <v>111</v>
      </c>
      <c r="C2348" s="43" t="s">
        <v>1015</v>
      </c>
      <c r="D2348" s="43" t="s">
        <v>1020</v>
      </c>
      <c r="E2348" s="43" t="s">
        <v>1021</v>
      </c>
      <c r="F2348" s="43">
        <v>1</v>
      </c>
      <c r="G2348"/>
      <c r="H2348"/>
    </row>
    <row r="2349" spans="1:8" hidden="1" x14ac:dyDescent="0.25">
      <c r="A2349" s="43">
        <v>392</v>
      </c>
      <c r="B2349" s="43" t="s">
        <v>111</v>
      </c>
      <c r="C2349" s="43" t="s">
        <v>1015</v>
      </c>
      <c r="D2349" s="43" t="s">
        <v>1022</v>
      </c>
      <c r="E2349" s="43" t="s">
        <v>3092</v>
      </c>
      <c r="F2349" s="43">
        <v>1</v>
      </c>
      <c r="G2349"/>
      <c r="H2349"/>
    </row>
    <row r="2350" spans="1:8" hidden="1" x14ac:dyDescent="0.25">
      <c r="A2350" s="43">
        <v>392</v>
      </c>
      <c r="B2350" s="43" t="s">
        <v>111</v>
      </c>
      <c r="C2350" s="43" t="s">
        <v>1015</v>
      </c>
      <c r="D2350" s="43" t="s">
        <v>1024</v>
      </c>
      <c r="E2350" s="43" t="s">
        <v>889</v>
      </c>
      <c r="F2350" s="43">
        <v>1</v>
      </c>
      <c r="G2350"/>
      <c r="H2350"/>
    </row>
    <row r="2351" spans="1:8" hidden="1" x14ac:dyDescent="0.25">
      <c r="A2351" s="43">
        <v>392</v>
      </c>
      <c r="B2351" s="43" t="s">
        <v>111</v>
      </c>
      <c r="C2351" s="43" t="s">
        <v>1015</v>
      </c>
      <c r="D2351" s="43" t="s">
        <v>1025</v>
      </c>
      <c r="E2351" s="43" t="s">
        <v>1026</v>
      </c>
      <c r="F2351" s="43">
        <v>1</v>
      </c>
      <c r="G2351"/>
      <c r="H2351"/>
    </row>
    <row r="2352" spans="1:8" hidden="1" x14ac:dyDescent="0.25">
      <c r="A2352" s="43">
        <v>392</v>
      </c>
      <c r="B2352" s="43" t="s">
        <v>111</v>
      </c>
      <c r="C2352" s="43" t="s">
        <v>1015</v>
      </c>
      <c r="D2352" s="43" t="s">
        <v>1027</v>
      </c>
      <c r="E2352" s="43" t="s">
        <v>4483</v>
      </c>
      <c r="F2352" s="43">
        <v>1</v>
      </c>
      <c r="G2352"/>
      <c r="H2352"/>
    </row>
    <row r="2353" spans="1:8" hidden="1" x14ac:dyDescent="0.25">
      <c r="A2353" s="43">
        <v>392</v>
      </c>
      <c r="B2353" s="43" t="s">
        <v>111</v>
      </c>
      <c r="C2353" s="43" t="s">
        <v>1015</v>
      </c>
      <c r="D2353" s="43" t="s">
        <v>1029</v>
      </c>
      <c r="E2353" s="43" t="s">
        <v>295</v>
      </c>
      <c r="F2353" s="43">
        <v>1</v>
      </c>
      <c r="G2353"/>
      <c r="H2353"/>
    </row>
    <row r="2354" spans="1:8" hidden="1" x14ac:dyDescent="0.25">
      <c r="A2354" s="43">
        <v>395</v>
      </c>
      <c r="B2354" s="43" t="s">
        <v>112</v>
      </c>
      <c r="C2354" s="43" t="s">
        <v>581</v>
      </c>
      <c r="D2354" s="43" t="s">
        <v>582</v>
      </c>
      <c r="E2354" s="43" t="s">
        <v>583</v>
      </c>
      <c r="F2354" s="43">
        <v>1</v>
      </c>
      <c r="G2354"/>
      <c r="H2354"/>
    </row>
    <row r="2355" spans="1:8" hidden="1" x14ac:dyDescent="0.25">
      <c r="A2355" s="43">
        <v>395</v>
      </c>
      <c r="B2355" s="43" t="s">
        <v>112</v>
      </c>
      <c r="C2355" s="43" t="s">
        <v>581</v>
      </c>
      <c r="D2355" s="43" t="s">
        <v>584</v>
      </c>
      <c r="E2355" s="43" t="s">
        <v>306</v>
      </c>
      <c r="F2355" s="43">
        <v>1</v>
      </c>
      <c r="G2355"/>
      <c r="H2355"/>
    </row>
    <row r="2356" spans="1:8" hidden="1" x14ac:dyDescent="0.25">
      <c r="A2356" s="43">
        <v>395</v>
      </c>
      <c r="B2356" s="43" t="s">
        <v>112</v>
      </c>
      <c r="C2356" s="43" t="s">
        <v>581</v>
      </c>
      <c r="D2356" s="43" t="s">
        <v>585</v>
      </c>
      <c r="E2356" s="43" t="s">
        <v>586</v>
      </c>
      <c r="F2356" s="43">
        <v>1</v>
      </c>
      <c r="G2356"/>
      <c r="H2356"/>
    </row>
    <row r="2357" spans="1:8" hidden="1" x14ac:dyDescent="0.25">
      <c r="A2357" s="43">
        <v>395</v>
      </c>
      <c r="B2357" s="43" t="s">
        <v>112</v>
      </c>
      <c r="C2357" s="43" t="s">
        <v>581</v>
      </c>
      <c r="D2357" s="43" t="s">
        <v>587</v>
      </c>
      <c r="E2357" s="43" t="s">
        <v>588</v>
      </c>
      <c r="F2357" s="43">
        <v>1</v>
      </c>
      <c r="G2357"/>
      <c r="H2357"/>
    </row>
    <row r="2358" spans="1:8" hidden="1" x14ac:dyDescent="0.25">
      <c r="A2358" s="43">
        <v>395</v>
      </c>
      <c r="B2358" s="43" t="s">
        <v>112</v>
      </c>
      <c r="C2358" s="43" t="s">
        <v>581</v>
      </c>
      <c r="D2358" s="43" t="s">
        <v>589</v>
      </c>
      <c r="E2358" s="43" t="s">
        <v>312</v>
      </c>
      <c r="F2358" s="43">
        <v>1</v>
      </c>
      <c r="G2358"/>
      <c r="H2358"/>
    </row>
    <row r="2359" spans="1:8" hidden="1" x14ac:dyDescent="0.25">
      <c r="A2359" s="43">
        <v>395</v>
      </c>
      <c r="B2359" s="43" t="s">
        <v>112</v>
      </c>
      <c r="C2359" s="43" t="s">
        <v>581</v>
      </c>
      <c r="D2359" s="43" t="s">
        <v>590</v>
      </c>
      <c r="E2359" s="43" t="s">
        <v>493</v>
      </c>
      <c r="F2359" s="43">
        <v>0</v>
      </c>
      <c r="G2359" s="43" t="s">
        <v>4634</v>
      </c>
      <c r="H2359" s="43" t="s">
        <v>4761</v>
      </c>
    </row>
    <row r="2360" spans="1:8" hidden="1" x14ac:dyDescent="0.25">
      <c r="A2360" s="43">
        <v>395</v>
      </c>
      <c r="B2360" s="43" t="s">
        <v>112</v>
      </c>
      <c r="C2360" s="43" t="s">
        <v>581</v>
      </c>
      <c r="D2360" s="43" t="s">
        <v>591</v>
      </c>
      <c r="E2360" s="43" t="s">
        <v>314</v>
      </c>
      <c r="F2360" s="43">
        <v>1</v>
      </c>
      <c r="G2360"/>
      <c r="H2360"/>
    </row>
    <row r="2361" spans="1:8" hidden="1" x14ac:dyDescent="0.25">
      <c r="A2361" s="43">
        <v>395</v>
      </c>
      <c r="B2361" s="43" t="s">
        <v>112</v>
      </c>
      <c r="C2361" s="43" t="s">
        <v>581</v>
      </c>
      <c r="D2361" s="43" t="s">
        <v>592</v>
      </c>
      <c r="E2361" s="43" t="s">
        <v>275</v>
      </c>
      <c r="F2361" s="43">
        <v>1</v>
      </c>
      <c r="G2361"/>
      <c r="H2361"/>
    </row>
    <row r="2362" spans="1:8" hidden="1" x14ac:dyDescent="0.25">
      <c r="A2362" s="43">
        <v>395</v>
      </c>
      <c r="B2362" s="43" t="s">
        <v>112</v>
      </c>
      <c r="C2362" s="43" t="s">
        <v>581</v>
      </c>
      <c r="D2362" s="43" t="s">
        <v>593</v>
      </c>
      <c r="E2362" s="43" t="s">
        <v>594</v>
      </c>
      <c r="F2362" s="43">
        <v>0</v>
      </c>
      <c r="G2362" s="43" t="s">
        <v>4634</v>
      </c>
      <c r="H2362" s="43" t="s">
        <v>4761</v>
      </c>
    </row>
    <row r="2363" spans="1:8" hidden="1" x14ac:dyDescent="0.25">
      <c r="A2363" s="43">
        <v>395</v>
      </c>
      <c r="B2363" s="43" t="s">
        <v>112</v>
      </c>
      <c r="C2363" s="43" t="s">
        <v>581</v>
      </c>
      <c r="D2363" s="43" t="s">
        <v>595</v>
      </c>
      <c r="E2363" s="43" t="s">
        <v>349</v>
      </c>
      <c r="F2363" s="43">
        <v>1</v>
      </c>
      <c r="G2363"/>
      <c r="H2363"/>
    </row>
    <row r="2364" spans="1:8" hidden="1" x14ac:dyDescent="0.25">
      <c r="A2364" s="43">
        <v>395</v>
      </c>
      <c r="B2364" s="43" t="s">
        <v>112</v>
      </c>
      <c r="C2364" s="43" t="s">
        <v>581</v>
      </c>
      <c r="D2364" s="43" t="s">
        <v>596</v>
      </c>
      <c r="E2364" s="43" t="s">
        <v>597</v>
      </c>
      <c r="F2364" s="43">
        <v>1</v>
      </c>
      <c r="G2364"/>
      <c r="H2364"/>
    </row>
    <row r="2365" spans="1:8" hidden="1" x14ac:dyDescent="0.25">
      <c r="A2365" s="43">
        <v>395</v>
      </c>
      <c r="B2365" s="43" t="s">
        <v>112</v>
      </c>
      <c r="C2365" s="43" t="s">
        <v>581</v>
      </c>
      <c r="D2365" s="43" t="s">
        <v>598</v>
      </c>
      <c r="E2365" s="43" t="s">
        <v>599</v>
      </c>
      <c r="F2365" s="43">
        <v>0</v>
      </c>
      <c r="G2365" s="43" t="s">
        <v>4634</v>
      </c>
      <c r="H2365" s="43" t="s">
        <v>4761</v>
      </c>
    </row>
    <row r="2366" spans="1:8" hidden="1" x14ac:dyDescent="0.25">
      <c r="A2366" s="43">
        <v>395</v>
      </c>
      <c r="B2366" s="43" t="s">
        <v>112</v>
      </c>
      <c r="C2366" s="43" t="s">
        <v>581</v>
      </c>
      <c r="D2366" s="43" t="s">
        <v>600</v>
      </c>
      <c r="E2366" s="43" t="s">
        <v>601</v>
      </c>
      <c r="F2366" s="43">
        <v>1</v>
      </c>
      <c r="G2366"/>
      <c r="H2366"/>
    </row>
    <row r="2367" spans="1:8" hidden="1" x14ac:dyDescent="0.25">
      <c r="A2367" s="43">
        <v>395</v>
      </c>
      <c r="B2367" s="43" t="s">
        <v>112</v>
      </c>
      <c r="C2367" s="43" t="s">
        <v>581</v>
      </c>
      <c r="D2367" s="43" t="s">
        <v>602</v>
      </c>
      <c r="E2367" s="43" t="s">
        <v>603</v>
      </c>
      <c r="F2367" s="43">
        <v>1</v>
      </c>
      <c r="G2367"/>
      <c r="H2367"/>
    </row>
    <row r="2368" spans="1:8" hidden="1" x14ac:dyDescent="0.25">
      <c r="A2368" s="43">
        <v>395</v>
      </c>
      <c r="B2368" s="43" t="s">
        <v>112</v>
      </c>
      <c r="C2368" s="43" t="s">
        <v>581</v>
      </c>
      <c r="D2368" s="43" t="s">
        <v>604</v>
      </c>
      <c r="E2368" s="43" t="s">
        <v>605</v>
      </c>
      <c r="F2368" s="43">
        <v>0</v>
      </c>
      <c r="G2368" s="43" t="s">
        <v>4652</v>
      </c>
      <c r="H2368"/>
    </row>
    <row r="2369" spans="1:8" hidden="1" x14ac:dyDescent="0.25">
      <c r="A2369" s="43">
        <v>395</v>
      </c>
      <c r="B2369" s="43" t="s">
        <v>112</v>
      </c>
      <c r="C2369" s="43" t="s">
        <v>581</v>
      </c>
      <c r="D2369" s="43" t="s">
        <v>606</v>
      </c>
      <c r="E2369" s="43" t="s">
        <v>503</v>
      </c>
      <c r="F2369" s="43">
        <v>1</v>
      </c>
      <c r="G2369"/>
      <c r="H2369"/>
    </row>
    <row r="2370" spans="1:8" hidden="1" x14ac:dyDescent="0.25">
      <c r="A2370" s="43">
        <v>395</v>
      </c>
      <c r="B2370" s="43" t="s">
        <v>112</v>
      </c>
      <c r="C2370" s="43" t="s">
        <v>581</v>
      </c>
      <c r="D2370" s="43" t="s">
        <v>607</v>
      </c>
      <c r="E2370" s="43" t="s">
        <v>505</v>
      </c>
      <c r="F2370" s="43">
        <v>1</v>
      </c>
      <c r="G2370"/>
      <c r="H2370"/>
    </row>
    <row r="2371" spans="1:8" hidden="1" x14ac:dyDescent="0.25">
      <c r="A2371" s="43">
        <v>395</v>
      </c>
      <c r="B2371" s="43" t="s">
        <v>112</v>
      </c>
      <c r="C2371" s="43" t="s">
        <v>581</v>
      </c>
      <c r="D2371" s="43" t="s">
        <v>608</v>
      </c>
      <c r="E2371" s="43" t="s">
        <v>609</v>
      </c>
      <c r="F2371" s="43">
        <v>1</v>
      </c>
      <c r="G2371"/>
      <c r="H2371"/>
    </row>
    <row r="2372" spans="1:8" hidden="1" x14ac:dyDescent="0.25">
      <c r="A2372" s="43">
        <v>399</v>
      </c>
      <c r="B2372" s="43" t="s">
        <v>113</v>
      </c>
      <c r="C2372" s="43" t="s">
        <v>1790</v>
      </c>
      <c r="D2372" s="43" t="s">
        <v>1791</v>
      </c>
      <c r="E2372" s="43" t="s">
        <v>273</v>
      </c>
      <c r="F2372" s="43">
        <v>1</v>
      </c>
      <c r="G2372"/>
      <c r="H2372"/>
    </row>
    <row r="2373" spans="1:8" hidden="1" x14ac:dyDescent="0.25">
      <c r="A2373" s="43">
        <v>399</v>
      </c>
      <c r="B2373" s="43" t="s">
        <v>113</v>
      </c>
      <c r="C2373" s="43" t="s">
        <v>1790</v>
      </c>
      <c r="D2373" s="43" t="s">
        <v>1792</v>
      </c>
      <c r="E2373" s="43" t="s">
        <v>312</v>
      </c>
      <c r="F2373" s="43">
        <v>1</v>
      </c>
      <c r="G2373"/>
      <c r="H2373"/>
    </row>
    <row r="2374" spans="1:8" hidden="1" x14ac:dyDescent="0.25">
      <c r="A2374" s="43">
        <v>399</v>
      </c>
      <c r="B2374" s="43" t="s">
        <v>113</v>
      </c>
      <c r="C2374" s="43" t="s">
        <v>1790</v>
      </c>
      <c r="D2374" s="43" t="s">
        <v>1793</v>
      </c>
      <c r="E2374" s="43" t="s">
        <v>801</v>
      </c>
      <c r="F2374" s="43">
        <v>1</v>
      </c>
      <c r="G2374"/>
      <c r="H2374"/>
    </row>
    <row r="2375" spans="1:8" hidden="1" x14ac:dyDescent="0.25">
      <c r="A2375" s="43">
        <v>399</v>
      </c>
      <c r="B2375" s="43" t="s">
        <v>113</v>
      </c>
      <c r="C2375" s="43" t="s">
        <v>1790</v>
      </c>
      <c r="D2375" s="43" t="s">
        <v>1794</v>
      </c>
      <c r="E2375" s="43" t="s">
        <v>786</v>
      </c>
      <c r="F2375" s="43">
        <v>1</v>
      </c>
      <c r="G2375"/>
      <c r="H2375"/>
    </row>
    <row r="2376" spans="1:8" hidden="1" x14ac:dyDescent="0.25">
      <c r="A2376" s="43">
        <v>399</v>
      </c>
      <c r="B2376" s="43" t="s">
        <v>113</v>
      </c>
      <c r="C2376" s="43" t="s">
        <v>1790</v>
      </c>
      <c r="D2376" s="43" t="s">
        <v>1795</v>
      </c>
      <c r="E2376" s="43" t="s">
        <v>784</v>
      </c>
      <c r="F2376" s="43">
        <v>0</v>
      </c>
      <c r="G2376" s="43" t="s">
        <v>4583</v>
      </c>
      <c r="H2376"/>
    </row>
    <row r="2377" spans="1:8" hidden="1" x14ac:dyDescent="0.25">
      <c r="A2377" s="43">
        <v>399</v>
      </c>
      <c r="B2377" s="43" t="s">
        <v>113</v>
      </c>
      <c r="C2377" s="43" t="s">
        <v>1790</v>
      </c>
      <c r="D2377" s="43" t="s">
        <v>1796</v>
      </c>
      <c r="E2377" s="43" t="s">
        <v>1205</v>
      </c>
      <c r="F2377" s="43">
        <v>1</v>
      </c>
      <c r="G2377"/>
      <c r="H2377"/>
    </row>
    <row r="2378" spans="1:8" hidden="1" x14ac:dyDescent="0.25">
      <c r="A2378" s="43">
        <v>399</v>
      </c>
      <c r="B2378" s="43" t="s">
        <v>113</v>
      </c>
      <c r="C2378" s="43" t="s">
        <v>1790</v>
      </c>
      <c r="D2378" s="43" t="s">
        <v>1797</v>
      </c>
      <c r="E2378" s="43" t="s">
        <v>1207</v>
      </c>
      <c r="F2378" s="43">
        <v>1</v>
      </c>
      <c r="G2378"/>
      <c r="H2378"/>
    </row>
    <row r="2379" spans="1:8" hidden="1" x14ac:dyDescent="0.25">
      <c r="A2379" s="43">
        <v>399</v>
      </c>
      <c r="B2379" s="43" t="s">
        <v>113</v>
      </c>
      <c r="C2379" s="43" t="s">
        <v>1790</v>
      </c>
      <c r="D2379" s="43" t="s">
        <v>1798</v>
      </c>
      <c r="E2379" s="43" t="s">
        <v>1209</v>
      </c>
      <c r="F2379" s="43">
        <v>0</v>
      </c>
      <c r="G2379" s="43" t="s">
        <v>4583</v>
      </c>
      <c r="H2379"/>
    </row>
    <row r="2380" spans="1:8" hidden="1" x14ac:dyDescent="0.25">
      <c r="A2380" s="43">
        <v>399</v>
      </c>
      <c r="B2380" s="43" t="s">
        <v>113</v>
      </c>
      <c r="C2380" s="43" t="s">
        <v>1790</v>
      </c>
      <c r="D2380" s="43" t="s">
        <v>1799</v>
      </c>
      <c r="E2380" s="43" t="s">
        <v>789</v>
      </c>
      <c r="F2380" s="43">
        <v>0</v>
      </c>
      <c r="G2380" s="43" t="s">
        <v>4583</v>
      </c>
      <c r="H2380"/>
    </row>
    <row r="2381" spans="1:8" hidden="1" x14ac:dyDescent="0.25">
      <c r="A2381" s="43">
        <v>399</v>
      </c>
      <c r="B2381" s="43" t="s">
        <v>113</v>
      </c>
      <c r="C2381" s="43" t="s">
        <v>1790</v>
      </c>
      <c r="D2381" s="43" t="s">
        <v>1800</v>
      </c>
      <c r="E2381" s="43" t="s">
        <v>1214</v>
      </c>
      <c r="F2381" s="43">
        <v>1</v>
      </c>
      <c r="G2381"/>
      <c r="H2381"/>
    </row>
    <row r="2382" spans="1:8" hidden="1" x14ac:dyDescent="0.25">
      <c r="A2382" s="43">
        <v>399</v>
      </c>
      <c r="B2382" s="43" t="s">
        <v>113</v>
      </c>
      <c r="C2382" s="43" t="s">
        <v>1790</v>
      </c>
      <c r="D2382" s="43" t="s">
        <v>1801</v>
      </c>
      <c r="E2382" s="43" t="s">
        <v>1784</v>
      </c>
      <c r="F2382" s="43">
        <v>0</v>
      </c>
      <c r="G2382" s="43" t="s">
        <v>4583</v>
      </c>
      <c r="H2382"/>
    </row>
    <row r="2383" spans="1:8" hidden="1" x14ac:dyDescent="0.25">
      <c r="A2383" s="43">
        <v>399</v>
      </c>
      <c r="B2383" s="43" t="s">
        <v>113</v>
      </c>
      <c r="C2383" s="43" t="s">
        <v>1790</v>
      </c>
      <c r="D2383" s="43" t="s">
        <v>1802</v>
      </c>
      <c r="E2383" s="43" t="s">
        <v>791</v>
      </c>
      <c r="F2383" s="43">
        <v>0</v>
      </c>
      <c r="G2383" s="43" t="s">
        <v>4583</v>
      </c>
      <c r="H2383"/>
    </row>
    <row r="2384" spans="1:8" hidden="1" x14ac:dyDescent="0.25">
      <c r="A2384" s="43">
        <v>399</v>
      </c>
      <c r="B2384" s="43" t="s">
        <v>113</v>
      </c>
      <c r="C2384" s="43" t="s">
        <v>1790</v>
      </c>
      <c r="D2384" s="43" t="s">
        <v>1803</v>
      </c>
      <c r="E2384" s="43" t="s">
        <v>795</v>
      </c>
      <c r="F2384" s="43">
        <v>1</v>
      </c>
      <c r="G2384"/>
      <c r="H2384"/>
    </row>
    <row r="2385" spans="1:8" hidden="1" x14ac:dyDescent="0.25">
      <c r="A2385" s="43">
        <v>399</v>
      </c>
      <c r="B2385" s="43" t="s">
        <v>113</v>
      </c>
      <c r="C2385" s="43" t="s">
        <v>1790</v>
      </c>
      <c r="D2385" s="43" t="s">
        <v>1804</v>
      </c>
      <c r="E2385" s="43" t="s">
        <v>372</v>
      </c>
      <c r="F2385" s="43">
        <v>1</v>
      </c>
      <c r="G2385"/>
      <c r="H2385"/>
    </row>
    <row r="2386" spans="1:8" hidden="1" x14ac:dyDescent="0.25">
      <c r="A2386" s="43">
        <v>399</v>
      </c>
      <c r="B2386" s="43" t="s">
        <v>113</v>
      </c>
      <c r="C2386" s="43" t="s">
        <v>1790</v>
      </c>
      <c r="D2386" s="43" t="s">
        <v>1805</v>
      </c>
      <c r="E2386" s="43" t="s">
        <v>1806</v>
      </c>
      <c r="F2386" s="43">
        <v>0</v>
      </c>
      <c r="G2386" s="43" t="s">
        <v>4583</v>
      </c>
      <c r="H2386"/>
    </row>
    <row r="2387" spans="1:8" hidden="1" x14ac:dyDescent="0.25">
      <c r="A2387" s="43">
        <v>399</v>
      </c>
      <c r="B2387" s="43" t="s">
        <v>113</v>
      </c>
      <c r="C2387" s="43" t="s">
        <v>1790</v>
      </c>
      <c r="D2387" s="43" t="s">
        <v>1807</v>
      </c>
      <c r="E2387" s="43" t="s">
        <v>1808</v>
      </c>
      <c r="F2387" s="43">
        <v>1</v>
      </c>
      <c r="G2387"/>
      <c r="H2387"/>
    </row>
    <row r="2388" spans="1:8" hidden="1" x14ac:dyDescent="0.25">
      <c r="A2388" s="43">
        <v>406</v>
      </c>
      <c r="B2388" s="43" t="s">
        <v>114</v>
      </c>
      <c r="C2388" s="43" t="s">
        <v>506</v>
      </c>
      <c r="D2388" s="43" t="s">
        <v>507</v>
      </c>
      <c r="E2388" s="43" t="s">
        <v>508</v>
      </c>
      <c r="F2388" s="43">
        <v>1</v>
      </c>
      <c r="G2388"/>
      <c r="H2388"/>
    </row>
    <row r="2389" spans="1:8" hidden="1" x14ac:dyDescent="0.25">
      <c r="A2389" s="43">
        <v>406</v>
      </c>
      <c r="B2389" s="43" t="s">
        <v>114</v>
      </c>
      <c r="C2389" s="43" t="s">
        <v>506</v>
      </c>
      <c r="D2389" s="43" t="s">
        <v>509</v>
      </c>
      <c r="E2389" s="43" t="s">
        <v>510</v>
      </c>
      <c r="F2389" s="43">
        <v>1</v>
      </c>
      <c r="G2389"/>
      <c r="H2389"/>
    </row>
    <row r="2390" spans="1:8" hidden="1" x14ac:dyDescent="0.25">
      <c r="A2390" s="43">
        <v>406</v>
      </c>
      <c r="B2390" s="43" t="s">
        <v>114</v>
      </c>
      <c r="C2390" s="43" t="s">
        <v>506</v>
      </c>
      <c r="D2390" s="43" t="s">
        <v>511</v>
      </c>
      <c r="E2390" s="43" t="s">
        <v>512</v>
      </c>
      <c r="F2390" s="43">
        <v>0</v>
      </c>
      <c r="G2390" s="43" t="s">
        <v>4583</v>
      </c>
      <c r="H2390"/>
    </row>
    <row r="2391" spans="1:8" hidden="1" x14ac:dyDescent="0.25">
      <c r="A2391" s="43">
        <v>406</v>
      </c>
      <c r="B2391" s="43" t="s">
        <v>114</v>
      </c>
      <c r="C2391" s="43" t="s">
        <v>506</v>
      </c>
      <c r="D2391" s="43" t="s">
        <v>513</v>
      </c>
      <c r="E2391" s="43" t="s">
        <v>514</v>
      </c>
      <c r="F2391" s="43">
        <v>0</v>
      </c>
      <c r="G2391" s="43" t="s">
        <v>4583</v>
      </c>
      <c r="H2391"/>
    </row>
    <row r="2392" spans="1:8" hidden="1" x14ac:dyDescent="0.25">
      <c r="A2392" s="43">
        <v>406</v>
      </c>
      <c r="B2392" s="43" t="s">
        <v>114</v>
      </c>
      <c r="C2392" s="43" t="s">
        <v>506</v>
      </c>
      <c r="D2392" s="43" t="s">
        <v>515</v>
      </c>
      <c r="E2392" s="43" t="s">
        <v>516</v>
      </c>
      <c r="F2392" s="43">
        <v>0</v>
      </c>
      <c r="G2392" s="43" t="s">
        <v>4583</v>
      </c>
      <c r="H2392"/>
    </row>
    <row r="2393" spans="1:8" hidden="1" x14ac:dyDescent="0.25">
      <c r="A2393" s="43">
        <v>406</v>
      </c>
      <c r="B2393" s="43" t="s">
        <v>114</v>
      </c>
      <c r="C2393" s="43" t="s">
        <v>506</v>
      </c>
      <c r="D2393" s="43" t="s">
        <v>517</v>
      </c>
      <c r="E2393" s="43" t="s">
        <v>518</v>
      </c>
      <c r="F2393" s="43">
        <v>0</v>
      </c>
      <c r="G2393" s="43" t="s">
        <v>4583</v>
      </c>
      <c r="H2393"/>
    </row>
    <row r="2394" spans="1:8" hidden="1" x14ac:dyDescent="0.25">
      <c r="A2394" s="43">
        <v>406</v>
      </c>
      <c r="B2394" s="43" t="s">
        <v>114</v>
      </c>
      <c r="C2394" s="43" t="s">
        <v>506</v>
      </c>
      <c r="D2394" s="43" t="s">
        <v>519</v>
      </c>
      <c r="E2394" s="43" t="s">
        <v>520</v>
      </c>
      <c r="F2394" s="43">
        <v>0</v>
      </c>
      <c r="G2394" s="43" t="s">
        <v>4583</v>
      </c>
      <c r="H2394"/>
    </row>
    <row r="2395" spans="1:8" hidden="1" x14ac:dyDescent="0.25">
      <c r="A2395" s="43">
        <v>406</v>
      </c>
      <c r="B2395" s="43" t="s">
        <v>114</v>
      </c>
      <c r="C2395" s="43" t="s">
        <v>506</v>
      </c>
      <c r="D2395" s="43" t="s">
        <v>521</v>
      </c>
      <c r="E2395" s="43" t="s">
        <v>522</v>
      </c>
      <c r="F2395" s="43">
        <v>0</v>
      </c>
      <c r="G2395" s="43" t="s">
        <v>4583</v>
      </c>
      <c r="H2395"/>
    </row>
    <row r="2396" spans="1:8" hidden="1" x14ac:dyDescent="0.25">
      <c r="A2396" s="43">
        <v>406</v>
      </c>
      <c r="B2396" s="43" t="s">
        <v>114</v>
      </c>
      <c r="C2396" s="43" t="s">
        <v>506</v>
      </c>
      <c r="D2396" s="43" t="s">
        <v>523</v>
      </c>
      <c r="E2396" s="43" t="s">
        <v>4472</v>
      </c>
      <c r="F2396" s="43">
        <v>0</v>
      </c>
      <c r="G2396" s="43" t="s">
        <v>4583</v>
      </c>
      <c r="H2396"/>
    </row>
    <row r="2397" spans="1:8" hidden="1" x14ac:dyDescent="0.25">
      <c r="A2397" s="43">
        <v>406</v>
      </c>
      <c r="B2397" s="43" t="s">
        <v>114</v>
      </c>
      <c r="C2397" s="43" t="s">
        <v>506</v>
      </c>
      <c r="D2397" s="43" t="s">
        <v>525</v>
      </c>
      <c r="E2397" s="43" t="s">
        <v>526</v>
      </c>
      <c r="F2397" s="43">
        <v>0</v>
      </c>
      <c r="G2397" s="43" t="s">
        <v>4583</v>
      </c>
      <c r="H2397"/>
    </row>
    <row r="2398" spans="1:8" hidden="1" x14ac:dyDescent="0.25">
      <c r="A2398" s="43">
        <v>406</v>
      </c>
      <c r="B2398" s="43" t="s">
        <v>114</v>
      </c>
      <c r="C2398" s="43" t="s">
        <v>506</v>
      </c>
      <c r="D2398" s="43" t="s">
        <v>527</v>
      </c>
      <c r="E2398" s="43" t="s">
        <v>283</v>
      </c>
      <c r="F2398" s="43">
        <v>0</v>
      </c>
      <c r="G2398" s="43" t="s">
        <v>4583</v>
      </c>
      <c r="H2398"/>
    </row>
    <row r="2399" spans="1:8" hidden="1" x14ac:dyDescent="0.25">
      <c r="A2399" s="43">
        <v>406</v>
      </c>
      <c r="B2399" s="43" t="s">
        <v>114</v>
      </c>
      <c r="C2399" s="43" t="s">
        <v>506</v>
      </c>
      <c r="D2399" s="43" t="s">
        <v>528</v>
      </c>
      <c r="E2399" s="43" t="s">
        <v>529</v>
      </c>
      <c r="F2399" s="43">
        <v>0</v>
      </c>
      <c r="G2399" s="43" t="s">
        <v>4583</v>
      </c>
      <c r="H2399"/>
    </row>
    <row r="2400" spans="1:8" hidden="1" x14ac:dyDescent="0.25">
      <c r="A2400" s="43">
        <v>406</v>
      </c>
      <c r="B2400" s="43" t="s">
        <v>114</v>
      </c>
      <c r="C2400" s="43" t="s">
        <v>506</v>
      </c>
      <c r="D2400" s="43" t="s">
        <v>530</v>
      </c>
      <c r="E2400" s="43" t="s">
        <v>531</v>
      </c>
      <c r="F2400" s="43">
        <v>0</v>
      </c>
      <c r="G2400" s="43" t="s">
        <v>4583</v>
      </c>
      <c r="H2400"/>
    </row>
    <row r="2401" spans="1:8" hidden="1" x14ac:dyDescent="0.25">
      <c r="A2401" s="43">
        <v>406</v>
      </c>
      <c r="B2401" s="43" t="s">
        <v>114</v>
      </c>
      <c r="C2401" s="43" t="s">
        <v>506</v>
      </c>
      <c r="D2401" s="43" t="s">
        <v>532</v>
      </c>
      <c r="E2401" s="43" t="s">
        <v>533</v>
      </c>
      <c r="F2401" s="43">
        <v>1</v>
      </c>
      <c r="G2401"/>
      <c r="H2401"/>
    </row>
    <row r="2402" spans="1:8" hidden="1" x14ac:dyDescent="0.25">
      <c r="A2402" s="43">
        <v>406</v>
      </c>
      <c r="B2402" s="43" t="s">
        <v>114</v>
      </c>
      <c r="C2402" s="43" t="s">
        <v>506</v>
      </c>
      <c r="D2402" s="43" t="s">
        <v>534</v>
      </c>
      <c r="E2402" s="43" t="s">
        <v>535</v>
      </c>
      <c r="F2402" s="43">
        <v>1</v>
      </c>
      <c r="G2402"/>
      <c r="H2402"/>
    </row>
    <row r="2403" spans="1:8" hidden="1" x14ac:dyDescent="0.25">
      <c r="A2403" s="43">
        <v>406</v>
      </c>
      <c r="B2403" s="43" t="s">
        <v>114</v>
      </c>
      <c r="C2403" s="43" t="s">
        <v>506</v>
      </c>
      <c r="D2403" s="43" t="s">
        <v>536</v>
      </c>
      <c r="E2403" s="43" t="s">
        <v>537</v>
      </c>
      <c r="F2403" s="43">
        <v>1</v>
      </c>
      <c r="G2403"/>
      <c r="H2403"/>
    </row>
    <row r="2404" spans="1:8" hidden="1" x14ac:dyDescent="0.25">
      <c r="A2404" s="43">
        <v>406</v>
      </c>
      <c r="B2404" s="43" t="s">
        <v>114</v>
      </c>
      <c r="C2404" s="43" t="s">
        <v>506</v>
      </c>
      <c r="D2404" s="43" t="s">
        <v>538</v>
      </c>
      <c r="E2404" s="43" t="s">
        <v>539</v>
      </c>
      <c r="F2404" s="43">
        <v>0</v>
      </c>
      <c r="G2404" s="43" t="s">
        <v>4583</v>
      </c>
      <c r="H2404"/>
    </row>
    <row r="2405" spans="1:8" hidden="1" x14ac:dyDescent="0.25">
      <c r="A2405" s="43">
        <v>406</v>
      </c>
      <c r="B2405" s="43" t="s">
        <v>114</v>
      </c>
      <c r="C2405" s="43" t="s">
        <v>506</v>
      </c>
      <c r="D2405" s="43" t="s">
        <v>540</v>
      </c>
      <c r="E2405" s="43" t="s">
        <v>541</v>
      </c>
      <c r="F2405" s="43">
        <v>0</v>
      </c>
      <c r="G2405" s="43" t="s">
        <v>4583</v>
      </c>
      <c r="H2405"/>
    </row>
    <row r="2406" spans="1:8" hidden="1" x14ac:dyDescent="0.25">
      <c r="A2406" s="43">
        <v>406</v>
      </c>
      <c r="B2406" s="43" t="s">
        <v>114</v>
      </c>
      <c r="C2406" s="43" t="s">
        <v>506</v>
      </c>
      <c r="D2406" s="43" t="s">
        <v>542</v>
      </c>
      <c r="E2406" s="43" t="s">
        <v>543</v>
      </c>
      <c r="F2406" s="43">
        <v>1</v>
      </c>
      <c r="G2406"/>
      <c r="H2406"/>
    </row>
    <row r="2407" spans="1:8" hidden="1" x14ac:dyDescent="0.25">
      <c r="A2407" s="43">
        <v>406</v>
      </c>
      <c r="B2407" s="43" t="s">
        <v>114</v>
      </c>
      <c r="C2407" s="43" t="s">
        <v>506</v>
      </c>
      <c r="D2407" s="43" t="s">
        <v>544</v>
      </c>
      <c r="E2407" s="43" t="s">
        <v>545</v>
      </c>
      <c r="F2407" s="43">
        <v>1</v>
      </c>
      <c r="G2407"/>
      <c r="H2407"/>
    </row>
    <row r="2408" spans="1:8" hidden="1" x14ac:dyDescent="0.25">
      <c r="A2408" s="43">
        <v>406</v>
      </c>
      <c r="B2408" s="43" t="s">
        <v>114</v>
      </c>
      <c r="C2408" s="43" t="s">
        <v>506</v>
      </c>
      <c r="D2408" s="43" t="s">
        <v>546</v>
      </c>
      <c r="E2408" s="43" t="s">
        <v>547</v>
      </c>
      <c r="F2408" s="43">
        <v>1</v>
      </c>
      <c r="G2408"/>
      <c r="H2408"/>
    </row>
    <row r="2409" spans="1:8" hidden="1" x14ac:dyDescent="0.25">
      <c r="A2409" s="43">
        <v>406</v>
      </c>
      <c r="B2409" s="43" t="s">
        <v>114</v>
      </c>
      <c r="C2409" s="43" t="s">
        <v>506</v>
      </c>
      <c r="D2409" s="43" t="s">
        <v>548</v>
      </c>
      <c r="E2409" s="43" t="s">
        <v>549</v>
      </c>
      <c r="F2409" s="43">
        <v>1</v>
      </c>
      <c r="G2409"/>
      <c r="H2409"/>
    </row>
    <row r="2410" spans="1:8" hidden="1" x14ac:dyDescent="0.25">
      <c r="A2410" s="43">
        <v>406</v>
      </c>
      <c r="B2410" s="43" t="s">
        <v>114</v>
      </c>
      <c r="C2410" s="43" t="s">
        <v>506</v>
      </c>
      <c r="D2410" s="43" t="s">
        <v>550</v>
      </c>
      <c r="E2410" s="43" t="s">
        <v>551</v>
      </c>
      <c r="F2410" s="43">
        <v>1</v>
      </c>
      <c r="G2410"/>
      <c r="H2410"/>
    </row>
    <row r="2411" spans="1:8" hidden="1" x14ac:dyDescent="0.25">
      <c r="A2411" s="43">
        <v>412</v>
      </c>
      <c r="B2411" s="43" t="s">
        <v>115</v>
      </c>
      <c r="C2411" s="43" t="s">
        <v>1366</v>
      </c>
      <c r="D2411" s="43" t="s">
        <v>1367</v>
      </c>
      <c r="E2411" s="43" t="s">
        <v>1368</v>
      </c>
      <c r="F2411" s="43">
        <v>0</v>
      </c>
      <c r="G2411" s="43" t="s">
        <v>4653</v>
      </c>
      <c r="H2411" s="43" t="s">
        <v>4760</v>
      </c>
    </row>
    <row r="2412" spans="1:8" hidden="1" x14ac:dyDescent="0.25">
      <c r="A2412" s="43">
        <v>412</v>
      </c>
      <c r="B2412" s="43" t="s">
        <v>115</v>
      </c>
      <c r="C2412" s="43" t="s">
        <v>1366</v>
      </c>
      <c r="D2412" s="43" t="s">
        <v>1369</v>
      </c>
      <c r="E2412" s="43" t="s">
        <v>1370</v>
      </c>
      <c r="F2412" s="43">
        <v>1</v>
      </c>
      <c r="G2412"/>
      <c r="H2412"/>
    </row>
    <row r="2413" spans="1:8" hidden="1" x14ac:dyDescent="0.25">
      <c r="A2413" s="43">
        <v>412</v>
      </c>
      <c r="B2413" s="43" t="s">
        <v>115</v>
      </c>
      <c r="C2413" s="43" t="s">
        <v>1366</v>
      </c>
      <c r="D2413" s="43" t="s">
        <v>1371</v>
      </c>
      <c r="E2413" s="43" t="s">
        <v>283</v>
      </c>
      <c r="F2413" s="43">
        <v>1</v>
      </c>
      <c r="G2413"/>
      <c r="H2413"/>
    </row>
    <row r="2414" spans="1:8" hidden="1" x14ac:dyDescent="0.25">
      <c r="A2414" s="43">
        <v>412</v>
      </c>
      <c r="B2414" s="43" t="s">
        <v>115</v>
      </c>
      <c r="C2414" s="43" t="s">
        <v>1366</v>
      </c>
      <c r="D2414" s="43" t="s">
        <v>1372</v>
      </c>
      <c r="E2414" s="43" t="s">
        <v>4468</v>
      </c>
      <c r="F2414" s="43">
        <v>1</v>
      </c>
      <c r="G2414"/>
      <c r="H2414"/>
    </row>
    <row r="2415" spans="1:8" hidden="1" x14ac:dyDescent="0.25">
      <c r="A2415" s="43">
        <v>412</v>
      </c>
      <c r="B2415" s="43" t="s">
        <v>115</v>
      </c>
      <c r="C2415" s="43" t="s">
        <v>1366</v>
      </c>
      <c r="D2415" s="43" t="s">
        <v>1374</v>
      </c>
      <c r="E2415" s="43" t="s">
        <v>1375</v>
      </c>
      <c r="F2415" s="43">
        <v>1</v>
      </c>
      <c r="G2415"/>
      <c r="H2415"/>
    </row>
    <row r="2416" spans="1:8" hidden="1" x14ac:dyDescent="0.25">
      <c r="A2416" s="43">
        <v>412</v>
      </c>
      <c r="B2416" s="43" t="s">
        <v>115</v>
      </c>
      <c r="C2416" s="43" t="s">
        <v>1366</v>
      </c>
      <c r="D2416" s="43" t="s">
        <v>1376</v>
      </c>
      <c r="E2416" s="43" t="s">
        <v>531</v>
      </c>
      <c r="F2416" s="43">
        <v>1</v>
      </c>
      <c r="G2416"/>
      <c r="H2416"/>
    </row>
    <row r="2417" spans="1:8" hidden="1" x14ac:dyDescent="0.25">
      <c r="A2417" s="43">
        <v>412</v>
      </c>
      <c r="B2417" s="43" t="s">
        <v>115</v>
      </c>
      <c r="C2417" s="43" t="s">
        <v>1366</v>
      </c>
      <c r="D2417" s="43" t="s">
        <v>1377</v>
      </c>
      <c r="E2417" s="43" t="s">
        <v>539</v>
      </c>
      <c r="F2417" s="43">
        <v>0</v>
      </c>
      <c r="G2417" s="43" t="s">
        <v>4653</v>
      </c>
      <c r="H2417" s="43" t="s">
        <v>4760</v>
      </c>
    </row>
    <row r="2418" spans="1:8" hidden="1" x14ac:dyDescent="0.25">
      <c r="A2418" s="43">
        <v>412</v>
      </c>
      <c r="B2418" s="43" t="s">
        <v>115</v>
      </c>
      <c r="C2418" s="43" t="s">
        <v>1366</v>
      </c>
      <c r="D2418" s="43" t="s">
        <v>1378</v>
      </c>
      <c r="E2418" s="43" t="s">
        <v>541</v>
      </c>
      <c r="F2418" s="43">
        <v>1</v>
      </c>
      <c r="G2418"/>
      <c r="H2418"/>
    </row>
    <row r="2419" spans="1:8" hidden="1" x14ac:dyDescent="0.25">
      <c r="A2419" s="43">
        <v>412</v>
      </c>
      <c r="B2419" s="43" t="s">
        <v>115</v>
      </c>
      <c r="C2419" s="43" t="s">
        <v>1366</v>
      </c>
      <c r="D2419" s="43" t="s">
        <v>1379</v>
      </c>
      <c r="E2419" s="43" t="s">
        <v>1380</v>
      </c>
      <c r="F2419" s="43">
        <v>1</v>
      </c>
      <c r="G2419"/>
      <c r="H2419"/>
    </row>
    <row r="2420" spans="1:8" hidden="1" x14ac:dyDescent="0.25">
      <c r="A2420" s="43">
        <v>412</v>
      </c>
      <c r="B2420" s="43" t="s">
        <v>115</v>
      </c>
      <c r="C2420" s="43" t="s">
        <v>1366</v>
      </c>
      <c r="D2420" s="43" t="s">
        <v>1381</v>
      </c>
      <c r="E2420" s="43" t="s">
        <v>1382</v>
      </c>
      <c r="F2420" s="43">
        <v>1</v>
      </c>
      <c r="G2420"/>
      <c r="H2420"/>
    </row>
    <row r="2421" spans="1:8" hidden="1" x14ac:dyDescent="0.25">
      <c r="A2421" s="43">
        <v>412</v>
      </c>
      <c r="B2421" s="43" t="s">
        <v>115</v>
      </c>
      <c r="C2421" s="43" t="s">
        <v>1366</v>
      </c>
      <c r="D2421" s="43" t="s">
        <v>1383</v>
      </c>
      <c r="E2421" s="43" t="s">
        <v>1384</v>
      </c>
      <c r="F2421" s="43">
        <v>0</v>
      </c>
      <c r="G2421" s="43" t="s">
        <v>4653</v>
      </c>
      <c r="H2421" s="43" t="s">
        <v>4760</v>
      </c>
    </row>
    <row r="2422" spans="1:8" hidden="1" x14ac:dyDescent="0.25">
      <c r="A2422" s="43">
        <v>412</v>
      </c>
      <c r="B2422" s="43" t="s">
        <v>115</v>
      </c>
      <c r="C2422" s="43" t="s">
        <v>1366</v>
      </c>
      <c r="D2422" s="43" t="s">
        <v>1385</v>
      </c>
      <c r="E2422" s="43" t="s">
        <v>1386</v>
      </c>
      <c r="F2422" s="43">
        <v>1</v>
      </c>
      <c r="G2422"/>
      <c r="H2422"/>
    </row>
    <row r="2423" spans="1:8" hidden="1" x14ac:dyDescent="0.25">
      <c r="A2423" s="43">
        <v>412</v>
      </c>
      <c r="B2423" s="43" t="s">
        <v>115</v>
      </c>
      <c r="C2423" s="43" t="s">
        <v>1366</v>
      </c>
      <c r="D2423" s="43" t="s">
        <v>1387</v>
      </c>
      <c r="E2423" s="43" t="s">
        <v>295</v>
      </c>
      <c r="F2423" s="43">
        <v>1</v>
      </c>
      <c r="G2423"/>
      <c r="H2423"/>
    </row>
    <row r="2424" spans="1:8" hidden="1" x14ac:dyDescent="0.25">
      <c r="A2424" s="43">
        <v>412</v>
      </c>
      <c r="B2424" s="43" t="s">
        <v>115</v>
      </c>
      <c r="C2424" s="43" t="s">
        <v>1366</v>
      </c>
      <c r="D2424" s="43" t="s">
        <v>1388</v>
      </c>
      <c r="E2424" s="43" t="s">
        <v>875</v>
      </c>
      <c r="F2424" s="43">
        <v>0</v>
      </c>
      <c r="G2424" s="43" t="s">
        <v>4653</v>
      </c>
      <c r="H2424" s="43" t="s">
        <v>4760</v>
      </c>
    </row>
    <row r="2425" spans="1:8" hidden="1" x14ac:dyDescent="0.25">
      <c r="A2425" s="43">
        <v>412</v>
      </c>
      <c r="B2425" s="43" t="s">
        <v>115</v>
      </c>
      <c r="C2425" s="43" t="s">
        <v>1366</v>
      </c>
      <c r="D2425" s="43" t="s">
        <v>1389</v>
      </c>
      <c r="E2425" s="43" t="s">
        <v>551</v>
      </c>
      <c r="F2425" s="43">
        <v>1</v>
      </c>
      <c r="G2425"/>
      <c r="H2425"/>
    </row>
    <row r="2426" spans="1:8" hidden="1" x14ac:dyDescent="0.25">
      <c r="A2426" s="43">
        <v>419</v>
      </c>
      <c r="B2426" s="43" t="s">
        <v>117</v>
      </c>
      <c r="C2426" s="43" t="s">
        <v>581</v>
      </c>
      <c r="D2426" s="43" t="s">
        <v>582</v>
      </c>
      <c r="E2426" s="43" t="s">
        <v>583</v>
      </c>
      <c r="F2426" s="43">
        <v>1</v>
      </c>
      <c r="G2426"/>
      <c r="H2426"/>
    </row>
    <row r="2427" spans="1:8" hidden="1" x14ac:dyDescent="0.25">
      <c r="A2427" s="43">
        <v>419</v>
      </c>
      <c r="B2427" s="43" t="s">
        <v>117</v>
      </c>
      <c r="C2427" s="43" t="s">
        <v>581</v>
      </c>
      <c r="D2427" s="43" t="s">
        <v>584</v>
      </c>
      <c r="E2427" s="43" t="s">
        <v>306</v>
      </c>
      <c r="F2427" s="43">
        <v>1</v>
      </c>
      <c r="G2427"/>
      <c r="H2427"/>
    </row>
    <row r="2428" spans="1:8" hidden="1" x14ac:dyDescent="0.25">
      <c r="A2428" s="43">
        <v>419</v>
      </c>
      <c r="B2428" s="43" t="s">
        <v>117</v>
      </c>
      <c r="C2428" s="43" t="s">
        <v>581</v>
      </c>
      <c r="D2428" s="43" t="s">
        <v>585</v>
      </c>
      <c r="E2428" s="43" t="s">
        <v>586</v>
      </c>
      <c r="F2428" s="43">
        <v>1</v>
      </c>
      <c r="G2428"/>
      <c r="H2428"/>
    </row>
    <row r="2429" spans="1:8" hidden="1" x14ac:dyDescent="0.25">
      <c r="A2429" s="43">
        <v>419</v>
      </c>
      <c r="B2429" s="43" t="s">
        <v>117</v>
      </c>
      <c r="C2429" s="43" t="s">
        <v>581</v>
      </c>
      <c r="D2429" s="43" t="s">
        <v>587</v>
      </c>
      <c r="E2429" s="43" t="s">
        <v>588</v>
      </c>
      <c r="F2429" s="43">
        <v>1</v>
      </c>
      <c r="G2429"/>
      <c r="H2429"/>
    </row>
    <row r="2430" spans="1:8" hidden="1" x14ac:dyDescent="0.25">
      <c r="A2430" s="43">
        <v>419</v>
      </c>
      <c r="B2430" s="43" t="s">
        <v>117</v>
      </c>
      <c r="C2430" s="43" t="s">
        <v>581</v>
      </c>
      <c r="D2430" s="43" t="s">
        <v>589</v>
      </c>
      <c r="E2430" s="43" t="s">
        <v>312</v>
      </c>
      <c r="F2430" s="43">
        <v>1</v>
      </c>
      <c r="G2430"/>
      <c r="H2430"/>
    </row>
    <row r="2431" spans="1:8" hidden="1" x14ac:dyDescent="0.25">
      <c r="A2431" s="43">
        <v>419</v>
      </c>
      <c r="B2431" s="43" t="s">
        <v>117</v>
      </c>
      <c r="C2431" s="43" t="s">
        <v>581</v>
      </c>
      <c r="D2431" s="43" t="s">
        <v>590</v>
      </c>
      <c r="E2431" s="43" t="s">
        <v>493</v>
      </c>
      <c r="F2431" s="43">
        <v>1</v>
      </c>
      <c r="G2431"/>
      <c r="H2431"/>
    </row>
    <row r="2432" spans="1:8" hidden="1" x14ac:dyDescent="0.25">
      <c r="A2432" s="43">
        <v>419</v>
      </c>
      <c r="B2432" s="43" t="s">
        <v>117</v>
      </c>
      <c r="C2432" s="43" t="s">
        <v>581</v>
      </c>
      <c r="D2432" s="43" t="s">
        <v>591</v>
      </c>
      <c r="E2432" s="43" t="s">
        <v>314</v>
      </c>
      <c r="F2432" s="43">
        <v>1</v>
      </c>
      <c r="G2432"/>
      <c r="H2432"/>
    </row>
    <row r="2433" spans="1:8" hidden="1" x14ac:dyDescent="0.25">
      <c r="A2433" s="43">
        <v>419</v>
      </c>
      <c r="B2433" s="43" t="s">
        <v>117</v>
      </c>
      <c r="C2433" s="43" t="s">
        <v>581</v>
      </c>
      <c r="D2433" s="43" t="s">
        <v>592</v>
      </c>
      <c r="E2433" s="43" t="s">
        <v>275</v>
      </c>
      <c r="F2433" s="43">
        <v>1</v>
      </c>
      <c r="G2433"/>
      <c r="H2433"/>
    </row>
    <row r="2434" spans="1:8" hidden="1" x14ac:dyDescent="0.25">
      <c r="A2434" s="43">
        <v>419</v>
      </c>
      <c r="B2434" s="43" t="s">
        <v>117</v>
      </c>
      <c r="C2434" s="43" t="s">
        <v>581</v>
      </c>
      <c r="D2434" s="43" t="s">
        <v>593</v>
      </c>
      <c r="E2434" s="43" t="s">
        <v>594</v>
      </c>
      <c r="F2434" s="43">
        <v>1</v>
      </c>
      <c r="G2434"/>
      <c r="H2434"/>
    </row>
    <row r="2435" spans="1:8" hidden="1" x14ac:dyDescent="0.25">
      <c r="A2435" s="43">
        <v>419</v>
      </c>
      <c r="B2435" s="43" t="s">
        <v>117</v>
      </c>
      <c r="C2435" s="43" t="s">
        <v>581</v>
      </c>
      <c r="D2435" s="43" t="s">
        <v>595</v>
      </c>
      <c r="E2435" s="43" t="s">
        <v>349</v>
      </c>
      <c r="F2435" s="43">
        <v>1</v>
      </c>
      <c r="G2435"/>
      <c r="H2435"/>
    </row>
    <row r="2436" spans="1:8" hidden="1" x14ac:dyDescent="0.25">
      <c r="A2436" s="43">
        <v>419</v>
      </c>
      <c r="B2436" s="43" t="s">
        <v>117</v>
      </c>
      <c r="C2436" s="43" t="s">
        <v>581</v>
      </c>
      <c r="D2436" s="43" t="s">
        <v>596</v>
      </c>
      <c r="E2436" s="43" t="s">
        <v>597</v>
      </c>
      <c r="F2436" s="43">
        <v>1</v>
      </c>
      <c r="G2436"/>
      <c r="H2436"/>
    </row>
    <row r="2437" spans="1:8" hidden="1" x14ac:dyDescent="0.25">
      <c r="A2437" s="43">
        <v>419</v>
      </c>
      <c r="B2437" s="43" t="s">
        <v>117</v>
      </c>
      <c r="C2437" s="43" t="s">
        <v>581</v>
      </c>
      <c r="D2437" s="43" t="s">
        <v>598</v>
      </c>
      <c r="E2437" s="43" t="s">
        <v>599</v>
      </c>
      <c r="F2437" s="43">
        <v>1</v>
      </c>
      <c r="G2437"/>
      <c r="H2437"/>
    </row>
    <row r="2438" spans="1:8" hidden="1" x14ac:dyDescent="0.25">
      <c r="A2438" s="43">
        <v>419</v>
      </c>
      <c r="B2438" s="43" t="s">
        <v>117</v>
      </c>
      <c r="C2438" s="43" t="s">
        <v>581</v>
      </c>
      <c r="D2438" s="43" t="s">
        <v>600</v>
      </c>
      <c r="E2438" s="43" t="s">
        <v>601</v>
      </c>
      <c r="F2438" s="43">
        <v>1</v>
      </c>
      <c r="G2438"/>
      <c r="H2438"/>
    </row>
    <row r="2439" spans="1:8" hidden="1" x14ac:dyDescent="0.25">
      <c r="A2439" s="43">
        <v>419</v>
      </c>
      <c r="B2439" s="43" t="s">
        <v>117</v>
      </c>
      <c r="C2439" s="43" t="s">
        <v>581</v>
      </c>
      <c r="D2439" s="43" t="s">
        <v>602</v>
      </c>
      <c r="E2439" s="43" t="s">
        <v>603</v>
      </c>
      <c r="F2439" s="43">
        <v>1</v>
      </c>
      <c r="G2439"/>
      <c r="H2439"/>
    </row>
    <row r="2440" spans="1:8" hidden="1" x14ac:dyDescent="0.25">
      <c r="A2440" s="43">
        <v>419</v>
      </c>
      <c r="B2440" s="43" t="s">
        <v>117</v>
      </c>
      <c r="C2440" s="43" t="s">
        <v>581</v>
      </c>
      <c r="D2440" s="43" t="s">
        <v>604</v>
      </c>
      <c r="E2440" s="43" t="s">
        <v>605</v>
      </c>
      <c r="F2440" s="43">
        <v>0</v>
      </c>
      <c r="G2440" s="43" t="s">
        <v>4654</v>
      </c>
      <c r="H2440" s="43" t="s">
        <v>4764</v>
      </c>
    </row>
    <row r="2441" spans="1:8" hidden="1" x14ac:dyDescent="0.25">
      <c r="A2441" s="43">
        <v>419</v>
      </c>
      <c r="B2441" s="43" t="s">
        <v>117</v>
      </c>
      <c r="C2441" s="43" t="s">
        <v>581</v>
      </c>
      <c r="D2441" s="43" t="s">
        <v>606</v>
      </c>
      <c r="E2441" s="43" t="s">
        <v>503</v>
      </c>
      <c r="F2441" s="43">
        <v>1</v>
      </c>
      <c r="G2441"/>
      <c r="H2441"/>
    </row>
    <row r="2442" spans="1:8" hidden="1" x14ac:dyDescent="0.25">
      <c r="A2442" s="43">
        <v>419</v>
      </c>
      <c r="B2442" s="43" t="s">
        <v>117</v>
      </c>
      <c r="C2442" s="43" t="s">
        <v>581</v>
      </c>
      <c r="D2442" s="43" t="s">
        <v>607</v>
      </c>
      <c r="E2442" s="43" t="s">
        <v>505</v>
      </c>
      <c r="F2442" s="43">
        <v>1</v>
      </c>
      <c r="G2442"/>
      <c r="H2442"/>
    </row>
    <row r="2443" spans="1:8" hidden="1" x14ac:dyDescent="0.25">
      <c r="A2443" s="43">
        <v>419</v>
      </c>
      <c r="B2443" s="43" t="s">
        <v>117</v>
      </c>
      <c r="C2443" s="43" t="s">
        <v>581</v>
      </c>
      <c r="D2443" s="43" t="s">
        <v>608</v>
      </c>
      <c r="E2443" s="43" t="s">
        <v>609</v>
      </c>
      <c r="F2443" s="43">
        <v>1</v>
      </c>
      <c r="G2443"/>
      <c r="H2443"/>
    </row>
    <row r="2444" spans="1:8" hidden="1" x14ac:dyDescent="0.25">
      <c r="A2444" s="43">
        <v>421</v>
      </c>
      <c r="B2444" s="43" t="s">
        <v>118</v>
      </c>
      <c r="C2444" s="43" t="s">
        <v>256</v>
      </c>
      <c r="D2444" s="43" t="s">
        <v>257</v>
      </c>
      <c r="E2444" s="43" t="s">
        <v>258</v>
      </c>
      <c r="F2444" s="43">
        <v>1</v>
      </c>
      <c r="G2444"/>
      <c r="H2444"/>
    </row>
    <row r="2445" spans="1:8" hidden="1" x14ac:dyDescent="0.25">
      <c r="A2445" s="43">
        <v>421</v>
      </c>
      <c r="B2445" s="43" t="s">
        <v>118</v>
      </c>
      <c r="C2445" s="43" t="s">
        <v>256</v>
      </c>
      <c r="D2445" s="43" t="s">
        <v>259</v>
      </c>
      <c r="E2445" s="43" t="s">
        <v>260</v>
      </c>
      <c r="F2445" s="43">
        <v>0</v>
      </c>
      <c r="G2445" s="43" t="s">
        <v>4655</v>
      </c>
      <c r="H2445" s="43" t="s">
        <v>4763</v>
      </c>
    </row>
    <row r="2446" spans="1:8" hidden="1" x14ac:dyDescent="0.25">
      <c r="A2446" s="43">
        <v>421</v>
      </c>
      <c r="B2446" s="43" t="s">
        <v>118</v>
      </c>
      <c r="C2446" s="43" t="s">
        <v>256</v>
      </c>
      <c r="D2446" s="43" t="s">
        <v>261</v>
      </c>
      <c r="E2446" s="43" t="s">
        <v>262</v>
      </c>
      <c r="F2446" s="43">
        <v>1</v>
      </c>
      <c r="G2446"/>
      <c r="H2446"/>
    </row>
    <row r="2447" spans="1:8" hidden="1" x14ac:dyDescent="0.25">
      <c r="A2447" s="43">
        <v>421</v>
      </c>
      <c r="B2447" s="43" t="s">
        <v>118</v>
      </c>
      <c r="C2447" s="43" t="s">
        <v>256</v>
      </c>
      <c r="D2447" s="43" t="s">
        <v>263</v>
      </c>
      <c r="E2447" s="43" t="s">
        <v>264</v>
      </c>
      <c r="F2447" s="43">
        <v>1</v>
      </c>
      <c r="G2447"/>
      <c r="H2447"/>
    </row>
    <row r="2448" spans="1:8" hidden="1" x14ac:dyDescent="0.25">
      <c r="A2448" s="43">
        <v>421</v>
      </c>
      <c r="B2448" s="43" t="s">
        <v>118</v>
      </c>
      <c r="C2448" s="43" t="s">
        <v>256</v>
      </c>
      <c r="D2448" s="43" t="s">
        <v>265</v>
      </c>
      <c r="E2448" s="43" t="s">
        <v>266</v>
      </c>
      <c r="F2448" s="43">
        <v>1</v>
      </c>
      <c r="G2448"/>
      <c r="H2448"/>
    </row>
    <row r="2449" spans="1:8" hidden="1" x14ac:dyDescent="0.25">
      <c r="A2449" s="43">
        <v>421</v>
      </c>
      <c r="B2449" s="43" t="s">
        <v>118</v>
      </c>
      <c r="C2449" s="43" t="s">
        <v>256</v>
      </c>
      <c r="D2449" s="43" t="s">
        <v>267</v>
      </c>
      <c r="E2449" s="43" t="s">
        <v>268</v>
      </c>
      <c r="F2449" s="43">
        <v>1</v>
      </c>
      <c r="G2449"/>
      <c r="H2449"/>
    </row>
    <row r="2450" spans="1:8" hidden="1" x14ac:dyDescent="0.25">
      <c r="A2450" s="43">
        <v>421</v>
      </c>
      <c r="B2450" s="43" t="s">
        <v>118</v>
      </c>
      <c r="C2450" s="43" t="s">
        <v>256</v>
      </c>
      <c r="D2450" s="43" t="s">
        <v>269</v>
      </c>
      <c r="E2450" s="43" t="s">
        <v>270</v>
      </c>
      <c r="F2450" s="43">
        <v>1</v>
      </c>
      <c r="G2450"/>
      <c r="H2450"/>
    </row>
    <row r="2451" spans="1:8" hidden="1" x14ac:dyDescent="0.25">
      <c r="A2451" s="43">
        <v>428</v>
      </c>
      <c r="B2451" s="43" t="s">
        <v>119</v>
      </c>
      <c r="C2451" s="43" t="s">
        <v>1751</v>
      </c>
      <c r="D2451" s="43" t="s">
        <v>1752</v>
      </c>
      <c r="E2451" s="43" t="s">
        <v>304</v>
      </c>
      <c r="F2451" s="43">
        <v>1</v>
      </c>
      <c r="G2451"/>
      <c r="H2451"/>
    </row>
    <row r="2452" spans="1:8" hidden="1" x14ac:dyDescent="0.25">
      <c r="A2452" s="43">
        <v>428</v>
      </c>
      <c r="B2452" s="43" t="s">
        <v>119</v>
      </c>
      <c r="C2452" s="43" t="s">
        <v>1751</v>
      </c>
      <c r="D2452" s="43" t="s">
        <v>1753</v>
      </c>
      <c r="E2452" s="43" t="s">
        <v>306</v>
      </c>
      <c r="F2452" s="43">
        <v>1</v>
      </c>
      <c r="G2452"/>
      <c r="H2452"/>
    </row>
    <row r="2453" spans="1:8" hidden="1" x14ac:dyDescent="0.25">
      <c r="A2453" s="43">
        <v>428</v>
      </c>
      <c r="B2453" s="43" t="s">
        <v>119</v>
      </c>
      <c r="C2453" s="43" t="s">
        <v>1751</v>
      </c>
      <c r="D2453" s="43" t="s">
        <v>1754</v>
      </c>
      <c r="E2453" s="43" t="s">
        <v>1755</v>
      </c>
      <c r="F2453" s="43">
        <v>1</v>
      </c>
      <c r="G2453"/>
      <c r="H2453"/>
    </row>
    <row r="2454" spans="1:8" hidden="1" x14ac:dyDescent="0.25">
      <c r="A2454" s="43">
        <v>428</v>
      </c>
      <c r="B2454" s="43" t="s">
        <v>119</v>
      </c>
      <c r="C2454" s="43" t="s">
        <v>1751</v>
      </c>
      <c r="D2454" s="43" t="s">
        <v>1756</v>
      </c>
      <c r="E2454" s="43" t="s">
        <v>343</v>
      </c>
      <c r="F2454" s="43">
        <v>1</v>
      </c>
      <c r="G2454"/>
      <c r="H2454"/>
    </row>
    <row r="2455" spans="1:8" hidden="1" x14ac:dyDescent="0.25">
      <c r="A2455" s="43">
        <v>428</v>
      </c>
      <c r="B2455" s="43" t="s">
        <v>119</v>
      </c>
      <c r="C2455" s="43" t="s">
        <v>1751</v>
      </c>
      <c r="D2455" s="43" t="s">
        <v>1757</v>
      </c>
      <c r="E2455" s="43" t="s">
        <v>349</v>
      </c>
      <c r="F2455" s="43">
        <v>1</v>
      </c>
      <c r="G2455"/>
      <c r="H2455"/>
    </row>
    <row r="2456" spans="1:8" hidden="1" x14ac:dyDescent="0.25">
      <c r="A2456" s="43">
        <v>428</v>
      </c>
      <c r="B2456" s="43" t="s">
        <v>119</v>
      </c>
      <c r="C2456" s="43" t="s">
        <v>1751</v>
      </c>
      <c r="D2456" s="43" t="s">
        <v>1758</v>
      </c>
      <c r="E2456" s="43" t="s">
        <v>793</v>
      </c>
      <c r="F2456" s="43">
        <v>1</v>
      </c>
      <c r="G2456"/>
      <c r="H2456"/>
    </row>
    <row r="2457" spans="1:8" hidden="1" x14ac:dyDescent="0.25">
      <c r="A2457" s="43">
        <v>428</v>
      </c>
      <c r="B2457" s="43" t="s">
        <v>119</v>
      </c>
      <c r="C2457" s="43" t="s">
        <v>1751</v>
      </c>
      <c r="D2457" s="43" t="s">
        <v>1759</v>
      </c>
      <c r="E2457" s="43" t="s">
        <v>1760</v>
      </c>
      <c r="F2457" s="43">
        <v>1</v>
      </c>
      <c r="G2457"/>
      <c r="H2457"/>
    </row>
    <row r="2458" spans="1:8" hidden="1" x14ac:dyDescent="0.25">
      <c r="A2458" s="43">
        <v>428</v>
      </c>
      <c r="B2458" s="43" t="s">
        <v>119</v>
      </c>
      <c r="C2458" s="43" t="s">
        <v>1751</v>
      </c>
      <c r="D2458" s="43" t="s">
        <v>1761</v>
      </c>
      <c r="E2458" s="43" t="s">
        <v>359</v>
      </c>
      <c r="F2458" s="43">
        <v>1</v>
      </c>
      <c r="G2458"/>
      <c r="H2458"/>
    </row>
    <row r="2459" spans="1:8" hidden="1" x14ac:dyDescent="0.25">
      <c r="A2459" s="43">
        <v>428</v>
      </c>
      <c r="B2459" s="43" t="s">
        <v>119</v>
      </c>
      <c r="C2459" s="43" t="s">
        <v>1751</v>
      </c>
      <c r="D2459" s="43" t="s">
        <v>1762</v>
      </c>
      <c r="E2459" s="43" t="s">
        <v>361</v>
      </c>
      <c r="F2459" s="43">
        <v>1</v>
      </c>
      <c r="G2459"/>
      <c r="H2459"/>
    </row>
    <row r="2460" spans="1:8" hidden="1" x14ac:dyDescent="0.25">
      <c r="A2460" s="43">
        <v>428</v>
      </c>
      <c r="B2460" s="43" t="s">
        <v>119</v>
      </c>
      <c r="C2460" s="43" t="s">
        <v>1751</v>
      </c>
      <c r="D2460" s="43" t="s">
        <v>1763</v>
      </c>
      <c r="E2460" s="43" t="s">
        <v>1303</v>
      </c>
      <c r="F2460" s="43">
        <v>1</v>
      </c>
      <c r="G2460"/>
      <c r="H2460"/>
    </row>
    <row r="2461" spans="1:8" hidden="1" x14ac:dyDescent="0.25">
      <c r="A2461" s="43">
        <v>430</v>
      </c>
      <c r="B2461" s="43" t="s">
        <v>120</v>
      </c>
      <c r="C2461" s="43" t="s">
        <v>1685</v>
      </c>
      <c r="D2461" s="43" t="s">
        <v>1686</v>
      </c>
      <c r="E2461" s="43" t="s">
        <v>1687</v>
      </c>
      <c r="F2461" s="43">
        <v>1</v>
      </c>
      <c r="G2461"/>
      <c r="H2461"/>
    </row>
    <row r="2462" spans="1:8" hidden="1" x14ac:dyDescent="0.25">
      <c r="A2462" s="43">
        <v>430</v>
      </c>
      <c r="B2462" s="43" t="s">
        <v>120</v>
      </c>
      <c r="C2462" s="43" t="s">
        <v>1685</v>
      </c>
      <c r="D2462" s="43" t="s">
        <v>1688</v>
      </c>
      <c r="E2462" s="43" t="s">
        <v>1689</v>
      </c>
      <c r="F2462" s="43">
        <v>1</v>
      </c>
      <c r="G2462"/>
      <c r="H2462"/>
    </row>
    <row r="2463" spans="1:8" hidden="1" x14ac:dyDescent="0.25">
      <c r="A2463" s="43">
        <v>430</v>
      </c>
      <c r="B2463" s="43" t="s">
        <v>120</v>
      </c>
      <c r="C2463" s="43" t="s">
        <v>1685</v>
      </c>
      <c r="D2463" s="43" t="s">
        <v>1690</v>
      </c>
      <c r="E2463" s="43" t="s">
        <v>1691</v>
      </c>
      <c r="F2463" s="43">
        <v>1</v>
      </c>
      <c r="G2463"/>
      <c r="H2463"/>
    </row>
    <row r="2464" spans="1:8" hidden="1" x14ac:dyDescent="0.25">
      <c r="A2464" s="43">
        <v>430</v>
      </c>
      <c r="B2464" s="43" t="s">
        <v>120</v>
      </c>
      <c r="C2464" s="43" t="s">
        <v>1685</v>
      </c>
      <c r="D2464" s="43" t="s">
        <v>1692</v>
      </c>
      <c r="E2464" s="43" t="s">
        <v>1693</v>
      </c>
      <c r="F2464" s="43">
        <v>1</v>
      </c>
      <c r="G2464"/>
      <c r="H2464"/>
    </row>
    <row r="2465" spans="1:8" hidden="1" x14ac:dyDescent="0.25">
      <c r="A2465" s="43">
        <v>430</v>
      </c>
      <c r="B2465" s="43" t="s">
        <v>120</v>
      </c>
      <c r="C2465" s="43" t="s">
        <v>1685</v>
      </c>
      <c r="D2465" s="43" t="s">
        <v>1694</v>
      </c>
      <c r="E2465" s="43" t="s">
        <v>1695</v>
      </c>
      <c r="F2465" s="43">
        <v>1</v>
      </c>
      <c r="G2465"/>
      <c r="H2465"/>
    </row>
    <row r="2466" spans="1:8" hidden="1" x14ac:dyDescent="0.25">
      <c r="A2466" s="43">
        <v>430</v>
      </c>
      <c r="B2466" s="43" t="s">
        <v>120</v>
      </c>
      <c r="C2466" s="43" t="s">
        <v>1685</v>
      </c>
      <c r="D2466" s="43" t="s">
        <v>1696</v>
      </c>
      <c r="E2466" s="43" t="s">
        <v>1697</v>
      </c>
      <c r="F2466" s="43">
        <v>1</v>
      </c>
      <c r="G2466"/>
      <c r="H2466"/>
    </row>
    <row r="2467" spans="1:8" hidden="1" x14ac:dyDescent="0.25">
      <c r="A2467" s="43">
        <v>430</v>
      </c>
      <c r="B2467" s="43" t="s">
        <v>120</v>
      </c>
      <c r="C2467" s="43" t="s">
        <v>1685</v>
      </c>
      <c r="D2467" s="43" t="s">
        <v>1698</v>
      </c>
      <c r="E2467" s="43" t="s">
        <v>1699</v>
      </c>
      <c r="F2467" s="43">
        <v>1</v>
      </c>
      <c r="G2467"/>
      <c r="H2467"/>
    </row>
    <row r="2468" spans="1:8" hidden="1" x14ac:dyDescent="0.25">
      <c r="A2468" s="43">
        <v>430</v>
      </c>
      <c r="B2468" s="43" t="s">
        <v>120</v>
      </c>
      <c r="C2468" s="43" t="s">
        <v>1685</v>
      </c>
      <c r="D2468" s="43" t="s">
        <v>1700</v>
      </c>
      <c r="E2468" s="43" t="s">
        <v>1701</v>
      </c>
      <c r="F2468" s="43">
        <v>1</v>
      </c>
      <c r="G2468"/>
      <c r="H2468"/>
    </row>
    <row r="2469" spans="1:8" hidden="1" x14ac:dyDescent="0.25">
      <c r="A2469" s="43">
        <v>430</v>
      </c>
      <c r="B2469" s="43" t="s">
        <v>120</v>
      </c>
      <c r="C2469" s="43" t="s">
        <v>1685</v>
      </c>
      <c r="D2469" s="43" t="s">
        <v>1702</v>
      </c>
      <c r="E2469" s="43" t="s">
        <v>314</v>
      </c>
      <c r="F2469" s="43">
        <v>0</v>
      </c>
      <c r="G2469" s="43" t="s">
        <v>4583</v>
      </c>
      <c r="H2469"/>
    </row>
    <row r="2470" spans="1:8" hidden="1" x14ac:dyDescent="0.25">
      <c r="A2470" s="43">
        <v>430</v>
      </c>
      <c r="B2470" s="43" t="s">
        <v>120</v>
      </c>
      <c r="C2470" s="43" t="s">
        <v>1685</v>
      </c>
      <c r="D2470" s="43" t="s">
        <v>1703</v>
      </c>
      <c r="E2470" s="43" t="s">
        <v>1704</v>
      </c>
      <c r="F2470" s="43">
        <v>1</v>
      </c>
      <c r="G2470"/>
      <c r="H2470"/>
    </row>
    <row r="2471" spans="1:8" hidden="1" x14ac:dyDescent="0.25">
      <c r="A2471" s="43">
        <v>430</v>
      </c>
      <c r="B2471" s="43" t="s">
        <v>120</v>
      </c>
      <c r="C2471" s="43" t="s">
        <v>1685</v>
      </c>
      <c r="D2471" s="43" t="s">
        <v>1705</v>
      </c>
      <c r="E2471" s="43" t="s">
        <v>1706</v>
      </c>
      <c r="F2471" s="43">
        <v>0</v>
      </c>
      <c r="G2471" s="43" t="s">
        <v>4583</v>
      </c>
      <c r="H2471"/>
    </row>
    <row r="2472" spans="1:8" hidden="1" x14ac:dyDescent="0.25">
      <c r="A2472" s="43">
        <v>430</v>
      </c>
      <c r="B2472" s="43" t="s">
        <v>120</v>
      </c>
      <c r="C2472" s="43" t="s">
        <v>1685</v>
      </c>
      <c r="D2472" s="43" t="s">
        <v>1707</v>
      </c>
      <c r="E2472" s="43" t="s">
        <v>1708</v>
      </c>
      <c r="F2472" s="43">
        <v>0</v>
      </c>
      <c r="G2472" s="43" t="s">
        <v>4583</v>
      </c>
      <c r="H2472"/>
    </row>
    <row r="2473" spans="1:8" hidden="1" x14ac:dyDescent="0.25">
      <c r="A2473" s="43">
        <v>430</v>
      </c>
      <c r="B2473" s="43" t="s">
        <v>120</v>
      </c>
      <c r="C2473" s="43" t="s">
        <v>1685</v>
      </c>
      <c r="D2473" s="43" t="s">
        <v>1709</v>
      </c>
      <c r="E2473" s="43" t="s">
        <v>1710</v>
      </c>
      <c r="F2473" s="43">
        <v>0</v>
      </c>
      <c r="G2473" s="43" t="s">
        <v>4583</v>
      </c>
      <c r="H2473"/>
    </row>
    <row r="2474" spans="1:8" hidden="1" x14ac:dyDescent="0.25">
      <c r="A2474" s="43">
        <v>430</v>
      </c>
      <c r="B2474" s="43" t="s">
        <v>120</v>
      </c>
      <c r="C2474" s="43" t="s">
        <v>1685</v>
      </c>
      <c r="D2474" s="43" t="s">
        <v>1711</v>
      </c>
      <c r="E2474" s="43" t="s">
        <v>1124</v>
      </c>
      <c r="F2474" s="43">
        <v>0</v>
      </c>
      <c r="G2474" s="43" t="s">
        <v>4583</v>
      </c>
      <c r="H2474"/>
    </row>
    <row r="2475" spans="1:8" hidden="1" x14ac:dyDescent="0.25">
      <c r="A2475" s="43">
        <v>436</v>
      </c>
      <c r="B2475" s="43" t="s">
        <v>121</v>
      </c>
      <c r="C2475" s="43" t="s">
        <v>506</v>
      </c>
      <c r="D2475" s="43" t="s">
        <v>507</v>
      </c>
      <c r="E2475" s="43" t="s">
        <v>508</v>
      </c>
      <c r="F2475" s="43">
        <v>0</v>
      </c>
      <c r="G2475" s="43" t="s">
        <v>4583</v>
      </c>
      <c r="H2475"/>
    </row>
    <row r="2476" spans="1:8" hidden="1" x14ac:dyDescent="0.25">
      <c r="A2476" s="43">
        <v>436</v>
      </c>
      <c r="B2476" s="43" t="s">
        <v>121</v>
      </c>
      <c r="C2476" s="43" t="s">
        <v>506</v>
      </c>
      <c r="D2476" s="43" t="s">
        <v>509</v>
      </c>
      <c r="E2476" s="43" t="s">
        <v>510</v>
      </c>
      <c r="F2476" s="43">
        <v>0</v>
      </c>
      <c r="G2476" s="43" t="s">
        <v>4583</v>
      </c>
      <c r="H2476"/>
    </row>
    <row r="2477" spans="1:8" hidden="1" x14ac:dyDescent="0.25">
      <c r="A2477" s="43">
        <v>436</v>
      </c>
      <c r="B2477" s="43" t="s">
        <v>121</v>
      </c>
      <c r="C2477" s="43" t="s">
        <v>506</v>
      </c>
      <c r="D2477" s="43" t="s">
        <v>511</v>
      </c>
      <c r="E2477" s="43" t="s">
        <v>512</v>
      </c>
      <c r="F2477" s="43">
        <v>0</v>
      </c>
      <c r="G2477" s="43" t="s">
        <v>4583</v>
      </c>
      <c r="H2477"/>
    </row>
    <row r="2478" spans="1:8" hidden="1" x14ac:dyDescent="0.25">
      <c r="A2478" s="43">
        <v>436</v>
      </c>
      <c r="B2478" s="43" t="s">
        <v>121</v>
      </c>
      <c r="C2478" s="43" t="s">
        <v>506</v>
      </c>
      <c r="D2478" s="43" t="s">
        <v>513</v>
      </c>
      <c r="E2478" s="43" t="s">
        <v>514</v>
      </c>
      <c r="F2478" s="43">
        <v>1</v>
      </c>
      <c r="G2478"/>
      <c r="H2478"/>
    </row>
    <row r="2479" spans="1:8" hidden="1" x14ac:dyDescent="0.25">
      <c r="A2479" s="43">
        <v>436</v>
      </c>
      <c r="B2479" s="43" t="s">
        <v>121</v>
      </c>
      <c r="C2479" s="43" t="s">
        <v>506</v>
      </c>
      <c r="D2479" s="43" t="s">
        <v>515</v>
      </c>
      <c r="E2479" s="43" t="s">
        <v>516</v>
      </c>
      <c r="F2479" s="43">
        <v>1</v>
      </c>
      <c r="G2479"/>
      <c r="H2479"/>
    </row>
    <row r="2480" spans="1:8" hidden="1" x14ac:dyDescent="0.25">
      <c r="A2480" s="43">
        <v>436</v>
      </c>
      <c r="B2480" s="43" t="s">
        <v>121</v>
      </c>
      <c r="C2480" s="43" t="s">
        <v>506</v>
      </c>
      <c r="D2480" s="43" t="s">
        <v>517</v>
      </c>
      <c r="E2480" s="43" t="s">
        <v>518</v>
      </c>
      <c r="F2480" s="43">
        <v>0</v>
      </c>
      <c r="G2480" s="43" t="s">
        <v>4583</v>
      </c>
      <c r="H2480"/>
    </row>
    <row r="2481" spans="1:8" hidden="1" x14ac:dyDescent="0.25">
      <c r="A2481" s="43">
        <v>436</v>
      </c>
      <c r="B2481" s="43" t="s">
        <v>121</v>
      </c>
      <c r="C2481" s="43" t="s">
        <v>506</v>
      </c>
      <c r="D2481" s="43" t="s">
        <v>519</v>
      </c>
      <c r="E2481" s="43" t="s">
        <v>520</v>
      </c>
      <c r="F2481" s="43">
        <v>0</v>
      </c>
      <c r="G2481" s="43" t="s">
        <v>4583</v>
      </c>
      <c r="H2481"/>
    </row>
    <row r="2482" spans="1:8" hidden="1" x14ac:dyDescent="0.25">
      <c r="A2482" s="43">
        <v>436</v>
      </c>
      <c r="B2482" s="43" t="s">
        <v>121</v>
      </c>
      <c r="C2482" s="43" t="s">
        <v>506</v>
      </c>
      <c r="D2482" s="43" t="s">
        <v>521</v>
      </c>
      <c r="E2482" s="43" t="s">
        <v>522</v>
      </c>
      <c r="F2482" s="43">
        <v>0</v>
      </c>
      <c r="G2482" s="43" t="s">
        <v>4583</v>
      </c>
      <c r="H2482"/>
    </row>
    <row r="2483" spans="1:8" hidden="1" x14ac:dyDescent="0.25">
      <c r="A2483" s="43">
        <v>436</v>
      </c>
      <c r="B2483" s="43" t="s">
        <v>121</v>
      </c>
      <c r="C2483" s="43" t="s">
        <v>506</v>
      </c>
      <c r="D2483" s="43" t="s">
        <v>523</v>
      </c>
      <c r="E2483" s="43" t="s">
        <v>4472</v>
      </c>
      <c r="F2483" s="43">
        <v>0</v>
      </c>
      <c r="G2483" s="43" t="s">
        <v>4583</v>
      </c>
      <c r="H2483"/>
    </row>
    <row r="2484" spans="1:8" hidden="1" x14ac:dyDescent="0.25">
      <c r="A2484" s="43">
        <v>436</v>
      </c>
      <c r="B2484" s="43" t="s">
        <v>121</v>
      </c>
      <c r="C2484" s="43" t="s">
        <v>506</v>
      </c>
      <c r="D2484" s="43" t="s">
        <v>525</v>
      </c>
      <c r="E2484" s="43" t="s">
        <v>526</v>
      </c>
      <c r="F2484" s="43">
        <v>0</v>
      </c>
      <c r="G2484" s="43" t="s">
        <v>4583</v>
      </c>
      <c r="H2484"/>
    </row>
    <row r="2485" spans="1:8" hidden="1" x14ac:dyDescent="0.25">
      <c r="A2485" s="43">
        <v>436</v>
      </c>
      <c r="B2485" s="43" t="s">
        <v>121</v>
      </c>
      <c r="C2485" s="43" t="s">
        <v>506</v>
      </c>
      <c r="D2485" s="43" t="s">
        <v>527</v>
      </c>
      <c r="E2485" s="43" t="s">
        <v>283</v>
      </c>
      <c r="F2485" s="43">
        <v>1</v>
      </c>
      <c r="G2485"/>
      <c r="H2485"/>
    </row>
    <row r="2486" spans="1:8" hidden="1" x14ac:dyDescent="0.25">
      <c r="A2486" s="43">
        <v>436</v>
      </c>
      <c r="B2486" s="43" t="s">
        <v>121</v>
      </c>
      <c r="C2486" s="43" t="s">
        <v>506</v>
      </c>
      <c r="D2486" s="43" t="s">
        <v>528</v>
      </c>
      <c r="E2486" s="43" t="s">
        <v>529</v>
      </c>
      <c r="F2486" s="43">
        <v>0</v>
      </c>
      <c r="G2486" s="43" t="s">
        <v>4583</v>
      </c>
      <c r="H2486"/>
    </row>
    <row r="2487" spans="1:8" hidden="1" x14ac:dyDescent="0.25">
      <c r="A2487" s="43">
        <v>436</v>
      </c>
      <c r="B2487" s="43" t="s">
        <v>121</v>
      </c>
      <c r="C2487" s="43" t="s">
        <v>506</v>
      </c>
      <c r="D2487" s="43" t="s">
        <v>530</v>
      </c>
      <c r="E2487" s="43" t="s">
        <v>531</v>
      </c>
      <c r="F2487" s="43">
        <v>1</v>
      </c>
      <c r="G2487"/>
      <c r="H2487"/>
    </row>
    <row r="2488" spans="1:8" hidden="1" x14ac:dyDescent="0.25">
      <c r="A2488" s="43">
        <v>436</v>
      </c>
      <c r="B2488" s="43" t="s">
        <v>121</v>
      </c>
      <c r="C2488" s="43" t="s">
        <v>506</v>
      </c>
      <c r="D2488" s="43" t="s">
        <v>532</v>
      </c>
      <c r="E2488" s="43" t="s">
        <v>533</v>
      </c>
      <c r="F2488" s="43">
        <v>1</v>
      </c>
      <c r="G2488"/>
      <c r="H2488"/>
    </row>
    <row r="2489" spans="1:8" hidden="1" x14ac:dyDescent="0.25">
      <c r="A2489" s="43">
        <v>436</v>
      </c>
      <c r="B2489" s="43" t="s">
        <v>121</v>
      </c>
      <c r="C2489" s="43" t="s">
        <v>506</v>
      </c>
      <c r="D2489" s="43" t="s">
        <v>534</v>
      </c>
      <c r="E2489" s="43" t="s">
        <v>535</v>
      </c>
      <c r="F2489" s="43">
        <v>0</v>
      </c>
      <c r="G2489" s="43" t="s">
        <v>4583</v>
      </c>
      <c r="H2489"/>
    </row>
    <row r="2490" spans="1:8" hidden="1" x14ac:dyDescent="0.25">
      <c r="A2490" s="43">
        <v>436</v>
      </c>
      <c r="B2490" s="43" t="s">
        <v>121</v>
      </c>
      <c r="C2490" s="43" t="s">
        <v>506</v>
      </c>
      <c r="D2490" s="43" t="s">
        <v>536</v>
      </c>
      <c r="E2490" s="43" t="s">
        <v>537</v>
      </c>
      <c r="F2490" s="43">
        <v>0</v>
      </c>
      <c r="G2490" s="43" t="s">
        <v>4583</v>
      </c>
      <c r="H2490"/>
    </row>
    <row r="2491" spans="1:8" hidden="1" x14ac:dyDescent="0.25">
      <c r="A2491" s="43">
        <v>436</v>
      </c>
      <c r="B2491" s="43" t="s">
        <v>121</v>
      </c>
      <c r="C2491" s="43" t="s">
        <v>506</v>
      </c>
      <c r="D2491" s="43" t="s">
        <v>538</v>
      </c>
      <c r="E2491" s="43" t="s">
        <v>539</v>
      </c>
      <c r="F2491" s="43">
        <v>0</v>
      </c>
      <c r="G2491" s="43" t="s">
        <v>4583</v>
      </c>
      <c r="H2491"/>
    </row>
    <row r="2492" spans="1:8" hidden="1" x14ac:dyDescent="0.25">
      <c r="A2492" s="43">
        <v>436</v>
      </c>
      <c r="B2492" s="43" t="s">
        <v>121</v>
      </c>
      <c r="C2492" s="43" t="s">
        <v>506</v>
      </c>
      <c r="D2492" s="43" t="s">
        <v>540</v>
      </c>
      <c r="E2492" s="43" t="s">
        <v>541</v>
      </c>
      <c r="F2492" s="43">
        <v>0</v>
      </c>
      <c r="G2492" s="43" t="s">
        <v>4583</v>
      </c>
      <c r="H2492"/>
    </row>
    <row r="2493" spans="1:8" hidden="1" x14ac:dyDescent="0.25">
      <c r="A2493" s="43">
        <v>436</v>
      </c>
      <c r="B2493" s="43" t="s">
        <v>121</v>
      </c>
      <c r="C2493" s="43" t="s">
        <v>506</v>
      </c>
      <c r="D2493" s="43" t="s">
        <v>542</v>
      </c>
      <c r="E2493" s="43" t="s">
        <v>543</v>
      </c>
      <c r="F2493" s="43">
        <v>1</v>
      </c>
      <c r="G2493"/>
      <c r="H2493"/>
    </row>
    <row r="2494" spans="1:8" hidden="1" x14ac:dyDescent="0.25">
      <c r="A2494" s="43">
        <v>436</v>
      </c>
      <c r="B2494" s="43" t="s">
        <v>121</v>
      </c>
      <c r="C2494" s="43" t="s">
        <v>506</v>
      </c>
      <c r="D2494" s="43" t="s">
        <v>544</v>
      </c>
      <c r="E2494" s="43" t="s">
        <v>545</v>
      </c>
      <c r="F2494" s="43">
        <v>1</v>
      </c>
      <c r="G2494"/>
      <c r="H2494"/>
    </row>
    <row r="2495" spans="1:8" hidden="1" x14ac:dyDescent="0.25">
      <c r="A2495" s="43">
        <v>436</v>
      </c>
      <c r="B2495" s="43" t="s">
        <v>121</v>
      </c>
      <c r="C2495" s="43" t="s">
        <v>506</v>
      </c>
      <c r="D2495" s="43" t="s">
        <v>546</v>
      </c>
      <c r="E2495" s="43" t="s">
        <v>547</v>
      </c>
      <c r="F2495" s="43">
        <v>0</v>
      </c>
      <c r="G2495" s="43" t="s">
        <v>4583</v>
      </c>
      <c r="H2495"/>
    </row>
    <row r="2496" spans="1:8" hidden="1" x14ac:dyDescent="0.25">
      <c r="A2496" s="43">
        <v>436</v>
      </c>
      <c r="B2496" s="43" t="s">
        <v>121</v>
      </c>
      <c r="C2496" s="43" t="s">
        <v>506</v>
      </c>
      <c r="D2496" s="43" t="s">
        <v>548</v>
      </c>
      <c r="E2496" s="43" t="s">
        <v>549</v>
      </c>
      <c r="F2496" s="43">
        <v>0</v>
      </c>
      <c r="G2496" s="43" t="s">
        <v>4583</v>
      </c>
      <c r="H2496"/>
    </row>
    <row r="2497" spans="1:8" hidden="1" x14ac:dyDescent="0.25">
      <c r="A2497" s="43">
        <v>436</v>
      </c>
      <c r="B2497" s="43" t="s">
        <v>121</v>
      </c>
      <c r="C2497" s="43" t="s">
        <v>506</v>
      </c>
      <c r="D2497" s="43" t="s">
        <v>550</v>
      </c>
      <c r="E2497" s="43" t="s">
        <v>551</v>
      </c>
      <c r="F2497" s="43">
        <v>0</v>
      </c>
      <c r="G2497" s="43" t="s">
        <v>4583</v>
      </c>
      <c r="H2497"/>
    </row>
    <row r="2498" spans="1:8" hidden="1" x14ac:dyDescent="0.25">
      <c r="A2498" s="43">
        <v>436</v>
      </c>
      <c r="B2498" s="43" t="s">
        <v>121</v>
      </c>
      <c r="C2498" s="43" t="s">
        <v>1366</v>
      </c>
      <c r="D2498" s="43" t="s">
        <v>1367</v>
      </c>
      <c r="E2498" s="43" t="s">
        <v>1368</v>
      </c>
      <c r="F2498" s="43">
        <v>0</v>
      </c>
      <c r="G2498" s="43" t="s">
        <v>4583</v>
      </c>
      <c r="H2498"/>
    </row>
    <row r="2499" spans="1:8" hidden="1" x14ac:dyDescent="0.25">
      <c r="A2499" s="43">
        <v>436</v>
      </c>
      <c r="B2499" s="43" t="s">
        <v>121</v>
      </c>
      <c r="C2499" s="43" t="s">
        <v>1366</v>
      </c>
      <c r="D2499" s="43" t="s">
        <v>1369</v>
      </c>
      <c r="E2499" s="43" t="s">
        <v>1370</v>
      </c>
      <c r="F2499" s="43">
        <v>0</v>
      </c>
      <c r="G2499" s="43" t="s">
        <v>4583</v>
      </c>
      <c r="H2499"/>
    </row>
    <row r="2500" spans="1:8" hidden="1" x14ac:dyDescent="0.25">
      <c r="A2500" s="43">
        <v>436</v>
      </c>
      <c r="B2500" s="43" t="s">
        <v>121</v>
      </c>
      <c r="C2500" s="43" t="s">
        <v>1366</v>
      </c>
      <c r="D2500" s="43" t="s">
        <v>1371</v>
      </c>
      <c r="E2500" s="43" t="s">
        <v>283</v>
      </c>
      <c r="F2500" s="43">
        <v>1</v>
      </c>
      <c r="G2500"/>
      <c r="H2500"/>
    </row>
    <row r="2501" spans="1:8" hidden="1" x14ac:dyDescent="0.25">
      <c r="A2501" s="43">
        <v>436</v>
      </c>
      <c r="B2501" s="43" t="s">
        <v>121</v>
      </c>
      <c r="C2501" s="43" t="s">
        <v>1366</v>
      </c>
      <c r="D2501" s="43" t="s">
        <v>1372</v>
      </c>
      <c r="E2501" s="43" t="s">
        <v>4468</v>
      </c>
      <c r="F2501" s="43">
        <v>0</v>
      </c>
      <c r="G2501" s="43" t="s">
        <v>4583</v>
      </c>
      <c r="H2501"/>
    </row>
    <row r="2502" spans="1:8" hidden="1" x14ac:dyDescent="0.25">
      <c r="A2502" s="43">
        <v>436</v>
      </c>
      <c r="B2502" s="43" t="s">
        <v>121</v>
      </c>
      <c r="C2502" s="43" t="s">
        <v>1366</v>
      </c>
      <c r="D2502" s="43" t="s">
        <v>1374</v>
      </c>
      <c r="E2502" s="43" t="s">
        <v>1375</v>
      </c>
      <c r="F2502" s="43">
        <v>0</v>
      </c>
      <c r="G2502" s="43" t="s">
        <v>4583</v>
      </c>
      <c r="H2502"/>
    </row>
    <row r="2503" spans="1:8" hidden="1" x14ac:dyDescent="0.25">
      <c r="A2503" s="43">
        <v>436</v>
      </c>
      <c r="B2503" s="43" t="s">
        <v>121</v>
      </c>
      <c r="C2503" s="43" t="s">
        <v>1366</v>
      </c>
      <c r="D2503" s="43" t="s">
        <v>1376</v>
      </c>
      <c r="E2503" s="43" t="s">
        <v>531</v>
      </c>
      <c r="F2503" s="43">
        <v>1</v>
      </c>
      <c r="G2503"/>
      <c r="H2503"/>
    </row>
    <row r="2504" spans="1:8" hidden="1" x14ac:dyDescent="0.25">
      <c r="A2504" s="43">
        <v>436</v>
      </c>
      <c r="B2504" s="43" t="s">
        <v>121</v>
      </c>
      <c r="C2504" s="43" t="s">
        <v>1366</v>
      </c>
      <c r="D2504" s="43" t="s">
        <v>1377</v>
      </c>
      <c r="E2504" s="43" t="s">
        <v>539</v>
      </c>
      <c r="F2504" s="43">
        <v>0</v>
      </c>
      <c r="G2504" s="43" t="s">
        <v>4583</v>
      </c>
      <c r="H2504"/>
    </row>
    <row r="2505" spans="1:8" hidden="1" x14ac:dyDescent="0.25">
      <c r="A2505" s="43">
        <v>436</v>
      </c>
      <c r="B2505" s="43" t="s">
        <v>121</v>
      </c>
      <c r="C2505" s="43" t="s">
        <v>1366</v>
      </c>
      <c r="D2505" s="43" t="s">
        <v>1378</v>
      </c>
      <c r="E2505" s="43" t="s">
        <v>541</v>
      </c>
      <c r="F2505" s="43">
        <v>0</v>
      </c>
      <c r="G2505" s="43" t="s">
        <v>4583</v>
      </c>
      <c r="H2505"/>
    </row>
    <row r="2506" spans="1:8" hidden="1" x14ac:dyDescent="0.25">
      <c r="A2506" s="43">
        <v>436</v>
      </c>
      <c r="B2506" s="43" t="s">
        <v>121</v>
      </c>
      <c r="C2506" s="43" t="s">
        <v>1366</v>
      </c>
      <c r="D2506" s="43" t="s">
        <v>1379</v>
      </c>
      <c r="E2506" s="43" t="s">
        <v>1380</v>
      </c>
      <c r="F2506" s="43">
        <v>1</v>
      </c>
      <c r="G2506"/>
      <c r="H2506"/>
    </row>
    <row r="2507" spans="1:8" hidden="1" x14ac:dyDescent="0.25">
      <c r="A2507" s="43">
        <v>436</v>
      </c>
      <c r="B2507" s="43" t="s">
        <v>121</v>
      </c>
      <c r="C2507" s="43" t="s">
        <v>1366</v>
      </c>
      <c r="D2507" s="43" t="s">
        <v>1381</v>
      </c>
      <c r="E2507" s="43" t="s">
        <v>1382</v>
      </c>
      <c r="F2507" s="43">
        <v>1</v>
      </c>
      <c r="G2507"/>
      <c r="H2507"/>
    </row>
    <row r="2508" spans="1:8" hidden="1" x14ac:dyDescent="0.25">
      <c r="A2508" s="43">
        <v>436</v>
      </c>
      <c r="B2508" s="43" t="s">
        <v>121</v>
      </c>
      <c r="C2508" s="43" t="s">
        <v>1366</v>
      </c>
      <c r="D2508" s="43" t="s">
        <v>1383</v>
      </c>
      <c r="E2508" s="43" t="s">
        <v>1384</v>
      </c>
      <c r="F2508" s="43">
        <v>0</v>
      </c>
      <c r="G2508" s="43" t="s">
        <v>4583</v>
      </c>
      <c r="H2508"/>
    </row>
    <row r="2509" spans="1:8" hidden="1" x14ac:dyDescent="0.25">
      <c r="A2509" s="43">
        <v>436</v>
      </c>
      <c r="B2509" s="43" t="s">
        <v>121</v>
      </c>
      <c r="C2509" s="43" t="s">
        <v>1366</v>
      </c>
      <c r="D2509" s="43" t="s">
        <v>1385</v>
      </c>
      <c r="E2509" s="43" t="s">
        <v>1386</v>
      </c>
      <c r="F2509" s="43">
        <v>1</v>
      </c>
      <c r="G2509"/>
      <c r="H2509"/>
    </row>
    <row r="2510" spans="1:8" hidden="1" x14ac:dyDescent="0.25">
      <c r="A2510" s="43">
        <v>436</v>
      </c>
      <c r="B2510" s="43" t="s">
        <v>121</v>
      </c>
      <c r="C2510" s="43" t="s">
        <v>1366</v>
      </c>
      <c r="D2510" s="43" t="s">
        <v>1387</v>
      </c>
      <c r="E2510" s="43" t="s">
        <v>295</v>
      </c>
      <c r="F2510" s="43">
        <v>1</v>
      </c>
      <c r="G2510"/>
      <c r="H2510"/>
    </row>
    <row r="2511" spans="1:8" hidden="1" x14ac:dyDescent="0.25">
      <c r="A2511" s="43">
        <v>436</v>
      </c>
      <c r="B2511" s="43" t="s">
        <v>121</v>
      </c>
      <c r="C2511" s="43" t="s">
        <v>1366</v>
      </c>
      <c r="D2511" s="43" t="s">
        <v>1388</v>
      </c>
      <c r="E2511" s="43" t="s">
        <v>875</v>
      </c>
      <c r="F2511" s="43">
        <v>0</v>
      </c>
      <c r="G2511" s="43" t="s">
        <v>4583</v>
      </c>
      <c r="H2511"/>
    </row>
    <row r="2512" spans="1:8" hidden="1" x14ac:dyDescent="0.25">
      <c r="A2512" s="43">
        <v>436</v>
      </c>
      <c r="B2512" s="43" t="s">
        <v>121</v>
      </c>
      <c r="C2512" s="43" t="s">
        <v>1366</v>
      </c>
      <c r="D2512" s="43" t="s">
        <v>1389</v>
      </c>
      <c r="E2512" s="43" t="s">
        <v>551</v>
      </c>
      <c r="F2512" s="43">
        <v>0</v>
      </c>
      <c r="G2512" s="43" t="s">
        <v>4583</v>
      </c>
      <c r="H2512"/>
    </row>
    <row r="2513" spans="1:8" hidden="1" x14ac:dyDescent="0.25">
      <c r="A2513" s="43">
        <v>436</v>
      </c>
      <c r="B2513" s="43" t="s">
        <v>121</v>
      </c>
      <c r="C2513" s="43" t="s">
        <v>1141</v>
      </c>
      <c r="D2513" s="43" t="s">
        <v>1142</v>
      </c>
      <c r="E2513" s="43" t="s">
        <v>312</v>
      </c>
      <c r="F2513" s="43">
        <v>1</v>
      </c>
      <c r="G2513"/>
      <c r="H2513"/>
    </row>
    <row r="2514" spans="1:8" hidden="1" x14ac:dyDescent="0.25">
      <c r="A2514" s="43">
        <v>436</v>
      </c>
      <c r="B2514" s="43" t="s">
        <v>121</v>
      </c>
      <c r="C2514" s="43" t="s">
        <v>1141</v>
      </c>
      <c r="D2514" s="43" t="s">
        <v>1143</v>
      </c>
      <c r="E2514" s="43" t="s">
        <v>314</v>
      </c>
      <c r="F2514" s="43">
        <v>1</v>
      </c>
      <c r="G2514"/>
      <c r="H2514"/>
    </row>
    <row r="2515" spans="1:8" hidden="1" x14ac:dyDescent="0.25">
      <c r="A2515" s="43">
        <v>436</v>
      </c>
      <c r="B2515" s="43" t="s">
        <v>121</v>
      </c>
      <c r="C2515" s="43" t="s">
        <v>1141</v>
      </c>
      <c r="D2515" s="43" t="s">
        <v>1144</v>
      </c>
      <c r="E2515" s="43" t="s">
        <v>1145</v>
      </c>
      <c r="F2515" s="43">
        <v>0</v>
      </c>
      <c r="G2515" s="43" t="s">
        <v>4583</v>
      </c>
      <c r="H2515"/>
    </row>
    <row r="2516" spans="1:8" hidden="1" x14ac:dyDescent="0.25">
      <c r="A2516" s="43">
        <v>436</v>
      </c>
      <c r="B2516" s="43" t="s">
        <v>121</v>
      </c>
      <c r="C2516" s="43" t="s">
        <v>1141</v>
      </c>
      <c r="D2516" s="43" t="s">
        <v>1146</v>
      </c>
      <c r="E2516" s="43" t="s">
        <v>1147</v>
      </c>
      <c r="F2516" s="43">
        <v>0</v>
      </c>
      <c r="G2516" s="43" t="s">
        <v>4583</v>
      </c>
      <c r="H2516"/>
    </row>
    <row r="2517" spans="1:8" hidden="1" x14ac:dyDescent="0.25">
      <c r="A2517" s="43">
        <v>436</v>
      </c>
      <c r="B2517" s="43" t="s">
        <v>121</v>
      </c>
      <c r="C2517" s="43" t="s">
        <v>1141</v>
      </c>
      <c r="D2517" s="43" t="s">
        <v>1148</v>
      </c>
      <c r="E2517" s="43" t="s">
        <v>713</v>
      </c>
      <c r="F2517" s="43">
        <v>0</v>
      </c>
      <c r="G2517" s="43" t="s">
        <v>4583</v>
      </c>
      <c r="H2517"/>
    </row>
    <row r="2518" spans="1:8" hidden="1" x14ac:dyDescent="0.25">
      <c r="A2518" s="43">
        <v>436</v>
      </c>
      <c r="B2518" s="43" t="s">
        <v>121</v>
      </c>
      <c r="C2518" s="43" t="s">
        <v>1141</v>
      </c>
      <c r="D2518" s="43" t="s">
        <v>1149</v>
      </c>
      <c r="E2518" s="43" t="s">
        <v>1150</v>
      </c>
      <c r="F2518" s="43">
        <v>0</v>
      </c>
      <c r="G2518" s="43" t="s">
        <v>4583</v>
      </c>
      <c r="H2518"/>
    </row>
    <row r="2519" spans="1:8" hidden="1" x14ac:dyDescent="0.25">
      <c r="A2519" s="43">
        <v>436</v>
      </c>
      <c r="B2519" s="43" t="s">
        <v>121</v>
      </c>
      <c r="C2519" s="43" t="s">
        <v>1141</v>
      </c>
      <c r="D2519" s="43" t="s">
        <v>1151</v>
      </c>
      <c r="E2519" s="43" t="s">
        <v>380</v>
      </c>
      <c r="F2519" s="43">
        <v>0</v>
      </c>
      <c r="G2519" s="43" t="s">
        <v>4583</v>
      </c>
      <c r="H2519"/>
    </row>
    <row r="2520" spans="1:8" hidden="1" x14ac:dyDescent="0.25">
      <c r="A2520" s="43">
        <v>436</v>
      </c>
      <c r="B2520" s="43" t="s">
        <v>121</v>
      </c>
      <c r="C2520" s="43" t="s">
        <v>1141</v>
      </c>
      <c r="D2520" s="43" t="s">
        <v>1152</v>
      </c>
      <c r="E2520" s="43" t="s">
        <v>381</v>
      </c>
      <c r="F2520" s="43">
        <v>1</v>
      </c>
      <c r="G2520"/>
      <c r="H2520"/>
    </row>
    <row r="2521" spans="1:8" hidden="1" x14ac:dyDescent="0.25">
      <c r="A2521" s="43">
        <v>436</v>
      </c>
      <c r="B2521" s="43" t="s">
        <v>121</v>
      </c>
      <c r="C2521" s="43" t="s">
        <v>1141</v>
      </c>
      <c r="D2521" s="43" t="s">
        <v>1153</v>
      </c>
      <c r="E2521" s="43" t="s">
        <v>1154</v>
      </c>
      <c r="F2521" s="43">
        <v>0</v>
      </c>
      <c r="G2521" s="43" t="s">
        <v>4583</v>
      </c>
      <c r="H2521"/>
    </row>
    <row r="2522" spans="1:8" hidden="1" x14ac:dyDescent="0.25">
      <c r="A2522" s="43">
        <v>438</v>
      </c>
      <c r="B2522" s="43" t="s">
        <v>122</v>
      </c>
      <c r="C2522" s="43" t="s">
        <v>859</v>
      </c>
      <c r="D2522" s="43" t="s">
        <v>860</v>
      </c>
      <c r="E2522" s="43" t="s">
        <v>273</v>
      </c>
      <c r="F2522" s="43">
        <v>1</v>
      </c>
      <c r="G2522"/>
      <c r="H2522"/>
    </row>
    <row r="2523" spans="1:8" hidden="1" x14ac:dyDescent="0.25">
      <c r="A2523" s="43">
        <v>438</v>
      </c>
      <c r="B2523" s="43" t="s">
        <v>122</v>
      </c>
      <c r="C2523" s="43" t="s">
        <v>859</v>
      </c>
      <c r="D2523" s="43" t="s">
        <v>861</v>
      </c>
      <c r="E2523" s="43" t="s">
        <v>275</v>
      </c>
      <c r="F2523" s="43">
        <v>1</v>
      </c>
      <c r="G2523"/>
      <c r="H2523"/>
    </row>
    <row r="2524" spans="1:8" hidden="1" x14ac:dyDescent="0.25">
      <c r="A2524" s="43">
        <v>438</v>
      </c>
      <c r="B2524" s="43" t="s">
        <v>122</v>
      </c>
      <c r="C2524" s="43" t="s">
        <v>859</v>
      </c>
      <c r="D2524" s="43" t="s">
        <v>862</v>
      </c>
      <c r="E2524" s="43" t="s">
        <v>277</v>
      </c>
      <c r="F2524" s="43">
        <v>1</v>
      </c>
      <c r="G2524"/>
      <c r="H2524"/>
    </row>
    <row r="2525" spans="1:8" hidden="1" x14ac:dyDescent="0.25">
      <c r="A2525" s="43">
        <v>438</v>
      </c>
      <c r="B2525" s="43" t="s">
        <v>122</v>
      </c>
      <c r="C2525" s="43" t="s">
        <v>859</v>
      </c>
      <c r="D2525" s="43" t="s">
        <v>863</v>
      </c>
      <c r="E2525" s="43" t="s">
        <v>283</v>
      </c>
      <c r="F2525" s="43">
        <v>1</v>
      </c>
      <c r="G2525"/>
      <c r="H2525"/>
    </row>
    <row r="2526" spans="1:8" hidden="1" x14ac:dyDescent="0.25">
      <c r="A2526" s="43">
        <v>438</v>
      </c>
      <c r="B2526" s="43" t="s">
        <v>122</v>
      </c>
      <c r="C2526" s="43" t="s">
        <v>859</v>
      </c>
      <c r="D2526" s="43" t="s">
        <v>864</v>
      </c>
      <c r="E2526" s="43" t="s">
        <v>289</v>
      </c>
      <c r="F2526" s="43">
        <v>1</v>
      </c>
      <c r="G2526"/>
      <c r="H2526"/>
    </row>
    <row r="2527" spans="1:8" hidden="1" x14ac:dyDescent="0.25">
      <c r="A2527" s="43">
        <v>438</v>
      </c>
      <c r="B2527" s="43" t="s">
        <v>122</v>
      </c>
      <c r="C2527" s="43" t="s">
        <v>859</v>
      </c>
      <c r="D2527" s="43" t="s">
        <v>865</v>
      </c>
      <c r="E2527" s="43" t="s">
        <v>866</v>
      </c>
      <c r="F2527" s="43">
        <v>0</v>
      </c>
      <c r="G2527" s="43" t="s">
        <v>4583</v>
      </c>
      <c r="H2527"/>
    </row>
    <row r="2528" spans="1:8" hidden="1" x14ac:dyDescent="0.25">
      <c r="A2528" s="43">
        <v>438</v>
      </c>
      <c r="B2528" s="43" t="s">
        <v>122</v>
      </c>
      <c r="C2528" s="43" t="s">
        <v>859</v>
      </c>
      <c r="D2528" s="43" t="s">
        <v>867</v>
      </c>
      <c r="E2528" s="43" t="s">
        <v>3016</v>
      </c>
      <c r="F2528" s="43">
        <v>0</v>
      </c>
      <c r="G2528" s="43" t="s">
        <v>4583</v>
      </c>
      <c r="H2528"/>
    </row>
    <row r="2529" spans="1:8" hidden="1" x14ac:dyDescent="0.25">
      <c r="A2529" s="43">
        <v>438</v>
      </c>
      <c r="B2529" s="43" t="s">
        <v>122</v>
      </c>
      <c r="C2529" s="43" t="s">
        <v>859</v>
      </c>
      <c r="D2529" s="43" t="s">
        <v>869</v>
      </c>
      <c r="E2529" s="43" t="s">
        <v>870</v>
      </c>
      <c r="F2529" s="43">
        <v>1</v>
      </c>
      <c r="G2529"/>
      <c r="H2529"/>
    </row>
    <row r="2530" spans="1:8" hidden="1" x14ac:dyDescent="0.25">
      <c r="A2530" s="43">
        <v>438</v>
      </c>
      <c r="B2530" s="43" t="s">
        <v>122</v>
      </c>
      <c r="C2530" s="43" t="s">
        <v>859</v>
      </c>
      <c r="D2530" s="43" t="s">
        <v>871</v>
      </c>
      <c r="E2530" s="43" t="s">
        <v>295</v>
      </c>
      <c r="F2530" s="43">
        <v>1</v>
      </c>
      <c r="G2530"/>
      <c r="H2530"/>
    </row>
    <row r="2531" spans="1:8" hidden="1" x14ac:dyDescent="0.25">
      <c r="A2531" s="43">
        <v>438</v>
      </c>
      <c r="B2531" s="43" t="s">
        <v>122</v>
      </c>
      <c r="C2531" s="43" t="s">
        <v>859</v>
      </c>
      <c r="D2531" s="43" t="s">
        <v>872</v>
      </c>
      <c r="E2531" s="43" t="s">
        <v>873</v>
      </c>
      <c r="F2531" s="43">
        <v>1</v>
      </c>
      <c r="G2531"/>
      <c r="H2531"/>
    </row>
    <row r="2532" spans="1:8" hidden="1" x14ac:dyDescent="0.25">
      <c r="A2532" s="43">
        <v>438</v>
      </c>
      <c r="B2532" s="43" t="s">
        <v>122</v>
      </c>
      <c r="C2532" s="43" t="s">
        <v>859</v>
      </c>
      <c r="D2532" s="43" t="s">
        <v>874</v>
      </c>
      <c r="E2532" s="43" t="s">
        <v>875</v>
      </c>
      <c r="F2532" s="43">
        <v>1</v>
      </c>
      <c r="G2532"/>
      <c r="H2532"/>
    </row>
    <row r="2533" spans="1:8" hidden="1" x14ac:dyDescent="0.25">
      <c r="A2533" s="43">
        <v>438</v>
      </c>
      <c r="B2533" s="43" t="s">
        <v>122</v>
      </c>
      <c r="C2533" s="43" t="s">
        <v>859</v>
      </c>
      <c r="D2533" s="43" t="s">
        <v>876</v>
      </c>
      <c r="E2533" s="43" t="s">
        <v>372</v>
      </c>
      <c r="F2533" s="43">
        <v>1</v>
      </c>
      <c r="G2533"/>
      <c r="H2533"/>
    </row>
    <row r="2534" spans="1:8" hidden="1" x14ac:dyDescent="0.25">
      <c r="A2534" s="43">
        <v>439</v>
      </c>
      <c r="B2534" s="43" t="s">
        <v>122</v>
      </c>
      <c r="C2534" s="43" t="s">
        <v>859</v>
      </c>
      <c r="D2534" s="43" t="s">
        <v>860</v>
      </c>
      <c r="E2534" s="43" t="s">
        <v>273</v>
      </c>
      <c r="F2534" s="43">
        <v>1</v>
      </c>
      <c r="G2534"/>
      <c r="H2534"/>
    </row>
    <row r="2535" spans="1:8" hidden="1" x14ac:dyDescent="0.25">
      <c r="A2535" s="43">
        <v>439</v>
      </c>
      <c r="B2535" s="43" t="s">
        <v>122</v>
      </c>
      <c r="C2535" s="43" t="s">
        <v>859</v>
      </c>
      <c r="D2535" s="43" t="s">
        <v>861</v>
      </c>
      <c r="E2535" s="43" t="s">
        <v>275</v>
      </c>
      <c r="F2535" s="43">
        <v>1</v>
      </c>
      <c r="G2535"/>
      <c r="H2535"/>
    </row>
    <row r="2536" spans="1:8" hidden="1" x14ac:dyDescent="0.25">
      <c r="A2536" s="43">
        <v>439</v>
      </c>
      <c r="B2536" s="43" t="s">
        <v>122</v>
      </c>
      <c r="C2536" s="43" t="s">
        <v>859</v>
      </c>
      <c r="D2536" s="43" t="s">
        <v>862</v>
      </c>
      <c r="E2536" s="43" t="s">
        <v>277</v>
      </c>
      <c r="F2536" s="43">
        <v>1</v>
      </c>
      <c r="G2536"/>
      <c r="H2536"/>
    </row>
    <row r="2537" spans="1:8" hidden="1" x14ac:dyDescent="0.25">
      <c r="A2537" s="43">
        <v>439</v>
      </c>
      <c r="B2537" s="43" t="s">
        <v>122</v>
      </c>
      <c r="C2537" s="43" t="s">
        <v>859</v>
      </c>
      <c r="D2537" s="43" t="s">
        <v>863</v>
      </c>
      <c r="E2537" s="43" t="s">
        <v>283</v>
      </c>
      <c r="F2537" s="43">
        <v>1</v>
      </c>
      <c r="G2537"/>
      <c r="H2537"/>
    </row>
    <row r="2538" spans="1:8" hidden="1" x14ac:dyDescent="0.25">
      <c r="A2538" s="43">
        <v>439</v>
      </c>
      <c r="B2538" s="43" t="s">
        <v>122</v>
      </c>
      <c r="C2538" s="43" t="s">
        <v>859</v>
      </c>
      <c r="D2538" s="43" t="s">
        <v>864</v>
      </c>
      <c r="E2538" s="43" t="s">
        <v>289</v>
      </c>
      <c r="F2538" s="43">
        <v>1</v>
      </c>
      <c r="G2538"/>
      <c r="H2538"/>
    </row>
    <row r="2539" spans="1:8" hidden="1" x14ac:dyDescent="0.25">
      <c r="A2539" s="43">
        <v>439</v>
      </c>
      <c r="B2539" s="43" t="s">
        <v>122</v>
      </c>
      <c r="C2539" s="43" t="s">
        <v>859</v>
      </c>
      <c r="D2539" s="43" t="s">
        <v>865</v>
      </c>
      <c r="E2539" s="43" t="s">
        <v>866</v>
      </c>
      <c r="F2539" s="43">
        <v>0</v>
      </c>
      <c r="G2539" s="43" t="s">
        <v>4583</v>
      </c>
      <c r="H2539"/>
    </row>
    <row r="2540" spans="1:8" hidden="1" x14ac:dyDescent="0.25">
      <c r="A2540" s="43">
        <v>439</v>
      </c>
      <c r="B2540" s="43" t="s">
        <v>122</v>
      </c>
      <c r="C2540" s="43" t="s">
        <v>859</v>
      </c>
      <c r="D2540" s="43" t="s">
        <v>867</v>
      </c>
      <c r="E2540" s="43" t="s">
        <v>3016</v>
      </c>
      <c r="F2540" s="43">
        <v>0</v>
      </c>
      <c r="G2540" s="43" t="s">
        <v>4583</v>
      </c>
      <c r="H2540"/>
    </row>
    <row r="2541" spans="1:8" hidden="1" x14ac:dyDescent="0.25">
      <c r="A2541" s="43">
        <v>439</v>
      </c>
      <c r="B2541" s="43" t="s">
        <v>122</v>
      </c>
      <c r="C2541" s="43" t="s">
        <v>859</v>
      </c>
      <c r="D2541" s="43" t="s">
        <v>869</v>
      </c>
      <c r="E2541" s="43" t="s">
        <v>870</v>
      </c>
      <c r="F2541" s="43">
        <v>0</v>
      </c>
      <c r="G2541" s="43" t="s">
        <v>4583</v>
      </c>
      <c r="H2541"/>
    </row>
    <row r="2542" spans="1:8" hidden="1" x14ac:dyDescent="0.25">
      <c r="A2542" s="43">
        <v>439</v>
      </c>
      <c r="B2542" s="43" t="s">
        <v>122</v>
      </c>
      <c r="C2542" s="43" t="s">
        <v>859</v>
      </c>
      <c r="D2542" s="43" t="s">
        <v>871</v>
      </c>
      <c r="E2542" s="43" t="s">
        <v>295</v>
      </c>
      <c r="F2542" s="43">
        <v>0</v>
      </c>
      <c r="G2542" s="43" t="s">
        <v>4583</v>
      </c>
      <c r="H2542"/>
    </row>
    <row r="2543" spans="1:8" hidden="1" x14ac:dyDescent="0.25">
      <c r="A2543" s="43">
        <v>439</v>
      </c>
      <c r="B2543" s="43" t="s">
        <v>122</v>
      </c>
      <c r="C2543" s="43" t="s">
        <v>859</v>
      </c>
      <c r="D2543" s="43" t="s">
        <v>872</v>
      </c>
      <c r="E2543" s="43" t="s">
        <v>873</v>
      </c>
      <c r="F2543" s="43">
        <v>1</v>
      </c>
      <c r="G2543"/>
      <c r="H2543"/>
    </row>
    <row r="2544" spans="1:8" hidden="1" x14ac:dyDescent="0.25">
      <c r="A2544" s="43">
        <v>439</v>
      </c>
      <c r="B2544" s="43" t="s">
        <v>122</v>
      </c>
      <c r="C2544" s="43" t="s">
        <v>859</v>
      </c>
      <c r="D2544" s="43" t="s">
        <v>874</v>
      </c>
      <c r="E2544" s="43" t="s">
        <v>875</v>
      </c>
      <c r="F2544" s="43">
        <v>1</v>
      </c>
      <c r="G2544"/>
      <c r="H2544"/>
    </row>
    <row r="2545" spans="1:8" hidden="1" x14ac:dyDescent="0.25">
      <c r="A2545" s="43">
        <v>439</v>
      </c>
      <c r="B2545" s="43" t="s">
        <v>122</v>
      </c>
      <c r="C2545" s="43" t="s">
        <v>859</v>
      </c>
      <c r="D2545" s="43" t="s">
        <v>876</v>
      </c>
      <c r="E2545" s="43" t="s">
        <v>372</v>
      </c>
      <c r="F2545" s="43">
        <v>1</v>
      </c>
      <c r="G2545"/>
      <c r="H2545"/>
    </row>
    <row r="2546" spans="1:8" hidden="1" x14ac:dyDescent="0.25">
      <c r="A2546" s="43">
        <v>443</v>
      </c>
      <c r="B2546" s="43" t="s">
        <v>123</v>
      </c>
      <c r="C2546" s="43" t="s">
        <v>422</v>
      </c>
      <c r="D2546" s="43" t="s">
        <v>423</v>
      </c>
      <c r="E2546" s="43" t="s">
        <v>424</v>
      </c>
      <c r="F2546" s="43">
        <v>0</v>
      </c>
      <c r="G2546" s="43" t="s">
        <v>4583</v>
      </c>
      <c r="H2546"/>
    </row>
    <row r="2547" spans="1:8" hidden="1" x14ac:dyDescent="0.25">
      <c r="A2547" s="43">
        <v>443</v>
      </c>
      <c r="B2547" s="43" t="s">
        <v>123</v>
      </c>
      <c r="C2547" s="43" t="s">
        <v>422</v>
      </c>
      <c r="D2547" s="43" t="s">
        <v>425</v>
      </c>
      <c r="E2547" s="43" t="s">
        <v>426</v>
      </c>
      <c r="F2547" s="43">
        <v>1</v>
      </c>
      <c r="G2547"/>
      <c r="H2547"/>
    </row>
    <row r="2548" spans="1:8" hidden="1" x14ac:dyDescent="0.25">
      <c r="A2548" s="43">
        <v>443</v>
      </c>
      <c r="B2548" s="43" t="s">
        <v>123</v>
      </c>
      <c r="C2548" s="43" t="s">
        <v>422</v>
      </c>
      <c r="D2548" s="43" t="s">
        <v>427</v>
      </c>
      <c r="E2548" s="43" t="s">
        <v>428</v>
      </c>
      <c r="F2548" s="43">
        <v>1</v>
      </c>
      <c r="G2548"/>
      <c r="H2548"/>
    </row>
    <row r="2549" spans="1:8" hidden="1" x14ac:dyDescent="0.25">
      <c r="A2549" s="43">
        <v>443</v>
      </c>
      <c r="B2549" s="43" t="s">
        <v>123</v>
      </c>
      <c r="C2549" s="43" t="s">
        <v>422</v>
      </c>
      <c r="D2549" s="43" t="s">
        <v>429</v>
      </c>
      <c r="E2549" s="43" t="s">
        <v>430</v>
      </c>
      <c r="F2549" s="43">
        <v>1</v>
      </c>
      <c r="G2549"/>
      <c r="H2549"/>
    </row>
    <row r="2550" spans="1:8" hidden="1" x14ac:dyDescent="0.25">
      <c r="A2550" s="43">
        <v>443</v>
      </c>
      <c r="B2550" s="43" t="s">
        <v>123</v>
      </c>
      <c r="C2550" s="43" t="s">
        <v>422</v>
      </c>
      <c r="D2550" s="43" t="s">
        <v>431</v>
      </c>
      <c r="E2550" s="43" t="s">
        <v>432</v>
      </c>
      <c r="F2550" s="43">
        <v>1</v>
      </c>
      <c r="G2550"/>
      <c r="H2550"/>
    </row>
    <row r="2551" spans="1:8" hidden="1" x14ac:dyDescent="0.25">
      <c r="A2551" s="43">
        <v>443</v>
      </c>
      <c r="B2551" s="43" t="s">
        <v>123</v>
      </c>
      <c r="C2551" s="43" t="s">
        <v>422</v>
      </c>
      <c r="D2551" s="43" t="s">
        <v>433</v>
      </c>
      <c r="E2551" s="43" t="s">
        <v>434</v>
      </c>
      <c r="F2551" s="43">
        <v>1</v>
      </c>
      <c r="G2551"/>
      <c r="H2551"/>
    </row>
    <row r="2552" spans="1:8" hidden="1" x14ac:dyDescent="0.25">
      <c r="A2552" s="43">
        <v>443</v>
      </c>
      <c r="B2552" s="43" t="s">
        <v>123</v>
      </c>
      <c r="C2552" s="43" t="s">
        <v>422</v>
      </c>
      <c r="D2552" s="43" t="s">
        <v>435</v>
      </c>
      <c r="E2552" s="43" t="s">
        <v>436</v>
      </c>
      <c r="F2552" s="43">
        <v>1</v>
      </c>
      <c r="G2552"/>
      <c r="H2552"/>
    </row>
    <row r="2553" spans="1:8" hidden="1" x14ac:dyDescent="0.25">
      <c r="A2553" s="43">
        <v>443</v>
      </c>
      <c r="B2553" s="43" t="s">
        <v>123</v>
      </c>
      <c r="C2553" s="43" t="s">
        <v>422</v>
      </c>
      <c r="D2553" s="43" t="s">
        <v>437</v>
      </c>
      <c r="E2553" s="43" t="s">
        <v>438</v>
      </c>
      <c r="F2553" s="43">
        <v>1</v>
      </c>
      <c r="G2553"/>
      <c r="H2553"/>
    </row>
    <row r="2554" spans="1:8" hidden="1" x14ac:dyDescent="0.25">
      <c r="A2554" s="43">
        <v>443</v>
      </c>
      <c r="B2554" s="43" t="s">
        <v>123</v>
      </c>
      <c r="C2554" s="43" t="s">
        <v>422</v>
      </c>
      <c r="D2554" s="43" t="s">
        <v>439</v>
      </c>
      <c r="E2554" s="43" t="s">
        <v>440</v>
      </c>
      <c r="F2554" s="43">
        <v>1</v>
      </c>
      <c r="G2554"/>
      <c r="H2554"/>
    </row>
    <row r="2555" spans="1:8" hidden="1" x14ac:dyDescent="0.25">
      <c r="A2555" s="43">
        <v>443</v>
      </c>
      <c r="B2555" s="43" t="s">
        <v>123</v>
      </c>
      <c r="C2555" s="43" t="s">
        <v>636</v>
      </c>
      <c r="D2555" s="43" t="s">
        <v>637</v>
      </c>
      <c r="E2555" s="43" t="s">
        <v>638</v>
      </c>
      <c r="F2555" s="43">
        <v>0</v>
      </c>
      <c r="G2555" s="43" t="s">
        <v>4583</v>
      </c>
      <c r="H2555"/>
    </row>
    <row r="2556" spans="1:8" hidden="1" x14ac:dyDescent="0.25">
      <c r="A2556" s="43">
        <v>443</v>
      </c>
      <c r="B2556" s="43" t="s">
        <v>123</v>
      </c>
      <c r="C2556" s="43" t="s">
        <v>636</v>
      </c>
      <c r="D2556" s="43" t="s">
        <v>639</v>
      </c>
      <c r="E2556" s="43" t="s">
        <v>640</v>
      </c>
      <c r="F2556" s="43">
        <v>1</v>
      </c>
      <c r="G2556"/>
      <c r="H2556"/>
    </row>
    <row r="2557" spans="1:8" hidden="1" x14ac:dyDescent="0.25">
      <c r="A2557" s="43">
        <v>443</v>
      </c>
      <c r="B2557" s="43" t="s">
        <v>123</v>
      </c>
      <c r="C2557" s="43" t="s">
        <v>636</v>
      </c>
      <c r="D2557" s="43" t="s">
        <v>641</v>
      </c>
      <c r="E2557" s="43" t="s">
        <v>642</v>
      </c>
      <c r="F2557" s="43">
        <v>1</v>
      </c>
      <c r="G2557"/>
      <c r="H2557"/>
    </row>
    <row r="2558" spans="1:8" hidden="1" x14ac:dyDescent="0.25">
      <c r="A2558" s="43">
        <v>443</v>
      </c>
      <c r="B2558" s="43" t="s">
        <v>123</v>
      </c>
      <c r="C2558" s="43" t="s">
        <v>636</v>
      </c>
      <c r="D2558" s="43" t="s">
        <v>643</v>
      </c>
      <c r="E2558" s="43" t="s">
        <v>644</v>
      </c>
      <c r="F2558" s="43">
        <v>0</v>
      </c>
      <c r="G2558" s="43" t="s">
        <v>4583</v>
      </c>
      <c r="H2558"/>
    </row>
    <row r="2559" spans="1:8" hidden="1" x14ac:dyDescent="0.25">
      <c r="A2559" s="43">
        <v>443</v>
      </c>
      <c r="B2559" s="43" t="s">
        <v>123</v>
      </c>
      <c r="C2559" s="43" t="s">
        <v>636</v>
      </c>
      <c r="D2559" s="43" t="s">
        <v>645</v>
      </c>
      <c r="E2559" s="43" t="s">
        <v>646</v>
      </c>
      <c r="F2559" s="43">
        <v>0</v>
      </c>
      <c r="G2559" s="43" t="s">
        <v>4583</v>
      </c>
      <c r="H2559"/>
    </row>
    <row r="2560" spans="1:8" hidden="1" x14ac:dyDescent="0.25">
      <c r="A2560" s="43">
        <v>443</v>
      </c>
      <c r="B2560" s="43" t="s">
        <v>123</v>
      </c>
      <c r="C2560" s="43" t="s">
        <v>636</v>
      </c>
      <c r="D2560" s="43" t="s">
        <v>647</v>
      </c>
      <c r="E2560" s="43" t="s">
        <v>648</v>
      </c>
      <c r="F2560" s="43">
        <v>1</v>
      </c>
      <c r="G2560"/>
      <c r="H2560"/>
    </row>
    <row r="2561" spans="1:8" hidden="1" x14ac:dyDescent="0.25">
      <c r="A2561" s="43">
        <v>443</v>
      </c>
      <c r="B2561" s="43" t="s">
        <v>123</v>
      </c>
      <c r="C2561" s="43" t="s">
        <v>636</v>
      </c>
      <c r="D2561" s="43" t="s">
        <v>649</v>
      </c>
      <c r="E2561" s="43" t="s">
        <v>650</v>
      </c>
      <c r="F2561" s="43">
        <v>1</v>
      </c>
      <c r="G2561"/>
      <c r="H2561"/>
    </row>
    <row r="2562" spans="1:8" hidden="1" x14ac:dyDescent="0.25">
      <c r="A2562" s="43">
        <v>443</v>
      </c>
      <c r="B2562" s="43" t="s">
        <v>123</v>
      </c>
      <c r="C2562" s="43" t="s">
        <v>636</v>
      </c>
      <c r="D2562" s="43" t="s">
        <v>651</v>
      </c>
      <c r="E2562" s="43" t="s">
        <v>652</v>
      </c>
      <c r="F2562" s="43">
        <v>1</v>
      </c>
      <c r="G2562"/>
      <c r="H2562"/>
    </row>
    <row r="2563" spans="1:8" hidden="1" x14ac:dyDescent="0.25">
      <c r="A2563" s="43">
        <v>443</v>
      </c>
      <c r="B2563" s="43" t="s">
        <v>123</v>
      </c>
      <c r="C2563" s="43" t="s">
        <v>636</v>
      </c>
      <c r="D2563" s="43" t="s">
        <v>653</v>
      </c>
      <c r="E2563" s="43" t="s">
        <v>438</v>
      </c>
      <c r="F2563" s="43">
        <v>1</v>
      </c>
      <c r="G2563"/>
      <c r="H2563"/>
    </row>
    <row r="2564" spans="1:8" hidden="1" x14ac:dyDescent="0.25">
      <c r="A2564" s="43">
        <v>443</v>
      </c>
      <c r="B2564" s="43" t="s">
        <v>123</v>
      </c>
      <c r="C2564" s="43" t="s">
        <v>636</v>
      </c>
      <c r="D2564" s="43" t="s">
        <v>654</v>
      </c>
      <c r="E2564" s="43" t="s">
        <v>440</v>
      </c>
      <c r="F2564" s="43">
        <v>1</v>
      </c>
      <c r="G2564"/>
      <c r="H2564"/>
    </row>
    <row r="2565" spans="1:8" hidden="1" x14ac:dyDescent="0.25">
      <c r="A2565" s="43">
        <v>443</v>
      </c>
      <c r="B2565" s="43" t="s">
        <v>123</v>
      </c>
      <c r="C2565" s="43" t="s">
        <v>636</v>
      </c>
      <c r="D2565" s="43" t="s">
        <v>655</v>
      </c>
      <c r="E2565" s="43" t="s">
        <v>656</v>
      </c>
      <c r="F2565" s="43">
        <v>1</v>
      </c>
      <c r="G2565"/>
      <c r="H2565"/>
    </row>
    <row r="2566" spans="1:8" hidden="1" x14ac:dyDescent="0.25">
      <c r="A2566" s="43">
        <v>443</v>
      </c>
      <c r="B2566" s="43" t="s">
        <v>123</v>
      </c>
      <c r="C2566" s="43" t="s">
        <v>636</v>
      </c>
      <c r="D2566" s="43" t="s">
        <v>657</v>
      </c>
      <c r="E2566" s="43" t="s">
        <v>658</v>
      </c>
      <c r="F2566" s="43">
        <v>1</v>
      </c>
      <c r="G2566"/>
      <c r="H2566"/>
    </row>
    <row r="2567" spans="1:8" hidden="1" x14ac:dyDescent="0.25">
      <c r="A2567" s="43">
        <v>443</v>
      </c>
      <c r="B2567" s="43" t="s">
        <v>123</v>
      </c>
      <c r="C2567" s="43" t="s">
        <v>682</v>
      </c>
      <c r="D2567" s="43" t="s">
        <v>683</v>
      </c>
      <c r="E2567" s="43" t="s">
        <v>684</v>
      </c>
      <c r="F2567" s="43">
        <v>0</v>
      </c>
      <c r="G2567" s="43" t="s">
        <v>4583</v>
      </c>
      <c r="H2567"/>
    </row>
    <row r="2568" spans="1:8" hidden="1" x14ac:dyDescent="0.25">
      <c r="A2568" s="43">
        <v>443</v>
      </c>
      <c r="B2568" s="43" t="s">
        <v>123</v>
      </c>
      <c r="C2568" s="43" t="s">
        <v>682</v>
      </c>
      <c r="D2568" s="43" t="s">
        <v>685</v>
      </c>
      <c r="E2568" s="43" t="s">
        <v>686</v>
      </c>
      <c r="F2568" s="43">
        <v>1</v>
      </c>
      <c r="G2568"/>
      <c r="H2568"/>
    </row>
    <row r="2569" spans="1:8" hidden="1" x14ac:dyDescent="0.25">
      <c r="A2569" s="43">
        <v>443</v>
      </c>
      <c r="B2569" s="43" t="s">
        <v>123</v>
      </c>
      <c r="C2569" s="43" t="s">
        <v>682</v>
      </c>
      <c r="D2569" s="43" t="s">
        <v>687</v>
      </c>
      <c r="E2569" s="43" t="s">
        <v>638</v>
      </c>
      <c r="F2569" s="43">
        <v>0</v>
      </c>
      <c r="G2569" s="43" t="s">
        <v>4583</v>
      </c>
      <c r="H2569"/>
    </row>
    <row r="2570" spans="1:8" hidden="1" x14ac:dyDescent="0.25">
      <c r="A2570" s="43">
        <v>443</v>
      </c>
      <c r="B2570" s="43" t="s">
        <v>123</v>
      </c>
      <c r="C2570" s="43" t="s">
        <v>682</v>
      </c>
      <c r="D2570" s="43" t="s">
        <v>688</v>
      </c>
      <c r="E2570" s="43" t="s">
        <v>689</v>
      </c>
      <c r="F2570" s="43">
        <v>0</v>
      </c>
      <c r="G2570" s="43" t="s">
        <v>4583</v>
      </c>
      <c r="H2570"/>
    </row>
    <row r="2571" spans="1:8" hidden="1" x14ac:dyDescent="0.25">
      <c r="A2571" s="43">
        <v>443</v>
      </c>
      <c r="B2571" s="43" t="s">
        <v>123</v>
      </c>
      <c r="C2571" s="43" t="s">
        <v>682</v>
      </c>
      <c r="D2571" s="43" t="s">
        <v>690</v>
      </c>
      <c r="E2571" s="43" t="s">
        <v>640</v>
      </c>
      <c r="F2571" s="43">
        <v>1</v>
      </c>
      <c r="G2571"/>
      <c r="H2571"/>
    </row>
    <row r="2572" spans="1:8" hidden="1" x14ac:dyDescent="0.25">
      <c r="A2572" s="43">
        <v>443</v>
      </c>
      <c r="B2572" s="43" t="s">
        <v>123</v>
      </c>
      <c r="C2572" s="43" t="s">
        <v>682</v>
      </c>
      <c r="D2572" s="43" t="s">
        <v>691</v>
      </c>
      <c r="E2572" s="43" t="s">
        <v>692</v>
      </c>
      <c r="F2572" s="43">
        <v>1</v>
      </c>
      <c r="G2572"/>
      <c r="H2572"/>
    </row>
    <row r="2573" spans="1:8" hidden="1" x14ac:dyDescent="0.25">
      <c r="A2573" s="43">
        <v>443</v>
      </c>
      <c r="B2573" s="43" t="s">
        <v>123</v>
      </c>
      <c r="C2573" s="43" t="s">
        <v>682</v>
      </c>
      <c r="D2573" s="43" t="s">
        <v>693</v>
      </c>
      <c r="E2573" s="43" t="s">
        <v>694</v>
      </c>
      <c r="F2573" s="43">
        <v>0</v>
      </c>
      <c r="G2573" s="43" t="s">
        <v>4583</v>
      </c>
      <c r="H2573"/>
    </row>
    <row r="2574" spans="1:8" hidden="1" x14ac:dyDescent="0.25">
      <c r="A2574" s="43">
        <v>443</v>
      </c>
      <c r="B2574" s="43" t="s">
        <v>123</v>
      </c>
      <c r="C2574" s="43" t="s">
        <v>682</v>
      </c>
      <c r="D2574" s="43" t="s">
        <v>695</v>
      </c>
      <c r="E2574" s="43" t="s">
        <v>696</v>
      </c>
      <c r="F2574" s="43">
        <v>0</v>
      </c>
      <c r="G2574" s="43" t="s">
        <v>4583</v>
      </c>
      <c r="H2574"/>
    </row>
    <row r="2575" spans="1:8" hidden="1" x14ac:dyDescent="0.25">
      <c r="A2575" s="43">
        <v>443</v>
      </c>
      <c r="B2575" s="43" t="s">
        <v>123</v>
      </c>
      <c r="C2575" s="43" t="s">
        <v>682</v>
      </c>
      <c r="D2575" s="43" t="s">
        <v>697</v>
      </c>
      <c r="E2575" s="43" t="s">
        <v>698</v>
      </c>
      <c r="F2575" s="43">
        <v>0</v>
      </c>
      <c r="G2575" s="43" t="s">
        <v>4583</v>
      </c>
      <c r="H2575"/>
    </row>
    <row r="2576" spans="1:8" hidden="1" x14ac:dyDescent="0.25">
      <c r="A2576" s="43">
        <v>443</v>
      </c>
      <c r="B2576" s="43" t="s">
        <v>123</v>
      </c>
      <c r="C2576" s="43" t="s">
        <v>682</v>
      </c>
      <c r="D2576" s="43" t="s">
        <v>699</v>
      </c>
      <c r="E2576" s="43" t="s">
        <v>700</v>
      </c>
      <c r="F2576" s="43">
        <v>1</v>
      </c>
      <c r="G2576"/>
      <c r="H2576"/>
    </row>
    <row r="2577" spans="1:8" hidden="1" x14ac:dyDescent="0.25">
      <c r="A2577" s="43">
        <v>443</v>
      </c>
      <c r="B2577" s="43" t="s">
        <v>123</v>
      </c>
      <c r="C2577" s="43" t="s">
        <v>1220</v>
      </c>
      <c r="D2577" s="43" t="s">
        <v>1221</v>
      </c>
      <c r="E2577" s="43" t="s">
        <v>430</v>
      </c>
      <c r="F2577" s="43">
        <v>1</v>
      </c>
      <c r="G2577"/>
      <c r="H2577"/>
    </row>
    <row r="2578" spans="1:8" hidden="1" x14ac:dyDescent="0.25">
      <c r="A2578" s="43">
        <v>443</v>
      </c>
      <c r="B2578" s="43" t="s">
        <v>123</v>
      </c>
      <c r="C2578" s="43" t="s">
        <v>1220</v>
      </c>
      <c r="D2578" s="43" t="s">
        <v>1222</v>
      </c>
      <c r="E2578" s="43" t="s">
        <v>1223</v>
      </c>
      <c r="F2578" s="43">
        <v>0</v>
      </c>
      <c r="G2578" s="43" t="s">
        <v>4583</v>
      </c>
      <c r="H2578"/>
    </row>
    <row r="2579" spans="1:8" hidden="1" x14ac:dyDescent="0.25">
      <c r="A2579" s="43">
        <v>443</v>
      </c>
      <c r="B2579" s="43" t="s">
        <v>123</v>
      </c>
      <c r="C2579" s="43" t="s">
        <v>1220</v>
      </c>
      <c r="D2579" s="43" t="s">
        <v>1224</v>
      </c>
      <c r="E2579" s="43" t="s">
        <v>1225</v>
      </c>
      <c r="F2579" s="43">
        <v>1</v>
      </c>
      <c r="G2579"/>
      <c r="H2579"/>
    </row>
    <row r="2580" spans="1:8" hidden="1" x14ac:dyDescent="0.25">
      <c r="A2580" s="43">
        <v>443</v>
      </c>
      <c r="B2580" s="43" t="s">
        <v>123</v>
      </c>
      <c r="C2580" s="43" t="s">
        <v>1220</v>
      </c>
      <c r="D2580" s="43" t="s">
        <v>1226</v>
      </c>
      <c r="E2580" s="43" t="s">
        <v>1227</v>
      </c>
      <c r="F2580" s="43">
        <v>1</v>
      </c>
      <c r="G2580"/>
      <c r="H2580"/>
    </row>
    <row r="2581" spans="1:8" hidden="1" x14ac:dyDescent="0.25">
      <c r="A2581" s="43">
        <v>443</v>
      </c>
      <c r="B2581" s="43" t="s">
        <v>123</v>
      </c>
      <c r="C2581" s="43" t="s">
        <v>1220</v>
      </c>
      <c r="D2581" s="43" t="s">
        <v>1228</v>
      </c>
      <c r="E2581" s="43" t="s">
        <v>438</v>
      </c>
      <c r="F2581" s="43">
        <v>1</v>
      </c>
      <c r="G2581"/>
      <c r="H2581"/>
    </row>
    <row r="2582" spans="1:8" hidden="1" x14ac:dyDescent="0.25">
      <c r="A2582" s="43">
        <v>443</v>
      </c>
      <c r="B2582" s="43" t="s">
        <v>123</v>
      </c>
      <c r="C2582" s="43" t="s">
        <v>1220</v>
      </c>
      <c r="D2582" s="43" t="s">
        <v>1229</v>
      </c>
      <c r="E2582" s="43" t="s">
        <v>440</v>
      </c>
      <c r="F2582" s="43">
        <v>1</v>
      </c>
      <c r="G2582"/>
      <c r="H2582"/>
    </row>
    <row r="2583" spans="1:8" hidden="1" x14ac:dyDescent="0.25">
      <c r="A2583" s="43">
        <v>443</v>
      </c>
      <c r="B2583" s="43" t="s">
        <v>123</v>
      </c>
      <c r="C2583" s="43" t="s">
        <v>1220</v>
      </c>
      <c r="D2583" s="43" t="s">
        <v>1230</v>
      </c>
      <c r="E2583" s="43" t="s">
        <v>424</v>
      </c>
      <c r="F2583" s="43">
        <v>0</v>
      </c>
      <c r="G2583" s="43" t="s">
        <v>4583</v>
      </c>
      <c r="H2583"/>
    </row>
    <row r="2584" spans="1:8" hidden="1" x14ac:dyDescent="0.25">
      <c r="A2584" s="43">
        <v>443</v>
      </c>
      <c r="B2584" s="43" t="s">
        <v>123</v>
      </c>
      <c r="C2584" s="43" t="s">
        <v>1220</v>
      </c>
      <c r="D2584" s="43" t="s">
        <v>1231</v>
      </c>
      <c r="E2584" s="43" t="s">
        <v>1232</v>
      </c>
      <c r="F2584" s="43">
        <v>0</v>
      </c>
      <c r="G2584" s="43" t="s">
        <v>4583</v>
      </c>
      <c r="H2584"/>
    </row>
    <row r="2585" spans="1:8" hidden="1" x14ac:dyDescent="0.25">
      <c r="A2585" s="43">
        <v>443</v>
      </c>
      <c r="B2585" s="43" t="s">
        <v>123</v>
      </c>
      <c r="C2585" s="43" t="s">
        <v>1220</v>
      </c>
      <c r="D2585" s="43" t="s">
        <v>1233</v>
      </c>
      <c r="E2585" s="43" t="s">
        <v>1234</v>
      </c>
      <c r="F2585" s="43">
        <v>1</v>
      </c>
      <c r="G2585"/>
      <c r="H2585"/>
    </row>
    <row r="2586" spans="1:8" hidden="1" x14ac:dyDescent="0.25">
      <c r="A2586" s="43">
        <v>443</v>
      </c>
      <c r="B2586" s="43" t="s">
        <v>123</v>
      </c>
      <c r="C2586" s="43" t="s">
        <v>1220</v>
      </c>
      <c r="D2586" s="43" t="s">
        <v>1235</v>
      </c>
      <c r="E2586" s="43" t="s">
        <v>1236</v>
      </c>
      <c r="F2586" s="43">
        <v>1</v>
      </c>
      <c r="G2586"/>
      <c r="H2586"/>
    </row>
    <row r="2587" spans="1:8" hidden="1" x14ac:dyDescent="0.25">
      <c r="A2587" s="43">
        <v>443</v>
      </c>
      <c r="B2587" s="43" t="s">
        <v>123</v>
      </c>
      <c r="C2587" s="43" t="s">
        <v>1220</v>
      </c>
      <c r="D2587" s="43" t="s">
        <v>1237</v>
      </c>
      <c r="E2587" s="43" t="s">
        <v>656</v>
      </c>
      <c r="F2587" s="43">
        <v>1</v>
      </c>
      <c r="G2587"/>
      <c r="H2587"/>
    </row>
    <row r="2588" spans="1:8" hidden="1" x14ac:dyDescent="0.25">
      <c r="A2588" s="43">
        <v>443</v>
      </c>
      <c r="B2588" s="43" t="s">
        <v>123</v>
      </c>
      <c r="C2588" s="43" t="s">
        <v>1220</v>
      </c>
      <c r="D2588" s="43" t="s">
        <v>1238</v>
      </c>
      <c r="E2588" s="43" t="s">
        <v>658</v>
      </c>
      <c r="F2588" s="43">
        <v>1</v>
      </c>
      <c r="G2588"/>
      <c r="H2588"/>
    </row>
    <row r="2589" spans="1:8" hidden="1" x14ac:dyDescent="0.25">
      <c r="A2589" s="43">
        <v>443</v>
      </c>
      <c r="B2589" s="43" t="s">
        <v>123</v>
      </c>
      <c r="C2589" s="43" t="s">
        <v>1220</v>
      </c>
      <c r="D2589" s="43" t="s">
        <v>1239</v>
      </c>
      <c r="E2589" s="43" t="s">
        <v>1240</v>
      </c>
      <c r="F2589" s="43">
        <v>0</v>
      </c>
      <c r="G2589" s="43" t="s">
        <v>4583</v>
      </c>
      <c r="H2589"/>
    </row>
    <row r="2590" spans="1:8" hidden="1" x14ac:dyDescent="0.25">
      <c r="A2590" s="43">
        <v>443</v>
      </c>
      <c r="B2590" s="43" t="s">
        <v>123</v>
      </c>
      <c r="C2590" s="43" t="s">
        <v>1220</v>
      </c>
      <c r="D2590" s="43" t="s">
        <v>1241</v>
      </c>
      <c r="E2590" s="43" t="s">
        <v>1242</v>
      </c>
      <c r="F2590" s="43">
        <v>0</v>
      </c>
      <c r="G2590" s="43" t="s">
        <v>4583</v>
      </c>
      <c r="H2590"/>
    </row>
    <row r="2591" spans="1:8" hidden="1" x14ac:dyDescent="0.25">
      <c r="A2591" s="43">
        <v>443</v>
      </c>
      <c r="B2591" s="43" t="s">
        <v>123</v>
      </c>
      <c r="C2591" s="43" t="s">
        <v>1220</v>
      </c>
      <c r="D2591" s="43" t="s">
        <v>1243</v>
      </c>
      <c r="E2591" s="43" t="s">
        <v>4482</v>
      </c>
      <c r="F2591" s="43">
        <v>1</v>
      </c>
      <c r="G2591"/>
      <c r="H2591"/>
    </row>
    <row r="2592" spans="1:8" hidden="1" x14ac:dyDescent="0.25">
      <c r="A2592" s="43">
        <v>443</v>
      </c>
      <c r="B2592" s="43" t="s">
        <v>123</v>
      </c>
      <c r="C2592" s="43" t="s">
        <v>1436</v>
      </c>
      <c r="D2592" s="43" t="s">
        <v>1437</v>
      </c>
      <c r="E2592" s="43" t="s">
        <v>1438</v>
      </c>
      <c r="F2592" s="43">
        <v>0</v>
      </c>
      <c r="G2592" s="43" t="s">
        <v>4583</v>
      </c>
      <c r="H2592"/>
    </row>
    <row r="2593" spans="1:8" hidden="1" x14ac:dyDescent="0.25">
      <c r="A2593" s="43">
        <v>443</v>
      </c>
      <c r="B2593" s="43" t="s">
        <v>123</v>
      </c>
      <c r="C2593" s="43" t="s">
        <v>1436</v>
      </c>
      <c r="D2593" s="43" t="s">
        <v>1439</v>
      </c>
      <c r="E2593" s="43" t="s">
        <v>1440</v>
      </c>
      <c r="F2593" s="43">
        <v>0</v>
      </c>
      <c r="G2593" s="43" t="s">
        <v>4583</v>
      </c>
      <c r="H2593"/>
    </row>
    <row r="2594" spans="1:8" hidden="1" x14ac:dyDescent="0.25">
      <c r="A2594" s="43">
        <v>443</v>
      </c>
      <c r="B2594" s="43" t="s">
        <v>123</v>
      </c>
      <c r="C2594" s="43" t="s">
        <v>1436</v>
      </c>
      <c r="D2594" s="43" t="s">
        <v>1441</v>
      </c>
      <c r="E2594" s="43" t="s">
        <v>1442</v>
      </c>
      <c r="F2594" s="43">
        <v>1</v>
      </c>
      <c r="G2594"/>
      <c r="H2594"/>
    </row>
    <row r="2595" spans="1:8" hidden="1" x14ac:dyDescent="0.25">
      <c r="A2595" s="43">
        <v>443</v>
      </c>
      <c r="B2595" s="43" t="s">
        <v>123</v>
      </c>
      <c r="C2595" s="43" t="s">
        <v>1436</v>
      </c>
      <c r="D2595" s="43" t="s">
        <v>1443</v>
      </c>
      <c r="E2595" s="43" t="s">
        <v>1444</v>
      </c>
      <c r="F2595" s="43">
        <v>0</v>
      </c>
      <c r="G2595" s="43" t="s">
        <v>4583</v>
      </c>
      <c r="H2595"/>
    </row>
    <row r="2596" spans="1:8" hidden="1" x14ac:dyDescent="0.25">
      <c r="A2596" s="43">
        <v>443</v>
      </c>
      <c r="B2596" s="43" t="s">
        <v>123</v>
      </c>
      <c r="C2596" s="43" t="s">
        <v>1436</v>
      </c>
      <c r="D2596" s="43" t="s">
        <v>1445</v>
      </c>
      <c r="E2596" s="43" t="s">
        <v>1446</v>
      </c>
      <c r="F2596" s="43">
        <v>1</v>
      </c>
      <c r="G2596"/>
      <c r="H2596"/>
    </row>
    <row r="2597" spans="1:8" hidden="1" x14ac:dyDescent="0.25">
      <c r="A2597" s="43">
        <v>443</v>
      </c>
      <c r="B2597" s="43" t="s">
        <v>123</v>
      </c>
      <c r="C2597" s="43" t="s">
        <v>1436</v>
      </c>
      <c r="D2597" s="43" t="s">
        <v>1447</v>
      </c>
      <c r="E2597" s="43" t="s">
        <v>1448</v>
      </c>
      <c r="F2597" s="43">
        <v>1</v>
      </c>
      <c r="G2597"/>
      <c r="H2597"/>
    </row>
    <row r="2598" spans="1:8" hidden="1" x14ac:dyDescent="0.25">
      <c r="A2598" s="43">
        <v>443</v>
      </c>
      <c r="B2598" s="43" t="s">
        <v>123</v>
      </c>
      <c r="C2598" s="43" t="s">
        <v>1436</v>
      </c>
      <c r="D2598" s="43" t="s">
        <v>1449</v>
      </c>
      <c r="E2598" s="43" t="s">
        <v>1450</v>
      </c>
      <c r="F2598" s="43">
        <v>1</v>
      </c>
      <c r="G2598"/>
      <c r="H2598"/>
    </row>
    <row r="2599" spans="1:8" hidden="1" x14ac:dyDescent="0.25">
      <c r="A2599" s="43">
        <v>443</v>
      </c>
      <c r="B2599" s="43" t="s">
        <v>123</v>
      </c>
      <c r="C2599" s="43" t="s">
        <v>1436</v>
      </c>
      <c r="D2599" s="43" t="s">
        <v>1451</v>
      </c>
      <c r="E2599" s="43" t="s">
        <v>1452</v>
      </c>
      <c r="F2599" s="43">
        <v>0</v>
      </c>
      <c r="G2599" s="43" t="s">
        <v>4583</v>
      </c>
      <c r="H2599"/>
    </row>
    <row r="2600" spans="1:8" hidden="1" x14ac:dyDescent="0.25">
      <c r="A2600" s="43">
        <v>443</v>
      </c>
      <c r="B2600" s="43" t="s">
        <v>123</v>
      </c>
      <c r="C2600" s="43" t="s">
        <v>1436</v>
      </c>
      <c r="D2600" s="43" t="s">
        <v>1453</v>
      </c>
      <c r="E2600" s="43" t="s">
        <v>1454</v>
      </c>
      <c r="F2600" s="43">
        <v>0</v>
      </c>
      <c r="G2600" s="43" t="s">
        <v>4583</v>
      </c>
      <c r="H2600"/>
    </row>
    <row r="2601" spans="1:8" hidden="1" x14ac:dyDescent="0.25">
      <c r="A2601" s="43">
        <v>443</v>
      </c>
      <c r="B2601" s="43" t="s">
        <v>123</v>
      </c>
      <c r="C2601" s="43" t="s">
        <v>1436</v>
      </c>
      <c r="D2601" s="43" t="s">
        <v>1455</v>
      </c>
      <c r="E2601" s="43" t="s">
        <v>1456</v>
      </c>
      <c r="F2601" s="43">
        <v>0</v>
      </c>
      <c r="G2601" s="43" t="s">
        <v>4583</v>
      </c>
      <c r="H2601"/>
    </row>
    <row r="2602" spans="1:8" hidden="1" x14ac:dyDescent="0.25">
      <c r="A2602" s="43">
        <v>446</v>
      </c>
      <c r="B2602" s="43" t="s">
        <v>124</v>
      </c>
      <c r="C2602" s="43" t="s">
        <v>1155</v>
      </c>
      <c r="D2602" s="43" t="s">
        <v>1156</v>
      </c>
      <c r="E2602" s="43" t="s">
        <v>273</v>
      </c>
      <c r="F2602" s="43">
        <v>1</v>
      </c>
      <c r="G2602"/>
      <c r="H2602"/>
    </row>
    <row r="2603" spans="1:8" hidden="1" x14ac:dyDescent="0.25">
      <c r="A2603" s="43">
        <v>446</v>
      </c>
      <c r="B2603" s="43" t="s">
        <v>124</v>
      </c>
      <c r="C2603" s="43" t="s">
        <v>1155</v>
      </c>
      <c r="D2603" s="43" t="s">
        <v>1157</v>
      </c>
      <c r="E2603" s="43" t="s">
        <v>844</v>
      </c>
      <c r="F2603" s="43">
        <v>1</v>
      </c>
      <c r="G2603"/>
      <c r="H2603"/>
    </row>
    <row r="2604" spans="1:8" x14ac:dyDescent="0.25">
      <c r="A2604" s="43">
        <v>446</v>
      </c>
      <c r="B2604" s="43" t="s">
        <v>124</v>
      </c>
      <c r="C2604" s="43" t="s">
        <v>1155</v>
      </c>
      <c r="D2604" s="43" t="s">
        <v>1158</v>
      </c>
      <c r="E2604" s="43" t="s">
        <v>1159</v>
      </c>
      <c r="F2604" s="43">
        <v>2</v>
      </c>
      <c r="G2604" s="43" t="s">
        <v>4538</v>
      </c>
      <c r="H2604" s="43" t="s">
        <v>4580</v>
      </c>
    </row>
    <row r="2605" spans="1:8" x14ac:dyDescent="0.25">
      <c r="A2605" s="43">
        <v>446</v>
      </c>
      <c r="B2605" s="43" t="s">
        <v>124</v>
      </c>
      <c r="C2605" s="43" t="s">
        <v>1155</v>
      </c>
      <c r="D2605" s="43" t="s">
        <v>1160</v>
      </c>
      <c r="E2605" s="43" t="s">
        <v>1161</v>
      </c>
      <c r="F2605" s="43">
        <v>2</v>
      </c>
      <c r="G2605" s="43" t="s">
        <v>4538</v>
      </c>
      <c r="H2605" s="43" t="s">
        <v>4580</v>
      </c>
    </row>
    <row r="2606" spans="1:8" x14ac:dyDescent="0.25">
      <c r="A2606" s="43">
        <v>446</v>
      </c>
      <c r="B2606" s="43" t="s">
        <v>124</v>
      </c>
      <c r="C2606" s="43" t="s">
        <v>1155</v>
      </c>
      <c r="D2606" s="43" t="s">
        <v>1162</v>
      </c>
      <c r="E2606" s="43" t="s">
        <v>1163</v>
      </c>
      <c r="F2606" s="43">
        <v>2</v>
      </c>
      <c r="G2606" s="43" t="s">
        <v>4538</v>
      </c>
      <c r="H2606" s="43" t="s">
        <v>4580</v>
      </c>
    </row>
    <row r="2607" spans="1:8" x14ac:dyDescent="0.25">
      <c r="A2607" s="43">
        <v>446</v>
      </c>
      <c r="B2607" s="43" t="s">
        <v>124</v>
      </c>
      <c r="C2607" s="43" t="s">
        <v>1155</v>
      </c>
      <c r="D2607" s="43" t="s">
        <v>1164</v>
      </c>
      <c r="E2607" s="43" t="s">
        <v>1165</v>
      </c>
      <c r="F2607" s="43">
        <v>2</v>
      </c>
      <c r="G2607" s="43" t="s">
        <v>4538</v>
      </c>
      <c r="H2607" s="43" t="s">
        <v>4580</v>
      </c>
    </row>
    <row r="2608" spans="1:8" hidden="1" x14ac:dyDescent="0.25">
      <c r="A2608" s="43">
        <v>446</v>
      </c>
      <c r="B2608" s="43" t="s">
        <v>124</v>
      </c>
      <c r="C2608" s="43" t="s">
        <v>1155</v>
      </c>
      <c r="D2608" s="43" t="s">
        <v>1166</v>
      </c>
      <c r="E2608" s="43" t="s">
        <v>295</v>
      </c>
      <c r="F2608" s="43">
        <v>1</v>
      </c>
      <c r="G2608"/>
      <c r="H2608"/>
    </row>
    <row r="2609" spans="1:8" x14ac:dyDescent="0.25">
      <c r="A2609" s="43">
        <v>446</v>
      </c>
      <c r="B2609" s="43" t="s">
        <v>124</v>
      </c>
      <c r="C2609" s="43" t="s">
        <v>1155</v>
      </c>
      <c r="D2609" s="43" t="s">
        <v>1167</v>
      </c>
      <c r="E2609" s="43" t="s">
        <v>1168</v>
      </c>
      <c r="F2609" s="43">
        <v>2</v>
      </c>
      <c r="G2609" s="43" t="s">
        <v>4538</v>
      </c>
      <c r="H2609" s="43" t="s">
        <v>4580</v>
      </c>
    </row>
    <row r="2610" spans="1:8" hidden="1" x14ac:dyDescent="0.25">
      <c r="A2610" s="43">
        <v>447</v>
      </c>
      <c r="B2610" s="43" t="s">
        <v>125</v>
      </c>
      <c r="C2610" s="43" t="s">
        <v>1097</v>
      </c>
      <c r="D2610" s="43" t="s">
        <v>1098</v>
      </c>
      <c r="E2610" s="43" t="s">
        <v>1099</v>
      </c>
      <c r="F2610" s="43">
        <v>1</v>
      </c>
      <c r="G2610"/>
      <c r="H2610"/>
    </row>
    <row r="2611" spans="1:8" hidden="1" x14ac:dyDescent="0.25">
      <c r="A2611" s="43">
        <v>447</v>
      </c>
      <c r="B2611" s="43" t="s">
        <v>125</v>
      </c>
      <c r="C2611" s="43" t="s">
        <v>1097</v>
      </c>
      <c r="D2611" s="43" t="s">
        <v>1100</v>
      </c>
      <c r="E2611" s="43" t="s">
        <v>1101</v>
      </c>
      <c r="F2611" s="43">
        <v>1</v>
      </c>
      <c r="G2611"/>
      <c r="H2611"/>
    </row>
    <row r="2612" spans="1:8" hidden="1" x14ac:dyDescent="0.25">
      <c r="A2612" s="43">
        <v>447</v>
      </c>
      <c r="B2612" s="43" t="s">
        <v>125</v>
      </c>
      <c r="C2612" s="43" t="s">
        <v>1097</v>
      </c>
      <c r="D2612" s="43" t="s">
        <v>1102</v>
      </c>
      <c r="E2612" s="43" t="s">
        <v>1103</v>
      </c>
      <c r="F2612" s="43">
        <v>1</v>
      </c>
      <c r="G2612"/>
      <c r="H2612"/>
    </row>
    <row r="2613" spans="1:8" hidden="1" x14ac:dyDescent="0.25">
      <c r="A2613" s="43">
        <v>447</v>
      </c>
      <c r="B2613" s="43" t="s">
        <v>125</v>
      </c>
      <c r="C2613" s="43" t="s">
        <v>1097</v>
      </c>
      <c r="D2613" s="43" t="s">
        <v>1104</v>
      </c>
      <c r="E2613" s="43" t="s">
        <v>1105</v>
      </c>
      <c r="F2613" s="43">
        <v>1</v>
      </c>
      <c r="G2613"/>
      <c r="H2613"/>
    </row>
    <row r="2614" spans="1:8" hidden="1" x14ac:dyDescent="0.25">
      <c r="A2614" s="43">
        <v>447</v>
      </c>
      <c r="B2614" s="43" t="s">
        <v>125</v>
      </c>
      <c r="C2614" s="43" t="s">
        <v>1097</v>
      </c>
      <c r="D2614" s="43" t="s">
        <v>1106</v>
      </c>
      <c r="E2614" s="43" t="s">
        <v>349</v>
      </c>
      <c r="F2614" s="43">
        <v>1</v>
      </c>
      <c r="G2614"/>
      <c r="H2614"/>
    </row>
    <row r="2615" spans="1:8" hidden="1" x14ac:dyDescent="0.25">
      <c r="A2615" s="43">
        <v>447</v>
      </c>
      <c r="B2615" s="43" t="s">
        <v>125</v>
      </c>
      <c r="C2615" s="43" t="s">
        <v>1097</v>
      </c>
      <c r="D2615" s="43" t="s">
        <v>1107</v>
      </c>
      <c r="E2615" s="43" t="s">
        <v>4476</v>
      </c>
      <c r="F2615" s="43">
        <v>1</v>
      </c>
      <c r="G2615"/>
      <c r="H2615"/>
    </row>
    <row r="2616" spans="1:8" hidden="1" x14ac:dyDescent="0.25">
      <c r="A2616" s="43">
        <v>447</v>
      </c>
      <c r="B2616" s="43" t="s">
        <v>125</v>
      </c>
      <c r="C2616" s="43" t="s">
        <v>1097</v>
      </c>
      <c r="D2616" s="43" t="s">
        <v>1109</v>
      </c>
      <c r="E2616" s="43" t="s">
        <v>3050</v>
      </c>
      <c r="F2616" s="43">
        <v>1</v>
      </c>
      <c r="G2616"/>
      <c r="H2616"/>
    </row>
    <row r="2617" spans="1:8" hidden="1" x14ac:dyDescent="0.25">
      <c r="A2617" s="43">
        <v>447</v>
      </c>
      <c r="B2617" s="43" t="s">
        <v>125</v>
      </c>
      <c r="C2617" s="43" t="s">
        <v>1097</v>
      </c>
      <c r="D2617" s="43" t="s">
        <v>1111</v>
      </c>
      <c r="E2617" s="43" t="s">
        <v>1112</v>
      </c>
      <c r="F2617" s="43">
        <v>1</v>
      </c>
      <c r="G2617"/>
      <c r="H2617"/>
    </row>
    <row r="2618" spans="1:8" hidden="1" x14ac:dyDescent="0.25">
      <c r="A2618" s="43">
        <v>447</v>
      </c>
      <c r="B2618" s="43" t="s">
        <v>125</v>
      </c>
      <c r="C2618" s="43" t="s">
        <v>1097</v>
      </c>
      <c r="D2618" s="43" t="s">
        <v>1113</v>
      </c>
      <c r="E2618" s="43" t="s">
        <v>1114</v>
      </c>
      <c r="F2618" s="43">
        <v>1</v>
      </c>
      <c r="G2618"/>
      <c r="H2618"/>
    </row>
    <row r="2619" spans="1:8" hidden="1" x14ac:dyDescent="0.25">
      <c r="A2619" s="43">
        <v>447</v>
      </c>
      <c r="B2619" s="43" t="s">
        <v>125</v>
      </c>
      <c r="C2619" s="43" t="s">
        <v>1097</v>
      </c>
      <c r="D2619" s="43" t="s">
        <v>1115</v>
      </c>
      <c r="E2619" s="43" t="s">
        <v>1116</v>
      </c>
      <c r="F2619" s="43">
        <v>1</v>
      </c>
      <c r="G2619"/>
      <c r="H2619"/>
    </row>
    <row r="2620" spans="1:8" hidden="1" x14ac:dyDescent="0.25">
      <c r="A2620" s="43">
        <v>447</v>
      </c>
      <c r="B2620" s="43" t="s">
        <v>125</v>
      </c>
      <c r="C2620" s="43" t="s">
        <v>1097</v>
      </c>
      <c r="D2620" s="43" t="s">
        <v>1117</v>
      </c>
      <c r="E2620" s="43" t="s">
        <v>1118</v>
      </c>
      <c r="F2620" s="43">
        <v>1</v>
      </c>
      <c r="G2620"/>
      <c r="H2620"/>
    </row>
    <row r="2621" spans="1:8" hidden="1" x14ac:dyDescent="0.25">
      <c r="A2621" s="43">
        <v>447</v>
      </c>
      <c r="B2621" s="43" t="s">
        <v>125</v>
      </c>
      <c r="C2621" s="43" t="s">
        <v>1097</v>
      </c>
      <c r="D2621" s="43" t="s">
        <v>1119</v>
      </c>
      <c r="E2621" s="43" t="s">
        <v>1120</v>
      </c>
      <c r="F2621" s="43">
        <v>1</v>
      </c>
      <c r="G2621"/>
      <c r="H2621"/>
    </row>
    <row r="2622" spans="1:8" hidden="1" x14ac:dyDescent="0.25">
      <c r="A2622" s="43">
        <v>447</v>
      </c>
      <c r="B2622" s="43" t="s">
        <v>125</v>
      </c>
      <c r="C2622" s="43" t="s">
        <v>1097</v>
      </c>
      <c r="D2622" s="43" t="s">
        <v>1121</v>
      </c>
      <c r="E2622" s="43" t="s">
        <v>1122</v>
      </c>
      <c r="F2622" s="43">
        <v>1</v>
      </c>
      <c r="G2622"/>
      <c r="H2622"/>
    </row>
    <row r="2623" spans="1:8" hidden="1" x14ac:dyDescent="0.25">
      <c r="A2623" s="43">
        <v>447</v>
      </c>
      <c r="B2623" s="43" t="s">
        <v>125</v>
      </c>
      <c r="C2623" s="43" t="s">
        <v>1097</v>
      </c>
      <c r="D2623" s="43" t="s">
        <v>1123</v>
      </c>
      <c r="E2623" s="43" t="s">
        <v>1124</v>
      </c>
      <c r="F2623" s="43">
        <v>1</v>
      </c>
      <c r="G2623"/>
      <c r="H2623"/>
    </row>
    <row r="2624" spans="1:8" hidden="1" x14ac:dyDescent="0.25">
      <c r="A2624" s="43">
        <v>448</v>
      </c>
      <c r="B2624" s="43" t="s">
        <v>126</v>
      </c>
      <c r="C2624" s="43" t="s">
        <v>891</v>
      </c>
      <c r="D2624" s="43" t="s">
        <v>892</v>
      </c>
      <c r="E2624" s="43" t="s">
        <v>893</v>
      </c>
      <c r="F2624" s="43">
        <v>1</v>
      </c>
      <c r="G2624"/>
      <c r="H2624"/>
    </row>
    <row r="2625" spans="1:8" hidden="1" x14ac:dyDescent="0.25">
      <c r="A2625" s="43">
        <v>448</v>
      </c>
      <c r="B2625" s="43" t="s">
        <v>126</v>
      </c>
      <c r="C2625" s="43" t="s">
        <v>891</v>
      </c>
      <c r="D2625" s="43" t="s">
        <v>894</v>
      </c>
      <c r="E2625" s="43" t="s">
        <v>895</v>
      </c>
      <c r="F2625" s="43">
        <v>1</v>
      </c>
      <c r="G2625"/>
      <c r="H2625"/>
    </row>
    <row r="2626" spans="1:8" hidden="1" x14ac:dyDescent="0.25">
      <c r="A2626" s="43">
        <v>448</v>
      </c>
      <c r="B2626" s="43" t="s">
        <v>126</v>
      </c>
      <c r="C2626" s="43" t="s">
        <v>891</v>
      </c>
      <c r="D2626" s="43" t="s">
        <v>896</v>
      </c>
      <c r="E2626" s="43" t="s">
        <v>897</v>
      </c>
      <c r="F2626" s="43">
        <v>1</v>
      </c>
      <c r="G2626"/>
      <c r="H2626"/>
    </row>
    <row r="2627" spans="1:8" hidden="1" x14ac:dyDescent="0.25">
      <c r="A2627" s="43">
        <v>448</v>
      </c>
      <c r="B2627" s="43" t="s">
        <v>126</v>
      </c>
      <c r="C2627" s="43" t="s">
        <v>891</v>
      </c>
      <c r="D2627" s="43" t="s">
        <v>898</v>
      </c>
      <c r="E2627" s="43" t="s">
        <v>899</v>
      </c>
      <c r="F2627" s="43">
        <v>1</v>
      </c>
      <c r="G2627"/>
      <c r="H2627"/>
    </row>
    <row r="2628" spans="1:8" hidden="1" x14ac:dyDescent="0.25">
      <c r="A2628" s="43">
        <v>448</v>
      </c>
      <c r="B2628" s="43" t="s">
        <v>126</v>
      </c>
      <c r="C2628" s="43" t="s">
        <v>891</v>
      </c>
      <c r="D2628" s="43" t="s">
        <v>900</v>
      </c>
      <c r="E2628" s="43" t="s">
        <v>349</v>
      </c>
      <c r="F2628" s="43">
        <v>1</v>
      </c>
      <c r="G2628"/>
      <c r="H2628"/>
    </row>
    <row r="2629" spans="1:8" hidden="1" x14ac:dyDescent="0.25">
      <c r="A2629" s="43">
        <v>448</v>
      </c>
      <c r="B2629" s="43" t="s">
        <v>126</v>
      </c>
      <c r="C2629" s="43" t="s">
        <v>891</v>
      </c>
      <c r="D2629" s="43" t="s">
        <v>901</v>
      </c>
      <c r="E2629" s="43" t="s">
        <v>902</v>
      </c>
      <c r="F2629" s="43">
        <v>0</v>
      </c>
      <c r="G2629" s="43" t="s">
        <v>4583</v>
      </c>
      <c r="H2629"/>
    </row>
    <row r="2630" spans="1:8" hidden="1" x14ac:dyDescent="0.25">
      <c r="A2630" s="43">
        <v>448</v>
      </c>
      <c r="B2630" s="43" t="s">
        <v>126</v>
      </c>
      <c r="C2630" s="43" t="s">
        <v>891</v>
      </c>
      <c r="D2630" s="43" t="s">
        <v>903</v>
      </c>
      <c r="E2630" s="43" t="s">
        <v>904</v>
      </c>
      <c r="F2630" s="43">
        <v>0</v>
      </c>
      <c r="G2630" s="43" t="s">
        <v>4583</v>
      </c>
      <c r="H2630"/>
    </row>
    <row r="2631" spans="1:8" hidden="1" x14ac:dyDescent="0.25">
      <c r="A2631" s="43">
        <v>448</v>
      </c>
      <c r="B2631" s="43" t="s">
        <v>126</v>
      </c>
      <c r="C2631" s="43" t="s">
        <v>891</v>
      </c>
      <c r="D2631" s="43" t="s">
        <v>905</v>
      </c>
      <c r="E2631" s="43" t="s">
        <v>906</v>
      </c>
      <c r="F2631" s="43">
        <v>1</v>
      </c>
      <c r="G2631"/>
      <c r="H2631"/>
    </row>
    <row r="2632" spans="1:8" hidden="1" x14ac:dyDescent="0.25">
      <c r="A2632" s="43">
        <v>448</v>
      </c>
      <c r="B2632" s="43" t="s">
        <v>126</v>
      </c>
      <c r="C2632" s="43" t="s">
        <v>891</v>
      </c>
      <c r="D2632" s="43" t="s">
        <v>907</v>
      </c>
      <c r="E2632" s="43" t="s">
        <v>908</v>
      </c>
      <c r="F2632" s="43">
        <v>1</v>
      </c>
      <c r="G2632"/>
      <c r="H2632"/>
    </row>
    <row r="2633" spans="1:8" hidden="1" x14ac:dyDescent="0.25">
      <c r="A2633" s="43">
        <v>448</v>
      </c>
      <c r="B2633" s="43" t="s">
        <v>126</v>
      </c>
      <c r="C2633" s="43" t="s">
        <v>891</v>
      </c>
      <c r="D2633" s="43" t="s">
        <v>909</v>
      </c>
      <c r="E2633" s="43" t="s">
        <v>910</v>
      </c>
      <c r="F2633" s="43">
        <v>1</v>
      </c>
      <c r="G2633"/>
      <c r="H2633"/>
    </row>
    <row r="2634" spans="1:8" hidden="1" x14ac:dyDescent="0.25">
      <c r="A2634" s="43">
        <v>448</v>
      </c>
      <c r="B2634" s="43" t="s">
        <v>126</v>
      </c>
      <c r="C2634" s="43" t="s">
        <v>891</v>
      </c>
      <c r="D2634" s="43" t="s">
        <v>911</v>
      </c>
      <c r="E2634" s="43" t="s">
        <v>4477</v>
      </c>
      <c r="F2634" s="43">
        <v>0</v>
      </c>
      <c r="G2634" s="43" t="s">
        <v>4583</v>
      </c>
      <c r="H2634"/>
    </row>
    <row r="2635" spans="1:8" hidden="1" x14ac:dyDescent="0.25">
      <c r="A2635" s="43">
        <v>448</v>
      </c>
      <c r="B2635" s="43" t="s">
        <v>126</v>
      </c>
      <c r="C2635" s="43" t="s">
        <v>891</v>
      </c>
      <c r="D2635" s="43" t="s">
        <v>913</v>
      </c>
      <c r="E2635" s="43" t="s">
        <v>914</v>
      </c>
      <c r="F2635" s="43">
        <v>1</v>
      </c>
      <c r="G2635"/>
      <c r="H2635"/>
    </row>
    <row r="2636" spans="1:8" hidden="1" x14ac:dyDescent="0.25">
      <c r="A2636" s="43">
        <v>448</v>
      </c>
      <c r="B2636" s="43" t="s">
        <v>126</v>
      </c>
      <c r="C2636" s="43" t="s">
        <v>891</v>
      </c>
      <c r="D2636" s="43" t="s">
        <v>915</v>
      </c>
      <c r="E2636" s="43" t="s">
        <v>916</v>
      </c>
      <c r="F2636" s="43">
        <v>1</v>
      </c>
      <c r="G2636"/>
      <c r="H2636"/>
    </row>
    <row r="2637" spans="1:8" hidden="1" x14ac:dyDescent="0.25">
      <c r="A2637" s="43">
        <v>451</v>
      </c>
      <c r="B2637" s="43" t="s">
        <v>127</v>
      </c>
      <c r="C2637" s="43" t="s">
        <v>1613</v>
      </c>
      <c r="D2637" s="43" t="s">
        <v>1614</v>
      </c>
      <c r="E2637" s="43" t="s">
        <v>273</v>
      </c>
      <c r="F2637" s="43">
        <v>1</v>
      </c>
      <c r="G2637"/>
      <c r="H2637"/>
    </row>
    <row r="2638" spans="1:8" hidden="1" x14ac:dyDescent="0.25">
      <c r="A2638" s="43">
        <v>451</v>
      </c>
      <c r="B2638" s="43" t="s">
        <v>127</v>
      </c>
      <c r="C2638" s="43" t="s">
        <v>1613</v>
      </c>
      <c r="D2638" s="43" t="s">
        <v>1615</v>
      </c>
      <c r="E2638" s="43" t="s">
        <v>312</v>
      </c>
      <c r="F2638" s="43">
        <v>1</v>
      </c>
      <c r="G2638"/>
      <c r="H2638"/>
    </row>
    <row r="2639" spans="1:8" hidden="1" x14ac:dyDescent="0.25">
      <c r="A2639" s="43">
        <v>451</v>
      </c>
      <c r="B2639" s="43" t="s">
        <v>127</v>
      </c>
      <c r="C2639" s="43" t="s">
        <v>1613</v>
      </c>
      <c r="D2639" s="43" t="s">
        <v>1616</v>
      </c>
      <c r="E2639" s="43" t="s">
        <v>316</v>
      </c>
      <c r="F2639" s="43">
        <v>1</v>
      </c>
      <c r="G2639"/>
      <c r="H2639"/>
    </row>
    <row r="2640" spans="1:8" hidden="1" x14ac:dyDescent="0.25">
      <c r="A2640" s="43">
        <v>451</v>
      </c>
      <c r="B2640" s="43" t="s">
        <v>127</v>
      </c>
      <c r="C2640" s="43" t="s">
        <v>1613</v>
      </c>
      <c r="D2640" s="43" t="s">
        <v>1617</v>
      </c>
      <c r="E2640" s="43" t="s">
        <v>314</v>
      </c>
      <c r="F2640" s="43">
        <v>1</v>
      </c>
      <c r="G2640"/>
      <c r="H2640"/>
    </row>
    <row r="2641" spans="1:8" hidden="1" x14ac:dyDescent="0.25">
      <c r="A2641" s="43">
        <v>451</v>
      </c>
      <c r="B2641" s="43" t="s">
        <v>127</v>
      </c>
      <c r="C2641" s="43" t="s">
        <v>1613</v>
      </c>
      <c r="D2641" s="43" t="s">
        <v>1618</v>
      </c>
      <c r="E2641" s="43" t="s">
        <v>318</v>
      </c>
      <c r="F2641" s="43">
        <v>1</v>
      </c>
      <c r="G2641"/>
      <c r="H2641"/>
    </row>
    <row r="2642" spans="1:8" hidden="1" x14ac:dyDescent="0.25">
      <c r="A2642" s="43">
        <v>451</v>
      </c>
      <c r="B2642" s="43" t="s">
        <v>127</v>
      </c>
      <c r="C2642" s="43" t="s">
        <v>1613</v>
      </c>
      <c r="D2642" s="43" t="s">
        <v>1619</v>
      </c>
      <c r="E2642" s="43" t="s">
        <v>1620</v>
      </c>
      <c r="F2642" s="43">
        <v>1</v>
      </c>
      <c r="G2642"/>
      <c r="H2642"/>
    </row>
    <row r="2643" spans="1:8" hidden="1" x14ac:dyDescent="0.25">
      <c r="A2643" s="43">
        <v>451</v>
      </c>
      <c r="B2643" s="43" t="s">
        <v>127</v>
      </c>
      <c r="C2643" s="43" t="s">
        <v>1613</v>
      </c>
      <c r="D2643" s="43" t="s">
        <v>1621</v>
      </c>
      <c r="E2643" s="43" t="s">
        <v>1622</v>
      </c>
      <c r="F2643" s="43">
        <v>1</v>
      </c>
      <c r="G2643"/>
      <c r="H2643"/>
    </row>
    <row r="2644" spans="1:8" hidden="1" x14ac:dyDescent="0.25">
      <c r="A2644" s="43">
        <v>451</v>
      </c>
      <c r="B2644" s="43" t="s">
        <v>127</v>
      </c>
      <c r="C2644" s="43" t="s">
        <v>1613</v>
      </c>
      <c r="D2644" s="43" t="s">
        <v>1623</v>
      </c>
      <c r="E2644" s="43" t="s">
        <v>322</v>
      </c>
      <c r="F2644" s="43">
        <v>1</v>
      </c>
      <c r="G2644"/>
      <c r="H2644"/>
    </row>
    <row r="2645" spans="1:8" hidden="1" x14ac:dyDescent="0.25">
      <c r="A2645" s="43">
        <v>451</v>
      </c>
      <c r="B2645" s="43" t="s">
        <v>127</v>
      </c>
      <c r="C2645" s="43" t="s">
        <v>1613</v>
      </c>
      <c r="D2645" s="43" t="s">
        <v>1624</v>
      </c>
      <c r="E2645" s="43" t="s">
        <v>936</v>
      </c>
      <c r="F2645" s="43">
        <v>1</v>
      </c>
      <c r="G2645"/>
      <c r="H2645"/>
    </row>
    <row r="2646" spans="1:8" hidden="1" x14ac:dyDescent="0.25">
      <c r="A2646" s="43">
        <v>451</v>
      </c>
      <c r="B2646" s="43" t="s">
        <v>127</v>
      </c>
      <c r="C2646" s="43" t="s">
        <v>1613</v>
      </c>
      <c r="D2646" s="43" t="s">
        <v>1625</v>
      </c>
      <c r="E2646" s="43" t="s">
        <v>938</v>
      </c>
      <c r="F2646" s="43">
        <v>0</v>
      </c>
      <c r="G2646" s="43" t="s">
        <v>4583</v>
      </c>
      <c r="H2646"/>
    </row>
    <row r="2647" spans="1:8" hidden="1" x14ac:dyDescent="0.25">
      <c r="A2647" s="43">
        <v>451</v>
      </c>
      <c r="B2647" s="43" t="s">
        <v>127</v>
      </c>
      <c r="C2647" s="43" t="s">
        <v>1613</v>
      </c>
      <c r="D2647" s="43" t="s">
        <v>1626</v>
      </c>
      <c r="E2647" s="43" t="s">
        <v>1483</v>
      </c>
      <c r="F2647" s="43">
        <v>0</v>
      </c>
      <c r="G2647" s="43" t="s">
        <v>4583</v>
      </c>
      <c r="H2647"/>
    </row>
    <row r="2648" spans="1:8" hidden="1" x14ac:dyDescent="0.25">
      <c r="A2648" s="43">
        <v>451</v>
      </c>
      <c r="B2648" s="43" t="s">
        <v>127</v>
      </c>
      <c r="C2648" s="43" t="s">
        <v>1613</v>
      </c>
      <c r="D2648" s="43" t="s">
        <v>1627</v>
      </c>
      <c r="E2648" s="43" t="s">
        <v>942</v>
      </c>
      <c r="F2648" s="43">
        <v>1</v>
      </c>
      <c r="G2648"/>
      <c r="H2648"/>
    </row>
    <row r="2649" spans="1:8" hidden="1" x14ac:dyDescent="0.25">
      <c r="A2649" s="43">
        <v>451</v>
      </c>
      <c r="B2649" s="43" t="s">
        <v>127</v>
      </c>
      <c r="C2649" s="43" t="s">
        <v>1613</v>
      </c>
      <c r="D2649" s="43" t="s">
        <v>1628</v>
      </c>
      <c r="E2649" s="43" t="s">
        <v>383</v>
      </c>
      <c r="F2649" s="43">
        <v>1</v>
      </c>
      <c r="G2649"/>
      <c r="H2649"/>
    </row>
    <row r="2650" spans="1:8" hidden="1" x14ac:dyDescent="0.25">
      <c r="A2650" s="43">
        <v>451</v>
      </c>
      <c r="B2650" s="43" t="s">
        <v>127</v>
      </c>
      <c r="C2650" s="43" t="s">
        <v>1613</v>
      </c>
      <c r="D2650" s="43" t="s">
        <v>1629</v>
      </c>
      <c r="E2650" s="43" t="s">
        <v>1630</v>
      </c>
      <c r="F2650" s="43">
        <v>0</v>
      </c>
      <c r="G2650" s="43" t="s">
        <v>4583</v>
      </c>
      <c r="H2650"/>
    </row>
    <row r="2651" spans="1:8" hidden="1" x14ac:dyDescent="0.25">
      <c r="A2651" s="43">
        <v>451</v>
      </c>
      <c r="B2651" s="43" t="s">
        <v>127</v>
      </c>
      <c r="C2651" s="43" t="s">
        <v>1613</v>
      </c>
      <c r="D2651" s="43" t="s">
        <v>1631</v>
      </c>
      <c r="E2651" s="43" t="s">
        <v>380</v>
      </c>
      <c r="F2651" s="43">
        <v>1</v>
      </c>
      <c r="G2651"/>
      <c r="H2651"/>
    </row>
    <row r="2652" spans="1:8" hidden="1" x14ac:dyDescent="0.25">
      <c r="A2652" s="43">
        <v>451</v>
      </c>
      <c r="B2652" s="43" t="s">
        <v>127</v>
      </c>
      <c r="C2652" s="43" t="s">
        <v>1613</v>
      </c>
      <c r="D2652" s="43" t="s">
        <v>1632</v>
      </c>
      <c r="E2652" s="43" t="s">
        <v>381</v>
      </c>
      <c r="F2652" s="43">
        <v>0</v>
      </c>
      <c r="G2652" s="43" t="s">
        <v>4583</v>
      </c>
      <c r="H2652"/>
    </row>
    <row r="2653" spans="1:8" hidden="1" x14ac:dyDescent="0.25">
      <c r="A2653" s="43">
        <v>451</v>
      </c>
      <c r="B2653" s="43" t="s">
        <v>127</v>
      </c>
      <c r="C2653" s="43" t="s">
        <v>1613</v>
      </c>
      <c r="D2653" s="43" t="s">
        <v>1633</v>
      </c>
      <c r="E2653" s="43" t="s">
        <v>1634</v>
      </c>
      <c r="F2653" s="43">
        <v>0</v>
      </c>
      <c r="G2653" s="43" t="s">
        <v>4583</v>
      </c>
      <c r="H2653"/>
    </row>
    <row r="2654" spans="1:8" hidden="1" x14ac:dyDescent="0.25">
      <c r="A2654" s="43">
        <v>451</v>
      </c>
      <c r="B2654" s="43" t="s">
        <v>127</v>
      </c>
      <c r="C2654" s="43" t="s">
        <v>1613</v>
      </c>
      <c r="D2654" s="43" t="s">
        <v>1635</v>
      </c>
      <c r="E2654" s="43" t="s">
        <v>4473</v>
      </c>
      <c r="F2654" s="43">
        <v>1</v>
      </c>
      <c r="G2654"/>
      <c r="H2654"/>
    </row>
    <row r="2655" spans="1:8" hidden="1" x14ac:dyDescent="0.25">
      <c r="A2655" s="43">
        <v>451</v>
      </c>
      <c r="B2655" s="43" t="s">
        <v>127</v>
      </c>
      <c r="C2655" s="43" t="s">
        <v>1613</v>
      </c>
      <c r="D2655" s="43" t="s">
        <v>1636</v>
      </c>
      <c r="E2655" s="43" t="s">
        <v>1637</v>
      </c>
      <c r="F2655" s="43">
        <v>1</v>
      </c>
      <c r="G2655"/>
      <c r="H2655"/>
    </row>
    <row r="2656" spans="1:8" hidden="1" x14ac:dyDescent="0.25">
      <c r="A2656" s="43">
        <v>451</v>
      </c>
      <c r="B2656" s="43" t="s">
        <v>127</v>
      </c>
      <c r="C2656" s="43" t="s">
        <v>1613</v>
      </c>
      <c r="D2656" s="43" t="s">
        <v>1638</v>
      </c>
      <c r="E2656" s="43" t="s">
        <v>1639</v>
      </c>
      <c r="F2656" s="43">
        <v>1</v>
      </c>
      <c r="G2656"/>
      <c r="H2656"/>
    </row>
    <row r="2657" spans="1:8" hidden="1" x14ac:dyDescent="0.25">
      <c r="A2657" s="43">
        <v>456</v>
      </c>
      <c r="B2657" s="43" t="s">
        <v>128</v>
      </c>
      <c r="C2657" s="43" t="s">
        <v>1474</v>
      </c>
      <c r="D2657" s="43" t="s">
        <v>1475</v>
      </c>
      <c r="E2657" s="43" t="s">
        <v>308</v>
      </c>
      <c r="F2657" s="43">
        <v>1</v>
      </c>
      <c r="G2657"/>
      <c r="H2657"/>
    </row>
    <row r="2658" spans="1:8" hidden="1" x14ac:dyDescent="0.25">
      <c r="A2658" s="43">
        <v>456</v>
      </c>
      <c r="B2658" s="43" t="s">
        <v>128</v>
      </c>
      <c r="C2658" s="43" t="s">
        <v>1474</v>
      </c>
      <c r="D2658" s="43" t="s">
        <v>1476</v>
      </c>
      <c r="E2658" s="43" t="s">
        <v>310</v>
      </c>
      <c r="F2658" s="89">
        <v>1</v>
      </c>
      <c r="H2658"/>
    </row>
    <row r="2659" spans="1:8" hidden="1" x14ac:dyDescent="0.25">
      <c r="A2659" s="43">
        <v>456</v>
      </c>
      <c r="B2659" s="43" t="s">
        <v>128</v>
      </c>
      <c r="C2659" s="43" t="s">
        <v>1474</v>
      </c>
      <c r="D2659" s="43" t="s">
        <v>1477</v>
      </c>
      <c r="E2659" s="43" t="s">
        <v>312</v>
      </c>
      <c r="F2659" s="89">
        <v>1</v>
      </c>
      <c r="H2659"/>
    </row>
    <row r="2660" spans="1:8" hidden="1" x14ac:dyDescent="0.25">
      <c r="A2660" s="43">
        <v>456</v>
      </c>
      <c r="B2660" s="43" t="s">
        <v>128</v>
      </c>
      <c r="C2660" s="43" t="s">
        <v>1474</v>
      </c>
      <c r="D2660" s="43" t="s">
        <v>1478</v>
      </c>
      <c r="E2660" s="43" t="s">
        <v>314</v>
      </c>
      <c r="F2660" s="89">
        <v>1</v>
      </c>
      <c r="H2660"/>
    </row>
    <row r="2661" spans="1:8" hidden="1" x14ac:dyDescent="0.25">
      <c r="A2661" s="43">
        <v>456</v>
      </c>
      <c r="B2661" s="43" t="s">
        <v>128</v>
      </c>
      <c r="C2661" s="43" t="s">
        <v>1474</v>
      </c>
      <c r="D2661" s="43" t="s">
        <v>1479</v>
      </c>
      <c r="E2661" s="43" t="s">
        <v>1480</v>
      </c>
      <c r="F2661" s="43">
        <v>1</v>
      </c>
      <c r="G2661"/>
      <c r="H2661"/>
    </row>
    <row r="2662" spans="1:8" hidden="1" x14ac:dyDescent="0.25">
      <c r="A2662" s="43">
        <v>456</v>
      </c>
      <c r="B2662" s="43" t="s">
        <v>128</v>
      </c>
      <c r="C2662" s="43" t="s">
        <v>1474</v>
      </c>
      <c r="D2662" s="43" t="s">
        <v>1481</v>
      </c>
      <c r="E2662" s="43" t="s">
        <v>938</v>
      </c>
      <c r="F2662" s="89">
        <v>1</v>
      </c>
      <c r="H2662"/>
    </row>
    <row r="2663" spans="1:8" hidden="1" x14ac:dyDescent="0.25">
      <c r="A2663" s="43">
        <v>456</v>
      </c>
      <c r="B2663" s="43" t="s">
        <v>128</v>
      </c>
      <c r="C2663" s="43" t="s">
        <v>1474</v>
      </c>
      <c r="D2663" s="43" t="s">
        <v>1482</v>
      </c>
      <c r="E2663" s="43" t="s">
        <v>1483</v>
      </c>
      <c r="F2663" s="43">
        <v>1</v>
      </c>
      <c r="G2663"/>
      <c r="H2663"/>
    </row>
    <row r="2664" spans="1:8" hidden="1" x14ac:dyDescent="0.25">
      <c r="A2664" s="43">
        <v>456</v>
      </c>
      <c r="B2664" s="43" t="s">
        <v>128</v>
      </c>
      <c r="C2664" s="43" t="s">
        <v>1474</v>
      </c>
      <c r="D2664" s="43" t="s">
        <v>1484</v>
      </c>
      <c r="E2664" s="43" t="s">
        <v>942</v>
      </c>
      <c r="F2664" s="43">
        <v>1</v>
      </c>
      <c r="G2664"/>
      <c r="H2664"/>
    </row>
    <row r="2665" spans="1:8" hidden="1" x14ac:dyDescent="0.25">
      <c r="A2665" s="43">
        <v>456</v>
      </c>
      <c r="B2665" s="43" t="s">
        <v>128</v>
      </c>
      <c r="C2665" s="43" t="s">
        <v>1474</v>
      </c>
      <c r="D2665" s="43" t="s">
        <v>1485</v>
      </c>
      <c r="E2665" s="43" t="s">
        <v>383</v>
      </c>
      <c r="F2665" s="43">
        <v>1</v>
      </c>
      <c r="G2665"/>
      <c r="H2665"/>
    </row>
    <row r="2666" spans="1:8" hidden="1" x14ac:dyDescent="0.25">
      <c r="A2666" s="43">
        <v>456</v>
      </c>
      <c r="B2666" s="43" t="s">
        <v>128</v>
      </c>
      <c r="C2666" s="43" t="s">
        <v>1474</v>
      </c>
      <c r="D2666" s="43" t="s">
        <v>1486</v>
      </c>
      <c r="E2666" s="43" t="s">
        <v>384</v>
      </c>
      <c r="F2666" s="43">
        <v>1</v>
      </c>
      <c r="G2666"/>
      <c r="H2666"/>
    </row>
    <row r="2667" spans="1:8" hidden="1" x14ac:dyDescent="0.25">
      <c r="A2667" s="43">
        <v>456</v>
      </c>
      <c r="B2667" s="43" t="s">
        <v>128</v>
      </c>
      <c r="C2667" s="43" t="s">
        <v>1474</v>
      </c>
      <c r="D2667" s="43" t="s">
        <v>1487</v>
      </c>
      <c r="E2667" s="43" t="s">
        <v>380</v>
      </c>
      <c r="F2667" s="43">
        <v>1</v>
      </c>
      <c r="G2667"/>
      <c r="H2667"/>
    </row>
    <row r="2668" spans="1:8" hidden="1" x14ac:dyDescent="0.25">
      <c r="A2668" s="43">
        <v>456</v>
      </c>
      <c r="B2668" s="43" t="s">
        <v>128</v>
      </c>
      <c r="C2668" s="43" t="s">
        <v>1474</v>
      </c>
      <c r="D2668" s="43" t="s">
        <v>1488</v>
      </c>
      <c r="E2668" s="43" t="s">
        <v>381</v>
      </c>
      <c r="F2668" s="43">
        <v>1</v>
      </c>
      <c r="G2668"/>
      <c r="H2668"/>
    </row>
    <row r="2669" spans="1:8" hidden="1" x14ac:dyDescent="0.25">
      <c r="A2669" s="43">
        <v>456</v>
      </c>
      <c r="B2669" s="43" t="s">
        <v>128</v>
      </c>
      <c r="C2669" s="43" t="s">
        <v>1474</v>
      </c>
      <c r="D2669" s="43" t="s">
        <v>1489</v>
      </c>
      <c r="E2669" s="43" t="s">
        <v>4473</v>
      </c>
      <c r="F2669" s="43">
        <v>1</v>
      </c>
      <c r="G2669"/>
      <c r="H2669"/>
    </row>
    <row r="2670" spans="1:8" hidden="1" x14ac:dyDescent="0.25">
      <c r="A2670" s="43">
        <v>456</v>
      </c>
      <c r="B2670" s="43" t="s">
        <v>128</v>
      </c>
      <c r="C2670" s="43" t="s">
        <v>1474</v>
      </c>
      <c r="D2670" s="43" t="s">
        <v>1490</v>
      </c>
      <c r="E2670" s="43" t="s">
        <v>378</v>
      </c>
      <c r="F2670" s="43">
        <v>1</v>
      </c>
      <c r="G2670"/>
      <c r="H2670"/>
    </row>
    <row r="2671" spans="1:8" hidden="1" x14ac:dyDescent="0.25">
      <c r="A2671" s="43">
        <v>456</v>
      </c>
      <c r="B2671" s="43" t="s">
        <v>128</v>
      </c>
      <c r="C2671" s="43" t="s">
        <v>1474</v>
      </c>
      <c r="D2671" s="43" t="s">
        <v>1491</v>
      </c>
      <c r="E2671" s="43" t="s">
        <v>379</v>
      </c>
      <c r="F2671" s="89">
        <v>1</v>
      </c>
      <c r="H2671"/>
    </row>
    <row r="2672" spans="1:8" hidden="1" x14ac:dyDescent="0.25">
      <c r="A2672" s="43">
        <v>461</v>
      </c>
      <c r="B2672" s="43" t="s">
        <v>129</v>
      </c>
      <c r="C2672" s="43" t="s">
        <v>552</v>
      </c>
      <c r="D2672" s="43" t="s">
        <v>553</v>
      </c>
      <c r="E2672" s="43" t="s">
        <v>273</v>
      </c>
      <c r="F2672" s="43">
        <v>1</v>
      </c>
      <c r="G2672"/>
      <c r="H2672"/>
    </row>
    <row r="2673" spans="1:8" hidden="1" x14ac:dyDescent="0.25">
      <c r="A2673" s="43">
        <v>461</v>
      </c>
      <c r="B2673" s="43" t="s">
        <v>129</v>
      </c>
      <c r="C2673" s="43" t="s">
        <v>552</v>
      </c>
      <c r="D2673" s="43" t="s">
        <v>554</v>
      </c>
      <c r="E2673" s="43" t="s">
        <v>391</v>
      </c>
      <c r="F2673" s="43">
        <v>1</v>
      </c>
      <c r="G2673"/>
      <c r="H2673"/>
    </row>
    <row r="2674" spans="1:8" hidden="1" x14ac:dyDescent="0.25">
      <c r="A2674" s="43">
        <v>461</v>
      </c>
      <c r="B2674" s="43" t="s">
        <v>129</v>
      </c>
      <c r="C2674" s="43" t="s">
        <v>552</v>
      </c>
      <c r="D2674" s="43" t="s">
        <v>555</v>
      </c>
      <c r="E2674" s="43" t="s">
        <v>556</v>
      </c>
      <c r="F2674" s="43">
        <v>1</v>
      </c>
      <c r="G2674"/>
      <c r="H2674"/>
    </row>
    <row r="2675" spans="1:8" hidden="1" x14ac:dyDescent="0.25">
      <c r="A2675" s="43">
        <v>461</v>
      </c>
      <c r="B2675" s="43" t="s">
        <v>129</v>
      </c>
      <c r="C2675" s="43" t="s">
        <v>552</v>
      </c>
      <c r="D2675" s="43" t="s">
        <v>557</v>
      </c>
      <c r="E2675" s="43" t="s">
        <v>558</v>
      </c>
      <c r="F2675" s="43">
        <v>1</v>
      </c>
      <c r="G2675"/>
      <c r="H2675"/>
    </row>
    <row r="2676" spans="1:8" hidden="1" x14ac:dyDescent="0.25">
      <c r="A2676" s="43">
        <v>461</v>
      </c>
      <c r="B2676" s="43" t="s">
        <v>129</v>
      </c>
      <c r="C2676" s="43" t="s">
        <v>552</v>
      </c>
      <c r="D2676" s="43" t="s">
        <v>559</v>
      </c>
      <c r="E2676" s="43" t="s">
        <v>560</v>
      </c>
      <c r="F2676" s="43">
        <v>0</v>
      </c>
      <c r="G2676" s="43" t="s">
        <v>4656</v>
      </c>
      <c r="H2676" s="43" t="s">
        <v>4759</v>
      </c>
    </row>
    <row r="2677" spans="1:8" hidden="1" x14ac:dyDescent="0.25">
      <c r="A2677" s="43">
        <v>461</v>
      </c>
      <c r="B2677" s="43" t="s">
        <v>129</v>
      </c>
      <c r="C2677" s="43" t="s">
        <v>552</v>
      </c>
      <c r="D2677" s="43" t="s">
        <v>561</v>
      </c>
      <c r="E2677" s="43" t="s">
        <v>562</v>
      </c>
      <c r="F2677" s="43">
        <v>1</v>
      </c>
      <c r="G2677"/>
      <c r="H2677"/>
    </row>
    <row r="2678" spans="1:8" hidden="1" x14ac:dyDescent="0.25">
      <c r="A2678" s="43">
        <v>462</v>
      </c>
      <c r="B2678" s="43" t="s">
        <v>130</v>
      </c>
      <c r="C2678" s="43" t="s">
        <v>1141</v>
      </c>
      <c r="D2678" s="43" t="s">
        <v>1142</v>
      </c>
      <c r="E2678" s="43" t="s">
        <v>312</v>
      </c>
      <c r="F2678" s="43">
        <v>1</v>
      </c>
      <c r="G2678"/>
      <c r="H2678"/>
    </row>
    <row r="2679" spans="1:8" hidden="1" x14ac:dyDescent="0.25">
      <c r="A2679" s="43">
        <v>462</v>
      </c>
      <c r="B2679" s="43" t="s">
        <v>130</v>
      </c>
      <c r="C2679" s="43" t="s">
        <v>1141</v>
      </c>
      <c r="D2679" s="43" t="s">
        <v>1143</v>
      </c>
      <c r="E2679" s="43" t="s">
        <v>314</v>
      </c>
      <c r="F2679" s="43">
        <v>0</v>
      </c>
      <c r="G2679" s="43" t="s">
        <v>4583</v>
      </c>
      <c r="H2679"/>
    </row>
    <row r="2680" spans="1:8" hidden="1" x14ac:dyDescent="0.25">
      <c r="A2680" s="43">
        <v>462</v>
      </c>
      <c r="B2680" s="43" t="s">
        <v>130</v>
      </c>
      <c r="C2680" s="43" t="s">
        <v>1141</v>
      </c>
      <c r="D2680" s="43" t="s">
        <v>1144</v>
      </c>
      <c r="E2680" s="43" t="s">
        <v>1145</v>
      </c>
      <c r="F2680" s="43">
        <v>1</v>
      </c>
      <c r="G2680"/>
      <c r="H2680"/>
    </row>
    <row r="2681" spans="1:8" hidden="1" x14ac:dyDescent="0.25">
      <c r="A2681" s="43">
        <v>462</v>
      </c>
      <c r="B2681" s="43" t="s">
        <v>130</v>
      </c>
      <c r="C2681" s="43" t="s">
        <v>1141</v>
      </c>
      <c r="D2681" s="43" t="s">
        <v>1146</v>
      </c>
      <c r="E2681" s="43" t="s">
        <v>1147</v>
      </c>
      <c r="F2681" s="43">
        <v>1</v>
      </c>
      <c r="G2681"/>
      <c r="H2681"/>
    </row>
    <row r="2682" spans="1:8" hidden="1" x14ac:dyDescent="0.25">
      <c r="A2682" s="43">
        <v>462</v>
      </c>
      <c r="B2682" s="43" t="s">
        <v>130</v>
      </c>
      <c r="C2682" s="43" t="s">
        <v>1141</v>
      </c>
      <c r="D2682" s="43" t="s">
        <v>1148</v>
      </c>
      <c r="E2682" s="43" t="s">
        <v>713</v>
      </c>
      <c r="F2682" s="89">
        <v>1</v>
      </c>
      <c r="H2682"/>
    </row>
    <row r="2683" spans="1:8" hidden="1" x14ac:dyDescent="0.25">
      <c r="A2683" s="43">
        <v>462</v>
      </c>
      <c r="B2683" s="43" t="s">
        <v>130</v>
      </c>
      <c r="C2683" s="43" t="s">
        <v>1141</v>
      </c>
      <c r="D2683" s="43" t="s">
        <v>1149</v>
      </c>
      <c r="E2683" s="43" t="s">
        <v>1150</v>
      </c>
      <c r="F2683" s="43">
        <v>0</v>
      </c>
      <c r="G2683" s="43" t="s">
        <v>4657</v>
      </c>
      <c r="H2683" s="43" t="s">
        <v>4765</v>
      </c>
    </row>
    <row r="2684" spans="1:8" hidden="1" x14ac:dyDescent="0.25">
      <c r="A2684" s="43">
        <v>462</v>
      </c>
      <c r="B2684" s="43" t="s">
        <v>130</v>
      </c>
      <c r="C2684" s="43" t="s">
        <v>1141</v>
      </c>
      <c r="D2684" s="43" t="s">
        <v>1151</v>
      </c>
      <c r="E2684" s="43" t="s">
        <v>380</v>
      </c>
      <c r="F2684" s="89">
        <v>1</v>
      </c>
      <c r="H2684"/>
    </row>
    <row r="2685" spans="1:8" hidden="1" x14ac:dyDescent="0.25">
      <c r="A2685" s="43">
        <v>462</v>
      </c>
      <c r="B2685" s="43" t="s">
        <v>130</v>
      </c>
      <c r="C2685" s="43" t="s">
        <v>1141</v>
      </c>
      <c r="D2685" s="43" t="s">
        <v>1152</v>
      </c>
      <c r="E2685" s="43" t="s">
        <v>381</v>
      </c>
      <c r="F2685" s="89">
        <v>1</v>
      </c>
      <c r="H2685"/>
    </row>
    <row r="2686" spans="1:8" hidden="1" x14ac:dyDescent="0.25">
      <c r="A2686" s="43">
        <v>462</v>
      </c>
      <c r="B2686" s="43" t="s">
        <v>130</v>
      </c>
      <c r="C2686" s="43" t="s">
        <v>1141</v>
      </c>
      <c r="D2686" s="43" t="s">
        <v>1153</v>
      </c>
      <c r="E2686" s="43" t="s">
        <v>1154</v>
      </c>
      <c r="F2686" s="43">
        <v>1</v>
      </c>
      <c r="G2686"/>
      <c r="H2686"/>
    </row>
    <row r="2687" spans="1:8" hidden="1" x14ac:dyDescent="0.25">
      <c r="A2687" s="43">
        <v>465</v>
      </c>
      <c r="B2687" s="43" t="s">
        <v>131</v>
      </c>
      <c r="C2687" s="43" t="s">
        <v>4478</v>
      </c>
      <c r="D2687" s="43" t="s">
        <v>1537</v>
      </c>
      <c r="E2687" s="43" t="s">
        <v>1494</v>
      </c>
      <c r="F2687" s="43">
        <v>1</v>
      </c>
      <c r="G2687"/>
      <c r="H2687"/>
    </row>
    <row r="2688" spans="1:8" hidden="1" x14ac:dyDescent="0.25">
      <c r="A2688" s="43">
        <v>465</v>
      </c>
      <c r="B2688" s="43" t="s">
        <v>131</v>
      </c>
      <c r="C2688" s="43" t="s">
        <v>4478</v>
      </c>
      <c r="D2688" s="43" t="s">
        <v>1538</v>
      </c>
      <c r="E2688" s="43" t="s">
        <v>306</v>
      </c>
      <c r="F2688" s="89">
        <v>1</v>
      </c>
      <c r="H2688"/>
    </row>
    <row r="2689" spans="1:8" hidden="1" x14ac:dyDescent="0.25">
      <c r="A2689" s="43">
        <v>465</v>
      </c>
      <c r="B2689" s="43" t="s">
        <v>131</v>
      </c>
      <c r="C2689" s="43" t="s">
        <v>4478</v>
      </c>
      <c r="D2689" s="43" t="s">
        <v>1539</v>
      </c>
      <c r="E2689" s="43" t="s">
        <v>1499</v>
      </c>
      <c r="F2689" s="89">
        <v>1</v>
      </c>
      <c r="H2689"/>
    </row>
    <row r="2690" spans="1:8" hidden="1" x14ac:dyDescent="0.25">
      <c r="A2690" s="43">
        <v>465</v>
      </c>
      <c r="B2690" s="43" t="s">
        <v>131</v>
      </c>
      <c r="C2690" s="43" t="s">
        <v>4478</v>
      </c>
      <c r="D2690" s="43" t="s">
        <v>1540</v>
      </c>
      <c r="E2690" s="43" t="s">
        <v>1541</v>
      </c>
      <c r="F2690" s="89">
        <v>1</v>
      </c>
      <c r="H2690"/>
    </row>
    <row r="2691" spans="1:8" hidden="1" x14ac:dyDescent="0.25">
      <c r="A2691" s="43">
        <v>465</v>
      </c>
      <c r="B2691" s="43" t="s">
        <v>131</v>
      </c>
      <c r="C2691" s="43" t="s">
        <v>4478</v>
      </c>
      <c r="D2691" s="43" t="s">
        <v>1542</v>
      </c>
      <c r="E2691" s="43" t="s">
        <v>1543</v>
      </c>
      <c r="F2691" s="43">
        <v>1</v>
      </c>
      <c r="G2691"/>
      <c r="H2691"/>
    </row>
    <row r="2692" spans="1:8" hidden="1" x14ac:dyDescent="0.25">
      <c r="A2692" s="43">
        <v>465</v>
      </c>
      <c r="B2692" s="43" t="s">
        <v>131</v>
      </c>
      <c r="C2692" s="43" t="s">
        <v>4478</v>
      </c>
      <c r="D2692" s="43" t="s">
        <v>1544</v>
      </c>
      <c r="E2692" s="43" t="s">
        <v>671</v>
      </c>
      <c r="F2692" s="43">
        <v>1</v>
      </c>
      <c r="G2692"/>
      <c r="H2692"/>
    </row>
    <row r="2693" spans="1:8" hidden="1" x14ac:dyDescent="0.25">
      <c r="A2693" s="43">
        <v>465</v>
      </c>
      <c r="B2693" s="43" t="s">
        <v>131</v>
      </c>
      <c r="C2693" s="43" t="s">
        <v>4478</v>
      </c>
      <c r="D2693" s="43" t="s">
        <v>1545</v>
      </c>
      <c r="E2693" s="43" t="s">
        <v>1546</v>
      </c>
      <c r="F2693" s="89">
        <v>1</v>
      </c>
      <c r="H2693"/>
    </row>
    <row r="2694" spans="1:8" hidden="1" x14ac:dyDescent="0.25">
      <c r="A2694" s="43">
        <v>465</v>
      </c>
      <c r="B2694" s="43" t="s">
        <v>131</v>
      </c>
      <c r="C2694" s="43" t="s">
        <v>4478</v>
      </c>
      <c r="D2694" s="43" t="s">
        <v>1547</v>
      </c>
      <c r="E2694" s="43" t="s">
        <v>1548</v>
      </c>
      <c r="F2694" s="43">
        <v>1</v>
      </c>
      <c r="G2694"/>
      <c r="H2694"/>
    </row>
    <row r="2695" spans="1:8" hidden="1" x14ac:dyDescent="0.25">
      <c r="A2695" s="43">
        <v>465</v>
      </c>
      <c r="B2695" s="43" t="s">
        <v>131</v>
      </c>
      <c r="C2695" s="43" t="s">
        <v>4478</v>
      </c>
      <c r="D2695" s="43" t="s">
        <v>1549</v>
      </c>
      <c r="E2695" s="43" t="s">
        <v>1550</v>
      </c>
      <c r="F2695" s="43">
        <v>1</v>
      </c>
      <c r="G2695"/>
      <c r="H2695"/>
    </row>
    <row r="2696" spans="1:8" hidden="1" x14ac:dyDescent="0.25">
      <c r="A2696" s="43">
        <v>465</v>
      </c>
      <c r="B2696" s="43" t="s">
        <v>131</v>
      </c>
      <c r="C2696" s="43" t="s">
        <v>4478</v>
      </c>
      <c r="D2696" s="43" t="s">
        <v>1551</v>
      </c>
      <c r="E2696" s="43" t="s">
        <v>1552</v>
      </c>
      <c r="F2696" s="89">
        <v>1</v>
      </c>
      <c r="H2696"/>
    </row>
    <row r="2697" spans="1:8" hidden="1" x14ac:dyDescent="0.25">
      <c r="A2697" s="43">
        <v>465</v>
      </c>
      <c r="B2697" s="43" t="s">
        <v>131</v>
      </c>
      <c r="C2697" s="43" t="s">
        <v>4478</v>
      </c>
      <c r="D2697" s="43" t="s">
        <v>1553</v>
      </c>
      <c r="E2697" s="43" t="s">
        <v>1554</v>
      </c>
      <c r="F2697" s="43">
        <v>0</v>
      </c>
      <c r="G2697" s="43" t="s">
        <v>4583</v>
      </c>
      <c r="H2697"/>
    </row>
    <row r="2698" spans="1:8" hidden="1" x14ac:dyDescent="0.25">
      <c r="A2698" s="43">
        <v>465</v>
      </c>
      <c r="B2698" s="43" t="s">
        <v>131</v>
      </c>
      <c r="C2698" s="43" t="s">
        <v>4478</v>
      </c>
      <c r="D2698" s="43" t="s">
        <v>1555</v>
      </c>
      <c r="E2698" s="43" t="s">
        <v>1556</v>
      </c>
      <c r="F2698" s="43">
        <v>0</v>
      </c>
      <c r="G2698" s="43" t="s">
        <v>4583</v>
      </c>
      <c r="H2698"/>
    </row>
    <row r="2699" spans="1:8" hidden="1" x14ac:dyDescent="0.25">
      <c r="A2699" s="43">
        <v>465</v>
      </c>
      <c r="B2699" s="43" t="s">
        <v>131</v>
      </c>
      <c r="C2699" s="43" t="s">
        <v>4470</v>
      </c>
      <c r="D2699" s="43" t="s">
        <v>1493</v>
      </c>
      <c r="E2699" s="43" t="s">
        <v>1494</v>
      </c>
      <c r="F2699" s="89">
        <v>1</v>
      </c>
      <c r="H2699"/>
    </row>
    <row r="2700" spans="1:8" hidden="1" x14ac:dyDescent="0.25">
      <c r="A2700" s="43">
        <v>465</v>
      </c>
      <c r="B2700" s="43" t="s">
        <v>131</v>
      </c>
      <c r="C2700" s="43" t="s">
        <v>4470</v>
      </c>
      <c r="D2700" s="43" t="s">
        <v>1495</v>
      </c>
      <c r="E2700" s="43" t="s">
        <v>1496</v>
      </c>
      <c r="F2700" s="43">
        <v>0</v>
      </c>
      <c r="G2700" s="43" t="s">
        <v>4583</v>
      </c>
      <c r="H2700"/>
    </row>
    <row r="2701" spans="1:8" hidden="1" x14ac:dyDescent="0.25">
      <c r="A2701" s="43">
        <v>465</v>
      </c>
      <c r="B2701" s="43" t="s">
        <v>131</v>
      </c>
      <c r="C2701" s="43" t="s">
        <v>4470</v>
      </c>
      <c r="D2701" s="43" t="s">
        <v>1497</v>
      </c>
      <c r="E2701" s="43" t="s">
        <v>306</v>
      </c>
      <c r="F2701" s="43">
        <v>1</v>
      </c>
      <c r="G2701"/>
      <c r="H2701"/>
    </row>
    <row r="2702" spans="1:8" hidden="1" x14ac:dyDescent="0.25">
      <c r="A2702" s="43">
        <v>465</v>
      </c>
      <c r="B2702" s="43" t="s">
        <v>131</v>
      </c>
      <c r="C2702" s="43" t="s">
        <v>4470</v>
      </c>
      <c r="D2702" s="43" t="s">
        <v>1498</v>
      </c>
      <c r="E2702" s="43" t="s">
        <v>1499</v>
      </c>
      <c r="F2702" s="43">
        <v>1</v>
      </c>
      <c r="G2702"/>
      <c r="H2702"/>
    </row>
    <row r="2703" spans="1:8" hidden="1" x14ac:dyDescent="0.25">
      <c r="A2703" s="43">
        <v>465</v>
      </c>
      <c r="B2703" s="43" t="s">
        <v>131</v>
      </c>
      <c r="C2703" s="43" t="s">
        <v>4470</v>
      </c>
      <c r="D2703" s="43" t="s">
        <v>1500</v>
      </c>
      <c r="E2703" s="43" t="s">
        <v>1397</v>
      </c>
      <c r="F2703" s="43">
        <v>0</v>
      </c>
      <c r="G2703" s="43" t="s">
        <v>4583</v>
      </c>
      <c r="H2703"/>
    </row>
    <row r="2704" spans="1:8" hidden="1" x14ac:dyDescent="0.25">
      <c r="A2704" s="43">
        <v>465</v>
      </c>
      <c r="B2704" s="43" t="s">
        <v>131</v>
      </c>
      <c r="C2704" s="43" t="s">
        <v>4470</v>
      </c>
      <c r="D2704" s="43" t="s">
        <v>1501</v>
      </c>
      <c r="E2704" s="43" t="s">
        <v>1502</v>
      </c>
      <c r="F2704" s="43">
        <v>0</v>
      </c>
      <c r="G2704" s="43" t="s">
        <v>4583</v>
      </c>
      <c r="H2704"/>
    </row>
    <row r="2705" spans="1:8" hidden="1" x14ac:dyDescent="0.25">
      <c r="A2705" s="43">
        <v>465</v>
      </c>
      <c r="B2705" s="43" t="s">
        <v>131</v>
      </c>
      <c r="C2705" s="43" t="s">
        <v>4470</v>
      </c>
      <c r="D2705" s="43" t="s">
        <v>1503</v>
      </c>
      <c r="E2705" s="43" t="s">
        <v>1504</v>
      </c>
      <c r="F2705" s="43">
        <v>1</v>
      </c>
      <c r="G2705"/>
      <c r="H2705"/>
    </row>
    <row r="2706" spans="1:8" hidden="1" x14ac:dyDescent="0.25">
      <c r="A2706" s="43">
        <v>465</v>
      </c>
      <c r="B2706" s="43" t="s">
        <v>131</v>
      </c>
      <c r="C2706" s="43" t="s">
        <v>4470</v>
      </c>
      <c r="D2706" s="43" t="s">
        <v>1505</v>
      </c>
      <c r="E2706" s="43" t="s">
        <v>1506</v>
      </c>
      <c r="F2706" s="43">
        <v>1</v>
      </c>
      <c r="G2706"/>
      <c r="H2706"/>
    </row>
    <row r="2707" spans="1:8" hidden="1" x14ac:dyDescent="0.25">
      <c r="A2707" s="43">
        <v>465</v>
      </c>
      <c r="B2707" s="43" t="s">
        <v>131</v>
      </c>
      <c r="C2707" s="43" t="s">
        <v>4470</v>
      </c>
      <c r="D2707" s="43" t="s">
        <v>1507</v>
      </c>
      <c r="E2707" s="43" t="s">
        <v>611</v>
      </c>
      <c r="F2707" s="43">
        <v>1</v>
      </c>
      <c r="G2707"/>
      <c r="H2707"/>
    </row>
    <row r="2708" spans="1:8" hidden="1" x14ac:dyDescent="0.25">
      <c r="A2708" s="43">
        <v>465</v>
      </c>
      <c r="B2708" s="43" t="s">
        <v>131</v>
      </c>
      <c r="C2708" s="43" t="s">
        <v>4470</v>
      </c>
      <c r="D2708" s="43" t="s">
        <v>1508</v>
      </c>
      <c r="E2708" s="43" t="s">
        <v>1509</v>
      </c>
      <c r="F2708" s="43">
        <v>1</v>
      </c>
      <c r="G2708"/>
      <c r="H2708"/>
    </row>
    <row r="2709" spans="1:8" hidden="1" x14ac:dyDescent="0.25">
      <c r="A2709" s="43">
        <v>465</v>
      </c>
      <c r="B2709" s="43" t="s">
        <v>131</v>
      </c>
      <c r="C2709" s="43" t="s">
        <v>4470</v>
      </c>
      <c r="D2709" s="43" t="s">
        <v>1510</v>
      </c>
      <c r="E2709" s="43" t="s">
        <v>613</v>
      </c>
      <c r="F2709" s="43">
        <v>0</v>
      </c>
      <c r="G2709" s="43" t="s">
        <v>4583</v>
      </c>
      <c r="H2709"/>
    </row>
    <row r="2710" spans="1:8" hidden="1" x14ac:dyDescent="0.25">
      <c r="A2710" s="43">
        <v>465</v>
      </c>
      <c r="B2710" s="43" t="s">
        <v>131</v>
      </c>
      <c r="C2710" s="43" t="s">
        <v>4470</v>
      </c>
      <c r="D2710" s="43" t="s">
        <v>1511</v>
      </c>
      <c r="E2710" s="43" t="s">
        <v>1419</v>
      </c>
      <c r="F2710" s="43">
        <v>0</v>
      </c>
      <c r="G2710" s="43" t="s">
        <v>4583</v>
      </c>
      <c r="H2710"/>
    </row>
    <row r="2711" spans="1:8" hidden="1" x14ac:dyDescent="0.25">
      <c r="A2711" s="43">
        <v>465</v>
      </c>
      <c r="B2711" s="43" t="s">
        <v>131</v>
      </c>
      <c r="C2711" s="43" t="s">
        <v>4470</v>
      </c>
      <c r="D2711" s="43" t="s">
        <v>1512</v>
      </c>
      <c r="E2711" s="43" t="s">
        <v>621</v>
      </c>
      <c r="F2711" s="43">
        <v>0</v>
      </c>
      <c r="G2711" s="43" t="s">
        <v>4583</v>
      </c>
      <c r="H2711"/>
    </row>
    <row r="2712" spans="1:8" hidden="1" x14ac:dyDescent="0.25">
      <c r="A2712" s="43">
        <v>465</v>
      </c>
      <c r="B2712" s="43" t="s">
        <v>131</v>
      </c>
      <c r="C2712" s="43" t="s">
        <v>4470</v>
      </c>
      <c r="D2712" s="43" t="s">
        <v>1513</v>
      </c>
      <c r="E2712" s="43" t="s">
        <v>1422</v>
      </c>
      <c r="F2712" s="89">
        <v>1</v>
      </c>
      <c r="H2712"/>
    </row>
    <row r="2713" spans="1:8" hidden="1" x14ac:dyDescent="0.25">
      <c r="A2713" s="43">
        <v>465</v>
      </c>
      <c r="B2713" s="43" t="s">
        <v>131</v>
      </c>
      <c r="C2713" s="43" t="s">
        <v>4470</v>
      </c>
      <c r="D2713" s="43" t="s">
        <v>1514</v>
      </c>
      <c r="E2713" s="43" t="s">
        <v>614</v>
      </c>
      <c r="F2713" s="43">
        <v>1</v>
      </c>
      <c r="G2713"/>
      <c r="H2713"/>
    </row>
    <row r="2714" spans="1:8" hidden="1" x14ac:dyDescent="0.25">
      <c r="A2714" s="43">
        <v>465</v>
      </c>
      <c r="B2714" s="43" t="s">
        <v>131</v>
      </c>
      <c r="C2714" s="43" t="s">
        <v>4470</v>
      </c>
      <c r="D2714" s="43" t="s">
        <v>1515</v>
      </c>
      <c r="E2714" s="43" t="s">
        <v>615</v>
      </c>
      <c r="F2714" s="43">
        <v>1</v>
      </c>
      <c r="G2714"/>
      <c r="H2714"/>
    </row>
    <row r="2715" spans="1:8" hidden="1" x14ac:dyDescent="0.25">
      <c r="A2715" s="43">
        <v>465</v>
      </c>
      <c r="B2715" s="43" t="s">
        <v>131</v>
      </c>
      <c r="C2715" s="43" t="s">
        <v>4470</v>
      </c>
      <c r="D2715" s="43" t="s">
        <v>1516</v>
      </c>
      <c r="E2715" s="43" t="s">
        <v>1517</v>
      </c>
      <c r="F2715" s="89">
        <v>1</v>
      </c>
      <c r="H2715"/>
    </row>
    <row r="2716" spans="1:8" hidden="1" x14ac:dyDescent="0.25">
      <c r="A2716" s="43">
        <v>465</v>
      </c>
      <c r="B2716" s="43" t="s">
        <v>131</v>
      </c>
      <c r="C2716" s="43" t="s">
        <v>4470</v>
      </c>
      <c r="D2716" s="43" t="s">
        <v>1518</v>
      </c>
      <c r="E2716" s="43" t="s">
        <v>1519</v>
      </c>
      <c r="F2716" s="89">
        <v>1</v>
      </c>
      <c r="H2716"/>
    </row>
    <row r="2717" spans="1:8" hidden="1" x14ac:dyDescent="0.25">
      <c r="A2717" s="43">
        <v>465</v>
      </c>
      <c r="B2717" s="43" t="s">
        <v>131</v>
      </c>
      <c r="C2717" s="43" t="s">
        <v>4470</v>
      </c>
      <c r="D2717" s="43" t="s">
        <v>1520</v>
      </c>
      <c r="E2717" s="43" t="s">
        <v>1521</v>
      </c>
      <c r="F2717" s="43">
        <v>0</v>
      </c>
      <c r="G2717" s="43" t="s">
        <v>4583</v>
      </c>
      <c r="H2717"/>
    </row>
    <row r="2718" spans="1:8" hidden="1" x14ac:dyDescent="0.25">
      <c r="A2718" s="43">
        <v>465</v>
      </c>
      <c r="B2718" s="43" t="s">
        <v>131</v>
      </c>
      <c r="C2718" s="43" t="s">
        <v>4470</v>
      </c>
      <c r="D2718" s="43" t="s">
        <v>1522</v>
      </c>
      <c r="E2718" s="43" t="s">
        <v>1523</v>
      </c>
      <c r="F2718" s="43">
        <v>1</v>
      </c>
      <c r="G2718"/>
      <c r="H2718"/>
    </row>
    <row r="2719" spans="1:8" hidden="1" x14ac:dyDescent="0.25">
      <c r="A2719" s="43">
        <v>465</v>
      </c>
      <c r="B2719" s="43" t="s">
        <v>131</v>
      </c>
      <c r="C2719" s="43" t="s">
        <v>4470</v>
      </c>
      <c r="D2719" s="43" t="s">
        <v>1524</v>
      </c>
      <c r="E2719" s="43" t="s">
        <v>1525</v>
      </c>
      <c r="F2719" s="43">
        <v>0</v>
      </c>
      <c r="G2719" s="43" t="s">
        <v>4583</v>
      </c>
      <c r="H2719"/>
    </row>
    <row r="2720" spans="1:8" hidden="1" x14ac:dyDescent="0.25">
      <c r="A2720" s="43">
        <v>465</v>
      </c>
      <c r="B2720" s="43" t="s">
        <v>131</v>
      </c>
      <c r="C2720" s="43" t="s">
        <v>4470</v>
      </c>
      <c r="D2720" s="43" t="s">
        <v>1526</v>
      </c>
      <c r="E2720" s="43" t="s">
        <v>1527</v>
      </c>
      <c r="F2720" s="43">
        <v>0</v>
      </c>
      <c r="G2720" s="43" t="s">
        <v>4583</v>
      </c>
      <c r="H2720"/>
    </row>
    <row r="2721" spans="1:8" hidden="1" x14ac:dyDescent="0.25">
      <c r="A2721" s="43">
        <v>465</v>
      </c>
      <c r="B2721" s="43" t="s">
        <v>131</v>
      </c>
      <c r="C2721" s="43" t="s">
        <v>4470</v>
      </c>
      <c r="D2721" s="43" t="s">
        <v>1528</v>
      </c>
      <c r="E2721" s="43" t="s">
        <v>4471</v>
      </c>
      <c r="F2721" s="43">
        <v>0</v>
      </c>
      <c r="G2721" s="43" t="s">
        <v>4583</v>
      </c>
      <c r="H2721"/>
    </row>
    <row r="2722" spans="1:8" hidden="1" x14ac:dyDescent="0.25">
      <c r="A2722" s="43">
        <v>465</v>
      </c>
      <c r="B2722" s="43" t="s">
        <v>131</v>
      </c>
      <c r="C2722" s="43" t="s">
        <v>4470</v>
      </c>
      <c r="D2722" s="43" t="s">
        <v>1530</v>
      </c>
      <c r="E2722" s="43" t="s">
        <v>1430</v>
      </c>
      <c r="F2722" s="89">
        <v>1</v>
      </c>
      <c r="H2722"/>
    </row>
    <row r="2723" spans="1:8" hidden="1" x14ac:dyDescent="0.25">
      <c r="A2723" s="43">
        <v>465</v>
      </c>
      <c r="B2723" s="43" t="s">
        <v>131</v>
      </c>
      <c r="C2723" s="43" t="s">
        <v>4470</v>
      </c>
      <c r="D2723" s="43" t="s">
        <v>1531</v>
      </c>
      <c r="E2723" s="43" t="s">
        <v>503</v>
      </c>
      <c r="F2723" s="43">
        <v>1</v>
      </c>
      <c r="G2723"/>
      <c r="H2723"/>
    </row>
    <row r="2724" spans="1:8" hidden="1" x14ac:dyDescent="0.25">
      <c r="A2724" s="43">
        <v>465</v>
      </c>
      <c r="B2724" s="43" t="s">
        <v>131</v>
      </c>
      <c r="C2724" s="43" t="s">
        <v>4470</v>
      </c>
      <c r="D2724" s="43" t="s">
        <v>1532</v>
      </c>
      <c r="E2724" s="43" t="s">
        <v>1533</v>
      </c>
      <c r="F2724" s="43">
        <v>0</v>
      </c>
      <c r="G2724" s="43" t="s">
        <v>4583</v>
      </c>
      <c r="H2724"/>
    </row>
    <row r="2725" spans="1:8" hidden="1" x14ac:dyDescent="0.25">
      <c r="A2725" s="43">
        <v>465</v>
      </c>
      <c r="B2725" s="43" t="s">
        <v>131</v>
      </c>
      <c r="C2725" s="43" t="s">
        <v>4470</v>
      </c>
      <c r="D2725" s="43" t="s">
        <v>1534</v>
      </c>
      <c r="E2725" s="43" t="s">
        <v>1535</v>
      </c>
      <c r="F2725" s="43">
        <v>0</v>
      </c>
      <c r="G2725" s="43" t="s">
        <v>4583</v>
      </c>
      <c r="H2725"/>
    </row>
    <row r="2726" spans="1:8" hidden="1" x14ac:dyDescent="0.25">
      <c r="A2726" s="43">
        <v>465</v>
      </c>
      <c r="B2726" s="43" t="s">
        <v>131</v>
      </c>
      <c r="C2726" s="43" t="s">
        <v>4479</v>
      </c>
      <c r="D2726" s="43" t="s">
        <v>1558</v>
      </c>
      <c r="E2726" s="43" t="s">
        <v>583</v>
      </c>
      <c r="F2726" s="89">
        <v>1</v>
      </c>
      <c r="H2726"/>
    </row>
    <row r="2727" spans="1:8" hidden="1" x14ac:dyDescent="0.25">
      <c r="A2727" s="43">
        <v>465</v>
      </c>
      <c r="B2727" s="43" t="s">
        <v>131</v>
      </c>
      <c r="C2727" s="43" t="s">
        <v>4479</v>
      </c>
      <c r="D2727" s="43" t="s">
        <v>1559</v>
      </c>
      <c r="E2727" s="43" t="s">
        <v>306</v>
      </c>
      <c r="F2727" s="89">
        <v>1</v>
      </c>
      <c r="H2727"/>
    </row>
    <row r="2728" spans="1:8" hidden="1" x14ac:dyDescent="0.25">
      <c r="A2728" s="43">
        <v>465</v>
      </c>
      <c r="B2728" s="43" t="s">
        <v>131</v>
      </c>
      <c r="C2728" s="43" t="s">
        <v>4479</v>
      </c>
      <c r="D2728" s="43" t="s">
        <v>1560</v>
      </c>
      <c r="E2728" s="43" t="s">
        <v>1561</v>
      </c>
      <c r="F2728" s="89">
        <v>1</v>
      </c>
      <c r="H2728"/>
    </row>
    <row r="2729" spans="1:8" hidden="1" x14ac:dyDescent="0.25">
      <c r="A2729" s="43">
        <v>465</v>
      </c>
      <c r="B2729" s="43" t="s">
        <v>131</v>
      </c>
      <c r="C2729" s="43" t="s">
        <v>4479</v>
      </c>
      <c r="D2729" s="43" t="s">
        <v>1562</v>
      </c>
      <c r="E2729" s="43" t="s">
        <v>1563</v>
      </c>
      <c r="F2729" s="43">
        <v>1</v>
      </c>
      <c r="G2729"/>
      <c r="H2729"/>
    </row>
    <row r="2730" spans="1:8" hidden="1" x14ac:dyDescent="0.25">
      <c r="A2730" s="43">
        <v>465</v>
      </c>
      <c r="B2730" s="43" t="s">
        <v>131</v>
      </c>
      <c r="C2730" s="43" t="s">
        <v>4479</v>
      </c>
      <c r="D2730" s="43" t="s">
        <v>1564</v>
      </c>
      <c r="E2730" s="43" t="s">
        <v>633</v>
      </c>
      <c r="F2730" s="43">
        <v>1</v>
      </c>
      <c r="G2730"/>
      <c r="H2730"/>
    </row>
    <row r="2731" spans="1:8" hidden="1" x14ac:dyDescent="0.25">
      <c r="A2731" s="43">
        <v>465</v>
      </c>
      <c r="B2731" s="43" t="s">
        <v>131</v>
      </c>
      <c r="C2731" s="43" t="s">
        <v>4479</v>
      </c>
      <c r="D2731" s="43" t="s">
        <v>1565</v>
      </c>
      <c r="E2731" s="43" t="s">
        <v>493</v>
      </c>
      <c r="F2731" s="43">
        <v>0</v>
      </c>
      <c r="G2731" s="43" t="s">
        <v>4583</v>
      </c>
      <c r="H2731"/>
    </row>
    <row r="2732" spans="1:8" hidden="1" x14ac:dyDescent="0.25">
      <c r="A2732" s="43">
        <v>465</v>
      </c>
      <c r="B2732" s="43" t="s">
        <v>131</v>
      </c>
      <c r="C2732" s="43" t="s">
        <v>4479</v>
      </c>
      <c r="D2732" s="43" t="s">
        <v>1566</v>
      </c>
      <c r="E2732" s="43" t="s">
        <v>275</v>
      </c>
      <c r="F2732" s="43">
        <v>0</v>
      </c>
      <c r="G2732" s="43" t="s">
        <v>4583</v>
      </c>
      <c r="H2732"/>
    </row>
    <row r="2733" spans="1:8" hidden="1" x14ac:dyDescent="0.25">
      <c r="A2733" s="43">
        <v>465</v>
      </c>
      <c r="B2733" s="43" t="s">
        <v>131</v>
      </c>
      <c r="C2733" s="43" t="s">
        <v>4479</v>
      </c>
      <c r="D2733" s="43" t="s">
        <v>1567</v>
      </c>
      <c r="E2733" s="43" t="s">
        <v>1568</v>
      </c>
      <c r="F2733" s="43">
        <v>0</v>
      </c>
      <c r="G2733" s="43" t="s">
        <v>4583</v>
      </c>
      <c r="H2733"/>
    </row>
    <row r="2734" spans="1:8" hidden="1" x14ac:dyDescent="0.25">
      <c r="A2734" s="43">
        <v>465</v>
      </c>
      <c r="B2734" s="43" t="s">
        <v>131</v>
      </c>
      <c r="C2734" s="43" t="s">
        <v>4479</v>
      </c>
      <c r="D2734" s="43" t="s">
        <v>1569</v>
      </c>
      <c r="E2734" s="43" t="s">
        <v>1256</v>
      </c>
      <c r="F2734" s="89">
        <v>1</v>
      </c>
      <c r="H2734"/>
    </row>
    <row r="2735" spans="1:8" hidden="1" x14ac:dyDescent="0.25">
      <c r="A2735" s="43">
        <v>465</v>
      </c>
      <c r="B2735" s="43" t="s">
        <v>131</v>
      </c>
      <c r="C2735" s="43" t="s">
        <v>4479</v>
      </c>
      <c r="D2735" s="43" t="s">
        <v>1570</v>
      </c>
      <c r="E2735" s="43" t="s">
        <v>1571</v>
      </c>
      <c r="F2735" s="43">
        <v>0</v>
      </c>
      <c r="G2735" s="43" t="s">
        <v>4583</v>
      </c>
      <c r="H2735"/>
    </row>
    <row r="2736" spans="1:8" hidden="1" x14ac:dyDescent="0.25">
      <c r="A2736" s="43">
        <v>465</v>
      </c>
      <c r="B2736" s="43" t="s">
        <v>131</v>
      </c>
      <c r="C2736" s="43" t="s">
        <v>4479</v>
      </c>
      <c r="D2736" s="43" t="s">
        <v>1572</v>
      </c>
      <c r="E2736" s="43" t="s">
        <v>4480</v>
      </c>
      <c r="F2736" s="43">
        <v>0</v>
      </c>
      <c r="G2736" s="43" t="s">
        <v>4583</v>
      </c>
      <c r="H2736"/>
    </row>
    <row r="2737" spans="1:8" hidden="1" x14ac:dyDescent="0.25">
      <c r="A2737" s="43">
        <v>465</v>
      </c>
      <c r="B2737" s="43" t="s">
        <v>131</v>
      </c>
      <c r="C2737" s="43" t="s">
        <v>4479</v>
      </c>
      <c r="D2737" s="43" t="s">
        <v>1574</v>
      </c>
      <c r="E2737" s="43" t="s">
        <v>1575</v>
      </c>
      <c r="F2737" s="43">
        <v>1</v>
      </c>
      <c r="G2737"/>
      <c r="H2737"/>
    </row>
    <row r="2738" spans="1:8" hidden="1" x14ac:dyDescent="0.25">
      <c r="A2738" s="43">
        <v>465</v>
      </c>
      <c r="B2738" s="43" t="s">
        <v>131</v>
      </c>
      <c r="C2738" s="43" t="s">
        <v>4479</v>
      </c>
      <c r="D2738" s="43" t="s">
        <v>1576</v>
      </c>
      <c r="E2738" s="43" t="s">
        <v>1577</v>
      </c>
      <c r="F2738" s="43">
        <v>0</v>
      </c>
      <c r="G2738" s="43" t="s">
        <v>4583</v>
      </c>
      <c r="H2738"/>
    </row>
    <row r="2739" spans="1:8" hidden="1" x14ac:dyDescent="0.25">
      <c r="A2739" s="43">
        <v>465</v>
      </c>
      <c r="B2739" s="43" t="s">
        <v>131</v>
      </c>
      <c r="C2739" s="43" t="s">
        <v>4479</v>
      </c>
      <c r="D2739" s="43" t="s">
        <v>1578</v>
      </c>
      <c r="E2739" s="43" t="s">
        <v>503</v>
      </c>
      <c r="F2739" s="89">
        <v>1</v>
      </c>
      <c r="H2739"/>
    </row>
    <row r="2740" spans="1:8" hidden="1" x14ac:dyDescent="0.25">
      <c r="A2740" s="43">
        <v>465</v>
      </c>
      <c r="B2740" s="43" t="s">
        <v>131</v>
      </c>
      <c r="C2740" s="43" t="s">
        <v>4479</v>
      </c>
      <c r="D2740" s="43" t="s">
        <v>1579</v>
      </c>
      <c r="E2740" s="43" t="s">
        <v>1580</v>
      </c>
      <c r="F2740" s="43">
        <v>0</v>
      </c>
      <c r="G2740" s="43" t="s">
        <v>4583</v>
      </c>
      <c r="H2740"/>
    </row>
    <row r="2741" spans="1:8" hidden="1" x14ac:dyDescent="0.25">
      <c r="A2741" s="43">
        <v>465</v>
      </c>
      <c r="B2741" s="43" t="s">
        <v>131</v>
      </c>
      <c r="C2741" s="43" t="s">
        <v>4479</v>
      </c>
      <c r="D2741" s="43" t="s">
        <v>1581</v>
      </c>
      <c r="E2741" s="43" t="s">
        <v>1582</v>
      </c>
      <c r="F2741" s="43">
        <v>0</v>
      </c>
      <c r="G2741" s="43" t="s">
        <v>4583</v>
      </c>
      <c r="H2741"/>
    </row>
    <row r="2742" spans="1:8" hidden="1" x14ac:dyDescent="0.25">
      <c r="A2742" s="43">
        <v>465</v>
      </c>
      <c r="B2742" s="43" t="s">
        <v>131</v>
      </c>
      <c r="C2742" s="43" t="s">
        <v>4479</v>
      </c>
      <c r="D2742" s="43" t="s">
        <v>1583</v>
      </c>
      <c r="E2742" s="43" t="s">
        <v>1584</v>
      </c>
      <c r="F2742" s="43">
        <v>0</v>
      </c>
      <c r="G2742" s="43" t="s">
        <v>4583</v>
      </c>
      <c r="H2742"/>
    </row>
    <row r="2743" spans="1:8" hidden="1" x14ac:dyDescent="0.25">
      <c r="A2743" s="43">
        <v>465</v>
      </c>
      <c r="B2743" s="43" t="s">
        <v>131</v>
      </c>
      <c r="C2743" s="43" t="s">
        <v>1292</v>
      </c>
      <c r="D2743" s="43" t="s">
        <v>1293</v>
      </c>
      <c r="E2743" s="43" t="s">
        <v>304</v>
      </c>
      <c r="F2743" s="43">
        <v>0</v>
      </c>
      <c r="G2743" s="43" t="s">
        <v>4583</v>
      </c>
      <c r="H2743"/>
    </row>
    <row r="2744" spans="1:8" hidden="1" x14ac:dyDescent="0.25">
      <c r="A2744" s="43">
        <v>465</v>
      </c>
      <c r="B2744" s="43" t="s">
        <v>131</v>
      </c>
      <c r="C2744" s="43" t="s">
        <v>1292</v>
      </c>
      <c r="D2744" s="43" t="s">
        <v>1294</v>
      </c>
      <c r="E2744" s="43" t="s">
        <v>306</v>
      </c>
      <c r="F2744" s="43">
        <v>1</v>
      </c>
      <c r="G2744"/>
      <c r="H2744"/>
    </row>
    <row r="2745" spans="1:8" hidden="1" x14ac:dyDescent="0.25">
      <c r="A2745" s="43">
        <v>465</v>
      </c>
      <c r="B2745" s="43" t="s">
        <v>131</v>
      </c>
      <c r="C2745" s="43" t="s">
        <v>1292</v>
      </c>
      <c r="D2745" s="43" t="s">
        <v>1295</v>
      </c>
      <c r="E2745" s="43" t="s">
        <v>1296</v>
      </c>
      <c r="F2745" s="43">
        <v>0</v>
      </c>
      <c r="G2745" s="43" t="s">
        <v>4583</v>
      </c>
      <c r="H2745"/>
    </row>
    <row r="2746" spans="1:8" hidden="1" x14ac:dyDescent="0.25">
      <c r="A2746" s="43">
        <v>465</v>
      </c>
      <c r="B2746" s="43" t="s">
        <v>131</v>
      </c>
      <c r="C2746" s="43" t="s">
        <v>1292</v>
      </c>
      <c r="D2746" s="43" t="s">
        <v>1297</v>
      </c>
      <c r="E2746" s="43" t="s">
        <v>729</v>
      </c>
      <c r="F2746" s="43">
        <v>1</v>
      </c>
      <c r="G2746"/>
      <c r="H2746"/>
    </row>
    <row r="2747" spans="1:8" hidden="1" x14ac:dyDescent="0.25">
      <c r="A2747" s="43">
        <v>465</v>
      </c>
      <c r="B2747" s="43" t="s">
        <v>131</v>
      </c>
      <c r="C2747" s="43" t="s">
        <v>1292</v>
      </c>
      <c r="D2747" s="43" t="s">
        <v>1298</v>
      </c>
      <c r="E2747" s="43" t="s">
        <v>343</v>
      </c>
      <c r="F2747" s="43">
        <v>0</v>
      </c>
      <c r="G2747" s="43" t="s">
        <v>4583</v>
      </c>
      <c r="H2747"/>
    </row>
    <row r="2748" spans="1:8" hidden="1" x14ac:dyDescent="0.25">
      <c r="A2748" s="43">
        <v>465</v>
      </c>
      <c r="B2748" s="43" t="s">
        <v>131</v>
      </c>
      <c r="C2748" s="43" t="s">
        <v>1292</v>
      </c>
      <c r="D2748" s="43" t="s">
        <v>1299</v>
      </c>
      <c r="E2748" s="43" t="s">
        <v>1300</v>
      </c>
      <c r="F2748" s="43">
        <v>0</v>
      </c>
      <c r="G2748" s="43" t="s">
        <v>4583</v>
      </c>
      <c r="H2748"/>
    </row>
    <row r="2749" spans="1:8" hidden="1" x14ac:dyDescent="0.25">
      <c r="A2749" s="43">
        <v>465</v>
      </c>
      <c r="B2749" s="43" t="s">
        <v>131</v>
      </c>
      <c r="C2749" s="43" t="s">
        <v>1292</v>
      </c>
      <c r="D2749" s="43" t="s">
        <v>1301</v>
      </c>
      <c r="E2749" s="43" t="s">
        <v>734</v>
      </c>
      <c r="F2749" s="43">
        <v>0</v>
      </c>
      <c r="G2749" s="43" t="s">
        <v>4583</v>
      </c>
      <c r="H2749"/>
    </row>
    <row r="2750" spans="1:8" hidden="1" x14ac:dyDescent="0.25">
      <c r="A2750" s="43">
        <v>465</v>
      </c>
      <c r="B2750" s="43" t="s">
        <v>131</v>
      </c>
      <c r="C2750" s="43" t="s">
        <v>1292</v>
      </c>
      <c r="D2750" s="43" t="s">
        <v>1302</v>
      </c>
      <c r="E2750" s="43" t="s">
        <v>1303</v>
      </c>
      <c r="F2750" s="43">
        <v>0</v>
      </c>
      <c r="G2750" s="43" t="s">
        <v>4583</v>
      </c>
      <c r="H2750"/>
    </row>
    <row r="2751" spans="1:8" hidden="1" x14ac:dyDescent="0.25">
      <c r="A2751" s="43">
        <v>465</v>
      </c>
      <c r="B2751" s="43" t="s">
        <v>131</v>
      </c>
      <c r="C2751" s="43" t="s">
        <v>1292</v>
      </c>
      <c r="D2751" s="43" t="s">
        <v>1304</v>
      </c>
      <c r="E2751" s="43" t="s">
        <v>1305</v>
      </c>
      <c r="F2751" s="89">
        <v>1</v>
      </c>
      <c r="H2751"/>
    </row>
    <row r="2752" spans="1:8" hidden="1" x14ac:dyDescent="0.25">
      <c r="A2752" s="43">
        <v>465</v>
      </c>
      <c r="B2752" s="43" t="s">
        <v>131</v>
      </c>
      <c r="C2752" s="43" t="s">
        <v>1292</v>
      </c>
      <c r="D2752" s="43" t="s">
        <v>1306</v>
      </c>
      <c r="E2752" s="43" t="s">
        <v>4487</v>
      </c>
      <c r="F2752" s="43">
        <v>0</v>
      </c>
      <c r="G2752" s="43" t="s">
        <v>4583</v>
      </c>
      <c r="H2752"/>
    </row>
    <row r="2753" spans="1:8" hidden="1" x14ac:dyDescent="0.25">
      <c r="A2753" s="43">
        <v>465</v>
      </c>
      <c r="B2753" s="43" t="s">
        <v>131</v>
      </c>
      <c r="C2753" s="43" t="s">
        <v>1292</v>
      </c>
      <c r="D2753" s="43" t="s">
        <v>1308</v>
      </c>
      <c r="E2753" s="43" t="s">
        <v>875</v>
      </c>
      <c r="F2753" s="43">
        <v>0</v>
      </c>
      <c r="G2753" s="43" t="s">
        <v>4583</v>
      </c>
      <c r="H2753"/>
    </row>
    <row r="2754" spans="1:8" hidden="1" x14ac:dyDescent="0.25">
      <c r="A2754" s="43">
        <v>465</v>
      </c>
      <c r="B2754" s="43" t="s">
        <v>131</v>
      </c>
      <c r="C2754" s="43" t="s">
        <v>1292</v>
      </c>
      <c r="D2754" s="43" t="s">
        <v>1309</v>
      </c>
      <c r="E2754" s="43" t="s">
        <v>759</v>
      </c>
      <c r="F2754" s="43">
        <v>0</v>
      </c>
      <c r="G2754" s="43" t="s">
        <v>4583</v>
      </c>
      <c r="H2754"/>
    </row>
    <row r="2755" spans="1:8" hidden="1" x14ac:dyDescent="0.25">
      <c r="A2755" s="43">
        <v>465</v>
      </c>
      <c r="B2755" s="43" t="s">
        <v>131</v>
      </c>
      <c r="C2755" s="43" t="s">
        <v>1292</v>
      </c>
      <c r="D2755" s="43" t="s">
        <v>1310</v>
      </c>
      <c r="E2755" s="43" t="s">
        <v>755</v>
      </c>
      <c r="F2755" s="43">
        <v>0</v>
      </c>
      <c r="G2755" s="43" t="s">
        <v>4583</v>
      </c>
      <c r="H2755"/>
    </row>
    <row r="2756" spans="1:8" hidden="1" x14ac:dyDescent="0.25">
      <c r="A2756" s="43">
        <v>465</v>
      </c>
      <c r="B2756" s="43" t="s">
        <v>131</v>
      </c>
      <c r="C2756" s="43" t="s">
        <v>1292</v>
      </c>
      <c r="D2756" s="43" t="s">
        <v>1311</v>
      </c>
      <c r="E2756" s="43" t="s">
        <v>757</v>
      </c>
      <c r="F2756" s="43">
        <v>0</v>
      </c>
      <c r="G2756" s="43" t="s">
        <v>4583</v>
      </c>
      <c r="H2756"/>
    </row>
    <row r="2757" spans="1:8" hidden="1" x14ac:dyDescent="0.25">
      <c r="A2757" s="43">
        <v>465</v>
      </c>
      <c r="B2757" s="43" t="s">
        <v>131</v>
      </c>
      <c r="C2757" s="43" t="s">
        <v>1668</v>
      </c>
      <c r="D2757" s="43" t="s">
        <v>1669</v>
      </c>
      <c r="E2757" s="43" t="s">
        <v>304</v>
      </c>
      <c r="F2757" s="43">
        <v>0</v>
      </c>
      <c r="G2757" s="43" t="s">
        <v>4583</v>
      </c>
      <c r="H2757"/>
    </row>
    <row r="2758" spans="1:8" hidden="1" x14ac:dyDescent="0.25">
      <c r="A2758" s="43">
        <v>465</v>
      </c>
      <c r="B2758" s="43" t="s">
        <v>131</v>
      </c>
      <c r="C2758" s="43" t="s">
        <v>1668</v>
      </c>
      <c r="D2758" s="43" t="s">
        <v>1670</v>
      </c>
      <c r="E2758" s="43" t="s">
        <v>306</v>
      </c>
      <c r="F2758" s="89">
        <v>1</v>
      </c>
      <c r="H2758"/>
    </row>
    <row r="2759" spans="1:8" hidden="1" x14ac:dyDescent="0.25">
      <c r="A2759" s="43">
        <v>465</v>
      </c>
      <c r="B2759" s="43" t="s">
        <v>131</v>
      </c>
      <c r="C2759" s="43" t="s">
        <v>1668</v>
      </c>
      <c r="D2759" s="43" t="s">
        <v>1671</v>
      </c>
      <c r="E2759" s="43" t="s">
        <v>1672</v>
      </c>
      <c r="F2759" s="43">
        <v>0</v>
      </c>
      <c r="G2759" s="43" t="s">
        <v>4583</v>
      </c>
      <c r="H2759"/>
    </row>
    <row r="2760" spans="1:8" hidden="1" x14ac:dyDescent="0.25">
      <c r="A2760" s="43">
        <v>465</v>
      </c>
      <c r="B2760" s="43" t="s">
        <v>131</v>
      </c>
      <c r="C2760" s="43" t="s">
        <v>1668</v>
      </c>
      <c r="D2760" s="43" t="s">
        <v>1673</v>
      </c>
      <c r="E2760" s="43" t="s">
        <v>1674</v>
      </c>
      <c r="F2760" s="43">
        <v>0</v>
      </c>
      <c r="G2760" s="43" t="s">
        <v>4583</v>
      </c>
      <c r="H2760"/>
    </row>
    <row r="2761" spans="1:8" hidden="1" x14ac:dyDescent="0.25">
      <c r="A2761" s="43">
        <v>465</v>
      </c>
      <c r="B2761" s="43" t="s">
        <v>131</v>
      </c>
      <c r="C2761" s="43" t="s">
        <v>1668</v>
      </c>
      <c r="D2761" s="43" t="s">
        <v>1675</v>
      </c>
      <c r="E2761" s="43" t="s">
        <v>844</v>
      </c>
      <c r="F2761" s="43">
        <v>1</v>
      </c>
      <c r="G2761"/>
      <c r="H2761"/>
    </row>
    <row r="2762" spans="1:8" hidden="1" x14ac:dyDescent="0.25">
      <c r="A2762" s="43">
        <v>465</v>
      </c>
      <c r="B2762" s="43" t="s">
        <v>131</v>
      </c>
      <c r="C2762" s="43" t="s">
        <v>1668</v>
      </c>
      <c r="D2762" s="43" t="s">
        <v>1676</v>
      </c>
      <c r="E2762" s="43" t="s">
        <v>372</v>
      </c>
      <c r="F2762" s="43">
        <v>0</v>
      </c>
      <c r="G2762" s="43" t="s">
        <v>4583</v>
      </c>
      <c r="H2762"/>
    </row>
    <row r="2763" spans="1:8" hidden="1" x14ac:dyDescent="0.25">
      <c r="A2763" s="43">
        <v>465</v>
      </c>
      <c r="B2763" s="43" t="s">
        <v>131</v>
      </c>
      <c r="C2763" s="43" t="s">
        <v>1668</v>
      </c>
      <c r="D2763" s="43" t="s">
        <v>1677</v>
      </c>
      <c r="E2763" s="43" t="s">
        <v>1678</v>
      </c>
      <c r="F2763" s="43">
        <v>0</v>
      </c>
      <c r="G2763" s="43" t="s">
        <v>4583</v>
      </c>
      <c r="H2763"/>
    </row>
    <row r="2764" spans="1:8" hidden="1" x14ac:dyDescent="0.25">
      <c r="A2764" s="43">
        <v>465</v>
      </c>
      <c r="B2764" s="43" t="s">
        <v>131</v>
      </c>
      <c r="C2764" s="43" t="s">
        <v>1668</v>
      </c>
      <c r="D2764" s="43" t="s">
        <v>1679</v>
      </c>
      <c r="E2764" s="43" t="s">
        <v>1680</v>
      </c>
      <c r="F2764" s="43">
        <v>0</v>
      </c>
      <c r="G2764" s="43" t="s">
        <v>4583</v>
      </c>
      <c r="H2764"/>
    </row>
    <row r="2765" spans="1:8" hidden="1" x14ac:dyDescent="0.25">
      <c r="A2765" s="43">
        <v>465</v>
      </c>
      <c r="B2765" s="43" t="s">
        <v>131</v>
      </c>
      <c r="C2765" s="43" t="s">
        <v>1668</v>
      </c>
      <c r="D2765" s="43" t="s">
        <v>1681</v>
      </c>
      <c r="E2765" s="43" t="s">
        <v>1682</v>
      </c>
      <c r="F2765" s="43">
        <v>1</v>
      </c>
      <c r="G2765"/>
      <c r="H2765"/>
    </row>
    <row r="2766" spans="1:8" hidden="1" x14ac:dyDescent="0.25">
      <c r="A2766" s="43">
        <v>465</v>
      </c>
      <c r="B2766" s="43" t="s">
        <v>131</v>
      </c>
      <c r="C2766" s="43" t="s">
        <v>1668</v>
      </c>
      <c r="D2766" s="43" t="s">
        <v>1683</v>
      </c>
      <c r="E2766" s="43" t="s">
        <v>1684</v>
      </c>
      <c r="F2766" s="43">
        <v>1</v>
      </c>
      <c r="G2766"/>
      <c r="H2766"/>
    </row>
    <row r="2767" spans="1:8" hidden="1" x14ac:dyDescent="0.25">
      <c r="A2767" s="43">
        <v>465</v>
      </c>
      <c r="B2767" s="43" t="s">
        <v>131</v>
      </c>
      <c r="C2767" s="43" t="s">
        <v>1220</v>
      </c>
      <c r="D2767" s="43" t="s">
        <v>1221</v>
      </c>
      <c r="E2767" s="43" t="s">
        <v>430</v>
      </c>
      <c r="F2767" s="43">
        <v>1</v>
      </c>
      <c r="G2767"/>
      <c r="H2767"/>
    </row>
    <row r="2768" spans="1:8" hidden="1" x14ac:dyDescent="0.25">
      <c r="A2768" s="43">
        <v>465</v>
      </c>
      <c r="B2768" s="43" t="s">
        <v>131</v>
      </c>
      <c r="C2768" s="43" t="s">
        <v>1220</v>
      </c>
      <c r="D2768" s="43" t="s">
        <v>1222</v>
      </c>
      <c r="E2768" s="43" t="s">
        <v>1223</v>
      </c>
      <c r="F2768" s="43">
        <v>1</v>
      </c>
      <c r="G2768"/>
      <c r="H2768"/>
    </row>
    <row r="2769" spans="1:8" hidden="1" x14ac:dyDescent="0.25">
      <c r="A2769" s="43">
        <v>465</v>
      </c>
      <c r="B2769" s="43" t="s">
        <v>131</v>
      </c>
      <c r="C2769" s="43" t="s">
        <v>1220</v>
      </c>
      <c r="D2769" s="43" t="s">
        <v>1224</v>
      </c>
      <c r="E2769" s="43" t="s">
        <v>1225</v>
      </c>
      <c r="F2769" s="43">
        <v>1</v>
      </c>
      <c r="G2769"/>
      <c r="H2769"/>
    </row>
    <row r="2770" spans="1:8" hidden="1" x14ac:dyDescent="0.25">
      <c r="A2770" s="43">
        <v>465</v>
      </c>
      <c r="B2770" s="43" t="s">
        <v>131</v>
      </c>
      <c r="C2770" s="43" t="s">
        <v>1220</v>
      </c>
      <c r="D2770" s="43" t="s">
        <v>1226</v>
      </c>
      <c r="E2770" s="43" t="s">
        <v>1227</v>
      </c>
      <c r="F2770" s="43">
        <v>1</v>
      </c>
      <c r="G2770"/>
      <c r="H2770"/>
    </row>
    <row r="2771" spans="1:8" hidden="1" x14ac:dyDescent="0.25">
      <c r="A2771" s="43">
        <v>465</v>
      </c>
      <c r="B2771" s="43" t="s">
        <v>131</v>
      </c>
      <c r="C2771" s="43" t="s">
        <v>1220</v>
      </c>
      <c r="D2771" s="43" t="s">
        <v>1228</v>
      </c>
      <c r="E2771" s="43" t="s">
        <v>438</v>
      </c>
      <c r="F2771" s="43">
        <v>0</v>
      </c>
      <c r="G2771" s="43" t="s">
        <v>4583</v>
      </c>
      <c r="H2771"/>
    </row>
    <row r="2772" spans="1:8" hidden="1" x14ac:dyDescent="0.25">
      <c r="A2772" s="43">
        <v>465</v>
      </c>
      <c r="B2772" s="43" t="s">
        <v>131</v>
      </c>
      <c r="C2772" s="43" t="s">
        <v>1220</v>
      </c>
      <c r="D2772" s="43" t="s">
        <v>1229</v>
      </c>
      <c r="E2772" s="43" t="s">
        <v>440</v>
      </c>
      <c r="F2772" s="43">
        <v>1</v>
      </c>
      <c r="G2772"/>
      <c r="H2772"/>
    </row>
    <row r="2773" spans="1:8" hidden="1" x14ac:dyDescent="0.25">
      <c r="A2773" s="43">
        <v>465</v>
      </c>
      <c r="B2773" s="43" t="s">
        <v>131</v>
      </c>
      <c r="C2773" s="43" t="s">
        <v>1220</v>
      </c>
      <c r="D2773" s="43" t="s">
        <v>1230</v>
      </c>
      <c r="E2773" s="43" t="s">
        <v>424</v>
      </c>
      <c r="F2773" s="43">
        <v>1</v>
      </c>
      <c r="G2773"/>
      <c r="H2773"/>
    </row>
    <row r="2774" spans="1:8" hidden="1" x14ac:dyDescent="0.25">
      <c r="A2774" s="43">
        <v>465</v>
      </c>
      <c r="B2774" s="43" t="s">
        <v>131</v>
      </c>
      <c r="C2774" s="43" t="s">
        <v>1220</v>
      </c>
      <c r="D2774" s="43" t="s">
        <v>1231</v>
      </c>
      <c r="E2774" s="43" t="s">
        <v>1232</v>
      </c>
      <c r="F2774" s="43">
        <v>0</v>
      </c>
      <c r="G2774" s="43" t="s">
        <v>4583</v>
      </c>
      <c r="H2774"/>
    </row>
    <row r="2775" spans="1:8" hidden="1" x14ac:dyDescent="0.25">
      <c r="A2775" s="43">
        <v>465</v>
      </c>
      <c r="B2775" s="43" t="s">
        <v>131</v>
      </c>
      <c r="C2775" s="43" t="s">
        <v>1220</v>
      </c>
      <c r="D2775" s="43" t="s">
        <v>1233</v>
      </c>
      <c r="E2775" s="43" t="s">
        <v>1234</v>
      </c>
      <c r="F2775" s="43">
        <v>0</v>
      </c>
      <c r="G2775" s="43" t="s">
        <v>4583</v>
      </c>
      <c r="H2775"/>
    </row>
    <row r="2776" spans="1:8" hidden="1" x14ac:dyDescent="0.25">
      <c r="A2776" s="43">
        <v>465</v>
      </c>
      <c r="B2776" s="43" t="s">
        <v>131</v>
      </c>
      <c r="C2776" s="43" t="s">
        <v>1220</v>
      </c>
      <c r="D2776" s="43" t="s">
        <v>1235</v>
      </c>
      <c r="E2776" s="43" t="s">
        <v>1236</v>
      </c>
      <c r="F2776" s="43">
        <v>1</v>
      </c>
      <c r="G2776"/>
      <c r="H2776"/>
    </row>
    <row r="2777" spans="1:8" hidden="1" x14ac:dyDescent="0.25">
      <c r="A2777" s="43">
        <v>465</v>
      </c>
      <c r="B2777" s="43" t="s">
        <v>131</v>
      </c>
      <c r="C2777" s="43" t="s">
        <v>1220</v>
      </c>
      <c r="D2777" s="43" t="s">
        <v>1237</v>
      </c>
      <c r="E2777" s="43" t="s">
        <v>656</v>
      </c>
      <c r="F2777" s="43">
        <v>1</v>
      </c>
      <c r="G2777"/>
      <c r="H2777"/>
    </row>
    <row r="2778" spans="1:8" hidden="1" x14ac:dyDescent="0.25">
      <c r="A2778" s="43">
        <v>465</v>
      </c>
      <c r="B2778" s="43" t="s">
        <v>131</v>
      </c>
      <c r="C2778" s="43" t="s">
        <v>1220</v>
      </c>
      <c r="D2778" s="43" t="s">
        <v>1238</v>
      </c>
      <c r="E2778" s="43" t="s">
        <v>658</v>
      </c>
      <c r="F2778" s="43">
        <v>1</v>
      </c>
      <c r="G2778"/>
      <c r="H2778"/>
    </row>
    <row r="2779" spans="1:8" hidden="1" x14ac:dyDescent="0.25">
      <c r="A2779" s="43">
        <v>465</v>
      </c>
      <c r="B2779" s="43" t="s">
        <v>131</v>
      </c>
      <c r="C2779" s="43" t="s">
        <v>1220</v>
      </c>
      <c r="D2779" s="43" t="s">
        <v>1239</v>
      </c>
      <c r="E2779" s="43" t="s">
        <v>1240</v>
      </c>
      <c r="F2779" s="43">
        <v>0</v>
      </c>
      <c r="G2779" s="43" t="s">
        <v>4583</v>
      </c>
      <c r="H2779"/>
    </row>
    <row r="2780" spans="1:8" hidden="1" x14ac:dyDescent="0.25">
      <c r="A2780" s="43">
        <v>465</v>
      </c>
      <c r="B2780" s="43" t="s">
        <v>131</v>
      </c>
      <c r="C2780" s="43" t="s">
        <v>1220</v>
      </c>
      <c r="D2780" s="43" t="s">
        <v>1241</v>
      </c>
      <c r="E2780" s="43" t="s">
        <v>1242</v>
      </c>
      <c r="F2780" s="43">
        <v>0</v>
      </c>
      <c r="G2780" s="43" t="s">
        <v>4583</v>
      </c>
      <c r="H2780"/>
    </row>
    <row r="2781" spans="1:8" hidden="1" x14ac:dyDescent="0.25">
      <c r="A2781" s="43">
        <v>465</v>
      </c>
      <c r="B2781" s="43" t="s">
        <v>131</v>
      </c>
      <c r="C2781" s="43" t="s">
        <v>1220</v>
      </c>
      <c r="D2781" s="43" t="s">
        <v>1243</v>
      </c>
      <c r="E2781" s="43" t="s">
        <v>4482</v>
      </c>
      <c r="F2781" s="43">
        <v>0</v>
      </c>
      <c r="G2781" s="43" t="s">
        <v>4583</v>
      </c>
      <c r="H2781"/>
    </row>
    <row r="2782" spans="1:8" hidden="1" x14ac:dyDescent="0.25">
      <c r="A2782" s="43">
        <v>472</v>
      </c>
      <c r="B2782" s="43" t="s">
        <v>132</v>
      </c>
      <c r="C2782" s="43" t="s">
        <v>917</v>
      </c>
      <c r="D2782" s="43" t="s">
        <v>918</v>
      </c>
      <c r="E2782" s="43" t="s">
        <v>308</v>
      </c>
      <c r="F2782" s="43">
        <v>1</v>
      </c>
      <c r="G2782"/>
      <c r="H2782"/>
    </row>
    <row r="2783" spans="1:8" hidden="1" x14ac:dyDescent="0.25">
      <c r="A2783" s="43">
        <v>472</v>
      </c>
      <c r="B2783" s="43" t="s">
        <v>132</v>
      </c>
      <c r="C2783" s="43" t="s">
        <v>917</v>
      </c>
      <c r="D2783" s="43" t="s">
        <v>919</v>
      </c>
      <c r="E2783" s="43" t="s">
        <v>920</v>
      </c>
      <c r="F2783" s="43">
        <v>1</v>
      </c>
      <c r="G2783"/>
      <c r="H2783"/>
    </row>
    <row r="2784" spans="1:8" hidden="1" x14ac:dyDescent="0.25">
      <c r="A2784" s="43">
        <v>472</v>
      </c>
      <c r="B2784" s="43" t="s">
        <v>132</v>
      </c>
      <c r="C2784" s="43" t="s">
        <v>917</v>
      </c>
      <c r="D2784" s="43" t="s">
        <v>921</v>
      </c>
      <c r="E2784" s="43" t="s">
        <v>922</v>
      </c>
      <c r="F2784" s="43">
        <v>1</v>
      </c>
      <c r="G2784"/>
      <c r="H2784"/>
    </row>
    <row r="2785" spans="1:8" hidden="1" x14ac:dyDescent="0.25">
      <c r="A2785" s="43">
        <v>472</v>
      </c>
      <c r="B2785" s="43" t="s">
        <v>132</v>
      </c>
      <c r="C2785" s="43" t="s">
        <v>917</v>
      </c>
      <c r="D2785" s="43" t="s">
        <v>923</v>
      </c>
      <c r="E2785" s="43" t="s">
        <v>924</v>
      </c>
      <c r="F2785" s="43">
        <v>1</v>
      </c>
      <c r="G2785"/>
      <c r="H2785"/>
    </row>
    <row r="2786" spans="1:8" hidden="1" x14ac:dyDescent="0.25">
      <c r="A2786" s="43">
        <v>472</v>
      </c>
      <c r="B2786" s="43" t="s">
        <v>132</v>
      </c>
      <c r="C2786" s="43" t="s">
        <v>917</v>
      </c>
      <c r="D2786" s="43" t="s">
        <v>925</v>
      </c>
      <c r="E2786" s="43" t="s">
        <v>310</v>
      </c>
      <c r="F2786" s="43">
        <v>1</v>
      </c>
      <c r="G2786"/>
      <c r="H2786"/>
    </row>
    <row r="2787" spans="1:8" hidden="1" x14ac:dyDescent="0.25">
      <c r="A2787" s="43">
        <v>472</v>
      </c>
      <c r="B2787" s="43" t="s">
        <v>132</v>
      </c>
      <c r="C2787" s="43" t="s">
        <v>917</v>
      </c>
      <c r="D2787" s="43" t="s">
        <v>926</v>
      </c>
      <c r="E2787" s="43" t="s">
        <v>927</v>
      </c>
      <c r="F2787" s="43">
        <v>1</v>
      </c>
      <c r="G2787"/>
      <c r="H2787"/>
    </row>
    <row r="2788" spans="1:8" hidden="1" x14ac:dyDescent="0.25">
      <c r="A2788" s="43">
        <v>472</v>
      </c>
      <c r="B2788" s="43" t="s">
        <v>132</v>
      </c>
      <c r="C2788" s="43" t="s">
        <v>917</v>
      </c>
      <c r="D2788" s="43" t="s">
        <v>928</v>
      </c>
      <c r="E2788" s="43" t="s">
        <v>929</v>
      </c>
      <c r="F2788" s="43">
        <v>1</v>
      </c>
      <c r="G2788"/>
      <c r="H2788"/>
    </row>
    <row r="2789" spans="1:8" hidden="1" x14ac:dyDescent="0.25">
      <c r="A2789" s="43">
        <v>472</v>
      </c>
      <c r="B2789" s="43" t="s">
        <v>132</v>
      </c>
      <c r="C2789" s="43" t="s">
        <v>917</v>
      </c>
      <c r="D2789" s="43" t="s">
        <v>930</v>
      </c>
      <c r="E2789" s="43" t="s">
        <v>640</v>
      </c>
      <c r="F2789" s="43">
        <v>1</v>
      </c>
      <c r="G2789"/>
      <c r="H2789"/>
    </row>
    <row r="2790" spans="1:8" hidden="1" x14ac:dyDescent="0.25">
      <c r="A2790" s="43">
        <v>472</v>
      </c>
      <c r="B2790" s="43" t="s">
        <v>132</v>
      </c>
      <c r="C2790" s="43" t="s">
        <v>917</v>
      </c>
      <c r="D2790" s="43" t="s">
        <v>931</v>
      </c>
      <c r="E2790" s="43" t="s">
        <v>932</v>
      </c>
      <c r="F2790" s="43">
        <v>1</v>
      </c>
      <c r="G2790"/>
      <c r="H2790"/>
    </row>
    <row r="2791" spans="1:8" hidden="1" x14ac:dyDescent="0.25">
      <c r="A2791" s="43">
        <v>472</v>
      </c>
      <c r="B2791" s="43" t="s">
        <v>132</v>
      </c>
      <c r="C2791" s="43" t="s">
        <v>917</v>
      </c>
      <c r="D2791" s="43" t="s">
        <v>933</v>
      </c>
      <c r="E2791" s="43" t="s">
        <v>934</v>
      </c>
      <c r="F2791" s="89">
        <v>1</v>
      </c>
      <c r="H2791"/>
    </row>
    <row r="2792" spans="1:8" hidden="1" x14ac:dyDescent="0.25">
      <c r="A2792" s="43">
        <v>472</v>
      </c>
      <c r="B2792" s="43" t="s">
        <v>132</v>
      </c>
      <c r="C2792" s="43" t="s">
        <v>917</v>
      </c>
      <c r="D2792" s="43" t="s">
        <v>935</v>
      </c>
      <c r="E2792" s="43" t="s">
        <v>936</v>
      </c>
      <c r="F2792" s="89">
        <v>1</v>
      </c>
      <c r="H2792"/>
    </row>
    <row r="2793" spans="1:8" hidden="1" x14ac:dyDescent="0.25">
      <c r="A2793" s="43">
        <v>472</v>
      </c>
      <c r="B2793" s="43" t="s">
        <v>132</v>
      </c>
      <c r="C2793" s="43" t="s">
        <v>917</v>
      </c>
      <c r="D2793" s="43" t="s">
        <v>937</v>
      </c>
      <c r="E2793" s="43" t="s">
        <v>938</v>
      </c>
      <c r="F2793" s="43">
        <v>1</v>
      </c>
    </row>
    <row r="2794" spans="1:8" hidden="1" x14ac:dyDescent="0.25">
      <c r="A2794" s="43">
        <v>472</v>
      </c>
      <c r="B2794" s="43" t="s">
        <v>132</v>
      </c>
      <c r="C2794" s="43" t="s">
        <v>917</v>
      </c>
      <c r="D2794" s="43" t="s">
        <v>939</v>
      </c>
      <c r="E2794" s="43" t="s">
        <v>383</v>
      </c>
      <c r="F2794" s="43">
        <v>1</v>
      </c>
      <c r="G2794"/>
      <c r="H2794"/>
    </row>
    <row r="2795" spans="1:8" hidden="1" x14ac:dyDescent="0.25">
      <c r="A2795" s="43">
        <v>472</v>
      </c>
      <c r="B2795" s="43" t="s">
        <v>132</v>
      </c>
      <c r="C2795" s="43" t="s">
        <v>917</v>
      </c>
      <c r="D2795" s="43" t="s">
        <v>940</v>
      </c>
      <c r="E2795" s="43" t="s">
        <v>384</v>
      </c>
      <c r="F2795" s="43">
        <v>1</v>
      </c>
      <c r="G2795"/>
      <c r="H2795"/>
    </row>
    <row r="2796" spans="1:8" hidden="1" x14ac:dyDescent="0.25">
      <c r="A2796" s="43">
        <v>472</v>
      </c>
      <c r="B2796" s="43" t="s">
        <v>132</v>
      </c>
      <c r="C2796" s="43" t="s">
        <v>917</v>
      </c>
      <c r="D2796" s="43" t="s">
        <v>941</v>
      </c>
      <c r="E2796" s="43" t="s">
        <v>942</v>
      </c>
      <c r="F2796" s="43">
        <v>1</v>
      </c>
      <c r="G2796"/>
      <c r="H2796"/>
    </row>
    <row r="2797" spans="1:8" hidden="1" x14ac:dyDescent="0.25">
      <c r="A2797" s="43">
        <v>472</v>
      </c>
      <c r="B2797" s="43" t="s">
        <v>132</v>
      </c>
      <c r="C2797" s="43" t="s">
        <v>917</v>
      </c>
      <c r="D2797" s="43" t="s">
        <v>943</v>
      </c>
      <c r="E2797" s="43" t="s">
        <v>944</v>
      </c>
      <c r="F2797" s="43">
        <v>1</v>
      </c>
      <c r="G2797"/>
      <c r="H2797"/>
    </row>
    <row r="2798" spans="1:8" hidden="1" x14ac:dyDescent="0.25">
      <c r="A2798" s="43">
        <v>472</v>
      </c>
      <c r="B2798" s="43" t="s">
        <v>132</v>
      </c>
      <c r="C2798" s="43" t="s">
        <v>917</v>
      </c>
      <c r="D2798" s="43" t="s">
        <v>945</v>
      </c>
      <c r="E2798" s="43" t="s">
        <v>368</v>
      </c>
      <c r="F2798" s="43">
        <v>1</v>
      </c>
      <c r="G2798"/>
      <c r="H2798"/>
    </row>
    <row r="2799" spans="1:8" hidden="1" x14ac:dyDescent="0.25">
      <c r="A2799" s="43">
        <v>472</v>
      </c>
      <c r="B2799" s="43" t="s">
        <v>132</v>
      </c>
      <c r="C2799" s="43" t="s">
        <v>917</v>
      </c>
      <c r="D2799" s="43" t="s">
        <v>946</v>
      </c>
      <c r="E2799" s="43" t="s">
        <v>370</v>
      </c>
      <c r="F2799" s="43">
        <v>1</v>
      </c>
      <c r="G2799"/>
      <c r="H2799"/>
    </row>
    <row r="2800" spans="1:8" hidden="1" x14ac:dyDescent="0.25">
      <c r="A2800" s="43">
        <v>472</v>
      </c>
      <c r="B2800" s="43" t="s">
        <v>132</v>
      </c>
      <c r="C2800" s="43" t="s">
        <v>917</v>
      </c>
      <c r="D2800" s="43" t="s">
        <v>947</v>
      </c>
      <c r="E2800" s="43" t="s">
        <v>948</v>
      </c>
      <c r="F2800" s="43">
        <v>1</v>
      </c>
      <c r="G2800"/>
      <c r="H2800"/>
    </row>
    <row r="2801" spans="1:8" hidden="1" x14ac:dyDescent="0.25">
      <c r="A2801" s="43">
        <v>472</v>
      </c>
      <c r="B2801" s="43" t="s">
        <v>132</v>
      </c>
      <c r="C2801" s="43" t="s">
        <v>917</v>
      </c>
      <c r="D2801" s="43" t="s">
        <v>949</v>
      </c>
      <c r="E2801" s="43" t="s">
        <v>950</v>
      </c>
      <c r="F2801" s="43">
        <v>1</v>
      </c>
      <c r="G2801"/>
      <c r="H2801"/>
    </row>
    <row r="2802" spans="1:8" hidden="1" x14ac:dyDescent="0.25">
      <c r="A2802" s="43">
        <v>472</v>
      </c>
      <c r="B2802" s="43" t="s">
        <v>132</v>
      </c>
      <c r="C2802" s="43" t="s">
        <v>917</v>
      </c>
      <c r="D2802" s="43" t="s">
        <v>951</v>
      </c>
      <c r="E2802" s="43" t="s">
        <v>952</v>
      </c>
      <c r="F2802" s="43">
        <v>1</v>
      </c>
      <c r="G2802"/>
      <c r="H2802"/>
    </row>
    <row r="2803" spans="1:8" hidden="1" x14ac:dyDescent="0.25">
      <c r="A2803" s="43">
        <v>472</v>
      </c>
      <c r="B2803" s="43" t="s">
        <v>132</v>
      </c>
      <c r="C2803" s="43" t="s">
        <v>917</v>
      </c>
      <c r="D2803" s="43" t="s">
        <v>953</v>
      </c>
      <c r="E2803" s="43" t="s">
        <v>954</v>
      </c>
      <c r="F2803" s="43">
        <v>1</v>
      </c>
      <c r="G2803"/>
      <c r="H2803"/>
    </row>
    <row r="2804" spans="1:8" hidden="1" x14ac:dyDescent="0.25">
      <c r="A2804" s="43">
        <v>472</v>
      </c>
      <c r="B2804" s="43" t="s">
        <v>132</v>
      </c>
      <c r="C2804" s="43" t="s">
        <v>917</v>
      </c>
      <c r="D2804" s="43" t="s">
        <v>955</v>
      </c>
      <c r="E2804" s="43" t="s">
        <v>956</v>
      </c>
      <c r="F2804" s="43">
        <v>1</v>
      </c>
      <c r="G2804"/>
      <c r="H2804"/>
    </row>
    <row r="2805" spans="1:8" hidden="1" x14ac:dyDescent="0.25">
      <c r="A2805" s="43">
        <v>474</v>
      </c>
      <c r="B2805" s="43" t="s">
        <v>133</v>
      </c>
      <c r="C2805" s="43" t="s">
        <v>1772</v>
      </c>
      <c r="D2805" s="43" t="s">
        <v>1773</v>
      </c>
      <c r="E2805" s="43" t="s">
        <v>1774</v>
      </c>
      <c r="F2805" s="43">
        <v>1</v>
      </c>
      <c r="G2805"/>
      <c r="H2805"/>
    </row>
    <row r="2806" spans="1:8" hidden="1" x14ac:dyDescent="0.25">
      <c r="A2806" s="43">
        <v>474</v>
      </c>
      <c r="B2806" s="43" t="s">
        <v>133</v>
      </c>
      <c r="C2806" s="43" t="s">
        <v>1772</v>
      </c>
      <c r="D2806" s="43" t="s">
        <v>1775</v>
      </c>
      <c r="E2806" s="43" t="s">
        <v>306</v>
      </c>
      <c r="F2806" s="43">
        <v>1</v>
      </c>
      <c r="G2806"/>
      <c r="H2806"/>
    </row>
    <row r="2807" spans="1:8" hidden="1" x14ac:dyDescent="0.25">
      <c r="A2807" s="43">
        <v>474</v>
      </c>
      <c r="B2807" s="43" t="s">
        <v>133</v>
      </c>
      <c r="C2807" s="43" t="s">
        <v>1772</v>
      </c>
      <c r="D2807" s="43" t="s">
        <v>1776</v>
      </c>
      <c r="E2807" s="43" t="s">
        <v>273</v>
      </c>
      <c r="F2807" s="43">
        <v>1</v>
      </c>
      <c r="G2807"/>
      <c r="H2807"/>
    </row>
    <row r="2808" spans="1:8" hidden="1" x14ac:dyDescent="0.25">
      <c r="A2808" s="43">
        <v>474</v>
      </c>
      <c r="B2808" s="43" t="s">
        <v>133</v>
      </c>
      <c r="C2808" s="43" t="s">
        <v>1772</v>
      </c>
      <c r="D2808" s="43" t="s">
        <v>1777</v>
      </c>
      <c r="E2808" s="43" t="s">
        <v>312</v>
      </c>
      <c r="F2808" s="43">
        <v>1</v>
      </c>
      <c r="G2808"/>
      <c r="H2808"/>
    </row>
    <row r="2809" spans="1:8" hidden="1" x14ac:dyDescent="0.25">
      <c r="A2809" s="43">
        <v>474</v>
      </c>
      <c r="B2809" s="43" t="s">
        <v>133</v>
      </c>
      <c r="C2809" s="43" t="s">
        <v>1772</v>
      </c>
      <c r="D2809" s="43" t="s">
        <v>1778</v>
      </c>
      <c r="E2809" s="43" t="s">
        <v>880</v>
      </c>
      <c r="F2809" s="43">
        <v>1</v>
      </c>
      <c r="G2809"/>
      <c r="H2809"/>
    </row>
    <row r="2810" spans="1:8" hidden="1" x14ac:dyDescent="0.25">
      <c r="A2810" s="43">
        <v>474</v>
      </c>
      <c r="B2810" s="43" t="s">
        <v>133</v>
      </c>
      <c r="C2810" s="43" t="s">
        <v>1772</v>
      </c>
      <c r="D2810" s="43" t="s">
        <v>1779</v>
      </c>
      <c r="E2810" s="43" t="s">
        <v>1780</v>
      </c>
      <c r="F2810" s="43">
        <v>1</v>
      </c>
      <c r="G2810"/>
      <c r="H2810"/>
    </row>
    <row r="2811" spans="1:8" hidden="1" x14ac:dyDescent="0.25">
      <c r="A2811" s="43">
        <v>474</v>
      </c>
      <c r="B2811" s="43" t="s">
        <v>133</v>
      </c>
      <c r="C2811" s="43" t="s">
        <v>1772</v>
      </c>
      <c r="D2811" s="43" t="s">
        <v>1781</v>
      </c>
      <c r="E2811" s="43" t="s">
        <v>1782</v>
      </c>
      <c r="F2811" s="43">
        <v>1</v>
      </c>
      <c r="G2811"/>
      <c r="H2811"/>
    </row>
    <row r="2812" spans="1:8" hidden="1" x14ac:dyDescent="0.25">
      <c r="A2812" s="43">
        <v>474</v>
      </c>
      <c r="B2812" s="43" t="s">
        <v>133</v>
      </c>
      <c r="C2812" s="43" t="s">
        <v>1772</v>
      </c>
      <c r="D2812" s="43" t="s">
        <v>1783</v>
      </c>
      <c r="E2812" s="43" t="s">
        <v>1784</v>
      </c>
      <c r="F2812" s="43">
        <v>1</v>
      </c>
      <c r="G2812"/>
      <c r="H2812"/>
    </row>
    <row r="2813" spans="1:8" hidden="1" x14ac:dyDescent="0.25">
      <c r="A2813" s="43">
        <v>474</v>
      </c>
      <c r="B2813" s="43" t="s">
        <v>133</v>
      </c>
      <c r="C2813" s="43" t="s">
        <v>1772</v>
      </c>
      <c r="D2813" s="43" t="s">
        <v>1785</v>
      </c>
      <c r="E2813" s="43" t="s">
        <v>866</v>
      </c>
      <c r="F2813" s="43">
        <v>0</v>
      </c>
      <c r="G2813" s="43" t="s">
        <v>4658</v>
      </c>
      <c r="H2813" s="43" t="s">
        <v>4502</v>
      </c>
    </row>
    <row r="2814" spans="1:8" hidden="1" x14ac:dyDescent="0.25">
      <c r="A2814" s="43">
        <v>474</v>
      </c>
      <c r="B2814" s="43" t="s">
        <v>133</v>
      </c>
      <c r="C2814" s="43" t="s">
        <v>1772</v>
      </c>
      <c r="D2814" s="43" t="s">
        <v>1786</v>
      </c>
      <c r="E2814" s="43" t="s">
        <v>1787</v>
      </c>
      <c r="F2814" s="43">
        <v>1</v>
      </c>
      <c r="G2814"/>
      <c r="H2814"/>
    </row>
    <row r="2815" spans="1:8" hidden="1" x14ac:dyDescent="0.25">
      <c r="A2815" s="43">
        <v>474</v>
      </c>
      <c r="B2815" s="43" t="s">
        <v>133</v>
      </c>
      <c r="C2815" s="43" t="s">
        <v>1772</v>
      </c>
      <c r="D2815" s="43" t="s">
        <v>1788</v>
      </c>
      <c r="E2815" s="43" t="s">
        <v>295</v>
      </c>
      <c r="F2815" s="43">
        <v>1</v>
      </c>
      <c r="G2815"/>
      <c r="H2815"/>
    </row>
    <row r="2816" spans="1:8" hidden="1" x14ac:dyDescent="0.25">
      <c r="A2816" s="43">
        <v>474</v>
      </c>
      <c r="B2816" s="43" t="s">
        <v>133</v>
      </c>
      <c r="C2816" s="43" t="s">
        <v>1772</v>
      </c>
      <c r="D2816" s="43" t="s">
        <v>1789</v>
      </c>
      <c r="E2816" s="43" t="s">
        <v>372</v>
      </c>
      <c r="F2816" s="43">
        <v>1</v>
      </c>
      <c r="G2816"/>
      <c r="H2816"/>
    </row>
    <row r="2817" spans="1:8" hidden="1" x14ac:dyDescent="0.25">
      <c r="A2817" s="43">
        <v>476</v>
      </c>
      <c r="B2817" s="43" t="s">
        <v>134</v>
      </c>
      <c r="C2817" s="43" t="s">
        <v>1613</v>
      </c>
      <c r="D2817" s="43" t="s">
        <v>1614</v>
      </c>
      <c r="E2817" s="43" t="s">
        <v>273</v>
      </c>
      <c r="F2817" s="43">
        <v>1</v>
      </c>
      <c r="G2817"/>
      <c r="H2817"/>
    </row>
    <row r="2818" spans="1:8" hidden="1" x14ac:dyDescent="0.25">
      <c r="A2818" s="43">
        <v>476</v>
      </c>
      <c r="B2818" s="43" t="s">
        <v>134</v>
      </c>
      <c r="C2818" s="43" t="s">
        <v>1613</v>
      </c>
      <c r="D2818" s="43" t="s">
        <v>1615</v>
      </c>
      <c r="E2818" s="43" t="s">
        <v>312</v>
      </c>
      <c r="F2818" s="43">
        <v>1</v>
      </c>
      <c r="G2818"/>
      <c r="H2818"/>
    </row>
    <row r="2819" spans="1:8" hidden="1" x14ac:dyDescent="0.25">
      <c r="A2819" s="43">
        <v>476</v>
      </c>
      <c r="B2819" s="43" t="s">
        <v>134</v>
      </c>
      <c r="C2819" s="43" t="s">
        <v>1613</v>
      </c>
      <c r="D2819" s="43" t="s">
        <v>1616</v>
      </c>
      <c r="E2819" s="43" t="s">
        <v>316</v>
      </c>
      <c r="F2819" s="43">
        <v>1</v>
      </c>
      <c r="G2819"/>
      <c r="H2819"/>
    </row>
    <row r="2820" spans="1:8" hidden="1" x14ac:dyDescent="0.25">
      <c r="A2820" s="43">
        <v>476</v>
      </c>
      <c r="B2820" s="43" t="s">
        <v>134</v>
      </c>
      <c r="C2820" s="43" t="s">
        <v>1613</v>
      </c>
      <c r="D2820" s="43" t="s">
        <v>1617</v>
      </c>
      <c r="E2820" s="43" t="s">
        <v>314</v>
      </c>
      <c r="F2820" s="43">
        <v>1</v>
      </c>
      <c r="G2820"/>
      <c r="H2820"/>
    </row>
    <row r="2821" spans="1:8" hidden="1" x14ac:dyDescent="0.25">
      <c r="A2821" s="43">
        <v>476</v>
      </c>
      <c r="B2821" s="43" t="s">
        <v>134</v>
      </c>
      <c r="C2821" s="43" t="s">
        <v>1613</v>
      </c>
      <c r="D2821" s="43" t="s">
        <v>1618</v>
      </c>
      <c r="E2821" s="43" t="s">
        <v>318</v>
      </c>
      <c r="F2821" s="43">
        <v>1</v>
      </c>
      <c r="G2821"/>
      <c r="H2821"/>
    </row>
    <row r="2822" spans="1:8" hidden="1" x14ac:dyDescent="0.25">
      <c r="A2822" s="43">
        <v>476</v>
      </c>
      <c r="B2822" s="43" t="s">
        <v>134</v>
      </c>
      <c r="C2822" s="43" t="s">
        <v>1613</v>
      </c>
      <c r="D2822" s="43" t="s">
        <v>1619</v>
      </c>
      <c r="E2822" s="43" t="s">
        <v>1620</v>
      </c>
      <c r="F2822" s="43">
        <v>1</v>
      </c>
      <c r="G2822"/>
      <c r="H2822"/>
    </row>
    <row r="2823" spans="1:8" hidden="1" x14ac:dyDescent="0.25">
      <c r="A2823" s="43">
        <v>476</v>
      </c>
      <c r="B2823" s="43" t="s">
        <v>134</v>
      </c>
      <c r="C2823" s="43" t="s">
        <v>1613</v>
      </c>
      <c r="D2823" s="43" t="s">
        <v>1621</v>
      </c>
      <c r="E2823" s="43" t="s">
        <v>1622</v>
      </c>
      <c r="F2823" s="43">
        <v>1</v>
      </c>
      <c r="G2823"/>
      <c r="H2823"/>
    </row>
    <row r="2824" spans="1:8" hidden="1" x14ac:dyDescent="0.25">
      <c r="A2824" s="43">
        <v>476</v>
      </c>
      <c r="B2824" s="43" t="s">
        <v>134</v>
      </c>
      <c r="C2824" s="43" t="s">
        <v>1613</v>
      </c>
      <c r="D2824" s="43" t="s">
        <v>1623</v>
      </c>
      <c r="E2824" s="43" t="s">
        <v>322</v>
      </c>
      <c r="F2824" s="43">
        <v>1</v>
      </c>
      <c r="G2824"/>
      <c r="H2824"/>
    </row>
    <row r="2825" spans="1:8" hidden="1" x14ac:dyDescent="0.25">
      <c r="A2825" s="43">
        <v>476</v>
      </c>
      <c r="B2825" s="43" t="s">
        <v>134</v>
      </c>
      <c r="C2825" s="43" t="s">
        <v>1613</v>
      </c>
      <c r="D2825" s="43" t="s">
        <v>1624</v>
      </c>
      <c r="E2825" s="43" t="s">
        <v>936</v>
      </c>
      <c r="F2825" s="43">
        <v>1</v>
      </c>
      <c r="G2825"/>
      <c r="H2825"/>
    </row>
    <row r="2826" spans="1:8" hidden="1" x14ac:dyDescent="0.25">
      <c r="A2826" s="43">
        <v>476</v>
      </c>
      <c r="B2826" s="43" t="s">
        <v>134</v>
      </c>
      <c r="C2826" s="43" t="s">
        <v>1613</v>
      </c>
      <c r="D2826" s="43" t="s">
        <v>1625</v>
      </c>
      <c r="E2826" s="43" t="s">
        <v>938</v>
      </c>
      <c r="F2826" s="43">
        <v>1</v>
      </c>
      <c r="G2826"/>
      <c r="H2826"/>
    </row>
    <row r="2827" spans="1:8" hidden="1" x14ac:dyDescent="0.25">
      <c r="A2827" s="43">
        <v>476</v>
      </c>
      <c r="B2827" s="43" t="s">
        <v>134</v>
      </c>
      <c r="C2827" s="43" t="s">
        <v>1613</v>
      </c>
      <c r="D2827" s="43" t="s">
        <v>1626</v>
      </c>
      <c r="E2827" s="43" t="s">
        <v>1483</v>
      </c>
      <c r="F2827" s="89">
        <v>1</v>
      </c>
      <c r="H2827"/>
    </row>
    <row r="2828" spans="1:8" hidden="1" x14ac:dyDescent="0.25">
      <c r="A2828" s="43">
        <v>476</v>
      </c>
      <c r="B2828" s="43" t="s">
        <v>134</v>
      </c>
      <c r="C2828" s="43" t="s">
        <v>1613</v>
      </c>
      <c r="D2828" s="43" t="s">
        <v>1627</v>
      </c>
      <c r="E2828" s="43" t="s">
        <v>942</v>
      </c>
      <c r="F2828" s="43">
        <v>1</v>
      </c>
      <c r="G2828"/>
      <c r="H2828"/>
    </row>
    <row r="2829" spans="1:8" hidden="1" x14ac:dyDescent="0.25">
      <c r="A2829" s="43">
        <v>476</v>
      </c>
      <c r="B2829" s="43" t="s">
        <v>134</v>
      </c>
      <c r="C2829" s="43" t="s">
        <v>1613</v>
      </c>
      <c r="D2829" s="43" t="s">
        <v>1628</v>
      </c>
      <c r="E2829" s="43" t="s">
        <v>383</v>
      </c>
      <c r="F2829" s="43">
        <v>1</v>
      </c>
      <c r="G2829"/>
      <c r="H2829"/>
    </row>
    <row r="2830" spans="1:8" hidden="1" x14ac:dyDescent="0.25">
      <c r="A2830" s="43">
        <v>476</v>
      </c>
      <c r="B2830" s="43" t="s">
        <v>134</v>
      </c>
      <c r="C2830" s="43" t="s">
        <v>1613</v>
      </c>
      <c r="D2830" s="43" t="s">
        <v>1629</v>
      </c>
      <c r="E2830" s="43" t="s">
        <v>1630</v>
      </c>
      <c r="F2830" s="43">
        <v>1</v>
      </c>
      <c r="G2830"/>
      <c r="H2830"/>
    </row>
    <row r="2831" spans="1:8" hidden="1" x14ac:dyDescent="0.25">
      <c r="A2831" s="43">
        <v>476</v>
      </c>
      <c r="B2831" s="43" t="s">
        <v>134</v>
      </c>
      <c r="C2831" s="43" t="s">
        <v>1613</v>
      </c>
      <c r="D2831" s="43" t="s">
        <v>1631</v>
      </c>
      <c r="E2831" s="43" t="s">
        <v>380</v>
      </c>
      <c r="F2831" s="43">
        <v>1</v>
      </c>
      <c r="G2831"/>
      <c r="H2831"/>
    </row>
    <row r="2832" spans="1:8" hidden="1" x14ac:dyDescent="0.25">
      <c r="A2832" s="43">
        <v>476</v>
      </c>
      <c r="B2832" s="43" t="s">
        <v>134</v>
      </c>
      <c r="C2832" s="43" t="s">
        <v>1613</v>
      </c>
      <c r="D2832" s="43" t="s">
        <v>1632</v>
      </c>
      <c r="E2832" s="43" t="s">
        <v>381</v>
      </c>
      <c r="F2832" s="43">
        <v>1</v>
      </c>
      <c r="G2832"/>
      <c r="H2832"/>
    </row>
    <row r="2833" spans="1:8" hidden="1" x14ac:dyDescent="0.25">
      <c r="A2833" s="43">
        <v>476</v>
      </c>
      <c r="B2833" s="43" t="s">
        <v>134</v>
      </c>
      <c r="C2833" s="43" t="s">
        <v>1613</v>
      </c>
      <c r="D2833" s="43" t="s">
        <v>1633</v>
      </c>
      <c r="E2833" s="43" t="s">
        <v>1634</v>
      </c>
      <c r="F2833" s="43">
        <v>1</v>
      </c>
      <c r="G2833"/>
      <c r="H2833"/>
    </row>
    <row r="2834" spans="1:8" hidden="1" x14ac:dyDescent="0.25">
      <c r="A2834" s="43">
        <v>476</v>
      </c>
      <c r="B2834" s="43" t="s">
        <v>134</v>
      </c>
      <c r="C2834" s="43" t="s">
        <v>1613</v>
      </c>
      <c r="D2834" s="43" t="s">
        <v>1635</v>
      </c>
      <c r="E2834" s="43" t="s">
        <v>4473</v>
      </c>
      <c r="F2834" s="43">
        <v>0</v>
      </c>
      <c r="G2834" s="43" t="s">
        <v>4583</v>
      </c>
    </row>
    <row r="2835" spans="1:8" hidden="1" x14ac:dyDescent="0.25">
      <c r="A2835" s="43">
        <v>476</v>
      </c>
      <c r="B2835" s="43" t="s">
        <v>134</v>
      </c>
      <c r="C2835" s="43" t="s">
        <v>1613</v>
      </c>
      <c r="D2835" s="43" t="s">
        <v>1636</v>
      </c>
      <c r="E2835" s="43" t="s">
        <v>1637</v>
      </c>
      <c r="F2835" s="43">
        <v>1</v>
      </c>
      <c r="G2835"/>
      <c r="H2835"/>
    </row>
    <row r="2836" spans="1:8" hidden="1" x14ac:dyDescent="0.25">
      <c r="A2836" s="43">
        <v>476</v>
      </c>
      <c r="B2836" s="43" t="s">
        <v>134</v>
      </c>
      <c r="C2836" s="43" t="s">
        <v>1613</v>
      </c>
      <c r="D2836" s="43" t="s">
        <v>1638</v>
      </c>
      <c r="E2836" s="43" t="s">
        <v>1639</v>
      </c>
      <c r="F2836" s="43">
        <v>1</v>
      </c>
      <c r="G2836"/>
      <c r="H2836"/>
    </row>
    <row r="2837" spans="1:8" hidden="1" x14ac:dyDescent="0.25">
      <c r="A2837" s="43">
        <v>478</v>
      </c>
      <c r="B2837" s="43" t="s">
        <v>135</v>
      </c>
      <c r="C2837" s="43" t="s">
        <v>1125</v>
      </c>
      <c r="D2837" s="43" t="s">
        <v>1126</v>
      </c>
      <c r="E2837" s="43" t="s">
        <v>273</v>
      </c>
      <c r="F2837" s="43">
        <v>1</v>
      </c>
      <c r="G2837"/>
      <c r="H2837"/>
    </row>
    <row r="2838" spans="1:8" hidden="1" x14ac:dyDescent="0.25">
      <c r="A2838" s="43">
        <v>478</v>
      </c>
      <c r="B2838" s="43" t="s">
        <v>135</v>
      </c>
      <c r="C2838" s="43" t="s">
        <v>1125</v>
      </c>
      <c r="D2838" s="43" t="s">
        <v>1127</v>
      </c>
      <c r="E2838" s="43" t="s">
        <v>312</v>
      </c>
      <c r="F2838" s="43">
        <v>1</v>
      </c>
      <c r="G2838"/>
      <c r="H2838"/>
    </row>
    <row r="2839" spans="1:8" hidden="1" x14ac:dyDescent="0.25">
      <c r="A2839" s="43">
        <v>478</v>
      </c>
      <c r="B2839" s="43" t="s">
        <v>135</v>
      </c>
      <c r="C2839" s="43" t="s">
        <v>1125</v>
      </c>
      <c r="D2839" s="43" t="s">
        <v>1128</v>
      </c>
      <c r="E2839" s="43" t="s">
        <v>1129</v>
      </c>
      <c r="F2839" s="43">
        <v>1</v>
      </c>
      <c r="G2839"/>
      <c r="H2839"/>
    </row>
    <row r="2840" spans="1:8" hidden="1" x14ac:dyDescent="0.25">
      <c r="A2840" s="43">
        <v>478</v>
      </c>
      <c r="B2840" s="43" t="s">
        <v>135</v>
      </c>
      <c r="C2840" s="43" t="s">
        <v>1125</v>
      </c>
      <c r="D2840" s="43" t="s">
        <v>1130</v>
      </c>
      <c r="E2840" s="43" t="s">
        <v>1131</v>
      </c>
      <c r="F2840" s="43">
        <v>1</v>
      </c>
      <c r="G2840"/>
      <c r="H2840"/>
    </row>
    <row r="2841" spans="1:8" hidden="1" x14ac:dyDescent="0.25">
      <c r="A2841" s="43">
        <v>478</v>
      </c>
      <c r="B2841" s="43" t="s">
        <v>135</v>
      </c>
      <c r="C2841" s="43" t="s">
        <v>1125</v>
      </c>
      <c r="D2841" s="43" t="s">
        <v>1132</v>
      </c>
      <c r="E2841" s="43" t="s">
        <v>1133</v>
      </c>
      <c r="F2841" s="89">
        <v>1</v>
      </c>
      <c r="H2841"/>
    </row>
    <row r="2842" spans="1:8" hidden="1" x14ac:dyDescent="0.25">
      <c r="A2842" s="43">
        <v>478</v>
      </c>
      <c r="B2842" s="43" t="s">
        <v>135</v>
      </c>
      <c r="C2842" s="43" t="s">
        <v>1125</v>
      </c>
      <c r="D2842" s="43" t="s">
        <v>1134</v>
      </c>
      <c r="E2842" s="43" t="s">
        <v>347</v>
      </c>
      <c r="F2842" s="89">
        <v>1</v>
      </c>
      <c r="H2842"/>
    </row>
    <row r="2843" spans="1:8" hidden="1" x14ac:dyDescent="0.25">
      <c r="A2843" s="43">
        <v>478</v>
      </c>
      <c r="B2843" s="43" t="s">
        <v>135</v>
      </c>
      <c r="C2843" s="43" t="s">
        <v>1125</v>
      </c>
      <c r="D2843" s="43" t="s">
        <v>1135</v>
      </c>
      <c r="E2843" s="43" t="s">
        <v>1136</v>
      </c>
      <c r="F2843" s="89">
        <v>1</v>
      </c>
      <c r="H2843"/>
    </row>
    <row r="2844" spans="1:8" hidden="1" x14ac:dyDescent="0.25">
      <c r="A2844" s="43">
        <v>478</v>
      </c>
      <c r="B2844" s="43" t="s">
        <v>135</v>
      </c>
      <c r="C2844" s="43" t="s">
        <v>1125</v>
      </c>
      <c r="D2844" s="43" t="s">
        <v>1137</v>
      </c>
      <c r="E2844" s="43" t="s">
        <v>1138</v>
      </c>
      <c r="F2844" s="89">
        <v>1</v>
      </c>
      <c r="H2844"/>
    </row>
    <row r="2845" spans="1:8" hidden="1" x14ac:dyDescent="0.25">
      <c r="A2845" s="43">
        <v>478</v>
      </c>
      <c r="B2845" s="43" t="s">
        <v>135</v>
      </c>
      <c r="C2845" s="43" t="s">
        <v>1125</v>
      </c>
      <c r="D2845" s="43" t="s">
        <v>1139</v>
      </c>
      <c r="E2845" s="43" t="s">
        <v>1140</v>
      </c>
      <c r="F2845" s="43">
        <v>0</v>
      </c>
      <c r="G2845" s="43" t="s">
        <v>4583</v>
      </c>
      <c r="H2845"/>
    </row>
    <row r="2846" spans="1:8" hidden="1" x14ac:dyDescent="0.25">
      <c r="A2846" s="43">
        <v>478</v>
      </c>
      <c r="B2846" s="43" t="s">
        <v>135</v>
      </c>
      <c r="C2846" s="43" t="s">
        <v>567</v>
      </c>
      <c r="D2846" s="43" t="s">
        <v>568</v>
      </c>
      <c r="E2846" s="43" t="s">
        <v>273</v>
      </c>
      <c r="F2846" s="43">
        <v>1</v>
      </c>
      <c r="G2846"/>
      <c r="H2846"/>
    </row>
    <row r="2847" spans="1:8" hidden="1" x14ac:dyDescent="0.25">
      <c r="A2847" s="43">
        <v>478</v>
      </c>
      <c r="B2847" s="43" t="s">
        <v>135</v>
      </c>
      <c r="C2847" s="43" t="s">
        <v>567</v>
      </c>
      <c r="D2847" s="43" t="s">
        <v>569</v>
      </c>
      <c r="E2847" s="43" t="s">
        <v>570</v>
      </c>
      <c r="F2847" s="43">
        <v>1</v>
      </c>
      <c r="G2847"/>
      <c r="H2847"/>
    </row>
    <row r="2848" spans="1:8" hidden="1" x14ac:dyDescent="0.25">
      <c r="A2848" s="43">
        <v>478</v>
      </c>
      <c r="B2848" s="43" t="s">
        <v>135</v>
      </c>
      <c r="C2848" s="43" t="s">
        <v>567</v>
      </c>
      <c r="D2848" s="43" t="s">
        <v>571</v>
      </c>
      <c r="E2848" s="43" t="s">
        <v>572</v>
      </c>
      <c r="F2848" s="43">
        <v>1</v>
      </c>
      <c r="G2848"/>
      <c r="H2848"/>
    </row>
    <row r="2849" spans="1:8" hidden="1" x14ac:dyDescent="0.25">
      <c r="A2849" s="43">
        <v>478</v>
      </c>
      <c r="B2849" s="43" t="s">
        <v>135</v>
      </c>
      <c r="C2849" s="43" t="s">
        <v>567</v>
      </c>
      <c r="D2849" s="43" t="s">
        <v>573</v>
      </c>
      <c r="E2849" s="43" t="s">
        <v>574</v>
      </c>
      <c r="F2849" s="43">
        <v>1</v>
      </c>
      <c r="G2849"/>
      <c r="H2849"/>
    </row>
    <row r="2850" spans="1:8" hidden="1" x14ac:dyDescent="0.25">
      <c r="A2850" s="43">
        <v>478</v>
      </c>
      <c r="B2850" s="43" t="s">
        <v>135</v>
      </c>
      <c r="C2850" s="43" t="s">
        <v>567</v>
      </c>
      <c r="D2850" s="43" t="s">
        <v>575</v>
      </c>
      <c r="E2850" s="43" t="s">
        <v>576</v>
      </c>
      <c r="F2850" s="43">
        <v>1</v>
      </c>
      <c r="G2850"/>
      <c r="H2850"/>
    </row>
    <row r="2851" spans="1:8" hidden="1" x14ac:dyDescent="0.25">
      <c r="A2851" s="43">
        <v>478</v>
      </c>
      <c r="B2851" s="43" t="s">
        <v>135</v>
      </c>
      <c r="C2851" s="43" t="s">
        <v>567</v>
      </c>
      <c r="D2851" s="43" t="s">
        <v>577</v>
      </c>
      <c r="E2851" s="43" t="s">
        <v>578</v>
      </c>
      <c r="F2851" s="43">
        <v>1</v>
      </c>
      <c r="G2851"/>
      <c r="H2851"/>
    </row>
    <row r="2852" spans="1:8" hidden="1" x14ac:dyDescent="0.25">
      <c r="A2852" s="43">
        <v>478</v>
      </c>
      <c r="B2852" s="43" t="s">
        <v>135</v>
      </c>
      <c r="C2852" s="43" t="s">
        <v>567</v>
      </c>
      <c r="D2852" s="43" t="s">
        <v>579</v>
      </c>
      <c r="E2852" s="43" t="s">
        <v>580</v>
      </c>
      <c r="F2852" s="43">
        <v>1</v>
      </c>
      <c r="G2852"/>
      <c r="H2852"/>
    </row>
    <row r="2853" spans="1:8" hidden="1" x14ac:dyDescent="0.25">
      <c r="A2853" s="43">
        <v>481</v>
      </c>
      <c r="B2853" s="43" t="s">
        <v>136</v>
      </c>
      <c r="C2853" s="43" t="s">
        <v>450</v>
      </c>
      <c r="D2853" s="43" t="s">
        <v>451</v>
      </c>
      <c r="E2853" s="43" t="s">
        <v>273</v>
      </c>
      <c r="F2853" s="43">
        <v>1</v>
      </c>
      <c r="G2853"/>
      <c r="H2853"/>
    </row>
    <row r="2854" spans="1:8" hidden="1" x14ac:dyDescent="0.25">
      <c r="A2854" s="43">
        <v>481</v>
      </c>
      <c r="B2854" s="43" t="s">
        <v>136</v>
      </c>
      <c r="C2854" s="43" t="s">
        <v>450</v>
      </c>
      <c r="D2854" s="43" t="s">
        <v>452</v>
      </c>
      <c r="E2854" s="43" t="s">
        <v>453</v>
      </c>
      <c r="F2854" s="89">
        <v>1</v>
      </c>
      <c r="H2854"/>
    </row>
    <row r="2855" spans="1:8" hidden="1" x14ac:dyDescent="0.25">
      <c r="A2855" s="43">
        <v>481</v>
      </c>
      <c r="B2855" s="43" t="s">
        <v>136</v>
      </c>
      <c r="C2855" s="43" t="s">
        <v>450</v>
      </c>
      <c r="D2855" s="43" t="s">
        <v>454</v>
      </c>
      <c r="E2855" s="43" t="s">
        <v>283</v>
      </c>
      <c r="F2855" s="43">
        <v>1</v>
      </c>
      <c r="G2855"/>
      <c r="H2855"/>
    </row>
    <row r="2856" spans="1:8" hidden="1" x14ac:dyDescent="0.25">
      <c r="A2856" s="43">
        <v>481</v>
      </c>
      <c r="B2856" s="43" t="s">
        <v>136</v>
      </c>
      <c r="C2856" s="43" t="s">
        <v>450</v>
      </c>
      <c r="D2856" s="43" t="s">
        <v>455</v>
      </c>
      <c r="E2856" s="43" t="s">
        <v>456</v>
      </c>
      <c r="F2856" s="43">
        <v>1</v>
      </c>
      <c r="G2856"/>
      <c r="H2856"/>
    </row>
    <row r="2857" spans="1:8" hidden="1" x14ac:dyDescent="0.25">
      <c r="A2857" s="43">
        <v>481</v>
      </c>
      <c r="B2857" s="43" t="s">
        <v>136</v>
      </c>
      <c r="C2857" s="43" t="s">
        <v>450</v>
      </c>
      <c r="D2857" s="43" t="s">
        <v>457</v>
      </c>
      <c r="E2857" s="43" t="s">
        <v>295</v>
      </c>
      <c r="F2857" s="89">
        <v>1</v>
      </c>
      <c r="H2857"/>
    </row>
    <row r="2858" spans="1:8" hidden="1" x14ac:dyDescent="0.25">
      <c r="A2858" s="43">
        <v>481</v>
      </c>
      <c r="B2858" s="43" t="s">
        <v>136</v>
      </c>
      <c r="C2858" s="43" t="s">
        <v>450</v>
      </c>
      <c r="D2858" s="43" t="s">
        <v>458</v>
      </c>
      <c r="E2858" s="43" t="s">
        <v>459</v>
      </c>
      <c r="F2858" s="89">
        <v>1</v>
      </c>
      <c r="H2858"/>
    </row>
    <row r="2859" spans="1:8" hidden="1" x14ac:dyDescent="0.25">
      <c r="A2859" s="43">
        <v>481</v>
      </c>
      <c r="B2859" s="43" t="s">
        <v>136</v>
      </c>
      <c r="C2859" s="43" t="s">
        <v>450</v>
      </c>
      <c r="D2859" s="43" t="s">
        <v>460</v>
      </c>
      <c r="E2859" s="43" t="s">
        <v>461</v>
      </c>
      <c r="F2859" s="89">
        <v>1</v>
      </c>
      <c r="H2859"/>
    </row>
    <row r="2860" spans="1:8" hidden="1" x14ac:dyDescent="0.25">
      <c r="A2860" s="43">
        <v>481</v>
      </c>
      <c r="B2860" s="43" t="s">
        <v>136</v>
      </c>
      <c r="C2860" s="43" t="s">
        <v>450</v>
      </c>
      <c r="D2860" s="43" t="s">
        <v>462</v>
      </c>
      <c r="E2860" s="43" t="s">
        <v>372</v>
      </c>
      <c r="F2860" s="89">
        <v>1</v>
      </c>
      <c r="H2860"/>
    </row>
    <row r="2861" spans="1:8" hidden="1" x14ac:dyDescent="0.25">
      <c r="A2861" s="43">
        <v>485</v>
      </c>
      <c r="B2861" s="43" t="s">
        <v>137</v>
      </c>
      <c r="C2861" s="43" t="s">
        <v>1832</v>
      </c>
      <c r="D2861" s="43" t="s">
        <v>1833</v>
      </c>
      <c r="E2861" s="43" t="s">
        <v>273</v>
      </c>
      <c r="F2861" s="89">
        <v>1</v>
      </c>
      <c r="H2861"/>
    </row>
    <row r="2862" spans="1:8" hidden="1" x14ac:dyDescent="0.25">
      <c r="A2862" s="43">
        <v>485</v>
      </c>
      <c r="B2862" s="43" t="s">
        <v>137</v>
      </c>
      <c r="C2862" s="43" t="s">
        <v>1832</v>
      </c>
      <c r="D2862" s="43" t="s">
        <v>1834</v>
      </c>
      <c r="E2862" s="43" t="s">
        <v>1835</v>
      </c>
      <c r="F2862" s="43">
        <v>0</v>
      </c>
      <c r="G2862" s="43" t="s">
        <v>4583</v>
      </c>
      <c r="H2862"/>
    </row>
    <row r="2863" spans="1:8" hidden="1" x14ac:dyDescent="0.25">
      <c r="A2863" s="43">
        <v>485</v>
      </c>
      <c r="B2863" s="43" t="s">
        <v>137</v>
      </c>
      <c r="C2863" s="43" t="s">
        <v>1832</v>
      </c>
      <c r="D2863" s="43" t="s">
        <v>1836</v>
      </c>
      <c r="E2863" s="43" t="s">
        <v>1837</v>
      </c>
      <c r="F2863" s="43">
        <v>0</v>
      </c>
      <c r="G2863" s="43" t="s">
        <v>4583</v>
      </c>
      <c r="H2863"/>
    </row>
    <row r="2864" spans="1:8" hidden="1" x14ac:dyDescent="0.25">
      <c r="A2864" s="43">
        <v>485</v>
      </c>
      <c r="B2864" s="43" t="s">
        <v>137</v>
      </c>
      <c r="C2864" s="43" t="s">
        <v>1832</v>
      </c>
      <c r="D2864" s="43" t="s">
        <v>1838</v>
      </c>
      <c r="E2864" s="43" t="s">
        <v>686</v>
      </c>
      <c r="F2864" s="43">
        <v>0</v>
      </c>
      <c r="G2864" s="43" t="s">
        <v>4583</v>
      </c>
      <c r="H2864"/>
    </row>
    <row r="2865" spans="1:8" hidden="1" x14ac:dyDescent="0.25">
      <c r="A2865" s="43">
        <v>485</v>
      </c>
      <c r="B2865" s="43" t="s">
        <v>137</v>
      </c>
      <c r="C2865" s="43" t="s">
        <v>1832</v>
      </c>
      <c r="D2865" s="43" t="s">
        <v>1839</v>
      </c>
      <c r="E2865" s="43" t="s">
        <v>1840</v>
      </c>
      <c r="F2865" s="43">
        <v>0</v>
      </c>
      <c r="G2865" s="43" t="s">
        <v>4583</v>
      </c>
      <c r="H2865"/>
    </row>
    <row r="2866" spans="1:8" hidden="1" x14ac:dyDescent="0.25">
      <c r="A2866" s="43">
        <v>485</v>
      </c>
      <c r="B2866" s="43" t="s">
        <v>137</v>
      </c>
      <c r="C2866" s="43" t="s">
        <v>1832</v>
      </c>
      <c r="D2866" s="43" t="s">
        <v>1841</v>
      </c>
      <c r="E2866" s="43" t="s">
        <v>929</v>
      </c>
      <c r="F2866" s="43">
        <v>0</v>
      </c>
      <c r="G2866" s="43" t="s">
        <v>4583</v>
      </c>
      <c r="H2866"/>
    </row>
    <row r="2867" spans="1:8" hidden="1" x14ac:dyDescent="0.25">
      <c r="A2867" s="43">
        <v>485</v>
      </c>
      <c r="B2867" s="43" t="s">
        <v>137</v>
      </c>
      <c r="C2867" s="43" t="s">
        <v>1832</v>
      </c>
      <c r="D2867" s="43" t="s">
        <v>1842</v>
      </c>
      <c r="E2867" s="43" t="s">
        <v>1214</v>
      </c>
      <c r="F2867" s="43">
        <v>1</v>
      </c>
      <c r="G2867"/>
      <c r="H2867"/>
    </row>
    <row r="2868" spans="1:8" hidden="1" x14ac:dyDescent="0.25">
      <c r="A2868" s="43">
        <v>485</v>
      </c>
      <c r="B2868" s="43" t="s">
        <v>137</v>
      </c>
      <c r="C2868" s="43" t="s">
        <v>1832</v>
      </c>
      <c r="D2868" s="43" t="s">
        <v>1843</v>
      </c>
      <c r="E2868" s="43" t="s">
        <v>1844</v>
      </c>
      <c r="F2868" s="43">
        <v>0</v>
      </c>
      <c r="G2868" s="43" t="s">
        <v>4583</v>
      </c>
      <c r="H2868"/>
    </row>
    <row r="2869" spans="1:8" hidden="1" x14ac:dyDescent="0.25">
      <c r="A2869" s="43">
        <v>485</v>
      </c>
      <c r="B2869" s="43" t="s">
        <v>137</v>
      </c>
      <c r="C2869" s="43" t="s">
        <v>1832</v>
      </c>
      <c r="D2869" s="43" t="s">
        <v>1845</v>
      </c>
      <c r="E2869" s="43" t="s">
        <v>372</v>
      </c>
      <c r="F2869" s="43">
        <v>1</v>
      </c>
      <c r="G2869"/>
      <c r="H2869"/>
    </row>
    <row r="2870" spans="1:8" hidden="1" x14ac:dyDescent="0.25">
      <c r="A2870" s="43">
        <v>485</v>
      </c>
      <c r="B2870" s="43" t="s">
        <v>137</v>
      </c>
      <c r="C2870" s="43" t="s">
        <v>1832</v>
      </c>
      <c r="D2870" s="43" t="s">
        <v>1846</v>
      </c>
      <c r="E2870" s="43" t="s">
        <v>1847</v>
      </c>
      <c r="F2870" s="43">
        <v>0</v>
      </c>
      <c r="G2870" s="43" t="s">
        <v>4583</v>
      </c>
      <c r="H2870"/>
    </row>
    <row r="2871" spans="1:8" hidden="1" x14ac:dyDescent="0.25">
      <c r="A2871" s="43">
        <v>485</v>
      </c>
      <c r="B2871" s="43" t="s">
        <v>137</v>
      </c>
      <c r="C2871" s="43" t="s">
        <v>1832</v>
      </c>
      <c r="D2871" s="43" t="s">
        <v>1848</v>
      </c>
      <c r="E2871" s="43" t="s">
        <v>1849</v>
      </c>
      <c r="F2871" s="89">
        <v>1</v>
      </c>
      <c r="H2871"/>
    </row>
    <row r="2872" spans="1:8" hidden="1" x14ac:dyDescent="0.25">
      <c r="A2872" s="43">
        <v>485</v>
      </c>
      <c r="B2872" s="43" t="s">
        <v>137</v>
      </c>
      <c r="C2872" s="43" t="s">
        <v>1832</v>
      </c>
      <c r="D2872" s="43" t="s">
        <v>1850</v>
      </c>
      <c r="E2872" s="43" t="s">
        <v>1851</v>
      </c>
      <c r="F2872" s="43">
        <v>0</v>
      </c>
      <c r="G2872" s="43" t="s">
        <v>4583</v>
      </c>
      <c r="H2872"/>
    </row>
    <row r="2873" spans="1:8" hidden="1" x14ac:dyDescent="0.25">
      <c r="A2873" s="43">
        <v>485</v>
      </c>
      <c r="B2873" s="43" t="s">
        <v>137</v>
      </c>
      <c r="C2873" s="43" t="s">
        <v>1832</v>
      </c>
      <c r="D2873" s="43" t="s">
        <v>1852</v>
      </c>
      <c r="E2873" s="43" t="s">
        <v>1853</v>
      </c>
      <c r="F2873" s="43">
        <v>0</v>
      </c>
      <c r="G2873" s="43" t="s">
        <v>4583</v>
      </c>
      <c r="H2873"/>
    </row>
    <row r="2874" spans="1:8" hidden="1" x14ac:dyDescent="0.25">
      <c r="A2874" s="43">
        <v>488</v>
      </c>
      <c r="B2874" s="43" t="s">
        <v>138</v>
      </c>
      <c r="C2874" s="43" t="s">
        <v>4470</v>
      </c>
      <c r="D2874" s="43" t="s">
        <v>1493</v>
      </c>
      <c r="E2874" s="43" t="s">
        <v>1494</v>
      </c>
      <c r="F2874" s="43">
        <v>0</v>
      </c>
      <c r="G2874" s="43" t="s">
        <v>4583</v>
      </c>
      <c r="H2874"/>
    </row>
    <row r="2875" spans="1:8" hidden="1" x14ac:dyDescent="0.25">
      <c r="A2875" s="43">
        <v>488</v>
      </c>
      <c r="B2875" s="43" t="s">
        <v>138</v>
      </c>
      <c r="C2875" s="43" t="s">
        <v>4470</v>
      </c>
      <c r="D2875" s="43" t="s">
        <v>1495</v>
      </c>
      <c r="E2875" s="43" t="s">
        <v>1496</v>
      </c>
      <c r="F2875" s="43">
        <v>0</v>
      </c>
      <c r="G2875" s="43" t="s">
        <v>4583</v>
      </c>
      <c r="H2875"/>
    </row>
    <row r="2876" spans="1:8" hidden="1" x14ac:dyDescent="0.25">
      <c r="A2876" s="43">
        <v>488</v>
      </c>
      <c r="B2876" s="43" t="s">
        <v>138</v>
      </c>
      <c r="C2876" s="43" t="s">
        <v>4470</v>
      </c>
      <c r="D2876" s="43" t="s">
        <v>1497</v>
      </c>
      <c r="E2876" s="43" t="s">
        <v>306</v>
      </c>
      <c r="F2876" s="43">
        <v>0</v>
      </c>
      <c r="G2876" s="43" t="s">
        <v>4583</v>
      </c>
      <c r="H2876"/>
    </row>
    <row r="2877" spans="1:8" hidden="1" x14ac:dyDescent="0.25">
      <c r="A2877" s="43">
        <v>488</v>
      </c>
      <c r="B2877" s="43" t="s">
        <v>138</v>
      </c>
      <c r="C2877" s="43" t="s">
        <v>4470</v>
      </c>
      <c r="D2877" s="43" t="s">
        <v>1498</v>
      </c>
      <c r="E2877" s="43" t="s">
        <v>1499</v>
      </c>
      <c r="F2877" s="43">
        <v>0</v>
      </c>
      <c r="G2877" s="43" t="s">
        <v>4583</v>
      </c>
      <c r="H2877"/>
    </row>
    <row r="2878" spans="1:8" hidden="1" x14ac:dyDescent="0.25">
      <c r="A2878" s="43">
        <v>488</v>
      </c>
      <c r="B2878" s="43" t="s">
        <v>138</v>
      </c>
      <c r="C2878" s="43" t="s">
        <v>4470</v>
      </c>
      <c r="D2878" s="43" t="s">
        <v>1500</v>
      </c>
      <c r="E2878" s="43" t="s">
        <v>1397</v>
      </c>
      <c r="F2878" s="43">
        <v>0</v>
      </c>
      <c r="G2878" s="43" t="s">
        <v>4583</v>
      </c>
      <c r="H2878"/>
    </row>
    <row r="2879" spans="1:8" hidden="1" x14ac:dyDescent="0.25">
      <c r="A2879" s="43">
        <v>488</v>
      </c>
      <c r="B2879" s="43" t="s">
        <v>138</v>
      </c>
      <c r="C2879" s="43" t="s">
        <v>4470</v>
      </c>
      <c r="D2879" s="43" t="s">
        <v>1501</v>
      </c>
      <c r="E2879" s="43" t="s">
        <v>1502</v>
      </c>
      <c r="F2879" s="43">
        <v>0</v>
      </c>
      <c r="G2879" s="43" t="s">
        <v>4583</v>
      </c>
      <c r="H2879"/>
    </row>
    <row r="2880" spans="1:8" hidden="1" x14ac:dyDescent="0.25">
      <c r="A2880" s="43">
        <v>488</v>
      </c>
      <c r="B2880" s="43" t="s">
        <v>138</v>
      </c>
      <c r="C2880" s="43" t="s">
        <v>4470</v>
      </c>
      <c r="D2880" s="43" t="s">
        <v>1503</v>
      </c>
      <c r="E2880" s="43" t="s">
        <v>1504</v>
      </c>
      <c r="F2880" s="43">
        <v>1</v>
      </c>
      <c r="G2880"/>
      <c r="H2880"/>
    </row>
    <row r="2881" spans="1:8" hidden="1" x14ac:dyDescent="0.25">
      <c r="A2881" s="43">
        <v>488</v>
      </c>
      <c r="B2881" s="43" t="s">
        <v>138</v>
      </c>
      <c r="C2881" s="43" t="s">
        <v>4470</v>
      </c>
      <c r="D2881" s="43" t="s">
        <v>1505</v>
      </c>
      <c r="E2881" s="43" t="s">
        <v>1506</v>
      </c>
      <c r="F2881" s="43">
        <v>1</v>
      </c>
      <c r="G2881"/>
      <c r="H2881"/>
    </row>
    <row r="2882" spans="1:8" hidden="1" x14ac:dyDescent="0.25">
      <c r="A2882" s="43">
        <v>488</v>
      </c>
      <c r="B2882" s="43" t="s">
        <v>138</v>
      </c>
      <c r="C2882" s="43" t="s">
        <v>4470</v>
      </c>
      <c r="D2882" s="43" t="s">
        <v>1507</v>
      </c>
      <c r="E2882" s="43" t="s">
        <v>611</v>
      </c>
      <c r="F2882" s="43">
        <v>0</v>
      </c>
      <c r="G2882" s="43" t="s">
        <v>4583</v>
      </c>
      <c r="H2882"/>
    </row>
    <row r="2883" spans="1:8" hidden="1" x14ac:dyDescent="0.25">
      <c r="A2883" s="43">
        <v>488</v>
      </c>
      <c r="B2883" s="43" t="s">
        <v>138</v>
      </c>
      <c r="C2883" s="43" t="s">
        <v>4470</v>
      </c>
      <c r="D2883" s="43" t="s">
        <v>1508</v>
      </c>
      <c r="E2883" s="43" t="s">
        <v>1509</v>
      </c>
      <c r="F2883" s="43">
        <v>1</v>
      </c>
      <c r="G2883"/>
      <c r="H2883"/>
    </row>
    <row r="2884" spans="1:8" hidden="1" x14ac:dyDescent="0.25">
      <c r="A2884" s="43">
        <v>488</v>
      </c>
      <c r="B2884" s="43" t="s">
        <v>138</v>
      </c>
      <c r="C2884" s="43" t="s">
        <v>4470</v>
      </c>
      <c r="D2884" s="43" t="s">
        <v>1510</v>
      </c>
      <c r="E2884" s="43" t="s">
        <v>613</v>
      </c>
      <c r="F2884" s="43">
        <v>0</v>
      </c>
      <c r="G2884" s="43" t="s">
        <v>4583</v>
      </c>
      <c r="H2884"/>
    </row>
    <row r="2885" spans="1:8" hidden="1" x14ac:dyDescent="0.25">
      <c r="A2885" s="43">
        <v>488</v>
      </c>
      <c r="B2885" s="43" t="s">
        <v>138</v>
      </c>
      <c r="C2885" s="43" t="s">
        <v>4470</v>
      </c>
      <c r="D2885" s="43" t="s">
        <v>1511</v>
      </c>
      <c r="E2885" s="43" t="s">
        <v>1419</v>
      </c>
      <c r="F2885" s="43">
        <v>0</v>
      </c>
      <c r="G2885" s="43" t="s">
        <v>4583</v>
      </c>
      <c r="H2885"/>
    </row>
    <row r="2886" spans="1:8" hidden="1" x14ac:dyDescent="0.25">
      <c r="A2886" s="43">
        <v>488</v>
      </c>
      <c r="B2886" s="43" t="s">
        <v>138</v>
      </c>
      <c r="C2886" s="43" t="s">
        <v>4470</v>
      </c>
      <c r="D2886" s="43" t="s">
        <v>1512</v>
      </c>
      <c r="E2886" s="43" t="s">
        <v>621</v>
      </c>
      <c r="F2886" s="43">
        <v>0</v>
      </c>
      <c r="G2886" s="43" t="s">
        <v>4583</v>
      </c>
      <c r="H2886"/>
    </row>
    <row r="2887" spans="1:8" hidden="1" x14ac:dyDescent="0.25">
      <c r="A2887" s="43">
        <v>488</v>
      </c>
      <c r="B2887" s="43" t="s">
        <v>138</v>
      </c>
      <c r="C2887" s="43" t="s">
        <v>4470</v>
      </c>
      <c r="D2887" s="43" t="s">
        <v>1513</v>
      </c>
      <c r="E2887" s="43" t="s">
        <v>1422</v>
      </c>
      <c r="F2887" s="43">
        <v>0</v>
      </c>
      <c r="G2887" s="43" t="s">
        <v>4583</v>
      </c>
      <c r="H2887"/>
    </row>
    <row r="2888" spans="1:8" hidden="1" x14ac:dyDescent="0.25">
      <c r="A2888" s="43">
        <v>488</v>
      </c>
      <c r="B2888" s="43" t="s">
        <v>138</v>
      </c>
      <c r="C2888" s="43" t="s">
        <v>4470</v>
      </c>
      <c r="D2888" s="43" t="s">
        <v>1514</v>
      </c>
      <c r="E2888" s="43" t="s">
        <v>614</v>
      </c>
      <c r="F2888" s="43">
        <v>1</v>
      </c>
      <c r="G2888"/>
      <c r="H2888"/>
    </row>
    <row r="2889" spans="1:8" hidden="1" x14ac:dyDescent="0.25">
      <c r="A2889" s="43">
        <v>488</v>
      </c>
      <c r="B2889" s="43" t="s">
        <v>138</v>
      </c>
      <c r="C2889" s="43" t="s">
        <v>4470</v>
      </c>
      <c r="D2889" s="43" t="s">
        <v>1515</v>
      </c>
      <c r="E2889" s="43" t="s">
        <v>615</v>
      </c>
      <c r="F2889" s="43">
        <v>1</v>
      </c>
      <c r="G2889"/>
      <c r="H2889"/>
    </row>
    <row r="2890" spans="1:8" hidden="1" x14ac:dyDescent="0.25">
      <c r="A2890" s="43">
        <v>488</v>
      </c>
      <c r="B2890" s="43" t="s">
        <v>138</v>
      </c>
      <c r="C2890" s="43" t="s">
        <v>4470</v>
      </c>
      <c r="D2890" s="43" t="s">
        <v>1516</v>
      </c>
      <c r="E2890" s="43" t="s">
        <v>1517</v>
      </c>
      <c r="F2890" s="43">
        <v>1</v>
      </c>
      <c r="G2890"/>
      <c r="H2890"/>
    </row>
    <row r="2891" spans="1:8" hidden="1" x14ac:dyDescent="0.25">
      <c r="A2891" s="43">
        <v>488</v>
      </c>
      <c r="B2891" s="43" t="s">
        <v>138</v>
      </c>
      <c r="C2891" s="43" t="s">
        <v>4470</v>
      </c>
      <c r="D2891" s="43" t="s">
        <v>1518</v>
      </c>
      <c r="E2891" s="43" t="s">
        <v>1519</v>
      </c>
      <c r="F2891" s="43">
        <v>1</v>
      </c>
      <c r="G2891"/>
      <c r="H2891"/>
    </row>
    <row r="2892" spans="1:8" hidden="1" x14ac:dyDescent="0.25">
      <c r="A2892" s="43">
        <v>488</v>
      </c>
      <c r="B2892" s="43" t="s">
        <v>138</v>
      </c>
      <c r="C2892" s="43" t="s">
        <v>4470</v>
      </c>
      <c r="D2892" s="43" t="s">
        <v>1520</v>
      </c>
      <c r="E2892" s="43" t="s">
        <v>1521</v>
      </c>
      <c r="F2892" s="43">
        <v>1</v>
      </c>
      <c r="G2892"/>
      <c r="H2892"/>
    </row>
    <row r="2893" spans="1:8" hidden="1" x14ac:dyDescent="0.25">
      <c r="A2893" s="43">
        <v>488</v>
      </c>
      <c r="B2893" s="43" t="s">
        <v>138</v>
      </c>
      <c r="C2893" s="43" t="s">
        <v>4470</v>
      </c>
      <c r="D2893" s="43" t="s">
        <v>1522</v>
      </c>
      <c r="E2893" s="43" t="s">
        <v>1523</v>
      </c>
      <c r="F2893" s="43">
        <v>0</v>
      </c>
      <c r="G2893" s="43" t="s">
        <v>4583</v>
      </c>
      <c r="H2893"/>
    </row>
    <row r="2894" spans="1:8" hidden="1" x14ac:dyDescent="0.25">
      <c r="A2894" s="43">
        <v>488</v>
      </c>
      <c r="B2894" s="43" t="s">
        <v>138</v>
      </c>
      <c r="C2894" s="43" t="s">
        <v>4470</v>
      </c>
      <c r="D2894" s="43" t="s">
        <v>1524</v>
      </c>
      <c r="E2894" s="43" t="s">
        <v>1525</v>
      </c>
      <c r="F2894" s="43">
        <v>0</v>
      </c>
      <c r="G2894" s="43" t="s">
        <v>4583</v>
      </c>
      <c r="H2894"/>
    </row>
    <row r="2895" spans="1:8" hidden="1" x14ac:dyDescent="0.25">
      <c r="A2895" s="43">
        <v>488</v>
      </c>
      <c r="B2895" s="43" t="s">
        <v>138</v>
      </c>
      <c r="C2895" s="43" t="s">
        <v>4470</v>
      </c>
      <c r="D2895" s="43" t="s">
        <v>1526</v>
      </c>
      <c r="E2895" s="43" t="s">
        <v>1527</v>
      </c>
      <c r="F2895" s="43">
        <v>0</v>
      </c>
      <c r="G2895" s="43" t="s">
        <v>4583</v>
      </c>
      <c r="H2895"/>
    </row>
    <row r="2896" spans="1:8" hidden="1" x14ac:dyDescent="0.25">
      <c r="A2896" s="43">
        <v>488</v>
      </c>
      <c r="B2896" s="43" t="s">
        <v>138</v>
      </c>
      <c r="C2896" s="43" t="s">
        <v>4470</v>
      </c>
      <c r="D2896" s="43" t="s">
        <v>1528</v>
      </c>
      <c r="E2896" s="43" t="s">
        <v>4471</v>
      </c>
      <c r="F2896" s="43">
        <v>0</v>
      </c>
      <c r="G2896" s="43" t="s">
        <v>4583</v>
      </c>
      <c r="H2896"/>
    </row>
    <row r="2897" spans="1:8" hidden="1" x14ac:dyDescent="0.25">
      <c r="A2897" s="43">
        <v>488</v>
      </c>
      <c r="B2897" s="43" t="s">
        <v>138</v>
      </c>
      <c r="C2897" s="43" t="s">
        <v>4470</v>
      </c>
      <c r="D2897" s="43" t="s">
        <v>1530</v>
      </c>
      <c r="E2897" s="43" t="s">
        <v>1430</v>
      </c>
      <c r="F2897" s="43">
        <v>0</v>
      </c>
      <c r="G2897" s="43" t="s">
        <v>4583</v>
      </c>
      <c r="H2897"/>
    </row>
    <row r="2898" spans="1:8" hidden="1" x14ac:dyDescent="0.25">
      <c r="A2898" s="43">
        <v>488</v>
      </c>
      <c r="B2898" s="43" t="s">
        <v>138</v>
      </c>
      <c r="C2898" s="43" t="s">
        <v>4470</v>
      </c>
      <c r="D2898" s="43" t="s">
        <v>1531</v>
      </c>
      <c r="E2898" s="43" t="s">
        <v>503</v>
      </c>
      <c r="F2898" s="43">
        <v>0</v>
      </c>
      <c r="G2898" s="43" t="s">
        <v>4583</v>
      </c>
      <c r="H2898"/>
    </row>
    <row r="2899" spans="1:8" hidden="1" x14ac:dyDescent="0.25">
      <c r="A2899" s="43">
        <v>488</v>
      </c>
      <c r="B2899" s="43" t="s">
        <v>138</v>
      </c>
      <c r="C2899" s="43" t="s">
        <v>4470</v>
      </c>
      <c r="D2899" s="43" t="s">
        <v>1532</v>
      </c>
      <c r="E2899" s="43" t="s">
        <v>1533</v>
      </c>
      <c r="F2899" s="43">
        <v>0</v>
      </c>
      <c r="G2899" s="43" t="s">
        <v>4583</v>
      </c>
      <c r="H2899"/>
    </row>
    <row r="2900" spans="1:8" hidden="1" x14ac:dyDescent="0.25">
      <c r="A2900" s="43">
        <v>488</v>
      </c>
      <c r="B2900" s="43" t="s">
        <v>138</v>
      </c>
      <c r="C2900" s="43" t="s">
        <v>4470</v>
      </c>
      <c r="D2900" s="43" t="s">
        <v>1534</v>
      </c>
      <c r="E2900" s="43" t="s">
        <v>1535</v>
      </c>
      <c r="F2900" s="43">
        <v>0</v>
      </c>
      <c r="G2900" s="43" t="s">
        <v>4583</v>
      </c>
      <c r="H2900"/>
    </row>
    <row r="2901" spans="1:8" hidden="1" x14ac:dyDescent="0.25">
      <c r="A2901" s="43">
        <v>488</v>
      </c>
      <c r="B2901" s="43" t="s">
        <v>138</v>
      </c>
      <c r="C2901" s="43" t="s">
        <v>877</v>
      </c>
      <c r="D2901" s="43" t="s">
        <v>878</v>
      </c>
      <c r="E2901" s="43" t="s">
        <v>312</v>
      </c>
      <c r="F2901" s="43">
        <v>0</v>
      </c>
      <c r="G2901" s="43" t="s">
        <v>4583</v>
      </c>
      <c r="H2901"/>
    </row>
    <row r="2902" spans="1:8" hidden="1" x14ac:dyDescent="0.25">
      <c r="A2902" s="43">
        <v>488</v>
      </c>
      <c r="B2902" s="43" t="s">
        <v>138</v>
      </c>
      <c r="C2902" s="43" t="s">
        <v>877</v>
      </c>
      <c r="D2902" s="43" t="s">
        <v>879</v>
      </c>
      <c r="E2902" s="43" t="s">
        <v>880</v>
      </c>
      <c r="F2902" s="43">
        <v>0</v>
      </c>
      <c r="G2902" s="43" t="s">
        <v>4583</v>
      </c>
      <c r="H2902"/>
    </row>
    <row r="2903" spans="1:8" hidden="1" x14ac:dyDescent="0.25">
      <c r="A2903" s="43">
        <v>488</v>
      </c>
      <c r="B2903" s="43" t="s">
        <v>138</v>
      </c>
      <c r="C2903" s="43" t="s">
        <v>877</v>
      </c>
      <c r="D2903" s="43" t="s">
        <v>881</v>
      </c>
      <c r="E2903" s="43" t="s">
        <v>370</v>
      </c>
      <c r="F2903" s="43">
        <v>0</v>
      </c>
      <c r="G2903" s="43" t="s">
        <v>4583</v>
      </c>
      <c r="H2903"/>
    </row>
    <row r="2904" spans="1:8" hidden="1" x14ac:dyDescent="0.25">
      <c r="A2904" s="43">
        <v>488</v>
      </c>
      <c r="B2904" s="43" t="s">
        <v>138</v>
      </c>
      <c r="C2904" s="43" t="s">
        <v>877</v>
      </c>
      <c r="D2904" s="43" t="s">
        <v>882</v>
      </c>
      <c r="E2904" s="43" t="s">
        <v>883</v>
      </c>
      <c r="F2904" s="43">
        <v>0</v>
      </c>
      <c r="G2904" s="43" t="s">
        <v>4583</v>
      </c>
      <c r="H2904"/>
    </row>
    <row r="2905" spans="1:8" hidden="1" x14ac:dyDescent="0.25">
      <c r="A2905" s="43">
        <v>488</v>
      </c>
      <c r="B2905" s="43" t="s">
        <v>138</v>
      </c>
      <c r="C2905" s="43" t="s">
        <v>877</v>
      </c>
      <c r="D2905" s="43" t="s">
        <v>884</v>
      </c>
      <c r="E2905" s="43" t="s">
        <v>4488</v>
      </c>
      <c r="F2905" s="43">
        <v>0</v>
      </c>
      <c r="G2905" s="43" t="s">
        <v>4583</v>
      </c>
      <c r="H2905"/>
    </row>
    <row r="2906" spans="1:8" hidden="1" x14ac:dyDescent="0.25">
      <c r="A2906" s="43">
        <v>488</v>
      </c>
      <c r="B2906" s="43" t="s">
        <v>138</v>
      </c>
      <c r="C2906" s="43" t="s">
        <v>877</v>
      </c>
      <c r="D2906" s="43" t="s">
        <v>886</v>
      </c>
      <c r="E2906" s="43" t="s">
        <v>4489</v>
      </c>
      <c r="F2906" s="43">
        <v>1</v>
      </c>
      <c r="G2906"/>
      <c r="H2906"/>
    </row>
    <row r="2907" spans="1:8" hidden="1" x14ac:dyDescent="0.25">
      <c r="A2907" s="43">
        <v>488</v>
      </c>
      <c r="B2907" s="43" t="s">
        <v>138</v>
      </c>
      <c r="C2907" s="43" t="s">
        <v>877</v>
      </c>
      <c r="D2907" s="43" t="s">
        <v>888</v>
      </c>
      <c r="E2907" s="43" t="s">
        <v>889</v>
      </c>
      <c r="F2907" s="43">
        <v>1</v>
      </c>
      <c r="G2907"/>
      <c r="H2907"/>
    </row>
    <row r="2908" spans="1:8" hidden="1" x14ac:dyDescent="0.25">
      <c r="A2908" s="43">
        <v>488</v>
      </c>
      <c r="B2908" s="43" t="s">
        <v>138</v>
      </c>
      <c r="C2908" s="43" t="s">
        <v>877</v>
      </c>
      <c r="D2908" s="43" t="s">
        <v>890</v>
      </c>
      <c r="E2908" s="43" t="s">
        <v>295</v>
      </c>
      <c r="F2908" s="43">
        <v>0</v>
      </c>
      <c r="G2908" s="43" t="s">
        <v>4583</v>
      </c>
      <c r="H2908"/>
    </row>
    <row r="2909" spans="1:8" hidden="1" x14ac:dyDescent="0.25">
      <c r="A2909" s="43">
        <v>488</v>
      </c>
      <c r="B2909" s="43" t="s">
        <v>138</v>
      </c>
      <c r="C2909" s="43" t="s">
        <v>1390</v>
      </c>
      <c r="D2909" s="43" t="s">
        <v>1391</v>
      </c>
      <c r="E2909" s="43" t="s">
        <v>583</v>
      </c>
      <c r="F2909" s="43">
        <v>1</v>
      </c>
      <c r="G2909"/>
      <c r="H2909"/>
    </row>
    <row r="2910" spans="1:8" hidden="1" x14ac:dyDescent="0.25">
      <c r="A2910" s="43">
        <v>488</v>
      </c>
      <c r="B2910" s="43" t="s">
        <v>138</v>
      </c>
      <c r="C2910" s="43" t="s">
        <v>1390</v>
      </c>
      <c r="D2910" s="43" t="s">
        <v>1392</v>
      </c>
      <c r="E2910" s="43" t="s">
        <v>306</v>
      </c>
      <c r="F2910" s="43">
        <v>0</v>
      </c>
      <c r="G2910" s="43" t="s">
        <v>4583</v>
      </c>
      <c r="H2910"/>
    </row>
    <row r="2911" spans="1:8" hidden="1" x14ac:dyDescent="0.25">
      <c r="A2911" s="43">
        <v>488</v>
      </c>
      <c r="B2911" s="43" t="s">
        <v>138</v>
      </c>
      <c r="C2911" s="43" t="s">
        <v>1390</v>
      </c>
      <c r="D2911" s="43" t="s">
        <v>1393</v>
      </c>
      <c r="E2911" s="43" t="s">
        <v>1394</v>
      </c>
      <c r="F2911" s="43">
        <v>0</v>
      </c>
      <c r="G2911" s="43" t="s">
        <v>4583</v>
      </c>
      <c r="H2911"/>
    </row>
    <row r="2912" spans="1:8" hidden="1" x14ac:dyDescent="0.25">
      <c r="A2912" s="43">
        <v>488</v>
      </c>
      <c r="B2912" s="43" t="s">
        <v>138</v>
      </c>
      <c r="C2912" s="43" t="s">
        <v>1390</v>
      </c>
      <c r="D2912" s="43" t="s">
        <v>1395</v>
      </c>
      <c r="E2912" s="43" t="s">
        <v>273</v>
      </c>
      <c r="F2912" s="43">
        <v>0</v>
      </c>
      <c r="G2912" s="43" t="s">
        <v>4583</v>
      </c>
      <c r="H2912"/>
    </row>
    <row r="2913" spans="1:8" hidden="1" x14ac:dyDescent="0.25">
      <c r="A2913" s="43">
        <v>488</v>
      </c>
      <c r="B2913" s="43" t="s">
        <v>138</v>
      </c>
      <c r="C2913" s="43" t="s">
        <v>1390</v>
      </c>
      <c r="D2913" s="43" t="s">
        <v>1396</v>
      </c>
      <c r="E2913" s="43" t="s">
        <v>1397</v>
      </c>
      <c r="F2913" s="43">
        <v>0</v>
      </c>
      <c r="G2913" s="43" t="s">
        <v>4583</v>
      </c>
      <c r="H2913"/>
    </row>
    <row r="2914" spans="1:8" hidden="1" x14ac:dyDescent="0.25">
      <c r="A2914" s="43">
        <v>488</v>
      </c>
      <c r="B2914" s="43" t="s">
        <v>138</v>
      </c>
      <c r="C2914" s="43" t="s">
        <v>1390</v>
      </c>
      <c r="D2914" s="43" t="s">
        <v>1398</v>
      </c>
      <c r="E2914" s="43" t="s">
        <v>493</v>
      </c>
      <c r="F2914" s="43">
        <v>0</v>
      </c>
      <c r="G2914" s="43" t="s">
        <v>4583</v>
      </c>
      <c r="H2914"/>
    </row>
    <row r="2915" spans="1:8" hidden="1" x14ac:dyDescent="0.25">
      <c r="A2915" s="43">
        <v>488</v>
      </c>
      <c r="B2915" s="43" t="s">
        <v>138</v>
      </c>
      <c r="C2915" s="43" t="s">
        <v>1390</v>
      </c>
      <c r="D2915" s="43" t="s">
        <v>1400</v>
      </c>
      <c r="E2915" s="43" t="s">
        <v>1401</v>
      </c>
      <c r="F2915" s="43">
        <v>0</v>
      </c>
      <c r="G2915" s="43" t="s">
        <v>4583</v>
      </c>
      <c r="H2915"/>
    </row>
    <row r="2916" spans="1:8" hidden="1" x14ac:dyDescent="0.25">
      <c r="A2916" s="43">
        <v>488</v>
      </c>
      <c r="B2916" s="43" t="s">
        <v>138</v>
      </c>
      <c r="C2916" s="43" t="s">
        <v>1390</v>
      </c>
      <c r="D2916" s="43" t="s">
        <v>1404</v>
      </c>
      <c r="E2916" s="43" t="s">
        <v>626</v>
      </c>
      <c r="F2916" s="43">
        <v>0</v>
      </c>
      <c r="G2916" s="43" t="s">
        <v>4583</v>
      </c>
      <c r="H2916"/>
    </row>
    <row r="2917" spans="1:8" hidden="1" x14ac:dyDescent="0.25">
      <c r="A2917" s="43">
        <v>488</v>
      </c>
      <c r="B2917" s="43" t="s">
        <v>138</v>
      </c>
      <c r="C2917" s="43" t="s">
        <v>1390</v>
      </c>
      <c r="D2917" s="43" t="s">
        <v>1407</v>
      </c>
      <c r="E2917" s="43" t="s">
        <v>627</v>
      </c>
      <c r="F2917" s="43">
        <v>1</v>
      </c>
      <c r="G2917"/>
      <c r="H2917"/>
    </row>
    <row r="2918" spans="1:8" hidden="1" x14ac:dyDescent="0.25">
      <c r="A2918" s="43">
        <v>488</v>
      </c>
      <c r="B2918" s="43" t="s">
        <v>138</v>
      </c>
      <c r="C2918" s="43" t="s">
        <v>1390</v>
      </c>
      <c r="D2918" s="43" t="s">
        <v>1410</v>
      </c>
      <c r="E2918" s="43" t="s">
        <v>628</v>
      </c>
      <c r="F2918" s="43">
        <v>1</v>
      </c>
      <c r="G2918"/>
      <c r="H2918"/>
    </row>
    <row r="2919" spans="1:8" hidden="1" x14ac:dyDescent="0.25">
      <c r="A2919" s="43">
        <v>488</v>
      </c>
      <c r="B2919" s="43" t="s">
        <v>138</v>
      </c>
      <c r="C2919" s="43" t="s">
        <v>1390</v>
      </c>
      <c r="D2919" s="43" t="s">
        <v>1411</v>
      </c>
      <c r="E2919" s="43" t="s">
        <v>629</v>
      </c>
      <c r="F2919" s="43">
        <v>0</v>
      </c>
      <c r="G2919" s="43" t="s">
        <v>4583</v>
      </c>
      <c r="H2919"/>
    </row>
    <row r="2920" spans="1:8" hidden="1" x14ac:dyDescent="0.25">
      <c r="A2920" s="43">
        <v>488</v>
      </c>
      <c r="B2920" s="43" t="s">
        <v>138</v>
      </c>
      <c r="C2920" s="43" t="s">
        <v>1390</v>
      </c>
      <c r="D2920" s="43" t="s">
        <v>1412</v>
      </c>
      <c r="E2920" s="43" t="s">
        <v>630</v>
      </c>
      <c r="F2920" s="43">
        <v>0</v>
      </c>
      <c r="G2920" s="43" t="s">
        <v>4583</v>
      </c>
      <c r="H2920"/>
    </row>
    <row r="2921" spans="1:8" hidden="1" x14ac:dyDescent="0.25">
      <c r="A2921" s="43">
        <v>488</v>
      </c>
      <c r="B2921" s="43" t="s">
        <v>138</v>
      </c>
      <c r="C2921" s="43" t="s">
        <v>1390</v>
      </c>
      <c r="D2921" s="43" t="s">
        <v>1413</v>
      </c>
      <c r="E2921" s="43" t="s">
        <v>1414</v>
      </c>
      <c r="F2921" s="43">
        <v>0</v>
      </c>
      <c r="G2921" s="43" t="s">
        <v>4583</v>
      </c>
      <c r="H2921"/>
    </row>
    <row r="2922" spans="1:8" hidden="1" x14ac:dyDescent="0.25">
      <c r="A2922" s="43">
        <v>488</v>
      </c>
      <c r="B2922" s="43" t="s">
        <v>138</v>
      </c>
      <c r="C2922" s="43" t="s">
        <v>1390</v>
      </c>
      <c r="D2922" s="43" t="s">
        <v>1415</v>
      </c>
      <c r="E2922" s="43" t="s">
        <v>611</v>
      </c>
      <c r="F2922" s="43">
        <v>0</v>
      </c>
      <c r="G2922" s="43" t="s">
        <v>4583</v>
      </c>
      <c r="H2922"/>
    </row>
    <row r="2923" spans="1:8" hidden="1" x14ac:dyDescent="0.25">
      <c r="A2923" s="43">
        <v>488</v>
      </c>
      <c r="B2923" s="43" t="s">
        <v>138</v>
      </c>
      <c r="C2923" s="43" t="s">
        <v>1390</v>
      </c>
      <c r="D2923" s="43" t="s">
        <v>1416</v>
      </c>
      <c r="E2923" s="43" t="s">
        <v>612</v>
      </c>
      <c r="F2923" s="43">
        <v>0</v>
      </c>
      <c r="G2923" s="43" t="s">
        <v>4583</v>
      </c>
      <c r="H2923"/>
    </row>
    <row r="2924" spans="1:8" hidden="1" x14ac:dyDescent="0.25">
      <c r="A2924" s="43">
        <v>488</v>
      </c>
      <c r="B2924" s="43" t="s">
        <v>138</v>
      </c>
      <c r="C2924" s="43" t="s">
        <v>1390</v>
      </c>
      <c r="D2924" s="43" t="s">
        <v>1417</v>
      </c>
      <c r="E2924" s="43" t="s">
        <v>613</v>
      </c>
      <c r="F2924" s="43">
        <v>0</v>
      </c>
      <c r="G2924" s="43" t="s">
        <v>4583</v>
      </c>
      <c r="H2924"/>
    </row>
    <row r="2925" spans="1:8" hidden="1" x14ac:dyDescent="0.25">
      <c r="A2925" s="43">
        <v>488</v>
      </c>
      <c r="B2925" s="43" t="s">
        <v>138</v>
      </c>
      <c r="C2925" s="43" t="s">
        <v>1390</v>
      </c>
      <c r="D2925" s="43" t="s">
        <v>1418</v>
      </c>
      <c r="E2925" s="43" t="s">
        <v>1419</v>
      </c>
      <c r="F2925" s="43">
        <v>1</v>
      </c>
      <c r="G2925"/>
      <c r="H2925"/>
    </row>
    <row r="2926" spans="1:8" hidden="1" x14ac:dyDescent="0.25">
      <c r="A2926" s="43">
        <v>488</v>
      </c>
      <c r="B2926" s="43" t="s">
        <v>138</v>
      </c>
      <c r="C2926" s="43" t="s">
        <v>1390</v>
      </c>
      <c r="D2926" s="43" t="s">
        <v>1420</v>
      </c>
      <c r="E2926" s="43" t="s">
        <v>621</v>
      </c>
      <c r="F2926" s="43">
        <v>1</v>
      </c>
      <c r="G2926"/>
      <c r="H2926"/>
    </row>
    <row r="2927" spans="1:8" hidden="1" x14ac:dyDescent="0.25">
      <c r="A2927" s="43">
        <v>488</v>
      </c>
      <c r="B2927" s="43" t="s">
        <v>138</v>
      </c>
      <c r="C2927" s="43" t="s">
        <v>1390</v>
      </c>
      <c r="D2927" s="43" t="s">
        <v>1421</v>
      </c>
      <c r="E2927" s="43" t="s">
        <v>1422</v>
      </c>
      <c r="F2927" s="43">
        <v>1</v>
      </c>
      <c r="G2927"/>
      <c r="H2927"/>
    </row>
    <row r="2928" spans="1:8" hidden="1" x14ac:dyDescent="0.25">
      <c r="A2928" s="43">
        <v>488</v>
      </c>
      <c r="B2928" s="43" t="s">
        <v>138</v>
      </c>
      <c r="C2928" s="43" t="s">
        <v>1390</v>
      </c>
      <c r="D2928" s="43" t="s">
        <v>1423</v>
      </c>
      <c r="E2928" s="43" t="s">
        <v>614</v>
      </c>
      <c r="F2928" s="43">
        <v>0</v>
      </c>
      <c r="G2928" s="43" t="s">
        <v>4583</v>
      </c>
      <c r="H2928"/>
    </row>
    <row r="2929" spans="1:8" hidden="1" x14ac:dyDescent="0.25">
      <c r="A2929" s="43">
        <v>488</v>
      </c>
      <c r="B2929" s="43" t="s">
        <v>138</v>
      </c>
      <c r="C2929" s="43" t="s">
        <v>1390</v>
      </c>
      <c r="D2929" s="43" t="s">
        <v>1424</v>
      </c>
      <c r="E2929" s="43" t="s">
        <v>615</v>
      </c>
      <c r="F2929" s="43">
        <v>0</v>
      </c>
      <c r="G2929" s="43" t="s">
        <v>4583</v>
      </c>
      <c r="H2929"/>
    </row>
    <row r="2930" spans="1:8" hidden="1" x14ac:dyDescent="0.25">
      <c r="A2930" s="43">
        <v>488</v>
      </c>
      <c r="B2930" s="43" t="s">
        <v>138</v>
      </c>
      <c r="C2930" s="43" t="s">
        <v>1390</v>
      </c>
      <c r="D2930" s="43" t="s">
        <v>1425</v>
      </c>
      <c r="E2930" s="43" t="s">
        <v>616</v>
      </c>
      <c r="F2930" s="43">
        <v>0</v>
      </c>
      <c r="G2930" s="43" t="s">
        <v>4583</v>
      </c>
      <c r="H2930"/>
    </row>
    <row r="2931" spans="1:8" hidden="1" x14ac:dyDescent="0.25">
      <c r="A2931" s="43">
        <v>488</v>
      </c>
      <c r="B2931" s="43" t="s">
        <v>138</v>
      </c>
      <c r="C2931" s="43" t="s">
        <v>1390</v>
      </c>
      <c r="D2931" s="43" t="s">
        <v>1426</v>
      </c>
      <c r="E2931" s="43" t="s">
        <v>617</v>
      </c>
      <c r="F2931" s="43">
        <v>0</v>
      </c>
      <c r="G2931" s="43" t="s">
        <v>4583</v>
      </c>
      <c r="H2931"/>
    </row>
    <row r="2932" spans="1:8" hidden="1" x14ac:dyDescent="0.25">
      <c r="A2932" s="43">
        <v>488</v>
      </c>
      <c r="B2932" s="43" t="s">
        <v>138</v>
      </c>
      <c r="C2932" s="43" t="s">
        <v>1390</v>
      </c>
      <c r="D2932" s="43" t="s">
        <v>1427</v>
      </c>
      <c r="E2932" s="43" t="s">
        <v>1428</v>
      </c>
      <c r="F2932" s="43">
        <v>0</v>
      </c>
      <c r="G2932" s="43" t="s">
        <v>4583</v>
      </c>
      <c r="H2932"/>
    </row>
    <row r="2933" spans="1:8" hidden="1" x14ac:dyDescent="0.25">
      <c r="A2933" s="43">
        <v>488</v>
      </c>
      <c r="B2933" s="43" t="s">
        <v>138</v>
      </c>
      <c r="C2933" s="43" t="s">
        <v>1390</v>
      </c>
      <c r="D2933" s="43" t="s">
        <v>1429</v>
      </c>
      <c r="E2933" s="43" t="s">
        <v>1430</v>
      </c>
      <c r="F2933" s="43">
        <v>0</v>
      </c>
      <c r="G2933" s="43" t="s">
        <v>4583</v>
      </c>
      <c r="H2933"/>
    </row>
    <row r="2934" spans="1:8" hidden="1" x14ac:dyDescent="0.25">
      <c r="A2934" s="43">
        <v>488</v>
      </c>
      <c r="B2934" s="43" t="s">
        <v>138</v>
      </c>
      <c r="C2934" s="43" t="s">
        <v>1390</v>
      </c>
      <c r="D2934" s="43" t="s">
        <v>1431</v>
      </c>
      <c r="E2934" s="43" t="s">
        <v>4469</v>
      </c>
      <c r="F2934" s="43">
        <v>1</v>
      </c>
      <c r="G2934"/>
      <c r="H2934"/>
    </row>
    <row r="2935" spans="1:8" hidden="1" x14ac:dyDescent="0.25">
      <c r="A2935" s="43">
        <v>488</v>
      </c>
      <c r="B2935" s="43" t="s">
        <v>138</v>
      </c>
      <c r="C2935" s="43" t="s">
        <v>1390</v>
      </c>
      <c r="D2935" s="43" t="s">
        <v>1433</v>
      </c>
      <c r="E2935" s="43" t="s">
        <v>623</v>
      </c>
      <c r="F2935" s="43">
        <v>0</v>
      </c>
      <c r="G2935" s="43" t="s">
        <v>4583</v>
      </c>
      <c r="H2935"/>
    </row>
    <row r="2936" spans="1:8" hidden="1" x14ac:dyDescent="0.25">
      <c r="A2936" s="43">
        <v>488</v>
      </c>
      <c r="B2936" s="43" t="s">
        <v>138</v>
      </c>
      <c r="C2936" s="43" t="s">
        <v>1390</v>
      </c>
      <c r="D2936" s="43" t="s">
        <v>1434</v>
      </c>
      <c r="E2936" s="43" t="s">
        <v>624</v>
      </c>
      <c r="F2936" s="43">
        <v>0</v>
      </c>
      <c r="G2936" s="43" t="s">
        <v>4583</v>
      </c>
      <c r="H2936"/>
    </row>
    <row r="2937" spans="1:8" hidden="1" x14ac:dyDescent="0.25">
      <c r="A2937" s="43">
        <v>488</v>
      </c>
      <c r="B2937" s="43" t="s">
        <v>138</v>
      </c>
      <c r="C2937" s="43" t="s">
        <v>1390</v>
      </c>
      <c r="D2937" s="43" t="s">
        <v>1435</v>
      </c>
      <c r="E2937" s="43" t="s">
        <v>625</v>
      </c>
      <c r="F2937" s="43">
        <v>1</v>
      </c>
      <c r="G2937"/>
      <c r="H2937"/>
    </row>
    <row r="2938" spans="1:8" hidden="1" x14ac:dyDescent="0.25">
      <c r="A2938" s="43">
        <v>488</v>
      </c>
      <c r="B2938" s="43" t="s">
        <v>138</v>
      </c>
      <c r="C2938" s="43" t="s">
        <v>450</v>
      </c>
      <c r="D2938" s="43" t="s">
        <v>451</v>
      </c>
      <c r="E2938" s="43" t="s">
        <v>273</v>
      </c>
      <c r="F2938" s="43">
        <v>1</v>
      </c>
      <c r="G2938"/>
      <c r="H2938"/>
    </row>
    <row r="2939" spans="1:8" hidden="1" x14ac:dyDescent="0.25">
      <c r="A2939" s="43">
        <v>488</v>
      </c>
      <c r="B2939" s="43" t="s">
        <v>138</v>
      </c>
      <c r="C2939" s="43" t="s">
        <v>450</v>
      </c>
      <c r="D2939" s="43" t="s">
        <v>452</v>
      </c>
      <c r="E2939" s="43" t="s">
        <v>453</v>
      </c>
      <c r="F2939" s="43">
        <v>1</v>
      </c>
      <c r="G2939"/>
      <c r="H2939"/>
    </row>
    <row r="2940" spans="1:8" hidden="1" x14ac:dyDescent="0.25">
      <c r="A2940" s="43">
        <v>488</v>
      </c>
      <c r="B2940" s="43" t="s">
        <v>138</v>
      </c>
      <c r="C2940" s="43" t="s">
        <v>450</v>
      </c>
      <c r="D2940" s="43" t="s">
        <v>454</v>
      </c>
      <c r="E2940" s="43" t="s">
        <v>283</v>
      </c>
      <c r="F2940" s="43">
        <v>0</v>
      </c>
      <c r="G2940" s="43" t="s">
        <v>4583</v>
      </c>
      <c r="H2940"/>
    </row>
    <row r="2941" spans="1:8" hidden="1" x14ac:dyDescent="0.25">
      <c r="A2941" s="43">
        <v>488</v>
      </c>
      <c r="B2941" s="43" t="s">
        <v>138</v>
      </c>
      <c r="C2941" s="43" t="s">
        <v>450</v>
      </c>
      <c r="D2941" s="43" t="s">
        <v>455</v>
      </c>
      <c r="E2941" s="43" t="s">
        <v>456</v>
      </c>
      <c r="F2941" s="43">
        <v>0</v>
      </c>
      <c r="G2941" s="43" t="s">
        <v>4583</v>
      </c>
      <c r="H2941"/>
    </row>
    <row r="2942" spans="1:8" hidden="1" x14ac:dyDescent="0.25">
      <c r="A2942" s="43">
        <v>488</v>
      </c>
      <c r="B2942" s="43" t="s">
        <v>138</v>
      </c>
      <c r="C2942" s="43" t="s">
        <v>450</v>
      </c>
      <c r="D2942" s="43" t="s">
        <v>457</v>
      </c>
      <c r="E2942" s="43" t="s">
        <v>295</v>
      </c>
      <c r="F2942" s="43">
        <v>0</v>
      </c>
      <c r="G2942" s="43" t="s">
        <v>4583</v>
      </c>
      <c r="H2942"/>
    </row>
    <row r="2943" spans="1:8" hidden="1" x14ac:dyDescent="0.25">
      <c r="A2943" s="43">
        <v>488</v>
      </c>
      <c r="B2943" s="43" t="s">
        <v>138</v>
      </c>
      <c r="C2943" s="43" t="s">
        <v>450</v>
      </c>
      <c r="D2943" s="43" t="s">
        <v>458</v>
      </c>
      <c r="E2943" s="43" t="s">
        <v>459</v>
      </c>
      <c r="F2943" s="43">
        <v>0</v>
      </c>
      <c r="G2943" s="43" t="s">
        <v>4583</v>
      </c>
      <c r="H2943"/>
    </row>
    <row r="2944" spans="1:8" hidden="1" x14ac:dyDescent="0.25">
      <c r="A2944" s="43">
        <v>488</v>
      </c>
      <c r="B2944" s="43" t="s">
        <v>138</v>
      </c>
      <c r="C2944" s="43" t="s">
        <v>450</v>
      </c>
      <c r="D2944" s="43" t="s">
        <v>460</v>
      </c>
      <c r="E2944" s="43" t="s">
        <v>461</v>
      </c>
      <c r="F2944" s="43">
        <v>0</v>
      </c>
      <c r="G2944" s="43" t="s">
        <v>4583</v>
      </c>
      <c r="H2944"/>
    </row>
    <row r="2945" spans="1:8" hidden="1" x14ac:dyDescent="0.25">
      <c r="A2945" s="43">
        <v>488</v>
      </c>
      <c r="B2945" s="43" t="s">
        <v>138</v>
      </c>
      <c r="C2945" s="43" t="s">
        <v>450</v>
      </c>
      <c r="D2945" s="43" t="s">
        <v>462</v>
      </c>
      <c r="E2945" s="43" t="s">
        <v>372</v>
      </c>
      <c r="F2945" s="43">
        <v>0</v>
      </c>
      <c r="G2945" s="43" t="s">
        <v>4583</v>
      </c>
      <c r="H2945"/>
    </row>
    <row r="2946" spans="1:8" hidden="1" x14ac:dyDescent="0.25">
      <c r="A2946" s="43">
        <v>488</v>
      </c>
      <c r="B2946" s="43" t="s">
        <v>138</v>
      </c>
      <c r="C2946" s="43" t="s">
        <v>859</v>
      </c>
      <c r="D2946" s="43" t="s">
        <v>860</v>
      </c>
      <c r="E2946" s="43" t="s">
        <v>273</v>
      </c>
      <c r="F2946" s="43">
        <v>0</v>
      </c>
      <c r="G2946" s="43" t="s">
        <v>4583</v>
      </c>
      <c r="H2946"/>
    </row>
    <row r="2947" spans="1:8" hidden="1" x14ac:dyDescent="0.25">
      <c r="A2947" s="43">
        <v>488</v>
      </c>
      <c r="B2947" s="43" t="s">
        <v>138</v>
      </c>
      <c r="C2947" s="43" t="s">
        <v>859</v>
      </c>
      <c r="D2947" s="43" t="s">
        <v>861</v>
      </c>
      <c r="E2947" s="43" t="s">
        <v>275</v>
      </c>
      <c r="F2947" s="43">
        <v>0</v>
      </c>
      <c r="G2947" s="43" t="s">
        <v>4583</v>
      </c>
      <c r="H2947"/>
    </row>
    <row r="2948" spans="1:8" hidden="1" x14ac:dyDescent="0.25">
      <c r="A2948" s="43">
        <v>488</v>
      </c>
      <c r="B2948" s="43" t="s">
        <v>138</v>
      </c>
      <c r="C2948" s="43" t="s">
        <v>859</v>
      </c>
      <c r="D2948" s="43" t="s">
        <v>862</v>
      </c>
      <c r="E2948" s="43" t="s">
        <v>277</v>
      </c>
      <c r="F2948" s="43">
        <v>1</v>
      </c>
      <c r="G2948"/>
      <c r="H2948"/>
    </row>
    <row r="2949" spans="1:8" hidden="1" x14ac:dyDescent="0.25">
      <c r="A2949" s="43">
        <v>488</v>
      </c>
      <c r="B2949" s="43" t="s">
        <v>138</v>
      </c>
      <c r="C2949" s="43" t="s">
        <v>859</v>
      </c>
      <c r="D2949" s="43" t="s">
        <v>863</v>
      </c>
      <c r="E2949" s="43" t="s">
        <v>283</v>
      </c>
      <c r="F2949" s="43">
        <v>1</v>
      </c>
      <c r="G2949"/>
      <c r="H2949"/>
    </row>
    <row r="2950" spans="1:8" hidden="1" x14ac:dyDescent="0.25">
      <c r="A2950" s="43">
        <v>488</v>
      </c>
      <c r="B2950" s="43" t="s">
        <v>138</v>
      </c>
      <c r="C2950" s="43" t="s">
        <v>859</v>
      </c>
      <c r="D2950" s="43" t="s">
        <v>864</v>
      </c>
      <c r="E2950" s="43" t="s">
        <v>289</v>
      </c>
      <c r="F2950" s="43">
        <v>1</v>
      </c>
      <c r="G2950"/>
      <c r="H2950"/>
    </row>
    <row r="2951" spans="1:8" hidden="1" x14ac:dyDescent="0.25">
      <c r="A2951" s="43">
        <v>488</v>
      </c>
      <c r="B2951" s="43" t="s">
        <v>138</v>
      </c>
      <c r="C2951" s="43" t="s">
        <v>859</v>
      </c>
      <c r="D2951" s="43" t="s">
        <v>865</v>
      </c>
      <c r="E2951" s="43" t="s">
        <v>866</v>
      </c>
      <c r="F2951" s="43">
        <v>0</v>
      </c>
      <c r="G2951" s="43" t="s">
        <v>4583</v>
      </c>
      <c r="H2951"/>
    </row>
    <row r="2952" spans="1:8" hidden="1" x14ac:dyDescent="0.25">
      <c r="A2952" s="43">
        <v>488</v>
      </c>
      <c r="B2952" s="43" t="s">
        <v>138</v>
      </c>
      <c r="C2952" s="43" t="s">
        <v>859</v>
      </c>
      <c r="D2952" s="43" t="s">
        <v>867</v>
      </c>
      <c r="E2952" s="43" t="s">
        <v>3016</v>
      </c>
      <c r="F2952" s="43">
        <v>1</v>
      </c>
      <c r="G2952"/>
      <c r="H2952"/>
    </row>
    <row r="2953" spans="1:8" hidden="1" x14ac:dyDescent="0.25">
      <c r="A2953" s="43">
        <v>488</v>
      </c>
      <c r="B2953" s="43" t="s">
        <v>138</v>
      </c>
      <c r="C2953" s="43" t="s">
        <v>859</v>
      </c>
      <c r="D2953" s="43" t="s">
        <v>869</v>
      </c>
      <c r="E2953" s="43" t="s">
        <v>870</v>
      </c>
      <c r="F2953" s="43">
        <v>1</v>
      </c>
      <c r="G2953"/>
      <c r="H2953"/>
    </row>
    <row r="2954" spans="1:8" hidden="1" x14ac:dyDescent="0.25">
      <c r="A2954" s="43">
        <v>488</v>
      </c>
      <c r="B2954" s="43" t="s">
        <v>138</v>
      </c>
      <c r="C2954" s="43" t="s">
        <v>859</v>
      </c>
      <c r="D2954" s="43" t="s">
        <v>871</v>
      </c>
      <c r="E2954" s="43" t="s">
        <v>295</v>
      </c>
      <c r="F2954" s="43">
        <v>0</v>
      </c>
      <c r="G2954" s="43" t="s">
        <v>4583</v>
      </c>
      <c r="H2954"/>
    </row>
    <row r="2955" spans="1:8" hidden="1" x14ac:dyDescent="0.25">
      <c r="A2955" s="43">
        <v>488</v>
      </c>
      <c r="B2955" s="43" t="s">
        <v>138</v>
      </c>
      <c r="C2955" s="43" t="s">
        <v>859</v>
      </c>
      <c r="D2955" s="43" t="s">
        <v>872</v>
      </c>
      <c r="E2955" s="43" t="s">
        <v>873</v>
      </c>
      <c r="F2955" s="43">
        <v>0</v>
      </c>
      <c r="G2955" s="43" t="s">
        <v>4583</v>
      </c>
      <c r="H2955"/>
    </row>
    <row r="2956" spans="1:8" hidden="1" x14ac:dyDescent="0.25">
      <c r="A2956" s="43">
        <v>488</v>
      </c>
      <c r="B2956" s="43" t="s">
        <v>138</v>
      </c>
      <c r="C2956" s="43" t="s">
        <v>859</v>
      </c>
      <c r="D2956" s="43" t="s">
        <v>874</v>
      </c>
      <c r="E2956" s="43" t="s">
        <v>875</v>
      </c>
      <c r="F2956" s="43">
        <v>0</v>
      </c>
      <c r="G2956" s="43" t="s">
        <v>4583</v>
      </c>
      <c r="H2956"/>
    </row>
    <row r="2957" spans="1:8" hidden="1" x14ac:dyDescent="0.25">
      <c r="A2957" s="43">
        <v>488</v>
      </c>
      <c r="B2957" s="43" t="s">
        <v>138</v>
      </c>
      <c r="C2957" s="43" t="s">
        <v>859</v>
      </c>
      <c r="D2957" s="43" t="s">
        <v>876</v>
      </c>
      <c r="E2957" s="43" t="s">
        <v>372</v>
      </c>
      <c r="F2957" s="43">
        <v>0</v>
      </c>
      <c r="G2957" s="43" t="s">
        <v>4583</v>
      </c>
      <c r="H2957"/>
    </row>
    <row r="2958" spans="1:8" hidden="1" x14ac:dyDescent="0.25">
      <c r="A2958" s="43">
        <v>489</v>
      </c>
      <c r="B2958" s="43" t="s">
        <v>139</v>
      </c>
      <c r="C2958" s="43" t="s">
        <v>1457</v>
      </c>
      <c r="D2958" s="43" t="s">
        <v>1458</v>
      </c>
      <c r="E2958" s="43" t="s">
        <v>273</v>
      </c>
      <c r="F2958" s="89">
        <v>1</v>
      </c>
      <c r="H2958"/>
    </row>
    <row r="2959" spans="1:8" hidden="1" x14ac:dyDescent="0.25">
      <c r="A2959" s="43">
        <v>489</v>
      </c>
      <c r="B2959" s="43" t="s">
        <v>139</v>
      </c>
      <c r="C2959" s="43" t="s">
        <v>1457</v>
      </c>
      <c r="D2959" s="43" t="s">
        <v>1459</v>
      </c>
      <c r="E2959" s="43" t="s">
        <v>640</v>
      </c>
      <c r="F2959" s="43">
        <v>1</v>
      </c>
      <c r="G2959"/>
      <c r="H2959"/>
    </row>
    <row r="2960" spans="1:8" hidden="1" x14ac:dyDescent="0.25">
      <c r="A2960" s="43">
        <v>489</v>
      </c>
      <c r="B2960" s="43" t="s">
        <v>139</v>
      </c>
      <c r="C2960" s="43" t="s">
        <v>1457</v>
      </c>
      <c r="D2960" s="43" t="s">
        <v>1460</v>
      </c>
      <c r="E2960" s="43" t="s">
        <v>929</v>
      </c>
      <c r="F2960" s="43">
        <v>0</v>
      </c>
      <c r="G2960" s="43" t="s">
        <v>4583</v>
      </c>
      <c r="H2960"/>
    </row>
    <row r="2961" spans="1:8" hidden="1" x14ac:dyDescent="0.25">
      <c r="A2961" s="43">
        <v>489</v>
      </c>
      <c r="B2961" s="43" t="s">
        <v>139</v>
      </c>
      <c r="C2961" s="43" t="s">
        <v>1457</v>
      </c>
      <c r="D2961" s="43" t="s">
        <v>1461</v>
      </c>
      <c r="E2961" s="43" t="s">
        <v>1462</v>
      </c>
      <c r="F2961" s="43">
        <v>0</v>
      </c>
      <c r="G2961" s="43" t="s">
        <v>4583</v>
      </c>
      <c r="H2961"/>
    </row>
    <row r="2962" spans="1:8" hidden="1" x14ac:dyDescent="0.25">
      <c r="A2962" s="43">
        <v>489</v>
      </c>
      <c r="B2962" s="43" t="s">
        <v>139</v>
      </c>
      <c r="C2962" s="43" t="s">
        <v>1457</v>
      </c>
      <c r="D2962" s="43" t="s">
        <v>1463</v>
      </c>
      <c r="E2962" s="43" t="s">
        <v>1464</v>
      </c>
      <c r="F2962" s="43">
        <v>0</v>
      </c>
      <c r="G2962" s="43" t="s">
        <v>4583</v>
      </c>
      <c r="H2962"/>
    </row>
    <row r="2963" spans="1:8" hidden="1" x14ac:dyDescent="0.25">
      <c r="A2963" s="43">
        <v>489</v>
      </c>
      <c r="B2963" s="43" t="s">
        <v>139</v>
      </c>
      <c r="C2963" s="43" t="s">
        <v>1457</v>
      </c>
      <c r="D2963" s="43" t="s">
        <v>1465</v>
      </c>
      <c r="E2963" s="43" t="s">
        <v>347</v>
      </c>
      <c r="F2963" s="43">
        <v>0</v>
      </c>
      <c r="G2963" s="43" t="s">
        <v>4583</v>
      </c>
      <c r="H2963"/>
    </row>
    <row r="2964" spans="1:8" hidden="1" x14ac:dyDescent="0.25">
      <c r="A2964" s="43">
        <v>489</v>
      </c>
      <c r="B2964" s="43" t="s">
        <v>139</v>
      </c>
      <c r="C2964" s="43" t="s">
        <v>1457</v>
      </c>
      <c r="D2964" s="43" t="s">
        <v>1466</v>
      </c>
      <c r="E2964" s="43" t="s">
        <v>1467</v>
      </c>
      <c r="F2964" s="89">
        <v>1</v>
      </c>
      <c r="H2964"/>
    </row>
    <row r="2965" spans="1:8" hidden="1" x14ac:dyDescent="0.25">
      <c r="A2965" s="43">
        <v>489</v>
      </c>
      <c r="B2965" s="43" t="s">
        <v>139</v>
      </c>
      <c r="C2965" s="43" t="s">
        <v>1457</v>
      </c>
      <c r="D2965" s="43" t="s">
        <v>1468</v>
      </c>
      <c r="E2965" s="43" t="s">
        <v>1469</v>
      </c>
      <c r="F2965" s="89">
        <v>1</v>
      </c>
      <c r="H2965"/>
    </row>
    <row r="2966" spans="1:8" hidden="1" x14ac:dyDescent="0.25">
      <c r="A2966" s="43">
        <v>489</v>
      </c>
      <c r="B2966" s="43" t="s">
        <v>139</v>
      </c>
      <c r="C2966" s="43" t="s">
        <v>1457</v>
      </c>
      <c r="D2966" s="43" t="s">
        <v>1470</v>
      </c>
      <c r="E2966" s="43" t="s">
        <v>1471</v>
      </c>
      <c r="F2966" s="89">
        <v>1</v>
      </c>
      <c r="H2966"/>
    </row>
    <row r="2967" spans="1:8" hidden="1" x14ac:dyDescent="0.25">
      <c r="A2967" s="43">
        <v>489</v>
      </c>
      <c r="B2967" s="43" t="s">
        <v>139</v>
      </c>
      <c r="C2967" s="43" t="s">
        <v>1457</v>
      </c>
      <c r="D2967" s="43" t="s">
        <v>1472</v>
      </c>
      <c r="E2967" s="43" t="s">
        <v>391</v>
      </c>
      <c r="F2967" s="89">
        <v>1</v>
      </c>
      <c r="H2967"/>
    </row>
    <row r="2968" spans="1:8" hidden="1" x14ac:dyDescent="0.25">
      <c r="A2968" s="43">
        <v>489</v>
      </c>
      <c r="B2968" s="43" t="s">
        <v>139</v>
      </c>
      <c r="C2968" s="43" t="s">
        <v>1457</v>
      </c>
      <c r="D2968" s="43" t="s">
        <v>1473</v>
      </c>
      <c r="E2968" s="43" t="s">
        <v>956</v>
      </c>
      <c r="F2968" s="89">
        <v>1</v>
      </c>
      <c r="H2968"/>
    </row>
    <row r="2969" spans="1:8" hidden="1" x14ac:dyDescent="0.25">
      <c r="A2969" s="43">
        <v>489</v>
      </c>
      <c r="B2969" s="43" t="s">
        <v>139</v>
      </c>
      <c r="C2969" s="43" t="s">
        <v>1751</v>
      </c>
      <c r="D2969" s="43" t="s">
        <v>1752</v>
      </c>
      <c r="E2969" s="43" t="s">
        <v>304</v>
      </c>
      <c r="F2969" s="89">
        <v>1</v>
      </c>
      <c r="H2969"/>
    </row>
    <row r="2970" spans="1:8" hidden="1" x14ac:dyDescent="0.25">
      <c r="A2970" s="43">
        <v>489</v>
      </c>
      <c r="B2970" s="43" t="s">
        <v>139</v>
      </c>
      <c r="C2970" s="43" t="s">
        <v>1751</v>
      </c>
      <c r="D2970" s="43" t="s">
        <v>1753</v>
      </c>
      <c r="E2970" s="43" t="s">
        <v>306</v>
      </c>
      <c r="F2970" s="89">
        <v>1</v>
      </c>
      <c r="H2970"/>
    </row>
    <row r="2971" spans="1:8" hidden="1" x14ac:dyDescent="0.25">
      <c r="A2971" s="43">
        <v>489</v>
      </c>
      <c r="B2971" s="43" t="s">
        <v>139</v>
      </c>
      <c r="C2971" s="43" t="s">
        <v>1751</v>
      </c>
      <c r="D2971" s="43" t="s">
        <v>1754</v>
      </c>
      <c r="E2971" s="43" t="s">
        <v>1755</v>
      </c>
      <c r="F2971" s="89">
        <v>1</v>
      </c>
      <c r="H2971"/>
    </row>
    <row r="2972" spans="1:8" hidden="1" x14ac:dyDescent="0.25">
      <c r="A2972" s="43">
        <v>489</v>
      </c>
      <c r="B2972" s="43" t="s">
        <v>139</v>
      </c>
      <c r="C2972" s="43" t="s">
        <v>1751</v>
      </c>
      <c r="D2972" s="43" t="s">
        <v>1756</v>
      </c>
      <c r="E2972" s="43" t="s">
        <v>343</v>
      </c>
      <c r="F2972" s="43">
        <v>1</v>
      </c>
      <c r="G2972"/>
      <c r="H2972"/>
    </row>
    <row r="2973" spans="1:8" hidden="1" x14ac:dyDescent="0.25">
      <c r="A2973" s="43">
        <v>489</v>
      </c>
      <c r="B2973" s="43" t="s">
        <v>139</v>
      </c>
      <c r="C2973" s="43" t="s">
        <v>1751</v>
      </c>
      <c r="D2973" s="43" t="s">
        <v>1757</v>
      </c>
      <c r="E2973" s="43" t="s">
        <v>349</v>
      </c>
      <c r="F2973" s="43">
        <v>1</v>
      </c>
      <c r="G2973"/>
      <c r="H2973"/>
    </row>
    <row r="2974" spans="1:8" hidden="1" x14ac:dyDescent="0.25">
      <c r="A2974" s="43">
        <v>489</v>
      </c>
      <c r="B2974" s="43" t="s">
        <v>139</v>
      </c>
      <c r="C2974" s="43" t="s">
        <v>1751</v>
      </c>
      <c r="D2974" s="43" t="s">
        <v>1758</v>
      </c>
      <c r="E2974" s="43" t="s">
        <v>793</v>
      </c>
      <c r="F2974" s="89">
        <v>1</v>
      </c>
      <c r="H2974"/>
    </row>
    <row r="2975" spans="1:8" hidden="1" x14ac:dyDescent="0.25">
      <c r="A2975" s="43">
        <v>489</v>
      </c>
      <c r="B2975" s="43" t="s">
        <v>139</v>
      </c>
      <c r="C2975" s="43" t="s">
        <v>1751</v>
      </c>
      <c r="D2975" s="43" t="s">
        <v>1759</v>
      </c>
      <c r="E2975" s="43" t="s">
        <v>1760</v>
      </c>
      <c r="F2975" s="43">
        <v>0</v>
      </c>
      <c r="G2975" s="43" t="s">
        <v>4583</v>
      </c>
    </row>
    <row r="2976" spans="1:8" hidden="1" x14ac:dyDescent="0.25">
      <c r="A2976" s="43">
        <v>489</v>
      </c>
      <c r="B2976" s="43" t="s">
        <v>139</v>
      </c>
      <c r="C2976" s="43" t="s">
        <v>1751</v>
      </c>
      <c r="D2976" s="43" t="s">
        <v>1761</v>
      </c>
      <c r="E2976" s="43" t="s">
        <v>359</v>
      </c>
      <c r="F2976" s="43">
        <v>0</v>
      </c>
      <c r="G2976" s="43" t="s">
        <v>4583</v>
      </c>
      <c r="H2976"/>
    </row>
    <row r="2977" spans="1:8" hidden="1" x14ac:dyDescent="0.25">
      <c r="A2977" s="43">
        <v>489</v>
      </c>
      <c r="B2977" s="43" t="s">
        <v>139</v>
      </c>
      <c r="C2977" s="43" t="s">
        <v>1751</v>
      </c>
      <c r="D2977" s="43" t="s">
        <v>1762</v>
      </c>
      <c r="E2977" s="43" t="s">
        <v>361</v>
      </c>
      <c r="F2977" s="43">
        <v>1</v>
      </c>
      <c r="G2977"/>
      <c r="H2977"/>
    </row>
    <row r="2978" spans="1:8" hidden="1" x14ac:dyDescent="0.25">
      <c r="A2978" s="43">
        <v>489</v>
      </c>
      <c r="B2978" s="43" t="s">
        <v>139</v>
      </c>
      <c r="C2978" s="43" t="s">
        <v>1751</v>
      </c>
      <c r="D2978" s="43" t="s">
        <v>1763</v>
      </c>
      <c r="E2978" s="43" t="s">
        <v>1303</v>
      </c>
      <c r="F2978" s="43">
        <v>1</v>
      </c>
      <c r="G2978"/>
      <c r="H2978"/>
    </row>
    <row r="2979" spans="1:8" hidden="1" x14ac:dyDescent="0.25">
      <c r="A2979" s="43">
        <v>489</v>
      </c>
      <c r="B2979" s="43" t="s">
        <v>139</v>
      </c>
      <c r="C2979" s="43" t="s">
        <v>450</v>
      </c>
      <c r="D2979" s="43" t="s">
        <v>451</v>
      </c>
      <c r="E2979" s="43" t="s">
        <v>273</v>
      </c>
      <c r="F2979" s="43">
        <v>0</v>
      </c>
      <c r="G2979" s="43" t="s">
        <v>4583</v>
      </c>
      <c r="H2979"/>
    </row>
    <row r="2980" spans="1:8" hidden="1" x14ac:dyDescent="0.25">
      <c r="A2980" s="43">
        <v>489</v>
      </c>
      <c r="B2980" s="43" t="s">
        <v>139</v>
      </c>
      <c r="C2980" s="43" t="s">
        <v>450</v>
      </c>
      <c r="D2980" s="43" t="s">
        <v>452</v>
      </c>
      <c r="E2980" s="43" t="s">
        <v>453</v>
      </c>
      <c r="F2980" s="43">
        <v>1</v>
      </c>
      <c r="G2980"/>
      <c r="H2980"/>
    </row>
    <row r="2981" spans="1:8" hidden="1" x14ac:dyDescent="0.25">
      <c r="A2981" s="43">
        <v>489</v>
      </c>
      <c r="B2981" s="43" t="s">
        <v>139</v>
      </c>
      <c r="C2981" s="43" t="s">
        <v>450</v>
      </c>
      <c r="D2981" s="43" t="s">
        <v>454</v>
      </c>
      <c r="E2981" s="43" t="s">
        <v>283</v>
      </c>
      <c r="F2981" s="43">
        <v>1</v>
      </c>
      <c r="G2981"/>
      <c r="H2981"/>
    </row>
    <row r="2982" spans="1:8" hidden="1" x14ac:dyDescent="0.25">
      <c r="A2982" s="43">
        <v>489</v>
      </c>
      <c r="B2982" s="43" t="s">
        <v>139</v>
      </c>
      <c r="C2982" s="43" t="s">
        <v>450</v>
      </c>
      <c r="D2982" s="43" t="s">
        <v>455</v>
      </c>
      <c r="E2982" s="43" t="s">
        <v>456</v>
      </c>
      <c r="F2982" s="43">
        <v>1</v>
      </c>
      <c r="G2982"/>
      <c r="H2982"/>
    </row>
    <row r="2983" spans="1:8" hidden="1" x14ac:dyDescent="0.25">
      <c r="A2983" s="43">
        <v>489</v>
      </c>
      <c r="B2983" s="43" t="s">
        <v>139</v>
      </c>
      <c r="C2983" s="43" t="s">
        <v>450</v>
      </c>
      <c r="D2983" s="43" t="s">
        <v>457</v>
      </c>
      <c r="E2983" s="43" t="s">
        <v>295</v>
      </c>
      <c r="F2983" s="43">
        <v>1</v>
      </c>
      <c r="G2983"/>
      <c r="H2983"/>
    </row>
    <row r="2984" spans="1:8" hidden="1" x14ac:dyDescent="0.25">
      <c r="A2984" s="43">
        <v>489</v>
      </c>
      <c r="B2984" s="43" t="s">
        <v>139</v>
      </c>
      <c r="C2984" s="43" t="s">
        <v>450</v>
      </c>
      <c r="D2984" s="43" t="s">
        <v>458</v>
      </c>
      <c r="E2984" s="43" t="s">
        <v>459</v>
      </c>
      <c r="F2984" s="43">
        <v>1</v>
      </c>
      <c r="G2984"/>
      <c r="H2984"/>
    </row>
    <row r="2985" spans="1:8" hidden="1" x14ac:dyDescent="0.25">
      <c r="A2985" s="43">
        <v>489</v>
      </c>
      <c r="B2985" s="43" t="s">
        <v>139</v>
      </c>
      <c r="C2985" s="43" t="s">
        <v>450</v>
      </c>
      <c r="D2985" s="43" t="s">
        <v>460</v>
      </c>
      <c r="E2985" s="43" t="s">
        <v>461</v>
      </c>
      <c r="F2985" s="43">
        <v>1</v>
      </c>
      <c r="G2985"/>
      <c r="H2985"/>
    </row>
    <row r="2986" spans="1:8" hidden="1" x14ac:dyDescent="0.25">
      <c r="A2986" s="43">
        <v>489</v>
      </c>
      <c r="B2986" s="43" t="s">
        <v>139</v>
      </c>
      <c r="C2986" s="43" t="s">
        <v>450</v>
      </c>
      <c r="D2986" s="43" t="s">
        <v>462</v>
      </c>
      <c r="E2986" s="43" t="s">
        <v>372</v>
      </c>
      <c r="F2986" s="43">
        <v>1</v>
      </c>
      <c r="G2986"/>
      <c r="H2986"/>
    </row>
    <row r="2987" spans="1:8" hidden="1" x14ac:dyDescent="0.25">
      <c r="A2987" s="43">
        <v>489</v>
      </c>
      <c r="B2987" s="43" t="s">
        <v>139</v>
      </c>
      <c r="C2987" s="43" t="s">
        <v>1457</v>
      </c>
      <c r="D2987" s="43" t="s">
        <v>1458</v>
      </c>
      <c r="E2987" s="43" t="s">
        <v>273</v>
      </c>
      <c r="F2987" s="43">
        <v>0</v>
      </c>
      <c r="G2987" s="43" t="s">
        <v>4583</v>
      </c>
      <c r="H2987"/>
    </row>
    <row r="2988" spans="1:8" hidden="1" x14ac:dyDescent="0.25">
      <c r="A2988" s="43">
        <v>489</v>
      </c>
      <c r="B2988" s="43" t="s">
        <v>139</v>
      </c>
      <c r="C2988" s="43" t="s">
        <v>1457</v>
      </c>
      <c r="D2988" s="43" t="s">
        <v>1459</v>
      </c>
      <c r="E2988" s="43" t="s">
        <v>640</v>
      </c>
      <c r="F2988" s="43">
        <v>1</v>
      </c>
      <c r="G2988"/>
      <c r="H2988"/>
    </row>
    <row r="2989" spans="1:8" hidden="1" x14ac:dyDescent="0.25">
      <c r="A2989" s="43">
        <v>489</v>
      </c>
      <c r="B2989" s="43" t="s">
        <v>139</v>
      </c>
      <c r="C2989" s="43" t="s">
        <v>1457</v>
      </c>
      <c r="D2989" s="43" t="s">
        <v>1460</v>
      </c>
      <c r="E2989" s="43" t="s">
        <v>929</v>
      </c>
      <c r="F2989" s="43">
        <v>1</v>
      </c>
      <c r="G2989"/>
      <c r="H2989"/>
    </row>
    <row r="2990" spans="1:8" hidden="1" x14ac:dyDescent="0.25">
      <c r="A2990" s="43">
        <v>489</v>
      </c>
      <c r="B2990" s="43" t="s">
        <v>139</v>
      </c>
      <c r="C2990" s="43" t="s">
        <v>1457</v>
      </c>
      <c r="D2990" s="43" t="s">
        <v>1461</v>
      </c>
      <c r="E2990" s="43" t="s">
        <v>1462</v>
      </c>
      <c r="F2990" s="43">
        <v>1</v>
      </c>
      <c r="G2990"/>
      <c r="H2990"/>
    </row>
    <row r="2991" spans="1:8" hidden="1" x14ac:dyDescent="0.25">
      <c r="A2991" s="43">
        <v>489</v>
      </c>
      <c r="B2991" s="43" t="s">
        <v>139</v>
      </c>
      <c r="C2991" s="43" t="s">
        <v>1457</v>
      </c>
      <c r="D2991" s="43" t="s">
        <v>1463</v>
      </c>
      <c r="E2991" s="43" t="s">
        <v>1464</v>
      </c>
      <c r="F2991" s="43">
        <v>1</v>
      </c>
      <c r="G2991"/>
      <c r="H2991"/>
    </row>
    <row r="2992" spans="1:8" hidden="1" x14ac:dyDescent="0.25">
      <c r="A2992" s="43">
        <v>489</v>
      </c>
      <c r="B2992" s="43" t="s">
        <v>139</v>
      </c>
      <c r="C2992" s="43" t="s">
        <v>1457</v>
      </c>
      <c r="D2992" s="43" t="s">
        <v>1465</v>
      </c>
      <c r="E2992" s="43" t="s">
        <v>347</v>
      </c>
      <c r="F2992" s="43">
        <v>1</v>
      </c>
      <c r="G2992"/>
      <c r="H2992"/>
    </row>
    <row r="2993" spans="1:8" hidden="1" x14ac:dyDescent="0.25">
      <c r="A2993" s="43">
        <v>489</v>
      </c>
      <c r="B2993" s="43" t="s">
        <v>139</v>
      </c>
      <c r="C2993" s="43" t="s">
        <v>1457</v>
      </c>
      <c r="D2993" s="43" t="s">
        <v>1466</v>
      </c>
      <c r="E2993" s="43" t="s">
        <v>1467</v>
      </c>
      <c r="F2993" s="43">
        <v>1</v>
      </c>
      <c r="G2993"/>
      <c r="H2993"/>
    </row>
    <row r="2994" spans="1:8" hidden="1" x14ac:dyDescent="0.25">
      <c r="A2994" s="43">
        <v>489</v>
      </c>
      <c r="B2994" s="43" t="s">
        <v>139</v>
      </c>
      <c r="C2994" s="43" t="s">
        <v>1457</v>
      </c>
      <c r="D2994" s="43" t="s">
        <v>1468</v>
      </c>
      <c r="E2994" s="43" t="s">
        <v>1469</v>
      </c>
      <c r="F2994" s="43">
        <v>1</v>
      </c>
      <c r="G2994"/>
      <c r="H2994"/>
    </row>
    <row r="2995" spans="1:8" hidden="1" x14ac:dyDescent="0.25">
      <c r="A2995" s="43">
        <v>489</v>
      </c>
      <c r="B2995" s="43" t="s">
        <v>139</v>
      </c>
      <c r="C2995" s="43" t="s">
        <v>1457</v>
      </c>
      <c r="D2995" s="43" t="s">
        <v>1470</v>
      </c>
      <c r="E2995" s="43" t="s">
        <v>1471</v>
      </c>
      <c r="F2995" s="43">
        <v>1</v>
      </c>
      <c r="G2995"/>
      <c r="H2995"/>
    </row>
    <row r="2996" spans="1:8" hidden="1" x14ac:dyDescent="0.25">
      <c r="A2996" s="43">
        <v>489</v>
      </c>
      <c r="B2996" s="43" t="s">
        <v>139</v>
      </c>
      <c r="C2996" s="43" t="s">
        <v>1457</v>
      </c>
      <c r="D2996" s="43" t="s">
        <v>1472</v>
      </c>
      <c r="E2996" s="43" t="s">
        <v>391</v>
      </c>
      <c r="F2996" s="43">
        <v>0</v>
      </c>
      <c r="G2996" s="43" t="s">
        <v>4583</v>
      </c>
      <c r="H2996"/>
    </row>
    <row r="2997" spans="1:8" hidden="1" x14ac:dyDescent="0.25">
      <c r="A2997" s="43">
        <v>489</v>
      </c>
      <c r="B2997" s="43" t="s">
        <v>139</v>
      </c>
      <c r="C2997" s="43" t="s">
        <v>1457</v>
      </c>
      <c r="D2997" s="43" t="s">
        <v>1473</v>
      </c>
      <c r="E2997" s="43" t="s">
        <v>956</v>
      </c>
      <c r="F2997" s="43">
        <v>0</v>
      </c>
      <c r="G2997" s="43" t="s">
        <v>4583</v>
      </c>
      <c r="H2997"/>
    </row>
    <row r="2998" spans="1:8" hidden="1" x14ac:dyDescent="0.25">
      <c r="A2998" s="43">
        <v>493</v>
      </c>
      <c r="B2998" s="43" t="s">
        <v>140</v>
      </c>
      <c r="C2998" s="43" t="s">
        <v>422</v>
      </c>
      <c r="D2998" s="43" t="s">
        <v>423</v>
      </c>
      <c r="E2998" s="43" t="s">
        <v>424</v>
      </c>
      <c r="F2998" s="89">
        <v>1</v>
      </c>
      <c r="H2998"/>
    </row>
    <row r="2999" spans="1:8" hidden="1" x14ac:dyDescent="0.25">
      <c r="A2999" s="43">
        <v>493</v>
      </c>
      <c r="B2999" s="43" t="s">
        <v>140</v>
      </c>
      <c r="C2999" s="43" t="s">
        <v>422</v>
      </c>
      <c r="D2999" s="43" t="s">
        <v>425</v>
      </c>
      <c r="E2999" s="43" t="s">
        <v>426</v>
      </c>
      <c r="F2999" s="89">
        <v>1</v>
      </c>
      <c r="H2999"/>
    </row>
    <row r="3000" spans="1:8" hidden="1" x14ac:dyDescent="0.25">
      <c r="A3000" s="43">
        <v>493</v>
      </c>
      <c r="B3000" s="43" t="s">
        <v>140</v>
      </c>
      <c r="C3000" s="43" t="s">
        <v>422</v>
      </c>
      <c r="D3000" s="43" t="s">
        <v>427</v>
      </c>
      <c r="E3000" s="43" t="s">
        <v>428</v>
      </c>
      <c r="F3000" s="43">
        <v>0</v>
      </c>
      <c r="G3000" s="43" t="s">
        <v>4583</v>
      </c>
      <c r="H3000"/>
    </row>
    <row r="3001" spans="1:8" hidden="1" x14ac:dyDescent="0.25">
      <c r="A3001" s="43">
        <v>493</v>
      </c>
      <c r="B3001" s="43" t="s">
        <v>140</v>
      </c>
      <c r="C3001" s="43" t="s">
        <v>422</v>
      </c>
      <c r="D3001" s="43" t="s">
        <v>429</v>
      </c>
      <c r="E3001" s="43" t="s">
        <v>430</v>
      </c>
      <c r="F3001" s="43">
        <v>1</v>
      </c>
      <c r="G3001"/>
      <c r="H3001"/>
    </row>
    <row r="3002" spans="1:8" hidden="1" x14ac:dyDescent="0.25">
      <c r="A3002" s="43">
        <v>493</v>
      </c>
      <c r="B3002" s="43" t="s">
        <v>140</v>
      </c>
      <c r="C3002" s="43" t="s">
        <v>422</v>
      </c>
      <c r="D3002" s="43" t="s">
        <v>431</v>
      </c>
      <c r="E3002" s="43" t="s">
        <v>432</v>
      </c>
      <c r="F3002" s="43">
        <v>1</v>
      </c>
      <c r="G3002"/>
      <c r="H3002"/>
    </row>
    <row r="3003" spans="1:8" hidden="1" x14ac:dyDescent="0.25">
      <c r="A3003" s="43">
        <v>493</v>
      </c>
      <c r="B3003" s="43" t="s">
        <v>140</v>
      </c>
      <c r="C3003" s="43" t="s">
        <v>422</v>
      </c>
      <c r="D3003" s="43" t="s">
        <v>433</v>
      </c>
      <c r="E3003" s="43" t="s">
        <v>434</v>
      </c>
      <c r="F3003" s="43">
        <v>1</v>
      </c>
      <c r="G3003"/>
      <c r="H3003"/>
    </row>
    <row r="3004" spans="1:8" hidden="1" x14ac:dyDescent="0.25">
      <c r="A3004" s="43">
        <v>493</v>
      </c>
      <c r="B3004" s="43" t="s">
        <v>140</v>
      </c>
      <c r="C3004" s="43" t="s">
        <v>422</v>
      </c>
      <c r="D3004" s="43" t="s">
        <v>435</v>
      </c>
      <c r="E3004" s="43" t="s">
        <v>436</v>
      </c>
      <c r="F3004" s="89">
        <v>1</v>
      </c>
      <c r="H3004"/>
    </row>
    <row r="3005" spans="1:8" hidden="1" x14ac:dyDescent="0.25">
      <c r="A3005" s="43">
        <v>493</v>
      </c>
      <c r="B3005" s="43" t="s">
        <v>140</v>
      </c>
      <c r="C3005" s="43" t="s">
        <v>422</v>
      </c>
      <c r="D3005" s="43" t="s">
        <v>437</v>
      </c>
      <c r="E3005" s="43" t="s">
        <v>438</v>
      </c>
      <c r="F3005" s="43">
        <v>1</v>
      </c>
      <c r="G3005"/>
      <c r="H3005"/>
    </row>
    <row r="3006" spans="1:8" hidden="1" x14ac:dyDescent="0.25">
      <c r="A3006" s="43">
        <v>493</v>
      </c>
      <c r="B3006" s="43" t="s">
        <v>140</v>
      </c>
      <c r="C3006" s="43" t="s">
        <v>422</v>
      </c>
      <c r="D3006" s="43" t="s">
        <v>439</v>
      </c>
      <c r="E3006" s="43" t="s">
        <v>440</v>
      </c>
      <c r="F3006" s="89">
        <v>1</v>
      </c>
      <c r="H3006"/>
    </row>
    <row r="3007" spans="1:8" hidden="1" x14ac:dyDescent="0.25">
      <c r="A3007" s="43">
        <v>493</v>
      </c>
      <c r="B3007" s="43" t="s">
        <v>140</v>
      </c>
      <c r="C3007" s="43" t="s">
        <v>1220</v>
      </c>
      <c r="D3007" s="43" t="s">
        <v>1221</v>
      </c>
      <c r="E3007" s="43" t="s">
        <v>430</v>
      </c>
      <c r="F3007" s="89">
        <v>1</v>
      </c>
      <c r="H3007"/>
    </row>
    <row r="3008" spans="1:8" hidden="1" x14ac:dyDescent="0.25">
      <c r="A3008" s="43">
        <v>493</v>
      </c>
      <c r="B3008" s="43" t="s">
        <v>140</v>
      </c>
      <c r="C3008" s="43" t="s">
        <v>1220</v>
      </c>
      <c r="D3008" s="43" t="s">
        <v>1222</v>
      </c>
      <c r="E3008" s="43" t="s">
        <v>1223</v>
      </c>
      <c r="F3008" s="43">
        <v>0</v>
      </c>
      <c r="G3008" s="43" t="s">
        <v>4583</v>
      </c>
      <c r="H3008"/>
    </row>
    <row r="3009" spans="1:8" hidden="1" x14ac:dyDescent="0.25">
      <c r="A3009" s="43">
        <v>493</v>
      </c>
      <c r="B3009" s="43" t="s">
        <v>140</v>
      </c>
      <c r="C3009" s="43" t="s">
        <v>1220</v>
      </c>
      <c r="D3009" s="43" t="s">
        <v>1224</v>
      </c>
      <c r="E3009" s="43" t="s">
        <v>1225</v>
      </c>
      <c r="F3009" s="43">
        <v>0</v>
      </c>
      <c r="G3009" s="43" t="s">
        <v>4583</v>
      </c>
      <c r="H3009"/>
    </row>
    <row r="3010" spans="1:8" hidden="1" x14ac:dyDescent="0.25">
      <c r="A3010" s="43">
        <v>493</v>
      </c>
      <c r="B3010" s="43" t="s">
        <v>140</v>
      </c>
      <c r="C3010" s="43" t="s">
        <v>1220</v>
      </c>
      <c r="D3010" s="43" t="s">
        <v>1226</v>
      </c>
      <c r="E3010" s="43" t="s">
        <v>1227</v>
      </c>
      <c r="F3010" s="43">
        <v>1</v>
      </c>
      <c r="G3010"/>
      <c r="H3010"/>
    </row>
    <row r="3011" spans="1:8" hidden="1" x14ac:dyDescent="0.25">
      <c r="A3011" s="43">
        <v>493</v>
      </c>
      <c r="B3011" s="43" t="s">
        <v>140</v>
      </c>
      <c r="C3011" s="43" t="s">
        <v>1220</v>
      </c>
      <c r="D3011" s="43" t="s">
        <v>1228</v>
      </c>
      <c r="E3011" s="43" t="s">
        <v>438</v>
      </c>
      <c r="F3011" s="89">
        <v>1</v>
      </c>
      <c r="H3011"/>
    </row>
    <row r="3012" spans="1:8" hidden="1" x14ac:dyDescent="0.25">
      <c r="A3012" s="43">
        <v>493</v>
      </c>
      <c r="B3012" s="43" t="s">
        <v>140</v>
      </c>
      <c r="C3012" s="43" t="s">
        <v>1220</v>
      </c>
      <c r="D3012" s="43" t="s">
        <v>1229</v>
      </c>
      <c r="E3012" s="43" t="s">
        <v>440</v>
      </c>
      <c r="F3012" s="43">
        <v>1</v>
      </c>
      <c r="G3012"/>
      <c r="H3012"/>
    </row>
    <row r="3013" spans="1:8" hidden="1" x14ac:dyDescent="0.25">
      <c r="A3013" s="43">
        <v>493</v>
      </c>
      <c r="B3013" s="43" t="s">
        <v>140</v>
      </c>
      <c r="C3013" s="43" t="s">
        <v>1220</v>
      </c>
      <c r="D3013" s="43" t="s">
        <v>1230</v>
      </c>
      <c r="E3013" s="43" t="s">
        <v>424</v>
      </c>
      <c r="F3013" s="89">
        <v>1</v>
      </c>
      <c r="H3013"/>
    </row>
    <row r="3014" spans="1:8" hidden="1" x14ac:dyDescent="0.25">
      <c r="A3014" s="43">
        <v>493</v>
      </c>
      <c r="B3014" s="43" t="s">
        <v>140</v>
      </c>
      <c r="C3014" s="43" t="s">
        <v>1220</v>
      </c>
      <c r="D3014" s="43" t="s">
        <v>1231</v>
      </c>
      <c r="E3014" s="43" t="s">
        <v>1232</v>
      </c>
      <c r="F3014" s="43">
        <v>1</v>
      </c>
      <c r="G3014"/>
      <c r="H3014"/>
    </row>
    <row r="3015" spans="1:8" hidden="1" x14ac:dyDescent="0.25">
      <c r="A3015" s="43">
        <v>493</v>
      </c>
      <c r="B3015" s="43" t="s">
        <v>140</v>
      </c>
      <c r="C3015" s="43" t="s">
        <v>1220</v>
      </c>
      <c r="D3015" s="43" t="s">
        <v>1233</v>
      </c>
      <c r="E3015" s="43" t="s">
        <v>1234</v>
      </c>
      <c r="F3015" s="43">
        <v>1</v>
      </c>
      <c r="G3015"/>
      <c r="H3015"/>
    </row>
    <row r="3016" spans="1:8" hidden="1" x14ac:dyDescent="0.25">
      <c r="A3016" s="43">
        <v>493</v>
      </c>
      <c r="B3016" s="43" t="s">
        <v>140</v>
      </c>
      <c r="C3016" s="43" t="s">
        <v>1220</v>
      </c>
      <c r="D3016" s="43" t="s">
        <v>1235</v>
      </c>
      <c r="E3016" s="43" t="s">
        <v>1236</v>
      </c>
      <c r="F3016" s="43">
        <v>1</v>
      </c>
      <c r="G3016"/>
      <c r="H3016"/>
    </row>
    <row r="3017" spans="1:8" hidden="1" x14ac:dyDescent="0.25">
      <c r="A3017" s="43">
        <v>493</v>
      </c>
      <c r="B3017" s="43" t="s">
        <v>140</v>
      </c>
      <c r="C3017" s="43" t="s">
        <v>1220</v>
      </c>
      <c r="D3017" s="43" t="s">
        <v>1237</v>
      </c>
      <c r="E3017" s="43" t="s">
        <v>656</v>
      </c>
      <c r="F3017" s="43">
        <v>1</v>
      </c>
      <c r="G3017"/>
      <c r="H3017"/>
    </row>
    <row r="3018" spans="1:8" hidden="1" x14ac:dyDescent="0.25">
      <c r="A3018" s="43">
        <v>493</v>
      </c>
      <c r="B3018" s="43" t="s">
        <v>140</v>
      </c>
      <c r="C3018" s="43" t="s">
        <v>1220</v>
      </c>
      <c r="D3018" s="43" t="s">
        <v>1238</v>
      </c>
      <c r="E3018" s="43" t="s">
        <v>658</v>
      </c>
      <c r="F3018" s="43">
        <v>1</v>
      </c>
      <c r="G3018"/>
      <c r="H3018"/>
    </row>
    <row r="3019" spans="1:8" hidden="1" x14ac:dyDescent="0.25">
      <c r="A3019" s="43">
        <v>493</v>
      </c>
      <c r="B3019" s="43" t="s">
        <v>140</v>
      </c>
      <c r="C3019" s="43" t="s">
        <v>1220</v>
      </c>
      <c r="D3019" s="43" t="s">
        <v>1239</v>
      </c>
      <c r="E3019" s="43" t="s">
        <v>1240</v>
      </c>
      <c r="F3019" s="43">
        <v>1</v>
      </c>
      <c r="G3019"/>
      <c r="H3019"/>
    </row>
    <row r="3020" spans="1:8" hidden="1" x14ac:dyDescent="0.25">
      <c r="A3020" s="43">
        <v>493</v>
      </c>
      <c r="B3020" s="43" t="s">
        <v>140</v>
      </c>
      <c r="C3020" s="43" t="s">
        <v>1220</v>
      </c>
      <c r="D3020" s="43" t="s">
        <v>1241</v>
      </c>
      <c r="E3020" s="43" t="s">
        <v>1242</v>
      </c>
      <c r="F3020" s="43">
        <v>1</v>
      </c>
      <c r="G3020"/>
      <c r="H3020"/>
    </row>
    <row r="3021" spans="1:8" hidden="1" x14ac:dyDescent="0.25">
      <c r="A3021" s="43">
        <v>493</v>
      </c>
      <c r="B3021" s="43" t="s">
        <v>140</v>
      </c>
      <c r="C3021" s="43" t="s">
        <v>1220</v>
      </c>
      <c r="D3021" s="43" t="s">
        <v>1243</v>
      </c>
      <c r="E3021" s="43" t="s">
        <v>4482</v>
      </c>
      <c r="F3021" s="43">
        <v>0</v>
      </c>
      <c r="G3021" s="43" t="s">
        <v>4583</v>
      </c>
      <c r="H3021"/>
    </row>
    <row r="3022" spans="1:8" hidden="1" x14ac:dyDescent="0.25">
      <c r="A3022" s="43">
        <v>493</v>
      </c>
      <c r="B3022" s="43" t="s">
        <v>140</v>
      </c>
      <c r="C3022" s="43" t="s">
        <v>682</v>
      </c>
      <c r="D3022" s="43" t="s">
        <v>683</v>
      </c>
      <c r="E3022" s="43" t="s">
        <v>684</v>
      </c>
      <c r="F3022" s="43">
        <v>1</v>
      </c>
      <c r="G3022"/>
      <c r="H3022"/>
    </row>
    <row r="3023" spans="1:8" hidden="1" x14ac:dyDescent="0.25">
      <c r="A3023" s="43">
        <v>493</v>
      </c>
      <c r="B3023" s="43" t="s">
        <v>140</v>
      </c>
      <c r="C3023" s="43" t="s">
        <v>682</v>
      </c>
      <c r="D3023" s="43" t="s">
        <v>685</v>
      </c>
      <c r="E3023" s="43" t="s">
        <v>686</v>
      </c>
      <c r="F3023" s="89">
        <v>1</v>
      </c>
      <c r="H3023"/>
    </row>
    <row r="3024" spans="1:8" hidden="1" x14ac:dyDescent="0.25">
      <c r="A3024" s="43">
        <v>493</v>
      </c>
      <c r="B3024" s="43" t="s">
        <v>140</v>
      </c>
      <c r="C3024" s="43" t="s">
        <v>682</v>
      </c>
      <c r="D3024" s="43" t="s">
        <v>687</v>
      </c>
      <c r="E3024" s="43" t="s">
        <v>638</v>
      </c>
      <c r="F3024" s="43">
        <v>1</v>
      </c>
      <c r="G3024"/>
      <c r="H3024"/>
    </row>
    <row r="3025" spans="1:8" hidden="1" x14ac:dyDescent="0.25">
      <c r="A3025" s="43">
        <v>493</v>
      </c>
      <c r="B3025" s="43" t="s">
        <v>140</v>
      </c>
      <c r="C3025" s="43" t="s">
        <v>682</v>
      </c>
      <c r="D3025" s="43" t="s">
        <v>688</v>
      </c>
      <c r="E3025" s="43" t="s">
        <v>689</v>
      </c>
      <c r="F3025" s="43">
        <v>1</v>
      </c>
      <c r="G3025"/>
      <c r="H3025"/>
    </row>
    <row r="3026" spans="1:8" hidden="1" x14ac:dyDescent="0.25">
      <c r="A3026" s="43">
        <v>493</v>
      </c>
      <c r="B3026" s="43" t="s">
        <v>140</v>
      </c>
      <c r="C3026" s="43" t="s">
        <v>682</v>
      </c>
      <c r="D3026" s="43" t="s">
        <v>690</v>
      </c>
      <c r="E3026" s="43" t="s">
        <v>640</v>
      </c>
      <c r="F3026" s="89">
        <v>1</v>
      </c>
      <c r="H3026"/>
    </row>
    <row r="3027" spans="1:8" hidden="1" x14ac:dyDescent="0.25">
      <c r="A3027" s="43">
        <v>493</v>
      </c>
      <c r="B3027" s="43" t="s">
        <v>140</v>
      </c>
      <c r="C3027" s="43" t="s">
        <v>682</v>
      </c>
      <c r="D3027" s="43" t="s">
        <v>691</v>
      </c>
      <c r="E3027" s="43" t="s">
        <v>692</v>
      </c>
      <c r="F3027" s="43">
        <v>1</v>
      </c>
      <c r="G3027"/>
      <c r="H3027"/>
    </row>
    <row r="3028" spans="1:8" hidden="1" x14ac:dyDescent="0.25">
      <c r="A3028" s="43">
        <v>493</v>
      </c>
      <c r="B3028" s="43" t="s">
        <v>140</v>
      </c>
      <c r="C3028" s="43" t="s">
        <v>682</v>
      </c>
      <c r="D3028" s="43" t="s">
        <v>693</v>
      </c>
      <c r="E3028" s="43" t="s">
        <v>694</v>
      </c>
      <c r="F3028" s="43">
        <v>1</v>
      </c>
      <c r="G3028"/>
      <c r="H3028"/>
    </row>
    <row r="3029" spans="1:8" hidden="1" x14ac:dyDescent="0.25">
      <c r="A3029" s="43">
        <v>493</v>
      </c>
      <c r="B3029" s="43" t="s">
        <v>140</v>
      </c>
      <c r="C3029" s="43" t="s">
        <v>682</v>
      </c>
      <c r="D3029" s="43" t="s">
        <v>695</v>
      </c>
      <c r="E3029" s="43" t="s">
        <v>696</v>
      </c>
      <c r="F3029" s="43">
        <v>0</v>
      </c>
      <c r="G3029" s="43" t="s">
        <v>4583</v>
      </c>
      <c r="H3029"/>
    </row>
    <row r="3030" spans="1:8" hidden="1" x14ac:dyDescent="0.25">
      <c r="A3030" s="43">
        <v>493</v>
      </c>
      <c r="B3030" s="43" t="s">
        <v>140</v>
      </c>
      <c r="C3030" s="43" t="s">
        <v>682</v>
      </c>
      <c r="D3030" s="43" t="s">
        <v>697</v>
      </c>
      <c r="E3030" s="43" t="s">
        <v>698</v>
      </c>
      <c r="F3030" s="43">
        <v>0</v>
      </c>
      <c r="G3030" s="43" t="s">
        <v>4583</v>
      </c>
      <c r="H3030"/>
    </row>
    <row r="3031" spans="1:8" hidden="1" x14ac:dyDescent="0.25">
      <c r="A3031" s="43">
        <v>493</v>
      </c>
      <c r="B3031" s="43" t="s">
        <v>140</v>
      </c>
      <c r="C3031" s="43" t="s">
        <v>682</v>
      </c>
      <c r="D3031" s="43" t="s">
        <v>699</v>
      </c>
      <c r="E3031" s="43" t="s">
        <v>700</v>
      </c>
      <c r="F3031" s="43">
        <v>0</v>
      </c>
      <c r="G3031" s="43" t="s">
        <v>4583</v>
      </c>
      <c r="H3031"/>
    </row>
    <row r="3032" spans="1:8" hidden="1" x14ac:dyDescent="0.25">
      <c r="A3032" s="43">
        <v>494</v>
      </c>
      <c r="B3032" s="43" t="s">
        <v>140</v>
      </c>
      <c r="C3032" s="43" t="s">
        <v>422</v>
      </c>
      <c r="D3032" s="43" t="s">
        <v>423</v>
      </c>
      <c r="E3032" s="43" t="s">
        <v>424</v>
      </c>
      <c r="F3032" s="43">
        <v>0</v>
      </c>
      <c r="G3032" s="43" t="s">
        <v>4659</v>
      </c>
      <c r="H3032" s="43" t="s">
        <v>4766</v>
      </c>
    </row>
    <row r="3033" spans="1:8" hidden="1" x14ac:dyDescent="0.25">
      <c r="A3033" s="43">
        <v>494</v>
      </c>
      <c r="B3033" s="43" t="s">
        <v>140</v>
      </c>
      <c r="C3033" s="43" t="s">
        <v>422</v>
      </c>
      <c r="D3033" s="43" t="s">
        <v>425</v>
      </c>
      <c r="E3033" s="43" t="s">
        <v>426</v>
      </c>
      <c r="F3033" s="43">
        <v>1</v>
      </c>
      <c r="G3033"/>
      <c r="H3033"/>
    </row>
    <row r="3034" spans="1:8" hidden="1" x14ac:dyDescent="0.25">
      <c r="A3034" s="43">
        <v>494</v>
      </c>
      <c r="B3034" s="43" t="s">
        <v>140</v>
      </c>
      <c r="C3034" s="43" t="s">
        <v>422</v>
      </c>
      <c r="D3034" s="43" t="s">
        <v>427</v>
      </c>
      <c r="E3034" s="43" t="s">
        <v>428</v>
      </c>
      <c r="F3034" s="43">
        <v>0</v>
      </c>
      <c r="G3034" s="43" t="s">
        <v>4583</v>
      </c>
      <c r="H3034"/>
    </row>
    <row r="3035" spans="1:8" hidden="1" x14ac:dyDescent="0.25">
      <c r="A3035" s="43">
        <v>494</v>
      </c>
      <c r="B3035" s="43" t="s">
        <v>140</v>
      </c>
      <c r="C3035" s="43" t="s">
        <v>422</v>
      </c>
      <c r="D3035" s="43" t="s">
        <v>429</v>
      </c>
      <c r="E3035" s="43" t="s">
        <v>430</v>
      </c>
      <c r="F3035" s="89">
        <v>1</v>
      </c>
      <c r="H3035"/>
    </row>
    <row r="3036" spans="1:8" hidden="1" x14ac:dyDescent="0.25">
      <c r="A3036" s="43">
        <v>494</v>
      </c>
      <c r="B3036" s="43" t="s">
        <v>140</v>
      </c>
      <c r="C3036" s="43" t="s">
        <v>422</v>
      </c>
      <c r="D3036" s="43" t="s">
        <v>431</v>
      </c>
      <c r="E3036" s="43" t="s">
        <v>432</v>
      </c>
      <c r="F3036" s="43">
        <v>1</v>
      </c>
      <c r="G3036"/>
      <c r="H3036"/>
    </row>
    <row r="3037" spans="1:8" hidden="1" x14ac:dyDescent="0.25">
      <c r="A3037" s="43">
        <v>494</v>
      </c>
      <c r="B3037" s="43" t="s">
        <v>140</v>
      </c>
      <c r="C3037" s="43" t="s">
        <v>422</v>
      </c>
      <c r="D3037" s="43" t="s">
        <v>433</v>
      </c>
      <c r="E3037" s="43" t="s">
        <v>434</v>
      </c>
      <c r="F3037" s="89">
        <v>1</v>
      </c>
      <c r="H3037"/>
    </row>
    <row r="3038" spans="1:8" hidden="1" x14ac:dyDescent="0.25">
      <c r="A3038" s="43">
        <v>494</v>
      </c>
      <c r="B3038" s="43" t="s">
        <v>140</v>
      </c>
      <c r="C3038" s="43" t="s">
        <v>422</v>
      </c>
      <c r="D3038" s="43" t="s">
        <v>435</v>
      </c>
      <c r="E3038" s="43" t="s">
        <v>436</v>
      </c>
      <c r="F3038" s="89">
        <v>1</v>
      </c>
      <c r="H3038"/>
    </row>
    <row r="3039" spans="1:8" hidden="1" x14ac:dyDescent="0.25">
      <c r="A3039" s="43">
        <v>494</v>
      </c>
      <c r="B3039" s="43" t="s">
        <v>140</v>
      </c>
      <c r="C3039" s="43" t="s">
        <v>422</v>
      </c>
      <c r="D3039" s="43" t="s">
        <v>437</v>
      </c>
      <c r="E3039" s="43" t="s">
        <v>438</v>
      </c>
      <c r="F3039" s="43">
        <v>1</v>
      </c>
      <c r="G3039"/>
      <c r="H3039"/>
    </row>
    <row r="3040" spans="1:8" hidden="1" x14ac:dyDescent="0.25">
      <c r="A3040" s="43">
        <v>494</v>
      </c>
      <c r="B3040" s="43" t="s">
        <v>140</v>
      </c>
      <c r="C3040" s="43" t="s">
        <v>422</v>
      </c>
      <c r="D3040" s="43" t="s">
        <v>439</v>
      </c>
      <c r="E3040" s="43" t="s">
        <v>440</v>
      </c>
      <c r="F3040" s="89">
        <v>1</v>
      </c>
      <c r="H3040"/>
    </row>
    <row r="3041" spans="1:8" hidden="1" x14ac:dyDescent="0.25">
      <c r="A3041" s="43">
        <v>494</v>
      </c>
      <c r="B3041" s="43" t="s">
        <v>140</v>
      </c>
      <c r="C3041" s="43" t="s">
        <v>1220</v>
      </c>
      <c r="D3041" s="43" t="s">
        <v>1221</v>
      </c>
      <c r="E3041" s="43" t="s">
        <v>430</v>
      </c>
      <c r="F3041" s="89">
        <v>1</v>
      </c>
      <c r="H3041"/>
    </row>
    <row r="3042" spans="1:8" hidden="1" x14ac:dyDescent="0.25">
      <c r="A3042" s="43">
        <v>494</v>
      </c>
      <c r="B3042" s="43" t="s">
        <v>140</v>
      </c>
      <c r="C3042" s="43" t="s">
        <v>1220</v>
      </c>
      <c r="D3042" s="43" t="s">
        <v>1222</v>
      </c>
      <c r="E3042" s="43" t="s">
        <v>1223</v>
      </c>
      <c r="F3042" s="43">
        <v>0</v>
      </c>
      <c r="G3042" s="43" t="s">
        <v>4583</v>
      </c>
      <c r="H3042"/>
    </row>
    <row r="3043" spans="1:8" hidden="1" x14ac:dyDescent="0.25">
      <c r="A3043" s="43">
        <v>494</v>
      </c>
      <c r="B3043" s="43" t="s">
        <v>140</v>
      </c>
      <c r="C3043" s="43" t="s">
        <v>1220</v>
      </c>
      <c r="D3043" s="43" t="s">
        <v>1224</v>
      </c>
      <c r="E3043" s="43" t="s">
        <v>1225</v>
      </c>
      <c r="F3043" s="43">
        <v>0</v>
      </c>
      <c r="G3043" s="43" t="s">
        <v>4583</v>
      </c>
      <c r="H3043"/>
    </row>
    <row r="3044" spans="1:8" hidden="1" x14ac:dyDescent="0.25">
      <c r="A3044" s="43">
        <v>494</v>
      </c>
      <c r="B3044" s="43" t="s">
        <v>140</v>
      </c>
      <c r="C3044" s="43" t="s">
        <v>1220</v>
      </c>
      <c r="D3044" s="43" t="s">
        <v>1226</v>
      </c>
      <c r="E3044" s="43" t="s">
        <v>1227</v>
      </c>
      <c r="F3044" s="43">
        <v>1</v>
      </c>
      <c r="G3044"/>
      <c r="H3044"/>
    </row>
    <row r="3045" spans="1:8" hidden="1" x14ac:dyDescent="0.25">
      <c r="A3045" s="43">
        <v>494</v>
      </c>
      <c r="B3045" s="43" t="s">
        <v>140</v>
      </c>
      <c r="C3045" s="43" t="s">
        <v>1220</v>
      </c>
      <c r="D3045" s="43" t="s">
        <v>1228</v>
      </c>
      <c r="E3045" s="43" t="s">
        <v>438</v>
      </c>
      <c r="F3045" s="43">
        <v>1</v>
      </c>
      <c r="G3045"/>
      <c r="H3045"/>
    </row>
    <row r="3046" spans="1:8" hidden="1" x14ac:dyDescent="0.25">
      <c r="A3046" s="43">
        <v>494</v>
      </c>
      <c r="B3046" s="43" t="s">
        <v>140</v>
      </c>
      <c r="C3046" s="43" t="s">
        <v>1220</v>
      </c>
      <c r="D3046" s="43" t="s">
        <v>1229</v>
      </c>
      <c r="E3046" s="43" t="s">
        <v>440</v>
      </c>
      <c r="F3046" s="43">
        <v>1</v>
      </c>
      <c r="G3046"/>
      <c r="H3046"/>
    </row>
    <row r="3047" spans="1:8" hidden="1" x14ac:dyDescent="0.25">
      <c r="A3047" s="43">
        <v>494</v>
      </c>
      <c r="B3047" s="43" t="s">
        <v>140</v>
      </c>
      <c r="C3047" s="43" t="s">
        <v>1220</v>
      </c>
      <c r="D3047" s="43" t="s">
        <v>1230</v>
      </c>
      <c r="E3047" s="43" t="s">
        <v>424</v>
      </c>
      <c r="F3047" s="43">
        <v>1</v>
      </c>
      <c r="G3047"/>
      <c r="H3047"/>
    </row>
    <row r="3048" spans="1:8" hidden="1" x14ac:dyDescent="0.25">
      <c r="A3048" s="43">
        <v>494</v>
      </c>
      <c r="B3048" s="43" t="s">
        <v>140</v>
      </c>
      <c r="C3048" s="43" t="s">
        <v>1220</v>
      </c>
      <c r="D3048" s="43" t="s">
        <v>1231</v>
      </c>
      <c r="E3048" s="43" t="s">
        <v>1232</v>
      </c>
      <c r="F3048" s="43">
        <v>1</v>
      </c>
      <c r="G3048"/>
      <c r="H3048"/>
    </row>
    <row r="3049" spans="1:8" hidden="1" x14ac:dyDescent="0.25">
      <c r="A3049" s="43">
        <v>494</v>
      </c>
      <c r="B3049" s="43" t="s">
        <v>140</v>
      </c>
      <c r="C3049" s="43" t="s">
        <v>1220</v>
      </c>
      <c r="D3049" s="43" t="s">
        <v>1233</v>
      </c>
      <c r="E3049" s="43" t="s">
        <v>1234</v>
      </c>
      <c r="F3049" s="43">
        <v>1</v>
      </c>
      <c r="G3049"/>
      <c r="H3049"/>
    </row>
    <row r="3050" spans="1:8" hidden="1" x14ac:dyDescent="0.25">
      <c r="A3050" s="43">
        <v>494</v>
      </c>
      <c r="B3050" s="43" t="s">
        <v>140</v>
      </c>
      <c r="C3050" s="43" t="s">
        <v>1220</v>
      </c>
      <c r="D3050" s="43" t="s">
        <v>1235</v>
      </c>
      <c r="E3050" s="43" t="s">
        <v>1236</v>
      </c>
      <c r="F3050" s="43">
        <v>1</v>
      </c>
      <c r="G3050"/>
      <c r="H3050"/>
    </row>
    <row r="3051" spans="1:8" hidden="1" x14ac:dyDescent="0.25">
      <c r="A3051" s="43">
        <v>494</v>
      </c>
      <c r="B3051" s="43" t="s">
        <v>140</v>
      </c>
      <c r="C3051" s="43" t="s">
        <v>1220</v>
      </c>
      <c r="D3051" s="43" t="s">
        <v>1237</v>
      </c>
      <c r="E3051" s="43" t="s">
        <v>656</v>
      </c>
      <c r="F3051" s="43">
        <v>1</v>
      </c>
      <c r="G3051"/>
      <c r="H3051"/>
    </row>
    <row r="3052" spans="1:8" hidden="1" x14ac:dyDescent="0.25">
      <c r="A3052" s="43">
        <v>494</v>
      </c>
      <c r="B3052" s="43" t="s">
        <v>140</v>
      </c>
      <c r="C3052" s="43" t="s">
        <v>1220</v>
      </c>
      <c r="D3052" s="43" t="s">
        <v>1238</v>
      </c>
      <c r="E3052" s="43" t="s">
        <v>658</v>
      </c>
      <c r="F3052" s="43">
        <v>1</v>
      </c>
      <c r="G3052"/>
      <c r="H3052"/>
    </row>
    <row r="3053" spans="1:8" hidden="1" x14ac:dyDescent="0.25">
      <c r="A3053" s="43">
        <v>494</v>
      </c>
      <c r="B3053" s="43" t="s">
        <v>140</v>
      </c>
      <c r="C3053" s="43" t="s">
        <v>1220</v>
      </c>
      <c r="D3053" s="43" t="s">
        <v>1239</v>
      </c>
      <c r="E3053" s="43" t="s">
        <v>1240</v>
      </c>
      <c r="F3053" s="43">
        <v>1</v>
      </c>
      <c r="G3053"/>
      <c r="H3053"/>
    </row>
    <row r="3054" spans="1:8" hidden="1" x14ac:dyDescent="0.25">
      <c r="A3054" s="43">
        <v>494</v>
      </c>
      <c r="B3054" s="43" t="s">
        <v>140</v>
      </c>
      <c r="C3054" s="43" t="s">
        <v>1220</v>
      </c>
      <c r="D3054" s="43" t="s">
        <v>1241</v>
      </c>
      <c r="E3054" s="43" t="s">
        <v>1242</v>
      </c>
      <c r="F3054" s="43">
        <v>1</v>
      </c>
      <c r="G3054"/>
      <c r="H3054"/>
    </row>
    <row r="3055" spans="1:8" hidden="1" x14ac:dyDescent="0.25">
      <c r="A3055" s="43">
        <v>494</v>
      </c>
      <c r="B3055" s="43" t="s">
        <v>140</v>
      </c>
      <c r="C3055" s="43" t="s">
        <v>1220</v>
      </c>
      <c r="D3055" s="43" t="s">
        <v>1243</v>
      </c>
      <c r="E3055" s="43" t="s">
        <v>4482</v>
      </c>
      <c r="F3055" s="43">
        <v>1</v>
      </c>
      <c r="G3055"/>
      <c r="H3055"/>
    </row>
    <row r="3056" spans="1:8" hidden="1" x14ac:dyDescent="0.25">
      <c r="A3056" s="43">
        <v>494</v>
      </c>
      <c r="B3056" s="43" t="s">
        <v>140</v>
      </c>
      <c r="C3056" s="43" t="s">
        <v>682</v>
      </c>
      <c r="D3056" s="43" t="s">
        <v>683</v>
      </c>
      <c r="E3056" s="43" t="s">
        <v>684</v>
      </c>
      <c r="F3056" s="43">
        <v>0</v>
      </c>
      <c r="G3056" s="43" t="s">
        <v>4659</v>
      </c>
      <c r="H3056" s="43" t="s">
        <v>4766</v>
      </c>
    </row>
    <row r="3057" spans="1:8" hidden="1" x14ac:dyDescent="0.25">
      <c r="A3057" s="43">
        <v>494</v>
      </c>
      <c r="B3057" s="43" t="s">
        <v>140</v>
      </c>
      <c r="C3057" s="43" t="s">
        <v>682</v>
      </c>
      <c r="D3057" s="43" t="s">
        <v>685</v>
      </c>
      <c r="E3057" s="43" t="s">
        <v>686</v>
      </c>
      <c r="F3057" s="43">
        <v>1</v>
      </c>
      <c r="G3057"/>
      <c r="H3057"/>
    </row>
    <row r="3058" spans="1:8" hidden="1" x14ac:dyDescent="0.25">
      <c r="A3058" s="43">
        <v>494</v>
      </c>
      <c r="B3058" s="43" t="s">
        <v>140</v>
      </c>
      <c r="C3058" s="43" t="s">
        <v>682</v>
      </c>
      <c r="D3058" s="43" t="s">
        <v>687</v>
      </c>
      <c r="E3058" s="43" t="s">
        <v>638</v>
      </c>
      <c r="F3058" s="43">
        <v>1</v>
      </c>
      <c r="G3058"/>
      <c r="H3058"/>
    </row>
    <row r="3059" spans="1:8" hidden="1" x14ac:dyDescent="0.25">
      <c r="A3059" s="43">
        <v>494</v>
      </c>
      <c r="B3059" s="43" t="s">
        <v>140</v>
      </c>
      <c r="C3059" s="43" t="s">
        <v>682</v>
      </c>
      <c r="D3059" s="43" t="s">
        <v>688</v>
      </c>
      <c r="E3059" s="43" t="s">
        <v>689</v>
      </c>
      <c r="F3059" s="43">
        <v>0</v>
      </c>
      <c r="G3059" s="43" t="s">
        <v>4583</v>
      </c>
    </row>
    <row r="3060" spans="1:8" hidden="1" x14ac:dyDescent="0.25">
      <c r="A3060" s="43">
        <v>494</v>
      </c>
      <c r="B3060" s="43" t="s">
        <v>140</v>
      </c>
      <c r="C3060" s="43" t="s">
        <v>682</v>
      </c>
      <c r="D3060" s="43" t="s">
        <v>690</v>
      </c>
      <c r="E3060" s="43" t="s">
        <v>640</v>
      </c>
      <c r="F3060" s="43">
        <v>1</v>
      </c>
      <c r="G3060"/>
      <c r="H3060"/>
    </row>
    <row r="3061" spans="1:8" hidden="1" x14ac:dyDescent="0.25">
      <c r="A3061" s="43">
        <v>494</v>
      </c>
      <c r="B3061" s="43" t="s">
        <v>140</v>
      </c>
      <c r="C3061" s="43" t="s">
        <v>682</v>
      </c>
      <c r="D3061" s="43" t="s">
        <v>691</v>
      </c>
      <c r="E3061" s="43" t="s">
        <v>692</v>
      </c>
      <c r="F3061" s="43">
        <v>1</v>
      </c>
      <c r="G3061"/>
      <c r="H3061"/>
    </row>
    <row r="3062" spans="1:8" hidden="1" x14ac:dyDescent="0.25">
      <c r="A3062" s="43">
        <v>494</v>
      </c>
      <c r="B3062" s="43" t="s">
        <v>140</v>
      </c>
      <c r="C3062" s="43" t="s">
        <v>682</v>
      </c>
      <c r="D3062" s="43" t="s">
        <v>693</v>
      </c>
      <c r="E3062" s="43" t="s">
        <v>694</v>
      </c>
      <c r="F3062" s="43">
        <v>1</v>
      </c>
      <c r="G3062"/>
      <c r="H3062"/>
    </row>
    <row r="3063" spans="1:8" hidden="1" x14ac:dyDescent="0.25">
      <c r="A3063" s="43">
        <v>494</v>
      </c>
      <c r="B3063" s="43" t="s">
        <v>140</v>
      </c>
      <c r="C3063" s="43" t="s">
        <v>682</v>
      </c>
      <c r="D3063" s="43" t="s">
        <v>695</v>
      </c>
      <c r="E3063" s="43" t="s">
        <v>696</v>
      </c>
      <c r="F3063" s="43">
        <v>0</v>
      </c>
      <c r="G3063" s="43" t="s">
        <v>4583</v>
      </c>
      <c r="H3063"/>
    </row>
    <row r="3064" spans="1:8" hidden="1" x14ac:dyDescent="0.25">
      <c r="A3064" s="43">
        <v>494</v>
      </c>
      <c r="B3064" s="43" t="s">
        <v>140</v>
      </c>
      <c r="C3064" s="43" t="s">
        <v>682</v>
      </c>
      <c r="D3064" s="43" t="s">
        <v>697</v>
      </c>
      <c r="E3064" s="43" t="s">
        <v>698</v>
      </c>
      <c r="F3064" s="43">
        <v>1</v>
      </c>
      <c r="G3064"/>
      <c r="H3064"/>
    </row>
    <row r="3065" spans="1:8" hidden="1" x14ac:dyDescent="0.25">
      <c r="A3065" s="43">
        <v>494</v>
      </c>
      <c r="B3065" s="43" t="s">
        <v>140</v>
      </c>
      <c r="C3065" s="43" t="s">
        <v>682</v>
      </c>
      <c r="D3065" s="43" t="s">
        <v>699</v>
      </c>
      <c r="E3065" s="43" t="s">
        <v>700</v>
      </c>
      <c r="F3065" s="43">
        <v>1</v>
      </c>
      <c r="G3065"/>
      <c r="H3065"/>
    </row>
    <row r="3066" spans="1:8" hidden="1" x14ac:dyDescent="0.25">
      <c r="A3066" s="43">
        <v>498</v>
      </c>
      <c r="B3066" s="43" t="s">
        <v>141</v>
      </c>
      <c r="C3066" s="43" t="s">
        <v>581</v>
      </c>
      <c r="D3066" s="43" t="s">
        <v>582</v>
      </c>
      <c r="E3066" s="43" t="s">
        <v>583</v>
      </c>
      <c r="F3066" s="89">
        <v>1</v>
      </c>
      <c r="H3066"/>
    </row>
    <row r="3067" spans="1:8" hidden="1" x14ac:dyDescent="0.25">
      <c r="A3067" s="43">
        <v>498</v>
      </c>
      <c r="B3067" s="43" t="s">
        <v>141</v>
      </c>
      <c r="C3067" s="43" t="s">
        <v>581</v>
      </c>
      <c r="D3067" s="43" t="s">
        <v>584</v>
      </c>
      <c r="E3067" s="43" t="s">
        <v>306</v>
      </c>
      <c r="F3067" s="43">
        <v>1</v>
      </c>
      <c r="G3067"/>
      <c r="H3067"/>
    </row>
    <row r="3068" spans="1:8" hidden="1" x14ac:dyDescent="0.25">
      <c r="A3068" s="43">
        <v>498</v>
      </c>
      <c r="B3068" s="43" t="s">
        <v>141</v>
      </c>
      <c r="C3068" s="43" t="s">
        <v>581</v>
      </c>
      <c r="D3068" s="43" t="s">
        <v>585</v>
      </c>
      <c r="E3068" s="43" t="s">
        <v>586</v>
      </c>
      <c r="F3068" s="43">
        <v>1</v>
      </c>
      <c r="G3068"/>
      <c r="H3068"/>
    </row>
    <row r="3069" spans="1:8" hidden="1" x14ac:dyDescent="0.25">
      <c r="A3069" s="43">
        <v>498</v>
      </c>
      <c r="B3069" s="43" t="s">
        <v>141</v>
      </c>
      <c r="C3069" s="43" t="s">
        <v>581</v>
      </c>
      <c r="D3069" s="43" t="s">
        <v>587</v>
      </c>
      <c r="E3069" s="43" t="s">
        <v>588</v>
      </c>
      <c r="F3069" s="43">
        <v>1</v>
      </c>
      <c r="G3069"/>
      <c r="H3069"/>
    </row>
    <row r="3070" spans="1:8" hidden="1" x14ac:dyDescent="0.25">
      <c r="A3070" s="43">
        <v>498</v>
      </c>
      <c r="B3070" s="43" t="s">
        <v>141</v>
      </c>
      <c r="C3070" s="43" t="s">
        <v>581</v>
      </c>
      <c r="D3070" s="43" t="s">
        <v>589</v>
      </c>
      <c r="E3070" s="43" t="s">
        <v>312</v>
      </c>
      <c r="F3070" s="89">
        <v>1</v>
      </c>
      <c r="H3070"/>
    </row>
    <row r="3071" spans="1:8" hidden="1" x14ac:dyDescent="0.25">
      <c r="A3071" s="43">
        <v>498</v>
      </c>
      <c r="B3071" s="43" t="s">
        <v>141</v>
      </c>
      <c r="C3071" s="43" t="s">
        <v>581</v>
      </c>
      <c r="D3071" s="43" t="s">
        <v>590</v>
      </c>
      <c r="E3071" s="43" t="s">
        <v>493</v>
      </c>
      <c r="F3071" s="89">
        <v>1</v>
      </c>
      <c r="H3071"/>
    </row>
    <row r="3072" spans="1:8" hidden="1" x14ac:dyDescent="0.25">
      <c r="A3072" s="43">
        <v>498</v>
      </c>
      <c r="B3072" s="43" t="s">
        <v>141</v>
      </c>
      <c r="C3072" s="43" t="s">
        <v>581</v>
      </c>
      <c r="D3072" s="43" t="s">
        <v>591</v>
      </c>
      <c r="E3072" s="43" t="s">
        <v>314</v>
      </c>
      <c r="F3072" s="89">
        <v>1</v>
      </c>
      <c r="H3072"/>
    </row>
    <row r="3073" spans="1:8" hidden="1" x14ac:dyDescent="0.25">
      <c r="A3073" s="43">
        <v>498</v>
      </c>
      <c r="B3073" s="43" t="s">
        <v>141</v>
      </c>
      <c r="C3073" s="43" t="s">
        <v>581</v>
      </c>
      <c r="D3073" s="43" t="s">
        <v>592</v>
      </c>
      <c r="E3073" s="43" t="s">
        <v>275</v>
      </c>
      <c r="F3073" s="43">
        <v>1</v>
      </c>
      <c r="G3073"/>
      <c r="H3073"/>
    </row>
    <row r="3074" spans="1:8" hidden="1" x14ac:dyDescent="0.25">
      <c r="A3074" s="43">
        <v>498</v>
      </c>
      <c r="B3074" s="43" t="s">
        <v>141</v>
      </c>
      <c r="C3074" s="43" t="s">
        <v>581</v>
      </c>
      <c r="D3074" s="43" t="s">
        <v>593</v>
      </c>
      <c r="E3074" s="43" t="s">
        <v>594</v>
      </c>
      <c r="F3074" s="43">
        <v>1</v>
      </c>
      <c r="G3074"/>
      <c r="H3074"/>
    </row>
    <row r="3075" spans="1:8" hidden="1" x14ac:dyDescent="0.25">
      <c r="A3075" s="43">
        <v>498</v>
      </c>
      <c r="B3075" s="43" t="s">
        <v>141</v>
      </c>
      <c r="C3075" s="43" t="s">
        <v>581</v>
      </c>
      <c r="D3075" s="43" t="s">
        <v>595</v>
      </c>
      <c r="E3075" s="43" t="s">
        <v>349</v>
      </c>
      <c r="F3075" s="89">
        <v>1</v>
      </c>
      <c r="H3075"/>
    </row>
    <row r="3076" spans="1:8" hidden="1" x14ac:dyDescent="0.25">
      <c r="A3076" s="43">
        <v>498</v>
      </c>
      <c r="B3076" s="43" t="s">
        <v>141</v>
      </c>
      <c r="C3076" s="43" t="s">
        <v>581</v>
      </c>
      <c r="D3076" s="43" t="s">
        <v>596</v>
      </c>
      <c r="E3076" s="43" t="s">
        <v>597</v>
      </c>
      <c r="F3076" s="89">
        <v>1</v>
      </c>
      <c r="H3076"/>
    </row>
    <row r="3077" spans="1:8" hidden="1" x14ac:dyDescent="0.25">
      <c r="A3077" s="43">
        <v>498</v>
      </c>
      <c r="B3077" s="43" t="s">
        <v>141</v>
      </c>
      <c r="C3077" s="43" t="s">
        <v>581</v>
      </c>
      <c r="D3077" s="43" t="s">
        <v>598</v>
      </c>
      <c r="E3077" s="43" t="s">
        <v>599</v>
      </c>
      <c r="F3077" s="43">
        <v>0</v>
      </c>
      <c r="G3077" s="43" t="s">
        <v>4583</v>
      </c>
      <c r="H3077"/>
    </row>
    <row r="3078" spans="1:8" hidden="1" x14ac:dyDescent="0.25">
      <c r="A3078" s="43">
        <v>498</v>
      </c>
      <c r="B3078" s="43" t="s">
        <v>141</v>
      </c>
      <c r="C3078" s="43" t="s">
        <v>581</v>
      </c>
      <c r="D3078" s="43" t="s">
        <v>600</v>
      </c>
      <c r="E3078" s="43" t="s">
        <v>601</v>
      </c>
      <c r="F3078" s="43">
        <v>1</v>
      </c>
      <c r="G3078"/>
      <c r="H3078"/>
    </row>
    <row r="3079" spans="1:8" hidden="1" x14ac:dyDescent="0.25">
      <c r="A3079" s="43">
        <v>498</v>
      </c>
      <c r="B3079" s="43" t="s">
        <v>141</v>
      </c>
      <c r="C3079" s="43" t="s">
        <v>581</v>
      </c>
      <c r="D3079" s="43" t="s">
        <v>602</v>
      </c>
      <c r="E3079" s="43" t="s">
        <v>603</v>
      </c>
      <c r="F3079" s="43">
        <v>1</v>
      </c>
      <c r="G3079"/>
      <c r="H3079"/>
    </row>
    <row r="3080" spans="1:8" hidden="1" x14ac:dyDescent="0.25">
      <c r="A3080" s="43">
        <v>498</v>
      </c>
      <c r="B3080" s="43" t="s">
        <v>141</v>
      </c>
      <c r="C3080" s="43" t="s">
        <v>581</v>
      </c>
      <c r="D3080" s="43" t="s">
        <v>604</v>
      </c>
      <c r="E3080" s="43" t="s">
        <v>605</v>
      </c>
      <c r="F3080" s="43">
        <v>1</v>
      </c>
      <c r="G3080"/>
      <c r="H3080"/>
    </row>
    <row r="3081" spans="1:8" hidden="1" x14ac:dyDescent="0.25">
      <c r="A3081" s="43">
        <v>498</v>
      </c>
      <c r="B3081" s="43" t="s">
        <v>141</v>
      </c>
      <c r="C3081" s="43" t="s">
        <v>581</v>
      </c>
      <c r="D3081" s="43" t="s">
        <v>606</v>
      </c>
      <c r="E3081" s="43" t="s">
        <v>503</v>
      </c>
      <c r="F3081" s="43">
        <v>1</v>
      </c>
      <c r="G3081"/>
      <c r="H3081"/>
    </row>
    <row r="3082" spans="1:8" hidden="1" x14ac:dyDescent="0.25">
      <c r="A3082" s="43">
        <v>498</v>
      </c>
      <c r="B3082" s="43" t="s">
        <v>141</v>
      </c>
      <c r="C3082" s="43" t="s">
        <v>581</v>
      </c>
      <c r="D3082" s="43" t="s">
        <v>607</v>
      </c>
      <c r="E3082" s="43" t="s">
        <v>505</v>
      </c>
      <c r="F3082" s="89">
        <v>1</v>
      </c>
      <c r="H3082"/>
    </row>
    <row r="3083" spans="1:8" hidden="1" x14ac:dyDescent="0.25">
      <c r="A3083" s="43">
        <v>498</v>
      </c>
      <c r="B3083" s="43" t="s">
        <v>141</v>
      </c>
      <c r="C3083" s="43" t="s">
        <v>581</v>
      </c>
      <c r="D3083" s="43" t="s">
        <v>608</v>
      </c>
      <c r="E3083" s="43" t="s">
        <v>609</v>
      </c>
      <c r="F3083" s="43">
        <v>1</v>
      </c>
      <c r="G3083"/>
      <c r="H3083"/>
    </row>
    <row r="3084" spans="1:8" hidden="1" x14ac:dyDescent="0.25">
      <c r="A3084" s="43">
        <v>500</v>
      </c>
      <c r="B3084" s="43" t="s">
        <v>142</v>
      </c>
      <c r="C3084" s="43" t="s">
        <v>636</v>
      </c>
      <c r="D3084" s="43" t="s">
        <v>637</v>
      </c>
      <c r="E3084" s="43" t="s">
        <v>638</v>
      </c>
      <c r="F3084" s="43">
        <v>1</v>
      </c>
      <c r="G3084"/>
      <c r="H3084"/>
    </row>
    <row r="3085" spans="1:8" hidden="1" x14ac:dyDescent="0.25">
      <c r="A3085" s="43">
        <v>500</v>
      </c>
      <c r="B3085" s="43" t="s">
        <v>142</v>
      </c>
      <c r="C3085" s="43" t="s">
        <v>636</v>
      </c>
      <c r="D3085" s="43" t="s">
        <v>639</v>
      </c>
      <c r="E3085" s="43" t="s">
        <v>640</v>
      </c>
      <c r="F3085" s="43">
        <v>1</v>
      </c>
      <c r="G3085"/>
      <c r="H3085"/>
    </row>
    <row r="3086" spans="1:8" ht="18.75" hidden="1" customHeight="1" x14ac:dyDescent="0.25">
      <c r="A3086" s="43">
        <v>500</v>
      </c>
      <c r="B3086" s="43" t="s">
        <v>142</v>
      </c>
      <c r="C3086" s="43" t="s">
        <v>636</v>
      </c>
      <c r="D3086" s="43" t="s">
        <v>641</v>
      </c>
      <c r="E3086" s="43" t="s">
        <v>642</v>
      </c>
      <c r="F3086" s="43">
        <v>1</v>
      </c>
      <c r="G3086"/>
      <c r="H3086"/>
    </row>
    <row r="3087" spans="1:8" ht="15" hidden="1" customHeight="1" x14ac:dyDescent="0.25">
      <c r="A3087" s="43">
        <v>500</v>
      </c>
      <c r="B3087" s="43" t="s">
        <v>142</v>
      </c>
      <c r="C3087" s="43" t="s">
        <v>636</v>
      </c>
      <c r="D3087" s="43" t="s">
        <v>643</v>
      </c>
      <c r="E3087" s="43" t="s">
        <v>644</v>
      </c>
      <c r="F3087" s="43">
        <v>0</v>
      </c>
      <c r="G3087" s="43" t="s">
        <v>4660</v>
      </c>
      <c r="H3087" s="43" t="s">
        <v>4761</v>
      </c>
    </row>
    <row r="3088" spans="1:8" hidden="1" x14ac:dyDescent="0.25">
      <c r="A3088" s="43">
        <v>500</v>
      </c>
      <c r="B3088" s="43" t="s">
        <v>142</v>
      </c>
      <c r="C3088" s="43" t="s">
        <v>636</v>
      </c>
      <c r="D3088" s="43" t="s">
        <v>645</v>
      </c>
      <c r="E3088" s="43" t="s">
        <v>646</v>
      </c>
      <c r="F3088" s="43">
        <v>1</v>
      </c>
      <c r="G3088"/>
      <c r="H3088"/>
    </row>
    <row r="3089" spans="1:8" hidden="1" x14ac:dyDescent="0.25">
      <c r="A3089" s="43">
        <v>500</v>
      </c>
      <c r="B3089" s="43" t="s">
        <v>142</v>
      </c>
      <c r="C3089" s="43" t="s">
        <v>636</v>
      </c>
      <c r="D3089" s="43" t="s">
        <v>647</v>
      </c>
      <c r="E3089" s="43" t="s">
        <v>648</v>
      </c>
      <c r="F3089" s="43">
        <v>1</v>
      </c>
      <c r="G3089"/>
      <c r="H3089"/>
    </row>
    <row r="3090" spans="1:8" hidden="1" x14ac:dyDescent="0.25">
      <c r="A3090" s="43">
        <v>500</v>
      </c>
      <c r="B3090" s="43" t="s">
        <v>142</v>
      </c>
      <c r="C3090" s="43" t="s">
        <v>636</v>
      </c>
      <c r="D3090" s="43" t="s">
        <v>649</v>
      </c>
      <c r="E3090" s="43" t="s">
        <v>650</v>
      </c>
      <c r="F3090" s="43">
        <v>1</v>
      </c>
      <c r="G3090"/>
      <c r="H3090"/>
    </row>
    <row r="3091" spans="1:8" hidden="1" x14ac:dyDescent="0.25">
      <c r="A3091" s="43">
        <v>500</v>
      </c>
      <c r="B3091" s="43" t="s">
        <v>142</v>
      </c>
      <c r="C3091" s="43" t="s">
        <v>636</v>
      </c>
      <c r="D3091" s="43" t="s">
        <v>651</v>
      </c>
      <c r="E3091" s="43" t="s">
        <v>652</v>
      </c>
      <c r="F3091" s="43">
        <v>1</v>
      </c>
      <c r="G3091"/>
      <c r="H3091"/>
    </row>
    <row r="3092" spans="1:8" ht="18" hidden="1" customHeight="1" x14ac:dyDescent="0.25">
      <c r="A3092" s="43">
        <v>500</v>
      </c>
      <c r="B3092" s="43" t="s">
        <v>142</v>
      </c>
      <c r="C3092" s="43" t="s">
        <v>636</v>
      </c>
      <c r="D3092" s="43" t="s">
        <v>653</v>
      </c>
      <c r="E3092" s="43" t="s">
        <v>438</v>
      </c>
      <c r="F3092" s="43">
        <v>1</v>
      </c>
      <c r="G3092"/>
      <c r="H3092"/>
    </row>
    <row r="3093" spans="1:8" hidden="1" x14ac:dyDescent="0.25">
      <c r="A3093" s="43">
        <v>500</v>
      </c>
      <c r="B3093" s="43" t="s">
        <v>142</v>
      </c>
      <c r="C3093" s="43" t="s">
        <v>636</v>
      </c>
      <c r="D3093" s="43" t="s">
        <v>654</v>
      </c>
      <c r="E3093" s="43" t="s">
        <v>440</v>
      </c>
      <c r="F3093" s="43">
        <v>0</v>
      </c>
      <c r="G3093" s="43" t="s">
        <v>4660</v>
      </c>
      <c r="H3093" s="43" t="s">
        <v>4761</v>
      </c>
    </row>
    <row r="3094" spans="1:8" hidden="1" x14ac:dyDescent="0.25">
      <c r="A3094" s="43">
        <v>500</v>
      </c>
      <c r="B3094" s="43" t="s">
        <v>142</v>
      </c>
      <c r="C3094" s="43" t="s">
        <v>636</v>
      </c>
      <c r="D3094" s="43" t="s">
        <v>655</v>
      </c>
      <c r="E3094" s="43" t="s">
        <v>656</v>
      </c>
      <c r="F3094" s="43">
        <v>1</v>
      </c>
      <c r="G3094"/>
      <c r="H3094"/>
    </row>
    <row r="3095" spans="1:8" hidden="1" x14ac:dyDescent="0.25">
      <c r="A3095" s="43">
        <v>500</v>
      </c>
      <c r="B3095" s="43" t="s">
        <v>142</v>
      </c>
      <c r="C3095" s="43" t="s">
        <v>636</v>
      </c>
      <c r="D3095" s="43" t="s">
        <v>657</v>
      </c>
      <c r="E3095" s="43" t="s">
        <v>658</v>
      </c>
      <c r="F3095" s="43">
        <v>1</v>
      </c>
      <c r="G3095"/>
      <c r="H3095"/>
    </row>
    <row r="3096" spans="1:8" hidden="1" x14ac:dyDescent="0.25">
      <c r="A3096" s="43">
        <v>500</v>
      </c>
      <c r="B3096" s="43" t="s">
        <v>142</v>
      </c>
      <c r="C3096" s="43" t="s">
        <v>422</v>
      </c>
      <c r="D3096" s="43" t="s">
        <v>423</v>
      </c>
      <c r="E3096" s="43" t="s">
        <v>424</v>
      </c>
      <c r="F3096" s="43">
        <v>0</v>
      </c>
      <c r="G3096" s="43" t="s">
        <v>4660</v>
      </c>
      <c r="H3096" s="43" t="s">
        <v>4761</v>
      </c>
    </row>
    <row r="3097" spans="1:8" hidden="1" x14ac:dyDescent="0.25">
      <c r="A3097" s="43">
        <v>500</v>
      </c>
      <c r="B3097" s="43" t="s">
        <v>142</v>
      </c>
      <c r="C3097" s="43" t="s">
        <v>422</v>
      </c>
      <c r="D3097" s="43" t="s">
        <v>425</v>
      </c>
      <c r="E3097" s="43" t="s">
        <v>426</v>
      </c>
      <c r="F3097" s="43">
        <v>0</v>
      </c>
      <c r="G3097" s="43" t="s">
        <v>4660</v>
      </c>
      <c r="H3097" s="43" t="s">
        <v>4761</v>
      </c>
    </row>
    <row r="3098" spans="1:8" hidden="1" x14ac:dyDescent="0.25">
      <c r="A3098" s="43">
        <v>500</v>
      </c>
      <c r="B3098" s="43" t="s">
        <v>142</v>
      </c>
      <c r="C3098" s="43" t="s">
        <v>422</v>
      </c>
      <c r="D3098" s="43" t="s">
        <v>427</v>
      </c>
      <c r="E3098" s="43" t="s">
        <v>428</v>
      </c>
      <c r="F3098" s="43">
        <v>1</v>
      </c>
      <c r="G3098"/>
      <c r="H3098"/>
    </row>
    <row r="3099" spans="1:8" hidden="1" x14ac:dyDescent="0.25">
      <c r="A3099" s="43">
        <v>500</v>
      </c>
      <c r="B3099" s="43" t="s">
        <v>142</v>
      </c>
      <c r="C3099" s="43" t="s">
        <v>422</v>
      </c>
      <c r="D3099" s="43" t="s">
        <v>429</v>
      </c>
      <c r="E3099" s="43" t="s">
        <v>430</v>
      </c>
      <c r="F3099" s="43">
        <v>1</v>
      </c>
      <c r="G3099"/>
      <c r="H3099"/>
    </row>
    <row r="3100" spans="1:8" hidden="1" x14ac:dyDescent="0.25">
      <c r="A3100" s="43">
        <v>500</v>
      </c>
      <c r="B3100" s="43" t="s">
        <v>142</v>
      </c>
      <c r="C3100" s="43" t="s">
        <v>422</v>
      </c>
      <c r="D3100" s="43" t="s">
        <v>431</v>
      </c>
      <c r="E3100" s="43" t="s">
        <v>432</v>
      </c>
      <c r="F3100" s="89">
        <v>1</v>
      </c>
      <c r="H3100"/>
    </row>
    <row r="3101" spans="1:8" hidden="1" x14ac:dyDescent="0.25">
      <c r="A3101" s="43">
        <v>500</v>
      </c>
      <c r="B3101" s="43" t="s">
        <v>142</v>
      </c>
      <c r="C3101" s="43" t="s">
        <v>422</v>
      </c>
      <c r="D3101" s="43" t="s">
        <v>433</v>
      </c>
      <c r="E3101" s="43" t="s">
        <v>434</v>
      </c>
      <c r="F3101" s="89">
        <v>1</v>
      </c>
      <c r="H3101"/>
    </row>
    <row r="3102" spans="1:8" hidden="1" x14ac:dyDescent="0.25">
      <c r="A3102" s="43">
        <v>500</v>
      </c>
      <c r="B3102" s="43" t="s">
        <v>142</v>
      </c>
      <c r="C3102" s="43" t="s">
        <v>422</v>
      </c>
      <c r="D3102" s="43" t="s">
        <v>435</v>
      </c>
      <c r="E3102" s="43" t="s">
        <v>436</v>
      </c>
      <c r="F3102" s="43">
        <v>1</v>
      </c>
      <c r="G3102"/>
      <c r="H3102"/>
    </row>
    <row r="3103" spans="1:8" hidden="1" x14ac:dyDescent="0.25">
      <c r="A3103" s="43">
        <v>500</v>
      </c>
      <c r="B3103" s="43" t="s">
        <v>142</v>
      </c>
      <c r="C3103" s="43" t="s">
        <v>422</v>
      </c>
      <c r="D3103" s="43" t="s">
        <v>437</v>
      </c>
      <c r="E3103" s="43" t="s">
        <v>438</v>
      </c>
      <c r="F3103" s="43">
        <v>0</v>
      </c>
      <c r="G3103" s="43" t="s">
        <v>4660</v>
      </c>
      <c r="H3103" s="43" t="s">
        <v>4761</v>
      </c>
    </row>
    <row r="3104" spans="1:8" hidden="1" x14ac:dyDescent="0.25">
      <c r="A3104" s="43">
        <v>500</v>
      </c>
      <c r="B3104" s="43" t="s">
        <v>142</v>
      </c>
      <c r="C3104" s="43" t="s">
        <v>422</v>
      </c>
      <c r="D3104" s="43" t="s">
        <v>439</v>
      </c>
      <c r="E3104" s="43" t="s">
        <v>440</v>
      </c>
      <c r="F3104" s="43">
        <v>1</v>
      </c>
      <c r="G3104"/>
      <c r="H3104"/>
    </row>
    <row r="3105" spans="1:8" hidden="1" x14ac:dyDescent="0.25">
      <c r="A3105" s="43">
        <v>501</v>
      </c>
      <c r="B3105" s="43" t="s">
        <v>143</v>
      </c>
      <c r="C3105" s="43" t="s">
        <v>1685</v>
      </c>
      <c r="D3105" s="43" t="s">
        <v>1686</v>
      </c>
      <c r="E3105" s="43" t="s">
        <v>1687</v>
      </c>
      <c r="F3105" s="89">
        <v>1</v>
      </c>
      <c r="H3105"/>
    </row>
    <row r="3106" spans="1:8" hidden="1" x14ac:dyDescent="0.25">
      <c r="A3106" s="43">
        <v>501</v>
      </c>
      <c r="B3106" s="43" t="s">
        <v>143</v>
      </c>
      <c r="C3106" s="43" t="s">
        <v>1685</v>
      </c>
      <c r="D3106" s="43" t="s">
        <v>1688</v>
      </c>
      <c r="E3106" s="43" t="s">
        <v>1689</v>
      </c>
      <c r="F3106" s="89">
        <v>1</v>
      </c>
      <c r="H3106"/>
    </row>
    <row r="3107" spans="1:8" hidden="1" x14ac:dyDescent="0.25">
      <c r="A3107" s="43">
        <v>501</v>
      </c>
      <c r="B3107" s="43" t="s">
        <v>143</v>
      </c>
      <c r="C3107" s="43" t="s">
        <v>1685</v>
      </c>
      <c r="D3107" s="43" t="s">
        <v>1690</v>
      </c>
      <c r="E3107" s="43" t="s">
        <v>1691</v>
      </c>
      <c r="F3107" s="43">
        <v>1</v>
      </c>
      <c r="G3107"/>
      <c r="H3107"/>
    </row>
    <row r="3108" spans="1:8" hidden="1" x14ac:dyDescent="0.25">
      <c r="A3108" s="43">
        <v>501</v>
      </c>
      <c r="B3108" s="43" t="s">
        <v>143</v>
      </c>
      <c r="C3108" s="43" t="s">
        <v>1685</v>
      </c>
      <c r="D3108" s="43" t="s">
        <v>1692</v>
      </c>
      <c r="E3108" s="43" t="s">
        <v>1693</v>
      </c>
      <c r="F3108" s="43">
        <v>1</v>
      </c>
      <c r="G3108"/>
      <c r="H3108"/>
    </row>
    <row r="3109" spans="1:8" hidden="1" x14ac:dyDescent="0.25">
      <c r="A3109" s="43">
        <v>501</v>
      </c>
      <c r="B3109" s="43" t="s">
        <v>143</v>
      </c>
      <c r="C3109" s="43" t="s">
        <v>1685</v>
      </c>
      <c r="D3109" s="43" t="s">
        <v>1694</v>
      </c>
      <c r="E3109" s="43" t="s">
        <v>1695</v>
      </c>
      <c r="F3109" s="89">
        <v>1</v>
      </c>
      <c r="H3109"/>
    </row>
    <row r="3110" spans="1:8" hidden="1" x14ac:dyDescent="0.25">
      <c r="A3110" s="43">
        <v>501</v>
      </c>
      <c r="B3110" s="43" t="s">
        <v>143</v>
      </c>
      <c r="C3110" s="43" t="s">
        <v>1685</v>
      </c>
      <c r="D3110" s="43" t="s">
        <v>1696</v>
      </c>
      <c r="E3110" s="43" t="s">
        <v>1697</v>
      </c>
      <c r="F3110" s="89">
        <v>1</v>
      </c>
      <c r="H3110"/>
    </row>
    <row r="3111" spans="1:8" hidden="1" x14ac:dyDescent="0.25">
      <c r="A3111" s="43">
        <v>501</v>
      </c>
      <c r="B3111" s="43" t="s">
        <v>143</v>
      </c>
      <c r="C3111" s="43" t="s">
        <v>1685</v>
      </c>
      <c r="D3111" s="43" t="s">
        <v>1698</v>
      </c>
      <c r="E3111" s="43" t="s">
        <v>1699</v>
      </c>
      <c r="F3111" s="89">
        <v>1</v>
      </c>
      <c r="H3111"/>
    </row>
    <row r="3112" spans="1:8" hidden="1" x14ac:dyDescent="0.25">
      <c r="A3112" s="43">
        <v>501</v>
      </c>
      <c r="B3112" s="43" t="s">
        <v>143</v>
      </c>
      <c r="C3112" s="43" t="s">
        <v>1685</v>
      </c>
      <c r="D3112" s="43" t="s">
        <v>1700</v>
      </c>
      <c r="E3112" s="43" t="s">
        <v>1701</v>
      </c>
      <c r="F3112" s="43">
        <v>1</v>
      </c>
      <c r="G3112"/>
      <c r="H3112"/>
    </row>
    <row r="3113" spans="1:8" hidden="1" x14ac:dyDescent="0.25">
      <c r="A3113" s="43">
        <v>501</v>
      </c>
      <c r="B3113" s="43" t="s">
        <v>143</v>
      </c>
      <c r="C3113" s="43" t="s">
        <v>1685</v>
      </c>
      <c r="D3113" s="43" t="s">
        <v>1702</v>
      </c>
      <c r="E3113" s="43" t="s">
        <v>314</v>
      </c>
      <c r="F3113" s="43">
        <v>1</v>
      </c>
      <c r="G3113"/>
      <c r="H3113"/>
    </row>
    <row r="3114" spans="1:8" hidden="1" x14ac:dyDescent="0.25">
      <c r="A3114" s="43">
        <v>501</v>
      </c>
      <c r="B3114" s="43" t="s">
        <v>143</v>
      </c>
      <c r="C3114" s="43" t="s">
        <v>1685</v>
      </c>
      <c r="D3114" s="43" t="s">
        <v>1703</v>
      </c>
      <c r="E3114" s="43" t="s">
        <v>1704</v>
      </c>
      <c r="F3114" s="43">
        <v>1</v>
      </c>
      <c r="G3114"/>
      <c r="H3114"/>
    </row>
    <row r="3115" spans="1:8" hidden="1" x14ac:dyDescent="0.25">
      <c r="A3115" s="43">
        <v>501</v>
      </c>
      <c r="B3115" s="43" t="s">
        <v>143</v>
      </c>
      <c r="C3115" s="43" t="s">
        <v>1685</v>
      </c>
      <c r="D3115" s="43" t="s">
        <v>1705</v>
      </c>
      <c r="E3115" s="43" t="s">
        <v>1706</v>
      </c>
      <c r="F3115" s="89">
        <v>1</v>
      </c>
      <c r="H3115"/>
    </row>
    <row r="3116" spans="1:8" hidden="1" x14ac:dyDescent="0.25">
      <c r="A3116" s="43">
        <v>501</v>
      </c>
      <c r="B3116" s="43" t="s">
        <v>143</v>
      </c>
      <c r="C3116" s="43" t="s">
        <v>1685</v>
      </c>
      <c r="D3116" s="43" t="s">
        <v>1707</v>
      </c>
      <c r="E3116" s="43" t="s">
        <v>1708</v>
      </c>
      <c r="F3116" s="89">
        <v>1</v>
      </c>
      <c r="H3116"/>
    </row>
    <row r="3117" spans="1:8" hidden="1" x14ac:dyDescent="0.25">
      <c r="A3117" s="43">
        <v>501</v>
      </c>
      <c r="B3117" s="43" t="s">
        <v>143</v>
      </c>
      <c r="C3117" s="43" t="s">
        <v>1685</v>
      </c>
      <c r="D3117" s="43" t="s">
        <v>1709</v>
      </c>
      <c r="E3117" s="43" t="s">
        <v>1710</v>
      </c>
      <c r="F3117" s="43">
        <v>0</v>
      </c>
      <c r="G3117" s="43" t="s">
        <v>4661</v>
      </c>
      <c r="H3117" s="43" t="s">
        <v>4761</v>
      </c>
    </row>
    <row r="3118" spans="1:8" hidden="1" x14ac:dyDescent="0.25">
      <c r="A3118" s="43">
        <v>501</v>
      </c>
      <c r="B3118" s="43" t="s">
        <v>143</v>
      </c>
      <c r="C3118" s="43" t="s">
        <v>1685</v>
      </c>
      <c r="D3118" s="43" t="s">
        <v>1711</v>
      </c>
      <c r="E3118" s="43" t="s">
        <v>1124</v>
      </c>
      <c r="F3118" s="43">
        <v>0</v>
      </c>
      <c r="G3118" s="43" t="s">
        <v>4661</v>
      </c>
      <c r="H3118" s="43" t="s">
        <v>4761</v>
      </c>
    </row>
    <row r="3119" spans="1:8" hidden="1" x14ac:dyDescent="0.25">
      <c r="A3119" s="43">
        <v>502</v>
      </c>
      <c r="B3119" s="43" t="s">
        <v>144</v>
      </c>
      <c r="C3119" s="43" t="s">
        <v>1457</v>
      </c>
      <c r="D3119" s="43" t="s">
        <v>1458</v>
      </c>
      <c r="E3119" s="43" t="s">
        <v>273</v>
      </c>
      <c r="F3119" s="43">
        <v>1</v>
      </c>
      <c r="G3119"/>
      <c r="H3119"/>
    </row>
    <row r="3120" spans="1:8" hidden="1" x14ac:dyDescent="0.25">
      <c r="A3120" s="43">
        <v>502</v>
      </c>
      <c r="B3120" s="43" t="s">
        <v>144</v>
      </c>
      <c r="C3120" s="43" t="s">
        <v>1457</v>
      </c>
      <c r="D3120" s="43" t="s">
        <v>1459</v>
      </c>
      <c r="E3120" s="43" t="s">
        <v>640</v>
      </c>
      <c r="F3120" s="43">
        <v>1</v>
      </c>
      <c r="G3120"/>
      <c r="H3120"/>
    </row>
    <row r="3121" spans="1:8" hidden="1" x14ac:dyDescent="0.25">
      <c r="A3121" s="43">
        <v>502</v>
      </c>
      <c r="B3121" s="43" t="s">
        <v>144</v>
      </c>
      <c r="C3121" s="43" t="s">
        <v>1457</v>
      </c>
      <c r="D3121" s="43" t="s">
        <v>1460</v>
      </c>
      <c r="E3121" s="43" t="s">
        <v>929</v>
      </c>
      <c r="F3121" s="43">
        <v>0</v>
      </c>
      <c r="G3121" s="43" t="s">
        <v>4583</v>
      </c>
      <c r="H3121"/>
    </row>
    <row r="3122" spans="1:8" hidden="1" x14ac:dyDescent="0.25">
      <c r="A3122" s="43">
        <v>502</v>
      </c>
      <c r="B3122" s="43" t="s">
        <v>144</v>
      </c>
      <c r="C3122" s="43" t="s">
        <v>1457</v>
      </c>
      <c r="D3122" s="43" t="s">
        <v>1461</v>
      </c>
      <c r="E3122" s="43" t="s">
        <v>1462</v>
      </c>
      <c r="F3122" s="43">
        <v>0</v>
      </c>
      <c r="G3122" s="43" t="s">
        <v>4583</v>
      </c>
      <c r="H3122"/>
    </row>
    <row r="3123" spans="1:8" hidden="1" x14ac:dyDescent="0.25">
      <c r="A3123" s="43">
        <v>502</v>
      </c>
      <c r="B3123" s="43" t="s">
        <v>144</v>
      </c>
      <c r="C3123" s="43" t="s">
        <v>1457</v>
      </c>
      <c r="D3123" s="43" t="s">
        <v>1463</v>
      </c>
      <c r="E3123" s="43" t="s">
        <v>1464</v>
      </c>
      <c r="F3123" s="43">
        <v>1</v>
      </c>
      <c r="G3123"/>
      <c r="H3123"/>
    </row>
    <row r="3124" spans="1:8" hidden="1" x14ac:dyDescent="0.25">
      <c r="A3124" s="43">
        <v>502</v>
      </c>
      <c r="B3124" s="43" t="s">
        <v>144</v>
      </c>
      <c r="C3124" s="43" t="s">
        <v>1457</v>
      </c>
      <c r="D3124" s="43" t="s">
        <v>1465</v>
      </c>
      <c r="E3124" s="43" t="s">
        <v>347</v>
      </c>
      <c r="F3124" s="43">
        <v>0</v>
      </c>
      <c r="G3124" s="43" t="s">
        <v>4583</v>
      </c>
      <c r="H3124"/>
    </row>
    <row r="3125" spans="1:8" hidden="1" x14ac:dyDescent="0.25">
      <c r="A3125" s="43">
        <v>502</v>
      </c>
      <c r="B3125" s="43" t="s">
        <v>144</v>
      </c>
      <c r="C3125" s="43" t="s">
        <v>1457</v>
      </c>
      <c r="D3125" s="43" t="s">
        <v>1466</v>
      </c>
      <c r="E3125" s="43" t="s">
        <v>1467</v>
      </c>
      <c r="F3125" s="43">
        <v>1</v>
      </c>
      <c r="G3125"/>
      <c r="H3125"/>
    </row>
    <row r="3126" spans="1:8" hidden="1" x14ac:dyDescent="0.25">
      <c r="A3126" s="43">
        <v>502</v>
      </c>
      <c r="B3126" s="43" t="s">
        <v>144</v>
      </c>
      <c r="C3126" s="43" t="s">
        <v>1457</v>
      </c>
      <c r="D3126" s="43" t="s">
        <v>1468</v>
      </c>
      <c r="E3126" s="43" t="s">
        <v>1469</v>
      </c>
      <c r="F3126" s="43">
        <v>0</v>
      </c>
      <c r="G3126" s="43" t="s">
        <v>4583</v>
      </c>
      <c r="H3126"/>
    </row>
    <row r="3127" spans="1:8" hidden="1" x14ac:dyDescent="0.25">
      <c r="A3127" s="43">
        <v>502</v>
      </c>
      <c r="B3127" s="43" t="s">
        <v>144</v>
      </c>
      <c r="C3127" s="43" t="s">
        <v>1457</v>
      </c>
      <c r="D3127" s="43" t="s">
        <v>1470</v>
      </c>
      <c r="E3127" s="43" t="s">
        <v>1471</v>
      </c>
      <c r="F3127" s="43">
        <v>0</v>
      </c>
      <c r="G3127" s="43" t="s">
        <v>4583</v>
      </c>
      <c r="H3127"/>
    </row>
    <row r="3128" spans="1:8" hidden="1" x14ac:dyDescent="0.25">
      <c r="A3128" s="43">
        <v>502</v>
      </c>
      <c r="B3128" s="43" t="s">
        <v>144</v>
      </c>
      <c r="C3128" s="43" t="s">
        <v>1457</v>
      </c>
      <c r="D3128" s="43" t="s">
        <v>1472</v>
      </c>
      <c r="E3128" s="43" t="s">
        <v>391</v>
      </c>
      <c r="F3128" s="43">
        <v>1</v>
      </c>
      <c r="G3128"/>
      <c r="H3128"/>
    </row>
    <row r="3129" spans="1:8" hidden="1" x14ac:dyDescent="0.25">
      <c r="A3129" s="43">
        <v>502</v>
      </c>
      <c r="B3129" s="43" t="s">
        <v>144</v>
      </c>
      <c r="C3129" s="43" t="s">
        <v>1457</v>
      </c>
      <c r="D3129" s="43" t="s">
        <v>1473</v>
      </c>
      <c r="E3129" s="43" t="s">
        <v>956</v>
      </c>
      <c r="F3129" s="43">
        <v>1</v>
      </c>
      <c r="G3129"/>
      <c r="H3129"/>
    </row>
    <row r="3130" spans="1:8" hidden="1" x14ac:dyDescent="0.25">
      <c r="A3130" s="43">
        <v>502</v>
      </c>
      <c r="B3130" s="43" t="s">
        <v>144</v>
      </c>
      <c r="C3130" s="43" t="s">
        <v>386</v>
      </c>
      <c r="D3130" s="43" t="s">
        <v>387</v>
      </c>
      <c r="E3130" s="43" t="s">
        <v>388</v>
      </c>
      <c r="F3130" s="43">
        <v>0</v>
      </c>
      <c r="G3130" s="43" t="s">
        <v>4583</v>
      </c>
      <c r="H3130"/>
    </row>
    <row r="3131" spans="1:8" hidden="1" x14ac:dyDescent="0.25">
      <c r="A3131" s="43">
        <v>502</v>
      </c>
      <c r="B3131" s="43" t="s">
        <v>144</v>
      </c>
      <c r="C3131" s="43" t="s">
        <v>386</v>
      </c>
      <c r="D3131" s="43" t="s">
        <v>390</v>
      </c>
      <c r="E3131" s="43" t="s">
        <v>391</v>
      </c>
      <c r="F3131" s="43">
        <v>0</v>
      </c>
      <c r="G3131" s="43" t="s">
        <v>4583</v>
      </c>
      <c r="H3131"/>
    </row>
    <row r="3132" spans="1:8" hidden="1" x14ac:dyDescent="0.25">
      <c r="A3132" s="43">
        <v>502</v>
      </c>
      <c r="B3132" s="43" t="s">
        <v>144</v>
      </c>
      <c r="C3132" s="43" t="s">
        <v>386</v>
      </c>
      <c r="D3132" s="43" t="s">
        <v>392</v>
      </c>
      <c r="E3132" s="43" t="s">
        <v>393</v>
      </c>
      <c r="F3132" s="43">
        <v>0</v>
      </c>
      <c r="G3132" s="43" t="s">
        <v>4583</v>
      </c>
      <c r="H3132"/>
    </row>
    <row r="3133" spans="1:8" hidden="1" x14ac:dyDescent="0.25">
      <c r="A3133" s="43">
        <v>502</v>
      </c>
      <c r="B3133" s="43" t="s">
        <v>144</v>
      </c>
      <c r="C3133" s="43" t="s">
        <v>386</v>
      </c>
      <c r="D3133" s="43" t="s">
        <v>394</v>
      </c>
      <c r="E3133" s="43" t="s">
        <v>4474</v>
      </c>
      <c r="F3133" s="43">
        <v>1</v>
      </c>
      <c r="G3133"/>
      <c r="H3133"/>
    </row>
    <row r="3134" spans="1:8" hidden="1" x14ac:dyDescent="0.25">
      <c r="A3134" s="43">
        <v>502</v>
      </c>
      <c r="B3134" s="43" t="s">
        <v>144</v>
      </c>
      <c r="C3134" s="43" t="s">
        <v>386</v>
      </c>
      <c r="D3134" s="43" t="s">
        <v>396</v>
      </c>
      <c r="E3134" s="43" t="s">
        <v>397</v>
      </c>
      <c r="F3134" s="43">
        <v>1</v>
      </c>
      <c r="G3134"/>
      <c r="H3134"/>
    </row>
    <row r="3135" spans="1:8" hidden="1" x14ac:dyDescent="0.25">
      <c r="A3135" s="43">
        <v>502</v>
      </c>
      <c r="B3135" s="43" t="s">
        <v>144</v>
      </c>
      <c r="C3135" s="43" t="s">
        <v>386</v>
      </c>
      <c r="D3135" s="43" t="s">
        <v>398</v>
      </c>
      <c r="E3135" s="43" t="s">
        <v>4475</v>
      </c>
      <c r="F3135" s="43">
        <v>1</v>
      </c>
      <c r="G3135"/>
      <c r="H3135"/>
    </row>
    <row r="3136" spans="1:8" hidden="1" x14ac:dyDescent="0.25">
      <c r="A3136" s="43">
        <v>502</v>
      </c>
      <c r="B3136" s="43" t="s">
        <v>144</v>
      </c>
      <c r="C3136" s="43" t="s">
        <v>386</v>
      </c>
      <c r="D3136" s="43" t="s">
        <v>400</v>
      </c>
      <c r="E3136" s="43" t="s">
        <v>401</v>
      </c>
      <c r="F3136" s="43">
        <v>0</v>
      </c>
      <c r="G3136" s="43" t="s">
        <v>4583</v>
      </c>
      <c r="H3136"/>
    </row>
    <row r="3137" spans="1:8" hidden="1" x14ac:dyDescent="0.25">
      <c r="A3137" s="43">
        <v>502</v>
      </c>
      <c r="B3137" s="43" t="s">
        <v>144</v>
      </c>
      <c r="C3137" s="43" t="s">
        <v>386</v>
      </c>
      <c r="D3137" s="43" t="s">
        <v>402</v>
      </c>
      <c r="E3137" s="43" t="s">
        <v>403</v>
      </c>
      <c r="F3137" s="43">
        <v>0</v>
      </c>
      <c r="G3137" s="43" t="s">
        <v>4583</v>
      </c>
      <c r="H3137"/>
    </row>
    <row r="3138" spans="1:8" hidden="1" x14ac:dyDescent="0.25">
      <c r="A3138" s="43">
        <v>502</v>
      </c>
      <c r="B3138" s="43" t="s">
        <v>144</v>
      </c>
      <c r="C3138" s="43" t="s">
        <v>386</v>
      </c>
      <c r="D3138" s="43" t="s">
        <v>404</v>
      </c>
      <c r="E3138" s="43" t="s">
        <v>405</v>
      </c>
      <c r="F3138" s="43">
        <v>0</v>
      </c>
      <c r="G3138" s="43" t="s">
        <v>4583</v>
      </c>
      <c r="H3138"/>
    </row>
    <row r="3139" spans="1:8" hidden="1" x14ac:dyDescent="0.25">
      <c r="A3139" s="43">
        <v>502</v>
      </c>
      <c r="B3139" s="43" t="s">
        <v>144</v>
      </c>
      <c r="C3139" s="43" t="s">
        <v>386</v>
      </c>
      <c r="D3139" s="43" t="s">
        <v>406</v>
      </c>
      <c r="E3139" s="43" t="s">
        <v>407</v>
      </c>
      <c r="F3139" s="43">
        <v>0</v>
      </c>
      <c r="G3139" s="43" t="s">
        <v>4583</v>
      </c>
      <c r="H3139"/>
    </row>
    <row r="3140" spans="1:8" hidden="1" x14ac:dyDescent="0.25">
      <c r="A3140" s="43">
        <v>502</v>
      </c>
      <c r="B3140" s="43" t="s">
        <v>144</v>
      </c>
      <c r="C3140" s="43" t="s">
        <v>386</v>
      </c>
      <c r="D3140" s="43" t="s">
        <v>408</v>
      </c>
      <c r="E3140" s="43" t="s">
        <v>409</v>
      </c>
      <c r="F3140" s="43">
        <v>0</v>
      </c>
      <c r="G3140" s="43" t="s">
        <v>4583</v>
      </c>
      <c r="H3140"/>
    </row>
    <row r="3141" spans="1:8" hidden="1" x14ac:dyDescent="0.25">
      <c r="A3141" s="43">
        <v>507</v>
      </c>
      <c r="B3141" s="43" t="s">
        <v>145</v>
      </c>
      <c r="C3141" s="43" t="s">
        <v>4479</v>
      </c>
      <c r="D3141" s="43" t="s">
        <v>1558</v>
      </c>
      <c r="E3141" s="43" t="s">
        <v>583</v>
      </c>
      <c r="F3141" s="43">
        <v>1</v>
      </c>
      <c r="G3141"/>
      <c r="H3141"/>
    </row>
    <row r="3142" spans="1:8" hidden="1" x14ac:dyDescent="0.25">
      <c r="A3142" s="43">
        <v>507</v>
      </c>
      <c r="B3142" s="43" t="s">
        <v>145</v>
      </c>
      <c r="C3142" s="43" t="s">
        <v>4479</v>
      </c>
      <c r="D3142" s="43" t="s">
        <v>1559</v>
      </c>
      <c r="E3142" s="43" t="s">
        <v>306</v>
      </c>
      <c r="F3142" s="43">
        <v>1</v>
      </c>
      <c r="G3142"/>
      <c r="H3142"/>
    </row>
    <row r="3143" spans="1:8" hidden="1" x14ac:dyDescent="0.25">
      <c r="A3143" s="43">
        <v>507</v>
      </c>
      <c r="B3143" s="43" t="s">
        <v>145</v>
      </c>
      <c r="C3143" s="43" t="s">
        <v>4479</v>
      </c>
      <c r="D3143" s="43" t="s">
        <v>1560</v>
      </c>
      <c r="E3143" s="43" t="s">
        <v>1561</v>
      </c>
      <c r="F3143" s="43">
        <v>1</v>
      </c>
      <c r="G3143"/>
      <c r="H3143"/>
    </row>
    <row r="3144" spans="1:8" hidden="1" x14ac:dyDescent="0.25">
      <c r="A3144" s="43">
        <v>507</v>
      </c>
      <c r="B3144" s="43" t="s">
        <v>145</v>
      </c>
      <c r="C3144" s="43" t="s">
        <v>4479</v>
      </c>
      <c r="D3144" s="43" t="s">
        <v>1562</v>
      </c>
      <c r="E3144" s="43" t="s">
        <v>1563</v>
      </c>
      <c r="F3144" s="89">
        <v>1</v>
      </c>
      <c r="H3144"/>
    </row>
    <row r="3145" spans="1:8" hidden="1" x14ac:dyDescent="0.25">
      <c r="A3145" s="43">
        <v>507</v>
      </c>
      <c r="B3145" s="43" t="s">
        <v>145</v>
      </c>
      <c r="C3145" s="43" t="s">
        <v>4479</v>
      </c>
      <c r="D3145" s="43" t="s">
        <v>1564</v>
      </c>
      <c r="E3145" s="43" t="s">
        <v>633</v>
      </c>
      <c r="F3145" s="43">
        <v>1</v>
      </c>
      <c r="G3145"/>
      <c r="H3145"/>
    </row>
    <row r="3146" spans="1:8" hidden="1" x14ac:dyDescent="0.25">
      <c r="A3146" s="43">
        <v>507</v>
      </c>
      <c r="B3146" s="43" t="s">
        <v>145</v>
      </c>
      <c r="C3146" s="43" t="s">
        <v>4479</v>
      </c>
      <c r="D3146" s="43" t="s">
        <v>1565</v>
      </c>
      <c r="E3146" s="43" t="s">
        <v>493</v>
      </c>
      <c r="F3146" s="43">
        <v>1</v>
      </c>
      <c r="G3146"/>
      <c r="H3146"/>
    </row>
    <row r="3147" spans="1:8" hidden="1" x14ac:dyDescent="0.25">
      <c r="A3147" s="43">
        <v>507</v>
      </c>
      <c r="B3147" s="43" t="s">
        <v>145</v>
      </c>
      <c r="C3147" s="43" t="s">
        <v>4479</v>
      </c>
      <c r="D3147" s="43" t="s">
        <v>1566</v>
      </c>
      <c r="E3147" s="43" t="s">
        <v>275</v>
      </c>
      <c r="F3147" s="43">
        <v>1</v>
      </c>
      <c r="G3147"/>
      <c r="H3147"/>
    </row>
    <row r="3148" spans="1:8" hidden="1" x14ac:dyDescent="0.25">
      <c r="A3148" s="43">
        <v>507</v>
      </c>
      <c r="B3148" s="43" t="s">
        <v>145</v>
      </c>
      <c r="C3148" s="43" t="s">
        <v>4479</v>
      </c>
      <c r="D3148" s="43" t="s">
        <v>1567</v>
      </c>
      <c r="E3148" s="43" t="s">
        <v>1568</v>
      </c>
      <c r="F3148" s="43">
        <v>1</v>
      </c>
      <c r="G3148"/>
      <c r="H3148"/>
    </row>
    <row r="3149" spans="1:8" hidden="1" x14ac:dyDescent="0.25">
      <c r="A3149" s="43">
        <v>507</v>
      </c>
      <c r="B3149" s="43" t="s">
        <v>145</v>
      </c>
      <c r="C3149" s="43" t="s">
        <v>4479</v>
      </c>
      <c r="D3149" s="43" t="s">
        <v>1569</v>
      </c>
      <c r="E3149" s="43" t="s">
        <v>1256</v>
      </c>
      <c r="F3149" s="43">
        <v>1</v>
      </c>
      <c r="G3149"/>
      <c r="H3149"/>
    </row>
    <row r="3150" spans="1:8" hidden="1" x14ac:dyDescent="0.25">
      <c r="A3150" s="43">
        <v>507</v>
      </c>
      <c r="B3150" s="43" t="s">
        <v>145</v>
      </c>
      <c r="C3150" s="43" t="s">
        <v>4479</v>
      </c>
      <c r="D3150" s="43" t="s">
        <v>1570</v>
      </c>
      <c r="E3150" s="43" t="s">
        <v>1571</v>
      </c>
      <c r="F3150" s="43">
        <v>1</v>
      </c>
      <c r="G3150"/>
      <c r="H3150"/>
    </row>
    <row r="3151" spans="1:8" hidden="1" x14ac:dyDescent="0.25">
      <c r="A3151" s="43">
        <v>507</v>
      </c>
      <c r="B3151" s="43" t="s">
        <v>145</v>
      </c>
      <c r="C3151" s="43" t="s">
        <v>4479</v>
      </c>
      <c r="D3151" s="43" t="s">
        <v>1572</v>
      </c>
      <c r="E3151" s="43" t="s">
        <v>4480</v>
      </c>
      <c r="F3151" s="43">
        <v>0</v>
      </c>
      <c r="G3151" s="43" t="s">
        <v>4599</v>
      </c>
      <c r="H3151"/>
    </row>
    <row r="3152" spans="1:8" hidden="1" x14ac:dyDescent="0.25">
      <c r="A3152" s="43">
        <v>507</v>
      </c>
      <c r="B3152" s="43" t="s">
        <v>145</v>
      </c>
      <c r="C3152" s="43" t="s">
        <v>4479</v>
      </c>
      <c r="D3152" s="43" t="s">
        <v>1574</v>
      </c>
      <c r="E3152" s="43" t="s">
        <v>1575</v>
      </c>
      <c r="F3152" s="43">
        <v>1</v>
      </c>
      <c r="G3152"/>
      <c r="H3152"/>
    </row>
    <row r="3153" spans="1:8" hidden="1" x14ac:dyDescent="0.25">
      <c r="A3153" s="43">
        <v>507</v>
      </c>
      <c r="B3153" s="43" t="s">
        <v>145</v>
      </c>
      <c r="C3153" s="43" t="s">
        <v>4479</v>
      </c>
      <c r="D3153" s="43" t="s">
        <v>1576</v>
      </c>
      <c r="E3153" s="43" t="s">
        <v>1577</v>
      </c>
      <c r="F3153" s="43">
        <v>1</v>
      </c>
      <c r="G3153"/>
      <c r="H3153"/>
    </row>
    <row r="3154" spans="1:8" hidden="1" x14ac:dyDescent="0.25">
      <c r="A3154" s="43">
        <v>507</v>
      </c>
      <c r="B3154" s="43" t="s">
        <v>145</v>
      </c>
      <c r="C3154" s="43" t="s">
        <v>4479</v>
      </c>
      <c r="D3154" s="43" t="s">
        <v>1578</v>
      </c>
      <c r="E3154" s="43" t="s">
        <v>503</v>
      </c>
      <c r="F3154" s="43">
        <v>0</v>
      </c>
      <c r="G3154" s="43" t="s">
        <v>4599</v>
      </c>
      <c r="H3154"/>
    </row>
    <row r="3155" spans="1:8" hidden="1" x14ac:dyDescent="0.25">
      <c r="A3155" s="43">
        <v>507</v>
      </c>
      <c r="B3155" s="43" t="s">
        <v>145</v>
      </c>
      <c r="C3155" s="43" t="s">
        <v>4479</v>
      </c>
      <c r="D3155" s="43" t="s">
        <v>1579</v>
      </c>
      <c r="E3155" s="43" t="s">
        <v>1580</v>
      </c>
      <c r="F3155" s="89">
        <v>1</v>
      </c>
      <c r="H3155"/>
    </row>
    <row r="3156" spans="1:8" hidden="1" x14ac:dyDescent="0.25">
      <c r="A3156" s="43">
        <v>507</v>
      </c>
      <c r="B3156" s="43" t="s">
        <v>145</v>
      </c>
      <c r="C3156" s="43" t="s">
        <v>4479</v>
      </c>
      <c r="D3156" s="43" t="s">
        <v>1581</v>
      </c>
      <c r="E3156" s="43" t="s">
        <v>1582</v>
      </c>
      <c r="F3156" s="43">
        <v>1</v>
      </c>
      <c r="G3156"/>
      <c r="H3156"/>
    </row>
    <row r="3157" spans="1:8" hidden="1" x14ac:dyDescent="0.25">
      <c r="A3157" s="43">
        <v>507</v>
      </c>
      <c r="B3157" s="43" t="s">
        <v>145</v>
      </c>
      <c r="C3157" s="43" t="s">
        <v>4479</v>
      </c>
      <c r="D3157" s="43" t="s">
        <v>1583</v>
      </c>
      <c r="E3157" s="43" t="s">
        <v>1584</v>
      </c>
      <c r="F3157" s="43">
        <v>0</v>
      </c>
      <c r="G3157" s="43" t="s">
        <v>4599</v>
      </c>
      <c r="H3157"/>
    </row>
    <row r="3158" spans="1:8" hidden="1" x14ac:dyDescent="0.25">
      <c r="A3158" s="43">
        <v>507</v>
      </c>
      <c r="B3158" s="43" t="s">
        <v>145</v>
      </c>
      <c r="C3158" s="43" t="s">
        <v>4478</v>
      </c>
      <c r="D3158" s="43" t="s">
        <v>1537</v>
      </c>
      <c r="E3158" s="43" t="s">
        <v>1494</v>
      </c>
      <c r="F3158" s="43">
        <v>1</v>
      </c>
      <c r="G3158"/>
      <c r="H3158"/>
    </row>
    <row r="3159" spans="1:8" hidden="1" x14ac:dyDescent="0.25">
      <c r="A3159" s="43">
        <v>507</v>
      </c>
      <c r="B3159" s="43" t="s">
        <v>145</v>
      </c>
      <c r="C3159" s="43" t="s">
        <v>4478</v>
      </c>
      <c r="D3159" s="43" t="s">
        <v>1538</v>
      </c>
      <c r="E3159" s="43" t="s">
        <v>306</v>
      </c>
      <c r="F3159" s="43">
        <v>1</v>
      </c>
      <c r="G3159"/>
      <c r="H3159"/>
    </row>
    <row r="3160" spans="1:8" hidden="1" x14ac:dyDescent="0.25">
      <c r="A3160" s="43">
        <v>507</v>
      </c>
      <c r="B3160" s="43" t="s">
        <v>145</v>
      </c>
      <c r="C3160" s="43" t="s">
        <v>4478</v>
      </c>
      <c r="D3160" s="43" t="s">
        <v>1539</v>
      </c>
      <c r="E3160" s="43" t="s">
        <v>1499</v>
      </c>
      <c r="F3160" s="89">
        <v>1</v>
      </c>
      <c r="H3160"/>
    </row>
    <row r="3161" spans="1:8" hidden="1" x14ac:dyDescent="0.25">
      <c r="A3161" s="43">
        <v>507</v>
      </c>
      <c r="B3161" s="43" t="s">
        <v>145</v>
      </c>
      <c r="C3161" s="43" t="s">
        <v>4478</v>
      </c>
      <c r="D3161" s="43" t="s">
        <v>1540</v>
      </c>
      <c r="E3161" s="43" t="s">
        <v>1541</v>
      </c>
      <c r="F3161" s="43">
        <v>0</v>
      </c>
      <c r="G3161" s="43" t="s">
        <v>4583</v>
      </c>
      <c r="H3161"/>
    </row>
    <row r="3162" spans="1:8" hidden="1" x14ac:dyDescent="0.25">
      <c r="A3162" s="43">
        <v>507</v>
      </c>
      <c r="B3162" s="43" t="s">
        <v>145</v>
      </c>
      <c r="C3162" s="43" t="s">
        <v>4478</v>
      </c>
      <c r="D3162" s="43" t="s">
        <v>1542</v>
      </c>
      <c r="E3162" s="43" t="s">
        <v>1543</v>
      </c>
      <c r="F3162" s="43">
        <v>1</v>
      </c>
      <c r="G3162"/>
      <c r="H3162"/>
    </row>
    <row r="3163" spans="1:8" hidden="1" x14ac:dyDescent="0.25">
      <c r="A3163" s="43">
        <v>507</v>
      </c>
      <c r="B3163" s="43" t="s">
        <v>145</v>
      </c>
      <c r="C3163" s="43" t="s">
        <v>4478</v>
      </c>
      <c r="D3163" s="43" t="s">
        <v>1544</v>
      </c>
      <c r="E3163" s="43" t="s">
        <v>671</v>
      </c>
      <c r="F3163" s="43">
        <v>1</v>
      </c>
      <c r="G3163"/>
      <c r="H3163"/>
    </row>
    <row r="3164" spans="1:8" hidden="1" x14ac:dyDescent="0.25">
      <c r="A3164" s="43">
        <v>507</v>
      </c>
      <c r="B3164" s="43" t="s">
        <v>145</v>
      </c>
      <c r="C3164" s="43" t="s">
        <v>4478</v>
      </c>
      <c r="D3164" s="43" t="s">
        <v>1545</v>
      </c>
      <c r="E3164" s="43" t="s">
        <v>1546</v>
      </c>
      <c r="F3164" s="43">
        <v>1</v>
      </c>
      <c r="G3164"/>
      <c r="H3164"/>
    </row>
    <row r="3165" spans="1:8" hidden="1" x14ac:dyDescent="0.25">
      <c r="A3165" s="43">
        <v>507</v>
      </c>
      <c r="B3165" s="43" t="s">
        <v>145</v>
      </c>
      <c r="C3165" s="43" t="s">
        <v>4478</v>
      </c>
      <c r="D3165" s="43" t="s">
        <v>1547</v>
      </c>
      <c r="E3165" s="43" t="s">
        <v>1548</v>
      </c>
      <c r="F3165" s="43">
        <v>0</v>
      </c>
      <c r="G3165" s="43" t="s">
        <v>4583</v>
      </c>
      <c r="H3165"/>
    </row>
    <row r="3166" spans="1:8" hidden="1" x14ac:dyDescent="0.25">
      <c r="A3166" s="43">
        <v>507</v>
      </c>
      <c r="B3166" s="43" t="s">
        <v>145</v>
      </c>
      <c r="C3166" s="43" t="s">
        <v>4478</v>
      </c>
      <c r="D3166" s="43" t="s">
        <v>1549</v>
      </c>
      <c r="E3166" s="43" t="s">
        <v>1550</v>
      </c>
      <c r="F3166" s="43">
        <v>0</v>
      </c>
      <c r="G3166" s="43" t="s">
        <v>4583</v>
      </c>
      <c r="H3166"/>
    </row>
    <row r="3167" spans="1:8" hidden="1" x14ac:dyDescent="0.25">
      <c r="A3167" s="43">
        <v>507</v>
      </c>
      <c r="B3167" s="43" t="s">
        <v>145</v>
      </c>
      <c r="C3167" s="43" t="s">
        <v>4478</v>
      </c>
      <c r="D3167" s="43" t="s">
        <v>1551</v>
      </c>
      <c r="E3167" s="43" t="s">
        <v>1552</v>
      </c>
      <c r="F3167" s="43">
        <v>1</v>
      </c>
      <c r="G3167"/>
      <c r="H3167"/>
    </row>
    <row r="3168" spans="1:8" hidden="1" x14ac:dyDescent="0.25">
      <c r="A3168" s="43">
        <v>507</v>
      </c>
      <c r="B3168" s="43" t="s">
        <v>145</v>
      </c>
      <c r="C3168" s="43" t="s">
        <v>4478</v>
      </c>
      <c r="D3168" s="43" t="s">
        <v>1553</v>
      </c>
      <c r="E3168" s="43" t="s">
        <v>1554</v>
      </c>
      <c r="F3168" s="43">
        <v>0</v>
      </c>
      <c r="G3168" s="43" t="s">
        <v>4583</v>
      </c>
      <c r="H3168"/>
    </row>
    <row r="3169" spans="1:8" hidden="1" x14ac:dyDescent="0.25">
      <c r="A3169" s="43">
        <v>507</v>
      </c>
      <c r="B3169" s="43" t="s">
        <v>145</v>
      </c>
      <c r="C3169" s="43" t="s">
        <v>4478</v>
      </c>
      <c r="D3169" s="43" t="s">
        <v>1555</v>
      </c>
      <c r="E3169" s="43" t="s">
        <v>1556</v>
      </c>
      <c r="F3169" s="43">
        <v>1</v>
      </c>
      <c r="G3169"/>
      <c r="H3169"/>
    </row>
    <row r="3170" spans="1:8" hidden="1" x14ac:dyDescent="0.25">
      <c r="A3170" s="43">
        <v>509</v>
      </c>
      <c r="B3170" s="43" t="s">
        <v>146</v>
      </c>
      <c r="C3170" s="43" t="s">
        <v>1125</v>
      </c>
      <c r="D3170" s="43" t="s">
        <v>1126</v>
      </c>
      <c r="E3170" s="43" t="s">
        <v>273</v>
      </c>
      <c r="F3170" s="43">
        <v>1</v>
      </c>
      <c r="G3170"/>
      <c r="H3170"/>
    </row>
    <row r="3171" spans="1:8" hidden="1" x14ac:dyDescent="0.25">
      <c r="A3171" s="43">
        <v>509</v>
      </c>
      <c r="B3171" s="43" t="s">
        <v>146</v>
      </c>
      <c r="C3171" s="43" t="s">
        <v>1125</v>
      </c>
      <c r="D3171" s="43" t="s">
        <v>1127</v>
      </c>
      <c r="E3171" s="43" t="s">
        <v>312</v>
      </c>
      <c r="F3171" s="43">
        <v>1</v>
      </c>
      <c r="G3171"/>
      <c r="H3171"/>
    </row>
    <row r="3172" spans="1:8" hidden="1" x14ac:dyDescent="0.25">
      <c r="A3172" s="43">
        <v>509</v>
      </c>
      <c r="B3172" s="43" t="s">
        <v>146</v>
      </c>
      <c r="C3172" s="43" t="s">
        <v>1125</v>
      </c>
      <c r="D3172" s="43" t="s">
        <v>1128</v>
      </c>
      <c r="E3172" s="43" t="s">
        <v>1129</v>
      </c>
      <c r="F3172" s="43">
        <v>0</v>
      </c>
      <c r="G3172" s="43" t="s">
        <v>4583</v>
      </c>
      <c r="H3172"/>
    </row>
    <row r="3173" spans="1:8" hidden="1" x14ac:dyDescent="0.25">
      <c r="A3173" s="43">
        <v>509</v>
      </c>
      <c r="B3173" s="43" t="s">
        <v>146</v>
      </c>
      <c r="C3173" s="43" t="s">
        <v>1125</v>
      </c>
      <c r="D3173" s="43" t="s">
        <v>1130</v>
      </c>
      <c r="E3173" s="43" t="s">
        <v>1131</v>
      </c>
      <c r="F3173" s="43">
        <v>1</v>
      </c>
      <c r="G3173"/>
      <c r="H3173"/>
    </row>
    <row r="3174" spans="1:8" hidden="1" x14ac:dyDescent="0.25">
      <c r="A3174" s="43">
        <v>509</v>
      </c>
      <c r="B3174" s="43" t="s">
        <v>146</v>
      </c>
      <c r="C3174" s="43" t="s">
        <v>1125</v>
      </c>
      <c r="D3174" s="43" t="s">
        <v>1132</v>
      </c>
      <c r="E3174" s="43" t="s">
        <v>1133</v>
      </c>
      <c r="F3174" s="43">
        <v>1</v>
      </c>
      <c r="G3174"/>
      <c r="H3174"/>
    </row>
    <row r="3175" spans="1:8" hidden="1" x14ac:dyDescent="0.25">
      <c r="A3175" s="43">
        <v>509</v>
      </c>
      <c r="B3175" s="43" t="s">
        <v>146</v>
      </c>
      <c r="C3175" s="43" t="s">
        <v>1125</v>
      </c>
      <c r="D3175" s="43" t="s">
        <v>1134</v>
      </c>
      <c r="E3175" s="43" t="s">
        <v>347</v>
      </c>
      <c r="F3175" s="43">
        <v>0</v>
      </c>
      <c r="G3175" s="43" t="s">
        <v>4583</v>
      </c>
      <c r="H3175"/>
    </row>
    <row r="3176" spans="1:8" hidden="1" x14ac:dyDescent="0.25">
      <c r="A3176" s="43">
        <v>509</v>
      </c>
      <c r="B3176" s="43" t="s">
        <v>146</v>
      </c>
      <c r="C3176" s="43" t="s">
        <v>1125</v>
      </c>
      <c r="D3176" s="43" t="s">
        <v>1135</v>
      </c>
      <c r="E3176" s="43" t="s">
        <v>1136</v>
      </c>
      <c r="F3176" s="43">
        <v>0</v>
      </c>
      <c r="G3176" s="43" t="s">
        <v>4583</v>
      </c>
      <c r="H3176"/>
    </row>
    <row r="3177" spans="1:8" hidden="1" x14ac:dyDescent="0.25">
      <c r="A3177" s="43">
        <v>509</v>
      </c>
      <c r="B3177" s="43" t="s">
        <v>146</v>
      </c>
      <c r="C3177" s="43" t="s">
        <v>1125</v>
      </c>
      <c r="D3177" s="43" t="s">
        <v>1137</v>
      </c>
      <c r="E3177" s="43" t="s">
        <v>1138</v>
      </c>
      <c r="F3177" s="43">
        <v>1</v>
      </c>
      <c r="G3177"/>
      <c r="H3177"/>
    </row>
    <row r="3178" spans="1:8" hidden="1" x14ac:dyDescent="0.25">
      <c r="A3178" s="43">
        <v>509</v>
      </c>
      <c r="B3178" s="43" t="s">
        <v>146</v>
      </c>
      <c r="C3178" s="43" t="s">
        <v>1125</v>
      </c>
      <c r="D3178" s="43" t="s">
        <v>1139</v>
      </c>
      <c r="E3178" s="43" t="s">
        <v>1140</v>
      </c>
      <c r="F3178" s="43">
        <v>0</v>
      </c>
      <c r="G3178" s="43" t="s">
        <v>4583</v>
      </c>
      <c r="H3178"/>
    </row>
    <row r="3179" spans="1:8" hidden="1" x14ac:dyDescent="0.25">
      <c r="A3179" s="43">
        <v>518</v>
      </c>
      <c r="B3179" s="43" t="s">
        <v>147</v>
      </c>
      <c r="C3179" s="43" t="s">
        <v>4470</v>
      </c>
      <c r="D3179" s="43" t="s">
        <v>1493</v>
      </c>
      <c r="E3179" s="43" t="s">
        <v>1494</v>
      </c>
      <c r="F3179" s="43">
        <v>1</v>
      </c>
      <c r="G3179"/>
      <c r="H3179"/>
    </row>
    <row r="3180" spans="1:8" hidden="1" x14ac:dyDescent="0.25">
      <c r="A3180" s="43">
        <v>518</v>
      </c>
      <c r="B3180" s="43" t="s">
        <v>147</v>
      </c>
      <c r="C3180" s="43" t="s">
        <v>4470</v>
      </c>
      <c r="D3180" s="43" t="s">
        <v>1495</v>
      </c>
      <c r="E3180" s="43" t="s">
        <v>1496</v>
      </c>
      <c r="F3180" s="43">
        <v>1</v>
      </c>
      <c r="G3180"/>
      <c r="H3180"/>
    </row>
    <row r="3181" spans="1:8" hidden="1" x14ac:dyDescent="0.25">
      <c r="A3181" s="43">
        <v>518</v>
      </c>
      <c r="B3181" s="43" t="s">
        <v>147</v>
      </c>
      <c r="C3181" s="43" t="s">
        <v>4470</v>
      </c>
      <c r="D3181" s="43" t="s">
        <v>1497</v>
      </c>
      <c r="E3181" s="43" t="s">
        <v>306</v>
      </c>
      <c r="F3181" s="43">
        <v>0</v>
      </c>
      <c r="G3181" s="43" t="s">
        <v>4583</v>
      </c>
      <c r="H3181"/>
    </row>
    <row r="3182" spans="1:8" hidden="1" x14ac:dyDescent="0.25">
      <c r="A3182" s="43">
        <v>518</v>
      </c>
      <c r="B3182" s="43" t="s">
        <v>147</v>
      </c>
      <c r="C3182" s="43" t="s">
        <v>4470</v>
      </c>
      <c r="D3182" s="43" t="s">
        <v>1498</v>
      </c>
      <c r="E3182" s="43" t="s">
        <v>1499</v>
      </c>
      <c r="F3182" s="43">
        <v>0</v>
      </c>
      <c r="G3182" s="43" t="s">
        <v>4583</v>
      </c>
      <c r="H3182"/>
    </row>
    <row r="3183" spans="1:8" hidden="1" x14ac:dyDescent="0.25">
      <c r="A3183" s="43">
        <v>518</v>
      </c>
      <c r="B3183" s="43" t="s">
        <v>147</v>
      </c>
      <c r="C3183" s="43" t="s">
        <v>4470</v>
      </c>
      <c r="D3183" s="43" t="s">
        <v>1500</v>
      </c>
      <c r="E3183" s="43" t="s">
        <v>1397</v>
      </c>
      <c r="F3183" s="43">
        <v>1</v>
      </c>
      <c r="G3183"/>
      <c r="H3183"/>
    </row>
    <row r="3184" spans="1:8" hidden="1" x14ac:dyDescent="0.25">
      <c r="A3184" s="43">
        <v>518</v>
      </c>
      <c r="B3184" s="43" t="s">
        <v>147</v>
      </c>
      <c r="C3184" s="43" t="s">
        <v>4470</v>
      </c>
      <c r="D3184" s="43" t="s">
        <v>1501</v>
      </c>
      <c r="E3184" s="43" t="s">
        <v>1502</v>
      </c>
      <c r="F3184" s="43">
        <v>1</v>
      </c>
      <c r="G3184"/>
      <c r="H3184"/>
    </row>
    <row r="3185" spans="1:8" hidden="1" x14ac:dyDescent="0.25">
      <c r="A3185" s="43">
        <v>518</v>
      </c>
      <c r="B3185" s="43" t="s">
        <v>147</v>
      </c>
      <c r="C3185" s="43" t="s">
        <v>4470</v>
      </c>
      <c r="D3185" s="43" t="s">
        <v>1503</v>
      </c>
      <c r="E3185" s="43" t="s">
        <v>1504</v>
      </c>
      <c r="F3185" s="43">
        <v>1</v>
      </c>
      <c r="G3185"/>
      <c r="H3185"/>
    </row>
    <row r="3186" spans="1:8" hidden="1" x14ac:dyDescent="0.25">
      <c r="A3186" s="43">
        <v>518</v>
      </c>
      <c r="B3186" s="43" t="s">
        <v>147</v>
      </c>
      <c r="C3186" s="43" t="s">
        <v>4470</v>
      </c>
      <c r="D3186" s="43" t="s">
        <v>1505</v>
      </c>
      <c r="E3186" s="43" t="s">
        <v>1506</v>
      </c>
      <c r="F3186" s="43">
        <v>0</v>
      </c>
      <c r="G3186" s="43" t="s">
        <v>4583</v>
      </c>
      <c r="H3186"/>
    </row>
    <row r="3187" spans="1:8" hidden="1" x14ac:dyDescent="0.25">
      <c r="A3187" s="43">
        <v>518</v>
      </c>
      <c r="B3187" s="43" t="s">
        <v>147</v>
      </c>
      <c r="C3187" s="43" t="s">
        <v>4470</v>
      </c>
      <c r="D3187" s="43" t="s">
        <v>1507</v>
      </c>
      <c r="E3187" s="43" t="s">
        <v>611</v>
      </c>
      <c r="F3187" s="43">
        <v>0</v>
      </c>
      <c r="G3187" s="43" t="s">
        <v>4583</v>
      </c>
      <c r="H3187"/>
    </row>
    <row r="3188" spans="1:8" hidden="1" x14ac:dyDescent="0.25">
      <c r="A3188" s="43">
        <v>518</v>
      </c>
      <c r="B3188" s="43" t="s">
        <v>147</v>
      </c>
      <c r="C3188" s="43" t="s">
        <v>4470</v>
      </c>
      <c r="D3188" s="43" t="s">
        <v>1508</v>
      </c>
      <c r="E3188" s="43" t="s">
        <v>1509</v>
      </c>
      <c r="F3188" s="43">
        <v>1</v>
      </c>
      <c r="G3188"/>
      <c r="H3188"/>
    </row>
    <row r="3189" spans="1:8" hidden="1" x14ac:dyDescent="0.25">
      <c r="A3189" s="43">
        <v>518</v>
      </c>
      <c r="B3189" s="43" t="s">
        <v>147</v>
      </c>
      <c r="C3189" s="43" t="s">
        <v>4470</v>
      </c>
      <c r="D3189" s="43" t="s">
        <v>1510</v>
      </c>
      <c r="E3189" s="43" t="s">
        <v>613</v>
      </c>
      <c r="F3189" s="43">
        <v>0</v>
      </c>
      <c r="G3189" s="43" t="s">
        <v>4583</v>
      </c>
      <c r="H3189"/>
    </row>
    <row r="3190" spans="1:8" hidden="1" x14ac:dyDescent="0.25">
      <c r="A3190" s="43">
        <v>518</v>
      </c>
      <c r="B3190" s="43" t="s">
        <v>147</v>
      </c>
      <c r="C3190" s="43" t="s">
        <v>4470</v>
      </c>
      <c r="D3190" s="43" t="s">
        <v>1511</v>
      </c>
      <c r="E3190" s="43" t="s">
        <v>1419</v>
      </c>
      <c r="F3190" s="43">
        <v>1</v>
      </c>
      <c r="G3190"/>
      <c r="H3190"/>
    </row>
    <row r="3191" spans="1:8" hidden="1" x14ac:dyDescent="0.25">
      <c r="A3191" s="43">
        <v>518</v>
      </c>
      <c r="B3191" s="43" t="s">
        <v>147</v>
      </c>
      <c r="C3191" s="43" t="s">
        <v>4470</v>
      </c>
      <c r="D3191" s="43" t="s">
        <v>1512</v>
      </c>
      <c r="E3191" s="43" t="s">
        <v>621</v>
      </c>
      <c r="F3191" s="43">
        <v>0</v>
      </c>
      <c r="G3191" s="43" t="s">
        <v>4583</v>
      </c>
      <c r="H3191"/>
    </row>
    <row r="3192" spans="1:8" hidden="1" x14ac:dyDescent="0.25">
      <c r="A3192" s="43">
        <v>518</v>
      </c>
      <c r="B3192" s="43" t="s">
        <v>147</v>
      </c>
      <c r="C3192" s="43" t="s">
        <v>4470</v>
      </c>
      <c r="D3192" s="43" t="s">
        <v>1513</v>
      </c>
      <c r="E3192" s="43" t="s">
        <v>1422</v>
      </c>
      <c r="F3192" s="43">
        <v>0</v>
      </c>
      <c r="G3192" s="43" t="s">
        <v>4583</v>
      </c>
      <c r="H3192"/>
    </row>
    <row r="3193" spans="1:8" hidden="1" x14ac:dyDescent="0.25">
      <c r="A3193" s="43">
        <v>518</v>
      </c>
      <c r="B3193" s="43" t="s">
        <v>147</v>
      </c>
      <c r="C3193" s="43" t="s">
        <v>4470</v>
      </c>
      <c r="D3193" s="43" t="s">
        <v>1514</v>
      </c>
      <c r="E3193" s="43" t="s">
        <v>614</v>
      </c>
      <c r="F3193" s="43">
        <v>0</v>
      </c>
      <c r="G3193" s="43" t="s">
        <v>4583</v>
      </c>
      <c r="H3193"/>
    </row>
    <row r="3194" spans="1:8" hidden="1" x14ac:dyDescent="0.25">
      <c r="A3194" s="43">
        <v>518</v>
      </c>
      <c r="B3194" s="43" t="s">
        <v>147</v>
      </c>
      <c r="C3194" s="43" t="s">
        <v>4470</v>
      </c>
      <c r="D3194" s="43" t="s">
        <v>1515</v>
      </c>
      <c r="E3194" s="43" t="s">
        <v>615</v>
      </c>
      <c r="F3194" s="43">
        <v>0</v>
      </c>
      <c r="G3194" s="43" t="s">
        <v>4583</v>
      </c>
      <c r="H3194"/>
    </row>
    <row r="3195" spans="1:8" hidden="1" x14ac:dyDescent="0.25">
      <c r="A3195" s="43">
        <v>518</v>
      </c>
      <c r="B3195" s="43" t="s">
        <v>147</v>
      </c>
      <c r="C3195" s="43" t="s">
        <v>4470</v>
      </c>
      <c r="D3195" s="43" t="s">
        <v>1516</v>
      </c>
      <c r="E3195" s="43" t="s">
        <v>1517</v>
      </c>
      <c r="F3195" s="43">
        <v>1</v>
      </c>
      <c r="G3195"/>
      <c r="H3195"/>
    </row>
    <row r="3196" spans="1:8" hidden="1" x14ac:dyDescent="0.25">
      <c r="A3196" s="43">
        <v>518</v>
      </c>
      <c r="B3196" s="43" t="s">
        <v>147</v>
      </c>
      <c r="C3196" s="43" t="s">
        <v>4470</v>
      </c>
      <c r="D3196" s="43" t="s">
        <v>1518</v>
      </c>
      <c r="E3196" s="43" t="s">
        <v>1519</v>
      </c>
      <c r="F3196" s="43">
        <v>0</v>
      </c>
      <c r="G3196" s="43" t="s">
        <v>4583</v>
      </c>
      <c r="H3196"/>
    </row>
    <row r="3197" spans="1:8" hidden="1" x14ac:dyDescent="0.25">
      <c r="A3197" s="43">
        <v>518</v>
      </c>
      <c r="B3197" s="43" t="s">
        <v>147</v>
      </c>
      <c r="C3197" s="43" t="s">
        <v>4470</v>
      </c>
      <c r="D3197" s="43" t="s">
        <v>1520</v>
      </c>
      <c r="E3197" s="43" t="s">
        <v>1521</v>
      </c>
      <c r="F3197" s="43">
        <v>0</v>
      </c>
      <c r="G3197" s="43" t="s">
        <v>4583</v>
      </c>
      <c r="H3197"/>
    </row>
    <row r="3198" spans="1:8" hidden="1" x14ac:dyDescent="0.25">
      <c r="A3198" s="43">
        <v>518</v>
      </c>
      <c r="B3198" s="43" t="s">
        <v>147</v>
      </c>
      <c r="C3198" s="43" t="s">
        <v>4470</v>
      </c>
      <c r="D3198" s="43" t="s">
        <v>1522</v>
      </c>
      <c r="E3198" s="43" t="s">
        <v>1523</v>
      </c>
      <c r="F3198" s="43">
        <v>0</v>
      </c>
      <c r="G3198" s="43" t="s">
        <v>4583</v>
      </c>
      <c r="H3198"/>
    </row>
    <row r="3199" spans="1:8" hidden="1" x14ac:dyDescent="0.25">
      <c r="A3199" s="43">
        <v>518</v>
      </c>
      <c r="B3199" s="43" t="s">
        <v>147</v>
      </c>
      <c r="C3199" s="43" t="s">
        <v>4470</v>
      </c>
      <c r="D3199" s="43" t="s">
        <v>1524</v>
      </c>
      <c r="E3199" s="43" t="s">
        <v>1525</v>
      </c>
      <c r="F3199" s="43">
        <v>0</v>
      </c>
      <c r="G3199" s="43" t="s">
        <v>4583</v>
      </c>
      <c r="H3199"/>
    </row>
    <row r="3200" spans="1:8" hidden="1" x14ac:dyDescent="0.25">
      <c r="A3200" s="43">
        <v>518</v>
      </c>
      <c r="B3200" s="43" t="s">
        <v>147</v>
      </c>
      <c r="C3200" s="43" t="s">
        <v>4470</v>
      </c>
      <c r="D3200" s="43" t="s">
        <v>1526</v>
      </c>
      <c r="E3200" s="43" t="s">
        <v>1527</v>
      </c>
      <c r="F3200" s="43">
        <v>0</v>
      </c>
      <c r="G3200" s="43" t="s">
        <v>4583</v>
      </c>
      <c r="H3200"/>
    </row>
    <row r="3201" spans="1:8" hidden="1" x14ac:dyDescent="0.25">
      <c r="A3201" s="43">
        <v>518</v>
      </c>
      <c r="B3201" s="43" t="s">
        <v>147</v>
      </c>
      <c r="C3201" s="43" t="s">
        <v>4470</v>
      </c>
      <c r="D3201" s="43" t="s">
        <v>1528</v>
      </c>
      <c r="E3201" s="43" t="s">
        <v>4471</v>
      </c>
      <c r="F3201" s="43">
        <v>1</v>
      </c>
      <c r="G3201"/>
      <c r="H3201"/>
    </row>
    <row r="3202" spans="1:8" hidden="1" x14ac:dyDescent="0.25">
      <c r="A3202" s="43">
        <v>518</v>
      </c>
      <c r="B3202" s="43" t="s">
        <v>147</v>
      </c>
      <c r="C3202" s="43" t="s">
        <v>4470</v>
      </c>
      <c r="D3202" s="43" t="s">
        <v>1530</v>
      </c>
      <c r="E3202" s="43" t="s">
        <v>1430</v>
      </c>
      <c r="F3202" s="43">
        <v>0</v>
      </c>
      <c r="G3202" s="43" t="s">
        <v>4583</v>
      </c>
      <c r="H3202"/>
    </row>
    <row r="3203" spans="1:8" hidden="1" x14ac:dyDescent="0.25">
      <c r="A3203" s="43">
        <v>518</v>
      </c>
      <c r="B3203" s="43" t="s">
        <v>147</v>
      </c>
      <c r="C3203" s="43" t="s">
        <v>4470</v>
      </c>
      <c r="D3203" s="43" t="s">
        <v>1531</v>
      </c>
      <c r="E3203" s="43" t="s">
        <v>503</v>
      </c>
      <c r="F3203" s="43">
        <v>0</v>
      </c>
      <c r="G3203" s="43" t="s">
        <v>4583</v>
      </c>
      <c r="H3203"/>
    </row>
    <row r="3204" spans="1:8" hidden="1" x14ac:dyDescent="0.25">
      <c r="A3204" s="43">
        <v>518</v>
      </c>
      <c r="B3204" s="43" t="s">
        <v>147</v>
      </c>
      <c r="C3204" s="43" t="s">
        <v>4470</v>
      </c>
      <c r="D3204" s="43" t="s">
        <v>1532</v>
      </c>
      <c r="E3204" s="43" t="s">
        <v>1533</v>
      </c>
      <c r="F3204" s="43">
        <v>0</v>
      </c>
      <c r="G3204" s="43" t="s">
        <v>4583</v>
      </c>
      <c r="H3204"/>
    </row>
    <row r="3205" spans="1:8" hidden="1" x14ac:dyDescent="0.25">
      <c r="A3205" s="43">
        <v>518</v>
      </c>
      <c r="B3205" s="43" t="s">
        <v>147</v>
      </c>
      <c r="C3205" s="43" t="s">
        <v>4470</v>
      </c>
      <c r="D3205" s="43" t="s">
        <v>1534</v>
      </c>
      <c r="E3205" s="43" t="s">
        <v>1535</v>
      </c>
      <c r="F3205" s="43">
        <v>0</v>
      </c>
      <c r="G3205" s="43" t="s">
        <v>4583</v>
      </c>
      <c r="H3205"/>
    </row>
    <row r="3206" spans="1:8" hidden="1" x14ac:dyDescent="0.25">
      <c r="A3206" s="43">
        <v>518</v>
      </c>
      <c r="B3206" s="43" t="s">
        <v>147</v>
      </c>
      <c r="C3206" s="43" t="s">
        <v>4478</v>
      </c>
      <c r="D3206" s="43" t="s">
        <v>1537</v>
      </c>
      <c r="E3206" s="43" t="s">
        <v>1494</v>
      </c>
      <c r="F3206" s="43">
        <v>1</v>
      </c>
      <c r="G3206"/>
      <c r="H3206"/>
    </row>
    <row r="3207" spans="1:8" hidden="1" x14ac:dyDescent="0.25">
      <c r="A3207" s="43">
        <v>518</v>
      </c>
      <c r="B3207" s="43" t="s">
        <v>147</v>
      </c>
      <c r="C3207" s="43" t="s">
        <v>4478</v>
      </c>
      <c r="D3207" s="43" t="s">
        <v>1538</v>
      </c>
      <c r="E3207" s="43" t="s">
        <v>306</v>
      </c>
      <c r="F3207" s="43">
        <v>0</v>
      </c>
      <c r="G3207" s="43" t="s">
        <v>4583</v>
      </c>
      <c r="H3207"/>
    </row>
    <row r="3208" spans="1:8" hidden="1" x14ac:dyDescent="0.25">
      <c r="A3208" s="43">
        <v>518</v>
      </c>
      <c r="B3208" s="43" t="s">
        <v>147</v>
      </c>
      <c r="C3208" s="43" t="s">
        <v>4478</v>
      </c>
      <c r="D3208" s="43" t="s">
        <v>1539</v>
      </c>
      <c r="E3208" s="43" t="s">
        <v>1499</v>
      </c>
      <c r="F3208" s="43">
        <v>0</v>
      </c>
      <c r="G3208" s="43" t="s">
        <v>4583</v>
      </c>
      <c r="H3208"/>
    </row>
    <row r="3209" spans="1:8" hidden="1" x14ac:dyDescent="0.25">
      <c r="A3209" s="43">
        <v>518</v>
      </c>
      <c r="B3209" s="43" t="s">
        <v>147</v>
      </c>
      <c r="C3209" s="43" t="s">
        <v>4478</v>
      </c>
      <c r="D3209" s="43" t="s">
        <v>1540</v>
      </c>
      <c r="E3209" s="43" t="s">
        <v>1541</v>
      </c>
      <c r="F3209" s="43">
        <v>0</v>
      </c>
      <c r="G3209" s="43" t="s">
        <v>4583</v>
      </c>
      <c r="H3209"/>
    </row>
    <row r="3210" spans="1:8" hidden="1" x14ac:dyDescent="0.25">
      <c r="A3210" s="43">
        <v>518</v>
      </c>
      <c r="B3210" s="43" t="s">
        <v>147</v>
      </c>
      <c r="C3210" s="43" t="s">
        <v>4478</v>
      </c>
      <c r="D3210" s="43" t="s">
        <v>1542</v>
      </c>
      <c r="E3210" s="43" t="s">
        <v>1543</v>
      </c>
      <c r="F3210" s="43">
        <v>0</v>
      </c>
      <c r="G3210" s="43" t="s">
        <v>4583</v>
      </c>
      <c r="H3210"/>
    </row>
    <row r="3211" spans="1:8" hidden="1" x14ac:dyDescent="0.25">
      <c r="A3211" s="43">
        <v>518</v>
      </c>
      <c r="B3211" s="43" t="s">
        <v>147</v>
      </c>
      <c r="C3211" s="43" t="s">
        <v>4478</v>
      </c>
      <c r="D3211" s="43" t="s">
        <v>1544</v>
      </c>
      <c r="E3211" s="43" t="s">
        <v>671</v>
      </c>
      <c r="F3211" s="43">
        <v>0</v>
      </c>
      <c r="G3211" s="43" t="s">
        <v>4583</v>
      </c>
      <c r="H3211"/>
    </row>
    <row r="3212" spans="1:8" hidden="1" x14ac:dyDescent="0.25">
      <c r="A3212" s="43">
        <v>518</v>
      </c>
      <c r="B3212" s="43" t="s">
        <v>147</v>
      </c>
      <c r="C3212" s="43" t="s">
        <v>4478</v>
      </c>
      <c r="D3212" s="43" t="s">
        <v>1545</v>
      </c>
      <c r="E3212" s="43" t="s">
        <v>1546</v>
      </c>
      <c r="F3212" s="43">
        <v>0</v>
      </c>
      <c r="G3212" s="43" t="s">
        <v>4583</v>
      </c>
      <c r="H3212"/>
    </row>
    <row r="3213" spans="1:8" hidden="1" x14ac:dyDescent="0.25">
      <c r="A3213" s="43">
        <v>518</v>
      </c>
      <c r="B3213" s="43" t="s">
        <v>147</v>
      </c>
      <c r="C3213" s="43" t="s">
        <v>4478</v>
      </c>
      <c r="D3213" s="43" t="s">
        <v>1547</v>
      </c>
      <c r="E3213" s="43" t="s">
        <v>1548</v>
      </c>
      <c r="F3213" s="43">
        <v>0</v>
      </c>
      <c r="G3213" s="43" t="s">
        <v>4583</v>
      </c>
      <c r="H3213"/>
    </row>
    <row r="3214" spans="1:8" hidden="1" x14ac:dyDescent="0.25">
      <c r="A3214" s="43">
        <v>518</v>
      </c>
      <c r="B3214" s="43" t="s">
        <v>147</v>
      </c>
      <c r="C3214" s="43" t="s">
        <v>4478</v>
      </c>
      <c r="D3214" s="43" t="s">
        <v>1549</v>
      </c>
      <c r="E3214" s="43" t="s">
        <v>1550</v>
      </c>
      <c r="F3214" s="43">
        <v>0</v>
      </c>
      <c r="G3214" s="43" t="s">
        <v>4583</v>
      </c>
      <c r="H3214"/>
    </row>
    <row r="3215" spans="1:8" hidden="1" x14ac:dyDescent="0.25">
      <c r="A3215" s="43">
        <v>518</v>
      </c>
      <c r="B3215" s="43" t="s">
        <v>147</v>
      </c>
      <c r="C3215" s="43" t="s">
        <v>4478</v>
      </c>
      <c r="D3215" s="43" t="s">
        <v>1551</v>
      </c>
      <c r="E3215" s="43" t="s">
        <v>1552</v>
      </c>
      <c r="F3215" s="43">
        <v>0</v>
      </c>
      <c r="G3215" s="43" t="s">
        <v>4583</v>
      </c>
      <c r="H3215"/>
    </row>
    <row r="3216" spans="1:8" hidden="1" x14ac:dyDescent="0.25">
      <c r="A3216" s="43">
        <v>518</v>
      </c>
      <c r="B3216" s="43" t="s">
        <v>147</v>
      </c>
      <c r="C3216" s="43" t="s">
        <v>4478</v>
      </c>
      <c r="D3216" s="43" t="s">
        <v>1553</v>
      </c>
      <c r="E3216" s="43" t="s">
        <v>1554</v>
      </c>
      <c r="F3216" s="43">
        <v>0</v>
      </c>
      <c r="G3216" s="43" t="s">
        <v>4583</v>
      </c>
      <c r="H3216"/>
    </row>
    <row r="3217" spans="1:8" hidden="1" x14ac:dyDescent="0.25">
      <c r="A3217" s="43">
        <v>518</v>
      </c>
      <c r="B3217" s="43" t="s">
        <v>147</v>
      </c>
      <c r="C3217" s="43" t="s">
        <v>4478</v>
      </c>
      <c r="D3217" s="43" t="s">
        <v>1555</v>
      </c>
      <c r="E3217" s="43" t="s">
        <v>1556</v>
      </c>
      <c r="F3217" s="43">
        <v>1</v>
      </c>
      <c r="G3217"/>
      <c r="H3217"/>
    </row>
    <row r="3218" spans="1:8" hidden="1" x14ac:dyDescent="0.25">
      <c r="A3218" s="43">
        <v>521</v>
      </c>
      <c r="B3218" s="43" t="s">
        <v>148</v>
      </c>
      <c r="C3218" s="43" t="s">
        <v>1790</v>
      </c>
      <c r="D3218" s="43" t="s">
        <v>1791</v>
      </c>
      <c r="E3218" s="43" t="s">
        <v>273</v>
      </c>
      <c r="F3218" s="43">
        <v>0</v>
      </c>
      <c r="G3218" s="43" t="s">
        <v>4662</v>
      </c>
      <c r="H3218" s="43" t="s">
        <v>4759</v>
      </c>
    </row>
    <row r="3219" spans="1:8" hidden="1" x14ac:dyDescent="0.25">
      <c r="A3219" s="43">
        <v>521</v>
      </c>
      <c r="B3219" s="43" t="s">
        <v>148</v>
      </c>
      <c r="C3219" s="43" t="s">
        <v>1790</v>
      </c>
      <c r="D3219" s="43" t="s">
        <v>1792</v>
      </c>
      <c r="E3219" s="43" t="s">
        <v>312</v>
      </c>
      <c r="F3219" s="43">
        <v>1</v>
      </c>
      <c r="G3219"/>
      <c r="H3219"/>
    </row>
    <row r="3220" spans="1:8" hidden="1" x14ac:dyDescent="0.25">
      <c r="A3220" s="43">
        <v>521</v>
      </c>
      <c r="B3220" s="43" t="s">
        <v>148</v>
      </c>
      <c r="C3220" s="43" t="s">
        <v>1790</v>
      </c>
      <c r="D3220" s="43" t="s">
        <v>1793</v>
      </c>
      <c r="E3220" s="43" t="s">
        <v>801</v>
      </c>
      <c r="F3220" s="43">
        <v>1</v>
      </c>
      <c r="G3220"/>
      <c r="H3220"/>
    </row>
    <row r="3221" spans="1:8" hidden="1" x14ac:dyDescent="0.25">
      <c r="A3221" s="43">
        <v>521</v>
      </c>
      <c r="B3221" s="43" t="s">
        <v>148</v>
      </c>
      <c r="C3221" s="43" t="s">
        <v>1790</v>
      </c>
      <c r="D3221" s="43" t="s">
        <v>1794</v>
      </c>
      <c r="E3221" s="43" t="s">
        <v>786</v>
      </c>
      <c r="F3221" s="43">
        <v>1</v>
      </c>
      <c r="G3221"/>
      <c r="H3221"/>
    </row>
    <row r="3222" spans="1:8" hidden="1" x14ac:dyDescent="0.25">
      <c r="A3222" s="43">
        <v>521</v>
      </c>
      <c r="B3222" s="43" t="s">
        <v>148</v>
      </c>
      <c r="C3222" s="43" t="s">
        <v>1790</v>
      </c>
      <c r="D3222" s="43" t="s">
        <v>1795</v>
      </c>
      <c r="E3222" s="43" t="s">
        <v>784</v>
      </c>
      <c r="F3222" s="43">
        <v>1</v>
      </c>
      <c r="G3222"/>
      <c r="H3222"/>
    </row>
    <row r="3223" spans="1:8" hidden="1" x14ac:dyDescent="0.25">
      <c r="A3223" s="43">
        <v>521</v>
      </c>
      <c r="B3223" s="43" t="s">
        <v>148</v>
      </c>
      <c r="C3223" s="43" t="s">
        <v>1790</v>
      </c>
      <c r="D3223" s="43" t="s">
        <v>1796</v>
      </c>
      <c r="E3223" s="43" t="s">
        <v>1205</v>
      </c>
      <c r="F3223" s="43">
        <v>1</v>
      </c>
      <c r="G3223"/>
      <c r="H3223"/>
    </row>
    <row r="3224" spans="1:8" hidden="1" x14ac:dyDescent="0.25">
      <c r="A3224" s="43">
        <v>521</v>
      </c>
      <c r="B3224" s="43" t="s">
        <v>148</v>
      </c>
      <c r="C3224" s="43" t="s">
        <v>1790</v>
      </c>
      <c r="D3224" s="43" t="s">
        <v>1797</v>
      </c>
      <c r="E3224" s="43" t="s">
        <v>1207</v>
      </c>
      <c r="F3224" s="43">
        <v>0</v>
      </c>
      <c r="G3224" s="43" t="s">
        <v>4663</v>
      </c>
      <c r="H3224" s="43" t="s">
        <v>4766</v>
      </c>
    </row>
    <row r="3225" spans="1:8" hidden="1" x14ac:dyDescent="0.25">
      <c r="A3225" s="43">
        <v>521</v>
      </c>
      <c r="B3225" s="43" t="s">
        <v>148</v>
      </c>
      <c r="C3225" s="43" t="s">
        <v>1790</v>
      </c>
      <c r="D3225" s="43" t="s">
        <v>1798</v>
      </c>
      <c r="E3225" s="43" t="s">
        <v>1209</v>
      </c>
      <c r="F3225" s="89">
        <v>1</v>
      </c>
      <c r="H3225"/>
    </row>
    <row r="3226" spans="1:8" hidden="1" x14ac:dyDescent="0.25">
      <c r="A3226" s="43">
        <v>521</v>
      </c>
      <c r="B3226" s="43" t="s">
        <v>148</v>
      </c>
      <c r="C3226" s="43" t="s">
        <v>1790</v>
      </c>
      <c r="D3226" s="43" t="s">
        <v>1799</v>
      </c>
      <c r="E3226" s="43" t="s">
        <v>789</v>
      </c>
      <c r="F3226" s="43">
        <v>1</v>
      </c>
      <c r="G3226"/>
      <c r="H3226"/>
    </row>
    <row r="3227" spans="1:8" hidden="1" x14ac:dyDescent="0.25">
      <c r="A3227" s="43">
        <v>521</v>
      </c>
      <c r="B3227" s="43" t="s">
        <v>148</v>
      </c>
      <c r="C3227" s="43" t="s">
        <v>1790</v>
      </c>
      <c r="D3227" s="43" t="s">
        <v>1800</v>
      </c>
      <c r="E3227" s="43" t="s">
        <v>1214</v>
      </c>
      <c r="F3227" s="43">
        <v>1</v>
      </c>
      <c r="G3227"/>
      <c r="H3227"/>
    </row>
    <row r="3228" spans="1:8" hidden="1" x14ac:dyDescent="0.25">
      <c r="A3228" s="43">
        <v>521</v>
      </c>
      <c r="B3228" s="43" t="s">
        <v>148</v>
      </c>
      <c r="C3228" s="43" t="s">
        <v>1790</v>
      </c>
      <c r="D3228" s="43" t="s">
        <v>1801</v>
      </c>
      <c r="E3228" s="43" t="s">
        <v>1784</v>
      </c>
      <c r="F3228" s="89">
        <v>1</v>
      </c>
      <c r="H3228"/>
    </row>
    <row r="3229" spans="1:8" hidden="1" x14ac:dyDescent="0.25">
      <c r="A3229" s="43">
        <v>521</v>
      </c>
      <c r="B3229" s="43" t="s">
        <v>148</v>
      </c>
      <c r="C3229" s="43" t="s">
        <v>1790</v>
      </c>
      <c r="D3229" s="43" t="s">
        <v>1802</v>
      </c>
      <c r="E3229" s="43" t="s">
        <v>791</v>
      </c>
      <c r="F3229" s="43">
        <v>1</v>
      </c>
      <c r="G3229"/>
      <c r="H3229"/>
    </row>
    <row r="3230" spans="1:8" hidden="1" x14ac:dyDescent="0.25">
      <c r="A3230" s="43">
        <v>521</v>
      </c>
      <c r="B3230" s="43" t="s">
        <v>148</v>
      </c>
      <c r="C3230" s="43" t="s">
        <v>1790</v>
      </c>
      <c r="D3230" s="43" t="s">
        <v>1803</v>
      </c>
      <c r="E3230" s="43" t="s">
        <v>795</v>
      </c>
      <c r="F3230" s="43">
        <v>1</v>
      </c>
      <c r="G3230"/>
      <c r="H3230"/>
    </row>
    <row r="3231" spans="1:8" hidden="1" x14ac:dyDescent="0.25">
      <c r="A3231" s="43">
        <v>521</v>
      </c>
      <c r="B3231" s="43" t="s">
        <v>148</v>
      </c>
      <c r="C3231" s="43" t="s">
        <v>1790</v>
      </c>
      <c r="D3231" s="43" t="s">
        <v>1804</v>
      </c>
      <c r="E3231" s="43" t="s">
        <v>372</v>
      </c>
      <c r="F3231" s="43">
        <v>1</v>
      </c>
      <c r="G3231"/>
      <c r="H3231"/>
    </row>
    <row r="3232" spans="1:8" hidden="1" x14ac:dyDescent="0.25">
      <c r="A3232" s="43">
        <v>521</v>
      </c>
      <c r="B3232" s="43" t="s">
        <v>148</v>
      </c>
      <c r="C3232" s="43" t="s">
        <v>1790</v>
      </c>
      <c r="D3232" s="43" t="s">
        <v>1805</v>
      </c>
      <c r="E3232" s="43" t="s">
        <v>1806</v>
      </c>
      <c r="F3232" s="43">
        <v>1</v>
      </c>
      <c r="G3232"/>
      <c r="H3232"/>
    </row>
    <row r="3233" spans="1:8" hidden="1" x14ac:dyDescent="0.25">
      <c r="A3233" s="43">
        <v>521</v>
      </c>
      <c r="B3233" s="43" t="s">
        <v>148</v>
      </c>
      <c r="C3233" s="43" t="s">
        <v>1790</v>
      </c>
      <c r="D3233" s="43" t="s">
        <v>1807</v>
      </c>
      <c r="E3233" s="43" t="s">
        <v>1808</v>
      </c>
      <c r="F3233" s="89">
        <v>1</v>
      </c>
      <c r="H3233"/>
    </row>
    <row r="3234" spans="1:8" hidden="1" x14ac:dyDescent="0.25">
      <c r="A3234" s="43">
        <v>522</v>
      </c>
      <c r="B3234" s="43" t="s">
        <v>149</v>
      </c>
      <c r="C3234" s="43" t="s">
        <v>506</v>
      </c>
      <c r="D3234" s="43" t="s">
        <v>507</v>
      </c>
      <c r="E3234" s="43" t="s">
        <v>508</v>
      </c>
      <c r="F3234" s="43">
        <v>0</v>
      </c>
      <c r="G3234" s="43" t="s">
        <v>4583</v>
      </c>
      <c r="H3234"/>
    </row>
    <row r="3235" spans="1:8" hidden="1" x14ac:dyDescent="0.25">
      <c r="A3235" s="43">
        <v>522</v>
      </c>
      <c r="B3235" s="43" t="s">
        <v>149</v>
      </c>
      <c r="C3235" s="43" t="s">
        <v>506</v>
      </c>
      <c r="D3235" s="43" t="s">
        <v>509</v>
      </c>
      <c r="E3235" s="43" t="s">
        <v>510</v>
      </c>
      <c r="F3235" s="43">
        <v>1</v>
      </c>
      <c r="G3235"/>
      <c r="H3235"/>
    </row>
    <row r="3236" spans="1:8" hidden="1" x14ac:dyDescent="0.25">
      <c r="A3236" s="43">
        <v>522</v>
      </c>
      <c r="B3236" s="43" t="s">
        <v>149</v>
      </c>
      <c r="C3236" s="43" t="s">
        <v>506</v>
      </c>
      <c r="D3236" s="43" t="s">
        <v>511</v>
      </c>
      <c r="E3236" s="43" t="s">
        <v>512</v>
      </c>
      <c r="F3236" s="43">
        <v>1</v>
      </c>
      <c r="G3236"/>
      <c r="H3236"/>
    </row>
    <row r="3237" spans="1:8" hidden="1" x14ac:dyDescent="0.25">
      <c r="A3237" s="43">
        <v>522</v>
      </c>
      <c r="B3237" s="43" t="s">
        <v>149</v>
      </c>
      <c r="C3237" s="43" t="s">
        <v>506</v>
      </c>
      <c r="D3237" s="43" t="s">
        <v>513</v>
      </c>
      <c r="E3237" s="43" t="s">
        <v>514</v>
      </c>
      <c r="F3237" s="43">
        <v>1</v>
      </c>
      <c r="G3237"/>
      <c r="H3237"/>
    </row>
    <row r="3238" spans="1:8" hidden="1" x14ac:dyDescent="0.25">
      <c r="A3238" s="43">
        <v>522</v>
      </c>
      <c r="B3238" s="43" t="s">
        <v>149</v>
      </c>
      <c r="C3238" s="43" t="s">
        <v>506</v>
      </c>
      <c r="D3238" s="43" t="s">
        <v>515</v>
      </c>
      <c r="E3238" s="43" t="s">
        <v>516</v>
      </c>
      <c r="F3238" s="43">
        <v>0</v>
      </c>
      <c r="G3238" s="43" t="s">
        <v>4583</v>
      </c>
      <c r="H3238"/>
    </row>
    <row r="3239" spans="1:8" hidden="1" x14ac:dyDescent="0.25">
      <c r="A3239" s="43">
        <v>522</v>
      </c>
      <c r="B3239" s="43" t="s">
        <v>149</v>
      </c>
      <c r="C3239" s="43" t="s">
        <v>506</v>
      </c>
      <c r="D3239" s="43" t="s">
        <v>517</v>
      </c>
      <c r="E3239" s="43" t="s">
        <v>518</v>
      </c>
      <c r="F3239" s="43">
        <v>1</v>
      </c>
      <c r="G3239"/>
      <c r="H3239"/>
    </row>
    <row r="3240" spans="1:8" hidden="1" x14ac:dyDescent="0.25">
      <c r="A3240" s="43">
        <v>522</v>
      </c>
      <c r="B3240" s="43" t="s">
        <v>149</v>
      </c>
      <c r="C3240" s="43" t="s">
        <v>506</v>
      </c>
      <c r="D3240" s="43" t="s">
        <v>519</v>
      </c>
      <c r="E3240" s="43" t="s">
        <v>520</v>
      </c>
      <c r="F3240" s="43">
        <v>1</v>
      </c>
      <c r="G3240"/>
      <c r="H3240"/>
    </row>
    <row r="3241" spans="1:8" hidden="1" x14ac:dyDescent="0.25">
      <c r="A3241" s="43">
        <v>522</v>
      </c>
      <c r="B3241" s="43" t="s">
        <v>149</v>
      </c>
      <c r="C3241" s="43" t="s">
        <v>506</v>
      </c>
      <c r="D3241" s="43" t="s">
        <v>521</v>
      </c>
      <c r="E3241" s="43" t="s">
        <v>522</v>
      </c>
      <c r="F3241" s="43">
        <v>0</v>
      </c>
      <c r="G3241" s="43" t="s">
        <v>4583</v>
      </c>
      <c r="H3241"/>
    </row>
    <row r="3242" spans="1:8" hidden="1" x14ac:dyDescent="0.25">
      <c r="A3242" s="43">
        <v>522</v>
      </c>
      <c r="B3242" s="43" t="s">
        <v>149</v>
      </c>
      <c r="C3242" s="43" t="s">
        <v>506</v>
      </c>
      <c r="D3242" s="43" t="s">
        <v>523</v>
      </c>
      <c r="E3242" s="43" t="s">
        <v>4472</v>
      </c>
      <c r="F3242" s="43">
        <v>1</v>
      </c>
      <c r="G3242"/>
      <c r="H3242"/>
    </row>
    <row r="3243" spans="1:8" hidden="1" x14ac:dyDescent="0.25">
      <c r="A3243" s="43">
        <v>522</v>
      </c>
      <c r="B3243" s="43" t="s">
        <v>149</v>
      </c>
      <c r="C3243" s="43" t="s">
        <v>506</v>
      </c>
      <c r="D3243" s="43" t="s">
        <v>525</v>
      </c>
      <c r="E3243" s="43" t="s">
        <v>526</v>
      </c>
      <c r="F3243" s="43">
        <v>1</v>
      </c>
      <c r="G3243"/>
      <c r="H3243"/>
    </row>
    <row r="3244" spans="1:8" hidden="1" x14ac:dyDescent="0.25">
      <c r="A3244" s="43">
        <v>522</v>
      </c>
      <c r="B3244" s="43" t="s">
        <v>149</v>
      </c>
      <c r="C3244" s="43" t="s">
        <v>506</v>
      </c>
      <c r="D3244" s="43" t="s">
        <v>527</v>
      </c>
      <c r="E3244" s="43" t="s">
        <v>283</v>
      </c>
      <c r="F3244" s="43">
        <v>0</v>
      </c>
      <c r="G3244" s="43" t="s">
        <v>4583</v>
      </c>
      <c r="H3244"/>
    </row>
    <row r="3245" spans="1:8" hidden="1" x14ac:dyDescent="0.25">
      <c r="A3245" s="43">
        <v>522</v>
      </c>
      <c r="B3245" s="43" t="s">
        <v>149</v>
      </c>
      <c r="C3245" s="43" t="s">
        <v>506</v>
      </c>
      <c r="D3245" s="43" t="s">
        <v>528</v>
      </c>
      <c r="E3245" s="43" t="s">
        <v>529</v>
      </c>
      <c r="F3245" s="43">
        <v>0</v>
      </c>
      <c r="G3245" s="43" t="s">
        <v>4583</v>
      </c>
      <c r="H3245"/>
    </row>
    <row r="3246" spans="1:8" hidden="1" x14ac:dyDescent="0.25">
      <c r="A3246" s="43">
        <v>522</v>
      </c>
      <c r="B3246" s="43" t="s">
        <v>149</v>
      </c>
      <c r="C3246" s="43" t="s">
        <v>506</v>
      </c>
      <c r="D3246" s="43" t="s">
        <v>530</v>
      </c>
      <c r="E3246" s="43" t="s">
        <v>531</v>
      </c>
      <c r="F3246" s="43">
        <v>1</v>
      </c>
      <c r="G3246"/>
      <c r="H3246"/>
    </row>
    <row r="3247" spans="1:8" hidden="1" x14ac:dyDescent="0.25">
      <c r="A3247" s="43">
        <v>522</v>
      </c>
      <c r="B3247" s="43" t="s">
        <v>149</v>
      </c>
      <c r="C3247" s="43" t="s">
        <v>506</v>
      </c>
      <c r="D3247" s="43" t="s">
        <v>532</v>
      </c>
      <c r="E3247" s="43" t="s">
        <v>533</v>
      </c>
      <c r="F3247" s="43">
        <v>0</v>
      </c>
      <c r="G3247" s="43" t="s">
        <v>4583</v>
      </c>
      <c r="H3247"/>
    </row>
    <row r="3248" spans="1:8" hidden="1" x14ac:dyDescent="0.25">
      <c r="A3248" s="43">
        <v>522</v>
      </c>
      <c r="B3248" s="43" t="s">
        <v>149</v>
      </c>
      <c r="C3248" s="43" t="s">
        <v>506</v>
      </c>
      <c r="D3248" s="43" t="s">
        <v>534</v>
      </c>
      <c r="E3248" s="43" t="s">
        <v>535</v>
      </c>
      <c r="F3248" s="43">
        <v>0</v>
      </c>
      <c r="G3248" s="43" t="s">
        <v>4583</v>
      </c>
      <c r="H3248"/>
    </row>
    <row r="3249" spans="1:8" hidden="1" x14ac:dyDescent="0.25">
      <c r="A3249" s="43">
        <v>522</v>
      </c>
      <c r="B3249" s="43" t="s">
        <v>149</v>
      </c>
      <c r="C3249" s="43" t="s">
        <v>506</v>
      </c>
      <c r="D3249" s="43" t="s">
        <v>536</v>
      </c>
      <c r="E3249" s="43" t="s">
        <v>537</v>
      </c>
      <c r="F3249" s="43">
        <v>1</v>
      </c>
      <c r="G3249"/>
      <c r="H3249"/>
    </row>
    <row r="3250" spans="1:8" hidden="1" x14ac:dyDescent="0.25">
      <c r="A3250" s="43">
        <v>522</v>
      </c>
      <c r="B3250" s="43" t="s">
        <v>149</v>
      </c>
      <c r="C3250" s="43" t="s">
        <v>506</v>
      </c>
      <c r="D3250" s="43" t="s">
        <v>538</v>
      </c>
      <c r="E3250" s="43" t="s">
        <v>539</v>
      </c>
      <c r="F3250" s="43">
        <v>1</v>
      </c>
      <c r="G3250"/>
      <c r="H3250"/>
    </row>
    <row r="3251" spans="1:8" hidden="1" x14ac:dyDescent="0.25">
      <c r="A3251" s="43">
        <v>522</v>
      </c>
      <c r="B3251" s="43" t="s">
        <v>149</v>
      </c>
      <c r="C3251" s="43" t="s">
        <v>506</v>
      </c>
      <c r="D3251" s="43" t="s">
        <v>540</v>
      </c>
      <c r="E3251" s="43" t="s">
        <v>541</v>
      </c>
      <c r="F3251" s="43">
        <v>0</v>
      </c>
      <c r="G3251" s="43" t="s">
        <v>4583</v>
      </c>
      <c r="H3251"/>
    </row>
    <row r="3252" spans="1:8" hidden="1" x14ac:dyDescent="0.25">
      <c r="A3252" s="43">
        <v>522</v>
      </c>
      <c r="B3252" s="43" t="s">
        <v>149</v>
      </c>
      <c r="C3252" s="43" t="s">
        <v>506</v>
      </c>
      <c r="D3252" s="43" t="s">
        <v>542</v>
      </c>
      <c r="E3252" s="43" t="s">
        <v>543</v>
      </c>
      <c r="F3252" s="43">
        <v>1</v>
      </c>
      <c r="G3252"/>
      <c r="H3252"/>
    </row>
    <row r="3253" spans="1:8" hidden="1" x14ac:dyDescent="0.25">
      <c r="A3253" s="43">
        <v>522</v>
      </c>
      <c r="B3253" s="43" t="s">
        <v>149</v>
      </c>
      <c r="C3253" s="43" t="s">
        <v>506</v>
      </c>
      <c r="D3253" s="43" t="s">
        <v>544</v>
      </c>
      <c r="E3253" s="43" t="s">
        <v>545</v>
      </c>
      <c r="F3253" s="43">
        <v>1</v>
      </c>
      <c r="G3253"/>
      <c r="H3253"/>
    </row>
    <row r="3254" spans="1:8" hidden="1" x14ac:dyDescent="0.25">
      <c r="A3254" s="43">
        <v>522</v>
      </c>
      <c r="B3254" s="43" t="s">
        <v>149</v>
      </c>
      <c r="C3254" s="43" t="s">
        <v>506</v>
      </c>
      <c r="D3254" s="43" t="s">
        <v>546</v>
      </c>
      <c r="E3254" s="43" t="s">
        <v>547</v>
      </c>
      <c r="F3254" s="43">
        <v>1</v>
      </c>
      <c r="G3254"/>
      <c r="H3254"/>
    </row>
    <row r="3255" spans="1:8" hidden="1" x14ac:dyDescent="0.25">
      <c r="A3255" s="43">
        <v>522</v>
      </c>
      <c r="B3255" s="43" t="s">
        <v>149</v>
      </c>
      <c r="C3255" s="43" t="s">
        <v>506</v>
      </c>
      <c r="D3255" s="43" t="s">
        <v>548</v>
      </c>
      <c r="E3255" s="43" t="s">
        <v>549</v>
      </c>
      <c r="F3255" s="43">
        <v>1</v>
      </c>
      <c r="G3255"/>
      <c r="H3255"/>
    </row>
    <row r="3256" spans="1:8" hidden="1" x14ac:dyDescent="0.25">
      <c r="A3256" s="43">
        <v>522</v>
      </c>
      <c r="B3256" s="43" t="s">
        <v>149</v>
      </c>
      <c r="C3256" s="43" t="s">
        <v>506</v>
      </c>
      <c r="D3256" s="43" t="s">
        <v>550</v>
      </c>
      <c r="E3256" s="43" t="s">
        <v>551</v>
      </c>
      <c r="F3256" s="43">
        <v>0</v>
      </c>
      <c r="G3256" s="43" t="s">
        <v>4583</v>
      </c>
      <c r="H3256"/>
    </row>
    <row r="3257" spans="1:8" hidden="1" x14ac:dyDescent="0.25">
      <c r="A3257" s="43">
        <v>523</v>
      </c>
      <c r="B3257" s="43" t="s">
        <v>149</v>
      </c>
      <c r="C3257" s="43" t="s">
        <v>506</v>
      </c>
      <c r="D3257" s="43" t="s">
        <v>507</v>
      </c>
      <c r="E3257" s="43" t="s">
        <v>508</v>
      </c>
      <c r="F3257" s="43">
        <v>0</v>
      </c>
      <c r="G3257" s="43" t="s">
        <v>4583</v>
      </c>
      <c r="H3257"/>
    </row>
    <row r="3258" spans="1:8" hidden="1" x14ac:dyDescent="0.25">
      <c r="A3258" s="43">
        <v>523</v>
      </c>
      <c r="B3258" s="43" t="s">
        <v>149</v>
      </c>
      <c r="C3258" s="43" t="s">
        <v>506</v>
      </c>
      <c r="D3258" s="43" t="s">
        <v>509</v>
      </c>
      <c r="E3258" s="43" t="s">
        <v>510</v>
      </c>
      <c r="F3258" s="43">
        <v>1</v>
      </c>
      <c r="G3258"/>
      <c r="H3258"/>
    </row>
    <row r="3259" spans="1:8" hidden="1" x14ac:dyDescent="0.25">
      <c r="A3259" s="43">
        <v>523</v>
      </c>
      <c r="B3259" s="43" t="s">
        <v>149</v>
      </c>
      <c r="C3259" s="43" t="s">
        <v>506</v>
      </c>
      <c r="D3259" s="43" t="s">
        <v>511</v>
      </c>
      <c r="E3259" s="43" t="s">
        <v>512</v>
      </c>
      <c r="F3259" s="43">
        <v>1</v>
      </c>
      <c r="G3259"/>
      <c r="H3259"/>
    </row>
    <row r="3260" spans="1:8" hidden="1" x14ac:dyDescent="0.25">
      <c r="A3260" s="43">
        <v>523</v>
      </c>
      <c r="B3260" s="43" t="s">
        <v>149</v>
      </c>
      <c r="C3260" s="43" t="s">
        <v>506</v>
      </c>
      <c r="D3260" s="43" t="s">
        <v>513</v>
      </c>
      <c r="E3260" s="43" t="s">
        <v>514</v>
      </c>
      <c r="F3260" s="43">
        <v>1</v>
      </c>
      <c r="G3260"/>
      <c r="H3260"/>
    </row>
    <row r="3261" spans="1:8" hidden="1" x14ac:dyDescent="0.25">
      <c r="A3261" s="43">
        <v>523</v>
      </c>
      <c r="B3261" s="43" t="s">
        <v>149</v>
      </c>
      <c r="C3261" s="43" t="s">
        <v>506</v>
      </c>
      <c r="D3261" s="43" t="s">
        <v>515</v>
      </c>
      <c r="E3261" s="43" t="s">
        <v>516</v>
      </c>
      <c r="F3261" s="43">
        <v>1</v>
      </c>
      <c r="G3261"/>
      <c r="H3261"/>
    </row>
    <row r="3262" spans="1:8" hidden="1" x14ac:dyDescent="0.25">
      <c r="A3262" s="43">
        <v>523</v>
      </c>
      <c r="B3262" s="43" t="s">
        <v>149</v>
      </c>
      <c r="C3262" s="43" t="s">
        <v>506</v>
      </c>
      <c r="D3262" s="43" t="s">
        <v>517</v>
      </c>
      <c r="E3262" s="43" t="s">
        <v>518</v>
      </c>
      <c r="F3262" s="43">
        <v>1</v>
      </c>
      <c r="G3262"/>
      <c r="H3262"/>
    </row>
    <row r="3263" spans="1:8" hidden="1" x14ac:dyDescent="0.25">
      <c r="A3263" s="43">
        <v>523</v>
      </c>
      <c r="B3263" s="43" t="s">
        <v>149</v>
      </c>
      <c r="C3263" s="43" t="s">
        <v>506</v>
      </c>
      <c r="D3263" s="43" t="s">
        <v>519</v>
      </c>
      <c r="E3263" s="43" t="s">
        <v>520</v>
      </c>
      <c r="F3263" s="43">
        <v>1</v>
      </c>
      <c r="G3263"/>
      <c r="H3263"/>
    </row>
    <row r="3264" spans="1:8" hidden="1" x14ac:dyDescent="0.25">
      <c r="A3264" s="43">
        <v>523</v>
      </c>
      <c r="B3264" s="43" t="s">
        <v>149</v>
      </c>
      <c r="C3264" s="43" t="s">
        <v>506</v>
      </c>
      <c r="D3264" s="43" t="s">
        <v>521</v>
      </c>
      <c r="E3264" s="43" t="s">
        <v>522</v>
      </c>
      <c r="F3264" s="43">
        <v>1</v>
      </c>
      <c r="G3264"/>
      <c r="H3264"/>
    </row>
    <row r="3265" spans="1:8" hidden="1" x14ac:dyDescent="0.25">
      <c r="A3265" s="43">
        <v>523</v>
      </c>
      <c r="B3265" s="43" t="s">
        <v>149</v>
      </c>
      <c r="C3265" s="43" t="s">
        <v>506</v>
      </c>
      <c r="D3265" s="43" t="s">
        <v>523</v>
      </c>
      <c r="E3265" s="43" t="s">
        <v>4472</v>
      </c>
      <c r="F3265" s="43">
        <v>1</v>
      </c>
      <c r="G3265"/>
      <c r="H3265"/>
    </row>
    <row r="3266" spans="1:8" hidden="1" x14ac:dyDescent="0.25">
      <c r="A3266" s="43">
        <v>523</v>
      </c>
      <c r="B3266" s="43" t="s">
        <v>149</v>
      </c>
      <c r="C3266" s="43" t="s">
        <v>506</v>
      </c>
      <c r="D3266" s="43" t="s">
        <v>525</v>
      </c>
      <c r="E3266" s="43" t="s">
        <v>526</v>
      </c>
      <c r="F3266" s="43">
        <v>1</v>
      </c>
      <c r="G3266"/>
      <c r="H3266"/>
    </row>
    <row r="3267" spans="1:8" hidden="1" x14ac:dyDescent="0.25">
      <c r="A3267" s="43">
        <v>523</v>
      </c>
      <c r="B3267" s="43" t="s">
        <v>149</v>
      </c>
      <c r="C3267" s="43" t="s">
        <v>506</v>
      </c>
      <c r="D3267" s="43" t="s">
        <v>527</v>
      </c>
      <c r="E3267" s="43" t="s">
        <v>283</v>
      </c>
      <c r="F3267" s="43">
        <v>1</v>
      </c>
      <c r="G3267"/>
      <c r="H3267"/>
    </row>
    <row r="3268" spans="1:8" hidden="1" x14ac:dyDescent="0.25">
      <c r="A3268" s="43">
        <v>523</v>
      </c>
      <c r="B3268" s="43" t="s">
        <v>149</v>
      </c>
      <c r="C3268" s="43" t="s">
        <v>506</v>
      </c>
      <c r="D3268" s="43" t="s">
        <v>528</v>
      </c>
      <c r="E3268" s="43" t="s">
        <v>529</v>
      </c>
      <c r="F3268" s="43">
        <v>1</v>
      </c>
      <c r="G3268"/>
      <c r="H3268"/>
    </row>
    <row r="3269" spans="1:8" hidden="1" x14ac:dyDescent="0.25">
      <c r="A3269" s="43">
        <v>523</v>
      </c>
      <c r="B3269" s="43" t="s">
        <v>149</v>
      </c>
      <c r="C3269" s="43" t="s">
        <v>506</v>
      </c>
      <c r="D3269" s="43" t="s">
        <v>530</v>
      </c>
      <c r="E3269" s="43" t="s">
        <v>531</v>
      </c>
      <c r="F3269" s="43">
        <v>1</v>
      </c>
      <c r="G3269"/>
      <c r="H3269"/>
    </row>
    <row r="3270" spans="1:8" hidden="1" x14ac:dyDescent="0.25">
      <c r="A3270" s="43">
        <v>523</v>
      </c>
      <c r="B3270" s="43" t="s">
        <v>149</v>
      </c>
      <c r="C3270" s="43" t="s">
        <v>506</v>
      </c>
      <c r="D3270" s="43" t="s">
        <v>532</v>
      </c>
      <c r="E3270" s="43" t="s">
        <v>533</v>
      </c>
      <c r="F3270" s="43">
        <v>1</v>
      </c>
      <c r="G3270"/>
      <c r="H3270"/>
    </row>
    <row r="3271" spans="1:8" hidden="1" x14ac:dyDescent="0.25">
      <c r="A3271" s="43">
        <v>523</v>
      </c>
      <c r="B3271" s="43" t="s">
        <v>149</v>
      </c>
      <c r="C3271" s="43" t="s">
        <v>506</v>
      </c>
      <c r="D3271" s="43" t="s">
        <v>534</v>
      </c>
      <c r="E3271" s="43" t="s">
        <v>535</v>
      </c>
      <c r="F3271" s="43">
        <v>1</v>
      </c>
      <c r="G3271"/>
      <c r="H3271"/>
    </row>
    <row r="3272" spans="1:8" hidden="1" x14ac:dyDescent="0.25">
      <c r="A3272" s="43">
        <v>523</v>
      </c>
      <c r="B3272" s="43" t="s">
        <v>149</v>
      </c>
      <c r="C3272" s="43" t="s">
        <v>506</v>
      </c>
      <c r="D3272" s="43" t="s">
        <v>536</v>
      </c>
      <c r="E3272" s="43" t="s">
        <v>537</v>
      </c>
      <c r="F3272" s="43">
        <v>1</v>
      </c>
      <c r="G3272"/>
      <c r="H3272"/>
    </row>
    <row r="3273" spans="1:8" hidden="1" x14ac:dyDescent="0.25">
      <c r="A3273" s="43">
        <v>523</v>
      </c>
      <c r="B3273" s="43" t="s">
        <v>149</v>
      </c>
      <c r="C3273" s="43" t="s">
        <v>506</v>
      </c>
      <c r="D3273" s="43" t="s">
        <v>538</v>
      </c>
      <c r="E3273" s="43" t="s">
        <v>539</v>
      </c>
      <c r="F3273" s="43">
        <v>1</v>
      </c>
      <c r="G3273"/>
      <c r="H3273"/>
    </row>
    <row r="3274" spans="1:8" hidden="1" x14ac:dyDescent="0.25">
      <c r="A3274" s="43">
        <v>523</v>
      </c>
      <c r="B3274" s="43" t="s">
        <v>149</v>
      </c>
      <c r="C3274" s="43" t="s">
        <v>506</v>
      </c>
      <c r="D3274" s="43" t="s">
        <v>540</v>
      </c>
      <c r="E3274" s="43" t="s">
        <v>541</v>
      </c>
      <c r="F3274" s="43">
        <v>0</v>
      </c>
      <c r="G3274" s="43" t="s">
        <v>4583</v>
      </c>
      <c r="H3274"/>
    </row>
    <row r="3275" spans="1:8" hidden="1" x14ac:dyDescent="0.25">
      <c r="A3275" s="43">
        <v>523</v>
      </c>
      <c r="B3275" s="43" t="s">
        <v>149</v>
      </c>
      <c r="C3275" s="43" t="s">
        <v>506</v>
      </c>
      <c r="D3275" s="43" t="s">
        <v>542</v>
      </c>
      <c r="E3275" s="43" t="s">
        <v>543</v>
      </c>
      <c r="F3275" s="43">
        <v>1</v>
      </c>
      <c r="G3275"/>
      <c r="H3275"/>
    </row>
    <row r="3276" spans="1:8" hidden="1" x14ac:dyDescent="0.25">
      <c r="A3276" s="43">
        <v>523</v>
      </c>
      <c r="B3276" s="43" t="s">
        <v>149</v>
      </c>
      <c r="C3276" s="43" t="s">
        <v>506</v>
      </c>
      <c r="D3276" s="43" t="s">
        <v>544</v>
      </c>
      <c r="E3276" s="43" t="s">
        <v>545</v>
      </c>
      <c r="F3276" s="43">
        <v>0</v>
      </c>
      <c r="G3276" s="43" t="s">
        <v>4583</v>
      </c>
    </row>
    <row r="3277" spans="1:8" hidden="1" x14ac:dyDescent="0.25">
      <c r="A3277" s="43">
        <v>523</v>
      </c>
      <c r="B3277" s="43" t="s">
        <v>149</v>
      </c>
      <c r="C3277" s="43" t="s">
        <v>506</v>
      </c>
      <c r="D3277" s="43" t="s">
        <v>546</v>
      </c>
      <c r="E3277" s="43" t="s">
        <v>547</v>
      </c>
      <c r="F3277" s="43">
        <v>0</v>
      </c>
      <c r="G3277" s="43" t="s">
        <v>4583</v>
      </c>
    </row>
    <row r="3278" spans="1:8" hidden="1" x14ac:dyDescent="0.25">
      <c r="A3278" s="43">
        <v>523</v>
      </c>
      <c r="B3278" s="43" t="s">
        <v>149</v>
      </c>
      <c r="C3278" s="43" t="s">
        <v>506</v>
      </c>
      <c r="D3278" s="43" t="s">
        <v>548</v>
      </c>
      <c r="E3278" s="43" t="s">
        <v>549</v>
      </c>
      <c r="F3278" s="43">
        <v>1</v>
      </c>
      <c r="G3278"/>
      <c r="H3278"/>
    </row>
    <row r="3279" spans="1:8" hidden="1" x14ac:dyDescent="0.25">
      <c r="A3279" s="43">
        <v>523</v>
      </c>
      <c r="B3279" s="43" t="s">
        <v>149</v>
      </c>
      <c r="C3279" s="43" t="s">
        <v>506</v>
      </c>
      <c r="D3279" s="43" t="s">
        <v>550</v>
      </c>
      <c r="E3279" s="43" t="s">
        <v>551</v>
      </c>
      <c r="F3279" s="43">
        <v>1</v>
      </c>
      <c r="G3279"/>
      <c r="H3279"/>
    </row>
    <row r="3280" spans="1:8" hidden="1" x14ac:dyDescent="0.25">
      <c r="A3280" s="43">
        <v>527</v>
      </c>
      <c r="B3280" s="43" t="s">
        <v>150</v>
      </c>
      <c r="C3280" s="43" t="s">
        <v>422</v>
      </c>
      <c r="D3280" s="43" t="s">
        <v>423</v>
      </c>
      <c r="E3280" s="43" t="s">
        <v>424</v>
      </c>
      <c r="F3280" s="43">
        <v>1</v>
      </c>
      <c r="G3280"/>
      <c r="H3280"/>
    </row>
    <row r="3281" spans="1:8" hidden="1" x14ac:dyDescent="0.25">
      <c r="A3281" s="43">
        <v>527</v>
      </c>
      <c r="B3281" s="43" t="s">
        <v>150</v>
      </c>
      <c r="C3281" s="43" t="s">
        <v>422</v>
      </c>
      <c r="D3281" s="43" t="s">
        <v>425</v>
      </c>
      <c r="E3281" s="43" t="s">
        <v>426</v>
      </c>
      <c r="F3281" s="43">
        <v>1</v>
      </c>
      <c r="G3281"/>
      <c r="H3281"/>
    </row>
    <row r="3282" spans="1:8" hidden="1" x14ac:dyDescent="0.25">
      <c r="A3282" s="43">
        <v>527</v>
      </c>
      <c r="B3282" s="43" t="s">
        <v>150</v>
      </c>
      <c r="C3282" s="43" t="s">
        <v>422</v>
      </c>
      <c r="D3282" s="43" t="s">
        <v>427</v>
      </c>
      <c r="E3282" s="43" t="s">
        <v>428</v>
      </c>
      <c r="F3282" s="43">
        <v>1</v>
      </c>
      <c r="G3282"/>
      <c r="H3282"/>
    </row>
    <row r="3283" spans="1:8" hidden="1" x14ac:dyDescent="0.25">
      <c r="A3283" s="43">
        <v>527</v>
      </c>
      <c r="B3283" s="43" t="s">
        <v>150</v>
      </c>
      <c r="C3283" s="43" t="s">
        <v>422</v>
      </c>
      <c r="D3283" s="43" t="s">
        <v>429</v>
      </c>
      <c r="E3283" s="43" t="s">
        <v>430</v>
      </c>
      <c r="F3283" s="43">
        <v>1</v>
      </c>
      <c r="G3283"/>
      <c r="H3283"/>
    </row>
    <row r="3284" spans="1:8" hidden="1" x14ac:dyDescent="0.25">
      <c r="A3284" s="43">
        <v>527</v>
      </c>
      <c r="B3284" s="43" t="s">
        <v>150</v>
      </c>
      <c r="C3284" s="43" t="s">
        <v>422</v>
      </c>
      <c r="D3284" s="43" t="s">
        <v>431</v>
      </c>
      <c r="E3284" s="43" t="s">
        <v>432</v>
      </c>
      <c r="F3284" s="43">
        <v>1</v>
      </c>
      <c r="G3284"/>
      <c r="H3284"/>
    </row>
    <row r="3285" spans="1:8" hidden="1" x14ac:dyDescent="0.25">
      <c r="A3285" s="43">
        <v>527</v>
      </c>
      <c r="B3285" s="43" t="s">
        <v>150</v>
      </c>
      <c r="C3285" s="43" t="s">
        <v>422</v>
      </c>
      <c r="D3285" s="43" t="s">
        <v>433</v>
      </c>
      <c r="E3285" s="43" t="s">
        <v>434</v>
      </c>
      <c r="F3285" s="43">
        <v>1</v>
      </c>
      <c r="G3285"/>
      <c r="H3285"/>
    </row>
    <row r="3286" spans="1:8" hidden="1" x14ac:dyDescent="0.25">
      <c r="A3286" s="43">
        <v>527</v>
      </c>
      <c r="B3286" s="43" t="s">
        <v>150</v>
      </c>
      <c r="C3286" s="43" t="s">
        <v>422</v>
      </c>
      <c r="D3286" s="43" t="s">
        <v>435</v>
      </c>
      <c r="E3286" s="43" t="s">
        <v>436</v>
      </c>
      <c r="F3286" s="43">
        <v>1</v>
      </c>
      <c r="G3286"/>
      <c r="H3286"/>
    </row>
    <row r="3287" spans="1:8" hidden="1" x14ac:dyDescent="0.25">
      <c r="A3287" s="43">
        <v>527</v>
      </c>
      <c r="B3287" s="43" t="s">
        <v>150</v>
      </c>
      <c r="C3287" s="43" t="s">
        <v>422</v>
      </c>
      <c r="D3287" s="43" t="s">
        <v>437</v>
      </c>
      <c r="E3287" s="43" t="s">
        <v>438</v>
      </c>
      <c r="F3287" s="43">
        <v>1</v>
      </c>
      <c r="G3287"/>
      <c r="H3287"/>
    </row>
    <row r="3288" spans="1:8" hidden="1" x14ac:dyDescent="0.25">
      <c r="A3288" s="43">
        <v>527</v>
      </c>
      <c r="B3288" s="43" t="s">
        <v>150</v>
      </c>
      <c r="C3288" s="43" t="s">
        <v>422</v>
      </c>
      <c r="D3288" s="43" t="s">
        <v>439</v>
      </c>
      <c r="E3288" s="43" t="s">
        <v>440</v>
      </c>
      <c r="F3288" s="43">
        <v>1</v>
      </c>
      <c r="G3288"/>
      <c r="H3288"/>
    </row>
    <row r="3289" spans="1:8" hidden="1" x14ac:dyDescent="0.25">
      <c r="A3289" s="43">
        <v>527</v>
      </c>
      <c r="B3289" s="43" t="s">
        <v>150</v>
      </c>
      <c r="C3289" s="43" t="s">
        <v>1169</v>
      </c>
      <c r="D3289" s="43" t="s">
        <v>1170</v>
      </c>
      <c r="E3289" s="43" t="s">
        <v>1171</v>
      </c>
      <c r="F3289" s="43">
        <v>1</v>
      </c>
      <c r="G3289"/>
      <c r="H3289"/>
    </row>
    <row r="3290" spans="1:8" hidden="1" x14ac:dyDescent="0.25">
      <c r="A3290" s="43">
        <v>527</v>
      </c>
      <c r="B3290" s="43" t="s">
        <v>150</v>
      </c>
      <c r="C3290" s="43" t="s">
        <v>1169</v>
      </c>
      <c r="D3290" s="43" t="s">
        <v>1172</v>
      </c>
      <c r="E3290" s="43" t="s">
        <v>1173</v>
      </c>
      <c r="F3290" s="43">
        <v>1</v>
      </c>
      <c r="G3290"/>
      <c r="H3290"/>
    </row>
    <row r="3291" spans="1:8" hidden="1" x14ac:dyDescent="0.25">
      <c r="A3291" s="43">
        <v>527</v>
      </c>
      <c r="B3291" s="43" t="s">
        <v>150</v>
      </c>
      <c r="C3291" s="43" t="s">
        <v>1169</v>
      </c>
      <c r="D3291" s="43" t="s">
        <v>1174</v>
      </c>
      <c r="E3291" s="43" t="s">
        <v>1175</v>
      </c>
      <c r="F3291" s="43">
        <v>1</v>
      </c>
      <c r="G3291"/>
      <c r="H3291"/>
    </row>
    <row r="3292" spans="1:8" hidden="1" x14ac:dyDescent="0.25">
      <c r="A3292" s="43">
        <v>527</v>
      </c>
      <c r="B3292" s="43" t="s">
        <v>150</v>
      </c>
      <c r="C3292" s="43" t="s">
        <v>1169</v>
      </c>
      <c r="D3292" s="43" t="s">
        <v>1176</v>
      </c>
      <c r="E3292" s="43" t="s">
        <v>1177</v>
      </c>
      <c r="F3292" s="43">
        <v>1</v>
      </c>
      <c r="G3292"/>
      <c r="H3292"/>
    </row>
    <row r="3293" spans="1:8" hidden="1" x14ac:dyDescent="0.25">
      <c r="A3293" s="43">
        <v>527</v>
      </c>
      <c r="B3293" s="43" t="s">
        <v>150</v>
      </c>
      <c r="C3293" s="43" t="s">
        <v>1169</v>
      </c>
      <c r="D3293" s="43" t="s">
        <v>1178</v>
      </c>
      <c r="E3293" s="43" t="s">
        <v>1179</v>
      </c>
      <c r="F3293" s="43">
        <v>1</v>
      </c>
      <c r="G3293"/>
      <c r="H3293"/>
    </row>
    <row r="3294" spans="1:8" hidden="1" x14ac:dyDescent="0.25">
      <c r="A3294" s="43">
        <v>527</v>
      </c>
      <c r="B3294" s="43" t="s">
        <v>150</v>
      </c>
      <c r="C3294" s="43" t="s">
        <v>1169</v>
      </c>
      <c r="D3294" s="43" t="s">
        <v>1180</v>
      </c>
      <c r="E3294" s="43" t="s">
        <v>1181</v>
      </c>
      <c r="F3294" s="43">
        <v>1</v>
      </c>
      <c r="G3294"/>
      <c r="H3294"/>
    </row>
    <row r="3295" spans="1:8" hidden="1" x14ac:dyDescent="0.25">
      <c r="A3295" s="43">
        <v>527</v>
      </c>
      <c r="B3295" s="43" t="s">
        <v>150</v>
      </c>
      <c r="C3295" s="43" t="s">
        <v>1169</v>
      </c>
      <c r="D3295" s="43" t="s">
        <v>1182</v>
      </c>
      <c r="E3295" s="43" t="s">
        <v>1183</v>
      </c>
      <c r="F3295" s="43">
        <v>0</v>
      </c>
      <c r="G3295" s="43" t="s">
        <v>4664</v>
      </c>
      <c r="H3295" s="43" t="s">
        <v>4767</v>
      </c>
    </row>
    <row r="3296" spans="1:8" hidden="1" x14ac:dyDescent="0.25">
      <c r="A3296" s="43">
        <v>527</v>
      </c>
      <c r="B3296" s="43" t="s">
        <v>150</v>
      </c>
      <c r="C3296" s="43" t="s">
        <v>1169</v>
      </c>
      <c r="D3296" s="43" t="s">
        <v>1184</v>
      </c>
      <c r="E3296" s="43" t="s">
        <v>1185</v>
      </c>
      <c r="F3296" s="43">
        <v>1</v>
      </c>
      <c r="G3296"/>
      <c r="H3296"/>
    </row>
    <row r="3297" spans="1:8" hidden="1" x14ac:dyDescent="0.25">
      <c r="A3297" s="43">
        <v>527</v>
      </c>
      <c r="B3297" s="43" t="s">
        <v>150</v>
      </c>
      <c r="C3297" s="43" t="s">
        <v>1169</v>
      </c>
      <c r="D3297" s="43" t="s">
        <v>1186</v>
      </c>
      <c r="E3297" s="43" t="s">
        <v>1187</v>
      </c>
      <c r="F3297" s="43">
        <v>1</v>
      </c>
      <c r="G3297"/>
      <c r="H3297"/>
    </row>
    <row r="3298" spans="1:8" hidden="1" x14ac:dyDescent="0.25">
      <c r="A3298" s="43">
        <v>527</v>
      </c>
      <c r="B3298" s="43" t="s">
        <v>150</v>
      </c>
      <c r="C3298" s="43" t="s">
        <v>1169</v>
      </c>
      <c r="D3298" s="43" t="s">
        <v>1188</v>
      </c>
      <c r="E3298" s="43" t="s">
        <v>1189</v>
      </c>
      <c r="F3298" s="43">
        <v>1</v>
      </c>
      <c r="G3298"/>
      <c r="H3298"/>
    </row>
    <row r="3299" spans="1:8" hidden="1" x14ac:dyDescent="0.25">
      <c r="A3299" s="43">
        <v>527</v>
      </c>
      <c r="B3299" s="43" t="s">
        <v>150</v>
      </c>
      <c r="C3299" s="43" t="s">
        <v>1169</v>
      </c>
      <c r="D3299" s="43" t="s">
        <v>1190</v>
      </c>
      <c r="E3299" s="43" t="s">
        <v>1191</v>
      </c>
      <c r="F3299" s="43">
        <v>1</v>
      </c>
      <c r="G3299"/>
      <c r="H3299"/>
    </row>
    <row r="3300" spans="1:8" hidden="1" x14ac:dyDescent="0.25">
      <c r="A3300" s="43">
        <v>527</v>
      </c>
      <c r="B3300" s="43" t="s">
        <v>150</v>
      </c>
      <c r="C3300" s="43" t="s">
        <v>1169</v>
      </c>
      <c r="D3300" s="43" t="s">
        <v>1192</v>
      </c>
      <c r="E3300" s="43" t="s">
        <v>1193</v>
      </c>
      <c r="F3300" s="43">
        <v>1</v>
      </c>
      <c r="G3300"/>
      <c r="H3300"/>
    </row>
    <row r="3301" spans="1:8" hidden="1" x14ac:dyDescent="0.25">
      <c r="A3301" s="43">
        <v>527</v>
      </c>
      <c r="B3301" s="43" t="s">
        <v>150</v>
      </c>
      <c r="C3301" s="43" t="s">
        <v>1169</v>
      </c>
      <c r="D3301" s="43" t="s">
        <v>1194</v>
      </c>
      <c r="E3301" s="43" t="s">
        <v>1195</v>
      </c>
      <c r="F3301" s="43">
        <v>1</v>
      </c>
      <c r="G3301"/>
      <c r="H3301"/>
    </row>
    <row r="3302" spans="1:8" hidden="1" x14ac:dyDescent="0.25">
      <c r="A3302" s="43">
        <v>527</v>
      </c>
      <c r="B3302" s="43" t="s">
        <v>150</v>
      </c>
      <c r="C3302" s="43" t="s">
        <v>1169</v>
      </c>
      <c r="D3302" s="43" t="s">
        <v>1196</v>
      </c>
      <c r="E3302" s="43" t="s">
        <v>1197</v>
      </c>
      <c r="F3302" s="43">
        <v>1</v>
      </c>
      <c r="G3302"/>
      <c r="H3302"/>
    </row>
    <row r="3303" spans="1:8" hidden="1" x14ac:dyDescent="0.25">
      <c r="A3303" s="43">
        <v>528</v>
      </c>
      <c r="B3303" s="43" t="s">
        <v>150</v>
      </c>
      <c r="C3303" s="43" t="s">
        <v>422</v>
      </c>
      <c r="D3303" s="43" t="s">
        <v>423</v>
      </c>
      <c r="E3303" s="43" t="s">
        <v>424</v>
      </c>
      <c r="F3303" s="43">
        <v>1</v>
      </c>
      <c r="G3303"/>
      <c r="H3303"/>
    </row>
    <row r="3304" spans="1:8" hidden="1" x14ac:dyDescent="0.25">
      <c r="A3304" s="43">
        <v>528</v>
      </c>
      <c r="B3304" s="43" t="s">
        <v>150</v>
      </c>
      <c r="C3304" s="43" t="s">
        <v>422</v>
      </c>
      <c r="D3304" s="43" t="s">
        <v>425</v>
      </c>
      <c r="E3304" s="43" t="s">
        <v>426</v>
      </c>
      <c r="F3304" s="43">
        <v>1</v>
      </c>
      <c r="G3304"/>
      <c r="H3304"/>
    </row>
    <row r="3305" spans="1:8" hidden="1" x14ac:dyDescent="0.25">
      <c r="A3305" s="43">
        <v>528</v>
      </c>
      <c r="B3305" s="43" t="s">
        <v>150</v>
      </c>
      <c r="C3305" s="43" t="s">
        <v>422</v>
      </c>
      <c r="D3305" s="43" t="s">
        <v>427</v>
      </c>
      <c r="E3305" s="43" t="s">
        <v>428</v>
      </c>
      <c r="F3305" s="43">
        <v>1</v>
      </c>
      <c r="G3305"/>
      <c r="H3305"/>
    </row>
    <row r="3306" spans="1:8" hidden="1" x14ac:dyDescent="0.25">
      <c r="A3306" s="43">
        <v>528</v>
      </c>
      <c r="B3306" s="43" t="s">
        <v>150</v>
      </c>
      <c r="C3306" s="43" t="s">
        <v>422</v>
      </c>
      <c r="D3306" s="43" t="s">
        <v>429</v>
      </c>
      <c r="E3306" s="43" t="s">
        <v>430</v>
      </c>
      <c r="F3306" s="43">
        <v>1</v>
      </c>
      <c r="G3306"/>
      <c r="H3306"/>
    </row>
    <row r="3307" spans="1:8" hidden="1" x14ac:dyDescent="0.25">
      <c r="A3307" s="43">
        <v>528</v>
      </c>
      <c r="B3307" s="43" t="s">
        <v>150</v>
      </c>
      <c r="C3307" s="43" t="s">
        <v>422</v>
      </c>
      <c r="D3307" s="43" t="s">
        <v>431</v>
      </c>
      <c r="E3307" s="43" t="s">
        <v>432</v>
      </c>
      <c r="F3307" s="43">
        <v>1</v>
      </c>
      <c r="G3307"/>
      <c r="H3307"/>
    </row>
    <row r="3308" spans="1:8" hidden="1" x14ac:dyDescent="0.25">
      <c r="A3308" s="43">
        <v>528</v>
      </c>
      <c r="B3308" s="43" t="s">
        <v>150</v>
      </c>
      <c r="C3308" s="43" t="s">
        <v>422</v>
      </c>
      <c r="D3308" s="43" t="s">
        <v>433</v>
      </c>
      <c r="E3308" s="43" t="s">
        <v>434</v>
      </c>
      <c r="F3308" s="43">
        <v>1</v>
      </c>
      <c r="G3308"/>
      <c r="H3308"/>
    </row>
    <row r="3309" spans="1:8" hidden="1" x14ac:dyDescent="0.25">
      <c r="A3309" s="43">
        <v>528</v>
      </c>
      <c r="B3309" s="43" t="s">
        <v>150</v>
      </c>
      <c r="C3309" s="43" t="s">
        <v>422</v>
      </c>
      <c r="D3309" s="43" t="s">
        <v>435</v>
      </c>
      <c r="E3309" s="43" t="s">
        <v>436</v>
      </c>
      <c r="F3309" s="43">
        <v>1</v>
      </c>
      <c r="G3309"/>
      <c r="H3309"/>
    </row>
    <row r="3310" spans="1:8" hidden="1" x14ac:dyDescent="0.25">
      <c r="A3310" s="43">
        <v>528</v>
      </c>
      <c r="B3310" s="43" t="s">
        <v>150</v>
      </c>
      <c r="C3310" s="43" t="s">
        <v>422</v>
      </c>
      <c r="D3310" s="43" t="s">
        <v>437</v>
      </c>
      <c r="E3310" s="43" t="s">
        <v>438</v>
      </c>
      <c r="F3310" s="43">
        <v>1</v>
      </c>
      <c r="G3310"/>
      <c r="H3310"/>
    </row>
    <row r="3311" spans="1:8" hidden="1" x14ac:dyDescent="0.25">
      <c r="A3311" s="43">
        <v>528</v>
      </c>
      <c r="B3311" s="43" t="s">
        <v>150</v>
      </c>
      <c r="C3311" s="43" t="s">
        <v>422</v>
      </c>
      <c r="D3311" s="43" t="s">
        <v>439</v>
      </c>
      <c r="E3311" s="43" t="s">
        <v>440</v>
      </c>
      <c r="F3311" s="43">
        <v>1</v>
      </c>
      <c r="G3311"/>
      <c r="H3311"/>
    </row>
    <row r="3312" spans="1:8" hidden="1" x14ac:dyDescent="0.25">
      <c r="A3312" s="43">
        <v>528</v>
      </c>
      <c r="B3312" s="43" t="s">
        <v>150</v>
      </c>
      <c r="C3312" s="43" t="s">
        <v>422</v>
      </c>
      <c r="D3312" s="43" t="s">
        <v>446</v>
      </c>
      <c r="E3312" s="43" t="s">
        <v>1970</v>
      </c>
      <c r="F3312" s="43">
        <v>1</v>
      </c>
      <c r="G3312"/>
      <c r="H3312"/>
    </row>
    <row r="3313" spans="1:8" hidden="1" x14ac:dyDescent="0.25">
      <c r="A3313" s="43">
        <v>528</v>
      </c>
      <c r="B3313" s="43" t="s">
        <v>150</v>
      </c>
      <c r="C3313" s="43" t="s">
        <v>422</v>
      </c>
      <c r="D3313" s="43" t="s">
        <v>448</v>
      </c>
      <c r="E3313" s="43" t="s">
        <v>449</v>
      </c>
      <c r="F3313" s="43">
        <v>1</v>
      </c>
      <c r="G3313"/>
      <c r="H3313"/>
    </row>
    <row r="3314" spans="1:8" hidden="1" x14ac:dyDescent="0.25">
      <c r="A3314" s="43">
        <v>528</v>
      </c>
      <c r="B3314" s="43" t="s">
        <v>150</v>
      </c>
      <c r="C3314" s="43" t="s">
        <v>1169</v>
      </c>
      <c r="D3314" s="43" t="s">
        <v>1170</v>
      </c>
      <c r="E3314" s="43" t="s">
        <v>1171</v>
      </c>
      <c r="F3314" s="43">
        <v>1</v>
      </c>
      <c r="G3314"/>
      <c r="H3314"/>
    </row>
    <row r="3315" spans="1:8" hidden="1" x14ac:dyDescent="0.25">
      <c r="A3315" s="43">
        <v>528</v>
      </c>
      <c r="B3315" s="43" t="s">
        <v>150</v>
      </c>
      <c r="C3315" s="43" t="s">
        <v>1169</v>
      </c>
      <c r="D3315" s="43" t="s">
        <v>1172</v>
      </c>
      <c r="E3315" s="43" t="s">
        <v>1173</v>
      </c>
      <c r="F3315" s="43">
        <v>0</v>
      </c>
      <c r="G3315" s="43" t="s">
        <v>4583</v>
      </c>
      <c r="H3315"/>
    </row>
    <row r="3316" spans="1:8" hidden="1" x14ac:dyDescent="0.25">
      <c r="A3316" s="43">
        <v>528</v>
      </c>
      <c r="B3316" s="43" t="s">
        <v>150</v>
      </c>
      <c r="C3316" s="43" t="s">
        <v>1169</v>
      </c>
      <c r="D3316" s="43" t="s">
        <v>1174</v>
      </c>
      <c r="E3316" s="43" t="s">
        <v>1175</v>
      </c>
      <c r="F3316" s="89">
        <v>1</v>
      </c>
      <c r="H3316"/>
    </row>
    <row r="3317" spans="1:8" hidden="1" x14ac:dyDescent="0.25">
      <c r="A3317" s="43">
        <v>528</v>
      </c>
      <c r="B3317" s="43" t="s">
        <v>150</v>
      </c>
      <c r="C3317" s="43" t="s">
        <v>1169</v>
      </c>
      <c r="D3317" s="43" t="s">
        <v>1176</v>
      </c>
      <c r="E3317" s="43" t="s">
        <v>1177</v>
      </c>
      <c r="F3317" s="43">
        <v>1</v>
      </c>
      <c r="G3317"/>
      <c r="H3317"/>
    </row>
    <row r="3318" spans="1:8" hidden="1" x14ac:dyDescent="0.25">
      <c r="A3318" s="43">
        <v>528</v>
      </c>
      <c r="B3318" s="43" t="s">
        <v>150</v>
      </c>
      <c r="C3318" s="43" t="s">
        <v>1169</v>
      </c>
      <c r="D3318" s="43" t="s">
        <v>1178</v>
      </c>
      <c r="E3318" s="43" t="s">
        <v>1179</v>
      </c>
      <c r="F3318" s="43">
        <v>1</v>
      </c>
      <c r="G3318"/>
      <c r="H3318"/>
    </row>
    <row r="3319" spans="1:8" hidden="1" x14ac:dyDescent="0.25">
      <c r="A3319" s="43">
        <v>528</v>
      </c>
      <c r="B3319" s="43" t="s">
        <v>150</v>
      </c>
      <c r="C3319" s="43" t="s">
        <v>1169</v>
      </c>
      <c r="D3319" s="43" t="s">
        <v>1180</v>
      </c>
      <c r="E3319" s="43" t="s">
        <v>1181</v>
      </c>
      <c r="F3319" s="43">
        <v>1</v>
      </c>
      <c r="G3319"/>
      <c r="H3319"/>
    </row>
    <row r="3320" spans="1:8" hidden="1" x14ac:dyDescent="0.25">
      <c r="A3320" s="43">
        <v>528</v>
      </c>
      <c r="B3320" s="43" t="s">
        <v>150</v>
      </c>
      <c r="C3320" s="43" t="s">
        <v>1169</v>
      </c>
      <c r="D3320" s="43" t="s">
        <v>1182</v>
      </c>
      <c r="E3320" s="43" t="s">
        <v>1183</v>
      </c>
      <c r="F3320" s="43">
        <v>0</v>
      </c>
      <c r="G3320" s="43" t="s">
        <v>4664</v>
      </c>
      <c r="H3320" s="43" t="s">
        <v>4767</v>
      </c>
    </row>
    <row r="3321" spans="1:8" hidden="1" x14ac:dyDescent="0.25">
      <c r="A3321" s="43">
        <v>528</v>
      </c>
      <c r="B3321" s="43" t="s">
        <v>150</v>
      </c>
      <c r="C3321" s="43" t="s">
        <v>1169</v>
      </c>
      <c r="D3321" s="43" t="s">
        <v>1184</v>
      </c>
      <c r="E3321" s="43" t="s">
        <v>1185</v>
      </c>
      <c r="F3321" s="43">
        <v>1</v>
      </c>
      <c r="G3321"/>
      <c r="H3321"/>
    </row>
    <row r="3322" spans="1:8" hidden="1" x14ac:dyDescent="0.25">
      <c r="A3322" s="43">
        <v>528</v>
      </c>
      <c r="B3322" s="43" t="s">
        <v>150</v>
      </c>
      <c r="C3322" s="43" t="s">
        <v>1169</v>
      </c>
      <c r="D3322" s="43" t="s">
        <v>1186</v>
      </c>
      <c r="E3322" s="43" t="s">
        <v>1187</v>
      </c>
      <c r="F3322" s="43">
        <v>1</v>
      </c>
      <c r="G3322"/>
      <c r="H3322"/>
    </row>
    <row r="3323" spans="1:8" hidden="1" x14ac:dyDescent="0.25">
      <c r="A3323" s="43">
        <v>528</v>
      </c>
      <c r="B3323" s="43" t="s">
        <v>150</v>
      </c>
      <c r="C3323" s="43" t="s">
        <v>1169</v>
      </c>
      <c r="D3323" s="43" t="s">
        <v>1188</v>
      </c>
      <c r="E3323" s="43" t="s">
        <v>1189</v>
      </c>
      <c r="F3323" s="89">
        <v>2</v>
      </c>
      <c r="G3323" s="43" t="s">
        <v>4665</v>
      </c>
      <c r="H3323"/>
    </row>
    <row r="3324" spans="1:8" hidden="1" x14ac:dyDescent="0.25">
      <c r="A3324" s="43">
        <v>528</v>
      </c>
      <c r="B3324" s="43" t="s">
        <v>150</v>
      </c>
      <c r="C3324" s="43" t="s">
        <v>1169</v>
      </c>
      <c r="D3324" s="43" t="s">
        <v>1190</v>
      </c>
      <c r="E3324" s="43" t="s">
        <v>1191</v>
      </c>
      <c r="F3324" s="43">
        <v>1</v>
      </c>
      <c r="G3324"/>
      <c r="H3324"/>
    </row>
    <row r="3325" spans="1:8" hidden="1" x14ac:dyDescent="0.25">
      <c r="A3325" s="43">
        <v>528</v>
      </c>
      <c r="B3325" s="43" t="s">
        <v>150</v>
      </c>
      <c r="C3325" s="43" t="s">
        <v>1169</v>
      </c>
      <c r="D3325" s="43" t="s">
        <v>1192</v>
      </c>
      <c r="E3325" s="43" t="s">
        <v>1193</v>
      </c>
      <c r="F3325" s="43">
        <v>1</v>
      </c>
      <c r="G3325"/>
      <c r="H3325"/>
    </row>
    <row r="3326" spans="1:8" hidden="1" x14ac:dyDescent="0.25">
      <c r="A3326" s="43">
        <v>528</v>
      </c>
      <c r="B3326" s="43" t="s">
        <v>150</v>
      </c>
      <c r="C3326" s="43" t="s">
        <v>1169</v>
      </c>
      <c r="D3326" s="43" t="s">
        <v>1194</v>
      </c>
      <c r="E3326" s="43" t="s">
        <v>1195</v>
      </c>
      <c r="F3326" s="43">
        <v>1</v>
      </c>
      <c r="G3326"/>
      <c r="H3326"/>
    </row>
    <row r="3327" spans="1:8" hidden="1" x14ac:dyDescent="0.25">
      <c r="A3327" s="43">
        <v>528</v>
      </c>
      <c r="B3327" s="43" t="s">
        <v>150</v>
      </c>
      <c r="C3327" s="43" t="s">
        <v>1169</v>
      </c>
      <c r="D3327" s="43" t="s">
        <v>1196</v>
      </c>
      <c r="E3327" s="43" t="s">
        <v>1197</v>
      </c>
      <c r="F3327" s="43">
        <v>1</v>
      </c>
      <c r="G3327"/>
      <c r="H3327"/>
    </row>
    <row r="3328" spans="1:8" hidden="1" x14ac:dyDescent="0.25">
      <c r="A3328" s="43">
        <v>530</v>
      </c>
      <c r="B3328" s="43" t="s">
        <v>151</v>
      </c>
      <c r="C3328" s="43" t="s">
        <v>1772</v>
      </c>
      <c r="D3328" s="43" t="s">
        <v>1773</v>
      </c>
      <c r="E3328" s="43" t="s">
        <v>1774</v>
      </c>
      <c r="F3328" s="43">
        <v>1</v>
      </c>
      <c r="G3328"/>
      <c r="H3328"/>
    </row>
    <row r="3329" spans="1:8" hidden="1" x14ac:dyDescent="0.25">
      <c r="A3329" s="43">
        <v>530</v>
      </c>
      <c r="B3329" s="43" t="s">
        <v>151</v>
      </c>
      <c r="C3329" s="43" t="s">
        <v>1772</v>
      </c>
      <c r="D3329" s="43" t="s">
        <v>1775</v>
      </c>
      <c r="E3329" s="43" t="s">
        <v>306</v>
      </c>
      <c r="F3329" s="43">
        <v>1</v>
      </c>
      <c r="G3329"/>
      <c r="H3329"/>
    </row>
    <row r="3330" spans="1:8" hidden="1" x14ac:dyDescent="0.25">
      <c r="A3330" s="43">
        <v>530</v>
      </c>
      <c r="B3330" s="43" t="s">
        <v>151</v>
      </c>
      <c r="C3330" s="43" t="s">
        <v>1772</v>
      </c>
      <c r="D3330" s="43" t="s">
        <v>1776</v>
      </c>
      <c r="E3330" s="43" t="s">
        <v>273</v>
      </c>
      <c r="F3330" s="43">
        <v>1</v>
      </c>
      <c r="G3330"/>
      <c r="H3330"/>
    </row>
    <row r="3331" spans="1:8" hidden="1" x14ac:dyDescent="0.25">
      <c r="A3331" s="43">
        <v>530</v>
      </c>
      <c r="B3331" s="43" t="s">
        <v>151</v>
      </c>
      <c r="C3331" s="43" t="s">
        <v>1772</v>
      </c>
      <c r="D3331" s="43" t="s">
        <v>1777</v>
      </c>
      <c r="E3331" s="43" t="s">
        <v>312</v>
      </c>
      <c r="F3331" s="43">
        <v>1</v>
      </c>
      <c r="G3331"/>
      <c r="H3331"/>
    </row>
    <row r="3332" spans="1:8" hidden="1" x14ac:dyDescent="0.25">
      <c r="A3332" s="43">
        <v>530</v>
      </c>
      <c r="B3332" s="43" t="s">
        <v>151</v>
      </c>
      <c r="C3332" s="43" t="s">
        <v>1772</v>
      </c>
      <c r="D3332" s="43" t="s">
        <v>1778</v>
      </c>
      <c r="E3332" s="43" t="s">
        <v>880</v>
      </c>
      <c r="F3332" s="43">
        <v>1</v>
      </c>
      <c r="G3332"/>
      <c r="H3332"/>
    </row>
    <row r="3333" spans="1:8" hidden="1" x14ac:dyDescent="0.25">
      <c r="A3333" s="43">
        <v>530</v>
      </c>
      <c r="B3333" s="43" t="s">
        <v>151</v>
      </c>
      <c r="C3333" s="43" t="s">
        <v>1772</v>
      </c>
      <c r="D3333" s="43" t="s">
        <v>1779</v>
      </c>
      <c r="E3333" s="43" t="s">
        <v>1780</v>
      </c>
      <c r="F3333" s="43">
        <v>1</v>
      </c>
      <c r="G3333"/>
      <c r="H3333"/>
    </row>
    <row r="3334" spans="1:8" hidden="1" x14ac:dyDescent="0.25">
      <c r="A3334" s="43">
        <v>530</v>
      </c>
      <c r="B3334" s="43" t="s">
        <v>151</v>
      </c>
      <c r="C3334" s="43" t="s">
        <v>1772</v>
      </c>
      <c r="D3334" s="43" t="s">
        <v>1781</v>
      </c>
      <c r="E3334" s="43" t="s">
        <v>1782</v>
      </c>
      <c r="F3334" s="43">
        <v>1</v>
      </c>
      <c r="G3334"/>
      <c r="H3334"/>
    </row>
    <row r="3335" spans="1:8" hidden="1" x14ac:dyDescent="0.25">
      <c r="A3335" s="43">
        <v>530</v>
      </c>
      <c r="B3335" s="43" t="s">
        <v>151</v>
      </c>
      <c r="C3335" s="43" t="s">
        <v>1772</v>
      </c>
      <c r="D3335" s="43" t="s">
        <v>1783</v>
      </c>
      <c r="E3335" s="43" t="s">
        <v>1784</v>
      </c>
      <c r="F3335" s="43">
        <v>1</v>
      </c>
      <c r="G3335"/>
      <c r="H3335"/>
    </row>
    <row r="3336" spans="1:8" hidden="1" x14ac:dyDescent="0.25">
      <c r="A3336" s="43">
        <v>530</v>
      </c>
      <c r="B3336" s="43" t="s">
        <v>151</v>
      </c>
      <c r="C3336" s="43" t="s">
        <v>1772</v>
      </c>
      <c r="D3336" s="43" t="s">
        <v>1785</v>
      </c>
      <c r="E3336" s="43" t="s">
        <v>866</v>
      </c>
      <c r="F3336" s="43">
        <v>0</v>
      </c>
      <c r="G3336" s="43" t="s">
        <v>4666</v>
      </c>
      <c r="H3336" s="43" t="s">
        <v>4502</v>
      </c>
    </row>
    <row r="3337" spans="1:8" x14ac:dyDescent="0.25">
      <c r="A3337" s="43">
        <v>530</v>
      </c>
      <c r="B3337" s="43" t="s">
        <v>151</v>
      </c>
      <c r="C3337" s="43" t="s">
        <v>1772</v>
      </c>
      <c r="D3337" s="43" t="s">
        <v>1786</v>
      </c>
      <c r="E3337" s="43" t="s">
        <v>1787</v>
      </c>
      <c r="F3337" s="43">
        <v>2</v>
      </c>
      <c r="G3337" s="43" t="s">
        <v>4539</v>
      </c>
      <c r="H3337" s="43" t="s">
        <v>4580</v>
      </c>
    </row>
    <row r="3338" spans="1:8" hidden="1" x14ac:dyDescent="0.25">
      <c r="A3338" s="43">
        <v>530</v>
      </c>
      <c r="B3338" s="43" t="s">
        <v>151</v>
      </c>
      <c r="C3338" s="43" t="s">
        <v>1772</v>
      </c>
      <c r="D3338" s="43" t="s">
        <v>1788</v>
      </c>
      <c r="E3338" s="43" t="s">
        <v>295</v>
      </c>
      <c r="F3338" s="43">
        <v>1</v>
      </c>
      <c r="G3338"/>
      <c r="H3338"/>
    </row>
    <row r="3339" spans="1:8" hidden="1" x14ac:dyDescent="0.25">
      <c r="A3339" s="43">
        <v>530</v>
      </c>
      <c r="B3339" s="43" t="s">
        <v>151</v>
      </c>
      <c r="C3339" s="43" t="s">
        <v>1772</v>
      </c>
      <c r="D3339" s="43" t="s">
        <v>1789</v>
      </c>
      <c r="E3339" s="43" t="s">
        <v>372</v>
      </c>
      <c r="F3339" s="43">
        <v>1</v>
      </c>
      <c r="G3339"/>
      <c r="H3339"/>
    </row>
    <row r="3340" spans="1:8" hidden="1" x14ac:dyDescent="0.25">
      <c r="A3340" s="43">
        <v>532</v>
      </c>
      <c r="B3340" s="43" t="s">
        <v>151</v>
      </c>
      <c r="C3340" s="43" t="s">
        <v>1772</v>
      </c>
      <c r="D3340" s="43" t="s">
        <v>1773</v>
      </c>
      <c r="E3340" s="43" t="s">
        <v>1774</v>
      </c>
      <c r="F3340" s="43">
        <v>1</v>
      </c>
      <c r="G3340"/>
      <c r="H3340"/>
    </row>
    <row r="3341" spans="1:8" hidden="1" x14ac:dyDescent="0.25">
      <c r="A3341" s="43">
        <v>532</v>
      </c>
      <c r="B3341" s="43" t="s">
        <v>151</v>
      </c>
      <c r="C3341" s="43" t="s">
        <v>1772</v>
      </c>
      <c r="D3341" s="43" t="s">
        <v>1775</v>
      </c>
      <c r="E3341" s="43" t="s">
        <v>306</v>
      </c>
      <c r="F3341" s="43">
        <v>1</v>
      </c>
      <c r="G3341"/>
      <c r="H3341"/>
    </row>
    <row r="3342" spans="1:8" hidden="1" x14ac:dyDescent="0.25">
      <c r="A3342" s="43">
        <v>532</v>
      </c>
      <c r="B3342" s="43" t="s">
        <v>151</v>
      </c>
      <c r="C3342" s="43" t="s">
        <v>1772</v>
      </c>
      <c r="D3342" s="43" t="s">
        <v>1776</v>
      </c>
      <c r="E3342" s="43" t="s">
        <v>273</v>
      </c>
      <c r="F3342" s="43">
        <v>1</v>
      </c>
      <c r="G3342"/>
      <c r="H3342"/>
    </row>
    <row r="3343" spans="1:8" hidden="1" x14ac:dyDescent="0.25">
      <c r="A3343" s="43">
        <v>532</v>
      </c>
      <c r="B3343" s="43" t="s">
        <v>151</v>
      </c>
      <c r="C3343" s="43" t="s">
        <v>1772</v>
      </c>
      <c r="D3343" s="43" t="s">
        <v>1777</v>
      </c>
      <c r="E3343" s="43" t="s">
        <v>312</v>
      </c>
      <c r="F3343" s="43">
        <v>1</v>
      </c>
      <c r="G3343"/>
      <c r="H3343"/>
    </row>
    <row r="3344" spans="1:8" hidden="1" x14ac:dyDescent="0.25">
      <c r="A3344" s="43">
        <v>532</v>
      </c>
      <c r="B3344" s="43" t="s">
        <v>151</v>
      </c>
      <c r="C3344" s="43" t="s">
        <v>1772</v>
      </c>
      <c r="D3344" s="43" t="s">
        <v>1778</v>
      </c>
      <c r="E3344" s="43" t="s">
        <v>880</v>
      </c>
      <c r="F3344" s="43">
        <v>1</v>
      </c>
      <c r="G3344"/>
      <c r="H3344"/>
    </row>
    <row r="3345" spans="1:8" hidden="1" x14ac:dyDescent="0.25">
      <c r="A3345" s="43">
        <v>532</v>
      </c>
      <c r="B3345" s="43" t="s">
        <v>151</v>
      </c>
      <c r="C3345" s="43" t="s">
        <v>1772</v>
      </c>
      <c r="D3345" s="43" t="s">
        <v>1779</v>
      </c>
      <c r="E3345" s="43" t="s">
        <v>1780</v>
      </c>
      <c r="F3345" s="43">
        <v>1</v>
      </c>
      <c r="G3345"/>
      <c r="H3345"/>
    </row>
    <row r="3346" spans="1:8" hidden="1" x14ac:dyDescent="0.25">
      <c r="A3346" s="43">
        <v>532</v>
      </c>
      <c r="B3346" s="43" t="s">
        <v>151</v>
      </c>
      <c r="C3346" s="43" t="s">
        <v>1772</v>
      </c>
      <c r="D3346" s="43" t="s">
        <v>1781</v>
      </c>
      <c r="E3346" s="43" t="s">
        <v>1782</v>
      </c>
      <c r="F3346" s="43">
        <v>1</v>
      </c>
      <c r="G3346"/>
      <c r="H3346"/>
    </row>
    <row r="3347" spans="1:8" hidden="1" x14ac:dyDescent="0.25">
      <c r="A3347" s="43">
        <v>532</v>
      </c>
      <c r="B3347" s="43" t="s">
        <v>151</v>
      </c>
      <c r="C3347" s="43" t="s">
        <v>1772</v>
      </c>
      <c r="D3347" s="43" t="s">
        <v>1783</v>
      </c>
      <c r="E3347" s="43" t="s">
        <v>1784</v>
      </c>
      <c r="F3347" s="43">
        <v>1</v>
      </c>
      <c r="G3347"/>
      <c r="H3347"/>
    </row>
    <row r="3348" spans="1:8" hidden="1" x14ac:dyDescent="0.25">
      <c r="A3348" s="43">
        <v>532</v>
      </c>
      <c r="B3348" s="43" t="s">
        <v>151</v>
      </c>
      <c r="C3348" s="43" t="s">
        <v>1772</v>
      </c>
      <c r="D3348" s="43" t="s">
        <v>1785</v>
      </c>
      <c r="E3348" s="43" t="s">
        <v>866</v>
      </c>
      <c r="F3348" s="43">
        <v>0</v>
      </c>
      <c r="G3348" s="43" t="s">
        <v>4667</v>
      </c>
      <c r="H3348" s="43" t="s">
        <v>4767</v>
      </c>
    </row>
    <row r="3349" spans="1:8" hidden="1" x14ac:dyDescent="0.25">
      <c r="A3349" s="43">
        <v>532</v>
      </c>
      <c r="B3349" s="43" t="s">
        <v>151</v>
      </c>
      <c r="C3349" s="43" t="s">
        <v>1772</v>
      </c>
      <c r="D3349" s="43" t="s">
        <v>1786</v>
      </c>
      <c r="E3349" s="43" t="s">
        <v>1787</v>
      </c>
      <c r="F3349" s="43">
        <v>0</v>
      </c>
      <c r="G3349" s="43" t="s">
        <v>4668</v>
      </c>
      <c r="H3349" s="43" t="s">
        <v>4767</v>
      </c>
    </row>
    <row r="3350" spans="1:8" hidden="1" x14ac:dyDescent="0.25">
      <c r="A3350" s="43">
        <v>532</v>
      </c>
      <c r="B3350" s="43" t="s">
        <v>151</v>
      </c>
      <c r="C3350" s="43" t="s">
        <v>1772</v>
      </c>
      <c r="D3350" s="43" t="s">
        <v>1788</v>
      </c>
      <c r="E3350" s="43" t="s">
        <v>295</v>
      </c>
      <c r="F3350" s="43">
        <v>1</v>
      </c>
      <c r="G3350"/>
      <c r="H3350"/>
    </row>
    <row r="3351" spans="1:8" hidden="1" x14ac:dyDescent="0.25">
      <c r="A3351" s="43">
        <v>532</v>
      </c>
      <c r="B3351" s="43" t="s">
        <v>151</v>
      </c>
      <c r="C3351" s="43" t="s">
        <v>1772</v>
      </c>
      <c r="D3351" s="43" t="s">
        <v>1789</v>
      </c>
      <c r="E3351" s="43" t="s">
        <v>372</v>
      </c>
      <c r="F3351" s="43">
        <v>1</v>
      </c>
      <c r="G3351"/>
      <c r="H3351"/>
    </row>
    <row r="3352" spans="1:8" hidden="1" x14ac:dyDescent="0.25">
      <c r="A3352" s="43">
        <v>535</v>
      </c>
      <c r="B3352" s="43" t="s">
        <v>152</v>
      </c>
      <c r="C3352" s="43" t="s">
        <v>302</v>
      </c>
      <c r="D3352" s="43" t="s">
        <v>303</v>
      </c>
      <c r="E3352" s="43" t="s">
        <v>304</v>
      </c>
      <c r="F3352" s="43">
        <v>1</v>
      </c>
      <c r="G3352"/>
      <c r="H3352"/>
    </row>
    <row r="3353" spans="1:8" hidden="1" x14ac:dyDescent="0.25">
      <c r="A3353" s="43">
        <v>535</v>
      </c>
      <c r="B3353" s="43" t="s">
        <v>152</v>
      </c>
      <c r="C3353" s="43" t="s">
        <v>302</v>
      </c>
      <c r="D3353" s="43" t="s">
        <v>305</v>
      </c>
      <c r="E3353" s="43" t="s">
        <v>306</v>
      </c>
      <c r="F3353" s="43">
        <v>1</v>
      </c>
      <c r="G3353"/>
      <c r="H3353"/>
    </row>
    <row r="3354" spans="1:8" hidden="1" x14ac:dyDescent="0.25">
      <c r="A3354" s="43">
        <v>535</v>
      </c>
      <c r="B3354" s="43" t="s">
        <v>152</v>
      </c>
      <c r="C3354" s="43" t="s">
        <v>302</v>
      </c>
      <c r="D3354" s="43" t="s">
        <v>307</v>
      </c>
      <c r="E3354" s="43" t="s">
        <v>308</v>
      </c>
      <c r="F3354" s="43">
        <v>1</v>
      </c>
      <c r="G3354"/>
      <c r="H3354"/>
    </row>
    <row r="3355" spans="1:8" hidden="1" x14ac:dyDescent="0.25">
      <c r="A3355" s="43">
        <v>535</v>
      </c>
      <c r="B3355" s="43" t="s">
        <v>152</v>
      </c>
      <c r="C3355" s="43" t="s">
        <v>302</v>
      </c>
      <c r="D3355" s="43" t="s">
        <v>309</v>
      </c>
      <c r="E3355" s="43" t="s">
        <v>310</v>
      </c>
      <c r="F3355" s="43">
        <v>1</v>
      </c>
      <c r="G3355"/>
      <c r="H3355"/>
    </row>
    <row r="3356" spans="1:8" hidden="1" x14ac:dyDescent="0.25">
      <c r="A3356" s="43">
        <v>535</v>
      </c>
      <c r="B3356" s="43" t="s">
        <v>152</v>
      </c>
      <c r="C3356" s="43" t="s">
        <v>302</v>
      </c>
      <c r="D3356" s="43" t="s">
        <v>311</v>
      </c>
      <c r="E3356" s="43" t="s">
        <v>312</v>
      </c>
      <c r="F3356" s="43">
        <v>1</v>
      </c>
      <c r="G3356"/>
      <c r="H3356"/>
    </row>
    <row r="3357" spans="1:8" hidden="1" x14ac:dyDescent="0.25">
      <c r="A3357" s="43">
        <v>535</v>
      </c>
      <c r="B3357" s="43" t="s">
        <v>152</v>
      </c>
      <c r="C3357" s="43" t="s">
        <v>302</v>
      </c>
      <c r="D3357" s="43" t="s">
        <v>313</v>
      </c>
      <c r="E3357" s="43" t="s">
        <v>314</v>
      </c>
      <c r="F3357" s="43">
        <v>1</v>
      </c>
      <c r="G3357"/>
      <c r="H3357"/>
    </row>
    <row r="3358" spans="1:8" hidden="1" x14ac:dyDescent="0.25">
      <c r="A3358" s="43">
        <v>535</v>
      </c>
      <c r="B3358" s="43" t="s">
        <v>152</v>
      </c>
      <c r="C3358" s="43" t="s">
        <v>302</v>
      </c>
      <c r="D3358" s="43" t="s">
        <v>315</v>
      </c>
      <c r="E3358" s="43" t="s">
        <v>316</v>
      </c>
      <c r="F3358" s="43">
        <v>1</v>
      </c>
      <c r="G3358"/>
      <c r="H3358"/>
    </row>
    <row r="3359" spans="1:8" hidden="1" x14ac:dyDescent="0.25">
      <c r="A3359" s="43">
        <v>535</v>
      </c>
      <c r="B3359" s="43" t="s">
        <v>152</v>
      </c>
      <c r="C3359" s="43" t="s">
        <v>302</v>
      </c>
      <c r="D3359" s="43" t="s">
        <v>317</v>
      </c>
      <c r="E3359" s="43" t="s">
        <v>318</v>
      </c>
      <c r="F3359" s="43">
        <v>1</v>
      </c>
      <c r="G3359"/>
      <c r="H3359"/>
    </row>
    <row r="3360" spans="1:8" hidden="1" x14ac:dyDescent="0.25">
      <c r="A3360" s="43">
        <v>535</v>
      </c>
      <c r="B3360" s="43" t="s">
        <v>152</v>
      </c>
      <c r="C3360" s="43" t="s">
        <v>302</v>
      </c>
      <c r="D3360" s="43" t="s">
        <v>319</v>
      </c>
      <c r="E3360" s="43" t="s">
        <v>320</v>
      </c>
      <c r="F3360" s="43">
        <v>1</v>
      </c>
      <c r="G3360"/>
      <c r="H3360"/>
    </row>
    <row r="3361" spans="1:8" hidden="1" x14ac:dyDescent="0.25">
      <c r="A3361" s="43">
        <v>535</v>
      </c>
      <c r="B3361" s="43" t="s">
        <v>152</v>
      </c>
      <c r="C3361" s="43" t="s">
        <v>302</v>
      </c>
      <c r="D3361" s="43" t="s">
        <v>321</v>
      </c>
      <c r="E3361" s="43" t="s">
        <v>322</v>
      </c>
      <c r="F3361" s="43">
        <v>1</v>
      </c>
      <c r="G3361"/>
      <c r="H3361"/>
    </row>
    <row r="3362" spans="1:8" hidden="1" x14ac:dyDescent="0.25">
      <c r="A3362" s="43">
        <v>535</v>
      </c>
      <c r="B3362" s="43" t="s">
        <v>152</v>
      </c>
      <c r="C3362" s="43" t="s">
        <v>302</v>
      </c>
      <c r="D3362" s="43" t="s">
        <v>323</v>
      </c>
      <c r="E3362" s="43" t="s">
        <v>324</v>
      </c>
      <c r="F3362" s="43">
        <v>1</v>
      </c>
      <c r="G3362"/>
      <c r="H3362"/>
    </row>
    <row r="3363" spans="1:8" hidden="1" x14ac:dyDescent="0.25">
      <c r="A3363" s="43">
        <v>535</v>
      </c>
      <c r="B3363" s="43" t="s">
        <v>152</v>
      </c>
      <c r="C3363" s="43" t="s">
        <v>302</v>
      </c>
      <c r="D3363" s="43" t="s">
        <v>325</v>
      </c>
      <c r="E3363" s="43" t="s">
        <v>326</v>
      </c>
      <c r="F3363" s="43">
        <v>0</v>
      </c>
      <c r="G3363" s="43" t="s">
        <v>4669</v>
      </c>
      <c r="H3363" s="43" t="s">
        <v>4763</v>
      </c>
    </row>
    <row r="3364" spans="1:8" hidden="1" x14ac:dyDescent="0.25">
      <c r="A3364" s="43">
        <v>535</v>
      </c>
      <c r="B3364" s="43" t="s">
        <v>152</v>
      </c>
      <c r="C3364" s="43" t="s">
        <v>302</v>
      </c>
      <c r="D3364" s="43" t="s">
        <v>327</v>
      </c>
      <c r="E3364" s="43" t="s">
        <v>4473</v>
      </c>
      <c r="F3364" s="43">
        <v>0</v>
      </c>
      <c r="G3364" s="43" t="s">
        <v>4670</v>
      </c>
      <c r="H3364" s="43" t="s">
        <v>4763</v>
      </c>
    </row>
    <row r="3365" spans="1:8" hidden="1" x14ac:dyDescent="0.25">
      <c r="A3365" s="43">
        <v>535</v>
      </c>
      <c r="B3365" s="43" t="s">
        <v>152</v>
      </c>
      <c r="C3365" s="43" t="s">
        <v>302</v>
      </c>
      <c r="D3365" s="43" t="s">
        <v>329</v>
      </c>
      <c r="E3365" s="43" t="s">
        <v>330</v>
      </c>
      <c r="F3365" s="43">
        <v>1</v>
      </c>
      <c r="G3365"/>
      <c r="H3365"/>
    </row>
    <row r="3366" spans="1:8" hidden="1" x14ac:dyDescent="0.25">
      <c r="A3366" s="43">
        <v>535</v>
      </c>
      <c r="B3366" s="43" t="s">
        <v>152</v>
      </c>
      <c r="C3366" s="43" t="s">
        <v>302</v>
      </c>
      <c r="D3366" s="43" t="s">
        <v>331</v>
      </c>
      <c r="E3366" s="43" t="s">
        <v>332</v>
      </c>
      <c r="F3366" s="43">
        <v>0</v>
      </c>
      <c r="G3366" s="43" t="s">
        <v>4583</v>
      </c>
      <c r="H3366"/>
    </row>
    <row r="3367" spans="1:8" hidden="1" x14ac:dyDescent="0.25">
      <c r="A3367" s="43">
        <v>535</v>
      </c>
      <c r="B3367" s="43" t="s">
        <v>152</v>
      </c>
      <c r="C3367" s="43" t="s">
        <v>302</v>
      </c>
      <c r="D3367" s="43" t="s">
        <v>333</v>
      </c>
      <c r="E3367" s="43" t="s">
        <v>334</v>
      </c>
      <c r="F3367" s="43">
        <v>1</v>
      </c>
    </row>
    <row r="3368" spans="1:8" hidden="1" x14ac:dyDescent="0.25">
      <c r="A3368" s="43">
        <v>535</v>
      </c>
      <c r="B3368" s="43" t="s">
        <v>152</v>
      </c>
      <c r="C3368" s="43" t="s">
        <v>302</v>
      </c>
      <c r="D3368" s="43" t="s">
        <v>335</v>
      </c>
      <c r="E3368" s="43" t="s">
        <v>336</v>
      </c>
      <c r="F3368" s="43">
        <v>1</v>
      </c>
    </row>
    <row r="3369" spans="1:8" hidden="1" x14ac:dyDescent="0.25">
      <c r="A3369" s="43">
        <v>535</v>
      </c>
      <c r="B3369" s="43" t="s">
        <v>152</v>
      </c>
      <c r="C3369" s="43" t="s">
        <v>917</v>
      </c>
      <c r="D3369" s="43" t="s">
        <v>918</v>
      </c>
      <c r="E3369" s="43" t="s">
        <v>308</v>
      </c>
      <c r="F3369" s="43">
        <v>0</v>
      </c>
      <c r="G3369" s="43" t="s">
        <v>4583</v>
      </c>
      <c r="H3369"/>
    </row>
    <row r="3370" spans="1:8" hidden="1" x14ac:dyDescent="0.25">
      <c r="A3370" s="43">
        <v>535</v>
      </c>
      <c r="B3370" s="43" t="s">
        <v>152</v>
      </c>
      <c r="C3370" s="43" t="s">
        <v>917</v>
      </c>
      <c r="D3370" s="43" t="s">
        <v>919</v>
      </c>
      <c r="E3370" s="43" t="s">
        <v>920</v>
      </c>
      <c r="F3370" s="43">
        <v>1</v>
      </c>
      <c r="G3370"/>
      <c r="H3370"/>
    </row>
    <row r="3371" spans="1:8" hidden="1" x14ac:dyDescent="0.25">
      <c r="A3371" s="43">
        <v>535</v>
      </c>
      <c r="B3371" s="43" t="s">
        <v>152</v>
      </c>
      <c r="C3371" s="43" t="s">
        <v>917</v>
      </c>
      <c r="D3371" s="43" t="s">
        <v>921</v>
      </c>
      <c r="E3371" s="43" t="s">
        <v>922</v>
      </c>
      <c r="F3371" s="43">
        <v>1</v>
      </c>
      <c r="G3371"/>
      <c r="H3371"/>
    </row>
    <row r="3372" spans="1:8" hidden="1" x14ac:dyDescent="0.25">
      <c r="A3372" s="43">
        <v>535</v>
      </c>
      <c r="B3372" s="43" t="s">
        <v>152</v>
      </c>
      <c r="C3372" s="43" t="s">
        <v>917</v>
      </c>
      <c r="D3372" s="43" t="s">
        <v>923</v>
      </c>
      <c r="E3372" s="43" t="s">
        <v>924</v>
      </c>
      <c r="F3372" s="43">
        <v>0</v>
      </c>
      <c r="G3372" s="43" t="s">
        <v>4583</v>
      </c>
      <c r="H3372"/>
    </row>
    <row r="3373" spans="1:8" hidden="1" x14ac:dyDescent="0.25">
      <c r="A3373" s="43">
        <v>535</v>
      </c>
      <c r="B3373" s="43" t="s">
        <v>152</v>
      </c>
      <c r="C3373" s="43" t="s">
        <v>917</v>
      </c>
      <c r="D3373" s="43" t="s">
        <v>925</v>
      </c>
      <c r="E3373" s="43" t="s">
        <v>310</v>
      </c>
      <c r="F3373" s="43">
        <v>0</v>
      </c>
      <c r="G3373" s="43" t="s">
        <v>4583</v>
      </c>
      <c r="H3373"/>
    </row>
    <row r="3374" spans="1:8" hidden="1" x14ac:dyDescent="0.25">
      <c r="A3374" s="43">
        <v>535</v>
      </c>
      <c r="B3374" s="43" t="s">
        <v>152</v>
      </c>
      <c r="C3374" s="43" t="s">
        <v>917</v>
      </c>
      <c r="D3374" s="43" t="s">
        <v>926</v>
      </c>
      <c r="E3374" s="43" t="s">
        <v>927</v>
      </c>
      <c r="F3374" s="43">
        <v>1</v>
      </c>
      <c r="G3374"/>
      <c r="H3374"/>
    </row>
    <row r="3375" spans="1:8" hidden="1" x14ac:dyDescent="0.25">
      <c r="A3375" s="43">
        <v>535</v>
      </c>
      <c r="B3375" s="43" t="s">
        <v>152</v>
      </c>
      <c r="C3375" s="43" t="s">
        <v>917</v>
      </c>
      <c r="D3375" s="43" t="s">
        <v>928</v>
      </c>
      <c r="E3375" s="43" t="s">
        <v>929</v>
      </c>
      <c r="F3375" s="43">
        <v>1</v>
      </c>
      <c r="G3375"/>
      <c r="H3375"/>
    </row>
    <row r="3376" spans="1:8" hidden="1" x14ac:dyDescent="0.25">
      <c r="A3376" s="43">
        <v>535</v>
      </c>
      <c r="B3376" s="43" t="s">
        <v>152</v>
      </c>
      <c r="C3376" s="43" t="s">
        <v>917</v>
      </c>
      <c r="D3376" s="43" t="s">
        <v>930</v>
      </c>
      <c r="E3376" s="43" t="s">
        <v>640</v>
      </c>
      <c r="F3376" s="43">
        <v>1</v>
      </c>
      <c r="G3376"/>
      <c r="H3376"/>
    </row>
    <row r="3377" spans="1:8" hidden="1" x14ac:dyDescent="0.25">
      <c r="A3377" s="43">
        <v>535</v>
      </c>
      <c r="B3377" s="43" t="s">
        <v>152</v>
      </c>
      <c r="C3377" s="43" t="s">
        <v>917</v>
      </c>
      <c r="D3377" s="43" t="s">
        <v>931</v>
      </c>
      <c r="E3377" s="43" t="s">
        <v>932</v>
      </c>
      <c r="F3377" s="43">
        <v>1</v>
      </c>
      <c r="G3377"/>
      <c r="H3377"/>
    </row>
    <row r="3378" spans="1:8" hidden="1" x14ac:dyDescent="0.25">
      <c r="A3378" s="43">
        <v>535</v>
      </c>
      <c r="B3378" s="43" t="s">
        <v>152</v>
      </c>
      <c r="C3378" s="43" t="s">
        <v>917</v>
      </c>
      <c r="D3378" s="43" t="s">
        <v>933</v>
      </c>
      <c r="E3378" s="43" t="s">
        <v>934</v>
      </c>
      <c r="F3378" s="43">
        <v>0</v>
      </c>
      <c r="G3378" s="43" t="s">
        <v>4583</v>
      </c>
      <c r="H3378"/>
    </row>
    <row r="3379" spans="1:8" hidden="1" x14ac:dyDescent="0.25">
      <c r="A3379" s="43">
        <v>535</v>
      </c>
      <c r="B3379" s="43" t="s">
        <v>152</v>
      </c>
      <c r="C3379" s="43" t="s">
        <v>917</v>
      </c>
      <c r="D3379" s="43" t="s">
        <v>935</v>
      </c>
      <c r="E3379" s="43" t="s">
        <v>936</v>
      </c>
      <c r="F3379" s="43">
        <v>0</v>
      </c>
      <c r="G3379" s="43" t="s">
        <v>4583</v>
      </c>
    </row>
    <row r="3380" spans="1:8" hidden="1" x14ac:dyDescent="0.25">
      <c r="A3380" s="43">
        <v>535</v>
      </c>
      <c r="B3380" s="43" t="s">
        <v>152</v>
      </c>
      <c r="C3380" s="43" t="s">
        <v>917</v>
      </c>
      <c r="D3380" s="43" t="s">
        <v>937</v>
      </c>
      <c r="E3380" s="43" t="s">
        <v>938</v>
      </c>
      <c r="F3380" s="43">
        <v>0</v>
      </c>
      <c r="G3380" s="43" t="s">
        <v>4583</v>
      </c>
    </row>
    <row r="3381" spans="1:8" hidden="1" x14ac:dyDescent="0.25">
      <c r="A3381" s="43">
        <v>535</v>
      </c>
      <c r="B3381" s="43" t="s">
        <v>152</v>
      </c>
      <c r="C3381" s="43" t="s">
        <v>917</v>
      </c>
      <c r="D3381" s="43" t="s">
        <v>939</v>
      </c>
      <c r="E3381" s="43" t="s">
        <v>383</v>
      </c>
      <c r="F3381" s="43">
        <v>1</v>
      </c>
      <c r="G3381"/>
      <c r="H3381"/>
    </row>
    <row r="3382" spans="1:8" hidden="1" x14ac:dyDescent="0.25">
      <c r="A3382" s="43">
        <v>535</v>
      </c>
      <c r="B3382" s="43" t="s">
        <v>152</v>
      </c>
      <c r="C3382" s="43" t="s">
        <v>917</v>
      </c>
      <c r="D3382" s="43" t="s">
        <v>940</v>
      </c>
      <c r="E3382" s="43" t="s">
        <v>384</v>
      </c>
      <c r="F3382" s="43">
        <v>1</v>
      </c>
      <c r="G3382"/>
      <c r="H3382"/>
    </row>
    <row r="3383" spans="1:8" hidden="1" x14ac:dyDescent="0.25">
      <c r="A3383" s="43">
        <v>535</v>
      </c>
      <c r="B3383" s="43" t="s">
        <v>152</v>
      </c>
      <c r="C3383" s="43" t="s">
        <v>917</v>
      </c>
      <c r="D3383" s="43" t="s">
        <v>941</v>
      </c>
      <c r="E3383" s="43" t="s">
        <v>942</v>
      </c>
      <c r="F3383" s="43">
        <v>0</v>
      </c>
      <c r="G3383" s="43" t="s">
        <v>4583</v>
      </c>
      <c r="H3383"/>
    </row>
    <row r="3384" spans="1:8" hidden="1" x14ac:dyDescent="0.25">
      <c r="A3384" s="43">
        <v>535</v>
      </c>
      <c r="B3384" s="43" t="s">
        <v>152</v>
      </c>
      <c r="C3384" s="43" t="s">
        <v>917</v>
      </c>
      <c r="D3384" s="43" t="s">
        <v>943</v>
      </c>
      <c r="E3384" s="43" t="s">
        <v>944</v>
      </c>
      <c r="F3384" s="43">
        <v>0</v>
      </c>
      <c r="G3384" s="43" t="s">
        <v>4583</v>
      </c>
      <c r="H3384"/>
    </row>
    <row r="3385" spans="1:8" hidden="1" x14ac:dyDescent="0.25">
      <c r="A3385" s="43">
        <v>535</v>
      </c>
      <c r="B3385" s="43" t="s">
        <v>152</v>
      </c>
      <c r="C3385" s="43" t="s">
        <v>917</v>
      </c>
      <c r="D3385" s="43" t="s">
        <v>945</v>
      </c>
      <c r="E3385" s="43" t="s">
        <v>368</v>
      </c>
      <c r="F3385" s="43">
        <v>0</v>
      </c>
      <c r="G3385" s="43" t="s">
        <v>4583</v>
      </c>
      <c r="H3385"/>
    </row>
    <row r="3386" spans="1:8" hidden="1" x14ac:dyDescent="0.25">
      <c r="A3386" s="43">
        <v>535</v>
      </c>
      <c r="B3386" s="43" t="s">
        <v>152</v>
      </c>
      <c r="C3386" s="43" t="s">
        <v>917</v>
      </c>
      <c r="D3386" s="43" t="s">
        <v>946</v>
      </c>
      <c r="E3386" s="43" t="s">
        <v>370</v>
      </c>
      <c r="F3386" s="43">
        <v>0</v>
      </c>
      <c r="G3386" s="43" t="s">
        <v>4583</v>
      </c>
      <c r="H3386"/>
    </row>
    <row r="3387" spans="1:8" hidden="1" x14ac:dyDescent="0.25">
      <c r="A3387" s="43">
        <v>535</v>
      </c>
      <c r="B3387" s="43" t="s">
        <v>152</v>
      </c>
      <c r="C3387" s="43" t="s">
        <v>917</v>
      </c>
      <c r="D3387" s="43" t="s">
        <v>947</v>
      </c>
      <c r="E3387" s="43" t="s">
        <v>948</v>
      </c>
      <c r="F3387" s="43">
        <v>0</v>
      </c>
      <c r="G3387" s="43" t="s">
        <v>4583</v>
      </c>
      <c r="H3387"/>
    </row>
    <row r="3388" spans="1:8" hidden="1" x14ac:dyDescent="0.25">
      <c r="A3388" s="43">
        <v>535</v>
      </c>
      <c r="B3388" s="43" t="s">
        <v>152</v>
      </c>
      <c r="C3388" s="43" t="s">
        <v>917</v>
      </c>
      <c r="D3388" s="43" t="s">
        <v>949</v>
      </c>
      <c r="E3388" s="43" t="s">
        <v>950</v>
      </c>
      <c r="F3388" s="43">
        <v>0</v>
      </c>
      <c r="G3388" s="43" t="s">
        <v>4583</v>
      </c>
      <c r="H3388"/>
    </row>
    <row r="3389" spans="1:8" hidden="1" x14ac:dyDescent="0.25">
      <c r="A3389" s="43">
        <v>535</v>
      </c>
      <c r="B3389" s="43" t="s">
        <v>152</v>
      </c>
      <c r="C3389" s="43" t="s">
        <v>917</v>
      </c>
      <c r="D3389" s="43" t="s">
        <v>951</v>
      </c>
      <c r="E3389" s="43" t="s">
        <v>952</v>
      </c>
      <c r="F3389" s="43">
        <v>0</v>
      </c>
      <c r="G3389" s="43" t="s">
        <v>4583</v>
      </c>
    </row>
    <row r="3390" spans="1:8" hidden="1" x14ac:dyDescent="0.25">
      <c r="A3390" s="43">
        <v>535</v>
      </c>
      <c r="B3390" s="43" t="s">
        <v>152</v>
      </c>
      <c r="C3390" s="43" t="s">
        <v>917</v>
      </c>
      <c r="D3390" s="43" t="s">
        <v>953</v>
      </c>
      <c r="E3390" s="43" t="s">
        <v>954</v>
      </c>
      <c r="F3390" s="43">
        <v>1</v>
      </c>
      <c r="G3390"/>
      <c r="H3390"/>
    </row>
    <row r="3391" spans="1:8" hidden="1" x14ac:dyDescent="0.25">
      <c r="A3391" s="43">
        <v>535</v>
      </c>
      <c r="B3391" s="43" t="s">
        <v>152</v>
      </c>
      <c r="C3391" s="43" t="s">
        <v>917</v>
      </c>
      <c r="D3391" s="43" t="s">
        <v>955</v>
      </c>
      <c r="E3391" s="43" t="s">
        <v>956</v>
      </c>
      <c r="F3391" s="43">
        <v>1</v>
      </c>
      <c r="G3391"/>
      <c r="H3391"/>
    </row>
    <row r="3392" spans="1:8" hidden="1" x14ac:dyDescent="0.25">
      <c r="A3392" s="43">
        <v>539</v>
      </c>
      <c r="B3392" s="43" t="s">
        <v>153</v>
      </c>
      <c r="C3392" s="43" t="s">
        <v>1613</v>
      </c>
      <c r="D3392" s="43" t="s">
        <v>1614</v>
      </c>
      <c r="E3392" s="43" t="s">
        <v>273</v>
      </c>
      <c r="F3392" s="43">
        <v>1</v>
      </c>
      <c r="G3392"/>
      <c r="H3392"/>
    </row>
    <row r="3393" spans="1:8" hidden="1" x14ac:dyDescent="0.25">
      <c r="A3393" s="43">
        <v>539</v>
      </c>
      <c r="B3393" s="43" t="s">
        <v>153</v>
      </c>
      <c r="C3393" s="43" t="s">
        <v>1613</v>
      </c>
      <c r="D3393" s="43" t="s">
        <v>1615</v>
      </c>
      <c r="E3393" s="43" t="s">
        <v>312</v>
      </c>
      <c r="F3393" s="43">
        <v>1</v>
      </c>
      <c r="G3393"/>
      <c r="H3393"/>
    </row>
    <row r="3394" spans="1:8" hidden="1" x14ac:dyDescent="0.25">
      <c r="A3394" s="43">
        <v>539</v>
      </c>
      <c r="B3394" s="43" t="s">
        <v>153</v>
      </c>
      <c r="C3394" s="43" t="s">
        <v>1613</v>
      </c>
      <c r="D3394" s="43" t="s">
        <v>1616</v>
      </c>
      <c r="E3394" s="43" t="s">
        <v>316</v>
      </c>
      <c r="F3394" s="43">
        <v>0</v>
      </c>
      <c r="G3394" s="43" t="s">
        <v>4583</v>
      </c>
      <c r="H3394"/>
    </row>
    <row r="3395" spans="1:8" hidden="1" x14ac:dyDescent="0.25">
      <c r="A3395" s="43">
        <v>539</v>
      </c>
      <c r="B3395" s="43" t="s">
        <v>153</v>
      </c>
      <c r="C3395" s="43" t="s">
        <v>1613</v>
      </c>
      <c r="D3395" s="43" t="s">
        <v>1617</v>
      </c>
      <c r="E3395" s="43" t="s">
        <v>314</v>
      </c>
      <c r="F3395" s="43">
        <v>1</v>
      </c>
      <c r="G3395"/>
      <c r="H3395"/>
    </row>
    <row r="3396" spans="1:8" hidden="1" x14ac:dyDescent="0.25">
      <c r="A3396" s="43">
        <v>539</v>
      </c>
      <c r="B3396" s="43" t="s">
        <v>153</v>
      </c>
      <c r="C3396" s="43" t="s">
        <v>1613</v>
      </c>
      <c r="D3396" s="43" t="s">
        <v>1618</v>
      </c>
      <c r="E3396" s="43" t="s">
        <v>318</v>
      </c>
      <c r="F3396" s="43">
        <v>0</v>
      </c>
      <c r="G3396" s="43" t="s">
        <v>4583</v>
      </c>
      <c r="H3396"/>
    </row>
    <row r="3397" spans="1:8" hidden="1" x14ac:dyDescent="0.25">
      <c r="A3397" s="43">
        <v>539</v>
      </c>
      <c r="B3397" s="43" t="s">
        <v>153</v>
      </c>
      <c r="C3397" s="43" t="s">
        <v>1613</v>
      </c>
      <c r="D3397" s="43" t="s">
        <v>1619</v>
      </c>
      <c r="E3397" s="43" t="s">
        <v>1620</v>
      </c>
      <c r="F3397" s="43">
        <v>1</v>
      </c>
      <c r="G3397"/>
      <c r="H3397"/>
    </row>
    <row r="3398" spans="1:8" hidden="1" x14ac:dyDescent="0.25">
      <c r="A3398" s="43">
        <v>539</v>
      </c>
      <c r="B3398" s="43" t="s">
        <v>153</v>
      </c>
      <c r="C3398" s="43" t="s">
        <v>1613</v>
      </c>
      <c r="D3398" s="43" t="s">
        <v>1621</v>
      </c>
      <c r="E3398" s="43" t="s">
        <v>1622</v>
      </c>
      <c r="F3398" s="43">
        <v>1</v>
      </c>
      <c r="G3398"/>
      <c r="H3398"/>
    </row>
    <row r="3399" spans="1:8" hidden="1" x14ac:dyDescent="0.25">
      <c r="A3399" s="43">
        <v>539</v>
      </c>
      <c r="B3399" s="43" t="s">
        <v>153</v>
      </c>
      <c r="C3399" s="43" t="s">
        <v>1613</v>
      </c>
      <c r="D3399" s="43" t="s">
        <v>1623</v>
      </c>
      <c r="E3399" s="43" t="s">
        <v>322</v>
      </c>
      <c r="F3399" s="43">
        <v>1</v>
      </c>
      <c r="G3399"/>
      <c r="H3399"/>
    </row>
    <row r="3400" spans="1:8" hidden="1" x14ac:dyDescent="0.25">
      <c r="A3400" s="43">
        <v>539</v>
      </c>
      <c r="B3400" s="43" t="s">
        <v>153</v>
      </c>
      <c r="C3400" s="43" t="s">
        <v>1613</v>
      </c>
      <c r="D3400" s="43" t="s">
        <v>1624</v>
      </c>
      <c r="E3400" s="43" t="s">
        <v>936</v>
      </c>
      <c r="F3400" s="43">
        <v>1</v>
      </c>
      <c r="G3400"/>
      <c r="H3400"/>
    </row>
    <row r="3401" spans="1:8" hidden="1" x14ac:dyDescent="0.25">
      <c r="A3401" s="43">
        <v>539</v>
      </c>
      <c r="B3401" s="43" t="s">
        <v>153</v>
      </c>
      <c r="C3401" s="43" t="s">
        <v>1613</v>
      </c>
      <c r="D3401" s="43" t="s">
        <v>1625</v>
      </c>
      <c r="E3401" s="43" t="s">
        <v>938</v>
      </c>
      <c r="F3401" s="43">
        <v>1</v>
      </c>
      <c r="G3401"/>
      <c r="H3401"/>
    </row>
    <row r="3402" spans="1:8" hidden="1" x14ac:dyDescent="0.25">
      <c r="A3402" s="43">
        <v>539</v>
      </c>
      <c r="B3402" s="43" t="s">
        <v>153</v>
      </c>
      <c r="C3402" s="43" t="s">
        <v>1613</v>
      </c>
      <c r="D3402" s="43" t="s">
        <v>1626</v>
      </c>
      <c r="E3402" s="43" t="s">
        <v>1483</v>
      </c>
      <c r="F3402" s="43">
        <v>0</v>
      </c>
      <c r="G3402" s="43" t="s">
        <v>4583</v>
      </c>
      <c r="H3402"/>
    </row>
    <row r="3403" spans="1:8" hidden="1" x14ac:dyDescent="0.25">
      <c r="A3403" s="43">
        <v>539</v>
      </c>
      <c r="B3403" s="43" t="s">
        <v>153</v>
      </c>
      <c r="C3403" s="43" t="s">
        <v>1613</v>
      </c>
      <c r="D3403" s="43" t="s">
        <v>1627</v>
      </c>
      <c r="E3403" s="43" t="s">
        <v>942</v>
      </c>
      <c r="F3403" s="43">
        <v>0</v>
      </c>
      <c r="G3403" s="43" t="s">
        <v>4583</v>
      </c>
      <c r="H3403"/>
    </row>
    <row r="3404" spans="1:8" hidden="1" x14ac:dyDescent="0.25">
      <c r="A3404" s="43">
        <v>539</v>
      </c>
      <c r="B3404" s="43" t="s">
        <v>153</v>
      </c>
      <c r="C3404" s="43" t="s">
        <v>1613</v>
      </c>
      <c r="D3404" s="43" t="s">
        <v>1628</v>
      </c>
      <c r="E3404" s="43" t="s">
        <v>383</v>
      </c>
      <c r="F3404" s="43">
        <v>0</v>
      </c>
      <c r="G3404" s="43" t="s">
        <v>4583</v>
      </c>
      <c r="H3404"/>
    </row>
    <row r="3405" spans="1:8" hidden="1" x14ac:dyDescent="0.25">
      <c r="A3405" s="43">
        <v>539</v>
      </c>
      <c r="B3405" s="43" t="s">
        <v>153</v>
      </c>
      <c r="C3405" s="43" t="s">
        <v>1613</v>
      </c>
      <c r="D3405" s="43" t="s">
        <v>1629</v>
      </c>
      <c r="E3405" s="43" t="s">
        <v>1630</v>
      </c>
      <c r="F3405" s="43">
        <v>0</v>
      </c>
      <c r="G3405" s="43" t="s">
        <v>4583</v>
      </c>
      <c r="H3405"/>
    </row>
    <row r="3406" spans="1:8" hidden="1" x14ac:dyDescent="0.25">
      <c r="A3406" s="43">
        <v>539</v>
      </c>
      <c r="B3406" s="43" t="s">
        <v>153</v>
      </c>
      <c r="C3406" s="43" t="s">
        <v>1613</v>
      </c>
      <c r="D3406" s="43" t="s">
        <v>1631</v>
      </c>
      <c r="E3406" s="43" t="s">
        <v>380</v>
      </c>
      <c r="F3406" s="43">
        <v>1</v>
      </c>
      <c r="G3406"/>
      <c r="H3406"/>
    </row>
    <row r="3407" spans="1:8" hidden="1" x14ac:dyDescent="0.25">
      <c r="A3407" s="43">
        <v>539</v>
      </c>
      <c r="B3407" s="43" t="s">
        <v>153</v>
      </c>
      <c r="C3407" s="43" t="s">
        <v>1613</v>
      </c>
      <c r="D3407" s="43" t="s">
        <v>1632</v>
      </c>
      <c r="E3407" s="43" t="s">
        <v>381</v>
      </c>
      <c r="F3407" s="43">
        <v>1</v>
      </c>
      <c r="G3407"/>
      <c r="H3407"/>
    </row>
    <row r="3408" spans="1:8" hidden="1" x14ac:dyDescent="0.25">
      <c r="A3408" s="43">
        <v>539</v>
      </c>
      <c r="B3408" s="43" t="s">
        <v>153</v>
      </c>
      <c r="C3408" s="43" t="s">
        <v>1613</v>
      </c>
      <c r="D3408" s="43" t="s">
        <v>1633</v>
      </c>
      <c r="E3408" s="43" t="s">
        <v>1634</v>
      </c>
      <c r="F3408" s="43">
        <v>0</v>
      </c>
      <c r="G3408" s="43" t="s">
        <v>4583</v>
      </c>
      <c r="H3408"/>
    </row>
    <row r="3409" spans="1:8" hidden="1" x14ac:dyDescent="0.25">
      <c r="A3409" s="43">
        <v>539</v>
      </c>
      <c r="B3409" s="43" t="s">
        <v>153</v>
      </c>
      <c r="C3409" s="43" t="s">
        <v>1613</v>
      </c>
      <c r="D3409" s="43" t="s">
        <v>1635</v>
      </c>
      <c r="E3409" s="43" t="s">
        <v>4473</v>
      </c>
      <c r="F3409" s="43">
        <v>0</v>
      </c>
      <c r="G3409" s="43" t="s">
        <v>4583</v>
      </c>
      <c r="H3409"/>
    </row>
    <row r="3410" spans="1:8" hidden="1" x14ac:dyDescent="0.25">
      <c r="A3410" s="43">
        <v>539</v>
      </c>
      <c r="B3410" s="43" t="s">
        <v>153</v>
      </c>
      <c r="C3410" s="43" t="s">
        <v>1613</v>
      </c>
      <c r="D3410" s="43" t="s">
        <v>1636</v>
      </c>
      <c r="E3410" s="43" t="s">
        <v>1637</v>
      </c>
      <c r="F3410" s="43">
        <v>0</v>
      </c>
      <c r="G3410" s="43" t="s">
        <v>4583</v>
      </c>
      <c r="H3410"/>
    </row>
    <row r="3411" spans="1:8" hidden="1" x14ac:dyDescent="0.25">
      <c r="A3411" s="43">
        <v>539</v>
      </c>
      <c r="B3411" s="43" t="s">
        <v>153</v>
      </c>
      <c r="C3411" s="43" t="s">
        <v>1613</v>
      </c>
      <c r="D3411" s="43" t="s">
        <v>1638</v>
      </c>
      <c r="E3411" s="43" t="s">
        <v>1639</v>
      </c>
      <c r="F3411" s="89">
        <v>1</v>
      </c>
      <c r="H3411"/>
    </row>
    <row r="3412" spans="1:8" hidden="1" x14ac:dyDescent="0.25">
      <c r="A3412" s="43">
        <v>540</v>
      </c>
      <c r="B3412" s="43" t="s">
        <v>153</v>
      </c>
      <c r="C3412" s="43" t="s">
        <v>1613</v>
      </c>
      <c r="D3412" s="43" t="s">
        <v>1614</v>
      </c>
      <c r="E3412" s="43" t="s">
        <v>273</v>
      </c>
      <c r="F3412" s="43">
        <v>1</v>
      </c>
      <c r="G3412"/>
      <c r="H3412"/>
    </row>
    <row r="3413" spans="1:8" hidden="1" x14ac:dyDescent="0.25">
      <c r="A3413" s="43">
        <v>540</v>
      </c>
      <c r="B3413" s="43" t="s">
        <v>153</v>
      </c>
      <c r="C3413" s="43" t="s">
        <v>1613</v>
      </c>
      <c r="D3413" s="43" t="s">
        <v>1615</v>
      </c>
      <c r="E3413" s="43" t="s">
        <v>312</v>
      </c>
      <c r="F3413" s="43">
        <v>1</v>
      </c>
      <c r="G3413"/>
      <c r="H3413"/>
    </row>
    <row r="3414" spans="1:8" hidden="1" x14ac:dyDescent="0.25">
      <c r="A3414" s="43">
        <v>540</v>
      </c>
      <c r="B3414" s="43" t="s">
        <v>153</v>
      </c>
      <c r="C3414" s="43" t="s">
        <v>1613</v>
      </c>
      <c r="D3414" s="43" t="s">
        <v>1616</v>
      </c>
      <c r="E3414" s="43" t="s">
        <v>316</v>
      </c>
      <c r="F3414" s="43">
        <v>0</v>
      </c>
      <c r="G3414" s="43" t="s">
        <v>4583</v>
      </c>
      <c r="H3414"/>
    </row>
    <row r="3415" spans="1:8" hidden="1" x14ac:dyDescent="0.25">
      <c r="A3415" s="43">
        <v>540</v>
      </c>
      <c r="B3415" s="43" t="s">
        <v>153</v>
      </c>
      <c r="C3415" s="43" t="s">
        <v>1613</v>
      </c>
      <c r="D3415" s="43" t="s">
        <v>1617</v>
      </c>
      <c r="E3415" s="43" t="s">
        <v>314</v>
      </c>
      <c r="F3415" s="43">
        <v>1</v>
      </c>
      <c r="G3415"/>
      <c r="H3415"/>
    </row>
    <row r="3416" spans="1:8" hidden="1" x14ac:dyDescent="0.25">
      <c r="A3416" s="43">
        <v>540</v>
      </c>
      <c r="B3416" s="43" t="s">
        <v>153</v>
      </c>
      <c r="C3416" s="43" t="s">
        <v>1613</v>
      </c>
      <c r="D3416" s="43" t="s">
        <v>1618</v>
      </c>
      <c r="E3416" s="43" t="s">
        <v>318</v>
      </c>
      <c r="F3416" s="43">
        <v>0</v>
      </c>
      <c r="G3416" s="43" t="s">
        <v>4583</v>
      </c>
      <c r="H3416"/>
    </row>
    <row r="3417" spans="1:8" hidden="1" x14ac:dyDescent="0.25">
      <c r="A3417" s="43">
        <v>540</v>
      </c>
      <c r="B3417" s="43" t="s">
        <v>153</v>
      </c>
      <c r="C3417" s="43" t="s">
        <v>1613</v>
      </c>
      <c r="D3417" s="43" t="s">
        <v>1619</v>
      </c>
      <c r="E3417" s="43" t="s">
        <v>1620</v>
      </c>
      <c r="F3417" s="43">
        <v>1</v>
      </c>
      <c r="G3417"/>
      <c r="H3417"/>
    </row>
    <row r="3418" spans="1:8" hidden="1" x14ac:dyDescent="0.25">
      <c r="A3418" s="43">
        <v>540</v>
      </c>
      <c r="B3418" s="43" t="s">
        <v>153</v>
      </c>
      <c r="C3418" s="43" t="s">
        <v>1613</v>
      </c>
      <c r="D3418" s="43" t="s">
        <v>1621</v>
      </c>
      <c r="E3418" s="43" t="s">
        <v>1622</v>
      </c>
      <c r="F3418" s="43">
        <v>0</v>
      </c>
      <c r="G3418" s="43" t="s">
        <v>4583</v>
      </c>
      <c r="H3418"/>
    </row>
    <row r="3419" spans="1:8" hidden="1" x14ac:dyDescent="0.25">
      <c r="A3419" s="43">
        <v>540</v>
      </c>
      <c r="B3419" s="43" t="s">
        <v>153</v>
      </c>
      <c r="C3419" s="43" t="s">
        <v>1613</v>
      </c>
      <c r="D3419" s="43" t="s">
        <v>1623</v>
      </c>
      <c r="E3419" s="43" t="s">
        <v>322</v>
      </c>
      <c r="F3419" s="43">
        <v>0</v>
      </c>
      <c r="G3419" s="43" t="s">
        <v>4583</v>
      </c>
      <c r="H3419"/>
    </row>
    <row r="3420" spans="1:8" hidden="1" x14ac:dyDescent="0.25">
      <c r="A3420" s="43">
        <v>540</v>
      </c>
      <c r="B3420" s="43" t="s">
        <v>153</v>
      </c>
      <c r="C3420" s="43" t="s">
        <v>1613</v>
      </c>
      <c r="D3420" s="43" t="s">
        <v>1624</v>
      </c>
      <c r="E3420" s="43" t="s">
        <v>936</v>
      </c>
      <c r="F3420" s="43">
        <v>1</v>
      </c>
      <c r="G3420"/>
      <c r="H3420"/>
    </row>
    <row r="3421" spans="1:8" hidden="1" x14ac:dyDescent="0.25">
      <c r="A3421" s="43">
        <v>540</v>
      </c>
      <c r="B3421" s="43" t="s">
        <v>153</v>
      </c>
      <c r="C3421" s="43" t="s">
        <v>1613</v>
      </c>
      <c r="D3421" s="43" t="s">
        <v>1625</v>
      </c>
      <c r="E3421" s="43" t="s">
        <v>938</v>
      </c>
      <c r="F3421" s="43">
        <v>1</v>
      </c>
      <c r="G3421"/>
      <c r="H3421"/>
    </row>
    <row r="3422" spans="1:8" hidden="1" x14ac:dyDescent="0.25">
      <c r="A3422" s="43">
        <v>540</v>
      </c>
      <c r="B3422" s="43" t="s">
        <v>153</v>
      </c>
      <c r="C3422" s="43" t="s">
        <v>1613</v>
      </c>
      <c r="D3422" s="43" t="s">
        <v>1626</v>
      </c>
      <c r="E3422" s="43" t="s">
        <v>1483</v>
      </c>
      <c r="F3422" s="43">
        <v>0</v>
      </c>
      <c r="G3422" s="43" t="s">
        <v>4583</v>
      </c>
      <c r="H3422"/>
    </row>
    <row r="3423" spans="1:8" hidden="1" x14ac:dyDescent="0.25">
      <c r="A3423" s="43">
        <v>540</v>
      </c>
      <c r="B3423" s="43" t="s">
        <v>153</v>
      </c>
      <c r="C3423" s="43" t="s">
        <v>1613</v>
      </c>
      <c r="D3423" s="43" t="s">
        <v>1627</v>
      </c>
      <c r="E3423" s="43" t="s">
        <v>942</v>
      </c>
      <c r="F3423" s="43">
        <v>0</v>
      </c>
      <c r="G3423" s="43" t="s">
        <v>4583</v>
      </c>
      <c r="H3423"/>
    </row>
    <row r="3424" spans="1:8" hidden="1" x14ac:dyDescent="0.25">
      <c r="A3424" s="43">
        <v>540</v>
      </c>
      <c r="B3424" s="43" t="s">
        <v>153</v>
      </c>
      <c r="C3424" s="43" t="s">
        <v>1613</v>
      </c>
      <c r="D3424" s="43" t="s">
        <v>1628</v>
      </c>
      <c r="E3424" s="43" t="s">
        <v>383</v>
      </c>
      <c r="F3424" s="43">
        <v>0</v>
      </c>
      <c r="G3424" s="43" t="s">
        <v>4583</v>
      </c>
      <c r="H3424"/>
    </row>
    <row r="3425" spans="1:8" hidden="1" x14ac:dyDescent="0.25">
      <c r="A3425" s="43">
        <v>540</v>
      </c>
      <c r="B3425" s="43" t="s">
        <v>153</v>
      </c>
      <c r="C3425" s="43" t="s">
        <v>1613</v>
      </c>
      <c r="D3425" s="43" t="s">
        <v>1629</v>
      </c>
      <c r="E3425" s="43" t="s">
        <v>1630</v>
      </c>
      <c r="F3425" s="43">
        <v>0</v>
      </c>
      <c r="G3425" s="43" t="s">
        <v>4583</v>
      </c>
      <c r="H3425"/>
    </row>
    <row r="3426" spans="1:8" hidden="1" x14ac:dyDescent="0.25">
      <c r="A3426" s="43">
        <v>540</v>
      </c>
      <c r="B3426" s="43" t="s">
        <v>153</v>
      </c>
      <c r="C3426" s="43" t="s">
        <v>1613</v>
      </c>
      <c r="D3426" s="43" t="s">
        <v>1631</v>
      </c>
      <c r="E3426" s="43" t="s">
        <v>380</v>
      </c>
      <c r="F3426" s="43">
        <v>1</v>
      </c>
      <c r="G3426"/>
      <c r="H3426"/>
    </row>
    <row r="3427" spans="1:8" hidden="1" x14ac:dyDescent="0.25">
      <c r="A3427" s="43">
        <v>540</v>
      </c>
      <c r="B3427" s="43" t="s">
        <v>153</v>
      </c>
      <c r="C3427" s="43" t="s">
        <v>1613</v>
      </c>
      <c r="D3427" s="43" t="s">
        <v>1632</v>
      </c>
      <c r="E3427" s="43" t="s">
        <v>381</v>
      </c>
      <c r="F3427" s="43">
        <v>1</v>
      </c>
      <c r="G3427"/>
      <c r="H3427"/>
    </row>
    <row r="3428" spans="1:8" hidden="1" x14ac:dyDescent="0.25">
      <c r="A3428" s="43">
        <v>540</v>
      </c>
      <c r="B3428" s="43" t="s">
        <v>153</v>
      </c>
      <c r="C3428" s="43" t="s">
        <v>1613</v>
      </c>
      <c r="D3428" s="43" t="s">
        <v>1633</v>
      </c>
      <c r="E3428" s="43" t="s">
        <v>1634</v>
      </c>
      <c r="F3428" s="43">
        <v>0</v>
      </c>
      <c r="G3428" s="43" t="s">
        <v>4583</v>
      </c>
      <c r="H3428"/>
    </row>
    <row r="3429" spans="1:8" hidden="1" x14ac:dyDescent="0.25">
      <c r="A3429" s="43">
        <v>540</v>
      </c>
      <c r="B3429" s="43" t="s">
        <v>153</v>
      </c>
      <c r="C3429" s="43" t="s">
        <v>1613</v>
      </c>
      <c r="D3429" s="43" t="s">
        <v>1635</v>
      </c>
      <c r="E3429" s="43" t="s">
        <v>4473</v>
      </c>
      <c r="F3429" s="43">
        <v>0</v>
      </c>
      <c r="G3429" s="43" t="s">
        <v>4583</v>
      </c>
      <c r="H3429"/>
    </row>
    <row r="3430" spans="1:8" hidden="1" x14ac:dyDescent="0.25">
      <c r="A3430" s="43">
        <v>540</v>
      </c>
      <c r="B3430" s="43" t="s">
        <v>153</v>
      </c>
      <c r="C3430" s="43" t="s">
        <v>1613</v>
      </c>
      <c r="D3430" s="43" t="s">
        <v>1636</v>
      </c>
      <c r="E3430" s="43" t="s">
        <v>1637</v>
      </c>
      <c r="F3430" s="43">
        <v>0</v>
      </c>
      <c r="G3430" s="43" t="s">
        <v>4583</v>
      </c>
      <c r="H3430"/>
    </row>
    <row r="3431" spans="1:8" hidden="1" x14ac:dyDescent="0.25">
      <c r="A3431" s="43">
        <v>540</v>
      </c>
      <c r="B3431" s="43" t="s">
        <v>153</v>
      </c>
      <c r="C3431" s="43" t="s">
        <v>1613</v>
      </c>
      <c r="D3431" s="43" t="s">
        <v>1638</v>
      </c>
      <c r="E3431" s="43" t="s">
        <v>1639</v>
      </c>
      <c r="F3431" s="43">
        <v>0</v>
      </c>
      <c r="G3431" s="43" t="s">
        <v>4583</v>
      </c>
      <c r="H3431"/>
    </row>
    <row r="3432" spans="1:8" hidden="1" x14ac:dyDescent="0.25">
      <c r="A3432" s="43">
        <v>542</v>
      </c>
      <c r="B3432" s="43" t="s">
        <v>154</v>
      </c>
      <c r="C3432" s="43" t="s">
        <v>1640</v>
      </c>
      <c r="D3432" s="43" t="s">
        <v>1641</v>
      </c>
      <c r="E3432" s="43" t="s">
        <v>640</v>
      </c>
      <c r="F3432" s="43">
        <v>1</v>
      </c>
      <c r="G3432"/>
      <c r="H3432"/>
    </row>
    <row r="3433" spans="1:8" hidden="1" x14ac:dyDescent="0.25">
      <c r="A3433" s="43">
        <v>542</v>
      </c>
      <c r="B3433" s="43" t="s">
        <v>154</v>
      </c>
      <c r="C3433" s="43" t="s">
        <v>1640</v>
      </c>
      <c r="D3433" s="43" t="s">
        <v>1642</v>
      </c>
      <c r="E3433" s="43" t="s">
        <v>1643</v>
      </c>
      <c r="F3433" s="43">
        <v>1</v>
      </c>
      <c r="G3433"/>
      <c r="H3433"/>
    </row>
    <row r="3434" spans="1:8" hidden="1" x14ac:dyDescent="0.25">
      <c r="A3434" s="43">
        <v>542</v>
      </c>
      <c r="B3434" s="43" t="s">
        <v>154</v>
      </c>
      <c r="C3434" s="43" t="s">
        <v>1640</v>
      </c>
      <c r="D3434" s="43" t="s">
        <v>1644</v>
      </c>
      <c r="E3434" s="43" t="s">
        <v>1645</v>
      </c>
      <c r="F3434" s="43">
        <v>0</v>
      </c>
      <c r="G3434" s="43" t="s">
        <v>4583</v>
      </c>
      <c r="H3434"/>
    </row>
    <row r="3435" spans="1:8" hidden="1" x14ac:dyDescent="0.25">
      <c r="A3435" s="43">
        <v>542</v>
      </c>
      <c r="B3435" s="43" t="s">
        <v>154</v>
      </c>
      <c r="C3435" s="43" t="s">
        <v>1640</v>
      </c>
      <c r="D3435" s="43" t="s">
        <v>1646</v>
      </c>
      <c r="E3435" s="43" t="s">
        <v>1647</v>
      </c>
      <c r="F3435" s="43">
        <v>1</v>
      </c>
      <c r="G3435"/>
      <c r="H3435"/>
    </row>
    <row r="3436" spans="1:8" hidden="1" x14ac:dyDescent="0.25">
      <c r="A3436" s="43">
        <v>542</v>
      </c>
      <c r="B3436" s="43" t="s">
        <v>154</v>
      </c>
      <c r="C3436" s="43" t="s">
        <v>1640</v>
      </c>
      <c r="D3436" s="43" t="s">
        <v>1648</v>
      </c>
      <c r="E3436" s="43" t="s">
        <v>1649</v>
      </c>
      <c r="F3436" s="43">
        <v>1</v>
      </c>
      <c r="G3436"/>
      <c r="H3436"/>
    </row>
    <row r="3437" spans="1:8" hidden="1" x14ac:dyDescent="0.25">
      <c r="A3437" s="43">
        <v>542</v>
      </c>
      <c r="B3437" s="43" t="s">
        <v>154</v>
      </c>
      <c r="C3437" s="43" t="s">
        <v>1640</v>
      </c>
      <c r="D3437" s="43" t="s">
        <v>1650</v>
      </c>
      <c r="E3437" s="43" t="s">
        <v>791</v>
      </c>
      <c r="F3437" s="43">
        <v>1</v>
      </c>
      <c r="G3437"/>
      <c r="H3437"/>
    </row>
    <row r="3438" spans="1:8" hidden="1" x14ac:dyDescent="0.25">
      <c r="A3438" s="43">
        <v>542</v>
      </c>
      <c r="B3438" s="43" t="s">
        <v>154</v>
      </c>
      <c r="C3438" s="43" t="s">
        <v>1640</v>
      </c>
      <c r="D3438" s="43" t="s">
        <v>1651</v>
      </c>
      <c r="E3438" s="43" t="s">
        <v>1652</v>
      </c>
      <c r="F3438" s="43">
        <v>1</v>
      </c>
      <c r="G3438"/>
      <c r="H3438"/>
    </row>
    <row r="3439" spans="1:8" hidden="1" x14ac:dyDescent="0.25">
      <c r="A3439" s="43">
        <v>542</v>
      </c>
      <c r="B3439" s="43" t="s">
        <v>154</v>
      </c>
      <c r="C3439" s="43" t="s">
        <v>1640</v>
      </c>
      <c r="D3439" s="43" t="s">
        <v>1653</v>
      </c>
      <c r="E3439" s="43" t="s">
        <v>1654</v>
      </c>
      <c r="F3439" s="43">
        <v>1</v>
      </c>
      <c r="G3439"/>
      <c r="H3439"/>
    </row>
    <row r="3440" spans="1:8" hidden="1" x14ac:dyDescent="0.25">
      <c r="A3440" s="43">
        <v>558</v>
      </c>
      <c r="B3440" s="43" t="s">
        <v>155</v>
      </c>
      <c r="C3440" s="43" t="s">
        <v>4470</v>
      </c>
      <c r="D3440" s="43" t="s">
        <v>1493</v>
      </c>
      <c r="E3440" s="43" t="s">
        <v>1494</v>
      </c>
      <c r="F3440" s="43">
        <v>1</v>
      </c>
      <c r="G3440"/>
      <c r="H3440"/>
    </row>
    <row r="3441" spans="1:8" hidden="1" x14ac:dyDescent="0.25">
      <c r="A3441" s="43">
        <v>558</v>
      </c>
      <c r="B3441" s="43" t="s">
        <v>155</v>
      </c>
      <c r="C3441" s="43" t="s">
        <v>4470</v>
      </c>
      <c r="D3441" s="43" t="s">
        <v>1495</v>
      </c>
      <c r="E3441" s="43" t="s">
        <v>1496</v>
      </c>
      <c r="F3441" s="43">
        <v>1</v>
      </c>
      <c r="G3441"/>
      <c r="H3441"/>
    </row>
    <row r="3442" spans="1:8" hidden="1" x14ac:dyDescent="0.25">
      <c r="A3442" s="43">
        <v>558</v>
      </c>
      <c r="B3442" s="43" t="s">
        <v>155</v>
      </c>
      <c r="C3442" s="43" t="s">
        <v>4470</v>
      </c>
      <c r="D3442" s="43" t="s">
        <v>1497</v>
      </c>
      <c r="E3442" s="43" t="s">
        <v>306</v>
      </c>
      <c r="F3442" s="43">
        <v>1</v>
      </c>
      <c r="G3442"/>
      <c r="H3442"/>
    </row>
    <row r="3443" spans="1:8" hidden="1" x14ac:dyDescent="0.25">
      <c r="A3443" s="43">
        <v>558</v>
      </c>
      <c r="B3443" s="43" t="s">
        <v>155</v>
      </c>
      <c r="C3443" s="43" t="s">
        <v>4470</v>
      </c>
      <c r="D3443" s="43" t="s">
        <v>1498</v>
      </c>
      <c r="E3443" s="43" t="s">
        <v>1499</v>
      </c>
      <c r="F3443" s="43">
        <v>1</v>
      </c>
      <c r="G3443"/>
      <c r="H3443"/>
    </row>
    <row r="3444" spans="1:8" hidden="1" x14ac:dyDescent="0.25">
      <c r="A3444" s="43">
        <v>558</v>
      </c>
      <c r="B3444" s="43" t="s">
        <v>155</v>
      </c>
      <c r="C3444" s="43" t="s">
        <v>4470</v>
      </c>
      <c r="D3444" s="43" t="s">
        <v>1500</v>
      </c>
      <c r="E3444" s="43" t="s">
        <v>1397</v>
      </c>
      <c r="F3444" s="43">
        <v>1</v>
      </c>
      <c r="G3444"/>
      <c r="H3444"/>
    </row>
    <row r="3445" spans="1:8" hidden="1" x14ac:dyDescent="0.25">
      <c r="A3445" s="43">
        <v>558</v>
      </c>
      <c r="B3445" s="43" t="s">
        <v>155</v>
      </c>
      <c r="C3445" s="43" t="s">
        <v>4470</v>
      </c>
      <c r="D3445" s="43" t="s">
        <v>1501</v>
      </c>
      <c r="E3445" s="43" t="s">
        <v>1502</v>
      </c>
      <c r="F3445" s="89">
        <v>1</v>
      </c>
      <c r="H3445"/>
    </row>
    <row r="3446" spans="1:8" hidden="1" x14ac:dyDescent="0.25">
      <c r="A3446" s="43">
        <v>558</v>
      </c>
      <c r="B3446" s="43" t="s">
        <v>155</v>
      </c>
      <c r="C3446" s="43" t="s">
        <v>4470</v>
      </c>
      <c r="D3446" s="43" t="s">
        <v>1503</v>
      </c>
      <c r="E3446" s="43" t="s">
        <v>1504</v>
      </c>
      <c r="F3446" s="43">
        <v>1</v>
      </c>
      <c r="G3446"/>
      <c r="H3446"/>
    </row>
    <row r="3447" spans="1:8" hidden="1" x14ac:dyDescent="0.25">
      <c r="A3447" s="43">
        <v>558</v>
      </c>
      <c r="B3447" s="43" t="s">
        <v>155</v>
      </c>
      <c r="C3447" s="43" t="s">
        <v>4470</v>
      </c>
      <c r="D3447" s="43" t="s">
        <v>1505</v>
      </c>
      <c r="E3447" s="43" t="s">
        <v>1506</v>
      </c>
      <c r="F3447" s="43">
        <v>1</v>
      </c>
      <c r="G3447"/>
      <c r="H3447"/>
    </row>
    <row r="3448" spans="1:8" hidden="1" x14ac:dyDescent="0.25">
      <c r="A3448" s="43">
        <v>558</v>
      </c>
      <c r="B3448" s="43" t="s">
        <v>155</v>
      </c>
      <c r="C3448" s="43" t="s">
        <v>4470</v>
      </c>
      <c r="D3448" s="43" t="s">
        <v>1507</v>
      </c>
      <c r="E3448" s="43" t="s">
        <v>611</v>
      </c>
      <c r="F3448" s="43">
        <v>1</v>
      </c>
      <c r="G3448"/>
      <c r="H3448"/>
    </row>
    <row r="3449" spans="1:8" hidden="1" x14ac:dyDescent="0.25">
      <c r="A3449" s="43">
        <v>558</v>
      </c>
      <c r="B3449" s="43" t="s">
        <v>155</v>
      </c>
      <c r="C3449" s="43" t="s">
        <v>4470</v>
      </c>
      <c r="D3449" s="43" t="s">
        <v>1508</v>
      </c>
      <c r="E3449" s="43" t="s">
        <v>1509</v>
      </c>
      <c r="F3449" s="43">
        <v>1</v>
      </c>
      <c r="G3449"/>
      <c r="H3449"/>
    </row>
    <row r="3450" spans="1:8" hidden="1" x14ac:dyDescent="0.25">
      <c r="A3450" s="43">
        <v>558</v>
      </c>
      <c r="B3450" s="43" t="s">
        <v>155</v>
      </c>
      <c r="C3450" s="43" t="s">
        <v>4470</v>
      </c>
      <c r="D3450" s="43" t="s">
        <v>1510</v>
      </c>
      <c r="E3450" s="43" t="s">
        <v>613</v>
      </c>
      <c r="F3450" s="43">
        <v>1</v>
      </c>
      <c r="G3450"/>
      <c r="H3450"/>
    </row>
    <row r="3451" spans="1:8" hidden="1" x14ac:dyDescent="0.25">
      <c r="A3451" s="43">
        <v>558</v>
      </c>
      <c r="B3451" s="43" t="s">
        <v>155</v>
      </c>
      <c r="C3451" s="43" t="s">
        <v>4470</v>
      </c>
      <c r="D3451" s="43" t="s">
        <v>1511</v>
      </c>
      <c r="E3451" s="43" t="s">
        <v>1419</v>
      </c>
      <c r="F3451" s="43">
        <v>1</v>
      </c>
      <c r="G3451"/>
      <c r="H3451"/>
    </row>
    <row r="3452" spans="1:8" hidden="1" x14ac:dyDescent="0.25">
      <c r="A3452" s="43">
        <v>558</v>
      </c>
      <c r="B3452" s="43" t="s">
        <v>155</v>
      </c>
      <c r="C3452" s="43" t="s">
        <v>4470</v>
      </c>
      <c r="D3452" s="43" t="s">
        <v>1512</v>
      </c>
      <c r="E3452" s="43" t="s">
        <v>621</v>
      </c>
      <c r="F3452" s="43">
        <v>1</v>
      </c>
      <c r="G3452"/>
      <c r="H3452"/>
    </row>
    <row r="3453" spans="1:8" hidden="1" x14ac:dyDescent="0.25">
      <c r="A3453" s="43">
        <v>558</v>
      </c>
      <c r="B3453" s="43" t="s">
        <v>155</v>
      </c>
      <c r="C3453" s="43" t="s">
        <v>4470</v>
      </c>
      <c r="D3453" s="43" t="s">
        <v>1513</v>
      </c>
      <c r="E3453" s="43" t="s">
        <v>1422</v>
      </c>
      <c r="F3453" s="43">
        <v>1</v>
      </c>
      <c r="G3453"/>
      <c r="H3453"/>
    </row>
    <row r="3454" spans="1:8" hidden="1" x14ac:dyDescent="0.25">
      <c r="A3454" s="43">
        <v>558</v>
      </c>
      <c r="B3454" s="43" t="s">
        <v>155</v>
      </c>
      <c r="C3454" s="43" t="s">
        <v>4470</v>
      </c>
      <c r="D3454" s="43" t="s">
        <v>1514</v>
      </c>
      <c r="E3454" s="43" t="s">
        <v>614</v>
      </c>
      <c r="F3454" s="43">
        <v>1</v>
      </c>
      <c r="G3454"/>
      <c r="H3454"/>
    </row>
    <row r="3455" spans="1:8" hidden="1" x14ac:dyDescent="0.25">
      <c r="A3455" s="43">
        <v>558</v>
      </c>
      <c r="B3455" s="43" t="s">
        <v>155</v>
      </c>
      <c r="C3455" s="43" t="s">
        <v>4470</v>
      </c>
      <c r="D3455" s="43" t="s">
        <v>1515</v>
      </c>
      <c r="E3455" s="43" t="s">
        <v>615</v>
      </c>
      <c r="F3455" s="43">
        <v>1</v>
      </c>
      <c r="G3455"/>
      <c r="H3455"/>
    </row>
    <row r="3456" spans="1:8" hidden="1" x14ac:dyDescent="0.25">
      <c r="A3456" s="43">
        <v>558</v>
      </c>
      <c r="B3456" s="43" t="s">
        <v>155</v>
      </c>
      <c r="C3456" s="43" t="s">
        <v>4470</v>
      </c>
      <c r="D3456" s="43" t="s">
        <v>1516</v>
      </c>
      <c r="E3456" s="43" t="s">
        <v>1517</v>
      </c>
      <c r="F3456" s="43">
        <v>1</v>
      </c>
      <c r="G3456"/>
      <c r="H3456"/>
    </row>
    <row r="3457" spans="1:8" hidden="1" x14ac:dyDescent="0.25">
      <c r="A3457" s="43">
        <v>558</v>
      </c>
      <c r="B3457" s="43" t="s">
        <v>155</v>
      </c>
      <c r="C3457" s="43" t="s">
        <v>4470</v>
      </c>
      <c r="D3457" s="43" t="s">
        <v>1518</v>
      </c>
      <c r="E3457" s="43" t="s">
        <v>1519</v>
      </c>
      <c r="F3457" s="43">
        <v>1</v>
      </c>
      <c r="G3457"/>
      <c r="H3457"/>
    </row>
    <row r="3458" spans="1:8" hidden="1" x14ac:dyDescent="0.25">
      <c r="A3458" s="43">
        <v>558</v>
      </c>
      <c r="B3458" s="43" t="s">
        <v>155</v>
      </c>
      <c r="C3458" s="43" t="s">
        <v>4470</v>
      </c>
      <c r="D3458" s="43" t="s">
        <v>1520</v>
      </c>
      <c r="E3458" s="43" t="s">
        <v>1521</v>
      </c>
      <c r="F3458" s="43">
        <v>1</v>
      </c>
      <c r="G3458"/>
      <c r="H3458"/>
    </row>
    <row r="3459" spans="1:8" hidden="1" x14ac:dyDescent="0.25">
      <c r="A3459" s="43">
        <v>558</v>
      </c>
      <c r="B3459" s="43" t="s">
        <v>155</v>
      </c>
      <c r="C3459" s="43" t="s">
        <v>4470</v>
      </c>
      <c r="D3459" s="43" t="s">
        <v>1522</v>
      </c>
      <c r="E3459" s="43" t="s">
        <v>1523</v>
      </c>
      <c r="F3459" s="43">
        <v>1</v>
      </c>
      <c r="G3459"/>
      <c r="H3459"/>
    </row>
    <row r="3460" spans="1:8" hidden="1" x14ac:dyDescent="0.25">
      <c r="A3460" s="43">
        <v>558</v>
      </c>
      <c r="B3460" s="43" t="s">
        <v>155</v>
      </c>
      <c r="C3460" s="43" t="s">
        <v>4470</v>
      </c>
      <c r="D3460" s="43" t="s">
        <v>1524</v>
      </c>
      <c r="E3460" s="43" t="s">
        <v>1525</v>
      </c>
      <c r="F3460" s="43">
        <v>1</v>
      </c>
      <c r="G3460"/>
      <c r="H3460"/>
    </row>
    <row r="3461" spans="1:8" hidden="1" x14ac:dyDescent="0.25">
      <c r="A3461" s="43">
        <v>558</v>
      </c>
      <c r="B3461" s="43" t="s">
        <v>155</v>
      </c>
      <c r="C3461" s="43" t="s">
        <v>4470</v>
      </c>
      <c r="D3461" s="43" t="s">
        <v>1526</v>
      </c>
      <c r="E3461" s="43" t="s">
        <v>1527</v>
      </c>
      <c r="F3461" s="43">
        <v>1</v>
      </c>
      <c r="G3461"/>
      <c r="H3461"/>
    </row>
    <row r="3462" spans="1:8" hidden="1" x14ac:dyDescent="0.25">
      <c r="A3462" s="43">
        <v>558</v>
      </c>
      <c r="B3462" s="43" t="s">
        <v>155</v>
      </c>
      <c r="C3462" s="43" t="s">
        <v>4470</v>
      </c>
      <c r="D3462" s="43" t="s">
        <v>1528</v>
      </c>
      <c r="E3462" s="43" t="s">
        <v>4471</v>
      </c>
      <c r="F3462" s="43">
        <v>1</v>
      </c>
      <c r="G3462"/>
      <c r="H3462"/>
    </row>
    <row r="3463" spans="1:8" hidden="1" x14ac:dyDescent="0.25">
      <c r="A3463" s="43">
        <v>558</v>
      </c>
      <c r="B3463" s="43" t="s">
        <v>155</v>
      </c>
      <c r="C3463" s="43" t="s">
        <v>4470</v>
      </c>
      <c r="D3463" s="43" t="s">
        <v>1530</v>
      </c>
      <c r="E3463" s="43" t="s">
        <v>1430</v>
      </c>
      <c r="F3463" s="43">
        <v>1</v>
      </c>
      <c r="G3463"/>
      <c r="H3463"/>
    </row>
    <row r="3464" spans="1:8" hidden="1" x14ac:dyDescent="0.25">
      <c r="A3464" s="43">
        <v>558</v>
      </c>
      <c r="B3464" s="43" t="s">
        <v>155</v>
      </c>
      <c r="C3464" s="43" t="s">
        <v>4470</v>
      </c>
      <c r="D3464" s="43" t="s">
        <v>1531</v>
      </c>
      <c r="E3464" s="43" t="s">
        <v>503</v>
      </c>
      <c r="F3464" s="43">
        <v>1</v>
      </c>
      <c r="G3464"/>
      <c r="H3464"/>
    </row>
    <row r="3465" spans="1:8" hidden="1" x14ac:dyDescent="0.25">
      <c r="A3465" s="43">
        <v>558</v>
      </c>
      <c r="B3465" s="43" t="s">
        <v>155</v>
      </c>
      <c r="C3465" s="43" t="s">
        <v>4470</v>
      </c>
      <c r="D3465" s="43" t="s">
        <v>1532</v>
      </c>
      <c r="E3465" s="43" t="s">
        <v>1533</v>
      </c>
      <c r="F3465" s="43">
        <v>1</v>
      </c>
      <c r="G3465"/>
      <c r="H3465"/>
    </row>
    <row r="3466" spans="1:8" hidden="1" x14ac:dyDescent="0.25">
      <c r="A3466" s="43">
        <v>558</v>
      </c>
      <c r="B3466" s="43" t="s">
        <v>155</v>
      </c>
      <c r="C3466" s="43" t="s">
        <v>4470</v>
      </c>
      <c r="D3466" s="43" t="s">
        <v>1534</v>
      </c>
      <c r="E3466" s="43" t="s">
        <v>1535</v>
      </c>
      <c r="F3466" s="43">
        <v>1</v>
      </c>
      <c r="G3466"/>
      <c r="H3466"/>
    </row>
    <row r="3467" spans="1:8" hidden="1" x14ac:dyDescent="0.25">
      <c r="A3467" s="43">
        <v>558</v>
      </c>
      <c r="B3467" s="43" t="s">
        <v>155</v>
      </c>
      <c r="C3467" s="43" t="s">
        <v>1874</v>
      </c>
      <c r="D3467" s="43" t="s">
        <v>1875</v>
      </c>
      <c r="E3467" s="43" t="s">
        <v>820</v>
      </c>
      <c r="F3467" s="43">
        <v>0</v>
      </c>
      <c r="G3467" s="43" t="s">
        <v>4583</v>
      </c>
      <c r="H3467"/>
    </row>
    <row r="3468" spans="1:8" hidden="1" x14ac:dyDescent="0.25">
      <c r="A3468" s="43">
        <v>558</v>
      </c>
      <c r="B3468" s="43" t="s">
        <v>155</v>
      </c>
      <c r="C3468" s="43" t="s">
        <v>1874</v>
      </c>
      <c r="D3468" s="43" t="s">
        <v>1876</v>
      </c>
      <c r="E3468" s="43" t="s">
        <v>1877</v>
      </c>
      <c r="F3468" s="43">
        <v>0</v>
      </c>
      <c r="G3468" s="43" t="s">
        <v>4583</v>
      </c>
      <c r="H3468"/>
    </row>
    <row r="3469" spans="1:8" hidden="1" x14ac:dyDescent="0.25">
      <c r="A3469" s="43">
        <v>558</v>
      </c>
      <c r="B3469" s="43" t="s">
        <v>155</v>
      </c>
      <c r="C3469" s="43" t="s">
        <v>1874</v>
      </c>
      <c r="D3469" s="43" t="s">
        <v>1878</v>
      </c>
      <c r="E3469" s="43" t="s">
        <v>1879</v>
      </c>
      <c r="F3469" s="43">
        <v>0</v>
      </c>
      <c r="G3469" s="43" t="s">
        <v>4583</v>
      </c>
      <c r="H3469"/>
    </row>
    <row r="3470" spans="1:8" hidden="1" x14ac:dyDescent="0.25">
      <c r="A3470" s="43">
        <v>558</v>
      </c>
      <c r="B3470" s="43" t="s">
        <v>155</v>
      </c>
      <c r="C3470" s="43" t="s">
        <v>1874</v>
      </c>
      <c r="D3470" s="43" t="s">
        <v>1880</v>
      </c>
      <c r="E3470" s="43" t="s">
        <v>1881</v>
      </c>
      <c r="F3470" s="43">
        <v>0</v>
      </c>
      <c r="G3470" s="43" t="s">
        <v>4583</v>
      </c>
      <c r="H3470"/>
    </row>
    <row r="3471" spans="1:8" hidden="1" x14ac:dyDescent="0.25">
      <c r="A3471" s="43">
        <v>558</v>
      </c>
      <c r="B3471" s="43" t="s">
        <v>155</v>
      </c>
      <c r="C3471" s="43" t="s">
        <v>1874</v>
      </c>
      <c r="D3471" s="43" t="s">
        <v>2175</v>
      </c>
      <c r="E3471" s="43" t="s">
        <v>1882</v>
      </c>
      <c r="F3471" s="43">
        <v>0</v>
      </c>
      <c r="G3471" s="43" t="s">
        <v>4583</v>
      </c>
      <c r="H3471"/>
    </row>
    <row r="3472" spans="1:8" hidden="1" x14ac:dyDescent="0.25">
      <c r="A3472" s="43">
        <v>558</v>
      </c>
      <c r="B3472" s="43" t="s">
        <v>155</v>
      </c>
      <c r="C3472" s="43" t="s">
        <v>1874</v>
      </c>
      <c r="D3472" s="43" t="s">
        <v>1883</v>
      </c>
      <c r="E3472" s="43" t="s">
        <v>1884</v>
      </c>
      <c r="F3472" s="43">
        <v>0</v>
      </c>
      <c r="G3472" s="43" t="s">
        <v>4583</v>
      </c>
      <c r="H3472"/>
    </row>
    <row r="3473" spans="1:8" hidden="1" x14ac:dyDescent="0.25">
      <c r="A3473" s="43">
        <v>558</v>
      </c>
      <c r="B3473" s="43" t="s">
        <v>155</v>
      </c>
      <c r="C3473" s="43" t="s">
        <v>1874</v>
      </c>
      <c r="D3473" s="43" t="s">
        <v>1885</v>
      </c>
      <c r="E3473" s="43" t="s">
        <v>1886</v>
      </c>
      <c r="F3473" s="43">
        <v>0</v>
      </c>
      <c r="G3473" s="43" t="s">
        <v>4583</v>
      </c>
      <c r="H3473"/>
    </row>
    <row r="3474" spans="1:8" hidden="1" x14ac:dyDescent="0.25">
      <c r="A3474" s="43">
        <v>558</v>
      </c>
      <c r="B3474" s="43" t="s">
        <v>155</v>
      </c>
      <c r="C3474" s="43" t="s">
        <v>1874</v>
      </c>
      <c r="D3474" s="43" t="s">
        <v>1887</v>
      </c>
      <c r="E3474" s="43" t="s">
        <v>1888</v>
      </c>
      <c r="F3474" s="43">
        <v>0</v>
      </c>
      <c r="G3474" s="43" t="s">
        <v>4583</v>
      </c>
      <c r="H3474"/>
    </row>
    <row r="3475" spans="1:8" hidden="1" x14ac:dyDescent="0.25">
      <c r="A3475" s="43">
        <v>558</v>
      </c>
      <c r="B3475" s="43" t="s">
        <v>155</v>
      </c>
      <c r="C3475" s="43" t="s">
        <v>1874</v>
      </c>
      <c r="D3475" s="43" t="s">
        <v>1889</v>
      </c>
      <c r="E3475" s="43" t="s">
        <v>1890</v>
      </c>
      <c r="F3475" s="43">
        <v>0</v>
      </c>
      <c r="G3475" s="43" t="s">
        <v>4583</v>
      </c>
      <c r="H3475"/>
    </row>
    <row r="3476" spans="1:8" hidden="1" x14ac:dyDescent="0.25">
      <c r="A3476" s="43">
        <v>558</v>
      </c>
      <c r="B3476" s="43" t="s">
        <v>155</v>
      </c>
      <c r="C3476" s="43" t="s">
        <v>1874</v>
      </c>
      <c r="D3476" s="43" t="s">
        <v>1891</v>
      </c>
      <c r="E3476" s="43" t="s">
        <v>1892</v>
      </c>
      <c r="F3476" s="43">
        <v>0</v>
      </c>
      <c r="G3476" s="43" t="s">
        <v>4583</v>
      </c>
      <c r="H3476"/>
    </row>
    <row r="3477" spans="1:8" hidden="1" x14ac:dyDescent="0.25">
      <c r="A3477" s="43">
        <v>558</v>
      </c>
      <c r="B3477" s="43" t="s">
        <v>155</v>
      </c>
      <c r="C3477" s="43" t="s">
        <v>1874</v>
      </c>
      <c r="D3477" s="43" t="s">
        <v>1893</v>
      </c>
      <c r="E3477" s="43" t="s">
        <v>1894</v>
      </c>
      <c r="F3477" s="43">
        <v>0</v>
      </c>
      <c r="G3477" s="43" t="s">
        <v>4583</v>
      </c>
      <c r="H3477"/>
    </row>
    <row r="3478" spans="1:8" hidden="1" x14ac:dyDescent="0.25">
      <c r="A3478" s="43">
        <v>558</v>
      </c>
      <c r="B3478" s="43" t="s">
        <v>155</v>
      </c>
      <c r="C3478" s="43" t="s">
        <v>1874</v>
      </c>
      <c r="D3478" s="43" t="s">
        <v>1895</v>
      </c>
      <c r="E3478" s="43" t="s">
        <v>368</v>
      </c>
      <c r="F3478" s="43">
        <v>1</v>
      </c>
      <c r="G3478"/>
      <c r="H3478"/>
    </row>
    <row r="3479" spans="1:8" hidden="1" x14ac:dyDescent="0.25">
      <c r="A3479" s="43">
        <v>558</v>
      </c>
      <c r="B3479" s="43" t="s">
        <v>155</v>
      </c>
      <c r="C3479" s="43" t="s">
        <v>1874</v>
      </c>
      <c r="D3479" s="43" t="s">
        <v>1896</v>
      </c>
      <c r="E3479" s="43" t="s">
        <v>370</v>
      </c>
      <c r="F3479" s="43">
        <v>1</v>
      </c>
      <c r="G3479"/>
      <c r="H3479"/>
    </row>
    <row r="3480" spans="1:8" hidden="1" x14ac:dyDescent="0.25">
      <c r="A3480" s="43">
        <v>558</v>
      </c>
      <c r="B3480" s="43" t="s">
        <v>155</v>
      </c>
      <c r="C3480" s="43" t="s">
        <v>1874</v>
      </c>
      <c r="D3480" s="43" t="s">
        <v>1897</v>
      </c>
      <c r="E3480" s="43" t="s">
        <v>1898</v>
      </c>
      <c r="F3480" s="43">
        <v>0</v>
      </c>
      <c r="G3480" s="43" t="s">
        <v>4583</v>
      </c>
      <c r="H3480"/>
    </row>
    <row r="3481" spans="1:8" hidden="1" x14ac:dyDescent="0.25">
      <c r="A3481" s="43">
        <v>558</v>
      </c>
      <c r="B3481" s="43" t="s">
        <v>155</v>
      </c>
      <c r="C3481" s="43" t="s">
        <v>1874</v>
      </c>
      <c r="D3481" s="43" t="s">
        <v>1899</v>
      </c>
      <c r="E3481" s="43" t="s">
        <v>361</v>
      </c>
      <c r="F3481" s="43">
        <v>0</v>
      </c>
      <c r="G3481" s="43" t="s">
        <v>4583</v>
      </c>
      <c r="H3481"/>
    </row>
    <row r="3482" spans="1:8" hidden="1" x14ac:dyDescent="0.25">
      <c r="A3482" s="43">
        <v>558</v>
      </c>
      <c r="B3482" s="43" t="s">
        <v>155</v>
      </c>
      <c r="C3482" s="43" t="s">
        <v>1874</v>
      </c>
      <c r="D3482" s="43" t="s">
        <v>1900</v>
      </c>
      <c r="E3482" s="43" t="s">
        <v>359</v>
      </c>
      <c r="F3482" s="43">
        <v>0</v>
      </c>
      <c r="G3482" s="43" t="s">
        <v>4583</v>
      </c>
      <c r="H3482"/>
    </row>
    <row r="3483" spans="1:8" hidden="1" x14ac:dyDescent="0.25">
      <c r="A3483" s="43">
        <v>558</v>
      </c>
      <c r="B3483" s="43" t="s">
        <v>155</v>
      </c>
      <c r="C3483" s="43" t="s">
        <v>1874</v>
      </c>
      <c r="D3483" s="43" t="s">
        <v>1901</v>
      </c>
      <c r="E3483" s="43" t="s">
        <v>1902</v>
      </c>
      <c r="F3483" s="43">
        <v>0</v>
      </c>
      <c r="G3483" s="43" t="s">
        <v>4583</v>
      </c>
      <c r="H3483"/>
    </row>
    <row r="3484" spans="1:8" hidden="1" x14ac:dyDescent="0.25">
      <c r="A3484" s="43">
        <v>558</v>
      </c>
      <c r="B3484" s="43" t="s">
        <v>155</v>
      </c>
      <c r="C3484" s="43" t="s">
        <v>1874</v>
      </c>
      <c r="D3484" s="43" t="s">
        <v>1903</v>
      </c>
      <c r="E3484" s="43" t="s">
        <v>1904</v>
      </c>
      <c r="F3484" s="43">
        <v>0</v>
      </c>
      <c r="G3484" s="43" t="s">
        <v>4583</v>
      </c>
      <c r="H3484"/>
    </row>
    <row r="3485" spans="1:8" hidden="1" x14ac:dyDescent="0.25">
      <c r="A3485" s="43">
        <v>558</v>
      </c>
      <c r="B3485" s="43" t="s">
        <v>155</v>
      </c>
      <c r="C3485" s="43" t="s">
        <v>1874</v>
      </c>
      <c r="D3485" s="43" t="s">
        <v>1905</v>
      </c>
      <c r="E3485" s="43" t="s">
        <v>1906</v>
      </c>
      <c r="F3485" s="43">
        <v>0</v>
      </c>
      <c r="G3485" s="43" t="s">
        <v>4583</v>
      </c>
      <c r="H3485"/>
    </row>
    <row r="3486" spans="1:8" hidden="1" x14ac:dyDescent="0.25">
      <c r="A3486" s="43">
        <v>558</v>
      </c>
      <c r="B3486" s="43" t="s">
        <v>155</v>
      </c>
      <c r="C3486" s="43" t="s">
        <v>1874</v>
      </c>
      <c r="D3486" s="43" t="s">
        <v>1907</v>
      </c>
      <c r="E3486" s="43" t="s">
        <v>1908</v>
      </c>
      <c r="F3486" s="43">
        <v>0</v>
      </c>
      <c r="G3486" s="43" t="s">
        <v>4583</v>
      </c>
      <c r="H3486"/>
    </row>
    <row r="3487" spans="1:8" hidden="1" x14ac:dyDescent="0.25">
      <c r="A3487" s="43">
        <v>558</v>
      </c>
      <c r="B3487" s="43" t="s">
        <v>155</v>
      </c>
      <c r="C3487" s="43" t="s">
        <v>1790</v>
      </c>
      <c r="D3487" s="43" t="s">
        <v>1791</v>
      </c>
      <c r="E3487" s="43" t="s">
        <v>273</v>
      </c>
      <c r="F3487" s="43">
        <v>1</v>
      </c>
      <c r="G3487"/>
      <c r="H3487"/>
    </row>
    <row r="3488" spans="1:8" hidden="1" x14ac:dyDescent="0.25">
      <c r="A3488" s="43">
        <v>558</v>
      </c>
      <c r="B3488" s="43" t="s">
        <v>155</v>
      </c>
      <c r="C3488" s="43" t="s">
        <v>1790</v>
      </c>
      <c r="D3488" s="43" t="s">
        <v>1792</v>
      </c>
      <c r="E3488" s="43" t="s">
        <v>312</v>
      </c>
      <c r="F3488" s="43">
        <v>0</v>
      </c>
      <c r="G3488" s="43" t="s">
        <v>4583</v>
      </c>
      <c r="H3488"/>
    </row>
    <row r="3489" spans="1:8" hidden="1" x14ac:dyDescent="0.25">
      <c r="A3489" s="43">
        <v>558</v>
      </c>
      <c r="B3489" s="43" t="s">
        <v>155</v>
      </c>
      <c r="C3489" s="43" t="s">
        <v>1790</v>
      </c>
      <c r="D3489" s="43" t="s">
        <v>1793</v>
      </c>
      <c r="E3489" s="43" t="s">
        <v>801</v>
      </c>
      <c r="F3489" s="43">
        <v>0</v>
      </c>
      <c r="G3489" s="43" t="s">
        <v>4583</v>
      </c>
      <c r="H3489"/>
    </row>
    <row r="3490" spans="1:8" hidden="1" x14ac:dyDescent="0.25">
      <c r="A3490" s="43">
        <v>558</v>
      </c>
      <c r="B3490" s="43" t="s">
        <v>155</v>
      </c>
      <c r="C3490" s="43" t="s">
        <v>1790</v>
      </c>
      <c r="D3490" s="43" t="s">
        <v>1794</v>
      </c>
      <c r="E3490" s="43" t="s">
        <v>786</v>
      </c>
      <c r="F3490" s="43">
        <v>0</v>
      </c>
      <c r="G3490" s="43" t="s">
        <v>4583</v>
      </c>
      <c r="H3490"/>
    </row>
    <row r="3491" spans="1:8" hidden="1" x14ac:dyDescent="0.25">
      <c r="A3491" s="43">
        <v>558</v>
      </c>
      <c r="B3491" s="43" t="s">
        <v>155</v>
      </c>
      <c r="C3491" s="43" t="s">
        <v>1790</v>
      </c>
      <c r="D3491" s="43" t="s">
        <v>1795</v>
      </c>
      <c r="E3491" s="43" t="s">
        <v>784</v>
      </c>
      <c r="F3491" s="43">
        <v>0</v>
      </c>
      <c r="G3491" s="43" t="s">
        <v>4583</v>
      </c>
      <c r="H3491"/>
    </row>
    <row r="3492" spans="1:8" hidden="1" x14ac:dyDescent="0.25">
      <c r="A3492" s="43">
        <v>558</v>
      </c>
      <c r="B3492" s="43" t="s">
        <v>155</v>
      </c>
      <c r="C3492" s="43" t="s">
        <v>1790</v>
      </c>
      <c r="D3492" s="43" t="s">
        <v>1796</v>
      </c>
      <c r="E3492" s="43" t="s">
        <v>1205</v>
      </c>
      <c r="F3492" s="43">
        <v>0</v>
      </c>
      <c r="G3492" s="43" t="s">
        <v>4583</v>
      </c>
      <c r="H3492"/>
    </row>
    <row r="3493" spans="1:8" hidden="1" x14ac:dyDescent="0.25">
      <c r="A3493" s="43">
        <v>558</v>
      </c>
      <c r="B3493" s="43" t="s">
        <v>155</v>
      </c>
      <c r="C3493" s="43" t="s">
        <v>1790</v>
      </c>
      <c r="D3493" s="43" t="s">
        <v>1797</v>
      </c>
      <c r="E3493" s="43" t="s">
        <v>1207</v>
      </c>
      <c r="F3493" s="43">
        <v>0</v>
      </c>
      <c r="G3493" s="43" t="s">
        <v>4583</v>
      </c>
      <c r="H3493"/>
    </row>
    <row r="3494" spans="1:8" hidden="1" x14ac:dyDescent="0.25">
      <c r="A3494" s="43">
        <v>558</v>
      </c>
      <c r="B3494" s="43" t="s">
        <v>155</v>
      </c>
      <c r="C3494" s="43" t="s">
        <v>1790</v>
      </c>
      <c r="D3494" s="43" t="s">
        <v>1798</v>
      </c>
      <c r="E3494" s="43" t="s">
        <v>1209</v>
      </c>
      <c r="F3494" s="43">
        <v>0</v>
      </c>
      <c r="G3494" s="43" t="s">
        <v>4583</v>
      </c>
      <c r="H3494"/>
    </row>
    <row r="3495" spans="1:8" hidden="1" x14ac:dyDescent="0.25">
      <c r="A3495" s="43">
        <v>558</v>
      </c>
      <c r="B3495" s="43" t="s">
        <v>155</v>
      </c>
      <c r="C3495" s="43" t="s">
        <v>1790</v>
      </c>
      <c r="D3495" s="43" t="s">
        <v>1799</v>
      </c>
      <c r="E3495" s="43" t="s">
        <v>789</v>
      </c>
      <c r="F3495" s="43">
        <v>0</v>
      </c>
      <c r="G3495" s="43" t="s">
        <v>4583</v>
      </c>
      <c r="H3495"/>
    </row>
    <row r="3496" spans="1:8" hidden="1" x14ac:dyDescent="0.25">
      <c r="A3496" s="43">
        <v>558</v>
      </c>
      <c r="B3496" s="43" t="s">
        <v>155</v>
      </c>
      <c r="C3496" s="43" t="s">
        <v>1790</v>
      </c>
      <c r="D3496" s="43" t="s">
        <v>1800</v>
      </c>
      <c r="E3496" s="43" t="s">
        <v>1214</v>
      </c>
      <c r="F3496" s="43">
        <v>1</v>
      </c>
      <c r="G3496"/>
      <c r="H3496"/>
    </row>
    <row r="3497" spans="1:8" hidden="1" x14ac:dyDescent="0.25">
      <c r="A3497" s="43">
        <v>558</v>
      </c>
      <c r="B3497" s="43" t="s">
        <v>155</v>
      </c>
      <c r="C3497" s="43" t="s">
        <v>1790</v>
      </c>
      <c r="D3497" s="43" t="s">
        <v>1801</v>
      </c>
      <c r="E3497" s="43" t="s">
        <v>1784</v>
      </c>
      <c r="F3497" s="43">
        <v>0</v>
      </c>
      <c r="G3497" s="43" t="s">
        <v>4583</v>
      </c>
      <c r="H3497"/>
    </row>
    <row r="3498" spans="1:8" hidden="1" x14ac:dyDescent="0.25">
      <c r="A3498" s="43">
        <v>558</v>
      </c>
      <c r="B3498" s="43" t="s">
        <v>155</v>
      </c>
      <c r="C3498" s="43" t="s">
        <v>1790</v>
      </c>
      <c r="D3498" s="43" t="s">
        <v>1802</v>
      </c>
      <c r="E3498" s="43" t="s">
        <v>791</v>
      </c>
      <c r="F3498" s="43">
        <v>1</v>
      </c>
      <c r="G3498"/>
      <c r="H3498"/>
    </row>
    <row r="3499" spans="1:8" hidden="1" x14ac:dyDescent="0.25">
      <c r="A3499" s="43">
        <v>558</v>
      </c>
      <c r="B3499" s="43" t="s">
        <v>155</v>
      </c>
      <c r="C3499" s="43" t="s">
        <v>1790</v>
      </c>
      <c r="D3499" s="43" t="s">
        <v>1803</v>
      </c>
      <c r="E3499" s="43" t="s">
        <v>795</v>
      </c>
      <c r="F3499" s="43">
        <v>1</v>
      </c>
      <c r="G3499"/>
      <c r="H3499"/>
    </row>
    <row r="3500" spans="1:8" hidden="1" x14ac:dyDescent="0.25">
      <c r="A3500" s="43">
        <v>558</v>
      </c>
      <c r="B3500" s="43" t="s">
        <v>155</v>
      </c>
      <c r="C3500" s="43" t="s">
        <v>1790</v>
      </c>
      <c r="D3500" s="43" t="s">
        <v>1804</v>
      </c>
      <c r="E3500" s="43" t="s">
        <v>372</v>
      </c>
      <c r="F3500" s="43">
        <v>0</v>
      </c>
      <c r="G3500" s="43" t="s">
        <v>4583</v>
      </c>
      <c r="H3500"/>
    </row>
    <row r="3501" spans="1:8" hidden="1" x14ac:dyDescent="0.25">
      <c r="A3501" s="43">
        <v>558</v>
      </c>
      <c r="B3501" s="43" t="s">
        <v>155</v>
      </c>
      <c r="C3501" s="43" t="s">
        <v>1790</v>
      </c>
      <c r="D3501" s="43" t="s">
        <v>1805</v>
      </c>
      <c r="E3501" s="43" t="s">
        <v>1806</v>
      </c>
      <c r="F3501" s="43">
        <v>0</v>
      </c>
      <c r="G3501" s="43" t="s">
        <v>4583</v>
      </c>
      <c r="H3501"/>
    </row>
    <row r="3502" spans="1:8" hidden="1" x14ac:dyDescent="0.25">
      <c r="A3502" s="43">
        <v>558</v>
      </c>
      <c r="B3502" s="43" t="s">
        <v>155</v>
      </c>
      <c r="C3502" s="43" t="s">
        <v>1790</v>
      </c>
      <c r="D3502" s="43" t="s">
        <v>1807</v>
      </c>
      <c r="E3502" s="43" t="s">
        <v>1808</v>
      </c>
      <c r="F3502" s="43">
        <v>0</v>
      </c>
      <c r="G3502" s="43" t="s">
        <v>4583</v>
      </c>
      <c r="H3502"/>
    </row>
    <row r="3503" spans="1:8" hidden="1" x14ac:dyDescent="0.25">
      <c r="A3503" s="43">
        <v>558</v>
      </c>
      <c r="B3503" s="43" t="s">
        <v>155</v>
      </c>
      <c r="C3503" s="43" t="s">
        <v>994</v>
      </c>
      <c r="D3503" s="43" t="s">
        <v>995</v>
      </c>
      <c r="E3503" s="43" t="s">
        <v>996</v>
      </c>
      <c r="F3503" s="43">
        <v>1</v>
      </c>
      <c r="G3503"/>
      <c r="H3503"/>
    </row>
    <row r="3504" spans="1:8" hidden="1" x14ac:dyDescent="0.25">
      <c r="A3504" s="43">
        <v>558</v>
      </c>
      <c r="B3504" s="43" t="s">
        <v>155</v>
      </c>
      <c r="C3504" s="43" t="s">
        <v>994</v>
      </c>
      <c r="D3504" s="43" t="s">
        <v>997</v>
      </c>
      <c r="E3504" s="43" t="s">
        <v>998</v>
      </c>
      <c r="F3504" s="43">
        <v>1</v>
      </c>
      <c r="G3504"/>
      <c r="H3504"/>
    </row>
    <row r="3505" spans="1:8" hidden="1" x14ac:dyDescent="0.25">
      <c r="A3505" s="43">
        <v>558</v>
      </c>
      <c r="B3505" s="43" t="s">
        <v>155</v>
      </c>
      <c r="C3505" s="43" t="s">
        <v>994</v>
      </c>
      <c r="D3505" s="43" t="s">
        <v>999</v>
      </c>
      <c r="E3505" s="43" t="s">
        <v>1000</v>
      </c>
      <c r="F3505" s="43">
        <v>1</v>
      </c>
      <c r="G3505"/>
      <c r="H3505"/>
    </row>
    <row r="3506" spans="1:8" hidden="1" x14ac:dyDescent="0.25">
      <c r="A3506" s="43">
        <v>558</v>
      </c>
      <c r="B3506" s="43" t="s">
        <v>155</v>
      </c>
      <c r="C3506" s="43" t="s">
        <v>994</v>
      </c>
      <c r="D3506" s="43" t="s">
        <v>1001</v>
      </c>
      <c r="E3506" s="43" t="s">
        <v>1002</v>
      </c>
      <c r="F3506" s="43">
        <v>1</v>
      </c>
      <c r="G3506"/>
      <c r="H3506"/>
    </row>
    <row r="3507" spans="1:8" hidden="1" x14ac:dyDescent="0.25">
      <c r="A3507" s="43">
        <v>558</v>
      </c>
      <c r="B3507" s="43" t="s">
        <v>155</v>
      </c>
      <c r="C3507" s="43" t="s">
        <v>994</v>
      </c>
      <c r="D3507" s="43" t="s">
        <v>1003</v>
      </c>
      <c r="E3507" s="43" t="s">
        <v>1004</v>
      </c>
      <c r="F3507" s="43">
        <v>1</v>
      </c>
      <c r="G3507"/>
      <c r="H3507"/>
    </row>
    <row r="3508" spans="1:8" hidden="1" x14ac:dyDescent="0.25">
      <c r="A3508" s="43">
        <v>558</v>
      </c>
      <c r="B3508" s="43" t="s">
        <v>155</v>
      </c>
      <c r="C3508" s="43" t="s">
        <v>994</v>
      </c>
      <c r="D3508" s="43" t="s">
        <v>1005</v>
      </c>
      <c r="E3508" s="43" t="s">
        <v>1006</v>
      </c>
      <c r="F3508" s="43">
        <v>1</v>
      </c>
      <c r="G3508"/>
      <c r="H3508"/>
    </row>
    <row r="3509" spans="1:8" hidden="1" x14ac:dyDescent="0.25">
      <c r="A3509" s="43">
        <v>558</v>
      </c>
      <c r="B3509" s="43" t="s">
        <v>155</v>
      </c>
      <c r="C3509" s="43" t="s">
        <v>994</v>
      </c>
      <c r="D3509" s="43" t="s">
        <v>1007</v>
      </c>
      <c r="E3509" s="43" t="s">
        <v>1008</v>
      </c>
      <c r="F3509" s="43">
        <v>1</v>
      </c>
      <c r="G3509"/>
      <c r="H3509"/>
    </row>
    <row r="3510" spans="1:8" hidden="1" x14ac:dyDescent="0.25">
      <c r="A3510" s="43">
        <v>558</v>
      </c>
      <c r="B3510" s="43" t="s">
        <v>155</v>
      </c>
      <c r="C3510" s="43" t="s">
        <v>994</v>
      </c>
      <c r="D3510" s="43" t="s">
        <v>1009</v>
      </c>
      <c r="E3510" s="43" t="s">
        <v>1010</v>
      </c>
      <c r="F3510" s="43">
        <v>1</v>
      </c>
      <c r="G3510"/>
      <c r="H3510"/>
    </row>
    <row r="3511" spans="1:8" hidden="1" x14ac:dyDescent="0.25">
      <c r="A3511" s="43">
        <v>558</v>
      </c>
      <c r="B3511" s="43" t="s">
        <v>155</v>
      </c>
      <c r="C3511" s="43" t="s">
        <v>994</v>
      </c>
      <c r="D3511" s="43" t="s">
        <v>1011</v>
      </c>
      <c r="E3511" s="43" t="s">
        <v>1012</v>
      </c>
      <c r="F3511" s="43">
        <v>1</v>
      </c>
      <c r="G3511"/>
      <c r="H3511"/>
    </row>
    <row r="3512" spans="1:8" hidden="1" x14ac:dyDescent="0.25">
      <c r="A3512" s="43">
        <v>558</v>
      </c>
      <c r="B3512" s="43" t="s">
        <v>155</v>
      </c>
      <c r="C3512" s="43" t="s">
        <v>994</v>
      </c>
      <c r="D3512" s="43" t="s">
        <v>1013</v>
      </c>
      <c r="E3512" s="43" t="s">
        <v>1014</v>
      </c>
      <c r="F3512" s="43">
        <v>1</v>
      </c>
      <c r="G3512"/>
      <c r="H3512"/>
    </row>
    <row r="3513" spans="1:8" hidden="1" x14ac:dyDescent="0.25">
      <c r="A3513" s="43">
        <v>558</v>
      </c>
      <c r="B3513" s="43" t="s">
        <v>155</v>
      </c>
      <c r="C3513" s="43" t="s">
        <v>4478</v>
      </c>
      <c r="D3513" s="43" t="s">
        <v>1537</v>
      </c>
      <c r="E3513" s="43" t="s">
        <v>1494</v>
      </c>
      <c r="F3513" s="43">
        <v>1</v>
      </c>
      <c r="G3513"/>
      <c r="H3513"/>
    </row>
    <row r="3514" spans="1:8" hidden="1" x14ac:dyDescent="0.25">
      <c r="A3514" s="43">
        <v>558</v>
      </c>
      <c r="B3514" s="43" t="s">
        <v>155</v>
      </c>
      <c r="C3514" s="43" t="s">
        <v>4478</v>
      </c>
      <c r="D3514" s="43" t="s">
        <v>1538</v>
      </c>
      <c r="E3514" s="43" t="s">
        <v>306</v>
      </c>
      <c r="F3514" s="43">
        <v>1</v>
      </c>
      <c r="G3514"/>
      <c r="H3514"/>
    </row>
    <row r="3515" spans="1:8" hidden="1" x14ac:dyDescent="0.25">
      <c r="A3515" s="43">
        <v>558</v>
      </c>
      <c r="B3515" s="43" t="s">
        <v>155</v>
      </c>
      <c r="C3515" s="43" t="s">
        <v>4478</v>
      </c>
      <c r="D3515" s="43" t="s">
        <v>1539</v>
      </c>
      <c r="E3515" s="43" t="s">
        <v>1499</v>
      </c>
      <c r="F3515" s="43">
        <v>1</v>
      </c>
      <c r="G3515"/>
      <c r="H3515"/>
    </row>
    <row r="3516" spans="1:8" hidden="1" x14ac:dyDescent="0.25">
      <c r="A3516" s="43">
        <v>558</v>
      </c>
      <c r="B3516" s="43" t="s">
        <v>155</v>
      </c>
      <c r="C3516" s="43" t="s">
        <v>4478</v>
      </c>
      <c r="D3516" s="43" t="s">
        <v>1540</v>
      </c>
      <c r="E3516" s="43" t="s">
        <v>1541</v>
      </c>
      <c r="F3516" s="43">
        <v>1</v>
      </c>
      <c r="G3516"/>
      <c r="H3516"/>
    </row>
    <row r="3517" spans="1:8" hidden="1" x14ac:dyDescent="0.25">
      <c r="A3517" s="43">
        <v>558</v>
      </c>
      <c r="B3517" s="43" t="s">
        <v>155</v>
      </c>
      <c r="C3517" s="43" t="s">
        <v>4478</v>
      </c>
      <c r="D3517" s="43" t="s">
        <v>1542</v>
      </c>
      <c r="E3517" s="43" t="s">
        <v>1543</v>
      </c>
      <c r="F3517" s="43">
        <v>1</v>
      </c>
      <c r="G3517"/>
      <c r="H3517"/>
    </row>
    <row r="3518" spans="1:8" hidden="1" x14ac:dyDescent="0.25">
      <c r="A3518" s="43">
        <v>558</v>
      </c>
      <c r="B3518" s="43" t="s">
        <v>155</v>
      </c>
      <c r="C3518" s="43" t="s">
        <v>4478</v>
      </c>
      <c r="D3518" s="43" t="s">
        <v>1544</v>
      </c>
      <c r="E3518" s="43" t="s">
        <v>671</v>
      </c>
      <c r="F3518" s="43">
        <v>1</v>
      </c>
      <c r="G3518"/>
      <c r="H3518"/>
    </row>
    <row r="3519" spans="1:8" hidden="1" x14ac:dyDescent="0.25">
      <c r="A3519" s="43">
        <v>558</v>
      </c>
      <c r="B3519" s="43" t="s">
        <v>155</v>
      </c>
      <c r="C3519" s="43" t="s">
        <v>4478</v>
      </c>
      <c r="D3519" s="43" t="s">
        <v>1545</v>
      </c>
      <c r="E3519" s="43" t="s">
        <v>1546</v>
      </c>
      <c r="F3519" s="43">
        <v>1</v>
      </c>
      <c r="G3519"/>
      <c r="H3519"/>
    </row>
    <row r="3520" spans="1:8" hidden="1" x14ac:dyDescent="0.25">
      <c r="A3520" s="43">
        <v>558</v>
      </c>
      <c r="B3520" s="43" t="s">
        <v>155</v>
      </c>
      <c r="C3520" s="43" t="s">
        <v>4478</v>
      </c>
      <c r="D3520" s="43" t="s">
        <v>1547</v>
      </c>
      <c r="E3520" s="43" t="s">
        <v>1548</v>
      </c>
      <c r="F3520" s="43">
        <v>1</v>
      </c>
      <c r="G3520"/>
      <c r="H3520"/>
    </row>
    <row r="3521" spans="1:8" hidden="1" x14ac:dyDescent="0.25">
      <c r="A3521" s="43">
        <v>558</v>
      </c>
      <c r="B3521" s="43" t="s">
        <v>155</v>
      </c>
      <c r="C3521" s="43" t="s">
        <v>4478</v>
      </c>
      <c r="D3521" s="43" t="s">
        <v>1549</v>
      </c>
      <c r="E3521" s="43" t="s">
        <v>1550</v>
      </c>
      <c r="F3521" s="43">
        <v>1</v>
      </c>
      <c r="G3521"/>
      <c r="H3521"/>
    </row>
    <row r="3522" spans="1:8" hidden="1" x14ac:dyDescent="0.25">
      <c r="A3522" s="43">
        <v>558</v>
      </c>
      <c r="B3522" s="43" t="s">
        <v>155</v>
      </c>
      <c r="C3522" s="43" t="s">
        <v>4478</v>
      </c>
      <c r="D3522" s="43" t="s">
        <v>1551</v>
      </c>
      <c r="E3522" s="43" t="s">
        <v>1552</v>
      </c>
      <c r="F3522" s="43">
        <v>1</v>
      </c>
      <c r="G3522"/>
      <c r="H3522"/>
    </row>
    <row r="3523" spans="1:8" hidden="1" x14ac:dyDescent="0.25">
      <c r="A3523" s="43">
        <v>558</v>
      </c>
      <c r="B3523" s="43" t="s">
        <v>155</v>
      </c>
      <c r="C3523" s="43" t="s">
        <v>4478</v>
      </c>
      <c r="D3523" s="43" t="s">
        <v>1553</v>
      </c>
      <c r="E3523" s="43" t="s">
        <v>1554</v>
      </c>
      <c r="F3523" s="43">
        <v>0</v>
      </c>
      <c r="G3523" s="43" t="s">
        <v>4583</v>
      </c>
      <c r="H3523"/>
    </row>
    <row r="3524" spans="1:8" hidden="1" x14ac:dyDescent="0.25">
      <c r="A3524" s="43">
        <v>558</v>
      </c>
      <c r="B3524" s="43" t="s">
        <v>155</v>
      </c>
      <c r="C3524" s="43" t="s">
        <v>4478</v>
      </c>
      <c r="D3524" s="43" t="s">
        <v>1555</v>
      </c>
      <c r="E3524" s="43" t="s">
        <v>1556</v>
      </c>
      <c r="F3524" s="43">
        <v>1</v>
      </c>
      <c r="G3524"/>
      <c r="H3524"/>
    </row>
    <row r="3525" spans="1:8" hidden="1" x14ac:dyDescent="0.25">
      <c r="A3525" s="43">
        <v>559</v>
      </c>
      <c r="B3525" s="43" t="s">
        <v>156</v>
      </c>
      <c r="C3525" s="43" t="s">
        <v>1655</v>
      </c>
      <c r="D3525" s="43" t="s">
        <v>1656</v>
      </c>
      <c r="E3525" s="43" t="s">
        <v>304</v>
      </c>
      <c r="F3525" s="43">
        <v>1</v>
      </c>
      <c r="G3525"/>
      <c r="H3525"/>
    </row>
    <row r="3526" spans="1:8" hidden="1" x14ac:dyDescent="0.25">
      <c r="A3526" s="43">
        <v>559</v>
      </c>
      <c r="B3526" s="43" t="s">
        <v>156</v>
      </c>
      <c r="C3526" s="43" t="s">
        <v>1655</v>
      </c>
      <c r="D3526" s="43" t="s">
        <v>1657</v>
      </c>
      <c r="E3526" s="43" t="s">
        <v>306</v>
      </c>
      <c r="F3526" s="43">
        <v>0</v>
      </c>
      <c r="G3526" s="43" t="s">
        <v>4583</v>
      </c>
      <c r="H3526"/>
    </row>
    <row r="3527" spans="1:8" hidden="1" x14ac:dyDescent="0.25">
      <c r="A3527" s="43">
        <v>559</v>
      </c>
      <c r="B3527" s="43" t="s">
        <v>156</v>
      </c>
      <c r="C3527" s="43" t="s">
        <v>1655</v>
      </c>
      <c r="D3527" s="43" t="s">
        <v>1658</v>
      </c>
      <c r="E3527" s="43" t="s">
        <v>1659</v>
      </c>
      <c r="F3527" s="43">
        <v>0</v>
      </c>
      <c r="G3527" s="43" t="s">
        <v>4583</v>
      </c>
      <c r="H3527"/>
    </row>
    <row r="3528" spans="1:8" hidden="1" x14ac:dyDescent="0.25">
      <c r="A3528" s="43">
        <v>559</v>
      </c>
      <c r="B3528" s="43" t="s">
        <v>156</v>
      </c>
      <c r="C3528" s="43" t="s">
        <v>1655</v>
      </c>
      <c r="D3528" s="43" t="s">
        <v>1660</v>
      </c>
      <c r="E3528" s="43" t="s">
        <v>1661</v>
      </c>
      <c r="F3528" s="43">
        <v>1</v>
      </c>
      <c r="G3528"/>
      <c r="H3528"/>
    </row>
    <row r="3529" spans="1:8" hidden="1" x14ac:dyDescent="0.25">
      <c r="A3529" s="43">
        <v>559</v>
      </c>
      <c r="B3529" s="43" t="s">
        <v>156</v>
      </c>
      <c r="C3529" s="43" t="s">
        <v>1655</v>
      </c>
      <c r="D3529" s="43" t="s">
        <v>1662</v>
      </c>
      <c r="E3529" s="43" t="s">
        <v>312</v>
      </c>
      <c r="F3529" s="43">
        <v>1</v>
      </c>
      <c r="G3529"/>
      <c r="H3529"/>
    </row>
    <row r="3530" spans="1:8" hidden="1" x14ac:dyDescent="0.25">
      <c r="A3530" s="43">
        <v>559</v>
      </c>
      <c r="B3530" s="43" t="s">
        <v>156</v>
      </c>
      <c r="C3530" s="43" t="s">
        <v>1655</v>
      </c>
      <c r="D3530" s="43" t="s">
        <v>1663</v>
      </c>
      <c r="E3530" s="43" t="s">
        <v>314</v>
      </c>
      <c r="F3530" s="43">
        <v>0</v>
      </c>
      <c r="G3530" s="43" t="s">
        <v>4583</v>
      </c>
      <c r="H3530"/>
    </row>
    <row r="3531" spans="1:8" hidden="1" x14ac:dyDescent="0.25">
      <c r="A3531" s="43">
        <v>559</v>
      </c>
      <c r="B3531" s="43" t="s">
        <v>156</v>
      </c>
      <c r="C3531" s="43" t="s">
        <v>1655</v>
      </c>
      <c r="D3531" s="43" t="s">
        <v>1664</v>
      </c>
      <c r="E3531" s="43" t="s">
        <v>1665</v>
      </c>
      <c r="F3531" s="43">
        <v>0</v>
      </c>
      <c r="G3531" s="43" t="s">
        <v>4583</v>
      </c>
      <c r="H3531"/>
    </row>
    <row r="3532" spans="1:8" hidden="1" x14ac:dyDescent="0.25">
      <c r="A3532" s="43">
        <v>559</v>
      </c>
      <c r="B3532" s="43" t="s">
        <v>156</v>
      </c>
      <c r="C3532" s="43" t="s">
        <v>1655</v>
      </c>
      <c r="D3532" s="43" t="s">
        <v>1666</v>
      </c>
      <c r="E3532" s="43" t="s">
        <v>1667</v>
      </c>
      <c r="F3532" s="43">
        <v>1</v>
      </c>
      <c r="G3532"/>
      <c r="H3532"/>
    </row>
    <row r="3533" spans="1:8" hidden="1" x14ac:dyDescent="0.25">
      <c r="A3533" s="43">
        <v>563</v>
      </c>
      <c r="B3533" s="43" t="s">
        <v>157</v>
      </c>
      <c r="C3533" s="43" t="s">
        <v>994</v>
      </c>
      <c r="D3533" s="43" t="s">
        <v>995</v>
      </c>
      <c r="E3533" s="43" t="s">
        <v>996</v>
      </c>
      <c r="F3533" s="43">
        <v>1</v>
      </c>
      <c r="G3533"/>
      <c r="H3533"/>
    </row>
    <row r="3534" spans="1:8" hidden="1" x14ac:dyDescent="0.25">
      <c r="A3534" s="43">
        <v>563</v>
      </c>
      <c r="B3534" s="43" t="s">
        <v>157</v>
      </c>
      <c r="C3534" s="43" t="s">
        <v>994</v>
      </c>
      <c r="D3534" s="43" t="s">
        <v>997</v>
      </c>
      <c r="E3534" s="43" t="s">
        <v>998</v>
      </c>
      <c r="F3534" s="43">
        <v>1</v>
      </c>
      <c r="G3534"/>
      <c r="H3534"/>
    </row>
    <row r="3535" spans="1:8" hidden="1" x14ac:dyDescent="0.25">
      <c r="A3535" s="43">
        <v>563</v>
      </c>
      <c r="B3535" s="43" t="s">
        <v>157</v>
      </c>
      <c r="C3535" s="43" t="s">
        <v>994</v>
      </c>
      <c r="D3535" s="43" t="s">
        <v>999</v>
      </c>
      <c r="E3535" s="43" t="s">
        <v>1000</v>
      </c>
      <c r="F3535" s="43">
        <v>1</v>
      </c>
      <c r="G3535"/>
      <c r="H3535"/>
    </row>
    <row r="3536" spans="1:8" hidden="1" x14ac:dyDescent="0.25">
      <c r="A3536" s="43">
        <v>563</v>
      </c>
      <c r="B3536" s="43" t="s">
        <v>157</v>
      </c>
      <c r="C3536" s="43" t="s">
        <v>994</v>
      </c>
      <c r="D3536" s="43" t="s">
        <v>1001</v>
      </c>
      <c r="E3536" s="43" t="s">
        <v>1002</v>
      </c>
      <c r="F3536" s="43">
        <v>1</v>
      </c>
      <c r="G3536"/>
      <c r="H3536"/>
    </row>
    <row r="3537" spans="1:8" hidden="1" x14ac:dyDescent="0.25">
      <c r="A3537" s="43">
        <v>563</v>
      </c>
      <c r="B3537" s="43" t="s">
        <v>157</v>
      </c>
      <c r="C3537" s="43" t="s">
        <v>994</v>
      </c>
      <c r="D3537" s="43" t="s">
        <v>1003</v>
      </c>
      <c r="E3537" s="43" t="s">
        <v>1004</v>
      </c>
      <c r="F3537" s="43">
        <v>1</v>
      </c>
      <c r="G3537"/>
      <c r="H3537"/>
    </row>
    <row r="3538" spans="1:8" hidden="1" x14ac:dyDescent="0.25">
      <c r="A3538" s="43">
        <v>563</v>
      </c>
      <c r="B3538" s="43" t="s">
        <v>157</v>
      </c>
      <c r="C3538" s="43" t="s">
        <v>994</v>
      </c>
      <c r="D3538" s="43" t="s">
        <v>1005</v>
      </c>
      <c r="E3538" s="43" t="s">
        <v>1006</v>
      </c>
      <c r="F3538" s="43">
        <v>1</v>
      </c>
      <c r="G3538"/>
      <c r="H3538"/>
    </row>
    <row r="3539" spans="1:8" hidden="1" x14ac:dyDescent="0.25">
      <c r="A3539" s="43">
        <v>563</v>
      </c>
      <c r="B3539" s="43" t="s">
        <v>157</v>
      </c>
      <c r="C3539" s="43" t="s">
        <v>994</v>
      </c>
      <c r="D3539" s="43" t="s">
        <v>1007</v>
      </c>
      <c r="E3539" s="43" t="s">
        <v>1008</v>
      </c>
      <c r="F3539" s="43">
        <v>1</v>
      </c>
      <c r="G3539"/>
      <c r="H3539"/>
    </row>
    <row r="3540" spans="1:8" hidden="1" x14ac:dyDescent="0.25">
      <c r="A3540" s="43">
        <v>563</v>
      </c>
      <c r="B3540" s="43" t="s">
        <v>157</v>
      </c>
      <c r="C3540" s="43" t="s">
        <v>994</v>
      </c>
      <c r="D3540" s="43" t="s">
        <v>1009</v>
      </c>
      <c r="E3540" s="43" t="s">
        <v>1010</v>
      </c>
      <c r="F3540" s="43">
        <v>1</v>
      </c>
      <c r="G3540"/>
      <c r="H3540"/>
    </row>
    <row r="3541" spans="1:8" hidden="1" x14ac:dyDescent="0.25">
      <c r="A3541" s="43">
        <v>563</v>
      </c>
      <c r="B3541" s="43" t="s">
        <v>157</v>
      </c>
      <c r="C3541" s="43" t="s">
        <v>994</v>
      </c>
      <c r="D3541" s="43" t="s">
        <v>1011</v>
      </c>
      <c r="E3541" s="43" t="s">
        <v>1012</v>
      </c>
      <c r="F3541" s="43">
        <v>1</v>
      </c>
      <c r="G3541"/>
      <c r="H3541"/>
    </row>
    <row r="3542" spans="1:8" hidden="1" x14ac:dyDescent="0.25">
      <c r="A3542" s="43">
        <v>563</v>
      </c>
      <c r="B3542" s="43" t="s">
        <v>157</v>
      </c>
      <c r="C3542" s="43" t="s">
        <v>994</v>
      </c>
      <c r="D3542" s="43" t="s">
        <v>1013</v>
      </c>
      <c r="E3542" s="43" t="s">
        <v>1014</v>
      </c>
      <c r="F3542" s="43">
        <v>1</v>
      </c>
      <c r="G3542"/>
      <c r="H3542"/>
    </row>
    <row r="3543" spans="1:8" hidden="1" x14ac:dyDescent="0.25">
      <c r="A3543" s="43">
        <v>565</v>
      </c>
      <c r="B3543" s="43" t="s">
        <v>158</v>
      </c>
      <c r="C3543" s="43" t="s">
        <v>1390</v>
      </c>
      <c r="D3543" s="43" t="s">
        <v>1391</v>
      </c>
      <c r="E3543" s="43" t="s">
        <v>583</v>
      </c>
      <c r="F3543" s="43">
        <v>1</v>
      </c>
      <c r="G3543"/>
      <c r="H3543"/>
    </row>
    <row r="3544" spans="1:8" hidden="1" x14ac:dyDescent="0.25">
      <c r="A3544" s="43">
        <v>565</v>
      </c>
      <c r="B3544" s="43" t="s">
        <v>158</v>
      </c>
      <c r="C3544" s="43" t="s">
        <v>1390</v>
      </c>
      <c r="D3544" s="43" t="s">
        <v>1392</v>
      </c>
      <c r="E3544" s="43" t="s">
        <v>306</v>
      </c>
      <c r="F3544" s="43">
        <v>1</v>
      </c>
      <c r="G3544"/>
      <c r="H3544"/>
    </row>
    <row r="3545" spans="1:8" hidden="1" x14ac:dyDescent="0.25">
      <c r="A3545" s="43">
        <v>565</v>
      </c>
      <c r="B3545" s="43" t="s">
        <v>158</v>
      </c>
      <c r="C3545" s="43" t="s">
        <v>1390</v>
      </c>
      <c r="D3545" s="43" t="s">
        <v>1393</v>
      </c>
      <c r="E3545" s="43" t="s">
        <v>1394</v>
      </c>
      <c r="F3545" s="43">
        <v>1</v>
      </c>
      <c r="G3545"/>
      <c r="H3545"/>
    </row>
    <row r="3546" spans="1:8" hidden="1" x14ac:dyDescent="0.25">
      <c r="A3546" s="43">
        <v>565</v>
      </c>
      <c r="B3546" s="43" t="s">
        <v>158</v>
      </c>
      <c r="C3546" s="43" t="s">
        <v>1390</v>
      </c>
      <c r="D3546" s="43" t="s">
        <v>1395</v>
      </c>
      <c r="E3546" s="43" t="s">
        <v>273</v>
      </c>
      <c r="F3546" s="43">
        <v>1</v>
      </c>
      <c r="G3546"/>
      <c r="H3546"/>
    </row>
    <row r="3547" spans="1:8" hidden="1" x14ac:dyDescent="0.25">
      <c r="A3547" s="43">
        <v>565</v>
      </c>
      <c r="B3547" s="43" t="s">
        <v>158</v>
      </c>
      <c r="C3547" s="43" t="s">
        <v>1390</v>
      </c>
      <c r="D3547" s="43" t="s">
        <v>1396</v>
      </c>
      <c r="E3547" s="43" t="s">
        <v>1397</v>
      </c>
      <c r="F3547" s="43">
        <v>1</v>
      </c>
      <c r="G3547"/>
      <c r="H3547"/>
    </row>
    <row r="3548" spans="1:8" hidden="1" x14ac:dyDescent="0.25">
      <c r="A3548" s="43">
        <v>565</v>
      </c>
      <c r="B3548" s="43" t="s">
        <v>158</v>
      </c>
      <c r="C3548" s="43" t="s">
        <v>1390</v>
      </c>
      <c r="D3548" s="43" t="s">
        <v>1398</v>
      </c>
      <c r="E3548" s="43" t="s">
        <v>493</v>
      </c>
      <c r="F3548" s="43">
        <v>1</v>
      </c>
      <c r="G3548"/>
      <c r="H3548"/>
    </row>
    <row r="3549" spans="1:8" hidden="1" x14ac:dyDescent="0.25">
      <c r="A3549" s="43">
        <v>565</v>
      </c>
      <c r="B3549" s="43" t="s">
        <v>158</v>
      </c>
      <c r="C3549" s="43" t="s">
        <v>1390</v>
      </c>
      <c r="D3549" s="43" t="s">
        <v>1402</v>
      </c>
      <c r="E3549" s="43" t="s">
        <v>1403</v>
      </c>
      <c r="F3549" s="43">
        <v>1</v>
      </c>
      <c r="G3549"/>
      <c r="H3549"/>
    </row>
    <row r="3550" spans="1:8" hidden="1" x14ac:dyDescent="0.25">
      <c r="A3550" s="43">
        <v>565</v>
      </c>
      <c r="B3550" s="43" t="s">
        <v>158</v>
      </c>
      <c r="C3550" s="43" t="s">
        <v>1390</v>
      </c>
      <c r="D3550" s="43" t="s">
        <v>1405</v>
      </c>
      <c r="E3550" s="43" t="s">
        <v>1406</v>
      </c>
      <c r="F3550" s="43">
        <v>1</v>
      </c>
      <c r="G3550"/>
      <c r="H3550"/>
    </row>
    <row r="3551" spans="1:8" hidden="1" x14ac:dyDescent="0.25">
      <c r="A3551" s="43">
        <v>565</v>
      </c>
      <c r="B3551" s="43" t="s">
        <v>158</v>
      </c>
      <c r="C3551" s="43" t="s">
        <v>1390</v>
      </c>
      <c r="D3551" s="43" t="s">
        <v>1408</v>
      </c>
      <c r="E3551" s="43" t="s">
        <v>1409</v>
      </c>
      <c r="F3551" s="43">
        <v>1</v>
      </c>
      <c r="G3551"/>
      <c r="H3551"/>
    </row>
    <row r="3552" spans="1:8" hidden="1" x14ac:dyDescent="0.25">
      <c r="A3552" s="43">
        <v>565</v>
      </c>
      <c r="B3552" s="43" t="s">
        <v>158</v>
      </c>
      <c r="C3552" s="43" t="s">
        <v>1390</v>
      </c>
      <c r="D3552" s="43" t="s">
        <v>1415</v>
      </c>
      <c r="E3552" s="43" t="s">
        <v>611</v>
      </c>
      <c r="F3552" s="43">
        <v>1</v>
      </c>
      <c r="G3552"/>
      <c r="H3552"/>
    </row>
    <row r="3553" spans="1:8" hidden="1" x14ac:dyDescent="0.25">
      <c r="A3553" s="43">
        <v>565</v>
      </c>
      <c r="B3553" s="43" t="s">
        <v>158</v>
      </c>
      <c r="C3553" s="43" t="s">
        <v>1390</v>
      </c>
      <c r="D3553" s="43" t="s">
        <v>1416</v>
      </c>
      <c r="E3553" s="43" t="s">
        <v>612</v>
      </c>
      <c r="F3553" s="43">
        <v>1</v>
      </c>
      <c r="G3553"/>
      <c r="H3553"/>
    </row>
    <row r="3554" spans="1:8" hidden="1" x14ac:dyDescent="0.25">
      <c r="A3554" s="43">
        <v>565</v>
      </c>
      <c r="B3554" s="43" t="s">
        <v>158</v>
      </c>
      <c r="C3554" s="43" t="s">
        <v>1390</v>
      </c>
      <c r="D3554" s="43" t="s">
        <v>1417</v>
      </c>
      <c r="E3554" s="43" t="s">
        <v>613</v>
      </c>
      <c r="F3554" s="43">
        <v>1</v>
      </c>
      <c r="G3554"/>
      <c r="H3554"/>
    </row>
    <row r="3555" spans="1:8" hidden="1" x14ac:dyDescent="0.25">
      <c r="A3555" s="43">
        <v>565</v>
      </c>
      <c r="B3555" s="43" t="s">
        <v>158</v>
      </c>
      <c r="C3555" s="43" t="s">
        <v>1390</v>
      </c>
      <c r="D3555" s="43" t="s">
        <v>1418</v>
      </c>
      <c r="E3555" s="43" t="s">
        <v>1419</v>
      </c>
      <c r="F3555" s="43">
        <v>1</v>
      </c>
      <c r="G3555"/>
      <c r="H3555"/>
    </row>
    <row r="3556" spans="1:8" hidden="1" x14ac:dyDescent="0.25">
      <c r="A3556" s="43">
        <v>565</v>
      </c>
      <c r="B3556" s="43" t="s">
        <v>158</v>
      </c>
      <c r="C3556" s="43" t="s">
        <v>1390</v>
      </c>
      <c r="D3556" s="43" t="s">
        <v>1420</v>
      </c>
      <c r="E3556" s="43" t="s">
        <v>621</v>
      </c>
      <c r="F3556" s="43">
        <v>1</v>
      </c>
      <c r="G3556"/>
      <c r="H3556"/>
    </row>
    <row r="3557" spans="1:8" hidden="1" x14ac:dyDescent="0.25">
      <c r="A3557" s="43">
        <v>565</v>
      </c>
      <c r="B3557" s="43" t="s">
        <v>158</v>
      </c>
      <c r="C3557" s="43" t="s">
        <v>1390</v>
      </c>
      <c r="D3557" s="43" t="s">
        <v>1421</v>
      </c>
      <c r="E3557" s="43" t="s">
        <v>1422</v>
      </c>
      <c r="F3557" s="43">
        <v>1</v>
      </c>
      <c r="G3557"/>
      <c r="H3557"/>
    </row>
    <row r="3558" spans="1:8" hidden="1" x14ac:dyDescent="0.25">
      <c r="A3558" s="43">
        <v>565</v>
      </c>
      <c r="B3558" s="43" t="s">
        <v>158</v>
      </c>
      <c r="C3558" s="43" t="s">
        <v>1390</v>
      </c>
      <c r="D3558" s="43" t="s">
        <v>1423</v>
      </c>
      <c r="E3558" s="43" t="s">
        <v>614</v>
      </c>
      <c r="F3558" s="43">
        <v>1</v>
      </c>
      <c r="G3558"/>
      <c r="H3558"/>
    </row>
    <row r="3559" spans="1:8" hidden="1" x14ac:dyDescent="0.25">
      <c r="A3559" s="43">
        <v>565</v>
      </c>
      <c r="B3559" s="43" t="s">
        <v>158</v>
      </c>
      <c r="C3559" s="43" t="s">
        <v>1390</v>
      </c>
      <c r="D3559" s="43" t="s">
        <v>1424</v>
      </c>
      <c r="E3559" s="43" t="s">
        <v>615</v>
      </c>
      <c r="F3559" s="43">
        <v>1</v>
      </c>
      <c r="G3559"/>
      <c r="H3559"/>
    </row>
    <row r="3560" spans="1:8" hidden="1" x14ac:dyDescent="0.25">
      <c r="A3560" s="43">
        <v>565</v>
      </c>
      <c r="B3560" s="43" t="s">
        <v>158</v>
      </c>
      <c r="C3560" s="43" t="s">
        <v>1390</v>
      </c>
      <c r="D3560" s="43" t="s">
        <v>1425</v>
      </c>
      <c r="E3560" s="43" t="s">
        <v>616</v>
      </c>
      <c r="F3560" s="43">
        <v>1</v>
      </c>
      <c r="G3560"/>
      <c r="H3560"/>
    </row>
    <row r="3561" spans="1:8" hidden="1" x14ac:dyDescent="0.25">
      <c r="A3561" s="43">
        <v>565</v>
      </c>
      <c r="B3561" s="43" t="s">
        <v>158</v>
      </c>
      <c r="C3561" s="43" t="s">
        <v>1390</v>
      </c>
      <c r="D3561" s="43" t="s">
        <v>1426</v>
      </c>
      <c r="E3561" s="43" t="s">
        <v>617</v>
      </c>
      <c r="F3561" s="43">
        <v>1</v>
      </c>
      <c r="G3561"/>
      <c r="H3561"/>
    </row>
    <row r="3562" spans="1:8" hidden="1" x14ac:dyDescent="0.25">
      <c r="A3562" s="43">
        <v>565</v>
      </c>
      <c r="B3562" s="43" t="s">
        <v>158</v>
      </c>
      <c r="C3562" s="43" t="s">
        <v>1390</v>
      </c>
      <c r="D3562" s="43" t="s">
        <v>1427</v>
      </c>
      <c r="E3562" s="43" t="s">
        <v>1428</v>
      </c>
      <c r="F3562" s="43">
        <v>1</v>
      </c>
      <c r="G3562"/>
      <c r="H3562"/>
    </row>
    <row r="3563" spans="1:8" hidden="1" x14ac:dyDescent="0.25">
      <c r="A3563" s="43">
        <v>565</v>
      </c>
      <c r="B3563" s="43" t="s">
        <v>158</v>
      </c>
      <c r="C3563" s="43" t="s">
        <v>1390</v>
      </c>
      <c r="D3563" s="43" t="s">
        <v>1429</v>
      </c>
      <c r="E3563" s="43" t="s">
        <v>1430</v>
      </c>
      <c r="F3563" s="43">
        <v>1</v>
      </c>
      <c r="G3563"/>
      <c r="H3563"/>
    </row>
    <row r="3564" spans="1:8" hidden="1" x14ac:dyDescent="0.25">
      <c r="A3564" s="43">
        <v>565</v>
      </c>
      <c r="B3564" s="43" t="s">
        <v>158</v>
      </c>
      <c r="C3564" s="43" t="s">
        <v>1390</v>
      </c>
      <c r="D3564" s="43" t="s">
        <v>1431</v>
      </c>
      <c r="E3564" s="43" t="s">
        <v>4469</v>
      </c>
      <c r="F3564" s="43">
        <v>1</v>
      </c>
      <c r="G3564"/>
      <c r="H3564"/>
    </row>
    <row r="3565" spans="1:8" hidden="1" x14ac:dyDescent="0.25">
      <c r="A3565" s="43">
        <v>565</v>
      </c>
      <c r="B3565" s="43" t="s">
        <v>158</v>
      </c>
      <c r="C3565" s="43" t="s">
        <v>1390</v>
      </c>
      <c r="D3565" s="43" t="s">
        <v>1433</v>
      </c>
      <c r="E3565" s="43" t="s">
        <v>623</v>
      </c>
      <c r="F3565" s="43">
        <v>1</v>
      </c>
      <c r="G3565"/>
      <c r="H3565"/>
    </row>
    <row r="3566" spans="1:8" hidden="1" x14ac:dyDescent="0.25">
      <c r="A3566" s="43">
        <v>565</v>
      </c>
      <c r="B3566" s="43" t="s">
        <v>158</v>
      </c>
      <c r="C3566" s="43" t="s">
        <v>1390</v>
      </c>
      <c r="D3566" s="43" t="s">
        <v>1434</v>
      </c>
      <c r="E3566" s="43" t="s">
        <v>624</v>
      </c>
      <c r="F3566" s="43">
        <v>1</v>
      </c>
      <c r="G3566"/>
      <c r="H3566"/>
    </row>
    <row r="3567" spans="1:8" hidden="1" x14ac:dyDescent="0.25">
      <c r="A3567" s="43">
        <v>565</v>
      </c>
      <c r="B3567" s="43" t="s">
        <v>158</v>
      </c>
      <c r="C3567" s="43" t="s">
        <v>1390</v>
      </c>
      <c r="D3567" s="43" t="s">
        <v>1435</v>
      </c>
      <c r="E3567" s="43" t="s">
        <v>625</v>
      </c>
      <c r="F3567" s="43">
        <v>1</v>
      </c>
      <c r="G3567"/>
      <c r="H3567"/>
    </row>
    <row r="3568" spans="1:8" hidden="1" x14ac:dyDescent="0.25">
      <c r="A3568" s="43">
        <v>566</v>
      </c>
      <c r="B3568" s="43" t="s">
        <v>158</v>
      </c>
      <c r="C3568" s="43" t="s">
        <v>1390</v>
      </c>
      <c r="D3568" s="43" t="s">
        <v>1391</v>
      </c>
      <c r="E3568" s="43" t="s">
        <v>583</v>
      </c>
      <c r="F3568" s="43">
        <v>1</v>
      </c>
      <c r="G3568"/>
      <c r="H3568"/>
    </row>
    <row r="3569" spans="1:8" hidden="1" x14ac:dyDescent="0.25">
      <c r="A3569" s="43">
        <v>566</v>
      </c>
      <c r="B3569" s="43" t="s">
        <v>158</v>
      </c>
      <c r="C3569" s="43" t="s">
        <v>1390</v>
      </c>
      <c r="D3569" s="43" t="s">
        <v>1392</v>
      </c>
      <c r="E3569" s="43" t="s">
        <v>306</v>
      </c>
      <c r="F3569" s="43">
        <v>0</v>
      </c>
      <c r="G3569" s="43" t="s">
        <v>4583</v>
      </c>
      <c r="H3569"/>
    </row>
    <row r="3570" spans="1:8" hidden="1" x14ac:dyDescent="0.25">
      <c r="A3570" s="43">
        <v>566</v>
      </c>
      <c r="B3570" s="43" t="s">
        <v>158</v>
      </c>
      <c r="C3570" s="43" t="s">
        <v>1390</v>
      </c>
      <c r="D3570" s="43" t="s">
        <v>1393</v>
      </c>
      <c r="E3570" s="43" t="s">
        <v>1394</v>
      </c>
      <c r="F3570" s="43">
        <v>1</v>
      </c>
      <c r="G3570"/>
      <c r="H3570"/>
    </row>
    <row r="3571" spans="1:8" hidden="1" x14ac:dyDescent="0.25">
      <c r="A3571" s="43">
        <v>566</v>
      </c>
      <c r="B3571" s="43" t="s">
        <v>158</v>
      </c>
      <c r="C3571" s="43" t="s">
        <v>1390</v>
      </c>
      <c r="D3571" s="43" t="s">
        <v>1395</v>
      </c>
      <c r="E3571" s="43" t="s">
        <v>273</v>
      </c>
      <c r="F3571" s="43">
        <v>1</v>
      </c>
      <c r="G3571"/>
      <c r="H3571"/>
    </row>
    <row r="3572" spans="1:8" hidden="1" x14ac:dyDescent="0.25">
      <c r="A3572" s="43">
        <v>566</v>
      </c>
      <c r="B3572" s="43" t="s">
        <v>158</v>
      </c>
      <c r="C3572" s="43" t="s">
        <v>1390</v>
      </c>
      <c r="D3572" s="43" t="s">
        <v>1396</v>
      </c>
      <c r="E3572" s="43" t="s">
        <v>1397</v>
      </c>
      <c r="F3572" s="43">
        <v>1</v>
      </c>
      <c r="G3572"/>
      <c r="H3572"/>
    </row>
    <row r="3573" spans="1:8" hidden="1" x14ac:dyDescent="0.25">
      <c r="A3573" s="43">
        <v>566</v>
      </c>
      <c r="B3573" s="43" t="s">
        <v>158</v>
      </c>
      <c r="C3573" s="43" t="s">
        <v>1390</v>
      </c>
      <c r="D3573" s="43" t="s">
        <v>1398</v>
      </c>
      <c r="E3573" s="43" t="s">
        <v>493</v>
      </c>
      <c r="F3573" s="43">
        <v>0</v>
      </c>
      <c r="G3573" s="43" t="s">
        <v>4583</v>
      </c>
      <c r="H3573"/>
    </row>
    <row r="3574" spans="1:8" hidden="1" x14ac:dyDescent="0.25">
      <c r="A3574" s="43">
        <v>566</v>
      </c>
      <c r="B3574" s="43" t="s">
        <v>158</v>
      </c>
      <c r="C3574" s="43" t="s">
        <v>1390</v>
      </c>
      <c r="D3574" s="43" t="s">
        <v>1402</v>
      </c>
      <c r="E3574" s="43" t="s">
        <v>1403</v>
      </c>
      <c r="F3574" s="43">
        <v>1</v>
      </c>
      <c r="G3574"/>
      <c r="H3574"/>
    </row>
    <row r="3575" spans="1:8" hidden="1" x14ac:dyDescent="0.25">
      <c r="A3575" s="43">
        <v>566</v>
      </c>
      <c r="B3575" s="43" t="s">
        <v>158</v>
      </c>
      <c r="C3575" s="43" t="s">
        <v>1390</v>
      </c>
      <c r="D3575" s="43" t="s">
        <v>1405</v>
      </c>
      <c r="E3575" s="43" t="s">
        <v>1406</v>
      </c>
      <c r="F3575" s="43">
        <v>1</v>
      </c>
      <c r="G3575"/>
      <c r="H3575"/>
    </row>
    <row r="3576" spans="1:8" hidden="1" x14ac:dyDescent="0.25">
      <c r="A3576" s="43">
        <v>566</v>
      </c>
      <c r="B3576" s="43" t="s">
        <v>158</v>
      </c>
      <c r="C3576" s="43" t="s">
        <v>1390</v>
      </c>
      <c r="D3576" s="43" t="s">
        <v>1408</v>
      </c>
      <c r="E3576" s="43" t="s">
        <v>1409</v>
      </c>
      <c r="F3576" s="43">
        <v>1</v>
      </c>
      <c r="G3576"/>
      <c r="H3576"/>
    </row>
    <row r="3577" spans="1:8" hidden="1" x14ac:dyDescent="0.25">
      <c r="A3577" s="43">
        <v>566</v>
      </c>
      <c r="B3577" s="43" t="s">
        <v>158</v>
      </c>
      <c r="C3577" s="43" t="s">
        <v>1390</v>
      </c>
      <c r="D3577" s="43" t="s">
        <v>1415</v>
      </c>
      <c r="E3577" s="43" t="s">
        <v>611</v>
      </c>
      <c r="F3577" s="43">
        <v>1</v>
      </c>
      <c r="G3577"/>
      <c r="H3577"/>
    </row>
    <row r="3578" spans="1:8" hidden="1" x14ac:dyDescent="0.25">
      <c r="A3578" s="43">
        <v>566</v>
      </c>
      <c r="B3578" s="43" t="s">
        <v>158</v>
      </c>
      <c r="C3578" s="43" t="s">
        <v>1390</v>
      </c>
      <c r="D3578" s="43" t="s">
        <v>1416</v>
      </c>
      <c r="E3578" s="43" t="s">
        <v>612</v>
      </c>
      <c r="F3578" s="43">
        <v>0</v>
      </c>
      <c r="G3578" s="43" t="s">
        <v>4583</v>
      </c>
      <c r="H3578"/>
    </row>
    <row r="3579" spans="1:8" hidden="1" x14ac:dyDescent="0.25">
      <c r="A3579" s="43">
        <v>566</v>
      </c>
      <c r="B3579" s="43" t="s">
        <v>158</v>
      </c>
      <c r="C3579" s="43" t="s">
        <v>1390</v>
      </c>
      <c r="D3579" s="43" t="s">
        <v>1417</v>
      </c>
      <c r="E3579" s="43" t="s">
        <v>613</v>
      </c>
      <c r="F3579" s="43">
        <v>0</v>
      </c>
      <c r="G3579" s="43" t="s">
        <v>4583</v>
      </c>
      <c r="H3579"/>
    </row>
    <row r="3580" spans="1:8" hidden="1" x14ac:dyDescent="0.25">
      <c r="A3580" s="43">
        <v>566</v>
      </c>
      <c r="B3580" s="43" t="s">
        <v>158</v>
      </c>
      <c r="C3580" s="43" t="s">
        <v>1390</v>
      </c>
      <c r="D3580" s="43" t="s">
        <v>1418</v>
      </c>
      <c r="E3580" s="43" t="s">
        <v>1419</v>
      </c>
      <c r="F3580" s="43">
        <v>0</v>
      </c>
      <c r="G3580" s="43" t="s">
        <v>4583</v>
      </c>
      <c r="H3580"/>
    </row>
    <row r="3581" spans="1:8" hidden="1" x14ac:dyDescent="0.25">
      <c r="A3581" s="43">
        <v>566</v>
      </c>
      <c r="B3581" s="43" t="s">
        <v>158</v>
      </c>
      <c r="C3581" s="43" t="s">
        <v>1390</v>
      </c>
      <c r="D3581" s="43" t="s">
        <v>1420</v>
      </c>
      <c r="E3581" s="43" t="s">
        <v>621</v>
      </c>
      <c r="F3581" s="43">
        <v>1</v>
      </c>
      <c r="G3581"/>
      <c r="H3581"/>
    </row>
    <row r="3582" spans="1:8" hidden="1" x14ac:dyDescent="0.25">
      <c r="A3582" s="43">
        <v>566</v>
      </c>
      <c r="B3582" s="43" t="s">
        <v>158</v>
      </c>
      <c r="C3582" s="43" t="s">
        <v>1390</v>
      </c>
      <c r="D3582" s="43" t="s">
        <v>1421</v>
      </c>
      <c r="E3582" s="43" t="s">
        <v>1422</v>
      </c>
      <c r="F3582" s="43">
        <v>1</v>
      </c>
      <c r="G3582"/>
      <c r="H3582"/>
    </row>
    <row r="3583" spans="1:8" hidden="1" x14ac:dyDescent="0.25">
      <c r="A3583" s="43">
        <v>566</v>
      </c>
      <c r="B3583" s="43" t="s">
        <v>158</v>
      </c>
      <c r="C3583" s="43" t="s">
        <v>1390</v>
      </c>
      <c r="D3583" s="43" t="s">
        <v>1423</v>
      </c>
      <c r="E3583" s="43" t="s">
        <v>614</v>
      </c>
      <c r="F3583" s="43">
        <v>1</v>
      </c>
      <c r="G3583"/>
      <c r="H3583"/>
    </row>
    <row r="3584" spans="1:8" hidden="1" x14ac:dyDescent="0.25">
      <c r="A3584" s="43">
        <v>566</v>
      </c>
      <c r="B3584" s="43" t="s">
        <v>158</v>
      </c>
      <c r="C3584" s="43" t="s">
        <v>1390</v>
      </c>
      <c r="D3584" s="43" t="s">
        <v>1424</v>
      </c>
      <c r="E3584" s="43" t="s">
        <v>615</v>
      </c>
      <c r="F3584" s="43">
        <v>1</v>
      </c>
      <c r="G3584"/>
      <c r="H3584"/>
    </row>
    <row r="3585" spans="1:8" hidden="1" x14ac:dyDescent="0.25">
      <c r="A3585" s="43">
        <v>566</v>
      </c>
      <c r="B3585" s="43" t="s">
        <v>158</v>
      </c>
      <c r="C3585" s="43" t="s">
        <v>1390</v>
      </c>
      <c r="D3585" s="43" t="s">
        <v>1425</v>
      </c>
      <c r="E3585" s="43" t="s">
        <v>616</v>
      </c>
      <c r="F3585" s="43">
        <v>0</v>
      </c>
      <c r="G3585" s="43" t="s">
        <v>4583</v>
      </c>
      <c r="H3585"/>
    </row>
    <row r="3586" spans="1:8" hidden="1" x14ac:dyDescent="0.25">
      <c r="A3586" s="43">
        <v>566</v>
      </c>
      <c r="B3586" s="43" t="s">
        <v>158</v>
      </c>
      <c r="C3586" s="43" t="s">
        <v>1390</v>
      </c>
      <c r="D3586" s="43" t="s">
        <v>1426</v>
      </c>
      <c r="E3586" s="43" t="s">
        <v>617</v>
      </c>
      <c r="F3586" s="43">
        <v>0</v>
      </c>
      <c r="G3586" s="43" t="s">
        <v>4583</v>
      </c>
      <c r="H3586"/>
    </row>
    <row r="3587" spans="1:8" hidden="1" x14ac:dyDescent="0.25">
      <c r="A3587" s="43">
        <v>566</v>
      </c>
      <c r="B3587" s="43" t="s">
        <v>158</v>
      </c>
      <c r="C3587" s="43" t="s">
        <v>1390</v>
      </c>
      <c r="D3587" s="43" t="s">
        <v>1427</v>
      </c>
      <c r="E3587" s="43" t="s">
        <v>1428</v>
      </c>
      <c r="F3587" s="43">
        <v>1</v>
      </c>
      <c r="G3587"/>
      <c r="H3587"/>
    </row>
    <row r="3588" spans="1:8" hidden="1" x14ac:dyDescent="0.25">
      <c r="A3588" s="43">
        <v>566</v>
      </c>
      <c r="B3588" s="43" t="s">
        <v>158</v>
      </c>
      <c r="C3588" s="43" t="s">
        <v>1390</v>
      </c>
      <c r="D3588" s="43" t="s">
        <v>1429</v>
      </c>
      <c r="E3588" s="43" t="s">
        <v>1430</v>
      </c>
      <c r="F3588" s="43">
        <v>1</v>
      </c>
      <c r="G3588"/>
      <c r="H3588"/>
    </row>
    <row r="3589" spans="1:8" hidden="1" x14ac:dyDescent="0.25">
      <c r="A3589" s="43">
        <v>566</v>
      </c>
      <c r="B3589" s="43" t="s">
        <v>158</v>
      </c>
      <c r="C3589" s="43" t="s">
        <v>1390</v>
      </c>
      <c r="D3589" s="43" t="s">
        <v>1431</v>
      </c>
      <c r="E3589" s="43" t="s">
        <v>4469</v>
      </c>
      <c r="F3589" s="43">
        <v>0</v>
      </c>
      <c r="G3589" s="43" t="s">
        <v>4583</v>
      </c>
      <c r="H3589"/>
    </row>
    <row r="3590" spans="1:8" hidden="1" x14ac:dyDescent="0.25">
      <c r="A3590" s="43">
        <v>566</v>
      </c>
      <c r="B3590" s="43" t="s">
        <v>158</v>
      </c>
      <c r="C3590" s="43" t="s">
        <v>1390</v>
      </c>
      <c r="D3590" s="43" t="s">
        <v>1433</v>
      </c>
      <c r="E3590" s="43" t="s">
        <v>623</v>
      </c>
      <c r="F3590" s="43">
        <v>0</v>
      </c>
      <c r="G3590" s="43" t="s">
        <v>4583</v>
      </c>
      <c r="H3590"/>
    </row>
    <row r="3591" spans="1:8" hidden="1" x14ac:dyDescent="0.25">
      <c r="A3591" s="43">
        <v>566</v>
      </c>
      <c r="B3591" s="43" t="s">
        <v>158</v>
      </c>
      <c r="C3591" s="43" t="s">
        <v>1390</v>
      </c>
      <c r="D3591" s="43" t="s">
        <v>1434</v>
      </c>
      <c r="E3591" s="43" t="s">
        <v>624</v>
      </c>
      <c r="F3591" s="43">
        <v>0</v>
      </c>
      <c r="G3591" s="43" t="s">
        <v>4583</v>
      </c>
      <c r="H3591"/>
    </row>
    <row r="3592" spans="1:8" hidden="1" x14ac:dyDescent="0.25">
      <c r="A3592" s="43">
        <v>566</v>
      </c>
      <c r="B3592" s="43" t="s">
        <v>158</v>
      </c>
      <c r="C3592" s="43" t="s">
        <v>1390</v>
      </c>
      <c r="D3592" s="43" t="s">
        <v>1435</v>
      </c>
      <c r="E3592" s="43" t="s">
        <v>625</v>
      </c>
      <c r="F3592" s="43">
        <v>0</v>
      </c>
      <c r="G3592" s="43" t="s">
        <v>4583</v>
      </c>
      <c r="H3592"/>
    </row>
    <row r="3593" spans="1:8" hidden="1" x14ac:dyDescent="0.25">
      <c r="A3593" s="43">
        <v>569</v>
      </c>
      <c r="B3593" s="43" t="s">
        <v>159</v>
      </c>
      <c r="C3593" s="43" t="s">
        <v>1640</v>
      </c>
      <c r="D3593" s="43" t="s">
        <v>1641</v>
      </c>
      <c r="E3593" s="43" t="s">
        <v>640</v>
      </c>
      <c r="F3593" s="43">
        <v>1</v>
      </c>
      <c r="G3593"/>
      <c r="H3593"/>
    </row>
    <row r="3594" spans="1:8" hidden="1" x14ac:dyDescent="0.25">
      <c r="A3594" s="43">
        <v>569</v>
      </c>
      <c r="B3594" s="43" t="s">
        <v>159</v>
      </c>
      <c r="C3594" s="43" t="s">
        <v>1640</v>
      </c>
      <c r="D3594" s="43" t="s">
        <v>1642</v>
      </c>
      <c r="E3594" s="43" t="s">
        <v>1643</v>
      </c>
      <c r="F3594" s="43">
        <v>1</v>
      </c>
      <c r="G3594"/>
      <c r="H3594"/>
    </row>
    <row r="3595" spans="1:8" hidden="1" x14ac:dyDescent="0.25">
      <c r="A3595" s="43">
        <v>569</v>
      </c>
      <c r="B3595" s="43" t="s">
        <v>159</v>
      </c>
      <c r="C3595" s="43" t="s">
        <v>1640</v>
      </c>
      <c r="D3595" s="43" t="s">
        <v>1644</v>
      </c>
      <c r="E3595" s="43" t="s">
        <v>1645</v>
      </c>
      <c r="F3595" s="43">
        <v>1</v>
      </c>
      <c r="G3595"/>
      <c r="H3595"/>
    </row>
    <row r="3596" spans="1:8" hidden="1" x14ac:dyDescent="0.25">
      <c r="A3596" s="43">
        <v>569</v>
      </c>
      <c r="B3596" s="43" t="s">
        <v>159</v>
      </c>
      <c r="C3596" s="43" t="s">
        <v>1640</v>
      </c>
      <c r="D3596" s="43" t="s">
        <v>1646</v>
      </c>
      <c r="E3596" s="43" t="s">
        <v>1647</v>
      </c>
      <c r="F3596" s="43">
        <v>1</v>
      </c>
      <c r="G3596"/>
      <c r="H3596"/>
    </row>
    <row r="3597" spans="1:8" hidden="1" x14ac:dyDescent="0.25">
      <c r="A3597" s="43">
        <v>569</v>
      </c>
      <c r="B3597" s="43" t="s">
        <v>159</v>
      </c>
      <c r="C3597" s="43" t="s">
        <v>1640</v>
      </c>
      <c r="D3597" s="43" t="s">
        <v>1648</v>
      </c>
      <c r="E3597" s="43" t="s">
        <v>1649</v>
      </c>
      <c r="F3597" s="43">
        <v>1</v>
      </c>
      <c r="G3597"/>
      <c r="H3597"/>
    </row>
    <row r="3598" spans="1:8" hidden="1" x14ac:dyDescent="0.25">
      <c r="A3598" s="43">
        <v>569</v>
      </c>
      <c r="B3598" s="43" t="s">
        <v>159</v>
      </c>
      <c r="C3598" s="43" t="s">
        <v>1640</v>
      </c>
      <c r="D3598" s="43" t="s">
        <v>1650</v>
      </c>
      <c r="E3598" s="43" t="s">
        <v>791</v>
      </c>
      <c r="F3598" s="43">
        <v>1</v>
      </c>
      <c r="G3598"/>
      <c r="H3598"/>
    </row>
    <row r="3599" spans="1:8" hidden="1" x14ac:dyDescent="0.25">
      <c r="A3599" s="43">
        <v>569</v>
      </c>
      <c r="B3599" s="43" t="s">
        <v>159</v>
      </c>
      <c r="C3599" s="43" t="s">
        <v>1640</v>
      </c>
      <c r="D3599" s="43" t="s">
        <v>1651</v>
      </c>
      <c r="E3599" s="43" t="s">
        <v>1652</v>
      </c>
      <c r="F3599" s="43">
        <v>1</v>
      </c>
      <c r="G3599"/>
      <c r="H3599"/>
    </row>
    <row r="3600" spans="1:8" hidden="1" x14ac:dyDescent="0.25">
      <c r="A3600" s="43">
        <v>569</v>
      </c>
      <c r="B3600" s="43" t="s">
        <v>159</v>
      </c>
      <c r="C3600" s="43" t="s">
        <v>1640</v>
      </c>
      <c r="D3600" s="43" t="s">
        <v>1653</v>
      </c>
      <c r="E3600" s="43" t="s">
        <v>1654</v>
      </c>
      <c r="F3600" s="43">
        <v>1</v>
      </c>
      <c r="G3600"/>
      <c r="H3600"/>
    </row>
    <row r="3601" spans="1:8" hidden="1" x14ac:dyDescent="0.25">
      <c r="A3601" s="43">
        <v>574</v>
      </c>
      <c r="B3601" s="43" t="s">
        <v>160</v>
      </c>
      <c r="C3601" s="43" t="s">
        <v>4470</v>
      </c>
      <c r="D3601" s="43" t="s">
        <v>1493</v>
      </c>
      <c r="E3601" s="43" t="s">
        <v>1494</v>
      </c>
      <c r="F3601" s="43">
        <v>1</v>
      </c>
      <c r="G3601"/>
      <c r="H3601"/>
    </row>
    <row r="3602" spans="1:8" hidden="1" x14ac:dyDescent="0.25">
      <c r="A3602" s="43">
        <v>574</v>
      </c>
      <c r="B3602" s="43" t="s">
        <v>160</v>
      </c>
      <c r="C3602" s="43" t="s">
        <v>4470</v>
      </c>
      <c r="D3602" s="43" t="s">
        <v>1495</v>
      </c>
      <c r="E3602" s="43" t="s">
        <v>1496</v>
      </c>
      <c r="F3602" s="43">
        <v>1</v>
      </c>
      <c r="G3602"/>
      <c r="H3602"/>
    </row>
    <row r="3603" spans="1:8" hidden="1" x14ac:dyDescent="0.25">
      <c r="A3603" s="43">
        <v>574</v>
      </c>
      <c r="B3603" s="43" t="s">
        <v>160</v>
      </c>
      <c r="C3603" s="43" t="s">
        <v>4470</v>
      </c>
      <c r="D3603" s="43" t="s">
        <v>1497</v>
      </c>
      <c r="E3603" s="43" t="s">
        <v>306</v>
      </c>
      <c r="F3603" s="43">
        <v>1</v>
      </c>
      <c r="G3603"/>
      <c r="H3603"/>
    </row>
    <row r="3604" spans="1:8" hidden="1" x14ac:dyDescent="0.25">
      <c r="A3604" s="43">
        <v>574</v>
      </c>
      <c r="B3604" s="43" t="s">
        <v>160</v>
      </c>
      <c r="C3604" s="43" t="s">
        <v>4470</v>
      </c>
      <c r="D3604" s="43" t="s">
        <v>1498</v>
      </c>
      <c r="E3604" s="43" t="s">
        <v>1499</v>
      </c>
      <c r="F3604" s="43">
        <v>1</v>
      </c>
      <c r="G3604"/>
      <c r="H3604"/>
    </row>
    <row r="3605" spans="1:8" hidden="1" x14ac:dyDescent="0.25">
      <c r="A3605" s="43">
        <v>574</v>
      </c>
      <c r="B3605" s="43" t="s">
        <v>160</v>
      </c>
      <c r="C3605" s="43" t="s">
        <v>4470</v>
      </c>
      <c r="D3605" s="43" t="s">
        <v>1500</v>
      </c>
      <c r="E3605" s="43" t="s">
        <v>1397</v>
      </c>
      <c r="F3605" s="43">
        <v>1</v>
      </c>
      <c r="G3605"/>
      <c r="H3605"/>
    </row>
    <row r="3606" spans="1:8" hidden="1" x14ac:dyDescent="0.25">
      <c r="A3606" s="43">
        <v>574</v>
      </c>
      <c r="B3606" s="43" t="s">
        <v>160</v>
      </c>
      <c r="C3606" s="43" t="s">
        <v>4470</v>
      </c>
      <c r="D3606" s="43" t="s">
        <v>1501</v>
      </c>
      <c r="E3606" s="43" t="s">
        <v>1502</v>
      </c>
      <c r="F3606" s="43">
        <v>1</v>
      </c>
      <c r="G3606"/>
      <c r="H3606"/>
    </row>
    <row r="3607" spans="1:8" hidden="1" x14ac:dyDescent="0.25">
      <c r="A3607" s="43">
        <v>574</v>
      </c>
      <c r="B3607" s="43" t="s">
        <v>160</v>
      </c>
      <c r="C3607" s="43" t="s">
        <v>4470</v>
      </c>
      <c r="D3607" s="43" t="s">
        <v>1503</v>
      </c>
      <c r="E3607" s="43" t="s">
        <v>1504</v>
      </c>
      <c r="F3607" s="43">
        <v>1</v>
      </c>
      <c r="G3607"/>
      <c r="H3607"/>
    </row>
    <row r="3608" spans="1:8" hidden="1" x14ac:dyDescent="0.25">
      <c r="A3608" s="43">
        <v>574</v>
      </c>
      <c r="B3608" s="43" t="s">
        <v>160</v>
      </c>
      <c r="C3608" s="43" t="s">
        <v>4470</v>
      </c>
      <c r="D3608" s="43" t="s">
        <v>1505</v>
      </c>
      <c r="E3608" s="43" t="s">
        <v>1506</v>
      </c>
      <c r="F3608" s="43">
        <v>0</v>
      </c>
      <c r="G3608" s="43" t="s">
        <v>4583</v>
      </c>
      <c r="H3608"/>
    </row>
    <row r="3609" spans="1:8" hidden="1" x14ac:dyDescent="0.25">
      <c r="A3609" s="43">
        <v>574</v>
      </c>
      <c r="B3609" s="43" t="s">
        <v>160</v>
      </c>
      <c r="C3609" s="43" t="s">
        <v>4470</v>
      </c>
      <c r="D3609" s="43" t="s">
        <v>1507</v>
      </c>
      <c r="E3609" s="43" t="s">
        <v>611</v>
      </c>
      <c r="F3609" s="43">
        <v>1</v>
      </c>
      <c r="G3609"/>
      <c r="H3609"/>
    </row>
    <row r="3610" spans="1:8" hidden="1" x14ac:dyDescent="0.25">
      <c r="A3610" s="43">
        <v>574</v>
      </c>
      <c r="B3610" s="43" t="s">
        <v>160</v>
      </c>
      <c r="C3610" s="43" t="s">
        <v>4470</v>
      </c>
      <c r="D3610" s="43" t="s">
        <v>1508</v>
      </c>
      <c r="E3610" s="43" t="s">
        <v>1509</v>
      </c>
      <c r="F3610" s="43">
        <v>1</v>
      </c>
      <c r="G3610"/>
      <c r="H3610"/>
    </row>
    <row r="3611" spans="1:8" hidden="1" x14ac:dyDescent="0.25">
      <c r="A3611" s="43">
        <v>574</v>
      </c>
      <c r="B3611" s="43" t="s">
        <v>160</v>
      </c>
      <c r="C3611" s="43" t="s">
        <v>4470</v>
      </c>
      <c r="D3611" s="43" t="s">
        <v>1510</v>
      </c>
      <c r="E3611" s="43" t="s">
        <v>613</v>
      </c>
      <c r="F3611" s="43">
        <v>0</v>
      </c>
      <c r="G3611" s="43" t="s">
        <v>4583</v>
      </c>
      <c r="H3611"/>
    </row>
    <row r="3612" spans="1:8" hidden="1" x14ac:dyDescent="0.25">
      <c r="A3612" s="43">
        <v>574</v>
      </c>
      <c r="B3612" s="43" t="s">
        <v>160</v>
      </c>
      <c r="C3612" s="43" t="s">
        <v>4470</v>
      </c>
      <c r="D3612" s="43" t="s">
        <v>1511</v>
      </c>
      <c r="E3612" s="43" t="s">
        <v>1419</v>
      </c>
      <c r="F3612" s="43">
        <v>1</v>
      </c>
      <c r="G3612"/>
      <c r="H3612"/>
    </row>
    <row r="3613" spans="1:8" hidden="1" x14ac:dyDescent="0.25">
      <c r="A3613" s="43">
        <v>574</v>
      </c>
      <c r="B3613" s="43" t="s">
        <v>160</v>
      </c>
      <c r="C3613" s="43" t="s">
        <v>4470</v>
      </c>
      <c r="D3613" s="43" t="s">
        <v>1512</v>
      </c>
      <c r="E3613" s="43" t="s">
        <v>621</v>
      </c>
      <c r="F3613" s="43">
        <v>1</v>
      </c>
      <c r="G3613"/>
      <c r="H3613"/>
    </row>
    <row r="3614" spans="1:8" hidden="1" x14ac:dyDescent="0.25">
      <c r="A3614" s="43">
        <v>574</v>
      </c>
      <c r="B3614" s="43" t="s">
        <v>160</v>
      </c>
      <c r="C3614" s="43" t="s">
        <v>4470</v>
      </c>
      <c r="D3614" s="43" t="s">
        <v>1513</v>
      </c>
      <c r="E3614" s="43" t="s">
        <v>1422</v>
      </c>
      <c r="F3614" s="43">
        <v>1</v>
      </c>
      <c r="G3614"/>
      <c r="H3614"/>
    </row>
    <row r="3615" spans="1:8" hidden="1" x14ac:dyDescent="0.25">
      <c r="A3615" s="43">
        <v>574</v>
      </c>
      <c r="B3615" s="43" t="s">
        <v>160</v>
      </c>
      <c r="C3615" s="43" t="s">
        <v>4470</v>
      </c>
      <c r="D3615" s="43" t="s">
        <v>1514</v>
      </c>
      <c r="E3615" s="43" t="s">
        <v>614</v>
      </c>
      <c r="F3615" s="43">
        <v>1</v>
      </c>
      <c r="G3615"/>
      <c r="H3615"/>
    </row>
    <row r="3616" spans="1:8" hidden="1" x14ac:dyDescent="0.25">
      <c r="A3616" s="43">
        <v>574</v>
      </c>
      <c r="B3616" s="43" t="s">
        <v>160</v>
      </c>
      <c r="C3616" s="43" t="s">
        <v>4470</v>
      </c>
      <c r="D3616" s="43" t="s">
        <v>1515</v>
      </c>
      <c r="E3616" s="43" t="s">
        <v>615</v>
      </c>
      <c r="F3616" s="43">
        <v>0</v>
      </c>
      <c r="G3616" s="43" t="s">
        <v>4583</v>
      </c>
      <c r="H3616"/>
    </row>
    <row r="3617" spans="1:8" hidden="1" x14ac:dyDescent="0.25">
      <c r="A3617" s="43">
        <v>574</v>
      </c>
      <c r="B3617" s="43" t="s">
        <v>160</v>
      </c>
      <c r="C3617" s="43" t="s">
        <v>4470</v>
      </c>
      <c r="D3617" s="43" t="s">
        <v>1516</v>
      </c>
      <c r="E3617" s="43" t="s">
        <v>1517</v>
      </c>
      <c r="F3617" s="43">
        <v>1</v>
      </c>
      <c r="G3617"/>
      <c r="H3617"/>
    </row>
    <row r="3618" spans="1:8" hidden="1" x14ac:dyDescent="0.25">
      <c r="A3618" s="43">
        <v>574</v>
      </c>
      <c r="B3618" s="43" t="s">
        <v>160</v>
      </c>
      <c r="C3618" s="43" t="s">
        <v>4470</v>
      </c>
      <c r="D3618" s="43" t="s">
        <v>1518</v>
      </c>
      <c r="E3618" s="43" t="s">
        <v>1519</v>
      </c>
      <c r="F3618" s="43">
        <v>1</v>
      </c>
      <c r="G3618"/>
      <c r="H3618"/>
    </row>
    <row r="3619" spans="1:8" hidden="1" x14ac:dyDescent="0.25">
      <c r="A3619" s="43">
        <v>574</v>
      </c>
      <c r="B3619" s="43" t="s">
        <v>160</v>
      </c>
      <c r="C3619" s="43" t="s">
        <v>4470</v>
      </c>
      <c r="D3619" s="43" t="s">
        <v>1520</v>
      </c>
      <c r="E3619" s="43" t="s">
        <v>1521</v>
      </c>
      <c r="F3619" s="43">
        <v>0</v>
      </c>
      <c r="G3619" s="43" t="s">
        <v>4583</v>
      </c>
      <c r="H3619"/>
    </row>
    <row r="3620" spans="1:8" hidden="1" x14ac:dyDescent="0.25">
      <c r="A3620" s="43">
        <v>574</v>
      </c>
      <c r="B3620" s="43" t="s">
        <v>160</v>
      </c>
      <c r="C3620" s="43" t="s">
        <v>4470</v>
      </c>
      <c r="D3620" s="43" t="s">
        <v>1522</v>
      </c>
      <c r="E3620" s="43" t="s">
        <v>1523</v>
      </c>
      <c r="F3620" s="43">
        <v>0</v>
      </c>
      <c r="G3620" s="43" t="s">
        <v>4583</v>
      </c>
      <c r="H3620"/>
    </row>
    <row r="3621" spans="1:8" hidden="1" x14ac:dyDescent="0.25">
      <c r="A3621" s="43">
        <v>574</v>
      </c>
      <c r="B3621" s="43" t="s">
        <v>160</v>
      </c>
      <c r="C3621" s="43" t="s">
        <v>4470</v>
      </c>
      <c r="D3621" s="43" t="s">
        <v>1524</v>
      </c>
      <c r="E3621" s="43" t="s">
        <v>1525</v>
      </c>
      <c r="F3621" s="43">
        <v>0</v>
      </c>
      <c r="G3621" s="43" t="s">
        <v>4583</v>
      </c>
      <c r="H3621"/>
    </row>
    <row r="3622" spans="1:8" hidden="1" x14ac:dyDescent="0.25">
      <c r="A3622" s="43">
        <v>574</v>
      </c>
      <c r="B3622" s="43" t="s">
        <v>160</v>
      </c>
      <c r="C3622" s="43" t="s">
        <v>4470</v>
      </c>
      <c r="D3622" s="43" t="s">
        <v>1526</v>
      </c>
      <c r="E3622" s="43" t="s">
        <v>1527</v>
      </c>
      <c r="F3622" s="43">
        <v>0</v>
      </c>
      <c r="G3622" s="43" t="s">
        <v>4583</v>
      </c>
      <c r="H3622"/>
    </row>
    <row r="3623" spans="1:8" hidden="1" x14ac:dyDescent="0.25">
      <c r="A3623" s="43">
        <v>574</v>
      </c>
      <c r="B3623" s="43" t="s">
        <v>160</v>
      </c>
      <c r="C3623" s="43" t="s">
        <v>4470</v>
      </c>
      <c r="D3623" s="43" t="s">
        <v>1528</v>
      </c>
      <c r="E3623" s="43" t="s">
        <v>4471</v>
      </c>
      <c r="F3623" s="43">
        <v>1</v>
      </c>
      <c r="G3623"/>
      <c r="H3623"/>
    </row>
    <row r="3624" spans="1:8" hidden="1" x14ac:dyDescent="0.25">
      <c r="A3624" s="43">
        <v>574</v>
      </c>
      <c r="B3624" s="43" t="s">
        <v>160</v>
      </c>
      <c r="C3624" s="43" t="s">
        <v>4470</v>
      </c>
      <c r="D3624" s="43" t="s">
        <v>1530</v>
      </c>
      <c r="E3624" s="43" t="s">
        <v>1430</v>
      </c>
      <c r="F3624" s="43">
        <v>1</v>
      </c>
      <c r="G3624"/>
      <c r="H3624"/>
    </row>
    <row r="3625" spans="1:8" hidden="1" x14ac:dyDescent="0.25">
      <c r="A3625" s="43">
        <v>574</v>
      </c>
      <c r="B3625" s="43" t="s">
        <v>160</v>
      </c>
      <c r="C3625" s="43" t="s">
        <v>4470</v>
      </c>
      <c r="D3625" s="43" t="s">
        <v>1531</v>
      </c>
      <c r="E3625" s="43" t="s">
        <v>503</v>
      </c>
      <c r="F3625" s="43">
        <v>1</v>
      </c>
      <c r="G3625"/>
      <c r="H3625"/>
    </row>
    <row r="3626" spans="1:8" hidden="1" x14ac:dyDescent="0.25">
      <c r="A3626" s="43">
        <v>574</v>
      </c>
      <c r="B3626" s="43" t="s">
        <v>160</v>
      </c>
      <c r="C3626" s="43" t="s">
        <v>4470</v>
      </c>
      <c r="D3626" s="43" t="s">
        <v>1532</v>
      </c>
      <c r="E3626" s="43" t="s">
        <v>1533</v>
      </c>
      <c r="F3626" s="43">
        <v>0</v>
      </c>
      <c r="G3626" s="43" t="s">
        <v>4583</v>
      </c>
      <c r="H3626"/>
    </row>
    <row r="3627" spans="1:8" hidden="1" x14ac:dyDescent="0.25">
      <c r="A3627" s="43">
        <v>574</v>
      </c>
      <c r="B3627" s="43" t="s">
        <v>160</v>
      </c>
      <c r="C3627" s="43" t="s">
        <v>4470</v>
      </c>
      <c r="D3627" s="43" t="s">
        <v>1534</v>
      </c>
      <c r="E3627" s="43" t="s">
        <v>1535</v>
      </c>
      <c r="F3627" s="43">
        <v>1</v>
      </c>
      <c r="G3627"/>
      <c r="H3627"/>
    </row>
    <row r="3628" spans="1:8" hidden="1" x14ac:dyDescent="0.25">
      <c r="A3628" s="43">
        <v>580</v>
      </c>
      <c r="B3628" s="43" t="s">
        <v>161</v>
      </c>
      <c r="C3628" s="43" t="s">
        <v>723</v>
      </c>
      <c r="D3628" s="43" t="s">
        <v>724</v>
      </c>
      <c r="E3628" s="43" t="s">
        <v>304</v>
      </c>
      <c r="F3628" s="43">
        <v>1</v>
      </c>
      <c r="G3628"/>
      <c r="H3628"/>
    </row>
    <row r="3629" spans="1:8" hidden="1" x14ac:dyDescent="0.25">
      <c r="A3629" s="43">
        <v>580</v>
      </c>
      <c r="B3629" s="43" t="s">
        <v>161</v>
      </c>
      <c r="C3629" s="43" t="s">
        <v>723</v>
      </c>
      <c r="D3629" s="43" t="s">
        <v>725</v>
      </c>
      <c r="E3629" s="43" t="s">
        <v>306</v>
      </c>
      <c r="F3629" s="43">
        <v>1</v>
      </c>
      <c r="G3629"/>
      <c r="H3629"/>
    </row>
    <row r="3630" spans="1:8" hidden="1" x14ac:dyDescent="0.25">
      <c r="A3630" s="43">
        <v>580</v>
      </c>
      <c r="B3630" s="43" t="s">
        <v>161</v>
      </c>
      <c r="C3630" s="43" t="s">
        <v>723</v>
      </c>
      <c r="D3630" s="43" t="s">
        <v>726</v>
      </c>
      <c r="E3630" s="43" t="s">
        <v>727</v>
      </c>
      <c r="F3630" s="43">
        <v>1</v>
      </c>
      <c r="G3630"/>
      <c r="H3630"/>
    </row>
    <row r="3631" spans="1:8" hidden="1" x14ac:dyDescent="0.25">
      <c r="A3631" s="43">
        <v>580</v>
      </c>
      <c r="B3631" s="43" t="s">
        <v>161</v>
      </c>
      <c r="C3631" s="43" t="s">
        <v>723</v>
      </c>
      <c r="D3631" s="43" t="s">
        <v>728</v>
      </c>
      <c r="E3631" s="43" t="s">
        <v>729</v>
      </c>
      <c r="F3631" s="43">
        <v>1</v>
      </c>
      <c r="G3631"/>
      <c r="H3631"/>
    </row>
    <row r="3632" spans="1:8" hidden="1" x14ac:dyDescent="0.25">
      <c r="A3632" s="43">
        <v>580</v>
      </c>
      <c r="B3632" s="43" t="s">
        <v>161</v>
      </c>
      <c r="C3632" s="43" t="s">
        <v>723</v>
      </c>
      <c r="D3632" s="43" t="s">
        <v>730</v>
      </c>
      <c r="E3632" s="43" t="s">
        <v>343</v>
      </c>
      <c r="F3632" s="43">
        <v>0</v>
      </c>
      <c r="G3632" s="43" t="s">
        <v>4671</v>
      </c>
      <c r="H3632" s="43" t="s">
        <v>4759</v>
      </c>
    </row>
    <row r="3633" spans="1:8" hidden="1" x14ac:dyDescent="0.25">
      <c r="A3633" s="43">
        <v>580</v>
      </c>
      <c r="B3633" s="43" t="s">
        <v>161</v>
      </c>
      <c r="C3633" s="43" t="s">
        <v>723</v>
      </c>
      <c r="D3633" s="43" t="s">
        <v>731</v>
      </c>
      <c r="E3633" s="43" t="s">
        <v>732</v>
      </c>
      <c r="F3633" s="43">
        <v>1</v>
      </c>
      <c r="G3633"/>
      <c r="H3633"/>
    </row>
    <row r="3634" spans="1:8" hidden="1" x14ac:dyDescent="0.25">
      <c r="A3634" s="43">
        <v>580</v>
      </c>
      <c r="B3634" s="43" t="s">
        <v>161</v>
      </c>
      <c r="C3634" s="43" t="s">
        <v>723</v>
      </c>
      <c r="D3634" s="43" t="s">
        <v>733</v>
      </c>
      <c r="E3634" s="43" t="s">
        <v>734</v>
      </c>
      <c r="F3634" s="43">
        <v>1</v>
      </c>
      <c r="G3634"/>
      <c r="H3634"/>
    </row>
    <row r="3635" spans="1:8" hidden="1" x14ac:dyDescent="0.25">
      <c r="A3635" s="43">
        <v>580</v>
      </c>
      <c r="B3635" s="43" t="s">
        <v>161</v>
      </c>
      <c r="C3635" s="43" t="s">
        <v>723</v>
      </c>
      <c r="D3635" s="43" t="s">
        <v>735</v>
      </c>
      <c r="E3635" s="43" t="s">
        <v>736</v>
      </c>
      <c r="F3635" s="43">
        <v>0</v>
      </c>
      <c r="G3635" s="43" t="s">
        <v>4672</v>
      </c>
      <c r="H3635" s="43" t="s">
        <v>4759</v>
      </c>
    </row>
    <row r="3636" spans="1:8" hidden="1" x14ac:dyDescent="0.25">
      <c r="A3636" s="43">
        <v>580</v>
      </c>
      <c r="B3636" s="43" t="s">
        <v>161</v>
      </c>
      <c r="C3636" s="43" t="s">
        <v>723</v>
      </c>
      <c r="D3636" s="43" t="s">
        <v>737</v>
      </c>
      <c r="E3636" s="43" t="s">
        <v>738</v>
      </c>
      <c r="F3636" s="43">
        <v>1</v>
      </c>
      <c r="G3636"/>
      <c r="H3636"/>
    </row>
    <row r="3637" spans="1:8" hidden="1" x14ac:dyDescent="0.25">
      <c r="A3637" s="43">
        <v>580</v>
      </c>
      <c r="B3637" s="43" t="s">
        <v>161</v>
      </c>
      <c r="C3637" s="43" t="s">
        <v>723</v>
      </c>
      <c r="D3637" s="43" t="s">
        <v>739</v>
      </c>
      <c r="E3637" s="43" t="s">
        <v>740</v>
      </c>
      <c r="F3637" s="43">
        <v>1</v>
      </c>
      <c r="G3637"/>
      <c r="H3637"/>
    </row>
    <row r="3638" spans="1:8" hidden="1" x14ac:dyDescent="0.25">
      <c r="A3638" s="43">
        <v>580</v>
      </c>
      <c r="B3638" s="43" t="s">
        <v>161</v>
      </c>
      <c r="C3638" s="43" t="s">
        <v>723</v>
      </c>
      <c r="D3638" s="43" t="s">
        <v>741</v>
      </c>
      <c r="E3638" s="43" t="s">
        <v>742</v>
      </c>
      <c r="F3638" s="43">
        <v>1</v>
      </c>
      <c r="G3638"/>
      <c r="H3638"/>
    </row>
    <row r="3639" spans="1:8" hidden="1" x14ac:dyDescent="0.25">
      <c r="A3639" s="43">
        <v>580</v>
      </c>
      <c r="B3639" s="43" t="s">
        <v>161</v>
      </c>
      <c r="C3639" s="43" t="s">
        <v>723</v>
      </c>
      <c r="D3639" s="43" t="s">
        <v>743</v>
      </c>
      <c r="E3639" s="43" t="s">
        <v>744</v>
      </c>
      <c r="F3639" s="43">
        <v>1</v>
      </c>
      <c r="G3639"/>
      <c r="H3639"/>
    </row>
    <row r="3640" spans="1:8" hidden="1" x14ac:dyDescent="0.25">
      <c r="A3640" s="43">
        <v>580</v>
      </c>
      <c r="B3640" s="43" t="s">
        <v>161</v>
      </c>
      <c r="C3640" s="43" t="s">
        <v>723</v>
      </c>
      <c r="D3640" s="43" t="s">
        <v>745</v>
      </c>
      <c r="E3640" s="43" t="s">
        <v>746</v>
      </c>
      <c r="F3640" s="43">
        <v>1</v>
      </c>
      <c r="G3640"/>
      <c r="H3640"/>
    </row>
    <row r="3641" spans="1:8" hidden="1" x14ac:dyDescent="0.25">
      <c r="A3641" s="43">
        <v>580</v>
      </c>
      <c r="B3641" s="43" t="s">
        <v>161</v>
      </c>
      <c r="C3641" s="43" t="s">
        <v>723</v>
      </c>
      <c r="D3641" s="43" t="s">
        <v>747</v>
      </c>
      <c r="E3641" s="43" t="s">
        <v>748</v>
      </c>
      <c r="F3641" s="43">
        <v>0</v>
      </c>
      <c r="G3641" s="43" t="s">
        <v>4673</v>
      </c>
      <c r="H3641" s="43" t="s">
        <v>4759</v>
      </c>
    </row>
    <row r="3642" spans="1:8" hidden="1" x14ac:dyDescent="0.25">
      <c r="A3642" s="43">
        <v>580</v>
      </c>
      <c r="B3642" s="43" t="s">
        <v>161</v>
      </c>
      <c r="C3642" s="43" t="s">
        <v>723</v>
      </c>
      <c r="D3642" s="43" t="s">
        <v>749</v>
      </c>
      <c r="E3642" s="43" t="s">
        <v>750</v>
      </c>
      <c r="F3642" s="43">
        <v>0</v>
      </c>
      <c r="G3642" s="43" t="s">
        <v>4674</v>
      </c>
      <c r="H3642" s="43" t="s">
        <v>4761</v>
      </c>
    </row>
    <row r="3643" spans="1:8" hidden="1" x14ac:dyDescent="0.25">
      <c r="A3643" s="43">
        <v>580</v>
      </c>
      <c r="B3643" s="43" t="s">
        <v>161</v>
      </c>
      <c r="C3643" s="43" t="s">
        <v>723</v>
      </c>
      <c r="D3643" s="43" t="s">
        <v>751</v>
      </c>
      <c r="E3643" s="43" t="s">
        <v>347</v>
      </c>
      <c r="F3643" s="43">
        <v>1</v>
      </c>
      <c r="G3643"/>
      <c r="H3643"/>
    </row>
    <row r="3644" spans="1:8" hidden="1" x14ac:dyDescent="0.25">
      <c r="A3644" s="43">
        <v>580</v>
      </c>
      <c r="B3644" s="43" t="s">
        <v>161</v>
      </c>
      <c r="C3644" s="43" t="s">
        <v>723</v>
      </c>
      <c r="D3644" s="43" t="s">
        <v>752</v>
      </c>
      <c r="E3644" s="43" t="s">
        <v>753</v>
      </c>
      <c r="F3644" s="43">
        <v>0</v>
      </c>
      <c r="G3644" s="43" t="s">
        <v>4674</v>
      </c>
      <c r="H3644" s="43" t="s">
        <v>4761</v>
      </c>
    </row>
    <row r="3645" spans="1:8" hidden="1" x14ac:dyDescent="0.25">
      <c r="A3645" s="43">
        <v>580</v>
      </c>
      <c r="B3645" s="43" t="s">
        <v>161</v>
      </c>
      <c r="C3645" s="43" t="s">
        <v>723</v>
      </c>
      <c r="D3645" s="43" t="s">
        <v>754</v>
      </c>
      <c r="E3645" s="43" t="s">
        <v>755</v>
      </c>
      <c r="F3645" s="43">
        <v>1</v>
      </c>
      <c r="G3645"/>
      <c r="H3645"/>
    </row>
    <row r="3646" spans="1:8" hidden="1" x14ac:dyDescent="0.25">
      <c r="A3646" s="43">
        <v>580</v>
      </c>
      <c r="B3646" s="43" t="s">
        <v>161</v>
      </c>
      <c r="C3646" s="43" t="s">
        <v>723</v>
      </c>
      <c r="D3646" s="43" t="s">
        <v>756</v>
      </c>
      <c r="E3646" s="43" t="s">
        <v>757</v>
      </c>
      <c r="F3646" s="43">
        <v>1</v>
      </c>
      <c r="G3646"/>
      <c r="H3646"/>
    </row>
    <row r="3647" spans="1:8" hidden="1" x14ac:dyDescent="0.25">
      <c r="A3647" s="43">
        <v>580</v>
      </c>
      <c r="B3647" s="43" t="s">
        <v>161</v>
      </c>
      <c r="C3647" s="43" t="s">
        <v>723</v>
      </c>
      <c r="D3647" s="43" t="s">
        <v>758</v>
      </c>
      <c r="E3647" s="43" t="s">
        <v>759</v>
      </c>
      <c r="F3647" s="43">
        <v>1</v>
      </c>
      <c r="G3647"/>
      <c r="H3647"/>
    </row>
    <row r="3648" spans="1:8" hidden="1" x14ac:dyDescent="0.25">
      <c r="A3648" s="43">
        <v>582</v>
      </c>
      <c r="B3648" s="43" t="s">
        <v>162</v>
      </c>
      <c r="C3648" s="43" t="s">
        <v>818</v>
      </c>
      <c r="D3648" s="43" t="s">
        <v>819</v>
      </c>
      <c r="E3648" s="43" t="s">
        <v>820</v>
      </c>
      <c r="F3648" s="43">
        <v>1</v>
      </c>
      <c r="G3648"/>
      <c r="H3648"/>
    </row>
    <row r="3649" spans="1:8" x14ac:dyDescent="0.25">
      <c r="A3649" s="43">
        <v>582</v>
      </c>
      <c r="B3649" s="43" t="s">
        <v>162</v>
      </c>
      <c r="C3649" s="43" t="s">
        <v>818</v>
      </c>
      <c r="D3649" s="43" t="s">
        <v>821</v>
      </c>
      <c r="E3649" s="43" t="s">
        <v>822</v>
      </c>
      <c r="F3649" s="43">
        <v>2</v>
      </c>
      <c r="G3649" s="43" t="s">
        <v>4540</v>
      </c>
      <c r="H3649" s="43" t="s">
        <v>4580</v>
      </c>
    </row>
    <row r="3650" spans="1:8" hidden="1" x14ac:dyDescent="0.25">
      <c r="A3650" s="43">
        <v>582</v>
      </c>
      <c r="B3650" s="43" t="s">
        <v>162</v>
      </c>
      <c r="C3650" s="43" t="s">
        <v>818</v>
      </c>
      <c r="D3650" s="43" t="s">
        <v>823</v>
      </c>
      <c r="E3650" s="43" t="s">
        <v>306</v>
      </c>
      <c r="F3650" s="43">
        <v>1</v>
      </c>
      <c r="G3650"/>
      <c r="H3650"/>
    </row>
    <row r="3651" spans="1:8" hidden="1" x14ac:dyDescent="0.25">
      <c r="A3651" s="43">
        <v>582</v>
      </c>
      <c r="B3651" s="43" t="s">
        <v>162</v>
      </c>
      <c r="C3651" s="43" t="s">
        <v>818</v>
      </c>
      <c r="D3651" s="43" t="s">
        <v>824</v>
      </c>
      <c r="E3651" s="43" t="s">
        <v>825</v>
      </c>
      <c r="F3651" s="43">
        <v>0</v>
      </c>
      <c r="G3651" s="43" t="s">
        <v>4675</v>
      </c>
      <c r="H3651" s="43" t="s">
        <v>4755</v>
      </c>
    </row>
    <row r="3652" spans="1:8" hidden="1" x14ac:dyDescent="0.25">
      <c r="A3652" s="43">
        <v>582</v>
      </c>
      <c r="B3652" s="43" t="s">
        <v>162</v>
      </c>
      <c r="C3652" s="43" t="s">
        <v>818</v>
      </c>
      <c r="D3652" s="43" t="s">
        <v>826</v>
      </c>
      <c r="E3652" s="43" t="s">
        <v>827</v>
      </c>
      <c r="F3652" s="43">
        <v>1</v>
      </c>
      <c r="G3652"/>
      <c r="H3652"/>
    </row>
    <row r="3653" spans="1:8" hidden="1" x14ac:dyDescent="0.25">
      <c r="A3653" s="43">
        <v>582</v>
      </c>
      <c r="B3653" s="43" t="s">
        <v>162</v>
      </c>
      <c r="C3653" s="43" t="s">
        <v>818</v>
      </c>
      <c r="D3653" s="43" t="s">
        <v>828</v>
      </c>
      <c r="E3653" s="43" t="s">
        <v>312</v>
      </c>
      <c r="F3653" s="43">
        <v>1</v>
      </c>
      <c r="G3653"/>
      <c r="H3653"/>
    </row>
    <row r="3654" spans="1:8" hidden="1" x14ac:dyDescent="0.25">
      <c r="A3654" s="43">
        <v>582</v>
      </c>
      <c r="B3654" s="43" t="s">
        <v>162</v>
      </c>
      <c r="C3654" s="43" t="s">
        <v>818</v>
      </c>
      <c r="D3654" s="43" t="s">
        <v>829</v>
      </c>
      <c r="E3654" s="43" t="s">
        <v>316</v>
      </c>
      <c r="F3654" s="43">
        <v>1</v>
      </c>
      <c r="G3654"/>
      <c r="H3654"/>
    </row>
    <row r="3655" spans="1:8" hidden="1" x14ac:dyDescent="0.25">
      <c r="A3655" s="43">
        <v>582</v>
      </c>
      <c r="B3655" s="43" t="s">
        <v>162</v>
      </c>
      <c r="C3655" s="43" t="s">
        <v>818</v>
      </c>
      <c r="D3655" s="43" t="s">
        <v>830</v>
      </c>
      <c r="E3655" s="43" t="s">
        <v>314</v>
      </c>
      <c r="F3655" s="43">
        <v>1</v>
      </c>
      <c r="G3655"/>
      <c r="H3655"/>
    </row>
    <row r="3656" spans="1:8" hidden="1" x14ac:dyDescent="0.25">
      <c r="A3656" s="43">
        <v>582</v>
      </c>
      <c r="B3656" s="43" t="s">
        <v>162</v>
      </c>
      <c r="C3656" s="43" t="s">
        <v>818</v>
      </c>
      <c r="D3656" s="43" t="s">
        <v>831</v>
      </c>
      <c r="E3656" s="43" t="s">
        <v>832</v>
      </c>
      <c r="F3656" s="43">
        <v>1</v>
      </c>
      <c r="G3656"/>
      <c r="H3656"/>
    </row>
    <row r="3657" spans="1:8" hidden="1" x14ac:dyDescent="0.25">
      <c r="A3657" s="43">
        <v>582</v>
      </c>
      <c r="B3657" s="43" t="s">
        <v>162</v>
      </c>
      <c r="C3657" s="43" t="s">
        <v>818</v>
      </c>
      <c r="D3657" s="43" t="s">
        <v>833</v>
      </c>
      <c r="E3657" s="43" t="s">
        <v>834</v>
      </c>
      <c r="F3657" s="43">
        <v>1</v>
      </c>
      <c r="G3657"/>
      <c r="H3657"/>
    </row>
    <row r="3658" spans="1:8" hidden="1" x14ac:dyDescent="0.25">
      <c r="A3658" s="43">
        <v>582</v>
      </c>
      <c r="B3658" s="43" t="s">
        <v>162</v>
      </c>
      <c r="C3658" s="43" t="s">
        <v>818</v>
      </c>
      <c r="D3658" s="43" t="s">
        <v>835</v>
      </c>
      <c r="E3658" s="43" t="s">
        <v>836</v>
      </c>
      <c r="F3658" s="43">
        <v>0</v>
      </c>
      <c r="G3658" s="43" t="s">
        <v>4583</v>
      </c>
    </row>
    <row r="3659" spans="1:8" hidden="1" x14ac:dyDescent="0.25">
      <c r="A3659" s="43">
        <v>582</v>
      </c>
      <c r="B3659" s="43" t="s">
        <v>162</v>
      </c>
      <c r="C3659" s="43" t="s">
        <v>818</v>
      </c>
      <c r="D3659" s="43" t="s">
        <v>837</v>
      </c>
      <c r="E3659" s="43" t="s">
        <v>838</v>
      </c>
      <c r="F3659" s="43">
        <v>0</v>
      </c>
      <c r="G3659" s="43" t="s">
        <v>4583</v>
      </c>
    </row>
    <row r="3660" spans="1:8" hidden="1" x14ac:dyDescent="0.25">
      <c r="A3660" s="43">
        <v>582</v>
      </c>
      <c r="B3660" s="43" t="s">
        <v>162</v>
      </c>
      <c r="C3660" s="43" t="s">
        <v>818</v>
      </c>
      <c r="D3660" s="43" t="s">
        <v>839</v>
      </c>
      <c r="E3660" s="43" t="s">
        <v>840</v>
      </c>
      <c r="F3660" s="43">
        <v>0</v>
      </c>
      <c r="G3660" s="43" t="s">
        <v>4583</v>
      </c>
    </row>
    <row r="3661" spans="1:8" hidden="1" x14ac:dyDescent="0.25">
      <c r="A3661" s="43">
        <v>582</v>
      </c>
      <c r="B3661" s="43" t="s">
        <v>162</v>
      </c>
      <c r="C3661" s="43" t="s">
        <v>818</v>
      </c>
      <c r="D3661" s="43" t="s">
        <v>841</v>
      </c>
      <c r="E3661" s="43" t="s">
        <v>842</v>
      </c>
      <c r="F3661" s="43">
        <v>0</v>
      </c>
      <c r="G3661" s="43" t="s">
        <v>4583</v>
      </c>
    </row>
    <row r="3662" spans="1:8" hidden="1" x14ac:dyDescent="0.25">
      <c r="A3662" s="43">
        <v>582</v>
      </c>
      <c r="B3662" s="43" t="s">
        <v>162</v>
      </c>
      <c r="C3662" s="43" t="s">
        <v>818</v>
      </c>
      <c r="D3662" s="43" t="s">
        <v>843</v>
      </c>
      <c r="E3662" s="43" t="s">
        <v>844</v>
      </c>
      <c r="F3662" s="43">
        <v>1</v>
      </c>
      <c r="G3662"/>
      <c r="H3662"/>
    </row>
    <row r="3663" spans="1:8" hidden="1" x14ac:dyDescent="0.25">
      <c r="A3663" s="43">
        <v>582</v>
      </c>
      <c r="B3663" s="43" t="s">
        <v>162</v>
      </c>
      <c r="C3663" s="43" t="s">
        <v>818</v>
      </c>
      <c r="D3663" s="43" t="s">
        <v>845</v>
      </c>
      <c r="E3663" s="43" t="s">
        <v>846</v>
      </c>
      <c r="F3663" s="43">
        <v>0</v>
      </c>
      <c r="G3663" s="43" t="s">
        <v>4583</v>
      </c>
    </row>
    <row r="3664" spans="1:8" hidden="1" x14ac:dyDescent="0.25">
      <c r="A3664" s="43">
        <v>582</v>
      </c>
      <c r="B3664" s="43" t="s">
        <v>162</v>
      </c>
      <c r="C3664" s="43" t="s">
        <v>818</v>
      </c>
      <c r="D3664" s="43" t="s">
        <v>847</v>
      </c>
      <c r="E3664" s="43" t="s">
        <v>848</v>
      </c>
      <c r="F3664" s="43">
        <v>0</v>
      </c>
      <c r="G3664" s="43" t="s">
        <v>4583</v>
      </c>
    </row>
    <row r="3665" spans="1:8" hidden="1" x14ac:dyDescent="0.25">
      <c r="A3665" s="43">
        <v>582</v>
      </c>
      <c r="B3665" s="43" t="s">
        <v>162</v>
      </c>
      <c r="C3665" s="43" t="s">
        <v>818</v>
      </c>
      <c r="D3665" s="43" t="s">
        <v>849</v>
      </c>
      <c r="E3665" s="43" t="s">
        <v>850</v>
      </c>
      <c r="F3665" s="43">
        <v>0</v>
      </c>
      <c r="G3665" s="43" t="s">
        <v>4583</v>
      </c>
    </row>
    <row r="3666" spans="1:8" hidden="1" x14ac:dyDescent="0.25">
      <c r="A3666" s="43">
        <v>582</v>
      </c>
      <c r="B3666" s="43" t="s">
        <v>162</v>
      </c>
      <c r="C3666" s="43" t="s">
        <v>818</v>
      </c>
      <c r="D3666" s="43" t="s">
        <v>851</v>
      </c>
      <c r="E3666" s="43" t="s">
        <v>852</v>
      </c>
      <c r="F3666" s="43">
        <v>1</v>
      </c>
      <c r="G3666"/>
      <c r="H3666"/>
    </row>
    <row r="3667" spans="1:8" hidden="1" x14ac:dyDescent="0.25">
      <c r="A3667" s="43">
        <v>582</v>
      </c>
      <c r="B3667" s="43" t="s">
        <v>162</v>
      </c>
      <c r="C3667" s="43" t="s">
        <v>818</v>
      </c>
      <c r="D3667" s="43" t="s">
        <v>853</v>
      </c>
      <c r="E3667" s="43" t="s">
        <v>854</v>
      </c>
      <c r="F3667" s="43">
        <v>1</v>
      </c>
      <c r="G3667"/>
      <c r="H3667"/>
    </row>
    <row r="3668" spans="1:8" hidden="1" x14ac:dyDescent="0.25">
      <c r="A3668" s="43">
        <v>582</v>
      </c>
      <c r="B3668" s="43" t="s">
        <v>162</v>
      </c>
      <c r="C3668" s="43" t="s">
        <v>818</v>
      </c>
      <c r="D3668" s="43" t="s">
        <v>855</v>
      </c>
      <c r="E3668" s="43" t="s">
        <v>856</v>
      </c>
      <c r="F3668" s="43">
        <v>0</v>
      </c>
      <c r="G3668" s="43" t="s">
        <v>4583</v>
      </c>
    </row>
    <row r="3669" spans="1:8" hidden="1" x14ac:dyDescent="0.25">
      <c r="A3669" s="43">
        <v>582</v>
      </c>
      <c r="B3669" s="43" t="s">
        <v>162</v>
      </c>
      <c r="C3669" s="43" t="s">
        <v>818</v>
      </c>
      <c r="D3669" s="43" t="s">
        <v>857</v>
      </c>
      <c r="E3669" s="43" t="s">
        <v>858</v>
      </c>
      <c r="F3669" s="43">
        <v>0</v>
      </c>
      <c r="G3669" s="43" t="s">
        <v>4583</v>
      </c>
    </row>
    <row r="3670" spans="1:8" hidden="1" x14ac:dyDescent="0.25">
      <c r="A3670" s="43">
        <v>588</v>
      </c>
      <c r="B3670" s="43" t="s">
        <v>163</v>
      </c>
      <c r="C3670" s="43" t="s">
        <v>1790</v>
      </c>
      <c r="D3670" s="43" t="s">
        <v>1791</v>
      </c>
      <c r="E3670" s="43" t="s">
        <v>273</v>
      </c>
      <c r="F3670" s="43">
        <v>1</v>
      </c>
      <c r="G3670"/>
      <c r="H3670"/>
    </row>
    <row r="3671" spans="1:8" hidden="1" x14ac:dyDescent="0.25">
      <c r="A3671" s="43">
        <v>588</v>
      </c>
      <c r="B3671" s="43" t="s">
        <v>163</v>
      </c>
      <c r="C3671" s="43" t="s">
        <v>1790</v>
      </c>
      <c r="D3671" s="43" t="s">
        <v>1792</v>
      </c>
      <c r="E3671" s="43" t="s">
        <v>312</v>
      </c>
      <c r="F3671" s="43">
        <v>0</v>
      </c>
      <c r="G3671" s="43" t="s">
        <v>4676</v>
      </c>
      <c r="H3671" s="43" t="s">
        <v>4760</v>
      </c>
    </row>
    <row r="3672" spans="1:8" hidden="1" x14ac:dyDescent="0.25">
      <c r="A3672" s="43">
        <v>588</v>
      </c>
      <c r="B3672" s="43" t="s">
        <v>163</v>
      </c>
      <c r="C3672" s="43" t="s">
        <v>1790</v>
      </c>
      <c r="D3672" s="43" t="s">
        <v>1793</v>
      </c>
      <c r="E3672" s="43" t="s">
        <v>801</v>
      </c>
      <c r="F3672" s="43">
        <v>1</v>
      </c>
      <c r="G3672"/>
      <c r="H3672"/>
    </row>
    <row r="3673" spans="1:8" hidden="1" x14ac:dyDescent="0.25">
      <c r="A3673" s="43">
        <v>588</v>
      </c>
      <c r="B3673" s="43" t="s">
        <v>163</v>
      </c>
      <c r="C3673" s="43" t="s">
        <v>1790</v>
      </c>
      <c r="D3673" s="43" t="s">
        <v>1794</v>
      </c>
      <c r="E3673" s="43" t="s">
        <v>786</v>
      </c>
      <c r="F3673" s="43">
        <v>1</v>
      </c>
      <c r="G3673"/>
      <c r="H3673"/>
    </row>
    <row r="3674" spans="1:8" hidden="1" x14ac:dyDescent="0.25">
      <c r="A3674" s="43">
        <v>588</v>
      </c>
      <c r="B3674" s="43" t="s">
        <v>163</v>
      </c>
      <c r="C3674" s="43" t="s">
        <v>1790</v>
      </c>
      <c r="D3674" s="43" t="s">
        <v>1795</v>
      </c>
      <c r="E3674" s="43" t="s">
        <v>784</v>
      </c>
      <c r="F3674" s="43">
        <v>1</v>
      </c>
      <c r="G3674"/>
      <c r="H3674"/>
    </row>
    <row r="3675" spans="1:8" hidden="1" x14ac:dyDescent="0.25">
      <c r="A3675" s="43">
        <v>588</v>
      </c>
      <c r="B3675" s="43" t="s">
        <v>163</v>
      </c>
      <c r="C3675" s="43" t="s">
        <v>1790</v>
      </c>
      <c r="D3675" s="43" t="s">
        <v>1796</v>
      </c>
      <c r="E3675" s="43" t="s">
        <v>1205</v>
      </c>
      <c r="F3675" s="43">
        <v>1</v>
      </c>
      <c r="G3675"/>
      <c r="H3675"/>
    </row>
    <row r="3676" spans="1:8" hidden="1" x14ac:dyDescent="0.25">
      <c r="A3676" s="43">
        <v>588</v>
      </c>
      <c r="B3676" s="43" t="s">
        <v>163</v>
      </c>
      <c r="C3676" s="43" t="s">
        <v>1790</v>
      </c>
      <c r="D3676" s="43" t="s">
        <v>1797</v>
      </c>
      <c r="E3676" s="43" t="s">
        <v>1207</v>
      </c>
      <c r="F3676" s="43">
        <v>1</v>
      </c>
      <c r="G3676"/>
      <c r="H3676"/>
    </row>
    <row r="3677" spans="1:8" hidden="1" x14ac:dyDescent="0.25">
      <c r="A3677" s="43">
        <v>588</v>
      </c>
      <c r="B3677" s="43" t="s">
        <v>163</v>
      </c>
      <c r="C3677" s="43" t="s">
        <v>1790</v>
      </c>
      <c r="D3677" s="43" t="s">
        <v>1798</v>
      </c>
      <c r="E3677" s="43" t="s">
        <v>1209</v>
      </c>
      <c r="F3677" s="43">
        <v>1</v>
      </c>
      <c r="G3677"/>
      <c r="H3677"/>
    </row>
    <row r="3678" spans="1:8" hidden="1" x14ac:dyDescent="0.25">
      <c r="A3678" s="43">
        <v>588</v>
      </c>
      <c r="B3678" s="43" t="s">
        <v>163</v>
      </c>
      <c r="C3678" s="43" t="s">
        <v>1790</v>
      </c>
      <c r="D3678" s="43" t="s">
        <v>1799</v>
      </c>
      <c r="E3678" s="43" t="s">
        <v>789</v>
      </c>
      <c r="F3678" s="43">
        <v>0</v>
      </c>
      <c r="G3678" s="43" t="s">
        <v>4677</v>
      </c>
      <c r="H3678" s="43" t="s">
        <v>4766</v>
      </c>
    </row>
    <row r="3679" spans="1:8" hidden="1" x14ac:dyDescent="0.25">
      <c r="A3679" s="43">
        <v>588</v>
      </c>
      <c r="B3679" s="43" t="s">
        <v>163</v>
      </c>
      <c r="C3679" s="43" t="s">
        <v>1790</v>
      </c>
      <c r="D3679" s="43" t="s">
        <v>1800</v>
      </c>
      <c r="E3679" s="43" t="s">
        <v>1214</v>
      </c>
      <c r="F3679" s="43">
        <v>1</v>
      </c>
      <c r="G3679"/>
      <c r="H3679"/>
    </row>
    <row r="3680" spans="1:8" hidden="1" x14ac:dyDescent="0.25">
      <c r="A3680" s="43">
        <v>588</v>
      </c>
      <c r="B3680" s="43" t="s">
        <v>163</v>
      </c>
      <c r="C3680" s="43" t="s">
        <v>1790</v>
      </c>
      <c r="D3680" s="43" t="s">
        <v>1801</v>
      </c>
      <c r="E3680" s="43" t="s">
        <v>1784</v>
      </c>
      <c r="F3680" s="43">
        <v>1</v>
      </c>
      <c r="G3680"/>
      <c r="H3680"/>
    </row>
    <row r="3681" spans="1:8" hidden="1" x14ac:dyDescent="0.25">
      <c r="A3681" s="43">
        <v>588</v>
      </c>
      <c r="B3681" s="43" t="s">
        <v>163</v>
      </c>
      <c r="C3681" s="43" t="s">
        <v>1790</v>
      </c>
      <c r="D3681" s="43" t="s">
        <v>1802</v>
      </c>
      <c r="E3681" s="43" t="s">
        <v>791</v>
      </c>
      <c r="F3681" s="43">
        <v>1</v>
      </c>
      <c r="G3681"/>
      <c r="H3681"/>
    </row>
    <row r="3682" spans="1:8" hidden="1" x14ac:dyDescent="0.25">
      <c r="A3682" s="43">
        <v>588</v>
      </c>
      <c r="B3682" s="43" t="s">
        <v>163</v>
      </c>
      <c r="C3682" s="43" t="s">
        <v>1790</v>
      </c>
      <c r="D3682" s="43" t="s">
        <v>1803</v>
      </c>
      <c r="E3682" s="43" t="s">
        <v>795</v>
      </c>
      <c r="F3682" s="43">
        <v>1</v>
      </c>
      <c r="G3682"/>
      <c r="H3682"/>
    </row>
    <row r="3683" spans="1:8" hidden="1" x14ac:dyDescent="0.25">
      <c r="A3683" s="43">
        <v>588</v>
      </c>
      <c r="B3683" s="43" t="s">
        <v>163</v>
      </c>
      <c r="C3683" s="43" t="s">
        <v>1790</v>
      </c>
      <c r="D3683" s="43" t="s">
        <v>1804</v>
      </c>
      <c r="E3683" s="43" t="s">
        <v>372</v>
      </c>
      <c r="F3683" s="43">
        <v>1</v>
      </c>
      <c r="G3683"/>
      <c r="H3683"/>
    </row>
    <row r="3684" spans="1:8" hidden="1" x14ac:dyDescent="0.25">
      <c r="A3684" s="43">
        <v>588</v>
      </c>
      <c r="B3684" s="43" t="s">
        <v>163</v>
      </c>
      <c r="C3684" s="43" t="s">
        <v>1790</v>
      </c>
      <c r="D3684" s="43" t="s">
        <v>1805</v>
      </c>
      <c r="E3684" s="43" t="s">
        <v>1806</v>
      </c>
      <c r="F3684" s="43">
        <v>0</v>
      </c>
      <c r="G3684" s="43" t="s">
        <v>4678</v>
      </c>
      <c r="H3684" s="43" t="s">
        <v>4765</v>
      </c>
    </row>
    <row r="3685" spans="1:8" hidden="1" x14ac:dyDescent="0.25">
      <c r="A3685" s="43">
        <v>588</v>
      </c>
      <c r="B3685" s="43" t="s">
        <v>163</v>
      </c>
      <c r="C3685" s="43" t="s">
        <v>1790</v>
      </c>
      <c r="D3685" s="43" t="s">
        <v>1807</v>
      </c>
      <c r="E3685" s="43" t="s">
        <v>1808</v>
      </c>
      <c r="F3685" s="89">
        <v>1</v>
      </c>
      <c r="H3685"/>
    </row>
    <row r="3686" spans="1:8" hidden="1" x14ac:dyDescent="0.25">
      <c r="A3686" s="43">
        <v>590</v>
      </c>
      <c r="B3686" s="43" t="s">
        <v>164</v>
      </c>
      <c r="C3686" s="43" t="s">
        <v>1772</v>
      </c>
      <c r="D3686" s="43" t="s">
        <v>1773</v>
      </c>
      <c r="E3686" s="43" t="s">
        <v>1774</v>
      </c>
      <c r="F3686" s="43">
        <v>1</v>
      </c>
      <c r="G3686"/>
      <c r="H3686"/>
    </row>
    <row r="3687" spans="1:8" hidden="1" x14ac:dyDescent="0.25">
      <c r="A3687" s="43">
        <v>590</v>
      </c>
      <c r="B3687" s="43" t="s">
        <v>164</v>
      </c>
      <c r="C3687" s="43" t="s">
        <v>1772</v>
      </c>
      <c r="D3687" s="43" t="s">
        <v>1775</v>
      </c>
      <c r="E3687" s="43" t="s">
        <v>306</v>
      </c>
      <c r="F3687" s="43">
        <v>1</v>
      </c>
      <c r="G3687"/>
      <c r="H3687"/>
    </row>
    <row r="3688" spans="1:8" x14ac:dyDescent="0.25">
      <c r="A3688" s="43">
        <v>590</v>
      </c>
      <c r="B3688" s="43" t="s">
        <v>164</v>
      </c>
      <c r="C3688" s="43" t="s">
        <v>1772</v>
      </c>
      <c r="D3688" s="43" t="s">
        <v>1776</v>
      </c>
      <c r="E3688" s="43" t="s">
        <v>273</v>
      </c>
      <c r="F3688" s="43">
        <v>2</v>
      </c>
      <c r="G3688" s="43" t="s">
        <v>4541</v>
      </c>
      <c r="H3688" s="43" t="s">
        <v>4580</v>
      </c>
    </row>
    <row r="3689" spans="1:8" x14ac:dyDescent="0.25">
      <c r="A3689" s="43">
        <v>590</v>
      </c>
      <c r="B3689" s="43" t="s">
        <v>164</v>
      </c>
      <c r="C3689" s="43" t="s">
        <v>1772</v>
      </c>
      <c r="D3689" s="43" t="s">
        <v>1777</v>
      </c>
      <c r="E3689" s="43" t="s">
        <v>312</v>
      </c>
      <c r="F3689" s="43">
        <v>2</v>
      </c>
      <c r="G3689" s="43" t="s">
        <v>4541</v>
      </c>
      <c r="H3689" s="43" t="s">
        <v>4580</v>
      </c>
    </row>
    <row r="3690" spans="1:8" x14ac:dyDescent="0.25">
      <c r="A3690" s="43">
        <v>590</v>
      </c>
      <c r="B3690" s="43" t="s">
        <v>164</v>
      </c>
      <c r="C3690" s="43" t="s">
        <v>1772</v>
      </c>
      <c r="D3690" s="43" t="s">
        <v>1778</v>
      </c>
      <c r="E3690" s="43" t="s">
        <v>880</v>
      </c>
      <c r="F3690" s="43">
        <v>2</v>
      </c>
      <c r="G3690" s="43" t="s">
        <v>4541</v>
      </c>
      <c r="H3690" s="43" t="s">
        <v>4580</v>
      </c>
    </row>
    <row r="3691" spans="1:8" hidden="1" x14ac:dyDescent="0.25">
      <c r="A3691" s="43">
        <v>590</v>
      </c>
      <c r="B3691" s="43" t="s">
        <v>164</v>
      </c>
      <c r="C3691" s="43" t="s">
        <v>1772</v>
      </c>
      <c r="D3691" s="43" t="s">
        <v>1779</v>
      </c>
      <c r="E3691" s="43" t="s">
        <v>1780</v>
      </c>
      <c r="F3691" s="43">
        <v>1</v>
      </c>
      <c r="G3691"/>
      <c r="H3691"/>
    </row>
    <row r="3692" spans="1:8" hidden="1" x14ac:dyDescent="0.25">
      <c r="A3692" s="43">
        <v>590</v>
      </c>
      <c r="B3692" s="43" t="s">
        <v>164</v>
      </c>
      <c r="C3692" s="43" t="s">
        <v>1772</v>
      </c>
      <c r="D3692" s="43" t="s">
        <v>1781</v>
      </c>
      <c r="E3692" s="43" t="s">
        <v>1782</v>
      </c>
      <c r="F3692" s="43">
        <v>1</v>
      </c>
      <c r="G3692"/>
      <c r="H3692"/>
    </row>
    <row r="3693" spans="1:8" hidden="1" x14ac:dyDescent="0.25">
      <c r="A3693" s="43">
        <v>590</v>
      </c>
      <c r="B3693" s="43" t="s">
        <v>164</v>
      </c>
      <c r="C3693" s="43" t="s">
        <v>1772</v>
      </c>
      <c r="D3693" s="43" t="s">
        <v>1783</v>
      </c>
      <c r="E3693" s="43" t="s">
        <v>1784</v>
      </c>
      <c r="F3693" s="43">
        <v>1</v>
      </c>
      <c r="G3693"/>
      <c r="H3693"/>
    </row>
    <row r="3694" spans="1:8" hidden="1" x14ac:dyDescent="0.25">
      <c r="A3694" s="43">
        <v>590</v>
      </c>
      <c r="B3694" s="43" t="s">
        <v>164</v>
      </c>
      <c r="C3694" s="43" t="s">
        <v>1772</v>
      </c>
      <c r="D3694" s="43" t="s">
        <v>1785</v>
      </c>
      <c r="E3694" s="43" t="s">
        <v>866</v>
      </c>
      <c r="F3694" s="43">
        <v>1</v>
      </c>
      <c r="G3694"/>
      <c r="H3694"/>
    </row>
    <row r="3695" spans="1:8" hidden="1" x14ac:dyDescent="0.25">
      <c r="A3695" s="43">
        <v>590</v>
      </c>
      <c r="B3695" s="43" t="s">
        <v>164</v>
      </c>
      <c r="C3695" s="43" t="s">
        <v>1772</v>
      </c>
      <c r="D3695" s="43" t="s">
        <v>1786</v>
      </c>
      <c r="E3695" s="43" t="s">
        <v>1787</v>
      </c>
      <c r="F3695" s="43">
        <v>1</v>
      </c>
      <c r="G3695"/>
      <c r="H3695"/>
    </row>
    <row r="3696" spans="1:8" hidden="1" x14ac:dyDescent="0.25">
      <c r="A3696" s="43">
        <v>590</v>
      </c>
      <c r="B3696" s="43" t="s">
        <v>164</v>
      </c>
      <c r="C3696" s="43" t="s">
        <v>1772</v>
      </c>
      <c r="D3696" s="43" t="s">
        <v>1788</v>
      </c>
      <c r="E3696" s="43" t="s">
        <v>295</v>
      </c>
      <c r="F3696" s="43">
        <v>1</v>
      </c>
      <c r="G3696"/>
      <c r="H3696"/>
    </row>
    <row r="3697" spans="1:8" hidden="1" x14ac:dyDescent="0.25">
      <c r="A3697" s="43">
        <v>590</v>
      </c>
      <c r="B3697" s="43" t="s">
        <v>164</v>
      </c>
      <c r="C3697" s="43" t="s">
        <v>1772</v>
      </c>
      <c r="D3697" s="43" t="s">
        <v>1789</v>
      </c>
      <c r="E3697" s="43" t="s">
        <v>372</v>
      </c>
      <c r="F3697" s="43">
        <v>1</v>
      </c>
      <c r="G3697"/>
      <c r="H3697"/>
    </row>
    <row r="3698" spans="1:8" hidden="1" x14ac:dyDescent="0.25">
      <c r="A3698" s="43">
        <v>595</v>
      </c>
      <c r="B3698" s="43" t="s">
        <v>165</v>
      </c>
      <c r="C3698" s="43" t="s">
        <v>1772</v>
      </c>
      <c r="D3698" s="43" t="s">
        <v>1773</v>
      </c>
      <c r="E3698" s="43" t="s">
        <v>1774</v>
      </c>
      <c r="F3698" s="43">
        <v>1</v>
      </c>
      <c r="G3698"/>
      <c r="H3698"/>
    </row>
    <row r="3699" spans="1:8" hidden="1" x14ac:dyDescent="0.25">
      <c r="A3699" s="43">
        <v>595</v>
      </c>
      <c r="B3699" s="43" t="s">
        <v>165</v>
      </c>
      <c r="C3699" s="43" t="s">
        <v>1772</v>
      </c>
      <c r="D3699" s="43" t="s">
        <v>1775</v>
      </c>
      <c r="E3699" s="43" t="s">
        <v>306</v>
      </c>
      <c r="F3699" s="43">
        <v>1</v>
      </c>
      <c r="G3699"/>
      <c r="H3699"/>
    </row>
    <row r="3700" spans="1:8" hidden="1" x14ac:dyDescent="0.25">
      <c r="A3700" s="43">
        <v>595</v>
      </c>
      <c r="B3700" s="43" t="s">
        <v>165</v>
      </c>
      <c r="C3700" s="43" t="s">
        <v>1772</v>
      </c>
      <c r="D3700" s="43" t="s">
        <v>1776</v>
      </c>
      <c r="E3700" s="43" t="s">
        <v>273</v>
      </c>
      <c r="F3700" s="43">
        <v>1</v>
      </c>
      <c r="G3700"/>
      <c r="H3700"/>
    </row>
    <row r="3701" spans="1:8" hidden="1" x14ac:dyDescent="0.25">
      <c r="A3701" s="43">
        <v>595</v>
      </c>
      <c r="B3701" s="43" t="s">
        <v>165</v>
      </c>
      <c r="C3701" s="43" t="s">
        <v>1772</v>
      </c>
      <c r="D3701" s="43" t="s">
        <v>1777</v>
      </c>
      <c r="E3701" s="43" t="s">
        <v>312</v>
      </c>
      <c r="F3701" s="43">
        <v>1</v>
      </c>
      <c r="G3701"/>
      <c r="H3701"/>
    </row>
    <row r="3702" spans="1:8" hidden="1" x14ac:dyDescent="0.25">
      <c r="A3702" s="43">
        <v>595</v>
      </c>
      <c r="B3702" s="43" t="s">
        <v>165</v>
      </c>
      <c r="C3702" s="43" t="s">
        <v>1772</v>
      </c>
      <c r="D3702" s="43" t="s">
        <v>1778</v>
      </c>
      <c r="E3702" s="43" t="s">
        <v>880</v>
      </c>
      <c r="F3702" s="43">
        <v>1</v>
      </c>
      <c r="G3702"/>
      <c r="H3702"/>
    </row>
    <row r="3703" spans="1:8" hidden="1" x14ac:dyDescent="0.25">
      <c r="A3703" s="43">
        <v>595</v>
      </c>
      <c r="B3703" s="43" t="s">
        <v>165</v>
      </c>
      <c r="C3703" s="43" t="s">
        <v>1772</v>
      </c>
      <c r="D3703" s="43" t="s">
        <v>1779</v>
      </c>
      <c r="E3703" s="43" t="s">
        <v>1780</v>
      </c>
      <c r="F3703" s="43">
        <v>1</v>
      </c>
      <c r="G3703"/>
      <c r="H3703"/>
    </row>
    <row r="3704" spans="1:8" hidden="1" x14ac:dyDescent="0.25">
      <c r="A3704" s="43">
        <v>595</v>
      </c>
      <c r="B3704" s="43" t="s">
        <v>165</v>
      </c>
      <c r="C3704" s="43" t="s">
        <v>1772</v>
      </c>
      <c r="D3704" s="43" t="s">
        <v>1781</v>
      </c>
      <c r="E3704" s="43" t="s">
        <v>1782</v>
      </c>
      <c r="F3704" s="43">
        <v>1</v>
      </c>
      <c r="G3704"/>
      <c r="H3704"/>
    </row>
    <row r="3705" spans="1:8" hidden="1" x14ac:dyDescent="0.25">
      <c r="A3705" s="43">
        <v>595</v>
      </c>
      <c r="B3705" s="43" t="s">
        <v>165</v>
      </c>
      <c r="C3705" s="43" t="s">
        <v>1772</v>
      </c>
      <c r="D3705" s="43" t="s">
        <v>1783</v>
      </c>
      <c r="E3705" s="43" t="s">
        <v>1784</v>
      </c>
      <c r="F3705" s="43">
        <v>1</v>
      </c>
      <c r="G3705"/>
      <c r="H3705"/>
    </row>
    <row r="3706" spans="1:8" hidden="1" x14ac:dyDescent="0.25">
      <c r="A3706" s="43">
        <v>595</v>
      </c>
      <c r="B3706" s="43" t="s">
        <v>165</v>
      </c>
      <c r="C3706" s="43" t="s">
        <v>1772</v>
      </c>
      <c r="D3706" s="43" t="s">
        <v>1785</v>
      </c>
      <c r="E3706" s="43" t="s">
        <v>866</v>
      </c>
      <c r="F3706" s="43">
        <v>1</v>
      </c>
      <c r="G3706"/>
      <c r="H3706"/>
    </row>
    <row r="3707" spans="1:8" x14ac:dyDescent="0.25">
      <c r="A3707" s="43">
        <v>595</v>
      </c>
      <c r="B3707" s="43" t="s">
        <v>165</v>
      </c>
      <c r="C3707" s="43" t="s">
        <v>1772</v>
      </c>
      <c r="D3707" s="43" t="s">
        <v>1786</v>
      </c>
      <c r="E3707" s="43" t="s">
        <v>1787</v>
      </c>
      <c r="F3707" s="43">
        <v>2</v>
      </c>
      <c r="G3707" s="43" t="s">
        <v>4542</v>
      </c>
      <c r="H3707" s="43" t="s">
        <v>4580</v>
      </c>
    </row>
    <row r="3708" spans="1:8" hidden="1" x14ac:dyDescent="0.25">
      <c r="A3708" s="43">
        <v>595</v>
      </c>
      <c r="B3708" s="43" t="s">
        <v>165</v>
      </c>
      <c r="C3708" s="43" t="s">
        <v>1772</v>
      </c>
      <c r="D3708" s="43" t="s">
        <v>1788</v>
      </c>
      <c r="E3708" s="43" t="s">
        <v>295</v>
      </c>
      <c r="F3708" s="43">
        <v>1</v>
      </c>
      <c r="G3708"/>
      <c r="H3708"/>
    </row>
    <row r="3709" spans="1:8" hidden="1" x14ac:dyDescent="0.25">
      <c r="A3709" s="43">
        <v>595</v>
      </c>
      <c r="B3709" s="43" t="s">
        <v>165</v>
      </c>
      <c r="C3709" s="43" t="s">
        <v>1772</v>
      </c>
      <c r="D3709" s="43" t="s">
        <v>1789</v>
      </c>
      <c r="E3709" s="43" t="s">
        <v>372</v>
      </c>
      <c r="F3709" s="43">
        <v>1</v>
      </c>
      <c r="G3709"/>
      <c r="H3709"/>
    </row>
    <row r="3710" spans="1:8" hidden="1" x14ac:dyDescent="0.25">
      <c r="A3710" s="43">
        <v>596</v>
      </c>
      <c r="B3710" s="43" t="s">
        <v>166</v>
      </c>
      <c r="C3710" s="43" t="s">
        <v>4478</v>
      </c>
      <c r="D3710" s="43" t="s">
        <v>1537</v>
      </c>
      <c r="E3710" s="43" t="s">
        <v>1494</v>
      </c>
      <c r="F3710" s="43">
        <v>1</v>
      </c>
      <c r="G3710"/>
      <c r="H3710"/>
    </row>
    <row r="3711" spans="1:8" hidden="1" x14ac:dyDescent="0.25">
      <c r="A3711" s="43">
        <v>596</v>
      </c>
      <c r="B3711" s="43" t="s">
        <v>166</v>
      </c>
      <c r="C3711" s="43" t="s">
        <v>4478</v>
      </c>
      <c r="D3711" s="43" t="s">
        <v>1538</v>
      </c>
      <c r="E3711" s="43" t="s">
        <v>306</v>
      </c>
      <c r="F3711" s="43">
        <v>1</v>
      </c>
      <c r="G3711"/>
      <c r="H3711"/>
    </row>
    <row r="3712" spans="1:8" hidden="1" x14ac:dyDescent="0.25">
      <c r="A3712" s="43">
        <v>596</v>
      </c>
      <c r="B3712" s="43" t="s">
        <v>166</v>
      </c>
      <c r="C3712" s="43" t="s">
        <v>4478</v>
      </c>
      <c r="D3712" s="43" t="s">
        <v>1539</v>
      </c>
      <c r="E3712" s="43" t="s">
        <v>1499</v>
      </c>
      <c r="F3712" s="43">
        <v>1</v>
      </c>
      <c r="G3712"/>
      <c r="H3712"/>
    </row>
    <row r="3713" spans="1:8" hidden="1" x14ac:dyDescent="0.25">
      <c r="A3713" s="43">
        <v>596</v>
      </c>
      <c r="B3713" s="43" t="s">
        <v>166</v>
      </c>
      <c r="C3713" s="43" t="s">
        <v>4478</v>
      </c>
      <c r="D3713" s="43" t="s">
        <v>1540</v>
      </c>
      <c r="E3713" s="43" t="s">
        <v>1541</v>
      </c>
      <c r="F3713" s="43">
        <v>1</v>
      </c>
      <c r="G3713"/>
      <c r="H3713"/>
    </row>
    <row r="3714" spans="1:8" hidden="1" x14ac:dyDescent="0.25">
      <c r="A3714" s="43">
        <v>596</v>
      </c>
      <c r="B3714" s="43" t="s">
        <v>166</v>
      </c>
      <c r="C3714" s="43" t="s">
        <v>4478</v>
      </c>
      <c r="D3714" s="43" t="s">
        <v>1542</v>
      </c>
      <c r="E3714" s="43" t="s">
        <v>1543</v>
      </c>
      <c r="F3714" s="43">
        <v>0</v>
      </c>
      <c r="G3714" s="43" t="s">
        <v>4679</v>
      </c>
      <c r="H3714" s="43" t="s">
        <v>4763</v>
      </c>
    </row>
    <row r="3715" spans="1:8" hidden="1" x14ac:dyDescent="0.25">
      <c r="A3715" s="43">
        <v>596</v>
      </c>
      <c r="B3715" s="43" t="s">
        <v>166</v>
      </c>
      <c r="C3715" s="43" t="s">
        <v>4478</v>
      </c>
      <c r="D3715" s="43" t="s">
        <v>1544</v>
      </c>
      <c r="E3715" s="43" t="s">
        <v>671</v>
      </c>
      <c r="F3715" s="43">
        <v>1</v>
      </c>
      <c r="G3715"/>
      <c r="H3715"/>
    </row>
    <row r="3716" spans="1:8" hidden="1" x14ac:dyDescent="0.25">
      <c r="A3716" s="43">
        <v>596</v>
      </c>
      <c r="B3716" s="43" t="s">
        <v>166</v>
      </c>
      <c r="C3716" s="43" t="s">
        <v>4478</v>
      </c>
      <c r="D3716" s="43" t="s">
        <v>1545</v>
      </c>
      <c r="E3716" s="43" t="s">
        <v>1546</v>
      </c>
      <c r="F3716" s="43">
        <v>1</v>
      </c>
      <c r="G3716"/>
      <c r="H3716"/>
    </row>
    <row r="3717" spans="1:8" hidden="1" x14ac:dyDescent="0.25">
      <c r="A3717" s="43">
        <v>596</v>
      </c>
      <c r="B3717" s="43" t="s">
        <v>166</v>
      </c>
      <c r="C3717" s="43" t="s">
        <v>4478</v>
      </c>
      <c r="D3717" s="43" t="s">
        <v>1547</v>
      </c>
      <c r="E3717" s="43" t="s">
        <v>1548</v>
      </c>
      <c r="F3717" s="43">
        <v>0</v>
      </c>
      <c r="G3717" s="43" t="s">
        <v>4679</v>
      </c>
      <c r="H3717" s="43" t="s">
        <v>4763</v>
      </c>
    </row>
    <row r="3718" spans="1:8" hidden="1" x14ac:dyDescent="0.25">
      <c r="A3718" s="43">
        <v>596</v>
      </c>
      <c r="B3718" s="43" t="s">
        <v>166</v>
      </c>
      <c r="C3718" s="43" t="s">
        <v>4478</v>
      </c>
      <c r="D3718" s="43" t="s">
        <v>1549</v>
      </c>
      <c r="E3718" s="43" t="s">
        <v>1550</v>
      </c>
      <c r="F3718" s="43">
        <v>1</v>
      </c>
      <c r="G3718"/>
      <c r="H3718"/>
    </row>
    <row r="3719" spans="1:8" hidden="1" x14ac:dyDescent="0.25">
      <c r="A3719" s="43">
        <v>596</v>
      </c>
      <c r="B3719" s="43" t="s">
        <v>166</v>
      </c>
      <c r="C3719" s="43" t="s">
        <v>4478</v>
      </c>
      <c r="D3719" s="43" t="s">
        <v>1551</v>
      </c>
      <c r="E3719" s="43" t="s">
        <v>1552</v>
      </c>
      <c r="F3719" s="43">
        <v>1</v>
      </c>
      <c r="G3719"/>
      <c r="H3719"/>
    </row>
    <row r="3720" spans="1:8" hidden="1" x14ac:dyDescent="0.25">
      <c r="A3720" s="43">
        <v>596</v>
      </c>
      <c r="B3720" s="43" t="s">
        <v>166</v>
      </c>
      <c r="C3720" s="43" t="s">
        <v>4478</v>
      </c>
      <c r="D3720" s="43" t="s">
        <v>1553</v>
      </c>
      <c r="E3720" s="43" t="s">
        <v>1554</v>
      </c>
      <c r="F3720" s="43">
        <v>1</v>
      </c>
      <c r="G3720"/>
      <c r="H3720"/>
    </row>
    <row r="3721" spans="1:8" hidden="1" x14ac:dyDescent="0.25">
      <c r="A3721" s="43">
        <v>596</v>
      </c>
      <c r="B3721" s="43" t="s">
        <v>166</v>
      </c>
      <c r="C3721" s="43" t="s">
        <v>4478</v>
      </c>
      <c r="D3721" s="43" t="s">
        <v>1555</v>
      </c>
      <c r="E3721" s="43" t="s">
        <v>1556</v>
      </c>
      <c r="F3721" s="43">
        <v>1</v>
      </c>
      <c r="G3721"/>
      <c r="H3721"/>
    </row>
    <row r="3722" spans="1:8" hidden="1" x14ac:dyDescent="0.25">
      <c r="A3722" s="43">
        <v>597</v>
      </c>
      <c r="B3722" s="43" t="s">
        <v>167</v>
      </c>
      <c r="C3722" s="43" t="s">
        <v>1155</v>
      </c>
      <c r="D3722" s="43" t="s">
        <v>1156</v>
      </c>
      <c r="E3722" s="43" t="s">
        <v>273</v>
      </c>
      <c r="F3722" s="43">
        <v>1</v>
      </c>
      <c r="G3722"/>
      <c r="H3722"/>
    </row>
    <row r="3723" spans="1:8" hidden="1" x14ac:dyDescent="0.25">
      <c r="A3723" s="43">
        <v>597</v>
      </c>
      <c r="B3723" s="43" t="s">
        <v>167</v>
      </c>
      <c r="C3723" s="43" t="s">
        <v>1155</v>
      </c>
      <c r="D3723" s="43" t="s">
        <v>1157</v>
      </c>
      <c r="E3723" s="43" t="s">
        <v>844</v>
      </c>
      <c r="F3723" s="43">
        <v>1</v>
      </c>
      <c r="G3723"/>
      <c r="H3723"/>
    </row>
    <row r="3724" spans="1:8" hidden="1" x14ac:dyDescent="0.25">
      <c r="A3724" s="43">
        <v>597</v>
      </c>
      <c r="B3724" s="43" t="s">
        <v>167</v>
      </c>
      <c r="C3724" s="43" t="s">
        <v>1155</v>
      </c>
      <c r="D3724" s="43" t="s">
        <v>1158</v>
      </c>
      <c r="E3724" s="43" t="s">
        <v>1159</v>
      </c>
      <c r="F3724" s="43">
        <v>1</v>
      </c>
      <c r="G3724"/>
      <c r="H3724"/>
    </row>
    <row r="3725" spans="1:8" hidden="1" x14ac:dyDescent="0.25">
      <c r="A3725" s="43">
        <v>597</v>
      </c>
      <c r="B3725" s="43" t="s">
        <v>167</v>
      </c>
      <c r="C3725" s="43" t="s">
        <v>1155</v>
      </c>
      <c r="D3725" s="43" t="s">
        <v>1160</v>
      </c>
      <c r="E3725" s="43" t="s">
        <v>1161</v>
      </c>
      <c r="F3725" s="43">
        <v>0</v>
      </c>
      <c r="G3725" s="43" t="s">
        <v>4680</v>
      </c>
      <c r="H3725" s="43" t="s">
        <v>4767</v>
      </c>
    </row>
    <row r="3726" spans="1:8" hidden="1" x14ac:dyDescent="0.25">
      <c r="A3726" s="43">
        <v>597</v>
      </c>
      <c r="B3726" s="43" t="s">
        <v>167</v>
      </c>
      <c r="C3726" s="43" t="s">
        <v>1155</v>
      </c>
      <c r="D3726" s="43" t="s">
        <v>1162</v>
      </c>
      <c r="E3726" s="43" t="s">
        <v>1163</v>
      </c>
      <c r="F3726" s="43">
        <v>0</v>
      </c>
      <c r="G3726" s="43" t="s">
        <v>4680</v>
      </c>
      <c r="H3726" s="43" t="s">
        <v>4767</v>
      </c>
    </row>
    <row r="3727" spans="1:8" hidden="1" x14ac:dyDescent="0.25">
      <c r="A3727" s="43">
        <v>597</v>
      </c>
      <c r="B3727" s="43" t="s">
        <v>167</v>
      </c>
      <c r="C3727" s="43" t="s">
        <v>1155</v>
      </c>
      <c r="D3727" s="43" t="s">
        <v>1164</v>
      </c>
      <c r="E3727" s="43" t="s">
        <v>1165</v>
      </c>
      <c r="F3727" s="43">
        <v>0</v>
      </c>
      <c r="G3727" s="43" t="s">
        <v>4680</v>
      </c>
      <c r="H3727" s="43" t="s">
        <v>4767</v>
      </c>
    </row>
    <row r="3728" spans="1:8" hidden="1" x14ac:dyDescent="0.25">
      <c r="A3728" s="43">
        <v>597</v>
      </c>
      <c r="B3728" s="43" t="s">
        <v>167</v>
      </c>
      <c r="C3728" s="43" t="s">
        <v>1155</v>
      </c>
      <c r="D3728" s="43" t="s">
        <v>1166</v>
      </c>
      <c r="E3728" s="43" t="s">
        <v>295</v>
      </c>
      <c r="F3728" s="43">
        <v>1</v>
      </c>
      <c r="G3728"/>
      <c r="H3728"/>
    </row>
    <row r="3729" spans="1:8" hidden="1" x14ac:dyDescent="0.25">
      <c r="A3729" s="43">
        <v>597</v>
      </c>
      <c r="B3729" s="43" t="s">
        <v>167</v>
      </c>
      <c r="C3729" s="43" t="s">
        <v>1155</v>
      </c>
      <c r="D3729" s="43" t="s">
        <v>1167</v>
      </c>
      <c r="E3729" s="43" t="s">
        <v>1168</v>
      </c>
      <c r="F3729" s="43">
        <v>1</v>
      </c>
      <c r="G3729"/>
      <c r="H3729"/>
    </row>
    <row r="3730" spans="1:8" hidden="1" x14ac:dyDescent="0.25">
      <c r="A3730" s="43">
        <v>599</v>
      </c>
      <c r="B3730" s="43" t="s">
        <v>168</v>
      </c>
      <c r="C3730" s="43" t="s">
        <v>1292</v>
      </c>
      <c r="D3730" s="43" t="s">
        <v>1293</v>
      </c>
      <c r="E3730" s="43" t="s">
        <v>304</v>
      </c>
      <c r="F3730" s="43">
        <v>1</v>
      </c>
      <c r="G3730"/>
      <c r="H3730"/>
    </row>
    <row r="3731" spans="1:8" hidden="1" x14ac:dyDescent="0.25">
      <c r="A3731" s="43">
        <v>599</v>
      </c>
      <c r="B3731" s="43" t="s">
        <v>168</v>
      </c>
      <c r="C3731" s="43" t="s">
        <v>1292</v>
      </c>
      <c r="D3731" s="43" t="s">
        <v>1294</v>
      </c>
      <c r="E3731" s="43" t="s">
        <v>306</v>
      </c>
      <c r="F3731" s="43">
        <v>1</v>
      </c>
      <c r="G3731"/>
      <c r="H3731"/>
    </row>
    <row r="3732" spans="1:8" hidden="1" x14ac:dyDescent="0.25">
      <c r="A3732" s="43">
        <v>599</v>
      </c>
      <c r="B3732" s="43" t="s">
        <v>168</v>
      </c>
      <c r="C3732" s="43" t="s">
        <v>1292</v>
      </c>
      <c r="D3732" s="43" t="s">
        <v>1295</v>
      </c>
      <c r="E3732" s="43" t="s">
        <v>1296</v>
      </c>
      <c r="F3732" s="43">
        <v>1</v>
      </c>
      <c r="G3732"/>
      <c r="H3732"/>
    </row>
    <row r="3733" spans="1:8" hidden="1" x14ac:dyDescent="0.25">
      <c r="A3733" s="43">
        <v>599</v>
      </c>
      <c r="B3733" s="43" t="s">
        <v>168</v>
      </c>
      <c r="C3733" s="43" t="s">
        <v>1292</v>
      </c>
      <c r="D3733" s="43" t="s">
        <v>1297</v>
      </c>
      <c r="E3733" s="43" t="s">
        <v>729</v>
      </c>
      <c r="F3733" s="43">
        <v>1</v>
      </c>
      <c r="G3733"/>
      <c r="H3733"/>
    </row>
    <row r="3734" spans="1:8" hidden="1" x14ac:dyDescent="0.25">
      <c r="A3734" s="43">
        <v>599</v>
      </c>
      <c r="B3734" s="43" t="s">
        <v>168</v>
      </c>
      <c r="C3734" s="43" t="s">
        <v>1292</v>
      </c>
      <c r="D3734" s="43" t="s">
        <v>1298</v>
      </c>
      <c r="E3734" s="43" t="s">
        <v>343</v>
      </c>
      <c r="F3734" s="43">
        <v>1</v>
      </c>
      <c r="G3734"/>
      <c r="H3734"/>
    </row>
    <row r="3735" spans="1:8" hidden="1" x14ac:dyDescent="0.25">
      <c r="A3735" s="43">
        <v>599</v>
      </c>
      <c r="B3735" s="43" t="s">
        <v>168</v>
      </c>
      <c r="C3735" s="43" t="s">
        <v>1292</v>
      </c>
      <c r="D3735" s="43" t="s">
        <v>1299</v>
      </c>
      <c r="E3735" s="43" t="s">
        <v>1300</v>
      </c>
      <c r="F3735" s="43">
        <v>1</v>
      </c>
      <c r="G3735"/>
      <c r="H3735"/>
    </row>
    <row r="3736" spans="1:8" hidden="1" x14ac:dyDescent="0.25">
      <c r="A3736" s="43">
        <v>599</v>
      </c>
      <c r="B3736" s="43" t="s">
        <v>168</v>
      </c>
      <c r="C3736" s="43" t="s">
        <v>1292</v>
      </c>
      <c r="D3736" s="43" t="s">
        <v>1301</v>
      </c>
      <c r="E3736" s="43" t="s">
        <v>734</v>
      </c>
      <c r="F3736" s="43">
        <v>1</v>
      </c>
      <c r="G3736"/>
      <c r="H3736"/>
    </row>
    <row r="3737" spans="1:8" hidden="1" x14ac:dyDescent="0.25">
      <c r="A3737" s="43">
        <v>599</v>
      </c>
      <c r="B3737" s="43" t="s">
        <v>168</v>
      </c>
      <c r="C3737" s="43" t="s">
        <v>1292</v>
      </c>
      <c r="D3737" s="43" t="s">
        <v>1302</v>
      </c>
      <c r="E3737" s="43" t="s">
        <v>1303</v>
      </c>
      <c r="F3737" s="43">
        <v>1</v>
      </c>
      <c r="G3737"/>
      <c r="H3737"/>
    </row>
    <row r="3738" spans="1:8" hidden="1" x14ac:dyDescent="0.25">
      <c r="A3738" s="43">
        <v>599</v>
      </c>
      <c r="B3738" s="43" t="s">
        <v>168</v>
      </c>
      <c r="C3738" s="43" t="s">
        <v>1292</v>
      </c>
      <c r="D3738" s="43" t="s">
        <v>1304</v>
      </c>
      <c r="E3738" s="43" t="s">
        <v>1305</v>
      </c>
      <c r="F3738" s="43">
        <v>1</v>
      </c>
      <c r="G3738"/>
      <c r="H3738"/>
    </row>
    <row r="3739" spans="1:8" hidden="1" x14ac:dyDescent="0.25">
      <c r="A3739" s="43">
        <v>599</v>
      </c>
      <c r="B3739" s="43" t="s">
        <v>168</v>
      </c>
      <c r="C3739" s="43" t="s">
        <v>1292</v>
      </c>
      <c r="D3739" s="43" t="s">
        <v>1306</v>
      </c>
      <c r="E3739" s="43" t="s">
        <v>4487</v>
      </c>
      <c r="F3739" s="43">
        <v>1</v>
      </c>
      <c r="G3739"/>
      <c r="H3739"/>
    </row>
    <row r="3740" spans="1:8" hidden="1" x14ac:dyDescent="0.25">
      <c r="A3740" s="43">
        <v>599</v>
      </c>
      <c r="B3740" s="43" t="s">
        <v>168</v>
      </c>
      <c r="C3740" s="43" t="s">
        <v>1292</v>
      </c>
      <c r="D3740" s="43" t="s">
        <v>1308</v>
      </c>
      <c r="E3740" s="43" t="s">
        <v>875</v>
      </c>
      <c r="F3740" s="43">
        <v>1</v>
      </c>
      <c r="G3740"/>
      <c r="H3740"/>
    </row>
    <row r="3741" spans="1:8" hidden="1" x14ac:dyDescent="0.25">
      <c r="A3741" s="43">
        <v>599</v>
      </c>
      <c r="B3741" s="43" t="s">
        <v>168</v>
      </c>
      <c r="C3741" s="43" t="s">
        <v>1292</v>
      </c>
      <c r="D3741" s="43" t="s">
        <v>1309</v>
      </c>
      <c r="E3741" s="43" t="s">
        <v>759</v>
      </c>
      <c r="F3741" s="43">
        <v>1</v>
      </c>
      <c r="G3741"/>
      <c r="H3741"/>
    </row>
    <row r="3742" spans="1:8" hidden="1" x14ac:dyDescent="0.25">
      <c r="A3742" s="43">
        <v>599</v>
      </c>
      <c r="B3742" s="43" t="s">
        <v>168</v>
      </c>
      <c r="C3742" s="43" t="s">
        <v>1292</v>
      </c>
      <c r="D3742" s="43" t="s">
        <v>1310</v>
      </c>
      <c r="E3742" s="43" t="s">
        <v>755</v>
      </c>
      <c r="F3742" s="43">
        <v>0</v>
      </c>
      <c r="G3742" s="43" t="s">
        <v>4583</v>
      </c>
      <c r="H3742"/>
    </row>
    <row r="3743" spans="1:8" hidden="1" x14ac:dyDescent="0.25">
      <c r="A3743" s="43">
        <v>599</v>
      </c>
      <c r="B3743" s="43" t="s">
        <v>168</v>
      </c>
      <c r="C3743" s="43" t="s">
        <v>1292</v>
      </c>
      <c r="D3743" s="43" t="s">
        <v>1311</v>
      </c>
      <c r="E3743" s="43" t="s">
        <v>757</v>
      </c>
      <c r="F3743" s="43">
        <v>1</v>
      </c>
      <c r="G3743"/>
      <c r="H3743"/>
    </row>
    <row r="3744" spans="1:8" hidden="1" x14ac:dyDescent="0.25">
      <c r="A3744" s="43">
        <v>600</v>
      </c>
      <c r="B3744" s="43" t="s">
        <v>169</v>
      </c>
      <c r="C3744" s="43" t="s">
        <v>4470</v>
      </c>
      <c r="D3744" s="43" t="s">
        <v>1493</v>
      </c>
      <c r="E3744" s="43" t="s">
        <v>1494</v>
      </c>
      <c r="F3744" s="43">
        <v>1</v>
      </c>
      <c r="G3744"/>
      <c r="H3744"/>
    </row>
    <row r="3745" spans="1:8" hidden="1" x14ac:dyDescent="0.25">
      <c r="A3745" s="43">
        <v>600</v>
      </c>
      <c r="B3745" s="43" t="s">
        <v>169</v>
      </c>
      <c r="C3745" s="43" t="s">
        <v>4470</v>
      </c>
      <c r="D3745" s="43" t="s">
        <v>1495</v>
      </c>
      <c r="E3745" s="43" t="s">
        <v>1496</v>
      </c>
      <c r="F3745" s="43">
        <v>1</v>
      </c>
      <c r="G3745"/>
      <c r="H3745"/>
    </row>
    <row r="3746" spans="1:8" hidden="1" x14ac:dyDescent="0.25">
      <c r="A3746" s="43">
        <v>600</v>
      </c>
      <c r="B3746" s="43" t="s">
        <v>169</v>
      </c>
      <c r="C3746" s="43" t="s">
        <v>4470</v>
      </c>
      <c r="D3746" s="43" t="s">
        <v>1497</v>
      </c>
      <c r="E3746" s="43" t="s">
        <v>306</v>
      </c>
      <c r="F3746" s="43">
        <v>1</v>
      </c>
      <c r="G3746"/>
      <c r="H3746"/>
    </row>
    <row r="3747" spans="1:8" hidden="1" x14ac:dyDescent="0.25">
      <c r="A3747" s="43">
        <v>600</v>
      </c>
      <c r="B3747" s="43" t="s">
        <v>169</v>
      </c>
      <c r="C3747" s="43" t="s">
        <v>4470</v>
      </c>
      <c r="D3747" s="43" t="s">
        <v>1498</v>
      </c>
      <c r="E3747" s="43" t="s">
        <v>1499</v>
      </c>
      <c r="F3747" s="43">
        <v>1</v>
      </c>
      <c r="G3747"/>
      <c r="H3747"/>
    </row>
    <row r="3748" spans="1:8" hidden="1" x14ac:dyDescent="0.25">
      <c r="A3748" s="43">
        <v>600</v>
      </c>
      <c r="B3748" s="43" t="s">
        <v>169</v>
      </c>
      <c r="C3748" s="43" t="s">
        <v>4470</v>
      </c>
      <c r="D3748" s="43" t="s">
        <v>1500</v>
      </c>
      <c r="E3748" s="43" t="s">
        <v>1397</v>
      </c>
      <c r="F3748" s="43">
        <v>1</v>
      </c>
      <c r="G3748"/>
      <c r="H3748"/>
    </row>
    <row r="3749" spans="1:8" hidden="1" x14ac:dyDescent="0.25">
      <c r="A3749" s="43">
        <v>600</v>
      </c>
      <c r="B3749" s="43" t="s">
        <v>169</v>
      </c>
      <c r="C3749" s="43" t="s">
        <v>4470</v>
      </c>
      <c r="D3749" s="43" t="s">
        <v>1501</v>
      </c>
      <c r="E3749" s="43" t="s">
        <v>1502</v>
      </c>
      <c r="F3749" s="43">
        <v>1</v>
      </c>
      <c r="G3749"/>
      <c r="H3749"/>
    </row>
    <row r="3750" spans="1:8" hidden="1" x14ac:dyDescent="0.25">
      <c r="A3750" s="43">
        <v>600</v>
      </c>
      <c r="B3750" s="43" t="s">
        <v>169</v>
      </c>
      <c r="C3750" s="43" t="s">
        <v>4470</v>
      </c>
      <c r="D3750" s="43" t="s">
        <v>1503</v>
      </c>
      <c r="E3750" s="43" t="s">
        <v>1504</v>
      </c>
      <c r="F3750" s="43">
        <v>1</v>
      </c>
      <c r="G3750"/>
      <c r="H3750"/>
    </row>
    <row r="3751" spans="1:8" hidden="1" x14ac:dyDescent="0.25">
      <c r="A3751" s="43">
        <v>600</v>
      </c>
      <c r="B3751" s="43" t="s">
        <v>169</v>
      </c>
      <c r="C3751" s="43" t="s">
        <v>4470</v>
      </c>
      <c r="D3751" s="43" t="s">
        <v>1505</v>
      </c>
      <c r="E3751" s="43" t="s">
        <v>1506</v>
      </c>
      <c r="F3751" s="43">
        <v>0</v>
      </c>
      <c r="G3751" s="43" t="s">
        <v>4583</v>
      </c>
      <c r="H3751"/>
    </row>
    <row r="3752" spans="1:8" hidden="1" x14ac:dyDescent="0.25">
      <c r="A3752" s="43">
        <v>600</v>
      </c>
      <c r="B3752" s="43" t="s">
        <v>169</v>
      </c>
      <c r="C3752" s="43" t="s">
        <v>4470</v>
      </c>
      <c r="D3752" s="43" t="s">
        <v>1507</v>
      </c>
      <c r="E3752" s="43" t="s">
        <v>611</v>
      </c>
      <c r="F3752" s="43">
        <v>1</v>
      </c>
      <c r="G3752"/>
      <c r="H3752"/>
    </row>
    <row r="3753" spans="1:8" hidden="1" x14ac:dyDescent="0.25">
      <c r="A3753" s="43">
        <v>600</v>
      </c>
      <c r="B3753" s="43" t="s">
        <v>169</v>
      </c>
      <c r="C3753" s="43" t="s">
        <v>4470</v>
      </c>
      <c r="D3753" s="43" t="s">
        <v>1508</v>
      </c>
      <c r="E3753" s="43" t="s">
        <v>1509</v>
      </c>
      <c r="F3753" s="43">
        <v>1</v>
      </c>
      <c r="G3753"/>
      <c r="H3753"/>
    </row>
    <row r="3754" spans="1:8" hidden="1" x14ac:dyDescent="0.25">
      <c r="A3754" s="43">
        <v>600</v>
      </c>
      <c r="B3754" s="43" t="s">
        <v>169</v>
      </c>
      <c r="C3754" s="43" t="s">
        <v>4470</v>
      </c>
      <c r="D3754" s="43" t="s">
        <v>1510</v>
      </c>
      <c r="E3754" s="43" t="s">
        <v>613</v>
      </c>
      <c r="F3754" s="43">
        <v>1</v>
      </c>
      <c r="G3754"/>
      <c r="H3754"/>
    </row>
    <row r="3755" spans="1:8" hidden="1" x14ac:dyDescent="0.25">
      <c r="A3755" s="43">
        <v>600</v>
      </c>
      <c r="B3755" s="43" t="s">
        <v>169</v>
      </c>
      <c r="C3755" s="43" t="s">
        <v>4470</v>
      </c>
      <c r="D3755" s="43" t="s">
        <v>1511</v>
      </c>
      <c r="E3755" s="43" t="s">
        <v>1419</v>
      </c>
      <c r="F3755" s="43">
        <v>1</v>
      </c>
      <c r="G3755"/>
      <c r="H3755"/>
    </row>
    <row r="3756" spans="1:8" hidden="1" x14ac:dyDescent="0.25">
      <c r="A3756" s="43">
        <v>600</v>
      </c>
      <c r="B3756" s="43" t="s">
        <v>169</v>
      </c>
      <c r="C3756" s="43" t="s">
        <v>4470</v>
      </c>
      <c r="D3756" s="43" t="s">
        <v>1512</v>
      </c>
      <c r="E3756" s="43" t="s">
        <v>621</v>
      </c>
      <c r="F3756" s="43">
        <v>0</v>
      </c>
      <c r="G3756" s="43" t="s">
        <v>4583</v>
      </c>
      <c r="H3756"/>
    </row>
    <row r="3757" spans="1:8" hidden="1" x14ac:dyDescent="0.25">
      <c r="A3757" s="43">
        <v>600</v>
      </c>
      <c r="B3757" s="43" t="s">
        <v>169</v>
      </c>
      <c r="C3757" s="43" t="s">
        <v>4470</v>
      </c>
      <c r="D3757" s="43" t="s">
        <v>1513</v>
      </c>
      <c r="E3757" s="43" t="s">
        <v>1422</v>
      </c>
      <c r="F3757" s="43">
        <v>1</v>
      </c>
      <c r="G3757"/>
      <c r="H3757"/>
    </row>
    <row r="3758" spans="1:8" hidden="1" x14ac:dyDescent="0.25">
      <c r="A3758" s="43">
        <v>600</v>
      </c>
      <c r="B3758" s="43" t="s">
        <v>169</v>
      </c>
      <c r="C3758" s="43" t="s">
        <v>4470</v>
      </c>
      <c r="D3758" s="43" t="s">
        <v>1514</v>
      </c>
      <c r="E3758" s="43" t="s">
        <v>614</v>
      </c>
      <c r="F3758" s="43">
        <v>1</v>
      </c>
      <c r="G3758"/>
      <c r="H3758"/>
    </row>
    <row r="3759" spans="1:8" hidden="1" x14ac:dyDescent="0.25">
      <c r="A3759" s="43">
        <v>600</v>
      </c>
      <c r="B3759" s="43" t="s">
        <v>169</v>
      </c>
      <c r="C3759" s="43" t="s">
        <v>4470</v>
      </c>
      <c r="D3759" s="43" t="s">
        <v>1515</v>
      </c>
      <c r="E3759" s="43" t="s">
        <v>615</v>
      </c>
      <c r="F3759" s="43">
        <v>1</v>
      </c>
      <c r="G3759"/>
      <c r="H3759"/>
    </row>
    <row r="3760" spans="1:8" hidden="1" x14ac:dyDescent="0.25">
      <c r="A3760" s="43">
        <v>600</v>
      </c>
      <c r="B3760" s="43" t="s">
        <v>169</v>
      </c>
      <c r="C3760" s="43" t="s">
        <v>4470</v>
      </c>
      <c r="D3760" s="43" t="s">
        <v>1516</v>
      </c>
      <c r="E3760" s="43" t="s">
        <v>1517</v>
      </c>
      <c r="F3760" s="43">
        <v>1</v>
      </c>
      <c r="G3760"/>
      <c r="H3760"/>
    </row>
    <row r="3761" spans="1:8" hidden="1" x14ac:dyDescent="0.25">
      <c r="A3761" s="43">
        <v>600</v>
      </c>
      <c r="B3761" s="43" t="s">
        <v>169</v>
      </c>
      <c r="C3761" s="43" t="s">
        <v>4470</v>
      </c>
      <c r="D3761" s="43" t="s">
        <v>1518</v>
      </c>
      <c r="E3761" s="43" t="s">
        <v>1519</v>
      </c>
      <c r="F3761" s="43">
        <v>1</v>
      </c>
      <c r="G3761"/>
      <c r="H3761"/>
    </row>
    <row r="3762" spans="1:8" hidden="1" x14ac:dyDescent="0.25">
      <c r="A3762" s="43">
        <v>600</v>
      </c>
      <c r="B3762" s="43" t="s">
        <v>169</v>
      </c>
      <c r="C3762" s="43" t="s">
        <v>4470</v>
      </c>
      <c r="D3762" s="43" t="s">
        <v>1520</v>
      </c>
      <c r="E3762" s="43" t="s">
        <v>1521</v>
      </c>
      <c r="F3762" s="43">
        <v>1</v>
      </c>
      <c r="G3762"/>
      <c r="H3762"/>
    </row>
    <row r="3763" spans="1:8" hidden="1" x14ac:dyDescent="0.25">
      <c r="A3763" s="43">
        <v>600</v>
      </c>
      <c r="B3763" s="43" t="s">
        <v>169</v>
      </c>
      <c r="C3763" s="43" t="s">
        <v>4470</v>
      </c>
      <c r="D3763" s="43" t="s">
        <v>1522</v>
      </c>
      <c r="E3763" s="43" t="s">
        <v>1523</v>
      </c>
      <c r="F3763" s="43">
        <v>0</v>
      </c>
      <c r="G3763" s="43" t="s">
        <v>4583</v>
      </c>
      <c r="H3763"/>
    </row>
    <row r="3764" spans="1:8" hidden="1" x14ac:dyDescent="0.25">
      <c r="A3764" s="43">
        <v>600</v>
      </c>
      <c r="B3764" s="43" t="s">
        <v>169</v>
      </c>
      <c r="C3764" s="43" t="s">
        <v>4470</v>
      </c>
      <c r="D3764" s="43" t="s">
        <v>1524</v>
      </c>
      <c r="E3764" s="43" t="s">
        <v>1525</v>
      </c>
      <c r="F3764" s="43">
        <v>0</v>
      </c>
      <c r="G3764" s="43" t="s">
        <v>4583</v>
      </c>
      <c r="H3764"/>
    </row>
    <row r="3765" spans="1:8" hidden="1" x14ac:dyDescent="0.25">
      <c r="A3765" s="43">
        <v>600</v>
      </c>
      <c r="B3765" s="43" t="s">
        <v>169</v>
      </c>
      <c r="C3765" s="43" t="s">
        <v>4470</v>
      </c>
      <c r="D3765" s="43" t="s">
        <v>1526</v>
      </c>
      <c r="E3765" s="43" t="s">
        <v>1527</v>
      </c>
      <c r="F3765" s="43">
        <v>1</v>
      </c>
      <c r="G3765"/>
      <c r="H3765"/>
    </row>
    <row r="3766" spans="1:8" hidden="1" x14ac:dyDescent="0.25">
      <c r="A3766" s="43">
        <v>600</v>
      </c>
      <c r="B3766" s="43" t="s">
        <v>169</v>
      </c>
      <c r="C3766" s="43" t="s">
        <v>4470</v>
      </c>
      <c r="D3766" s="43" t="s">
        <v>1528</v>
      </c>
      <c r="E3766" s="43" t="s">
        <v>4471</v>
      </c>
      <c r="F3766" s="43">
        <v>1</v>
      </c>
      <c r="G3766"/>
      <c r="H3766"/>
    </row>
    <row r="3767" spans="1:8" hidden="1" x14ac:dyDescent="0.25">
      <c r="A3767" s="43">
        <v>600</v>
      </c>
      <c r="B3767" s="43" t="s">
        <v>169</v>
      </c>
      <c r="C3767" s="43" t="s">
        <v>4470</v>
      </c>
      <c r="D3767" s="43" t="s">
        <v>1530</v>
      </c>
      <c r="E3767" s="43" t="s">
        <v>1430</v>
      </c>
      <c r="F3767" s="43">
        <v>1</v>
      </c>
      <c r="G3767"/>
      <c r="H3767"/>
    </row>
    <row r="3768" spans="1:8" hidden="1" x14ac:dyDescent="0.25">
      <c r="A3768" s="43">
        <v>600</v>
      </c>
      <c r="B3768" s="43" t="s">
        <v>169</v>
      </c>
      <c r="C3768" s="43" t="s">
        <v>4470</v>
      </c>
      <c r="D3768" s="43" t="s">
        <v>1531</v>
      </c>
      <c r="E3768" s="43" t="s">
        <v>503</v>
      </c>
      <c r="F3768" s="43">
        <v>1</v>
      </c>
      <c r="G3768"/>
      <c r="H3768"/>
    </row>
    <row r="3769" spans="1:8" hidden="1" x14ac:dyDescent="0.25">
      <c r="A3769" s="43">
        <v>600</v>
      </c>
      <c r="B3769" s="43" t="s">
        <v>169</v>
      </c>
      <c r="C3769" s="43" t="s">
        <v>4470</v>
      </c>
      <c r="D3769" s="43" t="s">
        <v>1532</v>
      </c>
      <c r="E3769" s="43" t="s">
        <v>1533</v>
      </c>
      <c r="F3769" s="43">
        <v>1</v>
      </c>
      <c r="G3769"/>
      <c r="H3769"/>
    </row>
    <row r="3770" spans="1:8" hidden="1" x14ac:dyDescent="0.25">
      <c r="A3770" s="43">
        <v>600</v>
      </c>
      <c r="B3770" s="43" t="s">
        <v>169</v>
      </c>
      <c r="C3770" s="43" t="s">
        <v>4470</v>
      </c>
      <c r="D3770" s="43" t="s">
        <v>1534</v>
      </c>
      <c r="E3770" s="43" t="s">
        <v>1535</v>
      </c>
      <c r="F3770" s="43">
        <v>1</v>
      </c>
      <c r="G3770"/>
      <c r="H3770"/>
    </row>
    <row r="3771" spans="1:8" hidden="1" x14ac:dyDescent="0.25">
      <c r="A3771" s="43">
        <v>601</v>
      </c>
      <c r="B3771" s="43" t="s">
        <v>170</v>
      </c>
      <c r="C3771" s="43" t="s">
        <v>1077</v>
      </c>
      <c r="D3771" s="43" t="s">
        <v>1078</v>
      </c>
      <c r="E3771" s="43" t="s">
        <v>1079</v>
      </c>
      <c r="F3771" s="43">
        <v>1</v>
      </c>
      <c r="G3771"/>
      <c r="H3771"/>
    </row>
    <row r="3772" spans="1:8" hidden="1" x14ac:dyDescent="0.25">
      <c r="A3772" s="43">
        <v>601</v>
      </c>
      <c r="B3772" s="43" t="s">
        <v>170</v>
      </c>
      <c r="C3772" s="43" t="s">
        <v>1077</v>
      </c>
      <c r="D3772" s="43" t="s">
        <v>1080</v>
      </c>
      <c r="E3772" s="43" t="s">
        <v>1081</v>
      </c>
      <c r="F3772" s="43">
        <v>1</v>
      </c>
      <c r="G3772"/>
      <c r="H3772"/>
    </row>
    <row r="3773" spans="1:8" hidden="1" x14ac:dyDescent="0.25">
      <c r="A3773" s="43">
        <v>601</v>
      </c>
      <c r="B3773" s="43" t="s">
        <v>170</v>
      </c>
      <c r="C3773" s="43" t="s">
        <v>1077</v>
      </c>
      <c r="D3773" s="43" t="s">
        <v>1082</v>
      </c>
      <c r="E3773" s="43" t="s">
        <v>289</v>
      </c>
      <c r="F3773" s="43">
        <v>1</v>
      </c>
      <c r="G3773"/>
      <c r="H3773"/>
    </row>
    <row r="3774" spans="1:8" hidden="1" x14ac:dyDescent="0.25">
      <c r="A3774" s="43">
        <v>601</v>
      </c>
      <c r="B3774" s="43" t="s">
        <v>170</v>
      </c>
      <c r="C3774" s="43" t="s">
        <v>1077</v>
      </c>
      <c r="D3774" s="43" t="s">
        <v>1083</v>
      </c>
      <c r="E3774" s="43" t="s">
        <v>1084</v>
      </c>
      <c r="F3774" s="43">
        <v>1</v>
      </c>
      <c r="G3774"/>
      <c r="H3774"/>
    </row>
    <row r="3775" spans="1:8" hidden="1" x14ac:dyDescent="0.25">
      <c r="A3775" s="43">
        <v>601</v>
      </c>
      <c r="B3775" s="43" t="s">
        <v>170</v>
      </c>
      <c r="C3775" s="43" t="s">
        <v>1077</v>
      </c>
      <c r="D3775" s="43" t="s">
        <v>1085</v>
      </c>
      <c r="E3775" s="43" t="s">
        <v>1086</v>
      </c>
      <c r="F3775" s="43">
        <v>0</v>
      </c>
      <c r="G3775" s="43" t="s">
        <v>4583</v>
      </c>
      <c r="H3775"/>
    </row>
    <row r="3776" spans="1:8" hidden="1" x14ac:dyDescent="0.25">
      <c r="A3776" s="43">
        <v>601</v>
      </c>
      <c r="B3776" s="43" t="s">
        <v>170</v>
      </c>
      <c r="C3776" s="43" t="s">
        <v>1077</v>
      </c>
      <c r="D3776" s="43" t="s">
        <v>1087</v>
      </c>
      <c r="E3776" s="43" t="s">
        <v>1088</v>
      </c>
      <c r="F3776" s="43">
        <v>0</v>
      </c>
      <c r="G3776" s="43" t="s">
        <v>4583</v>
      </c>
      <c r="H3776"/>
    </row>
    <row r="3777" spans="1:8" hidden="1" x14ac:dyDescent="0.25">
      <c r="A3777" s="43">
        <v>601</v>
      </c>
      <c r="B3777" s="43" t="s">
        <v>170</v>
      </c>
      <c r="C3777" s="43" t="s">
        <v>1077</v>
      </c>
      <c r="D3777" s="43" t="s">
        <v>1089</v>
      </c>
      <c r="E3777" s="43" t="s">
        <v>535</v>
      </c>
      <c r="F3777" s="43">
        <v>0</v>
      </c>
      <c r="G3777" s="43" t="s">
        <v>4583</v>
      </c>
      <c r="H3777"/>
    </row>
    <row r="3778" spans="1:8" hidden="1" x14ac:dyDescent="0.25">
      <c r="A3778" s="43">
        <v>601</v>
      </c>
      <c r="B3778" s="43" t="s">
        <v>170</v>
      </c>
      <c r="C3778" s="43" t="s">
        <v>1077</v>
      </c>
      <c r="D3778" s="43" t="s">
        <v>1090</v>
      </c>
      <c r="E3778" s="43" t="s">
        <v>381</v>
      </c>
      <c r="F3778" s="43">
        <v>0</v>
      </c>
      <c r="G3778" s="43" t="s">
        <v>4583</v>
      </c>
      <c r="H3778"/>
    </row>
    <row r="3779" spans="1:8" hidden="1" x14ac:dyDescent="0.25">
      <c r="A3779" s="43">
        <v>601</v>
      </c>
      <c r="B3779" s="43" t="s">
        <v>170</v>
      </c>
      <c r="C3779" s="43" t="s">
        <v>1077</v>
      </c>
      <c r="D3779" s="43" t="s">
        <v>1091</v>
      </c>
      <c r="E3779" s="43" t="s">
        <v>1092</v>
      </c>
      <c r="F3779" s="43">
        <v>0</v>
      </c>
      <c r="G3779" s="43" t="s">
        <v>4583</v>
      </c>
      <c r="H3779"/>
    </row>
    <row r="3780" spans="1:8" hidden="1" x14ac:dyDescent="0.25">
      <c r="A3780" s="43">
        <v>601</v>
      </c>
      <c r="B3780" s="43" t="s">
        <v>170</v>
      </c>
      <c r="C3780" s="43" t="s">
        <v>1077</v>
      </c>
      <c r="D3780" s="43" t="s">
        <v>1093</v>
      </c>
      <c r="E3780" s="43" t="s">
        <v>1094</v>
      </c>
      <c r="F3780" s="43">
        <v>1</v>
      </c>
      <c r="G3780"/>
      <c r="H3780"/>
    </row>
    <row r="3781" spans="1:8" hidden="1" x14ac:dyDescent="0.25">
      <c r="A3781" s="43">
        <v>601</v>
      </c>
      <c r="B3781" s="43" t="s">
        <v>170</v>
      </c>
      <c r="C3781" s="43" t="s">
        <v>1077</v>
      </c>
      <c r="D3781" s="43" t="s">
        <v>1095</v>
      </c>
      <c r="E3781" s="43" t="s">
        <v>1096</v>
      </c>
      <c r="F3781" s="43">
        <v>1</v>
      </c>
      <c r="G3781"/>
      <c r="H3781"/>
    </row>
    <row r="3782" spans="1:8" hidden="1" x14ac:dyDescent="0.25">
      <c r="A3782" s="43">
        <v>601</v>
      </c>
      <c r="B3782" s="43" t="s">
        <v>170</v>
      </c>
      <c r="C3782" s="43" t="s">
        <v>1366</v>
      </c>
      <c r="D3782" s="43" t="s">
        <v>1367</v>
      </c>
      <c r="E3782" s="43" t="s">
        <v>1368</v>
      </c>
      <c r="F3782" s="43">
        <v>0</v>
      </c>
      <c r="G3782" s="43" t="s">
        <v>4583</v>
      </c>
      <c r="H3782"/>
    </row>
    <row r="3783" spans="1:8" hidden="1" x14ac:dyDescent="0.25">
      <c r="A3783" s="43">
        <v>601</v>
      </c>
      <c r="B3783" s="43" t="s">
        <v>170</v>
      </c>
      <c r="C3783" s="43" t="s">
        <v>1366</v>
      </c>
      <c r="D3783" s="43" t="s">
        <v>1369</v>
      </c>
      <c r="E3783" s="43" t="s">
        <v>1370</v>
      </c>
      <c r="F3783" s="43">
        <v>1</v>
      </c>
      <c r="G3783"/>
      <c r="H3783"/>
    </row>
    <row r="3784" spans="1:8" hidden="1" x14ac:dyDescent="0.25">
      <c r="A3784" s="43">
        <v>601</v>
      </c>
      <c r="B3784" s="43" t="s">
        <v>170</v>
      </c>
      <c r="C3784" s="43" t="s">
        <v>1366</v>
      </c>
      <c r="D3784" s="43" t="s">
        <v>1371</v>
      </c>
      <c r="E3784" s="43" t="s">
        <v>283</v>
      </c>
      <c r="F3784" s="43">
        <v>1</v>
      </c>
      <c r="G3784"/>
      <c r="H3784"/>
    </row>
    <row r="3785" spans="1:8" hidden="1" x14ac:dyDescent="0.25">
      <c r="A3785" s="43">
        <v>601</v>
      </c>
      <c r="B3785" s="43" t="s">
        <v>170</v>
      </c>
      <c r="C3785" s="43" t="s">
        <v>1366</v>
      </c>
      <c r="D3785" s="43" t="s">
        <v>1372</v>
      </c>
      <c r="E3785" s="43" t="s">
        <v>4468</v>
      </c>
      <c r="F3785" s="43">
        <v>0</v>
      </c>
      <c r="G3785" s="43" t="s">
        <v>4583</v>
      </c>
      <c r="H3785"/>
    </row>
    <row r="3786" spans="1:8" hidden="1" x14ac:dyDescent="0.25">
      <c r="A3786" s="43">
        <v>601</v>
      </c>
      <c r="B3786" s="43" t="s">
        <v>170</v>
      </c>
      <c r="C3786" s="43" t="s">
        <v>1366</v>
      </c>
      <c r="D3786" s="43" t="s">
        <v>1374</v>
      </c>
      <c r="E3786" s="43" t="s">
        <v>1375</v>
      </c>
      <c r="F3786" s="43">
        <v>1</v>
      </c>
      <c r="G3786"/>
      <c r="H3786"/>
    </row>
    <row r="3787" spans="1:8" hidden="1" x14ac:dyDescent="0.25">
      <c r="A3787" s="43">
        <v>601</v>
      </c>
      <c r="B3787" s="43" t="s">
        <v>170</v>
      </c>
      <c r="C3787" s="43" t="s">
        <v>1366</v>
      </c>
      <c r="D3787" s="43" t="s">
        <v>1376</v>
      </c>
      <c r="E3787" s="43" t="s">
        <v>531</v>
      </c>
      <c r="F3787" s="43">
        <v>1</v>
      </c>
      <c r="G3787"/>
      <c r="H3787"/>
    </row>
    <row r="3788" spans="1:8" hidden="1" x14ac:dyDescent="0.25">
      <c r="A3788" s="43">
        <v>601</v>
      </c>
      <c r="B3788" s="43" t="s">
        <v>170</v>
      </c>
      <c r="C3788" s="43" t="s">
        <v>1366</v>
      </c>
      <c r="D3788" s="43" t="s">
        <v>1377</v>
      </c>
      <c r="E3788" s="43" t="s">
        <v>539</v>
      </c>
      <c r="F3788" s="43">
        <v>1</v>
      </c>
      <c r="G3788"/>
      <c r="H3788"/>
    </row>
    <row r="3789" spans="1:8" hidden="1" x14ac:dyDescent="0.25">
      <c r="A3789" s="43">
        <v>601</v>
      </c>
      <c r="B3789" s="43" t="s">
        <v>170</v>
      </c>
      <c r="C3789" s="43" t="s">
        <v>1366</v>
      </c>
      <c r="D3789" s="43" t="s">
        <v>1378</v>
      </c>
      <c r="E3789" s="43" t="s">
        <v>541</v>
      </c>
      <c r="F3789" s="43">
        <v>1</v>
      </c>
      <c r="G3789"/>
      <c r="H3789"/>
    </row>
    <row r="3790" spans="1:8" hidden="1" x14ac:dyDescent="0.25">
      <c r="A3790" s="43">
        <v>601</v>
      </c>
      <c r="B3790" s="43" t="s">
        <v>170</v>
      </c>
      <c r="C3790" s="43" t="s">
        <v>1366</v>
      </c>
      <c r="D3790" s="43" t="s">
        <v>1379</v>
      </c>
      <c r="E3790" s="43" t="s">
        <v>1380</v>
      </c>
      <c r="F3790" s="43">
        <v>0</v>
      </c>
      <c r="G3790" s="43" t="s">
        <v>4583</v>
      </c>
      <c r="H3790"/>
    </row>
    <row r="3791" spans="1:8" hidden="1" x14ac:dyDescent="0.25">
      <c r="A3791" s="43">
        <v>601</v>
      </c>
      <c r="B3791" s="43" t="s">
        <v>170</v>
      </c>
      <c r="C3791" s="43" t="s">
        <v>1366</v>
      </c>
      <c r="D3791" s="43" t="s">
        <v>1381</v>
      </c>
      <c r="E3791" s="43" t="s">
        <v>1382</v>
      </c>
      <c r="F3791" s="43">
        <v>0</v>
      </c>
      <c r="G3791" s="43" t="s">
        <v>4583</v>
      </c>
      <c r="H3791"/>
    </row>
    <row r="3792" spans="1:8" hidden="1" x14ac:dyDescent="0.25">
      <c r="A3792" s="43">
        <v>601</v>
      </c>
      <c r="B3792" s="43" t="s">
        <v>170</v>
      </c>
      <c r="C3792" s="43" t="s">
        <v>1366</v>
      </c>
      <c r="D3792" s="43" t="s">
        <v>1383</v>
      </c>
      <c r="E3792" s="43" t="s">
        <v>1384</v>
      </c>
      <c r="F3792" s="43">
        <v>1</v>
      </c>
      <c r="G3792"/>
      <c r="H3792"/>
    </row>
    <row r="3793" spans="1:8" hidden="1" x14ac:dyDescent="0.25">
      <c r="A3793" s="43">
        <v>601</v>
      </c>
      <c r="B3793" s="43" t="s">
        <v>170</v>
      </c>
      <c r="C3793" s="43" t="s">
        <v>1366</v>
      </c>
      <c r="D3793" s="43" t="s">
        <v>1385</v>
      </c>
      <c r="E3793" s="43" t="s">
        <v>1386</v>
      </c>
      <c r="F3793" s="43">
        <v>1</v>
      </c>
      <c r="G3793"/>
      <c r="H3793"/>
    </row>
    <row r="3794" spans="1:8" hidden="1" x14ac:dyDescent="0.25">
      <c r="A3794" s="43">
        <v>601</v>
      </c>
      <c r="B3794" s="43" t="s">
        <v>170</v>
      </c>
      <c r="C3794" s="43" t="s">
        <v>1366</v>
      </c>
      <c r="D3794" s="43" t="s">
        <v>1387</v>
      </c>
      <c r="E3794" s="43" t="s">
        <v>295</v>
      </c>
      <c r="F3794" s="43">
        <v>1</v>
      </c>
      <c r="G3794"/>
      <c r="H3794"/>
    </row>
    <row r="3795" spans="1:8" hidden="1" x14ac:dyDescent="0.25">
      <c r="A3795" s="43">
        <v>601</v>
      </c>
      <c r="B3795" s="43" t="s">
        <v>170</v>
      </c>
      <c r="C3795" s="43" t="s">
        <v>1366</v>
      </c>
      <c r="D3795" s="43" t="s">
        <v>1388</v>
      </c>
      <c r="E3795" s="43" t="s">
        <v>875</v>
      </c>
      <c r="F3795" s="43">
        <v>1</v>
      </c>
      <c r="G3795"/>
      <c r="H3795"/>
    </row>
    <row r="3796" spans="1:8" hidden="1" x14ac:dyDescent="0.25">
      <c r="A3796" s="43">
        <v>601</v>
      </c>
      <c r="B3796" s="43" t="s">
        <v>170</v>
      </c>
      <c r="C3796" s="43" t="s">
        <v>1366</v>
      </c>
      <c r="D3796" s="43" t="s">
        <v>1389</v>
      </c>
      <c r="E3796" s="43" t="s">
        <v>551</v>
      </c>
      <c r="F3796" s="43">
        <v>1</v>
      </c>
      <c r="G3796"/>
      <c r="H3796"/>
    </row>
    <row r="3797" spans="1:8" hidden="1" x14ac:dyDescent="0.25">
      <c r="A3797" s="43">
        <v>603</v>
      </c>
      <c r="B3797" s="43" t="s">
        <v>171</v>
      </c>
      <c r="C3797" s="43" t="s">
        <v>659</v>
      </c>
      <c r="D3797" s="43" t="s">
        <v>660</v>
      </c>
      <c r="E3797" s="43" t="s">
        <v>583</v>
      </c>
      <c r="F3797" s="43">
        <v>1</v>
      </c>
      <c r="G3797"/>
      <c r="H3797"/>
    </row>
    <row r="3798" spans="1:8" hidden="1" x14ac:dyDescent="0.25">
      <c r="A3798" s="43">
        <v>603</v>
      </c>
      <c r="B3798" s="43" t="s">
        <v>171</v>
      </c>
      <c r="C3798" s="43" t="s">
        <v>659</v>
      </c>
      <c r="D3798" s="43" t="s">
        <v>661</v>
      </c>
      <c r="E3798" s="43" t="s">
        <v>306</v>
      </c>
      <c r="F3798" s="43">
        <v>1</v>
      </c>
      <c r="G3798"/>
      <c r="H3798"/>
    </row>
    <row r="3799" spans="1:8" hidden="1" x14ac:dyDescent="0.25">
      <c r="A3799" s="43">
        <v>603</v>
      </c>
      <c r="B3799" s="43" t="s">
        <v>171</v>
      </c>
      <c r="C3799" s="43" t="s">
        <v>659</v>
      </c>
      <c r="D3799" s="43" t="s">
        <v>662</v>
      </c>
      <c r="E3799" s="43" t="s">
        <v>663</v>
      </c>
      <c r="F3799" s="43">
        <v>1</v>
      </c>
      <c r="G3799"/>
      <c r="H3799"/>
    </row>
    <row r="3800" spans="1:8" hidden="1" x14ac:dyDescent="0.25">
      <c r="A3800" s="43">
        <v>603</v>
      </c>
      <c r="B3800" s="43" t="s">
        <v>171</v>
      </c>
      <c r="C3800" s="43" t="s">
        <v>659</v>
      </c>
      <c r="D3800" s="43" t="s">
        <v>664</v>
      </c>
      <c r="E3800" s="43" t="s">
        <v>665</v>
      </c>
      <c r="F3800" s="43">
        <v>1</v>
      </c>
      <c r="G3800"/>
      <c r="H3800"/>
    </row>
    <row r="3801" spans="1:8" hidden="1" x14ac:dyDescent="0.25">
      <c r="A3801" s="43">
        <v>603</v>
      </c>
      <c r="B3801" s="43" t="s">
        <v>171</v>
      </c>
      <c r="C3801" s="43" t="s">
        <v>659</v>
      </c>
      <c r="D3801" s="43" t="s">
        <v>666</v>
      </c>
      <c r="E3801" s="43" t="s">
        <v>633</v>
      </c>
      <c r="F3801" s="43">
        <v>1</v>
      </c>
      <c r="G3801"/>
      <c r="H3801"/>
    </row>
    <row r="3802" spans="1:8" hidden="1" x14ac:dyDescent="0.25">
      <c r="A3802" s="43">
        <v>603</v>
      </c>
      <c r="B3802" s="43" t="s">
        <v>171</v>
      </c>
      <c r="C3802" s="43" t="s">
        <v>659</v>
      </c>
      <c r="D3802" s="43" t="s">
        <v>667</v>
      </c>
      <c r="E3802" s="43" t="s">
        <v>668</v>
      </c>
      <c r="F3802" s="43">
        <v>1</v>
      </c>
      <c r="G3802"/>
      <c r="H3802"/>
    </row>
    <row r="3803" spans="1:8" hidden="1" x14ac:dyDescent="0.25">
      <c r="A3803" s="43">
        <v>603</v>
      </c>
      <c r="B3803" s="43" t="s">
        <v>171</v>
      </c>
      <c r="C3803" s="43" t="s">
        <v>659</v>
      </c>
      <c r="D3803" s="43" t="s">
        <v>669</v>
      </c>
      <c r="E3803" s="43" t="s">
        <v>611</v>
      </c>
      <c r="F3803" s="43">
        <v>1</v>
      </c>
      <c r="G3803"/>
      <c r="H3803"/>
    </row>
    <row r="3804" spans="1:8" hidden="1" x14ac:dyDescent="0.25">
      <c r="A3804" s="43">
        <v>603</v>
      </c>
      <c r="B3804" s="43" t="s">
        <v>171</v>
      </c>
      <c r="C3804" s="43" t="s">
        <v>659</v>
      </c>
      <c r="D3804" s="43" t="s">
        <v>670</v>
      </c>
      <c r="E3804" s="43" t="s">
        <v>671</v>
      </c>
      <c r="F3804" s="43">
        <v>1</v>
      </c>
      <c r="G3804"/>
      <c r="H3804"/>
    </row>
    <row r="3805" spans="1:8" hidden="1" x14ac:dyDescent="0.25">
      <c r="A3805" s="43">
        <v>603</v>
      </c>
      <c r="B3805" s="43" t="s">
        <v>171</v>
      </c>
      <c r="C3805" s="43" t="s">
        <v>659</v>
      </c>
      <c r="D3805" s="43" t="s">
        <v>672</v>
      </c>
      <c r="E3805" s="43" t="s">
        <v>673</v>
      </c>
      <c r="F3805" s="43">
        <v>1</v>
      </c>
      <c r="G3805"/>
      <c r="H3805"/>
    </row>
    <row r="3806" spans="1:8" hidden="1" x14ac:dyDescent="0.25">
      <c r="A3806" s="43">
        <v>603</v>
      </c>
      <c r="B3806" s="43" t="s">
        <v>171</v>
      </c>
      <c r="C3806" s="43" t="s">
        <v>659</v>
      </c>
      <c r="D3806" s="43" t="s">
        <v>674</v>
      </c>
      <c r="E3806" s="43" t="s">
        <v>675</v>
      </c>
      <c r="F3806" s="43">
        <v>1</v>
      </c>
      <c r="G3806"/>
      <c r="H3806"/>
    </row>
    <row r="3807" spans="1:8" hidden="1" x14ac:dyDescent="0.25">
      <c r="A3807" s="43">
        <v>603</v>
      </c>
      <c r="B3807" s="43" t="s">
        <v>171</v>
      </c>
      <c r="C3807" s="43" t="s">
        <v>659</v>
      </c>
      <c r="D3807" s="43" t="s">
        <v>676</v>
      </c>
      <c r="E3807" s="43" t="s">
        <v>677</v>
      </c>
      <c r="F3807" s="43">
        <v>1</v>
      </c>
      <c r="G3807"/>
      <c r="H3807"/>
    </row>
    <row r="3808" spans="1:8" hidden="1" x14ac:dyDescent="0.25">
      <c r="A3808" s="43">
        <v>603</v>
      </c>
      <c r="B3808" s="43" t="s">
        <v>171</v>
      </c>
      <c r="C3808" s="43" t="s">
        <v>659</v>
      </c>
      <c r="D3808" s="43" t="s">
        <v>678</v>
      </c>
      <c r="E3808" s="43" t="s">
        <v>679</v>
      </c>
      <c r="F3808" s="43">
        <v>1</v>
      </c>
      <c r="G3808"/>
      <c r="H3808"/>
    </row>
    <row r="3809" spans="1:8" hidden="1" x14ac:dyDescent="0.25">
      <c r="A3809" s="43">
        <v>603</v>
      </c>
      <c r="B3809" s="43" t="s">
        <v>171</v>
      </c>
      <c r="C3809" s="43" t="s">
        <v>659</v>
      </c>
      <c r="D3809" s="43" t="s">
        <v>680</v>
      </c>
      <c r="E3809" s="43" t="s">
        <v>681</v>
      </c>
      <c r="F3809" s="43">
        <v>1</v>
      </c>
      <c r="G3809"/>
      <c r="H3809"/>
    </row>
    <row r="3810" spans="1:8" hidden="1" x14ac:dyDescent="0.25">
      <c r="A3810" s="43">
        <v>606</v>
      </c>
      <c r="B3810" s="43" t="s">
        <v>172</v>
      </c>
      <c r="C3810" s="43" t="s">
        <v>1685</v>
      </c>
      <c r="D3810" s="43" t="s">
        <v>1686</v>
      </c>
      <c r="E3810" s="43" t="s">
        <v>1687</v>
      </c>
      <c r="F3810" s="43">
        <v>1</v>
      </c>
      <c r="G3810"/>
      <c r="H3810"/>
    </row>
    <row r="3811" spans="1:8" hidden="1" x14ac:dyDescent="0.25">
      <c r="A3811" s="43">
        <v>606</v>
      </c>
      <c r="B3811" s="43" t="s">
        <v>172</v>
      </c>
      <c r="C3811" s="43" t="s">
        <v>1685</v>
      </c>
      <c r="D3811" s="43" t="s">
        <v>1688</v>
      </c>
      <c r="E3811" s="43" t="s">
        <v>1689</v>
      </c>
      <c r="F3811" s="43">
        <v>1</v>
      </c>
      <c r="G3811"/>
      <c r="H3811"/>
    </row>
    <row r="3812" spans="1:8" hidden="1" x14ac:dyDescent="0.25">
      <c r="A3812" s="43">
        <v>606</v>
      </c>
      <c r="B3812" s="43" t="s">
        <v>172</v>
      </c>
      <c r="C3812" s="43" t="s">
        <v>1685</v>
      </c>
      <c r="D3812" s="43" t="s">
        <v>1690</v>
      </c>
      <c r="E3812" s="43" t="s">
        <v>1691</v>
      </c>
      <c r="F3812" s="43">
        <v>1</v>
      </c>
      <c r="G3812"/>
      <c r="H3812"/>
    </row>
    <row r="3813" spans="1:8" hidden="1" x14ac:dyDescent="0.25">
      <c r="A3813" s="43">
        <v>606</v>
      </c>
      <c r="B3813" s="43" t="s">
        <v>172</v>
      </c>
      <c r="C3813" s="43" t="s">
        <v>1685</v>
      </c>
      <c r="D3813" s="43" t="s">
        <v>1692</v>
      </c>
      <c r="E3813" s="43" t="s">
        <v>1693</v>
      </c>
      <c r="F3813" s="43">
        <v>1</v>
      </c>
      <c r="G3813"/>
      <c r="H3813"/>
    </row>
    <row r="3814" spans="1:8" hidden="1" x14ac:dyDescent="0.25">
      <c r="A3814" s="43">
        <v>606</v>
      </c>
      <c r="B3814" s="43" t="s">
        <v>172</v>
      </c>
      <c r="C3814" s="43" t="s">
        <v>1685</v>
      </c>
      <c r="D3814" s="43" t="s">
        <v>1694</v>
      </c>
      <c r="E3814" s="43" t="s">
        <v>1695</v>
      </c>
      <c r="F3814" s="43">
        <v>1</v>
      </c>
      <c r="G3814"/>
      <c r="H3814"/>
    </row>
    <row r="3815" spans="1:8" hidden="1" x14ac:dyDescent="0.25">
      <c r="A3815" s="43">
        <v>606</v>
      </c>
      <c r="B3815" s="43" t="s">
        <v>172</v>
      </c>
      <c r="C3815" s="43" t="s">
        <v>1685</v>
      </c>
      <c r="D3815" s="43" t="s">
        <v>1696</v>
      </c>
      <c r="E3815" s="43" t="s">
        <v>1697</v>
      </c>
      <c r="F3815" s="43">
        <v>1</v>
      </c>
      <c r="G3815"/>
      <c r="H3815"/>
    </row>
    <row r="3816" spans="1:8" hidden="1" x14ac:dyDescent="0.25">
      <c r="A3816" s="43">
        <v>606</v>
      </c>
      <c r="B3816" s="43" t="s">
        <v>172</v>
      </c>
      <c r="C3816" s="43" t="s">
        <v>1685</v>
      </c>
      <c r="D3816" s="43" t="s">
        <v>1698</v>
      </c>
      <c r="E3816" s="43" t="s">
        <v>1699</v>
      </c>
      <c r="F3816" s="43">
        <v>1</v>
      </c>
      <c r="G3816"/>
      <c r="H3816"/>
    </row>
    <row r="3817" spans="1:8" hidden="1" x14ac:dyDescent="0.25">
      <c r="A3817" s="43">
        <v>606</v>
      </c>
      <c r="B3817" s="43" t="s">
        <v>172</v>
      </c>
      <c r="C3817" s="43" t="s">
        <v>1685</v>
      </c>
      <c r="D3817" s="43" t="s">
        <v>1700</v>
      </c>
      <c r="E3817" s="43" t="s">
        <v>1701</v>
      </c>
      <c r="F3817" s="43">
        <v>1</v>
      </c>
      <c r="G3817"/>
      <c r="H3817"/>
    </row>
    <row r="3818" spans="1:8" hidden="1" x14ac:dyDescent="0.25">
      <c r="A3818" s="43">
        <v>606</v>
      </c>
      <c r="B3818" s="43" t="s">
        <v>172</v>
      </c>
      <c r="C3818" s="43" t="s">
        <v>1685</v>
      </c>
      <c r="D3818" s="43" t="s">
        <v>1702</v>
      </c>
      <c r="E3818" s="43" t="s">
        <v>314</v>
      </c>
      <c r="F3818" s="43">
        <v>1</v>
      </c>
      <c r="G3818"/>
      <c r="H3818"/>
    </row>
    <row r="3819" spans="1:8" hidden="1" x14ac:dyDescent="0.25">
      <c r="A3819" s="43">
        <v>606</v>
      </c>
      <c r="B3819" s="43" t="s">
        <v>172</v>
      </c>
      <c r="C3819" s="43" t="s">
        <v>1685</v>
      </c>
      <c r="D3819" s="43" t="s">
        <v>1703</v>
      </c>
      <c r="E3819" s="43" t="s">
        <v>1704</v>
      </c>
      <c r="F3819" s="43">
        <v>1</v>
      </c>
      <c r="G3819"/>
      <c r="H3819"/>
    </row>
    <row r="3820" spans="1:8" hidden="1" x14ac:dyDescent="0.25">
      <c r="A3820" s="43">
        <v>606</v>
      </c>
      <c r="B3820" s="43" t="s">
        <v>172</v>
      </c>
      <c r="C3820" s="43" t="s">
        <v>1685</v>
      </c>
      <c r="D3820" s="43" t="s">
        <v>1705</v>
      </c>
      <c r="E3820" s="43" t="s">
        <v>1706</v>
      </c>
      <c r="F3820" s="43">
        <v>1</v>
      </c>
      <c r="G3820"/>
      <c r="H3820"/>
    </row>
    <row r="3821" spans="1:8" hidden="1" x14ac:dyDescent="0.25">
      <c r="A3821" s="43">
        <v>606</v>
      </c>
      <c r="B3821" s="43" t="s">
        <v>172</v>
      </c>
      <c r="C3821" s="43" t="s">
        <v>1685</v>
      </c>
      <c r="D3821" s="43" t="s">
        <v>1707</v>
      </c>
      <c r="E3821" s="43" t="s">
        <v>1708</v>
      </c>
      <c r="F3821" s="43">
        <v>1</v>
      </c>
      <c r="G3821"/>
      <c r="H3821"/>
    </row>
    <row r="3822" spans="1:8" hidden="1" x14ac:dyDescent="0.25">
      <c r="A3822" s="43">
        <v>606</v>
      </c>
      <c r="B3822" s="43" t="s">
        <v>172</v>
      </c>
      <c r="C3822" s="43" t="s">
        <v>1685</v>
      </c>
      <c r="D3822" s="43" t="s">
        <v>1709</v>
      </c>
      <c r="E3822" s="43" t="s">
        <v>1710</v>
      </c>
      <c r="F3822" s="43">
        <v>1</v>
      </c>
      <c r="G3822"/>
      <c r="H3822"/>
    </row>
    <row r="3823" spans="1:8" hidden="1" x14ac:dyDescent="0.25">
      <c r="A3823" s="43">
        <v>606</v>
      </c>
      <c r="B3823" s="43" t="s">
        <v>172</v>
      </c>
      <c r="C3823" s="43" t="s">
        <v>1685</v>
      </c>
      <c r="D3823" s="43" t="s">
        <v>1711</v>
      </c>
      <c r="E3823" s="43" t="s">
        <v>1124</v>
      </c>
      <c r="F3823" s="43">
        <v>1</v>
      </c>
      <c r="G3823"/>
      <c r="H3823"/>
    </row>
    <row r="3824" spans="1:8" hidden="1" x14ac:dyDescent="0.25">
      <c r="A3824" s="43">
        <v>607</v>
      </c>
      <c r="B3824" s="43" t="s">
        <v>173</v>
      </c>
      <c r="C3824" s="43" t="s">
        <v>4470</v>
      </c>
      <c r="D3824" s="43" t="s">
        <v>1493</v>
      </c>
      <c r="E3824" s="43" t="s">
        <v>1494</v>
      </c>
      <c r="F3824" s="43">
        <v>1</v>
      </c>
      <c r="G3824"/>
      <c r="H3824"/>
    </row>
    <row r="3825" spans="1:8" hidden="1" x14ac:dyDescent="0.25">
      <c r="A3825" s="43">
        <v>607</v>
      </c>
      <c r="B3825" s="43" t="s">
        <v>173</v>
      </c>
      <c r="C3825" s="43" t="s">
        <v>4470</v>
      </c>
      <c r="D3825" s="43" t="s">
        <v>1495</v>
      </c>
      <c r="E3825" s="43" t="s">
        <v>1496</v>
      </c>
      <c r="F3825" s="43">
        <v>1</v>
      </c>
      <c r="G3825"/>
      <c r="H3825"/>
    </row>
    <row r="3826" spans="1:8" hidden="1" x14ac:dyDescent="0.25">
      <c r="A3826" s="43">
        <v>607</v>
      </c>
      <c r="B3826" s="43" t="s">
        <v>173</v>
      </c>
      <c r="C3826" s="43" t="s">
        <v>4470</v>
      </c>
      <c r="D3826" s="43" t="s">
        <v>1497</v>
      </c>
      <c r="E3826" s="43" t="s">
        <v>306</v>
      </c>
      <c r="F3826" s="43">
        <v>0</v>
      </c>
      <c r="G3826" s="43" t="s">
        <v>4583</v>
      </c>
      <c r="H3826"/>
    </row>
    <row r="3827" spans="1:8" hidden="1" x14ac:dyDescent="0.25">
      <c r="A3827" s="43">
        <v>607</v>
      </c>
      <c r="B3827" s="43" t="s">
        <v>173</v>
      </c>
      <c r="C3827" s="43" t="s">
        <v>4470</v>
      </c>
      <c r="D3827" s="43" t="s">
        <v>1498</v>
      </c>
      <c r="E3827" s="43" t="s">
        <v>1499</v>
      </c>
      <c r="F3827" s="43">
        <v>0</v>
      </c>
      <c r="G3827" s="43" t="s">
        <v>4583</v>
      </c>
      <c r="H3827"/>
    </row>
    <row r="3828" spans="1:8" hidden="1" x14ac:dyDescent="0.25">
      <c r="A3828" s="43">
        <v>607</v>
      </c>
      <c r="B3828" s="43" t="s">
        <v>173</v>
      </c>
      <c r="C3828" s="43" t="s">
        <v>4470</v>
      </c>
      <c r="D3828" s="43" t="s">
        <v>1500</v>
      </c>
      <c r="E3828" s="43" t="s">
        <v>1397</v>
      </c>
      <c r="F3828" s="43">
        <v>0</v>
      </c>
      <c r="G3828" s="43" t="s">
        <v>4583</v>
      </c>
      <c r="H3828"/>
    </row>
    <row r="3829" spans="1:8" hidden="1" x14ac:dyDescent="0.25">
      <c r="A3829" s="43">
        <v>607</v>
      </c>
      <c r="B3829" s="43" t="s">
        <v>173</v>
      </c>
      <c r="C3829" s="43" t="s">
        <v>4470</v>
      </c>
      <c r="D3829" s="43" t="s">
        <v>1501</v>
      </c>
      <c r="E3829" s="43" t="s">
        <v>1502</v>
      </c>
      <c r="F3829" s="43">
        <v>0</v>
      </c>
      <c r="G3829" s="43" t="s">
        <v>4583</v>
      </c>
      <c r="H3829"/>
    </row>
    <row r="3830" spans="1:8" hidden="1" x14ac:dyDescent="0.25">
      <c r="A3830" s="43">
        <v>607</v>
      </c>
      <c r="B3830" s="43" t="s">
        <v>173</v>
      </c>
      <c r="C3830" s="43" t="s">
        <v>4470</v>
      </c>
      <c r="D3830" s="43" t="s">
        <v>1503</v>
      </c>
      <c r="E3830" s="43" t="s">
        <v>1504</v>
      </c>
      <c r="F3830" s="43">
        <v>0</v>
      </c>
      <c r="G3830" s="43" t="s">
        <v>4583</v>
      </c>
      <c r="H3830"/>
    </row>
    <row r="3831" spans="1:8" hidden="1" x14ac:dyDescent="0.25">
      <c r="A3831" s="43">
        <v>607</v>
      </c>
      <c r="B3831" s="43" t="s">
        <v>173</v>
      </c>
      <c r="C3831" s="43" t="s">
        <v>4470</v>
      </c>
      <c r="D3831" s="43" t="s">
        <v>1505</v>
      </c>
      <c r="E3831" s="43" t="s">
        <v>1506</v>
      </c>
      <c r="F3831" s="43">
        <v>0</v>
      </c>
      <c r="G3831" s="43" t="s">
        <v>4583</v>
      </c>
      <c r="H3831"/>
    </row>
    <row r="3832" spans="1:8" hidden="1" x14ac:dyDescent="0.25">
      <c r="A3832" s="43">
        <v>607</v>
      </c>
      <c r="B3832" s="43" t="s">
        <v>173</v>
      </c>
      <c r="C3832" s="43" t="s">
        <v>4470</v>
      </c>
      <c r="D3832" s="43" t="s">
        <v>1507</v>
      </c>
      <c r="E3832" s="43" t="s">
        <v>611</v>
      </c>
      <c r="F3832" s="43">
        <v>0</v>
      </c>
      <c r="G3832" s="43" t="s">
        <v>4583</v>
      </c>
      <c r="H3832"/>
    </row>
    <row r="3833" spans="1:8" hidden="1" x14ac:dyDescent="0.25">
      <c r="A3833" s="43">
        <v>607</v>
      </c>
      <c r="B3833" s="43" t="s">
        <v>173</v>
      </c>
      <c r="C3833" s="43" t="s">
        <v>4470</v>
      </c>
      <c r="D3833" s="43" t="s">
        <v>1508</v>
      </c>
      <c r="E3833" s="43" t="s">
        <v>1509</v>
      </c>
      <c r="F3833" s="43">
        <v>0</v>
      </c>
      <c r="G3833" s="43" t="s">
        <v>4583</v>
      </c>
      <c r="H3833"/>
    </row>
    <row r="3834" spans="1:8" hidden="1" x14ac:dyDescent="0.25">
      <c r="A3834" s="43">
        <v>607</v>
      </c>
      <c r="B3834" s="43" t="s">
        <v>173</v>
      </c>
      <c r="C3834" s="43" t="s">
        <v>4470</v>
      </c>
      <c r="D3834" s="43" t="s">
        <v>1510</v>
      </c>
      <c r="E3834" s="43" t="s">
        <v>613</v>
      </c>
      <c r="F3834" s="43">
        <v>0</v>
      </c>
      <c r="G3834" s="43" t="s">
        <v>4583</v>
      </c>
      <c r="H3834"/>
    </row>
    <row r="3835" spans="1:8" hidden="1" x14ac:dyDescent="0.25">
      <c r="A3835" s="43">
        <v>607</v>
      </c>
      <c r="B3835" s="43" t="s">
        <v>173</v>
      </c>
      <c r="C3835" s="43" t="s">
        <v>4470</v>
      </c>
      <c r="D3835" s="43" t="s">
        <v>1511</v>
      </c>
      <c r="E3835" s="43" t="s">
        <v>1419</v>
      </c>
      <c r="F3835" s="43">
        <v>0</v>
      </c>
      <c r="G3835" s="43" t="s">
        <v>4583</v>
      </c>
      <c r="H3835"/>
    </row>
    <row r="3836" spans="1:8" hidden="1" x14ac:dyDescent="0.25">
      <c r="A3836" s="43">
        <v>607</v>
      </c>
      <c r="B3836" s="43" t="s">
        <v>173</v>
      </c>
      <c r="C3836" s="43" t="s">
        <v>4470</v>
      </c>
      <c r="D3836" s="43" t="s">
        <v>1512</v>
      </c>
      <c r="E3836" s="43" t="s">
        <v>621</v>
      </c>
      <c r="F3836" s="43">
        <v>0</v>
      </c>
      <c r="G3836" s="43" t="s">
        <v>4583</v>
      </c>
      <c r="H3836"/>
    </row>
    <row r="3837" spans="1:8" hidden="1" x14ac:dyDescent="0.25">
      <c r="A3837" s="43">
        <v>607</v>
      </c>
      <c r="B3837" s="43" t="s">
        <v>173</v>
      </c>
      <c r="C3837" s="43" t="s">
        <v>4470</v>
      </c>
      <c r="D3837" s="43" t="s">
        <v>1513</v>
      </c>
      <c r="E3837" s="43" t="s">
        <v>1422</v>
      </c>
      <c r="F3837" s="43">
        <v>0</v>
      </c>
      <c r="G3837" s="43" t="s">
        <v>4583</v>
      </c>
      <c r="H3837"/>
    </row>
    <row r="3838" spans="1:8" hidden="1" x14ac:dyDescent="0.25">
      <c r="A3838" s="43">
        <v>607</v>
      </c>
      <c r="B3838" s="43" t="s">
        <v>173</v>
      </c>
      <c r="C3838" s="43" t="s">
        <v>4470</v>
      </c>
      <c r="D3838" s="43" t="s">
        <v>1514</v>
      </c>
      <c r="E3838" s="43" t="s">
        <v>614</v>
      </c>
      <c r="F3838" s="43">
        <v>1</v>
      </c>
      <c r="G3838"/>
      <c r="H3838"/>
    </row>
    <row r="3839" spans="1:8" hidden="1" x14ac:dyDescent="0.25">
      <c r="A3839" s="43">
        <v>607</v>
      </c>
      <c r="B3839" s="43" t="s">
        <v>173</v>
      </c>
      <c r="C3839" s="43" t="s">
        <v>4470</v>
      </c>
      <c r="D3839" s="43" t="s">
        <v>1515</v>
      </c>
      <c r="E3839" s="43" t="s">
        <v>615</v>
      </c>
      <c r="F3839" s="43">
        <v>1</v>
      </c>
      <c r="G3839"/>
      <c r="H3839"/>
    </row>
    <row r="3840" spans="1:8" hidden="1" x14ac:dyDescent="0.25">
      <c r="A3840" s="43">
        <v>607</v>
      </c>
      <c r="B3840" s="43" t="s">
        <v>173</v>
      </c>
      <c r="C3840" s="43" t="s">
        <v>4470</v>
      </c>
      <c r="D3840" s="43" t="s">
        <v>1516</v>
      </c>
      <c r="E3840" s="43" t="s">
        <v>1517</v>
      </c>
      <c r="F3840" s="43">
        <v>1</v>
      </c>
      <c r="G3840"/>
      <c r="H3840"/>
    </row>
    <row r="3841" spans="1:8" hidden="1" x14ac:dyDescent="0.25">
      <c r="A3841" s="43">
        <v>607</v>
      </c>
      <c r="B3841" s="43" t="s">
        <v>173</v>
      </c>
      <c r="C3841" s="43" t="s">
        <v>4470</v>
      </c>
      <c r="D3841" s="43" t="s">
        <v>1518</v>
      </c>
      <c r="E3841" s="43" t="s">
        <v>1519</v>
      </c>
      <c r="F3841" s="43">
        <v>1</v>
      </c>
      <c r="G3841"/>
      <c r="H3841"/>
    </row>
    <row r="3842" spans="1:8" hidden="1" x14ac:dyDescent="0.25">
      <c r="A3842" s="43">
        <v>607</v>
      </c>
      <c r="B3842" s="43" t="s">
        <v>173</v>
      </c>
      <c r="C3842" s="43" t="s">
        <v>4470</v>
      </c>
      <c r="D3842" s="43" t="s">
        <v>1520</v>
      </c>
      <c r="E3842" s="43" t="s">
        <v>1521</v>
      </c>
      <c r="F3842" s="43">
        <v>0</v>
      </c>
      <c r="G3842" s="43" t="s">
        <v>4583</v>
      </c>
      <c r="H3842"/>
    </row>
    <row r="3843" spans="1:8" hidden="1" x14ac:dyDescent="0.25">
      <c r="A3843" s="43">
        <v>607</v>
      </c>
      <c r="B3843" s="43" t="s">
        <v>173</v>
      </c>
      <c r="C3843" s="43" t="s">
        <v>4470</v>
      </c>
      <c r="D3843" s="43" t="s">
        <v>1522</v>
      </c>
      <c r="E3843" s="43" t="s">
        <v>1523</v>
      </c>
      <c r="F3843" s="43">
        <v>0</v>
      </c>
      <c r="G3843" s="43" t="s">
        <v>4583</v>
      </c>
      <c r="H3843"/>
    </row>
    <row r="3844" spans="1:8" hidden="1" x14ac:dyDescent="0.25">
      <c r="A3844" s="43">
        <v>607</v>
      </c>
      <c r="B3844" s="43" t="s">
        <v>173</v>
      </c>
      <c r="C3844" s="43" t="s">
        <v>4470</v>
      </c>
      <c r="D3844" s="43" t="s">
        <v>1524</v>
      </c>
      <c r="E3844" s="43" t="s">
        <v>1525</v>
      </c>
      <c r="F3844" s="43">
        <v>0</v>
      </c>
      <c r="G3844" s="43" t="s">
        <v>4583</v>
      </c>
      <c r="H3844"/>
    </row>
    <row r="3845" spans="1:8" hidden="1" x14ac:dyDescent="0.25">
      <c r="A3845" s="43">
        <v>607</v>
      </c>
      <c r="B3845" s="43" t="s">
        <v>173</v>
      </c>
      <c r="C3845" s="43" t="s">
        <v>4470</v>
      </c>
      <c r="D3845" s="43" t="s">
        <v>1526</v>
      </c>
      <c r="E3845" s="43" t="s">
        <v>1527</v>
      </c>
      <c r="F3845" s="43">
        <v>0</v>
      </c>
      <c r="G3845" s="43" t="s">
        <v>4583</v>
      </c>
      <c r="H3845"/>
    </row>
    <row r="3846" spans="1:8" hidden="1" x14ac:dyDescent="0.25">
      <c r="A3846" s="43">
        <v>607</v>
      </c>
      <c r="B3846" s="43" t="s">
        <v>173</v>
      </c>
      <c r="C3846" s="43" t="s">
        <v>4470</v>
      </c>
      <c r="D3846" s="43" t="s">
        <v>1528</v>
      </c>
      <c r="E3846" s="43" t="s">
        <v>4471</v>
      </c>
      <c r="F3846" s="43">
        <v>0</v>
      </c>
      <c r="G3846" s="43" t="s">
        <v>4583</v>
      </c>
      <c r="H3846"/>
    </row>
    <row r="3847" spans="1:8" hidden="1" x14ac:dyDescent="0.25">
      <c r="A3847" s="43">
        <v>607</v>
      </c>
      <c r="B3847" s="43" t="s">
        <v>173</v>
      </c>
      <c r="C3847" s="43" t="s">
        <v>4470</v>
      </c>
      <c r="D3847" s="43" t="s">
        <v>1530</v>
      </c>
      <c r="E3847" s="43" t="s">
        <v>1430</v>
      </c>
      <c r="F3847" s="43">
        <v>0</v>
      </c>
      <c r="G3847" s="43" t="s">
        <v>4583</v>
      </c>
      <c r="H3847"/>
    </row>
    <row r="3848" spans="1:8" hidden="1" x14ac:dyDescent="0.25">
      <c r="A3848" s="43">
        <v>607</v>
      </c>
      <c r="B3848" s="43" t="s">
        <v>173</v>
      </c>
      <c r="C3848" s="43" t="s">
        <v>4470</v>
      </c>
      <c r="D3848" s="43" t="s">
        <v>1531</v>
      </c>
      <c r="E3848" s="43" t="s">
        <v>503</v>
      </c>
      <c r="F3848" s="43">
        <v>0</v>
      </c>
      <c r="G3848" s="43" t="s">
        <v>4583</v>
      </c>
      <c r="H3848"/>
    </row>
    <row r="3849" spans="1:8" hidden="1" x14ac:dyDescent="0.25">
      <c r="A3849" s="43">
        <v>607</v>
      </c>
      <c r="B3849" s="43" t="s">
        <v>173</v>
      </c>
      <c r="C3849" s="43" t="s">
        <v>4470</v>
      </c>
      <c r="D3849" s="43" t="s">
        <v>1532</v>
      </c>
      <c r="E3849" s="43" t="s">
        <v>1533</v>
      </c>
      <c r="F3849" s="43">
        <v>1</v>
      </c>
      <c r="G3849"/>
      <c r="H3849"/>
    </row>
    <row r="3850" spans="1:8" hidden="1" x14ac:dyDescent="0.25">
      <c r="A3850" s="43">
        <v>607</v>
      </c>
      <c r="B3850" s="43" t="s">
        <v>173</v>
      </c>
      <c r="C3850" s="43" t="s">
        <v>4470</v>
      </c>
      <c r="D3850" s="43" t="s">
        <v>1534</v>
      </c>
      <c r="E3850" s="43" t="s">
        <v>1535</v>
      </c>
      <c r="F3850" s="43">
        <v>0</v>
      </c>
      <c r="G3850" s="43" t="s">
        <v>4583</v>
      </c>
      <c r="H3850"/>
    </row>
    <row r="3851" spans="1:8" hidden="1" x14ac:dyDescent="0.25">
      <c r="A3851" s="43">
        <v>608</v>
      </c>
      <c r="B3851" s="43" t="s">
        <v>174</v>
      </c>
      <c r="C3851" s="43" t="s">
        <v>1790</v>
      </c>
      <c r="D3851" s="43" t="s">
        <v>1791</v>
      </c>
      <c r="E3851" s="43" t="s">
        <v>273</v>
      </c>
      <c r="F3851" s="43">
        <v>1</v>
      </c>
      <c r="G3851"/>
      <c r="H3851"/>
    </row>
    <row r="3852" spans="1:8" hidden="1" x14ac:dyDescent="0.25">
      <c r="A3852" s="43">
        <v>608</v>
      </c>
      <c r="B3852" s="43" t="s">
        <v>174</v>
      </c>
      <c r="C3852" s="43" t="s">
        <v>1790</v>
      </c>
      <c r="D3852" s="43" t="s">
        <v>1792</v>
      </c>
      <c r="E3852" s="43" t="s">
        <v>312</v>
      </c>
      <c r="F3852" s="43">
        <v>0</v>
      </c>
      <c r="G3852" s="43" t="s">
        <v>4583</v>
      </c>
      <c r="H3852"/>
    </row>
    <row r="3853" spans="1:8" hidden="1" x14ac:dyDescent="0.25">
      <c r="A3853" s="43">
        <v>608</v>
      </c>
      <c r="B3853" s="43" t="s">
        <v>174</v>
      </c>
      <c r="C3853" s="43" t="s">
        <v>1790</v>
      </c>
      <c r="D3853" s="43" t="s">
        <v>1793</v>
      </c>
      <c r="E3853" s="43" t="s">
        <v>801</v>
      </c>
      <c r="F3853" s="43">
        <v>1</v>
      </c>
      <c r="G3853"/>
      <c r="H3853"/>
    </row>
    <row r="3854" spans="1:8" hidden="1" x14ac:dyDescent="0.25">
      <c r="A3854" s="43">
        <v>608</v>
      </c>
      <c r="B3854" s="43" t="s">
        <v>174</v>
      </c>
      <c r="C3854" s="43" t="s">
        <v>1790</v>
      </c>
      <c r="D3854" s="43" t="s">
        <v>1794</v>
      </c>
      <c r="E3854" s="43" t="s">
        <v>786</v>
      </c>
      <c r="F3854" s="43">
        <v>1</v>
      </c>
      <c r="G3854"/>
      <c r="H3854"/>
    </row>
    <row r="3855" spans="1:8" hidden="1" x14ac:dyDescent="0.25">
      <c r="A3855" s="43">
        <v>608</v>
      </c>
      <c r="B3855" s="43" t="s">
        <v>174</v>
      </c>
      <c r="C3855" s="43" t="s">
        <v>1790</v>
      </c>
      <c r="D3855" s="43" t="s">
        <v>1795</v>
      </c>
      <c r="E3855" s="43" t="s">
        <v>784</v>
      </c>
      <c r="F3855" s="43">
        <v>0</v>
      </c>
      <c r="G3855" s="43" t="s">
        <v>4583</v>
      </c>
      <c r="H3855"/>
    </row>
    <row r="3856" spans="1:8" hidden="1" x14ac:dyDescent="0.25">
      <c r="A3856" s="43">
        <v>608</v>
      </c>
      <c r="B3856" s="43" t="s">
        <v>174</v>
      </c>
      <c r="C3856" s="43" t="s">
        <v>1790</v>
      </c>
      <c r="D3856" s="43" t="s">
        <v>1796</v>
      </c>
      <c r="E3856" s="43" t="s">
        <v>1205</v>
      </c>
      <c r="F3856" s="43">
        <v>1</v>
      </c>
      <c r="G3856"/>
      <c r="H3856"/>
    </row>
    <row r="3857" spans="1:8" hidden="1" x14ac:dyDescent="0.25">
      <c r="A3857" s="43">
        <v>608</v>
      </c>
      <c r="B3857" s="43" t="s">
        <v>174</v>
      </c>
      <c r="C3857" s="43" t="s">
        <v>1790</v>
      </c>
      <c r="D3857" s="43" t="s">
        <v>1797</v>
      </c>
      <c r="E3857" s="43" t="s">
        <v>1207</v>
      </c>
      <c r="F3857" s="43">
        <v>0</v>
      </c>
      <c r="G3857" s="43" t="s">
        <v>4583</v>
      </c>
      <c r="H3857"/>
    </row>
    <row r="3858" spans="1:8" hidden="1" x14ac:dyDescent="0.25">
      <c r="A3858" s="43">
        <v>608</v>
      </c>
      <c r="B3858" s="43" t="s">
        <v>174</v>
      </c>
      <c r="C3858" s="43" t="s">
        <v>1790</v>
      </c>
      <c r="D3858" s="43" t="s">
        <v>1798</v>
      </c>
      <c r="E3858" s="43" t="s">
        <v>1209</v>
      </c>
      <c r="F3858" s="43">
        <v>0</v>
      </c>
      <c r="G3858" s="43" t="s">
        <v>4583</v>
      </c>
      <c r="H3858"/>
    </row>
    <row r="3859" spans="1:8" hidden="1" x14ac:dyDescent="0.25">
      <c r="A3859" s="43">
        <v>608</v>
      </c>
      <c r="B3859" s="43" t="s">
        <v>174</v>
      </c>
      <c r="C3859" s="43" t="s">
        <v>1790</v>
      </c>
      <c r="D3859" s="43" t="s">
        <v>1799</v>
      </c>
      <c r="E3859" s="43" t="s">
        <v>789</v>
      </c>
      <c r="F3859" s="43">
        <v>0</v>
      </c>
      <c r="G3859" s="43" t="s">
        <v>4583</v>
      </c>
      <c r="H3859"/>
    </row>
    <row r="3860" spans="1:8" hidden="1" x14ac:dyDescent="0.25">
      <c r="A3860" s="43">
        <v>608</v>
      </c>
      <c r="B3860" s="43" t="s">
        <v>174</v>
      </c>
      <c r="C3860" s="43" t="s">
        <v>1790</v>
      </c>
      <c r="D3860" s="43" t="s">
        <v>1800</v>
      </c>
      <c r="E3860" s="43" t="s">
        <v>1214</v>
      </c>
      <c r="F3860" s="43">
        <v>1</v>
      </c>
      <c r="G3860"/>
      <c r="H3860"/>
    </row>
    <row r="3861" spans="1:8" hidden="1" x14ac:dyDescent="0.25">
      <c r="A3861" s="43">
        <v>608</v>
      </c>
      <c r="B3861" s="43" t="s">
        <v>174</v>
      </c>
      <c r="C3861" s="43" t="s">
        <v>1790</v>
      </c>
      <c r="D3861" s="43" t="s">
        <v>1801</v>
      </c>
      <c r="E3861" s="43" t="s">
        <v>1784</v>
      </c>
      <c r="F3861" s="43">
        <v>1</v>
      </c>
      <c r="G3861"/>
      <c r="H3861"/>
    </row>
    <row r="3862" spans="1:8" hidden="1" x14ac:dyDescent="0.25">
      <c r="A3862" s="43">
        <v>608</v>
      </c>
      <c r="B3862" s="43" t="s">
        <v>174</v>
      </c>
      <c r="C3862" s="43" t="s">
        <v>1790</v>
      </c>
      <c r="D3862" s="43" t="s">
        <v>1802</v>
      </c>
      <c r="E3862" s="43" t="s">
        <v>791</v>
      </c>
      <c r="F3862" s="43">
        <v>1</v>
      </c>
      <c r="G3862"/>
      <c r="H3862"/>
    </row>
    <row r="3863" spans="1:8" hidden="1" x14ac:dyDescent="0.25">
      <c r="A3863" s="43">
        <v>608</v>
      </c>
      <c r="B3863" s="43" t="s">
        <v>174</v>
      </c>
      <c r="C3863" s="43" t="s">
        <v>1790</v>
      </c>
      <c r="D3863" s="43" t="s">
        <v>1803</v>
      </c>
      <c r="E3863" s="43" t="s">
        <v>795</v>
      </c>
      <c r="F3863" s="43">
        <v>1</v>
      </c>
      <c r="G3863"/>
      <c r="H3863"/>
    </row>
    <row r="3864" spans="1:8" hidden="1" x14ac:dyDescent="0.25">
      <c r="A3864" s="43">
        <v>608</v>
      </c>
      <c r="B3864" s="43" t="s">
        <v>174</v>
      </c>
      <c r="C3864" s="43" t="s">
        <v>1790</v>
      </c>
      <c r="D3864" s="43" t="s">
        <v>1804</v>
      </c>
      <c r="E3864" s="43" t="s">
        <v>372</v>
      </c>
      <c r="F3864" s="43">
        <v>1</v>
      </c>
      <c r="G3864"/>
      <c r="H3864"/>
    </row>
    <row r="3865" spans="1:8" hidden="1" x14ac:dyDescent="0.25">
      <c r="A3865" s="43">
        <v>608</v>
      </c>
      <c r="B3865" s="43" t="s">
        <v>174</v>
      </c>
      <c r="C3865" s="43" t="s">
        <v>1790</v>
      </c>
      <c r="D3865" s="43" t="s">
        <v>1805</v>
      </c>
      <c r="E3865" s="43" t="s">
        <v>1806</v>
      </c>
      <c r="F3865" s="43">
        <v>0</v>
      </c>
      <c r="G3865" s="43" t="s">
        <v>4583</v>
      </c>
      <c r="H3865"/>
    </row>
    <row r="3866" spans="1:8" hidden="1" x14ac:dyDescent="0.25">
      <c r="A3866" s="43">
        <v>608</v>
      </c>
      <c r="B3866" s="43" t="s">
        <v>174</v>
      </c>
      <c r="C3866" s="43" t="s">
        <v>1790</v>
      </c>
      <c r="D3866" s="43" t="s">
        <v>1807</v>
      </c>
      <c r="E3866" s="43" t="s">
        <v>1808</v>
      </c>
      <c r="F3866" s="43">
        <v>1</v>
      </c>
      <c r="G3866"/>
      <c r="H3866"/>
    </row>
    <row r="3867" spans="1:8" hidden="1" x14ac:dyDescent="0.25">
      <c r="A3867" s="43">
        <v>608</v>
      </c>
      <c r="B3867" s="43" t="s">
        <v>174</v>
      </c>
      <c r="C3867" s="43" t="s">
        <v>682</v>
      </c>
      <c r="D3867" s="43" t="s">
        <v>683</v>
      </c>
      <c r="E3867" s="43" t="s">
        <v>684</v>
      </c>
      <c r="F3867" s="43">
        <v>0</v>
      </c>
      <c r="G3867" s="43" t="s">
        <v>4583</v>
      </c>
      <c r="H3867"/>
    </row>
    <row r="3868" spans="1:8" hidden="1" x14ac:dyDescent="0.25">
      <c r="A3868" s="43">
        <v>608</v>
      </c>
      <c r="B3868" s="43" t="s">
        <v>174</v>
      </c>
      <c r="C3868" s="43" t="s">
        <v>682</v>
      </c>
      <c r="D3868" s="43" t="s">
        <v>685</v>
      </c>
      <c r="E3868" s="43" t="s">
        <v>686</v>
      </c>
      <c r="F3868" s="43">
        <v>1</v>
      </c>
      <c r="G3868"/>
      <c r="H3868"/>
    </row>
    <row r="3869" spans="1:8" hidden="1" x14ac:dyDescent="0.25">
      <c r="A3869" s="43">
        <v>608</v>
      </c>
      <c r="B3869" s="43" t="s">
        <v>174</v>
      </c>
      <c r="C3869" s="43" t="s">
        <v>682</v>
      </c>
      <c r="D3869" s="43" t="s">
        <v>687</v>
      </c>
      <c r="E3869" s="43" t="s">
        <v>638</v>
      </c>
      <c r="F3869" s="43">
        <v>0</v>
      </c>
      <c r="G3869" s="43" t="s">
        <v>4583</v>
      </c>
      <c r="H3869"/>
    </row>
    <row r="3870" spans="1:8" hidden="1" x14ac:dyDescent="0.25">
      <c r="A3870" s="43">
        <v>608</v>
      </c>
      <c r="B3870" s="43" t="s">
        <v>174</v>
      </c>
      <c r="C3870" s="43" t="s">
        <v>682</v>
      </c>
      <c r="D3870" s="43" t="s">
        <v>688</v>
      </c>
      <c r="E3870" s="43" t="s">
        <v>689</v>
      </c>
      <c r="F3870" s="43">
        <v>1</v>
      </c>
      <c r="G3870"/>
      <c r="H3870"/>
    </row>
    <row r="3871" spans="1:8" hidden="1" x14ac:dyDescent="0.25">
      <c r="A3871" s="43">
        <v>608</v>
      </c>
      <c r="B3871" s="43" t="s">
        <v>174</v>
      </c>
      <c r="C3871" s="43" t="s">
        <v>682</v>
      </c>
      <c r="D3871" s="43" t="s">
        <v>690</v>
      </c>
      <c r="E3871" s="43" t="s">
        <v>640</v>
      </c>
      <c r="F3871" s="43">
        <v>1</v>
      </c>
      <c r="G3871"/>
      <c r="H3871"/>
    </row>
    <row r="3872" spans="1:8" hidden="1" x14ac:dyDescent="0.25">
      <c r="A3872" s="43">
        <v>608</v>
      </c>
      <c r="B3872" s="43" t="s">
        <v>174</v>
      </c>
      <c r="C3872" s="43" t="s">
        <v>682</v>
      </c>
      <c r="D3872" s="43" t="s">
        <v>691</v>
      </c>
      <c r="E3872" s="43" t="s">
        <v>692</v>
      </c>
      <c r="F3872" s="43">
        <v>0</v>
      </c>
      <c r="G3872" s="43" t="s">
        <v>4583</v>
      </c>
      <c r="H3872"/>
    </row>
    <row r="3873" spans="1:8" hidden="1" x14ac:dyDescent="0.25">
      <c r="A3873" s="43">
        <v>608</v>
      </c>
      <c r="B3873" s="43" t="s">
        <v>174</v>
      </c>
      <c r="C3873" s="43" t="s">
        <v>682</v>
      </c>
      <c r="D3873" s="43" t="s">
        <v>693</v>
      </c>
      <c r="E3873" s="43" t="s">
        <v>694</v>
      </c>
      <c r="F3873" s="43">
        <v>0</v>
      </c>
      <c r="G3873" s="43" t="s">
        <v>4583</v>
      </c>
      <c r="H3873"/>
    </row>
    <row r="3874" spans="1:8" hidden="1" x14ac:dyDescent="0.25">
      <c r="A3874" s="43">
        <v>608</v>
      </c>
      <c r="B3874" s="43" t="s">
        <v>174</v>
      </c>
      <c r="C3874" s="43" t="s">
        <v>682</v>
      </c>
      <c r="D3874" s="43" t="s">
        <v>695</v>
      </c>
      <c r="E3874" s="43" t="s">
        <v>696</v>
      </c>
      <c r="F3874" s="43">
        <v>0</v>
      </c>
      <c r="G3874" s="43" t="s">
        <v>4583</v>
      </c>
      <c r="H3874"/>
    </row>
    <row r="3875" spans="1:8" hidden="1" x14ac:dyDescent="0.25">
      <c r="A3875" s="43">
        <v>608</v>
      </c>
      <c r="B3875" s="43" t="s">
        <v>174</v>
      </c>
      <c r="C3875" s="43" t="s">
        <v>682</v>
      </c>
      <c r="D3875" s="43" t="s">
        <v>697</v>
      </c>
      <c r="E3875" s="43" t="s">
        <v>698</v>
      </c>
      <c r="F3875" s="43">
        <v>0</v>
      </c>
      <c r="G3875" s="43" t="s">
        <v>4583</v>
      </c>
      <c r="H3875"/>
    </row>
    <row r="3876" spans="1:8" hidden="1" x14ac:dyDescent="0.25">
      <c r="A3876" s="43">
        <v>608</v>
      </c>
      <c r="B3876" s="43" t="s">
        <v>174</v>
      </c>
      <c r="C3876" s="43" t="s">
        <v>682</v>
      </c>
      <c r="D3876" s="43" t="s">
        <v>699</v>
      </c>
      <c r="E3876" s="43" t="s">
        <v>700</v>
      </c>
      <c r="F3876" s="43">
        <v>0</v>
      </c>
      <c r="G3876" s="43" t="s">
        <v>4583</v>
      </c>
      <c r="H3876"/>
    </row>
    <row r="3877" spans="1:8" hidden="1" x14ac:dyDescent="0.25">
      <c r="A3877" s="43">
        <v>609</v>
      </c>
      <c r="B3877" s="43" t="s">
        <v>174</v>
      </c>
      <c r="C3877" s="43" t="s">
        <v>1790</v>
      </c>
      <c r="D3877" s="43" t="s">
        <v>1791</v>
      </c>
      <c r="E3877" s="43" t="s">
        <v>273</v>
      </c>
      <c r="F3877" s="43">
        <v>1</v>
      </c>
      <c r="G3877"/>
      <c r="H3877"/>
    </row>
    <row r="3878" spans="1:8" hidden="1" x14ac:dyDescent="0.25">
      <c r="A3878" s="43">
        <v>609</v>
      </c>
      <c r="B3878" s="43" t="s">
        <v>174</v>
      </c>
      <c r="C3878" s="43" t="s">
        <v>1790</v>
      </c>
      <c r="D3878" s="43" t="s">
        <v>1792</v>
      </c>
      <c r="E3878" s="43" t="s">
        <v>312</v>
      </c>
      <c r="F3878" s="43">
        <v>0</v>
      </c>
      <c r="G3878" s="43" t="s">
        <v>4583</v>
      </c>
      <c r="H3878"/>
    </row>
    <row r="3879" spans="1:8" hidden="1" x14ac:dyDescent="0.25">
      <c r="A3879" s="43">
        <v>609</v>
      </c>
      <c r="B3879" s="43" t="s">
        <v>174</v>
      </c>
      <c r="C3879" s="43" t="s">
        <v>1790</v>
      </c>
      <c r="D3879" s="43" t="s">
        <v>1793</v>
      </c>
      <c r="E3879" s="43" t="s">
        <v>801</v>
      </c>
      <c r="F3879" s="43">
        <v>1</v>
      </c>
      <c r="G3879"/>
      <c r="H3879"/>
    </row>
    <row r="3880" spans="1:8" hidden="1" x14ac:dyDescent="0.25">
      <c r="A3880" s="43">
        <v>609</v>
      </c>
      <c r="B3880" s="43" t="s">
        <v>174</v>
      </c>
      <c r="C3880" s="43" t="s">
        <v>1790</v>
      </c>
      <c r="D3880" s="43" t="s">
        <v>1794</v>
      </c>
      <c r="E3880" s="43" t="s">
        <v>786</v>
      </c>
      <c r="F3880" s="43">
        <v>1</v>
      </c>
      <c r="G3880"/>
      <c r="H3880"/>
    </row>
    <row r="3881" spans="1:8" hidden="1" x14ac:dyDescent="0.25">
      <c r="A3881" s="43">
        <v>609</v>
      </c>
      <c r="B3881" s="43" t="s">
        <v>174</v>
      </c>
      <c r="C3881" s="43" t="s">
        <v>1790</v>
      </c>
      <c r="D3881" s="43" t="s">
        <v>1795</v>
      </c>
      <c r="E3881" s="43" t="s">
        <v>784</v>
      </c>
      <c r="F3881" s="43">
        <v>0</v>
      </c>
      <c r="G3881" s="43" t="s">
        <v>4583</v>
      </c>
      <c r="H3881"/>
    </row>
    <row r="3882" spans="1:8" hidden="1" x14ac:dyDescent="0.25">
      <c r="A3882" s="43">
        <v>609</v>
      </c>
      <c r="B3882" s="43" t="s">
        <v>174</v>
      </c>
      <c r="C3882" s="43" t="s">
        <v>1790</v>
      </c>
      <c r="D3882" s="43" t="s">
        <v>1796</v>
      </c>
      <c r="E3882" s="43" t="s">
        <v>1205</v>
      </c>
      <c r="F3882" s="43">
        <v>1</v>
      </c>
      <c r="G3882"/>
      <c r="H3882"/>
    </row>
    <row r="3883" spans="1:8" hidden="1" x14ac:dyDescent="0.25">
      <c r="A3883" s="43">
        <v>609</v>
      </c>
      <c r="B3883" s="43" t="s">
        <v>174</v>
      </c>
      <c r="C3883" s="43" t="s">
        <v>1790</v>
      </c>
      <c r="D3883" s="43" t="s">
        <v>1797</v>
      </c>
      <c r="E3883" s="43" t="s">
        <v>1207</v>
      </c>
      <c r="F3883" s="43">
        <v>0</v>
      </c>
      <c r="G3883" s="43" t="s">
        <v>4583</v>
      </c>
      <c r="H3883"/>
    </row>
    <row r="3884" spans="1:8" hidden="1" x14ac:dyDescent="0.25">
      <c r="A3884" s="43">
        <v>609</v>
      </c>
      <c r="B3884" s="43" t="s">
        <v>174</v>
      </c>
      <c r="C3884" s="43" t="s">
        <v>1790</v>
      </c>
      <c r="D3884" s="43" t="s">
        <v>1798</v>
      </c>
      <c r="E3884" s="43" t="s">
        <v>1209</v>
      </c>
      <c r="F3884" s="43">
        <v>0</v>
      </c>
      <c r="G3884" s="43" t="s">
        <v>4583</v>
      </c>
      <c r="H3884"/>
    </row>
    <row r="3885" spans="1:8" hidden="1" x14ac:dyDescent="0.25">
      <c r="A3885" s="43">
        <v>609</v>
      </c>
      <c r="B3885" s="43" t="s">
        <v>174</v>
      </c>
      <c r="C3885" s="43" t="s">
        <v>1790</v>
      </c>
      <c r="D3885" s="43" t="s">
        <v>1799</v>
      </c>
      <c r="E3885" s="43" t="s">
        <v>789</v>
      </c>
      <c r="F3885" s="43">
        <v>0</v>
      </c>
      <c r="G3885" s="43" t="s">
        <v>4583</v>
      </c>
      <c r="H3885"/>
    </row>
    <row r="3886" spans="1:8" hidden="1" x14ac:dyDescent="0.25">
      <c r="A3886" s="43">
        <v>609</v>
      </c>
      <c r="B3886" s="43" t="s">
        <v>174</v>
      </c>
      <c r="C3886" s="43" t="s">
        <v>1790</v>
      </c>
      <c r="D3886" s="43" t="s">
        <v>1800</v>
      </c>
      <c r="E3886" s="43" t="s">
        <v>1214</v>
      </c>
      <c r="F3886" s="43">
        <v>1</v>
      </c>
      <c r="G3886"/>
      <c r="H3886"/>
    </row>
    <row r="3887" spans="1:8" hidden="1" x14ac:dyDescent="0.25">
      <c r="A3887" s="43">
        <v>609</v>
      </c>
      <c r="B3887" s="43" t="s">
        <v>174</v>
      </c>
      <c r="C3887" s="43" t="s">
        <v>1790</v>
      </c>
      <c r="D3887" s="43" t="s">
        <v>1801</v>
      </c>
      <c r="E3887" s="43" t="s">
        <v>1784</v>
      </c>
      <c r="F3887" s="43">
        <v>1</v>
      </c>
      <c r="G3887"/>
      <c r="H3887"/>
    </row>
    <row r="3888" spans="1:8" hidden="1" x14ac:dyDescent="0.25">
      <c r="A3888" s="43">
        <v>609</v>
      </c>
      <c r="B3888" s="43" t="s">
        <v>174</v>
      </c>
      <c r="C3888" s="43" t="s">
        <v>1790</v>
      </c>
      <c r="D3888" s="43" t="s">
        <v>1802</v>
      </c>
      <c r="E3888" s="43" t="s">
        <v>791</v>
      </c>
      <c r="F3888" s="43">
        <v>1</v>
      </c>
      <c r="G3888"/>
      <c r="H3888"/>
    </row>
    <row r="3889" spans="1:8" hidden="1" x14ac:dyDescent="0.25">
      <c r="A3889" s="43">
        <v>609</v>
      </c>
      <c r="B3889" s="43" t="s">
        <v>174</v>
      </c>
      <c r="C3889" s="43" t="s">
        <v>1790</v>
      </c>
      <c r="D3889" s="43" t="s">
        <v>1803</v>
      </c>
      <c r="E3889" s="43" t="s">
        <v>795</v>
      </c>
      <c r="F3889" s="43">
        <v>1</v>
      </c>
      <c r="G3889"/>
      <c r="H3889"/>
    </row>
    <row r="3890" spans="1:8" hidden="1" x14ac:dyDescent="0.25">
      <c r="A3890" s="43">
        <v>609</v>
      </c>
      <c r="B3890" s="43" t="s">
        <v>174</v>
      </c>
      <c r="C3890" s="43" t="s">
        <v>1790</v>
      </c>
      <c r="D3890" s="43" t="s">
        <v>1804</v>
      </c>
      <c r="E3890" s="43" t="s">
        <v>372</v>
      </c>
      <c r="F3890" s="43">
        <v>1</v>
      </c>
      <c r="G3890"/>
      <c r="H3890"/>
    </row>
    <row r="3891" spans="1:8" hidden="1" x14ac:dyDescent="0.25">
      <c r="A3891" s="43">
        <v>609</v>
      </c>
      <c r="B3891" s="43" t="s">
        <v>174</v>
      </c>
      <c r="C3891" s="43" t="s">
        <v>1790</v>
      </c>
      <c r="D3891" s="43" t="s">
        <v>1805</v>
      </c>
      <c r="E3891" s="43" t="s">
        <v>1806</v>
      </c>
      <c r="F3891" s="43">
        <v>0</v>
      </c>
      <c r="G3891" s="43" t="s">
        <v>4583</v>
      </c>
      <c r="H3891"/>
    </row>
    <row r="3892" spans="1:8" hidden="1" x14ac:dyDescent="0.25">
      <c r="A3892" s="43">
        <v>609</v>
      </c>
      <c r="B3892" s="43" t="s">
        <v>174</v>
      </c>
      <c r="C3892" s="43" t="s">
        <v>1790</v>
      </c>
      <c r="D3892" s="43" t="s">
        <v>1807</v>
      </c>
      <c r="E3892" s="43" t="s">
        <v>1808</v>
      </c>
      <c r="F3892" s="43">
        <v>1</v>
      </c>
      <c r="G3892"/>
      <c r="H3892"/>
    </row>
    <row r="3893" spans="1:8" hidden="1" x14ac:dyDescent="0.25">
      <c r="A3893" s="43">
        <v>609</v>
      </c>
      <c r="B3893" s="43" t="s">
        <v>174</v>
      </c>
      <c r="C3893" s="43" t="s">
        <v>682</v>
      </c>
      <c r="D3893" s="43" t="s">
        <v>683</v>
      </c>
      <c r="E3893" s="43" t="s">
        <v>684</v>
      </c>
      <c r="F3893" s="43">
        <v>0</v>
      </c>
      <c r="G3893" s="43" t="s">
        <v>4583</v>
      </c>
      <c r="H3893"/>
    </row>
    <row r="3894" spans="1:8" hidden="1" x14ac:dyDescent="0.25">
      <c r="A3894" s="43">
        <v>609</v>
      </c>
      <c r="B3894" s="43" t="s">
        <v>174</v>
      </c>
      <c r="C3894" s="43" t="s">
        <v>682</v>
      </c>
      <c r="D3894" s="43" t="s">
        <v>685</v>
      </c>
      <c r="E3894" s="43" t="s">
        <v>686</v>
      </c>
      <c r="F3894" s="43">
        <v>1</v>
      </c>
      <c r="G3894"/>
      <c r="H3894"/>
    </row>
    <row r="3895" spans="1:8" hidden="1" x14ac:dyDescent="0.25">
      <c r="A3895" s="43">
        <v>609</v>
      </c>
      <c r="B3895" s="43" t="s">
        <v>174</v>
      </c>
      <c r="C3895" s="43" t="s">
        <v>682</v>
      </c>
      <c r="D3895" s="43" t="s">
        <v>687</v>
      </c>
      <c r="E3895" s="43" t="s">
        <v>638</v>
      </c>
      <c r="F3895" s="43">
        <v>0</v>
      </c>
      <c r="G3895" s="43" t="s">
        <v>4583</v>
      </c>
      <c r="H3895"/>
    </row>
    <row r="3896" spans="1:8" hidden="1" x14ac:dyDescent="0.25">
      <c r="A3896" s="43">
        <v>609</v>
      </c>
      <c r="B3896" s="43" t="s">
        <v>174</v>
      </c>
      <c r="C3896" s="43" t="s">
        <v>682</v>
      </c>
      <c r="D3896" s="43" t="s">
        <v>688</v>
      </c>
      <c r="E3896" s="43" t="s">
        <v>689</v>
      </c>
      <c r="F3896" s="43">
        <v>0</v>
      </c>
      <c r="G3896" s="43" t="s">
        <v>4583</v>
      </c>
      <c r="H3896"/>
    </row>
    <row r="3897" spans="1:8" hidden="1" x14ac:dyDescent="0.25">
      <c r="A3897" s="43">
        <v>609</v>
      </c>
      <c r="B3897" s="43" t="s">
        <v>174</v>
      </c>
      <c r="C3897" s="43" t="s">
        <v>682</v>
      </c>
      <c r="D3897" s="43" t="s">
        <v>690</v>
      </c>
      <c r="E3897" s="43" t="s">
        <v>640</v>
      </c>
      <c r="F3897" s="43">
        <v>1</v>
      </c>
      <c r="G3897"/>
      <c r="H3897"/>
    </row>
    <row r="3898" spans="1:8" hidden="1" x14ac:dyDescent="0.25">
      <c r="A3898" s="43">
        <v>609</v>
      </c>
      <c r="B3898" s="43" t="s">
        <v>174</v>
      </c>
      <c r="C3898" s="43" t="s">
        <v>682</v>
      </c>
      <c r="D3898" s="43" t="s">
        <v>691</v>
      </c>
      <c r="E3898" s="43" t="s">
        <v>692</v>
      </c>
      <c r="F3898" s="43">
        <v>0</v>
      </c>
      <c r="G3898" s="43" t="s">
        <v>4583</v>
      </c>
      <c r="H3898"/>
    </row>
    <row r="3899" spans="1:8" hidden="1" x14ac:dyDescent="0.25">
      <c r="A3899" s="43">
        <v>609</v>
      </c>
      <c r="B3899" s="43" t="s">
        <v>174</v>
      </c>
      <c r="C3899" s="43" t="s">
        <v>682</v>
      </c>
      <c r="D3899" s="43" t="s">
        <v>693</v>
      </c>
      <c r="E3899" s="43" t="s">
        <v>694</v>
      </c>
      <c r="F3899" s="43">
        <v>0</v>
      </c>
      <c r="G3899" s="43" t="s">
        <v>4583</v>
      </c>
      <c r="H3899"/>
    </row>
    <row r="3900" spans="1:8" hidden="1" x14ac:dyDescent="0.25">
      <c r="A3900" s="43">
        <v>609</v>
      </c>
      <c r="B3900" s="43" t="s">
        <v>174</v>
      </c>
      <c r="C3900" s="43" t="s">
        <v>682</v>
      </c>
      <c r="D3900" s="43" t="s">
        <v>695</v>
      </c>
      <c r="E3900" s="43" t="s">
        <v>696</v>
      </c>
      <c r="F3900" s="43">
        <v>0</v>
      </c>
      <c r="G3900" s="43" t="s">
        <v>4583</v>
      </c>
      <c r="H3900"/>
    </row>
    <row r="3901" spans="1:8" hidden="1" x14ac:dyDescent="0.25">
      <c r="A3901" s="43">
        <v>609</v>
      </c>
      <c r="B3901" s="43" t="s">
        <v>174</v>
      </c>
      <c r="C3901" s="43" t="s">
        <v>682</v>
      </c>
      <c r="D3901" s="43" t="s">
        <v>697</v>
      </c>
      <c r="E3901" s="43" t="s">
        <v>698</v>
      </c>
      <c r="F3901" s="43">
        <v>0</v>
      </c>
      <c r="G3901" s="43" t="s">
        <v>4583</v>
      </c>
      <c r="H3901"/>
    </row>
    <row r="3902" spans="1:8" hidden="1" x14ac:dyDescent="0.25">
      <c r="A3902" s="43">
        <v>609</v>
      </c>
      <c r="B3902" s="43" t="s">
        <v>174</v>
      </c>
      <c r="C3902" s="43" t="s">
        <v>682</v>
      </c>
      <c r="D3902" s="43" t="s">
        <v>699</v>
      </c>
      <c r="E3902" s="43" t="s">
        <v>700</v>
      </c>
      <c r="F3902" s="43">
        <v>0</v>
      </c>
      <c r="G3902" s="43" t="s">
        <v>4583</v>
      </c>
      <c r="H3902"/>
    </row>
    <row r="3903" spans="1:8" hidden="1" x14ac:dyDescent="0.25">
      <c r="A3903" s="43">
        <v>610</v>
      </c>
      <c r="B3903" s="43" t="s">
        <v>175</v>
      </c>
      <c r="C3903" s="43" t="s">
        <v>4470</v>
      </c>
      <c r="D3903" s="43" t="s">
        <v>1493</v>
      </c>
      <c r="E3903" s="43" t="s">
        <v>1494</v>
      </c>
      <c r="F3903" s="43">
        <v>1</v>
      </c>
      <c r="G3903"/>
      <c r="H3903"/>
    </row>
    <row r="3904" spans="1:8" hidden="1" x14ac:dyDescent="0.25">
      <c r="A3904" s="43">
        <v>610</v>
      </c>
      <c r="B3904" s="43" t="s">
        <v>175</v>
      </c>
      <c r="C3904" s="43" t="s">
        <v>4470</v>
      </c>
      <c r="D3904" s="43" t="s">
        <v>1495</v>
      </c>
      <c r="E3904" s="43" t="s">
        <v>1496</v>
      </c>
      <c r="F3904" s="43">
        <v>1</v>
      </c>
      <c r="G3904"/>
      <c r="H3904"/>
    </row>
    <row r="3905" spans="1:8" hidden="1" x14ac:dyDescent="0.25">
      <c r="A3905" s="43">
        <v>610</v>
      </c>
      <c r="B3905" s="43" t="s">
        <v>175</v>
      </c>
      <c r="C3905" s="43" t="s">
        <v>4470</v>
      </c>
      <c r="D3905" s="43" t="s">
        <v>1497</v>
      </c>
      <c r="E3905" s="43" t="s">
        <v>306</v>
      </c>
      <c r="F3905" s="43">
        <v>1</v>
      </c>
      <c r="G3905"/>
      <c r="H3905"/>
    </row>
    <row r="3906" spans="1:8" hidden="1" x14ac:dyDescent="0.25">
      <c r="A3906" s="43">
        <v>610</v>
      </c>
      <c r="B3906" s="43" t="s">
        <v>175</v>
      </c>
      <c r="C3906" s="43" t="s">
        <v>4470</v>
      </c>
      <c r="D3906" s="43" t="s">
        <v>1498</v>
      </c>
      <c r="E3906" s="43" t="s">
        <v>1499</v>
      </c>
      <c r="F3906" s="43">
        <v>0</v>
      </c>
      <c r="G3906" s="43" t="s">
        <v>4583</v>
      </c>
      <c r="H3906"/>
    </row>
    <row r="3907" spans="1:8" hidden="1" x14ac:dyDescent="0.25">
      <c r="A3907" s="43">
        <v>610</v>
      </c>
      <c r="B3907" s="43" t="s">
        <v>175</v>
      </c>
      <c r="C3907" s="43" t="s">
        <v>4470</v>
      </c>
      <c r="D3907" s="43" t="s">
        <v>1500</v>
      </c>
      <c r="E3907" s="43" t="s">
        <v>1397</v>
      </c>
      <c r="F3907" s="43">
        <v>1</v>
      </c>
      <c r="G3907"/>
      <c r="H3907"/>
    </row>
    <row r="3908" spans="1:8" hidden="1" x14ac:dyDescent="0.25">
      <c r="A3908" s="43">
        <v>610</v>
      </c>
      <c r="B3908" s="43" t="s">
        <v>175</v>
      </c>
      <c r="C3908" s="43" t="s">
        <v>4470</v>
      </c>
      <c r="D3908" s="43" t="s">
        <v>1501</v>
      </c>
      <c r="E3908" s="43" t="s">
        <v>1502</v>
      </c>
      <c r="F3908" s="43">
        <v>1</v>
      </c>
      <c r="G3908"/>
      <c r="H3908"/>
    </row>
    <row r="3909" spans="1:8" hidden="1" x14ac:dyDescent="0.25">
      <c r="A3909" s="43">
        <v>610</v>
      </c>
      <c r="B3909" s="43" t="s">
        <v>175</v>
      </c>
      <c r="C3909" s="43" t="s">
        <v>4470</v>
      </c>
      <c r="D3909" s="43" t="s">
        <v>1503</v>
      </c>
      <c r="E3909" s="43" t="s">
        <v>1504</v>
      </c>
      <c r="F3909" s="43">
        <v>1</v>
      </c>
      <c r="G3909"/>
      <c r="H3909"/>
    </row>
    <row r="3910" spans="1:8" hidden="1" x14ac:dyDescent="0.25">
      <c r="A3910" s="43">
        <v>610</v>
      </c>
      <c r="B3910" s="43" t="s">
        <v>175</v>
      </c>
      <c r="C3910" s="43" t="s">
        <v>4470</v>
      </c>
      <c r="D3910" s="43" t="s">
        <v>1505</v>
      </c>
      <c r="E3910" s="43" t="s">
        <v>1506</v>
      </c>
      <c r="F3910" s="43">
        <v>0</v>
      </c>
      <c r="G3910" s="43" t="s">
        <v>4583</v>
      </c>
      <c r="H3910"/>
    </row>
    <row r="3911" spans="1:8" hidden="1" x14ac:dyDescent="0.25">
      <c r="A3911" s="43">
        <v>610</v>
      </c>
      <c r="B3911" s="43" t="s">
        <v>175</v>
      </c>
      <c r="C3911" s="43" t="s">
        <v>4470</v>
      </c>
      <c r="D3911" s="43" t="s">
        <v>1507</v>
      </c>
      <c r="E3911" s="43" t="s">
        <v>611</v>
      </c>
      <c r="F3911" s="43">
        <v>1</v>
      </c>
      <c r="G3911"/>
      <c r="H3911"/>
    </row>
    <row r="3912" spans="1:8" hidden="1" x14ac:dyDescent="0.25">
      <c r="A3912" s="43">
        <v>610</v>
      </c>
      <c r="B3912" s="43" t="s">
        <v>175</v>
      </c>
      <c r="C3912" s="43" t="s">
        <v>4470</v>
      </c>
      <c r="D3912" s="43" t="s">
        <v>1508</v>
      </c>
      <c r="E3912" s="43" t="s">
        <v>1509</v>
      </c>
      <c r="F3912" s="43">
        <v>1</v>
      </c>
      <c r="G3912"/>
      <c r="H3912"/>
    </row>
    <row r="3913" spans="1:8" hidden="1" x14ac:dyDescent="0.25">
      <c r="A3913" s="43">
        <v>610</v>
      </c>
      <c r="B3913" s="43" t="s">
        <v>175</v>
      </c>
      <c r="C3913" s="43" t="s">
        <v>4470</v>
      </c>
      <c r="D3913" s="43" t="s">
        <v>1510</v>
      </c>
      <c r="E3913" s="43" t="s">
        <v>613</v>
      </c>
      <c r="F3913" s="43">
        <v>1</v>
      </c>
      <c r="G3913"/>
      <c r="H3913"/>
    </row>
    <row r="3914" spans="1:8" hidden="1" x14ac:dyDescent="0.25">
      <c r="A3914" s="43">
        <v>610</v>
      </c>
      <c r="B3914" s="43" t="s">
        <v>175</v>
      </c>
      <c r="C3914" s="43" t="s">
        <v>4470</v>
      </c>
      <c r="D3914" s="43" t="s">
        <v>1511</v>
      </c>
      <c r="E3914" s="43" t="s">
        <v>1419</v>
      </c>
      <c r="F3914" s="43">
        <v>1</v>
      </c>
      <c r="G3914" s="43" t="s">
        <v>4543</v>
      </c>
    </row>
    <row r="3915" spans="1:8" hidden="1" x14ac:dyDescent="0.25">
      <c r="A3915" s="43">
        <v>610</v>
      </c>
      <c r="B3915" s="43" t="s">
        <v>175</v>
      </c>
      <c r="C3915" s="43" t="s">
        <v>4470</v>
      </c>
      <c r="D3915" s="43" t="s">
        <v>1512</v>
      </c>
      <c r="E3915" s="43" t="s">
        <v>621</v>
      </c>
      <c r="F3915" s="43">
        <v>1</v>
      </c>
      <c r="G3915" s="43" t="s">
        <v>4544</v>
      </c>
    </row>
    <row r="3916" spans="1:8" hidden="1" x14ac:dyDescent="0.25">
      <c r="A3916" s="43">
        <v>610</v>
      </c>
      <c r="B3916" s="43" t="s">
        <v>175</v>
      </c>
      <c r="C3916" s="43" t="s">
        <v>4470</v>
      </c>
      <c r="D3916" s="43" t="s">
        <v>1513</v>
      </c>
      <c r="E3916" s="43" t="s">
        <v>1422</v>
      </c>
      <c r="F3916" s="43">
        <v>1</v>
      </c>
      <c r="G3916" s="43" t="s">
        <v>4545</v>
      </c>
    </row>
    <row r="3917" spans="1:8" hidden="1" x14ac:dyDescent="0.25">
      <c r="A3917" s="43">
        <v>610</v>
      </c>
      <c r="B3917" s="43" t="s">
        <v>175</v>
      </c>
      <c r="C3917" s="43" t="s">
        <v>4470</v>
      </c>
      <c r="D3917" s="43" t="s">
        <v>1514</v>
      </c>
      <c r="E3917" s="43" t="s">
        <v>614</v>
      </c>
      <c r="F3917" s="43">
        <v>1</v>
      </c>
      <c r="G3917"/>
      <c r="H3917"/>
    </row>
    <row r="3918" spans="1:8" hidden="1" x14ac:dyDescent="0.25">
      <c r="A3918" s="43">
        <v>610</v>
      </c>
      <c r="B3918" s="43" t="s">
        <v>175</v>
      </c>
      <c r="C3918" s="43" t="s">
        <v>4470</v>
      </c>
      <c r="D3918" s="43" t="s">
        <v>1515</v>
      </c>
      <c r="E3918" s="43" t="s">
        <v>615</v>
      </c>
      <c r="F3918" s="43">
        <v>1</v>
      </c>
      <c r="G3918"/>
      <c r="H3918"/>
    </row>
    <row r="3919" spans="1:8" hidden="1" x14ac:dyDescent="0.25">
      <c r="A3919" s="43">
        <v>610</v>
      </c>
      <c r="B3919" s="43" t="s">
        <v>175</v>
      </c>
      <c r="C3919" s="43" t="s">
        <v>4470</v>
      </c>
      <c r="D3919" s="43" t="s">
        <v>1516</v>
      </c>
      <c r="E3919" s="43" t="s">
        <v>1517</v>
      </c>
      <c r="F3919" s="43">
        <v>1</v>
      </c>
      <c r="G3919"/>
      <c r="H3919"/>
    </row>
    <row r="3920" spans="1:8" hidden="1" x14ac:dyDescent="0.25">
      <c r="A3920" s="43">
        <v>610</v>
      </c>
      <c r="B3920" s="43" t="s">
        <v>175</v>
      </c>
      <c r="C3920" s="43" t="s">
        <v>4470</v>
      </c>
      <c r="D3920" s="43" t="s">
        <v>1518</v>
      </c>
      <c r="E3920" s="43" t="s">
        <v>1519</v>
      </c>
      <c r="F3920" s="43">
        <v>1</v>
      </c>
      <c r="G3920"/>
      <c r="H3920"/>
    </row>
    <row r="3921" spans="1:8" hidden="1" x14ac:dyDescent="0.25">
      <c r="A3921" s="43">
        <v>610</v>
      </c>
      <c r="B3921" s="43" t="s">
        <v>175</v>
      </c>
      <c r="C3921" s="43" t="s">
        <v>4470</v>
      </c>
      <c r="D3921" s="43" t="s">
        <v>1520</v>
      </c>
      <c r="E3921" s="43" t="s">
        <v>1521</v>
      </c>
      <c r="F3921" s="43">
        <v>0</v>
      </c>
      <c r="G3921" s="43" t="s">
        <v>4583</v>
      </c>
      <c r="H3921"/>
    </row>
    <row r="3922" spans="1:8" hidden="1" x14ac:dyDescent="0.25">
      <c r="A3922" s="43">
        <v>610</v>
      </c>
      <c r="B3922" s="43" t="s">
        <v>175</v>
      </c>
      <c r="C3922" s="43" t="s">
        <v>4470</v>
      </c>
      <c r="D3922" s="43" t="s">
        <v>1522</v>
      </c>
      <c r="E3922" s="43" t="s">
        <v>1523</v>
      </c>
      <c r="F3922" s="43">
        <v>0</v>
      </c>
      <c r="G3922" s="43" t="s">
        <v>4583</v>
      </c>
      <c r="H3922"/>
    </row>
    <row r="3923" spans="1:8" hidden="1" x14ac:dyDescent="0.25">
      <c r="A3923" s="43">
        <v>610</v>
      </c>
      <c r="B3923" s="43" t="s">
        <v>175</v>
      </c>
      <c r="C3923" s="43" t="s">
        <v>4470</v>
      </c>
      <c r="D3923" s="43" t="s">
        <v>1524</v>
      </c>
      <c r="E3923" s="43" t="s">
        <v>1525</v>
      </c>
      <c r="F3923" s="43">
        <v>1</v>
      </c>
      <c r="G3923"/>
      <c r="H3923"/>
    </row>
    <row r="3924" spans="1:8" hidden="1" x14ac:dyDescent="0.25">
      <c r="A3924" s="43">
        <v>610</v>
      </c>
      <c r="B3924" s="43" t="s">
        <v>175</v>
      </c>
      <c r="C3924" s="43" t="s">
        <v>4470</v>
      </c>
      <c r="D3924" s="43" t="s">
        <v>1526</v>
      </c>
      <c r="E3924" s="43" t="s">
        <v>1527</v>
      </c>
      <c r="F3924" s="43">
        <v>0</v>
      </c>
      <c r="G3924" s="43" t="s">
        <v>4583</v>
      </c>
      <c r="H3924"/>
    </row>
    <row r="3925" spans="1:8" hidden="1" x14ac:dyDescent="0.25">
      <c r="A3925" s="43">
        <v>610</v>
      </c>
      <c r="B3925" s="43" t="s">
        <v>175</v>
      </c>
      <c r="C3925" s="43" t="s">
        <v>4470</v>
      </c>
      <c r="D3925" s="43" t="s">
        <v>1528</v>
      </c>
      <c r="E3925" s="43" t="s">
        <v>4471</v>
      </c>
      <c r="F3925" s="43">
        <v>1</v>
      </c>
      <c r="G3925" s="43" t="s">
        <v>4546</v>
      </c>
    </row>
    <row r="3926" spans="1:8" hidden="1" x14ac:dyDescent="0.25">
      <c r="A3926" s="43">
        <v>610</v>
      </c>
      <c r="B3926" s="43" t="s">
        <v>175</v>
      </c>
      <c r="C3926" s="43" t="s">
        <v>4470</v>
      </c>
      <c r="D3926" s="43" t="s">
        <v>1530</v>
      </c>
      <c r="E3926" s="43" t="s">
        <v>1430</v>
      </c>
      <c r="F3926" s="43">
        <v>1</v>
      </c>
      <c r="G3926"/>
      <c r="H3926"/>
    </row>
    <row r="3927" spans="1:8" hidden="1" x14ac:dyDescent="0.25">
      <c r="A3927" s="43">
        <v>610</v>
      </c>
      <c r="B3927" s="43" t="s">
        <v>175</v>
      </c>
      <c r="C3927" s="43" t="s">
        <v>4470</v>
      </c>
      <c r="D3927" s="43" t="s">
        <v>1531</v>
      </c>
      <c r="E3927" s="43" t="s">
        <v>503</v>
      </c>
      <c r="F3927" s="43">
        <v>1</v>
      </c>
      <c r="G3927"/>
      <c r="H3927"/>
    </row>
    <row r="3928" spans="1:8" hidden="1" x14ac:dyDescent="0.25">
      <c r="A3928" s="43">
        <v>610</v>
      </c>
      <c r="B3928" s="43" t="s">
        <v>175</v>
      </c>
      <c r="C3928" s="43" t="s">
        <v>4470</v>
      </c>
      <c r="D3928" s="43" t="s">
        <v>1532</v>
      </c>
      <c r="E3928" s="43" t="s">
        <v>1533</v>
      </c>
      <c r="F3928" s="43">
        <v>0</v>
      </c>
      <c r="G3928" s="43" t="s">
        <v>4583</v>
      </c>
      <c r="H3928"/>
    </row>
    <row r="3929" spans="1:8" hidden="1" x14ac:dyDescent="0.25">
      <c r="A3929" s="43">
        <v>610</v>
      </c>
      <c r="B3929" s="43" t="s">
        <v>175</v>
      </c>
      <c r="C3929" s="43" t="s">
        <v>4470</v>
      </c>
      <c r="D3929" s="43" t="s">
        <v>1534</v>
      </c>
      <c r="E3929" s="43" t="s">
        <v>1535</v>
      </c>
      <c r="F3929" s="43">
        <v>1</v>
      </c>
      <c r="G3929"/>
      <c r="H3929"/>
    </row>
    <row r="3930" spans="1:8" hidden="1" x14ac:dyDescent="0.25">
      <c r="A3930" s="43">
        <v>616</v>
      </c>
      <c r="B3930" s="43" t="s">
        <v>176</v>
      </c>
      <c r="C3930" s="43" t="s">
        <v>1474</v>
      </c>
      <c r="D3930" s="43" t="s">
        <v>1475</v>
      </c>
      <c r="E3930" s="43" t="s">
        <v>308</v>
      </c>
      <c r="F3930" s="43">
        <v>1</v>
      </c>
      <c r="G3930"/>
      <c r="H3930"/>
    </row>
    <row r="3931" spans="1:8" hidden="1" x14ac:dyDescent="0.25">
      <c r="A3931" s="43">
        <v>616</v>
      </c>
      <c r="B3931" s="43" t="s">
        <v>176</v>
      </c>
      <c r="C3931" s="43" t="s">
        <v>1474</v>
      </c>
      <c r="D3931" s="43" t="s">
        <v>1476</v>
      </c>
      <c r="E3931" s="43" t="s">
        <v>310</v>
      </c>
      <c r="F3931" s="43">
        <v>1</v>
      </c>
      <c r="G3931"/>
      <c r="H3931"/>
    </row>
    <row r="3932" spans="1:8" hidden="1" x14ac:dyDescent="0.25">
      <c r="A3932" s="43">
        <v>616</v>
      </c>
      <c r="B3932" s="43" t="s">
        <v>176</v>
      </c>
      <c r="C3932" s="43" t="s">
        <v>1474</v>
      </c>
      <c r="D3932" s="43" t="s">
        <v>1477</v>
      </c>
      <c r="E3932" s="43" t="s">
        <v>312</v>
      </c>
      <c r="F3932" s="43">
        <v>1</v>
      </c>
      <c r="G3932"/>
      <c r="H3932"/>
    </row>
    <row r="3933" spans="1:8" hidden="1" x14ac:dyDescent="0.25">
      <c r="A3933" s="43">
        <v>616</v>
      </c>
      <c r="B3933" s="43" t="s">
        <v>176</v>
      </c>
      <c r="C3933" s="43" t="s">
        <v>1474</v>
      </c>
      <c r="D3933" s="43" t="s">
        <v>1478</v>
      </c>
      <c r="E3933" s="43" t="s">
        <v>314</v>
      </c>
      <c r="F3933" s="43">
        <v>1</v>
      </c>
      <c r="G3933"/>
      <c r="H3933"/>
    </row>
    <row r="3934" spans="1:8" hidden="1" x14ac:dyDescent="0.25">
      <c r="A3934" s="43">
        <v>616</v>
      </c>
      <c r="B3934" s="43" t="s">
        <v>176</v>
      </c>
      <c r="C3934" s="43" t="s">
        <v>1474</v>
      </c>
      <c r="D3934" s="43" t="s">
        <v>1479</v>
      </c>
      <c r="E3934" s="43" t="s">
        <v>1480</v>
      </c>
      <c r="F3934" s="43">
        <v>1</v>
      </c>
      <c r="G3934"/>
      <c r="H3934"/>
    </row>
    <row r="3935" spans="1:8" hidden="1" x14ac:dyDescent="0.25">
      <c r="A3935" s="43">
        <v>616</v>
      </c>
      <c r="B3935" s="43" t="s">
        <v>176</v>
      </c>
      <c r="C3935" s="43" t="s">
        <v>1474</v>
      </c>
      <c r="D3935" s="43" t="s">
        <v>1481</v>
      </c>
      <c r="E3935" s="43" t="s">
        <v>938</v>
      </c>
      <c r="F3935" s="43">
        <v>1</v>
      </c>
      <c r="G3935"/>
      <c r="H3935"/>
    </row>
    <row r="3936" spans="1:8" hidden="1" x14ac:dyDescent="0.25">
      <c r="A3936" s="43">
        <v>616</v>
      </c>
      <c r="B3936" s="43" t="s">
        <v>176</v>
      </c>
      <c r="C3936" s="43" t="s">
        <v>1474</v>
      </c>
      <c r="D3936" s="43" t="s">
        <v>1482</v>
      </c>
      <c r="E3936" s="43" t="s">
        <v>1483</v>
      </c>
      <c r="F3936" s="89">
        <v>1</v>
      </c>
      <c r="H3936"/>
    </row>
    <row r="3937" spans="1:8" hidden="1" x14ac:dyDescent="0.25">
      <c r="A3937" s="43">
        <v>616</v>
      </c>
      <c r="B3937" s="43" t="s">
        <v>176</v>
      </c>
      <c r="C3937" s="43" t="s">
        <v>1474</v>
      </c>
      <c r="D3937" s="43" t="s">
        <v>1484</v>
      </c>
      <c r="E3937" s="43" t="s">
        <v>942</v>
      </c>
      <c r="F3937" s="43">
        <v>1</v>
      </c>
      <c r="G3937"/>
      <c r="H3937"/>
    </row>
    <row r="3938" spans="1:8" hidden="1" x14ac:dyDescent="0.25">
      <c r="A3938" s="43">
        <v>616</v>
      </c>
      <c r="B3938" s="43" t="s">
        <v>176</v>
      </c>
      <c r="C3938" s="43" t="s">
        <v>1474</v>
      </c>
      <c r="D3938" s="43" t="s">
        <v>1485</v>
      </c>
      <c r="E3938" s="43" t="s">
        <v>383</v>
      </c>
      <c r="F3938" s="43">
        <v>0</v>
      </c>
      <c r="G3938" s="43" t="s">
        <v>4681</v>
      </c>
      <c r="H3938" s="43" t="s">
        <v>4761</v>
      </c>
    </row>
    <row r="3939" spans="1:8" hidden="1" x14ac:dyDescent="0.25">
      <c r="A3939" s="43">
        <v>616</v>
      </c>
      <c r="B3939" s="43" t="s">
        <v>176</v>
      </c>
      <c r="C3939" s="43" t="s">
        <v>1474</v>
      </c>
      <c r="D3939" s="43" t="s">
        <v>1486</v>
      </c>
      <c r="E3939" s="43" t="s">
        <v>384</v>
      </c>
      <c r="F3939" s="43">
        <v>0</v>
      </c>
      <c r="G3939" s="43" t="s">
        <v>4681</v>
      </c>
      <c r="H3939" s="43" t="s">
        <v>4761</v>
      </c>
    </row>
    <row r="3940" spans="1:8" hidden="1" x14ac:dyDescent="0.25">
      <c r="A3940" s="43">
        <v>616</v>
      </c>
      <c r="B3940" s="43" t="s">
        <v>176</v>
      </c>
      <c r="C3940" s="43" t="s">
        <v>1474</v>
      </c>
      <c r="D3940" s="43" t="s">
        <v>1487</v>
      </c>
      <c r="E3940" s="43" t="s">
        <v>380</v>
      </c>
      <c r="F3940" s="43">
        <v>1</v>
      </c>
      <c r="G3940"/>
      <c r="H3940"/>
    </row>
    <row r="3941" spans="1:8" hidden="1" x14ac:dyDescent="0.25">
      <c r="A3941" s="43">
        <v>616</v>
      </c>
      <c r="B3941" s="43" t="s">
        <v>176</v>
      </c>
      <c r="C3941" s="43" t="s">
        <v>1474</v>
      </c>
      <c r="D3941" s="43" t="s">
        <v>1488</v>
      </c>
      <c r="E3941" s="43" t="s">
        <v>381</v>
      </c>
      <c r="F3941" s="43">
        <v>1</v>
      </c>
      <c r="G3941"/>
      <c r="H3941"/>
    </row>
    <row r="3942" spans="1:8" hidden="1" x14ac:dyDescent="0.25">
      <c r="A3942" s="43">
        <v>616</v>
      </c>
      <c r="B3942" s="43" t="s">
        <v>176</v>
      </c>
      <c r="C3942" s="43" t="s">
        <v>1474</v>
      </c>
      <c r="D3942" s="43" t="s">
        <v>1489</v>
      </c>
      <c r="E3942" s="43" t="s">
        <v>4473</v>
      </c>
      <c r="F3942" s="43">
        <v>1</v>
      </c>
      <c r="G3942"/>
      <c r="H3942"/>
    </row>
    <row r="3943" spans="1:8" hidden="1" x14ac:dyDescent="0.25">
      <c r="A3943" s="43">
        <v>616</v>
      </c>
      <c r="B3943" s="43" t="s">
        <v>176</v>
      </c>
      <c r="C3943" s="43" t="s">
        <v>1474</v>
      </c>
      <c r="D3943" s="43" t="s">
        <v>1490</v>
      </c>
      <c r="E3943" s="43" t="s">
        <v>378</v>
      </c>
      <c r="F3943" s="43">
        <v>1</v>
      </c>
      <c r="G3943"/>
      <c r="H3943"/>
    </row>
    <row r="3944" spans="1:8" hidden="1" x14ac:dyDescent="0.25">
      <c r="A3944" s="43">
        <v>616</v>
      </c>
      <c r="B3944" s="43" t="s">
        <v>176</v>
      </c>
      <c r="C3944" s="43" t="s">
        <v>1474</v>
      </c>
      <c r="D3944" s="43" t="s">
        <v>1491</v>
      </c>
      <c r="E3944" s="43" t="s">
        <v>379</v>
      </c>
      <c r="F3944" s="43">
        <v>1</v>
      </c>
      <c r="G3944"/>
      <c r="H3944"/>
    </row>
    <row r="3945" spans="1:8" hidden="1" x14ac:dyDescent="0.25">
      <c r="A3945" s="43">
        <v>616</v>
      </c>
      <c r="B3945" s="43" t="s">
        <v>176</v>
      </c>
      <c r="C3945" s="43" t="s">
        <v>1613</v>
      </c>
      <c r="D3945" s="43" t="s">
        <v>1614</v>
      </c>
      <c r="E3945" s="43" t="s">
        <v>273</v>
      </c>
      <c r="F3945" s="43">
        <v>1</v>
      </c>
      <c r="G3945"/>
      <c r="H3945"/>
    </row>
    <row r="3946" spans="1:8" hidden="1" x14ac:dyDescent="0.25">
      <c r="A3946" s="43">
        <v>616</v>
      </c>
      <c r="B3946" s="43" t="s">
        <v>176</v>
      </c>
      <c r="C3946" s="43" t="s">
        <v>1613</v>
      </c>
      <c r="D3946" s="43" t="s">
        <v>1615</v>
      </c>
      <c r="E3946" s="43" t="s">
        <v>312</v>
      </c>
      <c r="F3946" s="43">
        <v>1</v>
      </c>
      <c r="G3946"/>
      <c r="H3946"/>
    </row>
    <row r="3947" spans="1:8" hidden="1" x14ac:dyDescent="0.25">
      <c r="A3947" s="43">
        <v>616</v>
      </c>
      <c r="B3947" s="43" t="s">
        <v>176</v>
      </c>
      <c r="C3947" s="43" t="s">
        <v>1613</v>
      </c>
      <c r="D3947" s="43" t="s">
        <v>1616</v>
      </c>
      <c r="E3947" s="43" t="s">
        <v>316</v>
      </c>
      <c r="F3947" s="43">
        <v>1</v>
      </c>
      <c r="G3947"/>
      <c r="H3947"/>
    </row>
    <row r="3948" spans="1:8" hidden="1" x14ac:dyDescent="0.25">
      <c r="A3948" s="43">
        <v>616</v>
      </c>
      <c r="B3948" s="43" t="s">
        <v>176</v>
      </c>
      <c r="C3948" s="43" t="s">
        <v>1613</v>
      </c>
      <c r="D3948" s="43" t="s">
        <v>1617</v>
      </c>
      <c r="E3948" s="43" t="s">
        <v>314</v>
      </c>
      <c r="F3948" s="43">
        <v>1</v>
      </c>
      <c r="G3948"/>
      <c r="H3948"/>
    </row>
    <row r="3949" spans="1:8" hidden="1" x14ac:dyDescent="0.25">
      <c r="A3949" s="43">
        <v>616</v>
      </c>
      <c r="B3949" s="43" t="s">
        <v>176</v>
      </c>
      <c r="C3949" s="43" t="s">
        <v>1613</v>
      </c>
      <c r="D3949" s="43" t="s">
        <v>1618</v>
      </c>
      <c r="E3949" s="43" t="s">
        <v>318</v>
      </c>
      <c r="F3949" s="43">
        <v>1</v>
      </c>
      <c r="G3949"/>
      <c r="H3949"/>
    </row>
    <row r="3950" spans="1:8" hidden="1" x14ac:dyDescent="0.25">
      <c r="A3950" s="43">
        <v>616</v>
      </c>
      <c r="B3950" s="43" t="s">
        <v>176</v>
      </c>
      <c r="C3950" s="43" t="s">
        <v>1613</v>
      </c>
      <c r="D3950" s="43" t="s">
        <v>1619</v>
      </c>
      <c r="E3950" s="43" t="s">
        <v>1620</v>
      </c>
      <c r="F3950" s="43">
        <v>1</v>
      </c>
      <c r="G3950"/>
      <c r="H3950"/>
    </row>
    <row r="3951" spans="1:8" hidden="1" x14ac:dyDescent="0.25">
      <c r="A3951" s="43">
        <v>616</v>
      </c>
      <c r="B3951" s="43" t="s">
        <v>176</v>
      </c>
      <c r="C3951" s="43" t="s">
        <v>1613</v>
      </c>
      <c r="D3951" s="43" t="s">
        <v>1621</v>
      </c>
      <c r="E3951" s="43" t="s">
        <v>1622</v>
      </c>
      <c r="F3951" s="43">
        <v>0</v>
      </c>
      <c r="G3951" s="43" t="s">
        <v>4681</v>
      </c>
      <c r="H3951" s="43" t="s">
        <v>4761</v>
      </c>
    </row>
    <row r="3952" spans="1:8" hidden="1" x14ac:dyDescent="0.25">
      <c r="A3952" s="43">
        <v>616</v>
      </c>
      <c r="B3952" s="43" t="s">
        <v>176</v>
      </c>
      <c r="C3952" s="43" t="s">
        <v>1613</v>
      </c>
      <c r="D3952" s="43" t="s">
        <v>1623</v>
      </c>
      <c r="E3952" s="43" t="s">
        <v>322</v>
      </c>
      <c r="F3952" s="43">
        <v>1</v>
      </c>
      <c r="G3952"/>
      <c r="H3952"/>
    </row>
    <row r="3953" spans="1:8" hidden="1" x14ac:dyDescent="0.25">
      <c r="A3953" s="43">
        <v>616</v>
      </c>
      <c r="B3953" s="43" t="s">
        <v>176</v>
      </c>
      <c r="C3953" s="43" t="s">
        <v>1613</v>
      </c>
      <c r="D3953" s="43" t="s">
        <v>1624</v>
      </c>
      <c r="E3953" s="43" t="s">
        <v>936</v>
      </c>
      <c r="F3953" s="43">
        <v>1</v>
      </c>
      <c r="G3953"/>
      <c r="H3953"/>
    </row>
    <row r="3954" spans="1:8" hidden="1" x14ac:dyDescent="0.25">
      <c r="A3954" s="43">
        <v>616</v>
      </c>
      <c r="B3954" s="43" t="s">
        <v>176</v>
      </c>
      <c r="C3954" s="43" t="s">
        <v>1613</v>
      </c>
      <c r="D3954" s="43" t="s">
        <v>1625</v>
      </c>
      <c r="E3954" s="43" t="s">
        <v>938</v>
      </c>
      <c r="F3954" s="43">
        <v>1</v>
      </c>
      <c r="G3954"/>
      <c r="H3954"/>
    </row>
    <row r="3955" spans="1:8" hidden="1" x14ac:dyDescent="0.25">
      <c r="A3955" s="43">
        <v>616</v>
      </c>
      <c r="B3955" s="43" t="s">
        <v>176</v>
      </c>
      <c r="C3955" s="43" t="s">
        <v>1613</v>
      </c>
      <c r="D3955" s="43" t="s">
        <v>1626</v>
      </c>
      <c r="E3955" s="43" t="s">
        <v>1483</v>
      </c>
      <c r="F3955" s="89">
        <v>1</v>
      </c>
      <c r="H3955"/>
    </row>
    <row r="3956" spans="1:8" hidden="1" x14ac:dyDescent="0.25">
      <c r="A3956" s="43">
        <v>616</v>
      </c>
      <c r="B3956" s="43" t="s">
        <v>176</v>
      </c>
      <c r="C3956" s="43" t="s">
        <v>1613</v>
      </c>
      <c r="D3956" s="43" t="s">
        <v>1627</v>
      </c>
      <c r="E3956" s="43" t="s">
        <v>942</v>
      </c>
      <c r="F3956" s="43">
        <v>1</v>
      </c>
      <c r="G3956"/>
      <c r="H3956"/>
    </row>
    <row r="3957" spans="1:8" hidden="1" x14ac:dyDescent="0.25">
      <c r="A3957" s="43">
        <v>616</v>
      </c>
      <c r="B3957" s="43" t="s">
        <v>176</v>
      </c>
      <c r="C3957" s="43" t="s">
        <v>1613</v>
      </c>
      <c r="D3957" s="43" t="s">
        <v>1628</v>
      </c>
      <c r="E3957" s="43" t="s">
        <v>383</v>
      </c>
      <c r="F3957" s="43">
        <v>0</v>
      </c>
      <c r="G3957" s="43" t="s">
        <v>4681</v>
      </c>
      <c r="H3957" s="43" t="s">
        <v>4761</v>
      </c>
    </row>
    <row r="3958" spans="1:8" hidden="1" x14ac:dyDescent="0.25">
      <c r="A3958" s="43">
        <v>616</v>
      </c>
      <c r="B3958" s="43" t="s">
        <v>176</v>
      </c>
      <c r="C3958" s="43" t="s">
        <v>1613</v>
      </c>
      <c r="D3958" s="43" t="s">
        <v>1629</v>
      </c>
      <c r="E3958" s="43" t="s">
        <v>1630</v>
      </c>
      <c r="F3958" s="43">
        <v>0</v>
      </c>
      <c r="G3958" s="43" t="s">
        <v>4681</v>
      </c>
      <c r="H3958" s="43" t="s">
        <v>4761</v>
      </c>
    </row>
    <row r="3959" spans="1:8" hidden="1" x14ac:dyDescent="0.25">
      <c r="A3959" s="43">
        <v>616</v>
      </c>
      <c r="B3959" s="43" t="s">
        <v>176</v>
      </c>
      <c r="C3959" s="43" t="s">
        <v>1613</v>
      </c>
      <c r="D3959" s="43" t="s">
        <v>1631</v>
      </c>
      <c r="E3959" s="43" t="s">
        <v>380</v>
      </c>
      <c r="F3959" s="43">
        <v>1</v>
      </c>
      <c r="G3959"/>
      <c r="H3959"/>
    </row>
    <row r="3960" spans="1:8" hidden="1" x14ac:dyDescent="0.25">
      <c r="A3960" s="43">
        <v>616</v>
      </c>
      <c r="B3960" s="43" t="s">
        <v>176</v>
      </c>
      <c r="C3960" s="43" t="s">
        <v>1613</v>
      </c>
      <c r="D3960" s="43" t="s">
        <v>1632</v>
      </c>
      <c r="E3960" s="43" t="s">
        <v>381</v>
      </c>
      <c r="F3960" s="43">
        <v>1</v>
      </c>
      <c r="G3960"/>
      <c r="H3960"/>
    </row>
    <row r="3961" spans="1:8" hidden="1" x14ac:dyDescent="0.25">
      <c r="A3961" s="43">
        <v>616</v>
      </c>
      <c r="B3961" s="43" t="s">
        <v>176</v>
      </c>
      <c r="C3961" s="43" t="s">
        <v>1613</v>
      </c>
      <c r="D3961" s="43" t="s">
        <v>1633</v>
      </c>
      <c r="E3961" s="43" t="s">
        <v>1634</v>
      </c>
      <c r="F3961" s="43">
        <v>1</v>
      </c>
      <c r="G3961"/>
      <c r="H3961"/>
    </row>
    <row r="3962" spans="1:8" hidden="1" x14ac:dyDescent="0.25">
      <c r="A3962" s="43">
        <v>616</v>
      </c>
      <c r="B3962" s="43" t="s">
        <v>176</v>
      </c>
      <c r="C3962" s="43" t="s">
        <v>1613</v>
      </c>
      <c r="D3962" s="43" t="s">
        <v>1635</v>
      </c>
      <c r="E3962" s="43" t="s">
        <v>4473</v>
      </c>
      <c r="F3962" s="43">
        <v>1</v>
      </c>
      <c r="G3962"/>
      <c r="H3962"/>
    </row>
    <row r="3963" spans="1:8" hidden="1" x14ac:dyDescent="0.25">
      <c r="A3963" s="43">
        <v>616</v>
      </c>
      <c r="B3963" s="43" t="s">
        <v>176</v>
      </c>
      <c r="C3963" s="43" t="s">
        <v>1613</v>
      </c>
      <c r="D3963" s="43" t="s">
        <v>1636</v>
      </c>
      <c r="E3963" s="43" t="s">
        <v>1637</v>
      </c>
      <c r="F3963" s="43">
        <v>1</v>
      </c>
      <c r="G3963"/>
      <c r="H3963"/>
    </row>
    <row r="3964" spans="1:8" hidden="1" x14ac:dyDescent="0.25">
      <c r="A3964" s="43">
        <v>616</v>
      </c>
      <c r="B3964" s="43" t="s">
        <v>176</v>
      </c>
      <c r="C3964" s="43" t="s">
        <v>1613</v>
      </c>
      <c r="D3964" s="43" t="s">
        <v>1638</v>
      </c>
      <c r="E3964" s="43" t="s">
        <v>1639</v>
      </c>
      <c r="F3964" s="43">
        <v>1</v>
      </c>
      <c r="G3964"/>
      <c r="H3964"/>
    </row>
    <row r="3965" spans="1:8" hidden="1" x14ac:dyDescent="0.25">
      <c r="A3965" s="43">
        <v>619</v>
      </c>
      <c r="B3965" s="43" t="s">
        <v>177</v>
      </c>
      <c r="C3965" s="43" t="s">
        <v>1854</v>
      </c>
      <c r="D3965" s="43" t="s">
        <v>1855</v>
      </c>
      <c r="E3965" s="43" t="s">
        <v>1856</v>
      </c>
      <c r="F3965" s="43">
        <v>0</v>
      </c>
      <c r="G3965" s="43" t="s">
        <v>4682</v>
      </c>
      <c r="H3965" s="43" t="s">
        <v>4767</v>
      </c>
    </row>
    <row r="3966" spans="1:8" hidden="1" x14ac:dyDescent="0.25">
      <c r="A3966" s="43">
        <v>619</v>
      </c>
      <c r="B3966" s="43" t="s">
        <v>177</v>
      </c>
      <c r="C3966" s="43" t="s">
        <v>1854</v>
      </c>
      <c r="D3966" s="43" t="s">
        <v>1857</v>
      </c>
      <c r="E3966" s="43" t="s">
        <v>1858</v>
      </c>
      <c r="F3966" s="43">
        <v>1</v>
      </c>
      <c r="G3966"/>
      <c r="H3966"/>
    </row>
    <row r="3967" spans="1:8" hidden="1" x14ac:dyDescent="0.25">
      <c r="A3967" s="43">
        <v>619</v>
      </c>
      <c r="B3967" s="43" t="s">
        <v>177</v>
      </c>
      <c r="C3967" s="43" t="s">
        <v>1854</v>
      </c>
      <c r="D3967" s="43" t="s">
        <v>1859</v>
      </c>
      <c r="E3967" s="43" t="s">
        <v>1860</v>
      </c>
      <c r="F3967" s="43">
        <v>0</v>
      </c>
      <c r="G3967" s="43" t="s">
        <v>4768</v>
      </c>
      <c r="H3967" s="43" t="s">
        <v>4765</v>
      </c>
    </row>
    <row r="3968" spans="1:8" hidden="1" x14ac:dyDescent="0.25">
      <c r="A3968" s="43">
        <v>619</v>
      </c>
      <c r="B3968" s="43" t="s">
        <v>177</v>
      </c>
      <c r="C3968" s="43" t="s">
        <v>1854</v>
      </c>
      <c r="D3968" s="43" t="s">
        <v>1861</v>
      </c>
      <c r="E3968" s="43" t="s">
        <v>4491</v>
      </c>
      <c r="F3968" s="43">
        <v>1</v>
      </c>
      <c r="G3968"/>
      <c r="H3968"/>
    </row>
    <row r="3969" spans="1:8" hidden="1" x14ac:dyDescent="0.25">
      <c r="A3969" s="43">
        <v>620</v>
      </c>
      <c r="B3969" s="43" t="s">
        <v>177</v>
      </c>
      <c r="C3969" s="43" t="s">
        <v>1854</v>
      </c>
      <c r="D3969" s="43" t="s">
        <v>1855</v>
      </c>
      <c r="E3969" s="43" t="s">
        <v>1856</v>
      </c>
      <c r="F3969" s="43">
        <v>0</v>
      </c>
      <c r="G3969" s="43" t="s">
        <v>4683</v>
      </c>
      <c r="H3969" s="43" t="s">
        <v>4767</v>
      </c>
    </row>
    <row r="3970" spans="1:8" hidden="1" x14ac:dyDescent="0.25">
      <c r="A3970" s="43">
        <v>620</v>
      </c>
      <c r="B3970" s="43" t="s">
        <v>177</v>
      </c>
      <c r="C3970" s="43" t="s">
        <v>1854</v>
      </c>
      <c r="D3970" s="43" t="s">
        <v>1857</v>
      </c>
      <c r="E3970" s="43" t="s">
        <v>1858</v>
      </c>
      <c r="F3970" s="43">
        <v>1</v>
      </c>
      <c r="G3970"/>
      <c r="H3970"/>
    </row>
    <row r="3971" spans="1:8" hidden="1" x14ac:dyDescent="0.25">
      <c r="A3971" s="43">
        <v>620</v>
      </c>
      <c r="B3971" s="43" t="s">
        <v>177</v>
      </c>
      <c r="C3971" s="43" t="s">
        <v>1854</v>
      </c>
      <c r="D3971" s="43" t="s">
        <v>1859</v>
      </c>
      <c r="E3971" s="43" t="s">
        <v>1860</v>
      </c>
      <c r="F3971" s="43">
        <v>0</v>
      </c>
      <c r="G3971" s="43" t="s">
        <v>4684</v>
      </c>
      <c r="H3971" s="43" t="s">
        <v>4765</v>
      </c>
    </row>
    <row r="3972" spans="1:8" hidden="1" x14ac:dyDescent="0.25">
      <c r="A3972" s="43">
        <v>620</v>
      </c>
      <c r="B3972" s="43" t="s">
        <v>177</v>
      </c>
      <c r="C3972" s="43" t="s">
        <v>1854</v>
      </c>
      <c r="D3972" s="43" t="s">
        <v>1861</v>
      </c>
      <c r="E3972" s="43" t="s">
        <v>4491</v>
      </c>
      <c r="F3972" s="43">
        <v>1</v>
      </c>
      <c r="G3972"/>
      <c r="H3972"/>
    </row>
    <row r="3973" spans="1:8" hidden="1" x14ac:dyDescent="0.25">
      <c r="A3973" s="43">
        <v>621</v>
      </c>
      <c r="B3973" s="43" t="s">
        <v>177</v>
      </c>
      <c r="C3973" s="43" t="s">
        <v>1854</v>
      </c>
      <c r="D3973" s="43" t="s">
        <v>1855</v>
      </c>
      <c r="E3973" s="43" t="s">
        <v>1856</v>
      </c>
      <c r="F3973" s="43">
        <v>0</v>
      </c>
      <c r="G3973" s="43" t="s">
        <v>4685</v>
      </c>
      <c r="H3973" s="43" t="s">
        <v>4767</v>
      </c>
    </row>
    <row r="3974" spans="1:8" hidden="1" x14ac:dyDescent="0.25">
      <c r="A3974" s="43">
        <v>621</v>
      </c>
      <c r="B3974" s="43" t="s">
        <v>177</v>
      </c>
      <c r="C3974" s="43" t="s">
        <v>1854</v>
      </c>
      <c r="D3974" s="43" t="s">
        <v>1857</v>
      </c>
      <c r="E3974" s="43" t="s">
        <v>1858</v>
      </c>
      <c r="F3974" s="43">
        <v>1</v>
      </c>
      <c r="G3974"/>
      <c r="H3974"/>
    </row>
    <row r="3975" spans="1:8" hidden="1" x14ac:dyDescent="0.25">
      <c r="A3975" s="43">
        <v>621</v>
      </c>
      <c r="B3975" s="43" t="s">
        <v>177</v>
      </c>
      <c r="C3975" s="43" t="s">
        <v>1854</v>
      </c>
      <c r="D3975" s="43" t="s">
        <v>1859</v>
      </c>
      <c r="E3975" s="43" t="s">
        <v>1860</v>
      </c>
      <c r="F3975" s="43">
        <v>0</v>
      </c>
      <c r="G3975" s="43" t="s">
        <v>4686</v>
      </c>
      <c r="H3975" s="43" t="s">
        <v>4765</v>
      </c>
    </row>
    <row r="3976" spans="1:8" hidden="1" x14ac:dyDescent="0.25">
      <c r="A3976" s="43">
        <v>621</v>
      </c>
      <c r="B3976" s="43" t="s">
        <v>177</v>
      </c>
      <c r="C3976" s="43" t="s">
        <v>1854</v>
      </c>
      <c r="D3976" s="43" t="s">
        <v>1861</v>
      </c>
      <c r="E3976" s="43" t="s">
        <v>4491</v>
      </c>
      <c r="F3976" s="43">
        <v>1</v>
      </c>
      <c r="G3976"/>
      <c r="H3976"/>
    </row>
    <row r="3977" spans="1:8" hidden="1" x14ac:dyDescent="0.25">
      <c r="A3977" s="43">
        <v>622</v>
      </c>
      <c r="B3977" s="43" t="s">
        <v>178</v>
      </c>
      <c r="C3977" s="43" t="s">
        <v>4478</v>
      </c>
      <c r="D3977" s="43" t="s">
        <v>1537</v>
      </c>
      <c r="E3977" s="43" t="s">
        <v>1494</v>
      </c>
      <c r="F3977" s="43">
        <v>0</v>
      </c>
      <c r="G3977" s="43" t="s">
        <v>4583</v>
      </c>
      <c r="H3977"/>
    </row>
    <row r="3978" spans="1:8" hidden="1" x14ac:dyDescent="0.25">
      <c r="A3978" s="43">
        <v>622</v>
      </c>
      <c r="B3978" s="43" t="s">
        <v>178</v>
      </c>
      <c r="C3978" s="43" t="s">
        <v>4478</v>
      </c>
      <c r="D3978" s="43" t="s">
        <v>1538</v>
      </c>
      <c r="E3978" s="43" t="s">
        <v>306</v>
      </c>
      <c r="F3978" s="43">
        <v>1</v>
      </c>
      <c r="G3978"/>
      <c r="H3978"/>
    </row>
    <row r="3979" spans="1:8" hidden="1" x14ac:dyDescent="0.25">
      <c r="A3979" s="43">
        <v>622</v>
      </c>
      <c r="B3979" s="43" t="s">
        <v>178</v>
      </c>
      <c r="C3979" s="43" t="s">
        <v>4478</v>
      </c>
      <c r="D3979" s="43" t="s">
        <v>1539</v>
      </c>
      <c r="E3979" s="43" t="s">
        <v>1499</v>
      </c>
      <c r="F3979" s="43">
        <v>1</v>
      </c>
      <c r="G3979"/>
      <c r="H3979"/>
    </row>
    <row r="3980" spans="1:8" hidden="1" x14ac:dyDescent="0.25">
      <c r="A3980" s="43">
        <v>622</v>
      </c>
      <c r="B3980" s="43" t="s">
        <v>178</v>
      </c>
      <c r="C3980" s="43" t="s">
        <v>4478</v>
      </c>
      <c r="D3980" s="43" t="s">
        <v>1540</v>
      </c>
      <c r="E3980" s="43" t="s">
        <v>1541</v>
      </c>
      <c r="F3980" s="43">
        <v>1</v>
      </c>
      <c r="G3980"/>
      <c r="H3980"/>
    </row>
    <row r="3981" spans="1:8" hidden="1" x14ac:dyDescent="0.25">
      <c r="A3981" s="43">
        <v>622</v>
      </c>
      <c r="B3981" s="43" t="s">
        <v>178</v>
      </c>
      <c r="C3981" s="43" t="s">
        <v>4478</v>
      </c>
      <c r="D3981" s="43" t="s">
        <v>1542</v>
      </c>
      <c r="E3981" s="43" t="s">
        <v>1543</v>
      </c>
      <c r="F3981" s="43">
        <v>0</v>
      </c>
      <c r="G3981" s="43" t="s">
        <v>4583</v>
      </c>
      <c r="H3981"/>
    </row>
    <row r="3982" spans="1:8" hidden="1" x14ac:dyDescent="0.25">
      <c r="A3982" s="43">
        <v>622</v>
      </c>
      <c r="B3982" s="43" t="s">
        <v>178</v>
      </c>
      <c r="C3982" s="43" t="s">
        <v>4478</v>
      </c>
      <c r="D3982" s="43" t="s">
        <v>1544</v>
      </c>
      <c r="E3982" s="43" t="s">
        <v>671</v>
      </c>
      <c r="F3982" s="43">
        <v>0</v>
      </c>
      <c r="G3982" s="43" t="s">
        <v>4583</v>
      </c>
      <c r="H3982"/>
    </row>
    <row r="3983" spans="1:8" hidden="1" x14ac:dyDescent="0.25">
      <c r="A3983" s="43">
        <v>622</v>
      </c>
      <c r="B3983" s="43" t="s">
        <v>178</v>
      </c>
      <c r="C3983" s="43" t="s">
        <v>4478</v>
      </c>
      <c r="D3983" s="43" t="s">
        <v>1545</v>
      </c>
      <c r="E3983" s="43" t="s">
        <v>1546</v>
      </c>
      <c r="F3983" s="43">
        <v>1</v>
      </c>
      <c r="G3983"/>
      <c r="H3983"/>
    </row>
    <row r="3984" spans="1:8" hidden="1" x14ac:dyDescent="0.25">
      <c r="A3984" s="43">
        <v>622</v>
      </c>
      <c r="B3984" s="43" t="s">
        <v>178</v>
      </c>
      <c r="C3984" s="43" t="s">
        <v>4478</v>
      </c>
      <c r="D3984" s="43" t="s">
        <v>1547</v>
      </c>
      <c r="E3984" s="43" t="s">
        <v>1548</v>
      </c>
      <c r="F3984" s="43">
        <v>0</v>
      </c>
      <c r="G3984" s="43" t="s">
        <v>4583</v>
      </c>
      <c r="H3984"/>
    </row>
    <row r="3985" spans="1:8" hidden="1" x14ac:dyDescent="0.25">
      <c r="A3985" s="43">
        <v>622</v>
      </c>
      <c r="B3985" s="43" t="s">
        <v>178</v>
      </c>
      <c r="C3985" s="43" t="s">
        <v>4478</v>
      </c>
      <c r="D3985" s="43" t="s">
        <v>1549</v>
      </c>
      <c r="E3985" s="43" t="s">
        <v>1550</v>
      </c>
      <c r="F3985" s="43">
        <v>0</v>
      </c>
      <c r="G3985" s="43" t="s">
        <v>4583</v>
      </c>
      <c r="H3985"/>
    </row>
    <row r="3986" spans="1:8" hidden="1" x14ac:dyDescent="0.25">
      <c r="A3986" s="43">
        <v>622</v>
      </c>
      <c r="B3986" s="43" t="s">
        <v>178</v>
      </c>
      <c r="C3986" s="43" t="s">
        <v>4478</v>
      </c>
      <c r="D3986" s="43" t="s">
        <v>1551</v>
      </c>
      <c r="E3986" s="43" t="s">
        <v>1552</v>
      </c>
      <c r="F3986" s="43">
        <v>0</v>
      </c>
      <c r="G3986" s="43" t="s">
        <v>4583</v>
      </c>
      <c r="H3986"/>
    </row>
    <row r="3987" spans="1:8" hidden="1" x14ac:dyDescent="0.25">
      <c r="A3987" s="43">
        <v>622</v>
      </c>
      <c r="B3987" s="43" t="s">
        <v>178</v>
      </c>
      <c r="C3987" s="43" t="s">
        <v>4478</v>
      </c>
      <c r="D3987" s="43" t="s">
        <v>1553</v>
      </c>
      <c r="E3987" s="43" t="s">
        <v>1554</v>
      </c>
      <c r="F3987" s="43">
        <v>0</v>
      </c>
      <c r="G3987" s="43" t="s">
        <v>4583</v>
      </c>
      <c r="H3987"/>
    </row>
    <row r="3988" spans="1:8" hidden="1" x14ac:dyDescent="0.25">
      <c r="A3988" s="43">
        <v>622</v>
      </c>
      <c r="B3988" s="43" t="s">
        <v>178</v>
      </c>
      <c r="C3988" s="43" t="s">
        <v>4478</v>
      </c>
      <c r="D3988" s="43" t="s">
        <v>1555</v>
      </c>
      <c r="E3988" s="43" t="s">
        <v>1556</v>
      </c>
      <c r="F3988" s="43">
        <v>1</v>
      </c>
      <c r="G3988"/>
      <c r="H3988"/>
    </row>
    <row r="3989" spans="1:8" hidden="1" x14ac:dyDescent="0.25">
      <c r="A3989" s="43">
        <v>622</v>
      </c>
      <c r="B3989" s="43" t="s">
        <v>178</v>
      </c>
      <c r="C3989" s="43" t="s">
        <v>4479</v>
      </c>
      <c r="D3989" s="43" t="s">
        <v>1558</v>
      </c>
      <c r="E3989" s="43" t="s">
        <v>583</v>
      </c>
      <c r="F3989" s="43">
        <v>0</v>
      </c>
      <c r="G3989" s="43" t="s">
        <v>4583</v>
      </c>
      <c r="H3989"/>
    </row>
    <row r="3990" spans="1:8" hidden="1" x14ac:dyDescent="0.25">
      <c r="A3990" s="43">
        <v>622</v>
      </c>
      <c r="B3990" s="43" t="s">
        <v>178</v>
      </c>
      <c r="C3990" s="43" t="s">
        <v>4479</v>
      </c>
      <c r="D3990" s="43" t="s">
        <v>1559</v>
      </c>
      <c r="E3990" s="43" t="s">
        <v>306</v>
      </c>
      <c r="F3990" s="43">
        <v>1</v>
      </c>
      <c r="G3990"/>
      <c r="H3990"/>
    </row>
    <row r="3991" spans="1:8" hidden="1" x14ac:dyDescent="0.25">
      <c r="A3991" s="43">
        <v>622</v>
      </c>
      <c r="B3991" s="43" t="s">
        <v>178</v>
      </c>
      <c r="C3991" s="43" t="s">
        <v>4479</v>
      </c>
      <c r="D3991" s="43" t="s">
        <v>1560</v>
      </c>
      <c r="E3991" s="43" t="s">
        <v>1561</v>
      </c>
      <c r="F3991" s="43">
        <v>1</v>
      </c>
      <c r="G3991"/>
      <c r="H3991"/>
    </row>
    <row r="3992" spans="1:8" hidden="1" x14ac:dyDescent="0.25">
      <c r="A3992" s="43">
        <v>622</v>
      </c>
      <c r="B3992" s="43" t="s">
        <v>178</v>
      </c>
      <c r="C3992" s="43" t="s">
        <v>4479</v>
      </c>
      <c r="D3992" s="43" t="s">
        <v>1562</v>
      </c>
      <c r="E3992" s="43" t="s">
        <v>1563</v>
      </c>
      <c r="F3992" s="43">
        <v>0</v>
      </c>
      <c r="G3992" s="43" t="s">
        <v>4583</v>
      </c>
      <c r="H3992"/>
    </row>
    <row r="3993" spans="1:8" hidden="1" x14ac:dyDescent="0.25">
      <c r="A3993" s="43">
        <v>622</v>
      </c>
      <c r="B3993" s="43" t="s">
        <v>178</v>
      </c>
      <c r="C3993" s="43" t="s">
        <v>4479</v>
      </c>
      <c r="D3993" s="43" t="s">
        <v>1564</v>
      </c>
      <c r="E3993" s="43" t="s">
        <v>633</v>
      </c>
      <c r="F3993" s="43">
        <v>1</v>
      </c>
      <c r="G3993"/>
      <c r="H3993"/>
    </row>
    <row r="3994" spans="1:8" hidden="1" x14ac:dyDescent="0.25">
      <c r="A3994" s="43">
        <v>622</v>
      </c>
      <c r="B3994" s="43" t="s">
        <v>178</v>
      </c>
      <c r="C3994" s="43" t="s">
        <v>4479</v>
      </c>
      <c r="D3994" s="43" t="s">
        <v>1565</v>
      </c>
      <c r="E3994" s="43" t="s">
        <v>493</v>
      </c>
      <c r="F3994" s="43">
        <v>0</v>
      </c>
      <c r="G3994" s="43" t="s">
        <v>4583</v>
      </c>
      <c r="H3994"/>
    </row>
    <row r="3995" spans="1:8" hidden="1" x14ac:dyDescent="0.25">
      <c r="A3995" s="43">
        <v>622</v>
      </c>
      <c r="B3995" s="43" t="s">
        <v>178</v>
      </c>
      <c r="C3995" s="43" t="s">
        <v>4479</v>
      </c>
      <c r="D3995" s="43" t="s">
        <v>1566</v>
      </c>
      <c r="E3995" s="43" t="s">
        <v>275</v>
      </c>
      <c r="F3995" s="43">
        <v>1</v>
      </c>
      <c r="G3995"/>
      <c r="H3995"/>
    </row>
    <row r="3996" spans="1:8" hidden="1" x14ac:dyDescent="0.25">
      <c r="A3996" s="43">
        <v>622</v>
      </c>
      <c r="B3996" s="43" t="s">
        <v>178</v>
      </c>
      <c r="C3996" s="43" t="s">
        <v>4479</v>
      </c>
      <c r="D3996" s="43" t="s">
        <v>1567</v>
      </c>
      <c r="E3996" s="43" t="s">
        <v>1568</v>
      </c>
      <c r="F3996" s="43">
        <v>0</v>
      </c>
      <c r="G3996" s="43" t="s">
        <v>4583</v>
      </c>
      <c r="H3996"/>
    </row>
    <row r="3997" spans="1:8" hidden="1" x14ac:dyDescent="0.25">
      <c r="A3997" s="43">
        <v>622</v>
      </c>
      <c r="B3997" s="43" t="s">
        <v>178</v>
      </c>
      <c r="C3997" s="43" t="s">
        <v>4479</v>
      </c>
      <c r="D3997" s="43" t="s">
        <v>1569</v>
      </c>
      <c r="E3997" s="43" t="s">
        <v>1256</v>
      </c>
      <c r="F3997" s="43">
        <v>1</v>
      </c>
      <c r="G3997"/>
      <c r="H3997"/>
    </row>
    <row r="3998" spans="1:8" hidden="1" x14ac:dyDescent="0.25">
      <c r="A3998" s="43">
        <v>622</v>
      </c>
      <c r="B3998" s="43" t="s">
        <v>178</v>
      </c>
      <c r="C3998" s="43" t="s">
        <v>4479</v>
      </c>
      <c r="D3998" s="43" t="s">
        <v>1570</v>
      </c>
      <c r="E3998" s="43" t="s">
        <v>1571</v>
      </c>
      <c r="F3998" s="43">
        <v>1</v>
      </c>
      <c r="G3998"/>
      <c r="H3998"/>
    </row>
    <row r="3999" spans="1:8" hidden="1" x14ac:dyDescent="0.25">
      <c r="A3999" s="43">
        <v>622</v>
      </c>
      <c r="B3999" s="43" t="s">
        <v>178</v>
      </c>
      <c r="C3999" s="43" t="s">
        <v>4479</v>
      </c>
      <c r="D3999" s="43" t="s">
        <v>1572</v>
      </c>
      <c r="E3999" s="43" t="s">
        <v>4480</v>
      </c>
      <c r="F3999" s="43">
        <v>1</v>
      </c>
      <c r="G3999"/>
      <c r="H3999"/>
    </row>
    <row r="4000" spans="1:8" hidden="1" x14ac:dyDescent="0.25">
      <c r="A4000" s="43">
        <v>622</v>
      </c>
      <c r="B4000" s="43" t="s">
        <v>178</v>
      </c>
      <c r="C4000" s="43" t="s">
        <v>4479</v>
      </c>
      <c r="D4000" s="43" t="s">
        <v>1574</v>
      </c>
      <c r="E4000" s="43" t="s">
        <v>1575</v>
      </c>
      <c r="F4000" s="43">
        <v>0</v>
      </c>
      <c r="G4000" s="43" t="s">
        <v>4583</v>
      </c>
      <c r="H4000"/>
    </row>
    <row r="4001" spans="1:8" hidden="1" x14ac:dyDescent="0.25">
      <c r="A4001" s="43">
        <v>622</v>
      </c>
      <c r="B4001" s="43" t="s">
        <v>178</v>
      </c>
      <c r="C4001" s="43" t="s">
        <v>4479</v>
      </c>
      <c r="D4001" s="43" t="s">
        <v>1576</v>
      </c>
      <c r="E4001" s="43" t="s">
        <v>1577</v>
      </c>
      <c r="F4001" s="43">
        <v>0</v>
      </c>
      <c r="G4001" s="43" t="s">
        <v>4583</v>
      </c>
      <c r="H4001"/>
    </row>
    <row r="4002" spans="1:8" hidden="1" x14ac:dyDescent="0.25">
      <c r="A4002" s="43">
        <v>622</v>
      </c>
      <c r="B4002" s="43" t="s">
        <v>178</v>
      </c>
      <c r="C4002" s="43" t="s">
        <v>4479</v>
      </c>
      <c r="D4002" s="43" t="s">
        <v>1578</v>
      </c>
      <c r="E4002" s="43" t="s">
        <v>503</v>
      </c>
      <c r="F4002" s="43">
        <v>0</v>
      </c>
      <c r="G4002" s="43" t="s">
        <v>4583</v>
      </c>
      <c r="H4002"/>
    </row>
    <row r="4003" spans="1:8" hidden="1" x14ac:dyDescent="0.25">
      <c r="A4003" s="43">
        <v>622</v>
      </c>
      <c r="B4003" s="43" t="s">
        <v>178</v>
      </c>
      <c r="C4003" s="43" t="s">
        <v>4479</v>
      </c>
      <c r="D4003" s="43" t="s">
        <v>1579</v>
      </c>
      <c r="E4003" s="43" t="s">
        <v>1580</v>
      </c>
      <c r="F4003" s="43">
        <v>1</v>
      </c>
      <c r="G4003"/>
      <c r="H4003"/>
    </row>
    <row r="4004" spans="1:8" hidden="1" x14ac:dyDescent="0.25">
      <c r="A4004" s="43">
        <v>622</v>
      </c>
      <c r="B4004" s="43" t="s">
        <v>178</v>
      </c>
      <c r="C4004" s="43" t="s">
        <v>4479</v>
      </c>
      <c r="D4004" s="43" t="s">
        <v>1581</v>
      </c>
      <c r="E4004" s="43" t="s">
        <v>1582</v>
      </c>
      <c r="F4004" s="43">
        <v>0</v>
      </c>
      <c r="G4004" s="43" t="s">
        <v>4583</v>
      </c>
      <c r="H4004"/>
    </row>
    <row r="4005" spans="1:8" hidden="1" x14ac:dyDescent="0.25">
      <c r="A4005" s="43">
        <v>622</v>
      </c>
      <c r="B4005" s="43" t="s">
        <v>178</v>
      </c>
      <c r="C4005" s="43" t="s">
        <v>4479</v>
      </c>
      <c r="D4005" s="43" t="s">
        <v>1583</v>
      </c>
      <c r="E4005" s="43" t="s">
        <v>1584</v>
      </c>
      <c r="F4005" s="43">
        <v>0</v>
      </c>
      <c r="G4005" s="43" t="s">
        <v>4583</v>
      </c>
      <c r="H4005"/>
    </row>
    <row r="4006" spans="1:8" hidden="1" x14ac:dyDescent="0.25">
      <c r="A4006" s="43">
        <v>625</v>
      </c>
      <c r="B4006" s="43" t="s">
        <v>179</v>
      </c>
      <c r="C4006" s="43" t="s">
        <v>1312</v>
      </c>
      <c r="D4006" s="43" t="s">
        <v>1313</v>
      </c>
      <c r="E4006" s="43" t="s">
        <v>304</v>
      </c>
      <c r="F4006" s="43">
        <v>1</v>
      </c>
      <c r="G4006"/>
      <c r="H4006"/>
    </row>
    <row r="4007" spans="1:8" hidden="1" x14ac:dyDescent="0.25">
      <c r="A4007" s="43">
        <v>625</v>
      </c>
      <c r="B4007" s="43" t="s">
        <v>179</v>
      </c>
      <c r="C4007" s="43" t="s">
        <v>1312</v>
      </c>
      <c r="D4007" s="43" t="s">
        <v>1314</v>
      </c>
      <c r="E4007" s="43" t="s">
        <v>306</v>
      </c>
      <c r="F4007" s="43">
        <v>1</v>
      </c>
      <c r="G4007"/>
      <c r="H4007"/>
    </row>
    <row r="4008" spans="1:8" hidden="1" x14ac:dyDescent="0.25">
      <c r="A4008" s="43">
        <v>625</v>
      </c>
      <c r="B4008" s="43" t="s">
        <v>179</v>
      </c>
      <c r="C4008" s="43" t="s">
        <v>1312</v>
      </c>
      <c r="D4008" s="43" t="s">
        <v>1315</v>
      </c>
      <c r="E4008" s="43" t="s">
        <v>273</v>
      </c>
      <c r="F4008" s="43">
        <v>1</v>
      </c>
      <c r="G4008"/>
      <c r="H4008"/>
    </row>
    <row r="4009" spans="1:8" hidden="1" x14ac:dyDescent="0.25">
      <c r="A4009" s="43">
        <v>625</v>
      </c>
      <c r="B4009" s="43" t="s">
        <v>179</v>
      </c>
      <c r="C4009" s="43" t="s">
        <v>1312</v>
      </c>
      <c r="D4009" s="43" t="s">
        <v>1316</v>
      </c>
      <c r="E4009" s="43" t="s">
        <v>312</v>
      </c>
      <c r="F4009" s="43">
        <v>1</v>
      </c>
      <c r="G4009"/>
      <c r="H4009"/>
    </row>
    <row r="4010" spans="1:8" hidden="1" x14ac:dyDescent="0.25">
      <c r="A4010" s="43">
        <v>625</v>
      </c>
      <c r="B4010" s="43" t="s">
        <v>179</v>
      </c>
      <c r="C4010" s="43" t="s">
        <v>1312</v>
      </c>
      <c r="D4010" s="43" t="s">
        <v>1317</v>
      </c>
      <c r="E4010" s="43" t="s">
        <v>314</v>
      </c>
      <c r="F4010" s="43">
        <v>1</v>
      </c>
      <c r="G4010"/>
      <c r="H4010"/>
    </row>
    <row r="4011" spans="1:8" hidden="1" x14ac:dyDescent="0.25">
      <c r="A4011" s="43">
        <v>625</v>
      </c>
      <c r="B4011" s="43" t="s">
        <v>179</v>
      </c>
      <c r="C4011" s="43" t="s">
        <v>1312</v>
      </c>
      <c r="D4011" s="43" t="s">
        <v>1318</v>
      </c>
      <c r="E4011" s="43" t="s">
        <v>1319</v>
      </c>
      <c r="F4011" s="43">
        <v>0</v>
      </c>
      <c r="G4011" s="43" t="s">
        <v>4583</v>
      </c>
      <c r="H4011"/>
    </row>
    <row r="4012" spans="1:8" hidden="1" x14ac:dyDescent="0.25">
      <c r="A4012" s="43">
        <v>625</v>
      </c>
      <c r="B4012" s="43" t="s">
        <v>179</v>
      </c>
      <c r="C4012" s="43" t="s">
        <v>1312</v>
      </c>
      <c r="D4012" s="43" t="s">
        <v>1320</v>
      </c>
      <c r="E4012" s="43" t="s">
        <v>1321</v>
      </c>
      <c r="F4012" s="43">
        <v>1</v>
      </c>
      <c r="G4012"/>
      <c r="H4012"/>
    </row>
    <row r="4013" spans="1:8" hidden="1" x14ac:dyDescent="0.25">
      <c r="A4013" s="43">
        <v>625</v>
      </c>
      <c r="B4013" s="43" t="s">
        <v>179</v>
      </c>
      <c r="C4013" s="43" t="s">
        <v>1312</v>
      </c>
      <c r="D4013" s="43" t="s">
        <v>1322</v>
      </c>
      <c r="E4013" s="43" t="s">
        <v>1323</v>
      </c>
      <c r="F4013" s="43">
        <v>1</v>
      </c>
      <c r="G4013"/>
      <c r="H4013"/>
    </row>
    <row r="4014" spans="1:8" hidden="1" x14ac:dyDescent="0.25">
      <c r="A4014" s="43">
        <v>625</v>
      </c>
      <c r="B4014" s="43" t="s">
        <v>179</v>
      </c>
      <c r="C4014" s="43" t="s">
        <v>1312</v>
      </c>
      <c r="D4014" s="43" t="s">
        <v>1324</v>
      </c>
      <c r="E4014" s="43" t="s">
        <v>1325</v>
      </c>
      <c r="F4014" s="43">
        <v>0</v>
      </c>
      <c r="G4014" s="43" t="s">
        <v>4583</v>
      </c>
      <c r="H4014"/>
    </row>
    <row r="4015" spans="1:8" hidden="1" x14ac:dyDescent="0.25">
      <c r="A4015" s="43">
        <v>625</v>
      </c>
      <c r="B4015" s="43" t="s">
        <v>179</v>
      </c>
      <c r="C4015" s="43" t="s">
        <v>1312</v>
      </c>
      <c r="D4015" s="43" t="s">
        <v>1326</v>
      </c>
      <c r="E4015" s="43" t="s">
        <v>318</v>
      </c>
      <c r="F4015" s="43">
        <v>1</v>
      </c>
      <c r="G4015"/>
      <c r="H4015"/>
    </row>
    <row r="4016" spans="1:8" hidden="1" x14ac:dyDescent="0.25">
      <c r="A4016" s="43">
        <v>625</v>
      </c>
      <c r="B4016" s="43" t="s">
        <v>179</v>
      </c>
      <c r="C4016" s="43" t="s">
        <v>1312</v>
      </c>
      <c r="D4016" s="43" t="s">
        <v>1327</v>
      </c>
      <c r="E4016" s="43" t="s">
        <v>1328</v>
      </c>
      <c r="F4016" s="43">
        <v>1</v>
      </c>
      <c r="G4016"/>
      <c r="H4016"/>
    </row>
    <row r="4017" spans="1:8" hidden="1" x14ac:dyDescent="0.25">
      <c r="A4017" s="43">
        <v>625</v>
      </c>
      <c r="B4017" s="43" t="s">
        <v>179</v>
      </c>
      <c r="C4017" s="43" t="s">
        <v>1312</v>
      </c>
      <c r="D4017" s="43" t="s">
        <v>1329</v>
      </c>
      <c r="E4017" s="43" t="s">
        <v>1330</v>
      </c>
      <c r="F4017" s="43">
        <v>1</v>
      </c>
      <c r="G4017"/>
      <c r="H4017"/>
    </row>
    <row r="4018" spans="1:8" hidden="1" x14ac:dyDescent="0.25">
      <c r="A4018" s="43">
        <v>625</v>
      </c>
      <c r="B4018" s="43" t="s">
        <v>179</v>
      </c>
      <c r="C4018" s="43" t="s">
        <v>1312</v>
      </c>
      <c r="D4018" s="43" t="s">
        <v>1331</v>
      </c>
      <c r="E4018" s="43" t="s">
        <v>3179</v>
      </c>
      <c r="F4018" s="43">
        <v>1</v>
      </c>
      <c r="G4018"/>
      <c r="H4018"/>
    </row>
    <row r="4019" spans="1:8" hidden="1" x14ac:dyDescent="0.25">
      <c r="A4019" s="43">
        <v>625</v>
      </c>
      <c r="B4019" s="43" t="s">
        <v>179</v>
      </c>
      <c r="C4019" s="43" t="s">
        <v>1312</v>
      </c>
      <c r="D4019" s="43" t="s">
        <v>1333</v>
      </c>
      <c r="E4019" s="43" t="s">
        <v>1334</v>
      </c>
      <c r="F4019" s="43">
        <v>0</v>
      </c>
      <c r="G4019" s="43" t="s">
        <v>4583</v>
      </c>
      <c r="H4019"/>
    </row>
    <row r="4020" spans="1:8" hidden="1" x14ac:dyDescent="0.25">
      <c r="A4020" s="43">
        <v>625</v>
      </c>
      <c r="B4020" s="43" t="s">
        <v>179</v>
      </c>
      <c r="C4020" s="43" t="s">
        <v>1312</v>
      </c>
      <c r="D4020" s="43" t="s">
        <v>1335</v>
      </c>
      <c r="E4020" s="43" t="s">
        <v>991</v>
      </c>
      <c r="F4020" s="43">
        <v>1</v>
      </c>
      <c r="G4020"/>
      <c r="H4020"/>
    </row>
    <row r="4021" spans="1:8" hidden="1" x14ac:dyDescent="0.25">
      <c r="A4021" s="43">
        <v>625</v>
      </c>
      <c r="B4021" s="43" t="s">
        <v>179</v>
      </c>
      <c r="C4021" s="43" t="s">
        <v>1312</v>
      </c>
      <c r="D4021" s="43" t="s">
        <v>1336</v>
      </c>
      <c r="E4021" s="43" t="s">
        <v>1337</v>
      </c>
      <c r="F4021" s="43">
        <v>1</v>
      </c>
      <c r="G4021"/>
      <c r="H4021"/>
    </row>
    <row r="4022" spans="1:8" hidden="1" x14ac:dyDescent="0.25">
      <c r="A4022" s="43">
        <v>625</v>
      </c>
      <c r="B4022" s="43" t="s">
        <v>179</v>
      </c>
      <c r="C4022" s="43" t="s">
        <v>1312</v>
      </c>
      <c r="D4022" s="43" t="s">
        <v>1338</v>
      </c>
      <c r="E4022" s="43" t="s">
        <v>1339</v>
      </c>
      <c r="F4022" s="43">
        <v>1</v>
      </c>
      <c r="G4022"/>
      <c r="H4022"/>
    </row>
    <row r="4023" spans="1:8" x14ac:dyDescent="0.25">
      <c r="A4023" s="43">
        <v>625</v>
      </c>
      <c r="B4023" s="43" t="s">
        <v>179</v>
      </c>
      <c r="C4023" s="43" t="s">
        <v>1312</v>
      </c>
      <c r="D4023" s="43" t="s">
        <v>1340</v>
      </c>
      <c r="E4023" s="43" t="s">
        <v>1341</v>
      </c>
      <c r="F4023" s="43">
        <v>2</v>
      </c>
      <c r="G4023" s="43" t="s">
        <v>4547</v>
      </c>
      <c r="H4023" s="43" t="s">
        <v>4580</v>
      </c>
    </row>
    <row r="4024" spans="1:8" hidden="1" x14ac:dyDescent="0.25">
      <c r="A4024" s="43">
        <v>625</v>
      </c>
      <c r="B4024" s="43" t="s">
        <v>179</v>
      </c>
      <c r="C4024" s="43" t="s">
        <v>1312</v>
      </c>
      <c r="D4024" s="43" t="s">
        <v>1342</v>
      </c>
      <c r="E4024" s="43" t="s">
        <v>1343</v>
      </c>
      <c r="F4024" s="43">
        <v>1</v>
      </c>
      <c r="G4024"/>
      <c r="H4024"/>
    </row>
    <row r="4025" spans="1:8" hidden="1" x14ac:dyDescent="0.25">
      <c r="A4025" s="43">
        <v>625</v>
      </c>
      <c r="B4025" s="43" t="s">
        <v>179</v>
      </c>
      <c r="C4025" s="43" t="s">
        <v>1312</v>
      </c>
      <c r="D4025" s="43" t="s">
        <v>1344</v>
      </c>
      <c r="E4025" s="43" t="s">
        <v>1345</v>
      </c>
      <c r="F4025" s="43">
        <v>1</v>
      </c>
      <c r="G4025"/>
      <c r="H4025"/>
    </row>
    <row r="4026" spans="1:8" hidden="1" x14ac:dyDescent="0.25">
      <c r="A4026" s="43">
        <v>625</v>
      </c>
      <c r="B4026" s="43" t="s">
        <v>179</v>
      </c>
      <c r="C4026" s="43" t="s">
        <v>1312</v>
      </c>
      <c r="D4026" s="43" t="s">
        <v>1346</v>
      </c>
      <c r="E4026" s="43" t="s">
        <v>1347</v>
      </c>
      <c r="F4026" s="43">
        <v>1</v>
      </c>
      <c r="G4026"/>
      <c r="H4026"/>
    </row>
    <row r="4027" spans="1:8" hidden="1" x14ac:dyDescent="0.25">
      <c r="A4027" s="43">
        <v>625</v>
      </c>
      <c r="B4027" s="43" t="s">
        <v>179</v>
      </c>
      <c r="C4027" s="43" t="s">
        <v>1312</v>
      </c>
      <c r="D4027" s="43" t="s">
        <v>1348</v>
      </c>
      <c r="E4027" s="43" t="s">
        <v>1349</v>
      </c>
      <c r="F4027" s="43">
        <v>0</v>
      </c>
      <c r="G4027" s="43" t="s">
        <v>4583</v>
      </c>
      <c r="H4027"/>
    </row>
    <row r="4028" spans="1:8" hidden="1" x14ac:dyDescent="0.25">
      <c r="A4028" s="43">
        <v>625</v>
      </c>
      <c r="B4028" s="43" t="s">
        <v>179</v>
      </c>
      <c r="C4028" s="43" t="s">
        <v>1312</v>
      </c>
      <c r="D4028" s="43" t="s">
        <v>1350</v>
      </c>
      <c r="E4028" s="43" t="s">
        <v>1351</v>
      </c>
      <c r="F4028" s="43">
        <v>1</v>
      </c>
      <c r="G4028"/>
      <c r="H4028"/>
    </row>
    <row r="4029" spans="1:8" hidden="1" x14ac:dyDescent="0.25">
      <c r="A4029" s="43">
        <v>625</v>
      </c>
      <c r="B4029" s="43" t="s">
        <v>179</v>
      </c>
      <c r="C4029" s="43" t="s">
        <v>1312</v>
      </c>
      <c r="D4029" s="43" t="s">
        <v>1352</v>
      </c>
      <c r="E4029" s="43" t="s">
        <v>1353</v>
      </c>
      <c r="F4029" s="43">
        <v>1</v>
      </c>
      <c r="G4029"/>
      <c r="H4029"/>
    </row>
    <row r="4030" spans="1:8" hidden="1" x14ac:dyDescent="0.25">
      <c r="A4030" s="43">
        <v>626</v>
      </c>
      <c r="B4030" s="43" t="s">
        <v>180</v>
      </c>
      <c r="C4030" s="43" t="s">
        <v>4470</v>
      </c>
      <c r="D4030" s="43" t="s">
        <v>1493</v>
      </c>
      <c r="E4030" s="43" t="s">
        <v>1494</v>
      </c>
      <c r="F4030" s="43">
        <v>1</v>
      </c>
      <c r="G4030"/>
      <c r="H4030"/>
    </row>
    <row r="4031" spans="1:8" hidden="1" x14ac:dyDescent="0.25">
      <c r="A4031" s="43">
        <v>626</v>
      </c>
      <c r="B4031" s="43" t="s">
        <v>180</v>
      </c>
      <c r="C4031" s="43" t="s">
        <v>4470</v>
      </c>
      <c r="D4031" s="43" t="s">
        <v>1495</v>
      </c>
      <c r="E4031" s="43" t="s">
        <v>1496</v>
      </c>
      <c r="F4031" s="43">
        <v>1</v>
      </c>
      <c r="G4031"/>
      <c r="H4031"/>
    </row>
    <row r="4032" spans="1:8" hidden="1" x14ac:dyDescent="0.25">
      <c r="A4032" s="43">
        <v>626</v>
      </c>
      <c r="B4032" s="43" t="s">
        <v>180</v>
      </c>
      <c r="C4032" s="43" t="s">
        <v>4470</v>
      </c>
      <c r="D4032" s="43" t="s">
        <v>1497</v>
      </c>
      <c r="E4032" s="43" t="s">
        <v>306</v>
      </c>
      <c r="F4032" s="43">
        <v>1</v>
      </c>
      <c r="G4032"/>
      <c r="H4032"/>
    </row>
    <row r="4033" spans="1:8" hidden="1" x14ac:dyDescent="0.25">
      <c r="A4033" s="43">
        <v>626</v>
      </c>
      <c r="B4033" s="43" t="s">
        <v>180</v>
      </c>
      <c r="C4033" s="43" t="s">
        <v>4470</v>
      </c>
      <c r="D4033" s="43" t="s">
        <v>1498</v>
      </c>
      <c r="E4033" s="43" t="s">
        <v>1499</v>
      </c>
      <c r="F4033" s="43">
        <v>0</v>
      </c>
      <c r="G4033" s="43" t="s">
        <v>4583</v>
      </c>
      <c r="H4033"/>
    </row>
    <row r="4034" spans="1:8" hidden="1" x14ac:dyDescent="0.25">
      <c r="A4034" s="43">
        <v>626</v>
      </c>
      <c r="B4034" s="43" t="s">
        <v>180</v>
      </c>
      <c r="C4034" s="43" t="s">
        <v>4470</v>
      </c>
      <c r="D4034" s="43" t="s">
        <v>1500</v>
      </c>
      <c r="E4034" s="43" t="s">
        <v>1397</v>
      </c>
      <c r="F4034" s="43">
        <v>1</v>
      </c>
      <c r="G4034"/>
      <c r="H4034"/>
    </row>
    <row r="4035" spans="1:8" hidden="1" x14ac:dyDescent="0.25">
      <c r="A4035" s="43">
        <v>626</v>
      </c>
      <c r="B4035" s="43" t="s">
        <v>180</v>
      </c>
      <c r="C4035" s="43" t="s">
        <v>4470</v>
      </c>
      <c r="D4035" s="43" t="s">
        <v>1501</v>
      </c>
      <c r="E4035" s="43" t="s">
        <v>1502</v>
      </c>
      <c r="F4035" s="43">
        <v>1</v>
      </c>
      <c r="G4035"/>
      <c r="H4035"/>
    </row>
    <row r="4036" spans="1:8" hidden="1" x14ac:dyDescent="0.25">
      <c r="A4036" s="43">
        <v>626</v>
      </c>
      <c r="B4036" s="43" t="s">
        <v>180</v>
      </c>
      <c r="C4036" s="43" t="s">
        <v>4470</v>
      </c>
      <c r="D4036" s="43" t="s">
        <v>1503</v>
      </c>
      <c r="E4036" s="43" t="s">
        <v>1504</v>
      </c>
      <c r="F4036" s="43">
        <v>1</v>
      </c>
      <c r="G4036"/>
      <c r="H4036"/>
    </row>
    <row r="4037" spans="1:8" hidden="1" x14ac:dyDescent="0.25">
      <c r="A4037" s="43">
        <v>626</v>
      </c>
      <c r="B4037" s="43" t="s">
        <v>180</v>
      </c>
      <c r="C4037" s="43" t="s">
        <v>4470</v>
      </c>
      <c r="D4037" s="43" t="s">
        <v>1505</v>
      </c>
      <c r="E4037" s="43" t="s">
        <v>1506</v>
      </c>
      <c r="F4037" s="43">
        <v>0</v>
      </c>
      <c r="G4037" s="43" t="s">
        <v>4583</v>
      </c>
      <c r="H4037"/>
    </row>
    <row r="4038" spans="1:8" hidden="1" x14ac:dyDescent="0.25">
      <c r="A4038" s="43">
        <v>626</v>
      </c>
      <c r="B4038" s="43" t="s">
        <v>180</v>
      </c>
      <c r="C4038" s="43" t="s">
        <v>4470</v>
      </c>
      <c r="D4038" s="43" t="s">
        <v>1507</v>
      </c>
      <c r="E4038" s="43" t="s">
        <v>611</v>
      </c>
      <c r="F4038" s="43">
        <v>1</v>
      </c>
      <c r="G4038"/>
      <c r="H4038"/>
    </row>
    <row r="4039" spans="1:8" hidden="1" x14ac:dyDescent="0.25">
      <c r="A4039" s="43">
        <v>626</v>
      </c>
      <c r="B4039" s="43" t="s">
        <v>180</v>
      </c>
      <c r="C4039" s="43" t="s">
        <v>4470</v>
      </c>
      <c r="D4039" s="43" t="s">
        <v>1508</v>
      </c>
      <c r="E4039" s="43" t="s">
        <v>1509</v>
      </c>
      <c r="F4039" s="43">
        <v>1</v>
      </c>
      <c r="G4039"/>
      <c r="H4039"/>
    </row>
    <row r="4040" spans="1:8" hidden="1" x14ac:dyDescent="0.25">
      <c r="A4040" s="43">
        <v>626</v>
      </c>
      <c r="B4040" s="43" t="s">
        <v>180</v>
      </c>
      <c r="C4040" s="43" t="s">
        <v>4470</v>
      </c>
      <c r="D4040" s="43" t="s">
        <v>1510</v>
      </c>
      <c r="E4040" s="43" t="s">
        <v>613</v>
      </c>
      <c r="F4040" s="43">
        <v>0</v>
      </c>
      <c r="G4040" s="43" t="s">
        <v>4583</v>
      </c>
      <c r="H4040"/>
    </row>
    <row r="4041" spans="1:8" hidden="1" x14ac:dyDescent="0.25">
      <c r="A4041" s="43">
        <v>626</v>
      </c>
      <c r="B4041" s="43" t="s">
        <v>180</v>
      </c>
      <c r="C4041" s="43" t="s">
        <v>4470</v>
      </c>
      <c r="D4041" s="43" t="s">
        <v>1511</v>
      </c>
      <c r="E4041" s="43" t="s">
        <v>1419</v>
      </c>
      <c r="F4041" s="43">
        <v>1</v>
      </c>
      <c r="G4041" s="43" t="s">
        <v>4548</v>
      </c>
    </row>
    <row r="4042" spans="1:8" hidden="1" x14ac:dyDescent="0.25">
      <c r="A4042" s="43">
        <v>626</v>
      </c>
      <c r="B4042" s="43" t="s">
        <v>180</v>
      </c>
      <c r="C4042" s="43" t="s">
        <v>4470</v>
      </c>
      <c r="D4042" s="43" t="s">
        <v>1512</v>
      </c>
      <c r="E4042" s="43" t="s">
        <v>621</v>
      </c>
      <c r="F4042" s="43">
        <v>1</v>
      </c>
      <c r="G4042" s="43" t="s">
        <v>4549</v>
      </c>
    </row>
    <row r="4043" spans="1:8" hidden="1" x14ac:dyDescent="0.25">
      <c r="A4043" s="43">
        <v>626</v>
      </c>
      <c r="B4043" s="43" t="s">
        <v>180</v>
      </c>
      <c r="C4043" s="43" t="s">
        <v>4470</v>
      </c>
      <c r="D4043" s="43" t="s">
        <v>1513</v>
      </c>
      <c r="E4043" s="43" t="s">
        <v>1422</v>
      </c>
      <c r="F4043" s="43">
        <v>1</v>
      </c>
      <c r="G4043" s="43" t="s">
        <v>4550</v>
      </c>
    </row>
    <row r="4044" spans="1:8" hidden="1" x14ac:dyDescent="0.25">
      <c r="A4044" s="43">
        <v>626</v>
      </c>
      <c r="B4044" s="43" t="s">
        <v>180</v>
      </c>
      <c r="C4044" s="43" t="s">
        <v>4470</v>
      </c>
      <c r="D4044" s="43" t="s">
        <v>1514</v>
      </c>
      <c r="E4044" s="43" t="s">
        <v>614</v>
      </c>
      <c r="F4044" s="43">
        <v>0</v>
      </c>
      <c r="G4044" s="43" t="s">
        <v>4583</v>
      </c>
      <c r="H4044"/>
    </row>
    <row r="4045" spans="1:8" hidden="1" x14ac:dyDescent="0.25">
      <c r="A4045" s="43">
        <v>626</v>
      </c>
      <c r="B4045" s="43" t="s">
        <v>180</v>
      </c>
      <c r="C4045" s="43" t="s">
        <v>4470</v>
      </c>
      <c r="D4045" s="43" t="s">
        <v>1515</v>
      </c>
      <c r="E4045" s="43" t="s">
        <v>615</v>
      </c>
      <c r="F4045" s="43">
        <v>1</v>
      </c>
      <c r="G4045" s="43" t="s">
        <v>4551</v>
      </c>
    </row>
    <row r="4046" spans="1:8" hidden="1" x14ac:dyDescent="0.25">
      <c r="A4046" s="43">
        <v>626</v>
      </c>
      <c r="B4046" s="43" t="s">
        <v>180</v>
      </c>
      <c r="C4046" s="43" t="s">
        <v>4470</v>
      </c>
      <c r="D4046" s="43" t="s">
        <v>1516</v>
      </c>
      <c r="E4046" s="43" t="s">
        <v>1517</v>
      </c>
      <c r="F4046" s="43">
        <v>1</v>
      </c>
      <c r="G4046"/>
      <c r="H4046"/>
    </row>
    <row r="4047" spans="1:8" hidden="1" x14ac:dyDescent="0.25">
      <c r="A4047" s="43">
        <v>626</v>
      </c>
      <c r="B4047" s="43" t="s">
        <v>180</v>
      </c>
      <c r="C4047" s="43" t="s">
        <v>4470</v>
      </c>
      <c r="D4047" s="43" t="s">
        <v>1518</v>
      </c>
      <c r="E4047" s="43" t="s">
        <v>1519</v>
      </c>
      <c r="F4047" s="43">
        <v>1</v>
      </c>
      <c r="G4047"/>
      <c r="H4047"/>
    </row>
    <row r="4048" spans="1:8" hidden="1" x14ac:dyDescent="0.25">
      <c r="A4048" s="43">
        <v>626</v>
      </c>
      <c r="B4048" s="43" t="s">
        <v>180</v>
      </c>
      <c r="C4048" s="43" t="s">
        <v>4470</v>
      </c>
      <c r="D4048" s="43" t="s">
        <v>1520</v>
      </c>
      <c r="E4048" s="43" t="s">
        <v>1521</v>
      </c>
      <c r="F4048" s="43">
        <v>0</v>
      </c>
      <c r="G4048" s="43" t="s">
        <v>4583</v>
      </c>
      <c r="H4048"/>
    </row>
    <row r="4049" spans="1:8" hidden="1" x14ac:dyDescent="0.25">
      <c r="A4049" s="43">
        <v>626</v>
      </c>
      <c r="B4049" s="43" t="s">
        <v>180</v>
      </c>
      <c r="C4049" s="43" t="s">
        <v>4470</v>
      </c>
      <c r="D4049" s="43" t="s">
        <v>1522</v>
      </c>
      <c r="E4049" s="43" t="s">
        <v>1523</v>
      </c>
      <c r="F4049" s="43">
        <v>0</v>
      </c>
      <c r="G4049" s="43" t="s">
        <v>4583</v>
      </c>
      <c r="H4049"/>
    </row>
    <row r="4050" spans="1:8" hidden="1" x14ac:dyDescent="0.25">
      <c r="A4050" s="43">
        <v>626</v>
      </c>
      <c r="B4050" s="43" t="s">
        <v>180</v>
      </c>
      <c r="C4050" s="43" t="s">
        <v>4470</v>
      </c>
      <c r="D4050" s="43" t="s">
        <v>1524</v>
      </c>
      <c r="E4050" s="43" t="s">
        <v>1525</v>
      </c>
      <c r="F4050" s="43">
        <v>0</v>
      </c>
      <c r="G4050" s="43" t="s">
        <v>4583</v>
      </c>
      <c r="H4050"/>
    </row>
    <row r="4051" spans="1:8" hidden="1" x14ac:dyDescent="0.25">
      <c r="A4051" s="43">
        <v>626</v>
      </c>
      <c r="B4051" s="43" t="s">
        <v>180</v>
      </c>
      <c r="C4051" s="43" t="s">
        <v>4470</v>
      </c>
      <c r="D4051" s="43" t="s">
        <v>1526</v>
      </c>
      <c r="E4051" s="43" t="s">
        <v>1527</v>
      </c>
      <c r="F4051" s="43">
        <v>1</v>
      </c>
      <c r="G4051"/>
      <c r="H4051"/>
    </row>
    <row r="4052" spans="1:8" hidden="1" x14ac:dyDescent="0.25">
      <c r="A4052" s="43">
        <v>626</v>
      </c>
      <c r="B4052" s="43" t="s">
        <v>180</v>
      </c>
      <c r="C4052" s="43" t="s">
        <v>4470</v>
      </c>
      <c r="D4052" s="43" t="s">
        <v>1528</v>
      </c>
      <c r="E4052" s="43" t="s">
        <v>4471</v>
      </c>
      <c r="F4052" s="43">
        <v>1</v>
      </c>
      <c r="G4052" s="43" t="s">
        <v>4551</v>
      </c>
    </row>
    <row r="4053" spans="1:8" hidden="1" x14ac:dyDescent="0.25">
      <c r="A4053" s="43">
        <v>626</v>
      </c>
      <c r="B4053" s="43" t="s">
        <v>180</v>
      </c>
      <c r="C4053" s="43" t="s">
        <v>4470</v>
      </c>
      <c r="D4053" s="43" t="s">
        <v>1530</v>
      </c>
      <c r="E4053" s="43" t="s">
        <v>1430</v>
      </c>
      <c r="F4053" s="43">
        <v>1</v>
      </c>
      <c r="G4053"/>
      <c r="H4053"/>
    </row>
    <row r="4054" spans="1:8" hidden="1" x14ac:dyDescent="0.25">
      <c r="A4054" s="43">
        <v>626</v>
      </c>
      <c r="B4054" s="43" t="s">
        <v>180</v>
      </c>
      <c r="C4054" s="43" t="s">
        <v>4470</v>
      </c>
      <c r="D4054" s="43" t="s">
        <v>1531</v>
      </c>
      <c r="E4054" s="43" t="s">
        <v>503</v>
      </c>
      <c r="F4054" s="43">
        <v>1</v>
      </c>
      <c r="G4054"/>
      <c r="H4054"/>
    </row>
    <row r="4055" spans="1:8" hidden="1" x14ac:dyDescent="0.25">
      <c r="A4055" s="43">
        <v>626</v>
      </c>
      <c r="B4055" s="43" t="s">
        <v>180</v>
      </c>
      <c r="C4055" s="43" t="s">
        <v>4470</v>
      </c>
      <c r="D4055" s="43" t="s">
        <v>1532</v>
      </c>
      <c r="E4055" s="43" t="s">
        <v>1533</v>
      </c>
      <c r="F4055" s="43">
        <v>0</v>
      </c>
      <c r="G4055" s="43" t="s">
        <v>4583</v>
      </c>
      <c r="H4055"/>
    </row>
    <row r="4056" spans="1:8" hidden="1" x14ac:dyDescent="0.25">
      <c r="A4056" s="43">
        <v>626</v>
      </c>
      <c r="B4056" s="43" t="s">
        <v>180</v>
      </c>
      <c r="C4056" s="43" t="s">
        <v>4470</v>
      </c>
      <c r="D4056" s="43" t="s">
        <v>1534</v>
      </c>
      <c r="E4056" s="43" t="s">
        <v>1535</v>
      </c>
      <c r="F4056" s="43">
        <v>1</v>
      </c>
      <c r="G4056"/>
      <c r="H4056"/>
    </row>
    <row r="4057" spans="1:8" hidden="1" x14ac:dyDescent="0.25">
      <c r="A4057" s="43">
        <v>628</v>
      </c>
      <c r="B4057" s="43" t="s">
        <v>181</v>
      </c>
      <c r="C4057" s="43" t="s">
        <v>4478</v>
      </c>
      <c r="D4057" s="43" t="s">
        <v>1537</v>
      </c>
      <c r="E4057" s="43" t="s">
        <v>1494</v>
      </c>
      <c r="F4057" s="43">
        <v>1</v>
      </c>
      <c r="G4057"/>
      <c r="H4057"/>
    </row>
    <row r="4058" spans="1:8" hidden="1" x14ac:dyDescent="0.25">
      <c r="A4058" s="43">
        <v>628</v>
      </c>
      <c r="B4058" s="43" t="s">
        <v>181</v>
      </c>
      <c r="C4058" s="43" t="s">
        <v>4478</v>
      </c>
      <c r="D4058" s="43" t="s">
        <v>1538</v>
      </c>
      <c r="E4058" s="43" t="s">
        <v>306</v>
      </c>
      <c r="F4058" s="43">
        <v>0</v>
      </c>
      <c r="G4058" s="43" t="s">
        <v>4583</v>
      </c>
      <c r="H4058"/>
    </row>
    <row r="4059" spans="1:8" hidden="1" x14ac:dyDescent="0.25">
      <c r="A4059" s="43">
        <v>628</v>
      </c>
      <c r="B4059" s="43" t="s">
        <v>181</v>
      </c>
      <c r="C4059" s="43" t="s">
        <v>4478</v>
      </c>
      <c r="D4059" s="43" t="s">
        <v>1539</v>
      </c>
      <c r="E4059" s="43" t="s">
        <v>1499</v>
      </c>
      <c r="F4059" s="43">
        <v>0</v>
      </c>
      <c r="G4059" s="43" t="s">
        <v>4687</v>
      </c>
      <c r="H4059" s="43" t="s">
        <v>4764</v>
      </c>
    </row>
    <row r="4060" spans="1:8" hidden="1" x14ac:dyDescent="0.25">
      <c r="A4060" s="43">
        <v>628</v>
      </c>
      <c r="B4060" s="43" t="s">
        <v>181</v>
      </c>
      <c r="C4060" s="43" t="s">
        <v>4478</v>
      </c>
      <c r="D4060" s="43" t="s">
        <v>1540</v>
      </c>
      <c r="E4060" s="43" t="s">
        <v>1541</v>
      </c>
      <c r="F4060" s="43">
        <v>1</v>
      </c>
      <c r="G4060"/>
      <c r="H4060"/>
    </row>
    <row r="4061" spans="1:8" hidden="1" x14ac:dyDescent="0.25">
      <c r="A4061" s="43">
        <v>628</v>
      </c>
      <c r="B4061" s="43" t="s">
        <v>181</v>
      </c>
      <c r="C4061" s="43" t="s">
        <v>4478</v>
      </c>
      <c r="D4061" s="43" t="s">
        <v>1542</v>
      </c>
      <c r="E4061" s="43" t="s">
        <v>1543</v>
      </c>
      <c r="F4061" s="43">
        <v>0</v>
      </c>
      <c r="G4061" s="43" t="s">
        <v>4687</v>
      </c>
      <c r="H4061" s="43" t="s">
        <v>4764</v>
      </c>
    </row>
    <row r="4062" spans="1:8" hidden="1" x14ac:dyDescent="0.25">
      <c r="A4062" s="43">
        <v>628</v>
      </c>
      <c r="B4062" s="43" t="s">
        <v>181</v>
      </c>
      <c r="C4062" s="43" t="s">
        <v>4478</v>
      </c>
      <c r="D4062" s="43" t="s">
        <v>1544</v>
      </c>
      <c r="E4062" s="43" t="s">
        <v>671</v>
      </c>
      <c r="F4062" s="43">
        <v>0</v>
      </c>
      <c r="G4062" s="43" t="s">
        <v>4687</v>
      </c>
      <c r="H4062" s="43" t="s">
        <v>4764</v>
      </c>
    </row>
    <row r="4063" spans="1:8" hidden="1" x14ac:dyDescent="0.25">
      <c r="A4063" s="43">
        <v>628</v>
      </c>
      <c r="B4063" s="43" t="s">
        <v>181</v>
      </c>
      <c r="C4063" s="43" t="s">
        <v>4478</v>
      </c>
      <c r="D4063" s="43" t="s">
        <v>1545</v>
      </c>
      <c r="E4063" s="43" t="s">
        <v>1546</v>
      </c>
      <c r="F4063" s="43">
        <v>1</v>
      </c>
      <c r="G4063"/>
      <c r="H4063"/>
    </row>
    <row r="4064" spans="1:8" hidden="1" x14ac:dyDescent="0.25">
      <c r="A4064" s="43">
        <v>628</v>
      </c>
      <c r="B4064" s="43" t="s">
        <v>181</v>
      </c>
      <c r="C4064" s="43" t="s">
        <v>4478</v>
      </c>
      <c r="D4064" s="43" t="s">
        <v>1547</v>
      </c>
      <c r="E4064" s="43" t="s">
        <v>1548</v>
      </c>
      <c r="F4064" s="43">
        <v>0</v>
      </c>
      <c r="G4064" s="43" t="s">
        <v>4583</v>
      </c>
      <c r="H4064"/>
    </row>
    <row r="4065" spans="1:8" hidden="1" x14ac:dyDescent="0.25">
      <c r="A4065" s="43">
        <v>628</v>
      </c>
      <c r="B4065" s="43" t="s">
        <v>181</v>
      </c>
      <c r="C4065" s="43" t="s">
        <v>4478</v>
      </c>
      <c r="D4065" s="43" t="s">
        <v>1549</v>
      </c>
      <c r="E4065" s="43" t="s">
        <v>1550</v>
      </c>
      <c r="F4065" s="43">
        <v>1</v>
      </c>
      <c r="G4065"/>
      <c r="H4065"/>
    </row>
    <row r="4066" spans="1:8" hidden="1" x14ac:dyDescent="0.25">
      <c r="A4066" s="43">
        <v>628</v>
      </c>
      <c r="B4066" s="43" t="s">
        <v>181</v>
      </c>
      <c r="C4066" s="43" t="s">
        <v>4478</v>
      </c>
      <c r="D4066" s="43" t="s">
        <v>1551</v>
      </c>
      <c r="E4066" s="43" t="s">
        <v>1552</v>
      </c>
      <c r="F4066" s="43">
        <v>1</v>
      </c>
      <c r="G4066"/>
      <c r="H4066"/>
    </row>
    <row r="4067" spans="1:8" hidden="1" x14ac:dyDescent="0.25">
      <c r="A4067" s="43">
        <v>628</v>
      </c>
      <c r="B4067" s="43" t="s">
        <v>181</v>
      </c>
      <c r="C4067" s="43" t="s">
        <v>4478</v>
      </c>
      <c r="D4067" s="43" t="s">
        <v>1553</v>
      </c>
      <c r="E4067" s="43" t="s">
        <v>1554</v>
      </c>
      <c r="F4067" s="43">
        <v>1</v>
      </c>
      <c r="G4067"/>
      <c r="H4067"/>
    </row>
    <row r="4068" spans="1:8" hidden="1" x14ac:dyDescent="0.25">
      <c r="A4068" s="43">
        <v>628</v>
      </c>
      <c r="B4068" s="43" t="s">
        <v>181</v>
      </c>
      <c r="C4068" s="43" t="s">
        <v>4478</v>
      </c>
      <c r="D4068" s="43" t="s">
        <v>1555</v>
      </c>
      <c r="E4068" s="43" t="s">
        <v>1556</v>
      </c>
      <c r="F4068" s="43">
        <v>1</v>
      </c>
      <c r="G4068"/>
      <c r="H4068"/>
    </row>
    <row r="4069" spans="1:8" hidden="1" x14ac:dyDescent="0.25">
      <c r="A4069" s="43">
        <v>633</v>
      </c>
      <c r="B4069" s="43" t="s">
        <v>182</v>
      </c>
      <c r="C4069" s="43" t="s">
        <v>957</v>
      </c>
      <c r="D4069" s="43" t="s">
        <v>958</v>
      </c>
      <c r="E4069" s="43" t="s">
        <v>959</v>
      </c>
      <c r="F4069" s="43">
        <v>1</v>
      </c>
      <c r="G4069"/>
      <c r="H4069"/>
    </row>
    <row r="4070" spans="1:8" hidden="1" x14ac:dyDescent="0.25">
      <c r="A4070" s="43">
        <v>633</v>
      </c>
      <c r="B4070" s="43" t="s">
        <v>182</v>
      </c>
      <c r="C4070" s="43" t="s">
        <v>957</v>
      </c>
      <c r="D4070" s="43" t="s">
        <v>960</v>
      </c>
      <c r="E4070" s="43" t="s">
        <v>961</v>
      </c>
      <c r="F4070" s="43">
        <v>1</v>
      </c>
      <c r="G4070"/>
      <c r="H4070"/>
    </row>
    <row r="4071" spans="1:8" hidden="1" x14ac:dyDescent="0.25">
      <c r="A4071" s="43">
        <v>633</v>
      </c>
      <c r="B4071" s="43" t="s">
        <v>182</v>
      </c>
      <c r="C4071" s="43" t="s">
        <v>957</v>
      </c>
      <c r="D4071" s="43" t="s">
        <v>962</v>
      </c>
      <c r="E4071" s="43" t="s">
        <v>963</v>
      </c>
      <c r="F4071" s="43">
        <v>1</v>
      </c>
      <c r="G4071"/>
      <c r="H4071"/>
    </row>
    <row r="4072" spans="1:8" hidden="1" x14ac:dyDescent="0.25">
      <c r="A4072" s="43">
        <v>633</v>
      </c>
      <c r="B4072" s="43" t="s">
        <v>182</v>
      </c>
      <c r="C4072" s="43" t="s">
        <v>957</v>
      </c>
      <c r="D4072" s="43" t="s">
        <v>964</v>
      </c>
      <c r="E4072" s="43" t="s">
        <v>965</v>
      </c>
      <c r="F4072" s="43">
        <v>1</v>
      </c>
      <c r="G4072"/>
      <c r="H4072"/>
    </row>
    <row r="4073" spans="1:8" hidden="1" x14ac:dyDescent="0.25">
      <c r="A4073" s="43">
        <v>633</v>
      </c>
      <c r="B4073" s="43" t="s">
        <v>182</v>
      </c>
      <c r="C4073" s="43" t="s">
        <v>957</v>
      </c>
      <c r="D4073" s="43" t="s">
        <v>966</v>
      </c>
      <c r="E4073" s="43" t="s">
        <v>967</v>
      </c>
      <c r="F4073" s="43">
        <v>1</v>
      </c>
      <c r="G4073"/>
      <c r="H4073"/>
    </row>
    <row r="4074" spans="1:8" hidden="1" x14ac:dyDescent="0.25">
      <c r="A4074" s="43">
        <v>633</v>
      </c>
      <c r="B4074" s="43" t="s">
        <v>182</v>
      </c>
      <c r="C4074" s="43" t="s">
        <v>957</v>
      </c>
      <c r="D4074" s="43" t="s">
        <v>968</v>
      </c>
      <c r="E4074" s="43" t="s">
        <v>969</v>
      </c>
      <c r="F4074" s="43">
        <v>1</v>
      </c>
      <c r="G4074"/>
      <c r="H4074"/>
    </row>
    <row r="4075" spans="1:8" hidden="1" x14ac:dyDescent="0.25">
      <c r="A4075" s="43">
        <v>633</v>
      </c>
      <c r="B4075" s="43" t="s">
        <v>182</v>
      </c>
      <c r="C4075" s="43" t="s">
        <v>957</v>
      </c>
      <c r="D4075" s="43" t="s">
        <v>970</v>
      </c>
      <c r="E4075" s="43" t="s">
        <v>971</v>
      </c>
      <c r="F4075" s="43">
        <v>1</v>
      </c>
      <c r="G4075"/>
      <c r="H4075"/>
    </row>
    <row r="4076" spans="1:8" hidden="1" x14ac:dyDescent="0.25">
      <c r="A4076" s="43">
        <v>634</v>
      </c>
      <c r="B4076" s="43" t="s">
        <v>182</v>
      </c>
      <c r="C4076" s="43" t="s">
        <v>957</v>
      </c>
      <c r="D4076" s="43" t="s">
        <v>958</v>
      </c>
      <c r="E4076" s="43" t="s">
        <v>959</v>
      </c>
      <c r="F4076" s="43">
        <v>1</v>
      </c>
      <c r="G4076"/>
      <c r="H4076"/>
    </row>
    <row r="4077" spans="1:8" hidden="1" x14ac:dyDescent="0.25">
      <c r="A4077" s="43">
        <v>634</v>
      </c>
      <c r="B4077" s="43" t="s">
        <v>182</v>
      </c>
      <c r="C4077" s="43" t="s">
        <v>957</v>
      </c>
      <c r="D4077" s="43" t="s">
        <v>960</v>
      </c>
      <c r="E4077" s="43" t="s">
        <v>961</v>
      </c>
      <c r="F4077" s="43">
        <v>1</v>
      </c>
      <c r="G4077"/>
      <c r="H4077"/>
    </row>
    <row r="4078" spans="1:8" hidden="1" x14ac:dyDescent="0.25">
      <c r="A4078" s="43">
        <v>634</v>
      </c>
      <c r="B4078" s="43" t="s">
        <v>182</v>
      </c>
      <c r="C4078" s="43" t="s">
        <v>957</v>
      </c>
      <c r="D4078" s="43" t="s">
        <v>962</v>
      </c>
      <c r="E4078" s="43" t="s">
        <v>963</v>
      </c>
      <c r="F4078" s="43">
        <v>1</v>
      </c>
      <c r="G4078"/>
      <c r="H4078"/>
    </row>
    <row r="4079" spans="1:8" hidden="1" x14ac:dyDescent="0.25">
      <c r="A4079" s="43">
        <v>634</v>
      </c>
      <c r="B4079" s="43" t="s">
        <v>182</v>
      </c>
      <c r="C4079" s="43" t="s">
        <v>957</v>
      </c>
      <c r="D4079" s="43" t="s">
        <v>964</v>
      </c>
      <c r="E4079" s="43" t="s">
        <v>965</v>
      </c>
      <c r="F4079" s="43">
        <v>1</v>
      </c>
      <c r="G4079"/>
      <c r="H4079"/>
    </row>
    <row r="4080" spans="1:8" hidden="1" x14ac:dyDescent="0.25">
      <c r="A4080" s="43">
        <v>634</v>
      </c>
      <c r="B4080" s="43" t="s">
        <v>182</v>
      </c>
      <c r="C4080" s="43" t="s">
        <v>957</v>
      </c>
      <c r="D4080" s="43" t="s">
        <v>966</v>
      </c>
      <c r="E4080" s="43" t="s">
        <v>967</v>
      </c>
      <c r="F4080" s="43">
        <v>1</v>
      </c>
      <c r="G4080"/>
      <c r="H4080"/>
    </row>
    <row r="4081" spans="1:8" hidden="1" x14ac:dyDescent="0.25">
      <c r="A4081" s="43">
        <v>634</v>
      </c>
      <c r="B4081" s="43" t="s">
        <v>182</v>
      </c>
      <c r="C4081" s="43" t="s">
        <v>957</v>
      </c>
      <c r="D4081" s="43" t="s">
        <v>968</v>
      </c>
      <c r="E4081" s="43" t="s">
        <v>969</v>
      </c>
      <c r="F4081" s="43">
        <v>1</v>
      </c>
      <c r="G4081"/>
      <c r="H4081"/>
    </row>
    <row r="4082" spans="1:8" hidden="1" x14ac:dyDescent="0.25">
      <c r="A4082" s="43">
        <v>634</v>
      </c>
      <c r="B4082" s="43" t="s">
        <v>182</v>
      </c>
      <c r="C4082" s="43" t="s">
        <v>957</v>
      </c>
      <c r="D4082" s="43" t="s">
        <v>970</v>
      </c>
      <c r="E4082" s="43" t="s">
        <v>971</v>
      </c>
      <c r="F4082" s="43">
        <v>1</v>
      </c>
      <c r="G4082"/>
      <c r="H4082"/>
    </row>
    <row r="4083" spans="1:8" hidden="1" x14ac:dyDescent="0.25">
      <c r="A4083" s="43">
        <v>635</v>
      </c>
      <c r="B4083" s="43" t="s">
        <v>183</v>
      </c>
      <c r="C4083" s="43" t="s">
        <v>581</v>
      </c>
      <c r="D4083" s="43" t="s">
        <v>582</v>
      </c>
      <c r="E4083" s="43" t="s">
        <v>583</v>
      </c>
      <c r="F4083" s="43">
        <v>1</v>
      </c>
      <c r="G4083"/>
      <c r="H4083"/>
    </row>
    <row r="4084" spans="1:8" hidden="1" x14ac:dyDescent="0.25">
      <c r="A4084" s="43">
        <v>635</v>
      </c>
      <c r="B4084" s="43" t="s">
        <v>183</v>
      </c>
      <c r="C4084" s="43" t="s">
        <v>581</v>
      </c>
      <c r="D4084" s="43" t="s">
        <v>584</v>
      </c>
      <c r="E4084" s="43" t="s">
        <v>306</v>
      </c>
      <c r="F4084" s="43">
        <v>1</v>
      </c>
      <c r="G4084"/>
      <c r="H4084"/>
    </row>
    <row r="4085" spans="1:8" hidden="1" x14ac:dyDescent="0.25">
      <c r="A4085" s="43">
        <v>635</v>
      </c>
      <c r="B4085" s="43" t="s">
        <v>183</v>
      </c>
      <c r="C4085" s="43" t="s">
        <v>581</v>
      </c>
      <c r="D4085" s="43" t="s">
        <v>585</v>
      </c>
      <c r="E4085" s="43" t="s">
        <v>586</v>
      </c>
      <c r="F4085" s="43">
        <v>1</v>
      </c>
      <c r="G4085"/>
      <c r="H4085"/>
    </row>
    <row r="4086" spans="1:8" hidden="1" x14ac:dyDescent="0.25">
      <c r="A4086" s="43">
        <v>635</v>
      </c>
      <c r="B4086" s="43" t="s">
        <v>183</v>
      </c>
      <c r="C4086" s="43" t="s">
        <v>581</v>
      </c>
      <c r="D4086" s="43" t="s">
        <v>587</v>
      </c>
      <c r="E4086" s="43" t="s">
        <v>588</v>
      </c>
      <c r="F4086" s="43">
        <v>1</v>
      </c>
      <c r="G4086"/>
      <c r="H4086"/>
    </row>
    <row r="4087" spans="1:8" hidden="1" x14ac:dyDescent="0.25">
      <c r="A4087" s="43">
        <v>635</v>
      </c>
      <c r="B4087" s="43" t="s">
        <v>183</v>
      </c>
      <c r="C4087" s="43" t="s">
        <v>581</v>
      </c>
      <c r="D4087" s="43" t="s">
        <v>589</v>
      </c>
      <c r="E4087" s="43" t="s">
        <v>312</v>
      </c>
      <c r="F4087" s="43">
        <v>1</v>
      </c>
      <c r="G4087"/>
      <c r="H4087"/>
    </row>
    <row r="4088" spans="1:8" hidden="1" x14ac:dyDescent="0.25">
      <c r="A4088" s="43">
        <v>635</v>
      </c>
      <c r="B4088" s="43" t="s">
        <v>183</v>
      </c>
      <c r="C4088" s="43" t="s">
        <v>581</v>
      </c>
      <c r="D4088" s="43" t="s">
        <v>590</v>
      </c>
      <c r="E4088" s="43" t="s">
        <v>493</v>
      </c>
      <c r="F4088" s="43">
        <v>1</v>
      </c>
      <c r="G4088"/>
      <c r="H4088"/>
    </row>
    <row r="4089" spans="1:8" hidden="1" x14ac:dyDescent="0.25">
      <c r="A4089" s="43">
        <v>635</v>
      </c>
      <c r="B4089" s="43" t="s">
        <v>183</v>
      </c>
      <c r="C4089" s="43" t="s">
        <v>581</v>
      </c>
      <c r="D4089" s="43" t="s">
        <v>591</v>
      </c>
      <c r="E4089" s="43" t="s">
        <v>314</v>
      </c>
      <c r="F4089" s="43">
        <v>1</v>
      </c>
      <c r="G4089"/>
      <c r="H4089"/>
    </row>
    <row r="4090" spans="1:8" hidden="1" x14ac:dyDescent="0.25">
      <c r="A4090" s="43">
        <v>635</v>
      </c>
      <c r="B4090" s="43" t="s">
        <v>183</v>
      </c>
      <c r="C4090" s="43" t="s">
        <v>581</v>
      </c>
      <c r="D4090" s="43" t="s">
        <v>592</v>
      </c>
      <c r="E4090" s="43" t="s">
        <v>275</v>
      </c>
      <c r="F4090" s="43">
        <v>1</v>
      </c>
      <c r="G4090"/>
      <c r="H4090"/>
    </row>
    <row r="4091" spans="1:8" hidden="1" x14ac:dyDescent="0.25">
      <c r="A4091" s="43">
        <v>635</v>
      </c>
      <c r="B4091" s="43" t="s">
        <v>183</v>
      </c>
      <c r="C4091" s="43" t="s">
        <v>581</v>
      </c>
      <c r="D4091" s="43" t="s">
        <v>593</v>
      </c>
      <c r="E4091" s="43" t="s">
        <v>594</v>
      </c>
      <c r="F4091" s="43">
        <v>1</v>
      </c>
      <c r="G4091"/>
      <c r="H4091"/>
    </row>
    <row r="4092" spans="1:8" hidden="1" x14ac:dyDescent="0.25">
      <c r="A4092" s="43">
        <v>635</v>
      </c>
      <c r="B4092" s="43" t="s">
        <v>183</v>
      </c>
      <c r="C4092" s="43" t="s">
        <v>581</v>
      </c>
      <c r="D4092" s="43" t="s">
        <v>595</v>
      </c>
      <c r="E4092" s="43" t="s">
        <v>349</v>
      </c>
      <c r="F4092" s="43">
        <v>1</v>
      </c>
      <c r="G4092"/>
      <c r="H4092"/>
    </row>
    <row r="4093" spans="1:8" hidden="1" x14ac:dyDescent="0.25">
      <c r="A4093" s="43">
        <v>635</v>
      </c>
      <c r="B4093" s="43" t="s">
        <v>183</v>
      </c>
      <c r="C4093" s="43" t="s">
        <v>581</v>
      </c>
      <c r="D4093" s="43" t="s">
        <v>596</v>
      </c>
      <c r="E4093" s="43" t="s">
        <v>597</v>
      </c>
      <c r="F4093" s="43">
        <v>1</v>
      </c>
      <c r="G4093"/>
      <c r="H4093"/>
    </row>
    <row r="4094" spans="1:8" hidden="1" x14ac:dyDescent="0.25">
      <c r="A4094" s="43">
        <v>635</v>
      </c>
      <c r="B4094" s="43" t="s">
        <v>183</v>
      </c>
      <c r="C4094" s="43" t="s">
        <v>581</v>
      </c>
      <c r="D4094" s="43" t="s">
        <v>598</v>
      </c>
      <c r="E4094" s="43" t="s">
        <v>599</v>
      </c>
      <c r="F4094" s="43">
        <v>1</v>
      </c>
      <c r="G4094"/>
      <c r="H4094"/>
    </row>
    <row r="4095" spans="1:8" hidden="1" x14ac:dyDescent="0.25">
      <c r="A4095" s="43">
        <v>635</v>
      </c>
      <c r="B4095" s="43" t="s">
        <v>183</v>
      </c>
      <c r="C4095" s="43" t="s">
        <v>581</v>
      </c>
      <c r="D4095" s="43" t="s">
        <v>600</v>
      </c>
      <c r="E4095" s="43" t="s">
        <v>601</v>
      </c>
      <c r="F4095" s="43">
        <v>1</v>
      </c>
      <c r="G4095"/>
      <c r="H4095"/>
    </row>
    <row r="4096" spans="1:8" hidden="1" x14ac:dyDescent="0.25">
      <c r="A4096" s="43">
        <v>635</v>
      </c>
      <c r="B4096" s="43" t="s">
        <v>183</v>
      </c>
      <c r="C4096" s="43" t="s">
        <v>581</v>
      </c>
      <c r="D4096" s="43" t="s">
        <v>602</v>
      </c>
      <c r="E4096" s="43" t="s">
        <v>603</v>
      </c>
      <c r="F4096" s="43">
        <v>1</v>
      </c>
      <c r="G4096"/>
      <c r="H4096"/>
    </row>
    <row r="4097" spans="1:8" x14ac:dyDescent="0.25">
      <c r="A4097" s="43">
        <v>635</v>
      </c>
      <c r="B4097" s="43" t="s">
        <v>183</v>
      </c>
      <c r="C4097" s="43" t="s">
        <v>581</v>
      </c>
      <c r="D4097" s="43" t="s">
        <v>604</v>
      </c>
      <c r="E4097" s="43" t="s">
        <v>605</v>
      </c>
      <c r="F4097" s="43">
        <v>2</v>
      </c>
      <c r="G4097" s="43" t="s">
        <v>4552</v>
      </c>
      <c r="H4097" s="43" t="s">
        <v>4580</v>
      </c>
    </row>
    <row r="4098" spans="1:8" hidden="1" x14ac:dyDescent="0.25">
      <c r="A4098" s="43">
        <v>635</v>
      </c>
      <c r="B4098" s="43" t="s">
        <v>183</v>
      </c>
      <c r="C4098" s="43" t="s">
        <v>581</v>
      </c>
      <c r="D4098" s="43" t="s">
        <v>606</v>
      </c>
      <c r="E4098" s="43" t="s">
        <v>503</v>
      </c>
      <c r="F4098" s="43">
        <v>1</v>
      </c>
      <c r="G4098"/>
      <c r="H4098"/>
    </row>
    <row r="4099" spans="1:8" hidden="1" x14ac:dyDescent="0.25">
      <c r="A4099" s="43">
        <v>635</v>
      </c>
      <c r="B4099" s="43" t="s">
        <v>183</v>
      </c>
      <c r="C4099" s="43" t="s">
        <v>581</v>
      </c>
      <c r="D4099" s="43" t="s">
        <v>607</v>
      </c>
      <c r="E4099" s="43" t="s">
        <v>505</v>
      </c>
      <c r="F4099" s="43">
        <v>1</v>
      </c>
      <c r="G4099"/>
      <c r="H4099"/>
    </row>
    <row r="4100" spans="1:8" hidden="1" x14ac:dyDescent="0.25">
      <c r="A4100" s="43">
        <v>635</v>
      </c>
      <c r="B4100" s="43" t="s">
        <v>183</v>
      </c>
      <c r="C4100" s="43" t="s">
        <v>581</v>
      </c>
      <c r="D4100" s="43" t="s">
        <v>608</v>
      </c>
      <c r="E4100" s="43" t="s">
        <v>609</v>
      </c>
      <c r="F4100" s="43">
        <v>1</v>
      </c>
      <c r="G4100"/>
      <c r="H4100"/>
    </row>
    <row r="4101" spans="1:8" hidden="1" x14ac:dyDescent="0.25">
      <c r="A4101" s="43">
        <v>636</v>
      </c>
      <c r="B4101" s="43" t="s">
        <v>183</v>
      </c>
      <c r="C4101" s="43" t="s">
        <v>581</v>
      </c>
      <c r="D4101" s="43" t="s">
        <v>582</v>
      </c>
      <c r="E4101" s="43" t="s">
        <v>583</v>
      </c>
      <c r="F4101" s="43">
        <v>1</v>
      </c>
      <c r="G4101"/>
      <c r="H4101"/>
    </row>
    <row r="4102" spans="1:8" hidden="1" x14ac:dyDescent="0.25">
      <c r="A4102" s="43">
        <v>636</v>
      </c>
      <c r="B4102" s="43" t="s">
        <v>183</v>
      </c>
      <c r="C4102" s="43" t="s">
        <v>581</v>
      </c>
      <c r="D4102" s="43" t="s">
        <v>584</v>
      </c>
      <c r="E4102" s="43" t="s">
        <v>306</v>
      </c>
      <c r="F4102" s="43">
        <v>1</v>
      </c>
      <c r="G4102"/>
      <c r="H4102"/>
    </row>
    <row r="4103" spans="1:8" hidden="1" x14ac:dyDescent="0.25">
      <c r="A4103" s="43">
        <v>636</v>
      </c>
      <c r="B4103" s="43" t="s">
        <v>183</v>
      </c>
      <c r="C4103" s="43" t="s">
        <v>581</v>
      </c>
      <c r="D4103" s="43" t="s">
        <v>585</v>
      </c>
      <c r="E4103" s="43" t="s">
        <v>586</v>
      </c>
      <c r="F4103" s="43">
        <v>1</v>
      </c>
      <c r="G4103"/>
      <c r="H4103"/>
    </row>
    <row r="4104" spans="1:8" hidden="1" x14ac:dyDescent="0.25">
      <c r="A4104" s="43">
        <v>636</v>
      </c>
      <c r="B4104" s="43" t="s">
        <v>183</v>
      </c>
      <c r="C4104" s="43" t="s">
        <v>581</v>
      </c>
      <c r="D4104" s="43" t="s">
        <v>587</v>
      </c>
      <c r="E4104" s="43" t="s">
        <v>588</v>
      </c>
      <c r="F4104" s="43">
        <v>1</v>
      </c>
      <c r="G4104"/>
      <c r="H4104"/>
    </row>
    <row r="4105" spans="1:8" hidden="1" x14ac:dyDescent="0.25">
      <c r="A4105" s="43">
        <v>636</v>
      </c>
      <c r="B4105" s="43" t="s">
        <v>183</v>
      </c>
      <c r="C4105" s="43" t="s">
        <v>581</v>
      </c>
      <c r="D4105" s="43" t="s">
        <v>589</v>
      </c>
      <c r="E4105" s="43" t="s">
        <v>312</v>
      </c>
      <c r="F4105" s="43">
        <v>0</v>
      </c>
      <c r="G4105" s="43" t="s">
        <v>4688</v>
      </c>
      <c r="H4105" s="43" t="s">
        <v>4761</v>
      </c>
    </row>
    <row r="4106" spans="1:8" hidden="1" x14ac:dyDescent="0.25">
      <c r="A4106" s="43">
        <v>636</v>
      </c>
      <c r="B4106" s="43" t="s">
        <v>183</v>
      </c>
      <c r="C4106" s="43" t="s">
        <v>581</v>
      </c>
      <c r="D4106" s="43" t="s">
        <v>590</v>
      </c>
      <c r="E4106" s="43" t="s">
        <v>493</v>
      </c>
      <c r="F4106" s="43">
        <v>1</v>
      </c>
      <c r="G4106"/>
      <c r="H4106"/>
    </row>
    <row r="4107" spans="1:8" hidden="1" x14ac:dyDescent="0.25">
      <c r="A4107" s="43">
        <v>636</v>
      </c>
      <c r="B4107" s="43" t="s">
        <v>183</v>
      </c>
      <c r="C4107" s="43" t="s">
        <v>581</v>
      </c>
      <c r="D4107" s="43" t="s">
        <v>591</v>
      </c>
      <c r="E4107" s="43" t="s">
        <v>314</v>
      </c>
      <c r="F4107" s="43">
        <v>1</v>
      </c>
      <c r="G4107"/>
      <c r="H4107"/>
    </row>
    <row r="4108" spans="1:8" hidden="1" x14ac:dyDescent="0.25">
      <c r="A4108" s="43">
        <v>636</v>
      </c>
      <c r="B4108" s="43" t="s">
        <v>183</v>
      </c>
      <c r="C4108" s="43" t="s">
        <v>581</v>
      </c>
      <c r="D4108" s="43" t="s">
        <v>592</v>
      </c>
      <c r="E4108" s="43" t="s">
        <v>275</v>
      </c>
      <c r="F4108" s="43">
        <v>1</v>
      </c>
      <c r="G4108"/>
      <c r="H4108"/>
    </row>
    <row r="4109" spans="1:8" hidden="1" x14ac:dyDescent="0.25">
      <c r="A4109" s="43">
        <v>636</v>
      </c>
      <c r="B4109" s="43" t="s">
        <v>183</v>
      </c>
      <c r="C4109" s="43" t="s">
        <v>581</v>
      </c>
      <c r="D4109" s="43" t="s">
        <v>593</v>
      </c>
      <c r="E4109" s="43" t="s">
        <v>594</v>
      </c>
      <c r="F4109" s="43">
        <v>1</v>
      </c>
      <c r="G4109"/>
      <c r="H4109"/>
    </row>
    <row r="4110" spans="1:8" hidden="1" x14ac:dyDescent="0.25">
      <c r="A4110" s="43">
        <v>636</v>
      </c>
      <c r="B4110" s="43" t="s">
        <v>183</v>
      </c>
      <c r="C4110" s="43" t="s">
        <v>581</v>
      </c>
      <c r="D4110" s="43" t="s">
        <v>595</v>
      </c>
      <c r="E4110" s="43" t="s">
        <v>349</v>
      </c>
      <c r="F4110" s="43">
        <v>1</v>
      </c>
      <c r="G4110"/>
      <c r="H4110"/>
    </row>
    <row r="4111" spans="1:8" hidden="1" x14ac:dyDescent="0.25">
      <c r="A4111" s="43">
        <v>636</v>
      </c>
      <c r="B4111" s="43" t="s">
        <v>183</v>
      </c>
      <c r="C4111" s="43" t="s">
        <v>581</v>
      </c>
      <c r="D4111" s="43" t="s">
        <v>596</v>
      </c>
      <c r="E4111" s="43" t="s">
        <v>597</v>
      </c>
      <c r="F4111" s="43">
        <v>1</v>
      </c>
      <c r="G4111"/>
      <c r="H4111"/>
    </row>
    <row r="4112" spans="1:8" hidden="1" x14ac:dyDescent="0.25">
      <c r="A4112" s="43">
        <v>636</v>
      </c>
      <c r="B4112" s="43" t="s">
        <v>183</v>
      </c>
      <c r="C4112" s="43" t="s">
        <v>581</v>
      </c>
      <c r="D4112" s="43" t="s">
        <v>598</v>
      </c>
      <c r="E4112" s="43" t="s">
        <v>599</v>
      </c>
      <c r="F4112" s="43">
        <v>1</v>
      </c>
      <c r="G4112"/>
      <c r="H4112"/>
    </row>
    <row r="4113" spans="1:8" hidden="1" x14ac:dyDescent="0.25">
      <c r="A4113" s="43">
        <v>636</v>
      </c>
      <c r="B4113" s="43" t="s">
        <v>183</v>
      </c>
      <c r="C4113" s="43" t="s">
        <v>581</v>
      </c>
      <c r="D4113" s="43" t="s">
        <v>600</v>
      </c>
      <c r="E4113" s="43" t="s">
        <v>601</v>
      </c>
      <c r="F4113" s="43">
        <v>0</v>
      </c>
      <c r="G4113" s="43" t="s">
        <v>4688</v>
      </c>
      <c r="H4113" s="43" t="s">
        <v>4761</v>
      </c>
    </row>
    <row r="4114" spans="1:8" hidden="1" x14ac:dyDescent="0.25">
      <c r="A4114" s="43">
        <v>636</v>
      </c>
      <c r="B4114" s="43" t="s">
        <v>183</v>
      </c>
      <c r="C4114" s="43" t="s">
        <v>581</v>
      </c>
      <c r="D4114" s="43" t="s">
        <v>602</v>
      </c>
      <c r="E4114" s="43" t="s">
        <v>603</v>
      </c>
      <c r="F4114" s="43">
        <v>1</v>
      </c>
      <c r="G4114"/>
      <c r="H4114"/>
    </row>
    <row r="4115" spans="1:8" x14ac:dyDescent="0.25">
      <c r="A4115" s="43">
        <v>636</v>
      </c>
      <c r="B4115" s="43" t="s">
        <v>183</v>
      </c>
      <c r="C4115" s="43" t="s">
        <v>581</v>
      </c>
      <c r="D4115" s="43" t="s">
        <v>604</v>
      </c>
      <c r="E4115" s="43" t="s">
        <v>605</v>
      </c>
      <c r="F4115" s="43">
        <v>2</v>
      </c>
      <c r="G4115" s="43" t="s">
        <v>4552</v>
      </c>
      <c r="H4115" s="43" t="s">
        <v>4580</v>
      </c>
    </row>
    <row r="4116" spans="1:8" hidden="1" x14ac:dyDescent="0.25">
      <c r="A4116" s="43">
        <v>636</v>
      </c>
      <c r="B4116" s="43" t="s">
        <v>183</v>
      </c>
      <c r="C4116" s="43" t="s">
        <v>581</v>
      </c>
      <c r="D4116" s="43" t="s">
        <v>606</v>
      </c>
      <c r="E4116" s="43" t="s">
        <v>503</v>
      </c>
      <c r="F4116" s="43">
        <v>1</v>
      </c>
      <c r="G4116"/>
      <c r="H4116"/>
    </row>
    <row r="4117" spans="1:8" hidden="1" x14ac:dyDescent="0.25">
      <c r="A4117" s="43">
        <v>636</v>
      </c>
      <c r="B4117" s="43" t="s">
        <v>183</v>
      </c>
      <c r="C4117" s="43" t="s">
        <v>581</v>
      </c>
      <c r="D4117" s="43" t="s">
        <v>607</v>
      </c>
      <c r="E4117" s="43" t="s">
        <v>505</v>
      </c>
      <c r="F4117" s="43">
        <v>1</v>
      </c>
      <c r="G4117"/>
      <c r="H4117"/>
    </row>
    <row r="4118" spans="1:8" hidden="1" x14ac:dyDescent="0.25">
      <c r="A4118" s="43">
        <v>636</v>
      </c>
      <c r="B4118" s="43" t="s">
        <v>183</v>
      </c>
      <c r="C4118" s="43" t="s">
        <v>581</v>
      </c>
      <c r="D4118" s="43" t="s">
        <v>608</v>
      </c>
      <c r="E4118" s="43" t="s">
        <v>609</v>
      </c>
      <c r="F4118" s="43">
        <v>1</v>
      </c>
      <c r="G4118"/>
      <c r="H4118"/>
    </row>
    <row r="4119" spans="1:8" hidden="1" x14ac:dyDescent="0.25">
      <c r="A4119" s="43">
        <v>637</v>
      </c>
      <c r="B4119" s="43" t="s">
        <v>184</v>
      </c>
      <c r="C4119" s="43" t="s">
        <v>818</v>
      </c>
      <c r="D4119" s="43" t="s">
        <v>819</v>
      </c>
      <c r="E4119" s="43" t="s">
        <v>820</v>
      </c>
      <c r="F4119" s="43">
        <v>1</v>
      </c>
      <c r="G4119"/>
      <c r="H4119"/>
    </row>
    <row r="4120" spans="1:8" hidden="1" x14ac:dyDescent="0.25">
      <c r="A4120" s="43">
        <v>637</v>
      </c>
      <c r="B4120" s="43" t="s">
        <v>184</v>
      </c>
      <c r="C4120" s="43" t="s">
        <v>818</v>
      </c>
      <c r="D4120" s="43" t="s">
        <v>821</v>
      </c>
      <c r="E4120" s="43" t="s">
        <v>822</v>
      </c>
      <c r="F4120" s="43">
        <v>1</v>
      </c>
      <c r="G4120"/>
      <c r="H4120"/>
    </row>
    <row r="4121" spans="1:8" hidden="1" x14ac:dyDescent="0.25">
      <c r="A4121" s="43">
        <v>637</v>
      </c>
      <c r="B4121" s="43" t="s">
        <v>184</v>
      </c>
      <c r="C4121" s="43" t="s">
        <v>818</v>
      </c>
      <c r="D4121" s="43" t="s">
        <v>823</v>
      </c>
      <c r="E4121" s="43" t="s">
        <v>306</v>
      </c>
      <c r="F4121" s="43">
        <v>1</v>
      </c>
      <c r="G4121"/>
      <c r="H4121"/>
    </row>
    <row r="4122" spans="1:8" hidden="1" x14ac:dyDescent="0.25">
      <c r="A4122" s="43">
        <v>637</v>
      </c>
      <c r="B4122" s="43" t="s">
        <v>184</v>
      </c>
      <c r="C4122" s="43" t="s">
        <v>818</v>
      </c>
      <c r="D4122" s="43" t="s">
        <v>824</v>
      </c>
      <c r="E4122" s="43" t="s">
        <v>825</v>
      </c>
      <c r="F4122" s="43">
        <v>1</v>
      </c>
      <c r="G4122"/>
      <c r="H4122"/>
    </row>
    <row r="4123" spans="1:8" hidden="1" x14ac:dyDescent="0.25">
      <c r="A4123" s="43">
        <v>637</v>
      </c>
      <c r="B4123" s="43" t="s">
        <v>184</v>
      </c>
      <c r="C4123" s="43" t="s">
        <v>818</v>
      </c>
      <c r="D4123" s="43" t="s">
        <v>826</v>
      </c>
      <c r="E4123" s="43" t="s">
        <v>827</v>
      </c>
      <c r="F4123" s="43">
        <v>1</v>
      </c>
      <c r="G4123"/>
      <c r="H4123"/>
    </row>
    <row r="4124" spans="1:8" hidden="1" x14ac:dyDescent="0.25">
      <c r="A4124" s="43">
        <v>637</v>
      </c>
      <c r="B4124" s="43" t="s">
        <v>184</v>
      </c>
      <c r="C4124" s="43" t="s">
        <v>818</v>
      </c>
      <c r="D4124" s="43" t="s">
        <v>828</v>
      </c>
      <c r="E4124" s="43" t="s">
        <v>312</v>
      </c>
      <c r="F4124" s="43">
        <v>1</v>
      </c>
      <c r="G4124"/>
      <c r="H4124"/>
    </row>
    <row r="4125" spans="1:8" hidden="1" x14ac:dyDescent="0.25">
      <c r="A4125" s="43">
        <v>637</v>
      </c>
      <c r="B4125" s="43" t="s">
        <v>184</v>
      </c>
      <c r="C4125" s="43" t="s">
        <v>818</v>
      </c>
      <c r="D4125" s="43" t="s">
        <v>829</v>
      </c>
      <c r="E4125" s="43" t="s">
        <v>316</v>
      </c>
      <c r="F4125" s="43">
        <v>1</v>
      </c>
      <c r="G4125"/>
      <c r="H4125"/>
    </row>
    <row r="4126" spans="1:8" hidden="1" x14ac:dyDescent="0.25">
      <c r="A4126" s="43">
        <v>637</v>
      </c>
      <c r="B4126" s="43" t="s">
        <v>184</v>
      </c>
      <c r="C4126" s="43" t="s">
        <v>818</v>
      </c>
      <c r="D4126" s="43" t="s">
        <v>830</v>
      </c>
      <c r="E4126" s="43" t="s">
        <v>314</v>
      </c>
      <c r="F4126" s="43">
        <v>1</v>
      </c>
      <c r="G4126"/>
      <c r="H4126"/>
    </row>
    <row r="4127" spans="1:8" hidden="1" x14ac:dyDescent="0.25">
      <c r="A4127" s="43">
        <v>637</v>
      </c>
      <c r="B4127" s="43" t="s">
        <v>184</v>
      </c>
      <c r="C4127" s="43" t="s">
        <v>818</v>
      </c>
      <c r="D4127" s="43" t="s">
        <v>831</v>
      </c>
      <c r="E4127" s="43" t="s">
        <v>832</v>
      </c>
      <c r="F4127" s="43">
        <v>1</v>
      </c>
      <c r="G4127"/>
      <c r="H4127"/>
    </row>
    <row r="4128" spans="1:8" hidden="1" x14ac:dyDescent="0.25">
      <c r="A4128" s="43">
        <v>637</v>
      </c>
      <c r="B4128" s="43" t="s">
        <v>184</v>
      </c>
      <c r="C4128" s="43" t="s">
        <v>818</v>
      </c>
      <c r="D4128" s="43" t="s">
        <v>833</v>
      </c>
      <c r="E4128" s="43" t="s">
        <v>834</v>
      </c>
      <c r="F4128" s="43">
        <v>0</v>
      </c>
      <c r="G4128" s="43" t="s">
        <v>4583</v>
      </c>
      <c r="H4128"/>
    </row>
    <row r="4129" spans="1:8" hidden="1" x14ac:dyDescent="0.25">
      <c r="A4129" s="43">
        <v>637</v>
      </c>
      <c r="B4129" s="43" t="s">
        <v>184</v>
      </c>
      <c r="C4129" s="43" t="s">
        <v>818</v>
      </c>
      <c r="D4129" s="43" t="s">
        <v>835</v>
      </c>
      <c r="E4129" s="43" t="s">
        <v>836</v>
      </c>
      <c r="F4129" s="43">
        <v>1</v>
      </c>
      <c r="G4129"/>
      <c r="H4129"/>
    </row>
    <row r="4130" spans="1:8" hidden="1" x14ac:dyDescent="0.25">
      <c r="A4130" s="43">
        <v>637</v>
      </c>
      <c r="B4130" s="43" t="s">
        <v>184</v>
      </c>
      <c r="C4130" s="43" t="s">
        <v>818</v>
      </c>
      <c r="D4130" s="43" t="s">
        <v>837</v>
      </c>
      <c r="E4130" s="43" t="s">
        <v>838</v>
      </c>
      <c r="F4130" s="43">
        <v>1</v>
      </c>
      <c r="G4130"/>
      <c r="H4130"/>
    </row>
    <row r="4131" spans="1:8" hidden="1" x14ac:dyDescent="0.25">
      <c r="A4131" s="43">
        <v>637</v>
      </c>
      <c r="B4131" s="43" t="s">
        <v>184</v>
      </c>
      <c r="C4131" s="43" t="s">
        <v>818</v>
      </c>
      <c r="D4131" s="43" t="s">
        <v>839</v>
      </c>
      <c r="E4131" s="43" t="s">
        <v>840</v>
      </c>
      <c r="F4131" s="43">
        <v>1</v>
      </c>
      <c r="G4131"/>
      <c r="H4131"/>
    </row>
    <row r="4132" spans="1:8" hidden="1" x14ac:dyDescent="0.25">
      <c r="A4132" s="43">
        <v>637</v>
      </c>
      <c r="B4132" s="43" t="s">
        <v>184</v>
      </c>
      <c r="C4132" s="43" t="s">
        <v>818</v>
      </c>
      <c r="D4132" s="43" t="s">
        <v>841</v>
      </c>
      <c r="E4132" s="43" t="s">
        <v>842</v>
      </c>
      <c r="F4132" s="43">
        <v>1</v>
      </c>
      <c r="G4132"/>
      <c r="H4132"/>
    </row>
    <row r="4133" spans="1:8" hidden="1" x14ac:dyDescent="0.25">
      <c r="A4133" s="43">
        <v>637</v>
      </c>
      <c r="B4133" s="43" t="s">
        <v>184</v>
      </c>
      <c r="C4133" s="43" t="s">
        <v>818</v>
      </c>
      <c r="D4133" s="43" t="s">
        <v>843</v>
      </c>
      <c r="E4133" s="43" t="s">
        <v>844</v>
      </c>
      <c r="F4133" s="43">
        <v>1</v>
      </c>
      <c r="G4133"/>
      <c r="H4133"/>
    </row>
    <row r="4134" spans="1:8" hidden="1" x14ac:dyDescent="0.25">
      <c r="A4134" s="43">
        <v>637</v>
      </c>
      <c r="B4134" s="43" t="s">
        <v>184</v>
      </c>
      <c r="C4134" s="43" t="s">
        <v>818</v>
      </c>
      <c r="D4134" s="43" t="s">
        <v>845</v>
      </c>
      <c r="E4134" s="43" t="s">
        <v>846</v>
      </c>
      <c r="F4134" s="43">
        <v>0</v>
      </c>
      <c r="G4134" s="43" t="s">
        <v>4583</v>
      </c>
      <c r="H4134"/>
    </row>
    <row r="4135" spans="1:8" hidden="1" x14ac:dyDescent="0.25">
      <c r="A4135" s="43">
        <v>637</v>
      </c>
      <c r="B4135" s="43" t="s">
        <v>184</v>
      </c>
      <c r="C4135" s="43" t="s">
        <v>818</v>
      </c>
      <c r="D4135" s="43" t="s">
        <v>847</v>
      </c>
      <c r="E4135" s="43" t="s">
        <v>848</v>
      </c>
      <c r="F4135" s="43">
        <v>0</v>
      </c>
      <c r="G4135" s="43" t="s">
        <v>4583</v>
      </c>
      <c r="H4135"/>
    </row>
    <row r="4136" spans="1:8" hidden="1" x14ac:dyDescent="0.25">
      <c r="A4136" s="43">
        <v>637</v>
      </c>
      <c r="B4136" s="43" t="s">
        <v>184</v>
      </c>
      <c r="C4136" s="43" t="s">
        <v>818</v>
      </c>
      <c r="D4136" s="43" t="s">
        <v>849</v>
      </c>
      <c r="E4136" s="43" t="s">
        <v>850</v>
      </c>
      <c r="F4136" s="43">
        <v>1</v>
      </c>
      <c r="G4136"/>
      <c r="H4136"/>
    </row>
    <row r="4137" spans="1:8" hidden="1" x14ac:dyDescent="0.25">
      <c r="A4137" s="43">
        <v>637</v>
      </c>
      <c r="B4137" s="43" t="s">
        <v>184</v>
      </c>
      <c r="C4137" s="43" t="s">
        <v>818</v>
      </c>
      <c r="D4137" s="43" t="s">
        <v>851</v>
      </c>
      <c r="E4137" s="43" t="s">
        <v>852</v>
      </c>
      <c r="F4137" s="43">
        <v>0</v>
      </c>
      <c r="G4137" s="43" t="s">
        <v>4583</v>
      </c>
      <c r="H4137"/>
    </row>
    <row r="4138" spans="1:8" hidden="1" x14ac:dyDescent="0.25">
      <c r="A4138" s="43">
        <v>637</v>
      </c>
      <c r="B4138" s="43" t="s">
        <v>184</v>
      </c>
      <c r="C4138" s="43" t="s">
        <v>818</v>
      </c>
      <c r="D4138" s="43" t="s">
        <v>853</v>
      </c>
      <c r="E4138" s="43" t="s">
        <v>854</v>
      </c>
      <c r="F4138" s="43">
        <v>0</v>
      </c>
      <c r="G4138" s="43" t="s">
        <v>4583</v>
      </c>
      <c r="H4138"/>
    </row>
    <row r="4139" spans="1:8" hidden="1" x14ac:dyDescent="0.25">
      <c r="A4139" s="43">
        <v>637</v>
      </c>
      <c r="B4139" s="43" t="s">
        <v>184</v>
      </c>
      <c r="C4139" s="43" t="s">
        <v>818</v>
      </c>
      <c r="D4139" s="43" t="s">
        <v>855</v>
      </c>
      <c r="E4139" s="43" t="s">
        <v>856</v>
      </c>
      <c r="F4139" s="43">
        <v>1</v>
      </c>
      <c r="G4139"/>
      <c r="H4139"/>
    </row>
    <row r="4140" spans="1:8" hidden="1" x14ac:dyDescent="0.25">
      <c r="A4140" s="43">
        <v>637</v>
      </c>
      <c r="B4140" s="43" t="s">
        <v>184</v>
      </c>
      <c r="C4140" s="43" t="s">
        <v>818</v>
      </c>
      <c r="D4140" s="43" t="s">
        <v>857</v>
      </c>
      <c r="E4140" s="43" t="s">
        <v>858</v>
      </c>
      <c r="F4140" s="43">
        <v>1</v>
      </c>
      <c r="G4140"/>
      <c r="H4140"/>
    </row>
    <row r="4141" spans="1:8" hidden="1" x14ac:dyDescent="0.25">
      <c r="A4141" s="43">
        <v>638</v>
      </c>
      <c r="B4141" s="43" t="s">
        <v>184</v>
      </c>
      <c r="C4141" s="43" t="s">
        <v>818</v>
      </c>
      <c r="D4141" s="43" t="s">
        <v>819</v>
      </c>
      <c r="E4141" s="43" t="s">
        <v>820</v>
      </c>
      <c r="F4141" s="43">
        <v>1</v>
      </c>
      <c r="G4141"/>
      <c r="H4141"/>
    </row>
    <row r="4142" spans="1:8" hidden="1" x14ac:dyDescent="0.25">
      <c r="A4142" s="43">
        <v>638</v>
      </c>
      <c r="B4142" s="43" t="s">
        <v>184</v>
      </c>
      <c r="C4142" s="43" t="s">
        <v>818</v>
      </c>
      <c r="D4142" s="43" t="s">
        <v>821</v>
      </c>
      <c r="E4142" s="43" t="s">
        <v>822</v>
      </c>
      <c r="F4142" s="43">
        <v>1</v>
      </c>
      <c r="G4142"/>
      <c r="H4142"/>
    </row>
    <row r="4143" spans="1:8" hidden="1" x14ac:dyDescent="0.25">
      <c r="A4143" s="43">
        <v>638</v>
      </c>
      <c r="B4143" s="43" t="s">
        <v>184</v>
      </c>
      <c r="C4143" s="43" t="s">
        <v>818</v>
      </c>
      <c r="D4143" s="43" t="s">
        <v>823</v>
      </c>
      <c r="E4143" s="43" t="s">
        <v>306</v>
      </c>
      <c r="F4143" s="43">
        <v>1</v>
      </c>
      <c r="G4143"/>
      <c r="H4143"/>
    </row>
    <row r="4144" spans="1:8" hidden="1" x14ac:dyDescent="0.25">
      <c r="A4144" s="43">
        <v>638</v>
      </c>
      <c r="B4144" s="43" t="s">
        <v>184</v>
      </c>
      <c r="C4144" s="43" t="s">
        <v>818</v>
      </c>
      <c r="D4144" s="43" t="s">
        <v>824</v>
      </c>
      <c r="E4144" s="43" t="s">
        <v>825</v>
      </c>
      <c r="F4144" s="89">
        <v>1</v>
      </c>
      <c r="G4144" s="44"/>
      <c r="H4144"/>
    </row>
    <row r="4145" spans="1:8" hidden="1" x14ac:dyDescent="0.25">
      <c r="A4145" s="43">
        <v>638</v>
      </c>
      <c r="B4145" s="43" t="s">
        <v>184</v>
      </c>
      <c r="C4145" s="43" t="s">
        <v>818</v>
      </c>
      <c r="D4145" s="43" t="s">
        <v>826</v>
      </c>
      <c r="E4145" s="43" t="s">
        <v>827</v>
      </c>
      <c r="F4145" s="43">
        <v>1</v>
      </c>
      <c r="G4145"/>
      <c r="H4145"/>
    </row>
    <row r="4146" spans="1:8" hidden="1" x14ac:dyDescent="0.25">
      <c r="A4146" s="43">
        <v>638</v>
      </c>
      <c r="B4146" s="43" t="s">
        <v>184</v>
      </c>
      <c r="C4146" s="43" t="s">
        <v>818</v>
      </c>
      <c r="D4146" s="43" t="s">
        <v>828</v>
      </c>
      <c r="E4146" s="43" t="s">
        <v>312</v>
      </c>
      <c r="F4146" s="43">
        <v>1</v>
      </c>
      <c r="G4146"/>
      <c r="H4146"/>
    </row>
    <row r="4147" spans="1:8" hidden="1" x14ac:dyDescent="0.25">
      <c r="A4147" s="43">
        <v>638</v>
      </c>
      <c r="B4147" s="43" t="s">
        <v>184</v>
      </c>
      <c r="C4147" s="43" t="s">
        <v>818</v>
      </c>
      <c r="D4147" s="43" t="s">
        <v>829</v>
      </c>
      <c r="E4147" s="43" t="s">
        <v>316</v>
      </c>
      <c r="F4147" s="43">
        <v>1</v>
      </c>
      <c r="G4147"/>
      <c r="H4147"/>
    </row>
    <row r="4148" spans="1:8" hidden="1" x14ac:dyDescent="0.25">
      <c r="A4148" s="43">
        <v>638</v>
      </c>
      <c r="B4148" s="43" t="s">
        <v>184</v>
      </c>
      <c r="C4148" s="43" t="s">
        <v>818</v>
      </c>
      <c r="D4148" s="43" t="s">
        <v>830</v>
      </c>
      <c r="E4148" s="43" t="s">
        <v>314</v>
      </c>
      <c r="F4148" s="43">
        <v>1</v>
      </c>
      <c r="G4148"/>
      <c r="H4148"/>
    </row>
    <row r="4149" spans="1:8" hidden="1" x14ac:dyDescent="0.25">
      <c r="A4149" s="43">
        <v>638</v>
      </c>
      <c r="B4149" s="43" t="s">
        <v>184</v>
      </c>
      <c r="C4149" s="43" t="s">
        <v>818</v>
      </c>
      <c r="D4149" s="43" t="s">
        <v>831</v>
      </c>
      <c r="E4149" s="43" t="s">
        <v>832</v>
      </c>
      <c r="F4149" s="43">
        <v>1</v>
      </c>
      <c r="G4149"/>
      <c r="H4149"/>
    </row>
    <row r="4150" spans="1:8" hidden="1" x14ac:dyDescent="0.25">
      <c r="A4150" s="43">
        <v>638</v>
      </c>
      <c r="B4150" s="43" t="s">
        <v>184</v>
      </c>
      <c r="C4150" s="43" t="s">
        <v>818</v>
      </c>
      <c r="D4150" s="43" t="s">
        <v>833</v>
      </c>
      <c r="E4150" s="43" t="s">
        <v>834</v>
      </c>
      <c r="F4150" s="43">
        <v>0</v>
      </c>
      <c r="G4150" s="43" t="s">
        <v>4689</v>
      </c>
      <c r="H4150" s="43" t="s">
        <v>4765</v>
      </c>
    </row>
    <row r="4151" spans="1:8" hidden="1" x14ac:dyDescent="0.25">
      <c r="A4151" s="43">
        <v>638</v>
      </c>
      <c r="B4151" s="43" t="s">
        <v>184</v>
      </c>
      <c r="C4151" s="43" t="s">
        <v>818</v>
      </c>
      <c r="D4151" s="43" t="s">
        <v>835</v>
      </c>
      <c r="E4151" s="43" t="s">
        <v>836</v>
      </c>
      <c r="F4151" s="43">
        <v>1</v>
      </c>
      <c r="G4151"/>
      <c r="H4151"/>
    </row>
    <row r="4152" spans="1:8" hidden="1" x14ac:dyDescent="0.25">
      <c r="A4152" s="43">
        <v>638</v>
      </c>
      <c r="B4152" s="43" t="s">
        <v>184</v>
      </c>
      <c r="C4152" s="43" t="s">
        <v>818</v>
      </c>
      <c r="D4152" s="43" t="s">
        <v>837</v>
      </c>
      <c r="E4152" s="43" t="s">
        <v>838</v>
      </c>
      <c r="F4152" s="43">
        <v>1</v>
      </c>
      <c r="G4152"/>
      <c r="H4152"/>
    </row>
    <row r="4153" spans="1:8" hidden="1" x14ac:dyDescent="0.25">
      <c r="A4153" s="43">
        <v>638</v>
      </c>
      <c r="B4153" s="43" t="s">
        <v>184</v>
      </c>
      <c r="C4153" s="43" t="s">
        <v>818</v>
      </c>
      <c r="D4153" s="43" t="s">
        <v>839</v>
      </c>
      <c r="E4153" s="43" t="s">
        <v>840</v>
      </c>
      <c r="F4153" s="43">
        <v>1</v>
      </c>
      <c r="G4153"/>
      <c r="H4153"/>
    </row>
    <row r="4154" spans="1:8" hidden="1" x14ac:dyDescent="0.25">
      <c r="A4154" s="43">
        <v>638</v>
      </c>
      <c r="B4154" s="43" t="s">
        <v>184</v>
      </c>
      <c r="C4154" s="43" t="s">
        <v>818</v>
      </c>
      <c r="D4154" s="43" t="s">
        <v>841</v>
      </c>
      <c r="E4154" s="43" t="s">
        <v>842</v>
      </c>
      <c r="F4154" s="43">
        <v>1</v>
      </c>
      <c r="G4154"/>
      <c r="H4154"/>
    </row>
    <row r="4155" spans="1:8" hidden="1" x14ac:dyDescent="0.25">
      <c r="A4155" s="43">
        <v>638</v>
      </c>
      <c r="B4155" s="43" t="s">
        <v>184</v>
      </c>
      <c r="C4155" s="43" t="s">
        <v>818</v>
      </c>
      <c r="D4155" s="43" t="s">
        <v>843</v>
      </c>
      <c r="E4155" s="43" t="s">
        <v>844</v>
      </c>
      <c r="F4155" s="43">
        <v>1</v>
      </c>
      <c r="G4155"/>
      <c r="H4155"/>
    </row>
    <row r="4156" spans="1:8" hidden="1" x14ac:dyDescent="0.25">
      <c r="A4156" s="43">
        <v>638</v>
      </c>
      <c r="B4156" s="43" t="s">
        <v>184</v>
      </c>
      <c r="C4156" s="43" t="s">
        <v>818</v>
      </c>
      <c r="D4156" s="43" t="s">
        <v>845</v>
      </c>
      <c r="E4156" s="43" t="s">
        <v>846</v>
      </c>
      <c r="F4156" s="43">
        <v>0</v>
      </c>
      <c r="G4156" s="43" t="s">
        <v>4690</v>
      </c>
      <c r="H4156" s="43" t="s">
        <v>4765</v>
      </c>
    </row>
    <row r="4157" spans="1:8" hidden="1" x14ac:dyDescent="0.25">
      <c r="A4157" s="43">
        <v>638</v>
      </c>
      <c r="B4157" s="43" t="s">
        <v>184</v>
      </c>
      <c r="C4157" s="43" t="s">
        <v>818</v>
      </c>
      <c r="D4157" s="43" t="s">
        <v>847</v>
      </c>
      <c r="E4157" s="43" t="s">
        <v>848</v>
      </c>
      <c r="F4157" s="43">
        <v>1</v>
      </c>
      <c r="G4157"/>
      <c r="H4157"/>
    </row>
    <row r="4158" spans="1:8" hidden="1" x14ac:dyDescent="0.25">
      <c r="A4158" s="43">
        <v>638</v>
      </c>
      <c r="B4158" s="43" t="s">
        <v>184</v>
      </c>
      <c r="C4158" s="43" t="s">
        <v>818</v>
      </c>
      <c r="D4158" s="43" t="s">
        <v>849</v>
      </c>
      <c r="E4158" s="43" t="s">
        <v>850</v>
      </c>
      <c r="F4158" s="43">
        <v>1</v>
      </c>
      <c r="G4158"/>
      <c r="H4158"/>
    </row>
    <row r="4159" spans="1:8" hidden="1" x14ac:dyDescent="0.25">
      <c r="A4159" s="43">
        <v>638</v>
      </c>
      <c r="B4159" s="43" t="s">
        <v>184</v>
      </c>
      <c r="C4159" s="43" t="s">
        <v>818</v>
      </c>
      <c r="D4159" s="43" t="s">
        <v>851</v>
      </c>
      <c r="E4159" s="43" t="s">
        <v>852</v>
      </c>
      <c r="F4159" s="43">
        <v>0</v>
      </c>
      <c r="G4159" s="43" t="s">
        <v>4583</v>
      </c>
      <c r="H4159"/>
    </row>
    <row r="4160" spans="1:8" hidden="1" x14ac:dyDescent="0.25">
      <c r="A4160" s="43">
        <v>638</v>
      </c>
      <c r="B4160" s="43" t="s">
        <v>184</v>
      </c>
      <c r="C4160" s="43" t="s">
        <v>818</v>
      </c>
      <c r="D4160" s="43" t="s">
        <v>853</v>
      </c>
      <c r="E4160" s="43" t="s">
        <v>854</v>
      </c>
      <c r="F4160" s="43">
        <v>0</v>
      </c>
      <c r="G4160" s="43" t="s">
        <v>4583</v>
      </c>
      <c r="H4160"/>
    </row>
    <row r="4161" spans="1:8" hidden="1" x14ac:dyDescent="0.25">
      <c r="A4161" s="43">
        <v>638</v>
      </c>
      <c r="B4161" s="43" t="s">
        <v>184</v>
      </c>
      <c r="C4161" s="43" t="s">
        <v>818</v>
      </c>
      <c r="D4161" s="43" t="s">
        <v>855</v>
      </c>
      <c r="E4161" s="43" t="s">
        <v>856</v>
      </c>
      <c r="F4161" s="43">
        <v>1</v>
      </c>
      <c r="G4161"/>
      <c r="H4161"/>
    </row>
    <row r="4162" spans="1:8" hidden="1" x14ac:dyDescent="0.25">
      <c r="A4162" s="43">
        <v>638</v>
      </c>
      <c r="B4162" s="43" t="s">
        <v>184</v>
      </c>
      <c r="C4162" s="43" t="s">
        <v>818</v>
      </c>
      <c r="D4162" s="43" t="s">
        <v>857</v>
      </c>
      <c r="E4162" s="43" t="s">
        <v>858</v>
      </c>
      <c r="F4162" s="43">
        <v>1</v>
      </c>
      <c r="G4162"/>
      <c r="H4162"/>
    </row>
    <row r="4163" spans="1:8" hidden="1" x14ac:dyDescent="0.25">
      <c r="A4163" s="43">
        <v>641</v>
      </c>
      <c r="B4163" s="43" t="s">
        <v>185</v>
      </c>
      <c r="C4163" s="43" t="s">
        <v>1141</v>
      </c>
      <c r="D4163" s="43" t="s">
        <v>1142</v>
      </c>
      <c r="E4163" s="43" t="s">
        <v>312</v>
      </c>
      <c r="F4163" s="43">
        <v>1</v>
      </c>
      <c r="G4163"/>
      <c r="H4163"/>
    </row>
    <row r="4164" spans="1:8" hidden="1" x14ac:dyDescent="0.25">
      <c r="A4164" s="43">
        <v>641</v>
      </c>
      <c r="B4164" s="43" t="s">
        <v>185</v>
      </c>
      <c r="C4164" s="43" t="s">
        <v>1141</v>
      </c>
      <c r="D4164" s="43" t="s">
        <v>1143</v>
      </c>
      <c r="E4164" s="43" t="s">
        <v>314</v>
      </c>
      <c r="F4164" s="43">
        <v>1</v>
      </c>
      <c r="G4164"/>
      <c r="H4164"/>
    </row>
    <row r="4165" spans="1:8" hidden="1" x14ac:dyDescent="0.25">
      <c r="A4165" s="43">
        <v>641</v>
      </c>
      <c r="B4165" s="43" t="s">
        <v>185</v>
      </c>
      <c r="C4165" s="43" t="s">
        <v>1141</v>
      </c>
      <c r="D4165" s="43" t="s">
        <v>1144</v>
      </c>
      <c r="E4165" s="43" t="s">
        <v>1145</v>
      </c>
      <c r="F4165" s="43">
        <v>0</v>
      </c>
      <c r="G4165" s="43" t="s">
        <v>4691</v>
      </c>
      <c r="H4165" s="43" t="s">
        <v>4763</v>
      </c>
    </row>
    <row r="4166" spans="1:8" hidden="1" x14ac:dyDescent="0.25">
      <c r="A4166" s="43">
        <v>641</v>
      </c>
      <c r="B4166" s="43" t="s">
        <v>185</v>
      </c>
      <c r="C4166" s="43" t="s">
        <v>1141</v>
      </c>
      <c r="D4166" s="43" t="s">
        <v>1146</v>
      </c>
      <c r="E4166" s="43" t="s">
        <v>1147</v>
      </c>
      <c r="F4166" s="43">
        <v>0</v>
      </c>
      <c r="G4166" s="43" t="s">
        <v>4691</v>
      </c>
      <c r="H4166" s="43" t="s">
        <v>4763</v>
      </c>
    </row>
    <row r="4167" spans="1:8" hidden="1" x14ac:dyDescent="0.25">
      <c r="A4167" s="43">
        <v>641</v>
      </c>
      <c r="B4167" s="43" t="s">
        <v>185</v>
      </c>
      <c r="C4167" s="43" t="s">
        <v>1141</v>
      </c>
      <c r="D4167" s="43" t="s">
        <v>1148</v>
      </c>
      <c r="E4167" s="43" t="s">
        <v>713</v>
      </c>
      <c r="F4167" s="43">
        <v>1</v>
      </c>
      <c r="G4167"/>
      <c r="H4167"/>
    </row>
    <row r="4168" spans="1:8" hidden="1" x14ac:dyDescent="0.25">
      <c r="A4168" s="43">
        <v>641</v>
      </c>
      <c r="B4168" s="43" t="s">
        <v>185</v>
      </c>
      <c r="C4168" s="43" t="s">
        <v>1141</v>
      </c>
      <c r="D4168" s="43" t="s">
        <v>1149</v>
      </c>
      <c r="E4168" s="43" t="s">
        <v>1150</v>
      </c>
      <c r="F4168" s="43">
        <v>0</v>
      </c>
      <c r="G4168" s="43" t="s">
        <v>4691</v>
      </c>
      <c r="H4168" s="43" t="s">
        <v>4763</v>
      </c>
    </row>
    <row r="4169" spans="1:8" hidden="1" x14ac:dyDescent="0.25">
      <c r="A4169" s="43">
        <v>641</v>
      </c>
      <c r="B4169" s="43" t="s">
        <v>185</v>
      </c>
      <c r="C4169" s="43" t="s">
        <v>1141</v>
      </c>
      <c r="D4169" s="43" t="s">
        <v>1151</v>
      </c>
      <c r="E4169" s="43" t="s">
        <v>380</v>
      </c>
      <c r="F4169" s="43">
        <v>1</v>
      </c>
      <c r="G4169"/>
      <c r="H4169"/>
    </row>
    <row r="4170" spans="1:8" hidden="1" x14ac:dyDescent="0.25">
      <c r="A4170" s="43">
        <v>641</v>
      </c>
      <c r="B4170" s="43" t="s">
        <v>185</v>
      </c>
      <c r="C4170" s="43" t="s">
        <v>1141</v>
      </c>
      <c r="D4170" s="43" t="s">
        <v>1152</v>
      </c>
      <c r="E4170" s="43" t="s">
        <v>381</v>
      </c>
      <c r="F4170" s="43">
        <v>1</v>
      </c>
      <c r="G4170"/>
      <c r="H4170"/>
    </row>
    <row r="4171" spans="1:8" hidden="1" x14ac:dyDescent="0.25">
      <c r="A4171" s="43">
        <v>641</v>
      </c>
      <c r="B4171" s="43" t="s">
        <v>185</v>
      </c>
      <c r="C4171" s="43" t="s">
        <v>1141</v>
      </c>
      <c r="D4171" s="43" t="s">
        <v>1153</v>
      </c>
      <c r="E4171" s="43" t="s">
        <v>1154</v>
      </c>
      <c r="F4171" s="43">
        <v>1</v>
      </c>
      <c r="G4171"/>
      <c r="H4171"/>
    </row>
    <row r="4172" spans="1:8" hidden="1" x14ac:dyDescent="0.25">
      <c r="A4172" s="43">
        <v>643</v>
      </c>
      <c r="B4172" s="43" t="s">
        <v>186</v>
      </c>
      <c r="C4172" s="43" t="s">
        <v>1169</v>
      </c>
      <c r="D4172" s="43" t="s">
        <v>1170</v>
      </c>
      <c r="E4172" s="43" t="s">
        <v>1171</v>
      </c>
      <c r="F4172" s="43">
        <v>0</v>
      </c>
      <c r="G4172" s="43" t="s">
        <v>4692</v>
      </c>
      <c r="H4172" s="43" t="s">
        <v>4765</v>
      </c>
    </row>
    <row r="4173" spans="1:8" hidden="1" x14ac:dyDescent="0.25">
      <c r="A4173" s="43">
        <v>643</v>
      </c>
      <c r="B4173" s="43" t="s">
        <v>186</v>
      </c>
      <c r="C4173" s="43" t="s">
        <v>1169</v>
      </c>
      <c r="D4173" s="43" t="s">
        <v>1172</v>
      </c>
      <c r="E4173" s="43" t="s">
        <v>1173</v>
      </c>
      <c r="F4173" s="43">
        <v>1</v>
      </c>
      <c r="G4173"/>
      <c r="H4173"/>
    </row>
    <row r="4174" spans="1:8" hidden="1" x14ac:dyDescent="0.25">
      <c r="A4174" s="43">
        <v>643</v>
      </c>
      <c r="B4174" s="43" t="s">
        <v>186</v>
      </c>
      <c r="C4174" s="43" t="s">
        <v>1169</v>
      </c>
      <c r="D4174" s="43" t="s">
        <v>1174</v>
      </c>
      <c r="E4174" s="43" t="s">
        <v>1175</v>
      </c>
      <c r="F4174" s="43">
        <v>0</v>
      </c>
      <c r="G4174" s="43" t="s">
        <v>4693</v>
      </c>
      <c r="H4174" s="43" t="s">
        <v>4765</v>
      </c>
    </row>
    <row r="4175" spans="1:8" hidden="1" x14ac:dyDescent="0.25">
      <c r="A4175" s="43">
        <v>643</v>
      </c>
      <c r="B4175" s="43" t="s">
        <v>186</v>
      </c>
      <c r="C4175" s="43" t="s">
        <v>1169</v>
      </c>
      <c r="D4175" s="43" t="s">
        <v>1176</v>
      </c>
      <c r="E4175" s="43" t="s">
        <v>1177</v>
      </c>
      <c r="F4175" s="43">
        <v>1</v>
      </c>
      <c r="G4175"/>
      <c r="H4175"/>
    </row>
    <row r="4176" spans="1:8" hidden="1" x14ac:dyDescent="0.25">
      <c r="A4176" s="43">
        <v>643</v>
      </c>
      <c r="B4176" s="43" t="s">
        <v>186</v>
      </c>
      <c r="C4176" s="43" t="s">
        <v>1169</v>
      </c>
      <c r="D4176" s="43" t="s">
        <v>1178</v>
      </c>
      <c r="E4176" s="43" t="s">
        <v>1179</v>
      </c>
      <c r="F4176" s="43">
        <v>1</v>
      </c>
      <c r="G4176"/>
      <c r="H4176"/>
    </row>
    <row r="4177" spans="1:8" hidden="1" x14ac:dyDescent="0.25">
      <c r="A4177" s="43">
        <v>643</v>
      </c>
      <c r="B4177" s="43" t="s">
        <v>186</v>
      </c>
      <c r="C4177" s="43" t="s">
        <v>1169</v>
      </c>
      <c r="D4177" s="43" t="s">
        <v>1180</v>
      </c>
      <c r="E4177" s="43" t="s">
        <v>1181</v>
      </c>
      <c r="F4177" s="43">
        <v>1</v>
      </c>
      <c r="G4177"/>
      <c r="H4177"/>
    </row>
    <row r="4178" spans="1:8" x14ac:dyDescent="0.25">
      <c r="A4178" s="43">
        <v>643</v>
      </c>
      <c r="B4178" s="43" t="s">
        <v>186</v>
      </c>
      <c r="C4178" s="43" t="s">
        <v>1169</v>
      </c>
      <c r="D4178" s="43" t="s">
        <v>1182</v>
      </c>
      <c r="E4178" s="43" t="s">
        <v>1183</v>
      </c>
      <c r="F4178" s="43">
        <v>2</v>
      </c>
      <c r="G4178" s="43" t="s">
        <v>4553</v>
      </c>
      <c r="H4178" s="43" t="s">
        <v>4580</v>
      </c>
    </row>
    <row r="4179" spans="1:8" hidden="1" x14ac:dyDescent="0.25">
      <c r="A4179" s="43">
        <v>643</v>
      </c>
      <c r="B4179" s="43" t="s">
        <v>186</v>
      </c>
      <c r="C4179" s="43" t="s">
        <v>1169</v>
      </c>
      <c r="D4179" s="43" t="s">
        <v>1184</v>
      </c>
      <c r="E4179" s="43" t="s">
        <v>1185</v>
      </c>
      <c r="F4179" s="43">
        <v>1</v>
      </c>
      <c r="G4179"/>
      <c r="H4179"/>
    </row>
    <row r="4180" spans="1:8" x14ac:dyDescent="0.25">
      <c r="A4180" s="43">
        <v>643</v>
      </c>
      <c r="B4180" s="43" t="s">
        <v>186</v>
      </c>
      <c r="C4180" s="43" t="s">
        <v>1169</v>
      </c>
      <c r="D4180" s="43" t="s">
        <v>1186</v>
      </c>
      <c r="E4180" s="43" t="s">
        <v>1187</v>
      </c>
      <c r="F4180" s="43">
        <v>2</v>
      </c>
      <c r="G4180" s="43" t="s">
        <v>4553</v>
      </c>
      <c r="H4180" s="43" t="s">
        <v>4580</v>
      </c>
    </row>
    <row r="4181" spans="1:8" x14ac:dyDescent="0.25">
      <c r="A4181" s="43">
        <v>643</v>
      </c>
      <c r="B4181" s="43" t="s">
        <v>186</v>
      </c>
      <c r="C4181" s="43" t="s">
        <v>1169</v>
      </c>
      <c r="D4181" s="43" t="s">
        <v>1188</v>
      </c>
      <c r="E4181" s="43" t="s">
        <v>1189</v>
      </c>
      <c r="F4181" s="43">
        <v>2</v>
      </c>
      <c r="G4181" s="43" t="s">
        <v>4553</v>
      </c>
      <c r="H4181" s="43" t="s">
        <v>4580</v>
      </c>
    </row>
    <row r="4182" spans="1:8" hidden="1" x14ac:dyDescent="0.25">
      <c r="A4182" s="43">
        <v>643</v>
      </c>
      <c r="B4182" s="43" t="s">
        <v>186</v>
      </c>
      <c r="C4182" s="43" t="s">
        <v>1169</v>
      </c>
      <c r="D4182" s="43" t="s">
        <v>1190</v>
      </c>
      <c r="E4182" s="43" t="s">
        <v>1191</v>
      </c>
      <c r="F4182" s="43">
        <v>1</v>
      </c>
      <c r="G4182"/>
      <c r="H4182"/>
    </row>
    <row r="4183" spans="1:8" hidden="1" x14ac:dyDescent="0.25">
      <c r="A4183" s="43">
        <v>643</v>
      </c>
      <c r="B4183" s="43" t="s">
        <v>186</v>
      </c>
      <c r="C4183" s="43" t="s">
        <v>1169</v>
      </c>
      <c r="D4183" s="43" t="s">
        <v>1192</v>
      </c>
      <c r="E4183" s="43" t="s">
        <v>1193</v>
      </c>
      <c r="F4183" s="43">
        <v>1</v>
      </c>
      <c r="G4183"/>
      <c r="H4183"/>
    </row>
    <row r="4184" spans="1:8" hidden="1" x14ac:dyDescent="0.25">
      <c r="A4184" s="43">
        <v>643</v>
      </c>
      <c r="B4184" s="43" t="s">
        <v>186</v>
      </c>
      <c r="C4184" s="43" t="s">
        <v>1169</v>
      </c>
      <c r="D4184" s="43" t="s">
        <v>1194</v>
      </c>
      <c r="E4184" s="43" t="s">
        <v>1195</v>
      </c>
      <c r="F4184" s="43">
        <v>0</v>
      </c>
      <c r="G4184" s="43" t="s">
        <v>4694</v>
      </c>
      <c r="H4184" s="43" t="s">
        <v>4765</v>
      </c>
    </row>
    <row r="4185" spans="1:8" hidden="1" x14ac:dyDescent="0.25">
      <c r="A4185" s="43">
        <v>643</v>
      </c>
      <c r="B4185" s="43" t="s">
        <v>186</v>
      </c>
      <c r="C4185" s="43" t="s">
        <v>1169</v>
      </c>
      <c r="D4185" s="43" t="s">
        <v>1196</v>
      </c>
      <c r="E4185" s="43" t="s">
        <v>1197</v>
      </c>
      <c r="F4185" s="43">
        <v>1</v>
      </c>
      <c r="G4185"/>
      <c r="H4185"/>
    </row>
    <row r="4186" spans="1:8" hidden="1" x14ac:dyDescent="0.25">
      <c r="A4186" s="43">
        <v>644</v>
      </c>
      <c r="B4186" s="43" t="s">
        <v>186</v>
      </c>
      <c r="C4186" s="43" t="s">
        <v>1169</v>
      </c>
      <c r="D4186" s="43" t="s">
        <v>1170</v>
      </c>
      <c r="E4186" s="43" t="s">
        <v>1171</v>
      </c>
      <c r="F4186" s="43">
        <v>0</v>
      </c>
      <c r="G4186" s="43" t="s">
        <v>4695</v>
      </c>
      <c r="H4186" s="43" t="s">
        <v>4765</v>
      </c>
    </row>
    <row r="4187" spans="1:8" hidden="1" x14ac:dyDescent="0.25">
      <c r="A4187" s="43">
        <v>644</v>
      </c>
      <c r="B4187" s="43" t="s">
        <v>186</v>
      </c>
      <c r="C4187" s="43" t="s">
        <v>1169</v>
      </c>
      <c r="D4187" s="43" t="s">
        <v>1172</v>
      </c>
      <c r="E4187" s="43" t="s">
        <v>1173</v>
      </c>
      <c r="F4187" s="43">
        <v>1</v>
      </c>
      <c r="G4187"/>
      <c r="H4187"/>
    </row>
    <row r="4188" spans="1:8" hidden="1" x14ac:dyDescent="0.25">
      <c r="A4188" s="43">
        <v>644</v>
      </c>
      <c r="B4188" s="43" t="s">
        <v>186</v>
      </c>
      <c r="C4188" s="43" t="s">
        <v>1169</v>
      </c>
      <c r="D4188" s="43" t="s">
        <v>1174</v>
      </c>
      <c r="E4188" s="43" t="s">
        <v>1175</v>
      </c>
      <c r="F4188" s="43">
        <v>0</v>
      </c>
      <c r="G4188" s="43" t="s">
        <v>4693</v>
      </c>
      <c r="H4188" s="43" t="s">
        <v>4765</v>
      </c>
    </row>
    <row r="4189" spans="1:8" hidden="1" x14ac:dyDescent="0.25">
      <c r="A4189" s="43">
        <v>644</v>
      </c>
      <c r="B4189" s="43" t="s">
        <v>186</v>
      </c>
      <c r="C4189" s="43" t="s">
        <v>1169</v>
      </c>
      <c r="D4189" s="43" t="s">
        <v>1176</v>
      </c>
      <c r="E4189" s="43" t="s">
        <v>1177</v>
      </c>
      <c r="F4189" s="43">
        <v>1</v>
      </c>
      <c r="G4189"/>
      <c r="H4189"/>
    </row>
    <row r="4190" spans="1:8" hidden="1" x14ac:dyDescent="0.25">
      <c r="A4190" s="43">
        <v>644</v>
      </c>
      <c r="B4190" s="43" t="s">
        <v>186</v>
      </c>
      <c r="C4190" s="43" t="s">
        <v>1169</v>
      </c>
      <c r="D4190" s="43" t="s">
        <v>1178</v>
      </c>
      <c r="E4190" s="43" t="s">
        <v>1179</v>
      </c>
      <c r="F4190" s="43">
        <v>1</v>
      </c>
      <c r="G4190"/>
      <c r="H4190"/>
    </row>
    <row r="4191" spans="1:8" hidden="1" x14ac:dyDescent="0.25">
      <c r="A4191" s="43">
        <v>644</v>
      </c>
      <c r="B4191" s="43" t="s">
        <v>186</v>
      </c>
      <c r="C4191" s="43" t="s">
        <v>1169</v>
      </c>
      <c r="D4191" s="43" t="s">
        <v>1180</v>
      </c>
      <c r="E4191" s="43" t="s">
        <v>1181</v>
      </c>
      <c r="F4191" s="43">
        <v>1</v>
      </c>
      <c r="G4191"/>
      <c r="H4191"/>
    </row>
    <row r="4192" spans="1:8" x14ac:dyDescent="0.25">
      <c r="A4192" s="43">
        <v>644</v>
      </c>
      <c r="B4192" s="43" t="s">
        <v>186</v>
      </c>
      <c r="C4192" s="43" t="s">
        <v>1169</v>
      </c>
      <c r="D4192" s="43" t="s">
        <v>1182</v>
      </c>
      <c r="E4192" s="43" t="s">
        <v>1183</v>
      </c>
      <c r="F4192" s="43">
        <v>2</v>
      </c>
      <c r="G4192" s="43" t="s">
        <v>4553</v>
      </c>
      <c r="H4192" s="43" t="s">
        <v>4580</v>
      </c>
    </row>
    <row r="4193" spans="1:8" hidden="1" x14ac:dyDescent="0.25">
      <c r="A4193" s="43">
        <v>644</v>
      </c>
      <c r="B4193" s="43" t="s">
        <v>186</v>
      </c>
      <c r="C4193" s="43" t="s">
        <v>1169</v>
      </c>
      <c r="D4193" s="43" t="s">
        <v>1184</v>
      </c>
      <c r="E4193" s="43" t="s">
        <v>1185</v>
      </c>
      <c r="F4193" s="43">
        <v>1</v>
      </c>
      <c r="G4193"/>
      <c r="H4193"/>
    </row>
    <row r="4194" spans="1:8" x14ac:dyDescent="0.25">
      <c r="A4194" s="43">
        <v>644</v>
      </c>
      <c r="B4194" s="43" t="s">
        <v>186</v>
      </c>
      <c r="C4194" s="43" t="s">
        <v>1169</v>
      </c>
      <c r="D4194" s="43" t="s">
        <v>1186</v>
      </c>
      <c r="E4194" s="43" t="s">
        <v>1187</v>
      </c>
      <c r="F4194" s="43">
        <v>2</v>
      </c>
      <c r="G4194" s="43" t="s">
        <v>4553</v>
      </c>
      <c r="H4194" s="43" t="s">
        <v>4580</v>
      </c>
    </row>
    <row r="4195" spans="1:8" x14ac:dyDescent="0.25">
      <c r="A4195" s="43">
        <v>644</v>
      </c>
      <c r="B4195" s="43" t="s">
        <v>186</v>
      </c>
      <c r="C4195" s="43" t="s">
        <v>1169</v>
      </c>
      <c r="D4195" s="43" t="s">
        <v>1188</v>
      </c>
      <c r="E4195" s="43" t="s">
        <v>1189</v>
      </c>
      <c r="F4195" s="43">
        <v>2</v>
      </c>
      <c r="G4195" s="43" t="s">
        <v>4553</v>
      </c>
      <c r="H4195" s="43" t="s">
        <v>4580</v>
      </c>
    </row>
    <row r="4196" spans="1:8" x14ac:dyDescent="0.25">
      <c r="A4196" s="43">
        <v>644</v>
      </c>
      <c r="B4196" s="43" t="s">
        <v>186</v>
      </c>
      <c r="C4196" s="43" t="s">
        <v>1169</v>
      </c>
      <c r="D4196" s="43" t="s">
        <v>1190</v>
      </c>
      <c r="E4196" s="43" t="s">
        <v>1191</v>
      </c>
      <c r="F4196" s="43">
        <v>2</v>
      </c>
      <c r="G4196" s="43" t="s">
        <v>4553</v>
      </c>
      <c r="H4196" s="43" t="s">
        <v>4580</v>
      </c>
    </row>
    <row r="4197" spans="1:8" hidden="1" x14ac:dyDescent="0.25">
      <c r="A4197" s="43">
        <v>644</v>
      </c>
      <c r="B4197" s="43" t="s">
        <v>186</v>
      </c>
      <c r="C4197" s="43" t="s">
        <v>1169</v>
      </c>
      <c r="D4197" s="43" t="s">
        <v>1192</v>
      </c>
      <c r="E4197" s="43" t="s">
        <v>1193</v>
      </c>
      <c r="F4197" s="43">
        <v>1</v>
      </c>
      <c r="G4197"/>
      <c r="H4197"/>
    </row>
    <row r="4198" spans="1:8" hidden="1" x14ac:dyDescent="0.25">
      <c r="A4198" s="43">
        <v>644</v>
      </c>
      <c r="B4198" s="43" t="s">
        <v>186</v>
      </c>
      <c r="C4198" s="43" t="s">
        <v>1169</v>
      </c>
      <c r="D4198" s="43" t="s">
        <v>1194</v>
      </c>
      <c r="E4198" s="43" t="s">
        <v>1195</v>
      </c>
      <c r="F4198" s="43">
        <v>0</v>
      </c>
      <c r="G4198" s="43" t="s">
        <v>4694</v>
      </c>
      <c r="H4198" s="43" t="s">
        <v>4765</v>
      </c>
    </row>
    <row r="4199" spans="1:8" hidden="1" x14ac:dyDescent="0.25">
      <c r="A4199" s="43">
        <v>644</v>
      </c>
      <c r="B4199" s="43" t="s">
        <v>186</v>
      </c>
      <c r="C4199" s="43" t="s">
        <v>1169</v>
      </c>
      <c r="D4199" s="43" t="s">
        <v>1196</v>
      </c>
      <c r="E4199" s="43" t="s">
        <v>1197</v>
      </c>
      <c r="F4199" s="43">
        <v>1</v>
      </c>
      <c r="G4199"/>
      <c r="H4199"/>
    </row>
    <row r="4200" spans="1:8" hidden="1" x14ac:dyDescent="0.25">
      <c r="A4200" s="43">
        <v>648</v>
      </c>
      <c r="B4200" s="43" t="s">
        <v>187</v>
      </c>
      <c r="C4200" s="43" t="s">
        <v>1685</v>
      </c>
      <c r="D4200" s="43" t="s">
        <v>1686</v>
      </c>
      <c r="E4200" s="43" t="s">
        <v>1687</v>
      </c>
      <c r="F4200" s="43">
        <v>1</v>
      </c>
      <c r="G4200"/>
      <c r="H4200"/>
    </row>
    <row r="4201" spans="1:8" hidden="1" x14ac:dyDescent="0.25">
      <c r="A4201" s="43">
        <v>648</v>
      </c>
      <c r="B4201" s="43" t="s">
        <v>187</v>
      </c>
      <c r="C4201" s="43" t="s">
        <v>1685</v>
      </c>
      <c r="D4201" s="43" t="s">
        <v>1688</v>
      </c>
      <c r="E4201" s="43" t="s">
        <v>1689</v>
      </c>
      <c r="F4201" s="43">
        <v>1</v>
      </c>
      <c r="G4201"/>
      <c r="H4201"/>
    </row>
    <row r="4202" spans="1:8" hidden="1" x14ac:dyDescent="0.25">
      <c r="A4202" s="43">
        <v>648</v>
      </c>
      <c r="B4202" s="43" t="s">
        <v>187</v>
      </c>
      <c r="C4202" s="43" t="s">
        <v>1685</v>
      </c>
      <c r="D4202" s="43" t="s">
        <v>1690</v>
      </c>
      <c r="E4202" s="43" t="s">
        <v>1691</v>
      </c>
      <c r="F4202" s="43">
        <v>1</v>
      </c>
      <c r="G4202"/>
      <c r="H4202"/>
    </row>
    <row r="4203" spans="1:8" hidden="1" x14ac:dyDescent="0.25">
      <c r="A4203" s="43">
        <v>648</v>
      </c>
      <c r="B4203" s="43" t="s">
        <v>187</v>
      </c>
      <c r="C4203" s="43" t="s">
        <v>1685</v>
      </c>
      <c r="D4203" s="43" t="s">
        <v>1692</v>
      </c>
      <c r="E4203" s="43" t="s">
        <v>1693</v>
      </c>
      <c r="F4203" s="43">
        <v>0</v>
      </c>
      <c r="G4203" s="43" t="s">
        <v>4583</v>
      </c>
      <c r="H4203"/>
    </row>
    <row r="4204" spans="1:8" hidden="1" x14ac:dyDescent="0.25">
      <c r="A4204" s="43">
        <v>648</v>
      </c>
      <c r="B4204" s="43" t="s">
        <v>187</v>
      </c>
      <c r="C4204" s="43" t="s">
        <v>1685</v>
      </c>
      <c r="D4204" s="43" t="s">
        <v>1694</v>
      </c>
      <c r="E4204" s="43" t="s">
        <v>1695</v>
      </c>
      <c r="F4204" s="43">
        <v>1</v>
      </c>
      <c r="G4204"/>
      <c r="H4204"/>
    </row>
    <row r="4205" spans="1:8" hidden="1" x14ac:dyDescent="0.25">
      <c r="A4205" s="43">
        <v>648</v>
      </c>
      <c r="B4205" s="43" t="s">
        <v>187</v>
      </c>
      <c r="C4205" s="43" t="s">
        <v>1685</v>
      </c>
      <c r="D4205" s="43" t="s">
        <v>1696</v>
      </c>
      <c r="E4205" s="43" t="s">
        <v>1697</v>
      </c>
      <c r="F4205" s="43">
        <v>0</v>
      </c>
      <c r="G4205" s="43" t="s">
        <v>4583</v>
      </c>
      <c r="H4205"/>
    </row>
    <row r="4206" spans="1:8" hidden="1" x14ac:dyDescent="0.25">
      <c r="A4206" s="43">
        <v>648</v>
      </c>
      <c r="B4206" s="43" t="s">
        <v>187</v>
      </c>
      <c r="C4206" s="43" t="s">
        <v>1685</v>
      </c>
      <c r="D4206" s="43" t="s">
        <v>1698</v>
      </c>
      <c r="E4206" s="43" t="s">
        <v>1699</v>
      </c>
      <c r="F4206" s="43">
        <v>0</v>
      </c>
      <c r="G4206" s="43" t="s">
        <v>4583</v>
      </c>
      <c r="H4206"/>
    </row>
    <row r="4207" spans="1:8" hidden="1" x14ac:dyDescent="0.25">
      <c r="A4207" s="43">
        <v>648</v>
      </c>
      <c r="B4207" s="43" t="s">
        <v>187</v>
      </c>
      <c r="C4207" s="43" t="s">
        <v>1685</v>
      </c>
      <c r="D4207" s="43" t="s">
        <v>1700</v>
      </c>
      <c r="E4207" s="43" t="s">
        <v>1701</v>
      </c>
      <c r="F4207" s="43">
        <v>1</v>
      </c>
      <c r="G4207"/>
      <c r="H4207"/>
    </row>
    <row r="4208" spans="1:8" hidden="1" x14ac:dyDescent="0.25">
      <c r="A4208" s="43">
        <v>648</v>
      </c>
      <c r="B4208" s="43" t="s">
        <v>187</v>
      </c>
      <c r="C4208" s="43" t="s">
        <v>1685</v>
      </c>
      <c r="D4208" s="43" t="s">
        <v>1702</v>
      </c>
      <c r="E4208" s="43" t="s">
        <v>314</v>
      </c>
      <c r="F4208" s="43">
        <v>1</v>
      </c>
      <c r="G4208"/>
      <c r="H4208"/>
    </row>
    <row r="4209" spans="1:8" hidden="1" x14ac:dyDescent="0.25">
      <c r="A4209" s="43">
        <v>648</v>
      </c>
      <c r="B4209" s="43" t="s">
        <v>187</v>
      </c>
      <c r="C4209" s="43" t="s">
        <v>1685</v>
      </c>
      <c r="D4209" s="43" t="s">
        <v>1703</v>
      </c>
      <c r="E4209" s="43" t="s">
        <v>1704</v>
      </c>
      <c r="F4209" s="43">
        <v>0</v>
      </c>
      <c r="G4209" s="43" t="s">
        <v>4583</v>
      </c>
      <c r="H4209"/>
    </row>
    <row r="4210" spans="1:8" hidden="1" x14ac:dyDescent="0.25">
      <c r="A4210" s="43">
        <v>648</v>
      </c>
      <c r="B4210" s="43" t="s">
        <v>187</v>
      </c>
      <c r="C4210" s="43" t="s">
        <v>1685</v>
      </c>
      <c r="D4210" s="43" t="s">
        <v>1705</v>
      </c>
      <c r="E4210" s="43" t="s">
        <v>1706</v>
      </c>
      <c r="F4210" s="43">
        <v>0</v>
      </c>
      <c r="G4210" s="43" t="s">
        <v>4583</v>
      </c>
      <c r="H4210"/>
    </row>
    <row r="4211" spans="1:8" hidden="1" x14ac:dyDescent="0.25">
      <c r="A4211" s="43">
        <v>648</v>
      </c>
      <c r="B4211" s="43" t="s">
        <v>187</v>
      </c>
      <c r="C4211" s="43" t="s">
        <v>1685</v>
      </c>
      <c r="D4211" s="43" t="s">
        <v>1707</v>
      </c>
      <c r="E4211" s="43" t="s">
        <v>1708</v>
      </c>
      <c r="F4211" s="43">
        <v>1</v>
      </c>
      <c r="G4211"/>
      <c r="H4211"/>
    </row>
    <row r="4212" spans="1:8" hidden="1" x14ac:dyDescent="0.25">
      <c r="A4212" s="43">
        <v>648</v>
      </c>
      <c r="B4212" s="43" t="s">
        <v>187</v>
      </c>
      <c r="C4212" s="43" t="s">
        <v>1685</v>
      </c>
      <c r="D4212" s="43" t="s">
        <v>1709</v>
      </c>
      <c r="E4212" s="43" t="s">
        <v>1710</v>
      </c>
      <c r="F4212" s="43">
        <v>0</v>
      </c>
      <c r="G4212" s="43" t="s">
        <v>4583</v>
      </c>
      <c r="H4212"/>
    </row>
    <row r="4213" spans="1:8" hidden="1" x14ac:dyDescent="0.25">
      <c r="A4213" s="43">
        <v>648</v>
      </c>
      <c r="B4213" s="43" t="s">
        <v>187</v>
      </c>
      <c r="C4213" s="43" t="s">
        <v>1685</v>
      </c>
      <c r="D4213" s="43" t="s">
        <v>1711</v>
      </c>
      <c r="E4213" s="43" t="s">
        <v>1124</v>
      </c>
      <c r="F4213" s="43">
        <v>1</v>
      </c>
      <c r="G4213"/>
      <c r="H4213"/>
    </row>
    <row r="4214" spans="1:8" hidden="1" x14ac:dyDescent="0.25">
      <c r="A4214" s="43">
        <v>649</v>
      </c>
      <c r="B4214" s="43" t="s">
        <v>187</v>
      </c>
      <c r="C4214" s="43" t="s">
        <v>1685</v>
      </c>
      <c r="D4214" s="43" t="s">
        <v>1686</v>
      </c>
      <c r="E4214" s="43" t="s">
        <v>1687</v>
      </c>
      <c r="F4214" s="43">
        <v>1</v>
      </c>
      <c r="G4214"/>
      <c r="H4214"/>
    </row>
    <row r="4215" spans="1:8" hidden="1" x14ac:dyDescent="0.25">
      <c r="A4215" s="43">
        <v>649</v>
      </c>
      <c r="B4215" s="43" t="s">
        <v>187</v>
      </c>
      <c r="C4215" s="43" t="s">
        <v>1685</v>
      </c>
      <c r="D4215" s="43" t="s">
        <v>1688</v>
      </c>
      <c r="E4215" s="43" t="s">
        <v>1689</v>
      </c>
      <c r="F4215" s="43">
        <v>1</v>
      </c>
      <c r="G4215"/>
      <c r="H4215"/>
    </row>
    <row r="4216" spans="1:8" hidden="1" x14ac:dyDescent="0.25">
      <c r="A4216" s="43">
        <v>649</v>
      </c>
      <c r="B4216" s="43" t="s">
        <v>187</v>
      </c>
      <c r="C4216" s="43" t="s">
        <v>1685</v>
      </c>
      <c r="D4216" s="43" t="s">
        <v>1690</v>
      </c>
      <c r="E4216" s="43" t="s">
        <v>1691</v>
      </c>
      <c r="F4216" s="43">
        <v>1</v>
      </c>
      <c r="G4216"/>
      <c r="H4216"/>
    </row>
    <row r="4217" spans="1:8" hidden="1" x14ac:dyDescent="0.25">
      <c r="A4217" s="43">
        <v>649</v>
      </c>
      <c r="B4217" s="43" t="s">
        <v>187</v>
      </c>
      <c r="C4217" s="43" t="s">
        <v>1685</v>
      </c>
      <c r="D4217" s="43" t="s">
        <v>1692</v>
      </c>
      <c r="E4217" s="43" t="s">
        <v>1693</v>
      </c>
      <c r="F4217" s="43">
        <v>0</v>
      </c>
      <c r="G4217" s="43" t="s">
        <v>4583</v>
      </c>
      <c r="H4217"/>
    </row>
    <row r="4218" spans="1:8" hidden="1" x14ac:dyDescent="0.25">
      <c r="A4218" s="43">
        <v>649</v>
      </c>
      <c r="B4218" s="43" t="s">
        <v>187</v>
      </c>
      <c r="C4218" s="43" t="s">
        <v>1685</v>
      </c>
      <c r="D4218" s="43" t="s">
        <v>1694</v>
      </c>
      <c r="E4218" s="43" t="s">
        <v>1695</v>
      </c>
      <c r="F4218" s="43">
        <v>1</v>
      </c>
      <c r="G4218"/>
      <c r="H4218"/>
    </row>
    <row r="4219" spans="1:8" hidden="1" x14ac:dyDescent="0.25">
      <c r="A4219" s="43">
        <v>649</v>
      </c>
      <c r="B4219" s="43" t="s">
        <v>187</v>
      </c>
      <c r="C4219" s="43" t="s">
        <v>1685</v>
      </c>
      <c r="D4219" s="43" t="s">
        <v>1696</v>
      </c>
      <c r="E4219" s="43" t="s">
        <v>1697</v>
      </c>
      <c r="F4219" s="43">
        <v>0</v>
      </c>
      <c r="G4219" s="43" t="s">
        <v>4583</v>
      </c>
      <c r="H4219"/>
    </row>
    <row r="4220" spans="1:8" hidden="1" x14ac:dyDescent="0.25">
      <c r="A4220" s="43">
        <v>649</v>
      </c>
      <c r="B4220" s="43" t="s">
        <v>187</v>
      </c>
      <c r="C4220" s="43" t="s">
        <v>1685</v>
      </c>
      <c r="D4220" s="43" t="s">
        <v>1698</v>
      </c>
      <c r="E4220" s="43" t="s">
        <v>1699</v>
      </c>
      <c r="F4220" s="43">
        <v>0</v>
      </c>
      <c r="G4220" s="43" t="s">
        <v>4583</v>
      </c>
      <c r="H4220"/>
    </row>
    <row r="4221" spans="1:8" hidden="1" x14ac:dyDescent="0.25">
      <c r="A4221" s="43">
        <v>649</v>
      </c>
      <c r="B4221" s="43" t="s">
        <v>187</v>
      </c>
      <c r="C4221" s="43" t="s">
        <v>1685</v>
      </c>
      <c r="D4221" s="43" t="s">
        <v>1700</v>
      </c>
      <c r="E4221" s="43" t="s">
        <v>1701</v>
      </c>
      <c r="F4221" s="43">
        <v>1</v>
      </c>
      <c r="G4221"/>
      <c r="H4221"/>
    </row>
    <row r="4222" spans="1:8" hidden="1" x14ac:dyDescent="0.25">
      <c r="A4222" s="43">
        <v>649</v>
      </c>
      <c r="B4222" s="43" t="s">
        <v>187</v>
      </c>
      <c r="C4222" s="43" t="s">
        <v>1685</v>
      </c>
      <c r="D4222" s="43" t="s">
        <v>1702</v>
      </c>
      <c r="E4222" s="43" t="s">
        <v>314</v>
      </c>
      <c r="F4222" s="43">
        <v>1</v>
      </c>
      <c r="G4222"/>
      <c r="H4222"/>
    </row>
    <row r="4223" spans="1:8" hidden="1" x14ac:dyDescent="0.25">
      <c r="A4223" s="43">
        <v>649</v>
      </c>
      <c r="B4223" s="43" t="s">
        <v>187</v>
      </c>
      <c r="C4223" s="43" t="s">
        <v>1685</v>
      </c>
      <c r="D4223" s="43" t="s">
        <v>1703</v>
      </c>
      <c r="E4223" s="43" t="s">
        <v>1704</v>
      </c>
      <c r="F4223" s="43">
        <v>0</v>
      </c>
      <c r="G4223" s="43" t="s">
        <v>4583</v>
      </c>
      <c r="H4223"/>
    </row>
    <row r="4224" spans="1:8" hidden="1" x14ac:dyDescent="0.25">
      <c r="A4224" s="43">
        <v>649</v>
      </c>
      <c r="B4224" s="43" t="s">
        <v>187</v>
      </c>
      <c r="C4224" s="43" t="s">
        <v>1685</v>
      </c>
      <c r="D4224" s="43" t="s">
        <v>1705</v>
      </c>
      <c r="E4224" s="43" t="s">
        <v>1706</v>
      </c>
      <c r="F4224" s="43">
        <v>0</v>
      </c>
      <c r="G4224" s="43" t="s">
        <v>4583</v>
      </c>
      <c r="H4224"/>
    </row>
    <row r="4225" spans="1:8" hidden="1" x14ac:dyDescent="0.25">
      <c r="A4225" s="43">
        <v>649</v>
      </c>
      <c r="B4225" s="43" t="s">
        <v>187</v>
      </c>
      <c r="C4225" s="43" t="s">
        <v>1685</v>
      </c>
      <c r="D4225" s="43" t="s">
        <v>1707</v>
      </c>
      <c r="E4225" s="43" t="s">
        <v>1708</v>
      </c>
      <c r="F4225" s="43">
        <v>1</v>
      </c>
      <c r="G4225"/>
      <c r="H4225"/>
    </row>
    <row r="4226" spans="1:8" hidden="1" x14ac:dyDescent="0.25">
      <c r="A4226" s="43">
        <v>649</v>
      </c>
      <c r="B4226" s="43" t="s">
        <v>187</v>
      </c>
      <c r="C4226" s="43" t="s">
        <v>1685</v>
      </c>
      <c r="D4226" s="43" t="s">
        <v>1709</v>
      </c>
      <c r="E4226" s="43" t="s">
        <v>1710</v>
      </c>
      <c r="F4226" s="43">
        <v>0</v>
      </c>
      <c r="G4226" s="43" t="s">
        <v>4583</v>
      </c>
      <c r="H4226"/>
    </row>
    <row r="4227" spans="1:8" hidden="1" x14ac:dyDescent="0.25">
      <c r="A4227" s="43">
        <v>649</v>
      </c>
      <c r="B4227" s="43" t="s">
        <v>187</v>
      </c>
      <c r="C4227" s="43" t="s">
        <v>1685</v>
      </c>
      <c r="D4227" s="43" t="s">
        <v>1711</v>
      </c>
      <c r="E4227" s="43" t="s">
        <v>1124</v>
      </c>
      <c r="F4227" s="43">
        <v>1</v>
      </c>
      <c r="G4227"/>
      <c r="H4227"/>
    </row>
    <row r="4228" spans="1:8" hidden="1" x14ac:dyDescent="0.25">
      <c r="A4228" s="43">
        <v>652</v>
      </c>
      <c r="B4228" s="43" t="s">
        <v>188</v>
      </c>
      <c r="C4228" s="43" t="s">
        <v>386</v>
      </c>
      <c r="D4228" s="43" t="s">
        <v>387</v>
      </c>
      <c r="E4228" s="43" t="s">
        <v>388</v>
      </c>
      <c r="F4228" s="43">
        <v>1</v>
      </c>
      <c r="G4228"/>
      <c r="H4228"/>
    </row>
    <row r="4229" spans="1:8" hidden="1" x14ac:dyDescent="0.25">
      <c r="A4229" s="43">
        <v>652</v>
      </c>
      <c r="B4229" s="43" t="s">
        <v>188</v>
      </c>
      <c r="C4229" s="43" t="s">
        <v>386</v>
      </c>
      <c r="D4229" s="43" t="s">
        <v>390</v>
      </c>
      <c r="E4229" s="43" t="s">
        <v>391</v>
      </c>
      <c r="F4229" s="43">
        <v>1</v>
      </c>
      <c r="G4229"/>
      <c r="H4229"/>
    </row>
    <row r="4230" spans="1:8" hidden="1" x14ac:dyDescent="0.25">
      <c r="A4230" s="43">
        <v>652</v>
      </c>
      <c r="B4230" s="43" t="s">
        <v>188</v>
      </c>
      <c r="C4230" s="43" t="s">
        <v>386</v>
      </c>
      <c r="D4230" s="43" t="s">
        <v>392</v>
      </c>
      <c r="E4230" s="43" t="s">
        <v>393</v>
      </c>
      <c r="F4230" s="43">
        <v>0</v>
      </c>
      <c r="G4230" s="43" t="s">
        <v>4583</v>
      </c>
      <c r="H4230"/>
    </row>
    <row r="4231" spans="1:8" hidden="1" x14ac:dyDescent="0.25">
      <c r="A4231" s="43">
        <v>652</v>
      </c>
      <c r="B4231" s="43" t="s">
        <v>188</v>
      </c>
      <c r="C4231" s="43" t="s">
        <v>386</v>
      </c>
      <c r="D4231" s="43" t="s">
        <v>394</v>
      </c>
      <c r="E4231" s="43" t="s">
        <v>4474</v>
      </c>
      <c r="F4231" s="43">
        <v>1</v>
      </c>
      <c r="G4231"/>
      <c r="H4231"/>
    </row>
    <row r="4232" spans="1:8" hidden="1" x14ac:dyDescent="0.25">
      <c r="A4232" s="43">
        <v>652</v>
      </c>
      <c r="B4232" s="43" t="s">
        <v>188</v>
      </c>
      <c r="C4232" s="43" t="s">
        <v>386</v>
      </c>
      <c r="D4232" s="43" t="s">
        <v>396</v>
      </c>
      <c r="E4232" s="43" t="s">
        <v>397</v>
      </c>
      <c r="F4232" s="43">
        <v>1</v>
      </c>
      <c r="G4232"/>
      <c r="H4232"/>
    </row>
    <row r="4233" spans="1:8" hidden="1" x14ac:dyDescent="0.25">
      <c r="A4233" s="43">
        <v>652</v>
      </c>
      <c r="B4233" s="43" t="s">
        <v>188</v>
      </c>
      <c r="C4233" s="43" t="s">
        <v>386</v>
      </c>
      <c r="D4233" s="43" t="s">
        <v>398</v>
      </c>
      <c r="E4233" s="43" t="s">
        <v>4475</v>
      </c>
      <c r="F4233" s="43">
        <v>1</v>
      </c>
      <c r="G4233"/>
      <c r="H4233"/>
    </row>
    <row r="4234" spans="1:8" hidden="1" x14ac:dyDescent="0.25">
      <c r="A4234" s="43">
        <v>652</v>
      </c>
      <c r="B4234" s="43" t="s">
        <v>188</v>
      </c>
      <c r="C4234" s="43" t="s">
        <v>386</v>
      </c>
      <c r="D4234" s="43" t="s">
        <v>400</v>
      </c>
      <c r="E4234" s="43" t="s">
        <v>401</v>
      </c>
      <c r="F4234" s="43">
        <v>1</v>
      </c>
      <c r="G4234"/>
      <c r="H4234"/>
    </row>
    <row r="4235" spans="1:8" hidden="1" x14ac:dyDescent="0.25">
      <c r="A4235" s="43">
        <v>652</v>
      </c>
      <c r="B4235" s="43" t="s">
        <v>188</v>
      </c>
      <c r="C4235" s="43" t="s">
        <v>386</v>
      </c>
      <c r="D4235" s="43" t="s">
        <v>402</v>
      </c>
      <c r="E4235" s="43" t="s">
        <v>403</v>
      </c>
      <c r="F4235" s="89">
        <v>1</v>
      </c>
      <c r="H4235"/>
    </row>
    <row r="4236" spans="1:8" hidden="1" x14ac:dyDescent="0.25">
      <c r="A4236" s="43">
        <v>652</v>
      </c>
      <c r="B4236" s="43" t="s">
        <v>188</v>
      </c>
      <c r="C4236" s="43" t="s">
        <v>386</v>
      </c>
      <c r="D4236" s="43" t="s">
        <v>404</v>
      </c>
      <c r="E4236" s="43" t="s">
        <v>405</v>
      </c>
      <c r="F4236" s="89">
        <v>1</v>
      </c>
      <c r="H4236"/>
    </row>
    <row r="4237" spans="1:8" hidden="1" x14ac:dyDescent="0.25">
      <c r="A4237" s="43">
        <v>653</v>
      </c>
      <c r="B4237" s="43" t="s">
        <v>188</v>
      </c>
      <c r="C4237" s="43" t="s">
        <v>386</v>
      </c>
      <c r="D4237" s="43" t="s">
        <v>387</v>
      </c>
      <c r="E4237" s="43" t="s">
        <v>388</v>
      </c>
      <c r="F4237" s="43">
        <v>1</v>
      </c>
      <c r="G4237"/>
      <c r="H4237"/>
    </row>
    <row r="4238" spans="1:8" hidden="1" x14ac:dyDescent="0.25">
      <c r="A4238" s="43">
        <v>653</v>
      </c>
      <c r="B4238" s="43" t="s">
        <v>188</v>
      </c>
      <c r="C4238" s="43" t="s">
        <v>386</v>
      </c>
      <c r="D4238" s="43" t="s">
        <v>390</v>
      </c>
      <c r="E4238" s="43" t="s">
        <v>391</v>
      </c>
      <c r="F4238" s="43">
        <v>1</v>
      </c>
      <c r="G4238"/>
      <c r="H4238"/>
    </row>
    <row r="4239" spans="1:8" hidden="1" x14ac:dyDescent="0.25">
      <c r="A4239" s="43">
        <v>653</v>
      </c>
      <c r="B4239" s="43" t="s">
        <v>188</v>
      </c>
      <c r="C4239" s="43" t="s">
        <v>386</v>
      </c>
      <c r="D4239" s="43" t="s">
        <v>392</v>
      </c>
      <c r="E4239" s="43" t="s">
        <v>393</v>
      </c>
      <c r="F4239" s="43">
        <v>0</v>
      </c>
      <c r="G4239" s="43" t="s">
        <v>4696</v>
      </c>
      <c r="H4239" s="43" t="s">
        <v>4765</v>
      </c>
    </row>
    <row r="4240" spans="1:8" hidden="1" x14ac:dyDescent="0.25">
      <c r="A4240" s="43">
        <v>653</v>
      </c>
      <c r="B4240" s="43" t="s">
        <v>188</v>
      </c>
      <c r="C4240" s="43" t="s">
        <v>386</v>
      </c>
      <c r="D4240" s="43" t="s">
        <v>394</v>
      </c>
      <c r="E4240" s="43" t="s">
        <v>4474</v>
      </c>
      <c r="F4240" s="43">
        <v>1</v>
      </c>
      <c r="G4240"/>
      <c r="H4240"/>
    </row>
    <row r="4241" spans="1:8" hidden="1" x14ac:dyDescent="0.25">
      <c r="A4241" s="43">
        <v>653</v>
      </c>
      <c r="B4241" s="43" t="s">
        <v>188</v>
      </c>
      <c r="C4241" s="43" t="s">
        <v>386</v>
      </c>
      <c r="D4241" s="43" t="s">
        <v>396</v>
      </c>
      <c r="E4241" s="43" t="s">
        <v>397</v>
      </c>
      <c r="F4241" s="43">
        <v>1</v>
      </c>
      <c r="G4241"/>
      <c r="H4241"/>
    </row>
    <row r="4242" spans="1:8" hidden="1" x14ac:dyDescent="0.25">
      <c r="A4242" s="43">
        <v>653</v>
      </c>
      <c r="B4242" s="43" t="s">
        <v>188</v>
      </c>
      <c r="C4242" s="43" t="s">
        <v>386</v>
      </c>
      <c r="D4242" s="43" t="s">
        <v>398</v>
      </c>
      <c r="E4242" s="43" t="s">
        <v>4475</v>
      </c>
      <c r="F4242" s="43">
        <v>1</v>
      </c>
      <c r="G4242"/>
      <c r="H4242"/>
    </row>
    <row r="4243" spans="1:8" hidden="1" x14ac:dyDescent="0.25">
      <c r="A4243" s="43">
        <v>653</v>
      </c>
      <c r="B4243" s="43" t="s">
        <v>188</v>
      </c>
      <c r="C4243" s="43" t="s">
        <v>386</v>
      </c>
      <c r="D4243" s="43" t="s">
        <v>400</v>
      </c>
      <c r="E4243" s="43" t="s">
        <v>401</v>
      </c>
      <c r="F4243" s="43">
        <v>1</v>
      </c>
      <c r="G4243"/>
      <c r="H4243"/>
    </row>
    <row r="4244" spans="1:8" hidden="1" x14ac:dyDescent="0.25">
      <c r="A4244" s="43">
        <v>653</v>
      </c>
      <c r="B4244" s="43" t="s">
        <v>188</v>
      </c>
      <c r="C4244" s="43" t="s">
        <v>386</v>
      </c>
      <c r="D4244" s="43" t="s">
        <v>402</v>
      </c>
      <c r="E4244" s="43" t="s">
        <v>403</v>
      </c>
      <c r="F4244" s="43">
        <v>1</v>
      </c>
      <c r="G4244"/>
      <c r="H4244"/>
    </row>
    <row r="4245" spans="1:8" hidden="1" x14ac:dyDescent="0.25">
      <c r="A4245" s="43">
        <v>653</v>
      </c>
      <c r="B4245" s="43" t="s">
        <v>188</v>
      </c>
      <c r="C4245" s="43" t="s">
        <v>386</v>
      </c>
      <c r="D4245" s="43" t="s">
        <v>404</v>
      </c>
      <c r="E4245" s="43" t="s">
        <v>405</v>
      </c>
      <c r="F4245" s="43">
        <v>1</v>
      </c>
      <c r="G4245"/>
      <c r="H4245"/>
    </row>
    <row r="4246" spans="1:8" hidden="1" x14ac:dyDescent="0.25">
      <c r="A4246" s="43">
        <v>654</v>
      </c>
      <c r="B4246" s="43" t="s">
        <v>189</v>
      </c>
      <c r="C4246" s="43" t="s">
        <v>1685</v>
      </c>
      <c r="D4246" s="43" t="s">
        <v>1686</v>
      </c>
      <c r="E4246" s="43" t="s">
        <v>1687</v>
      </c>
      <c r="F4246" s="43">
        <v>1</v>
      </c>
      <c r="G4246"/>
      <c r="H4246"/>
    </row>
    <row r="4247" spans="1:8" hidden="1" x14ac:dyDescent="0.25">
      <c r="A4247" s="43">
        <v>654</v>
      </c>
      <c r="B4247" s="43" t="s">
        <v>189</v>
      </c>
      <c r="C4247" s="43" t="s">
        <v>1685</v>
      </c>
      <c r="D4247" s="43" t="s">
        <v>1688</v>
      </c>
      <c r="E4247" s="43" t="s">
        <v>1689</v>
      </c>
      <c r="F4247" s="43">
        <v>1</v>
      </c>
      <c r="G4247"/>
      <c r="H4247"/>
    </row>
    <row r="4248" spans="1:8" hidden="1" x14ac:dyDescent="0.25">
      <c r="A4248" s="43">
        <v>654</v>
      </c>
      <c r="B4248" s="43" t="s">
        <v>189</v>
      </c>
      <c r="C4248" s="43" t="s">
        <v>1685</v>
      </c>
      <c r="D4248" s="43" t="s">
        <v>1690</v>
      </c>
      <c r="E4248" s="43" t="s">
        <v>1691</v>
      </c>
      <c r="F4248" s="43">
        <v>1</v>
      </c>
      <c r="G4248"/>
      <c r="H4248"/>
    </row>
    <row r="4249" spans="1:8" hidden="1" x14ac:dyDescent="0.25">
      <c r="A4249" s="43">
        <v>654</v>
      </c>
      <c r="B4249" s="43" t="s">
        <v>189</v>
      </c>
      <c r="C4249" s="43" t="s">
        <v>1685</v>
      </c>
      <c r="D4249" s="43" t="s">
        <v>1692</v>
      </c>
      <c r="E4249" s="43" t="s">
        <v>1693</v>
      </c>
      <c r="F4249" s="43">
        <v>1</v>
      </c>
      <c r="G4249"/>
      <c r="H4249"/>
    </row>
    <row r="4250" spans="1:8" hidden="1" x14ac:dyDescent="0.25">
      <c r="A4250" s="43">
        <v>654</v>
      </c>
      <c r="B4250" s="43" t="s">
        <v>189</v>
      </c>
      <c r="C4250" s="43" t="s">
        <v>1685</v>
      </c>
      <c r="D4250" s="43" t="s">
        <v>1694</v>
      </c>
      <c r="E4250" s="43" t="s">
        <v>1695</v>
      </c>
      <c r="F4250" s="43">
        <v>1</v>
      </c>
      <c r="G4250"/>
      <c r="H4250"/>
    </row>
    <row r="4251" spans="1:8" hidden="1" x14ac:dyDescent="0.25">
      <c r="A4251" s="43">
        <v>654</v>
      </c>
      <c r="B4251" s="43" t="s">
        <v>189</v>
      </c>
      <c r="C4251" s="43" t="s">
        <v>1685</v>
      </c>
      <c r="D4251" s="43" t="s">
        <v>1696</v>
      </c>
      <c r="E4251" s="43" t="s">
        <v>1697</v>
      </c>
      <c r="F4251" s="43">
        <v>1</v>
      </c>
      <c r="G4251"/>
      <c r="H4251"/>
    </row>
    <row r="4252" spans="1:8" hidden="1" x14ac:dyDescent="0.25">
      <c r="A4252" s="43">
        <v>654</v>
      </c>
      <c r="B4252" s="43" t="s">
        <v>189</v>
      </c>
      <c r="C4252" s="43" t="s">
        <v>1685</v>
      </c>
      <c r="D4252" s="43" t="s">
        <v>1698</v>
      </c>
      <c r="E4252" s="43" t="s">
        <v>1699</v>
      </c>
      <c r="F4252" s="43">
        <v>1</v>
      </c>
      <c r="G4252"/>
      <c r="H4252"/>
    </row>
    <row r="4253" spans="1:8" hidden="1" x14ac:dyDescent="0.25">
      <c r="A4253" s="43">
        <v>654</v>
      </c>
      <c r="B4253" s="43" t="s">
        <v>189</v>
      </c>
      <c r="C4253" s="43" t="s">
        <v>1685</v>
      </c>
      <c r="D4253" s="43" t="s">
        <v>1700</v>
      </c>
      <c r="E4253" s="43" t="s">
        <v>1701</v>
      </c>
      <c r="F4253" s="43">
        <v>1</v>
      </c>
      <c r="G4253"/>
      <c r="H4253"/>
    </row>
    <row r="4254" spans="1:8" hidden="1" x14ac:dyDescent="0.25">
      <c r="A4254" s="43">
        <v>654</v>
      </c>
      <c r="B4254" s="43" t="s">
        <v>189</v>
      </c>
      <c r="C4254" s="43" t="s">
        <v>1685</v>
      </c>
      <c r="D4254" s="43" t="s">
        <v>1702</v>
      </c>
      <c r="E4254" s="43" t="s">
        <v>314</v>
      </c>
      <c r="F4254" s="43">
        <v>1</v>
      </c>
      <c r="G4254"/>
      <c r="H4254"/>
    </row>
    <row r="4255" spans="1:8" hidden="1" x14ac:dyDescent="0.25">
      <c r="A4255" s="43">
        <v>654</v>
      </c>
      <c r="B4255" s="43" t="s">
        <v>189</v>
      </c>
      <c r="C4255" s="43" t="s">
        <v>1685</v>
      </c>
      <c r="D4255" s="43" t="s">
        <v>1703</v>
      </c>
      <c r="E4255" s="43" t="s">
        <v>1704</v>
      </c>
      <c r="F4255" s="43">
        <v>1</v>
      </c>
      <c r="G4255"/>
      <c r="H4255"/>
    </row>
    <row r="4256" spans="1:8" hidden="1" x14ac:dyDescent="0.25">
      <c r="A4256" s="43">
        <v>654</v>
      </c>
      <c r="B4256" s="43" t="s">
        <v>189</v>
      </c>
      <c r="C4256" s="43" t="s">
        <v>1685</v>
      </c>
      <c r="D4256" s="43" t="s">
        <v>1705</v>
      </c>
      <c r="E4256" s="43" t="s">
        <v>1706</v>
      </c>
      <c r="F4256" s="43">
        <v>1</v>
      </c>
      <c r="G4256"/>
      <c r="H4256"/>
    </row>
    <row r="4257" spans="1:8" hidden="1" x14ac:dyDescent="0.25">
      <c r="A4257" s="43">
        <v>654</v>
      </c>
      <c r="B4257" s="43" t="s">
        <v>189</v>
      </c>
      <c r="C4257" s="43" t="s">
        <v>1685</v>
      </c>
      <c r="D4257" s="43" t="s">
        <v>1707</v>
      </c>
      <c r="E4257" s="43" t="s">
        <v>1708</v>
      </c>
      <c r="F4257" s="43">
        <v>1</v>
      </c>
      <c r="G4257"/>
      <c r="H4257"/>
    </row>
    <row r="4258" spans="1:8" hidden="1" x14ac:dyDescent="0.25">
      <c r="A4258" s="43">
        <v>654</v>
      </c>
      <c r="B4258" s="43" t="s">
        <v>189</v>
      </c>
      <c r="C4258" s="43" t="s">
        <v>1685</v>
      </c>
      <c r="D4258" s="43" t="s">
        <v>1709</v>
      </c>
      <c r="E4258" s="43" t="s">
        <v>1710</v>
      </c>
      <c r="F4258" s="43">
        <v>1</v>
      </c>
      <c r="G4258"/>
      <c r="H4258"/>
    </row>
    <row r="4259" spans="1:8" hidden="1" x14ac:dyDescent="0.25">
      <c r="A4259" s="43">
        <v>654</v>
      </c>
      <c r="B4259" s="43" t="s">
        <v>189</v>
      </c>
      <c r="C4259" s="43" t="s">
        <v>1685</v>
      </c>
      <c r="D4259" s="43" t="s">
        <v>1711</v>
      </c>
      <c r="E4259" s="43" t="s">
        <v>1124</v>
      </c>
      <c r="F4259" s="43">
        <v>1</v>
      </c>
      <c r="G4259"/>
      <c r="H4259"/>
    </row>
    <row r="4260" spans="1:8" hidden="1" x14ac:dyDescent="0.25">
      <c r="A4260" s="43">
        <v>655</v>
      </c>
      <c r="B4260" s="43" t="s">
        <v>189</v>
      </c>
      <c r="C4260" s="43" t="s">
        <v>1685</v>
      </c>
      <c r="D4260" s="43" t="s">
        <v>1686</v>
      </c>
      <c r="E4260" s="43" t="s">
        <v>1687</v>
      </c>
      <c r="F4260" s="43">
        <v>1</v>
      </c>
      <c r="G4260"/>
      <c r="H4260"/>
    </row>
    <row r="4261" spans="1:8" hidden="1" x14ac:dyDescent="0.25">
      <c r="A4261" s="43">
        <v>655</v>
      </c>
      <c r="B4261" s="43" t="s">
        <v>189</v>
      </c>
      <c r="C4261" s="43" t="s">
        <v>1685</v>
      </c>
      <c r="D4261" s="43" t="s">
        <v>1688</v>
      </c>
      <c r="E4261" s="43" t="s">
        <v>1689</v>
      </c>
      <c r="F4261" s="43">
        <v>1</v>
      </c>
      <c r="G4261"/>
      <c r="H4261"/>
    </row>
    <row r="4262" spans="1:8" hidden="1" x14ac:dyDescent="0.25">
      <c r="A4262" s="43">
        <v>655</v>
      </c>
      <c r="B4262" s="43" t="s">
        <v>189</v>
      </c>
      <c r="C4262" s="43" t="s">
        <v>1685</v>
      </c>
      <c r="D4262" s="43" t="s">
        <v>1690</v>
      </c>
      <c r="E4262" s="43" t="s">
        <v>1691</v>
      </c>
      <c r="F4262" s="43">
        <v>1</v>
      </c>
      <c r="G4262"/>
      <c r="H4262"/>
    </row>
    <row r="4263" spans="1:8" hidden="1" x14ac:dyDescent="0.25">
      <c r="A4263" s="43">
        <v>655</v>
      </c>
      <c r="B4263" s="43" t="s">
        <v>189</v>
      </c>
      <c r="C4263" s="43" t="s">
        <v>1685</v>
      </c>
      <c r="D4263" s="43" t="s">
        <v>1692</v>
      </c>
      <c r="E4263" s="43" t="s">
        <v>1693</v>
      </c>
      <c r="F4263" s="43">
        <v>1</v>
      </c>
      <c r="G4263"/>
      <c r="H4263"/>
    </row>
    <row r="4264" spans="1:8" hidden="1" x14ac:dyDescent="0.25">
      <c r="A4264" s="43">
        <v>655</v>
      </c>
      <c r="B4264" s="43" t="s">
        <v>189</v>
      </c>
      <c r="C4264" s="43" t="s">
        <v>1685</v>
      </c>
      <c r="D4264" s="43" t="s">
        <v>1694</v>
      </c>
      <c r="E4264" s="43" t="s">
        <v>1695</v>
      </c>
      <c r="F4264" s="43">
        <v>1</v>
      </c>
      <c r="G4264"/>
      <c r="H4264"/>
    </row>
    <row r="4265" spans="1:8" hidden="1" x14ac:dyDescent="0.25">
      <c r="A4265" s="43">
        <v>655</v>
      </c>
      <c r="B4265" s="43" t="s">
        <v>189</v>
      </c>
      <c r="C4265" s="43" t="s">
        <v>1685</v>
      </c>
      <c r="D4265" s="43" t="s">
        <v>1696</v>
      </c>
      <c r="E4265" s="43" t="s">
        <v>1697</v>
      </c>
      <c r="F4265" s="43">
        <v>1</v>
      </c>
      <c r="G4265"/>
      <c r="H4265"/>
    </row>
    <row r="4266" spans="1:8" hidden="1" x14ac:dyDescent="0.25">
      <c r="A4266" s="43">
        <v>655</v>
      </c>
      <c r="B4266" s="43" t="s">
        <v>189</v>
      </c>
      <c r="C4266" s="43" t="s">
        <v>1685</v>
      </c>
      <c r="D4266" s="43" t="s">
        <v>1698</v>
      </c>
      <c r="E4266" s="43" t="s">
        <v>1699</v>
      </c>
      <c r="F4266" s="43">
        <v>1</v>
      </c>
      <c r="G4266"/>
      <c r="H4266"/>
    </row>
    <row r="4267" spans="1:8" hidden="1" x14ac:dyDescent="0.25">
      <c r="A4267" s="43">
        <v>655</v>
      </c>
      <c r="B4267" s="43" t="s">
        <v>189</v>
      </c>
      <c r="C4267" s="43" t="s">
        <v>1685</v>
      </c>
      <c r="D4267" s="43" t="s">
        <v>1700</v>
      </c>
      <c r="E4267" s="43" t="s">
        <v>1701</v>
      </c>
      <c r="F4267" s="43">
        <v>1</v>
      </c>
      <c r="G4267"/>
      <c r="H4267"/>
    </row>
    <row r="4268" spans="1:8" hidden="1" x14ac:dyDescent="0.25">
      <c r="A4268" s="43">
        <v>655</v>
      </c>
      <c r="B4268" s="43" t="s">
        <v>189</v>
      </c>
      <c r="C4268" s="43" t="s">
        <v>1685</v>
      </c>
      <c r="D4268" s="43" t="s">
        <v>1702</v>
      </c>
      <c r="E4268" s="43" t="s">
        <v>314</v>
      </c>
      <c r="F4268" s="43">
        <v>1</v>
      </c>
      <c r="G4268"/>
      <c r="H4268"/>
    </row>
    <row r="4269" spans="1:8" hidden="1" x14ac:dyDescent="0.25">
      <c r="A4269" s="43">
        <v>655</v>
      </c>
      <c r="B4269" s="43" t="s">
        <v>189</v>
      </c>
      <c r="C4269" s="43" t="s">
        <v>1685</v>
      </c>
      <c r="D4269" s="43" t="s">
        <v>1703</v>
      </c>
      <c r="E4269" s="43" t="s">
        <v>1704</v>
      </c>
      <c r="F4269" s="43">
        <v>1</v>
      </c>
      <c r="G4269"/>
      <c r="H4269"/>
    </row>
    <row r="4270" spans="1:8" hidden="1" x14ac:dyDescent="0.25">
      <c r="A4270" s="43">
        <v>655</v>
      </c>
      <c r="B4270" s="43" t="s">
        <v>189</v>
      </c>
      <c r="C4270" s="43" t="s">
        <v>1685</v>
      </c>
      <c r="D4270" s="43" t="s">
        <v>1705</v>
      </c>
      <c r="E4270" s="43" t="s">
        <v>1706</v>
      </c>
      <c r="F4270" s="43">
        <v>1</v>
      </c>
      <c r="G4270"/>
      <c r="H4270"/>
    </row>
    <row r="4271" spans="1:8" hidden="1" x14ac:dyDescent="0.25">
      <c r="A4271" s="43">
        <v>655</v>
      </c>
      <c r="B4271" s="43" t="s">
        <v>189</v>
      </c>
      <c r="C4271" s="43" t="s">
        <v>1685</v>
      </c>
      <c r="D4271" s="43" t="s">
        <v>1707</v>
      </c>
      <c r="E4271" s="43" t="s">
        <v>1708</v>
      </c>
      <c r="F4271" s="43">
        <v>1</v>
      </c>
      <c r="G4271"/>
      <c r="H4271"/>
    </row>
    <row r="4272" spans="1:8" hidden="1" x14ac:dyDescent="0.25">
      <c r="A4272" s="43">
        <v>655</v>
      </c>
      <c r="B4272" s="43" t="s">
        <v>189</v>
      </c>
      <c r="C4272" s="43" t="s">
        <v>1685</v>
      </c>
      <c r="D4272" s="43" t="s">
        <v>1709</v>
      </c>
      <c r="E4272" s="43" t="s">
        <v>1710</v>
      </c>
      <c r="F4272" s="43">
        <v>1</v>
      </c>
      <c r="G4272"/>
      <c r="H4272"/>
    </row>
    <row r="4273" spans="1:8" hidden="1" x14ac:dyDescent="0.25">
      <c r="A4273" s="43">
        <v>655</v>
      </c>
      <c r="B4273" s="43" t="s">
        <v>189</v>
      </c>
      <c r="C4273" s="43" t="s">
        <v>1685</v>
      </c>
      <c r="D4273" s="43" t="s">
        <v>1711</v>
      </c>
      <c r="E4273" s="43" t="s">
        <v>1124</v>
      </c>
      <c r="F4273" s="43">
        <v>1</v>
      </c>
      <c r="G4273"/>
      <c r="H4273"/>
    </row>
    <row r="4274" spans="1:8" hidden="1" x14ac:dyDescent="0.25">
      <c r="A4274" s="43">
        <v>660</v>
      </c>
      <c r="B4274" s="43" t="s">
        <v>190</v>
      </c>
      <c r="C4274" s="43" t="s">
        <v>386</v>
      </c>
      <c r="D4274" s="43" t="s">
        <v>387</v>
      </c>
      <c r="E4274" s="43" t="s">
        <v>388</v>
      </c>
      <c r="F4274" s="43">
        <v>1</v>
      </c>
      <c r="G4274"/>
      <c r="H4274"/>
    </row>
    <row r="4275" spans="1:8" hidden="1" x14ac:dyDescent="0.25">
      <c r="A4275" s="43">
        <v>660</v>
      </c>
      <c r="B4275" s="43" t="s">
        <v>190</v>
      </c>
      <c r="C4275" s="43" t="s">
        <v>386</v>
      </c>
      <c r="D4275" s="43" t="s">
        <v>390</v>
      </c>
      <c r="E4275" s="43" t="s">
        <v>391</v>
      </c>
      <c r="F4275" s="43">
        <v>1</v>
      </c>
      <c r="G4275"/>
      <c r="H4275"/>
    </row>
    <row r="4276" spans="1:8" hidden="1" x14ac:dyDescent="0.25">
      <c r="A4276" s="43">
        <v>660</v>
      </c>
      <c r="B4276" s="43" t="s">
        <v>190</v>
      </c>
      <c r="C4276" s="43" t="s">
        <v>386</v>
      </c>
      <c r="D4276" s="43" t="s">
        <v>392</v>
      </c>
      <c r="E4276" s="43" t="s">
        <v>393</v>
      </c>
      <c r="F4276" s="43">
        <v>0</v>
      </c>
      <c r="G4276" s="43" t="s">
        <v>4697</v>
      </c>
      <c r="H4276" s="43" t="s">
        <v>4765</v>
      </c>
    </row>
    <row r="4277" spans="1:8" hidden="1" x14ac:dyDescent="0.25">
      <c r="A4277" s="43">
        <v>660</v>
      </c>
      <c r="B4277" s="43" t="s">
        <v>190</v>
      </c>
      <c r="C4277" s="43" t="s">
        <v>386</v>
      </c>
      <c r="D4277" s="43" t="s">
        <v>394</v>
      </c>
      <c r="E4277" s="43" t="s">
        <v>4474</v>
      </c>
      <c r="F4277" s="43">
        <v>0</v>
      </c>
      <c r="G4277" s="43" t="s">
        <v>4583</v>
      </c>
      <c r="H4277"/>
    </row>
    <row r="4278" spans="1:8" hidden="1" x14ac:dyDescent="0.25">
      <c r="A4278" s="43">
        <v>660</v>
      </c>
      <c r="B4278" s="43" t="s">
        <v>190</v>
      </c>
      <c r="C4278" s="43" t="s">
        <v>386</v>
      </c>
      <c r="D4278" s="43" t="s">
        <v>396</v>
      </c>
      <c r="E4278" s="43" t="s">
        <v>397</v>
      </c>
      <c r="F4278" s="43">
        <v>0</v>
      </c>
      <c r="G4278" s="43" t="s">
        <v>4698</v>
      </c>
      <c r="H4278" s="43" t="s">
        <v>4765</v>
      </c>
    </row>
    <row r="4279" spans="1:8" hidden="1" x14ac:dyDescent="0.25">
      <c r="A4279" s="43">
        <v>660</v>
      </c>
      <c r="B4279" s="43" t="s">
        <v>190</v>
      </c>
      <c r="C4279" s="43" t="s">
        <v>386</v>
      </c>
      <c r="D4279" s="43" t="s">
        <v>398</v>
      </c>
      <c r="E4279" s="43" t="s">
        <v>4475</v>
      </c>
      <c r="F4279" s="43">
        <v>1</v>
      </c>
      <c r="G4279"/>
      <c r="H4279"/>
    </row>
    <row r="4280" spans="1:8" hidden="1" x14ac:dyDescent="0.25">
      <c r="A4280" s="43">
        <v>660</v>
      </c>
      <c r="B4280" s="43" t="s">
        <v>190</v>
      </c>
      <c r="C4280" s="43" t="s">
        <v>386</v>
      </c>
      <c r="D4280" s="43" t="s">
        <v>400</v>
      </c>
      <c r="E4280" s="43" t="s">
        <v>401</v>
      </c>
      <c r="F4280" s="43">
        <v>1</v>
      </c>
      <c r="G4280"/>
      <c r="H4280"/>
    </row>
    <row r="4281" spans="1:8" hidden="1" x14ac:dyDescent="0.25">
      <c r="A4281" s="43">
        <v>660</v>
      </c>
      <c r="B4281" s="43" t="s">
        <v>190</v>
      </c>
      <c r="C4281" s="43" t="s">
        <v>386</v>
      </c>
      <c r="D4281" s="43" t="s">
        <v>402</v>
      </c>
      <c r="E4281" s="43" t="s">
        <v>403</v>
      </c>
      <c r="F4281" s="43">
        <v>1</v>
      </c>
      <c r="G4281"/>
      <c r="H4281"/>
    </row>
    <row r="4282" spans="1:8" hidden="1" x14ac:dyDescent="0.25">
      <c r="A4282" s="43">
        <v>660</v>
      </c>
      <c r="B4282" s="43" t="s">
        <v>190</v>
      </c>
      <c r="C4282" s="43" t="s">
        <v>386</v>
      </c>
      <c r="D4282" s="43" t="s">
        <v>404</v>
      </c>
      <c r="E4282" s="43" t="s">
        <v>405</v>
      </c>
      <c r="F4282" s="43">
        <v>1</v>
      </c>
      <c r="G4282"/>
      <c r="H4282"/>
    </row>
    <row r="4283" spans="1:8" hidden="1" x14ac:dyDescent="0.25">
      <c r="A4283" s="43">
        <v>661</v>
      </c>
      <c r="B4283" s="43" t="s">
        <v>191</v>
      </c>
      <c r="C4283" s="43" t="s">
        <v>4470</v>
      </c>
      <c r="D4283" s="43" t="s">
        <v>1493</v>
      </c>
      <c r="E4283" s="43" t="s">
        <v>1494</v>
      </c>
      <c r="F4283" s="43">
        <v>1</v>
      </c>
      <c r="G4283"/>
      <c r="H4283"/>
    </row>
    <row r="4284" spans="1:8" hidden="1" x14ac:dyDescent="0.25">
      <c r="A4284" s="43">
        <v>661</v>
      </c>
      <c r="B4284" s="43" t="s">
        <v>191</v>
      </c>
      <c r="C4284" s="43" t="s">
        <v>4470</v>
      </c>
      <c r="D4284" s="43" t="s">
        <v>1495</v>
      </c>
      <c r="E4284" s="43" t="s">
        <v>1496</v>
      </c>
      <c r="F4284" s="43">
        <v>1</v>
      </c>
      <c r="G4284"/>
      <c r="H4284"/>
    </row>
    <row r="4285" spans="1:8" hidden="1" x14ac:dyDescent="0.25">
      <c r="A4285" s="43">
        <v>661</v>
      </c>
      <c r="B4285" s="43" t="s">
        <v>191</v>
      </c>
      <c r="C4285" s="43" t="s">
        <v>4470</v>
      </c>
      <c r="D4285" s="43" t="s">
        <v>1497</v>
      </c>
      <c r="E4285" s="43" t="s">
        <v>306</v>
      </c>
      <c r="F4285" s="43">
        <v>1</v>
      </c>
      <c r="G4285"/>
      <c r="H4285"/>
    </row>
    <row r="4286" spans="1:8" hidden="1" x14ac:dyDescent="0.25">
      <c r="A4286" s="43">
        <v>661</v>
      </c>
      <c r="B4286" s="43" t="s">
        <v>191</v>
      </c>
      <c r="C4286" s="43" t="s">
        <v>4470</v>
      </c>
      <c r="D4286" s="43" t="s">
        <v>1498</v>
      </c>
      <c r="E4286" s="43" t="s">
        <v>1499</v>
      </c>
      <c r="F4286" s="43">
        <v>1</v>
      </c>
      <c r="G4286"/>
      <c r="H4286"/>
    </row>
    <row r="4287" spans="1:8" hidden="1" x14ac:dyDescent="0.25">
      <c r="A4287" s="43">
        <v>661</v>
      </c>
      <c r="B4287" s="43" t="s">
        <v>191</v>
      </c>
      <c r="C4287" s="43" t="s">
        <v>4470</v>
      </c>
      <c r="D4287" s="43" t="s">
        <v>1500</v>
      </c>
      <c r="E4287" s="43" t="s">
        <v>1397</v>
      </c>
      <c r="F4287" s="43">
        <v>1</v>
      </c>
      <c r="G4287"/>
      <c r="H4287"/>
    </row>
    <row r="4288" spans="1:8" hidden="1" x14ac:dyDescent="0.25">
      <c r="A4288" s="43">
        <v>661</v>
      </c>
      <c r="B4288" s="43" t="s">
        <v>191</v>
      </c>
      <c r="C4288" s="43" t="s">
        <v>4470</v>
      </c>
      <c r="D4288" s="43" t="s">
        <v>1501</v>
      </c>
      <c r="E4288" s="43" t="s">
        <v>1502</v>
      </c>
      <c r="F4288" s="43">
        <v>1</v>
      </c>
      <c r="G4288"/>
      <c r="H4288"/>
    </row>
    <row r="4289" spans="1:8" hidden="1" x14ac:dyDescent="0.25">
      <c r="A4289" s="43">
        <v>661</v>
      </c>
      <c r="B4289" s="43" t="s">
        <v>191</v>
      </c>
      <c r="C4289" s="43" t="s">
        <v>4470</v>
      </c>
      <c r="D4289" s="43" t="s">
        <v>1503</v>
      </c>
      <c r="E4289" s="43" t="s">
        <v>1504</v>
      </c>
      <c r="F4289" s="43">
        <v>1</v>
      </c>
      <c r="G4289"/>
      <c r="H4289"/>
    </row>
    <row r="4290" spans="1:8" hidden="1" x14ac:dyDescent="0.25">
      <c r="A4290" s="43">
        <v>661</v>
      </c>
      <c r="B4290" s="43" t="s">
        <v>191</v>
      </c>
      <c r="C4290" s="43" t="s">
        <v>4470</v>
      </c>
      <c r="D4290" s="43" t="s">
        <v>1505</v>
      </c>
      <c r="E4290" s="43" t="s">
        <v>1506</v>
      </c>
      <c r="F4290" s="43">
        <v>1</v>
      </c>
      <c r="G4290"/>
      <c r="H4290"/>
    </row>
    <row r="4291" spans="1:8" hidden="1" x14ac:dyDescent="0.25">
      <c r="A4291" s="43">
        <v>661</v>
      </c>
      <c r="B4291" s="43" t="s">
        <v>191</v>
      </c>
      <c r="C4291" s="43" t="s">
        <v>4470</v>
      </c>
      <c r="D4291" s="43" t="s">
        <v>1507</v>
      </c>
      <c r="E4291" s="43" t="s">
        <v>611</v>
      </c>
      <c r="F4291" s="43">
        <v>1</v>
      </c>
      <c r="G4291"/>
      <c r="H4291"/>
    </row>
    <row r="4292" spans="1:8" hidden="1" x14ac:dyDescent="0.25">
      <c r="A4292" s="43">
        <v>661</v>
      </c>
      <c r="B4292" s="43" t="s">
        <v>191</v>
      </c>
      <c r="C4292" s="43" t="s">
        <v>4470</v>
      </c>
      <c r="D4292" s="43" t="s">
        <v>1508</v>
      </c>
      <c r="E4292" s="43" t="s">
        <v>1509</v>
      </c>
      <c r="F4292" s="43">
        <v>1</v>
      </c>
      <c r="G4292"/>
      <c r="H4292"/>
    </row>
    <row r="4293" spans="1:8" hidden="1" x14ac:dyDescent="0.25">
      <c r="A4293" s="43">
        <v>661</v>
      </c>
      <c r="B4293" s="43" t="s">
        <v>191</v>
      </c>
      <c r="C4293" s="43" t="s">
        <v>4470</v>
      </c>
      <c r="D4293" s="43" t="s">
        <v>1510</v>
      </c>
      <c r="E4293" s="43" t="s">
        <v>613</v>
      </c>
      <c r="F4293" s="43">
        <v>0</v>
      </c>
      <c r="G4293" s="43" t="s">
        <v>4583</v>
      </c>
      <c r="H4293"/>
    </row>
    <row r="4294" spans="1:8" hidden="1" x14ac:dyDescent="0.25">
      <c r="A4294" s="43">
        <v>661</v>
      </c>
      <c r="B4294" s="43" t="s">
        <v>191</v>
      </c>
      <c r="C4294" s="43" t="s">
        <v>4470</v>
      </c>
      <c r="D4294" s="43" t="s">
        <v>1511</v>
      </c>
      <c r="E4294" s="43" t="s">
        <v>1419</v>
      </c>
      <c r="F4294" s="43">
        <v>0</v>
      </c>
      <c r="G4294" s="43" t="s">
        <v>4583</v>
      </c>
      <c r="H4294"/>
    </row>
    <row r="4295" spans="1:8" hidden="1" x14ac:dyDescent="0.25">
      <c r="A4295" s="43">
        <v>661</v>
      </c>
      <c r="B4295" s="43" t="s">
        <v>191</v>
      </c>
      <c r="C4295" s="43" t="s">
        <v>4470</v>
      </c>
      <c r="D4295" s="43" t="s">
        <v>1512</v>
      </c>
      <c r="E4295" s="43" t="s">
        <v>621</v>
      </c>
      <c r="F4295" s="43">
        <v>0</v>
      </c>
      <c r="G4295" s="43" t="s">
        <v>4583</v>
      </c>
      <c r="H4295"/>
    </row>
    <row r="4296" spans="1:8" hidden="1" x14ac:dyDescent="0.25">
      <c r="A4296" s="43">
        <v>661</v>
      </c>
      <c r="B4296" s="43" t="s">
        <v>191</v>
      </c>
      <c r="C4296" s="43" t="s">
        <v>4470</v>
      </c>
      <c r="D4296" s="43" t="s">
        <v>1513</v>
      </c>
      <c r="E4296" s="43" t="s">
        <v>1422</v>
      </c>
      <c r="F4296" s="43">
        <v>1</v>
      </c>
      <c r="G4296"/>
      <c r="H4296"/>
    </row>
    <row r="4297" spans="1:8" hidden="1" x14ac:dyDescent="0.25">
      <c r="A4297" s="43">
        <v>661</v>
      </c>
      <c r="B4297" s="43" t="s">
        <v>191</v>
      </c>
      <c r="C4297" s="43" t="s">
        <v>4470</v>
      </c>
      <c r="D4297" s="43" t="s">
        <v>1514</v>
      </c>
      <c r="E4297" s="43" t="s">
        <v>614</v>
      </c>
      <c r="F4297" s="43">
        <v>1</v>
      </c>
      <c r="G4297"/>
      <c r="H4297"/>
    </row>
    <row r="4298" spans="1:8" hidden="1" x14ac:dyDescent="0.25">
      <c r="A4298" s="43">
        <v>661</v>
      </c>
      <c r="B4298" s="43" t="s">
        <v>191</v>
      </c>
      <c r="C4298" s="43" t="s">
        <v>4470</v>
      </c>
      <c r="D4298" s="43" t="s">
        <v>1515</v>
      </c>
      <c r="E4298" s="43" t="s">
        <v>615</v>
      </c>
      <c r="F4298" s="43">
        <v>0</v>
      </c>
      <c r="G4298" s="43" t="s">
        <v>4583</v>
      </c>
      <c r="H4298"/>
    </row>
    <row r="4299" spans="1:8" hidden="1" x14ac:dyDescent="0.25">
      <c r="A4299" s="43">
        <v>661</v>
      </c>
      <c r="B4299" s="43" t="s">
        <v>191</v>
      </c>
      <c r="C4299" s="43" t="s">
        <v>4470</v>
      </c>
      <c r="D4299" s="43" t="s">
        <v>1516</v>
      </c>
      <c r="E4299" s="43" t="s">
        <v>1517</v>
      </c>
      <c r="F4299" s="43">
        <v>1</v>
      </c>
      <c r="G4299"/>
      <c r="H4299"/>
    </row>
    <row r="4300" spans="1:8" hidden="1" x14ac:dyDescent="0.25">
      <c r="A4300" s="43">
        <v>661</v>
      </c>
      <c r="B4300" s="43" t="s">
        <v>191</v>
      </c>
      <c r="C4300" s="43" t="s">
        <v>4470</v>
      </c>
      <c r="D4300" s="43" t="s">
        <v>1518</v>
      </c>
      <c r="E4300" s="43" t="s">
        <v>1519</v>
      </c>
      <c r="F4300" s="43">
        <v>1</v>
      </c>
      <c r="G4300"/>
      <c r="H4300"/>
    </row>
    <row r="4301" spans="1:8" hidden="1" x14ac:dyDescent="0.25">
      <c r="A4301" s="43">
        <v>661</v>
      </c>
      <c r="B4301" s="43" t="s">
        <v>191</v>
      </c>
      <c r="C4301" s="43" t="s">
        <v>4470</v>
      </c>
      <c r="D4301" s="43" t="s">
        <v>1520</v>
      </c>
      <c r="E4301" s="43" t="s">
        <v>1521</v>
      </c>
      <c r="F4301" s="43">
        <v>1</v>
      </c>
      <c r="G4301"/>
      <c r="H4301"/>
    </row>
    <row r="4302" spans="1:8" hidden="1" x14ac:dyDescent="0.25">
      <c r="A4302" s="43">
        <v>661</v>
      </c>
      <c r="B4302" s="43" t="s">
        <v>191</v>
      </c>
      <c r="C4302" s="43" t="s">
        <v>4470</v>
      </c>
      <c r="D4302" s="43" t="s">
        <v>1522</v>
      </c>
      <c r="E4302" s="43" t="s">
        <v>1523</v>
      </c>
      <c r="F4302" s="43">
        <v>0</v>
      </c>
      <c r="G4302" s="43" t="s">
        <v>4583</v>
      </c>
      <c r="H4302"/>
    </row>
    <row r="4303" spans="1:8" hidden="1" x14ac:dyDescent="0.25">
      <c r="A4303" s="43">
        <v>661</v>
      </c>
      <c r="B4303" s="43" t="s">
        <v>191</v>
      </c>
      <c r="C4303" s="43" t="s">
        <v>4470</v>
      </c>
      <c r="D4303" s="43" t="s">
        <v>1524</v>
      </c>
      <c r="E4303" s="43" t="s">
        <v>1525</v>
      </c>
      <c r="F4303" s="43">
        <v>0</v>
      </c>
      <c r="G4303" s="43" t="s">
        <v>4583</v>
      </c>
      <c r="H4303"/>
    </row>
    <row r="4304" spans="1:8" hidden="1" x14ac:dyDescent="0.25">
      <c r="A4304" s="43">
        <v>661</v>
      </c>
      <c r="B4304" s="43" t="s">
        <v>191</v>
      </c>
      <c r="C4304" s="43" t="s">
        <v>4470</v>
      </c>
      <c r="D4304" s="43" t="s">
        <v>1526</v>
      </c>
      <c r="E4304" s="43" t="s">
        <v>1527</v>
      </c>
      <c r="F4304" s="43">
        <v>1</v>
      </c>
      <c r="G4304"/>
      <c r="H4304"/>
    </row>
    <row r="4305" spans="1:8" hidden="1" x14ac:dyDescent="0.25">
      <c r="A4305" s="43">
        <v>661</v>
      </c>
      <c r="B4305" s="43" t="s">
        <v>191</v>
      </c>
      <c r="C4305" s="43" t="s">
        <v>4470</v>
      </c>
      <c r="D4305" s="43" t="s">
        <v>1528</v>
      </c>
      <c r="E4305" s="43" t="s">
        <v>4471</v>
      </c>
      <c r="F4305" s="43">
        <v>0</v>
      </c>
      <c r="G4305" s="43" t="s">
        <v>4583</v>
      </c>
      <c r="H4305"/>
    </row>
    <row r="4306" spans="1:8" hidden="1" x14ac:dyDescent="0.25">
      <c r="A4306" s="43">
        <v>661</v>
      </c>
      <c r="B4306" s="43" t="s">
        <v>191</v>
      </c>
      <c r="C4306" s="43" t="s">
        <v>4470</v>
      </c>
      <c r="D4306" s="43" t="s">
        <v>1530</v>
      </c>
      <c r="E4306" s="43" t="s">
        <v>1430</v>
      </c>
      <c r="F4306" s="43">
        <v>1</v>
      </c>
      <c r="G4306"/>
      <c r="H4306"/>
    </row>
    <row r="4307" spans="1:8" hidden="1" x14ac:dyDescent="0.25">
      <c r="A4307" s="43">
        <v>661</v>
      </c>
      <c r="B4307" s="43" t="s">
        <v>191</v>
      </c>
      <c r="C4307" s="43" t="s">
        <v>4470</v>
      </c>
      <c r="D4307" s="43" t="s">
        <v>1531</v>
      </c>
      <c r="E4307" s="43" t="s">
        <v>503</v>
      </c>
      <c r="F4307" s="43">
        <v>1</v>
      </c>
      <c r="G4307"/>
      <c r="H4307"/>
    </row>
    <row r="4308" spans="1:8" hidden="1" x14ac:dyDescent="0.25">
      <c r="A4308" s="43">
        <v>661</v>
      </c>
      <c r="B4308" s="43" t="s">
        <v>191</v>
      </c>
      <c r="C4308" s="43" t="s">
        <v>4470</v>
      </c>
      <c r="D4308" s="43" t="s">
        <v>1532</v>
      </c>
      <c r="E4308" s="43" t="s">
        <v>1533</v>
      </c>
      <c r="F4308" s="43">
        <v>0</v>
      </c>
      <c r="G4308" s="43" t="s">
        <v>4583</v>
      </c>
      <c r="H4308"/>
    </row>
    <row r="4309" spans="1:8" hidden="1" x14ac:dyDescent="0.25">
      <c r="A4309" s="43">
        <v>661</v>
      </c>
      <c r="B4309" s="43" t="s">
        <v>191</v>
      </c>
      <c r="C4309" s="43" t="s">
        <v>4470</v>
      </c>
      <c r="D4309" s="43" t="s">
        <v>1534</v>
      </c>
      <c r="E4309" s="43" t="s">
        <v>1535</v>
      </c>
      <c r="F4309" s="43">
        <v>1</v>
      </c>
      <c r="G4309"/>
      <c r="H4309"/>
    </row>
    <row r="4310" spans="1:8" hidden="1" x14ac:dyDescent="0.25">
      <c r="A4310" s="43">
        <v>667</v>
      </c>
      <c r="B4310" s="43" t="s">
        <v>192</v>
      </c>
      <c r="C4310" s="43" t="s">
        <v>1685</v>
      </c>
      <c r="D4310" s="43" t="s">
        <v>1686</v>
      </c>
      <c r="E4310" s="43" t="s">
        <v>1687</v>
      </c>
      <c r="F4310" s="89">
        <v>1</v>
      </c>
      <c r="H4310"/>
    </row>
    <row r="4311" spans="1:8" hidden="1" x14ac:dyDescent="0.25">
      <c r="A4311" s="43">
        <v>667</v>
      </c>
      <c r="B4311" s="43" t="s">
        <v>192</v>
      </c>
      <c r="C4311" s="43" t="s">
        <v>1685</v>
      </c>
      <c r="D4311" s="43" t="s">
        <v>1688</v>
      </c>
      <c r="E4311" s="43" t="s">
        <v>1689</v>
      </c>
      <c r="F4311" s="43">
        <v>1</v>
      </c>
      <c r="G4311"/>
      <c r="H4311"/>
    </row>
    <row r="4312" spans="1:8" hidden="1" x14ac:dyDescent="0.25">
      <c r="A4312" s="43">
        <v>667</v>
      </c>
      <c r="B4312" s="43" t="s">
        <v>192</v>
      </c>
      <c r="C4312" s="43" t="s">
        <v>1685</v>
      </c>
      <c r="D4312" s="43" t="s">
        <v>1690</v>
      </c>
      <c r="E4312" s="43" t="s">
        <v>1691</v>
      </c>
      <c r="F4312" s="43">
        <v>1</v>
      </c>
      <c r="G4312"/>
      <c r="H4312"/>
    </row>
    <row r="4313" spans="1:8" hidden="1" x14ac:dyDescent="0.25">
      <c r="A4313" s="43">
        <v>667</v>
      </c>
      <c r="B4313" s="43" t="s">
        <v>192</v>
      </c>
      <c r="C4313" s="43" t="s">
        <v>1685</v>
      </c>
      <c r="D4313" s="43" t="s">
        <v>1692</v>
      </c>
      <c r="E4313" s="43" t="s">
        <v>1693</v>
      </c>
      <c r="F4313" s="43">
        <v>0</v>
      </c>
      <c r="G4313" s="43" t="s">
        <v>4583</v>
      </c>
      <c r="H4313"/>
    </row>
    <row r="4314" spans="1:8" hidden="1" x14ac:dyDescent="0.25">
      <c r="A4314" s="43">
        <v>667</v>
      </c>
      <c r="B4314" s="43" t="s">
        <v>192</v>
      </c>
      <c r="C4314" s="43" t="s">
        <v>1685</v>
      </c>
      <c r="D4314" s="43" t="s">
        <v>1694</v>
      </c>
      <c r="E4314" s="43" t="s">
        <v>1695</v>
      </c>
      <c r="F4314" s="43">
        <v>1</v>
      </c>
      <c r="G4314"/>
      <c r="H4314"/>
    </row>
    <row r="4315" spans="1:8" hidden="1" x14ac:dyDescent="0.25">
      <c r="A4315" s="43">
        <v>667</v>
      </c>
      <c r="B4315" s="43" t="s">
        <v>192</v>
      </c>
      <c r="C4315" s="43" t="s">
        <v>1685</v>
      </c>
      <c r="D4315" s="43" t="s">
        <v>1696</v>
      </c>
      <c r="E4315" s="43" t="s">
        <v>1697</v>
      </c>
      <c r="F4315" s="43">
        <v>0</v>
      </c>
      <c r="G4315" s="43" t="s">
        <v>4699</v>
      </c>
      <c r="H4315" s="43" t="s">
        <v>4760</v>
      </c>
    </row>
    <row r="4316" spans="1:8" hidden="1" x14ac:dyDescent="0.25">
      <c r="A4316" s="43">
        <v>667</v>
      </c>
      <c r="B4316" s="43" t="s">
        <v>192</v>
      </c>
      <c r="C4316" s="43" t="s">
        <v>1685</v>
      </c>
      <c r="D4316" s="43" t="s">
        <v>1698</v>
      </c>
      <c r="E4316" s="43" t="s">
        <v>1699</v>
      </c>
      <c r="F4316" s="43">
        <v>1</v>
      </c>
      <c r="G4316"/>
      <c r="H4316"/>
    </row>
    <row r="4317" spans="1:8" hidden="1" x14ac:dyDescent="0.25">
      <c r="A4317" s="43">
        <v>667</v>
      </c>
      <c r="B4317" s="43" t="s">
        <v>192</v>
      </c>
      <c r="C4317" s="43" t="s">
        <v>1685</v>
      </c>
      <c r="D4317" s="43" t="s">
        <v>1700</v>
      </c>
      <c r="E4317" s="43" t="s">
        <v>1701</v>
      </c>
      <c r="F4317" s="43">
        <v>1</v>
      </c>
      <c r="G4317"/>
      <c r="H4317"/>
    </row>
    <row r="4318" spans="1:8" hidden="1" x14ac:dyDescent="0.25">
      <c r="A4318" s="43">
        <v>667</v>
      </c>
      <c r="B4318" s="43" t="s">
        <v>192</v>
      </c>
      <c r="C4318" s="43" t="s">
        <v>1685</v>
      </c>
      <c r="D4318" s="43" t="s">
        <v>1702</v>
      </c>
      <c r="E4318" s="43" t="s">
        <v>314</v>
      </c>
      <c r="F4318" s="43">
        <v>1</v>
      </c>
      <c r="G4318"/>
      <c r="H4318"/>
    </row>
    <row r="4319" spans="1:8" hidden="1" x14ac:dyDescent="0.25">
      <c r="A4319" s="43">
        <v>667</v>
      </c>
      <c r="B4319" s="43" t="s">
        <v>192</v>
      </c>
      <c r="C4319" s="43" t="s">
        <v>1685</v>
      </c>
      <c r="D4319" s="43" t="s">
        <v>1703</v>
      </c>
      <c r="E4319" s="43" t="s">
        <v>1704</v>
      </c>
      <c r="F4319" s="43">
        <v>1</v>
      </c>
      <c r="G4319"/>
      <c r="H4319"/>
    </row>
    <row r="4320" spans="1:8" hidden="1" x14ac:dyDescent="0.25">
      <c r="A4320" s="43">
        <v>667</v>
      </c>
      <c r="B4320" s="43" t="s">
        <v>192</v>
      </c>
      <c r="C4320" s="43" t="s">
        <v>1685</v>
      </c>
      <c r="D4320" s="43" t="s">
        <v>1705</v>
      </c>
      <c r="E4320" s="43" t="s">
        <v>1706</v>
      </c>
      <c r="F4320" s="43">
        <v>1</v>
      </c>
      <c r="G4320"/>
      <c r="H4320"/>
    </row>
    <row r="4321" spans="1:8" hidden="1" x14ac:dyDescent="0.25">
      <c r="A4321" s="43">
        <v>667</v>
      </c>
      <c r="B4321" s="43" t="s">
        <v>192</v>
      </c>
      <c r="C4321" s="43" t="s">
        <v>1685</v>
      </c>
      <c r="D4321" s="43" t="s">
        <v>1707</v>
      </c>
      <c r="E4321" s="43" t="s">
        <v>1708</v>
      </c>
      <c r="F4321" s="43">
        <v>1</v>
      </c>
      <c r="G4321"/>
      <c r="H4321"/>
    </row>
    <row r="4322" spans="1:8" hidden="1" x14ac:dyDescent="0.25">
      <c r="A4322" s="43">
        <v>667</v>
      </c>
      <c r="B4322" s="43" t="s">
        <v>192</v>
      </c>
      <c r="C4322" s="43" t="s">
        <v>1685</v>
      </c>
      <c r="D4322" s="43" t="s">
        <v>1709</v>
      </c>
      <c r="E4322" s="43" t="s">
        <v>1710</v>
      </c>
      <c r="F4322" s="43">
        <v>0</v>
      </c>
      <c r="G4322" s="43" t="s">
        <v>4583</v>
      </c>
      <c r="H4322"/>
    </row>
    <row r="4323" spans="1:8" hidden="1" x14ac:dyDescent="0.25">
      <c r="A4323" s="43">
        <v>667</v>
      </c>
      <c r="B4323" s="43" t="s">
        <v>192</v>
      </c>
      <c r="C4323" s="43" t="s">
        <v>1685</v>
      </c>
      <c r="D4323" s="43" t="s">
        <v>1711</v>
      </c>
      <c r="E4323" s="43" t="s">
        <v>1124</v>
      </c>
      <c r="F4323" s="43">
        <v>1</v>
      </c>
      <c r="G4323"/>
      <c r="H4323"/>
    </row>
    <row r="4324" spans="1:8" hidden="1" x14ac:dyDescent="0.25">
      <c r="A4324" s="43">
        <v>668</v>
      </c>
      <c r="B4324" s="43" t="s">
        <v>192</v>
      </c>
      <c r="C4324" s="43" t="s">
        <v>1685</v>
      </c>
      <c r="D4324" s="43" t="s">
        <v>1686</v>
      </c>
      <c r="E4324" s="43" t="s">
        <v>1687</v>
      </c>
      <c r="F4324" s="43">
        <v>0</v>
      </c>
      <c r="G4324" s="43" t="s">
        <v>4700</v>
      </c>
      <c r="H4324" s="43" t="s">
        <v>4760</v>
      </c>
    </row>
    <row r="4325" spans="1:8" hidden="1" x14ac:dyDescent="0.25">
      <c r="A4325" s="43">
        <v>668</v>
      </c>
      <c r="B4325" s="43" t="s">
        <v>192</v>
      </c>
      <c r="C4325" s="43" t="s">
        <v>1685</v>
      </c>
      <c r="D4325" s="43" t="s">
        <v>1688</v>
      </c>
      <c r="E4325" s="43" t="s">
        <v>1689</v>
      </c>
      <c r="F4325" s="43">
        <v>1</v>
      </c>
      <c r="G4325"/>
      <c r="H4325"/>
    </row>
    <row r="4326" spans="1:8" hidden="1" x14ac:dyDescent="0.25">
      <c r="A4326" s="43">
        <v>668</v>
      </c>
      <c r="B4326" s="43" t="s">
        <v>192</v>
      </c>
      <c r="C4326" s="43" t="s">
        <v>1685</v>
      </c>
      <c r="D4326" s="43" t="s">
        <v>1690</v>
      </c>
      <c r="E4326" s="43" t="s">
        <v>1691</v>
      </c>
      <c r="F4326" s="43">
        <v>1</v>
      </c>
      <c r="G4326"/>
      <c r="H4326"/>
    </row>
    <row r="4327" spans="1:8" hidden="1" x14ac:dyDescent="0.25">
      <c r="A4327" s="43">
        <v>668</v>
      </c>
      <c r="B4327" s="43" t="s">
        <v>192</v>
      </c>
      <c r="C4327" s="43" t="s">
        <v>1685</v>
      </c>
      <c r="D4327" s="43" t="s">
        <v>1692</v>
      </c>
      <c r="E4327" s="43" t="s">
        <v>1693</v>
      </c>
      <c r="F4327" s="43">
        <v>0</v>
      </c>
      <c r="G4327" s="43" t="s">
        <v>4583</v>
      </c>
      <c r="H4327"/>
    </row>
    <row r="4328" spans="1:8" hidden="1" x14ac:dyDescent="0.25">
      <c r="A4328" s="43">
        <v>668</v>
      </c>
      <c r="B4328" s="43" t="s">
        <v>192</v>
      </c>
      <c r="C4328" s="43" t="s">
        <v>1685</v>
      </c>
      <c r="D4328" s="43" t="s">
        <v>1694</v>
      </c>
      <c r="E4328" s="43" t="s">
        <v>1695</v>
      </c>
      <c r="F4328" s="43">
        <v>1</v>
      </c>
      <c r="G4328"/>
      <c r="H4328"/>
    </row>
    <row r="4329" spans="1:8" hidden="1" x14ac:dyDescent="0.25">
      <c r="A4329" s="43">
        <v>668</v>
      </c>
      <c r="B4329" s="43" t="s">
        <v>192</v>
      </c>
      <c r="C4329" s="43" t="s">
        <v>1685</v>
      </c>
      <c r="D4329" s="43" t="s">
        <v>1696</v>
      </c>
      <c r="E4329" s="43" t="s">
        <v>1697</v>
      </c>
      <c r="F4329" s="43">
        <v>0</v>
      </c>
      <c r="G4329" s="43" t="s">
        <v>4699</v>
      </c>
      <c r="H4329" s="43" t="s">
        <v>4760</v>
      </c>
    </row>
    <row r="4330" spans="1:8" hidden="1" x14ac:dyDescent="0.25">
      <c r="A4330" s="43">
        <v>668</v>
      </c>
      <c r="B4330" s="43" t="s">
        <v>192</v>
      </c>
      <c r="C4330" s="43" t="s">
        <v>1685</v>
      </c>
      <c r="D4330" s="43" t="s">
        <v>1698</v>
      </c>
      <c r="E4330" s="43" t="s">
        <v>1699</v>
      </c>
      <c r="F4330" s="43">
        <v>1</v>
      </c>
      <c r="G4330"/>
      <c r="H4330"/>
    </row>
    <row r="4331" spans="1:8" hidden="1" x14ac:dyDescent="0.25">
      <c r="A4331" s="43">
        <v>668</v>
      </c>
      <c r="B4331" s="43" t="s">
        <v>192</v>
      </c>
      <c r="C4331" s="43" t="s">
        <v>1685</v>
      </c>
      <c r="D4331" s="43" t="s">
        <v>1700</v>
      </c>
      <c r="E4331" s="43" t="s">
        <v>1701</v>
      </c>
      <c r="F4331" s="43">
        <v>1</v>
      </c>
      <c r="G4331"/>
      <c r="H4331"/>
    </row>
    <row r="4332" spans="1:8" hidden="1" x14ac:dyDescent="0.25">
      <c r="A4332" s="43">
        <v>668</v>
      </c>
      <c r="B4332" s="43" t="s">
        <v>192</v>
      </c>
      <c r="C4332" s="43" t="s">
        <v>1685</v>
      </c>
      <c r="D4332" s="43" t="s">
        <v>1702</v>
      </c>
      <c r="E4332" s="43" t="s">
        <v>314</v>
      </c>
      <c r="F4332" s="43">
        <v>1</v>
      </c>
      <c r="G4332"/>
      <c r="H4332"/>
    </row>
    <row r="4333" spans="1:8" hidden="1" x14ac:dyDescent="0.25">
      <c r="A4333" s="43">
        <v>668</v>
      </c>
      <c r="B4333" s="43" t="s">
        <v>192</v>
      </c>
      <c r="C4333" s="43" t="s">
        <v>1685</v>
      </c>
      <c r="D4333" s="43" t="s">
        <v>1703</v>
      </c>
      <c r="E4333" s="43" t="s">
        <v>1704</v>
      </c>
      <c r="F4333" s="43">
        <v>1</v>
      </c>
      <c r="G4333"/>
      <c r="H4333"/>
    </row>
    <row r="4334" spans="1:8" hidden="1" x14ac:dyDescent="0.25">
      <c r="A4334" s="43">
        <v>668</v>
      </c>
      <c r="B4334" s="43" t="s">
        <v>192</v>
      </c>
      <c r="C4334" s="43" t="s">
        <v>1685</v>
      </c>
      <c r="D4334" s="43" t="s">
        <v>1705</v>
      </c>
      <c r="E4334" s="43" t="s">
        <v>1706</v>
      </c>
      <c r="F4334" s="43">
        <v>0</v>
      </c>
      <c r="G4334" s="43" t="s">
        <v>4583</v>
      </c>
      <c r="H4334"/>
    </row>
    <row r="4335" spans="1:8" hidden="1" x14ac:dyDescent="0.25">
      <c r="A4335" s="43">
        <v>668</v>
      </c>
      <c r="B4335" s="43" t="s">
        <v>192</v>
      </c>
      <c r="C4335" s="43" t="s">
        <v>1685</v>
      </c>
      <c r="D4335" s="43" t="s">
        <v>1707</v>
      </c>
      <c r="E4335" s="43" t="s">
        <v>1708</v>
      </c>
      <c r="F4335" s="43">
        <v>1</v>
      </c>
      <c r="G4335"/>
      <c r="H4335"/>
    </row>
    <row r="4336" spans="1:8" hidden="1" x14ac:dyDescent="0.25">
      <c r="A4336" s="43">
        <v>668</v>
      </c>
      <c r="B4336" s="43" t="s">
        <v>192</v>
      </c>
      <c r="C4336" s="43" t="s">
        <v>1685</v>
      </c>
      <c r="D4336" s="43" t="s">
        <v>1709</v>
      </c>
      <c r="E4336" s="43" t="s">
        <v>1710</v>
      </c>
      <c r="F4336" s="43">
        <v>0</v>
      </c>
      <c r="G4336" s="43" t="s">
        <v>4583</v>
      </c>
      <c r="H4336"/>
    </row>
    <row r="4337" spans="1:8" hidden="1" x14ac:dyDescent="0.25">
      <c r="A4337" s="43">
        <v>668</v>
      </c>
      <c r="B4337" s="43" t="s">
        <v>192</v>
      </c>
      <c r="C4337" s="43" t="s">
        <v>1685</v>
      </c>
      <c r="D4337" s="43" t="s">
        <v>1711</v>
      </c>
      <c r="E4337" s="43" t="s">
        <v>1124</v>
      </c>
      <c r="F4337" s="43">
        <v>1</v>
      </c>
      <c r="G4337"/>
      <c r="H4337"/>
    </row>
    <row r="4338" spans="1:8" hidden="1" x14ac:dyDescent="0.25">
      <c r="A4338" s="43">
        <v>671</v>
      </c>
      <c r="B4338" s="43" t="s">
        <v>193</v>
      </c>
      <c r="C4338" s="43" t="s">
        <v>636</v>
      </c>
      <c r="D4338" s="43" t="s">
        <v>637</v>
      </c>
      <c r="E4338" s="43" t="s">
        <v>638</v>
      </c>
      <c r="F4338" s="43">
        <v>0</v>
      </c>
      <c r="G4338" s="43" t="s">
        <v>4701</v>
      </c>
      <c r="H4338" s="43" t="s">
        <v>4761</v>
      </c>
    </row>
    <row r="4339" spans="1:8" hidden="1" x14ac:dyDescent="0.25">
      <c r="A4339" s="43">
        <v>671</v>
      </c>
      <c r="B4339" s="43" t="s">
        <v>193</v>
      </c>
      <c r="C4339" s="43" t="s">
        <v>636</v>
      </c>
      <c r="D4339" s="43" t="s">
        <v>639</v>
      </c>
      <c r="E4339" s="43" t="s">
        <v>640</v>
      </c>
      <c r="F4339" s="43">
        <v>1</v>
      </c>
      <c r="G4339"/>
      <c r="H4339"/>
    </row>
    <row r="4340" spans="1:8" hidden="1" x14ac:dyDescent="0.25">
      <c r="A4340" s="43">
        <v>671</v>
      </c>
      <c r="B4340" s="43" t="s">
        <v>193</v>
      </c>
      <c r="C4340" s="43" t="s">
        <v>636</v>
      </c>
      <c r="D4340" s="43" t="s">
        <v>641</v>
      </c>
      <c r="E4340" s="43" t="s">
        <v>642</v>
      </c>
      <c r="F4340" s="43">
        <v>1</v>
      </c>
      <c r="G4340"/>
      <c r="H4340"/>
    </row>
    <row r="4341" spans="1:8" hidden="1" x14ac:dyDescent="0.25">
      <c r="A4341" s="43">
        <v>671</v>
      </c>
      <c r="B4341" s="43" t="s">
        <v>193</v>
      </c>
      <c r="C4341" s="43" t="s">
        <v>636</v>
      </c>
      <c r="D4341" s="43" t="s">
        <v>643</v>
      </c>
      <c r="E4341" s="43" t="s">
        <v>644</v>
      </c>
      <c r="F4341" s="89">
        <v>1</v>
      </c>
      <c r="H4341"/>
    </row>
    <row r="4342" spans="1:8" hidden="1" x14ac:dyDescent="0.25">
      <c r="A4342" s="43">
        <v>671</v>
      </c>
      <c r="B4342" s="43" t="s">
        <v>193</v>
      </c>
      <c r="C4342" s="43" t="s">
        <v>636</v>
      </c>
      <c r="D4342" s="43" t="s">
        <v>645</v>
      </c>
      <c r="E4342" s="43" t="s">
        <v>646</v>
      </c>
      <c r="F4342" s="43">
        <v>0</v>
      </c>
      <c r="G4342" s="43" t="s">
        <v>4701</v>
      </c>
      <c r="H4342" s="43" t="s">
        <v>4761</v>
      </c>
    </row>
    <row r="4343" spans="1:8" hidden="1" x14ac:dyDescent="0.25">
      <c r="A4343" s="43">
        <v>671</v>
      </c>
      <c r="B4343" s="43" t="s">
        <v>193</v>
      </c>
      <c r="C4343" s="43" t="s">
        <v>636</v>
      </c>
      <c r="D4343" s="43" t="s">
        <v>647</v>
      </c>
      <c r="E4343" s="43" t="s">
        <v>648</v>
      </c>
      <c r="F4343" s="43">
        <v>0</v>
      </c>
      <c r="G4343" s="43" t="s">
        <v>4701</v>
      </c>
      <c r="H4343" s="43" t="s">
        <v>4761</v>
      </c>
    </row>
    <row r="4344" spans="1:8" hidden="1" x14ac:dyDescent="0.25">
      <c r="A4344" s="43">
        <v>671</v>
      </c>
      <c r="B4344" s="43" t="s">
        <v>193</v>
      </c>
      <c r="C4344" s="43" t="s">
        <v>636</v>
      </c>
      <c r="D4344" s="43" t="s">
        <v>649</v>
      </c>
      <c r="E4344" s="43" t="s">
        <v>650</v>
      </c>
      <c r="F4344" s="43">
        <v>1</v>
      </c>
      <c r="G4344"/>
      <c r="H4344"/>
    </row>
    <row r="4345" spans="1:8" hidden="1" x14ac:dyDescent="0.25">
      <c r="A4345" s="43">
        <v>671</v>
      </c>
      <c r="B4345" s="43" t="s">
        <v>193</v>
      </c>
      <c r="C4345" s="43" t="s">
        <v>636</v>
      </c>
      <c r="D4345" s="43" t="s">
        <v>651</v>
      </c>
      <c r="E4345" s="43" t="s">
        <v>652</v>
      </c>
      <c r="F4345" s="43">
        <v>1</v>
      </c>
      <c r="G4345"/>
      <c r="H4345"/>
    </row>
    <row r="4346" spans="1:8" hidden="1" x14ac:dyDescent="0.25">
      <c r="A4346" s="43">
        <v>671</v>
      </c>
      <c r="B4346" s="43" t="s">
        <v>193</v>
      </c>
      <c r="C4346" s="43" t="s">
        <v>636</v>
      </c>
      <c r="D4346" s="43" t="s">
        <v>653</v>
      </c>
      <c r="E4346" s="43" t="s">
        <v>438</v>
      </c>
      <c r="F4346" s="43">
        <v>1</v>
      </c>
      <c r="G4346"/>
      <c r="H4346"/>
    </row>
    <row r="4347" spans="1:8" hidden="1" x14ac:dyDescent="0.25">
      <c r="A4347" s="43">
        <v>671</v>
      </c>
      <c r="B4347" s="43" t="s">
        <v>193</v>
      </c>
      <c r="C4347" s="43" t="s">
        <v>636</v>
      </c>
      <c r="D4347" s="43" t="s">
        <v>654</v>
      </c>
      <c r="E4347" s="43" t="s">
        <v>440</v>
      </c>
      <c r="F4347" s="43">
        <v>1</v>
      </c>
      <c r="G4347"/>
      <c r="H4347"/>
    </row>
    <row r="4348" spans="1:8" x14ac:dyDescent="0.25">
      <c r="A4348" s="43">
        <v>671</v>
      </c>
      <c r="B4348" s="43" t="s">
        <v>193</v>
      </c>
      <c r="C4348" s="43" t="s">
        <v>636</v>
      </c>
      <c r="D4348" s="43" t="s">
        <v>655</v>
      </c>
      <c r="E4348" s="43" t="s">
        <v>656</v>
      </c>
      <c r="F4348" s="43">
        <v>2</v>
      </c>
      <c r="G4348" s="43" t="s">
        <v>4555</v>
      </c>
      <c r="H4348" s="43" t="s">
        <v>4580</v>
      </c>
    </row>
    <row r="4349" spans="1:8" hidden="1" x14ac:dyDescent="0.25">
      <c r="A4349" s="43">
        <v>671</v>
      </c>
      <c r="B4349" s="43" t="s">
        <v>193</v>
      </c>
      <c r="C4349" s="43" t="s">
        <v>636</v>
      </c>
      <c r="D4349" s="43" t="s">
        <v>657</v>
      </c>
      <c r="E4349" s="43" t="s">
        <v>658</v>
      </c>
      <c r="F4349" s="43">
        <v>1</v>
      </c>
      <c r="G4349"/>
      <c r="H4349"/>
    </row>
    <row r="4350" spans="1:8" hidden="1" x14ac:dyDescent="0.25">
      <c r="A4350" s="43">
        <v>675</v>
      </c>
      <c r="B4350" s="43" t="s">
        <v>194</v>
      </c>
      <c r="C4350" s="43" t="s">
        <v>1685</v>
      </c>
      <c r="D4350" s="43" t="s">
        <v>1686</v>
      </c>
      <c r="E4350" s="43" t="s">
        <v>1687</v>
      </c>
      <c r="F4350" s="43">
        <v>1</v>
      </c>
      <c r="G4350"/>
      <c r="H4350"/>
    </row>
    <row r="4351" spans="1:8" hidden="1" x14ac:dyDescent="0.25">
      <c r="A4351" s="43">
        <v>675</v>
      </c>
      <c r="B4351" s="43" t="s">
        <v>194</v>
      </c>
      <c r="C4351" s="43" t="s">
        <v>1685</v>
      </c>
      <c r="D4351" s="43" t="s">
        <v>1688</v>
      </c>
      <c r="E4351" s="43" t="s">
        <v>1689</v>
      </c>
      <c r="F4351" s="43">
        <v>1</v>
      </c>
      <c r="G4351"/>
      <c r="H4351"/>
    </row>
    <row r="4352" spans="1:8" hidden="1" x14ac:dyDescent="0.25">
      <c r="A4352" s="43">
        <v>675</v>
      </c>
      <c r="B4352" s="43" t="s">
        <v>194</v>
      </c>
      <c r="C4352" s="43" t="s">
        <v>1685</v>
      </c>
      <c r="D4352" s="43" t="s">
        <v>1690</v>
      </c>
      <c r="E4352" s="43" t="s">
        <v>1691</v>
      </c>
      <c r="F4352" s="43">
        <v>0</v>
      </c>
      <c r="G4352" s="43" t="s">
        <v>4702</v>
      </c>
      <c r="H4352" s="43" t="s">
        <v>4761</v>
      </c>
    </row>
    <row r="4353" spans="1:8" hidden="1" x14ac:dyDescent="0.25">
      <c r="A4353" s="43">
        <v>675</v>
      </c>
      <c r="B4353" s="43" t="s">
        <v>194</v>
      </c>
      <c r="C4353" s="43" t="s">
        <v>1685</v>
      </c>
      <c r="D4353" s="43" t="s">
        <v>1692</v>
      </c>
      <c r="E4353" s="43" t="s">
        <v>1693</v>
      </c>
      <c r="F4353" s="43">
        <v>0</v>
      </c>
      <c r="G4353" s="43" t="s">
        <v>4702</v>
      </c>
      <c r="H4353" s="43" t="s">
        <v>4761</v>
      </c>
    </row>
    <row r="4354" spans="1:8" hidden="1" x14ac:dyDescent="0.25">
      <c r="A4354" s="43">
        <v>675</v>
      </c>
      <c r="B4354" s="43" t="s">
        <v>194</v>
      </c>
      <c r="C4354" s="43" t="s">
        <v>1685</v>
      </c>
      <c r="D4354" s="43" t="s">
        <v>1694</v>
      </c>
      <c r="E4354" s="43" t="s">
        <v>1695</v>
      </c>
      <c r="F4354" s="43">
        <v>1</v>
      </c>
      <c r="G4354"/>
      <c r="H4354"/>
    </row>
    <row r="4355" spans="1:8" hidden="1" x14ac:dyDescent="0.25">
      <c r="A4355" s="43">
        <v>675</v>
      </c>
      <c r="B4355" s="43" t="s">
        <v>194</v>
      </c>
      <c r="C4355" s="43" t="s">
        <v>1685</v>
      </c>
      <c r="D4355" s="43" t="s">
        <v>1696</v>
      </c>
      <c r="E4355" s="43" t="s">
        <v>1697</v>
      </c>
      <c r="F4355" s="43">
        <v>1</v>
      </c>
      <c r="G4355"/>
      <c r="H4355"/>
    </row>
    <row r="4356" spans="1:8" hidden="1" x14ac:dyDescent="0.25">
      <c r="A4356" s="43">
        <v>675</v>
      </c>
      <c r="B4356" s="43" t="s">
        <v>194</v>
      </c>
      <c r="C4356" s="43" t="s">
        <v>1685</v>
      </c>
      <c r="D4356" s="43" t="s">
        <v>1698</v>
      </c>
      <c r="E4356" s="43" t="s">
        <v>1699</v>
      </c>
      <c r="F4356" s="43">
        <v>1</v>
      </c>
      <c r="G4356"/>
      <c r="H4356"/>
    </row>
    <row r="4357" spans="1:8" hidden="1" x14ac:dyDescent="0.25">
      <c r="A4357" s="43">
        <v>675</v>
      </c>
      <c r="B4357" s="43" t="s">
        <v>194</v>
      </c>
      <c r="C4357" s="43" t="s">
        <v>1685</v>
      </c>
      <c r="D4357" s="43" t="s">
        <v>1700</v>
      </c>
      <c r="E4357" s="43" t="s">
        <v>1701</v>
      </c>
      <c r="F4357" s="43">
        <v>0</v>
      </c>
      <c r="G4357" s="43" t="s">
        <v>4702</v>
      </c>
      <c r="H4357" s="43" t="s">
        <v>4761</v>
      </c>
    </row>
    <row r="4358" spans="1:8" hidden="1" x14ac:dyDescent="0.25">
      <c r="A4358" s="43">
        <v>675</v>
      </c>
      <c r="B4358" s="43" t="s">
        <v>194</v>
      </c>
      <c r="C4358" s="43" t="s">
        <v>1685</v>
      </c>
      <c r="D4358" s="43" t="s">
        <v>1702</v>
      </c>
      <c r="E4358" s="43" t="s">
        <v>314</v>
      </c>
      <c r="F4358" s="43">
        <v>1</v>
      </c>
      <c r="G4358"/>
      <c r="H4358"/>
    </row>
    <row r="4359" spans="1:8" hidden="1" x14ac:dyDescent="0.25">
      <c r="A4359" s="43">
        <v>675</v>
      </c>
      <c r="B4359" s="43" t="s">
        <v>194</v>
      </c>
      <c r="C4359" s="43" t="s">
        <v>1685</v>
      </c>
      <c r="D4359" s="43" t="s">
        <v>1703</v>
      </c>
      <c r="E4359" s="43" t="s">
        <v>1704</v>
      </c>
      <c r="F4359" s="43">
        <v>0</v>
      </c>
      <c r="G4359" s="43" t="s">
        <v>4702</v>
      </c>
      <c r="H4359" s="43" t="s">
        <v>4761</v>
      </c>
    </row>
    <row r="4360" spans="1:8" hidden="1" x14ac:dyDescent="0.25">
      <c r="A4360" s="43">
        <v>675</v>
      </c>
      <c r="B4360" s="43" t="s">
        <v>194</v>
      </c>
      <c r="C4360" s="43" t="s">
        <v>1685</v>
      </c>
      <c r="D4360" s="43" t="s">
        <v>1705</v>
      </c>
      <c r="E4360" s="43" t="s">
        <v>1706</v>
      </c>
      <c r="F4360" s="43">
        <v>0</v>
      </c>
      <c r="G4360" s="43" t="s">
        <v>4702</v>
      </c>
      <c r="H4360" s="43" t="s">
        <v>4761</v>
      </c>
    </row>
    <row r="4361" spans="1:8" hidden="1" x14ac:dyDescent="0.25">
      <c r="A4361" s="43">
        <v>675</v>
      </c>
      <c r="B4361" s="43" t="s">
        <v>194</v>
      </c>
      <c r="C4361" s="43" t="s">
        <v>1685</v>
      </c>
      <c r="D4361" s="43" t="s">
        <v>1707</v>
      </c>
      <c r="E4361" s="43" t="s">
        <v>1708</v>
      </c>
      <c r="F4361" s="43">
        <v>1</v>
      </c>
      <c r="G4361"/>
      <c r="H4361"/>
    </row>
    <row r="4362" spans="1:8" hidden="1" x14ac:dyDescent="0.25">
      <c r="A4362" s="43">
        <v>675</v>
      </c>
      <c r="B4362" s="43" t="s">
        <v>194</v>
      </c>
      <c r="C4362" s="43" t="s">
        <v>1685</v>
      </c>
      <c r="D4362" s="43" t="s">
        <v>1709</v>
      </c>
      <c r="E4362" s="43" t="s">
        <v>1710</v>
      </c>
      <c r="F4362" s="43">
        <v>1</v>
      </c>
      <c r="G4362"/>
      <c r="H4362"/>
    </row>
    <row r="4363" spans="1:8" hidden="1" x14ac:dyDescent="0.25">
      <c r="A4363" s="43">
        <v>675</v>
      </c>
      <c r="B4363" s="43" t="s">
        <v>194</v>
      </c>
      <c r="C4363" s="43" t="s">
        <v>1685</v>
      </c>
      <c r="D4363" s="43" t="s">
        <v>1711</v>
      </c>
      <c r="E4363" s="43" t="s">
        <v>1124</v>
      </c>
      <c r="F4363" s="43">
        <v>1</v>
      </c>
      <c r="G4363"/>
      <c r="H4363"/>
    </row>
    <row r="4364" spans="1:8" hidden="1" x14ac:dyDescent="0.25">
      <c r="A4364" s="43">
        <v>676</v>
      </c>
      <c r="B4364" s="43" t="s">
        <v>195</v>
      </c>
      <c r="C4364" s="43" t="s">
        <v>506</v>
      </c>
      <c r="D4364" s="43" t="s">
        <v>507</v>
      </c>
      <c r="E4364" s="43" t="s">
        <v>508</v>
      </c>
      <c r="F4364" s="43">
        <v>1</v>
      </c>
      <c r="G4364"/>
      <c r="H4364"/>
    </row>
    <row r="4365" spans="1:8" hidden="1" x14ac:dyDescent="0.25">
      <c r="A4365" s="43">
        <v>676</v>
      </c>
      <c r="B4365" s="43" t="s">
        <v>195</v>
      </c>
      <c r="C4365" s="43" t="s">
        <v>506</v>
      </c>
      <c r="D4365" s="43" t="s">
        <v>509</v>
      </c>
      <c r="E4365" s="43" t="s">
        <v>510</v>
      </c>
      <c r="F4365" s="43">
        <v>1</v>
      </c>
      <c r="G4365"/>
      <c r="H4365"/>
    </row>
    <row r="4366" spans="1:8" hidden="1" x14ac:dyDescent="0.25">
      <c r="A4366" s="43">
        <v>676</v>
      </c>
      <c r="B4366" s="43" t="s">
        <v>195</v>
      </c>
      <c r="C4366" s="43" t="s">
        <v>506</v>
      </c>
      <c r="D4366" s="43" t="s">
        <v>511</v>
      </c>
      <c r="E4366" s="43" t="s">
        <v>512</v>
      </c>
      <c r="F4366" s="43">
        <v>1</v>
      </c>
      <c r="G4366"/>
      <c r="H4366"/>
    </row>
    <row r="4367" spans="1:8" hidden="1" x14ac:dyDescent="0.25">
      <c r="A4367" s="43">
        <v>676</v>
      </c>
      <c r="B4367" s="43" t="s">
        <v>195</v>
      </c>
      <c r="C4367" s="43" t="s">
        <v>506</v>
      </c>
      <c r="D4367" s="43" t="s">
        <v>513</v>
      </c>
      <c r="E4367" s="43" t="s">
        <v>514</v>
      </c>
      <c r="F4367" s="43">
        <v>1</v>
      </c>
      <c r="G4367"/>
      <c r="H4367"/>
    </row>
    <row r="4368" spans="1:8" hidden="1" x14ac:dyDescent="0.25">
      <c r="A4368" s="43">
        <v>676</v>
      </c>
      <c r="B4368" s="43" t="s">
        <v>195</v>
      </c>
      <c r="C4368" s="43" t="s">
        <v>506</v>
      </c>
      <c r="D4368" s="43" t="s">
        <v>515</v>
      </c>
      <c r="E4368" s="43" t="s">
        <v>516</v>
      </c>
      <c r="F4368" s="43">
        <v>0</v>
      </c>
      <c r="G4368" s="43" t="s">
        <v>4583</v>
      </c>
      <c r="H4368"/>
    </row>
    <row r="4369" spans="1:8" hidden="1" x14ac:dyDescent="0.25">
      <c r="A4369" s="43">
        <v>676</v>
      </c>
      <c r="B4369" s="43" t="s">
        <v>195</v>
      </c>
      <c r="C4369" s="43" t="s">
        <v>506</v>
      </c>
      <c r="D4369" s="43" t="s">
        <v>517</v>
      </c>
      <c r="E4369" s="43" t="s">
        <v>518</v>
      </c>
      <c r="F4369" s="43">
        <v>0</v>
      </c>
      <c r="G4369" s="43" t="s">
        <v>4583</v>
      </c>
      <c r="H4369"/>
    </row>
    <row r="4370" spans="1:8" hidden="1" x14ac:dyDescent="0.25">
      <c r="A4370" s="43">
        <v>676</v>
      </c>
      <c r="B4370" s="43" t="s">
        <v>195</v>
      </c>
      <c r="C4370" s="43" t="s">
        <v>506</v>
      </c>
      <c r="D4370" s="43" t="s">
        <v>519</v>
      </c>
      <c r="E4370" s="43" t="s">
        <v>520</v>
      </c>
      <c r="F4370" s="43">
        <v>0</v>
      </c>
      <c r="G4370" s="43" t="s">
        <v>4583</v>
      </c>
      <c r="H4370"/>
    </row>
    <row r="4371" spans="1:8" hidden="1" x14ac:dyDescent="0.25">
      <c r="A4371" s="43">
        <v>676</v>
      </c>
      <c r="B4371" s="43" t="s">
        <v>195</v>
      </c>
      <c r="C4371" s="43" t="s">
        <v>506</v>
      </c>
      <c r="D4371" s="43" t="s">
        <v>521</v>
      </c>
      <c r="E4371" s="43" t="s">
        <v>522</v>
      </c>
      <c r="F4371" s="43">
        <v>0</v>
      </c>
      <c r="G4371" s="43" t="s">
        <v>4583</v>
      </c>
      <c r="H4371"/>
    </row>
    <row r="4372" spans="1:8" hidden="1" x14ac:dyDescent="0.25">
      <c r="A4372" s="43">
        <v>676</v>
      </c>
      <c r="B4372" s="43" t="s">
        <v>195</v>
      </c>
      <c r="C4372" s="43" t="s">
        <v>506</v>
      </c>
      <c r="D4372" s="43" t="s">
        <v>523</v>
      </c>
      <c r="E4372" s="43" t="s">
        <v>4472</v>
      </c>
      <c r="F4372" s="43">
        <v>0</v>
      </c>
      <c r="G4372" s="43" t="s">
        <v>4583</v>
      </c>
      <c r="H4372"/>
    </row>
    <row r="4373" spans="1:8" hidden="1" x14ac:dyDescent="0.25">
      <c r="A4373" s="43">
        <v>676</v>
      </c>
      <c r="B4373" s="43" t="s">
        <v>195</v>
      </c>
      <c r="C4373" s="43" t="s">
        <v>506</v>
      </c>
      <c r="D4373" s="43" t="s">
        <v>525</v>
      </c>
      <c r="E4373" s="43" t="s">
        <v>526</v>
      </c>
      <c r="F4373" s="43">
        <v>0</v>
      </c>
      <c r="G4373" s="43" t="s">
        <v>4583</v>
      </c>
      <c r="H4373"/>
    </row>
    <row r="4374" spans="1:8" hidden="1" x14ac:dyDescent="0.25">
      <c r="A4374" s="43">
        <v>676</v>
      </c>
      <c r="B4374" s="43" t="s">
        <v>195</v>
      </c>
      <c r="C4374" s="43" t="s">
        <v>506</v>
      </c>
      <c r="D4374" s="43" t="s">
        <v>527</v>
      </c>
      <c r="E4374" s="43" t="s">
        <v>283</v>
      </c>
      <c r="F4374" s="43">
        <v>0</v>
      </c>
      <c r="G4374" s="43" t="s">
        <v>4583</v>
      </c>
      <c r="H4374"/>
    </row>
    <row r="4375" spans="1:8" hidden="1" x14ac:dyDescent="0.25">
      <c r="A4375" s="43">
        <v>676</v>
      </c>
      <c r="B4375" s="43" t="s">
        <v>195</v>
      </c>
      <c r="C4375" s="43" t="s">
        <v>506</v>
      </c>
      <c r="D4375" s="43" t="s">
        <v>528</v>
      </c>
      <c r="E4375" s="43" t="s">
        <v>529</v>
      </c>
      <c r="F4375" s="43">
        <v>0</v>
      </c>
      <c r="G4375" s="43" t="s">
        <v>4583</v>
      </c>
      <c r="H4375"/>
    </row>
    <row r="4376" spans="1:8" hidden="1" x14ac:dyDescent="0.25">
      <c r="A4376" s="43">
        <v>676</v>
      </c>
      <c r="B4376" s="43" t="s">
        <v>195</v>
      </c>
      <c r="C4376" s="43" t="s">
        <v>506</v>
      </c>
      <c r="D4376" s="43" t="s">
        <v>530</v>
      </c>
      <c r="E4376" s="43" t="s">
        <v>531</v>
      </c>
      <c r="F4376" s="43">
        <v>1</v>
      </c>
      <c r="G4376"/>
      <c r="H4376"/>
    </row>
    <row r="4377" spans="1:8" hidden="1" x14ac:dyDescent="0.25">
      <c r="A4377" s="43">
        <v>676</v>
      </c>
      <c r="B4377" s="43" t="s">
        <v>195</v>
      </c>
      <c r="C4377" s="43" t="s">
        <v>506</v>
      </c>
      <c r="D4377" s="43" t="s">
        <v>532</v>
      </c>
      <c r="E4377" s="43" t="s">
        <v>533</v>
      </c>
      <c r="F4377" s="43">
        <v>0</v>
      </c>
      <c r="G4377" s="43" t="s">
        <v>4583</v>
      </c>
      <c r="H4377"/>
    </row>
    <row r="4378" spans="1:8" hidden="1" x14ac:dyDescent="0.25">
      <c r="A4378" s="43">
        <v>676</v>
      </c>
      <c r="B4378" s="43" t="s">
        <v>195</v>
      </c>
      <c r="C4378" s="43" t="s">
        <v>506</v>
      </c>
      <c r="D4378" s="43" t="s">
        <v>534</v>
      </c>
      <c r="E4378" s="43" t="s">
        <v>535</v>
      </c>
      <c r="F4378" s="43">
        <v>0</v>
      </c>
      <c r="G4378" s="43" t="s">
        <v>4583</v>
      </c>
      <c r="H4378"/>
    </row>
    <row r="4379" spans="1:8" hidden="1" x14ac:dyDescent="0.25">
      <c r="A4379" s="43">
        <v>676</v>
      </c>
      <c r="B4379" s="43" t="s">
        <v>195</v>
      </c>
      <c r="C4379" s="43" t="s">
        <v>506</v>
      </c>
      <c r="D4379" s="43" t="s">
        <v>536</v>
      </c>
      <c r="E4379" s="43" t="s">
        <v>537</v>
      </c>
      <c r="F4379" s="43">
        <v>0</v>
      </c>
      <c r="G4379" s="43" t="s">
        <v>4583</v>
      </c>
      <c r="H4379"/>
    </row>
    <row r="4380" spans="1:8" hidden="1" x14ac:dyDescent="0.25">
      <c r="A4380" s="43">
        <v>676</v>
      </c>
      <c r="B4380" s="43" t="s">
        <v>195</v>
      </c>
      <c r="C4380" s="43" t="s">
        <v>506</v>
      </c>
      <c r="D4380" s="43" t="s">
        <v>538</v>
      </c>
      <c r="E4380" s="43" t="s">
        <v>539</v>
      </c>
      <c r="F4380" s="43">
        <v>0</v>
      </c>
      <c r="G4380" s="43" t="s">
        <v>4583</v>
      </c>
      <c r="H4380"/>
    </row>
    <row r="4381" spans="1:8" hidden="1" x14ac:dyDescent="0.25">
      <c r="A4381" s="43">
        <v>676</v>
      </c>
      <c r="B4381" s="43" t="s">
        <v>195</v>
      </c>
      <c r="C4381" s="43" t="s">
        <v>506</v>
      </c>
      <c r="D4381" s="43" t="s">
        <v>540</v>
      </c>
      <c r="E4381" s="43" t="s">
        <v>541</v>
      </c>
      <c r="F4381" s="43">
        <v>1</v>
      </c>
      <c r="G4381"/>
      <c r="H4381"/>
    </row>
    <row r="4382" spans="1:8" hidden="1" x14ac:dyDescent="0.25">
      <c r="A4382" s="43">
        <v>676</v>
      </c>
      <c r="B4382" s="43" t="s">
        <v>195</v>
      </c>
      <c r="C4382" s="43" t="s">
        <v>506</v>
      </c>
      <c r="D4382" s="43" t="s">
        <v>542</v>
      </c>
      <c r="E4382" s="43" t="s">
        <v>543</v>
      </c>
      <c r="F4382" s="43">
        <v>1</v>
      </c>
      <c r="G4382"/>
      <c r="H4382"/>
    </row>
    <row r="4383" spans="1:8" hidden="1" x14ac:dyDescent="0.25">
      <c r="A4383" s="43">
        <v>676</v>
      </c>
      <c r="B4383" s="43" t="s">
        <v>195</v>
      </c>
      <c r="C4383" s="43" t="s">
        <v>506</v>
      </c>
      <c r="D4383" s="43" t="s">
        <v>544</v>
      </c>
      <c r="E4383" s="43" t="s">
        <v>545</v>
      </c>
      <c r="F4383" s="43">
        <v>1</v>
      </c>
      <c r="G4383"/>
      <c r="H4383"/>
    </row>
    <row r="4384" spans="1:8" hidden="1" x14ac:dyDescent="0.25">
      <c r="A4384" s="43">
        <v>676</v>
      </c>
      <c r="B4384" s="43" t="s">
        <v>195</v>
      </c>
      <c r="C4384" s="43" t="s">
        <v>506</v>
      </c>
      <c r="D4384" s="43" t="s">
        <v>546</v>
      </c>
      <c r="E4384" s="43" t="s">
        <v>547</v>
      </c>
      <c r="F4384" s="43">
        <v>0</v>
      </c>
      <c r="G4384" s="43" t="s">
        <v>4583</v>
      </c>
      <c r="H4384"/>
    </row>
    <row r="4385" spans="1:8" hidden="1" x14ac:dyDescent="0.25">
      <c r="A4385" s="43">
        <v>676</v>
      </c>
      <c r="B4385" s="43" t="s">
        <v>195</v>
      </c>
      <c r="C4385" s="43" t="s">
        <v>506</v>
      </c>
      <c r="D4385" s="43" t="s">
        <v>548</v>
      </c>
      <c r="E4385" s="43" t="s">
        <v>549</v>
      </c>
      <c r="F4385" s="43">
        <v>1</v>
      </c>
      <c r="G4385"/>
      <c r="H4385"/>
    </row>
    <row r="4386" spans="1:8" hidden="1" x14ac:dyDescent="0.25">
      <c r="A4386" s="43">
        <v>676</v>
      </c>
      <c r="B4386" s="43" t="s">
        <v>195</v>
      </c>
      <c r="C4386" s="43" t="s">
        <v>506</v>
      </c>
      <c r="D4386" s="43" t="s">
        <v>550</v>
      </c>
      <c r="E4386" s="43" t="s">
        <v>551</v>
      </c>
      <c r="F4386" s="43">
        <v>1</v>
      </c>
      <c r="G4386"/>
      <c r="H4386"/>
    </row>
    <row r="4387" spans="1:8" hidden="1" x14ac:dyDescent="0.25">
      <c r="A4387" s="43">
        <v>677</v>
      </c>
      <c r="B4387" s="43" t="s">
        <v>196</v>
      </c>
      <c r="C4387" s="43" t="s">
        <v>701</v>
      </c>
      <c r="D4387" s="43" t="s">
        <v>702</v>
      </c>
      <c r="E4387" s="43" t="s">
        <v>583</v>
      </c>
      <c r="F4387" s="43">
        <v>1</v>
      </c>
      <c r="G4387"/>
      <c r="H4387"/>
    </row>
    <row r="4388" spans="1:8" hidden="1" x14ac:dyDescent="0.25">
      <c r="A4388" s="43">
        <v>677</v>
      </c>
      <c r="B4388" s="43" t="s">
        <v>196</v>
      </c>
      <c r="C4388" s="43" t="s">
        <v>701</v>
      </c>
      <c r="D4388" s="43" t="s">
        <v>703</v>
      </c>
      <c r="E4388" s="43" t="s">
        <v>306</v>
      </c>
      <c r="F4388" s="43">
        <v>0</v>
      </c>
      <c r="G4388" s="43" t="s">
        <v>4583</v>
      </c>
      <c r="H4388"/>
    </row>
    <row r="4389" spans="1:8" hidden="1" x14ac:dyDescent="0.25">
      <c r="A4389" s="43">
        <v>677</v>
      </c>
      <c r="B4389" s="43" t="s">
        <v>196</v>
      </c>
      <c r="C4389" s="43" t="s">
        <v>701</v>
      </c>
      <c r="D4389" s="43" t="s">
        <v>704</v>
      </c>
      <c r="E4389" s="43" t="s">
        <v>705</v>
      </c>
      <c r="F4389" s="43">
        <v>0</v>
      </c>
      <c r="G4389" s="43" t="s">
        <v>4583</v>
      </c>
      <c r="H4389"/>
    </row>
    <row r="4390" spans="1:8" hidden="1" x14ac:dyDescent="0.25">
      <c r="A4390" s="43">
        <v>677</v>
      </c>
      <c r="B4390" s="43" t="s">
        <v>196</v>
      </c>
      <c r="C4390" s="43" t="s">
        <v>701</v>
      </c>
      <c r="D4390" s="43" t="s">
        <v>706</v>
      </c>
      <c r="E4390" s="43" t="s">
        <v>588</v>
      </c>
      <c r="F4390" s="43">
        <v>1</v>
      </c>
      <c r="G4390"/>
      <c r="H4390"/>
    </row>
    <row r="4391" spans="1:8" hidden="1" x14ac:dyDescent="0.25">
      <c r="A4391" s="43">
        <v>677</v>
      </c>
      <c r="B4391" s="43" t="s">
        <v>196</v>
      </c>
      <c r="C4391" s="43" t="s">
        <v>701</v>
      </c>
      <c r="D4391" s="43" t="s">
        <v>707</v>
      </c>
      <c r="E4391" s="43" t="s">
        <v>312</v>
      </c>
      <c r="F4391" s="43">
        <v>1</v>
      </c>
      <c r="G4391"/>
      <c r="H4391"/>
    </row>
    <row r="4392" spans="1:8" hidden="1" x14ac:dyDescent="0.25">
      <c r="A4392" s="43">
        <v>677</v>
      </c>
      <c r="B4392" s="43" t="s">
        <v>196</v>
      </c>
      <c r="C4392" s="43" t="s">
        <v>701</v>
      </c>
      <c r="D4392" s="43" t="s">
        <v>708</v>
      </c>
      <c r="E4392" s="43" t="s">
        <v>314</v>
      </c>
      <c r="F4392" s="43">
        <v>0</v>
      </c>
      <c r="G4392" s="43" t="s">
        <v>4583</v>
      </c>
      <c r="H4392"/>
    </row>
    <row r="4393" spans="1:8" hidden="1" x14ac:dyDescent="0.25">
      <c r="A4393" s="43">
        <v>677</v>
      </c>
      <c r="B4393" s="43" t="s">
        <v>196</v>
      </c>
      <c r="C4393" s="43" t="s">
        <v>701</v>
      </c>
      <c r="D4393" s="43" t="s">
        <v>709</v>
      </c>
      <c r="E4393" s="43" t="s">
        <v>493</v>
      </c>
      <c r="F4393" s="43">
        <v>1</v>
      </c>
      <c r="G4393"/>
      <c r="H4393"/>
    </row>
    <row r="4394" spans="1:8" hidden="1" x14ac:dyDescent="0.25">
      <c r="A4394" s="43">
        <v>677</v>
      </c>
      <c r="B4394" s="43" t="s">
        <v>196</v>
      </c>
      <c r="C4394" s="43" t="s">
        <v>701</v>
      </c>
      <c r="D4394" s="43" t="s">
        <v>710</v>
      </c>
      <c r="E4394" s="43" t="s">
        <v>275</v>
      </c>
      <c r="F4394" s="43">
        <v>1</v>
      </c>
      <c r="G4394"/>
      <c r="H4394"/>
    </row>
    <row r="4395" spans="1:8" hidden="1" x14ac:dyDescent="0.25">
      <c r="A4395" s="43">
        <v>677</v>
      </c>
      <c r="B4395" s="43" t="s">
        <v>196</v>
      </c>
      <c r="C4395" s="43" t="s">
        <v>701</v>
      </c>
      <c r="D4395" s="43" t="s">
        <v>711</v>
      </c>
      <c r="E4395" s="43" t="s">
        <v>283</v>
      </c>
      <c r="F4395" s="43">
        <v>0</v>
      </c>
      <c r="G4395" s="43" t="s">
        <v>4583</v>
      </c>
      <c r="H4395"/>
    </row>
    <row r="4396" spans="1:8" hidden="1" x14ac:dyDescent="0.25">
      <c r="A4396" s="43">
        <v>677</v>
      </c>
      <c r="B4396" s="43" t="s">
        <v>196</v>
      </c>
      <c r="C4396" s="43" t="s">
        <v>701</v>
      </c>
      <c r="D4396" s="43" t="s">
        <v>712</v>
      </c>
      <c r="E4396" s="43" t="s">
        <v>713</v>
      </c>
      <c r="F4396" s="43">
        <v>0</v>
      </c>
      <c r="G4396" s="43" t="s">
        <v>4583</v>
      </c>
      <c r="H4396"/>
    </row>
    <row r="4397" spans="1:8" hidden="1" x14ac:dyDescent="0.25">
      <c r="A4397" s="43">
        <v>677</v>
      </c>
      <c r="B4397" s="43" t="s">
        <v>196</v>
      </c>
      <c r="C4397" s="43" t="s">
        <v>701</v>
      </c>
      <c r="D4397" s="43" t="s">
        <v>714</v>
      </c>
      <c r="E4397" s="43" t="s">
        <v>715</v>
      </c>
      <c r="F4397" s="43">
        <v>0</v>
      </c>
      <c r="G4397" s="43" t="s">
        <v>4583</v>
      </c>
      <c r="H4397"/>
    </row>
    <row r="4398" spans="1:8" hidden="1" x14ac:dyDescent="0.25">
      <c r="A4398" s="43">
        <v>677</v>
      </c>
      <c r="B4398" s="43" t="s">
        <v>196</v>
      </c>
      <c r="C4398" s="43" t="s">
        <v>701</v>
      </c>
      <c r="D4398" s="43" t="s">
        <v>716</v>
      </c>
      <c r="E4398" s="43" t="s">
        <v>717</v>
      </c>
      <c r="F4398" s="43">
        <v>0</v>
      </c>
      <c r="G4398" s="43" t="s">
        <v>4583</v>
      </c>
      <c r="H4398"/>
    </row>
    <row r="4399" spans="1:8" hidden="1" x14ac:dyDescent="0.25">
      <c r="A4399" s="43">
        <v>677</v>
      </c>
      <c r="B4399" s="43" t="s">
        <v>196</v>
      </c>
      <c r="C4399" s="43" t="s">
        <v>701</v>
      </c>
      <c r="D4399" s="43" t="s">
        <v>718</v>
      </c>
      <c r="E4399" s="43" t="s">
        <v>381</v>
      </c>
      <c r="F4399" s="43">
        <v>0</v>
      </c>
      <c r="G4399" s="43" t="s">
        <v>4583</v>
      </c>
      <c r="H4399"/>
    </row>
    <row r="4400" spans="1:8" hidden="1" x14ac:dyDescent="0.25">
      <c r="A4400" s="43">
        <v>677</v>
      </c>
      <c r="B4400" s="43" t="s">
        <v>196</v>
      </c>
      <c r="C4400" s="43" t="s">
        <v>701</v>
      </c>
      <c r="D4400" s="43" t="s">
        <v>719</v>
      </c>
      <c r="E4400" s="43" t="s">
        <v>720</v>
      </c>
      <c r="F4400" s="43">
        <v>0</v>
      </c>
      <c r="G4400" s="43" t="s">
        <v>4583</v>
      </c>
      <c r="H4400"/>
    </row>
    <row r="4401" spans="1:8" hidden="1" x14ac:dyDescent="0.25">
      <c r="A4401" s="43">
        <v>677</v>
      </c>
      <c r="B4401" s="43" t="s">
        <v>196</v>
      </c>
      <c r="C4401" s="43" t="s">
        <v>701</v>
      </c>
      <c r="D4401" s="43" t="s">
        <v>721</v>
      </c>
      <c r="E4401" s="43" t="s">
        <v>722</v>
      </c>
      <c r="F4401" s="43">
        <v>0</v>
      </c>
      <c r="G4401" s="43" t="s">
        <v>4583</v>
      </c>
      <c r="H4401"/>
    </row>
    <row r="4402" spans="1:8" ht="18" hidden="1" customHeight="1" x14ac:dyDescent="0.25">
      <c r="A4402" s="43">
        <v>677</v>
      </c>
      <c r="B4402" s="43" t="s">
        <v>196</v>
      </c>
      <c r="C4402" s="43" t="s">
        <v>1155</v>
      </c>
      <c r="D4402" s="43" t="s">
        <v>1156</v>
      </c>
      <c r="E4402" s="43" t="s">
        <v>273</v>
      </c>
      <c r="F4402" s="43">
        <v>0</v>
      </c>
      <c r="G4402" s="43" t="s">
        <v>4583</v>
      </c>
      <c r="H4402"/>
    </row>
    <row r="4403" spans="1:8" ht="19.5" hidden="1" customHeight="1" x14ac:dyDescent="0.25">
      <c r="A4403" s="43">
        <v>677</v>
      </c>
      <c r="B4403" s="43" t="s">
        <v>196</v>
      </c>
      <c r="C4403" s="43" t="s">
        <v>1155</v>
      </c>
      <c r="D4403" s="43" t="s">
        <v>1157</v>
      </c>
      <c r="E4403" s="43" t="s">
        <v>844</v>
      </c>
      <c r="F4403" s="89">
        <v>0</v>
      </c>
      <c r="G4403" s="43" t="s">
        <v>4703</v>
      </c>
      <c r="H4403" s="43" t="s">
        <v>4759</v>
      </c>
    </row>
    <row r="4404" spans="1:8" ht="20.25" customHeight="1" x14ac:dyDescent="0.25">
      <c r="A4404" s="43">
        <v>677</v>
      </c>
      <c r="B4404" s="43" t="s">
        <v>196</v>
      </c>
      <c r="C4404" s="43" t="s">
        <v>1155</v>
      </c>
      <c r="D4404" s="43" t="s">
        <v>1158</v>
      </c>
      <c r="E4404" s="43" t="s">
        <v>1159</v>
      </c>
      <c r="F4404" s="43">
        <v>2</v>
      </c>
      <c r="G4404" s="43" t="s">
        <v>4554</v>
      </c>
      <c r="H4404" s="43" t="s">
        <v>4580</v>
      </c>
    </row>
    <row r="4405" spans="1:8" ht="21" customHeight="1" x14ac:dyDescent="0.25">
      <c r="A4405" s="43">
        <v>677</v>
      </c>
      <c r="B4405" s="43" t="s">
        <v>196</v>
      </c>
      <c r="C4405" s="43" t="s">
        <v>1155</v>
      </c>
      <c r="D4405" s="43" t="s">
        <v>1160</v>
      </c>
      <c r="E4405" s="43" t="s">
        <v>1161</v>
      </c>
      <c r="F4405" s="43">
        <v>2</v>
      </c>
      <c r="G4405" s="43" t="s">
        <v>4554</v>
      </c>
      <c r="H4405" s="43" t="s">
        <v>4580</v>
      </c>
    </row>
    <row r="4406" spans="1:8" ht="26.25" customHeight="1" x14ac:dyDescent="0.25">
      <c r="A4406" s="43">
        <v>677</v>
      </c>
      <c r="B4406" s="43" t="s">
        <v>196</v>
      </c>
      <c r="C4406" s="43" t="s">
        <v>1155</v>
      </c>
      <c r="D4406" s="43" t="s">
        <v>1162</v>
      </c>
      <c r="E4406" s="43" t="s">
        <v>1163</v>
      </c>
      <c r="F4406" s="43">
        <v>2</v>
      </c>
      <c r="G4406" s="43" t="s">
        <v>4554</v>
      </c>
      <c r="H4406" s="43" t="s">
        <v>4580</v>
      </c>
    </row>
    <row r="4407" spans="1:8" ht="29.25" customHeight="1" x14ac:dyDescent="0.25">
      <c r="A4407" s="43">
        <v>677</v>
      </c>
      <c r="B4407" s="43" t="s">
        <v>196</v>
      </c>
      <c r="C4407" s="43" t="s">
        <v>1155</v>
      </c>
      <c r="D4407" s="43" t="s">
        <v>1164</v>
      </c>
      <c r="E4407" s="43" t="s">
        <v>1165</v>
      </c>
      <c r="F4407" s="43">
        <v>2</v>
      </c>
      <c r="G4407" s="43" t="s">
        <v>4554</v>
      </c>
      <c r="H4407" s="43" t="s">
        <v>4580</v>
      </c>
    </row>
    <row r="4408" spans="1:8" ht="29.25" hidden="1" customHeight="1" x14ac:dyDescent="0.25">
      <c r="A4408" s="43">
        <v>677</v>
      </c>
      <c r="B4408" s="43" t="s">
        <v>196</v>
      </c>
      <c r="C4408" s="43" t="s">
        <v>1155</v>
      </c>
      <c r="D4408" s="43" t="s">
        <v>1166</v>
      </c>
      <c r="E4408" s="43" t="s">
        <v>295</v>
      </c>
      <c r="F4408" s="43">
        <v>1</v>
      </c>
      <c r="G4408"/>
      <c r="H4408"/>
    </row>
    <row r="4409" spans="1:8" ht="22.5" hidden="1" customHeight="1" x14ac:dyDescent="0.25">
      <c r="A4409" s="43">
        <v>677</v>
      </c>
      <c r="B4409" s="43" t="s">
        <v>196</v>
      </c>
      <c r="C4409" s="43" t="s">
        <v>1155</v>
      </c>
      <c r="D4409" s="43" t="s">
        <v>1167</v>
      </c>
      <c r="E4409" s="43" t="s">
        <v>1168</v>
      </c>
      <c r="F4409" s="43">
        <v>1</v>
      </c>
      <c r="G4409"/>
      <c r="H4409"/>
    </row>
    <row r="4410" spans="1:8" hidden="1" x14ac:dyDescent="0.25">
      <c r="A4410" s="43">
        <v>677</v>
      </c>
      <c r="B4410" s="43" t="s">
        <v>196</v>
      </c>
      <c r="C4410" s="43" t="s">
        <v>1292</v>
      </c>
      <c r="D4410" s="43" t="s">
        <v>1293</v>
      </c>
      <c r="E4410" s="43" t="s">
        <v>304</v>
      </c>
      <c r="F4410" s="43">
        <v>0</v>
      </c>
      <c r="G4410" s="43" t="s">
        <v>4583</v>
      </c>
      <c r="H4410"/>
    </row>
    <row r="4411" spans="1:8" hidden="1" x14ac:dyDescent="0.25">
      <c r="A4411" s="43">
        <v>677</v>
      </c>
      <c r="B4411" s="43" t="s">
        <v>196</v>
      </c>
      <c r="C4411" s="43" t="s">
        <v>1292</v>
      </c>
      <c r="D4411" s="43" t="s">
        <v>1294</v>
      </c>
      <c r="E4411" s="43" t="s">
        <v>306</v>
      </c>
      <c r="F4411" s="43">
        <v>0</v>
      </c>
      <c r="G4411" s="43" t="s">
        <v>4583</v>
      </c>
      <c r="H4411"/>
    </row>
    <row r="4412" spans="1:8" hidden="1" x14ac:dyDescent="0.25">
      <c r="A4412" s="43">
        <v>677</v>
      </c>
      <c r="B4412" s="43" t="s">
        <v>196</v>
      </c>
      <c r="C4412" s="43" t="s">
        <v>1292</v>
      </c>
      <c r="D4412" s="43" t="s">
        <v>1295</v>
      </c>
      <c r="E4412" s="43" t="s">
        <v>1296</v>
      </c>
      <c r="F4412" s="43">
        <v>0</v>
      </c>
      <c r="G4412" s="43" t="s">
        <v>4583</v>
      </c>
      <c r="H4412"/>
    </row>
    <row r="4413" spans="1:8" hidden="1" x14ac:dyDescent="0.25">
      <c r="A4413" s="43">
        <v>677</v>
      </c>
      <c r="B4413" s="43" t="s">
        <v>196</v>
      </c>
      <c r="C4413" s="43" t="s">
        <v>1292</v>
      </c>
      <c r="D4413" s="43" t="s">
        <v>1297</v>
      </c>
      <c r="E4413" s="43" t="s">
        <v>729</v>
      </c>
      <c r="F4413" s="43">
        <v>0</v>
      </c>
      <c r="G4413" s="43" t="s">
        <v>4583</v>
      </c>
      <c r="H4413"/>
    </row>
    <row r="4414" spans="1:8" hidden="1" x14ac:dyDescent="0.25">
      <c r="A4414" s="43">
        <v>677</v>
      </c>
      <c r="B4414" s="43" t="s">
        <v>196</v>
      </c>
      <c r="C4414" s="43" t="s">
        <v>1292</v>
      </c>
      <c r="D4414" s="43" t="s">
        <v>1298</v>
      </c>
      <c r="E4414" s="43" t="s">
        <v>343</v>
      </c>
      <c r="F4414" s="43">
        <v>0</v>
      </c>
      <c r="G4414" s="43" t="s">
        <v>4583</v>
      </c>
      <c r="H4414"/>
    </row>
    <row r="4415" spans="1:8" hidden="1" x14ac:dyDescent="0.25">
      <c r="A4415" s="43">
        <v>677</v>
      </c>
      <c r="B4415" s="43" t="s">
        <v>196</v>
      </c>
      <c r="C4415" s="43" t="s">
        <v>1292</v>
      </c>
      <c r="D4415" s="43" t="s">
        <v>1299</v>
      </c>
      <c r="E4415" s="43" t="s">
        <v>1300</v>
      </c>
      <c r="F4415" s="43">
        <v>0</v>
      </c>
      <c r="G4415" s="43" t="s">
        <v>4583</v>
      </c>
      <c r="H4415"/>
    </row>
    <row r="4416" spans="1:8" hidden="1" x14ac:dyDescent="0.25">
      <c r="A4416" s="43">
        <v>677</v>
      </c>
      <c r="B4416" s="43" t="s">
        <v>196</v>
      </c>
      <c r="C4416" s="43" t="s">
        <v>1292</v>
      </c>
      <c r="D4416" s="43" t="s">
        <v>1301</v>
      </c>
      <c r="E4416" s="43" t="s">
        <v>734</v>
      </c>
      <c r="F4416" s="43">
        <v>0</v>
      </c>
      <c r="G4416" s="43" t="s">
        <v>4583</v>
      </c>
      <c r="H4416"/>
    </row>
    <row r="4417" spans="1:8" hidden="1" x14ac:dyDescent="0.25">
      <c r="A4417" s="43">
        <v>677</v>
      </c>
      <c r="B4417" s="43" t="s">
        <v>196</v>
      </c>
      <c r="C4417" s="43" t="s">
        <v>1292</v>
      </c>
      <c r="D4417" s="43" t="s">
        <v>1302</v>
      </c>
      <c r="E4417" s="43" t="s">
        <v>1303</v>
      </c>
      <c r="F4417" s="43">
        <v>0</v>
      </c>
      <c r="G4417" s="43" t="s">
        <v>4583</v>
      </c>
      <c r="H4417"/>
    </row>
    <row r="4418" spans="1:8" hidden="1" x14ac:dyDescent="0.25">
      <c r="A4418" s="43">
        <v>677</v>
      </c>
      <c r="B4418" s="43" t="s">
        <v>196</v>
      </c>
      <c r="C4418" s="43" t="s">
        <v>1292</v>
      </c>
      <c r="D4418" s="43" t="s">
        <v>1304</v>
      </c>
      <c r="E4418" s="43" t="s">
        <v>1305</v>
      </c>
      <c r="F4418" s="43">
        <v>1</v>
      </c>
      <c r="G4418"/>
      <c r="H4418"/>
    </row>
    <row r="4419" spans="1:8" hidden="1" x14ac:dyDescent="0.25">
      <c r="A4419" s="43">
        <v>677</v>
      </c>
      <c r="B4419" s="43" t="s">
        <v>196</v>
      </c>
      <c r="C4419" s="43" t="s">
        <v>1292</v>
      </c>
      <c r="D4419" s="43" t="s">
        <v>1306</v>
      </c>
      <c r="E4419" s="43" t="s">
        <v>4487</v>
      </c>
      <c r="F4419" s="43">
        <v>0</v>
      </c>
      <c r="G4419" s="43" t="s">
        <v>4583</v>
      </c>
      <c r="H4419"/>
    </row>
    <row r="4420" spans="1:8" hidden="1" x14ac:dyDescent="0.25">
      <c r="A4420" s="43">
        <v>677</v>
      </c>
      <c r="B4420" s="43" t="s">
        <v>196</v>
      </c>
      <c r="C4420" s="43" t="s">
        <v>1292</v>
      </c>
      <c r="D4420" s="43" t="s">
        <v>1308</v>
      </c>
      <c r="E4420" s="43" t="s">
        <v>875</v>
      </c>
      <c r="F4420" s="43">
        <v>0</v>
      </c>
      <c r="G4420" s="43" t="s">
        <v>4583</v>
      </c>
      <c r="H4420"/>
    </row>
    <row r="4421" spans="1:8" hidden="1" x14ac:dyDescent="0.25">
      <c r="A4421" s="43">
        <v>677</v>
      </c>
      <c r="B4421" s="43" t="s">
        <v>196</v>
      </c>
      <c r="C4421" s="43" t="s">
        <v>1292</v>
      </c>
      <c r="D4421" s="43" t="s">
        <v>1309</v>
      </c>
      <c r="E4421" s="43" t="s">
        <v>759</v>
      </c>
      <c r="F4421" s="43">
        <v>0</v>
      </c>
      <c r="G4421" s="43" t="s">
        <v>4583</v>
      </c>
      <c r="H4421"/>
    </row>
    <row r="4422" spans="1:8" hidden="1" x14ac:dyDescent="0.25">
      <c r="A4422" s="43">
        <v>677</v>
      </c>
      <c r="B4422" s="43" t="s">
        <v>196</v>
      </c>
      <c r="C4422" s="43" t="s">
        <v>1292</v>
      </c>
      <c r="D4422" s="43" t="s">
        <v>1310</v>
      </c>
      <c r="E4422" s="43" t="s">
        <v>755</v>
      </c>
      <c r="F4422" s="43">
        <v>0</v>
      </c>
      <c r="G4422" s="43" t="s">
        <v>4583</v>
      </c>
      <c r="H4422"/>
    </row>
    <row r="4423" spans="1:8" hidden="1" x14ac:dyDescent="0.25">
      <c r="A4423" s="43">
        <v>677</v>
      </c>
      <c r="B4423" s="43" t="s">
        <v>196</v>
      </c>
      <c r="C4423" s="43" t="s">
        <v>1292</v>
      </c>
      <c r="D4423" s="43" t="s">
        <v>1311</v>
      </c>
      <c r="E4423" s="43" t="s">
        <v>757</v>
      </c>
      <c r="F4423" s="43">
        <v>0</v>
      </c>
      <c r="G4423" s="43" t="s">
        <v>4583</v>
      </c>
      <c r="H4423"/>
    </row>
    <row r="4424" spans="1:8" hidden="1" x14ac:dyDescent="0.25">
      <c r="A4424" s="43">
        <v>677</v>
      </c>
      <c r="B4424" s="43" t="s">
        <v>196</v>
      </c>
      <c r="C4424" s="43" t="s">
        <v>782</v>
      </c>
      <c r="D4424" s="43" t="s">
        <v>783</v>
      </c>
      <c r="E4424" s="43" t="s">
        <v>784</v>
      </c>
      <c r="F4424" s="43">
        <v>0</v>
      </c>
      <c r="G4424" s="43" t="s">
        <v>4583</v>
      </c>
      <c r="H4424"/>
    </row>
    <row r="4425" spans="1:8" hidden="1" x14ac:dyDescent="0.25">
      <c r="A4425" s="43">
        <v>677</v>
      </c>
      <c r="B4425" s="43" t="s">
        <v>196</v>
      </c>
      <c r="C4425" s="43" t="s">
        <v>782</v>
      </c>
      <c r="D4425" s="43" t="s">
        <v>785</v>
      </c>
      <c r="E4425" s="43" t="s">
        <v>786</v>
      </c>
      <c r="F4425" s="43">
        <v>0</v>
      </c>
      <c r="G4425" s="43" t="s">
        <v>4583</v>
      </c>
      <c r="H4425"/>
    </row>
    <row r="4426" spans="1:8" hidden="1" x14ac:dyDescent="0.25">
      <c r="A4426" s="43">
        <v>677</v>
      </c>
      <c r="B4426" s="43" t="s">
        <v>196</v>
      </c>
      <c r="C4426" s="43" t="s">
        <v>782</v>
      </c>
      <c r="D4426" s="43" t="s">
        <v>787</v>
      </c>
      <c r="E4426" s="43" t="s">
        <v>640</v>
      </c>
      <c r="F4426" s="43">
        <v>0</v>
      </c>
      <c r="G4426" s="43" t="s">
        <v>4583</v>
      </c>
      <c r="H4426"/>
    </row>
    <row r="4427" spans="1:8" hidden="1" x14ac:dyDescent="0.25">
      <c r="A4427" s="43">
        <v>677</v>
      </c>
      <c r="B4427" s="43" t="s">
        <v>196</v>
      </c>
      <c r="C4427" s="43" t="s">
        <v>782</v>
      </c>
      <c r="D4427" s="43" t="s">
        <v>788</v>
      </c>
      <c r="E4427" s="43" t="s">
        <v>789</v>
      </c>
      <c r="F4427" s="43">
        <v>0</v>
      </c>
      <c r="G4427" s="43" t="s">
        <v>4583</v>
      </c>
      <c r="H4427"/>
    </row>
    <row r="4428" spans="1:8" hidden="1" x14ac:dyDescent="0.25">
      <c r="A4428" s="43">
        <v>677</v>
      </c>
      <c r="B4428" s="43" t="s">
        <v>196</v>
      </c>
      <c r="C4428" s="43" t="s">
        <v>782</v>
      </c>
      <c r="D4428" s="43" t="s">
        <v>790</v>
      </c>
      <c r="E4428" s="43" t="s">
        <v>791</v>
      </c>
      <c r="F4428" s="43">
        <v>1</v>
      </c>
      <c r="G4428"/>
      <c r="H4428"/>
    </row>
    <row r="4429" spans="1:8" hidden="1" x14ac:dyDescent="0.25">
      <c r="A4429" s="43">
        <v>677</v>
      </c>
      <c r="B4429" s="43" t="s">
        <v>196</v>
      </c>
      <c r="C4429" s="43" t="s">
        <v>782</v>
      </c>
      <c r="D4429" s="43" t="s">
        <v>792</v>
      </c>
      <c r="E4429" s="43" t="s">
        <v>793</v>
      </c>
      <c r="F4429" s="43">
        <v>1</v>
      </c>
      <c r="G4429"/>
      <c r="H4429"/>
    </row>
    <row r="4430" spans="1:8" hidden="1" x14ac:dyDescent="0.25">
      <c r="A4430" s="43">
        <v>677</v>
      </c>
      <c r="B4430" s="43" t="s">
        <v>196</v>
      </c>
      <c r="C4430" s="43" t="s">
        <v>782</v>
      </c>
      <c r="D4430" s="43" t="s">
        <v>794</v>
      </c>
      <c r="E4430" s="43" t="s">
        <v>795</v>
      </c>
      <c r="F4430" s="43">
        <v>1</v>
      </c>
      <c r="G4430"/>
      <c r="H4430"/>
    </row>
    <row r="4431" spans="1:8" hidden="1" x14ac:dyDescent="0.25">
      <c r="A4431" s="43">
        <v>677</v>
      </c>
      <c r="B4431" s="43" t="s">
        <v>196</v>
      </c>
      <c r="C4431" s="43" t="s">
        <v>782</v>
      </c>
      <c r="D4431" s="43" t="s">
        <v>796</v>
      </c>
      <c r="E4431" s="43" t="s">
        <v>797</v>
      </c>
      <c r="F4431" s="43">
        <v>0</v>
      </c>
      <c r="G4431" s="43" t="s">
        <v>4583</v>
      </c>
      <c r="H4431"/>
    </row>
    <row r="4432" spans="1:8" hidden="1" x14ac:dyDescent="0.25">
      <c r="A4432" s="43">
        <v>677</v>
      </c>
      <c r="B4432" s="43" t="s">
        <v>196</v>
      </c>
      <c r="C4432" s="43" t="s">
        <v>782</v>
      </c>
      <c r="D4432" s="43" t="s">
        <v>798</v>
      </c>
      <c r="E4432" s="43" t="s">
        <v>273</v>
      </c>
      <c r="F4432" s="43">
        <v>0</v>
      </c>
      <c r="G4432" s="43" t="s">
        <v>4583</v>
      </c>
      <c r="H4432"/>
    </row>
    <row r="4433" spans="1:8" hidden="1" x14ac:dyDescent="0.25">
      <c r="A4433" s="43">
        <v>677</v>
      </c>
      <c r="B4433" s="43" t="s">
        <v>196</v>
      </c>
      <c r="C4433" s="43" t="s">
        <v>782</v>
      </c>
      <c r="D4433" s="43" t="s">
        <v>799</v>
      </c>
      <c r="E4433" s="43" t="s">
        <v>312</v>
      </c>
      <c r="F4433" s="43">
        <v>0</v>
      </c>
      <c r="G4433" s="43" t="s">
        <v>4583</v>
      </c>
      <c r="H4433"/>
    </row>
    <row r="4434" spans="1:8" hidden="1" x14ac:dyDescent="0.25">
      <c r="A4434" s="43">
        <v>677</v>
      </c>
      <c r="B4434" s="43" t="s">
        <v>196</v>
      </c>
      <c r="C4434" s="43" t="s">
        <v>782</v>
      </c>
      <c r="D4434" s="43" t="s">
        <v>800</v>
      </c>
      <c r="E4434" s="43" t="s">
        <v>801</v>
      </c>
      <c r="F4434" s="43">
        <v>0</v>
      </c>
      <c r="G4434" s="43" t="s">
        <v>4583</v>
      </c>
      <c r="H4434"/>
    </row>
    <row r="4435" spans="1:8" hidden="1" x14ac:dyDescent="0.25">
      <c r="A4435" s="43">
        <v>677</v>
      </c>
      <c r="B4435" s="43" t="s">
        <v>196</v>
      </c>
      <c r="C4435" s="43" t="s">
        <v>782</v>
      </c>
      <c r="D4435" s="43" t="s">
        <v>802</v>
      </c>
      <c r="E4435" s="43" t="s">
        <v>803</v>
      </c>
      <c r="F4435" s="43">
        <v>0</v>
      </c>
      <c r="G4435" s="43" t="s">
        <v>4583</v>
      </c>
      <c r="H4435"/>
    </row>
    <row r="4436" spans="1:8" hidden="1" x14ac:dyDescent="0.25">
      <c r="A4436" s="43">
        <v>677</v>
      </c>
      <c r="B4436" s="43" t="s">
        <v>196</v>
      </c>
      <c r="C4436" s="43" t="s">
        <v>782</v>
      </c>
      <c r="D4436" s="43" t="s">
        <v>804</v>
      </c>
      <c r="E4436" s="43" t="s">
        <v>805</v>
      </c>
      <c r="F4436" s="43">
        <v>0</v>
      </c>
      <c r="G4436" s="43" t="s">
        <v>4583</v>
      </c>
      <c r="H4436"/>
    </row>
    <row r="4437" spans="1:8" hidden="1" x14ac:dyDescent="0.25">
      <c r="A4437" s="43">
        <v>677</v>
      </c>
      <c r="B4437" s="43" t="s">
        <v>196</v>
      </c>
      <c r="C4437" s="43" t="s">
        <v>1874</v>
      </c>
      <c r="D4437" s="43" t="s">
        <v>1875</v>
      </c>
      <c r="E4437" s="43" t="s">
        <v>820</v>
      </c>
      <c r="F4437" s="43">
        <v>0</v>
      </c>
      <c r="G4437" s="43" t="s">
        <v>4583</v>
      </c>
      <c r="H4437"/>
    </row>
    <row r="4438" spans="1:8" hidden="1" x14ac:dyDescent="0.25">
      <c r="A4438" s="43">
        <v>677</v>
      </c>
      <c r="B4438" s="43" t="s">
        <v>196</v>
      </c>
      <c r="C4438" s="43" t="s">
        <v>1874</v>
      </c>
      <c r="D4438" s="43" t="s">
        <v>1876</v>
      </c>
      <c r="E4438" s="43" t="s">
        <v>1877</v>
      </c>
      <c r="F4438" s="43">
        <v>0</v>
      </c>
      <c r="G4438" s="43" t="s">
        <v>4583</v>
      </c>
      <c r="H4438"/>
    </row>
    <row r="4439" spans="1:8" hidden="1" x14ac:dyDescent="0.25">
      <c r="A4439" s="43">
        <v>677</v>
      </c>
      <c r="B4439" s="43" t="s">
        <v>196</v>
      </c>
      <c r="C4439" s="43" t="s">
        <v>1874</v>
      </c>
      <c r="D4439" s="43" t="s">
        <v>1878</v>
      </c>
      <c r="E4439" s="43" t="s">
        <v>1879</v>
      </c>
      <c r="F4439" s="43">
        <v>1</v>
      </c>
      <c r="G4439"/>
      <c r="H4439"/>
    </row>
    <row r="4440" spans="1:8" hidden="1" x14ac:dyDescent="0.25">
      <c r="A4440" s="43">
        <v>677</v>
      </c>
      <c r="B4440" s="43" t="s">
        <v>196</v>
      </c>
      <c r="C4440" s="43" t="s">
        <v>1874</v>
      </c>
      <c r="D4440" s="43" t="s">
        <v>1880</v>
      </c>
      <c r="E4440" s="43" t="s">
        <v>1881</v>
      </c>
      <c r="F4440" s="43">
        <v>0</v>
      </c>
      <c r="G4440" s="43" t="s">
        <v>4583</v>
      </c>
      <c r="H4440"/>
    </row>
    <row r="4441" spans="1:8" hidden="1" x14ac:dyDescent="0.25">
      <c r="A4441" s="43">
        <v>677</v>
      </c>
      <c r="B4441" s="43" t="s">
        <v>196</v>
      </c>
      <c r="C4441" s="43" t="s">
        <v>1874</v>
      </c>
      <c r="D4441" s="43" t="s">
        <v>2175</v>
      </c>
      <c r="E4441" s="43" t="s">
        <v>1882</v>
      </c>
      <c r="F4441" s="43">
        <v>0</v>
      </c>
      <c r="G4441" s="43" t="s">
        <v>4583</v>
      </c>
      <c r="H4441"/>
    </row>
    <row r="4442" spans="1:8" hidden="1" x14ac:dyDescent="0.25">
      <c r="A4442" s="43">
        <v>677</v>
      </c>
      <c r="B4442" s="43" t="s">
        <v>196</v>
      </c>
      <c r="C4442" s="43" t="s">
        <v>1874</v>
      </c>
      <c r="D4442" s="43" t="s">
        <v>1883</v>
      </c>
      <c r="E4442" s="43" t="s">
        <v>1884</v>
      </c>
      <c r="F4442" s="43">
        <v>0</v>
      </c>
      <c r="G4442" s="43" t="s">
        <v>4583</v>
      </c>
      <c r="H4442"/>
    </row>
    <row r="4443" spans="1:8" hidden="1" x14ac:dyDescent="0.25">
      <c r="A4443" s="43">
        <v>677</v>
      </c>
      <c r="B4443" s="43" t="s">
        <v>196</v>
      </c>
      <c r="C4443" s="43" t="s">
        <v>1874</v>
      </c>
      <c r="D4443" s="43" t="s">
        <v>1885</v>
      </c>
      <c r="E4443" s="43" t="s">
        <v>1886</v>
      </c>
      <c r="F4443" s="43">
        <v>0</v>
      </c>
      <c r="G4443" s="43" t="s">
        <v>4583</v>
      </c>
      <c r="H4443"/>
    </row>
    <row r="4444" spans="1:8" hidden="1" x14ac:dyDescent="0.25">
      <c r="A4444" s="43">
        <v>677</v>
      </c>
      <c r="B4444" s="43" t="s">
        <v>196</v>
      </c>
      <c r="C4444" s="43" t="s">
        <v>1874</v>
      </c>
      <c r="D4444" s="43" t="s">
        <v>1887</v>
      </c>
      <c r="E4444" s="43" t="s">
        <v>1888</v>
      </c>
      <c r="F4444" s="43">
        <v>0</v>
      </c>
      <c r="G4444" s="43" t="s">
        <v>4583</v>
      </c>
      <c r="H4444"/>
    </row>
    <row r="4445" spans="1:8" hidden="1" x14ac:dyDescent="0.25">
      <c r="A4445" s="43">
        <v>677</v>
      </c>
      <c r="B4445" s="43" t="s">
        <v>196</v>
      </c>
      <c r="C4445" s="43" t="s">
        <v>1874</v>
      </c>
      <c r="D4445" s="43" t="s">
        <v>1889</v>
      </c>
      <c r="E4445" s="43" t="s">
        <v>1890</v>
      </c>
      <c r="F4445" s="43">
        <v>0</v>
      </c>
      <c r="G4445" s="43" t="s">
        <v>4583</v>
      </c>
      <c r="H4445"/>
    </row>
    <row r="4446" spans="1:8" hidden="1" x14ac:dyDescent="0.25">
      <c r="A4446" s="43">
        <v>677</v>
      </c>
      <c r="B4446" s="43" t="s">
        <v>196</v>
      </c>
      <c r="C4446" s="43" t="s">
        <v>1874</v>
      </c>
      <c r="D4446" s="43" t="s">
        <v>1891</v>
      </c>
      <c r="E4446" s="43" t="s">
        <v>1892</v>
      </c>
      <c r="F4446" s="43">
        <v>0</v>
      </c>
      <c r="G4446" s="43" t="s">
        <v>4583</v>
      </c>
      <c r="H4446"/>
    </row>
    <row r="4447" spans="1:8" hidden="1" x14ac:dyDescent="0.25">
      <c r="A4447" s="43">
        <v>677</v>
      </c>
      <c r="B4447" s="43" t="s">
        <v>196</v>
      </c>
      <c r="C4447" s="43" t="s">
        <v>1874</v>
      </c>
      <c r="D4447" s="43" t="s">
        <v>1893</v>
      </c>
      <c r="E4447" s="43" t="s">
        <v>1894</v>
      </c>
      <c r="F4447" s="43">
        <v>0</v>
      </c>
      <c r="G4447" s="43" t="s">
        <v>4583</v>
      </c>
      <c r="H4447"/>
    </row>
    <row r="4448" spans="1:8" hidden="1" x14ac:dyDescent="0.25">
      <c r="A4448" s="43">
        <v>677</v>
      </c>
      <c r="B4448" s="43" t="s">
        <v>196</v>
      </c>
      <c r="C4448" s="43" t="s">
        <v>1874</v>
      </c>
      <c r="D4448" s="43" t="s">
        <v>1895</v>
      </c>
      <c r="E4448" s="43" t="s">
        <v>368</v>
      </c>
      <c r="F4448" s="43">
        <v>1</v>
      </c>
      <c r="G4448"/>
      <c r="H4448"/>
    </row>
    <row r="4449" spans="1:8" hidden="1" x14ac:dyDescent="0.25">
      <c r="A4449" s="43">
        <v>677</v>
      </c>
      <c r="B4449" s="43" t="s">
        <v>196</v>
      </c>
      <c r="C4449" s="43" t="s">
        <v>1874</v>
      </c>
      <c r="D4449" s="43" t="s">
        <v>1896</v>
      </c>
      <c r="E4449" s="43" t="s">
        <v>370</v>
      </c>
      <c r="F4449" s="43">
        <v>1</v>
      </c>
      <c r="G4449"/>
      <c r="H4449"/>
    </row>
    <row r="4450" spans="1:8" hidden="1" x14ac:dyDescent="0.25">
      <c r="A4450" s="43">
        <v>677</v>
      </c>
      <c r="B4450" s="43" t="s">
        <v>196</v>
      </c>
      <c r="C4450" s="43" t="s">
        <v>1874</v>
      </c>
      <c r="D4450" s="43" t="s">
        <v>1897</v>
      </c>
      <c r="E4450" s="43" t="s">
        <v>1898</v>
      </c>
      <c r="F4450" s="43">
        <v>0</v>
      </c>
      <c r="G4450" s="43" t="s">
        <v>4583</v>
      </c>
      <c r="H4450"/>
    </row>
    <row r="4451" spans="1:8" hidden="1" x14ac:dyDescent="0.25">
      <c r="A4451" s="43">
        <v>677</v>
      </c>
      <c r="B4451" s="43" t="s">
        <v>196</v>
      </c>
      <c r="C4451" s="43" t="s">
        <v>1874</v>
      </c>
      <c r="D4451" s="43" t="s">
        <v>1899</v>
      </c>
      <c r="E4451" s="43" t="s">
        <v>361</v>
      </c>
      <c r="F4451" s="43">
        <v>0</v>
      </c>
      <c r="G4451" s="43" t="s">
        <v>4583</v>
      </c>
      <c r="H4451"/>
    </row>
    <row r="4452" spans="1:8" hidden="1" x14ac:dyDescent="0.25">
      <c r="A4452" s="43">
        <v>677</v>
      </c>
      <c r="B4452" s="43" t="s">
        <v>196</v>
      </c>
      <c r="C4452" s="43" t="s">
        <v>1874</v>
      </c>
      <c r="D4452" s="43" t="s">
        <v>1900</v>
      </c>
      <c r="E4452" s="43" t="s">
        <v>359</v>
      </c>
      <c r="F4452" s="43">
        <v>0</v>
      </c>
      <c r="G4452" s="43" t="s">
        <v>4583</v>
      </c>
      <c r="H4452"/>
    </row>
    <row r="4453" spans="1:8" hidden="1" x14ac:dyDescent="0.25">
      <c r="A4453" s="43">
        <v>677</v>
      </c>
      <c r="B4453" s="43" t="s">
        <v>196</v>
      </c>
      <c r="C4453" s="43" t="s">
        <v>1874</v>
      </c>
      <c r="D4453" s="43" t="s">
        <v>1901</v>
      </c>
      <c r="E4453" s="43" t="s">
        <v>1902</v>
      </c>
      <c r="F4453" s="43">
        <v>0</v>
      </c>
      <c r="G4453" s="43" t="s">
        <v>4583</v>
      </c>
      <c r="H4453"/>
    </row>
    <row r="4454" spans="1:8" hidden="1" x14ac:dyDescent="0.25">
      <c r="A4454" s="43">
        <v>677</v>
      </c>
      <c r="B4454" s="43" t="s">
        <v>196</v>
      </c>
      <c r="C4454" s="43" t="s">
        <v>1874</v>
      </c>
      <c r="D4454" s="43" t="s">
        <v>1903</v>
      </c>
      <c r="E4454" s="43" t="s">
        <v>1904</v>
      </c>
      <c r="F4454" s="43">
        <v>0</v>
      </c>
      <c r="G4454" s="43" t="s">
        <v>4583</v>
      </c>
      <c r="H4454"/>
    </row>
    <row r="4455" spans="1:8" hidden="1" x14ac:dyDescent="0.25">
      <c r="A4455" s="43">
        <v>677</v>
      </c>
      <c r="B4455" s="43" t="s">
        <v>196</v>
      </c>
      <c r="C4455" s="43" t="s">
        <v>1874</v>
      </c>
      <c r="D4455" s="43" t="s">
        <v>1905</v>
      </c>
      <c r="E4455" s="43" t="s">
        <v>1906</v>
      </c>
      <c r="F4455" s="43">
        <v>0</v>
      </c>
      <c r="G4455" s="43" t="s">
        <v>4583</v>
      </c>
      <c r="H4455"/>
    </row>
    <row r="4456" spans="1:8" hidden="1" x14ac:dyDescent="0.25">
      <c r="A4456" s="43">
        <v>677</v>
      </c>
      <c r="B4456" s="43" t="s">
        <v>196</v>
      </c>
      <c r="C4456" s="43" t="s">
        <v>1874</v>
      </c>
      <c r="D4456" s="43" t="s">
        <v>1907</v>
      </c>
      <c r="E4456" s="43" t="s">
        <v>1908</v>
      </c>
      <c r="F4456" s="43">
        <v>0</v>
      </c>
      <c r="G4456" s="43" t="s">
        <v>4583</v>
      </c>
      <c r="H4456"/>
    </row>
    <row r="4457" spans="1:8" hidden="1" x14ac:dyDescent="0.25">
      <c r="A4457" s="43">
        <v>677</v>
      </c>
      <c r="B4457" s="43" t="s">
        <v>196</v>
      </c>
      <c r="C4457" s="43" t="s">
        <v>1366</v>
      </c>
      <c r="D4457" s="43" t="s">
        <v>1367</v>
      </c>
      <c r="E4457" s="43" t="s">
        <v>1368</v>
      </c>
      <c r="F4457" s="43">
        <v>0</v>
      </c>
      <c r="G4457" s="43" t="s">
        <v>4583</v>
      </c>
      <c r="H4457"/>
    </row>
    <row r="4458" spans="1:8" hidden="1" x14ac:dyDescent="0.25">
      <c r="A4458" s="43">
        <v>677</v>
      </c>
      <c r="B4458" s="43" t="s">
        <v>196</v>
      </c>
      <c r="C4458" s="43" t="s">
        <v>1366</v>
      </c>
      <c r="D4458" s="43" t="s">
        <v>1369</v>
      </c>
      <c r="E4458" s="43" t="s">
        <v>1370</v>
      </c>
      <c r="F4458" s="43">
        <v>0</v>
      </c>
      <c r="G4458" s="43" t="s">
        <v>4583</v>
      </c>
      <c r="H4458"/>
    </row>
    <row r="4459" spans="1:8" hidden="1" x14ac:dyDescent="0.25">
      <c r="A4459" s="43">
        <v>677</v>
      </c>
      <c r="B4459" s="43" t="s">
        <v>196</v>
      </c>
      <c r="C4459" s="43" t="s">
        <v>1366</v>
      </c>
      <c r="D4459" s="43" t="s">
        <v>1371</v>
      </c>
      <c r="E4459" s="43" t="s">
        <v>283</v>
      </c>
      <c r="F4459" s="43">
        <v>0</v>
      </c>
      <c r="G4459" s="43" t="s">
        <v>4583</v>
      </c>
      <c r="H4459"/>
    </row>
    <row r="4460" spans="1:8" hidden="1" x14ac:dyDescent="0.25">
      <c r="A4460" s="43">
        <v>677</v>
      </c>
      <c r="B4460" s="43" t="s">
        <v>196</v>
      </c>
      <c r="C4460" s="43" t="s">
        <v>1366</v>
      </c>
      <c r="D4460" s="43" t="s">
        <v>1372</v>
      </c>
      <c r="E4460" s="43" t="s">
        <v>4468</v>
      </c>
      <c r="F4460" s="43">
        <v>0</v>
      </c>
      <c r="G4460" s="43" t="s">
        <v>4583</v>
      </c>
      <c r="H4460"/>
    </row>
    <row r="4461" spans="1:8" hidden="1" x14ac:dyDescent="0.25">
      <c r="A4461" s="43">
        <v>677</v>
      </c>
      <c r="B4461" s="43" t="s">
        <v>196</v>
      </c>
      <c r="C4461" s="43" t="s">
        <v>1366</v>
      </c>
      <c r="D4461" s="43" t="s">
        <v>1374</v>
      </c>
      <c r="E4461" s="43" t="s">
        <v>1375</v>
      </c>
      <c r="F4461" s="43">
        <v>0</v>
      </c>
      <c r="G4461" s="43" t="s">
        <v>4583</v>
      </c>
      <c r="H4461"/>
    </row>
    <row r="4462" spans="1:8" hidden="1" x14ac:dyDescent="0.25">
      <c r="A4462" s="43">
        <v>677</v>
      </c>
      <c r="B4462" s="43" t="s">
        <v>196</v>
      </c>
      <c r="C4462" s="43" t="s">
        <v>1366</v>
      </c>
      <c r="D4462" s="43" t="s">
        <v>1376</v>
      </c>
      <c r="E4462" s="43" t="s">
        <v>531</v>
      </c>
      <c r="F4462" s="43">
        <v>0</v>
      </c>
      <c r="G4462" s="43" t="s">
        <v>4583</v>
      </c>
      <c r="H4462"/>
    </row>
    <row r="4463" spans="1:8" hidden="1" x14ac:dyDescent="0.25">
      <c r="A4463" s="43">
        <v>677</v>
      </c>
      <c r="B4463" s="43" t="s">
        <v>196</v>
      </c>
      <c r="C4463" s="43" t="s">
        <v>1366</v>
      </c>
      <c r="D4463" s="43" t="s">
        <v>1377</v>
      </c>
      <c r="E4463" s="43" t="s">
        <v>539</v>
      </c>
      <c r="F4463" s="43">
        <v>0</v>
      </c>
      <c r="G4463" s="43" t="s">
        <v>4583</v>
      </c>
      <c r="H4463"/>
    </row>
    <row r="4464" spans="1:8" hidden="1" x14ac:dyDescent="0.25">
      <c r="A4464" s="43">
        <v>677</v>
      </c>
      <c r="B4464" s="43" t="s">
        <v>196</v>
      </c>
      <c r="C4464" s="43" t="s">
        <v>1366</v>
      </c>
      <c r="D4464" s="43" t="s">
        <v>1378</v>
      </c>
      <c r="E4464" s="43" t="s">
        <v>541</v>
      </c>
      <c r="F4464" s="43">
        <v>0</v>
      </c>
      <c r="G4464" s="43" t="s">
        <v>4583</v>
      </c>
      <c r="H4464"/>
    </row>
    <row r="4465" spans="1:8" hidden="1" x14ac:dyDescent="0.25">
      <c r="A4465" s="43">
        <v>677</v>
      </c>
      <c r="B4465" s="43" t="s">
        <v>196</v>
      </c>
      <c r="C4465" s="43" t="s">
        <v>1366</v>
      </c>
      <c r="D4465" s="43" t="s">
        <v>1379</v>
      </c>
      <c r="E4465" s="43" t="s">
        <v>1380</v>
      </c>
      <c r="F4465" s="43">
        <v>0</v>
      </c>
      <c r="G4465" s="43" t="s">
        <v>4583</v>
      </c>
      <c r="H4465"/>
    </row>
    <row r="4466" spans="1:8" hidden="1" x14ac:dyDescent="0.25">
      <c r="A4466" s="43">
        <v>677</v>
      </c>
      <c r="B4466" s="43" t="s">
        <v>196</v>
      </c>
      <c r="C4466" s="43" t="s">
        <v>1366</v>
      </c>
      <c r="D4466" s="43" t="s">
        <v>1381</v>
      </c>
      <c r="E4466" s="43" t="s">
        <v>1382</v>
      </c>
      <c r="F4466" s="43">
        <v>0</v>
      </c>
      <c r="G4466" s="43" t="s">
        <v>4583</v>
      </c>
      <c r="H4466"/>
    </row>
    <row r="4467" spans="1:8" hidden="1" x14ac:dyDescent="0.25">
      <c r="A4467" s="43">
        <v>677</v>
      </c>
      <c r="B4467" s="43" t="s">
        <v>196</v>
      </c>
      <c r="C4467" s="43" t="s">
        <v>1366</v>
      </c>
      <c r="D4467" s="43" t="s">
        <v>1383</v>
      </c>
      <c r="E4467" s="43" t="s">
        <v>1384</v>
      </c>
      <c r="F4467" s="43">
        <v>0</v>
      </c>
      <c r="G4467" s="43" t="s">
        <v>4583</v>
      </c>
      <c r="H4467"/>
    </row>
    <row r="4468" spans="1:8" hidden="1" x14ac:dyDescent="0.25">
      <c r="A4468" s="43">
        <v>677</v>
      </c>
      <c r="B4468" s="43" t="s">
        <v>196</v>
      </c>
      <c r="C4468" s="43" t="s">
        <v>1366</v>
      </c>
      <c r="D4468" s="43" t="s">
        <v>1385</v>
      </c>
      <c r="E4468" s="43" t="s">
        <v>1386</v>
      </c>
      <c r="F4468" s="43">
        <v>1</v>
      </c>
      <c r="G4468"/>
      <c r="H4468"/>
    </row>
    <row r="4469" spans="1:8" hidden="1" x14ac:dyDescent="0.25">
      <c r="A4469" s="43">
        <v>677</v>
      </c>
      <c r="B4469" s="43" t="s">
        <v>196</v>
      </c>
      <c r="C4469" s="43" t="s">
        <v>1366</v>
      </c>
      <c r="D4469" s="43" t="s">
        <v>1387</v>
      </c>
      <c r="E4469" s="43" t="s">
        <v>295</v>
      </c>
      <c r="F4469" s="43">
        <v>0</v>
      </c>
      <c r="G4469" s="43" t="s">
        <v>4583</v>
      </c>
      <c r="H4469"/>
    </row>
    <row r="4470" spans="1:8" hidden="1" x14ac:dyDescent="0.25">
      <c r="A4470" s="43">
        <v>677</v>
      </c>
      <c r="B4470" s="43" t="s">
        <v>196</v>
      </c>
      <c r="C4470" s="43" t="s">
        <v>1366</v>
      </c>
      <c r="D4470" s="43" t="s">
        <v>1388</v>
      </c>
      <c r="E4470" s="43" t="s">
        <v>875</v>
      </c>
      <c r="F4470" s="43">
        <v>0</v>
      </c>
      <c r="G4470" s="43" t="s">
        <v>4583</v>
      </c>
      <c r="H4470"/>
    </row>
    <row r="4471" spans="1:8" hidden="1" x14ac:dyDescent="0.25">
      <c r="A4471" s="43">
        <v>677</v>
      </c>
      <c r="B4471" s="43" t="s">
        <v>196</v>
      </c>
      <c r="C4471" s="43" t="s">
        <v>1366</v>
      </c>
      <c r="D4471" s="43" t="s">
        <v>1389</v>
      </c>
      <c r="E4471" s="43" t="s">
        <v>551</v>
      </c>
      <c r="F4471" s="43">
        <v>0</v>
      </c>
      <c r="G4471" s="43" t="s">
        <v>4583</v>
      </c>
      <c r="H4471"/>
    </row>
    <row r="4472" spans="1:8" hidden="1" x14ac:dyDescent="0.25">
      <c r="A4472" s="43">
        <v>679</v>
      </c>
      <c r="B4472" s="43" t="s">
        <v>197</v>
      </c>
      <c r="C4472" s="43" t="s">
        <v>859</v>
      </c>
      <c r="D4472" s="43" t="s">
        <v>860</v>
      </c>
      <c r="E4472" s="43" t="s">
        <v>273</v>
      </c>
      <c r="F4472" s="43">
        <v>1</v>
      </c>
      <c r="G4472"/>
      <c r="H4472"/>
    </row>
    <row r="4473" spans="1:8" hidden="1" x14ac:dyDescent="0.25">
      <c r="A4473" s="43">
        <v>679</v>
      </c>
      <c r="B4473" s="43" t="s">
        <v>197</v>
      </c>
      <c r="C4473" s="43" t="s">
        <v>859</v>
      </c>
      <c r="D4473" s="43" t="s">
        <v>861</v>
      </c>
      <c r="E4473" s="43" t="s">
        <v>275</v>
      </c>
      <c r="F4473" s="43">
        <v>1</v>
      </c>
      <c r="G4473"/>
      <c r="H4473"/>
    </row>
    <row r="4474" spans="1:8" hidden="1" x14ac:dyDescent="0.25">
      <c r="A4474" s="43">
        <v>679</v>
      </c>
      <c r="B4474" s="43" t="s">
        <v>197</v>
      </c>
      <c r="C4474" s="43" t="s">
        <v>859</v>
      </c>
      <c r="D4474" s="43" t="s">
        <v>862</v>
      </c>
      <c r="E4474" s="43" t="s">
        <v>277</v>
      </c>
      <c r="F4474" s="43">
        <v>1</v>
      </c>
      <c r="G4474"/>
      <c r="H4474"/>
    </row>
    <row r="4475" spans="1:8" hidden="1" x14ac:dyDescent="0.25">
      <c r="A4475" s="43">
        <v>679</v>
      </c>
      <c r="B4475" s="43" t="s">
        <v>197</v>
      </c>
      <c r="C4475" s="43" t="s">
        <v>859</v>
      </c>
      <c r="D4475" s="43" t="s">
        <v>863</v>
      </c>
      <c r="E4475" s="43" t="s">
        <v>283</v>
      </c>
      <c r="F4475" s="43">
        <v>1</v>
      </c>
      <c r="G4475"/>
      <c r="H4475"/>
    </row>
    <row r="4476" spans="1:8" hidden="1" x14ac:dyDescent="0.25">
      <c r="A4476" s="43">
        <v>679</v>
      </c>
      <c r="B4476" s="43" t="s">
        <v>197</v>
      </c>
      <c r="C4476" s="43" t="s">
        <v>859</v>
      </c>
      <c r="D4476" s="43" t="s">
        <v>864</v>
      </c>
      <c r="E4476" s="43" t="s">
        <v>289</v>
      </c>
      <c r="F4476" s="43">
        <v>1</v>
      </c>
      <c r="G4476"/>
      <c r="H4476"/>
    </row>
    <row r="4477" spans="1:8" hidden="1" x14ac:dyDescent="0.25">
      <c r="A4477" s="43">
        <v>679</v>
      </c>
      <c r="B4477" s="43" t="s">
        <v>197</v>
      </c>
      <c r="C4477" s="43" t="s">
        <v>859</v>
      </c>
      <c r="D4477" s="43" t="s">
        <v>865</v>
      </c>
      <c r="E4477" s="43" t="s">
        <v>866</v>
      </c>
      <c r="F4477" s="43">
        <v>1</v>
      </c>
      <c r="G4477"/>
      <c r="H4477"/>
    </row>
    <row r="4478" spans="1:8" x14ac:dyDescent="0.25">
      <c r="A4478" s="43">
        <v>679</v>
      </c>
      <c r="B4478" s="43" t="s">
        <v>197</v>
      </c>
      <c r="C4478" s="43" t="s">
        <v>859</v>
      </c>
      <c r="D4478" s="43" t="s">
        <v>867</v>
      </c>
      <c r="E4478" s="43" t="s">
        <v>3016</v>
      </c>
      <c r="F4478" s="43">
        <v>2</v>
      </c>
      <c r="G4478" s="43" t="s">
        <v>4556</v>
      </c>
      <c r="H4478" s="43" t="s">
        <v>4580</v>
      </c>
    </row>
    <row r="4479" spans="1:8" hidden="1" x14ac:dyDescent="0.25">
      <c r="A4479" s="43">
        <v>679</v>
      </c>
      <c r="B4479" s="43" t="s">
        <v>197</v>
      </c>
      <c r="C4479" s="43" t="s">
        <v>859</v>
      </c>
      <c r="D4479" s="43" t="s">
        <v>869</v>
      </c>
      <c r="E4479" s="43" t="s">
        <v>870</v>
      </c>
      <c r="F4479" s="43">
        <v>1</v>
      </c>
      <c r="G4479"/>
      <c r="H4479"/>
    </row>
    <row r="4480" spans="1:8" hidden="1" x14ac:dyDescent="0.25">
      <c r="A4480" s="43">
        <v>679</v>
      </c>
      <c r="B4480" s="43" t="s">
        <v>197</v>
      </c>
      <c r="C4480" s="43" t="s">
        <v>859</v>
      </c>
      <c r="D4480" s="43" t="s">
        <v>871</v>
      </c>
      <c r="E4480" s="43" t="s">
        <v>295</v>
      </c>
      <c r="F4480" s="43">
        <v>1</v>
      </c>
      <c r="G4480"/>
      <c r="H4480"/>
    </row>
    <row r="4481" spans="1:8" hidden="1" x14ac:dyDescent="0.25">
      <c r="A4481" s="43">
        <v>679</v>
      </c>
      <c r="B4481" s="43" t="s">
        <v>197</v>
      </c>
      <c r="C4481" s="43" t="s">
        <v>859</v>
      </c>
      <c r="D4481" s="43" t="s">
        <v>872</v>
      </c>
      <c r="E4481" s="43" t="s">
        <v>873</v>
      </c>
      <c r="F4481" s="43">
        <v>1</v>
      </c>
      <c r="G4481"/>
      <c r="H4481"/>
    </row>
    <row r="4482" spans="1:8" hidden="1" x14ac:dyDescent="0.25">
      <c r="A4482" s="43">
        <v>679</v>
      </c>
      <c r="B4482" s="43" t="s">
        <v>197</v>
      </c>
      <c r="C4482" s="43" t="s">
        <v>859</v>
      </c>
      <c r="D4482" s="43" t="s">
        <v>874</v>
      </c>
      <c r="E4482" s="43" t="s">
        <v>875</v>
      </c>
      <c r="F4482" s="43">
        <v>1</v>
      </c>
      <c r="G4482"/>
      <c r="H4482"/>
    </row>
    <row r="4483" spans="1:8" hidden="1" x14ac:dyDescent="0.25">
      <c r="A4483" s="43">
        <v>679</v>
      </c>
      <c r="B4483" s="43" t="s">
        <v>197</v>
      </c>
      <c r="C4483" s="43" t="s">
        <v>859</v>
      </c>
      <c r="D4483" s="43" t="s">
        <v>876</v>
      </c>
      <c r="E4483" s="43" t="s">
        <v>372</v>
      </c>
      <c r="F4483" s="43">
        <v>1</v>
      </c>
      <c r="G4483"/>
      <c r="H4483"/>
    </row>
    <row r="4484" spans="1:8" x14ac:dyDescent="0.25">
      <c r="A4484" s="43">
        <v>681</v>
      </c>
      <c r="B4484" s="43" t="s">
        <v>198</v>
      </c>
      <c r="C4484" s="43" t="s">
        <v>1015</v>
      </c>
      <c r="D4484" s="43" t="s">
        <v>1016</v>
      </c>
      <c r="E4484" s="43" t="s">
        <v>1017</v>
      </c>
      <c r="F4484" s="43">
        <v>2</v>
      </c>
      <c r="G4484" s="43" t="s">
        <v>4557</v>
      </c>
      <c r="H4484" s="43" t="s">
        <v>4580</v>
      </c>
    </row>
    <row r="4485" spans="1:8" hidden="1" x14ac:dyDescent="0.25">
      <c r="A4485" s="43">
        <v>681</v>
      </c>
      <c r="B4485" s="43" t="s">
        <v>198</v>
      </c>
      <c r="C4485" s="43" t="s">
        <v>1015</v>
      </c>
      <c r="D4485" s="43" t="s">
        <v>1018</v>
      </c>
      <c r="E4485" s="43" t="s">
        <v>795</v>
      </c>
      <c r="F4485" s="43">
        <v>0</v>
      </c>
      <c r="G4485" s="43" t="s">
        <v>4704</v>
      </c>
      <c r="H4485" s="43" t="s">
        <v>4765</v>
      </c>
    </row>
    <row r="4486" spans="1:8" x14ac:dyDescent="0.25">
      <c r="A4486" s="43">
        <v>681</v>
      </c>
      <c r="B4486" s="43" t="s">
        <v>198</v>
      </c>
      <c r="C4486" s="43" t="s">
        <v>1015</v>
      </c>
      <c r="D4486" s="43" t="s">
        <v>1019</v>
      </c>
      <c r="E4486" s="43" t="s">
        <v>866</v>
      </c>
      <c r="F4486" s="43">
        <v>2</v>
      </c>
      <c r="G4486" s="43" t="s">
        <v>4558</v>
      </c>
      <c r="H4486" s="43" t="s">
        <v>4580</v>
      </c>
    </row>
    <row r="4487" spans="1:8" x14ac:dyDescent="0.25">
      <c r="A4487" s="43">
        <v>681</v>
      </c>
      <c r="B4487" s="43" t="s">
        <v>198</v>
      </c>
      <c r="C4487" s="43" t="s">
        <v>1015</v>
      </c>
      <c r="D4487" s="43" t="s">
        <v>1020</v>
      </c>
      <c r="E4487" s="43" t="s">
        <v>1021</v>
      </c>
      <c r="F4487" s="43">
        <v>2</v>
      </c>
      <c r="G4487" s="43" t="s">
        <v>4559</v>
      </c>
      <c r="H4487" s="43" t="s">
        <v>4580</v>
      </c>
    </row>
    <row r="4488" spans="1:8" x14ac:dyDescent="0.25">
      <c r="A4488" s="43">
        <v>681</v>
      </c>
      <c r="B4488" s="43" t="s">
        <v>198</v>
      </c>
      <c r="C4488" s="43" t="s">
        <v>1015</v>
      </c>
      <c r="D4488" s="43" t="s">
        <v>1022</v>
      </c>
      <c r="E4488" s="43" t="s">
        <v>3092</v>
      </c>
      <c r="F4488" s="43">
        <v>2</v>
      </c>
      <c r="G4488" s="43" t="s">
        <v>4560</v>
      </c>
      <c r="H4488" s="43" t="s">
        <v>4580</v>
      </c>
    </row>
    <row r="4489" spans="1:8" x14ac:dyDescent="0.25">
      <c r="A4489" s="43">
        <v>681</v>
      </c>
      <c r="B4489" s="43" t="s">
        <v>198</v>
      </c>
      <c r="C4489" s="43" t="s">
        <v>1015</v>
      </c>
      <c r="D4489" s="43" t="s">
        <v>1024</v>
      </c>
      <c r="E4489" s="43" t="s">
        <v>889</v>
      </c>
      <c r="F4489" s="43">
        <v>2</v>
      </c>
      <c r="G4489" s="43" t="s">
        <v>4576</v>
      </c>
      <c r="H4489" s="43" t="s">
        <v>4580</v>
      </c>
    </row>
    <row r="4490" spans="1:8" x14ac:dyDescent="0.25">
      <c r="A4490" s="43">
        <v>681</v>
      </c>
      <c r="B4490" s="43" t="s">
        <v>198</v>
      </c>
      <c r="C4490" s="43" t="s">
        <v>1015</v>
      </c>
      <c r="D4490" s="43" t="s">
        <v>1025</v>
      </c>
      <c r="E4490" s="43" t="s">
        <v>1026</v>
      </c>
      <c r="F4490" s="89">
        <v>2</v>
      </c>
      <c r="G4490" s="43" t="s">
        <v>4705</v>
      </c>
      <c r="H4490" s="43" t="s">
        <v>4580</v>
      </c>
    </row>
    <row r="4491" spans="1:8" x14ac:dyDescent="0.25">
      <c r="A4491" s="43">
        <v>681</v>
      </c>
      <c r="B4491" s="43" t="s">
        <v>198</v>
      </c>
      <c r="C4491" s="43" t="s">
        <v>1015</v>
      </c>
      <c r="D4491" s="43" t="s">
        <v>1027</v>
      </c>
      <c r="E4491" s="43" t="s">
        <v>4483</v>
      </c>
      <c r="F4491" s="89">
        <v>2</v>
      </c>
      <c r="G4491" s="43" t="s">
        <v>4705</v>
      </c>
      <c r="H4491" s="43" t="s">
        <v>4580</v>
      </c>
    </row>
    <row r="4492" spans="1:8" hidden="1" x14ac:dyDescent="0.25">
      <c r="A4492" s="43">
        <v>681</v>
      </c>
      <c r="B4492" s="43" t="s">
        <v>198</v>
      </c>
      <c r="C4492" s="43" t="s">
        <v>1015</v>
      </c>
      <c r="D4492" s="43" t="s">
        <v>1029</v>
      </c>
      <c r="E4492" s="43" t="s">
        <v>295</v>
      </c>
      <c r="F4492" s="43">
        <v>1</v>
      </c>
      <c r="G4492"/>
      <c r="H4492"/>
    </row>
    <row r="4493" spans="1:8" hidden="1" x14ac:dyDescent="0.25">
      <c r="A4493" s="43">
        <v>682</v>
      </c>
      <c r="B4493" s="43" t="s">
        <v>199</v>
      </c>
      <c r="C4493" s="43" t="s">
        <v>1640</v>
      </c>
      <c r="D4493" s="43" t="s">
        <v>1641</v>
      </c>
      <c r="E4493" s="43" t="s">
        <v>640</v>
      </c>
      <c r="F4493" s="43">
        <v>1</v>
      </c>
      <c r="G4493"/>
      <c r="H4493"/>
    </row>
    <row r="4494" spans="1:8" hidden="1" x14ac:dyDescent="0.25">
      <c r="A4494" s="43">
        <v>682</v>
      </c>
      <c r="B4494" s="43" t="s">
        <v>199</v>
      </c>
      <c r="C4494" s="43" t="s">
        <v>1640</v>
      </c>
      <c r="D4494" s="43" t="s">
        <v>1642</v>
      </c>
      <c r="E4494" s="43" t="s">
        <v>1643</v>
      </c>
      <c r="F4494" s="43">
        <v>1</v>
      </c>
      <c r="G4494"/>
      <c r="H4494"/>
    </row>
    <row r="4495" spans="1:8" hidden="1" x14ac:dyDescent="0.25">
      <c r="A4495" s="43">
        <v>682</v>
      </c>
      <c r="B4495" s="43" t="s">
        <v>199</v>
      </c>
      <c r="C4495" s="43" t="s">
        <v>1640</v>
      </c>
      <c r="D4495" s="43" t="s">
        <v>1644</v>
      </c>
      <c r="E4495" s="43" t="s">
        <v>1645</v>
      </c>
      <c r="F4495" s="43">
        <v>1</v>
      </c>
      <c r="G4495"/>
      <c r="H4495"/>
    </row>
    <row r="4496" spans="1:8" hidden="1" x14ac:dyDescent="0.25">
      <c r="A4496" s="43">
        <v>682</v>
      </c>
      <c r="B4496" s="43" t="s">
        <v>199</v>
      </c>
      <c r="C4496" s="43" t="s">
        <v>1640</v>
      </c>
      <c r="D4496" s="43" t="s">
        <v>1646</v>
      </c>
      <c r="E4496" s="43" t="s">
        <v>1647</v>
      </c>
      <c r="F4496" s="43">
        <v>1</v>
      </c>
      <c r="G4496"/>
      <c r="H4496"/>
    </row>
    <row r="4497" spans="1:8" hidden="1" x14ac:dyDescent="0.25">
      <c r="A4497" s="43">
        <v>682</v>
      </c>
      <c r="B4497" s="43" t="s">
        <v>199</v>
      </c>
      <c r="C4497" s="43" t="s">
        <v>1640</v>
      </c>
      <c r="D4497" s="43" t="s">
        <v>1648</v>
      </c>
      <c r="E4497" s="43" t="s">
        <v>1649</v>
      </c>
      <c r="F4497" s="43">
        <v>1</v>
      </c>
      <c r="G4497"/>
      <c r="H4497"/>
    </row>
    <row r="4498" spans="1:8" hidden="1" x14ac:dyDescent="0.25">
      <c r="A4498" s="43">
        <v>682</v>
      </c>
      <c r="B4498" s="43" t="s">
        <v>199</v>
      </c>
      <c r="C4498" s="43" t="s">
        <v>1640</v>
      </c>
      <c r="D4498" s="43" t="s">
        <v>1650</v>
      </c>
      <c r="E4498" s="43" t="s">
        <v>791</v>
      </c>
      <c r="F4498" s="43">
        <v>1</v>
      </c>
      <c r="G4498"/>
      <c r="H4498"/>
    </row>
    <row r="4499" spans="1:8" hidden="1" x14ac:dyDescent="0.25">
      <c r="A4499" s="43">
        <v>682</v>
      </c>
      <c r="B4499" s="43" t="s">
        <v>199</v>
      </c>
      <c r="C4499" s="43" t="s">
        <v>1640</v>
      </c>
      <c r="D4499" s="43" t="s">
        <v>1651</v>
      </c>
      <c r="E4499" s="43" t="s">
        <v>1652</v>
      </c>
      <c r="F4499" s="43">
        <v>1</v>
      </c>
      <c r="G4499"/>
      <c r="H4499"/>
    </row>
    <row r="4500" spans="1:8" hidden="1" x14ac:dyDescent="0.25">
      <c r="A4500" s="43">
        <v>682</v>
      </c>
      <c r="B4500" s="43" t="s">
        <v>199</v>
      </c>
      <c r="C4500" s="43" t="s">
        <v>1640</v>
      </c>
      <c r="D4500" s="43" t="s">
        <v>1653</v>
      </c>
      <c r="E4500" s="43" t="s">
        <v>1654</v>
      </c>
      <c r="F4500" s="43">
        <v>1</v>
      </c>
      <c r="G4500"/>
      <c r="H4500"/>
    </row>
    <row r="4501" spans="1:8" hidden="1" x14ac:dyDescent="0.25">
      <c r="A4501" s="43">
        <v>684</v>
      </c>
      <c r="B4501" s="43" t="s">
        <v>200</v>
      </c>
      <c r="C4501" s="43" t="s">
        <v>1790</v>
      </c>
      <c r="D4501" s="43" t="s">
        <v>1791</v>
      </c>
      <c r="E4501" s="43" t="s">
        <v>273</v>
      </c>
      <c r="F4501" s="43">
        <v>1</v>
      </c>
      <c r="G4501"/>
      <c r="H4501"/>
    </row>
    <row r="4502" spans="1:8" hidden="1" x14ac:dyDescent="0.25">
      <c r="A4502" s="43">
        <v>684</v>
      </c>
      <c r="B4502" s="43" t="s">
        <v>200</v>
      </c>
      <c r="C4502" s="43" t="s">
        <v>1790</v>
      </c>
      <c r="D4502" s="43" t="s">
        <v>1792</v>
      </c>
      <c r="E4502" s="43" t="s">
        <v>312</v>
      </c>
      <c r="F4502" s="43">
        <v>1</v>
      </c>
      <c r="G4502"/>
      <c r="H4502"/>
    </row>
    <row r="4503" spans="1:8" hidden="1" x14ac:dyDescent="0.25">
      <c r="A4503" s="43">
        <v>684</v>
      </c>
      <c r="B4503" s="43" t="s">
        <v>200</v>
      </c>
      <c r="C4503" s="43" t="s">
        <v>1790</v>
      </c>
      <c r="D4503" s="43" t="s">
        <v>1793</v>
      </c>
      <c r="E4503" s="43" t="s">
        <v>801</v>
      </c>
      <c r="F4503" s="43">
        <v>1</v>
      </c>
      <c r="G4503"/>
      <c r="H4503"/>
    </row>
    <row r="4504" spans="1:8" hidden="1" x14ac:dyDescent="0.25">
      <c r="A4504" s="43">
        <v>684</v>
      </c>
      <c r="B4504" s="43" t="s">
        <v>200</v>
      </c>
      <c r="C4504" s="43" t="s">
        <v>1790</v>
      </c>
      <c r="D4504" s="43" t="s">
        <v>1794</v>
      </c>
      <c r="E4504" s="43" t="s">
        <v>786</v>
      </c>
      <c r="F4504" s="43">
        <v>1</v>
      </c>
      <c r="G4504"/>
      <c r="H4504"/>
    </row>
    <row r="4505" spans="1:8" hidden="1" x14ac:dyDescent="0.25">
      <c r="A4505" s="43">
        <v>684</v>
      </c>
      <c r="B4505" s="43" t="s">
        <v>200</v>
      </c>
      <c r="C4505" s="43" t="s">
        <v>1790</v>
      </c>
      <c r="D4505" s="43" t="s">
        <v>1795</v>
      </c>
      <c r="E4505" s="43" t="s">
        <v>784</v>
      </c>
      <c r="F4505" s="89">
        <v>1</v>
      </c>
      <c r="G4505" s="44"/>
      <c r="H4505"/>
    </row>
    <row r="4506" spans="1:8" hidden="1" x14ac:dyDescent="0.25">
      <c r="A4506" s="43">
        <v>684</v>
      </c>
      <c r="B4506" s="43" t="s">
        <v>200</v>
      </c>
      <c r="C4506" s="43" t="s">
        <v>1790</v>
      </c>
      <c r="D4506" s="43" t="s">
        <v>1796</v>
      </c>
      <c r="E4506" s="43" t="s">
        <v>1205</v>
      </c>
      <c r="F4506" s="43">
        <v>1</v>
      </c>
      <c r="G4506"/>
      <c r="H4506"/>
    </row>
    <row r="4507" spans="1:8" hidden="1" x14ac:dyDescent="0.25">
      <c r="A4507" s="43">
        <v>684</v>
      </c>
      <c r="B4507" s="43" t="s">
        <v>200</v>
      </c>
      <c r="C4507" s="43" t="s">
        <v>1790</v>
      </c>
      <c r="D4507" s="43" t="s">
        <v>1797</v>
      </c>
      <c r="E4507" s="43" t="s">
        <v>1207</v>
      </c>
      <c r="F4507" s="43">
        <v>1</v>
      </c>
      <c r="G4507"/>
      <c r="H4507"/>
    </row>
    <row r="4508" spans="1:8" hidden="1" x14ac:dyDescent="0.25">
      <c r="A4508" s="43">
        <v>684</v>
      </c>
      <c r="B4508" s="43" t="s">
        <v>200</v>
      </c>
      <c r="C4508" s="43" t="s">
        <v>1790</v>
      </c>
      <c r="D4508" s="43" t="s">
        <v>1798</v>
      </c>
      <c r="E4508" s="43" t="s">
        <v>1209</v>
      </c>
      <c r="F4508" s="43">
        <v>1</v>
      </c>
      <c r="G4508"/>
      <c r="H4508"/>
    </row>
    <row r="4509" spans="1:8" hidden="1" x14ac:dyDescent="0.25">
      <c r="A4509" s="43">
        <v>684</v>
      </c>
      <c r="B4509" s="43" t="s">
        <v>200</v>
      </c>
      <c r="C4509" s="43" t="s">
        <v>1790</v>
      </c>
      <c r="D4509" s="43" t="s">
        <v>1799</v>
      </c>
      <c r="E4509" s="43" t="s">
        <v>789</v>
      </c>
      <c r="F4509" s="43">
        <v>0</v>
      </c>
      <c r="G4509" s="43" t="s">
        <v>4706</v>
      </c>
      <c r="H4509" s="43" t="s">
        <v>4761</v>
      </c>
    </row>
    <row r="4510" spans="1:8" hidden="1" x14ac:dyDescent="0.25">
      <c r="A4510" s="43">
        <v>684</v>
      </c>
      <c r="B4510" s="43" t="s">
        <v>200</v>
      </c>
      <c r="C4510" s="43" t="s">
        <v>1790</v>
      </c>
      <c r="D4510" s="43" t="s">
        <v>1800</v>
      </c>
      <c r="E4510" s="43" t="s">
        <v>1214</v>
      </c>
      <c r="F4510" s="43">
        <v>1</v>
      </c>
      <c r="G4510"/>
      <c r="H4510"/>
    </row>
    <row r="4511" spans="1:8" hidden="1" x14ac:dyDescent="0.25">
      <c r="A4511" s="43">
        <v>684</v>
      </c>
      <c r="B4511" s="43" t="s">
        <v>200</v>
      </c>
      <c r="C4511" s="43" t="s">
        <v>1790</v>
      </c>
      <c r="D4511" s="43" t="s">
        <v>1801</v>
      </c>
      <c r="E4511" s="43" t="s">
        <v>1784</v>
      </c>
      <c r="F4511" s="89">
        <v>1</v>
      </c>
      <c r="H4511"/>
    </row>
    <row r="4512" spans="1:8" hidden="1" x14ac:dyDescent="0.25">
      <c r="A4512" s="43">
        <v>684</v>
      </c>
      <c r="B4512" s="43" t="s">
        <v>200</v>
      </c>
      <c r="C4512" s="43" t="s">
        <v>1790</v>
      </c>
      <c r="D4512" s="43" t="s">
        <v>1802</v>
      </c>
      <c r="E4512" s="43" t="s">
        <v>791</v>
      </c>
      <c r="F4512" s="43">
        <v>1</v>
      </c>
      <c r="G4512"/>
      <c r="H4512"/>
    </row>
    <row r="4513" spans="1:8" hidden="1" x14ac:dyDescent="0.25">
      <c r="A4513" s="43">
        <v>684</v>
      </c>
      <c r="B4513" s="43" t="s">
        <v>200</v>
      </c>
      <c r="C4513" s="43" t="s">
        <v>1790</v>
      </c>
      <c r="D4513" s="43" t="s">
        <v>1803</v>
      </c>
      <c r="E4513" s="43" t="s">
        <v>795</v>
      </c>
      <c r="F4513" s="43">
        <v>1</v>
      </c>
      <c r="G4513"/>
      <c r="H4513"/>
    </row>
    <row r="4514" spans="1:8" hidden="1" x14ac:dyDescent="0.25">
      <c r="A4514" s="43">
        <v>684</v>
      </c>
      <c r="B4514" s="43" t="s">
        <v>200</v>
      </c>
      <c r="C4514" s="43" t="s">
        <v>1790</v>
      </c>
      <c r="D4514" s="43" t="s">
        <v>1804</v>
      </c>
      <c r="E4514" s="43" t="s">
        <v>372</v>
      </c>
      <c r="F4514" s="43">
        <v>0</v>
      </c>
      <c r="G4514" s="43" t="s">
        <v>4583</v>
      </c>
      <c r="H4514"/>
    </row>
    <row r="4515" spans="1:8" hidden="1" x14ac:dyDescent="0.25">
      <c r="A4515" s="43">
        <v>684</v>
      </c>
      <c r="B4515" s="43" t="s">
        <v>200</v>
      </c>
      <c r="C4515" s="43" t="s">
        <v>1790</v>
      </c>
      <c r="D4515" s="43" t="s">
        <v>1805</v>
      </c>
      <c r="E4515" s="43" t="s">
        <v>1806</v>
      </c>
      <c r="F4515" s="43">
        <v>1</v>
      </c>
      <c r="G4515"/>
      <c r="H4515"/>
    </row>
    <row r="4516" spans="1:8" hidden="1" x14ac:dyDescent="0.25">
      <c r="A4516" s="43">
        <v>684</v>
      </c>
      <c r="B4516" s="43" t="s">
        <v>200</v>
      </c>
      <c r="C4516" s="43" t="s">
        <v>1790</v>
      </c>
      <c r="D4516" s="43" t="s">
        <v>1807</v>
      </c>
      <c r="E4516" s="43" t="s">
        <v>1808</v>
      </c>
      <c r="F4516" s="43">
        <v>1</v>
      </c>
      <c r="G4516"/>
      <c r="H4516"/>
    </row>
    <row r="4517" spans="1:8" hidden="1" x14ac:dyDescent="0.25">
      <c r="A4517" s="43">
        <v>693</v>
      </c>
      <c r="B4517" s="43" t="s">
        <v>201</v>
      </c>
      <c r="C4517" s="43" t="s">
        <v>1245</v>
      </c>
      <c r="D4517" s="43" t="s">
        <v>1246</v>
      </c>
      <c r="E4517" s="43" t="s">
        <v>583</v>
      </c>
      <c r="F4517" s="43">
        <v>1</v>
      </c>
      <c r="G4517"/>
      <c r="H4517"/>
    </row>
    <row r="4518" spans="1:8" hidden="1" x14ac:dyDescent="0.25">
      <c r="A4518" s="43">
        <v>693</v>
      </c>
      <c r="B4518" s="43" t="s">
        <v>201</v>
      </c>
      <c r="C4518" s="43" t="s">
        <v>1245</v>
      </c>
      <c r="D4518" s="43" t="s">
        <v>1247</v>
      </c>
      <c r="E4518" s="43" t="s">
        <v>306</v>
      </c>
      <c r="F4518" s="43">
        <v>1</v>
      </c>
      <c r="G4518"/>
      <c r="H4518"/>
    </row>
    <row r="4519" spans="1:8" hidden="1" x14ac:dyDescent="0.25">
      <c r="A4519" s="43">
        <v>693</v>
      </c>
      <c r="B4519" s="43" t="s">
        <v>201</v>
      </c>
      <c r="C4519" s="43" t="s">
        <v>1245</v>
      </c>
      <c r="D4519" s="43" t="s">
        <v>1248</v>
      </c>
      <c r="E4519" s="43" t="s">
        <v>1249</v>
      </c>
      <c r="F4519" s="43">
        <v>2</v>
      </c>
      <c r="G4519" s="43" t="s">
        <v>4561</v>
      </c>
    </row>
    <row r="4520" spans="1:8" hidden="1" x14ac:dyDescent="0.25">
      <c r="A4520" s="43">
        <v>693</v>
      </c>
      <c r="B4520" s="43" t="s">
        <v>201</v>
      </c>
      <c r="C4520" s="43" t="s">
        <v>1245</v>
      </c>
      <c r="D4520" s="43" t="s">
        <v>1250</v>
      </c>
      <c r="E4520" s="43" t="s">
        <v>273</v>
      </c>
      <c r="F4520" s="43">
        <v>1</v>
      </c>
      <c r="G4520"/>
      <c r="H4520"/>
    </row>
    <row r="4521" spans="1:8" hidden="1" x14ac:dyDescent="0.25">
      <c r="A4521" s="43">
        <v>693</v>
      </c>
      <c r="B4521" s="43" t="s">
        <v>201</v>
      </c>
      <c r="C4521" s="43" t="s">
        <v>1245</v>
      </c>
      <c r="D4521" s="43" t="s">
        <v>1251</v>
      </c>
      <c r="E4521" s="43" t="s">
        <v>1252</v>
      </c>
      <c r="F4521" s="43">
        <v>1</v>
      </c>
      <c r="G4521"/>
      <c r="H4521"/>
    </row>
    <row r="4522" spans="1:8" hidden="1" x14ac:dyDescent="0.25">
      <c r="A4522" s="43">
        <v>693</v>
      </c>
      <c r="B4522" s="43" t="s">
        <v>201</v>
      </c>
      <c r="C4522" s="43" t="s">
        <v>1245</v>
      </c>
      <c r="D4522" s="43" t="s">
        <v>1253</v>
      </c>
      <c r="E4522" s="43" t="s">
        <v>633</v>
      </c>
      <c r="F4522" s="43">
        <v>1</v>
      </c>
      <c r="G4522"/>
      <c r="H4522"/>
    </row>
    <row r="4523" spans="1:8" hidden="1" x14ac:dyDescent="0.25">
      <c r="A4523" s="43">
        <v>693</v>
      </c>
      <c r="B4523" s="43" t="s">
        <v>201</v>
      </c>
      <c r="C4523" s="43" t="s">
        <v>1245</v>
      </c>
      <c r="D4523" s="43" t="s">
        <v>1254</v>
      </c>
      <c r="E4523" s="43" t="s">
        <v>668</v>
      </c>
      <c r="F4523" s="43">
        <v>1</v>
      </c>
      <c r="G4523"/>
      <c r="H4523"/>
    </row>
    <row r="4524" spans="1:8" hidden="1" x14ac:dyDescent="0.25">
      <c r="A4524" s="43">
        <v>693</v>
      </c>
      <c r="B4524" s="43" t="s">
        <v>201</v>
      </c>
      <c r="C4524" s="43" t="s">
        <v>1245</v>
      </c>
      <c r="D4524" s="43" t="s">
        <v>1255</v>
      </c>
      <c r="E4524" s="43" t="s">
        <v>1256</v>
      </c>
      <c r="F4524" s="43">
        <v>1</v>
      </c>
      <c r="G4524"/>
      <c r="H4524"/>
    </row>
    <row r="4525" spans="1:8" hidden="1" x14ac:dyDescent="0.25">
      <c r="A4525" s="43">
        <v>693</v>
      </c>
      <c r="B4525" s="43" t="s">
        <v>201</v>
      </c>
      <c r="C4525" s="43" t="s">
        <v>1245</v>
      </c>
      <c r="D4525" s="43" t="s">
        <v>1257</v>
      </c>
      <c r="E4525" s="43" t="s">
        <v>1258</v>
      </c>
      <c r="F4525" s="43">
        <v>2</v>
      </c>
      <c r="G4525" s="43" t="s">
        <v>4562</v>
      </c>
    </row>
    <row r="4526" spans="1:8" hidden="1" x14ac:dyDescent="0.25">
      <c r="A4526" s="43">
        <v>694</v>
      </c>
      <c r="B4526" s="43" t="s">
        <v>202</v>
      </c>
      <c r="C4526" s="43" t="s">
        <v>4492</v>
      </c>
      <c r="D4526" s="43" t="s">
        <v>1586</v>
      </c>
      <c r="E4526" s="43" t="s">
        <v>1587</v>
      </c>
      <c r="F4526" s="43">
        <v>0</v>
      </c>
      <c r="G4526" s="43" t="s">
        <v>4707</v>
      </c>
      <c r="H4526" s="43" t="s">
        <v>4759</v>
      </c>
    </row>
    <row r="4527" spans="1:8" hidden="1" x14ac:dyDescent="0.25">
      <c r="A4527" s="43">
        <v>694</v>
      </c>
      <c r="B4527" s="43" t="s">
        <v>202</v>
      </c>
      <c r="C4527" s="43" t="s">
        <v>4492</v>
      </c>
      <c r="D4527" s="43" t="s">
        <v>1588</v>
      </c>
      <c r="E4527" s="43" t="s">
        <v>1589</v>
      </c>
      <c r="F4527" s="43">
        <v>1</v>
      </c>
      <c r="G4527"/>
      <c r="H4527"/>
    </row>
    <row r="4528" spans="1:8" hidden="1" x14ac:dyDescent="0.25">
      <c r="A4528" s="43">
        <v>694</v>
      </c>
      <c r="B4528" s="43" t="s">
        <v>202</v>
      </c>
      <c r="C4528" s="43" t="s">
        <v>4492</v>
      </c>
      <c r="D4528" s="43" t="s">
        <v>1590</v>
      </c>
      <c r="E4528" s="43" t="s">
        <v>1591</v>
      </c>
      <c r="F4528" s="43">
        <v>1</v>
      </c>
      <c r="G4528" s="43" t="s">
        <v>4563</v>
      </c>
    </row>
    <row r="4529" spans="1:8" hidden="1" x14ac:dyDescent="0.25">
      <c r="A4529" s="43">
        <v>694</v>
      </c>
      <c r="B4529" s="43" t="s">
        <v>202</v>
      </c>
      <c r="C4529" s="43" t="s">
        <v>4492</v>
      </c>
      <c r="D4529" s="43" t="s">
        <v>1592</v>
      </c>
      <c r="E4529" s="43" t="s">
        <v>1593</v>
      </c>
      <c r="F4529" s="43">
        <v>0</v>
      </c>
      <c r="G4529" s="43" t="s">
        <v>4708</v>
      </c>
      <c r="H4529" s="43" t="s">
        <v>4759</v>
      </c>
    </row>
    <row r="4530" spans="1:8" hidden="1" x14ac:dyDescent="0.25">
      <c r="A4530" s="43">
        <v>694</v>
      </c>
      <c r="B4530" s="43" t="s">
        <v>202</v>
      </c>
      <c r="C4530" s="43" t="s">
        <v>4492</v>
      </c>
      <c r="D4530" s="43" t="s">
        <v>1594</v>
      </c>
      <c r="E4530" s="43" t="s">
        <v>1595</v>
      </c>
      <c r="F4530" s="43">
        <v>1</v>
      </c>
      <c r="G4530"/>
      <c r="H4530"/>
    </row>
    <row r="4531" spans="1:8" hidden="1" x14ac:dyDescent="0.25">
      <c r="A4531" s="43">
        <v>694</v>
      </c>
      <c r="B4531" s="43" t="s">
        <v>202</v>
      </c>
      <c r="C4531" s="43" t="s">
        <v>4492</v>
      </c>
      <c r="D4531" s="43" t="s">
        <v>1596</v>
      </c>
      <c r="E4531" s="43" t="s">
        <v>1597</v>
      </c>
      <c r="F4531" s="43">
        <v>1</v>
      </c>
      <c r="G4531"/>
      <c r="H4531"/>
    </row>
    <row r="4532" spans="1:8" hidden="1" x14ac:dyDescent="0.25">
      <c r="A4532" s="43">
        <v>694</v>
      </c>
      <c r="B4532" s="43" t="s">
        <v>202</v>
      </c>
      <c r="C4532" s="43" t="s">
        <v>4492</v>
      </c>
      <c r="D4532" s="43" t="s">
        <v>1598</v>
      </c>
      <c r="E4532" s="43" t="s">
        <v>1599</v>
      </c>
      <c r="F4532" s="43">
        <v>1</v>
      </c>
      <c r="G4532"/>
      <c r="H4532"/>
    </row>
    <row r="4533" spans="1:8" x14ac:dyDescent="0.25">
      <c r="A4533" s="43">
        <v>694</v>
      </c>
      <c r="B4533" s="43" t="s">
        <v>202</v>
      </c>
      <c r="C4533" s="43" t="s">
        <v>4492</v>
      </c>
      <c r="D4533" s="43" t="s">
        <v>1600</v>
      </c>
      <c r="E4533" s="43" t="s">
        <v>1601</v>
      </c>
      <c r="F4533" s="43">
        <v>2</v>
      </c>
      <c r="G4533" s="43" t="s">
        <v>4564</v>
      </c>
      <c r="H4533" s="43" t="s">
        <v>4580</v>
      </c>
    </row>
    <row r="4534" spans="1:8" hidden="1" x14ac:dyDescent="0.25">
      <c r="A4534" s="43">
        <v>694</v>
      </c>
      <c r="B4534" s="43" t="s">
        <v>202</v>
      </c>
      <c r="C4534" s="43" t="s">
        <v>4492</v>
      </c>
      <c r="D4534" s="43" t="s">
        <v>1602</v>
      </c>
      <c r="E4534" s="43" t="s">
        <v>1603</v>
      </c>
      <c r="F4534" s="43">
        <v>1</v>
      </c>
      <c r="G4534"/>
      <c r="H4534"/>
    </row>
    <row r="4535" spans="1:8" hidden="1" x14ac:dyDescent="0.25">
      <c r="A4535" s="43">
        <v>694</v>
      </c>
      <c r="B4535" s="43" t="s">
        <v>202</v>
      </c>
      <c r="C4535" s="43" t="s">
        <v>4492</v>
      </c>
      <c r="D4535" s="43" t="s">
        <v>1604</v>
      </c>
      <c r="E4535" s="43" t="s">
        <v>1605</v>
      </c>
      <c r="F4535" s="43">
        <v>1</v>
      </c>
      <c r="G4535"/>
      <c r="H4535"/>
    </row>
    <row r="4536" spans="1:8" hidden="1" x14ac:dyDescent="0.25">
      <c r="A4536" s="43">
        <v>694</v>
      </c>
      <c r="B4536" s="43" t="s">
        <v>202</v>
      </c>
      <c r="C4536" s="43" t="s">
        <v>4492</v>
      </c>
      <c r="D4536" s="43" t="s">
        <v>1606</v>
      </c>
      <c r="E4536" s="43" t="s">
        <v>1607</v>
      </c>
      <c r="F4536" s="43">
        <v>1</v>
      </c>
      <c r="G4536"/>
      <c r="H4536"/>
    </row>
    <row r="4537" spans="1:8" hidden="1" x14ac:dyDescent="0.25">
      <c r="A4537" s="43">
        <v>694</v>
      </c>
      <c r="B4537" s="43" t="s">
        <v>202</v>
      </c>
      <c r="C4537" s="43" t="s">
        <v>4492</v>
      </c>
      <c r="D4537" s="43" t="s">
        <v>1608</v>
      </c>
      <c r="E4537" s="43" t="s">
        <v>4493</v>
      </c>
      <c r="F4537" s="43">
        <v>0</v>
      </c>
      <c r="G4537" s="43" t="s">
        <v>4583</v>
      </c>
      <c r="H4537"/>
    </row>
    <row r="4538" spans="1:8" hidden="1" x14ac:dyDescent="0.25">
      <c r="A4538" s="43">
        <v>694</v>
      </c>
      <c r="B4538" s="43" t="s">
        <v>202</v>
      </c>
      <c r="C4538" s="43" t="s">
        <v>4492</v>
      </c>
      <c r="D4538" s="43" t="s">
        <v>1610</v>
      </c>
      <c r="E4538" s="43" t="s">
        <v>1430</v>
      </c>
      <c r="F4538" s="43">
        <v>0</v>
      </c>
      <c r="G4538" s="43" t="s">
        <v>4583</v>
      </c>
      <c r="H4538"/>
    </row>
    <row r="4539" spans="1:8" hidden="1" x14ac:dyDescent="0.25">
      <c r="A4539" s="43">
        <v>694</v>
      </c>
      <c r="B4539" s="43" t="s">
        <v>202</v>
      </c>
      <c r="C4539" s="43" t="s">
        <v>4492</v>
      </c>
      <c r="D4539" s="43" t="s">
        <v>1611</v>
      </c>
      <c r="E4539" s="43" t="s">
        <v>503</v>
      </c>
      <c r="F4539" s="43">
        <v>0</v>
      </c>
      <c r="G4539" s="43" t="s">
        <v>4583</v>
      </c>
      <c r="H4539"/>
    </row>
    <row r="4540" spans="1:8" hidden="1" x14ac:dyDescent="0.25">
      <c r="A4540" s="43">
        <v>694</v>
      </c>
      <c r="B4540" s="43" t="s">
        <v>202</v>
      </c>
      <c r="C4540" s="43" t="s">
        <v>4492</v>
      </c>
      <c r="D4540" s="43" t="s">
        <v>1612</v>
      </c>
      <c r="E4540" s="43" t="s">
        <v>1535</v>
      </c>
      <c r="F4540" s="43">
        <v>0</v>
      </c>
      <c r="G4540" s="43" t="s">
        <v>4583</v>
      </c>
      <c r="H4540"/>
    </row>
    <row r="4541" spans="1:8" hidden="1" x14ac:dyDescent="0.25">
      <c r="A4541" s="43">
        <v>698</v>
      </c>
      <c r="B4541" s="43" t="s">
        <v>203</v>
      </c>
      <c r="C4541" s="43" t="s">
        <v>994</v>
      </c>
      <c r="D4541" s="43" t="s">
        <v>995</v>
      </c>
      <c r="E4541" s="43" t="s">
        <v>996</v>
      </c>
      <c r="F4541" s="43">
        <v>1</v>
      </c>
      <c r="G4541"/>
      <c r="H4541"/>
    </row>
    <row r="4542" spans="1:8" hidden="1" x14ac:dyDescent="0.25">
      <c r="A4542" s="43">
        <v>698</v>
      </c>
      <c r="B4542" s="43" t="s">
        <v>203</v>
      </c>
      <c r="C4542" s="43" t="s">
        <v>994</v>
      </c>
      <c r="D4542" s="43" t="s">
        <v>997</v>
      </c>
      <c r="E4542" s="43" t="s">
        <v>998</v>
      </c>
      <c r="F4542" s="43">
        <v>1</v>
      </c>
      <c r="G4542"/>
      <c r="H4542"/>
    </row>
    <row r="4543" spans="1:8" hidden="1" x14ac:dyDescent="0.25">
      <c r="A4543" s="43">
        <v>698</v>
      </c>
      <c r="B4543" s="43" t="s">
        <v>203</v>
      </c>
      <c r="C4543" s="43" t="s">
        <v>994</v>
      </c>
      <c r="D4543" s="43" t="s">
        <v>999</v>
      </c>
      <c r="E4543" s="43" t="s">
        <v>1000</v>
      </c>
      <c r="F4543" s="43">
        <v>1</v>
      </c>
      <c r="G4543"/>
      <c r="H4543"/>
    </row>
    <row r="4544" spans="1:8" hidden="1" x14ac:dyDescent="0.25">
      <c r="A4544" s="43">
        <v>698</v>
      </c>
      <c r="B4544" s="43" t="s">
        <v>203</v>
      </c>
      <c r="C4544" s="43" t="s">
        <v>994</v>
      </c>
      <c r="D4544" s="43" t="s">
        <v>1001</v>
      </c>
      <c r="E4544" s="43" t="s">
        <v>1002</v>
      </c>
      <c r="F4544" s="43">
        <v>1</v>
      </c>
      <c r="G4544"/>
      <c r="H4544"/>
    </row>
    <row r="4545" spans="1:8" hidden="1" x14ac:dyDescent="0.25">
      <c r="A4545" s="43">
        <v>698</v>
      </c>
      <c r="B4545" s="43" t="s">
        <v>203</v>
      </c>
      <c r="C4545" s="43" t="s">
        <v>994</v>
      </c>
      <c r="D4545" s="43" t="s">
        <v>1003</v>
      </c>
      <c r="E4545" s="43" t="s">
        <v>1004</v>
      </c>
      <c r="F4545" s="43">
        <v>1</v>
      </c>
      <c r="G4545"/>
      <c r="H4545"/>
    </row>
    <row r="4546" spans="1:8" hidden="1" x14ac:dyDescent="0.25">
      <c r="A4546" s="43">
        <v>698</v>
      </c>
      <c r="B4546" s="43" t="s">
        <v>203</v>
      </c>
      <c r="C4546" s="43" t="s">
        <v>994</v>
      </c>
      <c r="D4546" s="43" t="s">
        <v>1005</v>
      </c>
      <c r="E4546" s="43" t="s">
        <v>1006</v>
      </c>
      <c r="F4546" s="43">
        <v>1</v>
      </c>
      <c r="G4546"/>
      <c r="H4546"/>
    </row>
    <row r="4547" spans="1:8" hidden="1" x14ac:dyDescent="0.25">
      <c r="A4547" s="43">
        <v>698</v>
      </c>
      <c r="B4547" s="43" t="s">
        <v>203</v>
      </c>
      <c r="C4547" s="43" t="s">
        <v>994</v>
      </c>
      <c r="D4547" s="43" t="s">
        <v>1007</v>
      </c>
      <c r="E4547" s="43" t="s">
        <v>1008</v>
      </c>
      <c r="F4547" s="43">
        <v>1</v>
      </c>
      <c r="G4547"/>
      <c r="H4547"/>
    </row>
    <row r="4548" spans="1:8" hidden="1" x14ac:dyDescent="0.25">
      <c r="A4548" s="43">
        <v>698</v>
      </c>
      <c r="B4548" s="43" t="s">
        <v>203</v>
      </c>
      <c r="C4548" s="43" t="s">
        <v>994</v>
      </c>
      <c r="D4548" s="43" t="s">
        <v>1009</v>
      </c>
      <c r="E4548" s="43" t="s">
        <v>1010</v>
      </c>
      <c r="F4548" s="43">
        <v>1</v>
      </c>
      <c r="G4548"/>
      <c r="H4548"/>
    </row>
    <row r="4549" spans="1:8" hidden="1" x14ac:dyDescent="0.25">
      <c r="A4549" s="43">
        <v>698</v>
      </c>
      <c r="B4549" s="43" t="s">
        <v>203</v>
      </c>
      <c r="C4549" s="43" t="s">
        <v>994</v>
      </c>
      <c r="D4549" s="43" t="s">
        <v>1011</v>
      </c>
      <c r="E4549" s="43" t="s">
        <v>1012</v>
      </c>
      <c r="F4549" s="43">
        <v>1</v>
      </c>
      <c r="G4549"/>
      <c r="H4549"/>
    </row>
    <row r="4550" spans="1:8" hidden="1" x14ac:dyDescent="0.25">
      <c r="A4550" s="43">
        <v>698</v>
      </c>
      <c r="B4550" s="43" t="s">
        <v>203</v>
      </c>
      <c r="C4550" s="43" t="s">
        <v>994</v>
      </c>
      <c r="D4550" s="43" t="s">
        <v>1013</v>
      </c>
      <c r="E4550" s="43" t="s">
        <v>1014</v>
      </c>
      <c r="F4550" s="43">
        <v>1</v>
      </c>
      <c r="G4550"/>
      <c r="H4550"/>
    </row>
    <row r="4551" spans="1:8" hidden="1" x14ac:dyDescent="0.25">
      <c r="A4551" s="43">
        <v>699</v>
      </c>
      <c r="B4551" s="43" t="s">
        <v>203</v>
      </c>
      <c r="C4551" s="43" t="s">
        <v>994</v>
      </c>
      <c r="D4551" s="43" t="s">
        <v>995</v>
      </c>
      <c r="E4551" s="43" t="s">
        <v>996</v>
      </c>
      <c r="F4551" s="43">
        <v>1</v>
      </c>
      <c r="G4551"/>
      <c r="H4551"/>
    </row>
    <row r="4552" spans="1:8" hidden="1" x14ac:dyDescent="0.25">
      <c r="A4552" s="43">
        <v>699</v>
      </c>
      <c r="B4552" s="43" t="s">
        <v>203</v>
      </c>
      <c r="C4552" s="43" t="s">
        <v>994</v>
      </c>
      <c r="D4552" s="43" t="s">
        <v>997</v>
      </c>
      <c r="E4552" s="43" t="s">
        <v>998</v>
      </c>
      <c r="F4552" s="43">
        <v>1</v>
      </c>
      <c r="G4552"/>
      <c r="H4552"/>
    </row>
    <row r="4553" spans="1:8" hidden="1" x14ac:dyDescent="0.25">
      <c r="A4553" s="43">
        <v>699</v>
      </c>
      <c r="B4553" s="43" t="s">
        <v>203</v>
      </c>
      <c r="C4553" s="43" t="s">
        <v>994</v>
      </c>
      <c r="D4553" s="43" t="s">
        <v>999</v>
      </c>
      <c r="E4553" s="43" t="s">
        <v>1000</v>
      </c>
      <c r="F4553" s="43">
        <v>1</v>
      </c>
      <c r="G4553"/>
      <c r="H4553"/>
    </row>
    <row r="4554" spans="1:8" hidden="1" x14ac:dyDescent="0.25">
      <c r="A4554" s="43">
        <v>699</v>
      </c>
      <c r="B4554" s="43" t="s">
        <v>203</v>
      </c>
      <c r="C4554" s="43" t="s">
        <v>994</v>
      </c>
      <c r="D4554" s="43" t="s">
        <v>1001</v>
      </c>
      <c r="E4554" s="43" t="s">
        <v>1002</v>
      </c>
      <c r="F4554" s="43">
        <v>1</v>
      </c>
      <c r="G4554"/>
      <c r="H4554"/>
    </row>
    <row r="4555" spans="1:8" hidden="1" x14ac:dyDescent="0.25">
      <c r="A4555" s="43">
        <v>699</v>
      </c>
      <c r="B4555" s="43" t="s">
        <v>203</v>
      </c>
      <c r="C4555" s="43" t="s">
        <v>994</v>
      </c>
      <c r="D4555" s="43" t="s">
        <v>1003</v>
      </c>
      <c r="E4555" s="43" t="s">
        <v>1004</v>
      </c>
      <c r="F4555" s="43">
        <v>1</v>
      </c>
      <c r="G4555"/>
      <c r="H4555"/>
    </row>
    <row r="4556" spans="1:8" hidden="1" x14ac:dyDescent="0.25">
      <c r="A4556" s="43">
        <v>699</v>
      </c>
      <c r="B4556" s="43" t="s">
        <v>203</v>
      </c>
      <c r="C4556" s="43" t="s">
        <v>994</v>
      </c>
      <c r="D4556" s="43" t="s">
        <v>1005</v>
      </c>
      <c r="E4556" s="43" t="s">
        <v>1006</v>
      </c>
      <c r="F4556" s="43">
        <v>1</v>
      </c>
      <c r="G4556"/>
      <c r="H4556"/>
    </row>
    <row r="4557" spans="1:8" hidden="1" x14ac:dyDescent="0.25">
      <c r="A4557" s="43">
        <v>699</v>
      </c>
      <c r="B4557" s="43" t="s">
        <v>203</v>
      </c>
      <c r="C4557" s="43" t="s">
        <v>994</v>
      </c>
      <c r="D4557" s="43" t="s">
        <v>1007</v>
      </c>
      <c r="E4557" s="43" t="s">
        <v>1008</v>
      </c>
      <c r="F4557" s="43">
        <v>1</v>
      </c>
      <c r="G4557"/>
      <c r="H4557"/>
    </row>
    <row r="4558" spans="1:8" hidden="1" x14ac:dyDescent="0.25">
      <c r="A4558" s="43">
        <v>699</v>
      </c>
      <c r="B4558" s="43" t="s">
        <v>203</v>
      </c>
      <c r="C4558" s="43" t="s">
        <v>994</v>
      </c>
      <c r="D4558" s="43" t="s">
        <v>1009</v>
      </c>
      <c r="E4558" s="43" t="s">
        <v>1010</v>
      </c>
      <c r="F4558" s="43">
        <v>1</v>
      </c>
      <c r="G4558"/>
      <c r="H4558"/>
    </row>
    <row r="4559" spans="1:8" hidden="1" x14ac:dyDescent="0.25">
      <c r="A4559" s="43">
        <v>699</v>
      </c>
      <c r="B4559" s="43" t="s">
        <v>203</v>
      </c>
      <c r="C4559" s="43" t="s">
        <v>994</v>
      </c>
      <c r="D4559" s="43" t="s">
        <v>1011</v>
      </c>
      <c r="E4559" s="43" t="s">
        <v>1012</v>
      </c>
      <c r="F4559" s="43">
        <v>1</v>
      </c>
      <c r="G4559"/>
      <c r="H4559"/>
    </row>
    <row r="4560" spans="1:8" hidden="1" x14ac:dyDescent="0.25">
      <c r="A4560" s="43">
        <v>699</v>
      </c>
      <c r="B4560" s="43" t="s">
        <v>203</v>
      </c>
      <c r="C4560" s="43" t="s">
        <v>994</v>
      </c>
      <c r="D4560" s="43" t="s">
        <v>1013</v>
      </c>
      <c r="E4560" s="43" t="s">
        <v>1014</v>
      </c>
      <c r="F4560" s="43">
        <v>1</v>
      </c>
      <c r="G4560"/>
      <c r="H4560"/>
    </row>
    <row r="4561" spans="1:8" hidden="1" x14ac:dyDescent="0.25">
      <c r="A4561" s="43">
        <v>703</v>
      </c>
      <c r="B4561" s="43" t="s">
        <v>204</v>
      </c>
      <c r="C4561" s="43" t="s">
        <v>581</v>
      </c>
      <c r="D4561" s="43" t="s">
        <v>582</v>
      </c>
      <c r="E4561" s="43" t="s">
        <v>583</v>
      </c>
      <c r="F4561" s="43">
        <v>1</v>
      </c>
      <c r="G4561"/>
      <c r="H4561"/>
    </row>
    <row r="4562" spans="1:8" hidden="1" x14ac:dyDescent="0.25">
      <c r="A4562" s="43">
        <v>703</v>
      </c>
      <c r="B4562" s="43" t="s">
        <v>204</v>
      </c>
      <c r="C4562" s="43" t="s">
        <v>581</v>
      </c>
      <c r="D4562" s="43" t="s">
        <v>584</v>
      </c>
      <c r="E4562" s="43" t="s">
        <v>306</v>
      </c>
      <c r="F4562" s="43">
        <v>1</v>
      </c>
      <c r="G4562"/>
      <c r="H4562"/>
    </row>
    <row r="4563" spans="1:8" hidden="1" x14ac:dyDescent="0.25">
      <c r="A4563" s="43">
        <v>703</v>
      </c>
      <c r="B4563" s="43" t="s">
        <v>204</v>
      </c>
      <c r="C4563" s="43" t="s">
        <v>581</v>
      </c>
      <c r="D4563" s="43" t="s">
        <v>585</v>
      </c>
      <c r="E4563" s="43" t="s">
        <v>586</v>
      </c>
      <c r="F4563" s="43">
        <v>1</v>
      </c>
      <c r="G4563"/>
      <c r="H4563"/>
    </row>
    <row r="4564" spans="1:8" hidden="1" x14ac:dyDescent="0.25">
      <c r="A4564" s="43">
        <v>703</v>
      </c>
      <c r="B4564" s="43" t="s">
        <v>204</v>
      </c>
      <c r="C4564" s="43" t="s">
        <v>581</v>
      </c>
      <c r="D4564" s="43" t="s">
        <v>587</v>
      </c>
      <c r="E4564" s="43" t="s">
        <v>588</v>
      </c>
      <c r="F4564" s="43">
        <v>1</v>
      </c>
      <c r="G4564"/>
      <c r="H4564"/>
    </row>
    <row r="4565" spans="1:8" hidden="1" x14ac:dyDescent="0.25">
      <c r="A4565" s="43">
        <v>703</v>
      </c>
      <c r="B4565" s="43" t="s">
        <v>204</v>
      </c>
      <c r="C4565" s="43" t="s">
        <v>581</v>
      </c>
      <c r="D4565" s="43" t="s">
        <v>589</v>
      </c>
      <c r="E4565" s="43" t="s">
        <v>312</v>
      </c>
      <c r="F4565" s="43">
        <v>1</v>
      </c>
      <c r="G4565"/>
      <c r="H4565"/>
    </row>
    <row r="4566" spans="1:8" hidden="1" x14ac:dyDescent="0.25">
      <c r="A4566" s="43">
        <v>703</v>
      </c>
      <c r="B4566" s="43" t="s">
        <v>204</v>
      </c>
      <c r="C4566" s="43" t="s">
        <v>581</v>
      </c>
      <c r="D4566" s="43" t="s">
        <v>590</v>
      </c>
      <c r="E4566" s="43" t="s">
        <v>493</v>
      </c>
      <c r="F4566" s="43">
        <v>1</v>
      </c>
      <c r="G4566"/>
      <c r="H4566"/>
    </row>
    <row r="4567" spans="1:8" hidden="1" x14ac:dyDescent="0.25">
      <c r="A4567" s="43">
        <v>703</v>
      </c>
      <c r="B4567" s="43" t="s">
        <v>204</v>
      </c>
      <c r="C4567" s="43" t="s">
        <v>581</v>
      </c>
      <c r="D4567" s="43" t="s">
        <v>591</v>
      </c>
      <c r="E4567" s="43" t="s">
        <v>314</v>
      </c>
      <c r="F4567" s="43">
        <v>1</v>
      </c>
      <c r="G4567"/>
      <c r="H4567"/>
    </row>
    <row r="4568" spans="1:8" hidden="1" x14ac:dyDescent="0.25">
      <c r="A4568" s="43">
        <v>703</v>
      </c>
      <c r="B4568" s="43" t="s">
        <v>204</v>
      </c>
      <c r="C4568" s="43" t="s">
        <v>581</v>
      </c>
      <c r="D4568" s="43" t="s">
        <v>592</v>
      </c>
      <c r="E4568" s="43" t="s">
        <v>275</v>
      </c>
      <c r="F4568" s="43">
        <v>1</v>
      </c>
      <c r="G4568"/>
      <c r="H4568"/>
    </row>
    <row r="4569" spans="1:8" hidden="1" x14ac:dyDescent="0.25">
      <c r="A4569" s="43">
        <v>703</v>
      </c>
      <c r="B4569" s="43" t="s">
        <v>204</v>
      </c>
      <c r="C4569" s="43" t="s">
        <v>581</v>
      </c>
      <c r="D4569" s="43" t="s">
        <v>593</v>
      </c>
      <c r="E4569" s="43" t="s">
        <v>594</v>
      </c>
      <c r="F4569" s="43">
        <v>1</v>
      </c>
      <c r="G4569"/>
      <c r="H4569"/>
    </row>
    <row r="4570" spans="1:8" hidden="1" x14ac:dyDescent="0.25">
      <c r="A4570" s="43">
        <v>703</v>
      </c>
      <c r="B4570" s="43" t="s">
        <v>204</v>
      </c>
      <c r="C4570" s="43" t="s">
        <v>581</v>
      </c>
      <c r="D4570" s="43" t="s">
        <v>595</v>
      </c>
      <c r="E4570" s="43" t="s">
        <v>349</v>
      </c>
      <c r="F4570" s="43">
        <v>1</v>
      </c>
      <c r="G4570"/>
      <c r="H4570"/>
    </row>
    <row r="4571" spans="1:8" hidden="1" x14ac:dyDescent="0.25">
      <c r="A4571" s="43">
        <v>703</v>
      </c>
      <c r="B4571" s="43" t="s">
        <v>204</v>
      </c>
      <c r="C4571" s="43" t="s">
        <v>581</v>
      </c>
      <c r="D4571" s="43" t="s">
        <v>596</v>
      </c>
      <c r="E4571" s="43" t="s">
        <v>597</v>
      </c>
      <c r="F4571" s="43">
        <v>1</v>
      </c>
      <c r="G4571"/>
      <c r="H4571"/>
    </row>
    <row r="4572" spans="1:8" hidden="1" x14ac:dyDescent="0.25">
      <c r="A4572" s="43">
        <v>703</v>
      </c>
      <c r="B4572" s="43" t="s">
        <v>204</v>
      </c>
      <c r="C4572" s="43" t="s">
        <v>581</v>
      </c>
      <c r="D4572" s="43" t="s">
        <v>598</v>
      </c>
      <c r="E4572" s="43" t="s">
        <v>599</v>
      </c>
      <c r="F4572" s="43">
        <v>0</v>
      </c>
      <c r="G4572" s="43" t="s">
        <v>4709</v>
      </c>
      <c r="H4572" s="43" t="s">
        <v>4763</v>
      </c>
    </row>
    <row r="4573" spans="1:8" hidden="1" x14ac:dyDescent="0.25">
      <c r="A4573" s="43">
        <v>703</v>
      </c>
      <c r="B4573" s="43" t="s">
        <v>204</v>
      </c>
      <c r="C4573" s="43" t="s">
        <v>581</v>
      </c>
      <c r="D4573" s="43" t="s">
        <v>600</v>
      </c>
      <c r="E4573" s="43" t="s">
        <v>601</v>
      </c>
      <c r="F4573" s="43">
        <v>0</v>
      </c>
      <c r="G4573" s="43" t="s">
        <v>4710</v>
      </c>
      <c r="H4573" s="43" t="s">
        <v>4759</v>
      </c>
    </row>
    <row r="4574" spans="1:8" hidden="1" x14ac:dyDescent="0.25">
      <c r="A4574" s="43">
        <v>703</v>
      </c>
      <c r="B4574" s="43" t="s">
        <v>204</v>
      </c>
      <c r="C4574" s="43" t="s">
        <v>581</v>
      </c>
      <c r="D4574" s="43" t="s">
        <v>602</v>
      </c>
      <c r="E4574" s="43" t="s">
        <v>603</v>
      </c>
      <c r="F4574" s="43">
        <v>1</v>
      </c>
      <c r="G4574"/>
      <c r="H4574"/>
    </row>
    <row r="4575" spans="1:8" hidden="1" x14ac:dyDescent="0.25">
      <c r="A4575" s="43">
        <v>703</v>
      </c>
      <c r="B4575" s="43" t="s">
        <v>204</v>
      </c>
      <c r="C4575" s="43" t="s">
        <v>581</v>
      </c>
      <c r="D4575" s="43" t="s">
        <v>604</v>
      </c>
      <c r="E4575" s="43" t="s">
        <v>605</v>
      </c>
      <c r="F4575" s="43">
        <v>1</v>
      </c>
      <c r="G4575"/>
      <c r="H4575"/>
    </row>
    <row r="4576" spans="1:8" hidden="1" x14ac:dyDescent="0.25">
      <c r="A4576" s="43">
        <v>703</v>
      </c>
      <c r="B4576" s="43" t="s">
        <v>204</v>
      </c>
      <c r="C4576" s="43" t="s">
        <v>581</v>
      </c>
      <c r="D4576" s="43" t="s">
        <v>606</v>
      </c>
      <c r="E4576" s="43" t="s">
        <v>503</v>
      </c>
      <c r="F4576" s="89">
        <v>1</v>
      </c>
      <c r="G4576" s="43" t="s">
        <v>4711</v>
      </c>
      <c r="H4576"/>
    </row>
    <row r="4577" spans="1:8" hidden="1" x14ac:dyDescent="0.25">
      <c r="A4577" s="43">
        <v>703</v>
      </c>
      <c r="B4577" s="43" t="s">
        <v>204</v>
      </c>
      <c r="C4577" s="43" t="s">
        <v>581</v>
      </c>
      <c r="D4577" s="43" t="s">
        <v>607</v>
      </c>
      <c r="E4577" s="43" t="s">
        <v>505</v>
      </c>
      <c r="F4577" s="43">
        <v>1</v>
      </c>
      <c r="G4577"/>
      <c r="H4577"/>
    </row>
    <row r="4578" spans="1:8" hidden="1" x14ac:dyDescent="0.25">
      <c r="A4578" s="43">
        <v>703</v>
      </c>
      <c r="B4578" s="43" t="s">
        <v>204</v>
      </c>
      <c r="C4578" s="43" t="s">
        <v>581</v>
      </c>
      <c r="D4578" s="43" t="s">
        <v>608</v>
      </c>
      <c r="E4578" s="43" t="s">
        <v>609</v>
      </c>
      <c r="F4578" s="43">
        <v>1</v>
      </c>
      <c r="G4578"/>
      <c r="H4578"/>
    </row>
    <row r="4579" spans="1:8" hidden="1" x14ac:dyDescent="0.25">
      <c r="A4579" s="43">
        <v>706</v>
      </c>
      <c r="B4579" s="43" t="s">
        <v>205</v>
      </c>
      <c r="C4579" s="43" t="s">
        <v>1685</v>
      </c>
      <c r="D4579" s="43" t="s">
        <v>1686</v>
      </c>
      <c r="E4579" s="43" t="s">
        <v>1687</v>
      </c>
      <c r="F4579" s="43">
        <v>1</v>
      </c>
      <c r="G4579"/>
      <c r="H4579"/>
    </row>
    <row r="4580" spans="1:8" hidden="1" x14ac:dyDescent="0.25">
      <c r="A4580" s="43">
        <v>706</v>
      </c>
      <c r="B4580" s="43" t="s">
        <v>205</v>
      </c>
      <c r="C4580" s="43" t="s">
        <v>1685</v>
      </c>
      <c r="D4580" s="43" t="s">
        <v>1688</v>
      </c>
      <c r="E4580" s="43" t="s">
        <v>1689</v>
      </c>
      <c r="F4580" s="43">
        <v>1</v>
      </c>
      <c r="G4580"/>
      <c r="H4580"/>
    </row>
    <row r="4581" spans="1:8" hidden="1" x14ac:dyDescent="0.25">
      <c r="A4581" s="43">
        <v>706</v>
      </c>
      <c r="B4581" s="43" t="s">
        <v>205</v>
      </c>
      <c r="C4581" s="43" t="s">
        <v>1685</v>
      </c>
      <c r="D4581" s="43" t="s">
        <v>1690</v>
      </c>
      <c r="E4581" s="43" t="s">
        <v>1691</v>
      </c>
      <c r="F4581" s="43">
        <v>1</v>
      </c>
      <c r="G4581"/>
      <c r="H4581"/>
    </row>
    <row r="4582" spans="1:8" hidden="1" x14ac:dyDescent="0.25">
      <c r="A4582" s="43">
        <v>706</v>
      </c>
      <c r="B4582" s="43" t="s">
        <v>205</v>
      </c>
      <c r="C4582" s="43" t="s">
        <v>1685</v>
      </c>
      <c r="D4582" s="43" t="s">
        <v>1692</v>
      </c>
      <c r="E4582" s="43" t="s">
        <v>1693</v>
      </c>
      <c r="F4582" s="43">
        <v>1</v>
      </c>
      <c r="G4582"/>
      <c r="H4582"/>
    </row>
    <row r="4583" spans="1:8" hidden="1" x14ac:dyDescent="0.25">
      <c r="A4583" s="43">
        <v>706</v>
      </c>
      <c r="B4583" s="43" t="s">
        <v>205</v>
      </c>
      <c r="C4583" s="43" t="s">
        <v>1685</v>
      </c>
      <c r="D4583" s="43" t="s">
        <v>1694</v>
      </c>
      <c r="E4583" s="43" t="s">
        <v>1695</v>
      </c>
      <c r="F4583" s="89">
        <v>1</v>
      </c>
      <c r="H4583"/>
    </row>
    <row r="4584" spans="1:8" hidden="1" x14ac:dyDescent="0.25">
      <c r="A4584" s="43">
        <v>706</v>
      </c>
      <c r="B4584" s="43" t="s">
        <v>205</v>
      </c>
      <c r="C4584" s="43" t="s">
        <v>1685</v>
      </c>
      <c r="D4584" s="43" t="s">
        <v>1696</v>
      </c>
      <c r="E4584" s="43" t="s">
        <v>1697</v>
      </c>
      <c r="F4584" s="43">
        <v>1</v>
      </c>
      <c r="G4584"/>
      <c r="H4584"/>
    </row>
    <row r="4585" spans="1:8" hidden="1" x14ac:dyDescent="0.25">
      <c r="A4585" s="43">
        <v>706</v>
      </c>
      <c r="B4585" s="43" t="s">
        <v>205</v>
      </c>
      <c r="C4585" s="43" t="s">
        <v>1685</v>
      </c>
      <c r="D4585" s="43" t="s">
        <v>1698</v>
      </c>
      <c r="E4585" s="43" t="s">
        <v>1699</v>
      </c>
      <c r="F4585" s="43">
        <v>1</v>
      </c>
      <c r="G4585"/>
      <c r="H4585"/>
    </row>
    <row r="4586" spans="1:8" hidden="1" x14ac:dyDescent="0.25">
      <c r="A4586" s="43">
        <v>706</v>
      </c>
      <c r="B4586" s="43" t="s">
        <v>205</v>
      </c>
      <c r="C4586" s="43" t="s">
        <v>1685</v>
      </c>
      <c r="D4586" s="43" t="s">
        <v>1700</v>
      </c>
      <c r="E4586" s="43" t="s">
        <v>1701</v>
      </c>
      <c r="F4586" s="43">
        <v>1</v>
      </c>
      <c r="G4586"/>
      <c r="H4586"/>
    </row>
    <row r="4587" spans="1:8" hidden="1" x14ac:dyDescent="0.25">
      <c r="A4587" s="43">
        <v>706</v>
      </c>
      <c r="B4587" s="43" t="s">
        <v>205</v>
      </c>
      <c r="C4587" s="43" t="s">
        <v>1685</v>
      </c>
      <c r="D4587" s="43" t="s">
        <v>1702</v>
      </c>
      <c r="E4587" s="43" t="s">
        <v>314</v>
      </c>
      <c r="F4587" s="43">
        <v>1</v>
      </c>
      <c r="G4587"/>
      <c r="H4587"/>
    </row>
    <row r="4588" spans="1:8" hidden="1" x14ac:dyDescent="0.25">
      <c r="A4588" s="43">
        <v>706</v>
      </c>
      <c r="B4588" s="43" t="s">
        <v>205</v>
      </c>
      <c r="C4588" s="43" t="s">
        <v>1685</v>
      </c>
      <c r="D4588" s="43" t="s">
        <v>1703</v>
      </c>
      <c r="E4588" s="43" t="s">
        <v>1704</v>
      </c>
      <c r="F4588" s="43">
        <v>1</v>
      </c>
      <c r="G4588"/>
      <c r="H4588"/>
    </row>
    <row r="4589" spans="1:8" hidden="1" x14ac:dyDescent="0.25">
      <c r="A4589" s="43">
        <v>706</v>
      </c>
      <c r="B4589" s="43" t="s">
        <v>205</v>
      </c>
      <c r="C4589" s="43" t="s">
        <v>1685</v>
      </c>
      <c r="D4589" s="43" t="s">
        <v>1705</v>
      </c>
      <c r="E4589" s="43" t="s">
        <v>1706</v>
      </c>
      <c r="F4589" s="43">
        <v>1</v>
      </c>
      <c r="G4589"/>
      <c r="H4589"/>
    </row>
    <row r="4590" spans="1:8" hidden="1" x14ac:dyDescent="0.25">
      <c r="A4590" s="43">
        <v>706</v>
      </c>
      <c r="B4590" s="43" t="s">
        <v>205</v>
      </c>
      <c r="C4590" s="43" t="s">
        <v>1685</v>
      </c>
      <c r="D4590" s="43" t="s">
        <v>1707</v>
      </c>
      <c r="E4590" s="43" t="s">
        <v>1708</v>
      </c>
      <c r="F4590" s="43">
        <v>1</v>
      </c>
      <c r="G4590"/>
      <c r="H4590"/>
    </row>
    <row r="4591" spans="1:8" hidden="1" x14ac:dyDescent="0.25">
      <c r="A4591" s="43">
        <v>706</v>
      </c>
      <c r="B4591" s="43" t="s">
        <v>205</v>
      </c>
      <c r="C4591" s="43" t="s">
        <v>1685</v>
      </c>
      <c r="D4591" s="43" t="s">
        <v>1709</v>
      </c>
      <c r="E4591" s="43" t="s">
        <v>1710</v>
      </c>
      <c r="F4591" s="43">
        <v>1</v>
      </c>
      <c r="G4591"/>
      <c r="H4591"/>
    </row>
    <row r="4592" spans="1:8" hidden="1" x14ac:dyDescent="0.25">
      <c r="A4592" s="43">
        <v>706</v>
      </c>
      <c r="B4592" s="43" t="s">
        <v>205</v>
      </c>
      <c r="C4592" s="43" t="s">
        <v>1685</v>
      </c>
      <c r="D4592" s="43" t="s">
        <v>1711</v>
      </c>
      <c r="E4592" s="43" t="s">
        <v>1124</v>
      </c>
      <c r="F4592" s="43">
        <v>1</v>
      </c>
      <c r="G4592"/>
      <c r="H4592"/>
    </row>
    <row r="4593" spans="1:8" hidden="1" x14ac:dyDescent="0.25">
      <c r="A4593" s="43">
        <v>707</v>
      </c>
      <c r="B4593" s="43" t="s">
        <v>205</v>
      </c>
      <c r="C4593" s="43" t="s">
        <v>1685</v>
      </c>
      <c r="D4593" s="43" t="s">
        <v>1686</v>
      </c>
      <c r="E4593" s="43" t="s">
        <v>1687</v>
      </c>
      <c r="F4593" s="43">
        <v>1</v>
      </c>
      <c r="G4593"/>
      <c r="H4593"/>
    </row>
    <row r="4594" spans="1:8" hidden="1" x14ac:dyDescent="0.25">
      <c r="A4594" s="43">
        <v>707</v>
      </c>
      <c r="B4594" s="43" t="s">
        <v>205</v>
      </c>
      <c r="C4594" s="43" t="s">
        <v>1685</v>
      </c>
      <c r="D4594" s="43" t="s">
        <v>1688</v>
      </c>
      <c r="E4594" s="43" t="s">
        <v>1689</v>
      </c>
      <c r="F4594" s="43">
        <v>1</v>
      </c>
      <c r="G4594"/>
      <c r="H4594"/>
    </row>
    <row r="4595" spans="1:8" hidden="1" x14ac:dyDescent="0.25">
      <c r="A4595" s="43">
        <v>707</v>
      </c>
      <c r="B4595" s="43" t="s">
        <v>205</v>
      </c>
      <c r="C4595" s="43" t="s">
        <v>1685</v>
      </c>
      <c r="D4595" s="43" t="s">
        <v>1690</v>
      </c>
      <c r="E4595" s="43" t="s">
        <v>1691</v>
      </c>
      <c r="F4595" s="43">
        <v>1</v>
      </c>
      <c r="G4595"/>
      <c r="H4595"/>
    </row>
    <row r="4596" spans="1:8" x14ac:dyDescent="0.25">
      <c r="A4596" s="43">
        <v>707</v>
      </c>
      <c r="B4596" s="43" t="s">
        <v>205</v>
      </c>
      <c r="C4596" s="43" t="s">
        <v>1685</v>
      </c>
      <c r="D4596" s="43" t="s">
        <v>1692</v>
      </c>
      <c r="E4596" s="43" t="s">
        <v>1693</v>
      </c>
      <c r="F4596" s="43">
        <v>2</v>
      </c>
      <c r="G4596" s="43" t="s">
        <v>4577</v>
      </c>
      <c r="H4596" s="43" t="s">
        <v>4580</v>
      </c>
    </row>
    <row r="4597" spans="1:8" hidden="1" x14ac:dyDescent="0.25">
      <c r="A4597" s="43">
        <v>707</v>
      </c>
      <c r="B4597" s="43" t="s">
        <v>205</v>
      </c>
      <c r="C4597" s="43" t="s">
        <v>1685</v>
      </c>
      <c r="D4597" s="43" t="s">
        <v>1694</v>
      </c>
      <c r="E4597" s="43" t="s">
        <v>1695</v>
      </c>
      <c r="F4597" s="43">
        <v>1</v>
      </c>
      <c r="G4597"/>
      <c r="H4597"/>
    </row>
    <row r="4598" spans="1:8" hidden="1" x14ac:dyDescent="0.25">
      <c r="A4598" s="43">
        <v>707</v>
      </c>
      <c r="B4598" s="43" t="s">
        <v>205</v>
      </c>
      <c r="C4598" s="43" t="s">
        <v>1685</v>
      </c>
      <c r="D4598" s="43" t="s">
        <v>1696</v>
      </c>
      <c r="E4598" s="43" t="s">
        <v>1697</v>
      </c>
      <c r="F4598" s="43">
        <v>1</v>
      </c>
      <c r="G4598"/>
      <c r="H4598"/>
    </row>
    <row r="4599" spans="1:8" hidden="1" x14ac:dyDescent="0.25">
      <c r="A4599" s="43">
        <v>707</v>
      </c>
      <c r="B4599" s="43" t="s">
        <v>205</v>
      </c>
      <c r="C4599" s="43" t="s">
        <v>1685</v>
      </c>
      <c r="D4599" s="43" t="s">
        <v>1698</v>
      </c>
      <c r="E4599" s="43" t="s">
        <v>1699</v>
      </c>
      <c r="F4599" s="43">
        <v>1</v>
      </c>
      <c r="G4599"/>
      <c r="H4599"/>
    </row>
    <row r="4600" spans="1:8" hidden="1" x14ac:dyDescent="0.25">
      <c r="A4600" s="43">
        <v>707</v>
      </c>
      <c r="B4600" s="43" t="s">
        <v>205</v>
      </c>
      <c r="C4600" s="43" t="s">
        <v>1685</v>
      </c>
      <c r="D4600" s="43" t="s">
        <v>1700</v>
      </c>
      <c r="E4600" s="43" t="s">
        <v>1701</v>
      </c>
      <c r="F4600" s="43">
        <v>1</v>
      </c>
      <c r="G4600"/>
      <c r="H4600"/>
    </row>
    <row r="4601" spans="1:8" hidden="1" x14ac:dyDescent="0.25">
      <c r="A4601" s="43">
        <v>707</v>
      </c>
      <c r="B4601" s="43" t="s">
        <v>205</v>
      </c>
      <c r="C4601" s="43" t="s">
        <v>1685</v>
      </c>
      <c r="D4601" s="43" t="s">
        <v>1702</v>
      </c>
      <c r="E4601" s="43" t="s">
        <v>314</v>
      </c>
      <c r="F4601" s="43">
        <v>1</v>
      </c>
      <c r="G4601"/>
      <c r="H4601"/>
    </row>
    <row r="4602" spans="1:8" hidden="1" x14ac:dyDescent="0.25">
      <c r="A4602" s="43">
        <v>707</v>
      </c>
      <c r="B4602" s="43" t="s">
        <v>205</v>
      </c>
      <c r="C4602" s="43" t="s">
        <v>1685</v>
      </c>
      <c r="D4602" s="43" t="s">
        <v>1703</v>
      </c>
      <c r="E4602" s="43" t="s">
        <v>1704</v>
      </c>
      <c r="F4602" s="43">
        <v>1</v>
      </c>
      <c r="G4602"/>
      <c r="H4602"/>
    </row>
    <row r="4603" spans="1:8" hidden="1" x14ac:dyDescent="0.25">
      <c r="A4603" s="43">
        <v>707</v>
      </c>
      <c r="B4603" s="43" t="s">
        <v>205</v>
      </c>
      <c r="C4603" s="43" t="s">
        <v>1685</v>
      </c>
      <c r="D4603" s="43" t="s">
        <v>1705</v>
      </c>
      <c r="E4603" s="43" t="s">
        <v>1706</v>
      </c>
      <c r="F4603" s="43">
        <v>1</v>
      </c>
      <c r="G4603"/>
      <c r="H4603"/>
    </row>
    <row r="4604" spans="1:8" hidden="1" x14ac:dyDescent="0.25">
      <c r="A4604" s="43">
        <v>707</v>
      </c>
      <c r="B4604" s="43" t="s">
        <v>205</v>
      </c>
      <c r="C4604" s="43" t="s">
        <v>1685</v>
      </c>
      <c r="D4604" s="43" t="s">
        <v>1707</v>
      </c>
      <c r="E4604" s="43" t="s">
        <v>1708</v>
      </c>
      <c r="F4604" s="43">
        <v>1</v>
      </c>
      <c r="G4604"/>
      <c r="H4604"/>
    </row>
    <row r="4605" spans="1:8" hidden="1" x14ac:dyDescent="0.25">
      <c r="A4605" s="43">
        <v>707</v>
      </c>
      <c r="B4605" s="43" t="s">
        <v>205</v>
      </c>
      <c r="C4605" s="43" t="s">
        <v>1685</v>
      </c>
      <c r="D4605" s="43" t="s">
        <v>1709</v>
      </c>
      <c r="E4605" s="43" t="s">
        <v>1710</v>
      </c>
      <c r="F4605" s="43">
        <v>1</v>
      </c>
      <c r="G4605"/>
      <c r="H4605"/>
    </row>
    <row r="4606" spans="1:8" hidden="1" x14ac:dyDescent="0.25">
      <c r="A4606" s="43">
        <v>707</v>
      </c>
      <c r="B4606" s="43" t="s">
        <v>205</v>
      </c>
      <c r="C4606" s="43" t="s">
        <v>1685</v>
      </c>
      <c r="D4606" s="43" t="s">
        <v>1711</v>
      </c>
      <c r="E4606" s="43" t="s">
        <v>1124</v>
      </c>
      <c r="F4606" s="43">
        <v>1</v>
      </c>
      <c r="G4606"/>
      <c r="H4606"/>
    </row>
    <row r="4607" spans="1:8" hidden="1" x14ac:dyDescent="0.25">
      <c r="A4607" s="43">
        <v>710</v>
      </c>
      <c r="B4607" s="43" t="s">
        <v>206</v>
      </c>
      <c r="C4607" s="43" t="s">
        <v>682</v>
      </c>
      <c r="D4607" s="43" t="s">
        <v>683</v>
      </c>
      <c r="E4607" s="43" t="s">
        <v>684</v>
      </c>
      <c r="F4607" s="43">
        <v>0</v>
      </c>
      <c r="G4607" s="43" t="s">
        <v>4712</v>
      </c>
      <c r="H4607" s="43" t="s">
        <v>4766</v>
      </c>
    </row>
    <row r="4608" spans="1:8" hidden="1" x14ac:dyDescent="0.25">
      <c r="A4608" s="43">
        <v>710</v>
      </c>
      <c r="B4608" s="43" t="s">
        <v>206</v>
      </c>
      <c r="C4608" s="43" t="s">
        <v>682</v>
      </c>
      <c r="D4608" s="43" t="s">
        <v>685</v>
      </c>
      <c r="E4608" s="43" t="s">
        <v>686</v>
      </c>
      <c r="F4608" s="43">
        <v>1</v>
      </c>
      <c r="G4608"/>
      <c r="H4608"/>
    </row>
    <row r="4609" spans="1:8" hidden="1" x14ac:dyDescent="0.25">
      <c r="A4609" s="43">
        <v>710</v>
      </c>
      <c r="B4609" s="43" t="s">
        <v>206</v>
      </c>
      <c r="C4609" s="43" t="s">
        <v>682</v>
      </c>
      <c r="D4609" s="43" t="s">
        <v>687</v>
      </c>
      <c r="E4609" s="43" t="s">
        <v>638</v>
      </c>
      <c r="F4609" s="43">
        <v>1</v>
      </c>
      <c r="G4609"/>
      <c r="H4609"/>
    </row>
    <row r="4610" spans="1:8" hidden="1" x14ac:dyDescent="0.25">
      <c r="A4610" s="43">
        <v>710</v>
      </c>
      <c r="B4610" s="43" t="s">
        <v>206</v>
      </c>
      <c r="C4610" s="43" t="s">
        <v>682</v>
      </c>
      <c r="D4610" s="43" t="s">
        <v>688</v>
      </c>
      <c r="E4610" s="43" t="s">
        <v>689</v>
      </c>
      <c r="F4610" s="43">
        <v>0</v>
      </c>
      <c r="G4610" s="43" t="s">
        <v>4713</v>
      </c>
      <c r="H4610" s="43" t="s">
        <v>4761</v>
      </c>
    </row>
    <row r="4611" spans="1:8" hidden="1" x14ac:dyDescent="0.25">
      <c r="A4611" s="43">
        <v>710</v>
      </c>
      <c r="B4611" s="43" t="s">
        <v>206</v>
      </c>
      <c r="C4611" s="43" t="s">
        <v>682</v>
      </c>
      <c r="D4611" s="43" t="s">
        <v>690</v>
      </c>
      <c r="E4611" s="43" t="s">
        <v>640</v>
      </c>
      <c r="F4611" s="43">
        <v>1</v>
      </c>
      <c r="G4611"/>
      <c r="H4611"/>
    </row>
    <row r="4612" spans="1:8" x14ac:dyDescent="0.25">
      <c r="A4612" s="43">
        <v>710</v>
      </c>
      <c r="B4612" s="43" t="s">
        <v>206</v>
      </c>
      <c r="C4612" s="43" t="s">
        <v>682</v>
      </c>
      <c r="D4612" s="43" t="s">
        <v>691</v>
      </c>
      <c r="E4612" s="43" t="s">
        <v>692</v>
      </c>
      <c r="F4612" s="43">
        <v>2</v>
      </c>
      <c r="G4612" s="43" t="s">
        <v>4565</v>
      </c>
      <c r="H4612" s="43" t="s">
        <v>4580</v>
      </c>
    </row>
    <row r="4613" spans="1:8" hidden="1" x14ac:dyDescent="0.25">
      <c r="A4613" s="43">
        <v>710</v>
      </c>
      <c r="B4613" s="43" t="s">
        <v>206</v>
      </c>
      <c r="C4613" s="43" t="s">
        <v>682</v>
      </c>
      <c r="D4613" s="43" t="s">
        <v>693</v>
      </c>
      <c r="E4613" s="43" t="s">
        <v>694</v>
      </c>
      <c r="F4613" s="43">
        <v>0</v>
      </c>
      <c r="G4613" s="43" t="s">
        <v>4769</v>
      </c>
      <c r="H4613" s="43" t="s">
        <v>4766</v>
      </c>
    </row>
    <row r="4614" spans="1:8" hidden="1" x14ac:dyDescent="0.25">
      <c r="A4614" s="43">
        <v>710</v>
      </c>
      <c r="B4614" s="43" t="s">
        <v>206</v>
      </c>
      <c r="C4614" s="43" t="s">
        <v>682</v>
      </c>
      <c r="D4614" s="43" t="s">
        <v>695</v>
      </c>
      <c r="E4614" s="43" t="s">
        <v>696</v>
      </c>
      <c r="F4614" s="43">
        <v>1</v>
      </c>
      <c r="G4614"/>
      <c r="H4614"/>
    </row>
    <row r="4615" spans="1:8" hidden="1" x14ac:dyDescent="0.25">
      <c r="A4615" s="43">
        <v>710</v>
      </c>
      <c r="B4615" s="43" t="s">
        <v>206</v>
      </c>
      <c r="C4615" s="43" t="s">
        <v>682</v>
      </c>
      <c r="D4615" s="43" t="s">
        <v>697</v>
      </c>
      <c r="E4615" s="43" t="s">
        <v>698</v>
      </c>
      <c r="F4615" s="43">
        <v>1</v>
      </c>
      <c r="G4615"/>
      <c r="H4615"/>
    </row>
    <row r="4616" spans="1:8" hidden="1" x14ac:dyDescent="0.25">
      <c r="A4616" s="43">
        <v>710</v>
      </c>
      <c r="B4616" s="43" t="s">
        <v>206</v>
      </c>
      <c r="C4616" s="43" t="s">
        <v>682</v>
      </c>
      <c r="D4616" s="43" t="s">
        <v>699</v>
      </c>
      <c r="E4616" s="43" t="s">
        <v>700</v>
      </c>
      <c r="F4616" s="43">
        <v>1</v>
      </c>
      <c r="G4616"/>
      <c r="H4616"/>
    </row>
    <row r="4617" spans="1:8" hidden="1" x14ac:dyDescent="0.25">
      <c r="A4617" s="43">
        <v>712</v>
      </c>
      <c r="B4617" s="43" t="s">
        <v>207</v>
      </c>
      <c r="C4617" s="43" t="s">
        <v>1198</v>
      </c>
      <c r="D4617" s="43" t="s">
        <v>1199</v>
      </c>
      <c r="E4617" s="43" t="s">
        <v>273</v>
      </c>
      <c r="F4617" s="43">
        <v>1</v>
      </c>
      <c r="G4617"/>
      <c r="H4617"/>
    </row>
    <row r="4618" spans="1:8" hidden="1" x14ac:dyDescent="0.25">
      <c r="A4618" s="43">
        <v>712</v>
      </c>
      <c r="B4618" s="43" t="s">
        <v>207</v>
      </c>
      <c r="C4618" s="43" t="s">
        <v>1198</v>
      </c>
      <c r="D4618" s="43" t="s">
        <v>1200</v>
      </c>
      <c r="E4618" s="43" t="s">
        <v>312</v>
      </c>
      <c r="F4618" s="43">
        <v>1</v>
      </c>
      <c r="G4618"/>
      <c r="H4618"/>
    </row>
    <row r="4619" spans="1:8" hidden="1" x14ac:dyDescent="0.25">
      <c r="A4619" s="43">
        <v>712</v>
      </c>
      <c r="B4619" s="43" t="s">
        <v>207</v>
      </c>
      <c r="C4619" s="43" t="s">
        <v>1198</v>
      </c>
      <c r="D4619" s="43" t="s">
        <v>1201</v>
      </c>
      <c r="E4619" s="43" t="s">
        <v>801</v>
      </c>
      <c r="F4619" s="43">
        <v>1</v>
      </c>
      <c r="G4619"/>
      <c r="H4619"/>
    </row>
    <row r="4620" spans="1:8" hidden="1" x14ac:dyDescent="0.25">
      <c r="A4620" s="43">
        <v>712</v>
      </c>
      <c r="B4620" s="43" t="s">
        <v>207</v>
      </c>
      <c r="C4620" s="43" t="s">
        <v>1198</v>
      </c>
      <c r="D4620" s="43" t="s">
        <v>1202</v>
      </c>
      <c r="E4620" s="43" t="s">
        <v>786</v>
      </c>
      <c r="F4620" s="43">
        <v>1</v>
      </c>
      <c r="G4620"/>
      <c r="H4620"/>
    </row>
    <row r="4621" spans="1:8" hidden="1" x14ac:dyDescent="0.25">
      <c r="A4621" s="43">
        <v>712</v>
      </c>
      <c r="B4621" s="43" t="s">
        <v>207</v>
      </c>
      <c r="C4621" s="43" t="s">
        <v>1198</v>
      </c>
      <c r="D4621" s="43" t="s">
        <v>1203</v>
      </c>
      <c r="E4621" s="43" t="s">
        <v>784</v>
      </c>
      <c r="F4621" s="43">
        <v>0</v>
      </c>
      <c r="G4621" s="43" t="s">
        <v>4714</v>
      </c>
      <c r="H4621" s="43" t="s">
        <v>4767</v>
      </c>
    </row>
    <row r="4622" spans="1:8" hidden="1" x14ac:dyDescent="0.25">
      <c r="A4622" s="43">
        <v>712</v>
      </c>
      <c r="B4622" s="43" t="s">
        <v>207</v>
      </c>
      <c r="C4622" s="43" t="s">
        <v>1198</v>
      </c>
      <c r="D4622" s="43" t="s">
        <v>1204</v>
      </c>
      <c r="E4622" s="43" t="s">
        <v>1205</v>
      </c>
      <c r="F4622" s="43">
        <v>1</v>
      </c>
      <c r="G4622"/>
      <c r="H4622"/>
    </row>
    <row r="4623" spans="1:8" hidden="1" x14ac:dyDescent="0.25">
      <c r="A4623" s="43">
        <v>712</v>
      </c>
      <c r="B4623" s="43" t="s">
        <v>207</v>
      </c>
      <c r="C4623" s="43" t="s">
        <v>1198</v>
      </c>
      <c r="D4623" s="43" t="s">
        <v>1206</v>
      </c>
      <c r="E4623" s="43" t="s">
        <v>1207</v>
      </c>
      <c r="F4623" s="43">
        <v>1</v>
      </c>
      <c r="G4623"/>
      <c r="H4623"/>
    </row>
    <row r="4624" spans="1:8" hidden="1" x14ac:dyDescent="0.25">
      <c r="A4624" s="43">
        <v>712</v>
      </c>
      <c r="B4624" s="43" t="s">
        <v>207</v>
      </c>
      <c r="C4624" s="43" t="s">
        <v>1198</v>
      </c>
      <c r="D4624" s="43" t="s">
        <v>1208</v>
      </c>
      <c r="E4624" s="43" t="s">
        <v>1209</v>
      </c>
      <c r="F4624" s="43">
        <v>1</v>
      </c>
      <c r="G4624"/>
      <c r="H4624"/>
    </row>
    <row r="4625" spans="1:8" hidden="1" x14ac:dyDescent="0.25">
      <c r="A4625" s="43">
        <v>712</v>
      </c>
      <c r="B4625" s="43" t="s">
        <v>207</v>
      </c>
      <c r="C4625" s="43" t="s">
        <v>1198</v>
      </c>
      <c r="D4625" s="43" t="s">
        <v>1210</v>
      </c>
      <c r="E4625" s="43" t="s">
        <v>1211</v>
      </c>
      <c r="F4625" s="43">
        <v>1</v>
      </c>
      <c r="G4625"/>
      <c r="H4625"/>
    </row>
    <row r="4626" spans="1:8" hidden="1" x14ac:dyDescent="0.25">
      <c r="A4626" s="43">
        <v>712</v>
      </c>
      <c r="B4626" s="43" t="s">
        <v>207</v>
      </c>
      <c r="C4626" s="43" t="s">
        <v>1198</v>
      </c>
      <c r="D4626" s="43" t="s">
        <v>1212</v>
      </c>
      <c r="E4626" s="43" t="s">
        <v>789</v>
      </c>
      <c r="F4626" s="43">
        <v>0</v>
      </c>
      <c r="G4626" s="43" t="s">
        <v>4715</v>
      </c>
      <c r="H4626" s="43" t="s">
        <v>4770</v>
      </c>
    </row>
    <row r="4627" spans="1:8" hidden="1" x14ac:dyDescent="0.25">
      <c r="A4627" s="43">
        <v>712</v>
      </c>
      <c r="B4627" s="43" t="s">
        <v>207</v>
      </c>
      <c r="C4627" s="43" t="s">
        <v>1198</v>
      </c>
      <c r="D4627" s="43" t="s">
        <v>1213</v>
      </c>
      <c r="E4627" s="43" t="s">
        <v>1214</v>
      </c>
      <c r="F4627" s="43">
        <v>1</v>
      </c>
      <c r="G4627"/>
      <c r="H4627"/>
    </row>
    <row r="4628" spans="1:8" hidden="1" x14ac:dyDescent="0.25">
      <c r="A4628" s="43">
        <v>712</v>
      </c>
      <c r="B4628" s="43" t="s">
        <v>207</v>
      </c>
      <c r="C4628" s="43" t="s">
        <v>1198</v>
      </c>
      <c r="D4628" s="43" t="s">
        <v>1215</v>
      </c>
      <c r="E4628" s="43" t="s">
        <v>1216</v>
      </c>
      <c r="F4628" s="43">
        <v>0</v>
      </c>
      <c r="G4628" s="43" t="s">
        <v>4716</v>
      </c>
      <c r="H4628" s="43" t="s">
        <v>4761</v>
      </c>
    </row>
    <row r="4629" spans="1:8" hidden="1" x14ac:dyDescent="0.25">
      <c r="A4629" s="43">
        <v>712</v>
      </c>
      <c r="B4629" s="43" t="s">
        <v>207</v>
      </c>
      <c r="C4629" s="43" t="s">
        <v>1198</v>
      </c>
      <c r="D4629" s="43" t="s">
        <v>1217</v>
      </c>
      <c r="E4629" s="43" t="s">
        <v>791</v>
      </c>
      <c r="F4629" s="43">
        <v>0</v>
      </c>
      <c r="G4629" s="43" t="s">
        <v>4716</v>
      </c>
      <c r="H4629" s="43" t="s">
        <v>4761</v>
      </c>
    </row>
    <row r="4630" spans="1:8" hidden="1" x14ac:dyDescent="0.25">
      <c r="A4630" s="43">
        <v>712</v>
      </c>
      <c r="B4630" s="43" t="s">
        <v>207</v>
      </c>
      <c r="C4630" s="43" t="s">
        <v>1198</v>
      </c>
      <c r="D4630" s="43" t="s">
        <v>1218</v>
      </c>
      <c r="E4630" s="43" t="s">
        <v>795</v>
      </c>
      <c r="F4630" s="43">
        <v>1</v>
      </c>
      <c r="G4630"/>
      <c r="H4630"/>
    </row>
    <row r="4631" spans="1:8" hidden="1" x14ac:dyDescent="0.25">
      <c r="A4631" s="43">
        <v>712</v>
      </c>
      <c r="B4631" s="43" t="s">
        <v>207</v>
      </c>
      <c r="C4631" s="43" t="s">
        <v>1198</v>
      </c>
      <c r="D4631" s="43" t="s">
        <v>1219</v>
      </c>
      <c r="E4631" s="43" t="s">
        <v>372</v>
      </c>
      <c r="F4631" s="43">
        <v>1</v>
      </c>
      <c r="G4631"/>
      <c r="H4631"/>
    </row>
    <row r="4632" spans="1:8" hidden="1" x14ac:dyDescent="0.25">
      <c r="A4632" s="43">
        <v>715</v>
      </c>
      <c r="B4632" s="43" t="s">
        <v>208</v>
      </c>
      <c r="C4632" s="43" t="s">
        <v>818</v>
      </c>
      <c r="D4632" s="43" t="s">
        <v>819</v>
      </c>
      <c r="E4632" s="43" t="s">
        <v>820</v>
      </c>
      <c r="F4632" s="43">
        <v>1</v>
      </c>
      <c r="G4632"/>
      <c r="H4632"/>
    </row>
    <row r="4633" spans="1:8" hidden="1" x14ac:dyDescent="0.25">
      <c r="A4633" s="43">
        <v>715</v>
      </c>
      <c r="B4633" s="43" t="s">
        <v>208</v>
      </c>
      <c r="C4633" s="43" t="s">
        <v>818</v>
      </c>
      <c r="D4633" s="43" t="s">
        <v>821</v>
      </c>
      <c r="E4633" s="43" t="s">
        <v>822</v>
      </c>
      <c r="F4633" s="43">
        <v>1</v>
      </c>
      <c r="G4633"/>
      <c r="H4633"/>
    </row>
    <row r="4634" spans="1:8" hidden="1" x14ac:dyDescent="0.25">
      <c r="A4634" s="43">
        <v>715</v>
      </c>
      <c r="B4634" s="43" t="s">
        <v>208</v>
      </c>
      <c r="C4634" s="43" t="s">
        <v>818</v>
      </c>
      <c r="D4634" s="43" t="s">
        <v>823</v>
      </c>
      <c r="E4634" s="43" t="s">
        <v>306</v>
      </c>
      <c r="F4634" s="43">
        <v>1</v>
      </c>
      <c r="G4634"/>
      <c r="H4634"/>
    </row>
    <row r="4635" spans="1:8" hidden="1" x14ac:dyDescent="0.25">
      <c r="A4635" s="43">
        <v>715</v>
      </c>
      <c r="B4635" s="43" t="s">
        <v>208</v>
      </c>
      <c r="C4635" s="43" t="s">
        <v>818</v>
      </c>
      <c r="D4635" s="43" t="s">
        <v>824</v>
      </c>
      <c r="E4635" s="43" t="s">
        <v>825</v>
      </c>
      <c r="F4635" s="43">
        <v>1</v>
      </c>
      <c r="G4635" s="43" t="s">
        <v>4566</v>
      </c>
    </row>
    <row r="4636" spans="1:8" hidden="1" x14ac:dyDescent="0.25">
      <c r="A4636" s="43">
        <v>715</v>
      </c>
      <c r="B4636" s="43" t="s">
        <v>208</v>
      </c>
      <c r="C4636" s="43" t="s">
        <v>818</v>
      </c>
      <c r="D4636" s="43" t="s">
        <v>826</v>
      </c>
      <c r="E4636" s="43" t="s">
        <v>827</v>
      </c>
      <c r="F4636" s="43">
        <v>1</v>
      </c>
      <c r="G4636"/>
      <c r="H4636"/>
    </row>
    <row r="4637" spans="1:8" hidden="1" x14ac:dyDescent="0.25">
      <c r="A4637" s="43">
        <v>715</v>
      </c>
      <c r="B4637" s="43" t="s">
        <v>208</v>
      </c>
      <c r="C4637" s="43" t="s">
        <v>818</v>
      </c>
      <c r="D4637" s="43" t="s">
        <v>828</v>
      </c>
      <c r="E4637" s="43" t="s">
        <v>312</v>
      </c>
      <c r="F4637" s="43">
        <v>1</v>
      </c>
      <c r="G4637"/>
      <c r="H4637"/>
    </row>
    <row r="4638" spans="1:8" hidden="1" x14ac:dyDescent="0.25">
      <c r="A4638" s="43">
        <v>715</v>
      </c>
      <c r="B4638" s="43" t="s">
        <v>208</v>
      </c>
      <c r="C4638" s="43" t="s">
        <v>818</v>
      </c>
      <c r="D4638" s="43" t="s">
        <v>829</v>
      </c>
      <c r="E4638" s="43" t="s">
        <v>316</v>
      </c>
      <c r="F4638" s="43">
        <v>0</v>
      </c>
      <c r="G4638" s="43" t="s">
        <v>4583</v>
      </c>
      <c r="H4638"/>
    </row>
    <row r="4639" spans="1:8" hidden="1" x14ac:dyDescent="0.25">
      <c r="A4639" s="43">
        <v>715</v>
      </c>
      <c r="B4639" s="43" t="s">
        <v>208</v>
      </c>
      <c r="C4639" s="43" t="s">
        <v>818</v>
      </c>
      <c r="D4639" s="43" t="s">
        <v>830</v>
      </c>
      <c r="E4639" s="43" t="s">
        <v>314</v>
      </c>
      <c r="F4639" s="43">
        <v>1</v>
      </c>
      <c r="G4639"/>
      <c r="H4639"/>
    </row>
    <row r="4640" spans="1:8" hidden="1" x14ac:dyDescent="0.25">
      <c r="A4640" s="43">
        <v>715</v>
      </c>
      <c r="B4640" s="43" t="s">
        <v>208</v>
      </c>
      <c r="C4640" s="43" t="s">
        <v>818</v>
      </c>
      <c r="D4640" s="43" t="s">
        <v>831</v>
      </c>
      <c r="E4640" s="43" t="s">
        <v>832</v>
      </c>
      <c r="F4640" s="43">
        <v>1</v>
      </c>
      <c r="G4640"/>
      <c r="H4640"/>
    </row>
    <row r="4641" spans="1:8" hidden="1" x14ac:dyDescent="0.25">
      <c r="A4641" s="43">
        <v>715</v>
      </c>
      <c r="B4641" s="43" t="s">
        <v>208</v>
      </c>
      <c r="C4641" s="43" t="s">
        <v>818</v>
      </c>
      <c r="D4641" s="43" t="s">
        <v>833</v>
      </c>
      <c r="E4641" s="43" t="s">
        <v>834</v>
      </c>
      <c r="F4641" s="43">
        <v>1</v>
      </c>
      <c r="G4641"/>
      <c r="H4641"/>
    </row>
    <row r="4642" spans="1:8" hidden="1" x14ac:dyDescent="0.25">
      <c r="A4642" s="43">
        <v>715</v>
      </c>
      <c r="B4642" s="43" t="s">
        <v>208</v>
      </c>
      <c r="C4642" s="43" t="s">
        <v>818</v>
      </c>
      <c r="D4642" s="43" t="s">
        <v>835</v>
      </c>
      <c r="E4642" s="43" t="s">
        <v>836</v>
      </c>
      <c r="F4642" s="43">
        <v>1</v>
      </c>
      <c r="G4642"/>
      <c r="H4642"/>
    </row>
    <row r="4643" spans="1:8" hidden="1" x14ac:dyDescent="0.25">
      <c r="A4643" s="43">
        <v>715</v>
      </c>
      <c r="B4643" s="43" t="s">
        <v>208</v>
      </c>
      <c r="C4643" s="43" t="s">
        <v>818</v>
      </c>
      <c r="D4643" s="43" t="s">
        <v>837</v>
      </c>
      <c r="E4643" s="43" t="s">
        <v>838</v>
      </c>
      <c r="F4643" s="43">
        <v>0</v>
      </c>
      <c r="G4643" s="43" t="s">
        <v>4583</v>
      </c>
      <c r="H4643"/>
    </row>
    <row r="4644" spans="1:8" hidden="1" x14ac:dyDescent="0.25">
      <c r="A4644" s="43">
        <v>715</v>
      </c>
      <c r="B4644" s="43" t="s">
        <v>208</v>
      </c>
      <c r="C4644" s="43" t="s">
        <v>818</v>
      </c>
      <c r="D4644" s="43" t="s">
        <v>839</v>
      </c>
      <c r="E4644" s="43" t="s">
        <v>840</v>
      </c>
      <c r="F4644" s="43">
        <v>1</v>
      </c>
      <c r="G4644"/>
      <c r="H4644"/>
    </row>
    <row r="4645" spans="1:8" hidden="1" x14ac:dyDescent="0.25">
      <c r="A4645" s="43">
        <v>715</v>
      </c>
      <c r="B4645" s="43" t="s">
        <v>208</v>
      </c>
      <c r="C4645" s="43" t="s">
        <v>818</v>
      </c>
      <c r="D4645" s="43" t="s">
        <v>841</v>
      </c>
      <c r="E4645" s="43" t="s">
        <v>842</v>
      </c>
      <c r="F4645" s="43">
        <v>1</v>
      </c>
      <c r="G4645"/>
      <c r="H4645"/>
    </row>
    <row r="4646" spans="1:8" hidden="1" x14ac:dyDescent="0.25">
      <c r="A4646" s="43">
        <v>715</v>
      </c>
      <c r="B4646" s="43" t="s">
        <v>208</v>
      </c>
      <c r="C4646" s="43" t="s">
        <v>818</v>
      </c>
      <c r="D4646" s="43" t="s">
        <v>843</v>
      </c>
      <c r="E4646" s="43" t="s">
        <v>844</v>
      </c>
      <c r="F4646" s="43">
        <v>1</v>
      </c>
      <c r="G4646"/>
      <c r="H4646"/>
    </row>
    <row r="4647" spans="1:8" hidden="1" x14ac:dyDescent="0.25">
      <c r="A4647" s="43">
        <v>715</v>
      </c>
      <c r="B4647" s="43" t="s">
        <v>208</v>
      </c>
      <c r="C4647" s="43" t="s">
        <v>818</v>
      </c>
      <c r="D4647" s="43" t="s">
        <v>845</v>
      </c>
      <c r="E4647" s="43" t="s">
        <v>846</v>
      </c>
      <c r="F4647" s="43">
        <v>0</v>
      </c>
      <c r="G4647" s="43" t="s">
        <v>4583</v>
      </c>
      <c r="H4647"/>
    </row>
    <row r="4648" spans="1:8" hidden="1" x14ac:dyDescent="0.25">
      <c r="A4648" s="43">
        <v>715</v>
      </c>
      <c r="B4648" s="43" t="s">
        <v>208</v>
      </c>
      <c r="C4648" s="43" t="s">
        <v>818</v>
      </c>
      <c r="D4648" s="43" t="s">
        <v>847</v>
      </c>
      <c r="E4648" s="43" t="s">
        <v>848</v>
      </c>
      <c r="F4648" s="43">
        <v>1</v>
      </c>
      <c r="G4648"/>
      <c r="H4648"/>
    </row>
    <row r="4649" spans="1:8" hidden="1" x14ac:dyDescent="0.25">
      <c r="A4649" s="43">
        <v>715</v>
      </c>
      <c r="B4649" s="43" t="s">
        <v>208</v>
      </c>
      <c r="C4649" s="43" t="s">
        <v>818</v>
      </c>
      <c r="D4649" s="43" t="s">
        <v>849</v>
      </c>
      <c r="E4649" s="43" t="s">
        <v>850</v>
      </c>
      <c r="F4649" s="43">
        <v>1</v>
      </c>
      <c r="G4649"/>
      <c r="H4649"/>
    </row>
    <row r="4650" spans="1:8" hidden="1" x14ac:dyDescent="0.25">
      <c r="A4650" s="43">
        <v>715</v>
      </c>
      <c r="B4650" s="43" t="s">
        <v>208</v>
      </c>
      <c r="C4650" s="43" t="s">
        <v>818</v>
      </c>
      <c r="D4650" s="43" t="s">
        <v>851</v>
      </c>
      <c r="E4650" s="43" t="s">
        <v>852</v>
      </c>
      <c r="F4650" s="43">
        <v>1</v>
      </c>
      <c r="G4650"/>
      <c r="H4650"/>
    </row>
    <row r="4651" spans="1:8" hidden="1" x14ac:dyDescent="0.25">
      <c r="A4651" s="43">
        <v>715</v>
      </c>
      <c r="B4651" s="43" t="s">
        <v>208</v>
      </c>
      <c r="C4651" s="43" t="s">
        <v>818</v>
      </c>
      <c r="D4651" s="43" t="s">
        <v>853</v>
      </c>
      <c r="E4651" s="43" t="s">
        <v>854</v>
      </c>
      <c r="F4651" s="43">
        <v>1</v>
      </c>
      <c r="G4651"/>
      <c r="H4651"/>
    </row>
    <row r="4652" spans="1:8" hidden="1" x14ac:dyDescent="0.25">
      <c r="A4652" s="43">
        <v>715</v>
      </c>
      <c r="B4652" s="43" t="s">
        <v>208</v>
      </c>
      <c r="C4652" s="43" t="s">
        <v>818</v>
      </c>
      <c r="D4652" s="43" t="s">
        <v>855</v>
      </c>
      <c r="E4652" s="43" t="s">
        <v>856</v>
      </c>
      <c r="F4652" s="43">
        <v>0</v>
      </c>
      <c r="G4652" s="43" t="s">
        <v>4583</v>
      </c>
      <c r="H4652"/>
    </row>
    <row r="4653" spans="1:8" hidden="1" x14ac:dyDescent="0.25">
      <c r="A4653" s="43">
        <v>715</v>
      </c>
      <c r="B4653" s="43" t="s">
        <v>208</v>
      </c>
      <c r="C4653" s="43" t="s">
        <v>818</v>
      </c>
      <c r="D4653" s="43" t="s">
        <v>857</v>
      </c>
      <c r="E4653" s="43" t="s">
        <v>858</v>
      </c>
      <c r="F4653" s="43">
        <v>0</v>
      </c>
      <c r="G4653" s="43" t="s">
        <v>4583</v>
      </c>
      <c r="H4653"/>
    </row>
    <row r="4654" spans="1:8" hidden="1" x14ac:dyDescent="0.25">
      <c r="A4654" s="43">
        <v>716</v>
      </c>
      <c r="B4654" s="43" t="s">
        <v>209</v>
      </c>
      <c r="C4654" s="43" t="s">
        <v>362</v>
      </c>
      <c r="D4654" s="43" t="s">
        <v>363</v>
      </c>
      <c r="E4654" s="43" t="s">
        <v>304</v>
      </c>
      <c r="F4654" s="43">
        <v>1</v>
      </c>
      <c r="G4654"/>
      <c r="H4654"/>
    </row>
    <row r="4655" spans="1:8" hidden="1" x14ac:dyDescent="0.25">
      <c r="A4655" s="43">
        <v>716</v>
      </c>
      <c r="B4655" s="43" t="s">
        <v>209</v>
      </c>
      <c r="C4655" s="43" t="s">
        <v>362</v>
      </c>
      <c r="D4655" s="43" t="s">
        <v>364</v>
      </c>
      <c r="E4655" s="43" t="s">
        <v>306</v>
      </c>
      <c r="F4655" s="43">
        <v>1</v>
      </c>
      <c r="G4655"/>
      <c r="H4655"/>
    </row>
    <row r="4656" spans="1:8" hidden="1" x14ac:dyDescent="0.25">
      <c r="A4656" s="43">
        <v>716</v>
      </c>
      <c r="B4656" s="43" t="s">
        <v>209</v>
      </c>
      <c r="C4656" s="43" t="s">
        <v>362</v>
      </c>
      <c r="D4656" s="43" t="s">
        <v>365</v>
      </c>
      <c r="E4656" s="43" t="s">
        <v>366</v>
      </c>
      <c r="F4656" s="43">
        <v>1</v>
      </c>
      <c r="G4656"/>
      <c r="H4656"/>
    </row>
    <row r="4657" spans="1:8" hidden="1" x14ac:dyDescent="0.25">
      <c r="A4657" s="43">
        <v>716</v>
      </c>
      <c r="B4657" s="43" t="s">
        <v>209</v>
      </c>
      <c r="C4657" s="43" t="s">
        <v>362</v>
      </c>
      <c r="D4657" s="43" t="s">
        <v>367</v>
      </c>
      <c r="E4657" s="43" t="s">
        <v>368</v>
      </c>
      <c r="F4657" s="43">
        <v>1</v>
      </c>
      <c r="G4657"/>
      <c r="H4657"/>
    </row>
    <row r="4658" spans="1:8" hidden="1" x14ac:dyDescent="0.25">
      <c r="A4658" s="43">
        <v>716</v>
      </c>
      <c r="B4658" s="43" t="s">
        <v>209</v>
      </c>
      <c r="C4658" s="43" t="s">
        <v>362</v>
      </c>
      <c r="D4658" s="43" t="s">
        <v>369</v>
      </c>
      <c r="E4658" s="43" t="s">
        <v>370</v>
      </c>
      <c r="F4658" s="43">
        <v>1</v>
      </c>
      <c r="G4658"/>
      <c r="H4658"/>
    </row>
    <row r="4659" spans="1:8" hidden="1" x14ac:dyDescent="0.25">
      <c r="A4659" s="43">
        <v>716</v>
      </c>
      <c r="B4659" s="43" t="s">
        <v>209</v>
      </c>
      <c r="C4659" s="43" t="s">
        <v>362</v>
      </c>
      <c r="D4659" s="43" t="s">
        <v>371</v>
      </c>
      <c r="E4659" s="43" t="s">
        <v>372</v>
      </c>
      <c r="F4659" s="43">
        <v>1</v>
      </c>
      <c r="G4659"/>
      <c r="H4659"/>
    </row>
    <row r="4660" spans="1:8" hidden="1" x14ac:dyDescent="0.25">
      <c r="A4660" s="43">
        <v>716</v>
      </c>
      <c r="B4660" s="43" t="s">
        <v>209</v>
      </c>
      <c r="C4660" s="43" t="s">
        <v>362</v>
      </c>
      <c r="D4660" s="43" t="s">
        <v>373</v>
      </c>
      <c r="E4660" s="43" t="s">
        <v>355</v>
      </c>
      <c r="F4660" s="43">
        <v>1</v>
      </c>
      <c r="G4660"/>
      <c r="H4660"/>
    </row>
    <row r="4661" spans="1:8" hidden="1" x14ac:dyDescent="0.25">
      <c r="A4661" s="43">
        <v>716</v>
      </c>
      <c r="B4661" s="43" t="s">
        <v>209</v>
      </c>
      <c r="C4661" s="43" t="s">
        <v>362</v>
      </c>
      <c r="D4661" s="43" t="s">
        <v>374</v>
      </c>
      <c r="E4661" s="43" t="s">
        <v>357</v>
      </c>
      <c r="F4661" s="43">
        <v>1</v>
      </c>
      <c r="G4661"/>
      <c r="H4661"/>
    </row>
    <row r="4662" spans="1:8" hidden="1" x14ac:dyDescent="0.25">
      <c r="A4662" s="43">
        <v>716</v>
      </c>
      <c r="B4662" s="43" t="s">
        <v>209</v>
      </c>
      <c r="C4662" s="43" t="s">
        <v>362</v>
      </c>
      <c r="D4662" s="43" t="s">
        <v>375</v>
      </c>
      <c r="E4662" s="43" t="s">
        <v>376</v>
      </c>
      <c r="F4662" s="43">
        <v>1</v>
      </c>
      <c r="G4662"/>
      <c r="H4662"/>
    </row>
    <row r="4663" spans="1:8" x14ac:dyDescent="0.25">
      <c r="A4663" s="43">
        <v>722</v>
      </c>
      <c r="B4663" s="43" t="s">
        <v>210</v>
      </c>
      <c r="C4663" s="43" t="s">
        <v>917</v>
      </c>
      <c r="D4663" s="43" t="s">
        <v>918</v>
      </c>
      <c r="E4663" s="43" t="s">
        <v>308</v>
      </c>
      <c r="F4663" s="43">
        <v>2</v>
      </c>
      <c r="G4663" s="43" t="s">
        <v>4567</v>
      </c>
      <c r="H4663" s="43" t="s">
        <v>4580</v>
      </c>
    </row>
    <row r="4664" spans="1:8" hidden="1" x14ac:dyDescent="0.25">
      <c r="A4664" s="43">
        <v>722</v>
      </c>
      <c r="B4664" s="43" t="s">
        <v>210</v>
      </c>
      <c r="C4664" s="43" t="s">
        <v>917</v>
      </c>
      <c r="D4664" s="43" t="s">
        <v>919</v>
      </c>
      <c r="E4664" s="43" t="s">
        <v>920</v>
      </c>
      <c r="F4664" s="43">
        <v>1</v>
      </c>
      <c r="G4664"/>
      <c r="H4664"/>
    </row>
    <row r="4665" spans="1:8" hidden="1" x14ac:dyDescent="0.25">
      <c r="A4665" s="43">
        <v>722</v>
      </c>
      <c r="B4665" s="43" t="s">
        <v>210</v>
      </c>
      <c r="C4665" s="43" t="s">
        <v>917</v>
      </c>
      <c r="D4665" s="43" t="s">
        <v>921</v>
      </c>
      <c r="E4665" s="43" t="s">
        <v>922</v>
      </c>
      <c r="F4665" s="43">
        <v>1</v>
      </c>
      <c r="G4665"/>
      <c r="H4665"/>
    </row>
    <row r="4666" spans="1:8" hidden="1" x14ac:dyDescent="0.25">
      <c r="A4666" s="43">
        <v>722</v>
      </c>
      <c r="B4666" s="43" t="s">
        <v>210</v>
      </c>
      <c r="C4666" s="43" t="s">
        <v>917</v>
      </c>
      <c r="D4666" s="43" t="s">
        <v>923</v>
      </c>
      <c r="E4666" s="43" t="s">
        <v>924</v>
      </c>
      <c r="F4666" s="43">
        <v>1</v>
      </c>
      <c r="G4666"/>
      <c r="H4666"/>
    </row>
    <row r="4667" spans="1:8" hidden="1" x14ac:dyDescent="0.25">
      <c r="A4667" s="43">
        <v>722</v>
      </c>
      <c r="B4667" s="43" t="s">
        <v>210</v>
      </c>
      <c r="C4667" s="43" t="s">
        <v>917</v>
      </c>
      <c r="D4667" s="43" t="s">
        <v>925</v>
      </c>
      <c r="E4667" s="43" t="s">
        <v>310</v>
      </c>
      <c r="F4667" s="43">
        <v>1</v>
      </c>
      <c r="G4667"/>
      <c r="H4667"/>
    </row>
    <row r="4668" spans="1:8" hidden="1" x14ac:dyDescent="0.25">
      <c r="A4668" s="43">
        <v>722</v>
      </c>
      <c r="B4668" s="43" t="s">
        <v>210</v>
      </c>
      <c r="C4668" s="43" t="s">
        <v>917</v>
      </c>
      <c r="D4668" s="43" t="s">
        <v>926</v>
      </c>
      <c r="E4668" s="43" t="s">
        <v>927</v>
      </c>
      <c r="F4668" s="43">
        <v>1</v>
      </c>
      <c r="G4668"/>
      <c r="H4668"/>
    </row>
    <row r="4669" spans="1:8" hidden="1" x14ac:dyDescent="0.25">
      <c r="A4669" s="43">
        <v>722</v>
      </c>
      <c r="B4669" s="43" t="s">
        <v>210</v>
      </c>
      <c r="C4669" s="43" t="s">
        <v>917</v>
      </c>
      <c r="D4669" s="43" t="s">
        <v>928</v>
      </c>
      <c r="E4669" s="43" t="s">
        <v>929</v>
      </c>
      <c r="F4669" s="43">
        <v>1</v>
      </c>
      <c r="G4669"/>
      <c r="H4669"/>
    </row>
    <row r="4670" spans="1:8" hidden="1" x14ac:dyDescent="0.25">
      <c r="A4670" s="43">
        <v>722</v>
      </c>
      <c r="B4670" s="43" t="s">
        <v>210</v>
      </c>
      <c r="C4670" s="43" t="s">
        <v>917</v>
      </c>
      <c r="D4670" s="43" t="s">
        <v>930</v>
      </c>
      <c r="E4670" s="43" t="s">
        <v>640</v>
      </c>
      <c r="F4670" s="43">
        <v>1</v>
      </c>
      <c r="G4670"/>
      <c r="H4670"/>
    </row>
    <row r="4671" spans="1:8" hidden="1" x14ac:dyDescent="0.25">
      <c r="A4671" s="43">
        <v>722</v>
      </c>
      <c r="B4671" s="43" t="s">
        <v>210</v>
      </c>
      <c r="C4671" s="43" t="s">
        <v>917</v>
      </c>
      <c r="D4671" s="43" t="s">
        <v>931</v>
      </c>
      <c r="E4671" s="43" t="s">
        <v>932</v>
      </c>
      <c r="F4671" s="43">
        <v>1</v>
      </c>
      <c r="G4671"/>
      <c r="H4671"/>
    </row>
    <row r="4672" spans="1:8" hidden="1" x14ac:dyDescent="0.25">
      <c r="A4672" s="43">
        <v>722</v>
      </c>
      <c r="B4672" s="43" t="s">
        <v>210</v>
      </c>
      <c r="C4672" s="43" t="s">
        <v>917</v>
      </c>
      <c r="D4672" s="43" t="s">
        <v>933</v>
      </c>
      <c r="E4672" s="43" t="s">
        <v>934</v>
      </c>
      <c r="F4672" s="43">
        <v>1</v>
      </c>
      <c r="G4672"/>
      <c r="H4672"/>
    </row>
    <row r="4673" spans="1:8" hidden="1" x14ac:dyDescent="0.25">
      <c r="A4673" s="43">
        <v>722</v>
      </c>
      <c r="B4673" s="43" t="s">
        <v>210</v>
      </c>
      <c r="C4673" s="43" t="s">
        <v>917</v>
      </c>
      <c r="D4673" s="43" t="s">
        <v>935</v>
      </c>
      <c r="E4673" s="43" t="s">
        <v>936</v>
      </c>
      <c r="F4673" s="43">
        <v>1</v>
      </c>
      <c r="G4673"/>
      <c r="H4673"/>
    </row>
    <row r="4674" spans="1:8" hidden="1" x14ac:dyDescent="0.25">
      <c r="A4674" s="43">
        <v>722</v>
      </c>
      <c r="B4674" s="43" t="s">
        <v>210</v>
      </c>
      <c r="C4674" s="43" t="s">
        <v>917</v>
      </c>
      <c r="D4674" s="43" t="s">
        <v>937</v>
      </c>
      <c r="E4674" s="43" t="s">
        <v>938</v>
      </c>
      <c r="F4674" s="43">
        <v>1</v>
      </c>
      <c r="G4674"/>
      <c r="H4674"/>
    </row>
    <row r="4675" spans="1:8" hidden="1" x14ac:dyDescent="0.25">
      <c r="A4675" s="43">
        <v>722</v>
      </c>
      <c r="B4675" s="43" t="s">
        <v>210</v>
      </c>
      <c r="C4675" s="43" t="s">
        <v>917</v>
      </c>
      <c r="D4675" s="43" t="s">
        <v>939</v>
      </c>
      <c r="E4675" s="43" t="s">
        <v>383</v>
      </c>
      <c r="F4675" s="43">
        <v>1</v>
      </c>
      <c r="G4675"/>
      <c r="H4675"/>
    </row>
    <row r="4676" spans="1:8" hidden="1" x14ac:dyDescent="0.25">
      <c r="A4676" s="43">
        <v>722</v>
      </c>
      <c r="B4676" s="43" t="s">
        <v>210</v>
      </c>
      <c r="C4676" s="43" t="s">
        <v>917</v>
      </c>
      <c r="D4676" s="43" t="s">
        <v>940</v>
      </c>
      <c r="E4676" s="43" t="s">
        <v>384</v>
      </c>
      <c r="F4676" s="43">
        <v>1</v>
      </c>
      <c r="G4676"/>
      <c r="H4676"/>
    </row>
    <row r="4677" spans="1:8" hidden="1" x14ac:dyDescent="0.25">
      <c r="A4677" s="43">
        <v>722</v>
      </c>
      <c r="B4677" s="43" t="s">
        <v>210</v>
      </c>
      <c r="C4677" s="43" t="s">
        <v>917</v>
      </c>
      <c r="D4677" s="43" t="s">
        <v>941</v>
      </c>
      <c r="E4677" s="43" t="s">
        <v>942</v>
      </c>
      <c r="F4677" s="43">
        <v>1</v>
      </c>
      <c r="G4677"/>
      <c r="H4677"/>
    </row>
    <row r="4678" spans="1:8" hidden="1" x14ac:dyDescent="0.25">
      <c r="A4678" s="43">
        <v>722</v>
      </c>
      <c r="B4678" s="43" t="s">
        <v>210</v>
      </c>
      <c r="C4678" s="43" t="s">
        <v>917</v>
      </c>
      <c r="D4678" s="43" t="s">
        <v>943</v>
      </c>
      <c r="E4678" s="43" t="s">
        <v>944</v>
      </c>
      <c r="F4678" s="43">
        <v>1</v>
      </c>
      <c r="G4678"/>
      <c r="H4678"/>
    </row>
    <row r="4679" spans="1:8" hidden="1" x14ac:dyDescent="0.25">
      <c r="A4679" s="43">
        <v>722</v>
      </c>
      <c r="B4679" s="43" t="s">
        <v>210</v>
      </c>
      <c r="C4679" s="43" t="s">
        <v>917</v>
      </c>
      <c r="D4679" s="43" t="s">
        <v>945</v>
      </c>
      <c r="E4679" s="43" t="s">
        <v>368</v>
      </c>
      <c r="F4679" s="43">
        <v>1</v>
      </c>
      <c r="G4679"/>
      <c r="H4679"/>
    </row>
    <row r="4680" spans="1:8" hidden="1" x14ac:dyDescent="0.25">
      <c r="A4680" s="43">
        <v>722</v>
      </c>
      <c r="B4680" s="43" t="s">
        <v>210</v>
      </c>
      <c r="C4680" s="43" t="s">
        <v>917</v>
      </c>
      <c r="D4680" s="43" t="s">
        <v>946</v>
      </c>
      <c r="E4680" s="43" t="s">
        <v>370</v>
      </c>
      <c r="F4680" s="43">
        <v>1</v>
      </c>
      <c r="G4680"/>
      <c r="H4680"/>
    </row>
    <row r="4681" spans="1:8" hidden="1" x14ac:dyDescent="0.25">
      <c r="A4681" s="43">
        <v>722</v>
      </c>
      <c r="B4681" s="43" t="s">
        <v>210</v>
      </c>
      <c r="C4681" s="43" t="s">
        <v>917</v>
      </c>
      <c r="D4681" s="43" t="s">
        <v>947</v>
      </c>
      <c r="E4681" s="43" t="s">
        <v>948</v>
      </c>
      <c r="F4681" s="43">
        <v>1</v>
      </c>
      <c r="G4681"/>
      <c r="H4681"/>
    </row>
    <row r="4682" spans="1:8" hidden="1" x14ac:dyDescent="0.25">
      <c r="A4682" s="43">
        <v>722</v>
      </c>
      <c r="B4682" s="43" t="s">
        <v>210</v>
      </c>
      <c r="C4682" s="43" t="s">
        <v>917</v>
      </c>
      <c r="D4682" s="43" t="s">
        <v>949</v>
      </c>
      <c r="E4682" s="43" t="s">
        <v>950</v>
      </c>
      <c r="F4682" s="43">
        <v>1</v>
      </c>
      <c r="G4682"/>
      <c r="H4682"/>
    </row>
    <row r="4683" spans="1:8" hidden="1" x14ac:dyDescent="0.25">
      <c r="A4683" s="43">
        <v>722</v>
      </c>
      <c r="B4683" s="43" t="s">
        <v>210</v>
      </c>
      <c r="C4683" s="43" t="s">
        <v>917</v>
      </c>
      <c r="D4683" s="43" t="s">
        <v>951</v>
      </c>
      <c r="E4683" s="43" t="s">
        <v>952</v>
      </c>
      <c r="F4683" s="43">
        <v>1</v>
      </c>
      <c r="G4683"/>
      <c r="H4683"/>
    </row>
    <row r="4684" spans="1:8" hidden="1" x14ac:dyDescent="0.25">
      <c r="A4684" s="43">
        <v>722</v>
      </c>
      <c r="B4684" s="43" t="s">
        <v>210</v>
      </c>
      <c r="C4684" s="43" t="s">
        <v>917</v>
      </c>
      <c r="D4684" s="43" t="s">
        <v>953</v>
      </c>
      <c r="E4684" s="43" t="s">
        <v>954</v>
      </c>
      <c r="F4684" s="43">
        <v>1</v>
      </c>
      <c r="G4684"/>
      <c r="H4684"/>
    </row>
    <row r="4685" spans="1:8" hidden="1" x14ac:dyDescent="0.25">
      <c r="A4685" s="43">
        <v>722</v>
      </c>
      <c r="B4685" s="43" t="s">
        <v>210</v>
      </c>
      <c r="C4685" s="43" t="s">
        <v>917</v>
      </c>
      <c r="D4685" s="43" t="s">
        <v>955</v>
      </c>
      <c r="E4685" s="43" t="s">
        <v>956</v>
      </c>
      <c r="F4685" s="43">
        <v>1</v>
      </c>
      <c r="G4685"/>
      <c r="H4685"/>
    </row>
    <row r="4686" spans="1:8" hidden="1" x14ac:dyDescent="0.25">
      <c r="A4686" s="43">
        <v>732</v>
      </c>
      <c r="B4686" s="43" t="s">
        <v>211</v>
      </c>
      <c r="C4686" s="43" t="s">
        <v>1809</v>
      </c>
      <c r="D4686" s="43" t="s">
        <v>1810</v>
      </c>
      <c r="E4686" s="43" t="s">
        <v>273</v>
      </c>
      <c r="F4686" s="43">
        <v>1</v>
      </c>
      <c r="G4686"/>
      <c r="H4686"/>
    </row>
    <row r="4687" spans="1:8" hidden="1" x14ac:dyDescent="0.25">
      <c r="A4687" s="43">
        <v>732</v>
      </c>
      <c r="B4687" s="43" t="s">
        <v>211</v>
      </c>
      <c r="C4687" s="43" t="s">
        <v>1809</v>
      </c>
      <c r="D4687" s="43" t="s">
        <v>1811</v>
      </c>
      <c r="E4687" s="43" t="s">
        <v>312</v>
      </c>
      <c r="F4687" s="43">
        <v>0</v>
      </c>
      <c r="G4687" s="43" t="s">
        <v>4717</v>
      </c>
      <c r="H4687" s="43" t="s">
        <v>4502</v>
      </c>
    </row>
    <row r="4688" spans="1:8" hidden="1" x14ac:dyDescent="0.25">
      <c r="A4688" s="43">
        <v>732</v>
      </c>
      <c r="B4688" s="43" t="s">
        <v>211</v>
      </c>
      <c r="C4688" s="43" t="s">
        <v>1809</v>
      </c>
      <c r="D4688" s="43" t="s">
        <v>1812</v>
      </c>
      <c r="E4688" s="43" t="s">
        <v>314</v>
      </c>
      <c r="F4688" s="43">
        <v>2</v>
      </c>
      <c r="G4688" s="43" t="s">
        <v>4568</v>
      </c>
      <c r="H4688" s="43" t="s">
        <v>4502</v>
      </c>
    </row>
    <row r="4689" spans="1:8" hidden="1" x14ac:dyDescent="0.25">
      <c r="A4689" s="43">
        <v>732</v>
      </c>
      <c r="B4689" s="43" t="s">
        <v>211</v>
      </c>
      <c r="C4689" s="43" t="s">
        <v>1809</v>
      </c>
      <c r="D4689" s="43" t="s">
        <v>1813</v>
      </c>
      <c r="E4689" s="43" t="s">
        <v>275</v>
      </c>
      <c r="F4689" s="43">
        <v>1</v>
      </c>
      <c r="G4689"/>
      <c r="H4689"/>
    </row>
    <row r="4690" spans="1:8" hidden="1" x14ac:dyDescent="0.25">
      <c r="A4690" s="43">
        <v>732</v>
      </c>
      <c r="B4690" s="43" t="s">
        <v>211</v>
      </c>
      <c r="C4690" s="43" t="s">
        <v>1809</v>
      </c>
      <c r="D4690" s="43" t="s">
        <v>1814</v>
      </c>
      <c r="E4690" s="43" t="s">
        <v>277</v>
      </c>
      <c r="F4690" s="43">
        <v>1</v>
      </c>
      <c r="G4690"/>
      <c r="H4690"/>
    </row>
    <row r="4691" spans="1:8" hidden="1" x14ac:dyDescent="0.25">
      <c r="A4691" s="43">
        <v>732</v>
      </c>
      <c r="B4691" s="43" t="s">
        <v>211</v>
      </c>
      <c r="C4691" s="43" t="s">
        <v>1809</v>
      </c>
      <c r="D4691" s="43" t="s">
        <v>1815</v>
      </c>
      <c r="E4691" s="43" t="s">
        <v>1816</v>
      </c>
      <c r="F4691" s="43">
        <v>1</v>
      </c>
      <c r="G4691"/>
      <c r="H4691"/>
    </row>
    <row r="4692" spans="1:8" hidden="1" x14ac:dyDescent="0.25">
      <c r="A4692" s="43">
        <v>732</v>
      </c>
      <c r="B4692" s="43" t="s">
        <v>211</v>
      </c>
      <c r="C4692" s="43" t="s">
        <v>1809</v>
      </c>
      <c r="D4692" s="43" t="s">
        <v>1817</v>
      </c>
      <c r="E4692" s="43" t="s">
        <v>1818</v>
      </c>
      <c r="F4692" s="43">
        <v>1</v>
      </c>
      <c r="G4692"/>
      <c r="H4692"/>
    </row>
    <row r="4693" spans="1:8" hidden="1" x14ac:dyDescent="0.25">
      <c r="A4693" s="43">
        <v>732</v>
      </c>
      <c r="B4693" s="43" t="s">
        <v>211</v>
      </c>
      <c r="C4693" s="43" t="s">
        <v>1809</v>
      </c>
      <c r="D4693" s="43" t="s">
        <v>1819</v>
      </c>
      <c r="E4693" s="43" t="s">
        <v>1820</v>
      </c>
      <c r="F4693" s="43">
        <v>1</v>
      </c>
      <c r="G4693"/>
      <c r="H4693"/>
    </row>
    <row r="4694" spans="1:8" hidden="1" x14ac:dyDescent="0.25">
      <c r="A4694" s="43">
        <v>732</v>
      </c>
      <c r="B4694" s="43" t="s">
        <v>211</v>
      </c>
      <c r="C4694" s="43" t="s">
        <v>1809</v>
      </c>
      <c r="D4694" s="43" t="s">
        <v>1821</v>
      </c>
      <c r="E4694" s="43" t="s">
        <v>1822</v>
      </c>
      <c r="F4694" s="43">
        <v>1</v>
      </c>
      <c r="G4694"/>
      <c r="H4694"/>
    </row>
    <row r="4695" spans="1:8" hidden="1" x14ac:dyDescent="0.25">
      <c r="A4695" s="43">
        <v>732</v>
      </c>
      <c r="B4695" s="43" t="s">
        <v>211</v>
      </c>
      <c r="C4695" s="43" t="s">
        <v>1809</v>
      </c>
      <c r="D4695" s="43" t="s">
        <v>1823</v>
      </c>
      <c r="E4695" s="43" t="s">
        <v>986</v>
      </c>
      <c r="F4695" s="43">
        <v>0</v>
      </c>
      <c r="G4695" s="43" t="s">
        <v>4718</v>
      </c>
      <c r="H4695" s="43" t="s">
        <v>4759</v>
      </c>
    </row>
    <row r="4696" spans="1:8" hidden="1" x14ac:dyDescent="0.25">
      <c r="A4696" s="43">
        <v>732</v>
      </c>
      <c r="B4696" s="43" t="s">
        <v>211</v>
      </c>
      <c r="C4696" s="43" t="s">
        <v>1809</v>
      </c>
      <c r="D4696" s="43" t="s">
        <v>1824</v>
      </c>
      <c r="E4696" s="43" t="s">
        <v>482</v>
      </c>
      <c r="F4696" s="43">
        <v>0</v>
      </c>
      <c r="G4696" s="43" t="s">
        <v>4718</v>
      </c>
      <c r="H4696" s="43" t="s">
        <v>4759</v>
      </c>
    </row>
    <row r="4697" spans="1:8" hidden="1" x14ac:dyDescent="0.25">
      <c r="A4697" s="43">
        <v>732</v>
      </c>
      <c r="B4697" s="43" t="s">
        <v>211</v>
      </c>
      <c r="C4697" s="43" t="s">
        <v>1809</v>
      </c>
      <c r="D4697" s="43" t="s">
        <v>1825</v>
      </c>
      <c r="E4697" s="43" t="s">
        <v>1826</v>
      </c>
      <c r="F4697" s="43">
        <v>0</v>
      </c>
      <c r="G4697" s="43" t="s">
        <v>4719</v>
      </c>
      <c r="H4697" s="43" t="s">
        <v>4759</v>
      </c>
    </row>
    <row r="4698" spans="1:8" hidden="1" x14ac:dyDescent="0.25">
      <c r="A4698" s="43">
        <v>732</v>
      </c>
      <c r="B4698" s="43" t="s">
        <v>211</v>
      </c>
      <c r="C4698" s="43" t="s">
        <v>1809</v>
      </c>
      <c r="D4698" s="43" t="s">
        <v>1827</v>
      </c>
      <c r="E4698" s="43" t="s">
        <v>1828</v>
      </c>
      <c r="F4698" s="43">
        <v>1</v>
      </c>
      <c r="G4698"/>
      <c r="H4698"/>
    </row>
    <row r="4699" spans="1:8" hidden="1" x14ac:dyDescent="0.25">
      <c r="A4699" s="43">
        <v>732</v>
      </c>
      <c r="B4699" s="43" t="s">
        <v>211</v>
      </c>
      <c r="C4699" s="43" t="s">
        <v>1809</v>
      </c>
      <c r="D4699" s="43" t="s">
        <v>1829</v>
      </c>
      <c r="E4699" s="43" t="s">
        <v>295</v>
      </c>
      <c r="F4699" s="43">
        <v>1</v>
      </c>
      <c r="G4699"/>
      <c r="H4699"/>
    </row>
    <row r="4700" spans="1:8" hidden="1" x14ac:dyDescent="0.25">
      <c r="A4700" s="43">
        <v>732</v>
      </c>
      <c r="B4700" s="43" t="s">
        <v>211</v>
      </c>
      <c r="C4700" s="43" t="s">
        <v>1809</v>
      </c>
      <c r="D4700" s="43" t="s">
        <v>1830</v>
      </c>
      <c r="E4700" s="43" t="s">
        <v>1831</v>
      </c>
      <c r="F4700" s="43">
        <v>1</v>
      </c>
      <c r="G4700"/>
      <c r="H4700"/>
    </row>
    <row r="4701" spans="1:8" hidden="1" x14ac:dyDescent="0.25">
      <c r="A4701" s="43">
        <v>733</v>
      </c>
      <c r="B4701" s="43" t="s">
        <v>212</v>
      </c>
      <c r="C4701" s="43" t="s">
        <v>1809</v>
      </c>
      <c r="D4701" s="43" t="s">
        <v>1810</v>
      </c>
      <c r="E4701" s="43" t="s">
        <v>273</v>
      </c>
      <c r="F4701" s="43">
        <v>0</v>
      </c>
      <c r="G4701" s="43" t="s">
        <v>4583</v>
      </c>
      <c r="H4701"/>
    </row>
    <row r="4702" spans="1:8" hidden="1" x14ac:dyDescent="0.25">
      <c r="A4702" s="43">
        <v>733</v>
      </c>
      <c r="B4702" s="43" t="s">
        <v>212</v>
      </c>
      <c r="C4702" s="43" t="s">
        <v>1809</v>
      </c>
      <c r="D4702" s="43" t="s">
        <v>1811</v>
      </c>
      <c r="E4702" s="43" t="s">
        <v>312</v>
      </c>
      <c r="F4702" s="43">
        <v>0</v>
      </c>
      <c r="G4702" s="43" t="s">
        <v>4583</v>
      </c>
      <c r="H4702"/>
    </row>
    <row r="4703" spans="1:8" hidden="1" x14ac:dyDescent="0.25">
      <c r="A4703" s="43">
        <v>733</v>
      </c>
      <c r="B4703" s="43" t="s">
        <v>212</v>
      </c>
      <c r="C4703" s="43" t="s">
        <v>1809</v>
      </c>
      <c r="D4703" s="43" t="s">
        <v>1812</v>
      </c>
      <c r="E4703" s="43" t="s">
        <v>314</v>
      </c>
      <c r="F4703" s="43">
        <v>0</v>
      </c>
      <c r="G4703" s="43" t="s">
        <v>4583</v>
      </c>
      <c r="H4703"/>
    </row>
    <row r="4704" spans="1:8" hidden="1" x14ac:dyDescent="0.25">
      <c r="A4704" s="43">
        <v>733</v>
      </c>
      <c r="B4704" s="43" t="s">
        <v>212</v>
      </c>
      <c r="C4704" s="43" t="s">
        <v>1809</v>
      </c>
      <c r="D4704" s="43" t="s">
        <v>1813</v>
      </c>
      <c r="E4704" s="43" t="s">
        <v>275</v>
      </c>
      <c r="F4704" s="43">
        <v>0</v>
      </c>
      <c r="G4704" s="43" t="s">
        <v>4583</v>
      </c>
      <c r="H4704"/>
    </row>
    <row r="4705" spans="1:8" hidden="1" x14ac:dyDescent="0.25">
      <c r="A4705" s="43">
        <v>733</v>
      </c>
      <c r="B4705" s="43" t="s">
        <v>212</v>
      </c>
      <c r="C4705" s="43" t="s">
        <v>1809</v>
      </c>
      <c r="D4705" s="43" t="s">
        <v>1814</v>
      </c>
      <c r="E4705" s="43" t="s">
        <v>277</v>
      </c>
      <c r="F4705" s="43">
        <v>0</v>
      </c>
      <c r="G4705" s="43" t="s">
        <v>4583</v>
      </c>
      <c r="H4705"/>
    </row>
    <row r="4706" spans="1:8" hidden="1" x14ac:dyDescent="0.25">
      <c r="A4706" s="43">
        <v>733</v>
      </c>
      <c r="B4706" s="43" t="s">
        <v>212</v>
      </c>
      <c r="C4706" s="43" t="s">
        <v>1809</v>
      </c>
      <c r="D4706" s="43" t="s">
        <v>1815</v>
      </c>
      <c r="E4706" s="43" t="s">
        <v>1816</v>
      </c>
      <c r="F4706" s="43">
        <v>0</v>
      </c>
      <c r="G4706" s="43" t="s">
        <v>4583</v>
      </c>
      <c r="H4706"/>
    </row>
    <row r="4707" spans="1:8" hidden="1" x14ac:dyDescent="0.25">
      <c r="A4707" s="43">
        <v>733</v>
      </c>
      <c r="B4707" s="43" t="s">
        <v>212</v>
      </c>
      <c r="C4707" s="43" t="s">
        <v>1809</v>
      </c>
      <c r="D4707" s="43" t="s">
        <v>1817</v>
      </c>
      <c r="E4707" s="43" t="s">
        <v>1818</v>
      </c>
      <c r="F4707" s="43">
        <v>0</v>
      </c>
      <c r="G4707" s="43" t="s">
        <v>4583</v>
      </c>
      <c r="H4707"/>
    </row>
    <row r="4708" spans="1:8" hidden="1" x14ac:dyDescent="0.25">
      <c r="A4708" s="43">
        <v>733</v>
      </c>
      <c r="B4708" s="43" t="s">
        <v>212</v>
      </c>
      <c r="C4708" s="43" t="s">
        <v>1809</v>
      </c>
      <c r="D4708" s="43" t="s">
        <v>1819</v>
      </c>
      <c r="E4708" s="43" t="s">
        <v>1820</v>
      </c>
      <c r="F4708" s="43">
        <v>1</v>
      </c>
      <c r="G4708"/>
      <c r="H4708"/>
    </row>
    <row r="4709" spans="1:8" hidden="1" x14ac:dyDescent="0.25">
      <c r="A4709" s="43">
        <v>733</v>
      </c>
      <c r="B4709" s="43" t="s">
        <v>212</v>
      </c>
      <c r="C4709" s="43" t="s">
        <v>1809</v>
      </c>
      <c r="D4709" s="43" t="s">
        <v>1821</v>
      </c>
      <c r="E4709" s="43" t="s">
        <v>1822</v>
      </c>
      <c r="F4709" s="43">
        <v>1</v>
      </c>
      <c r="G4709"/>
      <c r="H4709"/>
    </row>
    <row r="4710" spans="1:8" hidden="1" x14ac:dyDescent="0.25">
      <c r="A4710" s="43">
        <v>733</v>
      </c>
      <c r="B4710" s="43" t="s">
        <v>212</v>
      </c>
      <c r="C4710" s="43" t="s">
        <v>1809</v>
      </c>
      <c r="D4710" s="43" t="s">
        <v>1823</v>
      </c>
      <c r="E4710" s="43" t="s">
        <v>986</v>
      </c>
      <c r="F4710" s="43">
        <v>0</v>
      </c>
      <c r="G4710" s="43" t="s">
        <v>4583</v>
      </c>
      <c r="H4710"/>
    </row>
    <row r="4711" spans="1:8" hidden="1" x14ac:dyDescent="0.25">
      <c r="A4711" s="43">
        <v>733</v>
      </c>
      <c r="B4711" s="43" t="s">
        <v>212</v>
      </c>
      <c r="C4711" s="43" t="s">
        <v>1809</v>
      </c>
      <c r="D4711" s="43" t="s">
        <v>1824</v>
      </c>
      <c r="E4711" s="43" t="s">
        <v>482</v>
      </c>
      <c r="F4711" s="43">
        <v>0</v>
      </c>
      <c r="G4711" s="43" t="s">
        <v>4583</v>
      </c>
      <c r="H4711"/>
    </row>
    <row r="4712" spans="1:8" hidden="1" x14ac:dyDescent="0.25">
      <c r="A4712" s="43">
        <v>733</v>
      </c>
      <c r="B4712" s="43" t="s">
        <v>212</v>
      </c>
      <c r="C4712" s="43" t="s">
        <v>1809</v>
      </c>
      <c r="D4712" s="43" t="s">
        <v>1825</v>
      </c>
      <c r="E4712" s="43" t="s">
        <v>1826</v>
      </c>
      <c r="F4712" s="43">
        <v>1</v>
      </c>
      <c r="G4712"/>
      <c r="H4712"/>
    </row>
    <row r="4713" spans="1:8" hidden="1" x14ac:dyDescent="0.25">
      <c r="A4713" s="43">
        <v>733</v>
      </c>
      <c r="B4713" s="43" t="s">
        <v>212</v>
      </c>
      <c r="C4713" s="43" t="s">
        <v>1809</v>
      </c>
      <c r="D4713" s="43" t="s">
        <v>1827</v>
      </c>
      <c r="E4713" s="43" t="s">
        <v>1828</v>
      </c>
      <c r="F4713" s="43">
        <v>0</v>
      </c>
      <c r="G4713" s="43" t="s">
        <v>4583</v>
      </c>
      <c r="H4713"/>
    </row>
    <row r="4714" spans="1:8" hidden="1" x14ac:dyDescent="0.25">
      <c r="A4714" s="43">
        <v>733</v>
      </c>
      <c r="B4714" s="43" t="s">
        <v>212</v>
      </c>
      <c r="C4714" s="43" t="s">
        <v>1809</v>
      </c>
      <c r="D4714" s="43" t="s">
        <v>1829</v>
      </c>
      <c r="E4714" s="43" t="s">
        <v>295</v>
      </c>
      <c r="F4714" s="43">
        <v>1</v>
      </c>
      <c r="G4714"/>
      <c r="H4714"/>
    </row>
    <row r="4715" spans="1:8" hidden="1" x14ac:dyDescent="0.25">
      <c r="A4715" s="43">
        <v>733</v>
      </c>
      <c r="B4715" s="43" t="s">
        <v>212</v>
      </c>
      <c r="C4715" s="43" t="s">
        <v>1809</v>
      </c>
      <c r="D4715" s="43" t="s">
        <v>1830</v>
      </c>
      <c r="E4715" s="43" t="s">
        <v>1831</v>
      </c>
      <c r="F4715" s="43">
        <v>0</v>
      </c>
      <c r="G4715" s="43" t="s">
        <v>4583</v>
      </c>
      <c r="H4715"/>
    </row>
    <row r="4716" spans="1:8" hidden="1" x14ac:dyDescent="0.25">
      <c r="A4716" s="43">
        <v>736</v>
      </c>
      <c r="B4716" s="43" t="s">
        <v>213</v>
      </c>
      <c r="C4716" s="43" t="s">
        <v>1685</v>
      </c>
      <c r="D4716" s="43" t="s">
        <v>1686</v>
      </c>
      <c r="E4716" s="43" t="s">
        <v>1687</v>
      </c>
      <c r="F4716" s="43">
        <v>1</v>
      </c>
      <c r="G4716"/>
      <c r="H4716"/>
    </row>
    <row r="4717" spans="1:8" hidden="1" x14ac:dyDescent="0.25">
      <c r="A4717" s="43">
        <v>736</v>
      </c>
      <c r="B4717" s="43" t="s">
        <v>213</v>
      </c>
      <c r="C4717" s="43" t="s">
        <v>1685</v>
      </c>
      <c r="D4717" s="43" t="s">
        <v>1688</v>
      </c>
      <c r="E4717" s="43" t="s">
        <v>1689</v>
      </c>
      <c r="F4717" s="43">
        <v>1</v>
      </c>
      <c r="G4717"/>
      <c r="H4717"/>
    </row>
    <row r="4718" spans="1:8" hidden="1" x14ac:dyDescent="0.25">
      <c r="A4718" s="43">
        <v>736</v>
      </c>
      <c r="B4718" s="43" t="s">
        <v>213</v>
      </c>
      <c r="C4718" s="43" t="s">
        <v>1685</v>
      </c>
      <c r="D4718" s="43" t="s">
        <v>1690</v>
      </c>
      <c r="E4718" s="43" t="s">
        <v>1691</v>
      </c>
      <c r="F4718" s="43">
        <v>1</v>
      </c>
      <c r="G4718"/>
      <c r="H4718"/>
    </row>
    <row r="4719" spans="1:8" hidden="1" x14ac:dyDescent="0.25">
      <c r="A4719" s="43">
        <v>736</v>
      </c>
      <c r="B4719" s="43" t="s">
        <v>213</v>
      </c>
      <c r="C4719" s="43" t="s">
        <v>1685</v>
      </c>
      <c r="D4719" s="43" t="s">
        <v>1692</v>
      </c>
      <c r="E4719" s="43" t="s">
        <v>1693</v>
      </c>
      <c r="F4719" s="43">
        <v>1</v>
      </c>
      <c r="G4719"/>
      <c r="H4719"/>
    </row>
    <row r="4720" spans="1:8" hidden="1" x14ac:dyDescent="0.25">
      <c r="A4720" s="43">
        <v>736</v>
      </c>
      <c r="B4720" s="43" t="s">
        <v>213</v>
      </c>
      <c r="C4720" s="43" t="s">
        <v>1685</v>
      </c>
      <c r="D4720" s="43" t="s">
        <v>1694</v>
      </c>
      <c r="E4720" s="43" t="s">
        <v>1695</v>
      </c>
      <c r="F4720" s="43">
        <v>1</v>
      </c>
      <c r="G4720"/>
      <c r="H4720"/>
    </row>
    <row r="4721" spans="1:8" hidden="1" x14ac:dyDescent="0.25">
      <c r="A4721" s="43">
        <v>736</v>
      </c>
      <c r="B4721" s="43" t="s">
        <v>213</v>
      </c>
      <c r="C4721" s="43" t="s">
        <v>1685</v>
      </c>
      <c r="D4721" s="43" t="s">
        <v>1696</v>
      </c>
      <c r="E4721" s="43" t="s">
        <v>1697</v>
      </c>
      <c r="F4721" s="43">
        <v>1</v>
      </c>
      <c r="G4721"/>
      <c r="H4721"/>
    </row>
    <row r="4722" spans="1:8" hidden="1" x14ac:dyDescent="0.25">
      <c r="A4722" s="43">
        <v>736</v>
      </c>
      <c r="B4722" s="43" t="s">
        <v>213</v>
      </c>
      <c r="C4722" s="43" t="s">
        <v>1685</v>
      </c>
      <c r="D4722" s="43" t="s">
        <v>1698</v>
      </c>
      <c r="E4722" s="43" t="s">
        <v>1699</v>
      </c>
      <c r="F4722" s="43">
        <v>1</v>
      </c>
      <c r="G4722"/>
      <c r="H4722"/>
    </row>
    <row r="4723" spans="1:8" hidden="1" x14ac:dyDescent="0.25">
      <c r="A4723" s="43">
        <v>736</v>
      </c>
      <c r="B4723" s="43" t="s">
        <v>213</v>
      </c>
      <c r="C4723" s="43" t="s">
        <v>1685</v>
      </c>
      <c r="D4723" s="43" t="s">
        <v>1700</v>
      </c>
      <c r="E4723" s="43" t="s">
        <v>1701</v>
      </c>
      <c r="F4723" s="43">
        <v>1</v>
      </c>
      <c r="G4723"/>
      <c r="H4723"/>
    </row>
    <row r="4724" spans="1:8" hidden="1" x14ac:dyDescent="0.25">
      <c r="A4724" s="43">
        <v>736</v>
      </c>
      <c r="B4724" s="43" t="s">
        <v>213</v>
      </c>
      <c r="C4724" s="43" t="s">
        <v>1685</v>
      </c>
      <c r="D4724" s="43" t="s">
        <v>1702</v>
      </c>
      <c r="E4724" s="43" t="s">
        <v>314</v>
      </c>
      <c r="F4724" s="43">
        <v>1</v>
      </c>
      <c r="G4724"/>
      <c r="H4724"/>
    </row>
    <row r="4725" spans="1:8" hidden="1" x14ac:dyDescent="0.25">
      <c r="A4725" s="43">
        <v>736</v>
      </c>
      <c r="B4725" s="43" t="s">
        <v>213</v>
      </c>
      <c r="C4725" s="43" t="s">
        <v>1685</v>
      </c>
      <c r="D4725" s="43" t="s">
        <v>1703</v>
      </c>
      <c r="E4725" s="43" t="s">
        <v>1704</v>
      </c>
      <c r="F4725" s="43">
        <v>1</v>
      </c>
      <c r="G4725"/>
      <c r="H4725"/>
    </row>
    <row r="4726" spans="1:8" hidden="1" x14ac:dyDescent="0.25">
      <c r="A4726" s="43">
        <v>736</v>
      </c>
      <c r="B4726" s="43" t="s">
        <v>213</v>
      </c>
      <c r="C4726" s="43" t="s">
        <v>1685</v>
      </c>
      <c r="D4726" s="43" t="s">
        <v>1705</v>
      </c>
      <c r="E4726" s="43" t="s">
        <v>1706</v>
      </c>
      <c r="F4726" s="43">
        <v>1</v>
      </c>
      <c r="G4726"/>
      <c r="H4726"/>
    </row>
    <row r="4727" spans="1:8" hidden="1" x14ac:dyDescent="0.25">
      <c r="A4727" s="43">
        <v>736</v>
      </c>
      <c r="B4727" s="43" t="s">
        <v>213</v>
      </c>
      <c r="C4727" s="43" t="s">
        <v>1685</v>
      </c>
      <c r="D4727" s="43" t="s">
        <v>1707</v>
      </c>
      <c r="E4727" s="43" t="s">
        <v>1708</v>
      </c>
      <c r="F4727" s="43">
        <v>1</v>
      </c>
      <c r="G4727"/>
      <c r="H4727"/>
    </row>
    <row r="4728" spans="1:8" hidden="1" x14ac:dyDescent="0.25">
      <c r="A4728" s="43">
        <v>736</v>
      </c>
      <c r="B4728" s="43" t="s">
        <v>213</v>
      </c>
      <c r="C4728" s="43" t="s">
        <v>1685</v>
      </c>
      <c r="D4728" s="43" t="s">
        <v>1709</v>
      </c>
      <c r="E4728" s="43" t="s">
        <v>1710</v>
      </c>
      <c r="F4728" s="43">
        <v>1</v>
      </c>
      <c r="G4728"/>
      <c r="H4728"/>
    </row>
    <row r="4729" spans="1:8" hidden="1" x14ac:dyDescent="0.25">
      <c r="A4729" s="43">
        <v>736</v>
      </c>
      <c r="B4729" s="43" t="s">
        <v>213</v>
      </c>
      <c r="C4729" s="43" t="s">
        <v>1685</v>
      </c>
      <c r="D4729" s="43" t="s">
        <v>1711</v>
      </c>
      <c r="E4729" s="43" t="s">
        <v>1124</v>
      </c>
      <c r="F4729" s="43">
        <v>1</v>
      </c>
      <c r="G4729"/>
      <c r="H4729"/>
    </row>
    <row r="4730" spans="1:8" hidden="1" x14ac:dyDescent="0.25">
      <c r="A4730" s="43">
        <v>739</v>
      </c>
      <c r="B4730" s="43" t="s">
        <v>214</v>
      </c>
      <c r="C4730" s="43" t="s">
        <v>422</v>
      </c>
      <c r="D4730" s="43" t="s">
        <v>423</v>
      </c>
      <c r="E4730" s="43" t="s">
        <v>424</v>
      </c>
      <c r="F4730" s="43">
        <v>1</v>
      </c>
      <c r="G4730"/>
      <c r="H4730"/>
    </row>
    <row r="4731" spans="1:8" hidden="1" x14ac:dyDescent="0.25">
      <c r="A4731" s="43">
        <v>739</v>
      </c>
      <c r="B4731" s="43" t="s">
        <v>214</v>
      </c>
      <c r="C4731" s="43" t="s">
        <v>422</v>
      </c>
      <c r="D4731" s="43" t="s">
        <v>425</v>
      </c>
      <c r="E4731" s="43" t="s">
        <v>426</v>
      </c>
      <c r="F4731" s="43">
        <v>1</v>
      </c>
      <c r="G4731"/>
      <c r="H4731"/>
    </row>
    <row r="4732" spans="1:8" hidden="1" x14ac:dyDescent="0.25">
      <c r="A4732" s="43">
        <v>739</v>
      </c>
      <c r="B4732" s="43" t="s">
        <v>214</v>
      </c>
      <c r="C4732" s="43" t="s">
        <v>422</v>
      </c>
      <c r="D4732" s="43" t="s">
        <v>427</v>
      </c>
      <c r="E4732" s="43" t="s">
        <v>428</v>
      </c>
      <c r="F4732" s="43">
        <v>1</v>
      </c>
      <c r="G4732"/>
      <c r="H4732"/>
    </row>
    <row r="4733" spans="1:8" hidden="1" x14ac:dyDescent="0.25">
      <c r="A4733" s="43">
        <v>739</v>
      </c>
      <c r="B4733" s="43" t="s">
        <v>214</v>
      </c>
      <c r="C4733" s="43" t="s">
        <v>422</v>
      </c>
      <c r="D4733" s="43" t="s">
        <v>429</v>
      </c>
      <c r="E4733" s="43" t="s">
        <v>430</v>
      </c>
      <c r="F4733" s="43">
        <v>1</v>
      </c>
      <c r="G4733"/>
      <c r="H4733"/>
    </row>
    <row r="4734" spans="1:8" hidden="1" x14ac:dyDescent="0.25">
      <c r="A4734" s="43">
        <v>739</v>
      </c>
      <c r="B4734" s="43" t="s">
        <v>214</v>
      </c>
      <c r="C4734" s="43" t="s">
        <v>422</v>
      </c>
      <c r="D4734" s="43" t="s">
        <v>431</v>
      </c>
      <c r="E4734" s="43" t="s">
        <v>432</v>
      </c>
      <c r="F4734" s="43">
        <v>1</v>
      </c>
      <c r="G4734"/>
      <c r="H4734"/>
    </row>
    <row r="4735" spans="1:8" hidden="1" x14ac:dyDescent="0.25">
      <c r="A4735" s="43">
        <v>739</v>
      </c>
      <c r="B4735" s="43" t="s">
        <v>214</v>
      </c>
      <c r="C4735" s="43" t="s">
        <v>422</v>
      </c>
      <c r="D4735" s="43" t="s">
        <v>433</v>
      </c>
      <c r="E4735" s="43" t="s">
        <v>434</v>
      </c>
      <c r="F4735" s="43">
        <v>1</v>
      </c>
      <c r="G4735"/>
      <c r="H4735"/>
    </row>
    <row r="4736" spans="1:8" hidden="1" x14ac:dyDescent="0.25">
      <c r="A4736" s="43">
        <v>739</v>
      </c>
      <c r="B4736" s="43" t="s">
        <v>214</v>
      </c>
      <c r="C4736" s="43" t="s">
        <v>422</v>
      </c>
      <c r="D4736" s="43" t="s">
        <v>435</v>
      </c>
      <c r="E4736" s="43" t="s">
        <v>436</v>
      </c>
      <c r="F4736" s="43">
        <v>1</v>
      </c>
      <c r="G4736"/>
      <c r="H4736"/>
    </row>
    <row r="4737" spans="1:8" hidden="1" x14ac:dyDescent="0.25">
      <c r="A4737" s="43">
        <v>739</v>
      </c>
      <c r="B4737" s="43" t="s">
        <v>214</v>
      </c>
      <c r="C4737" s="43" t="s">
        <v>422</v>
      </c>
      <c r="D4737" s="43" t="s">
        <v>437</v>
      </c>
      <c r="E4737" s="43" t="s">
        <v>438</v>
      </c>
      <c r="F4737" s="43">
        <v>1</v>
      </c>
      <c r="G4737"/>
      <c r="H4737"/>
    </row>
    <row r="4738" spans="1:8" hidden="1" x14ac:dyDescent="0.25">
      <c r="A4738" s="43">
        <v>739</v>
      </c>
      <c r="B4738" s="43" t="s">
        <v>214</v>
      </c>
      <c r="C4738" s="43" t="s">
        <v>422</v>
      </c>
      <c r="D4738" s="43" t="s">
        <v>439</v>
      </c>
      <c r="E4738" s="43" t="s">
        <v>440</v>
      </c>
      <c r="F4738" s="43">
        <v>1</v>
      </c>
      <c r="G4738"/>
      <c r="H4738"/>
    </row>
    <row r="4739" spans="1:8" hidden="1" x14ac:dyDescent="0.25">
      <c r="A4739" s="43">
        <v>739</v>
      </c>
      <c r="B4739" s="43" t="s">
        <v>214</v>
      </c>
      <c r="C4739" s="43" t="s">
        <v>422</v>
      </c>
      <c r="D4739" s="43" t="s">
        <v>441</v>
      </c>
      <c r="E4739" s="43" t="s">
        <v>442</v>
      </c>
      <c r="F4739" s="43">
        <v>0</v>
      </c>
      <c r="G4739" s="43" t="s">
        <v>4720</v>
      </c>
      <c r="H4739" s="43" t="s">
        <v>4771</v>
      </c>
    </row>
    <row r="4740" spans="1:8" hidden="1" x14ac:dyDescent="0.25">
      <c r="A4740" s="43">
        <v>739</v>
      </c>
      <c r="B4740" s="43" t="s">
        <v>214</v>
      </c>
      <c r="C4740" s="43" t="s">
        <v>422</v>
      </c>
      <c r="D4740" s="43" t="s">
        <v>444</v>
      </c>
      <c r="E4740" s="43" t="s">
        <v>445</v>
      </c>
      <c r="F4740" s="43">
        <v>1</v>
      </c>
      <c r="G4740"/>
      <c r="H4740"/>
    </row>
    <row r="4741" spans="1:8" hidden="1" x14ac:dyDescent="0.25">
      <c r="A4741" s="43">
        <v>739</v>
      </c>
      <c r="B4741" s="43" t="s">
        <v>214</v>
      </c>
      <c r="C4741" s="43" t="s">
        <v>422</v>
      </c>
      <c r="D4741" s="43" t="s">
        <v>446</v>
      </c>
      <c r="E4741" s="43" t="s">
        <v>447</v>
      </c>
      <c r="F4741" s="43">
        <v>1</v>
      </c>
      <c r="G4741"/>
      <c r="H4741"/>
    </row>
    <row r="4742" spans="1:8" hidden="1" x14ac:dyDescent="0.25">
      <c r="A4742" s="43">
        <v>739</v>
      </c>
      <c r="B4742" s="43" t="s">
        <v>214</v>
      </c>
      <c r="C4742" s="43" t="s">
        <v>422</v>
      </c>
      <c r="D4742" s="43" t="s">
        <v>448</v>
      </c>
      <c r="E4742" s="43" t="s">
        <v>449</v>
      </c>
      <c r="F4742" s="43">
        <v>1</v>
      </c>
      <c r="G4742"/>
      <c r="H4742"/>
    </row>
    <row r="4743" spans="1:8" hidden="1" x14ac:dyDescent="0.25">
      <c r="A4743" s="43">
        <v>741</v>
      </c>
      <c r="B4743" s="43" t="s">
        <v>215</v>
      </c>
      <c r="C4743" s="43" t="s">
        <v>386</v>
      </c>
      <c r="D4743" s="43" t="s">
        <v>387</v>
      </c>
      <c r="E4743" s="43" t="s">
        <v>388</v>
      </c>
      <c r="F4743" s="43">
        <v>1</v>
      </c>
      <c r="G4743"/>
      <c r="H4743"/>
    </row>
    <row r="4744" spans="1:8" hidden="1" x14ac:dyDescent="0.25">
      <c r="A4744" s="43">
        <v>741</v>
      </c>
      <c r="B4744" s="43" t="s">
        <v>215</v>
      </c>
      <c r="C4744" s="43" t="s">
        <v>386</v>
      </c>
      <c r="D4744" s="43" t="s">
        <v>390</v>
      </c>
      <c r="E4744" s="43" t="s">
        <v>391</v>
      </c>
      <c r="F4744" s="43">
        <v>1</v>
      </c>
      <c r="G4744"/>
      <c r="H4744"/>
    </row>
    <row r="4745" spans="1:8" hidden="1" x14ac:dyDescent="0.25">
      <c r="A4745" s="43">
        <v>741</v>
      </c>
      <c r="B4745" s="43" t="s">
        <v>215</v>
      </c>
      <c r="C4745" s="43" t="s">
        <v>386</v>
      </c>
      <c r="D4745" s="43" t="s">
        <v>392</v>
      </c>
      <c r="E4745" s="43" t="s">
        <v>393</v>
      </c>
      <c r="F4745" s="43">
        <v>0</v>
      </c>
      <c r="G4745" s="43" t="s">
        <v>4721</v>
      </c>
      <c r="H4745" s="43" t="s">
        <v>4765</v>
      </c>
    </row>
    <row r="4746" spans="1:8" hidden="1" x14ac:dyDescent="0.25">
      <c r="A4746" s="43">
        <v>741</v>
      </c>
      <c r="B4746" s="43" t="s">
        <v>215</v>
      </c>
      <c r="C4746" s="43" t="s">
        <v>386</v>
      </c>
      <c r="D4746" s="43" t="s">
        <v>394</v>
      </c>
      <c r="E4746" s="43" t="s">
        <v>4474</v>
      </c>
      <c r="F4746" s="43">
        <v>0</v>
      </c>
      <c r="G4746" s="43" t="s">
        <v>4722</v>
      </c>
      <c r="H4746" s="43" t="s">
        <v>4760</v>
      </c>
    </row>
    <row r="4747" spans="1:8" hidden="1" x14ac:dyDescent="0.25">
      <c r="A4747" s="43">
        <v>741</v>
      </c>
      <c r="B4747" s="43" t="s">
        <v>215</v>
      </c>
      <c r="C4747" s="43" t="s">
        <v>386</v>
      </c>
      <c r="D4747" s="43" t="s">
        <v>396</v>
      </c>
      <c r="E4747" s="43" t="s">
        <v>397</v>
      </c>
      <c r="F4747" s="43">
        <v>1</v>
      </c>
      <c r="G4747"/>
      <c r="H4747"/>
    </row>
    <row r="4748" spans="1:8" hidden="1" x14ac:dyDescent="0.25">
      <c r="A4748" s="43">
        <v>741</v>
      </c>
      <c r="B4748" s="43" t="s">
        <v>215</v>
      </c>
      <c r="C4748" s="43" t="s">
        <v>386</v>
      </c>
      <c r="D4748" s="43" t="s">
        <v>398</v>
      </c>
      <c r="E4748" s="43" t="s">
        <v>4475</v>
      </c>
      <c r="F4748" s="43">
        <v>1</v>
      </c>
      <c r="G4748"/>
      <c r="H4748"/>
    </row>
    <row r="4749" spans="1:8" hidden="1" x14ac:dyDescent="0.25">
      <c r="A4749" s="43">
        <v>741</v>
      </c>
      <c r="B4749" s="43" t="s">
        <v>215</v>
      </c>
      <c r="C4749" s="43" t="s">
        <v>386</v>
      </c>
      <c r="D4749" s="43" t="s">
        <v>400</v>
      </c>
      <c r="E4749" s="43" t="s">
        <v>401</v>
      </c>
      <c r="F4749" s="43">
        <v>1</v>
      </c>
      <c r="G4749"/>
      <c r="H4749"/>
    </row>
    <row r="4750" spans="1:8" hidden="1" x14ac:dyDescent="0.25">
      <c r="A4750" s="43">
        <v>741</v>
      </c>
      <c r="B4750" s="43" t="s">
        <v>215</v>
      </c>
      <c r="C4750" s="43" t="s">
        <v>386</v>
      </c>
      <c r="D4750" s="43" t="s">
        <v>402</v>
      </c>
      <c r="E4750" s="43" t="s">
        <v>403</v>
      </c>
      <c r="F4750" s="43">
        <v>1</v>
      </c>
      <c r="G4750"/>
      <c r="H4750"/>
    </row>
    <row r="4751" spans="1:8" hidden="1" x14ac:dyDescent="0.25">
      <c r="A4751" s="43">
        <v>741</v>
      </c>
      <c r="B4751" s="43" t="s">
        <v>215</v>
      </c>
      <c r="C4751" s="43" t="s">
        <v>386</v>
      </c>
      <c r="D4751" s="43" t="s">
        <v>404</v>
      </c>
      <c r="E4751" s="43" t="s">
        <v>405</v>
      </c>
      <c r="F4751" s="43">
        <v>0</v>
      </c>
      <c r="G4751" s="43" t="s">
        <v>4583</v>
      </c>
      <c r="H4751"/>
    </row>
    <row r="4752" spans="1:8" hidden="1" x14ac:dyDescent="0.25">
      <c r="A4752" s="43">
        <v>741</v>
      </c>
      <c r="B4752" s="43" t="s">
        <v>215</v>
      </c>
      <c r="C4752" s="43" t="s">
        <v>386</v>
      </c>
      <c r="D4752" s="43" t="s">
        <v>406</v>
      </c>
      <c r="E4752" s="43" t="s">
        <v>407</v>
      </c>
      <c r="F4752" s="43">
        <v>0</v>
      </c>
      <c r="G4752" s="43" t="s">
        <v>4583</v>
      </c>
      <c r="H4752"/>
    </row>
    <row r="4753" spans="1:8" hidden="1" x14ac:dyDescent="0.25">
      <c r="A4753" s="43">
        <v>741</v>
      </c>
      <c r="B4753" s="43" t="s">
        <v>215</v>
      </c>
      <c r="C4753" s="43" t="s">
        <v>386</v>
      </c>
      <c r="D4753" s="43" t="s">
        <v>408</v>
      </c>
      <c r="E4753" s="43" t="s">
        <v>409</v>
      </c>
      <c r="F4753" s="43">
        <v>0</v>
      </c>
      <c r="G4753" s="43" t="s">
        <v>4583</v>
      </c>
      <c r="H4753"/>
    </row>
    <row r="4754" spans="1:8" hidden="1" x14ac:dyDescent="0.25">
      <c r="A4754" s="43">
        <v>742</v>
      </c>
      <c r="B4754" s="43" t="s">
        <v>216</v>
      </c>
      <c r="C4754" s="43" t="s">
        <v>4478</v>
      </c>
      <c r="D4754" s="43" t="s">
        <v>1537</v>
      </c>
      <c r="E4754" s="43" t="s">
        <v>1494</v>
      </c>
      <c r="F4754" s="43">
        <v>1</v>
      </c>
      <c r="G4754"/>
      <c r="H4754"/>
    </row>
    <row r="4755" spans="1:8" hidden="1" x14ac:dyDescent="0.25">
      <c r="A4755" s="43">
        <v>742</v>
      </c>
      <c r="B4755" s="43" t="s">
        <v>216</v>
      </c>
      <c r="C4755" s="43" t="s">
        <v>4478</v>
      </c>
      <c r="D4755" s="43" t="s">
        <v>1538</v>
      </c>
      <c r="E4755" s="43" t="s">
        <v>306</v>
      </c>
      <c r="F4755" s="43">
        <v>1</v>
      </c>
      <c r="G4755"/>
      <c r="H4755"/>
    </row>
    <row r="4756" spans="1:8" hidden="1" x14ac:dyDescent="0.25">
      <c r="A4756" s="43">
        <v>742</v>
      </c>
      <c r="B4756" s="43" t="s">
        <v>216</v>
      </c>
      <c r="C4756" s="43" t="s">
        <v>4478</v>
      </c>
      <c r="D4756" s="43" t="s">
        <v>1539</v>
      </c>
      <c r="E4756" s="43" t="s">
        <v>1499</v>
      </c>
      <c r="F4756" s="43">
        <v>1</v>
      </c>
      <c r="G4756"/>
      <c r="H4756"/>
    </row>
    <row r="4757" spans="1:8" hidden="1" x14ac:dyDescent="0.25">
      <c r="A4757" s="43">
        <v>742</v>
      </c>
      <c r="B4757" s="43" t="s">
        <v>216</v>
      </c>
      <c r="C4757" s="43" t="s">
        <v>4478</v>
      </c>
      <c r="D4757" s="43" t="s">
        <v>1540</v>
      </c>
      <c r="E4757" s="43" t="s">
        <v>1541</v>
      </c>
      <c r="F4757" s="43">
        <v>1</v>
      </c>
      <c r="G4757"/>
      <c r="H4757"/>
    </row>
    <row r="4758" spans="1:8" hidden="1" x14ac:dyDescent="0.25">
      <c r="A4758" s="43">
        <v>742</v>
      </c>
      <c r="B4758" s="43" t="s">
        <v>216</v>
      </c>
      <c r="C4758" s="43" t="s">
        <v>4478</v>
      </c>
      <c r="D4758" s="43" t="s">
        <v>1542</v>
      </c>
      <c r="E4758" s="43" t="s">
        <v>1543</v>
      </c>
      <c r="F4758" s="43">
        <v>0</v>
      </c>
      <c r="G4758" s="43" t="s">
        <v>4583</v>
      </c>
      <c r="H4758"/>
    </row>
    <row r="4759" spans="1:8" hidden="1" x14ac:dyDescent="0.25">
      <c r="A4759" s="43">
        <v>742</v>
      </c>
      <c r="B4759" s="43" t="s">
        <v>216</v>
      </c>
      <c r="C4759" s="43" t="s">
        <v>4478</v>
      </c>
      <c r="D4759" s="43" t="s">
        <v>1544</v>
      </c>
      <c r="E4759" s="43" t="s">
        <v>671</v>
      </c>
      <c r="F4759" s="43">
        <v>0</v>
      </c>
      <c r="G4759" s="43" t="s">
        <v>4583</v>
      </c>
      <c r="H4759"/>
    </row>
    <row r="4760" spans="1:8" hidden="1" x14ac:dyDescent="0.25">
      <c r="A4760" s="43">
        <v>742</v>
      </c>
      <c r="B4760" s="43" t="s">
        <v>216</v>
      </c>
      <c r="C4760" s="43" t="s">
        <v>4478</v>
      </c>
      <c r="D4760" s="43" t="s">
        <v>1545</v>
      </c>
      <c r="E4760" s="43" t="s">
        <v>1546</v>
      </c>
      <c r="F4760" s="43">
        <v>1</v>
      </c>
      <c r="G4760"/>
      <c r="H4760"/>
    </row>
    <row r="4761" spans="1:8" hidden="1" x14ac:dyDescent="0.25">
      <c r="A4761" s="43">
        <v>742</v>
      </c>
      <c r="B4761" s="43" t="s">
        <v>216</v>
      </c>
      <c r="C4761" s="43" t="s">
        <v>4478</v>
      </c>
      <c r="D4761" s="43" t="s">
        <v>1547</v>
      </c>
      <c r="E4761" s="43" t="s">
        <v>1548</v>
      </c>
      <c r="F4761" s="43">
        <v>0</v>
      </c>
      <c r="G4761" s="43" t="s">
        <v>4583</v>
      </c>
      <c r="H4761"/>
    </row>
    <row r="4762" spans="1:8" hidden="1" x14ac:dyDescent="0.25">
      <c r="A4762" s="43">
        <v>742</v>
      </c>
      <c r="B4762" s="43" t="s">
        <v>216</v>
      </c>
      <c r="C4762" s="43" t="s">
        <v>4478</v>
      </c>
      <c r="D4762" s="43" t="s">
        <v>1549</v>
      </c>
      <c r="E4762" s="43" t="s">
        <v>1550</v>
      </c>
      <c r="F4762" s="43">
        <v>0</v>
      </c>
      <c r="G4762" s="43" t="s">
        <v>4583</v>
      </c>
      <c r="H4762"/>
    </row>
    <row r="4763" spans="1:8" hidden="1" x14ac:dyDescent="0.25">
      <c r="A4763" s="43">
        <v>742</v>
      </c>
      <c r="B4763" s="43" t="s">
        <v>216</v>
      </c>
      <c r="C4763" s="43" t="s">
        <v>4478</v>
      </c>
      <c r="D4763" s="43" t="s">
        <v>1551</v>
      </c>
      <c r="E4763" s="43" t="s">
        <v>1552</v>
      </c>
      <c r="F4763" s="43">
        <v>0</v>
      </c>
      <c r="G4763" s="43" t="s">
        <v>4583</v>
      </c>
      <c r="H4763"/>
    </row>
    <row r="4764" spans="1:8" hidden="1" x14ac:dyDescent="0.25">
      <c r="A4764" s="43">
        <v>742</v>
      </c>
      <c r="B4764" s="43" t="s">
        <v>216</v>
      </c>
      <c r="C4764" s="43" t="s">
        <v>4478</v>
      </c>
      <c r="D4764" s="43" t="s">
        <v>1553</v>
      </c>
      <c r="E4764" s="43" t="s">
        <v>1554</v>
      </c>
      <c r="F4764" s="43">
        <v>0</v>
      </c>
      <c r="G4764" s="43" t="s">
        <v>4583</v>
      </c>
      <c r="H4764"/>
    </row>
    <row r="4765" spans="1:8" hidden="1" x14ac:dyDescent="0.25">
      <c r="A4765" s="43">
        <v>742</v>
      </c>
      <c r="B4765" s="43" t="s">
        <v>216</v>
      </c>
      <c r="C4765" s="43" t="s">
        <v>4478</v>
      </c>
      <c r="D4765" s="43" t="s">
        <v>1555</v>
      </c>
      <c r="E4765" s="43" t="s">
        <v>1556</v>
      </c>
      <c r="F4765" s="43">
        <v>1</v>
      </c>
      <c r="G4765"/>
      <c r="H4765"/>
    </row>
    <row r="4766" spans="1:8" hidden="1" x14ac:dyDescent="0.25">
      <c r="A4766" s="43">
        <v>744</v>
      </c>
      <c r="B4766" s="43" t="s">
        <v>217</v>
      </c>
      <c r="C4766" s="43" t="s">
        <v>1457</v>
      </c>
      <c r="D4766" s="43" t="s">
        <v>1458</v>
      </c>
      <c r="E4766" s="43" t="s">
        <v>273</v>
      </c>
      <c r="F4766" s="43">
        <v>1</v>
      </c>
      <c r="G4766"/>
      <c r="H4766"/>
    </row>
    <row r="4767" spans="1:8" hidden="1" x14ac:dyDescent="0.25">
      <c r="A4767" s="43">
        <v>744</v>
      </c>
      <c r="B4767" s="43" t="s">
        <v>217</v>
      </c>
      <c r="C4767" s="43" t="s">
        <v>1457</v>
      </c>
      <c r="D4767" s="43" t="s">
        <v>1459</v>
      </c>
      <c r="E4767" s="43" t="s">
        <v>640</v>
      </c>
      <c r="F4767" s="43">
        <v>1</v>
      </c>
      <c r="G4767"/>
      <c r="H4767"/>
    </row>
    <row r="4768" spans="1:8" hidden="1" x14ac:dyDescent="0.25">
      <c r="A4768" s="43">
        <v>744</v>
      </c>
      <c r="B4768" s="43" t="s">
        <v>217</v>
      </c>
      <c r="C4768" s="43" t="s">
        <v>1457</v>
      </c>
      <c r="D4768" s="43" t="s">
        <v>1460</v>
      </c>
      <c r="E4768" s="43" t="s">
        <v>929</v>
      </c>
      <c r="F4768" s="43">
        <v>0</v>
      </c>
      <c r="G4768" s="43" t="s">
        <v>4583</v>
      </c>
      <c r="H4768"/>
    </row>
    <row r="4769" spans="1:8" hidden="1" x14ac:dyDescent="0.25">
      <c r="A4769" s="43">
        <v>744</v>
      </c>
      <c r="B4769" s="43" t="s">
        <v>217</v>
      </c>
      <c r="C4769" s="43" t="s">
        <v>1457</v>
      </c>
      <c r="D4769" s="43" t="s">
        <v>1461</v>
      </c>
      <c r="E4769" s="43" t="s">
        <v>1462</v>
      </c>
      <c r="F4769" s="43">
        <v>1</v>
      </c>
      <c r="G4769"/>
      <c r="H4769"/>
    </row>
    <row r="4770" spans="1:8" hidden="1" x14ac:dyDescent="0.25">
      <c r="A4770" s="43">
        <v>744</v>
      </c>
      <c r="B4770" s="43" t="s">
        <v>217</v>
      </c>
      <c r="C4770" s="43" t="s">
        <v>1457</v>
      </c>
      <c r="D4770" s="43" t="s">
        <v>1463</v>
      </c>
      <c r="E4770" s="43" t="s">
        <v>1464</v>
      </c>
      <c r="F4770" s="43">
        <v>0</v>
      </c>
      <c r="G4770" s="43" t="s">
        <v>4583</v>
      </c>
      <c r="H4770"/>
    </row>
    <row r="4771" spans="1:8" hidden="1" x14ac:dyDescent="0.25">
      <c r="A4771" s="43">
        <v>744</v>
      </c>
      <c r="B4771" s="43" t="s">
        <v>217</v>
      </c>
      <c r="C4771" s="43" t="s">
        <v>1457</v>
      </c>
      <c r="D4771" s="43" t="s">
        <v>1465</v>
      </c>
      <c r="E4771" s="43" t="s">
        <v>347</v>
      </c>
      <c r="F4771" s="43">
        <v>0</v>
      </c>
      <c r="G4771" s="43" t="s">
        <v>4583</v>
      </c>
      <c r="H4771"/>
    </row>
    <row r="4772" spans="1:8" hidden="1" x14ac:dyDescent="0.25">
      <c r="A4772" s="43">
        <v>744</v>
      </c>
      <c r="B4772" s="43" t="s">
        <v>217</v>
      </c>
      <c r="C4772" s="43" t="s">
        <v>1457</v>
      </c>
      <c r="D4772" s="43" t="s">
        <v>1466</v>
      </c>
      <c r="E4772" s="43" t="s">
        <v>1467</v>
      </c>
      <c r="F4772" s="43">
        <v>1</v>
      </c>
      <c r="G4772"/>
      <c r="H4772"/>
    </row>
    <row r="4773" spans="1:8" hidden="1" x14ac:dyDescent="0.25">
      <c r="A4773" s="43">
        <v>744</v>
      </c>
      <c r="B4773" s="43" t="s">
        <v>217</v>
      </c>
      <c r="C4773" s="43" t="s">
        <v>1457</v>
      </c>
      <c r="D4773" s="43" t="s">
        <v>1468</v>
      </c>
      <c r="E4773" s="43" t="s">
        <v>1469</v>
      </c>
      <c r="F4773" s="43">
        <v>0</v>
      </c>
      <c r="G4773" s="43" t="s">
        <v>4583</v>
      </c>
      <c r="H4773"/>
    </row>
    <row r="4774" spans="1:8" hidden="1" x14ac:dyDescent="0.25">
      <c r="A4774" s="43">
        <v>744</v>
      </c>
      <c r="B4774" s="43" t="s">
        <v>217</v>
      </c>
      <c r="C4774" s="43" t="s">
        <v>1457</v>
      </c>
      <c r="D4774" s="43" t="s">
        <v>1470</v>
      </c>
      <c r="E4774" s="43" t="s">
        <v>1471</v>
      </c>
      <c r="F4774" s="43">
        <v>0</v>
      </c>
      <c r="G4774" s="43" t="s">
        <v>4583</v>
      </c>
      <c r="H4774"/>
    </row>
    <row r="4775" spans="1:8" hidden="1" x14ac:dyDescent="0.25">
      <c r="A4775" s="43">
        <v>744</v>
      </c>
      <c r="B4775" s="43" t="s">
        <v>217</v>
      </c>
      <c r="C4775" s="43" t="s">
        <v>1457</v>
      </c>
      <c r="D4775" s="43" t="s">
        <v>1472</v>
      </c>
      <c r="E4775" s="43" t="s">
        <v>391</v>
      </c>
      <c r="F4775" s="43">
        <v>1</v>
      </c>
      <c r="G4775"/>
      <c r="H4775"/>
    </row>
    <row r="4776" spans="1:8" hidden="1" x14ac:dyDescent="0.25">
      <c r="A4776" s="43">
        <v>744</v>
      </c>
      <c r="B4776" s="43" t="s">
        <v>217</v>
      </c>
      <c r="C4776" s="43" t="s">
        <v>1457</v>
      </c>
      <c r="D4776" s="43" t="s">
        <v>1473</v>
      </c>
      <c r="E4776" s="43" t="s">
        <v>956</v>
      </c>
      <c r="F4776" s="43">
        <v>1</v>
      </c>
      <c r="G4776"/>
      <c r="H4776"/>
    </row>
    <row r="4777" spans="1:8" hidden="1" x14ac:dyDescent="0.25">
      <c r="A4777" s="43">
        <v>744</v>
      </c>
      <c r="B4777" s="43" t="s">
        <v>217</v>
      </c>
      <c r="C4777" s="43" t="s">
        <v>917</v>
      </c>
      <c r="D4777" s="43" t="s">
        <v>918</v>
      </c>
      <c r="E4777" s="43" t="s">
        <v>308</v>
      </c>
      <c r="F4777" s="43">
        <v>0</v>
      </c>
      <c r="G4777" s="43" t="s">
        <v>4583</v>
      </c>
      <c r="H4777"/>
    </row>
    <row r="4778" spans="1:8" hidden="1" x14ac:dyDescent="0.25">
      <c r="A4778" s="43">
        <v>744</v>
      </c>
      <c r="B4778" s="43" t="s">
        <v>217</v>
      </c>
      <c r="C4778" s="43" t="s">
        <v>917</v>
      </c>
      <c r="D4778" s="43" t="s">
        <v>919</v>
      </c>
      <c r="E4778" s="43" t="s">
        <v>920</v>
      </c>
      <c r="F4778" s="43">
        <v>1</v>
      </c>
      <c r="G4778"/>
      <c r="H4778"/>
    </row>
    <row r="4779" spans="1:8" hidden="1" x14ac:dyDescent="0.25">
      <c r="A4779" s="43">
        <v>744</v>
      </c>
      <c r="B4779" s="43" t="s">
        <v>217</v>
      </c>
      <c r="C4779" s="43" t="s">
        <v>917</v>
      </c>
      <c r="D4779" s="43" t="s">
        <v>921</v>
      </c>
      <c r="E4779" s="43" t="s">
        <v>922</v>
      </c>
      <c r="F4779" s="43">
        <v>0</v>
      </c>
      <c r="G4779" s="43" t="s">
        <v>4583</v>
      </c>
      <c r="H4779"/>
    </row>
    <row r="4780" spans="1:8" hidden="1" x14ac:dyDescent="0.25">
      <c r="A4780" s="43">
        <v>744</v>
      </c>
      <c r="B4780" s="43" t="s">
        <v>217</v>
      </c>
      <c r="C4780" s="43" t="s">
        <v>917</v>
      </c>
      <c r="D4780" s="43" t="s">
        <v>923</v>
      </c>
      <c r="E4780" s="43" t="s">
        <v>924</v>
      </c>
      <c r="F4780" s="43">
        <v>1</v>
      </c>
      <c r="G4780"/>
      <c r="H4780"/>
    </row>
    <row r="4781" spans="1:8" hidden="1" x14ac:dyDescent="0.25">
      <c r="A4781" s="43">
        <v>744</v>
      </c>
      <c r="B4781" s="43" t="s">
        <v>217</v>
      </c>
      <c r="C4781" s="43" t="s">
        <v>917</v>
      </c>
      <c r="D4781" s="43" t="s">
        <v>925</v>
      </c>
      <c r="E4781" s="43" t="s">
        <v>310</v>
      </c>
      <c r="F4781" s="43">
        <v>0</v>
      </c>
      <c r="G4781" s="43" t="s">
        <v>4583</v>
      </c>
      <c r="H4781"/>
    </row>
    <row r="4782" spans="1:8" hidden="1" x14ac:dyDescent="0.25">
      <c r="A4782" s="43">
        <v>744</v>
      </c>
      <c r="B4782" s="43" t="s">
        <v>217</v>
      </c>
      <c r="C4782" s="43" t="s">
        <v>917</v>
      </c>
      <c r="D4782" s="43" t="s">
        <v>926</v>
      </c>
      <c r="E4782" s="43" t="s">
        <v>927</v>
      </c>
      <c r="F4782" s="43">
        <v>1</v>
      </c>
      <c r="G4782"/>
      <c r="H4782"/>
    </row>
    <row r="4783" spans="1:8" hidden="1" x14ac:dyDescent="0.25">
      <c r="A4783" s="43">
        <v>744</v>
      </c>
      <c r="B4783" s="43" t="s">
        <v>217</v>
      </c>
      <c r="C4783" s="43" t="s">
        <v>917</v>
      </c>
      <c r="D4783" s="43" t="s">
        <v>928</v>
      </c>
      <c r="E4783" s="43" t="s">
        <v>929</v>
      </c>
      <c r="F4783" s="43">
        <v>0</v>
      </c>
      <c r="G4783" s="43" t="s">
        <v>4583</v>
      </c>
      <c r="H4783"/>
    </row>
    <row r="4784" spans="1:8" hidden="1" x14ac:dyDescent="0.25">
      <c r="A4784" s="43">
        <v>744</v>
      </c>
      <c r="B4784" s="43" t="s">
        <v>217</v>
      </c>
      <c r="C4784" s="43" t="s">
        <v>917</v>
      </c>
      <c r="D4784" s="43" t="s">
        <v>930</v>
      </c>
      <c r="E4784" s="43" t="s">
        <v>640</v>
      </c>
      <c r="F4784" s="43">
        <v>0</v>
      </c>
      <c r="G4784" s="43" t="s">
        <v>4583</v>
      </c>
      <c r="H4784"/>
    </row>
    <row r="4785" spans="1:8" hidden="1" x14ac:dyDescent="0.25">
      <c r="A4785" s="43">
        <v>744</v>
      </c>
      <c r="B4785" s="43" t="s">
        <v>217</v>
      </c>
      <c r="C4785" s="43" t="s">
        <v>917</v>
      </c>
      <c r="D4785" s="43" t="s">
        <v>931</v>
      </c>
      <c r="E4785" s="43" t="s">
        <v>932</v>
      </c>
      <c r="F4785" s="43">
        <v>0</v>
      </c>
      <c r="G4785" s="43" t="s">
        <v>4583</v>
      </c>
      <c r="H4785"/>
    </row>
    <row r="4786" spans="1:8" hidden="1" x14ac:dyDescent="0.25">
      <c r="A4786" s="43">
        <v>744</v>
      </c>
      <c r="B4786" s="43" t="s">
        <v>217</v>
      </c>
      <c r="C4786" s="43" t="s">
        <v>917</v>
      </c>
      <c r="D4786" s="43" t="s">
        <v>933</v>
      </c>
      <c r="E4786" s="43" t="s">
        <v>934</v>
      </c>
      <c r="F4786" s="43">
        <v>0</v>
      </c>
      <c r="G4786" s="43" t="s">
        <v>4583</v>
      </c>
      <c r="H4786"/>
    </row>
    <row r="4787" spans="1:8" hidden="1" x14ac:dyDescent="0.25">
      <c r="A4787" s="43">
        <v>744</v>
      </c>
      <c r="B4787" s="43" t="s">
        <v>217</v>
      </c>
      <c r="C4787" s="43" t="s">
        <v>917</v>
      </c>
      <c r="D4787" s="43" t="s">
        <v>935</v>
      </c>
      <c r="E4787" s="43" t="s">
        <v>936</v>
      </c>
      <c r="F4787" s="43">
        <v>0</v>
      </c>
      <c r="G4787" s="43" t="s">
        <v>4583</v>
      </c>
      <c r="H4787"/>
    </row>
    <row r="4788" spans="1:8" hidden="1" x14ac:dyDescent="0.25">
      <c r="A4788" s="43">
        <v>744</v>
      </c>
      <c r="B4788" s="43" t="s">
        <v>217</v>
      </c>
      <c r="C4788" s="43" t="s">
        <v>917</v>
      </c>
      <c r="D4788" s="43" t="s">
        <v>937</v>
      </c>
      <c r="E4788" s="43" t="s">
        <v>938</v>
      </c>
      <c r="F4788" s="43">
        <v>1</v>
      </c>
      <c r="G4788"/>
      <c r="H4788"/>
    </row>
    <row r="4789" spans="1:8" hidden="1" x14ac:dyDescent="0.25">
      <c r="A4789" s="43">
        <v>744</v>
      </c>
      <c r="B4789" s="43" t="s">
        <v>217</v>
      </c>
      <c r="C4789" s="43" t="s">
        <v>917</v>
      </c>
      <c r="D4789" s="43" t="s">
        <v>939</v>
      </c>
      <c r="E4789" s="43" t="s">
        <v>383</v>
      </c>
      <c r="F4789" s="43">
        <v>0</v>
      </c>
      <c r="G4789" s="43" t="s">
        <v>4583</v>
      </c>
      <c r="H4789"/>
    </row>
    <row r="4790" spans="1:8" hidden="1" x14ac:dyDescent="0.25">
      <c r="A4790" s="43">
        <v>744</v>
      </c>
      <c r="B4790" s="43" t="s">
        <v>217</v>
      </c>
      <c r="C4790" s="43" t="s">
        <v>917</v>
      </c>
      <c r="D4790" s="43" t="s">
        <v>940</v>
      </c>
      <c r="E4790" s="43" t="s">
        <v>384</v>
      </c>
      <c r="F4790" s="43">
        <v>0</v>
      </c>
      <c r="G4790" s="43" t="s">
        <v>4583</v>
      </c>
      <c r="H4790"/>
    </row>
    <row r="4791" spans="1:8" hidden="1" x14ac:dyDescent="0.25">
      <c r="A4791" s="43">
        <v>744</v>
      </c>
      <c r="B4791" s="43" t="s">
        <v>217</v>
      </c>
      <c r="C4791" s="43" t="s">
        <v>917</v>
      </c>
      <c r="D4791" s="43" t="s">
        <v>941</v>
      </c>
      <c r="E4791" s="43" t="s">
        <v>942</v>
      </c>
      <c r="F4791" s="43">
        <v>0</v>
      </c>
      <c r="G4791" s="43" t="s">
        <v>4583</v>
      </c>
      <c r="H4791"/>
    </row>
    <row r="4792" spans="1:8" hidden="1" x14ac:dyDescent="0.25">
      <c r="A4792" s="43">
        <v>744</v>
      </c>
      <c r="B4792" s="43" t="s">
        <v>217</v>
      </c>
      <c r="C4792" s="43" t="s">
        <v>917</v>
      </c>
      <c r="D4792" s="43" t="s">
        <v>943</v>
      </c>
      <c r="E4792" s="43" t="s">
        <v>944</v>
      </c>
      <c r="F4792" s="43">
        <v>0</v>
      </c>
      <c r="G4792" s="43" t="s">
        <v>4583</v>
      </c>
      <c r="H4792"/>
    </row>
    <row r="4793" spans="1:8" hidden="1" x14ac:dyDescent="0.25">
      <c r="A4793" s="43">
        <v>744</v>
      </c>
      <c r="B4793" s="43" t="s">
        <v>217</v>
      </c>
      <c r="C4793" s="43" t="s">
        <v>917</v>
      </c>
      <c r="D4793" s="43" t="s">
        <v>945</v>
      </c>
      <c r="E4793" s="43" t="s">
        <v>368</v>
      </c>
      <c r="F4793" s="43">
        <v>1</v>
      </c>
      <c r="G4793"/>
      <c r="H4793"/>
    </row>
    <row r="4794" spans="1:8" hidden="1" x14ac:dyDescent="0.25">
      <c r="A4794" s="43">
        <v>744</v>
      </c>
      <c r="B4794" s="43" t="s">
        <v>217</v>
      </c>
      <c r="C4794" s="43" t="s">
        <v>917</v>
      </c>
      <c r="D4794" s="43" t="s">
        <v>946</v>
      </c>
      <c r="E4794" s="43" t="s">
        <v>370</v>
      </c>
      <c r="F4794" s="43">
        <v>0</v>
      </c>
      <c r="G4794" s="43" t="s">
        <v>4583</v>
      </c>
      <c r="H4794"/>
    </row>
    <row r="4795" spans="1:8" hidden="1" x14ac:dyDescent="0.25">
      <c r="A4795" s="43">
        <v>744</v>
      </c>
      <c r="B4795" s="43" t="s">
        <v>217</v>
      </c>
      <c r="C4795" s="43" t="s">
        <v>917</v>
      </c>
      <c r="D4795" s="43" t="s">
        <v>947</v>
      </c>
      <c r="E4795" s="43" t="s">
        <v>948</v>
      </c>
      <c r="F4795" s="43">
        <v>0</v>
      </c>
      <c r="G4795" s="43" t="s">
        <v>4583</v>
      </c>
      <c r="H4795"/>
    </row>
    <row r="4796" spans="1:8" hidden="1" x14ac:dyDescent="0.25">
      <c r="A4796" s="43">
        <v>744</v>
      </c>
      <c r="B4796" s="43" t="s">
        <v>217</v>
      </c>
      <c r="C4796" s="43" t="s">
        <v>917</v>
      </c>
      <c r="D4796" s="43" t="s">
        <v>949</v>
      </c>
      <c r="E4796" s="43" t="s">
        <v>950</v>
      </c>
      <c r="F4796" s="43">
        <v>0</v>
      </c>
      <c r="G4796" s="43" t="s">
        <v>4583</v>
      </c>
      <c r="H4796"/>
    </row>
    <row r="4797" spans="1:8" hidden="1" x14ac:dyDescent="0.25">
      <c r="A4797" s="43">
        <v>744</v>
      </c>
      <c r="B4797" s="43" t="s">
        <v>217</v>
      </c>
      <c r="C4797" s="43" t="s">
        <v>917</v>
      </c>
      <c r="D4797" s="43" t="s">
        <v>951</v>
      </c>
      <c r="E4797" s="43" t="s">
        <v>952</v>
      </c>
      <c r="F4797" s="43">
        <v>1</v>
      </c>
      <c r="G4797"/>
      <c r="H4797"/>
    </row>
    <row r="4798" spans="1:8" hidden="1" x14ac:dyDescent="0.25">
      <c r="A4798" s="43">
        <v>744</v>
      </c>
      <c r="B4798" s="43" t="s">
        <v>217</v>
      </c>
      <c r="C4798" s="43" t="s">
        <v>917</v>
      </c>
      <c r="D4798" s="43" t="s">
        <v>953</v>
      </c>
      <c r="E4798" s="43" t="s">
        <v>954</v>
      </c>
      <c r="F4798" s="43">
        <v>1</v>
      </c>
      <c r="G4798"/>
      <c r="H4798"/>
    </row>
    <row r="4799" spans="1:8" hidden="1" x14ac:dyDescent="0.25">
      <c r="A4799" s="43">
        <v>744</v>
      </c>
      <c r="B4799" s="43" t="s">
        <v>217</v>
      </c>
      <c r="C4799" s="43" t="s">
        <v>917</v>
      </c>
      <c r="D4799" s="43" t="s">
        <v>955</v>
      </c>
      <c r="E4799" s="43" t="s">
        <v>956</v>
      </c>
      <c r="F4799" s="43">
        <v>0</v>
      </c>
      <c r="G4799" s="43" t="s">
        <v>4583</v>
      </c>
      <c r="H4799"/>
    </row>
    <row r="4800" spans="1:8" hidden="1" x14ac:dyDescent="0.25">
      <c r="A4800" s="43">
        <v>744</v>
      </c>
      <c r="B4800" s="43" t="s">
        <v>217</v>
      </c>
      <c r="C4800" s="43" t="s">
        <v>386</v>
      </c>
      <c r="D4800" s="43" t="s">
        <v>387</v>
      </c>
      <c r="E4800" s="43" t="s">
        <v>388</v>
      </c>
      <c r="F4800" s="43">
        <v>1</v>
      </c>
      <c r="G4800"/>
      <c r="H4800"/>
    </row>
    <row r="4801" spans="1:8" hidden="1" x14ac:dyDescent="0.25">
      <c r="A4801" s="43">
        <v>744</v>
      </c>
      <c r="B4801" s="43" t="s">
        <v>217</v>
      </c>
      <c r="C4801" s="43" t="s">
        <v>386</v>
      </c>
      <c r="D4801" s="43" t="s">
        <v>390</v>
      </c>
      <c r="E4801" s="43" t="s">
        <v>391</v>
      </c>
      <c r="F4801" s="43">
        <v>0</v>
      </c>
      <c r="G4801" s="43" t="s">
        <v>4583</v>
      </c>
      <c r="H4801"/>
    </row>
    <row r="4802" spans="1:8" hidden="1" x14ac:dyDescent="0.25">
      <c r="A4802" s="43">
        <v>744</v>
      </c>
      <c r="B4802" s="43" t="s">
        <v>217</v>
      </c>
      <c r="C4802" s="43" t="s">
        <v>386</v>
      </c>
      <c r="D4802" s="43" t="s">
        <v>392</v>
      </c>
      <c r="E4802" s="43" t="s">
        <v>393</v>
      </c>
      <c r="F4802" s="43">
        <v>1</v>
      </c>
      <c r="G4802"/>
      <c r="H4802"/>
    </row>
    <row r="4803" spans="1:8" hidden="1" x14ac:dyDescent="0.25">
      <c r="A4803" s="43">
        <v>744</v>
      </c>
      <c r="B4803" s="43" t="s">
        <v>217</v>
      </c>
      <c r="C4803" s="43" t="s">
        <v>386</v>
      </c>
      <c r="D4803" s="43" t="s">
        <v>394</v>
      </c>
      <c r="E4803" s="43" t="s">
        <v>4474</v>
      </c>
      <c r="F4803" s="43">
        <v>1</v>
      </c>
      <c r="G4803"/>
      <c r="H4803"/>
    </row>
    <row r="4804" spans="1:8" hidden="1" x14ac:dyDescent="0.25">
      <c r="A4804" s="43">
        <v>744</v>
      </c>
      <c r="B4804" s="43" t="s">
        <v>217</v>
      </c>
      <c r="C4804" s="43" t="s">
        <v>386</v>
      </c>
      <c r="D4804" s="43" t="s">
        <v>396</v>
      </c>
      <c r="E4804" s="43" t="s">
        <v>397</v>
      </c>
      <c r="F4804" s="43">
        <v>1</v>
      </c>
      <c r="G4804"/>
      <c r="H4804"/>
    </row>
    <row r="4805" spans="1:8" hidden="1" x14ac:dyDescent="0.25">
      <c r="A4805" s="43">
        <v>744</v>
      </c>
      <c r="B4805" s="43" t="s">
        <v>217</v>
      </c>
      <c r="C4805" s="43" t="s">
        <v>386</v>
      </c>
      <c r="D4805" s="43" t="s">
        <v>398</v>
      </c>
      <c r="E4805" s="43" t="s">
        <v>4475</v>
      </c>
      <c r="F4805" s="43">
        <v>1</v>
      </c>
      <c r="G4805"/>
      <c r="H4805"/>
    </row>
    <row r="4806" spans="1:8" hidden="1" x14ac:dyDescent="0.25">
      <c r="A4806" s="43">
        <v>744</v>
      </c>
      <c r="B4806" s="43" t="s">
        <v>217</v>
      </c>
      <c r="C4806" s="43" t="s">
        <v>386</v>
      </c>
      <c r="D4806" s="43" t="s">
        <v>400</v>
      </c>
      <c r="E4806" s="43" t="s">
        <v>401</v>
      </c>
      <c r="F4806" s="43">
        <v>1</v>
      </c>
      <c r="G4806"/>
      <c r="H4806"/>
    </row>
    <row r="4807" spans="1:8" hidden="1" x14ac:dyDescent="0.25">
      <c r="A4807" s="43">
        <v>744</v>
      </c>
      <c r="B4807" s="43" t="s">
        <v>217</v>
      </c>
      <c r="C4807" s="43" t="s">
        <v>386</v>
      </c>
      <c r="D4807" s="43" t="s">
        <v>402</v>
      </c>
      <c r="E4807" s="43" t="s">
        <v>403</v>
      </c>
      <c r="F4807" s="43">
        <v>1</v>
      </c>
      <c r="G4807"/>
      <c r="H4807"/>
    </row>
    <row r="4808" spans="1:8" hidden="1" x14ac:dyDescent="0.25">
      <c r="A4808" s="43">
        <v>744</v>
      </c>
      <c r="B4808" s="43" t="s">
        <v>217</v>
      </c>
      <c r="C4808" s="43" t="s">
        <v>386</v>
      </c>
      <c r="D4808" s="43" t="s">
        <v>404</v>
      </c>
      <c r="E4808" s="43" t="s">
        <v>405</v>
      </c>
      <c r="F4808" s="43">
        <v>1</v>
      </c>
      <c r="G4808"/>
      <c r="H4808"/>
    </row>
    <row r="4809" spans="1:8" hidden="1" x14ac:dyDescent="0.25">
      <c r="A4809" s="43">
        <v>744</v>
      </c>
      <c r="B4809" s="43" t="s">
        <v>217</v>
      </c>
      <c r="C4809" s="43" t="s">
        <v>386</v>
      </c>
      <c r="D4809" s="43" t="s">
        <v>406</v>
      </c>
      <c r="E4809" s="43" t="s">
        <v>407</v>
      </c>
      <c r="F4809" s="43">
        <v>0</v>
      </c>
      <c r="G4809" s="43" t="s">
        <v>4583</v>
      </c>
      <c r="H4809"/>
    </row>
    <row r="4810" spans="1:8" hidden="1" x14ac:dyDescent="0.25">
      <c r="A4810" s="43">
        <v>744</v>
      </c>
      <c r="B4810" s="43" t="s">
        <v>217</v>
      </c>
      <c r="C4810" s="43" t="s">
        <v>386</v>
      </c>
      <c r="D4810" s="43" t="s">
        <v>408</v>
      </c>
      <c r="E4810" s="43" t="s">
        <v>409</v>
      </c>
      <c r="F4810" s="43">
        <v>0</v>
      </c>
      <c r="G4810" s="43" t="s">
        <v>4583</v>
      </c>
      <c r="H4810"/>
    </row>
    <row r="4811" spans="1:8" hidden="1" x14ac:dyDescent="0.25">
      <c r="A4811" s="43">
        <v>744</v>
      </c>
      <c r="B4811" s="43" t="s">
        <v>217</v>
      </c>
      <c r="C4811" s="43" t="s">
        <v>782</v>
      </c>
      <c r="D4811" s="43" t="s">
        <v>783</v>
      </c>
      <c r="E4811" s="43" t="s">
        <v>784</v>
      </c>
      <c r="F4811" s="43">
        <v>0</v>
      </c>
      <c r="G4811" s="43" t="s">
        <v>4583</v>
      </c>
      <c r="H4811"/>
    </row>
    <row r="4812" spans="1:8" hidden="1" x14ac:dyDescent="0.25">
      <c r="A4812" s="43">
        <v>744</v>
      </c>
      <c r="B4812" s="43" t="s">
        <v>217</v>
      </c>
      <c r="C4812" s="43" t="s">
        <v>782</v>
      </c>
      <c r="D4812" s="43" t="s">
        <v>785</v>
      </c>
      <c r="E4812" s="43" t="s">
        <v>786</v>
      </c>
      <c r="F4812" s="43">
        <v>1</v>
      </c>
      <c r="G4812"/>
      <c r="H4812"/>
    </row>
    <row r="4813" spans="1:8" hidden="1" x14ac:dyDescent="0.25">
      <c r="A4813" s="43">
        <v>744</v>
      </c>
      <c r="B4813" s="43" t="s">
        <v>217</v>
      </c>
      <c r="C4813" s="43" t="s">
        <v>782</v>
      </c>
      <c r="D4813" s="43" t="s">
        <v>787</v>
      </c>
      <c r="E4813" s="43" t="s">
        <v>640</v>
      </c>
      <c r="F4813" s="43">
        <v>0</v>
      </c>
      <c r="G4813" s="43" t="s">
        <v>4583</v>
      </c>
      <c r="H4813"/>
    </row>
    <row r="4814" spans="1:8" hidden="1" x14ac:dyDescent="0.25">
      <c r="A4814" s="43">
        <v>744</v>
      </c>
      <c r="B4814" s="43" t="s">
        <v>217</v>
      </c>
      <c r="C4814" s="43" t="s">
        <v>782</v>
      </c>
      <c r="D4814" s="43" t="s">
        <v>788</v>
      </c>
      <c r="E4814" s="43" t="s">
        <v>789</v>
      </c>
      <c r="F4814" s="43">
        <v>0</v>
      </c>
      <c r="G4814" s="43" t="s">
        <v>4583</v>
      </c>
      <c r="H4814"/>
    </row>
    <row r="4815" spans="1:8" hidden="1" x14ac:dyDescent="0.25">
      <c r="A4815" s="43">
        <v>744</v>
      </c>
      <c r="B4815" s="43" t="s">
        <v>217</v>
      </c>
      <c r="C4815" s="43" t="s">
        <v>782</v>
      </c>
      <c r="D4815" s="43" t="s">
        <v>790</v>
      </c>
      <c r="E4815" s="43" t="s">
        <v>791</v>
      </c>
      <c r="F4815" s="43">
        <v>0</v>
      </c>
      <c r="G4815" s="43" t="s">
        <v>4583</v>
      </c>
      <c r="H4815"/>
    </row>
    <row r="4816" spans="1:8" hidden="1" x14ac:dyDescent="0.25">
      <c r="A4816" s="43">
        <v>744</v>
      </c>
      <c r="B4816" s="43" t="s">
        <v>217</v>
      </c>
      <c r="C4816" s="43" t="s">
        <v>782</v>
      </c>
      <c r="D4816" s="43" t="s">
        <v>792</v>
      </c>
      <c r="E4816" s="43" t="s">
        <v>793</v>
      </c>
      <c r="F4816" s="43">
        <v>0</v>
      </c>
      <c r="G4816" s="43" t="s">
        <v>4583</v>
      </c>
      <c r="H4816"/>
    </row>
    <row r="4817" spans="1:8" hidden="1" x14ac:dyDescent="0.25">
      <c r="A4817" s="43">
        <v>744</v>
      </c>
      <c r="B4817" s="43" t="s">
        <v>217</v>
      </c>
      <c r="C4817" s="43" t="s">
        <v>782</v>
      </c>
      <c r="D4817" s="43" t="s">
        <v>794</v>
      </c>
      <c r="E4817" s="43" t="s">
        <v>795</v>
      </c>
      <c r="F4817" s="43">
        <v>0</v>
      </c>
      <c r="G4817" s="43" t="s">
        <v>4583</v>
      </c>
      <c r="H4817"/>
    </row>
    <row r="4818" spans="1:8" hidden="1" x14ac:dyDescent="0.25">
      <c r="A4818" s="43">
        <v>744</v>
      </c>
      <c r="B4818" s="43" t="s">
        <v>217</v>
      </c>
      <c r="C4818" s="43" t="s">
        <v>782</v>
      </c>
      <c r="D4818" s="43" t="s">
        <v>796</v>
      </c>
      <c r="E4818" s="43" t="s">
        <v>797</v>
      </c>
      <c r="F4818" s="43">
        <v>0</v>
      </c>
      <c r="G4818" s="43" t="s">
        <v>4583</v>
      </c>
      <c r="H4818"/>
    </row>
    <row r="4819" spans="1:8" hidden="1" x14ac:dyDescent="0.25">
      <c r="A4819" s="43">
        <v>744</v>
      </c>
      <c r="B4819" s="43" t="s">
        <v>217</v>
      </c>
      <c r="C4819" s="43" t="s">
        <v>782</v>
      </c>
      <c r="D4819" s="43" t="s">
        <v>798</v>
      </c>
      <c r="E4819" s="43" t="s">
        <v>273</v>
      </c>
      <c r="F4819" s="43">
        <v>0</v>
      </c>
      <c r="G4819" s="43" t="s">
        <v>4583</v>
      </c>
      <c r="H4819"/>
    </row>
    <row r="4820" spans="1:8" hidden="1" x14ac:dyDescent="0.25">
      <c r="A4820" s="43">
        <v>744</v>
      </c>
      <c r="B4820" s="43" t="s">
        <v>217</v>
      </c>
      <c r="C4820" s="43" t="s">
        <v>782</v>
      </c>
      <c r="D4820" s="43" t="s">
        <v>799</v>
      </c>
      <c r="E4820" s="43" t="s">
        <v>312</v>
      </c>
      <c r="F4820" s="43">
        <v>0</v>
      </c>
      <c r="G4820" s="43" t="s">
        <v>4583</v>
      </c>
      <c r="H4820"/>
    </row>
    <row r="4821" spans="1:8" hidden="1" x14ac:dyDescent="0.25">
      <c r="A4821" s="43">
        <v>744</v>
      </c>
      <c r="B4821" s="43" t="s">
        <v>217</v>
      </c>
      <c r="C4821" s="43" t="s">
        <v>782</v>
      </c>
      <c r="D4821" s="43" t="s">
        <v>800</v>
      </c>
      <c r="E4821" s="43" t="s">
        <v>801</v>
      </c>
      <c r="F4821" s="43">
        <v>0</v>
      </c>
      <c r="G4821" s="43" t="s">
        <v>4583</v>
      </c>
      <c r="H4821"/>
    </row>
    <row r="4822" spans="1:8" hidden="1" x14ac:dyDescent="0.25">
      <c r="A4822" s="43">
        <v>744</v>
      </c>
      <c r="B4822" s="43" t="s">
        <v>217</v>
      </c>
      <c r="C4822" s="43" t="s">
        <v>782</v>
      </c>
      <c r="D4822" s="43" t="s">
        <v>802</v>
      </c>
      <c r="E4822" s="43" t="s">
        <v>803</v>
      </c>
      <c r="F4822" s="43">
        <v>0</v>
      </c>
      <c r="G4822" s="43" t="s">
        <v>4583</v>
      </c>
      <c r="H4822"/>
    </row>
    <row r="4823" spans="1:8" hidden="1" x14ac:dyDescent="0.25">
      <c r="A4823" s="43">
        <v>744</v>
      </c>
      <c r="B4823" s="43" t="s">
        <v>217</v>
      </c>
      <c r="C4823" s="43" t="s">
        <v>782</v>
      </c>
      <c r="D4823" s="43" t="s">
        <v>804</v>
      </c>
      <c r="E4823" s="43" t="s">
        <v>805</v>
      </c>
      <c r="F4823" s="43">
        <v>0</v>
      </c>
      <c r="G4823" s="43" t="s">
        <v>4583</v>
      </c>
      <c r="H4823"/>
    </row>
    <row r="4824" spans="1:8" hidden="1" x14ac:dyDescent="0.25">
      <c r="A4824" s="43">
        <v>744</v>
      </c>
      <c r="B4824" s="43" t="s">
        <v>217</v>
      </c>
      <c r="C4824" s="43" t="s">
        <v>1141</v>
      </c>
      <c r="D4824" s="43" t="s">
        <v>1142</v>
      </c>
      <c r="E4824" s="43" t="s">
        <v>312</v>
      </c>
      <c r="F4824" s="43">
        <v>0</v>
      </c>
      <c r="G4824" s="43" t="s">
        <v>4583</v>
      </c>
      <c r="H4824"/>
    </row>
    <row r="4825" spans="1:8" hidden="1" x14ac:dyDescent="0.25">
      <c r="A4825" s="43">
        <v>744</v>
      </c>
      <c r="B4825" s="43" t="s">
        <v>217</v>
      </c>
      <c r="C4825" s="43" t="s">
        <v>1141</v>
      </c>
      <c r="D4825" s="43" t="s">
        <v>1143</v>
      </c>
      <c r="E4825" s="43" t="s">
        <v>314</v>
      </c>
      <c r="F4825" s="43">
        <v>1</v>
      </c>
      <c r="G4825"/>
      <c r="H4825"/>
    </row>
    <row r="4826" spans="1:8" hidden="1" x14ac:dyDescent="0.25">
      <c r="A4826" s="43">
        <v>744</v>
      </c>
      <c r="B4826" s="43" t="s">
        <v>217</v>
      </c>
      <c r="C4826" s="43" t="s">
        <v>1141</v>
      </c>
      <c r="D4826" s="43" t="s">
        <v>1144</v>
      </c>
      <c r="E4826" s="43" t="s">
        <v>1145</v>
      </c>
      <c r="F4826" s="43">
        <v>0</v>
      </c>
      <c r="G4826" s="43" t="s">
        <v>4583</v>
      </c>
      <c r="H4826"/>
    </row>
    <row r="4827" spans="1:8" hidden="1" x14ac:dyDescent="0.25">
      <c r="A4827" s="43">
        <v>744</v>
      </c>
      <c r="B4827" s="43" t="s">
        <v>217</v>
      </c>
      <c r="C4827" s="43" t="s">
        <v>1141</v>
      </c>
      <c r="D4827" s="43" t="s">
        <v>1146</v>
      </c>
      <c r="E4827" s="43" t="s">
        <v>1147</v>
      </c>
      <c r="F4827" s="43">
        <v>0</v>
      </c>
      <c r="G4827" s="43" t="s">
        <v>4583</v>
      </c>
      <c r="H4827"/>
    </row>
    <row r="4828" spans="1:8" hidden="1" x14ac:dyDescent="0.25">
      <c r="A4828" s="43">
        <v>744</v>
      </c>
      <c r="B4828" s="43" t="s">
        <v>217</v>
      </c>
      <c r="C4828" s="43" t="s">
        <v>1141</v>
      </c>
      <c r="D4828" s="43" t="s">
        <v>1148</v>
      </c>
      <c r="E4828" s="43" t="s">
        <v>713</v>
      </c>
      <c r="F4828" s="43">
        <v>1</v>
      </c>
      <c r="G4828"/>
      <c r="H4828"/>
    </row>
    <row r="4829" spans="1:8" hidden="1" x14ac:dyDescent="0.25">
      <c r="A4829" s="43">
        <v>744</v>
      </c>
      <c r="B4829" s="43" t="s">
        <v>217</v>
      </c>
      <c r="C4829" s="43" t="s">
        <v>1141</v>
      </c>
      <c r="D4829" s="43" t="s">
        <v>1149</v>
      </c>
      <c r="E4829" s="43" t="s">
        <v>1150</v>
      </c>
      <c r="F4829" s="43">
        <v>0</v>
      </c>
      <c r="G4829" s="43" t="s">
        <v>4583</v>
      </c>
      <c r="H4829"/>
    </row>
    <row r="4830" spans="1:8" hidden="1" x14ac:dyDescent="0.25">
      <c r="A4830" s="43">
        <v>744</v>
      </c>
      <c r="B4830" s="43" t="s">
        <v>217</v>
      </c>
      <c r="C4830" s="43" t="s">
        <v>1141</v>
      </c>
      <c r="D4830" s="43" t="s">
        <v>1151</v>
      </c>
      <c r="E4830" s="43" t="s">
        <v>380</v>
      </c>
      <c r="F4830" s="43">
        <v>1</v>
      </c>
      <c r="G4830"/>
      <c r="H4830"/>
    </row>
    <row r="4831" spans="1:8" hidden="1" x14ac:dyDescent="0.25">
      <c r="A4831" s="43">
        <v>744</v>
      </c>
      <c r="B4831" s="43" t="s">
        <v>217</v>
      </c>
      <c r="C4831" s="43" t="s">
        <v>1141</v>
      </c>
      <c r="D4831" s="43" t="s">
        <v>1152</v>
      </c>
      <c r="E4831" s="43" t="s">
        <v>381</v>
      </c>
      <c r="F4831" s="43">
        <v>0</v>
      </c>
      <c r="G4831" s="43" t="s">
        <v>4583</v>
      </c>
      <c r="H4831"/>
    </row>
    <row r="4832" spans="1:8" hidden="1" x14ac:dyDescent="0.25">
      <c r="A4832" s="43">
        <v>744</v>
      </c>
      <c r="B4832" s="43" t="s">
        <v>217</v>
      </c>
      <c r="C4832" s="43" t="s">
        <v>1141</v>
      </c>
      <c r="D4832" s="43" t="s">
        <v>1153</v>
      </c>
      <c r="E4832" s="43" t="s">
        <v>1154</v>
      </c>
      <c r="F4832" s="43">
        <v>1</v>
      </c>
      <c r="G4832"/>
      <c r="H4832"/>
    </row>
    <row r="4833" spans="1:8" hidden="1" x14ac:dyDescent="0.25">
      <c r="A4833" s="43">
        <v>745</v>
      </c>
      <c r="B4833" s="43" t="s">
        <v>217</v>
      </c>
      <c r="C4833" s="43" t="s">
        <v>1457</v>
      </c>
      <c r="D4833" s="43" t="s">
        <v>1458</v>
      </c>
      <c r="E4833" s="43" t="s">
        <v>273</v>
      </c>
      <c r="F4833" s="43">
        <v>1</v>
      </c>
      <c r="G4833"/>
      <c r="H4833"/>
    </row>
    <row r="4834" spans="1:8" hidden="1" x14ac:dyDescent="0.25">
      <c r="A4834" s="43">
        <v>745</v>
      </c>
      <c r="B4834" s="43" t="s">
        <v>217</v>
      </c>
      <c r="C4834" s="43" t="s">
        <v>1457</v>
      </c>
      <c r="D4834" s="43" t="s">
        <v>1459</v>
      </c>
      <c r="E4834" s="43" t="s">
        <v>640</v>
      </c>
      <c r="F4834" s="43">
        <v>1</v>
      </c>
      <c r="G4834"/>
      <c r="H4834"/>
    </row>
    <row r="4835" spans="1:8" hidden="1" x14ac:dyDescent="0.25">
      <c r="A4835" s="43">
        <v>745</v>
      </c>
      <c r="B4835" s="43" t="s">
        <v>217</v>
      </c>
      <c r="C4835" s="43" t="s">
        <v>1457</v>
      </c>
      <c r="D4835" s="43" t="s">
        <v>1460</v>
      </c>
      <c r="E4835" s="43" t="s">
        <v>929</v>
      </c>
      <c r="F4835" s="43">
        <v>0</v>
      </c>
      <c r="G4835" s="43" t="s">
        <v>4583</v>
      </c>
      <c r="H4835"/>
    </row>
    <row r="4836" spans="1:8" hidden="1" x14ac:dyDescent="0.25">
      <c r="A4836" s="43">
        <v>745</v>
      </c>
      <c r="B4836" s="43" t="s">
        <v>217</v>
      </c>
      <c r="C4836" s="43" t="s">
        <v>1457</v>
      </c>
      <c r="D4836" s="43" t="s">
        <v>1461</v>
      </c>
      <c r="E4836" s="43" t="s">
        <v>1462</v>
      </c>
      <c r="F4836" s="43">
        <v>0</v>
      </c>
      <c r="G4836" s="43" t="s">
        <v>4583</v>
      </c>
      <c r="H4836"/>
    </row>
    <row r="4837" spans="1:8" hidden="1" x14ac:dyDescent="0.25">
      <c r="A4837" s="43">
        <v>745</v>
      </c>
      <c r="B4837" s="43" t="s">
        <v>217</v>
      </c>
      <c r="C4837" s="43" t="s">
        <v>1457</v>
      </c>
      <c r="D4837" s="43" t="s">
        <v>1463</v>
      </c>
      <c r="E4837" s="43" t="s">
        <v>1464</v>
      </c>
      <c r="F4837" s="43">
        <v>0</v>
      </c>
      <c r="G4837" s="43" t="s">
        <v>4583</v>
      </c>
      <c r="H4837"/>
    </row>
    <row r="4838" spans="1:8" hidden="1" x14ac:dyDescent="0.25">
      <c r="A4838" s="43">
        <v>745</v>
      </c>
      <c r="B4838" s="43" t="s">
        <v>217</v>
      </c>
      <c r="C4838" s="43" t="s">
        <v>1457</v>
      </c>
      <c r="D4838" s="43" t="s">
        <v>1465</v>
      </c>
      <c r="E4838" s="43" t="s">
        <v>347</v>
      </c>
      <c r="F4838" s="43">
        <v>0</v>
      </c>
      <c r="G4838" s="43" t="s">
        <v>4583</v>
      </c>
      <c r="H4838"/>
    </row>
    <row r="4839" spans="1:8" hidden="1" x14ac:dyDescent="0.25">
      <c r="A4839" s="43">
        <v>745</v>
      </c>
      <c r="B4839" s="43" t="s">
        <v>217</v>
      </c>
      <c r="C4839" s="43" t="s">
        <v>1457</v>
      </c>
      <c r="D4839" s="43" t="s">
        <v>1466</v>
      </c>
      <c r="E4839" s="43" t="s">
        <v>1467</v>
      </c>
      <c r="F4839" s="43">
        <v>1</v>
      </c>
      <c r="G4839"/>
      <c r="H4839"/>
    </row>
    <row r="4840" spans="1:8" hidden="1" x14ac:dyDescent="0.25">
      <c r="A4840" s="43">
        <v>745</v>
      </c>
      <c r="B4840" s="43" t="s">
        <v>217</v>
      </c>
      <c r="C4840" s="43" t="s">
        <v>1457</v>
      </c>
      <c r="D4840" s="43" t="s">
        <v>1468</v>
      </c>
      <c r="E4840" s="43" t="s">
        <v>1469</v>
      </c>
      <c r="F4840" s="43">
        <v>0</v>
      </c>
      <c r="G4840" s="43" t="s">
        <v>4583</v>
      </c>
      <c r="H4840"/>
    </row>
    <row r="4841" spans="1:8" hidden="1" x14ac:dyDescent="0.25">
      <c r="A4841" s="43">
        <v>745</v>
      </c>
      <c r="B4841" s="43" t="s">
        <v>217</v>
      </c>
      <c r="C4841" s="43" t="s">
        <v>1457</v>
      </c>
      <c r="D4841" s="43" t="s">
        <v>1470</v>
      </c>
      <c r="E4841" s="43" t="s">
        <v>1471</v>
      </c>
      <c r="F4841" s="43">
        <v>0</v>
      </c>
      <c r="G4841" s="43" t="s">
        <v>4583</v>
      </c>
      <c r="H4841"/>
    </row>
    <row r="4842" spans="1:8" hidden="1" x14ac:dyDescent="0.25">
      <c r="A4842" s="43">
        <v>745</v>
      </c>
      <c r="B4842" s="43" t="s">
        <v>217</v>
      </c>
      <c r="C4842" s="43" t="s">
        <v>1457</v>
      </c>
      <c r="D4842" s="43" t="s">
        <v>1472</v>
      </c>
      <c r="E4842" s="43" t="s">
        <v>391</v>
      </c>
      <c r="F4842" s="43">
        <v>1</v>
      </c>
      <c r="G4842"/>
      <c r="H4842"/>
    </row>
    <row r="4843" spans="1:8" hidden="1" x14ac:dyDescent="0.25">
      <c r="A4843" s="43">
        <v>745</v>
      </c>
      <c r="B4843" s="43" t="s">
        <v>217</v>
      </c>
      <c r="C4843" s="43" t="s">
        <v>1457</v>
      </c>
      <c r="D4843" s="43" t="s">
        <v>1473</v>
      </c>
      <c r="E4843" s="43" t="s">
        <v>956</v>
      </c>
      <c r="F4843" s="43">
        <v>1</v>
      </c>
      <c r="G4843"/>
      <c r="H4843"/>
    </row>
    <row r="4844" spans="1:8" hidden="1" x14ac:dyDescent="0.25">
      <c r="A4844" s="43">
        <v>746</v>
      </c>
      <c r="B4844" s="43" t="s">
        <v>218</v>
      </c>
      <c r="C4844" s="43" t="s">
        <v>1097</v>
      </c>
      <c r="D4844" s="43" t="s">
        <v>1098</v>
      </c>
      <c r="E4844" s="43" t="s">
        <v>1099</v>
      </c>
      <c r="F4844" s="43">
        <v>1</v>
      </c>
      <c r="G4844"/>
      <c r="H4844"/>
    </row>
    <row r="4845" spans="1:8" hidden="1" x14ac:dyDescent="0.25">
      <c r="A4845" s="43">
        <v>746</v>
      </c>
      <c r="B4845" s="43" t="s">
        <v>218</v>
      </c>
      <c r="C4845" s="43" t="s">
        <v>1097</v>
      </c>
      <c r="D4845" s="43" t="s">
        <v>1100</v>
      </c>
      <c r="E4845" s="43" t="s">
        <v>1101</v>
      </c>
      <c r="F4845" s="43">
        <v>1</v>
      </c>
      <c r="G4845"/>
      <c r="H4845"/>
    </row>
    <row r="4846" spans="1:8" hidden="1" x14ac:dyDescent="0.25">
      <c r="A4846" s="43">
        <v>746</v>
      </c>
      <c r="B4846" s="43" t="s">
        <v>218</v>
      </c>
      <c r="C4846" s="43" t="s">
        <v>1097</v>
      </c>
      <c r="D4846" s="43" t="s">
        <v>1102</v>
      </c>
      <c r="E4846" s="43" t="s">
        <v>1103</v>
      </c>
      <c r="F4846" s="43">
        <v>1</v>
      </c>
      <c r="G4846"/>
      <c r="H4846"/>
    </row>
    <row r="4847" spans="1:8" hidden="1" x14ac:dyDescent="0.25">
      <c r="A4847" s="43">
        <v>746</v>
      </c>
      <c r="B4847" s="43" t="s">
        <v>218</v>
      </c>
      <c r="C4847" s="43" t="s">
        <v>1097</v>
      </c>
      <c r="D4847" s="43" t="s">
        <v>1104</v>
      </c>
      <c r="E4847" s="43" t="s">
        <v>1105</v>
      </c>
      <c r="F4847" s="43">
        <v>1</v>
      </c>
      <c r="G4847"/>
      <c r="H4847"/>
    </row>
    <row r="4848" spans="1:8" hidden="1" x14ac:dyDescent="0.25">
      <c r="A4848" s="43">
        <v>746</v>
      </c>
      <c r="B4848" s="43" t="s">
        <v>218</v>
      </c>
      <c r="C4848" s="43" t="s">
        <v>1097</v>
      </c>
      <c r="D4848" s="43" t="s">
        <v>1106</v>
      </c>
      <c r="E4848" s="43" t="s">
        <v>349</v>
      </c>
      <c r="F4848" s="43">
        <v>1</v>
      </c>
      <c r="G4848"/>
      <c r="H4848"/>
    </row>
    <row r="4849" spans="1:8" hidden="1" x14ac:dyDescent="0.25">
      <c r="A4849" s="43">
        <v>746</v>
      </c>
      <c r="B4849" s="43" t="s">
        <v>218</v>
      </c>
      <c r="C4849" s="43" t="s">
        <v>1097</v>
      </c>
      <c r="D4849" s="43" t="s">
        <v>1107</v>
      </c>
      <c r="E4849" s="43" t="s">
        <v>4476</v>
      </c>
      <c r="F4849" s="43">
        <v>1</v>
      </c>
      <c r="G4849"/>
      <c r="H4849"/>
    </row>
    <row r="4850" spans="1:8" hidden="1" x14ac:dyDescent="0.25">
      <c r="A4850" s="43">
        <v>746</v>
      </c>
      <c r="B4850" s="43" t="s">
        <v>218</v>
      </c>
      <c r="C4850" s="43" t="s">
        <v>1097</v>
      </c>
      <c r="D4850" s="43" t="s">
        <v>1109</v>
      </c>
      <c r="E4850" s="43" t="s">
        <v>3050</v>
      </c>
      <c r="F4850" s="43">
        <v>1</v>
      </c>
      <c r="G4850"/>
      <c r="H4850"/>
    </row>
    <row r="4851" spans="1:8" hidden="1" x14ac:dyDescent="0.25">
      <c r="A4851" s="43">
        <v>746</v>
      </c>
      <c r="B4851" s="43" t="s">
        <v>218</v>
      </c>
      <c r="C4851" s="43" t="s">
        <v>1097</v>
      </c>
      <c r="D4851" s="43" t="s">
        <v>1111</v>
      </c>
      <c r="E4851" s="43" t="s">
        <v>1112</v>
      </c>
      <c r="F4851" s="43">
        <v>1</v>
      </c>
      <c r="G4851"/>
      <c r="H4851"/>
    </row>
    <row r="4852" spans="1:8" hidden="1" x14ac:dyDescent="0.25">
      <c r="A4852" s="43">
        <v>746</v>
      </c>
      <c r="B4852" s="43" t="s">
        <v>218</v>
      </c>
      <c r="C4852" s="43" t="s">
        <v>1097</v>
      </c>
      <c r="D4852" s="43" t="s">
        <v>1113</v>
      </c>
      <c r="E4852" s="43" t="s">
        <v>1114</v>
      </c>
      <c r="F4852" s="43">
        <v>1</v>
      </c>
      <c r="G4852"/>
      <c r="H4852"/>
    </row>
    <row r="4853" spans="1:8" hidden="1" x14ac:dyDescent="0.25">
      <c r="A4853" s="43">
        <v>746</v>
      </c>
      <c r="B4853" s="43" t="s">
        <v>218</v>
      </c>
      <c r="C4853" s="43" t="s">
        <v>1097</v>
      </c>
      <c r="D4853" s="43" t="s">
        <v>1115</v>
      </c>
      <c r="E4853" s="43" t="s">
        <v>1116</v>
      </c>
      <c r="F4853" s="43">
        <v>1</v>
      </c>
      <c r="G4853"/>
      <c r="H4853"/>
    </row>
    <row r="4854" spans="1:8" hidden="1" x14ac:dyDescent="0.25">
      <c r="A4854" s="43">
        <v>746</v>
      </c>
      <c r="B4854" s="43" t="s">
        <v>218</v>
      </c>
      <c r="C4854" s="43" t="s">
        <v>1097</v>
      </c>
      <c r="D4854" s="43" t="s">
        <v>1117</v>
      </c>
      <c r="E4854" s="43" t="s">
        <v>1118</v>
      </c>
      <c r="F4854" s="43">
        <v>1</v>
      </c>
      <c r="G4854"/>
      <c r="H4854"/>
    </row>
    <row r="4855" spans="1:8" hidden="1" x14ac:dyDescent="0.25">
      <c r="A4855" s="43">
        <v>746</v>
      </c>
      <c r="B4855" s="43" t="s">
        <v>218</v>
      </c>
      <c r="C4855" s="43" t="s">
        <v>1097</v>
      </c>
      <c r="D4855" s="43" t="s">
        <v>1119</v>
      </c>
      <c r="E4855" s="43" t="s">
        <v>1120</v>
      </c>
      <c r="F4855" s="43">
        <v>1</v>
      </c>
      <c r="G4855"/>
      <c r="H4855"/>
    </row>
    <row r="4856" spans="1:8" hidden="1" x14ac:dyDescent="0.25">
      <c r="A4856" s="43">
        <v>746</v>
      </c>
      <c r="B4856" s="43" t="s">
        <v>218</v>
      </c>
      <c r="C4856" s="43" t="s">
        <v>1097</v>
      </c>
      <c r="D4856" s="43" t="s">
        <v>1121</v>
      </c>
      <c r="E4856" s="43" t="s">
        <v>1122</v>
      </c>
      <c r="F4856" s="43">
        <v>1</v>
      </c>
      <c r="G4856"/>
      <c r="H4856"/>
    </row>
    <row r="4857" spans="1:8" hidden="1" x14ac:dyDescent="0.25">
      <c r="A4857" s="43">
        <v>746</v>
      </c>
      <c r="B4857" s="43" t="s">
        <v>218</v>
      </c>
      <c r="C4857" s="43" t="s">
        <v>1097</v>
      </c>
      <c r="D4857" s="43" t="s">
        <v>1123</v>
      </c>
      <c r="E4857" s="43" t="s">
        <v>1124</v>
      </c>
      <c r="F4857" s="43">
        <v>1</v>
      </c>
      <c r="G4857"/>
      <c r="H4857"/>
    </row>
    <row r="4858" spans="1:8" hidden="1" x14ac:dyDescent="0.25">
      <c r="A4858" s="43">
        <v>748</v>
      </c>
      <c r="B4858" s="43" t="s">
        <v>218</v>
      </c>
      <c r="C4858" s="43" t="s">
        <v>1097</v>
      </c>
      <c r="D4858" s="43" t="s">
        <v>1098</v>
      </c>
      <c r="E4858" s="43" t="s">
        <v>1099</v>
      </c>
      <c r="F4858" s="43">
        <v>1</v>
      </c>
      <c r="G4858"/>
      <c r="H4858"/>
    </row>
    <row r="4859" spans="1:8" hidden="1" x14ac:dyDescent="0.25">
      <c r="A4859" s="43">
        <v>748</v>
      </c>
      <c r="B4859" s="43" t="s">
        <v>218</v>
      </c>
      <c r="C4859" s="43" t="s">
        <v>1097</v>
      </c>
      <c r="D4859" s="43" t="s">
        <v>1100</v>
      </c>
      <c r="E4859" s="43" t="s">
        <v>1101</v>
      </c>
      <c r="F4859" s="43">
        <v>1</v>
      </c>
      <c r="G4859"/>
      <c r="H4859"/>
    </row>
    <row r="4860" spans="1:8" hidden="1" x14ac:dyDescent="0.25">
      <c r="A4860" s="43">
        <v>748</v>
      </c>
      <c r="B4860" s="43" t="s">
        <v>218</v>
      </c>
      <c r="C4860" s="43" t="s">
        <v>1097</v>
      </c>
      <c r="D4860" s="43" t="s">
        <v>1102</v>
      </c>
      <c r="E4860" s="43" t="s">
        <v>1103</v>
      </c>
      <c r="F4860" s="43">
        <v>0</v>
      </c>
      <c r="G4860" s="43" t="s">
        <v>4583</v>
      </c>
      <c r="H4860"/>
    </row>
    <row r="4861" spans="1:8" hidden="1" x14ac:dyDescent="0.25">
      <c r="A4861" s="43">
        <v>748</v>
      </c>
      <c r="B4861" s="43" t="s">
        <v>218</v>
      </c>
      <c r="C4861" s="43" t="s">
        <v>1097</v>
      </c>
      <c r="D4861" s="43" t="s">
        <v>1104</v>
      </c>
      <c r="E4861" s="43" t="s">
        <v>1105</v>
      </c>
      <c r="F4861" s="43">
        <v>0</v>
      </c>
      <c r="G4861" s="43" t="s">
        <v>4583</v>
      </c>
      <c r="H4861"/>
    </row>
    <row r="4862" spans="1:8" hidden="1" x14ac:dyDescent="0.25">
      <c r="A4862" s="43">
        <v>748</v>
      </c>
      <c r="B4862" s="43" t="s">
        <v>218</v>
      </c>
      <c r="C4862" s="43" t="s">
        <v>1097</v>
      </c>
      <c r="D4862" s="43" t="s">
        <v>1106</v>
      </c>
      <c r="E4862" s="43" t="s">
        <v>349</v>
      </c>
      <c r="F4862" s="43">
        <v>0</v>
      </c>
      <c r="G4862" s="43" t="s">
        <v>4583</v>
      </c>
      <c r="H4862"/>
    </row>
    <row r="4863" spans="1:8" hidden="1" x14ac:dyDescent="0.25">
      <c r="A4863" s="43">
        <v>748</v>
      </c>
      <c r="B4863" s="43" t="s">
        <v>218</v>
      </c>
      <c r="C4863" s="43" t="s">
        <v>1097</v>
      </c>
      <c r="D4863" s="43" t="s">
        <v>1107</v>
      </c>
      <c r="E4863" s="43" t="s">
        <v>4476</v>
      </c>
      <c r="F4863" s="43">
        <v>1</v>
      </c>
      <c r="G4863"/>
      <c r="H4863"/>
    </row>
    <row r="4864" spans="1:8" hidden="1" x14ac:dyDescent="0.25">
      <c r="A4864" s="43">
        <v>748</v>
      </c>
      <c r="B4864" s="43" t="s">
        <v>218</v>
      </c>
      <c r="C4864" s="43" t="s">
        <v>1097</v>
      </c>
      <c r="D4864" s="43" t="s">
        <v>1109</v>
      </c>
      <c r="E4864" s="43" t="s">
        <v>3050</v>
      </c>
      <c r="F4864" s="43">
        <v>1</v>
      </c>
      <c r="G4864"/>
      <c r="H4864"/>
    </row>
    <row r="4865" spans="1:8" hidden="1" x14ac:dyDescent="0.25">
      <c r="A4865" s="43">
        <v>748</v>
      </c>
      <c r="B4865" s="43" t="s">
        <v>218</v>
      </c>
      <c r="C4865" s="43" t="s">
        <v>1097</v>
      </c>
      <c r="D4865" s="43" t="s">
        <v>1111</v>
      </c>
      <c r="E4865" s="43" t="s">
        <v>1112</v>
      </c>
      <c r="F4865" s="43">
        <v>1</v>
      </c>
      <c r="G4865"/>
      <c r="H4865"/>
    </row>
    <row r="4866" spans="1:8" hidden="1" x14ac:dyDescent="0.25">
      <c r="A4866" s="43">
        <v>748</v>
      </c>
      <c r="B4866" s="43" t="s">
        <v>218</v>
      </c>
      <c r="C4866" s="43" t="s">
        <v>1097</v>
      </c>
      <c r="D4866" s="43" t="s">
        <v>1113</v>
      </c>
      <c r="E4866" s="43" t="s">
        <v>1114</v>
      </c>
      <c r="F4866" s="43">
        <v>0</v>
      </c>
      <c r="G4866" s="43" t="s">
        <v>4583</v>
      </c>
      <c r="H4866"/>
    </row>
    <row r="4867" spans="1:8" hidden="1" x14ac:dyDescent="0.25">
      <c r="A4867" s="43">
        <v>748</v>
      </c>
      <c r="B4867" s="43" t="s">
        <v>218</v>
      </c>
      <c r="C4867" s="43" t="s">
        <v>1097</v>
      </c>
      <c r="D4867" s="43" t="s">
        <v>1115</v>
      </c>
      <c r="E4867" s="43" t="s">
        <v>1116</v>
      </c>
      <c r="F4867" s="43">
        <v>0</v>
      </c>
      <c r="G4867" s="43" t="s">
        <v>4583</v>
      </c>
      <c r="H4867"/>
    </row>
    <row r="4868" spans="1:8" hidden="1" x14ac:dyDescent="0.25">
      <c r="A4868" s="43">
        <v>748</v>
      </c>
      <c r="B4868" s="43" t="s">
        <v>218</v>
      </c>
      <c r="C4868" s="43" t="s">
        <v>1097</v>
      </c>
      <c r="D4868" s="43" t="s">
        <v>1117</v>
      </c>
      <c r="E4868" s="43" t="s">
        <v>1118</v>
      </c>
      <c r="F4868" s="43">
        <v>1</v>
      </c>
      <c r="G4868"/>
      <c r="H4868"/>
    </row>
    <row r="4869" spans="1:8" hidden="1" x14ac:dyDescent="0.25">
      <c r="A4869" s="43">
        <v>748</v>
      </c>
      <c r="B4869" s="43" t="s">
        <v>218</v>
      </c>
      <c r="C4869" s="43" t="s">
        <v>1097</v>
      </c>
      <c r="D4869" s="43" t="s">
        <v>1119</v>
      </c>
      <c r="E4869" s="43" t="s">
        <v>1120</v>
      </c>
      <c r="F4869" s="43">
        <v>1</v>
      </c>
      <c r="G4869"/>
      <c r="H4869"/>
    </row>
    <row r="4870" spans="1:8" hidden="1" x14ac:dyDescent="0.25">
      <c r="A4870" s="43">
        <v>748</v>
      </c>
      <c r="B4870" s="43" t="s">
        <v>218</v>
      </c>
      <c r="C4870" s="43" t="s">
        <v>1097</v>
      </c>
      <c r="D4870" s="43" t="s">
        <v>1121</v>
      </c>
      <c r="E4870" s="43" t="s">
        <v>1122</v>
      </c>
      <c r="F4870" s="43">
        <v>1</v>
      </c>
      <c r="G4870"/>
      <c r="H4870"/>
    </row>
    <row r="4871" spans="1:8" hidden="1" x14ac:dyDescent="0.25">
      <c r="A4871" s="43">
        <v>748</v>
      </c>
      <c r="B4871" s="43" t="s">
        <v>218</v>
      </c>
      <c r="C4871" s="43" t="s">
        <v>1097</v>
      </c>
      <c r="D4871" s="43" t="s">
        <v>1123</v>
      </c>
      <c r="E4871" s="43" t="s">
        <v>1124</v>
      </c>
      <c r="F4871" s="43">
        <v>0</v>
      </c>
      <c r="G4871" s="43" t="s">
        <v>4583</v>
      </c>
      <c r="H4871"/>
    </row>
    <row r="4872" spans="1:8" hidden="1" x14ac:dyDescent="0.25">
      <c r="A4872" s="43">
        <v>750</v>
      </c>
      <c r="B4872" s="43" t="s">
        <v>219</v>
      </c>
      <c r="C4872" s="43" t="s">
        <v>1790</v>
      </c>
      <c r="D4872" s="43" t="s">
        <v>1791</v>
      </c>
      <c r="E4872" s="43" t="s">
        <v>273</v>
      </c>
      <c r="F4872" s="43">
        <v>0</v>
      </c>
      <c r="G4872" s="43" t="s">
        <v>4583</v>
      </c>
      <c r="H4872"/>
    </row>
    <row r="4873" spans="1:8" hidden="1" x14ac:dyDescent="0.25">
      <c r="A4873" s="43">
        <v>750</v>
      </c>
      <c r="B4873" s="43" t="s">
        <v>219</v>
      </c>
      <c r="C4873" s="43" t="s">
        <v>1790</v>
      </c>
      <c r="D4873" s="43" t="s">
        <v>1792</v>
      </c>
      <c r="E4873" s="43" t="s">
        <v>312</v>
      </c>
      <c r="F4873" s="43">
        <v>0</v>
      </c>
      <c r="G4873" s="43" t="s">
        <v>4583</v>
      </c>
      <c r="H4873"/>
    </row>
    <row r="4874" spans="1:8" hidden="1" x14ac:dyDescent="0.25">
      <c r="A4874" s="43">
        <v>750</v>
      </c>
      <c r="B4874" s="43" t="s">
        <v>219</v>
      </c>
      <c r="C4874" s="43" t="s">
        <v>1790</v>
      </c>
      <c r="D4874" s="43" t="s">
        <v>1793</v>
      </c>
      <c r="E4874" s="43" t="s">
        <v>801</v>
      </c>
      <c r="F4874" s="43">
        <v>0</v>
      </c>
      <c r="G4874" s="43" t="s">
        <v>4583</v>
      </c>
      <c r="H4874"/>
    </row>
    <row r="4875" spans="1:8" hidden="1" x14ac:dyDescent="0.25">
      <c r="A4875" s="43">
        <v>750</v>
      </c>
      <c r="B4875" s="43" t="s">
        <v>219</v>
      </c>
      <c r="C4875" s="43" t="s">
        <v>1790</v>
      </c>
      <c r="D4875" s="43" t="s">
        <v>1794</v>
      </c>
      <c r="E4875" s="43" t="s">
        <v>786</v>
      </c>
      <c r="F4875" s="43">
        <v>0</v>
      </c>
      <c r="G4875" s="43" t="s">
        <v>4583</v>
      </c>
      <c r="H4875"/>
    </row>
    <row r="4876" spans="1:8" hidden="1" x14ac:dyDescent="0.25">
      <c r="A4876" s="43">
        <v>750</v>
      </c>
      <c r="B4876" s="43" t="s">
        <v>219</v>
      </c>
      <c r="C4876" s="43" t="s">
        <v>1790</v>
      </c>
      <c r="D4876" s="43" t="s">
        <v>1795</v>
      </c>
      <c r="E4876" s="43" t="s">
        <v>784</v>
      </c>
      <c r="F4876" s="43">
        <v>0</v>
      </c>
      <c r="G4876" s="43" t="s">
        <v>4583</v>
      </c>
      <c r="H4876"/>
    </row>
    <row r="4877" spans="1:8" hidden="1" x14ac:dyDescent="0.25">
      <c r="A4877" s="43">
        <v>750</v>
      </c>
      <c r="B4877" s="43" t="s">
        <v>219</v>
      </c>
      <c r="C4877" s="43" t="s">
        <v>1790</v>
      </c>
      <c r="D4877" s="43" t="s">
        <v>1796</v>
      </c>
      <c r="E4877" s="43" t="s">
        <v>1205</v>
      </c>
      <c r="F4877" s="43">
        <v>1</v>
      </c>
      <c r="G4877"/>
      <c r="H4877"/>
    </row>
    <row r="4878" spans="1:8" hidden="1" x14ac:dyDescent="0.25">
      <c r="A4878" s="43">
        <v>750</v>
      </c>
      <c r="B4878" s="43" t="s">
        <v>219</v>
      </c>
      <c r="C4878" s="43" t="s">
        <v>1790</v>
      </c>
      <c r="D4878" s="43" t="s">
        <v>1797</v>
      </c>
      <c r="E4878" s="43" t="s">
        <v>1207</v>
      </c>
      <c r="F4878" s="43">
        <v>0</v>
      </c>
      <c r="G4878" s="43" t="s">
        <v>4583</v>
      </c>
      <c r="H4878"/>
    </row>
    <row r="4879" spans="1:8" hidden="1" x14ac:dyDescent="0.25">
      <c r="A4879" s="43">
        <v>750</v>
      </c>
      <c r="B4879" s="43" t="s">
        <v>219</v>
      </c>
      <c r="C4879" s="43" t="s">
        <v>1790</v>
      </c>
      <c r="D4879" s="43" t="s">
        <v>1798</v>
      </c>
      <c r="E4879" s="43" t="s">
        <v>1209</v>
      </c>
      <c r="F4879" s="43">
        <v>0</v>
      </c>
      <c r="G4879" s="43" t="s">
        <v>4583</v>
      </c>
      <c r="H4879"/>
    </row>
    <row r="4880" spans="1:8" hidden="1" x14ac:dyDescent="0.25">
      <c r="A4880" s="43">
        <v>750</v>
      </c>
      <c r="B4880" s="43" t="s">
        <v>219</v>
      </c>
      <c r="C4880" s="43" t="s">
        <v>1790</v>
      </c>
      <c r="D4880" s="43" t="s">
        <v>1799</v>
      </c>
      <c r="E4880" s="43" t="s">
        <v>789</v>
      </c>
      <c r="F4880" s="43">
        <v>1</v>
      </c>
      <c r="G4880"/>
      <c r="H4880"/>
    </row>
    <row r="4881" spans="1:8" hidden="1" x14ac:dyDescent="0.25">
      <c r="A4881" s="43">
        <v>750</v>
      </c>
      <c r="B4881" s="43" t="s">
        <v>219</v>
      </c>
      <c r="C4881" s="43" t="s">
        <v>1790</v>
      </c>
      <c r="D4881" s="43" t="s">
        <v>1800</v>
      </c>
      <c r="E4881" s="43" t="s">
        <v>1214</v>
      </c>
      <c r="F4881" s="43">
        <v>1</v>
      </c>
      <c r="G4881"/>
      <c r="H4881"/>
    </row>
    <row r="4882" spans="1:8" hidden="1" x14ac:dyDescent="0.25">
      <c r="A4882" s="43">
        <v>750</v>
      </c>
      <c r="B4882" s="43" t="s">
        <v>219</v>
      </c>
      <c r="C4882" s="43" t="s">
        <v>1790</v>
      </c>
      <c r="D4882" s="43" t="s">
        <v>1801</v>
      </c>
      <c r="E4882" s="43" t="s">
        <v>1784</v>
      </c>
      <c r="F4882" s="43">
        <v>0</v>
      </c>
      <c r="G4882" s="43" t="s">
        <v>4583</v>
      </c>
      <c r="H4882"/>
    </row>
    <row r="4883" spans="1:8" hidden="1" x14ac:dyDescent="0.25">
      <c r="A4883" s="43">
        <v>750</v>
      </c>
      <c r="B4883" s="43" t="s">
        <v>219</v>
      </c>
      <c r="C4883" s="43" t="s">
        <v>1790</v>
      </c>
      <c r="D4883" s="43" t="s">
        <v>1802</v>
      </c>
      <c r="E4883" s="43" t="s">
        <v>791</v>
      </c>
      <c r="F4883" s="43">
        <v>0</v>
      </c>
      <c r="G4883" s="43" t="s">
        <v>4583</v>
      </c>
      <c r="H4883"/>
    </row>
    <row r="4884" spans="1:8" hidden="1" x14ac:dyDescent="0.25">
      <c r="A4884" s="43">
        <v>750</v>
      </c>
      <c r="B4884" s="43" t="s">
        <v>219</v>
      </c>
      <c r="C4884" s="43" t="s">
        <v>1790</v>
      </c>
      <c r="D4884" s="43" t="s">
        <v>1803</v>
      </c>
      <c r="E4884" s="43" t="s">
        <v>795</v>
      </c>
      <c r="F4884" s="43">
        <v>0</v>
      </c>
      <c r="G4884" s="43" t="s">
        <v>4583</v>
      </c>
      <c r="H4884"/>
    </row>
    <row r="4885" spans="1:8" hidden="1" x14ac:dyDescent="0.25">
      <c r="A4885" s="43">
        <v>750</v>
      </c>
      <c r="B4885" s="43" t="s">
        <v>219</v>
      </c>
      <c r="C4885" s="43" t="s">
        <v>1790</v>
      </c>
      <c r="D4885" s="43" t="s">
        <v>1804</v>
      </c>
      <c r="E4885" s="43" t="s">
        <v>372</v>
      </c>
      <c r="F4885" s="43">
        <v>0</v>
      </c>
      <c r="G4885" s="43" t="s">
        <v>4583</v>
      </c>
      <c r="H4885"/>
    </row>
    <row r="4886" spans="1:8" hidden="1" x14ac:dyDescent="0.25">
      <c r="A4886" s="43">
        <v>750</v>
      </c>
      <c r="B4886" s="43" t="s">
        <v>219</v>
      </c>
      <c r="C4886" s="43" t="s">
        <v>1790</v>
      </c>
      <c r="D4886" s="43" t="s">
        <v>1805</v>
      </c>
      <c r="E4886" s="43" t="s">
        <v>1806</v>
      </c>
      <c r="F4886" s="43">
        <v>1</v>
      </c>
      <c r="G4886"/>
      <c r="H4886"/>
    </row>
    <row r="4887" spans="1:8" hidden="1" x14ac:dyDescent="0.25">
      <c r="A4887" s="43">
        <v>750</v>
      </c>
      <c r="B4887" s="43" t="s">
        <v>219</v>
      </c>
      <c r="C4887" s="43" t="s">
        <v>1790</v>
      </c>
      <c r="D4887" s="43" t="s">
        <v>1807</v>
      </c>
      <c r="E4887" s="43" t="s">
        <v>1808</v>
      </c>
      <c r="F4887" s="43">
        <v>1</v>
      </c>
      <c r="G4887"/>
      <c r="H4887"/>
    </row>
    <row r="4888" spans="1:8" hidden="1" x14ac:dyDescent="0.25">
      <c r="A4888" s="43">
        <v>750</v>
      </c>
      <c r="B4888" s="43" t="s">
        <v>219</v>
      </c>
      <c r="C4888" s="43" t="s">
        <v>1030</v>
      </c>
      <c r="D4888" s="43" t="s">
        <v>1031</v>
      </c>
      <c r="E4888" s="43" t="s">
        <v>273</v>
      </c>
      <c r="F4888" s="43">
        <v>0</v>
      </c>
      <c r="G4888" s="43" t="s">
        <v>4583</v>
      </c>
      <c r="H4888"/>
    </row>
    <row r="4889" spans="1:8" hidden="1" x14ac:dyDescent="0.25">
      <c r="A4889" s="43">
        <v>750</v>
      </c>
      <c r="B4889" s="43" t="s">
        <v>219</v>
      </c>
      <c r="C4889" s="43" t="s">
        <v>1030</v>
      </c>
      <c r="D4889" s="43" t="s">
        <v>1032</v>
      </c>
      <c r="E4889" s="43" t="s">
        <v>1033</v>
      </c>
      <c r="F4889" s="43">
        <v>0</v>
      </c>
      <c r="G4889" s="43" t="s">
        <v>4583</v>
      </c>
      <c r="H4889"/>
    </row>
    <row r="4890" spans="1:8" hidden="1" x14ac:dyDescent="0.25">
      <c r="A4890" s="43">
        <v>750</v>
      </c>
      <c r="B4890" s="43" t="s">
        <v>219</v>
      </c>
      <c r="C4890" s="43" t="s">
        <v>1030</v>
      </c>
      <c r="D4890" s="43" t="s">
        <v>1034</v>
      </c>
      <c r="E4890" s="43" t="s">
        <v>1035</v>
      </c>
      <c r="F4890" s="43">
        <v>0</v>
      </c>
      <c r="G4890" s="43" t="s">
        <v>4583</v>
      </c>
      <c r="H4890"/>
    </row>
    <row r="4891" spans="1:8" hidden="1" x14ac:dyDescent="0.25">
      <c r="A4891" s="43">
        <v>750</v>
      </c>
      <c r="B4891" s="43" t="s">
        <v>219</v>
      </c>
      <c r="C4891" s="43" t="s">
        <v>1030</v>
      </c>
      <c r="D4891" s="43" t="s">
        <v>1036</v>
      </c>
      <c r="E4891" s="43" t="s">
        <v>1037</v>
      </c>
      <c r="F4891" s="43">
        <v>0</v>
      </c>
      <c r="G4891" s="43" t="s">
        <v>4583</v>
      </c>
      <c r="H4891"/>
    </row>
    <row r="4892" spans="1:8" hidden="1" x14ac:dyDescent="0.25">
      <c r="A4892" s="43">
        <v>750</v>
      </c>
      <c r="B4892" s="43" t="s">
        <v>219</v>
      </c>
      <c r="C4892" s="43" t="s">
        <v>1030</v>
      </c>
      <c r="D4892" s="43" t="s">
        <v>1038</v>
      </c>
      <c r="E4892" s="43" t="s">
        <v>4484</v>
      </c>
      <c r="F4892" s="43">
        <v>0</v>
      </c>
      <c r="G4892" s="43" t="s">
        <v>4583</v>
      </c>
      <c r="H4892"/>
    </row>
    <row r="4893" spans="1:8" hidden="1" x14ac:dyDescent="0.25">
      <c r="A4893" s="43">
        <v>750</v>
      </c>
      <c r="B4893" s="43" t="s">
        <v>219</v>
      </c>
      <c r="C4893" s="43" t="s">
        <v>1030</v>
      </c>
      <c r="D4893" s="43" t="s">
        <v>1039</v>
      </c>
      <c r="E4893" s="43" t="s">
        <v>765</v>
      </c>
      <c r="F4893" s="43">
        <v>1</v>
      </c>
      <c r="G4893"/>
      <c r="H4893"/>
    </row>
    <row r="4894" spans="1:8" hidden="1" x14ac:dyDescent="0.25">
      <c r="A4894" s="43">
        <v>750</v>
      </c>
      <c r="B4894" s="43" t="s">
        <v>219</v>
      </c>
      <c r="C4894" s="43" t="s">
        <v>1030</v>
      </c>
      <c r="D4894" s="43" t="s">
        <v>1040</v>
      </c>
      <c r="E4894" s="43" t="s">
        <v>767</v>
      </c>
      <c r="F4894" s="43">
        <v>1</v>
      </c>
      <c r="G4894"/>
      <c r="H4894"/>
    </row>
    <row r="4895" spans="1:8" hidden="1" x14ac:dyDescent="0.25">
      <c r="A4895" s="43">
        <v>750</v>
      </c>
      <c r="B4895" s="43" t="s">
        <v>219</v>
      </c>
      <c r="C4895" s="43" t="s">
        <v>1030</v>
      </c>
      <c r="D4895" s="43" t="s">
        <v>1041</v>
      </c>
      <c r="E4895" s="43" t="s">
        <v>1042</v>
      </c>
      <c r="F4895" s="43">
        <v>0</v>
      </c>
      <c r="G4895" s="43" t="s">
        <v>4583</v>
      </c>
      <c r="H4895"/>
    </row>
    <row r="4896" spans="1:8" hidden="1" x14ac:dyDescent="0.25">
      <c r="A4896" s="43">
        <v>750</v>
      </c>
      <c r="B4896" s="43" t="s">
        <v>219</v>
      </c>
      <c r="C4896" s="43" t="s">
        <v>1030</v>
      </c>
      <c r="D4896" s="43" t="s">
        <v>1043</v>
      </c>
      <c r="E4896" s="43" t="s">
        <v>1044</v>
      </c>
      <c r="F4896" s="43">
        <v>0</v>
      </c>
      <c r="G4896" s="43" t="s">
        <v>4583</v>
      </c>
      <c r="H4896"/>
    </row>
    <row r="4897" spans="1:8" hidden="1" x14ac:dyDescent="0.25">
      <c r="A4897" s="43">
        <v>750</v>
      </c>
      <c r="B4897" s="43" t="s">
        <v>219</v>
      </c>
      <c r="C4897" s="43" t="s">
        <v>1030</v>
      </c>
      <c r="D4897" s="43" t="s">
        <v>1045</v>
      </c>
      <c r="E4897" s="43" t="s">
        <v>1046</v>
      </c>
      <c r="F4897" s="43">
        <v>0</v>
      </c>
      <c r="G4897" s="43" t="s">
        <v>4583</v>
      </c>
      <c r="H4897"/>
    </row>
    <row r="4898" spans="1:8" hidden="1" x14ac:dyDescent="0.25">
      <c r="A4898" s="43">
        <v>750</v>
      </c>
      <c r="B4898" s="43" t="s">
        <v>219</v>
      </c>
      <c r="C4898" s="43" t="s">
        <v>1030</v>
      </c>
      <c r="D4898" s="43" t="s">
        <v>1047</v>
      </c>
      <c r="E4898" s="43" t="s">
        <v>1048</v>
      </c>
      <c r="F4898" s="43">
        <v>0</v>
      </c>
      <c r="G4898" s="43" t="s">
        <v>4583</v>
      </c>
      <c r="H4898"/>
    </row>
    <row r="4899" spans="1:8" hidden="1" x14ac:dyDescent="0.25">
      <c r="A4899" s="43">
        <v>750</v>
      </c>
      <c r="B4899" s="43" t="s">
        <v>219</v>
      </c>
      <c r="C4899" s="43" t="s">
        <v>1030</v>
      </c>
      <c r="D4899" s="43" t="s">
        <v>1049</v>
      </c>
      <c r="E4899" s="43" t="s">
        <v>1050</v>
      </c>
      <c r="F4899" s="43">
        <v>0</v>
      </c>
      <c r="G4899" s="43" t="s">
        <v>4583</v>
      </c>
      <c r="H4899"/>
    </row>
    <row r="4900" spans="1:8" hidden="1" x14ac:dyDescent="0.25">
      <c r="A4900" s="43">
        <v>750</v>
      </c>
      <c r="B4900" s="43" t="s">
        <v>219</v>
      </c>
      <c r="C4900" s="43" t="s">
        <v>1030</v>
      </c>
      <c r="D4900" s="43" t="s">
        <v>1051</v>
      </c>
      <c r="E4900" s="43" t="s">
        <v>1052</v>
      </c>
      <c r="F4900" s="43">
        <v>0</v>
      </c>
      <c r="G4900" s="43" t="s">
        <v>4583</v>
      </c>
      <c r="H4900"/>
    </row>
    <row r="4901" spans="1:8" hidden="1" x14ac:dyDescent="0.25">
      <c r="A4901" s="43">
        <v>750</v>
      </c>
      <c r="B4901" s="43" t="s">
        <v>219</v>
      </c>
      <c r="C4901" s="43" t="s">
        <v>1030</v>
      </c>
      <c r="D4901" s="43" t="s">
        <v>1053</v>
      </c>
      <c r="E4901" s="43" t="s">
        <v>1054</v>
      </c>
      <c r="F4901" s="43">
        <v>0</v>
      </c>
      <c r="G4901" s="43" t="s">
        <v>4583</v>
      </c>
      <c r="H4901"/>
    </row>
    <row r="4902" spans="1:8" hidden="1" x14ac:dyDescent="0.25">
      <c r="A4902" s="43">
        <v>750</v>
      </c>
      <c r="B4902" s="43" t="s">
        <v>219</v>
      </c>
      <c r="C4902" s="43" t="s">
        <v>1030</v>
      </c>
      <c r="D4902" s="43" t="s">
        <v>1055</v>
      </c>
      <c r="E4902" s="43" t="s">
        <v>1056</v>
      </c>
      <c r="F4902" s="43">
        <v>0</v>
      </c>
      <c r="G4902" s="43" t="s">
        <v>4583</v>
      </c>
      <c r="H4902"/>
    </row>
    <row r="4903" spans="1:8" hidden="1" x14ac:dyDescent="0.25">
      <c r="A4903" s="43">
        <v>750</v>
      </c>
      <c r="B4903" s="43" t="s">
        <v>219</v>
      </c>
      <c r="C4903" s="43" t="s">
        <v>1030</v>
      </c>
      <c r="D4903" s="43" t="s">
        <v>1057</v>
      </c>
      <c r="E4903" s="43" t="s">
        <v>1058</v>
      </c>
      <c r="F4903" s="43">
        <v>0</v>
      </c>
      <c r="G4903" s="43" t="s">
        <v>4583</v>
      </c>
      <c r="H4903"/>
    </row>
    <row r="4904" spans="1:8" hidden="1" x14ac:dyDescent="0.25">
      <c r="A4904" s="43">
        <v>750</v>
      </c>
      <c r="B4904" s="43" t="s">
        <v>219</v>
      </c>
      <c r="C4904" s="43" t="s">
        <v>1030</v>
      </c>
      <c r="D4904" s="43" t="s">
        <v>1059</v>
      </c>
      <c r="E4904" s="43" t="s">
        <v>1060</v>
      </c>
      <c r="F4904" s="43">
        <v>0</v>
      </c>
      <c r="G4904" s="43" t="s">
        <v>4583</v>
      </c>
      <c r="H4904"/>
    </row>
    <row r="4905" spans="1:8" hidden="1" x14ac:dyDescent="0.25">
      <c r="A4905" s="43">
        <v>750</v>
      </c>
      <c r="B4905" s="43" t="s">
        <v>219</v>
      </c>
      <c r="C4905" s="43" t="s">
        <v>1030</v>
      </c>
      <c r="D4905" s="43" t="s">
        <v>1061</v>
      </c>
      <c r="E4905" s="43" t="s">
        <v>1062</v>
      </c>
      <c r="F4905" s="43">
        <v>0</v>
      </c>
      <c r="G4905" s="43" t="s">
        <v>4583</v>
      </c>
      <c r="H4905"/>
    </row>
    <row r="4906" spans="1:8" hidden="1" x14ac:dyDescent="0.25">
      <c r="A4906" s="43">
        <v>750</v>
      </c>
      <c r="B4906" s="43" t="s">
        <v>219</v>
      </c>
      <c r="C4906" s="43" t="s">
        <v>1030</v>
      </c>
      <c r="D4906" s="43" t="s">
        <v>1063</v>
      </c>
      <c r="E4906" s="43" t="s">
        <v>4485</v>
      </c>
      <c r="F4906" s="43">
        <v>0</v>
      </c>
      <c r="G4906" s="43" t="s">
        <v>4583</v>
      </c>
      <c r="H4906"/>
    </row>
    <row r="4907" spans="1:8" hidden="1" x14ac:dyDescent="0.25">
      <c r="A4907" s="43">
        <v>750</v>
      </c>
      <c r="B4907" s="43" t="s">
        <v>219</v>
      </c>
      <c r="C4907" s="43" t="s">
        <v>1030</v>
      </c>
      <c r="D4907" s="43" t="s">
        <v>1065</v>
      </c>
      <c r="E4907" s="43" t="s">
        <v>1066</v>
      </c>
      <c r="F4907" s="43">
        <v>0</v>
      </c>
      <c r="G4907" s="43" t="s">
        <v>4583</v>
      </c>
      <c r="H4907"/>
    </row>
    <row r="4908" spans="1:8" hidden="1" x14ac:dyDescent="0.25">
      <c r="A4908" s="43">
        <v>750</v>
      </c>
      <c r="B4908" s="43" t="s">
        <v>219</v>
      </c>
      <c r="C4908" s="43" t="s">
        <v>1030</v>
      </c>
      <c r="D4908" s="43" t="s">
        <v>1067</v>
      </c>
      <c r="E4908" s="43" t="s">
        <v>1068</v>
      </c>
      <c r="F4908" s="43">
        <v>0</v>
      </c>
      <c r="G4908" s="43" t="s">
        <v>4583</v>
      </c>
      <c r="H4908"/>
    </row>
    <row r="4909" spans="1:8" hidden="1" x14ac:dyDescent="0.25">
      <c r="A4909" s="43">
        <v>750</v>
      </c>
      <c r="B4909" s="43" t="s">
        <v>219</v>
      </c>
      <c r="C4909" s="43" t="s">
        <v>1030</v>
      </c>
      <c r="D4909" s="43" t="s">
        <v>1069</v>
      </c>
      <c r="E4909" s="43" t="s">
        <v>1070</v>
      </c>
      <c r="F4909" s="43">
        <v>0</v>
      </c>
      <c r="G4909" s="43" t="s">
        <v>4583</v>
      </c>
      <c r="H4909"/>
    </row>
    <row r="4910" spans="1:8" hidden="1" x14ac:dyDescent="0.25">
      <c r="A4910" s="43">
        <v>750</v>
      </c>
      <c r="B4910" s="43" t="s">
        <v>219</v>
      </c>
      <c r="C4910" s="43" t="s">
        <v>1030</v>
      </c>
      <c r="D4910" s="43" t="s">
        <v>1071</v>
      </c>
      <c r="E4910" s="43" t="s">
        <v>1072</v>
      </c>
      <c r="F4910" s="43">
        <v>0</v>
      </c>
      <c r="G4910" s="43" t="s">
        <v>4583</v>
      </c>
      <c r="H4910"/>
    </row>
    <row r="4911" spans="1:8" hidden="1" x14ac:dyDescent="0.25">
      <c r="A4911" s="43">
        <v>750</v>
      </c>
      <c r="B4911" s="43" t="s">
        <v>219</v>
      </c>
      <c r="C4911" s="43" t="s">
        <v>1030</v>
      </c>
      <c r="D4911" s="43" t="s">
        <v>1073</v>
      </c>
      <c r="E4911" s="43" t="s">
        <v>1074</v>
      </c>
      <c r="F4911" s="43">
        <v>0</v>
      </c>
      <c r="G4911" s="43" t="s">
        <v>4583</v>
      </c>
      <c r="H4911"/>
    </row>
    <row r="4912" spans="1:8" hidden="1" x14ac:dyDescent="0.25">
      <c r="A4912" s="43">
        <v>750</v>
      </c>
      <c r="B4912" s="43" t="s">
        <v>219</v>
      </c>
      <c r="C4912" s="43" t="s">
        <v>1030</v>
      </c>
      <c r="D4912" s="43" t="s">
        <v>1075</v>
      </c>
      <c r="E4912" s="43" t="s">
        <v>1076</v>
      </c>
      <c r="F4912" s="43">
        <v>0</v>
      </c>
      <c r="G4912" s="43" t="s">
        <v>4583</v>
      </c>
      <c r="H4912"/>
    </row>
    <row r="4913" spans="1:8" hidden="1" x14ac:dyDescent="0.25">
      <c r="A4913" s="43">
        <v>752</v>
      </c>
      <c r="B4913" s="43" t="s">
        <v>220</v>
      </c>
      <c r="C4913" s="43" t="s">
        <v>1292</v>
      </c>
      <c r="D4913" s="43" t="s">
        <v>1293</v>
      </c>
      <c r="E4913" s="43" t="s">
        <v>304</v>
      </c>
      <c r="F4913" s="43">
        <v>1</v>
      </c>
      <c r="G4913"/>
      <c r="H4913"/>
    </row>
    <row r="4914" spans="1:8" hidden="1" x14ac:dyDescent="0.25">
      <c r="A4914" s="43">
        <v>752</v>
      </c>
      <c r="B4914" s="43" t="s">
        <v>220</v>
      </c>
      <c r="C4914" s="43" t="s">
        <v>1292</v>
      </c>
      <c r="D4914" s="43" t="s">
        <v>1294</v>
      </c>
      <c r="E4914" s="43" t="s">
        <v>306</v>
      </c>
      <c r="F4914" s="43">
        <v>1</v>
      </c>
      <c r="G4914"/>
      <c r="H4914"/>
    </row>
    <row r="4915" spans="1:8" hidden="1" x14ac:dyDescent="0.25">
      <c r="A4915" s="43">
        <v>752</v>
      </c>
      <c r="B4915" s="43" t="s">
        <v>220</v>
      </c>
      <c r="C4915" s="43" t="s">
        <v>1292</v>
      </c>
      <c r="D4915" s="43" t="s">
        <v>1295</v>
      </c>
      <c r="E4915" s="43" t="s">
        <v>1296</v>
      </c>
      <c r="F4915" s="43">
        <v>1</v>
      </c>
      <c r="G4915"/>
      <c r="H4915"/>
    </row>
    <row r="4916" spans="1:8" hidden="1" x14ac:dyDescent="0.25">
      <c r="A4916" s="43">
        <v>752</v>
      </c>
      <c r="B4916" s="43" t="s">
        <v>220</v>
      </c>
      <c r="C4916" s="43" t="s">
        <v>1292</v>
      </c>
      <c r="D4916" s="43" t="s">
        <v>1297</v>
      </c>
      <c r="E4916" s="43" t="s">
        <v>729</v>
      </c>
      <c r="F4916" s="43">
        <v>2</v>
      </c>
      <c r="G4916" s="43" t="s">
        <v>4500</v>
      </c>
      <c r="H4916" s="43" t="s">
        <v>4581</v>
      </c>
    </row>
    <row r="4917" spans="1:8" hidden="1" x14ac:dyDescent="0.25">
      <c r="A4917" s="43">
        <v>752</v>
      </c>
      <c r="B4917" s="43" t="s">
        <v>220</v>
      </c>
      <c r="C4917" s="43" t="s">
        <v>1292</v>
      </c>
      <c r="D4917" s="43" t="s">
        <v>1298</v>
      </c>
      <c r="E4917" s="43" t="s">
        <v>343</v>
      </c>
      <c r="F4917" s="43">
        <v>1</v>
      </c>
      <c r="G4917"/>
      <c r="H4917"/>
    </row>
    <row r="4918" spans="1:8" hidden="1" x14ac:dyDescent="0.25">
      <c r="A4918" s="43">
        <v>752</v>
      </c>
      <c r="B4918" s="43" t="s">
        <v>220</v>
      </c>
      <c r="C4918" s="43" t="s">
        <v>1292</v>
      </c>
      <c r="D4918" s="43" t="s">
        <v>1299</v>
      </c>
      <c r="E4918" s="43" t="s">
        <v>1300</v>
      </c>
      <c r="F4918" s="43">
        <v>1</v>
      </c>
      <c r="G4918"/>
      <c r="H4918"/>
    </row>
    <row r="4919" spans="1:8" hidden="1" x14ac:dyDescent="0.25">
      <c r="A4919" s="43">
        <v>752</v>
      </c>
      <c r="B4919" s="43" t="s">
        <v>220</v>
      </c>
      <c r="C4919" s="43" t="s">
        <v>1292</v>
      </c>
      <c r="D4919" s="43" t="s">
        <v>1301</v>
      </c>
      <c r="E4919" s="43" t="s">
        <v>734</v>
      </c>
      <c r="F4919" s="43">
        <v>1</v>
      </c>
      <c r="G4919"/>
      <c r="H4919"/>
    </row>
    <row r="4920" spans="1:8" hidden="1" x14ac:dyDescent="0.25">
      <c r="A4920" s="43">
        <v>752</v>
      </c>
      <c r="B4920" s="43" t="s">
        <v>220</v>
      </c>
      <c r="C4920" s="43" t="s">
        <v>1292</v>
      </c>
      <c r="D4920" s="43" t="s">
        <v>1302</v>
      </c>
      <c r="E4920" s="43" t="s">
        <v>1303</v>
      </c>
      <c r="F4920" s="43">
        <v>1</v>
      </c>
      <c r="G4920"/>
      <c r="H4920"/>
    </row>
    <row r="4921" spans="1:8" hidden="1" x14ac:dyDescent="0.25">
      <c r="A4921" s="43">
        <v>752</v>
      </c>
      <c r="B4921" s="43" t="s">
        <v>220</v>
      </c>
      <c r="C4921" s="43" t="s">
        <v>1292</v>
      </c>
      <c r="D4921" s="43" t="s">
        <v>1304</v>
      </c>
      <c r="E4921" s="43" t="s">
        <v>1305</v>
      </c>
      <c r="F4921" s="43">
        <v>1</v>
      </c>
      <c r="G4921"/>
      <c r="H4921"/>
    </row>
    <row r="4922" spans="1:8" hidden="1" x14ac:dyDescent="0.25">
      <c r="A4922" s="43">
        <v>752</v>
      </c>
      <c r="B4922" s="43" t="s">
        <v>220</v>
      </c>
      <c r="C4922" s="43" t="s">
        <v>1292</v>
      </c>
      <c r="D4922" s="43" t="s">
        <v>1306</v>
      </c>
      <c r="E4922" s="43" t="s">
        <v>4487</v>
      </c>
      <c r="F4922" s="43">
        <v>1</v>
      </c>
      <c r="G4922"/>
      <c r="H4922"/>
    </row>
    <row r="4923" spans="1:8" hidden="1" x14ac:dyDescent="0.25">
      <c r="A4923" s="43">
        <v>752</v>
      </c>
      <c r="B4923" s="43" t="s">
        <v>220</v>
      </c>
      <c r="C4923" s="43" t="s">
        <v>1292</v>
      </c>
      <c r="D4923" s="43" t="s">
        <v>1308</v>
      </c>
      <c r="E4923" s="43" t="s">
        <v>875</v>
      </c>
      <c r="F4923" s="43">
        <v>1</v>
      </c>
      <c r="G4923"/>
      <c r="H4923"/>
    </row>
    <row r="4924" spans="1:8" hidden="1" x14ac:dyDescent="0.25">
      <c r="A4924" s="43">
        <v>752</v>
      </c>
      <c r="B4924" s="43" t="s">
        <v>220</v>
      </c>
      <c r="C4924" s="43" t="s">
        <v>1292</v>
      </c>
      <c r="D4924" s="43" t="s">
        <v>1309</v>
      </c>
      <c r="E4924" s="43" t="s">
        <v>759</v>
      </c>
      <c r="F4924" s="43">
        <v>1</v>
      </c>
      <c r="G4924"/>
      <c r="H4924"/>
    </row>
    <row r="4925" spans="1:8" hidden="1" x14ac:dyDescent="0.25">
      <c r="A4925" s="43">
        <v>752</v>
      </c>
      <c r="B4925" s="43" t="s">
        <v>220</v>
      </c>
      <c r="C4925" s="43" t="s">
        <v>1292</v>
      </c>
      <c r="D4925" s="43" t="s">
        <v>1310</v>
      </c>
      <c r="E4925" s="43" t="s">
        <v>755</v>
      </c>
      <c r="F4925" s="43">
        <v>1</v>
      </c>
      <c r="G4925"/>
      <c r="H4925"/>
    </row>
    <row r="4926" spans="1:8" hidden="1" x14ac:dyDescent="0.25">
      <c r="A4926" s="43">
        <v>752</v>
      </c>
      <c r="B4926" s="43" t="s">
        <v>220</v>
      </c>
      <c r="C4926" s="43" t="s">
        <v>1292</v>
      </c>
      <c r="D4926" s="43" t="s">
        <v>1311</v>
      </c>
      <c r="E4926" s="43" t="s">
        <v>757</v>
      </c>
      <c r="F4926" s="43">
        <v>1</v>
      </c>
      <c r="G4926"/>
      <c r="H4926"/>
    </row>
    <row r="4927" spans="1:8" hidden="1" x14ac:dyDescent="0.25">
      <c r="A4927" s="43">
        <v>753</v>
      </c>
      <c r="B4927" s="43" t="s">
        <v>221</v>
      </c>
      <c r="C4927" s="43" t="s">
        <v>1097</v>
      </c>
      <c r="D4927" s="43" t="s">
        <v>1098</v>
      </c>
      <c r="E4927" s="43" t="s">
        <v>1099</v>
      </c>
      <c r="F4927" s="43">
        <v>1</v>
      </c>
      <c r="G4927"/>
      <c r="H4927"/>
    </row>
    <row r="4928" spans="1:8" hidden="1" x14ac:dyDescent="0.25">
      <c r="A4928" s="43">
        <v>753</v>
      </c>
      <c r="B4928" s="43" t="s">
        <v>221</v>
      </c>
      <c r="C4928" s="43" t="s">
        <v>1097</v>
      </c>
      <c r="D4928" s="43" t="s">
        <v>1100</v>
      </c>
      <c r="E4928" s="43" t="s">
        <v>1101</v>
      </c>
      <c r="F4928" s="43">
        <v>1</v>
      </c>
      <c r="G4928"/>
      <c r="H4928"/>
    </row>
    <row r="4929" spans="1:8" hidden="1" x14ac:dyDescent="0.25">
      <c r="A4929" s="43">
        <v>753</v>
      </c>
      <c r="B4929" s="43" t="s">
        <v>221</v>
      </c>
      <c r="C4929" s="43" t="s">
        <v>1097</v>
      </c>
      <c r="D4929" s="43" t="s">
        <v>1102</v>
      </c>
      <c r="E4929" s="43" t="s">
        <v>1103</v>
      </c>
      <c r="F4929" s="43">
        <v>1</v>
      </c>
      <c r="G4929"/>
      <c r="H4929"/>
    </row>
    <row r="4930" spans="1:8" hidden="1" x14ac:dyDescent="0.25">
      <c r="A4930" s="43">
        <v>753</v>
      </c>
      <c r="B4930" s="43" t="s">
        <v>221</v>
      </c>
      <c r="C4930" s="43" t="s">
        <v>1097</v>
      </c>
      <c r="D4930" s="43" t="s">
        <v>1104</v>
      </c>
      <c r="E4930" s="43" t="s">
        <v>1105</v>
      </c>
      <c r="F4930" s="43">
        <v>1</v>
      </c>
      <c r="G4930"/>
      <c r="H4930"/>
    </row>
    <row r="4931" spans="1:8" hidden="1" x14ac:dyDescent="0.25">
      <c r="A4931" s="43">
        <v>753</v>
      </c>
      <c r="B4931" s="43" t="s">
        <v>221</v>
      </c>
      <c r="C4931" s="43" t="s">
        <v>1097</v>
      </c>
      <c r="D4931" s="43" t="s">
        <v>1106</v>
      </c>
      <c r="E4931" s="43" t="s">
        <v>349</v>
      </c>
      <c r="F4931" s="43">
        <v>0</v>
      </c>
      <c r="G4931" s="43" t="s">
        <v>4583</v>
      </c>
      <c r="H4931"/>
    </row>
    <row r="4932" spans="1:8" hidden="1" x14ac:dyDescent="0.25">
      <c r="A4932" s="43">
        <v>753</v>
      </c>
      <c r="B4932" s="43" t="s">
        <v>221</v>
      </c>
      <c r="C4932" s="43" t="s">
        <v>1097</v>
      </c>
      <c r="D4932" s="43" t="s">
        <v>1107</v>
      </c>
      <c r="E4932" s="43" t="s">
        <v>4476</v>
      </c>
      <c r="F4932" s="43">
        <v>0</v>
      </c>
      <c r="G4932" s="43" t="s">
        <v>4583</v>
      </c>
      <c r="H4932"/>
    </row>
    <row r="4933" spans="1:8" hidden="1" x14ac:dyDescent="0.25">
      <c r="A4933" s="43">
        <v>753</v>
      </c>
      <c r="B4933" s="43" t="s">
        <v>221</v>
      </c>
      <c r="C4933" s="43" t="s">
        <v>1097</v>
      </c>
      <c r="D4933" s="43" t="s">
        <v>1109</v>
      </c>
      <c r="E4933" s="43" t="s">
        <v>3050</v>
      </c>
      <c r="F4933" s="43">
        <v>0</v>
      </c>
      <c r="G4933" s="43" t="s">
        <v>4583</v>
      </c>
      <c r="H4933"/>
    </row>
    <row r="4934" spans="1:8" hidden="1" x14ac:dyDescent="0.25">
      <c r="A4934" s="43">
        <v>753</v>
      </c>
      <c r="B4934" s="43" t="s">
        <v>221</v>
      </c>
      <c r="C4934" s="43" t="s">
        <v>1097</v>
      </c>
      <c r="D4934" s="43" t="s">
        <v>1111</v>
      </c>
      <c r="E4934" s="43" t="s">
        <v>1112</v>
      </c>
      <c r="F4934" s="43">
        <v>1</v>
      </c>
      <c r="G4934"/>
      <c r="H4934"/>
    </row>
    <row r="4935" spans="1:8" hidden="1" x14ac:dyDescent="0.25">
      <c r="A4935" s="43">
        <v>753</v>
      </c>
      <c r="B4935" s="43" t="s">
        <v>221</v>
      </c>
      <c r="C4935" s="43" t="s">
        <v>1097</v>
      </c>
      <c r="D4935" s="43" t="s">
        <v>1113</v>
      </c>
      <c r="E4935" s="43" t="s">
        <v>1114</v>
      </c>
      <c r="F4935" s="43">
        <v>1</v>
      </c>
      <c r="G4935"/>
      <c r="H4935"/>
    </row>
    <row r="4936" spans="1:8" hidden="1" x14ac:dyDescent="0.25">
      <c r="A4936" s="43">
        <v>753</v>
      </c>
      <c r="B4936" s="43" t="s">
        <v>221</v>
      </c>
      <c r="C4936" s="43" t="s">
        <v>1097</v>
      </c>
      <c r="D4936" s="43" t="s">
        <v>1115</v>
      </c>
      <c r="E4936" s="43" t="s">
        <v>1116</v>
      </c>
      <c r="F4936" s="43">
        <v>1</v>
      </c>
      <c r="G4936"/>
      <c r="H4936"/>
    </row>
    <row r="4937" spans="1:8" hidden="1" x14ac:dyDescent="0.25">
      <c r="A4937" s="43">
        <v>753</v>
      </c>
      <c r="B4937" s="43" t="s">
        <v>221</v>
      </c>
      <c r="C4937" s="43" t="s">
        <v>1097</v>
      </c>
      <c r="D4937" s="43" t="s">
        <v>1117</v>
      </c>
      <c r="E4937" s="43" t="s">
        <v>1118</v>
      </c>
      <c r="F4937" s="43">
        <v>1</v>
      </c>
      <c r="G4937"/>
      <c r="H4937"/>
    </row>
    <row r="4938" spans="1:8" hidden="1" x14ac:dyDescent="0.25">
      <c r="A4938" s="43">
        <v>753</v>
      </c>
      <c r="B4938" s="43" t="s">
        <v>221</v>
      </c>
      <c r="C4938" s="43" t="s">
        <v>1097</v>
      </c>
      <c r="D4938" s="43" t="s">
        <v>1119</v>
      </c>
      <c r="E4938" s="43" t="s">
        <v>1120</v>
      </c>
      <c r="F4938" s="43">
        <v>1</v>
      </c>
      <c r="G4938"/>
      <c r="H4938"/>
    </row>
    <row r="4939" spans="1:8" hidden="1" x14ac:dyDescent="0.25">
      <c r="A4939" s="43">
        <v>753</v>
      </c>
      <c r="B4939" s="43" t="s">
        <v>221</v>
      </c>
      <c r="C4939" s="43" t="s">
        <v>1097</v>
      </c>
      <c r="D4939" s="43" t="s">
        <v>1121</v>
      </c>
      <c r="E4939" s="43" t="s">
        <v>1122</v>
      </c>
      <c r="F4939" s="43">
        <v>1</v>
      </c>
      <c r="G4939"/>
      <c r="H4939"/>
    </row>
    <row r="4940" spans="1:8" hidden="1" x14ac:dyDescent="0.25">
      <c r="A4940" s="43">
        <v>753</v>
      </c>
      <c r="B4940" s="43" t="s">
        <v>221</v>
      </c>
      <c r="C4940" s="43" t="s">
        <v>1097</v>
      </c>
      <c r="D4940" s="43" t="s">
        <v>1123</v>
      </c>
      <c r="E4940" s="43" t="s">
        <v>1124</v>
      </c>
      <c r="F4940" s="43">
        <v>1</v>
      </c>
      <c r="G4940"/>
      <c r="H4940"/>
    </row>
    <row r="4941" spans="1:8" hidden="1" x14ac:dyDescent="0.25">
      <c r="A4941" s="43">
        <v>754</v>
      </c>
      <c r="B4941" s="43" t="s">
        <v>222</v>
      </c>
      <c r="C4941" s="43" t="s">
        <v>1949</v>
      </c>
      <c r="D4941" s="43" t="s">
        <v>1950</v>
      </c>
      <c r="E4941" s="43" t="s">
        <v>349</v>
      </c>
      <c r="F4941" s="43">
        <v>1</v>
      </c>
      <c r="G4941"/>
      <c r="H4941"/>
    </row>
    <row r="4942" spans="1:8" hidden="1" x14ac:dyDescent="0.25">
      <c r="A4942" s="43">
        <v>754</v>
      </c>
      <c r="B4942" s="43" t="s">
        <v>222</v>
      </c>
      <c r="C4942" s="43" t="s">
        <v>1949</v>
      </c>
      <c r="D4942" s="43" t="s">
        <v>1951</v>
      </c>
      <c r="E4942" s="43" t="s">
        <v>1952</v>
      </c>
      <c r="F4942" s="43">
        <v>0</v>
      </c>
      <c r="G4942" s="43" t="s">
        <v>4583</v>
      </c>
      <c r="H4942"/>
    </row>
    <row r="4943" spans="1:8" hidden="1" x14ac:dyDescent="0.25">
      <c r="A4943" s="43">
        <v>754</v>
      </c>
      <c r="B4943" s="43" t="s">
        <v>222</v>
      </c>
      <c r="C4943" s="43" t="s">
        <v>1949</v>
      </c>
      <c r="D4943" s="43" t="s">
        <v>1953</v>
      </c>
      <c r="E4943" s="43" t="s">
        <v>1954</v>
      </c>
      <c r="F4943" s="43">
        <v>0</v>
      </c>
      <c r="G4943" s="43" t="s">
        <v>4583</v>
      </c>
      <c r="H4943"/>
    </row>
    <row r="4944" spans="1:8" hidden="1" x14ac:dyDescent="0.25">
      <c r="A4944" s="43">
        <v>754</v>
      </c>
      <c r="B4944" s="43" t="s">
        <v>222</v>
      </c>
      <c r="C4944" s="43" t="s">
        <v>1949</v>
      </c>
      <c r="D4944" s="43" t="s">
        <v>1955</v>
      </c>
      <c r="E4944" s="43" t="s">
        <v>1956</v>
      </c>
      <c r="F4944" s="43">
        <v>1</v>
      </c>
      <c r="G4944"/>
      <c r="H4944"/>
    </row>
    <row r="4945" spans="1:8" hidden="1" x14ac:dyDescent="0.25">
      <c r="A4945" s="43">
        <v>754</v>
      </c>
      <c r="B4945" s="43" t="s">
        <v>222</v>
      </c>
      <c r="C4945" s="43" t="s">
        <v>1949</v>
      </c>
      <c r="D4945" s="43" t="s">
        <v>1957</v>
      </c>
      <c r="E4945" s="43" t="s">
        <v>295</v>
      </c>
      <c r="F4945" s="43">
        <v>1</v>
      </c>
      <c r="G4945"/>
      <c r="H4945"/>
    </row>
    <row r="4946" spans="1:8" hidden="1" x14ac:dyDescent="0.25">
      <c r="A4946" s="43">
        <v>754</v>
      </c>
      <c r="B4946" s="43" t="s">
        <v>222</v>
      </c>
      <c r="C4946" s="43" t="s">
        <v>1949</v>
      </c>
      <c r="D4946" s="43" t="s">
        <v>1958</v>
      </c>
      <c r="E4946" s="43" t="s">
        <v>1959</v>
      </c>
      <c r="F4946" s="43">
        <v>1</v>
      </c>
      <c r="G4946"/>
      <c r="H4946"/>
    </row>
    <row r="4947" spans="1:8" hidden="1" x14ac:dyDescent="0.25">
      <c r="A4947" s="43">
        <v>754</v>
      </c>
      <c r="B4947" s="43" t="s">
        <v>222</v>
      </c>
      <c r="C4947" s="43" t="s">
        <v>1949</v>
      </c>
      <c r="D4947" s="43" t="s">
        <v>1960</v>
      </c>
      <c r="E4947" s="43" t="s">
        <v>1961</v>
      </c>
      <c r="F4947" s="43">
        <v>0</v>
      </c>
      <c r="G4947" s="43" t="s">
        <v>4583</v>
      </c>
      <c r="H4947"/>
    </row>
    <row r="4948" spans="1:8" hidden="1" x14ac:dyDescent="0.25">
      <c r="A4948" s="43">
        <v>754</v>
      </c>
      <c r="B4948" s="43" t="s">
        <v>222</v>
      </c>
      <c r="C4948" s="43" t="s">
        <v>1949</v>
      </c>
      <c r="D4948" s="43" t="s">
        <v>1962</v>
      </c>
      <c r="E4948" s="43" t="s">
        <v>1963</v>
      </c>
      <c r="F4948" s="43">
        <v>1</v>
      </c>
      <c r="G4948"/>
      <c r="H4948"/>
    </row>
    <row r="4949" spans="1:8" hidden="1" x14ac:dyDescent="0.25">
      <c r="A4949" s="43">
        <v>756</v>
      </c>
      <c r="B4949" s="43" t="s">
        <v>223</v>
      </c>
      <c r="C4949" s="43" t="s">
        <v>1457</v>
      </c>
      <c r="D4949" s="43" t="s">
        <v>1458</v>
      </c>
      <c r="E4949" s="43" t="s">
        <v>273</v>
      </c>
      <c r="F4949" s="43">
        <v>1</v>
      </c>
      <c r="G4949"/>
      <c r="H4949"/>
    </row>
    <row r="4950" spans="1:8" hidden="1" x14ac:dyDescent="0.25">
      <c r="A4950" s="43">
        <v>756</v>
      </c>
      <c r="B4950" s="43" t="s">
        <v>223</v>
      </c>
      <c r="C4950" s="43" t="s">
        <v>1457</v>
      </c>
      <c r="D4950" s="43" t="s">
        <v>1459</v>
      </c>
      <c r="E4950" s="43" t="s">
        <v>640</v>
      </c>
      <c r="F4950" s="43">
        <v>1</v>
      </c>
      <c r="G4950"/>
      <c r="H4950"/>
    </row>
    <row r="4951" spans="1:8" hidden="1" x14ac:dyDescent="0.25">
      <c r="A4951" s="43">
        <v>756</v>
      </c>
      <c r="B4951" s="43" t="s">
        <v>223</v>
      </c>
      <c r="C4951" s="43" t="s">
        <v>1457</v>
      </c>
      <c r="D4951" s="43" t="s">
        <v>1460</v>
      </c>
      <c r="E4951" s="43" t="s">
        <v>929</v>
      </c>
      <c r="F4951" s="43">
        <v>1</v>
      </c>
      <c r="G4951"/>
      <c r="H4951"/>
    </row>
    <row r="4952" spans="1:8" hidden="1" x14ac:dyDescent="0.25">
      <c r="A4952" s="43">
        <v>756</v>
      </c>
      <c r="B4952" s="43" t="s">
        <v>223</v>
      </c>
      <c r="C4952" s="43" t="s">
        <v>1457</v>
      </c>
      <c r="D4952" s="43" t="s">
        <v>1461</v>
      </c>
      <c r="E4952" s="43" t="s">
        <v>1462</v>
      </c>
      <c r="F4952" s="43">
        <v>1</v>
      </c>
      <c r="G4952"/>
      <c r="H4952"/>
    </row>
    <row r="4953" spans="1:8" hidden="1" x14ac:dyDescent="0.25">
      <c r="A4953" s="43">
        <v>756</v>
      </c>
      <c r="B4953" s="43" t="s">
        <v>223</v>
      </c>
      <c r="C4953" s="43" t="s">
        <v>1457</v>
      </c>
      <c r="D4953" s="43" t="s">
        <v>1463</v>
      </c>
      <c r="E4953" s="43" t="s">
        <v>1464</v>
      </c>
      <c r="F4953" s="43">
        <v>1</v>
      </c>
      <c r="G4953"/>
      <c r="H4953"/>
    </row>
    <row r="4954" spans="1:8" hidden="1" x14ac:dyDescent="0.25">
      <c r="A4954" s="43">
        <v>756</v>
      </c>
      <c r="B4954" s="43" t="s">
        <v>223</v>
      </c>
      <c r="C4954" s="43" t="s">
        <v>1457</v>
      </c>
      <c r="D4954" s="43" t="s">
        <v>1465</v>
      </c>
      <c r="E4954" s="43" t="s">
        <v>347</v>
      </c>
      <c r="F4954" s="43">
        <v>0</v>
      </c>
      <c r="G4954" s="43" t="s">
        <v>4583</v>
      </c>
      <c r="H4954"/>
    </row>
    <row r="4955" spans="1:8" hidden="1" x14ac:dyDescent="0.25">
      <c r="A4955" s="43">
        <v>756</v>
      </c>
      <c r="B4955" s="43" t="s">
        <v>223</v>
      </c>
      <c r="C4955" s="43" t="s">
        <v>1457</v>
      </c>
      <c r="D4955" s="43" t="s">
        <v>1466</v>
      </c>
      <c r="E4955" s="43" t="s">
        <v>1467</v>
      </c>
      <c r="F4955" s="43">
        <v>1</v>
      </c>
      <c r="G4955"/>
      <c r="H4955"/>
    </row>
    <row r="4956" spans="1:8" hidden="1" x14ac:dyDescent="0.25">
      <c r="A4956" s="43">
        <v>756</v>
      </c>
      <c r="B4956" s="43" t="s">
        <v>223</v>
      </c>
      <c r="C4956" s="43" t="s">
        <v>1457</v>
      </c>
      <c r="D4956" s="43" t="s">
        <v>1468</v>
      </c>
      <c r="E4956" s="43" t="s">
        <v>1469</v>
      </c>
      <c r="F4956" s="43">
        <v>1</v>
      </c>
      <c r="G4956"/>
      <c r="H4956"/>
    </row>
    <row r="4957" spans="1:8" hidden="1" x14ac:dyDescent="0.25">
      <c r="A4957" s="43">
        <v>756</v>
      </c>
      <c r="B4957" s="43" t="s">
        <v>223</v>
      </c>
      <c r="C4957" s="43" t="s">
        <v>1457</v>
      </c>
      <c r="D4957" s="43" t="s">
        <v>1470</v>
      </c>
      <c r="E4957" s="43" t="s">
        <v>1471</v>
      </c>
      <c r="F4957" s="43">
        <v>0</v>
      </c>
      <c r="G4957" s="43" t="s">
        <v>4583</v>
      </c>
      <c r="H4957"/>
    </row>
    <row r="4958" spans="1:8" hidden="1" x14ac:dyDescent="0.25">
      <c r="A4958" s="43">
        <v>756</v>
      </c>
      <c r="B4958" s="43" t="s">
        <v>223</v>
      </c>
      <c r="C4958" s="43" t="s">
        <v>1457</v>
      </c>
      <c r="D4958" s="43" t="s">
        <v>1472</v>
      </c>
      <c r="E4958" s="43" t="s">
        <v>391</v>
      </c>
      <c r="F4958" s="43">
        <v>1</v>
      </c>
      <c r="G4958"/>
      <c r="H4958"/>
    </row>
    <row r="4959" spans="1:8" hidden="1" x14ac:dyDescent="0.25">
      <c r="A4959" s="43">
        <v>756</v>
      </c>
      <c r="B4959" s="43" t="s">
        <v>223</v>
      </c>
      <c r="C4959" s="43" t="s">
        <v>1457</v>
      </c>
      <c r="D4959" s="43" t="s">
        <v>1473</v>
      </c>
      <c r="E4959" s="43" t="s">
        <v>956</v>
      </c>
      <c r="F4959" s="43">
        <v>1</v>
      </c>
      <c r="G4959"/>
      <c r="H4959"/>
    </row>
    <row r="4960" spans="1:8" hidden="1" x14ac:dyDescent="0.25">
      <c r="A4960" s="43">
        <v>756</v>
      </c>
      <c r="B4960" s="43" t="s">
        <v>223</v>
      </c>
      <c r="C4960" s="43" t="s">
        <v>386</v>
      </c>
      <c r="D4960" s="43" t="s">
        <v>387</v>
      </c>
      <c r="E4960" s="43" t="s">
        <v>388</v>
      </c>
      <c r="F4960" s="43">
        <v>0</v>
      </c>
      <c r="G4960" s="43" t="s">
        <v>4583</v>
      </c>
      <c r="H4960"/>
    </row>
    <row r="4961" spans="1:8" hidden="1" x14ac:dyDescent="0.25">
      <c r="A4961" s="43">
        <v>756</v>
      </c>
      <c r="B4961" s="43" t="s">
        <v>223</v>
      </c>
      <c r="C4961" s="43" t="s">
        <v>386</v>
      </c>
      <c r="D4961" s="43" t="s">
        <v>390</v>
      </c>
      <c r="E4961" s="43" t="s">
        <v>391</v>
      </c>
      <c r="F4961" s="43">
        <v>1</v>
      </c>
      <c r="G4961"/>
      <c r="H4961"/>
    </row>
    <row r="4962" spans="1:8" hidden="1" x14ac:dyDescent="0.25">
      <c r="A4962" s="43">
        <v>756</v>
      </c>
      <c r="B4962" s="43" t="s">
        <v>223</v>
      </c>
      <c r="C4962" s="43" t="s">
        <v>386</v>
      </c>
      <c r="D4962" s="43" t="s">
        <v>392</v>
      </c>
      <c r="E4962" s="43" t="s">
        <v>393</v>
      </c>
      <c r="F4962" s="43">
        <v>0</v>
      </c>
      <c r="G4962" s="43" t="s">
        <v>4583</v>
      </c>
      <c r="H4962"/>
    </row>
    <row r="4963" spans="1:8" hidden="1" x14ac:dyDescent="0.25">
      <c r="A4963" s="43">
        <v>756</v>
      </c>
      <c r="B4963" s="43" t="s">
        <v>223</v>
      </c>
      <c r="C4963" s="43" t="s">
        <v>386</v>
      </c>
      <c r="D4963" s="43" t="s">
        <v>394</v>
      </c>
      <c r="E4963" s="43" t="s">
        <v>4474</v>
      </c>
      <c r="F4963" s="43">
        <v>0</v>
      </c>
      <c r="G4963" s="43" t="s">
        <v>4583</v>
      </c>
      <c r="H4963"/>
    </row>
    <row r="4964" spans="1:8" hidden="1" x14ac:dyDescent="0.25">
      <c r="A4964" s="43">
        <v>756</v>
      </c>
      <c r="B4964" s="43" t="s">
        <v>223</v>
      </c>
      <c r="C4964" s="43" t="s">
        <v>386</v>
      </c>
      <c r="D4964" s="43" t="s">
        <v>396</v>
      </c>
      <c r="E4964" s="43" t="s">
        <v>397</v>
      </c>
      <c r="F4964" s="43">
        <v>1</v>
      </c>
      <c r="G4964"/>
      <c r="H4964"/>
    </row>
    <row r="4965" spans="1:8" hidden="1" x14ac:dyDescent="0.25">
      <c r="A4965" s="43">
        <v>756</v>
      </c>
      <c r="B4965" s="43" t="s">
        <v>223</v>
      </c>
      <c r="C4965" s="43" t="s">
        <v>386</v>
      </c>
      <c r="D4965" s="43" t="s">
        <v>398</v>
      </c>
      <c r="E4965" s="43" t="s">
        <v>4475</v>
      </c>
      <c r="F4965" s="43">
        <v>0</v>
      </c>
      <c r="G4965" s="43" t="s">
        <v>4583</v>
      </c>
      <c r="H4965"/>
    </row>
    <row r="4966" spans="1:8" hidden="1" x14ac:dyDescent="0.25">
      <c r="A4966" s="43">
        <v>756</v>
      </c>
      <c r="B4966" s="43" t="s">
        <v>223</v>
      </c>
      <c r="C4966" s="43" t="s">
        <v>386</v>
      </c>
      <c r="D4966" s="43" t="s">
        <v>400</v>
      </c>
      <c r="E4966" s="43" t="s">
        <v>401</v>
      </c>
      <c r="F4966" s="43">
        <v>1</v>
      </c>
      <c r="G4966"/>
      <c r="H4966"/>
    </row>
    <row r="4967" spans="1:8" hidden="1" x14ac:dyDescent="0.25">
      <c r="A4967" s="43">
        <v>756</v>
      </c>
      <c r="B4967" s="43" t="s">
        <v>223</v>
      </c>
      <c r="C4967" s="43" t="s">
        <v>386</v>
      </c>
      <c r="D4967" s="43" t="s">
        <v>402</v>
      </c>
      <c r="E4967" s="43" t="s">
        <v>403</v>
      </c>
      <c r="F4967" s="43">
        <v>0</v>
      </c>
      <c r="G4967" s="43" t="s">
        <v>4583</v>
      </c>
      <c r="H4967"/>
    </row>
    <row r="4968" spans="1:8" hidden="1" x14ac:dyDescent="0.25">
      <c r="A4968" s="43">
        <v>756</v>
      </c>
      <c r="B4968" s="43" t="s">
        <v>223</v>
      </c>
      <c r="C4968" s="43" t="s">
        <v>386</v>
      </c>
      <c r="D4968" s="43" t="s">
        <v>404</v>
      </c>
      <c r="E4968" s="43" t="s">
        <v>405</v>
      </c>
      <c r="F4968" s="43">
        <v>0</v>
      </c>
      <c r="G4968" s="43" t="s">
        <v>4583</v>
      </c>
      <c r="H4968"/>
    </row>
    <row r="4969" spans="1:8" hidden="1" x14ac:dyDescent="0.25">
      <c r="A4969" s="43">
        <v>756</v>
      </c>
      <c r="B4969" s="43" t="s">
        <v>223</v>
      </c>
      <c r="C4969" s="43" t="s">
        <v>386</v>
      </c>
      <c r="D4969" s="43" t="s">
        <v>406</v>
      </c>
      <c r="E4969" s="43" t="s">
        <v>407</v>
      </c>
      <c r="F4969" s="43">
        <v>0</v>
      </c>
      <c r="G4969" s="43" t="s">
        <v>4583</v>
      </c>
      <c r="H4969"/>
    </row>
    <row r="4970" spans="1:8" hidden="1" x14ac:dyDescent="0.25">
      <c r="A4970" s="43">
        <v>756</v>
      </c>
      <c r="B4970" s="43" t="s">
        <v>223</v>
      </c>
      <c r="C4970" s="43" t="s">
        <v>386</v>
      </c>
      <c r="D4970" s="43" t="s">
        <v>408</v>
      </c>
      <c r="E4970" s="43" t="s">
        <v>409</v>
      </c>
      <c r="F4970" s="43">
        <v>0</v>
      </c>
      <c r="G4970" s="43" t="s">
        <v>4583</v>
      </c>
      <c r="H4970"/>
    </row>
    <row r="4971" spans="1:8" hidden="1" x14ac:dyDescent="0.25">
      <c r="A4971" s="43">
        <v>760</v>
      </c>
      <c r="B4971" s="43" t="s">
        <v>224</v>
      </c>
      <c r="C4971" s="43" t="s">
        <v>1169</v>
      </c>
      <c r="D4971" s="43" t="s">
        <v>1170</v>
      </c>
      <c r="E4971" s="43" t="s">
        <v>1171</v>
      </c>
      <c r="F4971" s="43">
        <v>1</v>
      </c>
      <c r="G4971"/>
      <c r="H4971"/>
    </row>
    <row r="4972" spans="1:8" hidden="1" x14ac:dyDescent="0.25">
      <c r="A4972" s="43">
        <v>760</v>
      </c>
      <c r="B4972" s="43" t="s">
        <v>224</v>
      </c>
      <c r="C4972" s="43" t="s">
        <v>1169</v>
      </c>
      <c r="D4972" s="43" t="s">
        <v>1172</v>
      </c>
      <c r="E4972" s="43" t="s">
        <v>1173</v>
      </c>
      <c r="F4972" s="43">
        <v>0</v>
      </c>
      <c r="G4972" s="43" t="s">
        <v>4723</v>
      </c>
      <c r="H4972" s="43" t="s">
        <v>4502</v>
      </c>
    </row>
    <row r="4973" spans="1:8" hidden="1" x14ac:dyDescent="0.25">
      <c r="A4973" s="43">
        <v>760</v>
      </c>
      <c r="B4973" s="43" t="s">
        <v>224</v>
      </c>
      <c r="C4973" s="43" t="s">
        <v>1169</v>
      </c>
      <c r="D4973" s="43" t="s">
        <v>1174</v>
      </c>
      <c r="E4973" s="43" t="s">
        <v>1175</v>
      </c>
      <c r="F4973" s="43">
        <v>1</v>
      </c>
      <c r="G4973"/>
      <c r="H4973"/>
    </row>
    <row r="4974" spans="1:8" hidden="1" x14ac:dyDescent="0.25">
      <c r="A4974" s="43">
        <v>760</v>
      </c>
      <c r="B4974" s="43" t="s">
        <v>224</v>
      </c>
      <c r="C4974" s="43" t="s">
        <v>1169</v>
      </c>
      <c r="D4974" s="43" t="s">
        <v>1176</v>
      </c>
      <c r="E4974" s="43" t="s">
        <v>1177</v>
      </c>
      <c r="F4974" s="43">
        <v>1</v>
      </c>
      <c r="G4974"/>
      <c r="H4974"/>
    </row>
    <row r="4975" spans="1:8" hidden="1" x14ac:dyDescent="0.25">
      <c r="A4975" s="43">
        <v>760</v>
      </c>
      <c r="B4975" s="43" t="s">
        <v>224</v>
      </c>
      <c r="C4975" s="43" t="s">
        <v>1169</v>
      </c>
      <c r="D4975" s="43" t="s">
        <v>1178</v>
      </c>
      <c r="E4975" s="43" t="s">
        <v>1179</v>
      </c>
      <c r="F4975" s="43">
        <v>1</v>
      </c>
      <c r="G4975"/>
      <c r="H4975"/>
    </row>
    <row r="4976" spans="1:8" hidden="1" x14ac:dyDescent="0.25">
      <c r="A4976" s="43">
        <v>760</v>
      </c>
      <c r="B4976" s="43" t="s">
        <v>224</v>
      </c>
      <c r="C4976" s="43" t="s">
        <v>1169</v>
      </c>
      <c r="D4976" s="43" t="s">
        <v>1180</v>
      </c>
      <c r="E4976" s="43" t="s">
        <v>1181</v>
      </c>
      <c r="F4976" s="43">
        <v>1</v>
      </c>
      <c r="G4976"/>
      <c r="H4976"/>
    </row>
    <row r="4977" spans="1:8" hidden="1" x14ac:dyDescent="0.25">
      <c r="A4977" s="43">
        <v>760</v>
      </c>
      <c r="B4977" s="43" t="s">
        <v>224</v>
      </c>
      <c r="C4977" s="43" t="s">
        <v>1169</v>
      </c>
      <c r="D4977" s="43" t="s">
        <v>1182</v>
      </c>
      <c r="E4977" s="43" t="s">
        <v>1183</v>
      </c>
      <c r="F4977" s="43">
        <v>1</v>
      </c>
      <c r="G4977"/>
      <c r="H4977"/>
    </row>
    <row r="4978" spans="1:8" hidden="1" x14ac:dyDescent="0.25">
      <c r="A4978" s="43">
        <v>760</v>
      </c>
      <c r="B4978" s="43" t="s">
        <v>224</v>
      </c>
      <c r="C4978" s="43" t="s">
        <v>1169</v>
      </c>
      <c r="D4978" s="43" t="s">
        <v>1184</v>
      </c>
      <c r="E4978" s="43" t="s">
        <v>1185</v>
      </c>
      <c r="F4978" s="43">
        <v>1</v>
      </c>
      <c r="G4978"/>
      <c r="H4978"/>
    </row>
    <row r="4979" spans="1:8" hidden="1" x14ac:dyDescent="0.25">
      <c r="A4979" s="43">
        <v>760</v>
      </c>
      <c r="B4979" s="43" t="s">
        <v>224</v>
      </c>
      <c r="C4979" s="43" t="s">
        <v>1169</v>
      </c>
      <c r="D4979" s="43" t="s">
        <v>1186</v>
      </c>
      <c r="E4979" s="43" t="s">
        <v>1187</v>
      </c>
      <c r="F4979" s="43">
        <v>1</v>
      </c>
      <c r="G4979"/>
      <c r="H4979"/>
    </row>
    <row r="4980" spans="1:8" hidden="1" x14ac:dyDescent="0.25">
      <c r="A4980" s="43">
        <v>760</v>
      </c>
      <c r="B4980" s="43" t="s">
        <v>224</v>
      </c>
      <c r="C4980" s="43" t="s">
        <v>1169</v>
      </c>
      <c r="D4980" s="43" t="s">
        <v>1188</v>
      </c>
      <c r="E4980" s="43" t="s">
        <v>1189</v>
      </c>
      <c r="F4980" s="43">
        <v>1</v>
      </c>
      <c r="G4980"/>
      <c r="H4980"/>
    </row>
    <row r="4981" spans="1:8" hidden="1" x14ac:dyDescent="0.25">
      <c r="A4981" s="43">
        <v>760</v>
      </c>
      <c r="B4981" s="43" t="s">
        <v>224</v>
      </c>
      <c r="C4981" s="43" t="s">
        <v>1169</v>
      </c>
      <c r="D4981" s="43" t="s">
        <v>1190</v>
      </c>
      <c r="E4981" s="43" t="s">
        <v>1191</v>
      </c>
      <c r="F4981" s="43">
        <v>1</v>
      </c>
      <c r="G4981"/>
      <c r="H4981"/>
    </row>
    <row r="4982" spans="1:8" hidden="1" x14ac:dyDescent="0.25">
      <c r="A4982" s="43">
        <v>760</v>
      </c>
      <c r="B4982" s="43" t="s">
        <v>224</v>
      </c>
      <c r="C4982" s="43" t="s">
        <v>1169</v>
      </c>
      <c r="D4982" s="43" t="s">
        <v>1192</v>
      </c>
      <c r="E4982" s="43" t="s">
        <v>1193</v>
      </c>
      <c r="F4982" s="43">
        <v>0</v>
      </c>
      <c r="G4982" s="43" t="s">
        <v>4583</v>
      </c>
      <c r="H4982"/>
    </row>
    <row r="4983" spans="1:8" hidden="1" x14ac:dyDescent="0.25">
      <c r="A4983" s="43">
        <v>760</v>
      </c>
      <c r="B4983" s="43" t="s">
        <v>224</v>
      </c>
      <c r="C4983" s="43" t="s">
        <v>1169</v>
      </c>
      <c r="D4983" s="43" t="s">
        <v>1194</v>
      </c>
      <c r="E4983" s="43" t="s">
        <v>1195</v>
      </c>
      <c r="F4983" s="43">
        <v>0</v>
      </c>
      <c r="G4983" s="43" t="s">
        <v>4583</v>
      </c>
      <c r="H4983"/>
    </row>
    <row r="4984" spans="1:8" hidden="1" x14ac:dyDescent="0.25">
      <c r="A4984" s="43">
        <v>760</v>
      </c>
      <c r="B4984" s="43" t="s">
        <v>224</v>
      </c>
      <c r="C4984" s="43" t="s">
        <v>1169</v>
      </c>
      <c r="D4984" s="43" t="s">
        <v>1196</v>
      </c>
      <c r="E4984" s="43" t="s">
        <v>1197</v>
      </c>
      <c r="F4984" s="43">
        <v>0</v>
      </c>
      <c r="G4984" s="43" t="s">
        <v>4583</v>
      </c>
      <c r="H4984"/>
    </row>
    <row r="4985" spans="1:8" hidden="1" x14ac:dyDescent="0.25">
      <c r="A4985" s="43">
        <v>761</v>
      </c>
      <c r="B4985" s="43" t="s">
        <v>224</v>
      </c>
      <c r="C4985" s="43" t="s">
        <v>1169</v>
      </c>
      <c r="D4985" s="43" t="s">
        <v>1170</v>
      </c>
      <c r="E4985" s="43" t="s">
        <v>1171</v>
      </c>
      <c r="F4985" s="43">
        <v>1</v>
      </c>
      <c r="G4985"/>
      <c r="H4985"/>
    </row>
    <row r="4986" spans="1:8" hidden="1" x14ac:dyDescent="0.25">
      <c r="A4986" s="43">
        <v>761</v>
      </c>
      <c r="B4986" s="43" t="s">
        <v>224</v>
      </c>
      <c r="C4986" s="43" t="s">
        <v>1169</v>
      </c>
      <c r="D4986" s="43" t="s">
        <v>1172</v>
      </c>
      <c r="E4986" s="43" t="s">
        <v>1173</v>
      </c>
      <c r="F4986" s="43">
        <v>1</v>
      </c>
      <c r="G4986"/>
      <c r="H4986"/>
    </row>
    <row r="4987" spans="1:8" hidden="1" x14ac:dyDescent="0.25">
      <c r="A4987" s="43">
        <v>761</v>
      </c>
      <c r="B4987" s="43" t="s">
        <v>224</v>
      </c>
      <c r="C4987" s="43" t="s">
        <v>1169</v>
      </c>
      <c r="D4987" s="43" t="s">
        <v>1174</v>
      </c>
      <c r="E4987" s="43" t="s">
        <v>1175</v>
      </c>
      <c r="F4987" s="43">
        <v>1</v>
      </c>
      <c r="G4987"/>
      <c r="H4987"/>
    </row>
    <row r="4988" spans="1:8" hidden="1" x14ac:dyDescent="0.25">
      <c r="A4988" s="43">
        <v>761</v>
      </c>
      <c r="B4988" s="43" t="s">
        <v>224</v>
      </c>
      <c r="C4988" s="43" t="s">
        <v>1169</v>
      </c>
      <c r="D4988" s="43" t="s">
        <v>1176</v>
      </c>
      <c r="E4988" s="43" t="s">
        <v>1177</v>
      </c>
      <c r="F4988" s="43">
        <v>1</v>
      </c>
      <c r="G4988"/>
      <c r="H4988"/>
    </row>
    <row r="4989" spans="1:8" hidden="1" x14ac:dyDescent="0.25">
      <c r="A4989" s="43">
        <v>761</v>
      </c>
      <c r="B4989" s="43" t="s">
        <v>224</v>
      </c>
      <c r="C4989" s="43" t="s">
        <v>1169</v>
      </c>
      <c r="D4989" s="43" t="s">
        <v>1178</v>
      </c>
      <c r="E4989" s="43" t="s">
        <v>1179</v>
      </c>
      <c r="F4989" s="43">
        <v>1</v>
      </c>
      <c r="G4989"/>
      <c r="H4989"/>
    </row>
    <row r="4990" spans="1:8" hidden="1" x14ac:dyDescent="0.25">
      <c r="A4990" s="43">
        <v>761</v>
      </c>
      <c r="B4990" s="43" t="s">
        <v>224</v>
      </c>
      <c r="C4990" s="43" t="s">
        <v>1169</v>
      </c>
      <c r="D4990" s="43" t="s">
        <v>1180</v>
      </c>
      <c r="E4990" s="43" t="s">
        <v>1181</v>
      </c>
      <c r="F4990" s="43">
        <v>1</v>
      </c>
      <c r="G4990"/>
      <c r="H4990"/>
    </row>
    <row r="4991" spans="1:8" hidden="1" x14ac:dyDescent="0.25">
      <c r="A4991" s="43">
        <v>761</v>
      </c>
      <c r="B4991" s="43" t="s">
        <v>224</v>
      </c>
      <c r="C4991" s="43" t="s">
        <v>1169</v>
      </c>
      <c r="D4991" s="43" t="s">
        <v>1182</v>
      </c>
      <c r="E4991" s="43" t="s">
        <v>1183</v>
      </c>
      <c r="F4991" s="43">
        <v>1</v>
      </c>
      <c r="G4991"/>
      <c r="H4991"/>
    </row>
    <row r="4992" spans="1:8" hidden="1" x14ac:dyDescent="0.25">
      <c r="A4992" s="43">
        <v>761</v>
      </c>
      <c r="B4992" s="43" t="s">
        <v>224</v>
      </c>
      <c r="C4992" s="43" t="s">
        <v>1169</v>
      </c>
      <c r="D4992" s="43" t="s">
        <v>1184</v>
      </c>
      <c r="E4992" s="43" t="s">
        <v>1185</v>
      </c>
      <c r="F4992" s="43">
        <v>1</v>
      </c>
      <c r="G4992"/>
      <c r="H4992"/>
    </row>
    <row r="4993" spans="1:8" hidden="1" x14ac:dyDescent="0.25">
      <c r="A4993" s="43">
        <v>761</v>
      </c>
      <c r="B4993" s="43" t="s">
        <v>224</v>
      </c>
      <c r="C4993" s="43" t="s">
        <v>1169</v>
      </c>
      <c r="D4993" s="43" t="s">
        <v>1186</v>
      </c>
      <c r="E4993" s="43" t="s">
        <v>1187</v>
      </c>
      <c r="F4993" s="43">
        <v>1</v>
      </c>
      <c r="G4993"/>
      <c r="H4993"/>
    </row>
    <row r="4994" spans="1:8" hidden="1" x14ac:dyDescent="0.25">
      <c r="A4994" s="43">
        <v>761</v>
      </c>
      <c r="B4994" s="43" t="s">
        <v>224</v>
      </c>
      <c r="C4994" s="43" t="s">
        <v>1169</v>
      </c>
      <c r="D4994" s="43" t="s">
        <v>1188</v>
      </c>
      <c r="E4994" s="43" t="s">
        <v>1189</v>
      </c>
      <c r="F4994" s="43">
        <v>1</v>
      </c>
      <c r="G4994"/>
      <c r="H4994"/>
    </row>
    <row r="4995" spans="1:8" hidden="1" x14ac:dyDescent="0.25">
      <c r="A4995" s="43">
        <v>761</v>
      </c>
      <c r="B4995" s="43" t="s">
        <v>224</v>
      </c>
      <c r="C4995" s="43" t="s">
        <v>1169</v>
      </c>
      <c r="D4995" s="43" t="s">
        <v>1190</v>
      </c>
      <c r="E4995" s="43" t="s">
        <v>1191</v>
      </c>
      <c r="F4995" s="43">
        <v>1</v>
      </c>
      <c r="G4995"/>
      <c r="H4995"/>
    </row>
    <row r="4996" spans="1:8" hidden="1" x14ac:dyDescent="0.25">
      <c r="A4996" s="43">
        <v>761</v>
      </c>
      <c r="B4996" s="43" t="s">
        <v>224</v>
      </c>
      <c r="C4996" s="43" t="s">
        <v>1169</v>
      </c>
      <c r="D4996" s="43" t="s">
        <v>1192</v>
      </c>
      <c r="E4996" s="43" t="s">
        <v>1193</v>
      </c>
      <c r="F4996" s="43">
        <v>1</v>
      </c>
      <c r="G4996"/>
      <c r="H4996"/>
    </row>
    <row r="4997" spans="1:8" hidden="1" x14ac:dyDescent="0.25">
      <c r="A4997" s="43">
        <v>761</v>
      </c>
      <c r="B4997" s="43" t="s">
        <v>224</v>
      </c>
      <c r="C4997" s="43" t="s">
        <v>1169</v>
      </c>
      <c r="D4997" s="43" t="s">
        <v>1194</v>
      </c>
      <c r="E4997" s="43" t="s">
        <v>1195</v>
      </c>
      <c r="F4997" s="43">
        <v>1</v>
      </c>
      <c r="G4997"/>
      <c r="H4997"/>
    </row>
    <row r="4998" spans="1:8" hidden="1" x14ac:dyDescent="0.25">
      <c r="A4998" s="43">
        <v>761</v>
      </c>
      <c r="B4998" s="43" t="s">
        <v>224</v>
      </c>
      <c r="C4998" s="43" t="s">
        <v>1169</v>
      </c>
      <c r="D4998" s="43" t="s">
        <v>1196</v>
      </c>
      <c r="E4998" s="43" t="s">
        <v>1197</v>
      </c>
      <c r="F4998" s="43">
        <v>1</v>
      </c>
      <c r="G4998"/>
      <c r="H4998"/>
    </row>
    <row r="4999" spans="1:8" hidden="1" x14ac:dyDescent="0.25">
      <c r="A4999" s="43">
        <v>763</v>
      </c>
      <c r="B4999" s="43" t="s">
        <v>225</v>
      </c>
      <c r="C4999" s="43" t="s">
        <v>1613</v>
      </c>
      <c r="D4999" s="43" t="s">
        <v>1614</v>
      </c>
      <c r="E4999" s="43" t="s">
        <v>273</v>
      </c>
      <c r="F4999" s="43">
        <v>1</v>
      </c>
      <c r="G4999"/>
      <c r="H4999"/>
    </row>
    <row r="5000" spans="1:8" hidden="1" x14ac:dyDescent="0.25">
      <c r="A5000" s="43">
        <v>763</v>
      </c>
      <c r="B5000" s="43" t="s">
        <v>225</v>
      </c>
      <c r="C5000" s="43" t="s">
        <v>1613</v>
      </c>
      <c r="D5000" s="43" t="s">
        <v>1615</v>
      </c>
      <c r="E5000" s="43" t="s">
        <v>312</v>
      </c>
      <c r="F5000" s="43">
        <v>1</v>
      </c>
      <c r="G5000"/>
      <c r="H5000"/>
    </row>
    <row r="5001" spans="1:8" hidden="1" x14ac:dyDescent="0.25">
      <c r="A5001" s="43">
        <v>763</v>
      </c>
      <c r="B5001" s="43" t="s">
        <v>225</v>
      </c>
      <c r="C5001" s="43" t="s">
        <v>1613</v>
      </c>
      <c r="D5001" s="43" t="s">
        <v>1616</v>
      </c>
      <c r="E5001" s="43" t="s">
        <v>316</v>
      </c>
      <c r="F5001" s="43">
        <v>1</v>
      </c>
      <c r="G5001"/>
      <c r="H5001"/>
    </row>
    <row r="5002" spans="1:8" hidden="1" x14ac:dyDescent="0.25">
      <c r="A5002" s="43">
        <v>763</v>
      </c>
      <c r="B5002" s="43" t="s">
        <v>225</v>
      </c>
      <c r="C5002" s="43" t="s">
        <v>1613</v>
      </c>
      <c r="D5002" s="43" t="s">
        <v>1617</v>
      </c>
      <c r="E5002" s="43" t="s">
        <v>314</v>
      </c>
      <c r="F5002" s="43">
        <v>1</v>
      </c>
      <c r="G5002"/>
      <c r="H5002"/>
    </row>
    <row r="5003" spans="1:8" hidden="1" x14ac:dyDescent="0.25">
      <c r="A5003" s="43">
        <v>763</v>
      </c>
      <c r="B5003" s="43" t="s">
        <v>225</v>
      </c>
      <c r="C5003" s="43" t="s">
        <v>1613</v>
      </c>
      <c r="D5003" s="43" t="s">
        <v>1618</v>
      </c>
      <c r="E5003" s="43" t="s">
        <v>318</v>
      </c>
      <c r="F5003" s="43">
        <v>1</v>
      </c>
      <c r="G5003"/>
      <c r="H5003"/>
    </row>
    <row r="5004" spans="1:8" hidden="1" x14ac:dyDescent="0.25">
      <c r="A5004" s="43">
        <v>763</v>
      </c>
      <c r="B5004" s="43" t="s">
        <v>225</v>
      </c>
      <c r="C5004" s="43" t="s">
        <v>1613</v>
      </c>
      <c r="D5004" s="43" t="s">
        <v>1619</v>
      </c>
      <c r="E5004" s="43" t="s">
        <v>1620</v>
      </c>
      <c r="F5004" s="43">
        <v>1</v>
      </c>
      <c r="G5004"/>
      <c r="H5004"/>
    </row>
    <row r="5005" spans="1:8" hidden="1" x14ac:dyDescent="0.25">
      <c r="A5005" s="43">
        <v>763</v>
      </c>
      <c r="B5005" s="43" t="s">
        <v>225</v>
      </c>
      <c r="C5005" s="43" t="s">
        <v>1613</v>
      </c>
      <c r="D5005" s="43" t="s">
        <v>1621</v>
      </c>
      <c r="E5005" s="43" t="s">
        <v>1622</v>
      </c>
      <c r="F5005" s="43">
        <v>1</v>
      </c>
      <c r="G5005"/>
      <c r="H5005"/>
    </row>
    <row r="5006" spans="1:8" hidden="1" x14ac:dyDescent="0.25">
      <c r="A5006" s="43">
        <v>763</v>
      </c>
      <c r="B5006" s="43" t="s">
        <v>225</v>
      </c>
      <c r="C5006" s="43" t="s">
        <v>1613</v>
      </c>
      <c r="D5006" s="43" t="s">
        <v>1623</v>
      </c>
      <c r="E5006" s="43" t="s">
        <v>322</v>
      </c>
      <c r="F5006" s="43">
        <v>1</v>
      </c>
      <c r="G5006"/>
      <c r="H5006"/>
    </row>
    <row r="5007" spans="1:8" hidden="1" x14ac:dyDescent="0.25">
      <c r="A5007" s="43">
        <v>763</v>
      </c>
      <c r="B5007" s="43" t="s">
        <v>225</v>
      </c>
      <c r="C5007" s="43" t="s">
        <v>1613</v>
      </c>
      <c r="D5007" s="43" t="s">
        <v>1624</v>
      </c>
      <c r="E5007" s="43" t="s">
        <v>936</v>
      </c>
      <c r="F5007" s="43">
        <v>1</v>
      </c>
      <c r="G5007"/>
      <c r="H5007"/>
    </row>
    <row r="5008" spans="1:8" hidden="1" x14ac:dyDescent="0.25">
      <c r="A5008" s="43">
        <v>763</v>
      </c>
      <c r="B5008" s="43" t="s">
        <v>225</v>
      </c>
      <c r="C5008" s="43" t="s">
        <v>1613</v>
      </c>
      <c r="D5008" s="43" t="s">
        <v>1625</v>
      </c>
      <c r="E5008" s="43" t="s">
        <v>938</v>
      </c>
      <c r="F5008" s="43">
        <v>1</v>
      </c>
      <c r="G5008"/>
      <c r="H5008"/>
    </row>
    <row r="5009" spans="1:8" hidden="1" x14ac:dyDescent="0.25">
      <c r="A5009" s="43">
        <v>763</v>
      </c>
      <c r="B5009" s="43" t="s">
        <v>225</v>
      </c>
      <c r="C5009" s="43" t="s">
        <v>1613</v>
      </c>
      <c r="D5009" s="43" t="s">
        <v>1626</v>
      </c>
      <c r="E5009" s="43" t="s">
        <v>1483</v>
      </c>
      <c r="F5009" s="43">
        <v>0</v>
      </c>
      <c r="G5009" s="43" t="s">
        <v>4724</v>
      </c>
      <c r="H5009" s="43" t="s">
        <v>4766</v>
      </c>
    </row>
    <row r="5010" spans="1:8" hidden="1" x14ac:dyDescent="0.25">
      <c r="A5010" s="43">
        <v>763</v>
      </c>
      <c r="B5010" s="43" t="s">
        <v>225</v>
      </c>
      <c r="C5010" s="43" t="s">
        <v>1613</v>
      </c>
      <c r="D5010" s="43" t="s">
        <v>1627</v>
      </c>
      <c r="E5010" s="43" t="s">
        <v>942</v>
      </c>
      <c r="F5010" s="43">
        <v>1</v>
      </c>
      <c r="G5010"/>
      <c r="H5010"/>
    </row>
    <row r="5011" spans="1:8" hidden="1" x14ac:dyDescent="0.25">
      <c r="A5011" s="43">
        <v>763</v>
      </c>
      <c r="B5011" s="43" t="s">
        <v>225</v>
      </c>
      <c r="C5011" s="43" t="s">
        <v>1613</v>
      </c>
      <c r="D5011" s="43" t="s">
        <v>1628</v>
      </c>
      <c r="E5011" s="43" t="s">
        <v>383</v>
      </c>
      <c r="F5011" s="43">
        <v>0</v>
      </c>
      <c r="G5011" s="43" t="s">
        <v>4583</v>
      </c>
      <c r="H5011"/>
    </row>
    <row r="5012" spans="1:8" hidden="1" x14ac:dyDescent="0.25">
      <c r="A5012" s="43">
        <v>763</v>
      </c>
      <c r="B5012" s="43" t="s">
        <v>225</v>
      </c>
      <c r="C5012" s="43" t="s">
        <v>1613</v>
      </c>
      <c r="D5012" s="43" t="s">
        <v>1629</v>
      </c>
      <c r="E5012" s="43" t="s">
        <v>1630</v>
      </c>
      <c r="F5012" s="43">
        <v>0</v>
      </c>
      <c r="G5012" s="43" t="s">
        <v>4583</v>
      </c>
      <c r="H5012"/>
    </row>
    <row r="5013" spans="1:8" hidden="1" x14ac:dyDescent="0.25">
      <c r="A5013" s="43">
        <v>763</v>
      </c>
      <c r="B5013" s="43" t="s">
        <v>225</v>
      </c>
      <c r="C5013" s="43" t="s">
        <v>1613</v>
      </c>
      <c r="D5013" s="43" t="s">
        <v>1631</v>
      </c>
      <c r="E5013" s="43" t="s">
        <v>380</v>
      </c>
      <c r="F5013" s="43">
        <v>0</v>
      </c>
      <c r="G5013" s="43" t="s">
        <v>4583</v>
      </c>
      <c r="H5013"/>
    </row>
    <row r="5014" spans="1:8" hidden="1" x14ac:dyDescent="0.25">
      <c r="A5014" s="43">
        <v>763</v>
      </c>
      <c r="B5014" s="43" t="s">
        <v>225</v>
      </c>
      <c r="C5014" s="43" t="s">
        <v>1613</v>
      </c>
      <c r="D5014" s="43" t="s">
        <v>1632</v>
      </c>
      <c r="E5014" s="43" t="s">
        <v>381</v>
      </c>
      <c r="F5014" s="43">
        <v>1</v>
      </c>
      <c r="G5014"/>
      <c r="H5014"/>
    </row>
    <row r="5015" spans="1:8" hidden="1" x14ac:dyDescent="0.25">
      <c r="A5015" s="43">
        <v>763</v>
      </c>
      <c r="B5015" s="43" t="s">
        <v>225</v>
      </c>
      <c r="C5015" s="43" t="s">
        <v>1613</v>
      </c>
      <c r="D5015" s="43" t="s">
        <v>1633</v>
      </c>
      <c r="E5015" s="43" t="s">
        <v>1634</v>
      </c>
      <c r="F5015" s="43">
        <v>0</v>
      </c>
      <c r="G5015" s="43" t="s">
        <v>4725</v>
      </c>
      <c r="H5015" s="43" t="s">
        <v>4759</v>
      </c>
    </row>
    <row r="5016" spans="1:8" hidden="1" x14ac:dyDescent="0.25">
      <c r="A5016" s="43">
        <v>763</v>
      </c>
      <c r="B5016" s="43" t="s">
        <v>225</v>
      </c>
      <c r="C5016" s="43" t="s">
        <v>1613</v>
      </c>
      <c r="D5016" s="43" t="s">
        <v>1635</v>
      </c>
      <c r="E5016" s="43" t="s">
        <v>4473</v>
      </c>
      <c r="F5016" s="43">
        <v>0</v>
      </c>
      <c r="G5016" s="43" t="s">
        <v>4726</v>
      </c>
      <c r="H5016" s="43" t="s">
        <v>4759</v>
      </c>
    </row>
    <row r="5017" spans="1:8" hidden="1" x14ac:dyDescent="0.25">
      <c r="A5017" s="43">
        <v>763</v>
      </c>
      <c r="B5017" s="43" t="s">
        <v>225</v>
      </c>
      <c r="C5017" s="43" t="s">
        <v>1613</v>
      </c>
      <c r="D5017" s="43" t="s">
        <v>1636</v>
      </c>
      <c r="E5017" s="43" t="s">
        <v>1637</v>
      </c>
      <c r="F5017" s="43">
        <v>0</v>
      </c>
      <c r="G5017" s="43" t="s">
        <v>4727</v>
      </c>
      <c r="H5017" s="43" t="s">
        <v>4765</v>
      </c>
    </row>
    <row r="5018" spans="1:8" hidden="1" x14ac:dyDescent="0.25">
      <c r="A5018" s="43">
        <v>763</v>
      </c>
      <c r="B5018" s="43" t="s">
        <v>225</v>
      </c>
      <c r="C5018" s="43" t="s">
        <v>1613</v>
      </c>
      <c r="D5018" s="43" t="s">
        <v>1638</v>
      </c>
      <c r="E5018" s="43" t="s">
        <v>1639</v>
      </c>
      <c r="F5018" s="43">
        <v>1</v>
      </c>
      <c r="G5018"/>
      <c r="H5018"/>
    </row>
    <row r="5019" spans="1:8" hidden="1" x14ac:dyDescent="0.25">
      <c r="A5019" s="43">
        <v>765</v>
      </c>
      <c r="B5019" s="43" t="s">
        <v>226</v>
      </c>
      <c r="C5019" s="43" t="s">
        <v>1155</v>
      </c>
      <c r="D5019" s="43" t="s">
        <v>1156</v>
      </c>
      <c r="E5019" s="43" t="s">
        <v>273</v>
      </c>
      <c r="F5019" s="43">
        <v>1</v>
      </c>
      <c r="G5019"/>
      <c r="H5019"/>
    </row>
    <row r="5020" spans="1:8" hidden="1" x14ac:dyDescent="0.25">
      <c r="A5020" s="43">
        <v>765</v>
      </c>
      <c r="B5020" s="43" t="s">
        <v>226</v>
      </c>
      <c r="C5020" s="43" t="s">
        <v>1155</v>
      </c>
      <c r="D5020" s="43" t="s">
        <v>1157</v>
      </c>
      <c r="E5020" s="43" t="s">
        <v>844</v>
      </c>
      <c r="F5020" s="43">
        <v>1</v>
      </c>
      <c r="G5020"/>
      <c r="H5020"/>
    </row>
    <row r="5021" spans="1:8" x14ac:dyDescent="0.25">
      <c r="A5021" s="43">
        <v>765</v>
      </c>
      <c r="B5021" s="43" t="s">
        <v>226</v>
      </c>
      <c r="C5021" s="43" t="s">
        <v>1155</v>
      </c>
      <c r="D5021" s="43" t="s">
        <v>1158</v>
      </c>
      <c r="E5021" s="43" t="s">
        <v>1159</v>
      </c>
      <c r="F5021" s="43">
        <v>2</v>
      </c>
      <c r="G5021" s="43" t="s">
        <v>4569</v>
      </c>
      <c r="H5021" s="43" t="s">
        <v>4580</v>
      </c>
    </row>
    <row r="5022" spans="1:8" x14ac:dyDescent="0.25">
      <c r="A5022" s="43">
        <v>765</v>
      </c>
      <c r="B5022" s="43" t="s">
        <v>226</v>
      </c>
      <c r="C5022" s="43" t="s">
        <v>1155</v>
      </c>
      <c r="D5022" s="43" t="s">
        <v>1160</v>
      </c>
      <c r="E5022" s="43" t="s">
        <v>1161</v>
      </c>
      <c r="F5022" s="43">
        <v>2</v>
      </c>
      <c r="G5022" s="43" t="s">
        <v>4569</v>
      </c>
      <c r="H5022" s="43" t="s">
        <v>4580</v>
      </c>
    </row>
    <row r="5023" spans="1:8" x14ac:dyDescent="0.25">
      <c r="A5023" s="43">
        <v>765</v>
      </c>
      <c r="B5023" s="43" t="s">
        <v>226</v>
      </c>
      <c r="C5023" s="43" t="s">
        <v>1155</v>
      </c>
      <c r="D5023" s="43" t="s">
        <v>1162</v>
      </c>
      <c r="E5023" s="43" t="s">
        <v>1163</v>
      </c>
      <c r="F5023" s="43">
        <v>2</v>
      </c>
      <c r="G5023" s="43" t="s">
        <v>4569</v>
      </c>
      <c r="H5023" s="43" t="s">
        <v>4580</v>
      </c>
    </row>
    <row r="5024" spans="1:8" x14ac:dyDescent="0.25">
      <c r="A5024" s="43">
        <v>765</v>
      </c>
      <c r="B5024" s="43" t="s">
        <v>226</v>
      </c>
      <c r="C5024" s="43" t="s">
        <v>1155</v>
      </c>
      <c r="D5024" s="43" t="s">
        <v>1164</v>
      </c>
      <c r="E5024" s="43" t="s">
        <v>1165</v>
      </c>
      <c r="F5024" s="43">
        <v>2</v>
      </c>
      <c r="G5024" s="43" t="s">
        <v>4569</v>
      </c>
      <c r="H5024" s="43" t="s">
        <v>4580</v>
      </c>
    </row>
    <row r="5025" spans="1:8" hidden="1" x14ac:dyDescent="0.25">
      <c r="A5025" s="43">
        <v>765</v>
      </c>
      <c r="B5025" s="43" t="s">
        <v>226</v>
      </c>
      <c r="C5025" s="43" t="s">
        <v>1155</v>
      </c>
      <c r="D5025" s="43" t="s">
        <v>1166</v>
      </c>
      <c r="E5025" s="43" t="s">
        <v>295</v>
      </c>
      <c r="F5025" s="43">
        <v>1</v>
      </c>
      <c r="G5025"/>
      <c r="H5025"/>
    </row>
    <row r="5026" spans="1:8" hidden="1" x14ac:dyDescent="0.25">
      <c r="A5026" s="43">
        <v>765</v>
      </c>
      <c r="B5026" s="43" t="s">
        <v>226</v>
      </c>
      <c r="C5026" s="43" t="s">
        <v>1155</v>
      </c>
      <c r="D5026" s="43" t="s">
        <v>1167</v>
      </c>
      <c r="E5026" s="43" t="s">
        <v>1168</v>
      </c>
      <c r="F5026" s="43">
        <v>0</v>
      </c>
      <c r="G5026" s="43" t="s">
        <v>4583</v>
      </c>
      <c r="H5026"/>
    </row>
    <row r="5027" spans="1:8" hidden="1" x14ac:dyDescent="0.25">
      <c r="A5027" s="43">
        <v>766</v>
      </c>
      <c r="B5027" s="43" t="s">
        <v>227</v>
      </c>
      <c r="C5027" s="43" t="s">
        <v>581</v>
      </c>
      <c r="D5027" s="43" t="s">
        <v>582</v>
      </c>
      <c r="E5027" s="43" t="s">
        <v>583</v>
      </c>
      <c r="F5027" s="43">
        <v>1</v>
      </c>
      <c r="G5027"/>
      <c r="H5027"/>
    </row>
    <row r="5028" spans="1:8" hidden="1" x14ac:dyDescent="0.25">
      <c r="A5028" s="43">
        <v>766</v>
      </c>
      <c r="B5028" s="43" t="s">
        <v>227</v>
      </c>
      <c r="C5028" s="43" t="s">
        <v>581</v>
      </c>
      <c r="D5028" s="43" t="s">
        <v>584</v>
      </c>
      <c r="E5028" s="43" t="s">
        <v>306</v>
      </c>
      <c r="F5028" s="43">
        <v>1</v>
      </c>
      <c r="G5028"/>
      <c r="H5028"/>
    </row>
    <row r="5029" spans="1:8" hidden="1" x14ac:dyDescent="0.25">
      <c r="A5029" s="43">
        <v>766</v>
      </c>
      <c r="B5029" s="43" t="s">
        <v>227</v>
      </c>
      <c r="C5029" s="43" t="s">
        <v>581</v>
      </c>
      <c r="D5029" s="43" t="s">
        <v>585</v>
      </c>
      <c r="E5029" s="43" t="s">
        <v>586</v>
      </c>
      <c r="F5029" s="43">
        <v>1</v>
      </c>
      <c r="G5029"/>
      <c r="H5029"/>
    </row>
    <row r="5030" spans="1:8" hidden="1" x14ac:dyDescent="0.25">
      <c r="A5030" s="43">
        <v>766</v>
      </c>
      <c r="B5030" s="43" t="s">
        <v>227</v>
      </c>
      <c r="C5030" s="43" t="s">
        <v>581</v>
      </c>
      <c r="D5030" s="43" t="s">
        <v>587</v>
      </c>
      <c r="E5030" s="43" t="s">
        <v>588</v>
      </c>
      <c r="F5030" s="43">
        <v>1</v>
      </c>
      <c r="G5030"/>
      <c r="H5030"/>
    </row>
    <row r="5031" spans="1:8" hidden="1" x14ac:dyDescent="0.25">
      <c r="A5031" s="43">
        <v>766</v>
      </c>
      <c r="B5031" s="43" t="s">
        <v>227</v>
      </c>
      <c r="C5031" s="43" t="s">
        <v>581</v>
      </c>
      <c r="D5031" s="43" t="s">
        <v>589</v>
      </c>
      <c r="E5031" s="43" t="s">
        <v>312</v>
      </c>
      <c r="F5031" s="43">
        <v>1</v>
      </c>
      <c r="G5031"/>
      <c r="H5031"/>
    </row>
    <row r="5032" spans="1:8" hidden="1" x14ac:dyDescent="0.25">
      <c r="A5032" s="43">
        <v>766</v>
      </c>
      <c r="B5032" s="43" t="s">
        <v>227</v>
      </c>
      <c r="C5032" s="43" t="s">
        <v>581</v>
      </c>
      <c r="D5032" s="43" t="s">
        <v>590</v>
      </c>
      <c r="E5032" s="43" t="s">
        <v>493</v>
      </c>
      <c r="F5032" s="43">
        <v>0</v>
      </c>
      <c r="G5032" s="43" t="s">
        <v>4728</v>
      </c>
      <c r="H5032" s="43" t="s">
        <v>4759</v>
      </c>
    </row>
    <row r="5033" spans="1:8" hidden="1" x14ac:dyDescent="0.25">
      <c r="A5033" s="43">
        <v>766</v>
      </c>
      <c r="B5033" s="43" t="s">
        <v>227</v>
      </c>
      <c r="C5033" s="43" t="s">
        <v>581</v>
      </c>
      <c r="D5033" s="43" t="s">
        <v>591</v>
      </c>
      <c r="E5033" s="43" t="s">
        <v>314</v>
      </c>
      <c r="F5033" s="43">
        <v>1</v>
      </c>
      <c r="G5033"/>
      <c r="H5033"/>
    </row>
    <row r="5034" spans="1:8" hidden="1" x14ac:dyDescent="0.25">
      <c r="A5034" s="43">
        <v>766</v>
      </c>
      <c r="B5034" s="43" t="s">
        <v>227</v>
      </c>
      <c r="C5034" s="43" t="s">
        <v>581</v>
      </c>
      <c r="D5034" s="43" t="s">
        <v>592</v>
      </c>
      <c r="E5034" s="43" t="s">
        <v>275</v>
      </c>
      <c r="F5034" s="43">
        <v>1</v>
      </c>
      <c r="G5034"/>
      <c r="H5034"/>
    </row>
    <row r="5035" spans="1:8" hidden="1" x14ac:dyDescent="0.25">
      <c r="A5035" s="43">
        <v>766</v>
      </c>
      <c r="B5035" s="43" t="s">
        <v>227</v>
      </c>
      <c r="C5035" s="43" t="s">
        <v>581</v>
      </c>
      <c r="D5035" s="43" t="s">
        <v>593</v>
      </c>
      <c r="E5035" s="43" t="s">
        <v>594</v>
      </c>
      <c r="F5035" s="43">
        <v>1</v>
      </c>
      <c r="G5035"/>
      <c r="H5035"/>
    </row>
    <row r="5036" spans="1:8" hidden="1" x14ac:dyDescent="0.25">
      <c r="A5036" s="43">
        <v>766</v>
      </c>
      <c r="B5036" s="43" t="s">
        <v>227</v>
      </c>
      <c r="C5036" s="43" t="s">
        <v>581</v>
      </c>
      <c r="D5036" s="43" t="s">
        <v>595</v>
      </c>
      <c r="E5036" s="43" t="s">
        <v>349</v>
      </c>
      <c r="F5036" s="43">
        <v>1</v>
      </c>
      <c r="G5036"/>
      <c r="H5036"/>
    </row>
    <row r="5037" spans="1:8" hidden="1" x14ac:dyDescent="0.25">
      <c r="A5037" s="43">
        <v>766</v>
      </c>
      <c r="B5037" s="43" t="s">
        <v>227</v>
      </c>
      <c r="C5037" s="43" t="s">
        <v>581</v>
      </c>
      <c r="D5037" s="43" t="s">
        <v>596</v>
      </c>
      <c r="E5037" s="43" t="s">
        <v>597</v>
      </c>
      <c r="F5037" s="43">
        <v>1</v>
      </c>
      <c r="G5037"/>
      <c r="H5037"/>
    </row>
    <row r="5038" spans="1:8" hidden="1" x14ac:dyDescent="0.25">
      <c r="A5038" s="43">
        <v>766</v>
      </c>
      <c r="B5038" s="43" t="s">
        <v>227</v>
      </c>
      <c r="C5038" s="43" t="s">
        <v>581</v>
      </c>
      <c r="D5038" s="43" t="s">
        <v>598</v>
      </c>
      <c r="E5038" s="43" t="s">
        <v>599</v>
      </c>
      <c r="F5038" s="43">
        <v>0</v>
      </c>
      <c r="G5038" s="43" t="s">
        <v>4728</v>
      </c>
      <c r="H5038" s="43" t="s">
        <v>4759</v>
      </c>
    </row>
    <row r="5039" spans="1:8" hidden="1" x14ac:dyDescent="0.25">
      <c r="A5039" s="43">
        <v>766</v>
      </c>
      <c r="B5039" s="43" t="s">
        <v>227</v>
      </c>
      <c r="C5039" s="43" t="s">
        <v>581</v>
      </c>
      <c r="D5039" s="43" t="s">
        <v>600</v>
      </c>
      <c r="E5039" s="43" t="s">
        <v>601</v>
      </c>
      <c r="F5039" s="43">
        <v>1</v>
      </c>
      <c r="G5039"/>
      <c r="H5039"/>
    </row>
    <row r="5040" spans="1:8" hidden="1" x14ac:dyDescent="0.25">
      <c r="A5040" s="43">
        <v>766</v>
      </c>
      <c r="B5040" s="43" t="s">
        <v>227</v>
      </c>
      <c r="C5040" s="43" t="s">
        <v>581</v>
      </c>
      <c r="D5040" s="43" t="s">
        <v>602</v>
      </c>
      <c r="E5040" s="43" t="s">
        <v>603</v>
      </c>
      <c r="F5040" s="43">
        <v>1</v>
      </c>
      <c r="G5040"/>
      <c r="H5040"/>
    </row>
    <row r="5041" spans="1:8" hidden="1" x14ac:dyDescent="0.25">
      <c r="A5041" s="43">
        <v>766</v>
      </c>
      <c r="B5041" s="43" t="s">
        <v>227</v>
      </c>
      <c r="C5041" s="43" t="s">
        <v>581</v>
      </c>
      <c r="D5041" s="43" t="s">
        <v>604</v>
      </c>
      <c r="E5041" s="43" t="s">
        <v>605</v>
      </c>
      <c r="F5041" s="43">
        <v>1</v>
      </c>
      <c r="G5041"/>
      <c r="H5041"/>
    </row>
    <row r="5042" spans="1:8" hidden="1" x14ac:dyDescent="0.25">
      <c r="A5042" s="43">
        <v>766</v>
      </c>
      <c r="B5042" s="43" t="s">
        <v>227</v>
      </c>
      <c r="C5042" s="43" t="s">
        <v>581</v>
      </c>
      <c r="D5042" s="43" t="s">
        <v>606</v>
      </c>
      <c r="E5042" s="43" t="s">
        <v>503</v>
      </c>
      <c r="F5042" s="43">
        <v>1</v>
      </c>
      <c r="G5042"/>
      <c r="H5042"/>
    </row>
    <row r="5043" spans="1:8" hidden="1" x14ac:dyDescent="0.25">
      <c r="A5043" s="43">
        <v>766</v>
      </c>
      <c r="B5043" s="43" t="s">
        <v>227</v>
      </c>
      <c r="C5043" s="43" t="s">
        <v>581</v>
      </c>
      <c r="D5043" s="43" t="s">
        <v>607</v>
      </c>
      <c r="E5043" s="43" t="s">
        <v>505</v>
      </c>
      <c r="F5043" s="43">
        <v>1</v>
      </c>
      <c r="G5043"/>
      <c r="H5043"/>
    </row>
    <row r="5044" spans="1:8" hidden="1" x14ac:dyDescent="0.25">
      <c r="A5044" s="43">
        <v>766</v>
      </c>
      <c r="B5044" s="43" t="s">
        <v>227</v>
      </c>
      <c r="C5044" s="43" t="s">
        <v>581</v>
      </c>
      <c r="D5044" s="43" t="s">
        <v>608</v>
      </c>
      <c r="E5044" s="43" t="s">
        <v>609</v>
      </c>
      <c r="F5044" s="43">
        <v>1</v>
      </c>
      <c r="G5044"/>
      <c r="H5044"/>
    </row>
    <row r="5045" spans="1:8" hidden="1" x14ac:dyDescent="0.25">
      <c r="A5045" s="43">
        <v>767</v>
      </c>
      <c r="B5045" s="43" t="s">
        <v>228</v>
      </c>
      <c r="C5045" s="43" t="s">
        <v>636</v>
      </c>
      <c r="D5045" s="43" t="s">
        <v>637</v>
      </c>
      <c r="E5045" s="43" t="s">
        <v>638</v>
      </c>
      <c r="F5045" s="43">
        <v>1</v>
      </c>
      <c r="G5045"/>
      <c r="H5045"/>
    </row>
    <row r="5046" spans="1:8" hidden="1" x14ac:dyDescent="0.25">
      <c r="A5046" s="43">
        <v>767</v>
      </c>
      <c r="B5046" s="43" t="s">
        <v>228</v>
      </c>
      <c r="C5046" s="43" t="s">
        <v>636</v>
      </c>
      <c r="D5046" s="43" t="s">
        <v>639</v>
      </c>
      <c r="E5046" s="43" t="s">
        <v>640</v>
      </c>
      <c r="F5046" s="43">
        <v>1</v>
      </c>
      <c r="G5046"/>
      <c r="H5046"/>
    </row>
    <row r="5047" spans="1:8" hidden="1" x14ac:dyDescent="0.25">
      <c r="A5047" s="43">
        <v>767</v>
      </c>
      <c r="B5047" s="43" t="s">
        <v>228</v>
      </c>
      <c r="C5047" s="43" t="s">
        <v>636</v>
      </c>
      <c r="D5047" s="43" t="s">
        <v>641</v>
      </c>
      <c r="E5047" s="43" t="s">
        <v>642</v>
      </c>
      <c r="F5047" s="43">
        <v>1</v>
      </c>
      <c r="G5047"/>
      <c r="H5047"/>
    </row>
    <row r="5048" spans="1:8" hidden="1" x14ac:dyDescent="0.25">
      <c r="A5048" s="43">
        <v>767</v>
      </c>
      <c r="B5048" s="43" t="s">
        <v>228</v>
      </c>
      <c r="C5048" s="43" t="s">
        <v>636</v>
      </c>
      <c r="D5048" s="43" t="s">
        <v>643</v>
      </c>
      <c r="E5048" s="43" t="s">
        <v>644</v>
      </c>
      <c r="F5048" s="43">
        <v>1</v>
      </c>
      <c r="G5048"/>
      <c r="H5048"/>
    </row>
    <row r="5049" spans="1:8" hidden="1" x14ac:dyDescent="0.25">
      <c r="A5049" s="43">
        <v>767</v>
      </c>
      <c r="B5049" s="43" t="s">
        <v>228</v>
      </c>
      <c r="C5049" s="43" t="s">
        <v>636</v>
      </c>
      <c r="D5049" s="43" t="s">
        <v>645</v>
      </c>
      <c r="E5049" s="43" t="s">
        <v>646</v>
      </c>
      <c r="F5049" s="43">
        <v>1</v>
      </c>
      <c r="G5049"/>
      <c r="H5049"/>
    </row>
    <row r="5050" spans="1:8" hidden="1" x14ac:dyDescent="0.25">
      <c r="A5050" s="43">
        <v>767</v>
      </c>
      <c r="B5050" s="43" t="s">
        <v>228</v>
      </c>
      <c r="C5050" s="43" t="s">
        <v>636</v>
      </c>
      <c r="D5050" s="43" t="s">
        <v>647</v>
      </c>
      <c r="E5050" s="43" t="s">
        <v>648</v>
      </c>
      <c r="F5050" s="43">
        <v>1</v>
      </c>
      <c r="G5050"/>
      <c r="H5050"/>
    </row>
    <row r="5051" spans="1:8" hidden="1" x14ac:dyDescent="0.25">
      <c r="A5051" s="43">
        <v>767</v>
      </c>
      <c r="B5051" s="43" t="s">
        <v>228</v>
      </c>
      <c r="C5051" s="43" t="s">
        <v>636</v>
      </c>
      <c r="D5051" s="43" t="s">
        <v>649</v>
      </c>
      <c r="E5051" s="43" t="s">
        <v>650</v>
      </c>
      <c r="F5051" s="43">
        <v>1</v>
      </c>
      <c r="G5051"/>
      <c r="H5051"/>
    </row>
    <row r="5052" spans="1:8" hidden="1" x14ac:dyDescent="0.25">
      <c r="A5052" s="43">
        <v>767</v>
      </c>
      <c r="B5052" s="43" t="s">
        <v>228</v>
      </c>
      <c r="C5052" s="43" t="s">
        <v>636</v>
      </c>
      <c r="D5052" s="43" t="s">
        <v>651</v>
      </c>
      <c r="E5052" s="43" t="s">
        <v>652</v>
      </c>
      <c r="F5052" s="43">
        <v>1</v>
      </c>
      <c r="G5052"/>
      <c r="H5052"/>
    </row>
    <row r="5053" spans="1:8" hidden="1" x14ac:dyDescent="0.25">
      <c r="A5053" s="43">
        <v>767</v>
      </c>
      <c r="B5053" s="43" t="s">
        <v>228</v>
      </c>
      <c r="C5053" s="43" t="s">
        <v>636</v>
      </c>
      <c r="D5053" s="43" t="s">
        <v>653</v>
      </c>
      <c r="E5053" s="43" t="s">
        <v>438</v>
      </c>
      <c r="F5053" s="43">
        <v>1</v>
      </c>
      <c r="G5053"/>
      <c r="H5053"/>
    </row>
    <row r="5054" spans="1:8" hidden="1" x14ac:dyDescent="0.25">
      <c r="A5054" s="43">
        <v>767</v>
      </c>
      <c r="B5054" s="43" t="s">
        <v>228</v>
      </c>
      <c r="C5054" s="43" t="s">
        <v>636</v>
      </c>
      <c r="D5054" s="43" t="s">
        <v>654</v>
      </c>
      <c r="E5054" s="43" t="s">
        <v>440</v>
      </c>
      <c r="F5054" s="43">
        <v>1</v>
      </c>
      <c r="G5054"/>
      <c r="H5054"/>
    </row>
    <row r="5055" spans="1:8" hidden="1" x14ac:dyDescent="0.25">
      <c r="A5055" s="43">
        <v>767</v>
      </c>
      <c r="B5055" s="43" t="s">
        <v>228</v>
      </c>
      <c r="C5055" s="43" t="s">
        <v>636</v>
      </c>
      <c r="D5055" s="43" t="s">
        <v>655</v>
      </c>
      <c r="E5055" s="43" t="s">
        <v>656</v>
      </c>
      <c r="F5055" s="43">
        <v>1</v>
      </c>
      <c r="G5055"/>
      <c r="H5055"/>
    </row>
    <row r="5056" spans="1:8" hidden="1" x14ac:dyDescent="0.25">
      <c r="A5056" s="43">
        <v>767</v>
      </c>
      <c r="B5056" s="43" t="s">
        <v>228</v>
      </c>
      <c r="C5056" s="43" t="s">
        <v>636</v>
      </c>
      <c r="D5056" s="43" t="s">
        <v>657</v>
      </c>
      <c r="E5056" s="43" t="s">
        <v>658</v>
      </c>
      <c r="F5056" s="43">
        <v>1</v>
      </c>
      <c r="G5056"/>
      <c r="H5056"/>
    </row>
    <row r="5057" spans="1:8" hidden="1" x14ac:dyDescent="0.25">
      <c r="A5057" s="43">
        <v>768</v>
      </c>
      <c r="B5057" s="43" t="s">
        <v>229</v>
      </c>
      <c r="C5057" s="43" t="s">
        <v>701</v>
      </c>
      <c r="D5057" s="43" t="s">
        <v>702</v>
      </c>
      <c r="E5057" s="43" t="s">
        <v>583</v>
      </c>
      <c r="F5057" s="43">
        <v>1</v>
      </c>
      <c r="G5057"/>
      <c r="H5057"/>
    </row>
    <row r="5058" spans="1:8" hidden="1" x14ac:dyDescent="0.25">
      <c r="A5058" s="43">
        <v>768</v>
      </c>
      <c r="B5058" s="43" t="s">
        <v>229</v>
      </c>
      <c r="C5058" s="43" t="s">
        <v>701</v>
      </c>
      <c r="D5058" s="43" t="s">
        <v>703</v>
      </c>
      <c r="E5058" s="43" t="s">
        <v>306</v>
      </c>
      <c r="F5058" s="43">
        <v>1</v>
      </c>
      <c r="G5058"/>
      <c r="H5058"/>
    </row>
    <row r="5059" spans="1:8" hidden="1" x14ac:dyDescent="0.25">
      <c r="A5059" s="43">
        <v>768</v>
      </c>
      <c r="B5059" s="43" t="s">
        <v>229</v>
      </c>
      <c r="C5059" s="43" t="s">
        <v>701</v>
      </c>
      <c r="D5059" s="43" t="s">
        <v>704</v>
      </c>
      <c r="E5059" s="43" t="s">
        <v>705</v>
      </c>
      <c r="F5059" s="43">
        <v>0</v>
      </c>
      <c r="G5059" s="43" t="s">
        <v>4729</v>
      </c>
      <c r="H5059" s="43" t="s">
        <v>4502</v>
      </c>
    </row>
    <row r="5060" spans="1:8" hidden="1" x14ac:dyDescent="0.25">
      <c r="A5060" s="43">
        <v>768</v>
      </c>
      <c r="B5060" s="43" t="s">
        <v>229</v>
      </c>
      <c r="C5060" s="43" t="s">
        <v>701</v>
      </c>
      <c r="D5060" s="43" t="s">
        <v>706</v>
      </c>
      <c r="E5060" s="43" t="s">
        <v>588</v>
      </c>
      <c r="F5060" s="43">
        <v>1</v>
      </c>
      <c r="G5060"/>
      <c r="H5060"/>
    </row>
    <row r="5061" spans="1:8" hidden="1" x14ac:dyDescent="0.25">
      <c r="A5061" s="43">
        <v>768</v>
      </c>
      <c r="B5061" s="43" t="s">
        <v>229</v>
      </c>
      <c r="C5061" s="43" t="s">
        <v>701</v>
      </c>
      <c r="D5061" s="43" t="s">
        <v>707</v>
      </c>
      <c r="E5061" s="43" t="s">
        <v>312</v>
      </c>
      <c r="F5061" s="43">
        <v>1</v>
      </c>
      <c r="G5061"/>
      <c r="H5061"/>
    </row>
    <row r="5062" spans="1:8" hidden="1" x14ac:dyDescent="0.25">
      <c r="A5062" s="43">
        <v>768</v>
      </c>
      <c r="B5062" s="43" t="s">
        <v>229</v>
      </c>
      <c r="C5062" s="43" t="s">
        <v>701</v>
      </c>
      <c r="D5062" s="43" t="s">
        <v>708</v>
      </c>
      <c r="E5062" s="43" t="s">
        <v>314</v>
      </c>
      <c r="F5062" s="43">
        <v>1</v>
      </c>
      <c r="G5062"/>
      <c r="H5062"/>
    </row>
    <row r="5063" spans="1:8" hidden="1" x14ac:dyDescent="0.25">
      <c r="A5063" s="43">
        <v>768</v>
      </c>
      <c r="B5063" s="43" t="s">
        <v>229</v>
      </c>
      <c r="C5063" s="43" t="s">
        <v>701</v>
      </c>
      <c r="D5063" s="43" t="s">
        <v>709</v>
      </c>
      <c r="E5063" s="43" t="s">
        <v>493</v>
      </c>
      <c r="F5063" s="43">
        <v>1</v>
      </c>
      <c r="G5063"/>
      <c r="H5063"/>
    </row>
    <row r="5064" spans="1:8" hidden="1" x14ac:dyDescent="0.25">
      <c r="A5064" s="43">
        <v>768</v>
      </c>
      <c r="B5064" s="43" t="s">
        <v>229</v>
      </c>
      <c r="C5064" s="43" t="s">
        <v>701</v>
      </c>
      <c r="D5064" s="43" t="s">
        <v>710</v>
      </c>
      <c r="E5064" s="43" t="s">
        <v>275</v>
      </c>
      <c r="F5064" s="43">
        <v>1</v>
      </c>
      <c r="G5064"/>
      <c r="H5064"/>
    </row>
    <row r="5065" spans="1:8" hidden="1" x14ac:dyDescent="0.25">
      <c r="A5065" s="43">
        <v>768</v>
      </c>
      <c r="B5065" s="43" t="s">
        <v>229</v>
      </c>
      <c r="C5065" s="43" t="s">
        <v>701</v>
      </c>
      <c r="D5065" s="43" t="s">
        <v>711</v>
      </c>
      <c r="E5065" s="43" t="s">
        <v>283</v>
      </c>
      <c r="F5065" s="43">
        <v>1</v>
      </c>
      <c r="G5065"/>
      <c r="H5065"/>
    </row>
    <row r="5066" spans="1:8" hidden="1" x14ac:dyDescent="0.25">
      <c r="A5066" s="43">
        <v>768</v>
      </c>
      <c r="B5066" s="43" t="s">
        <v>229</v>
      </c>
      <c r="C5066" s="43" t="s">
        <v>701</v>
      </c>
      <c r="D5066" s="43" t="s">
        <v>712</v>
      </c>
      <c r="E5066" s="43" t="s">
        <v>713</v>
      </c>
      <c r="F5066" s="43">
        <v>1</v>
      </c>
      <c r="G5066"/>
      <c r="H5066"/>
    </row>
    <row r="5067" spans="1:8" hidden="1" x14ac:dyDescent="0.25">
      <c r="A5067" s="43">
        <v>768</v>
      </c>
      <c r="B5067" s="43" t="s">
        <v>229</v>
      </c>
      <c r="C5067" s="43" t="s">
        <v>701</v>
      </c>
      <c r="D5067" s="43" t="s">
        <v>714</v>
      </c>
      <c r="E5067" s="43" t="s">
        <v>715</v>
      </c>
      <c r="F5067" s="43">
        <v>1</v>
      </c>
      <c r="G5067"/>
      <c r="H5067"/>
    </row>
    <row r="5068" spans="1:8" hidden="1" x14ac:dyDescent="0.25">
      <c r="A5068" s="43">
        <v>768</v>
      </c>
      <c r="B5068" s="43" t="s">
        <v>229</v>
      </c>
      <c r="C5068" s="43" t="s">
        <v>701</v>
      </c>
      <c r="D5068" s="43" t="s">
        <v>716</v>
      </c>
      <c r="E5068" s="43" t="s">
        <v>717</v>
      </c>
      <c r="F5068" s="43">
        <v>1</v>
      </c>
      <c r="G5068"/>
      <c r="H5068"/>
    </row>
    <row r="5069" spans="1:8" hidden="1" x14ac:dyDescent="0.25">
      <c r="A5069" s="43">
        <v>768</v>
      </c>
      <c r="B5069" s="43" t="s">
        <v>229</v>
      </c>
      <c r="C5069" s="43" t="s">
        <v>701</v>
      </c>
      <c r="D5069" s="43" t="s">
        <v>718</v>
      </c>
      <c r="E5069" s="43" t="s">
        <v>381</v>
      </c>
      <c r="F5069" s="43">
        <v>1</v>
      </c>
      <c r="G5069"/>
      <c r="H5069"/>
    </row>
    <row r="5070" spans="1:8" hidden="1" x14ac:dyDescent="0.25">
      <c r="A5070" s="43">
        <v>768</v>
      </c>
      <c r="B5070" s="43" t="s">
        <v>229</v>
      </c>
      <c r="C5070" s="43" t="s">
        <v>701</v>
      </c>
      <c r="D5070" s="43" t="s">
        <v>719</v>
      </c>
      <c r="E5070" s="43" t="s">
        <v>720</v>
      </c>
      <c r="F5070" s="43">
        <v>0</v>
      </c>
      <c r="G5070" s="43" t="s">
        <v>4730</v>
      </c>
      <c r="H5070" s="43" t="s">
        <v>4502</v>
      </c>
    </row>
    <row r="5071" spans="1:8" hidden="1" x14ac:dyDescent="0.25">
      <c r="A5071" s="43">
        <v>768</v>
      </c>
      <c r="B5071" s="43" t="s">
        <v>229</v>
      </c>
      <c r="C5071" s="43" t="s">
        <v>701</v>
      </c>
      <c r="D5071" s="43" t="s">
        <v>721</v>
      </c>
      <c r="E5071" s="43" t="s">
        <v>722</v>
      </c>
      <c r="F5071" s="43">
        <v>0</v>
      </c>
      <c r="G5071" s="43" t="s">
        <v>4730</v>
      </c>
      <c r="H5071" s="43" t="s">
        <v>4502</v>
      </c>
    </row>
    <row r="5072" spans="1:8" hidden="1" x14ac:dyDescent="0.25">
      <c r="A5072" s="43">
        <v>769</v>
      </c>
      <c r="B5072" s="43" t="s">
        <v>230</v>
      </c>
      <c r="C5072" s="43" t="s">
        <v>1198</v>
      </c>
      <c r="D5072" s="43" t="s">
        <v>1199</v>
      </c>
      <c r="E5072" s="43" t="s">
        <v>273</v>
      </c>
      <c r="F5072" s="43">
        <v>1</v>
      </c>
      <c r="G5072"/>
      <c r="H5072"/>
    </row>
    <row r="5073" spans="1:8" hidden="1" x14ac:dyDescent="0.25">
      <c r="A5073" s="43">
        <v>769</v>
      </c>
      <c r="B5073" s="43" t="s">
        <v>230</v>
      </c>
      <c r="C5073" s="43" t="s">
        <v>1198</v>
      </c>
      <c r="D5073" s="43" t="s">
        <v>1200</v>
      </c>
      <c r="E5073" s="43" t="s">
        <v>312</v>
      </c>
      <c r="F5073" s="43">
        <v>1</v>
      </c>
      <c r="G5073"/>
      <c r="H5073"/>
    </row>
    <row r="5074" spans="1:8" hidden="1" x14ac:dyDescent="0.25">
      <c r="A5074" s="43">
        <v>769</v>
      </c>
      <c r="B5074" s="43" t="s">
        <v>230</v>
      </c>
      <c r="C5074" s="43" t="s">
        <v>1198</v>
      </c>
      <c r="D5074" s="43" t="s">
        <v>1201</v>
      </c>
      <c r="E5074" s="43" t="s">
        <v>801</v>
      </c>
      <c r="F5074" s="43">
        <v>1</v>
      </c>
      <c r="G5074"/>
      <c r="H5074"/>
    </row>
    <row r="5075" spans="1:8" hidden="1" x14ac:dyDescent="0.25">
      <c r="A5075" s="43">
        <v>769</v>
      </c>
      <c r="B5075" s="43" t="s">
        <v>230</v>
      </c>
      <c r="C5075" s="43" t="s">
        <v>1198</v>
      </c>
      <c r="D5075" s="43" t="s">
        <v>1202</v>
      </c>
      <c r="E5075" s="43" t="s">
        <v>786</v>
      </c>
      <c r="F5075" s="43">
        <v>1</v>
      </c>
      <c r="G5075"/>
      <c r="H5075"/>
    </row>
    <row r="5076" spans="1:8" hidden="1" x14ac:dyDescent="0.25">
      <c r="A5076" s="43">
        <v>769</v>
      </c>
      <c r="B5076" s="43" t="s">
        <v>230</v>
      </c>
      <c r="C5076" s="43" t="s">
        <v>1198</v>
      </c>
      <c r="D5076" s="43" t="s">
        <v>1203</v>
      </c>
      <c r="E5076" s="43" t="s">
        <v>784</v>
      </c>
      <c r="F5076" s="43">
        <v>1</v>
      </c>
      <c r="G5076"/>
      <c r="H5076"/>
    </row>
    <row r="5077" spans="1:8" hidden="1" x14ac:dyDescent="0.25">
      <c r="A5077" s="43">
        <v>769</v>
      </c>
      <c r="B5077" s="43" t="s">
        <v>230</v>
      </c>
      <c r="C5077" s="43" t="s">
        <v>1198</v>
      </c>
      <c r="D5077" s="43" t="s">
        <v>1204</v>
      </c>
      <c r="E5077" s="43" t="s">
        <v>1205</v>
      </c>
      <c r="F5077" s="43">
        <v>1</v>
      </c>
      <c r="G5077"/>
      <c r="H5077"/>
    </row>
    <row r="5078" spans="1:8" hidden="1" x14ac:dyDescent="0.25">
      <c r="A5078" s="43">
        <v>769</v>
      </c>
      <c r="B5078" s="43" t="s">
        <v>230</v>
      </c>
      <c r="C5078" s="43" t="s">
        <v>1198</v>
      </c>
      <c r="D5078" s="43" t="s">
        <v>1206</v>
      </c>
      <c r="E5078" s="43" t="s">
        <v>1207</v>
      </c>
      <c r="F5078" s="43">
        <v>1</v>
      </c>
      <c r="G5078"/>
      <c r="H5078"/>
    </row>
    <row r="5079" spans="1:8" hidden="1" x14ac:dyDescent="0.25">
      <c r="A5079" s="43">
        <v>769</v>
      </c>
      <c r="B5079" s="43" t="s">
        <v>230</v>
      </c>
      <c r="C5079" s="43" t="s">
        <v>1198</v>
      </c>
      <c r="D5079" s="43" t="s">
        <v>1208</v>
      </c>
      <c r="E5079" s="43" t="s">
        <v>1209</v>
      </c>
      <c r="F5079" s="43">
        <v>1</v>
      </c>
      <c r="G5079"/>
      <c r="H5079"/>
    </row>
    <row r="5080" spans="1:8" hidden="1" x14ac:dyDescent="0.25">
      <c r="A5080" s="43">
        <v>769</v>
      </c>
      <c r="B5080" s="43" t="s">
        <v>230</v>
      </c>
      <c r="C5080" s="43" t="s">
        <v>1198</v>
      </c>
      <c r="D5080" s="43" t="s">
        <v>1210</v>
      </c>
      <c r="E5080" s="43" t="s">
        <v>1211</v>
      </c>
      <c r="F5080" s="43">
        <v>1</v>
      </c>
      <c r="G5080"/>
      <c r="H5080"/>
    </row>
    <row r="5081" spans="1:8" hidden="1" x14ac:dyDescent="0.25">
      <c r="A5081" s="43">
        <v>769</v>
      </c>
      <c r="B5081" s="43" t="s">
        <v>230</v>
      </c>
      <c r="C5081" s="43" t="s">
        <v>1198</v>
      </c>
      <c r="D5081" s="43" t="s">
        <v>1212</v>
      </c>
      <c r="E5081" s="43" t="s">
        <v>789</v>
      </c>
      <c r="F5081" s="43">
        <v>1</v>
      </c>
      <c r="G5081"/>
      <c r="H5081"/>
    </row>
    <row r="5082" spans="1:8" hidden="1" x14ac:dyDescent="0.25">
      <c r="A5082" s="43">
        <v>769</v>
      </c>
      <c r="B5082" s="43" t="s">
        <v>230</v>
      </c>
      <c r="C5082" s="43" t="s">
        <v>1198</v>
      </c>
      <c r="D5082" s="43" t="s">
        <v>1213</v>
      </c>
      <c r="E5082" s="43" t="s">
        <v>1214</v>
      </c>
      <c r="F5082" s="43">
        <v>1</v>
      </c>
      <c r="G5082"/>
      <c r="H5082"/>
    </row>
    <row r="5083" spans="1:8" hidden="1" x14ac:dyDescent="0.25">
      <c r="A5083" s="43">
        <v>769</v>
      </c>
      <c r="B5083" s="43" t="s">
        <v>230</v>
      </c>
      <c r="C5083" s="43" t="s">
        <v>1198</v>
      </c>
      <c r="D5083" s="43" t="s">
        <v>1215</v>
      </c>
      <c r="E5083" s="43" t="s">
        <v>1216</v>
      </c>
      <c r="F5083" s="43">
        <v>1</v>
      </c>
      <c r="G5083"/>
      <c r="H5083"/>
    </row>
    <row r="5084" spans="1:8" hidden="1" x14ac:dyDescent="0.25">
      <c r="A5084" s="43">
        <v>769</v>
      </c>
      <c r="B5084" s="43" t="s">
        <v>230</v>
      </c>
      <c r="C5084" s="43" t="s">
        <v>1198</v>
      </c>
      <c r="D5084" s="43" t="s">
        <v>1217</v>
      </c>
      <c r="E5084" s="43" t="s">
        <v>791</v>
      </c>
      <c r="F5084" s="43">
        <v>0</v>
      </c>
      <c r="G5084" s="43" t="s">
        <v>4583</v>
      </c>
      <c r="H5084"/>
    </row>
    <row r="5085" spans="1:8" hidden="1" x14ac:dyDescent="0.25">
      <c r="A5085" s="43">
        <v>769</v>
      </c>
      <c r="B5085" s="43" t="s">
        <v>230</v>
      </c>
      <c r="C5085" s="43" t="s">
        <v>1198</v>
      </c>
      <c r="D5085" s="43" t="s">
        <v>1218</v>
      </c>
      <c r="E5085" s="43" t="s">
        <v>795</v>
      </c>
      <c r="F5085" s="43">
        <v>0</v>
      </c>
      <c r="G5085" s="43" t="s">
        <v>4583</v>
      </c>
      <c r="H5085"/>
    </row>
    <row r="5086" spans="1:8" hidden="1" x14ac:dyDescent="0.25">
      <c r="A5086" s="43">
        <v>769</v>
      </c>
      <c r="B5086" s="43" t="s">
        <v>230</v>
      </c>
      <c r="C5086" s="43" t="s">
        <v>1198</v>
      </c>
      <c r="D5086" s="43" t="s">
        <v>1219</v>
      </c>
      <c r="E5086" s="43" t="s">
        <v>372</v>
      </c>
      <c r="F5086" s="43">
        <v>1</v>
      </c>
      <c r="G5086"/>
      <c r="H5086"/>
    </row>
    <row r="5087" spans="1:8" hidden="1" x14ac:dyDescent="0.25">
      <c r="A5087" s="43">
        <v>772</v>
      </c>
      <c r="B5087" s="43" t="s">
        <v>231</v>
      </c>
      <c r="C5087" s="43" t="s">
        <v>1685</v>
      </c>
      <c r="D5087" s="43" t="s">
        <v>1686</v>
      </c>
      <c r="E5087" s="43" t="s">
        <v>1687</v>
      </c>
      <c r="F5087" s="43">
        <v>1</v>
      </c>
      <c r="G5087"/>
      <c r="H5087"/>
    </row>
    <row r="5088" spans="1:8" hidden="1" x14ac:dyDescent="0.25">
      <c r="A5088" s="43">
        <v>772</v>
      </c>
      <c r="B5088" s="43" t="s">
        <v>231</v>
      </c>
      <c r="C5088" s="43" t="s">
        <v>1685</v>
      </c>
      <c r="D5088" s="43" t="s">
        <v>1688</v>
      </c>
      <c r="E5088" s="43" t="s">
        <v>1689</v>
      </c>
      <c r="F5088" s="43">
        <v>1</v>
      </c>
      <c r="G5088"/>
      <c r="H5088"/>
    </row>
    <row r="5089" spans="1:8" hidden="1" x14ac:dyDescent="0.25">
      <c r="A5089" s="43">
        <v>772</v>
      </c>
      <c r="B5089" s="43" t="s">
        <v>231</v>
      </c>
      <c r="C5089" s="43" t="s">
        <v>1685</v>
      </c>
      <c r="D5089" s="43" t="s">
        <v>1690</v>
      </c>
      <c r="E5089" s="43" t="s">
        <v>1691</v>
      </c>
      <c r="F5089" s="43">
        <v>1</v>
      </c>
      <c r="G5089"/>
      <c r="H5089"/>
    </row>
    <row r="5090" spans="1:8" hidden="1" x14ac:dyDescent="0.25">
      <c r="A5090" s="43">
        <v>772</v>
      </c>
      <c r="B5090" s="43" t="s">
        <v>231</v>
      </c>
      <c r="C5090" s="43" t="s">
        <v>1685</v>
      </c>
      <c r="D5090" s="43" t="s">
        <v>1692</v>
      </c>
      <c r="E5090" s="43" t="s">
        <v>1693</v>
      </c>
      <c r="F5090" s="43">
        <v>1</v>
      </c>
      <c r="G5090"/>
      <c r="H5090"/>
    </row>
    <row r="5091" spans="1:8" hidden="1" x14ac:dyDescent="0.25">
      <c r="A5091" s="43">
        <v>772</v>
      </c>
      <c r="B5091" s="43" t="s">
        <v>231</v>
      </c>
      <c r="C5091" s="43" t="s">
        <v>1685</v>
      </c>
      <c r="D5091" s="43" t="s">
        <v>1694</v>
      </c>
      <c r="E5091" s="43" t="s">
        <v>1695</v>
      </c>
      <c r="F5091" s="43">
        <v>1</v>
      </c>
      <c r="G5091"/>
      <c r="H5091"/>
    </row>
    <row r="5092" spans="1:8" hidden="1" x14ac:dyDescent="0.25">
      <c r="A5092" s="43">
        <v>772</v>
      </c>
      <c r="B5092" s="43" t="s">
        <v>231</v>
      </c>
      <c r="C5092" s="43" t="s">
        <v>1685</v>
      </c>
      <c r="D5092" s="43" t="s">
        <v>1696</v>
      </c>
      <c r="E5092" s="43" t="s">
        <v>1697</v>
      </c>
      <c r="F5092" s="43">
        <v>1</v>
      </c>
      <c r="G5092"/>
      <c r="H5092"/>
    </row>
    <row r="5093" spans="1:8" hidden="1" x14ac:dyDescent="0.25">
      <c r="A5093" s="43">
        <v>772</v>
      </c>
      <c r="B5093" s="43" t="s">
        <v>231</v>
      </c>
      <c r="C5093" s="43" t="s">
        <v>1685</v>
      </c>
      <c r="D5093" s="43" t="s">
        <v>1698</v>
      </c>
      <c r="E5093" s="43" t="s">
        <v>1699</v>
      </c>
      <c r="F5093" s="43">
        <v>1</v>
      </c>
      <c r="G5093"/>
      <c r="H5093"/>
    </row>
    <row r="5094" spans="1:8" hidden="1" x14ac:dyDescent="0.25">
      <c r="A5094" s="43">
        <v>772</v>
      </c>
      <c r="B5094" s="43" t="s">
        <v>231</v>
      </c>
      <c r="C5094" s="43" t="s">
        <v>1685</v>
      </c>
      <c r="D5094" s="43" t="s">
        <v>1700</v>
      </c>
      <c r="E5094" s="43" t="s">
        <v>1701</v>
      </c>
      <c r="F5094" s="43">
        <v>1</v>
      </c>
      <c r="G5094"/>
      <c r="H5094"/>
    </row>
    <row r="5095" spans="1:8" hidden="1" x14ac:dyDescent="0.25">
      <c r="A5095" s="43">
        <v>772</v>
      </c>
      <c r="B5095" s="43" t="s">
        <v>231</v>
      </c>
      <c r="C5095" s="43" t="s">
        <v>1685</v>
      </c>
      <c r="D5095" s="43" t="s">
        <v>1702</v>
      </c>
      <c r="E5095" s="43" t="s">
        <v>314</v>
      </c>
      <c r="F5095" s="43">
        <v>1</v>
      </c>
      <c r="G5095"/>
      <c r="H5095"/>
    </row>
    <row r="5096" spans="1:8" hidden="1" x14ac:dyDescent="0.25">
      <c r="A5096" s="43">
        <v>772</v>
      </c>
      <c r="B5096" s="43" t="s">
        <v>231</v>
      </c>
      <c r="C5096" s="43" t="s">
        <v>1685</v>
      </c>
      <c r="D5096" s="43" t="s">
        <v>1703</v>
      </c>
      <c r="E5096" s="43" t="s">
        <v>1704</v>
      </c>
      <c r="F5096" s="43">
        <v>1</v>
      </c>
      <c r="G5096"/>
      <c r="H5096"/>
    </row>
    <row r="5097" spans="1:8" hidden="1" x14ac:dyDescent="0.25">
      <c r="A5097" s="43">
        <v>772</v>
      </c>
      <c r="B5097" s="43" t="s">
        <v>231</v>
      </c>
      <c r="C5097" s="43" t="s">
        <v>1685</v>
      </c>
      <c r="D5097" s="43" t="s">
        <v>1705</v>
      </c>
      <c r="E5097" s="43" t="s">
        <v>1706</v>
      </c>
      <c r="F5097" s="43">
        <v>1</v>
      </c>
      <c r="G5097"/>
      <c r="H5097"/>
    </row>
    <row r="5098" spans="1:8" hidden="1" x14ac:dyDescent="0.25">
      <c r="A5098" s="43">
        <v>772</v>
      </c>
      <c r="B5098" s="43" t="s">
        <v>231</v>
      </c>
      <c r="C5098" s="43" t="s">
        <v>1685</v>
      </c>
      <c r="D5098" s="43" t="s">
        <v>1707</v>
      </c>
      <c r="E5098" s="43" t="s">
        <v>1708</v>
      </c>
      <c r="F5098" s="43">
        <v>1</v>
      </c>
      <c r="G5098"/>
      <c r="H5098"/>
    </row>
    <row r="5099" spans="1:8" hidden="1" x14ac:dyDescent="0.25">
      <c r="A5099" s="43">
        <v>772</v>
      </c>
      <c r="B5099" s="43" t="s">
        <v>231</v>
      </c>
      <c r="C5099" s="43" t="s">
        <v>1685</v>
      </c>
      <c r="D5099" s="43" t="s">
        <v>1709</v>
      </c>
      <c r="E5099" s="43" t="s">
        <v>1710</v>
      </c>
      <c r="F5099" s="43">
        <v>1</v>
      </c>
      <c r="G5099"/>
      <c r="H5099"/>
    </row>
    <row r="5100" spans="1:8" hidden="1" x14ac:dyDescent="0.25">
      <c r="A5100" s="43">
        <v>772</v>
      </c>
      <c r="B5100" s="43" t="s">
        <v>231</v>
      </c>
      <c r="C5100" s="43" t="s">
        <v>1685</v>
      </c>
      <c r="D5100" s="43" t="s">
        <v>1711</v>
      </c>
      <c r="E5100" s="43" t="s">
        <v>1124</v>
      </c>
      <c r="F5100" s="43">
        <v>1</v>
      </c>
      <c r="G5100"/>
      <c r="H5100"/>
    </row>
    <row r="5101" spans="1:8" hidden="1" x14ac:dyDescent="0.25">
      <c r="A5101" s="43">
        <v>777</v>
      </c>
      <c r="B5101" s="43" t="s">
        <v>232</v>
      </c>
      <c r="C5101" s="43" t="s">
        <v>917</v>
      </c>
      <c r="D5101" s="43" t="s">
        <v>918</v>
      </c>
      <c r="E5101" s="43" t="s">
        <v>308</v>
      </c>
      <c r="F5101" s="43">
        <v>1</v>
      </c>
      <c r="G5101"/>
      <c r="H5101"/>
    </row>
    <row r="5102" spans="1:8" hidden="1" x14ac:dyDescent="0.25">
      <c r="A5102" s="43">
        <v>777</v>
      </c>
      <c r="B5102" s="43" t="s">
        <v>232</v>
      </c>
      <c r="C5102" s="43" t="s">
        <v>917</v>
      </c>
      <c r="D5102" s="43" t="s">
        <v>919</v>
      </c>
      <c r="E5102" s="43" t="s">
        <v>920</v>
      </c>
      <c r="F5102" s="43">
        <v>1</v>
      </c>
      <c r="G5102"/>
      <c r="H5102"/>
    </row>
    <row r="5103" spans="1:8" hidden="1" x14ac:dyDescent="0.25">
      <c r="A5103" s="43">
        <v>777</v>
      </c>
      <c r="B5103" s="43" t="s">
        <v>232</v>
      </c>
      <c r="C5103" s="43" t="s">
        <v>917</v>
      </c>
      <c r="D5103" s="43" t="s">
        <v>921</v>
      </c>
      <c r="E5103" s="43" t="s">
        <v>922</v>
      </c>
      <c r="F5103" s="43">
        <v>1</v>
      </c>
      <c r="G5103"/>
      <c r="H5103"/>
    </row>
    <row r="5104" spans="1:8" hidden="1" x14ac:dyDescent="0.25">
      <c r="A5104" s="43">
        <v>777</v>
      </c>
      <c r="B5104" s="43" t="s">
        <v>232</v>
      </c>
      <c r="C5104" s="43" t="s">
        <v>917</v>
      </c>
      <c r="D5104" s="43" t="s">
        <v>923</v>
      </c>
      <c r="E5104" s="43" t="s">
        <v>924</v>
      </c>
      <c r="F5104" s="43">
        <v>0</v>
      </c>
      <c r="G5104" s="43" t="s">
        <v>4731</v>
      </c>
      <c r="H5104" s="43" t="s">
        <v>4760</v>
      </c>
    </row>
    <row r="5105" spans="1:8" hidden="1" x14ac:dyDescent="0.25">
      <c r="A5105" s="43">
        <v>777</v>
      </c>
      <c r="B5105" s="43" t="s">
        <v>232</v>
      </c>
      <c r="C5105" s="43" t="s">
        <v>917</v>
      </c>
      <c r="D5105" s="43" t="s">
        <v>925</v>
      </c>
      <c r="E5105" s="43" t="s">
        <v>310</v>
      </c>
      <c r="F5105" s="43">
        <v>1</v>
      </c>
      <c r="G5105"/>
      <c r="H5105"/>
    </row>
    <row r="5106" spans="1:8" hidden="1" x14ac:dyDescent="0.25">
      <c r="A5106" s="43">
        <v>777</v>
      </c>
      <c r="B5106" s="43" t="s">
        <v>232</v>
      </c>
      <c r="C5106" s="43" t="s">
        <v>917</v>
      </c>
      <c r="D5106" s="43" t="s">
        <v>926</v>
      </c>
      <c r="E5106" s="43" t="s">
        <v>927</v>
      </c>
      <c r="F5106" s="43">
        <v>1</v>
      </c>
      <c r="G5106"/>
      <c r="H5106"/>
    </row>
    <row r="5107" spans="1:8" hidden="1" x14ac:dyDescent="0.25">
      <c r="A5107" s="43">
        <v>777</v>
      </c>
      <c r="B5107" s="43" t="s">
        <v>232</v>
      </c>
      <c r="C5107" s="43" t="s">
        <v>917</v>
      </c>
      <c r="D5107" s="43" t="s">
        <v>928</v>
      </c>
      <c r="E5107" s="43" t="s">
        <v>929</v>
      </c>
      <c r="F5107" s="43">
        <v>1</v>
      </c>
      <c r="G5107"/>
      <c r="H5107"/>
    </row>
    <row r="5108" spans="1:8" hidden="1" x14ac:dyDescent="0.25">
      <c r="A5108" s="43">
        <v>777</v>
      </c>
      <c r="B5108" s="43" t="s">
        <v>232</v>
      </c>
      <c r="C5108" s="43" t="s">
        <v>917</v>
      </c>
      <c r="D5108" s="43" t="s">
        <v>930</v>
      </c>
      <c r="E5108" s="43" t="s">
        <v>640</v>
      </c>
      <c r="F5108" s="43">
        <v>1</v>
      </c>
      <c r="G5108"/>
      <c r="H5108"/>
    </row>
    <row r="5109" spans="1:8" hidden="1" x14ac:dyDescent="0.25">
      <c r="A5109" s="43">
        <v>777</v>
      </c>
      <c r="B5109" s="43" t="s">
        <v>232</v>
      </c>
      <c r="C5109" s="43" t="s">
        <v>917</v>
      </c>
      <c r="D5109" s="43" t="s">
        <v>931</v>
      </c>
      <c r="E5109" s="43" t="s">
        <v>932</v>
      </c>
      <c r="F5109" s="43">
        <v>0</v>
      </c>
      <c r="G5109" s="43" t="s">
        <v>4732</v>
      </c>
      <c r="H5109" s="43" t="s">
        <v>4760</v>
      </c>
    </row>
    <row r="5110" spans="1:8" hidden="1" x14ac:dyDescent="0.25">
      <c r="A5110" s="43">
        <v>777</v>
      </c>
      <c r="B5110" s="43" t="s">
        <v>232</v>
      </c>
      <c r="C5110" s="43" t="s">
        <v>917</v>
      </c>
      <c r="D5110" s="43" t="s">
        <v>933</v>
      </c>
      <c r="E5110" s="43" t="s">
        <v>934</v>
      </c>
      <c r="F5110" s="43">
        <v>0</v>
      </c>
      <c r="G5110" s="43" t="s">
        <v>4733</v>
      </c>
      <c r="H5110" s="43" t="s">
        <v>4760</v>
      </c>
    </row>
    <row r="5111" spans="1:8" hidden="1" x14ac:dyDescent="0.25">
      <c r="A5111" s="43">
        <v>777</v>
      </c>
      <c r="B5111" s="43" t="s">
        <v>232</v>
      </c>
      <c r="C5111" s="43" t="s">
        <v>917</v>
      </c>
      <c r="D5111" s="43" t="s">
        <v>935</v>
      </c>
      <c r="E5111" s="43" t="s">
        <v>936</v>
      </c>
      <c r="F5111" s="43">
        <v>0</v>
      </c>
      <c r="G5111" s="43" t="s">
        <v>4734</v>
      </c>
      <c r="H5111" s="43" t="s">
        <v>4760</v>
      </c>
    </row>
    <row r="5112" spans="1:8" hidden="1" x14ac:dyDescent="0.25">
      <c r="A5112" s="43">
        <v>777</v>
      </c>
      <c r="B5112" s="43" t="s">
        <v>232</v>
      </c>
      <c r="C5112" s="43" t="s">
        <v>917</v>
      </c>
      <c r="D5112" s="43" t="s">
        <v>937</v>
      </c>
      <c r="E5112" s="43" t="s">
        <v>938</v>
      </c>
      <c r="F5112" s="43">
        <v>1</v>
      </c>
      <c r="G5112"/>
      <c r="H5112"/>
    </row>
    <row r="5113" spans="1:8" hidden="1" x14ac:dyDescent="0.25">
      <c r="A5113" s="43">
        <v>777</v>
      </c>
      <c r="B5113" s="43" t="s">
        <v>232</v>
      </c>
      <c r="C5113" s="43" t="s">
        <v>917</v>
      </c>
      <c r="D5113" s="43" t="s">
        <v>939</v>
      </c>
      <c r="E5113" s="43" t="s">
        <v>383</v>
      </c>
      <c r="F5113" s="43">
        <v>0</v>
      </c>
      <c r="G5113" s="43" t="s">
        <v>4734</v>
      </c>
      <c r="H5113" s="43" t="s">
        <v>4760</v>
      </c>
    </row>
    <row r="5114" spans="1:8" hidden="1" x14ac:dyDescent="0.25">
      <c r="A5114" s="43">
        <v>777</v>
      </c>
      <c r="B5114" s="43" t="s">
        <v>232</v>
      </c>
      <c r="C5114" s="43" t="s">
        <v>917</v>
      </c>
      <c r="D5114" s="43" t="s">
        <v>940</v>
      </c>
      <c r="E5114" s="43" t="s">
        <v>384</v>
      </c>
      <c r="F5114" s="43">
        <v>0</v>
      </c>
      <c r="G5114" s="43" t="s">
        <v>4735</v>
      </c>
      <c r="H5114" s="43" t="s">
        <v>4761</v>
      </c>
    </row>
    <row r="5115" spans="1:8" hidden="1" x14ac:dyDescent="0.25">
      <c r="A5115" s="43">
        <v>777</v>
      </c>
      <c r="B5115" s="43" t="s">
        <v>232</v>
      </c>
      <c r="C5115" s="43" t="s">
        <v>917</v>
      </c>
      <c r="D5115" s="43" t="s">
        <v>941</v>
      </c>
      <c r="E5115" s="43" t="s">
        <v>942</v>
      </c>
      <c r="F5115" s="43">
        <v>1</v>
      </c>
      <c r="G5115"/>
      <c r="H5115"/>
    </row>
    <row r="5116" spans="1:8" hidden="1" x14ac:dyDescent="0.25">
      <c r="A5116" s="43">
        <v>777</v>
      </c>
      <c r="B5116" s="43" t="s">
        <v>232</v>
      </c>
      <c r="C5116" s="43" t="s">
        <v>917</v>
      </c>
      <c r="D5116" s="43" t="s">
        <v>943</v>
      </c>
      <c r="E5116" s="43" t="s">
        <v>944</v>
      </c>
      <c r="F5116" s="43">
        <v>0</v>
      </c>
      <c r="G5116" s="43" t="s">
        <v>4735</v>
      </c>
      <c r="H5116" s="43" t="s">
        <v>4761</v>
      </c>
    </row>
    <row r="5117" spans="1:8" hidden="1" x14ac:dyDescent="0.25">
      <c r="A5117" s="43">
        <v>777</v>
      </c>
      <c r="B5117" s="43" t="s">
        <v>232</v>
      </c>
      <c r="C5117" s="43" t="s">
        <v>917</v>
      </c>
      <c r="D5117" s="43" t="s">
        <v>945</v>
      </c>
      <c r="E5117" s="43" t="s">
        <v>368</v>
      </c>
      <c r="F5117" s="43">
        <v>1</v>
      </c>
      <c r="G5117"/>
      <c r="H5117"/>
    </row>
    <row r="5118" spans="1:8" hidden="1" x14ac:dyDescent="0.25">
      <c r="A5118" s="43">
        <v>777</v>
      </c>
      <c r="B5118" s="43" t="s">
        <v>232</v>
      </c>
      <c r="C5118" s="43" t="s">
        <v>917</v>
      </c>
      <c r="D5118" s="43" t="s">
        <v>946</v>
      </c>
      <c r="E5118" s="43" t="s">
        <v>370</v>
      </c>
      <c r="F5118" s="43">
        <v>1</v>
      </c>
      <c r="G5118"/>
      <c r="H5118"/>
    </row>
    <row r="5119" spans="1:8" hidden="1" x14ac:dyDescent="0.25">
      <c r="A5119" s="43">
        <v>777</v>
      </c>
      <c r="B5119" s="43" t="s">
        <v>232</v>
      </c>
      <c r="C5119" s="43" t="s">
        <v>917</v>
      </c>
      <c r="D5119" s="43" t="s">
        <v>947</v>
      </c>
      <c r="E5119" s="43" t="s">
        <v>948</v>
      </c>
      <c r="F5119" s="43">
        <v>1</v>
      </c>
      <c r="G5119"/>
      <c r="H5119"/>
    </row>
    <row r="5120" spans="1:8" hidden="1" x14ac:dyDescent="0.25">
      <c r="A5120" s="43">
        <v>777</v>
      </c>
      <c r="B5120" s="43" t="s">
        <v>232</v>
      </c>
      <c r="C5120" s="43" t="s">
        <v>917</v>
      </c>
      <c r="D5120" s="43" t="s">
        <v>949</v>
      </c>
      <c r="E5120" s="43" t="s">
        <v>950</v>
      </c>
      <c r="F5120" s="43">
        <v>1</v>
      </c>
      <c r="G5120"/>
      <c r="H5120"/>
    </row>
    <row r="5121" spans="1:8" hidden="1" x14ac:dyDescent="0.25">
      <c r="A5121" s="43">
        <v>777</v>
      </c>
      <c r="B5121" s="43" t="s">
        <v>232</v>
      </c>
      <c r="C5121" s="43" t="s">
        <v>917</v>
      </c>
      <c r="D5121" s="43" t="s">
        <v>951</v>
      </c>
      <c r="E5121" s="43" t="s">
        <v>952</v>
      </c>
      <c r="F5121" s="43">
        <v>0</v>
      </c>
      <c r="G5121" s="43" t="s">
        <v>4736</v>
      </c>
      <c r="H5121" s="43" t="s">
        <v>4760</v>
      </c>
    </row>
    <row r="5122" spans="1:8" hidden="1" x14ac:dyDescent="0.25">
      <c r="A5122" s="43">
        <v>777</v>
      </c>
      <c r="B5122" s="43" t="s">
        <v>232</v>
      </c>
      <c r="C5122" s="43" t="s">
        <v>917</v>
      </c>
      <c r="D5122" s="43" t="s">
        <v>953</v>
      </c>
      <c r="E5122" s="43" t="s">
        <v>954</v>
      </c>
      <c r="F5122" s="43">
        <v>1</v>
      </c>
      <c r="G5122"/>
      <c r="H5122"/>
    </row>
    <row r="5123" spans="1:8" hidden="1" x14ac:dyDescent="0.25">
      <c r="A5123" s="43">
        <v>777</v>
      </c>
      <c r="B5123" s="43" t="s">
        <v>232</v>
      </c>
      <c r="C5123" s="43" t="s">
        <v>917</v>
      </c>
      <c r="D5123" s="43" t="s">
        <v>955</v>
      </c>
      <c r="E5123" s="43" t="s">
        <v>956</v>
      </c>
      <c r="F5123" s="43">
        <v>1</v>
      </c>
      <c r="G5123"/>
      <c r="H5123"/>
    </row>
    <row r="5124" spans="1:8" hidden="1" x14ac:dyDescent="0.25">
      <c r="A5124" s="43">
        <v>779</v>
      </c>
      <c r="B5124" s="43" t="s">
        <v>233</v>
      </c>
      <c r="C5124" s="43" t="s">
        <v>1155</v>
      </c>
      <c r="D5124" s="43" t="s">
        <v>1156</v>
      </c>
      <c r="E5124" s="43" t="s">
        <v>273</v>
      </c>
      <c r="F5124" s="43">
        <v>1</v>
      </c>
      <c r="G5124"/>
      <c r="H5124"/>
    </row>
    <row r="5125" spans="1:8" hidden="1" x14ac:dyDescent="0.25">
      <c r="A5125" s="43">
        <v>779</v>
      </c>
      <c r="B5125" s="43" t="s">
        <v>233</v>
      </c>
      <c r="C5125" s="43" t="s">
        <v>1155</v>
      </c>
      <c r="D5125" s="43" t="s">
        <v>1157</v>
      </c>
      <c r="E5125" s="43" t="s">
        <v>844</v>
      </c>
      <c r="F5125" s="43">
        <v>1</v>
      </c>
      <c r="G5125"/>
      <c r="H5125"/>
    </row>
    <row r="5126" spans="1:8" hidden="1" x14ac:dyDescent="0.25">
      <c r="A5126" s="43">
        <v>779</v>
      </c>
      <c r="B5126" s="43" t="s">
        <v>233</v>
      </c>
      <c r="C5126" s="43" t="s">
        <v>1155</v>
      </c>
      <c r="D5126" s="43" t="s">
        <v>1158</v>
      </c>
      <c r="E5126" s="43" t="s">
        <v>1159</v>
      </c>
      <c r="F5126" s="43">
        <v>0</v>
      </c>
      <c r="G5126" s="43" t="s">
        <v>4624</v>
      </c>
      <c r="H5126" s="43" t="s">
        <v>4761</v>
      </c>
    </row>
    <row r="5127" spans="1:8" hidden="1" x14ac:dyDescent="0.25">
      <c r="A5127" s="43">
        <v>779</v>
      </c>
      <c r="B5127" s="43" t="s">
        <v>233</v>
      </c>
      <c r="C5127" s="43" t="s">
        <v>1155</v>
      </c>
      <c r="D5127" s="43" t="s">
        <v>1160</v>
      </c>
      <c r="E5127" s="43" t="s">
        <v>1161</v>
      </c>
      <c r="F5127" s="43">
        <v>0</v>
      </c>
      <c r="G5127" s="43" t="s">
        <v>4624</v>
      </c>
      <c r="H5127" s="43" t="s">
        <v>4761</v>
      </c>
    </row>
    <row r="5128" spans="1:8" hidden="1" x14ac:dyDescent="0.25">
      <c r="A5128" s="43">
        <v>779</v>
      </c>
      <c r="B5128" s="43" t="s">
        <v>233</v>
      </c>
      <c r="C5128" s="43" t="s">
        <v>1155</v>
      </c>
      <c r="D5128" s="43" t="s">
        <v>1162</v>
      </c>
      <c r="E5128" s="43" t="s">
        <v>1163</v>
      </c>
      <c r="F5128" s="43">
        <v>0</v>
      </c>
      <c r="G5128" s="43" t="s">
        <v>4624</v>
      </c>
      <c r="H5128" s="43" t="s">
        <v>4761</v>
      </c>
    </row>
    <row r="5129" spans="1:8" hidden="1" x14ac:dyDescent="0.25">
      <c r="A5129" s="43">
        <v>779</v>
      </c>
      <c r="B5129" s="43" t="s">
        <v>233</v>
      </c>
      <c r="C5129" s="43" t="s">
        <v>1155</v>
      </c>
      <c r="D5129" s="43" t="s">
        <v>1164</v>
      </c>
      <c r="E5129" s="43" t="s">
        <v>1165</v>
      </c>
      <c r="F5129" s="43">
        <v>0</v>
      </c>
      <c r="G5129" s="43" t="s">
        <v>4624</v>
      </c>
      <c r="H5129" s="43" t="s">
        <v>4761</v>
      </c>
    </row>
    <row r="5130" spans="1:8" hidden="1" x14ac:dyDescent="0.25">
      <c r="A5130" s="43">
        <v>779</v>
      </c>
      <c r="B5130" s="43" t="s">
        <v>233</v>
      </c>
      <c r="C5130" s="43" t="s">
        <v>1155</v>
      </c>
      <c r="D5130" s="43" t="s">
        <v>1166</v>
      </c>
      <c r="E5130" s="43" t="s">
        <v>295</v>
      </c>
      <c r="F5130" s="43">
        <v>0</v>
      </c>
      <c r="G5130" s="43" t="s">
        <v>4624</v>
      </c>
      <c r="H5130" s="43" t="s">
        <v>4761</v>
      </c>
    </row>
    <row r="5131" spans="1:8" hidden="1" x14ac:dyDescent="0.25">
      <c r="A5131" s="43">
        <v>779</v>
      </c>
      <c r="B5131" s="43" t="s">
        <v>233</v>
      </c>
      <c r="C5131" s="43" t="s">
        <v>1155</v>
      </c>
      <c r="D5131" s="43" t="s">
        <v>1167</v>
      </c>
      <c r="E5131" s="43" t="s">
        <v>1168</v>
      </c>
      <c r="F5131" s="43">
        <v>1</v>
      </c>
      <c r="G5131"/>
      <c r="H5131"/>
    </row>
    <row r="5132" spans="1:8" hidden="1" x14ac:dyDescent="0.25">
      <c r="A5132" s="43">
        <v>780</v>
      </c>
      <c r="B5132" s="43" t="s">
        <v>234</v>
      </c>
      <c r="C5132" s="43" t="s">
        <v>506</v>
      </c>
      <c r="D5132" s="43" t="s">
        <v>507</v>
      </c>
      <c r="E5132" s="43" t="s">
        <v>508</v>
      </c>
      <c r="F5132" s="43">
        <v>1</v>
      </c>
      <c r="G5132"/>
      <c r="H5132"/>
    </row>
    <row r="5133" spans="1:8" hidden="1" x14ac:dyDescent="0.25">
      <c r="A5133" s="43">
        <v>780</v>
      </c>
      <c r="B5133" s="43" t="s">
        <v>234</v>
      </c>
      <c r="C5133" s="43" t="s">
        <v>506</v>
      </c>
      <c r="D5133" s="43" t="s">
        <v>509</v>
      </c>
      <c r="E5133" s="43" t="s">
        <v>510</v>
      </c>
      <c r="F5133" s="89">
        <v>1</v>
      </c>
      <c r="H5133"/>
    </row>
    <row r="5134" spans="1:8" hidden="1" x14ac:dyDescent="0.25">
      <c r="A5134" s="43">
        <v>780</v>
      </c>
      <c r="B5134" s="43" t="s">
        <v>234</v>
      </c>
      <c r="C5134" s="43" t="s">
        <v>506</v>
      </c>
      <c r="D5134" s="43" t="s">
        <v>511</v>
      </c>
      <c r="E5134" s="43" t="s">
        <v>512</v>
      </c>
      <c r="F5134" s="89">
        <v>1</v>
      </c>
      <c r="H5134"/>
    </row>
    <row r="5135" spans="1:8" hidden="1" x14ac:dyDescent="0.25">
      <c r="A5135" s="43">
        <v>780</v>
      </c>
      <c r="B5135" s="43" t="s">
        <v>234</v>
      </c>
      <c r="C5135" s="43" t="s">
        <v>506</v>
      </c>
      <c r="D5135" s="43" t="s">
        <v>513</v>
      </c>
      <c r="E5135" s="43" t="s">
        <v>514</v>
      </c>
      <c r="F5135" s="43">
        <v>0</v>
      </c>
      <c r="G5135" s="43" t="s">
        <v>4583</v>
      </c>
      <c r="H5135"/>
    </row>
    <row r="5136" spans="1:8" hidden="1" x14ac:dyDescent="0.25">
      <c r="A5136" s="43">
        <v>780</v>
      </c>
      <c r="B5136" s="43" t="s">
        <v>234</v>
      </c>
      <c r="C5136" s="43" t="s">
        <v>506</v>
      </c>
      <c r="D5136" s="43" t="s">
        <v>515</v>
      </c>
      <c r="E5136" s="43" t="s">
        <v>516</v>
      </c>
      <c r="F5136" s="43">
        <v>0</v>
      </c>
      <c r="G5136" s="43" t="s">
        <v>4583</v>
      </c>
      <c r="H5136"/>
    </row>
    <row r="5137" spans="1:8" hidden="1" x14ac:dyDescent="0.25">
      <c r="A5137" s="43">
        <v>780</v>
      </c>
      <c r="B5137" s="43" t="s">
        <v>234</v>
      </c>
      <c r="C5137" s="43" t="s">
        <v>506</v>
      </c>
      <c r="D5137" s="43" t="s">
        <v>517</v>
      </c>
      <c r="E5137" s="43" t="s">
        <v>518</v>
      </c>
      <c r="F5137" s="43">
        <v>0</v>
      </c>
      <c r="G5137" s="43" t="s">
        <v>4583</v>
      </c>
      <c r="H5137"/>
    </row>
    <row r="5138" spans="1:8" hidden="1" x14ac:dyDescent="0.25">
      <c r="A5138" s="43">
        <v>780</v>
      </c>
      <c r="B5138" s="43" t="s">
        <v>234</v>
      </c>
      <c r="C5138" s="43" t="s">
        <v>506</v>
      </c>
      <c r="D5138" s="43" t="s">
        <v>519</v>
      </c>
      <c r="E5138" s="43" t="s">
        <v>520</v>
      </c>
      <c r="F5138" s="43">
        <v>0</v>
      </c>
      <c r="G5138" s="43" t="s">
        <v>4737</v>
      </c>
      <c r="H5138" s="43" t="s">
        <v>4765</v>
      </c>
    </row>
    <row r="5139" spans="1:8" hidden="1" x14ac:dyDescent="0.25">
      <c r="A5139" s="43">
        <v>780</v>
      </c>
      <c r="B5139" s="43" t="s">
        <v>234</v>
      </c>
      <c r="C5139" s="43" t="s">
        <v>506</v>
      </c>
      <c r="D5139" s="43" t="s">
        <v>521</v>
      </c>
      <c r="E5139" s="43" t="s">
        <v>522</v>
      </c>
      <c r="F5139" s="43">
        <v>0</v>
      </c>
      <c r="G5139" s="43" t="s">
        <v>4737</v>
      </c>
      <c r="H5139" s="43" t="s">
        <v>4765</v>
      </c>
    </row>
    <row r="5140" spans="1:8" hidden="1" x14ac:dyDescent="0.25">
      <c r="A5140" s="43">
        <v>780</v>
      </c>
      <c r="B5140" s="43" t="s">
        <v>234</v>
      </c>
      <c r="C5140" s="43" t="s">
        <v>506</v>
      </c>
      <c r="D5140" s="43" t="s">
        <v>523</v>
      </c>
      <c r="E5140" s="43" t="s">
        <v>4472</v>
      </c>
      <c r="F5140" s="43">
        <v>0</v>
      </c>
      <c r="G5140" s="43" t="s">
        <v>4738</v>
      </c>
      <c r="H5140" s="43" t="s">
        <v>4765</v>
      </c>
    </row>
    <row r="5141" spans="1:8" hidden="1" x14ac:dyDescent="0.25">
      <c r="A5141" s="43">
        <v>780</v>
      </c>
      <c r="B5141" s="43" t="s">
        <v>234</v>
      </c>
      <c r="C5141" s="43" t="s">
        <v>506</v>
      </c>
      <c r="D5141" s="43" t="s">
        <v>525</v>
      </c>
      <c r="E5141" s="43" t="s">
        <v>526</v>
      </c>
      <c r="F5141" s="43">
        <v>0</v>
      </c>
      <c r="G5141" s="43" t="s">
        <v>4738</v>
      </c>
      <c r="H5141" s="43" t="s">
        <v>4765</v>
      </c>
    </row>
    <row r="5142" spans="1:8" hidden="1" x14ac:dyDescent="0.25">
      <c r="A5142" s="43">
        <v>780</v>
      </c>
      <c r="B5142" s="43" t="s">
        <v>234</v>
      </c>
      <c r="C5142" s="43" t="s">
        <v>506</v>
      </c>
      <c r="D5142" s="43" t="s">
        <v>527</v>
      </c>
      <c r="E5142" s="43" t="s">
        <v>283</v>
      </c>
      <c r="F5142" s="43">
        <v>1</v>
      </c>
      <c r="G5142"/>
      <c r="H5142"/>
    </row>
    <row r="5143" spans="1:8" hidden="1" x14ac:dyDescent="0.25">
      <c r="A5143" s="43">
        <v>780</v>
      </c>
      <c r="B5143" s="43" t="s">
        <v>234</v>
      </c>
      <c r="C5143" s="43" t="s">
        <v>506</v>
      </c>
      <c r="D5143" s="43" t="s">
        <v>528</v>
      </c>
      <c r="E5143" s="43" t="s">
        <v>529</v>
      </c>
      <c r="F5143" s="43">
        <v>0</v>
      </c>
      <c r="G5143" s="43" t="s">
        <v>4583</v>
      </c>
      <c r="H5143"/>
    </row>
    <row r="5144" spans="1:8" hidden="1" x14ac:dyDescent="0.25">
      <c r="A5144" s="43">
        <v>780</v>
      </c>
      <c r="B5144" s="43" t="s">
        <v>234</v>
      </c>
      <c r="C5144" s="43" t="s">
        <v>506</v>
      </c>
      <c r="D5144" s="43" t="s">
        <v>530</v>
      </c>
      <c r="E5144" s="43" t="s">
        <v>531</v>
      </c>
      <c r="F5144" s="43">
        <v>1</v>
      </c>
      <c r="G5144"/>
      <c r="H5144"/>
    </row>
    <row r="5145" spans="1:8" hidden="1" x14ac:dyDescent="0.25">
      <c r="A5145" s="43">
        <v>780</v>
      </c>
      <c r="B5145" s="43" t="s">
        <v>234</v>
      </c>
      <c r="C5145" s="43" t="s">
        <v>506</v>
      </c>
      <c r="D5145" s="43" t="s">
        <v>532</v>
      </c>
      <c r="E5145" s="43" t="s">
        <v>533</v>
      </c>
      <c r="F5145" s="43">
        <v>1</v>
      </c>
      <c r="G5145"/>
      <c r="H5145"/>
    </row>
    <row r="5146" spans="1:8" hidden="1" x14ac:dyDescent="0.25">
      <c r="A5146" s="43">
        <v>780</v>
      </c>
      <c r="B5146" s="43" t="s">
        <v>234</v>
      </c>
      <c r="C5146" s="43" t="s">
        <v>506</v>
      </c>
      <c r="D5146" s="43" t="s">
        <v>534</v>
      </c>
      <c r="E5146" s="43" t="s">
        <v>535</v>
      </c>
      <c r="F5146" s="43">
        <v>0</v>
      </c>
      <c r="G5146" s="43" t="s">
        <v>4583</v>
      </c>
      <c r="H5146"/>
    </row>
    <row r="5147" spans="1:8" hidden="1" x14ac:dyDescent="0.25">
      <c r="A5147" s="43">
        <v>780</v>
      </c>
      <c r="B5147" s="43" t="s">
        <v>234</v>
      </c>
      <c r="C5147" s="43" t="s">
        <v>506</v>
      </c>
      <c r="D5147" s="43" t="s">
        <v>536</v>
      </c>
      <c r="E5147" s="43" t="s">
        <v>537</v>
      </c>
      <c r="F5147" s="43">
        <v>1</v>
      </c>
      <c r="G5147"/>
      <c r="H5147"/>
    </row>
    <row r="5148" spans="1:8" hidden="1" x14ac:dyDescent="0.25">
      <c r="A5148" s="43">
        <v>780</v>
      </c>
      <c r="B5148" s="43" t="s">
        <v>234</v>
      </c>
      <c r="C5148" s="43" t="s">
        <v>506</v>
      </c>
      <c r="D5148" s="43" t="s">
        <v>538</v>
      </c>
      <c r="E5148" s="43" t="s">
        <v>539</v>
      </c>
      <c r="F5148" s="43">
        <v>1</v>
      </c>
      <c r="G5148"/>
      <c r="H5148"/>
    </row>
    <row r="5149" spans="1:8" hidden="1" x14ac:dyDescent="0.25">
      <c r="A5149" s="43">
        <v>780</v>
      </c>
      <c r="B5149" s="43" t="s">
        <v>234</v>
      </c>
      <c r="C5149" s="43" t="s">
        <v>506</v>
      </c>
      <c r="D5149" s="43" t="s">
        <v>540</v>
      </c>
      <c r="E5149" s="43" t="s">
        <v>541</v>
      </c>
      <c r="F5149" s="43">
        <v>1</v>
      </c>
      <c r="G5149"/>
      <c r="H5149"/>
    </row>
    <row r="5150" spans="1:8" hidden="1" x14ac:dyDescent="0.25">
      <c r="A5150" s="43">
        <v>780</v>
      </c>
      <c r="B5150" s="43" t="s">
        <v>234</v>
      </c>
      <c r="C5150" s="43" t="s">
        <v>506</v>
      </c>
      <c r="D5150" s="43" t="s">
        <v>542</v>
      </c>
      <c r="E5150" s="43" t="s">
        <v>543</v>
      </c>
      <c r="F5150" s="43">
        <v>1</v>
      </c>
      <c r="G5150"/>
      <c r="H5150"/>
    </row>
    <row r="5151" spans="1:8" hidden="1" x14ac:dyDescent="0.25">
      <c r="A5151" s="43">
        <v>780</v>
      </c>
      <c r="B5151" s="43" t="s">
        <v>234</v>
      </c>
      <c r="C5151" s="43" t="s">
        <v>506</v>
      </c>
      <c r="D5151" s="43" t="s">
        <v>544</v>
      </c>
      <c r="E5151" s="43" t="s">
        <v>545</v>
      </c>
      <c r="F5151" s="43">
        <v>1</v>
      </c>
      <c r="G5151"/>
      <c r="H5151"/>
    </row>
    <row r="5152" spans="1:8" hidden="1" x14ac:dyDescent="0.25">
      <c r="A5152" s="43">
        <v>780</v>
      </c>
      <c r="B5152" s="43" t="s">
        <v>234</v>
      </c>
      <c r="C5152" s="43" t="s">
        <v>506</v>
      </c>
      <c r="D5152" s="43" t="s">
        <v>546</v>
      </c>
      <c r="E5152" s="43" t="s">
        <v>547</v>
      </c>
      <c r="F5152" s="43">
        <v>0</v>
      </c>
      <c r="G5152" s="43" t="s">
        <v>4583</v>
      </c>
      <c r="H5152"/>
    </row>
    <row r="5153" spans="1:8" hidden="1" x14ac:dyDescent="0.25">
      <c r="A5153" s="43">
        <v>780</v>
      </c>
      <c r="B5153" s="43" t="s">
        <v>234</v>
      </c>
      <c r="C5153" s="43" t="s">
        <v>506</v>
      </c>
      <c r="D5153" s="43" t="s">
        <v>548</v>
      </c>
      <c r="E5153" s="43" t="s">
        <v>549</v>
      </c>
      <c r="F5153" s="43">
        <v>1</v>
      </c>
      <c r="G5153"/>
      <c r="H5153"/>
    </row>
    <row r="5154" spans="1:8" hidden="1" x14ac:dyDescent="0.25">
      <c r="A5154" s="43">
        <v>780</v>
      </c>
      <c r="B5154" s="43" t="s">
        <v>234</v>
      </c>
      <c r="C5154" s="43" t="s">
        <v>506</v>
      </c>
      <c r="D5154" s="43" t="s">
        <v>550</v>
      </c>
      <c r="E5154" s="43" t="s">
        <v>551</v>
      </c>
      <c r="F5154" s="43">
        <v>1</v>
      </c>
      <c r="G5154"/>
      <c r="H5154"/>
    </row>
    <row r="5155" spans="1:8" hidden="1" x14ac:dyDescent="0.25">
      <c r="A5155" s="43">
        <v>786</v>
      </c>
      <c r="B5155" s="43" t="s">
        <v>235</v>
      </c>
      <c r="C5155" s="43" t="s">
        <v>4470</v>
      </c>
      <c r="D5155" s="43" t="s">
        <v>1493</v>
      </c>
      <c r="E5155" s="43" t="s">
        <v>1494</v>
      </c>
      <c r="F5155" s="43">
        <v>1</v>
      </c>
      <c r="G5155"/>
      <c r="H5155"/>
    </row>
    <row r="5156" spans="1:8" hidden="1" x14ac:dyDescent="0.25">
      <c r="A5156" s="43">
        <v>786</v>
      </c>
      <c r="B5156" s="43" t="s">
        <v>235</v>
      </c>
      <c r="C5156" s="43" t="s">
        <v>4470</v>
      </c>
      <c r="D5156" s="43" t="s">
        <v>1495</v>
      </c>
      <c r="E5156" s="43" t="s">
        <v>1496</v>
      </c>
      <c r="F5156" s="43">
        <v>1</v>
      </c>
      <c r="G5156"/>
      <c r="H5156"/>
    </row>
    <row r="5157" spans="1:8" hidden="1" x14ac:dyDescent="0.25">
      <c r="A5157" s="43">
        <v>786</v>
      </c>
      <c r="B5157" s="43" t="s">
        <v>235</v>
      </c>
      <c r="C5157" s="43" t="s">
        <v>4470</v>
      </c>
      <c r="D5157" s="43" t="s">
        <v>1497</v>
      </c>
      <c r="E5157" s="43" t="s">
        <v>306</v>
      </c>
      <c r="F5157" s="43">
        <v>0</v>
      </c>
      <c r="G5157" s="43" t="s">
        <v>4583</v>
      </c>
      <c r="H5157"/>
    </row>
    <row r="5158" spans="1:8" hidden="1" x14ac:dyDescent="0.25">
      <c r="A5158" s="43">
        <v>786</v>
      </c>
      <c r="B5158" s="43" t="s">
        <v>235</v>
      </c>
      <c r="C5158" s="43" t="s">
        <v>4470</v>
      </c>
      <c r="D5158" s="43" t="s">
        <v>1498</v>
      </c>
      <c r="E5158" s="43" t="s">
        <v>1499</v>
      </c>
      <c r="F5158" s="43">
        <v>1</v>
      </c>
      <c r="G5158"/>
      <c r="H5158"/>
    </row>
    <row r="5159" spans="1:8" hidden="1" x14ac:dyDescent="0.25">
      <c r="A5159" s="43">
        <v>786</v>
      </c>
      <c r="B5159" s="43" t="s">
        <v>235</v>
      </c>
      <c r="C5159" s="43" t="s">
        <v>4470</v>
      </c>
      <c r="D5159" s="43" t="s">
        <v>1500</v>
      </c>
      <c r="E5159" s="43" t="s">
        <v>1397</v>
      </c>
      <c r="F5159" s="43">
        <v>0</v>
      </c>
      <c r="G5159" s="43" t="s">
        <v>4583</v>
      </c>
      <c r="H5159"/>
    </row>
    <row r="5160" spans="1:8" hidden="1" x14ac:dyDescent="0.25">
      <c r="A5160" s="43">
        <v>786</v>
      </c>
      <c r="B5160" s="43" t="s">
        <v>235</v>
      </c>
      <c r="C5160" s="43" t="s">
        <v>4470</v>
      </c>
      <c r="D5160" s="43" t="s">
        <v>1501</v>
      </c>
      <c r="E5160" s="43" t="s">
        <v>1502</v>
      </c>
      <c r="F5160" s="43">
        <v>1</v>
      </c>
      <c r="G5160"/>
      <c r="H5160"/>
    </row>
    <row r="5161" spans="1:8" hidden="1" x14ac:dyDescent="0.25">
      <c r="A5161" s="43">
        <v>786</v>
      </c>
      <c r="B5161" s="43" t="s">
        <v>235</v>
      </c>
      <c r="C5161" s="43" t="s">
        <v>4470</v>
      </c>
      <c r="D5161" s="43" t="s">
        <v>1503</v>
      </c>
      <c r="E5161" s="43" t="s">
        <v>1504</v>
      </c>
      <c r="F5161" s="43">
        <v>0</v>
      </c>
      <c r="G5161" s="43" t="s">
        <v>4583</v>
      </c>
      <c r="H5161"/>
    </row>
    <row r="5162" spans="1:8" hidden="1" x14ac:dyDescent="0.25">
      <c r="A5162" s="43">
        <v>786</v>
      </c>
      <c r="B5162" s="43" t="s">
        <v>235</v>
      </c>
      <c r="C5162" s="43" t="s">
        <v>4470</v>
      </c>
      <c r="D5162" s="43" t="s">
        <v>1505</v>
      </c>
      <c r="E5162" s="43" t="s">
        <v>1506</v>
      </c>
      <c r="F5162" s="43">
        <v>0</v>
      </c>
      <c r="G5162" s="43" t="s">
        <v>4583</v>
      </c>
      <c r="H5162"/>
    </row>
    <row r="5163" spans="1:8" hidden="1" x14ac:dyDescent="0.25">
      <c r="A5163" s="43">
        <v>786</v>
      </c>
      <c r="B5163" s="43" t="s">
        <v>235</v>
      </c>
      <c r="C5163" s="43" t="s">
        <v>4470</v>
      </c>
      <c r="D5163" s="43" t="s">
        <v>1507</v>
      </c>
      <c r="E5163" s="43" t="s">
        <v>611</v>
      </c>
      <c r="F5163" s="43">
        <v>0</v>
      </c>
      <c r="G5163" s="43" t="s">
        <v>4583</v>
      </c>
      <c r="H5163"/>
    </row>
    <row r="5164" spans="1:8" hidden="1" x14ac:dyDescent="0.25">
      <c r="A5164" s="43">
        <v>786</v>
      </c>
      <c r="B5164" s="43" t="s">
        <v>235</v>
      </c>
      <c r="C5164" s="43" t="s">
        <v>4470</v>
      </c>
      <c r="D5164" s="43" t="s">
        <v>1508</v>
      </c>
      <c r="E5164" s="43" t="s">
        <v>1509</v>
      </c>
      <c r="F5164" s="43">
        <v>1</v>
      </c>
      <c r="G5164"/>
      <c r="H5164"/>
    </row>
    <row r="5165" spans="1:8" hidden="1" x14ac:dyDescent="0.25">
      <c r="A5165" s="43">
        <v>786</v>
      </c>
      <c r="B5165" s="43" t="s">
        <v>235</v>
      </c>
      <c r="C5165" s="43" t="s">
        <v>4470</v>
      </c>
      <c r="D5165" s="43" t="s">
        <v>1510</v>
      </c>
      <c r="E5165" s="43" t="s">
        <v>613</v>
      </c>
      <c r="F5165" s="43">
        <v>0</v>
      </c>
      <c r="G5165" s="43" t="s">
        <v>4583</v>
      </c>
      <c r="H5165"/>
    </row>
    <row r="5166" spans="1:8" hidden="1" x14ac:dyDescent="0.25">
      <c r="A5166" s="43">
        <v>786</v>
      </c>
      <c r="B5166" s="43" t="s">
        <v>235</v>
      </c>
      <c r="C5166" s="43" t="s">
        <v>4470</v>
      </c>
      <c r="D5166" s="43" t="s">
        <v>1511</v>
      </c>
      <c r="E5166" s="43" t="s">
        <v>1419</v>
      </c>
      <c r="F5166" s="43">
        <v>0</v>
      </c>
      <c r="G5166" s="43" t="s">
        <v>4583</v>
      </c>
      <c r="H5166"/>
    </row>
    <row r="5167" spans="1:8" hidden="1" x14ac:dyDescent="0.25">
      <c r="A5167" s="43">
        <v>786</v>
      </c>
      <c r="B5167" s="43" t="s">
        <v>235</v>
      </c>
      <c r="C5167" s="43" t="s">
        <v>4470</v>
      </c>
      <c r="D5167" s="43" t="s">
        <v>1512</v>
      </c>
      <c r="E5167" s="43" t="s">
        <v>621</v>
      </c>
      <c r="F5167" s="43">
        <v>0</v>
      </c>
      <c r="G5167" s="43" t="s">
        <v>4583</v>
      </c>
      <c r="H5167"/>
    </row>
    <row r="5168" spans="1:8" hidden="1" x14ac:dyDescent="0.25">
      <c r="A5168" s="43">
        <v>786</v>
      </c>
      <c r="B5168" s="43" t="s">
        <v>235</v>
      </c>
      <c r="C5168" s="43" t="s">
        <v>4470</v>
      </c>
      <c r="D5168" s="43" t="s">
        <v>1513</v>
      </c>
      <c r="E5168" s="43" t="s">
        <v>1422</v>
      </c>
      <c r="F5168" s="43">
        <v>0</v>
      </c>
      <c r="G5168" s="43" t="s">
        <v>4583</v>
      </c>
      <c r="H5168"/>
    </row>
    <row r="5169" spans="1:8" hidden="1" x14ac:dyDescent="0.25">
      <c r="A5169" s="43">
        <v>786</v>
      </c>
      <c r="B5169" s="43" t="s">
        <v>235</v>
      </c>
      <c r="C5169" s="43" t="s">
        <v>4470</v>
      </c>
      <c r="D5169" s="43" t="s">
        <v>1514</v>
      </c>
      <c r="E5169" s="43" t="s">
        <v>614</v>
      </c>
      <c r="F5169" s="43">
        <v>0</v>
      </c>
      <c r="G5169" s="43" t="s">
        <v>4583</v>
      </c>
      <c r="H5169"/>
    </row>
    <row r="5170" spans="1:8" hidden="1" x14ac:dyDescent="0.25">
      <c r="A5170" s="43">
        <v>786</v>
      </c>
      <c r="B5170" s="43" t="s">
        <v>235</v>
      </c>
      <c r="C5170" s="43" t="s">
        <v>4470</v>
      </c>
      <c r="D5170" s="43" t="s">
        <v>1515</v>
      </c>
      <c r="E5170" s="43" t="s">
        <v>615</v>
      </c>
      <c r="F5170" s="43">
        <v>0</v>
      </c>
      <c r="G5170" s="43" t="s">
        <v>4583</v>
      </c>
      <c r="H5170"/>
    </row>
    <row r="5171" spans="1:8" hidden="1" x14ac:dyDescent="0.25">
      <c r="A5171" s="43">
        <v>786</v>
      </c>
      <c r="B5171" s="43" t="s">
        <v>235</v>
      </c>
      <c r="C5171" s="43" t="s">
        <v>4470</v>
      </c>
      <c r="D5171" s="43" t="s">
        <v>1516</v>
      </c>
      <c r="E5171" s="43" t="s">
        <v>1517</v>
      </c>
      <c r="F5171" s="43">
        <v>1</v>
      </c>
      <c r="G5171"/>
      <c r="H5171"/>
    </row>
    <row r="5172" spans="1:8" hidden="1" x14ac:dyDescent="0.25">
      <c r="A5172" s="43">
        <v>786</v>
      </c>
      <c r="B5172" s="43" t="s">
        <v>235</v>
      </c>
      <c r="C5172" s="43" t="s">
        <v>4470</v>
      </c>
      <c r="D5172" s="43" t="s">
        <v>1518</v>
      </c>
      <c r="E5172" s="43" t="s">
        <v>1519</v>
      </c>
      <c r="F5172" s="43">
        <v>1</v>
      </c>
      <c r="G5172"/>
      <c r="H5172"/>
    </row>
    <row r="5173" spans="1:8" hidden="1" x14ac:dyDescent="0.25">
      <c r="A5173" s="43">
        <v>786</v>
      </c>
      <c r="B5173" s="43" t="s">
        <v>235</v>
      </c>
      <c r="C5173" s="43" t="s">
        <v>4470</v>
      </c>
      <c r="D5173" s="43" t="s">
        <v>1520</v>
      </c>
      <c r="E5173" s="43" t="s">
        <v>1521</v>
      </c>
      <c r="F5173" s="43">
        <v>0</v>
      </c>
      <c r="G5173" s="43" t="s">
        <v>4583</v>
      </c>
      <c r="H5173"/>
    </row>
    <row r="5174" spans="1:8" hidden="1" x14ac:dyDescent="0.25">
      <c r="A5174" s="43">
        <v>786</v>
      </c>
      <c r="B5174" s="43" t="s">
        <v>235</v>
      </c>
      <c r="C5174" s="43" t="s">
        <v>4470</v>
      </c>
      <c r="D5174" s="43" t="s">
        <v>1522</v>
      </c>
      <c r="E5174" s="43" t="s">
        <v>1523</v>
      </c>
      <c r="F5174" s="43">
        <v>0</v>
      </c>
      <c r="G5174" s="43" t="s">
        <v>4583</v>
      </c>
      <c r="H5174"/>
    </row>
    <row r="5175" spans="1:8" hidden="1" x14ac:dyDescent="0.25">
      <c r="A5175" s="43">
        <v>786</v>
      </c>
      <c r="B5175" s="43" t="s">
        <v>235</v>
      </c>
      <c r="C5175" s="43" t="s">
        <v>4470</v>
      </c>
      <c r="D5175" s="43" t="s">
        <v>1524</v>
      </c>
      <c r="E5175" s="43" t="s">
        <v>1525</v>
      </c>
      <c r="F5175" s="43">
        <v>0</v>
      </c>
      <c r="G5175" s="43" t="s">
        <v>4583</v>
      </c>
      <c r="H5175"/>
    </row>
    <row r="5176" spans="1:8" hidden="1" x14ac:dyDescent="0.25">
      <c r="A5176" s="43">
        <v>786</v>
      </c>
      <c r="B5176" s="43" t="s">
        <v>235</v>
      </c>
      <c r="C5176" s="43" t="s">
        <v>4470</v>
      </c>
      <c r="D5176" s="43" t="s">
        <v>1526</v>
      </c>
      <c r="E5176" s="43" t="s">
        <v>1527</v>
      </c>
      <c r="F5176" s="43">
        <v>1</v>
      </c>
      <c r="G5176"/>
      <c r="H5176"/>
    </row>
    <row r="5177" spans="1:8" hidden="1" x14ac:dyDescent="0.25">
      <c r="A5177" s="43">
        <v>786</v>
      </c>
      <c r="B5177" s="43" t="s">
        <v>235</v>
      </c>
      <c r="C5177" s="43" t="s">
        <v>4470</v>
      </c>
      <c r="D5177" s="43" t="s">
        <v>1528</v>
      </c>
      <c r="E5177" s="43" t="s">
        <v>4471</v>
      </c>
      <c r="F5177" s="43">
        <v>1</v>
      </c>
      <c r="G5177"/>
      <c r="H5177"/>
    </row>
    <row r="5178" spans="1:8" hidden="1" x14ac:dyDescent="0.25">
      <c r="A5178" s="43">
        <v>786</v>
      </c>
      <c r="B5178" s="43" t="s">
        <v>235</v>
      </c>
      <c r="C5178" s="43" t="s">
        <v>4470</v>
      </c>
      <c r="D5178" s="43" t="s">
        <v>1530</v>
      </c>
      <c r="E5178" s="43" t="s">
        <v>1430</v>
      </c>
      <c r="F5178" s="43">
        <v>1</v>
      </c>
      <c r="G5178"/>
      <c r="H5178"/>
    </row>
    <row r="5179" spans="1:8" hidden="1" x14ac:dyDescent="0.25">
      <c r="A5179" s="43">
        <v>786</v>
      </c>
      <c r="B5179" s="43" t="s">
        <v>235</v>
      </c>
      <c r="C5179" s="43" t="s">
        <v>4470</v>
      </c>
      <c r="D5179" s="43" t="s">
        <v>1531</v>
      </c>
      <c r="E5179" s="43" t="s">
        <v>503</v>
      </c>
      <c r="F5179" s="43">
        <v>1</v>
      </c>
      <c r="G5179"/>
      <c r="H5179"/>
    </row>
    <row r="5180" spans="1:8" hidden="1" x14ac:dyDescent="0.25">
      <c r="A5180" s="43">
        <v>786</v>
      </c>
      <c r="B5180" s="43" t="s">
        <v>235</v>
      </c>
      <c r="C5180" s="43" t="s">
        <v>4470</v>
      </c>
      <c r="D5180" s="43" t="s">
        <v>1532</v>
      </c>
      <c r="E5180" s="43" t="s">
        <v>1533</v>
      </c>
      <c r="F5180" s="43">
        <v>1</v>
      </c>
      <c r="G5180"/>
      <c r="H5180"/>
    </row>
    <row r="5181" spans="1:8" hidden="1" x14ac:dyDescent="0.25">
      <c r="A5181" s="43">
        <v>786</v>
      </c>
      <c r="B5181" s="43" t="s">
        <v>235</v>
      </c>
      <c r="C5181" s="43" t="s">
        <v>4470</v>
      </c>
      <c r="D5181" s="43" t="s">
        <v>1534</v>
      </c>
      <c r="E5181" s="43" t="s">
        <v>1535</v>
      </c>
      <c r="F5181" s="43">
        <v>1</v>
      </c>
      <c r="G5181"/>
      <c r="H5181"/>
    </row>
    <row r="5182" spans="1:8" hidden="1" x14ac:dyDescent="0.25">
      <c r="A5182" s="43">
        <v>787</v>
      </c>
      <c r="B5182" s="43" t="s">
        <v>236</v>
      </c>
      <c r="C5182" s="43" t="s">
        <v>1259</v>
      </c>
      <c r="D5182" s="43" t="s">
        <v>1260</v>
      </c>
      <c r="E5182" s="43" t="s">
        <v>273</v>
      </c>
      <c r="F5182" s="43">
        <v>1</v>
      </c>
      <c r="G5182"/>
      <c r="H5182"/>
    </row>
    <row r="5183" spans="1:8" hidden="1" x14ac:dyDescent="0.25">
      <c r="A5183" s="43">
        <v>787</v>
      </c>
      <c r="B5183" s="43" t="s">
        <v>236</v>
      </c>
      <c r="C5183" s="43" t="s">
        <v>1259</v>
      </c>
      <c r="D5183" s="43" t="s">
        <v>1261</v>
      </c>
      <c r="E5183" s="43" t="s">
        <v>1262</v>
      </c>
      <c r="F5183" s="43">
        <v>0</v>
      </c>
      <c r="G5183" s="43" t="s">
        <v>4583</v>
      </c>
      <c r="H5183"/>
    </row>
    <row r="5184" spans="1:8" hidden="1" x14ac:dyDescent="0.25">
      <c r="A5184" s="43">
        <v>787</v>
      </c>
      <c r="B5184" s="43" t="s">
        <v>236</v>
      </c>
      <c r="C5184" s="43" t="s">
        <v>1259</v>
      </c>
      <c r="D5184" s="43" t="s">
        <v>1263</v>
      </c>
      <c r="E5184" s="43" t="s">
        <v>1264</v>
      </c>
      <c r="F5184" s="43">
        <v>0</v>
      </c>
      <c r="G5184" s="43" t="s">
        <v>4583</v>
      </c>
      <c r="H5184"/>
    </row>
    <row r="5185" spans="1:8" hidden="1" x14ac:dyDescent="0.25">
      <c r="A5185" s="43">
        <v>787</v>
      </c>
      <c r="B5185" s="43" t="s">
        <v>236</v>
      </c>
      <c r="C5185" s="43" t="s">
        <v>1259</v>
      </c>
      <c r="D5185" s="43" t="s">
        <v>1265</v>
      </c>
      <c r="E5185" s="43" t="s">
        <v>1266</v>
      </c>
      <c r="F5185" s="43">
        <v>0</v>
      </c>
      <c r="G5185" s="43" t="s">
        <v>4583</v>
      </c>
      <c r="H5185"/>
    </row>
    <row r="5186" spans="1:8" hidden="1" x14ac:dyDescent="0.25">
      <c r="A5186" s="43">
        <v>797</v>
      </c>
      <c r="B5186" s="43" t="s">
        <v>237</v>
      </c>
      <c r="C5186" s="43" t="s">
        <v>1354</v>
      </c>
      <c r="D5186" s="43" t="s">
        <v>1355</v>
      </c>
      <c r="E5186" s="43" t="s">
        <v>270</v>
      </c>
      <c r="F5186" s="43">
        <v>1</v>
      </c>
      <c r="G5186"/>
      <c r="H5186"/>
    </row>
    <row r="5187" spans="1:8" hidden="1" x14ac:dyDescent="0.25">
      <c r="A5187" s="43">
        <v>797</v>
      </c>
      <c r="B5187" s="43" t="s">
        <v>237</v>
      </c>
      <c r="C5187" s="43" t="s">
        <v>1354</v>
      </c>
      <c r="D5187" s="43" t="s">
        <v>1356</v>
      </c>
      <c r="E5187" s="43" t="s">
        <v>1357</v>
      </c>
      <c r="F5187" s="43">
        <v>1</v>
      </c>
      <c r="G5187"/>
      <c r="H5187"/>
    </row>
    <row r="5188" spans="1:8" hidden="1" x14ac:dyDescent="0.25">
      <c r="A5188" s="43">
        <v>797</v>
      </c>
      <c r="B5188" s="43" t="s">
        <v>237</v>
      </c>
      <c r="C5188" s="43" t="s">
        <v>1354</v>
      </c>
      <c r="D5188" s="43" t="s">
        <v>1358</v>
      </c>
      <c r="E5188" s="43" t="s">
        <v>1359</v>
      </c>
      <c r="F5188" s="43">
        <v>0</v>
      </c>
      <c r="G5188" s="43" t="s">
        <v>4583</v>
      </c>
      <c r="H5188"/>
    </row>
    <row r="5189" spans="1:8" hidden="1" x14ac:dyDescent="0.25">
      <c r="A5189" s="43">
        <v>797</v>
      </c>
      <c r="B5189" s="43" t="s">
        <v>237</v>
      </c>
      <c r="C5189" s="43" t="s">
        <v>1354</v>
      </c>
      <c r="D5189" s="43" t="s">
        <v>1360</v>
      </c>
      <c r="E5189" s="43" t="s">
        <v>1361</v>
      </c>
      <c r="F5189" s="43">
        <v>0</v>
      </c>
      <c r="G5189" s="43" t="s">
        <v>4583</v>
      </c>
      <c r="H5189"/>
    </row>
    <row r="5190" spans="1:8" hidden="1" x14ac:dyDescent="0.25">
      <c r="A5190" s="43">
        <v>797</v>
      </c>
      <c r="B5190" s="43" t="s">
        <v>237</v>
      </c>
      <c r="C5190" s="43" t="s">
        <v>1354</v>
      </c>
      <c r="D5190" s="43" t="s">
        <v>1362</v>
      </c>
      <c r="E5190" s="43" t="s">
        <v>1363</v>
      </c>
      <c r="F5190" s="43">
        <v>1</v>
      </c>
      <c r="G5190"/>
      <c r="H5190"/>
    </row>
    <row r="5191" spans="1:8" hidden="1" x14ac:dyDescent="0.25">
      <c r="A5191" s="43">
        <v>797</v>
      </c>
      <c r="B5191" s="43" t="s">
        <v>237</v>
      </c>
      <c r="C5191" s="43" t="s">
        <v>1354</v>
      </c>
      <c r="D5191" s="43" t="s">
        <v>1364</v>
      </c>
      <c r="E5191" s="43" t="s">
        <v>1365</v>
      </c>
      <c r="F5191" s="43">
        <v>1</v>
      </c>
      <c r="G5191"/>
      <c r="H5191"/>
    </row>
    <row r="5192" spans="1:8" hidden="1" x14ac:dyDescent="0.25">
      <c r="A5192" s="43">
        <v>797</v>
      </c>
      <c r="B5192" s="43" t="s">
        <v>237</v>
      </c>
      <c r="C5192" s="43" t="s">
        <v>1198</v>
      </c>
      <c r="D5192" s="43" t="s">
        <v>1199</v>
      </c>
      <c r="E5192" s="43" t="s">
        <v>273</v>
      </c>
      <c r="F5192" s="43">
        <v>0</v>
      </c>
      <c r="G5192" s="43" t="s">
        <v>4583</v>
      </c>
      <c r="H5192"/>
    </row>
    <row r="5193" spans="1:8" hidden="1" x14ac:dyDescent="0.25">
      <c r="A5193" s="43">
        <v>797</v>
      </c>
      <c r="B5193" s="43" t="s">
        <v>237</v>
      </c>
      <c r="C5193" s="43" t="s">
        <v>1198</v>
      </c>
      <c r="D5193" s="43" t="s">
        <v>1200</v>
      </c>
      <c r="E5193" s="43" t="s">
        <v>312</v>
      </c>
      <c r="F5193" s="43">
        <v>0</v>
      </c>
      <c r="G5193" s="43" t="s">
        <v>4583</v>
      </c>
      <c r="H5193"/>
    </row>
    <row r="5194" spans="1:8" hidden="1" x14ac:dyDescent="0.25">
      <c r="A5194" s="43">
        <v>797</v>
      </c>
      <c r="B5194" s="43" t="s">
        <v>237</v>
      </c>
      <c r="C5194" s="43" t="s">
        <v>1198</v>
      </c>
      <c r="D5194" s="43" t="s">
        <v>1201</v>
      </c>
      <c r="E5194" s="43" t="s">
        <v>801</v>
      </c>
      <c r="F5194" s="43">
        <v>0</v>
      </c>
      <c r="G5194" s="43" t="s">
        <v>4583</v>
      </c>
      <c r="H5194"/>
    </row>
    <row r="5195" spans="1:8" hidden="1" x14ac:dyDescent="0.25">
      <c r="A5195" s="43">
        <v>797</v>
      </c>
      <c r="B5195" s="43" t="s">
        <v>237</v>
      </c>
      <c r="C5195" s="43" t="s">
        <v>1198</v>
      </c>
      <c r="D5195" s="43" t="s">
        <v>1202</v>
      </c>
      <c r="E5195" s="43" t="s">
        <v>786</v>
      </c>
      <c r="F5195" s="43">
        <v>1</v>
      </c>
      <c r="G5195"/>
      <c r="H5195"/>
    </row>
    <row r="5196" spans="1:8" hidden="1" x14ac:dyDescent="0.25">
      <c r="A5196" s="43">
        <v>797</v>
      </c>
      <c r="B5196" s="43" t="s">
        <v>237</v>
      </c>
      <c r="C5196" s="43" t="s">
        <v>1198</v>
      </c>
      <c r="D5196" s="43" t="s">
        <v>1203</v>
      </c>
      <c r="E5196" s="43" t="s">
        <v>784</v>
      </c>
      <c r="F5196" s="43">
        <v>0</v>
      </c>
      <c r="G5196" s="43" t="s">
        <v>4583</v>
      </c>
      <c r="H5196"/>
    </row>
    <row r="5197" spans="1:8" hidden="1" x14ac:dyDescent="0.25">
      <c r="A5197" s="43">
        <v>797</v>
      </c>
      <c r="B5197" s="43" t="s">
        <v>237</v>
      </c>
      <c r="C5197" s="43" t="s">
        <v>1198</v>
      </c>
      <c r="D5197" s="43" t="s">
        <v>1204</v>
      </c>
      <c r="E5197" s="43" t="s">
        <v>1205</v>
      </c>
      <c r="F5197" s="43">
        <v>0</v>
      </c>
      <c r="G5197" s="43" t="s">
        <v>4583</v>
      </c>
      <c r="H5197"/>
    </row>
    <row r="5198" spans="1:8" hidden="1" x14ac:dyDescent="0.25">
      <c r="A5198" s="43">
        <v>797</v>
      </c>
      <c r="B5198" s="43" t="s">
        <v>237</v>
      </c>
      <c r="C5198" s="43" t="s">
        <v>1198</v>
      </c>
      <c r="D5198" s="43" t="s">
        <v>1206</v>
      </c>
      <c r="E5198" s="43" t="s">
        <v>1207</v>
      </c>
      <c r="F5198" s="43">
        <v>0</v>
      </c>
      <c r="G5198" s="43" t="s">
        <v>4583</v>
      </c>
      <c r="H5198"/>
    </row>
    <row r="5199" spans="1:8" hidden="1" x14ac:dyDescent="0.25">
      <c r="A5199" s="43">
        <v>797</v>
      </c>
      <c r="B5199" s="43" t="s">
        <v>237</v>
      </c>
      <c r="C5199" s="43" t="s">
        <v>1198</v>
      </c>
      <c r="D5199" s="43" t="s">
        <v>1208</v>
      </c>
      <c r="E5199" s="43" t="s">
        <v>1209</v>
      </c>
      <c r="F5199" s="43">
        <v>0</v>
      </c>
      <c r="G5199" s="43" t="s">
        <v>4583</v>
      </c>
      <c r="H5199"/>
    </row>
    <row r="5200" spans="1:8" hidden="1" x14ac:dyDescent="0.25">
      <c r="A5200" s="43">
        <v>797</v>
      </c>
      <c r="B5200" s="43" t="s">
        <v>237</v>
      </c>
      <c r="C5200" s="43" t="s">
        <v>1198</v>
      </c>
      <c r="D5200" s="43" t="s">
        <v>1210</v>
      </c>
      <c r="E5200" s="43" t="s">
        <v>1211</v>
      </c>
      <c r="F5200" s="43">
        <v>0</v>
      </c>
      <c r="G5200" s="43" t="s">
        <v>4583</v>
      </c>
      <c r="H5200"/>
    </row>
    <row r="5201" spans="1:8" hidden="1" x14ac:dyDescent="0.25">
      <c r="A5201" s="43">
        <v>797</v>
      </c>
      <c r="B5201" s="43" t="s">
        <v>237</v>
      </c>
      <c r="C5201" s="43" t="s">
        <v>1198</v>
      </c>
      <c r="D5201" s="43" t="s">
        <v>1212</v>
      </c>
      <c r="E5201" s="43" t="s">
        <v>789</v>
      </c>
      <c r="F5201" s="43">
        <v>0</v>
      </c>
      <c r="G5201" s="43" t="s">
        <v>4583</v>
      </c>
      <c r="H5201"/>
    </row>
    <row r="5202" spans="1:8" hidden="1" x14ac:dyDescent="0.25">
      <c r="A5202" s="43">
        <v>797</v>
      </c>
      <c r="B5202" s="43" t="s">
        <v>237</v>
      </c>
      <c r="C5202" s="43" t="s">
        <v>1198</v>
      </c>
      <c r="D5202" s="43" t="s">
        <v>1213</v>
      </c>
      <c r="E5202" s="43" t="s">
        <v>1214</v>
      </c>
      <c r="F5202" s="43">
        <v>1</v>
      </c>
      <c r="G5202"/>
      <c r="H5202"/>
    </row>
    <row r="5203" spans="1:8" hidden="1" x14ac:dyDescent="0.25">
      <c r="A5203" s="43">
        <v>797</v>
      </c>
      <c r="B5203" s="43" t="s">
        <v>237</v>
      </c>
      <c r="C5203" s="43" t="s">
        <v>1198</v>
      </c>
      <c r="D5203" s="43" t="s">
        <v>1215</v>
      </c>
      <c r="E5203" s="43" t="s">
        <v>1216</v>
      </c>
      <c r="F5203" s="43">
        <v>0</v>
      </c>
      <c r="G5203" s="43" t="s">
        <v>4583</v>
      </c>
      <c r="H5203"/>
    </row>
    <row r="5204" spans="1:8" hidden="1" x14ac:dyDescent="0.25">
      <c r="A5204" s="43">
        <v>797</v>
      </c>
      <c r="B5204" s="43" t="s">
        <v>237</v>
      </c>
      <c r="C5204" s="43" t="s">
        <v>1198</v>
      </c>
      <c r="D5204" s="43" t="s">
        <v>1217</v>
      </c>
      <c r="E5204" s="43" t="s">
        <v>791</v>
      </c>
      <c r="F5204" s="43">
        <v>0</v>
      </c>
      <c r="G5204" s="43" t="s">
        <v>4583</v>
      </c>
      <c r="H5204"/>
    </row>
    <row r="5205" spans="1:8" hidden="1" x14ac:dyDescent="0.25">
      <c r="A5205" s="43">
        <v>797</v>
      </c>
      <c r="B5205" s="43" t="s">
        <v>237</v>
      </c>
      <c r="C5205" s="43" t="s">
        <v>1198</v>
      </c>
      <c r="D5205" s="43" t="s">
        <v>1218</v>
      </c>
      <c r="E5205" s="43" t="s">
        <v>795</v>
      </c>
      <c r="F5205" s="43">
        <v>1</v>
      </c>
      <c r="G5205"/>
      <c r="H5205"/>
    </row>
    <row r="5206" spans="1:8" hidden="1" x14ac:dyDescent="0.25">
      <c r="A5206" s="43">
        <v>797</v>
      </c>
      <c r="B5206" s="43" t="s">
        <v>237</v>
      </c>
      <c r="C5206" s="43" t="s">
        <v>1198</v>
      </c>
      <c r="D5206" s="43" t="s">
        <v>1219</v>
      </c>
      <c r="E5206" s="43" t="s">
        <v>372</v>
      </c>
      <c r="F5206" s="43">
        <v>1</v>
      </c>
      <c r="G5206"/>
      <c r="H5206"/>
    </row>
    <row r="5207" spans="1:8" hidden="1" x14ac:dyDescent="0.25">
      <c r="A5207" s="43">
        <v>797</v>
      </c>
      <c r="B5207" s="43" t="s">
        <v>237</v>
      </c>
      <c r="C5207" s="43" t="s">
        <v>1832</v>
      </c>
      <c r="D5207" s="43" t="s">
        <v>1833</v>
      </c>
      <c r="E5207" s="43" t="s">
        <v>273</v>
      </c>
      <c r="F5207" s="43">
        <v>1</v>
      </c>
      <c r="G5207"/>
      <c r="H5207"/>
    </row>
    <row r="5208" spans="1:8" hidden="1" x14ac:dyDescent="0.25">
      <c r="A5208" s="43">
        <v>797</v>
      </c>
      <c r="B5208" s="43" t="s">
        <v>237</v>
      </c>
      <c r="C5208" s="43" t="s">
        <v>1832</v>
      </c>
      <c r="D5208" s="43" t="s">
        <v>1834</v>
      </c>
      <c r="E5208" s="43" t="s">
        <v>1835</v>
      </c>
      <c r="F5208" s="43">
        <v>1</v>
      </c>
      <c r="G5208"/>
      <c r="H5208"/>
    </row>
    <row r="5209" spans="1:8" hidden="1" x14ac:dyDescent="0.25">
      <c r="A5209" s="43">
        <v>797</v>
      </c>
      <c r="B5209" s="43" t="s">
        <v>237</v>
      </c>
      <c r="C5209" s="43" t="s">
        <v>1832</v>
      </c>
      <c r="D5209" s="43" t="s">
        <v>1836</v>
      </c>
      <c r="E5209" s="43" t="s">
        <v>1837</v>
      </c>
      <c r="F5209" s="43">
        <v>0</v>
      </c>
      <c r="G5209" s="43" t="s">
        <v>4583</v>
      </c>
      <c r="H5209"/>
    </row>
    <row r="5210" spans="1:8" hidden="1" x14ac:dyDescent="0.25">
      <c r="A5210" s="43">
        <v>797</v>
      </c>
      <c r="B5210" s="43" t="s">
        <v>237</v>
      </c>
      <c r="C5210" s="43" t="s">
        <v>1832</v>
      </c>
      <c r="D5210" s="43" t="s">
        <v>1838</v>
      </c>
      <c r="E5210" s="43" t="s">
        <v>686</v>
      </c>
      <c r="F5210" s="43">
        <v>0</v>
      </c>
      <c r="G5210" s="43" t="s">
        <v>4583</v>
      </c>
      <c r="H5210"/>
    </row>
    <row r="5211" spans="1:8" hidden="1" x14ac:dyDescent="0.25">
      <c r="A5211" s="43">
        <v>797</v>
      </c>
      <c r="B5211" s="43" t="s">
        <v>237</v>
      </c>
      <c r="C5211" s="43" t="s">
        <v>1832</v>
      </c>
      <c r="D5211" s="43" t="s">
        <v>1839</v>
      </c>
      <c r="E5211" s="43" t="s">
        <v>1840</v>
      </c>
      <c r="F5211" s="43">
        <v>0</v>
      </c>
      <c r="G5211" s="43" t="s">
        <v>4583</v>
      </c>
      <c r="H5211"/>
    </row>
    <row r="5212" spans="1:8" hidden="1" x14ac:dyDescent="0.25">
      <c r="A5212" s="43">
        <v>797</v>
      </c>
      <c r="B5212" s="43" t="s">
        <v>237</v>
      </c>
      <c r="C5212" s="43" t="s">
        <v>1832</v>
      </c>
      <c r="D5212" s="43" t="s">
        <v>1841</v>
      </c>
      <c r="E5212" s="43" t="s">
        <v>929</v>
      </c>
      <c r="F5212" s="43">
        <v>0</v>
      </c>
      <c r="G5212" s="43" t="s">
        <v>4583</v>
      </c>
      <c r="H5212"/>
    </row>
    <row r="5213" spans="1:8" hidden="1" x14ac:dyDescent="0.25">
      <c r="A5213" s="43">
        <v>797</v>
      </c>
      <c r="B5213" s="43" t="s">
        <v>237</v>
      </c>
      <c r="C5213" s="43" t="s">
        <v>1832</v>
      </c>
      <c r="D5213" s="43" t="s">
        <v>1842</v>
      </c>
      <c r="E5213" s="43" t="s">
        <v>1214</v>
      </c>
      <c r="F5213" s="43">
        <v>1</v>
      </c>
      <c r="G5213"/>
      <c r="H5213"/>
    </row>
    <row r="5214" spans="1:8" x14ac:dyDescent="0.25">
      <c r="A5214" s="43">
        <v>797</v>
      </c>
      <c r="B5214" s="43" t="s">
        <v>237</v>
      </c>
      <c r="C5214" s="43" t="s">
        <v>1832</v>
      </c>
      <c r="D5214" s="43" t="s">
        <v>1843</v>
      </c>
      <c r="E5214" s="43" t="s">
        <v>1844</v>
      </c>
      <c r="F5214" s="43">
        <v>2</v>
      </c>
      <c r="G5214" s="43" t="s">
        <v>4570</v>
      </c>
      <c r="H5214" s="43" t="s">
        <v>4580</v>
      </c>
    </row>
    <row r="5215" spans="1:8" hidden="1" x14ac:dyDescent="0.25">
      <c r="A5215" s="43">
        <v>797</v>
      </c>
      <c r="B5215" s="43" t="s">
        <v>237</v>
      </c>
      <c r="C5215" s="43" t="s">
        <v>1832</v>
      </c>
      <c r="D5215" s="43" t="s">
        <v>1845</v>
      </c>
      <c r="E5215" s="43" t="s">
        <v>372</v>
      </c>
      <c r="F5215" s="43">
        <v>0</v>
      </c>
      <c r="G5215" s="43" t="s">
        <v>4583</v>
      </c>
      <c r="H5215"/>
    </row>
    <row r="5216" spans="1:8" hidden="1" x14ac:dyDescent="0.25">
      <c r="A5216" s="43">
        <v>797</v>
      </c>
      <c r="B5216" s="43" t="s">
        <v>237</v>
      </c>
      <c r="C5216" s="43" t="s">
        <v>1832</v>
      </c>
      <c r="D5216" s="43" t="s">
        <v>1846</v>
      </c>
      <c r="E5216" s="43" t="s">
        <v>1847</v>
      </c>
      <c r="F5216" s="43">
        <v>0</v>
      </c>
      <c r="G5216" s="43" t="s">
        <v>4583</v>
      </c>
      <c r="H5216"/>
    </row>
    <row r="5217" spans="1:8" hidden="1" x14ac:dyDescent="0.25">
      <c r="A5217" s="43">
        <v>797</v>
      </c>
      <c r="B5217" s="43" t="s">
        <v>237</v>
      </c>
      <c r="C5217" s="43" t="s">
        <v>1832</v>
      </c>
      <c r="D5217" s="43" t="s">
        <v>1848</v>
      </c>
      <c r="E5217" s="43" t="s">
        <v>1849</v>
      </c>
      <c r="F5217" s="43">
        <v>0</v>
      </c>
      <c r="G5217" s="43" t="s">
        <v>4583</v>
      </c>
      <c r="H5217"/>
    </row>
    <row r="5218" spans="1:8" hidden="1" x14ac:dyDescent="0.25">
      <c r="A5218" s="43">
        <v>797</v>
      </c>
      <c r="B5218" s="43" t="s">
        <v>237</v>
      </c>
      <c r="C5218" s="43" t="s">
        <v>1832</v>
      </c>
      <c r="D5218" s="43" t="s">
        <v>1850</v>
      </c>
      <c r="E5218" s="43" t="s">
        <v>1851</v>
      </c>
      <c r="F5218" s="43">
        <v>0</v>
      </c>
      <c r="G5218" s="43" t="s">
        <v>4583</v>
      </c>
      <c r="H5218"/>
    </row>
    <row r="5219" spans="1:8" hidden="1" x14ac:dyDescent="0.25">
      <c r="A5219" s="43">
        <v>797</v>
      </c>
      <c r="B5219" s="43" t="s">
        <v>237</v>
      </c>
      <c r="C5219" s="43" t="s">
        <v>1832</v>
      </c>
      <c r="D5219" s="43" t="s">
        <v>1852</v>
      </c>
      <c r="E5219" s="43" t="s">
        <v>1853</v>
      </c>
      <c r="F5219" s="43">
        <v>0</v>
      </c>
      <c r="G5219" s="43" t="s">
        <v>4583</v>
      </c>
      <c r="H5219"/>
    </row>
    <row r="5220" spans="1:8" hidden="1" x14ac:dyDescent="0.25">
      <c r="A5220" s="43">
        <v>800</v>
      </c>
      <c r="B5220" s="43" t="s">
        <v>238</v>
      </c>
      <c r="C5220" s="43" t="s">
        <v>1790</v>
      </c>
      <c r="D5220" s="43" t="s">
        <v>1791</v>
      </c>
      <c r="E5220" s="43" t="s">
        <v>273</v>
      </c>
      <c r="F5220" s="43">
        <v>1</v>
      </c>
      <c r="G5220"/>
      <c r="H5220"/>
    </row>
    <row r="5221" spans="1:8" hidden="1" x14ac:dyDescent="0.25">
      <c r="A5221" s="43">
        <v>800</v>
      </c>
      <c r="B5221" s="43" t="s">
        <v>238</v>
      </c>
      <c r="C5221" s="43" t="s">
        <v>1790</v>
      </c>
      <c r="D5221" s="43" t="s">
        <v>1792</v>
      </c>
      <c r="E5221" s="43" t="s">
        <v>312</v>
      </c>
      <c r="F5221" s="43">
        <v>1</v>
      </c>
      <c r="G5221"/>
      <c r="H5221"/>
    </row>
    <row r="5222" spans="1:8" hidden="1" x14ac:dyDescent="0.25">
      <c r="A5222" s="43">
        <v>800</v>
      </c>
      <c r="B5222" s="43" t="s">
        <v>238</v>
      </c>
      <c r="C5222" s="43" t="s">
        <v>1790</v>
      </c>
      <c r="D5222" s="43" t="s">
        <v>1793</v>
      </c>
      <c r="E5222" s="43" t="s">
        <v>801</v>
      </c>
      <c r="F5222" s="43">
        <v>1</v>
      </c>
      <c r="G5222"/>
      <c r="H5222"/>
    </row>
    <row r="5223" spans="1:8" hidden="1" x14ac:dyDescent="0.25">
      <c r="A5223" s="43">
        <v>800</v>
      </c>
      <c r="B5223" s="43" t="s">
        <v>238</v>
      </c>
      <c r="C5223" s="43" t="s">
        <v>1790</v>
      </c>
      <c r="D5223" s="43" t="s">
        <v>1794</v>
      </c>
      <c r="E5223" s="43" t="s">
        <v>786</v>
      </c>
      <c r="F5223" s="43">
        <v>1</v>
      </c>
      <c r="G5223"/>
      <c r="H5223"/>
    </row>
    <row r="5224" spans="1:8" hidden="1" x14ac:dyDescent="0.25">
      <c r="A5224" s="43">
        <v>800</v>
      </c>
      <c r="B5224" s="43" t="s">
        <v>238</v>
      </c>
      <c r="C5224" s="43" t="s">
        <v>1790</v>
      </c>
      <c r="D5224" s="43" t="s">
        <v>1795</v>
      </c>
      <c r="E5224" s="43" t="s">
        <v>784</v>
      </c>
      <c r="F5224" s="43">
        <v>0</v>
      </c>
      <c r="G5224" s="43" t="s">
        <v>4583</v>
      </c>
      <c r="H5224"/>
    </row>
    <row r="5225" spans="1:8" hidden="1" x14ac:dyDescent="0.25">
      <c r="A5225" s="43">
        <v>800</v>
      </c>
      <c r="B5225" s="43" t="s">
        <v>238</v>
      </c>
      <c r="C5225" s="43" t="s">
        <v>1790</v>
      </c>
      <c r="D5225" s="43" t="s">
        <v>1796</v>
      </c>
      <c r="E5225" s="43" t="s">
        <v>1205</v>
      </c>
      <c r="F5225" s="43">
        <v>0</v>
      </c>
      <c r="G5225" s="43" t="s">
        <v>4583</v>
      </c>
      <c r="H5225"/>
    </row>
    <row r="5226" spans="1:8" hidden="1" x14ac:dyDescent="0.25">
      <c r="A5226" s="43">
        <v>800</v>
      </c>
      <c r="B5226" s="43" t="s">
        <v>238</v>
      </c>
      <c r="C5226" s="43" t="s">
        <v>1790</v>
      </c>
      <c r="D5226" s="43" t="s">
        <v>1797</v>
      </c>
      <c r="E5226" s="43" t="s">
        <v>1207</v>
      </c>
      <c r="F5226" s="43">
        <v>0</v>
      </c>
      <c r="G5226" s="43" t="s">
        <v>4583</v>
      </c>
      <c r="H5226"/>
    </row>
    <row r="5227" spans="1:8" hidden="1" x14ac:dyDescent="0.25">
      <c r="A5227" s="43">
        <v>800</v>
      </c>
      <c r="B5227" s="43" t="s">
        <v>238</v>
      </c>
      <c r="C5227" s="43" t="s">
        <v>1790</v>
      </c>
      <c r="D5227" s="43" t="s">
        <v>1798</v>
      </c>
      <c r="E5227" s="43" t="s">
        <v>1209</v>
      </c>
      <c r="F5227" s="43">
        <v>0</v>
      </c>
      <c r="G5227" s="43" t="s">
        <v>4583</v>
      </c>
      <c r="H5227"/>
    </row>
    <row r="5228" spans="1:8" hidden="1" x14ac:dyDescent="0.25">
      <c r="A5228" s="43">
        <v>800</v>
      </c>
      <c r="B5228" s="43" t="s">
        <v>238</v>
      </c>
      <c r="C5228" s="43" t="s">
        <v>1790</v>
      </c>
      <c r="D5228" s="43" t="s">
        <v>1799</v>
      </c>
      <c r="E5228" s="43" t="s">
        <v>789</v>
      </c>
      <c r="F5228" s="43">
        <v>0</v>
      </c>
      <c r="G5228" s="43" t="s">
        <v>4583</v>
      </c>
      <c r="H5228"/>
    </row>
    <row r="5229" spans="1:8" hidden="1" x14ac:dyDescent="0.25">
      <c r="A5229" s="43">
        <v>800</v>
      </c>
      <c r="B5229" s="43" t="s">
        <v>238</v>
      </c>
      <c r="C5229" s="43" t="s">
        <v>1790</v>
      </c>
      <c r="D5229" s="43" t="s">
        <v>1800</v>
      </c>
      <c r="E5229" s="43" t="s">
        <v>1214</v>
      </c>
      <c r="F5229" s="43">
        <v>1</v>
      </c>
      <c r="G5229"/>
      <c r="H5229"/>
    </row>
    <row r="5230" spans="1:8" hidden="1" x14ac:dyDescent="0.25">
      <c r="A5230" s="43">
        <v>800</v>
      </c>
      <c r="B5230" s="43" t="s">
        <v>238</v>
      </c>
      <c r="C5230" s="43" t="s">
        <v>1790</v>
      </c>
      <c r="D5230" s="43" t="s">
        <v>1801</v>
      </c>
      <c r="E5230" s="43" t="s">
        <v>1784</v>
      </c>
      <c r="F5230" s="43">
        <v>0</v>
      </c>
      <c r="G5230" s="43" t="s">
        <v>4583</v>
      </c>
      <c r="H5230"/>
    </row>
    <row r="5231" spans="1:8" hidden="1" x14ac:dyDescent="0.25">
      <c r="A5231" s="43">
        <v>800</v>
      </c>
      <c r="B5231" s="43" t="s">
        <v>238</v>
      </c>
      <c r="C5231" s="43" t="s">
        <v>1790</v>
      </c>
      <c r="D5231" s="43" t="s">
        <v>1802</v>
      </c>
      <c r="E5231" s="43" t="s">
        <v>791</v>
      </c>
      <c r="F5231" s="43">
        <v>0</v>
      </c>
      <c r="G5231" s="43" t="s">
        <v>4583</v>
      </c>
      <c r="H5231"/>
    </row>
    <row r="5232" spans="1:8" hidden="1" x14ac:dyDescent="0.25">
      <c r="A5232" s="43">
        <v>800</v>
      </c>
      <c r="B5232" s="43" t="s">
        <v>238</v>
      </c>
      <c r="C5232" s="43" t="s">
        <v>1790</v>
      </c>
      <c r="D5232" s="43" t="s">
        <v>1803</v>
      </c>
      <c r="E5232" s="43" t="s">
        <v>795</v>
      </c>
      <c r="F5232" s="43">
        <v>1</v>
      </c>
      <c r="G5232"/>
      <c r="H5232"/>
    </row>
    <row r="5233" spans="1:8" hidden="1" x14ac:dyDescent="0.25">
      <c r="A5233" s="43">
        <v>800</v>
      </c>
      <c r="B5233" s="43" t="s">
        <v>238</v>
      </c>
      <c r="C5233" s="43" t="s">
        <v>1790</v>
      </c>
      <c r="D5233" s="43" t="s">
        <v>1804</v>
      </c>
      <c r="E5233" s="43" t="s">
        <v>372</v>
      </c>
      <c r="F5233" s="43">
        <v>0</v>
      </c>
      <c r="G5233" s="43" t="s">
        <v>4583</v>
      </c>
      <c r="H5233"/>
    </row>
    <row r="5234" spans="1:8" hidden="1" x14ac:dyDescent="0.25">
      <c r="A5234" s="43">
        <v>800</v>
      </c>
      <c r="B5234" s="43" t="s">
        <v>238</v>
      </c>
      <c r="C5234" s="43" t="s">
        <v>1790</v>
      </c>
      <c r="D5234" s="43" t="s">
        <v>1805</v>
      </c>
      <c r="E5234" s="43" t="s">
        <v>1806</v>
      </c>
      <c r="F5234" s="43">
        <v>0</v>
      </c>
      <c r="G5234" s="43" t="s">
        <v>4583</v>
      </c>
      <c r="H5234"/>
    </row>
    <row r="5235" spans="1:8" hidden="1" x14ac:dyDescent="0.25">
      <c r="A5235" s="43">
        <v>800</v>
      </c>
      <c r="B5235" s="43" t="s">
        <v>238</v>
      </c>
      <c r="C5235" s="43" t="s">
        <v>1790</v>
      </c>
      <c r="D5235" s="43" t="s">
        <v>1807</v>
      </c>
      <c r="E5235" s="43" t="s">
        <v>1808</v>
      </c>
      <c r="F5235" s="43">
        <v>0</v>
      </c>
      <c r="G5235" s="43" t="s">
        <v>4583</v>
      </c>
      <c r="H5235"/>
    </row>
    <row r="5236" spans="1:8" hidden="1" x14ac:dyDescent="0.25">
      <c r="A5236" s="43">
        <v>802</v>
      </c>
      <c r="B5236" s="43" t="s">
        <v>239</v>
      </c>
      <c r="C5236" s="43" t="s">
        <v>818</v>
      </c>
      <c r="D5236" s="43" t="s">
        <v>819</v>
      </c>
      <c r="E5236" s="43" t="s">
        <v>820</v>
      </c>
      <c r="F5236" s="43">
        <v>1</v>
      </c>
      <c r="G5236"/>
      <c r="H5236"/>
    </row>
    <row r="5237" spans="1:8" hidden="1" x14ac:dyDescent="0.25">
      <c r="A5237" s="43">
        <v>802</v>
      </c>
      <c r="B5237" s="43" t="s">
        <v>239</v>
      </c>
      <c r="C5237" s="43" t="s">
        <v>818</v>
      </c>
      <c r="D5237" s="43" t="s">
        <v>821</v>
      </c>
      <c r="E5237" s="43" t="s">
        <v>822</v>
      </c>
      <c r="F5237" s="43">
        <v>0</v>
      </c>
      <c r="G5237" s="43" t="s">
        <v>4583</v>
      </c>
      <c r="H5237"/>
    </row>
    <row r="5238" spans="1:8" hidden="1" x14ac:dyDescent="0.25">
      <c r="A5238" s="43">
        <v>802</v>
      </c>
      <c r="B5238" s="43" t="s">
        <v>239</v>
      </c>
      <c r="C5238" s="43" t="s">
        <v>818</v>
      </c>
      <c r="D5238" s="43" t="s">
        <v>823</v>
      </c>
      <c r="E5238" s="43" t="s">
        <v>306</v>
      </c>
      <c r="F5238" s="43">
        <v>1</v>
      </c>
      <c r="G5238"/>
      <c r="H5238"/>
    </row>
    <row r="5239" spans="1:8" hidden="1" x14ac:dyDescent="0.25">
      <c r="A5239" s="43">
        <v>802</v>
      </c>
      <c r="B5239" s="43" t="s">
        <v>239</v>
      </c>
      <c r="C5239" s="43" t="s">
        <v>818</v>
      </c>
      <c r="D5239" s="43" t="s">
        <v>824</v>
      </c>
      <c r="E5239" s="43" t="s">
        <v>825</v>
      </c>
      <c r="F5239" s="43">
        <v>1</v>
      </c>
      <c r="G5239"/>
      <c r="H5239"/>
    </row>
    <row r="5240" spans="1:8" hidden="1" x14ac:dyDescent="0.25">
      <c r="A5240" s="43">
        <v>802</v>
      </c>
      <c r="B5240" s="43" t="s">
        <v>239</v>
      </c>
      <c r="C5240" s="43" t="s">
        <v>818</v>
      </c>
      <c r="D5240" s="43" t="s">
        <v>826</v>
      </c>
      <c r="E5240" s="43" t="s">
        <v>827</v>
      </c>
      <c r="F5240" s="43">
        <v>1</v>
      </c>
      <c r="G5240"/>
      <c r="H5240"/>
    </row>
    <row r="5241" spans="1:8" hidden="1" x14ac:dyDescent="0.25">
      <c r="A5241" s="43">
        <v>802</v>
      </c>
      <c r="B5241" s="43" t="s">
        <v>239</v>
      </c>
      <c r="C5241" s="43" t="s">
        <v>818</v>
      </c>
      <c r="D5241" s="43" t="s">
        <v>828</v>
      </c>
      <c r="E5241" s="43" t="s">
        <v>312</v>
      </c>
      <c r="F5241" s="43">
        <v>1</v>
      </c>
      <c r="G5241"/>
      <c r="H5241"/>
    </row>
    <row r="5242" spans="1:8" hidden="1" x14ac:dyDescent="0.25">
      <c r="A5242" s="43">
        <v>802</v>
      </c>
      <c r="B5242" s="43" t="s">
        <v>239</v>
      </c>
      <c r="C5242" s="43" t="s">
        <v>818</v>
      </c>
      <c r="D5242" s="43" t="s">
        <v>829</v>
      </c>
      <c r="E5242" s="43" t="s">
        <v>316</v>
      </c>
      <c r="F5242" s="43">
        <v>1</v>
      </c>
      <c r="G5242"/>
      <c r="H5242"/>
    </row>
    <row r="5243" spans="1:8" hidden="1" x14ac:dyDescent="0.25">
      <c r="A5243" s="43">
        <v>802</v>
      </c>
      <c r="B5243" s="43" t="s">
        <v>239</v>
      </c>
      <c r="C5243" s="43" t="s">
        <v>818</v>
      </c>
      <c r="D5243" s="43" t="s">
        <v>830</v>
      </c>
      <c r="E5243" s="43" t="s">
        <v>314</v>
      </c>
      <c r="F5243" s="43">
        <v>1</v>
      </c>
      <c r="G5243"/>
      <c r="H5243"/>
    </row>
    <row r="5244" spans="1:8" hidden="1" x14ac:dyDescent="0.25">
      <c r="A5244" s="43">
        <v>802</v>
      </c>
      <c r="B5244" s="43" t="s">
        <v>239</v>
      </c>
      <c r="C5244" s="43" t="s">
        <v>818</v>
      </c>
      <c r="D5244" s="43" t="s">
        <v>831</v>
      </c>
      <c r="E5244" s="43" t="s">
        <v>832</v>
      </c>
      <c r="F5244" s="43">
        <v>1</v>
      </c>
      <c r="G5244"/>
      <c r="H5244"/>
    </row>
    <row r="5245" spans="1:8" hidden="1" x14ac:dyDescent="0.25">
      <c r="A5245" s="43">
        <v>802</v>
      </c>
      <c r="B5245" s="43" t="s">
        <v>239</v>
      </c>
      <c r="C5245" s="43" t="s">
        <v>818</v>
      </c>
      <c r="D5245" s="43" t="s">
        <v>833</v>
      </c>
      <c r="E5245" s="43" t="s">
        <v>834</v>
      </c>
      <c r="F5245" s="43">
        <v>1</v>
      </c>
      <c r="G5245"/>
      <c r="H5245"/>
    </row>
    <row r="5246" spans="1:8" hidden="1" x14ac:dyDescent="0.25">
      <c r="A5246" s="43">
        <v>802</v>
      </c>
      <c r="B5246" s="43" t="s">
        <v>239</v>
      </c>
      <c r="C5246" s="43" t="s">
        <v>818</v>
      </c>
      <c r="D5246" s="43" t="s">
        <v>835</v>
      </c>
      <c r="E5246" s="43" t="s">
        <v>836</v>
      </c>
      <c r="F5246" s="43">
        <v>0</v>
      </c>
      <c r="G5246" s="43" t="s">
        <v>4583</v>
      </c>
      <c r="H5246"/>
    </row>
    <row r="5247" spans="1:8" hidden="1" x14ac:dyDescent="0.25">
      <c r="A5247" s="43">
        <v>802</v>
      </c>
      <c r="B5247" s="43" t="s">
        <v>239</v>
      </c>
      <c r="C5247" s="43" t="s">
        <v>818</v>
      </c>
      <c r="D5247" s="43" t="s">
        <v>837</v>
      </c>
      <c r="E5247" s="43" t="s">
        <v>838</v>
      </c>
      <c r="F5247" s="43">
        <v>0</v>
      </c>
      <c r="G5247" s="43" t="s">
        <v>4583</v>
      </c>
      <c r="H5247"/>
    </row>
    <row r="5248" spans="1:8" hidden="1" x14ac:dyDescent="0.25">
      <c r="A5248" s="43">
        <v>802</v>
      </c>
      <c r="B5248" s="43" t="s">
        <v>239</v>
      </c>
      <c r="C5248" s="43" t="s">
        <v>818</v>
      </c>
      <c r="D5248" s="43" t="s">
        <v>839</v>
      </c>
      <c r="E5248" s="43" t="s">
        <v>840</v>
      </c>
      <c r="F5248" s="43">
        <v>0</v>
      </c>
      <c r="G5248" s="43" t="s">
        <v>4583</v>
      </c>
      <c r="H5248"/>
    </row>
    <row r="5249" spans="1:8" hidden="1" x14ac:dyDescent="0.25">
      <c r="A5249" s="43">
        <v>802</v>
      </c>
      <c r="B5249" s="43" t="s">
        <v>239</v>
      </c>
      <c r="C5249" s="43" t="s">
        <v>818</v>
      </c>
      <c r="D5249" s="43" t="s">
        <v>841</v>
      </c>
      <c r="E5249" s="43" t="s">
        <v>842</v>
      </c>
      <c r="F5249" s="43">
        <v>0</v>
      </c>
      <c r="G5249" s="43" t="s">
        <v>4583</v>
      </c>
      <c r="H5249"/>
    </row>
    <row r="5250" spans="1:8" hidden="1" x14ac:dyDescent="0.25">
      <c r="A5250" s="43">
        <v>802</v>
      </c>
      <c r="B5250" s="43" t="s">
        <v>239</v>
      </c>
      <c r="C5250" s="43" t="s">
        <v>818</v>
      </c>
      <c r="D5250" s="43" t="s">
        <v>843</v>
      </c>
      <c r="E5250" s="43" t="s">
        <v>844</v>
      </c>
      <c r="F5250" s="43">
        <v>1</v>
      </c>
      <c r="G5250"/>
      <c r="H5250"/>
    </row>
    <row r="5251" spans="1:8" hidden="1" x14ac:dyDescent="0.25">
      <c r="A5251" s="43">
        <v>802</v>
      </c>
      <c r="B5251" s="43" t="s">
        <v>239</v>
      </c>
      <c r="C5251" s="43" t="s">
        <v>818</v>
      </c>
      <c r="D5251" s="43" t="s">
        <v>845</v>
      </c>
      <c r="E5251" s="43" t="s">
        <v>846</v>
      </c>
      <c r="F5251" s="43">
        <v>0</v>
      </c>
      <c r="G5251" s="43" t="s">
        <v>4583</v>
      </c>
      <c r="H5251"/>
    </row>
    <row r="5252" spans="1:8" hidden="1" x14ac:dyDescent="0.25">
      <c r="A5252" s="43">
        <v>802</v>
      </c>
      <c r="B5252" s="43" t="s">
        <v>239</v>
      </c>
      <c r="C5252" s="43" t="s">
        <v>818</v>
      </c>
      <c r="D5252" s="43" t="s">
        <v>847</v>
      </c>
      <c r="E5252" s="43" t="s">
        <v>848</v>
      </c>
      <c r="F5252" s="43">
        <v>0</v>
      </c>
      <c r="G5252" s="43" t="s">
        <v>4583</v>
      </c>
      <c r="H5252"/>
    </row>
    <row r="5253" spans="1:8" hidden="1" x14ac:dyDescent="0.25">
      <c r="A5253" s="43">
        <v>802</v>
      </c>
      <c r="B5253" s="43" t="s">
        <v>239</v>
      </c>
      <c r="C5253" s="43" t="s">
        <v>818</v>
      </c>
      <c r="D5253" s="43" t="s">
        <v>849</v>
      </c>
      <c r="E5253" s="43" t="s">
        <v>850</v>
      </c>
      <c r="F5253" s="43">
        <v>0</v>
      </c>
      <c r="G5253" s="43" t="s">
        <v>4583</v>
      </c>
      <c r="H5253"/>
    </row>
    <row r="5254" spans="1:8" hidden="1" x14ac:dyDescent="0.25">
      <c r="A5254" s="43">
        <v>802</v>
      </c>
      <c r="B5254" s="43" t="s">
        <v>239</v>
      </c>
      <c r="C5254" s="43" t="s">
        <v>818</v>
      </c>
      <c r="D5254" s="43" t="s">
        <v>851</v>
      </c>
      <c r="E5254" s="43" t="s">
        <v>852</v>
      </c>
      <c r="F5254" s="43">
        <v>1</v>
      </c>
      <c r="G5254"/>
      <c r="H5254"/>
    </row>
    <row r="5255" spans="1:8" hidden="1" x14ac:dyDescent="0.25">
      <c r="A5255" s="43">
        <v>802</v>
      </c>
      <c r="B5255" s="43" t="s">
        <v>239</v>
      </c>
      <c r="C5255" s="43" t="s">
        <v>818</v>
      </c>
      <c r="D5255" s="43" t="s">
        <v>853</v>
      </c>
      <c r="E5255" s="43" t="s">
        <v>854</v>
      </c>
      <c r="F5255" s="43">
        <v>1</v>
      </c>
      <c r="G5255"/>
      <c r="H5255"/>
    </row>
    <row r="5256" spans="1:8" hidden="1" x14ac:dyDescent="0.25">
      <c r="A5256" s="43">
        <v>802</v>
      </c>
      <c r="B5256" s="43" t="s">
        <v>239</v>
      </c>
      <c r="C5256" s="43" t="s">
        <v>818</v>
      </c>
      <c r="D5256" s="43" t="s">
        <v>855</v>
      </c>
      <c r="E5256" s="43" t="s">
        <v>856</v>
      </c>
      <c r="F5256" s="43">
        <v>0</v>
      </c>
      <c r="G5256" s="43" t="s">
        <v>4583</v>
      </c>
      <c r="H5256"/>
    </row>
    <row r="5257" spans="1:8" hidden="1" x14ac:dyDescent="0.25">
      <c r="A5257" s="43">
        <v>802</v>
      </c>
      <c r="B5257" s="43" t="s">
        <v>239</v>
      </c>
      <c r="C5257" s="43" t="s">
        <v>818</v>
      </c>
      <c r="D5257" s="43" t="s">
        <v>857</v>
      </c>
      <c r="E5257" s="43" t="s">
        <v>858</v>
      </c>
      <c r="F5257" s="43">
        <v>0</v>
      </c>
      <c r="G5257" s="43" t="s">
        <v>4583</v>
      </c>
      <c r="H5257"/>
    </row>
    <row r="5258" spans="1:8" hidden="1" x14ac:dyDescent="0.25">
      <c r="A5258" s="43">
        <v>803</v>
      </c>
      <c r="B5258" s="43" t="s">
        <v>239</v>
      </c>
      <c r="C5258" s="43" t="s">
        <v>818</v>
      </c>
      <c r="D5258" s="43" t="s">
        <v>819</v>
      </c>
      <c r="E5258" s="43" t="s">
        <v>820</v>
      </c>
      <c r="F5258" s="43">
        <v>1</v>
      </c>
      <c r="G5258"/>
      <c r="H5258"/>
    </row>
    <row r="5259" spans="1:8" hidden="1" x14ac:dyDescent="0.25">
      <c r="A5259" s="43">
        <v>803</v>
      </c>
      <c r="B5259" s="43" t="s">
        <v>239</v>
      </c>
      <c r="C5259" s="43" t="s">
        <v>818</v>
      </c>
      <c r="D5259" s="43" t="s">
        <v>821</v>
      </c>
      <c r="E5259" s="43" t="s">
        <v>822</v>
      </c>
      <c r="F5259" s="43">
        <v>0</v>
      </c>
      <c r="G5259" s="43" t="s">
        <v>4583</v>
      </c>
      <c r="H5259"/>
    </row>
    <row r="5260" spans="1:8" hidden="1" x14ac:dyDescent="0.25">
      <c r="A5260" s="43">
        <v>803</v>
      </c>
      <c r="B5260" s="43" t="s">
        <v>239</v>
      </c>
      <c r="C5260" s="43" t="s">
        <v>818</v>
      </c>
      <c r="D5260" s="43" t="s">
        <v>823</v>
      </c>
      <c r="E5260" s="43" t="s">
        <v>306</v>
      </c>
      <c r="F5260" s="43">
        <v>1</v>
      </c>
      <c r="G5260"/>
      <c r="H5260"/>
    </row>
    <row r="5261" spans="1:8" hidden="1" x14ac:dyDescent="0.25">
      <c r="A5261" s="43">
        <v>803</v>
      </c>
      <c r="B5261" s="43" t="s">
        <v>239</v>
      </c>
      <c r="C5261" s="43" t="s">
        <v>818</v>
      </c>
      <c r="D5261" s="43" t="s">
        <v>824</v>
      </c>
      <c r="E5261" s="43" t="s">
        <v>825</v>
      </c>
      <c r="F5261" s="43">
        <v>1</v>
      </c>
      <c r="G5261"/>
      <c r="H5261"/>
    </row>
    <row r="5262" spans="1:8" hidden="1" x14ac:dyDescent="0.25">
      <c r="A5262" s="43">
        <v>803</v>
      </c>
      <c r="B5262" s="43" t="s">
        <v>239</v>
      </c>
      <c r="C5262" s="43" t="s">
        <v>818</v>
      </c>
      <c r="D5262" s="43" t="s">
        <v>826</v>
      </c>
      <c r="E5262" s="43" t="s">
        <v>827</v>
      </c>
      <c r="F5262" s="43">
        <v>1</v>
      </c>
      <c r="G5262"/>
      <c r="H5262"/>
    </row>
    <row r="5263" spans="1:8" hidden="1" x14ac:dyDescent="0.25">
      <c r="A5263" s="43">
        <v>803</v>
      </c>
      <c r="B5263" s="43" t="s">
        <v>239</v>
      </c>
      <c r="C5263" s="43" t="s">
        <v>818</v>
      </c>
      <c r="D5263" s="43" t="s">
        <v>828</v>
      </c>
      <c r="E5263" s="43" t="s">
        <v>312</v>
      </c>
      <c r="F5263" s="43">
        <v>1</v>
      </c>
      <c r="G5263"/>
      <c r="H5263"/>
    </row>
    <row r="5264" spans="1:8" hidden="1" x14ac:dyDescent="0.25">
      <c r="A5264" s="43">
        <v>803</v>
      </c>
      <c r="B5264" s="43" t="s">
        <v>239</v>
      </c>
      <c r="C5264" s="43" t="s">
        <v>818</v>
      </c>
      <c r="D5264" s="43" t="s">
        <v>829</v>
      </c>
      <c r="E5264" s="43" t="s">
        <v>316</v>
      </c>
      <c r="F5264" s="43">
        <v>1</v>
      </c>
      <c r="G5264"/>
      <c r="H5264"/>
    </row>
    <row r="5265" spans="1:8" hidden="1" x14ac:dyDescent="0.25">
      <c r="A5265" s="43">
        <v>803</v>
      </c>
      <c r="B5265" s="43" t="s">
        <v>239</v>
      </c>
      <c r="C5265" s="43" t="s">
        <v>818</v>
      </c>
      <c r="D5265" s="43" t="s">
        <v>830</v>
      </c>
      <c r="E5265" s="43" t="s">
        <v>314</v>
      </c>
      <c r="F5265" s="43">
        <v>1</v>
      </c>
      <c r="G5265"/>
      <c r="H5265"/>
    </row>
    <row r="5266" spans="1:8" hidden="1" x14ac:dyDescent="0.25">
      <c r="A5266" s="43">
        <v>803</v>
      </c>
      <c r="B5266" s="43" t="s">
        <v>239</v>
      </c>
      <c r="C5266" s="43" t="s">
        <v>818</v>
      </c>
      <c r="D5266" s="43" t="s">
        <v>831</v>
      </c>
      <c r="E5266" s="43" t="s">
        <v>832</v>
      </c>
      <c r="F5266" s="43">
        <v>1</v>
      </c>
      <c r="G5266"/>
      <c r="H5266"/>
    </row>
    <row r="5267" spans="1:8" hidden="1" x14ac:dyDescent="0.25">
      <c r="A5267" s="43">
        <v>803</v>
      </c>
      <c r="B5267" s="43" t="s">
        <v>239</v>
      </c>
      <c r="C5267" s="43" t="s">
        <v>818</v>
      </c>
      <c r="D5267" s="43" t="s">
        <v>833</v>
      </c>
      <c r="E5267" s="43" t="s">
        <v>834</v>
      </c>
      <c r="F5267" s="43">
        <v>1</v>
      </c>
      <c r="G5267"/>
      <c r="H5267"/>
    </row>
    <row r="5268" spans="1:8" hidden="1" x14ac:dyDescent="0.25">
      <c r="A5268" s="43">
        <v>803</v>
      </c>
      <c r="B5268" s="43" t="s">
        <v>239</v>
      </c>
      <c r="C5268" s="43" t="s">
        <v>818</v>
      </c>
      <c r="D5268" s="43" t="s">
        <v>835</v>
      </c>
      <c r="E5268" s="43" t="s">
        <v>836</v>
      </c>
      <c r="F5268" s="43">
        <v>0</v>
      </c>
      <c r="G5268" s="43" t="s">
        <v>4583</v>
      </c>
      <c r="H5268"/>
    </row>
    <row r="5269" spans="1:8" hidden="1" x14ac:dyDescent="0.25">
      <c r="A5269" s="43">
        <v>803</v>
      </c>
      <c r="B5269" s="43" t="s">
        <v>239</v>
      </c>
      <c r="C5269" s="43" t="s">
        <v>818</v>
      </c>
      <c r="D5269" s="43" t="s">
        <v>837</v>
      </c>
      <c r="E5269" s="43" t="s">
        <v>838</v>
      </c>
      <c r="F5269" s="43">
        <v>0</v>
      </c>
      <c r="G5269" s="43" t="s">
        <v>4583</v>
      </c>
      <c r="H5269"/>
    </row>
    <row r="5270" spans="1:8" hidden="1" x14ac:dyDescent="0.25">
      <c r="A5270" s="43">
        <v>803</v>
      </c>
      <c r="B5270" s="43" t="s">
        <v>239</v>
      </c>
      <c r="C5270" s="43" t="s">
        <v>818</v>
      </c>
      <c r="D5270" s="43" t="s">
        <v>839</v>
      </c>
      <c r="E5270" s="43" t="s">
        <v>840</v>
      </c>
      <c r="F5270" s="43">
        <v>0</v>
      </c>
      <c r="G5270" s="43" t="s">
        <v>4583</v>
      </c>
      <c r="H5270"/>
    </row>
    <row r="5271" spans="1:8" hidden="1" x14ac:dyDescent="0.25">
      <c r="A5271" s="43">
        <v>803</v>
      </c>
      <c r="B5271" s="43" t="s">
        <v>239</v>
      </c>
      <c r="C5271" s="43" t="s">
        <v>818</v>
      </c>
      <c r="D5271" s="43" t="s">
        <v>841</v>
      </c>
      <c r="E5271" s="43" t="s">
        <v>842</v>
      </c>
      <c r="F5271" s="43">
        <v>0</v>
      </c>
      <c r="G5271" s="43" t="s">
        <v>4583</v>
      </c>
      <c r="H5271"/>
    </row>
    <row r="5272" spans="1:8" hidden="1" x14ac:dyDescent="0.25">
      <c r="A5272" s="43">
        <v>803</v>
      </c>
      <c r="B5272" s="43" t="s">
        <v>239</v>
      </c>
      <c r="C5272" s="43" t="s">
        <v>818</v>
      </c>
      <c r="D5272" s="43" t="s">
        <v>843</v>
      </c>
      <c r="E5272" s="43" t="s">
        <v>844</v>
      </c>
      <c r="F5272" s="43">
        <v>1</v>
      </c>
      <c r="G5272"/>
      <c r="H5272"/>
    </row>
    <row r="5273" spans="1:8" hidden="1" x14ac:dyDescent="0.25">
      <c r="A5273" s="43">
        <v>803</v>
      </c>
      <c r="B5273" s="43" t="s">
        <v>239</v>
      </c>
      <c r="C5273" s="43" t="s">
        <v>818</v>
      </c>
      <c r="D5273" s="43" t="s">
        <v>845</v>
      </c>
      <c r="E5273" s="43" t="s">
        <v>846</v>
      </c>
      <c r="F5273" s="43">
        <v>0</v>
      </c>
      <c r="G5273" s="43" t="s">
        <v>4583</v>
      </c>
      <c r="H5273"/>
    </row>
    <row r="5274" spans="1:8" hidden="1" x14ac:dyDescent="0.25">
      <c r="A5274" s="43">
        <v>803</v>
      </c>
      <c r="B5274" s="43" t="s">
        <v>239</v>
      </c>
      <c r="C5274" s="43" t="s">
        <v>818</v>
      </c>
      <c r="D5274" s="43" t="s">
        <v>847</v>
      </c>
      <c r="E5274" s="43" t="s">
        <v>848</v>
      </c>
      <c r="F5274" s="43">
        <v>0</v>
      </c>
      <c r="G5274" s="43" t="s">
        <v>4583</v>
      </c>
      <c r="H5274"/>
    </row>
    <row r="5275" spans="1:8" hidden="1" x14ac:dyDescent="0.25">
      <c r="A5275" s="43">
        <v>803</v>
      </c>
      <c r="B5275" s="43" t="s">
        <v>239</v>
      </c>
      <c r="C5275" s="43" t="s">
        <v>818</v>
      </c>
      <c r="D5275" s="43" t="s">
        <v>849</v>
      </c>
      <c r="E5275" s="43" t="s">
        <v>850</v>
      </c>
      <c r="F5275" s="43">
        <v>0</v>
      </c>
      <c r="G5275" s="43" t="s">
        <v>4583</v>
      </c>
      <c r="H5275"/>
    </row>
    <row r="5276" spans="1:8" hidden="1" x14ac:dyDescent="0.25">
      <c r="A5276" s="43">
        <v>803</v>
      </c>
      <c r="B5276" s="43" t="s">
        <v>239</v>
      </c>
      <c r="C5276" s="43" t="s">
        <v>818</v>
      </c>
      <c r="D5276" s="43" t="s">
        <v>851</v>
      </c>
      <c r="E5276" s="43" t="s">
        <v>852</v>
      </c>
      <c r="F5276" s="43">
        <v>1</v>
      </c>
      <c r="G5276"/>
      <c r="H5276"/>
    </row>
    <row r="5277" spans="1:8" hidden="1" x14ac:dyDescent="0.25">
      <c r="A5277" s="43">
        <v>803</v>
      </c>
      <c r="B5277" s="43" t="s">
        <v>239</v>
      </c>
      <c r="C5277" s="43" t="s">
        <v>818</v>
      </c>
      <c r="D5277" s="43" t="s">
        <v>853</v>
      </c>
      <c r="E5277" s="43" t="s">
        <v>854</v>
      </c>
      <c r="F5277" s="43">
        <v>1</v>
      </c>
      <c r="G5277"/>
      <c r="H5277"/>
    </row>
    <row r="5278" spans="1:8" hidden="1" x14ac:dyDescent="0.25">
      <c r="A5278" s="43">
        <v>803</v>
      </c>
      <c r="B5278" s="43" t="s">
        <v>239</v>
      </c>
      <c r="C5278" s="43" t="s">
        <v>818</v>
      </c>
      <c r="D5278" s="43" t="s">
        <v>855</v>
      </c>
      <c r="E5278" s="43" t="s">
        <v>856</v>
      </c>
      <c r="F5278" s="43">
        <v>0</v>
      </c>
      <c r="G5278" s="43" t="s">
        <v>4583</v>
      </c>
      <c r="H5278"/>
    </row>
    <row r="5279" spans="1:8" hidden="1" x14ac:dyDescent="0.25">
      <c r="A5279" s="43">
        <v>803</v>
      </c>
      <c r="B5279" s="43" t="s">
        <v>239</v>
      </c>
      <c r="C5279" s="43" t="s">
        <v>818</v>
      </c>
      <c r="D5279" s="43" t="s">
        <v>857</v>
      </c>
      <c r="E5279" s="43" t="s">
        <v>858</v>
      </c>
      <c r="F5279" s="43">
        <v>0</v>
      </c>
      <c r="G5279" s="43" t="s">
        <v>4583</v>
      </c>
      <c r="H5279"/>
    </row>
    <row r="5280" spans="1:8" hidden="1" x14ac:dyDescent="0.25">
      <c r="A5280" s="43">
        <v>805</v>
      </c>
      <c r="B5280" s="43" t="s">
        <v>241</v>
      </c>
      <c r="C5280" s="43" t="s">
        <v>1685</v>
      </c>
      <c r="D5280" s="43" t="s">
        <v>1686</v>
      </c>
      <c r="E5280" s="43" t="s">
        <v>1687</v>
      </c>
      <c r="F5280" s="43">
        <v>1</v>
      </c>
      <c r="G5280"/>
      <c r="H5280"/>
    </row>
    <row r="5281" spans="1:8" hidden="1" x14ac:dyDescent="0.25">
      <c r="A5281" s="43">
        <v>805</v>
      </c>
      <c r="B5281" s="43" t="s">
        <v>241</v>
      </c>
      <c r="C5281" s="43" t="s">
        <v>1685</v>
      </c>
      <c r="D5281" s="43" t="s">
        <v>1688</v>
      </c>
      <c r="E5281" s="43" t="s">
        <v>1689</v>
      </c>
      <c r="F5281" s="43">
        <v>1</v>
      </c>
      <c r="G5281"/>
      <c r="H5281"/>
    </row>
    <row r="5282" spans="1:8" hidden="1" x14ac:dyDescent="0.25">
      <c r="A5282" s="43">
        <v>805</v>
      </c>
      <c r="B5282" s="43" t="s">
        <v>241</v>
      </c>
      <c r="C5282" s="43" t="s">
        <v>1685</v>
      </c>
      <c r="D5282" s="43" t="s">
        <v>1690</v>
      </c>
      <c r="E5282" s="43" t="s">
        <v>1691</v>
      </c>
      <c r="F5282" s="43">
        <v>1</v>
      </c>
      <c r="G5282"/>
      <c r="H5282"/>
    </row>
    <row r="5283" spans="1:8" hidden="1" x14ac:dyDescent="0.25">
      <c r="A5283" s="43">
        <v>805</v>
      </c>
      <c r="B5283" s="43" t="s">
        <v>241</v>
      </c>
      <c r="C5283" s="43" t="s">
        <v>1685</v>
      </c>
      <c r="D5283" s="43" t="s">
        <v>1692</v>
      </c>
      <c r="E5283" s="43" t="s">
        <v>1693</v>
      </c>
      <c r="F5283" s="43">
        <v>1</v>
      </c>
      <c r="G5283"/>
      <c r="H5283"/>
    </row>
    <row r="5284" spans="1:8" hidden="1" x14ac:dyDescent="0.25">
      <c r="A5284" s="43">
        <v>805</v>
      </c>
      <c r="B5284" s="43" t="s">
        <v>241</v>
      </c>
      <c r="C5284" s="43" t="s">
        <v>1685</v>
      </c>
      <c r="D5284" s="43" t="s">
        <v>1694</v>
      </c>
      <c r="E5284" s="43" t="s">
        <v>1695</v>
      </c>
      <c r="F5284" s="43">
        <v>1</v>
      </c>
      <c r="G5284"/>
      <c r="H5284"/>
    </row>
    <row r="5285" spans="1:8" hidden="1" x14ac:dyDescent="0.25">
      <c r="A5285" s="43">
        <v>805</v>
      </c>
      <c r="B5285" s="43" t="s">
        <v>241</v>
      </c>
      <c r="C5285" s="43" t="s">
        <v>1685</v>
      </c>
      <c r="D5285" s="43" t="s">
        <v>1696</v>
      </c>
      <c r="E5285" s="43" t="s">
        <v>1697</v>
      </c>
      <c r="F5285" s="43">
        <v>1</v>
      </c>
      <c r="G5285"/>
      <c r="H5285"/>
    </row>
    <row r="5286" spans="1:8" hidden="1" x14ac:dyDescent="0.25">
      <c r="A5286" s="43">
        <v>805</v>
      </c>
      <c r="B5286" s="43" t="s">
        <v>241</v>
      </c>
      <c r="C5286" s="43" t="s">
        <v>1685</v>
      </c>
      <c r="D5286" s="43" t="s">
        <v>1698</v>
      </c>
      <c r="E5286" s="43" t="s">
        <v>1699</v>
      </c>
      <c r="F5286" s="43">
        <v>1</v>
      </c>
      <c r="G5286"/>
      <c r="H5286"/>
    </row>
    <row r="5287" spans="1:8" hidden="1" x14ac:dyDescent="0.25">
      <c r="A5287" s="43">
        <v>805</v>
      </c>
      <c r="B5287" s="43" t="s">
        <v>241</v>
      </c>
      <c r="C5287" s="43" t="s">
        <v>1685</v>
      </c>
      <c r="D5287" s="43" t="s">
        <v>1700</v>
      </c>
      <c r="E5287" s="43" t="s">
        <v>1701</v>
      </c>
      <c r="F5287" s="43">
        <v>1</v>
      </c>
      <c r="G5287"/>
      <c r="H5287"/>
    </row>
    <row r="5288" spans="1:8" hidden="1" x14ac:dyDescent="0.25">
      <c r="A5288" s="43">
        <v>805</v>
      </c>
      <c r="B5288" s="43" t="s">
        <v>241</v>
      </c>
      <c r="C5288" s="43" t="s">
        <v>1685</v>
      </c>
      <c r="D5288" s="43" t="s">
        <v>1702</v>
      </c>
      <c r="E5288" s="43" t="s">
        <v>314</v>
      </c>
      <c r="F5288" s="43">
        <v>1</v>
      </c>
      <c r="G5288"/>
      <c r="H5288"/>
    </row>
    <row r="5289" spans="1:8" hidden="1" x14ac:dyDescent="0.25">
      <c r="A5289" s="43">
        <v>805</v>
      </c>
      <c r="B5289" s="43" t="s">
        <v>241</v>
      </c>
      <c r="C5289" s="43" t="s">
        <v>1685</v>
      </c>
      <c r="D5289" s="43" t="s">
        <v>1703</v>
      </c>
      <c r="E5289" s="43" t="s">
        <v>1704</v>
      </c>
      <c r="F5289" s="43">
        <v>1</v>
      </c>
      <c r="G5289"/>
      <c r="H5289"/>
    </row>
    <row r="5290" spans="1:8" hidden="1" x14ac:dyDescent="0.25">
      <c r="A5290" s="43">
        <v>805</v>
      </c>
      <c r="B5290" s="43" t="s">
        <v>241</v>
      </c>
      <c r="C5290" s="43" t="s">
        <v>1685</v>
      </c>
      <c r="D5290" s="43" t="s">
        <v>1705</v>
      </c>
      <c r="E5290" s="43" t="s">
        <v>1706</v>
      </c>
      <c r="F5290" s="43">
        <v>1</v>
      </c>
      <c r="G5290"/>
      <c r="H5290"/>
    </row>
    <row r="5291" spans="1:8" hidden="1" x14ac:dyDescent="0.25">
      <c r="A5291" s="43">
        <v>805</v>
      </c>
      <c r="B5291" s="43" t="s">
        <v>241</v>
      </c>
      <c r="C5291" s="43" t="s">
        <v>1685</v>
      </c>
      <c r="D5291" s="43" t="s">
        <v>1707</v>
      </c>
      <c r="E5291" s="43" t="s">
        <v>1708</v>
      </c>
      <c r="F5291" s="43">
        <v>1</v>
      </c>
      <c r="G5291"/>
      <c r="H5291"/>
    </row>
    <row r="5292" spans="1:8" hidden="1" x14ac:dyDescent="0.25">
      <c r="A5292" s="43">
        <v>805</v>
      </c>
      <c r="B5292" s="43" t="s">
        <v>241</v>
      </c>
      <c r="C5292" s="43" t="s">
        <v>1685</v>
      </c>
      <c r="D5292" s="43" t="s">
        <v>1709</v>
      </c>
      <c r="E5292" s="43" t="s">
        <v>1710</v>
      </c>
      <c r="F5292" s="43">
        <v>1</v>
      </c>
      <c r="G5292"/>
      <c r="H5292"/>
    </row>
    <row r="5293" spans="1:8" hidden="1" x14ac:dyDescent="0.25">
      <c r="A5293" s="43">
        <v>805</v>
      </c>
      <c r="B5293" s="43" t="s">
        <v>241</v>
      </c>
      <c r="C5293" s="43" t="s">
        <v>1685</v>
      </c>
      <c r="D5293" s="43" t="s">
        <v>1711</v>
      </c>
      <c r="E5293" s="43" t="s">
        <v>1124</v>
      </c>
      <c r="F5293" s="43">
        <v>1</v>
      </c>
      <c r="G5293"/>
      <c r="H5293"/>
    </row>
    <row r="5294" spans="1:8" hidden="1" x14ac:dyDescent="0.25">
      <c r="A5294" s="43">
        <v>806</v>
      </c>
      <c r="B5294" s="43" t="s">
        <v>241</v>
      </c>
      <c r="C5294" s="43" t="s">
        <v>1685</v>
      </c>
      <c r="D5294" s="43" t="s">
        <v>1686</v>
      </c>
      <c r="E5294" s="43" t="s">
        <v>1687</v>
      </c>
      <c r="F5294" s="43">
        <v>1</v>
      </c>
      <c r="G5294"/>
      <c r="H5294"/>
    </row>
    <row r="5295" spans="1:8" hidden="1" x14ac:dyDescent="0.25">
      <c r="A5295" s="43">
        <v>806</v>
      </c>
      <c r="B5295" s="43" t="s">
        <v>241</v>
      </c>
      <c r="C5295" s="43" t="s">
        <v>1685</v>
      </c>
      <c r="D5295" s="43" t="s">
        <v>1688</v>
      </c>
      <c r="E5295" s="43" t="s">
        <v>1689</v>
      </c>
      <c r="F5295" s="43">
        <v>1</v>
      </c>
      <c r="G5295"/>
      <c r="H5295"/>
    </row>
    <row r="5296" spans="1:8" hidden="1" x14ac:dyDescent="0.25">
      <c r="A5296" s="43">
        <v>806</v>
      </c>
      <c r="B5296" s="43" t="s">
        <v>241</v>
      </c>
      <c r="C5296" s="43" t="s">
        <v>1685</v>
      </c>
      <c r="D5296" s="43" t="s">
        <v>1690</v>
      </c>
      <c r="E5296" s="43" t="s">
        <v>1691</v>
      </c>
      <c r="F5296" s="43">
        <v>1</v>
      </c>
      <c r="G5296"/>
      <c r="H5296"/>
    </row>
    <row r="5297" spans="1:8" hidden="1" x14ac:dyDescent="0.25">
      <c r="A5297" s="43">
        <v>806</v>
      </c>
      <c r="B5297" s="43" t="s">
        <v>241</v>
      </c>
      <c r="C5297" s="43" t="s">
        <v>1685</v>
      </c>
      <c r="D5297" s="43" t="s">
        <v>1692</v>
      </c>
      <c r="E5297" s="43" t="s">
        <v>1693</v>
      </c>
      <c r="F5297" s="43">
        <v>1</v>
      </c>
      <c r="G5297"/>
      <c r="H5297"/>
    </row>
    <row r="5298" spans="1:8" hidden="1" x14ac:dyDescent="0.25">
      <c r="A5298" s="43">
        <v>806</v>
      </c>
      <c r="B5298" s="43" t="s">
        <v>241</v>
      </c>
      <c r="C5298" s="43" t="s">
        <v>1685</v>
      </c>
      <c r="D5298" s="43" t="s">
        <v>1694</v>
      </c>
      <c r="E5298" s="43" t="s">
        <v>1695</v>
      </c>
      <c r="F5298" s="43">
        <v>1</v>
      </c>
      <c r="G5298"/>
      <c r="H5298"/>
    </row>
    <row r="5299" spans="1:8" hidden="1" x14ac:dyDescent="0.25">
      <c r="A5299" s="43">
        <v>806</v>
      </c>
      <c r="B5299" s="43" t="s">
        <v>241</v>
      </c>
      <c r="C5299" s="43" t="s">
        <v>1685</v>
      </c>
      <c r="D5299" s="43" t="s">
        <v>1696</v>
      </c>
      <c r="E5299" s="43" t="s">
        <v>1697</v>
      </c>
      <c r="F5299" s="43">
        <v>1</v>
      </c>
      <c r="G5299"/>
      <c r="H5299"/>
    </row>
    <row r="5300" spans="1:8" hidden="1" x14ac:dyDescent="0.25">
      <c r="A5300" s="43">
        <v>806</v>
      </c>
      <c r="B5300" s="43" t="s">
        <v>241</v>
      </c>
      <c r="C5300" s="43" t="s">
        <v>1685</v>
      </c>
      <c r="D5300" s="43" t="s">
        <v>1698</v>
      </c>
      <c r="E5300" s="43" t="s">
        <v>1699</v>
      </c>
      <c r="F5300" s="43">
        <v>1</v>
      </c>
      <c r="G5300"/>
      <c r="H5300"/>
    </row>
    <row r="5301" spans="1:8" hidden="1" x14ac:dyDescent="0.25">
      <c r="A5301" s="43">
        <v>806</v>
      </c>
      <c r="B5301" s="43" t="s">
        <v>241</v>
      </c>
      <c r="C5301" s="43" t="s">
        <v>1685</v>
      </c>
      <c r="D5301" s="43" t="s">
        <v>1700</v>
      </c>
      <c r="E5301" s="43" t="s">
        <v>1701</v>
      </c>
      <c r="F5301" s="43">
        <v>1</v>
      </c>
      <c r="G5301"/>
      <c r="H5301"/>
    </row>
    <row r="5302" spans="1:8" hidden="1" x14ac:dyDescent="0.25">
      <c r="A5302" s="43">
        <v>806</v>
      </c>
      <c r="B5302" s="43" t="s">
        <v>241</v>
      </c>
      <c r="C5302" s="43" t="s">
        <v>1685</v>
      </c>
      <c r="D5302" s="43" t="s">
        <v>1702</v>
      </c>
      <c r="E5302" s="43" t="s">
        <v>314</v>
      </c>
      <c r="F5302" s="43">
        <v>1</v>
      </c>
      <c r="G5302"/>
      <c r="H5302"/>
    </row>
    <row r="5303" spans="1:8" hidden="1" x14ac:dyDescent="0.25">
      <c r="A5303" s="43">
        <v>806</v>
      </c>
      <c r="B5303" s="43" t="s">
        <v>241</v>
      </c>
      <c r="C5303" s="43" t="s">
        <v>1685</v>
      </c>
      <c r="D5303" s="43" t="s">
        <v>1703</v>
      </c>
      <c r="E5303" s="43" t="s">
        <v>1704</v>
      </c>
      <c r="F5303" s="43">
        <v>1</v>
      </c>
      <c r="G5303"/>
      <c r="H5303"/>
    </row>
    <row r="5304" spans="1:8" hidden="1" x14ac:dyDescent="0.25">
      <c r="A5304" s="43">
        <v>806</v>
      </c>
      <c r="B5304" s="43" t="s">
        <v>241</v>
      </c>
      <c r="C5304" s="43" t="s">
        <v>1685</v>
      </c>
      <c r="D5304" s="43" t="s">
        <v>1705</v>
      </c>
      <c r="E5304" s="43" t="s">
        <v>1706</v>
      </c>
      <c r="F5304" s="43">
        <v>1</v>
      </c>
      <c r="G5304"/>
      <c r="H5304"/>
    </row>
    <row r="5305" spans="1:8" hidden="1" x14ac:dyDescent="0.25">
      <c r="A5305" s="43">
        <v>806</v>
      </c>
      <c r="B5305" s="43" t="s">
        <v>241</v>
      </c>
      <c r="C5305" s="43" t="s">
        <v>1685</v>
      </c>
      <c r="D5305" s="43" t="s">
        <v>1707</v>
      </c>
      <c r="E5305" s="43" t="s">
        <v>1708</v>
      </c>
      <c r="F5305" s="43">
        <v>1</v>
      </c>
      <c r="G5305"/>
      <c r="H5305"/>
    </row>
    <row r="5306" spans="1:8" hidden="1" x14ac:dyDescent="0.25">
      <c r="A5306" s="43">
        <v>806</v>
      </c>
      <c r="B5306" s="43" t="s">
        <v>241</v>
      </c>
      <c r="C5306" s="43" t="s">
        <v>1685</v>
      </c>
      <c r="D5306" s="43" t="s">
        <v>1709</v>
      </c>
      <c r="E5306" s="43" t="s">
        <v>1710</v>
      </c>
      <c r="F5306" s="43">
        <v>1</v>
      </c>
      <c r="G5306"/>
      <c r="H5306"/>
    </row>
    <row r="5307" spans="1:8" hidden="1" x14ac:dyDescent="0.25">
      <c r="A5307" s="43">
        <v>806</v>
      </c>
      <c r="B5307" s="43" t="s">
        <v>241</v>
      </c>
      <c r="C5307" s="43" t="s">
        <v>1685</v>
      </c>
      <c r="D5307" s="43" t="s">
        <v>1711</v>
      </c>
      <c r="E5307" s="43" t="s">
        <v>1124</v>
      </c>
      <c r="F5307" s="43">
        <v>1</v>
      </c>
      <c r="G5307"/>
      <c r="H5307"/>
    </row>
    <row r="5308" spans="1:8" hidden="1" x14ac:dyDescent="0.25">
      <c r="A5308" s="43">
        <v>808</v>
      </c>
      <c r="B5308" s="43" t="s">
        <v>241</v>
      </c>
      <c r="C5308" s="43" t="s">
        <v>1685</v>
      </c>
      <c r="D5308" s="43" t="s">
        <v>1686</v>
      </c>
      <c r="E5308" s="43" t="s">
        <v>1687</v>
      </c>
      <c r="F5308" s="43">
        <v>1</v>
      </c>
      <c r="G5308"/>
      <c r="H5308"/>
    </row>
    <row r="5309" spans="1:8" hidden="1" x14ac:dyDescent="0.25">
      <c r="A5309" s="43">
        <v>808</v>
      </c>
      <c r="B5309" s="43" t="s">
        <v>241</v>
      </c>
      <c r="C5309" s="43" t="s">
        <v>1685</v>
      </c>
      <c r="D5309" s="43" t="s">
        <v>1688</v>
      </c>
      <c r="E5309" s="43" t="s">
        <v>1689</v>
      </c>
      <c r="F5309" s="43">
        <v>1</v>
      </c>
      <c r="G5309"/>
      <c r="H5309"/>
    </row>
    <row r="5310" spans="1:8" hidden="1" x14ac:dyDescent="0.25">
      <c r="A5310" s="43">
        <v>808</v>
      </c>
      <c r="B5310" s="43" t="s">
        <v>241</v>
      </c>
      <c r="C5310" s="43" t="s">
        <v>1685</v>
      </c>
      <c r="D5310" s="43" t="s">
        <v>1690</v>
      </c>
      <c r="E5310" s="43" t="s">
        <v>1691</v>
      </c>
      <c r="F5310" s="43">
        <v>1</v>
      </c>
      <c r="G5310"/>
      <c r="H5310"/>
    </row>
    <row r="5311" spans="1:8" hidden="1" x14ac:dyDescent="0.25">
      <c r="A5311" s="43">
        <v>808</v>
      </c>
      <c r="B5311" s="43" t="s">
        <v>241</v>
      </c>
      <c r="C5311" s="43" t="s">
        <v>1685</v>
      </c>
      <c r="D5311" s="43" t="s">
        <v>1692</v>
      </c>
      <c r="E5311" s="43" t="s">
        <v>1693</v>
      </c>
      <c r="F5311" s="43">
        <v>1</v>
      </c>
      <c r="G5311"/>
      <c r="H5311"/>
    </row>
    <row r="5312" spans="1:8" hidden="1" x14ac:dyDescent="0.25">
      <c r="A5312" s="43">
        <v>808</v>
      </c>
      <c r="B5312" s="43" t="s">
        <v>241</v>
      </c>
      <c r="C5312" s="43" t="s">
        <v>1685</v>
      </c>
      <c r="D5312" s="43" t="s">
        <v>1694</v>
      </c>
      <c r="E5312" s="43" t="s">
        <v>1695</v>
      </c>
      <c r="F5312" s="43">
        <v>1</v>
      </c>
      <c r="G5312"/>
      <c r="H5312"/>
    </row>
    <row r="5313" spans="1:8" hidden="1" x14ac:dyDescent="0.25">
      <c r="A5313" s="43">
        <v>808</v>
      </c>
      <c r="B5313" s="43" t="s">
        <v>241</v>
      </c>
      <c r="C5313" s="43" t="s">
        <v>1685</v>
      </c>
      <c r="D5313" s="43" t="s">
        <v>1696</v>
      </c>
      <c r="E5313" s="43" t="s">
        <v>1697</v>
      </c>
      <c r="F5313" s="43">
        <v>1</v>
      </c>
      <c r="G5313"/>
      <c r="H5313"/>
    </row>
    <row r="5314" spans="1:8" hidden="1" x14ac:dyDescent="0.25">
      <c r="A5314" s="43">
        <v>808</v>
      </c>
      <c r="B5314" s="43" t="s">
        <v>241</v>
      </c>
      <c r="C5314" s="43" t="s">
        <v>1685</v>
      </c>
      <c r="D5314" s="43" t="s">
        <v>1698</v>
      </c>
      <c r="E5314" s="43" t="s">
        <v>1699</v>
      </c>
      <c r="F5314" s="43">
        <v>1</v>
      </c>
      <c r="G5314"/>
      <c r="H5314"/>
    </row>
    <row r="5315" spans="1:8" hidden="1" x14ac:dyDescent="0.25">
      <c r="A5315" s="43">
        <v>808</v>
      </c>
      <c r="B5315" s="43" t="s">
        <v>241</v>
      </c>
      <c r="C5315" s="43" t="s">
        <v>1685</v>
      </c>
      <c r="D5315" s="43" t="s">
        <v>1700</v>
      </c>
      <c r="E5315" s="43" t="s">
        <v>1701</v>
      </c>
      <c r="F5315" s="43">
        <v>1</v>
      </c>
      <c r="G5315"/>
      <c r="H5315"/>
    </row>
    <row r="5316" spans="1:8" hidden="1" x14ac:dyDescent="0.25">
      <c r="A5316" s="43">
        <v>808</v>
      </c>
      <c r="B5316" s="43" t="s">
        <v>241</v>
      </c>
      <c r="C5316" s="43" t="s">
        <v>1685</v>
      </c>
      <c r="D5316" s="43" t="s">
        <v>1702</v>
      </c>
      <c r="E5316" s="43" t="s">
        <v>314</v>
      </c>
      <c r="F5316" s="43">
        <v>1</v>
      </c>
      <c r="G5316"/>
      <c r="H5316"/>
    </row>
    <row r="5317" spans="1:8" hidden="1" x14ac:dyDescent="0.25">
      <c r="A5317" s="43">
        <v>808</v>
      </c>
      <c r="B5317" s="43" t="s">
        <v>241</v>
      </c>
      <c r="C5317" s="43" t="s">
        <v>1685</v>
      </c>
      <c r="D5317" s="43" t="s">
        <v>1703</v>
      </c>
      <c r="E5317" s="43" t="s">
        <v>1704</v>
      </c>
      <c r="F5317" s="43">
        <v>1</v>
      </c>
      <c r="G5317"/>
      <c r="H5317"/>
    </row>
    <row r="5318" spans="1:8" hidden="1" x14ac:dyDescent="0.25">
      <c r="A5318" s="43">
        <v>808</v>
      </c>
      <c r="B5318" s="43" t="s">
        <v>241</v>
      </c>
      <c r="C5318" s="43" t="s">
        <v>1685</v>
      </c>
      <c r="D5318" s="43" t="s">
        <v>1705</v>
      </c>
      <c r="E5318" s="43" t="s">
        <v>1706</v>
      </c>
      <c r="F5318" s="43">
        <v>1</v>
      </c>
      <c r="G5318"/>
      <c r="H5318"/>
    </row>
    <row r="5319" spans="1:8" hidden="1" x14ac:dyDescent="0.25">
      <c r="A5319" s="43">
        <v>808</v>
      </c>
      <c r="B5319" s="43" t="s">
        <v>241</v>
      </c>
      <c r="C5319" s="43" t="s">
        <v>1685</v>
      </c>
      <c r="D5319" s="43" t="s">
        <v>1707</v>
      </c>
      <c r="E5319" s="43" t="s">
        <v>1708</v>
      </c>
      <c r="F5319" s="43">
        <v>1</v>
      </c>
      <c r="G5319"/>
      <c r="H5319"/>
    </row>
    <row r="5320" spans="1:8" hidden="1" x14ac:dyDescent="0.25">
      <c r="A5320" s="43">
        <v>808</v>
      </c>
      <c r="B5320" s="43" t="s">
        <v>241</v>
      </c>
      <c r="C5320" s="43" t="s">
        <v>1685</v>
      </c>
      <c r="D5320" s="43" t="s">
        <v>1709</v>
      </c>
      <c r="E5320" s="43" t="s">
        <v>1710</v>
      </c>
      <c r="F5320" s="43">
        <v>1</v>
      </c>
      <c r="G5320"/>
      <c r="H5320"/>
    </row>
    <row r="5321" spans="1:8" hidden="1" x14ac:dyDescent="0.25">
      <c r="A5321" s="43">
        <v>808</v>
      </c>
      <c r="B5321" s="43" t="s">
        <v>241</v>
      </c>
      <c r="C5321" s="43" t="s">
        <v>1685</v>
      </c>
      <c r="D5321" s="43" t="s">
        <v>1711</v>
      </c>
      <c r="E5321" s="43" t="s">
        <v>1124</v>
      </c>
      <c r="F5321" s="43">
        <v>1</v>
      </c>
      <c r="G5321"/>
      <c r="H5321"/>
    </row>
    <row r="5322" spans="1:8" hidden="1" x14ac:dyDescent="0.25">
      <c r="A5322" s="43">
        <v>809</v>
      </c>
      <c r="B5322" s="43" t="s">
        <v>242</v>
      </c>
      <c r="C5322" s="43" t="s">
        <v>4470</v>
      </c>
      <c r="D5322" s="43" t="s">
        <v>1493</v>
      </c>
      <c r="E5322" s="43" t="s">
        <v>1494</v>
      </c>
      <c r="F5322" s="43">
        <v>1</v>
      </c>
      <c r="G5322"/>
      <c r="H5322"/>
    </row>
    <row r="5323" spans="1:8" hidden="1" x14ac:dyDescent="0.25">
      <c r="A5323" s="43">
        <v>809</v>
      </c>
      <c r="B5323" s="43" t="s">
        <v>242</v>
      </c>
      <c r="C5323" s="43" t="s">
        <v>4470</v>
      </c>
      <c r="D5323" s="43" t="s">
        <v>1495</v>
      </c>
      <c r="E5323" s="43" t="s">
        <v>1496</v>
      </c>
      <c r="F5323" s="43">
        <v>1</v>
      </c>
      <c r="G5323"/>
      <c r="H5323"/>
    </row>
    <row r="5324" spans="1:8" hidden="1" x14ac:dyDescent="0.25">
      <c r="A5324" s="43">
        <v>809</v>
      </c>
      <c r="B5324" s="43" t="s">
        <v>242</v>
      </c>
      <c r="C5324" s="43" t="s">
        <v>4470</v>
      </c>
      <c r="D5324" s="43" t="s">
        <v>1497</v>
      </c>
      <c r="E5324" s="43" t="s">
        <v>306</v>
      </c>
      <c r="F5324" s="43">
        <v>0</v>
      </c>
      <c r="G5324" s="43" t="s">
        <v>4583</v>
      </c>
      <c r="H5324"/>
    </row>
    <row r="5325" spans="1:8" hidden="1" x14ac:dyDescent="0.25">
      <c r="A5325" s="43">
        <v>809</v>
      </c>
      <c r="B5325" s="43" t="s">
        <v>242</v>
      </c>
      <c r="C5325" s="43" t="s">
        <v>4470</v>
      </c>
      <c r="D5325" s="43" t="s">
        <v>1498</v>
      </c>
      <c r="E5325" s="43" t="s">
        <v>1499</v>
      </c>
      <c r="F5325" s="43">
        <v>1</v>
      </c>
      <c r="G5325"/>
      <c r="H5325"/>
    </row>
    <row r="5326" spans="1:8" hidden="1" x14ac:dyDescent="0.25">
      <c r="A5326" s="43">
        <v>809</v>
      </c>
      <c r="B5326" s="43" t="s">
        <v>242</v>
      </c>
      <c r="C5326" s="43" t="s">
        <v>4470</v>
      </c>
      <c r="D5326" s="43" t="s">
        <v>1500</v>
      </c>
      <c r="E5326" s="43" t="s">
        <v>1397</v>
      </c>
      <c r="F5326" s="43">
        <v>1</v>
      </c>
      <c r="G5326"/>
      <c r="H5326"/>
    </row>
    <row r="5327" spans="1:8" hidden="1" x14ac:dyDescent="0.25">
      <c r="A5327" s="43">
        <v>809</v>
      </c>
      <c r="B5327" s="43" t="s">
        <v>242</v>
      </c>
      <c r="C5327" s="43" t="s">
        <v>4470</v>
      </c>
      <c r="D5327" s="43" t="s">
        <v>1501</v>
      </c>
      <c r="E5327" s="43" t="s">
        <v>1502</v>
      </c>
      <c r="F5327" s="43">
        <v>0</v>
      </c>
      <c r="G5327" s="43" t="s">
        <v>4583</v>
      </c>
      <c r="H5327"/>
    </row>
    <row r="5328" spans="1:8" hidden="1" x14ac:dyDescent="0.25">
      <c r="A5328" s="43">
        <v>809</v>
      </c>
      <c r="B5328" s="43" t="s">
        <v>242</v>
      </c>
      <c r="C5328" s="43" t="s">
        <v>4470</v>
      </c>
      <c r="D5328" s="43" t="s">
        <v>1503</v>
      </c>
      <c r="E5328" s="43" t="s">
        <v>1504</v>
      </c>
      <c r="F5328" s="43">
        <v>0</v>
      </c>
      <c r="G5328" s="43" t="s">
        <v>4583</v>
      </c>
      <c r="H5328"/>
    </row>
    <row r="5329" spans="1:8" hidden="1" x14ac:dyDescent="0.25">
      <c r="A5329" s="43">
        <v>809</v>
      </c>
      <c r="B5329" s="43" t="s">
        <v>242</v>
      </c>
      <c r="C5329" s="43" t="s">
        <v>4470</v>
      </c>
      <c r="D5329" s="43" t="s">
        <v>1505</v>
      </c>
      <c r="E5329" s="43" t="s">
        <v>1506</v>
      </c>
      <c r="F5329" s="43">
        <v>0</v>
      </c>
      <c r="G5329" s="43" t="s">
        <v>4583</v>
      </c>
      <c r="H5329"/>
    </row>
    <row r="5330" spans="1:8" hidden="1" x14ac:dyDescent="0.25">
      <c r="A5330" s="43">
        <v>809</v>
      </c>
      <c r="B5330" s="43" t="s">
        <v>242</v>
      </c>
      <c r="C5330" s="43" t="s">
        <v>4470</v>
      </c>
      <c r="D5330" s="43" t="s">
        <v>1507</v>
      </c>
      <c r="E5330" s="43" t="s">
        <v>611</v>
      </c>
      <c r="F5330" s="43">
        <v>1</v>
      </c>
      <c r="G5330"/>
      <c r="H5330"/>
    </row>
    <row r="5331" spans="1:8" hidden="1" x14ac:dyDescent="0.25">
      <c r="A5331" s="43">
        <v>809</v>
      </c>
      <c r="B5331" s="43" t="s">
        <v>242</v>
      </c>
      <c r="C5331" s="43" t="s">
        <v>4470</v>
      </c>
      <c r="D5331" s="43" t="s">
        <v>1508</v>
      </c>
      <c r="E5331" s="43" t="s">
        <v>1509</v>
      </c>
      <c r="F5331" s="43">
        <v>1</v>
      </c>
      <c r="G5331"/>
      <c r="H5331"/>
    </row>
    <row r="5332" spans="1:8" hidden="1" x14ac:dyDescent="0.25">
      <c r="A5332" s="43">
        <v>809</v>
      </c>
      <c r="B5332" s="43" t="s">
        <v>242</v>
      </c>
      <c r="C5332" s="43" t="s">
        <v>4470</v>
      </c>
      <c r="D5332" s="43" t="s">
        <v>1510</v>
      </c>
      <c r="E5332" s="43" t="s">
        <v>613</v>
      </c>
      <c r="F5332" s="43">
        <v>1</v>
      </c>
      <c r="G5332"/>
      <c r="H5332"/>
    </row>
    <row r="5333" spans="1:8" hidden="1" x14ac:dyDescent="0.25">
      <c r="A5333" s="43">
        <v>809</v>
      </c>
      <c r="B5333" s="43" t="s">
        <v>242</v>
      </c>
      <c r="C5333" s="43" t="s">
        <v>4470</v>
      </c>
      <c r="D5333" s="43" t="s">
        <v>1511</v>
      </c>
      <c r="E5333" s="43" t="s">
        <v>1419</v>
      </c>
      <c r="F5333" s="43">
        <v>0</v>
      </c>
      <c r="G5333" s="43" t="s">
        <v>4583</v>
      </c>
      <c r="H5333"/>
    </row>
    <row r="5334" spans="1:8" hidden="1" x14ac:dyDescent="0.25">
      <c r="A5334" s="43">
        <v>809</v>
      </c>
      <c r="B5334" s="43" t="s">
        <v>242</v>
      </c>
      <c r="C5334" s="43" t="s">
        <v>4470</v>
      </c>
      <c r="D5334" s="43" t="s">
        <v>1512</v>
      </c>
      <c r="E5334" s="43" t="s">
        <v>621</v>
      </c>
      <c r="F5334" s="43">
        <v>0</v>
      </c>
      <c r="G5334" s="43" t="s">
        <v>4583</v>
      </c>
      <c r="H5334"/>
    </row>
    <row r="5335" spans="1:8" hidden="1" x14ac:dyDescent="0.25">
      <c r="A5335" s="43">
        <v>809</v>
      </c>
      <c r="B5335" s="43" t="s">
        <v>242</v>
      </c>
      <c r="C5335" s="43" t="s">
        <v>4470</v>
      </c>
      <c r="D5335" s="43" t="s">
        <v>1513</v>
      </c>
      <c r="E5335" s="43" t="s">
        <v>1422</v>
      </c>
      <c r="F5335" s="43">
        <v>0</v>
      </c>
      <c r="G5335" s="43" t="s">
        <v>4583</v>
      </c>
      <c r="H5335"/>
    </row>
    <row r="5336" spans="1:8" hidden="1" x14ac:dyDescent="0.25">
      <c r="A5336" s="43">
        <v>809</v>
      </c>
      <c r="B5336" s="43" t="s">
        <v>242</v>
      </c>
      <c r="C5336" s="43" t="s">
        <v>4470</v>
      </c>
      <c r="D5336" s="43" t="s">
        <v>1514</v>
      </c>
      <c r="E5336" s="43" t="s">
        <v>614</v>
      </c>
      <c r="F5336" s="43">
        <v>0</v>
      </c>
      <c r="G5336" s="43" t="s">
        <v>4583</v>
      </c>
      <c r="H5336"/>
    </row>
    <row r="5337" spans="1:8" hidden="1" x14ac:dyDescent="0.25">
      <c r="A5337" s="43">
        <v>809</v>
      </c>
      <c r="B5337" s="43" t="s">
        <v>242</v>
      </c>
      <c r="C5337" s="43" t="s">
        <v>4470</v>
      </c>
      <c r="D5337" s="43" t="s">
        <v>1515</v>
      </c>
      <c r="E5337" s="43" t="s">
        <v>615</v>
      </c>
      <c r="F5337" s="43">
        <v>0</v>
      </c>
      <c r="G5337" s="43" t="s">
        <v>4583</v>
      </c>
      <c r="H5337"/>
    </row>
    <row r="5338" spans="1:8" hidden="1" x14ac:dyDescent="0.25">
      <c r="A5338" s="43">
        <v>809</v>
      </c>
      <c r="B5338" s="43" t="s">
        <v>242</v>
      </c>
      <c r="C5338" s="43" t="s">
        <v>4470</v>
      </c>
      <c r="D5338" s="43" t="s">
        <v>1516</v>
      </c>
      <c r="E5338" s="43" t="s">
        <v>1517</v>
      </c>
      <c r="F5338" s="43">
        <v>0</v>
      </c>
      <c r="G5338" s="43" t="s">
        <v>4583</v>
      </c>
      <c r="H5338"/>
    </row>
    <row r="5339" spans="1:8" hidden="1" x14ac:dyDescent="0.25">
      <c r="A5339" s="43">
        <v>809</v>
      </c>
      <c r="B5339" s="43" t="s">
        <v>242</v>
      </c>
      <c r="C5339" s="43" t="s">
        <v>4470</v>
      </c>
      <c r="D5339" s="43" t="s">
        <v>1518</v>
      </c>
      <c r="E5339" s="43" t="s">
        <v>1519</v>
      </c>
      <c r="F5339" s="43">
        <v>1</v>
      </c>
      <c r="G5339"/>
      <c r="H5339"/>
    </row>
    <row r="5340" spans="1:8" hidden="1" x14ac:dyDescent="0.25">
      <c r="A5340" s="43">
        <v>809</v>
      </c>
      <c r="B5340" s="43" t="s">
        <v>242</v>
      </c>
      <c r="C5340" s="43" t="s">
        <v>4470</v>
      </c>
      <c r="D5340" s="43" t="s">
        <v>1520</v>
      </c>
      <c r="E5340" s="43" t="s">
        <v>1521</v>
      </c>
      <c r="F5340" s="43">
        <v>0</v>
      </c>
      <c r="G5340" s="43" t="s">
        <v>4583</v>
      </c>
      <c r="H5340"/>
    </row>
    <row r="5341" spans="1:8" hidden="1" x14ac:dyDescent="0.25">
      <c r="A5341" s="43">
        <v>809</v>
      </c>
      <c r="B5341" s="43" t="s">
        <v>242</v>
      </c>
      <c r="C5341" s="43" t="s">
        <v>4470</v>
      </c>
      <c r="D5341" s="43" t="s">
        <v>1522</v>
      </c>
      <c r="E5341" s="43" t="s">
        <v>1523</v>
      </c>
      <c r="F5341" s="43">
        <v>0</v>
      </c>
      <c r="G5341" s="43" t="s">
        <v>4583</v>
      </c>
      <c r="H5341"/>
    </row>
    <row r="5342" spans="1:8" hidden="1" x14ac:dyDescent="0.25">
      <c r="A5342" s="43">
        <v>809</v>
      </c>
      <c r="B5342" s="43" t="s">
        <v>242</v>
      </c>
      <c r="C5342" s="43" t="s">
        <v>4470</v>
      </c>
      <c r="D5342" s="43" t="s">
        <v>1524</v>
      </c>
      <c r="E5342" s="43" t="s">
        <v>1525</v>
      </c>
      <c r="F5342" s="43">
        <v>0</v>
      </c>
      <c r="G5342" s="43" t="s">
        <v>4583</v>
      </c>
      <c r="H5342"/>
    </row>
    <row r="5343" spans="1:8" hidden="1" x14ac:dyDescent="0.25">
      <c r="A5343" s="43">
        <v>809</v>
      </c>
      <c r="B5343" s="43" t="s">
        <v>242</v>
      </c>
      <c r="C5343" s="43" t="s">
        <v>4470</v>
      </c>
      <c r="D5343" s="43" t="s">
        <v>1526</v>
      </c>
      <c r="E5343" s="43" t="s">
        <v>1527</v>
      </c>
      <c r="F5343" s="43">
        <v>1</v>
      </c>
      <c r="G5343"/>
      <c r="H5343"/>
    </row>
    <row r="5344" spans="1:8" hidden="1" x14ac:dyDescent="0.25">
      <c r="A5344" s="43">
        <v>809</v>
      </c>
      <c r="B5344" s="43" t="s">
        <v>242</v>
      </c>
      <c r="C5344" s="43" t="s">
        <v>4470</v>
      </c>
      <c r="D5344" s="43" t="s">
        <v>1528</v>
      </c>
      <c r="E5344" s="43" t="s">
        <v>4471</v>
      </c>
      <c r="F5344" s="43">
        <v>1</v>
      </c>
      <c r="G5344"/>
      <c r="H5344"/>
    </row>
    <row r="5345" spans="1:8" hidden="1" x14ac:dyDescent="0.25">
      <c r="A5345" s="43">
        <v>809</v>
      </c>
      <c r="B5345" s="43" t="s">
        <v>242</v>
      </c>
      <c r="C5345" s="43" t="s">
        <v>4470</v>
      </c>
      <c r="D5345" s="43" t="s">
        <v>1530</v>
      </c>
      <c r="E5345" s="43" t="s">
        <v>1430</v>
      </c>
      <c r="F5345" s="43">
        <v>1</v>
      </c>
      <c r="G5345"/>
      <c r="H5345"/>
    </row>
    <row r="5346" spans="1:8" hidden="1" x14ac:dyDescent="0.25">
      <c r="A5346" s="43">
        <v>809</v>
      </c>
      <c r="B5346" s="43" t="s">
        <v>242</v>
      </c>
      <c r="C5346" s="43" t="s">
        <v>4470</v>
      </c>
      <c r="D5346" s="43" t="s">
        <v>1531</v>
      </c>
      <c r="E5346" s="43" t="s">
        <v>503</v>
      </c>
      <c r="F5346" s="43">
        <v>1</v>
      </c>
      <c r="G5346"/>
      <c r="H5346"/>
    </row>
    <row r="5347" spans="1:8" hidden="1" x14ac:dyDescent="0.25">
      <c r="A5347" s="43">
        <v>809</v>
      </c>
      <c r="B5347" s="43" t="s">
        <v>242</v>
      </c>
      <c r="C5347" s="43" t="s">
        <v>4470</v>
      </c>
      <c r="D5347" s="43" t="s">
        <v>1532</v>
      </c>
      <c r="E5347" s="43" t="s">
        <v>1533</v>
      </c>
      <c r="F5347" s="43">
        <v>1</v>
      </c>
      <c r="G5347"/>
      <c r="H5347"/>
    </row>
    <row r="5348" spans="1:8" hidden="1" x14ac:dyDescent="0.25">
      <c r="A5348" s="43">
        <v>809</v>
      </c>
      <c r="B5348" s="43" t="s">
        <v>242</v>
      </c>
      <c r="C5348" s="43" t="s">
        <v>4470</v>
      </c>
      <c r="D5348" s="43" t="s">
        <v>1534</v>
      </c>
      <c r="E5348" s="43" t="s">
        <v>1535</v>
      </c>
      <c r="F5348" s="43">
        <v>1</v>
      </c>
      <c r="G5348"/>
      <c r="H5348"/>
    </row>
    <row r="5349" spans="1:8" hidden="1" x14ac:dyDescent="0.25">
      <c r="A5349" s="43">
        <v>814</v>
      </c>
      <c r="B5349" s="43" t="s">
        <v>243</v>
      </c>
      <c r="C5349" s="43" t="s">
        <v>760</v>
      </c>
      <c r="D5349" s="43" t="s">
        <v>761</v>
      </c>
      <c r="E5349" s="43" t="s">
        <v>273</v>
      </c>
      <c r="F5349" s="43">
        <v>1</v>
      </c>
      <c r="G5349"/>
      <c r="H5349"/>
    </row>
    <row r="5350" spans="1:8" hidden="1" x14ac:dyDescent="0.25">
      <c r="A5350" s="43">
        <v>814</v>
      </c>
      <c r="B5350" s="43" t="s">
        <v>243</v>
      </c>
      <c r="C5350" s="43" t="s">
        <v>760</v>
      </c>
      <c r="D5350" s="43" t="s">
        <v>762</v>
      </c>
      <c r="E5350" s="43" t="s">
        <v>4484</v>
      </c>
      <c r="F5350" s="43">
        <v>1</v>
      </c>
      <c r="G5350"/>
      <c r="H5350"/>
    </row>
    <row r="5351" spans="1:8" hidden="1" x14ac:dyDescent="0.25">
      <c r="A5351" s="43">
        <v>814</v>
      </c>
      <c r="B5351" s="43" t="s">
        <v>243</v>
      </c>
      <c r="C5351" s="43" t="s">
        <v>760</v>
      </c>
      <c r="D5351" s="43" t="s">
        <v>764</v>
      </c>
      <c r="E5351" s="43" t="s">
        <v>765</v>
      </c>
      <c r="F5351" s="43">
        <v>0</v>
      </c>
      <c r="G5351" s="43" t="s">
        <v>4583</v>
      </c>
      <c r="H5351"/>
    </row>
    <row r="5352" spans="1:8" hidden="1" x14ac:dyDescent="0.25">
      <c r="A5352" s="43">
        <v>814</v>
      </c>
      <c r="B5352" s="43" t="s">
        <v>243</v>
      </c>
      <c r="C5352" s="43" t="s">
        <v>760</v>
      </c>
      <c r="D5352" s="43" t="s">
        <v>766</v>
      </c>
      <c r="E5352" s="43" t="s">
        <v>767</v>
      </c>
      <c r="F5352" s="43">
        <v>0</v>
      </c>
      <c r="G5352" s="43" t="s">
        <v>4583</v>
      </c>
      <c r="H5352"/>
    </row>
    <row r="5353" spans="1:8" hidden="1" x14ac:dyDescent="0.25">
      <c r="A5353" s="43">
        <v>814</v>
      </c>
      <c r="B5353" s="43" t="s">
        <v>243</v>
      </c>
      <c r="C5353" s="43" t="s">
        <v>760</v>
      </c>
      <c r="D5353" s="43" t="s">
        <v>768</v>
      </c>
      <c r="E5353" s="43" t="s">
        <v>769</v>
      </c>
      <c r="F5353" s="43">
        <v>0</v>
      </c>
      <c r="G5353" s="43" t="s">
        <v>4583</v>
      </c>
      <c r="H5353"/>
    </row>
    <row r="5354" spans="1:8" hidden="1" x14ac:dyDescent="0.25">
      <c r="A5354" s="43">
        <v>814</v>
      </c>
      <c r="B5354" s="43" t="s">
        <v>243</v>
      </c>
      <c r="C5354" s="43" t="s">
        <v>760</v>
      </c>
      <c r="D5354" s="43" t="s">
        <v>770</v>
      </c>
      <c r="E5354" s="43" t="s">
        <v>771</v>
      </c>
      <c r="F5354" s="43">
        <v>0</v>
      </c>
      <c r="G5354" s="43" t="s">
        <v>4583</v>
      </c>
      <c r="H5354"/>
    </row>
    <row r="5355" spans="1:8" hidden="1" x14ac:dyDescent="0.25">
      <c r="A5355" s="43">
        <v>814</v>
      </c>
      <c r="B5355" s="43" t="s">
        <v>243</v>
      </c>
      <c r="C5355" s="43" t="s">
        <v>760</v>
      </c>
      <c r="D5355" s="43" t="s">
        <v>772</v>
      </c>
      <c r="E5355" s="43" t="s">
        <v>773</v>
      </c>
      <c r="F5355" s="43">
        <v>0</v>
      </c>
      <c r="G5355" s="43" t="s">
        <v>4583</v>
      </c>
      <c r="H5355"/>
    </row>
    <row r="5356" spans="1:8" hidden="1" x14ac:dyDescent="0.25">
      <c r="A5356" s="43">
        <v>814</v>
      </c>
      <c r="B5356" s="43" t="s">
        <v>243</v>
      </c>
      <c r="C5356" s="43" t="s">
        <v>760</v>
      </c>
      <c r="D5356" s="43" t="s">
        <v>774</v>
      </c>
      <c r="E5356" s="43" t="s">
        <v>775</v>
      </c>
      <c r="F5356" s="43">
        <v>0</v>
      </c>
      <c r="G5356" s="43" t="s">
        <v>4583</v>
      </c>
      <c r="H5356"/>
    </row>
    <row r="5357" spans="1:8" hidden="1" x14ac:dyDescent="0.25">
      <c r="A5357" s="43">
        <v>814</v>
      </c>
      <c r="B5357" s="43" t="s">
        <v>243</v>
      </c>
      <c r="C5357" s="43" t="s">
        <v>760</v>
      </c>
      <c r="D5357" s="43" t="s">
        <v>776</v>
      </c>
      <c r="E5357" s="43" t="s">
        <v>777</v>
      </c>
      <c r="F5357" s="43">
        <v>1</v>
      </c>
      <c r="G5357"/>
      <c r="H5357"/>
    </row>
    <row r="5358" spans="1:8" hidden="1" x14ac:dyDescent="0.25">
      <c r="A5358" s="43">
        <v>814</v>
      </c>
      <c r="B5358" s="43" t="s">
        <v>243</v>
      </c>
      <c r="C5358" s="43" t="s">
        <v>760</v>
      </c>
      <c r="D5358" s="43" t="s">
        <v>778</v>
      </c>
      <c r="E5358" s="43" t="s">
        <v>779</v>
      </c>
      <c r="F5358" s="43">
        <v>1</v>
      </c>
      <c r="G5358"/>
      <c r="H5358"/>
    </row>
    <row r="5359" spans="1:8" hidden="1" x14ac:dyDescent="0.25">
      <c r="A5359" s="43">
        <v>814</v>
      </c>
      <c r="B5359" s="43" t="s">
        <v>243</v>
      </c>
      <c r="C5359" s="43" t="s">
        <v>760</v>
      </c>
      <c r="D5359" s="43" t="s">
        <v>780</v>
      </c>
      <c r="E5359" s="43" t="s">
        <v>781</v>
      </c>
      <c r="F5359" s="43">
        <v>0</v>
      </c>
      <c r="G5359" s="43" t="s">
        <v>4583</v>
      </c>
      <c r="H5359"/>
    </row>
    <row r="5360" spans="1:8" hidden="1" x14ac:dyDescent="0.25">
      <c r="A5360" s="43">
        <v>817</v>
      </c>
      <c r="B5360" s="43" t="s">
        <v>244</v>
      </c>
      <c r="C5360" s="43" t="s">
        <v>723</v>
      </c>
      <c r="D5360" s="43" t="s">
        <v>724</v>
      </c>
      <c r="E5360" s="43" t="s">
        <v>304</v>
      </c>
      <c r="F5360" s="43">
        <v>1</v>
      </c>
      <c r="G5360"/>
      <c r="H5360"/>
    </row>
    <row r="5361" spans="1:8" hidden="1" x14ac:dyDescent="0.25">
      <c r="A5361" s="43">
        <v>817</v>
      </c>
      <c r="B5361" s="43" t="s">
        <v>244</v>
      </c>
      <c r="C5361" s="43" t="s">
        <v>723</v>
      </c>
      <c r="D5361" s="43" t="s">
        <v>725</v>
      </c>
      <c r="E5361" s="43" t="s">
        <v>306</v>
      </c>
      <c r="F5361" s="43">
        <v>1</v>
      </c>
      <c r="G5361"/>
      <c r="H5361"/>
    </row>
    <row r="5362" spans="1:8" hidden="1" x14ac:dyDescent="0.25">
      <c r="A5362" s="43">
        <v>817</v>
      </c>
      <c r="B5362" s="43" t="s">
        <v>244</v>
      </c>
      <c r="C5362" s="43" t="s">
        <v>723</v>
      </c>
      <c r="D5362" s="43" t="s">
        <v>726</v>
      </c>
      <c r="E5362" s="43" t="s">
        <v>727</v>
      </c>
      <c r="F5362" s="43">
        <v>0</v>
      </c>
      <c r="G5362" s="43" t="s">
        <v>4583</v>
      </c>
      <c r="H5362"/>
    </row>
    <row r="5363" spans="1:8" hidden="1" x14ac:dyDescent="0.25">
      <c r="A5363" s="43">
        <v>817</v>
      </c>
      <c r="B5363" s="43" t="s">
        <v>244</v>
      </c>
      <c r="C5363" s="43" t="s">
        <v>723</v>
      </c>
      <c r="D5363" s="43" t="s">
        <v>728</v>
      </c>
      <c r="E5363" s="43" t="s">
        <v>729</v>
      </c>
      <c r="F5363" s="43">
        <v>0</v>
      </c>
      <c r="G5363" s="43" t="s">
        <v>4583</v>
      </c>
      <c r="H5363"/>
    </row>
    <row r="5364" spans="1:8" hidden="1" x14ac:dyDescent="0.25">
      <c r="A5364" s="43">
        <v>817</v>
      </c>
      <c r="B5364" s="43" t="s">
        <v>244</v>
      </c>
      <c r="C5364" s="43" t="s">
        <v>723</v>
      </c>
      <c r="D5364" s="43" t="s">
        <v>730</v>
      </c>
      <c r="E5364" s="43" t="s">
        <v>343</v>
      </c>
      <c r="F5364" s="43">
        <v>0</v>
      </c>
      <c r="G5364" s="43" t="s">
        <v>4583</v>
      </c>
      <c r="H5364"/>
    </row>
    <row r="5365" spans="1:8" hidden="1" x14ac:dyDescent="0.25">
      <c r="A5365" s="43">
        <v>817</v>
      </c>
      <c r="B5365" s="43" t="s">
        <v>244</v>
      </c>
      <c r="C5365" s="43" t="s">
        <v>723</v>
      </c>
      <c r="D5365" s="43" t="s">
        <v>731</v>
      </c>
      <c r="E5365" s="43" t="s">
        <v>732</v>
      </c>
      <c r="F5365" s="43">
        <v>0</v>
      </c>
      <c r="G5365" s="43" t="s">
        <v>4583</v>
      </c>
      <c r="H5365"/>
    </row>
    <row r="5366" spans="1:8" hidden="1" x14ac:dyDescent="0.25">
      <c r="A5366" s="43">
        <v>817</v>
      </c>
      <c r="B5366" s="43" t="s">
        <v>244</v>
      </c>
      <c r="C5366" s="43" t="s">
        <v>723</v>
      </c>
      <c r="D5366" s="43" t="s">
        <v>733</v>
      </c>
      <c r="E5366" s="43" t="s">
        <v>734</v>
      </c>
      <c r="F5366" s="43">
        <v>0</v>
      </c>
      <c r="G5366" s="43" t="s">
        <v>4583</v>
      </c>
      <c r="H5366"/>
    </row>
    <row r="5367" spans="1:8" hidden="1" x14ac:dyDescent="0.25">
      <c r="A5367" s="43">
        <v>817</v>
      </c>
      <c r="B5367" s="43" t="s">
        <v>244</v>
      </c>
      <c r="C5367" s="43" t="s">
        <v>723</v>
      </c>
      <c r="D5367" s="43" t="s">
        <v>735</v>
      </c>
      <c r="E5367" s="43" t="s">
        <v>736</v>
      </c>
      <c r="F5367" s="43">
        <v>0</v>
      </c>
      <c r="G5367" s="43" t="s">
        <v>4583</v>
      </c>
      <c r="H5367"/>
    </row>
    <row r="5368" spans="1:8" hidden="1" x14ac:dyDescent="0.25">
      <c r="A5368" s="43">
        <v>817</v>
      </c>
      <c r="B5368" s="43" t="s">
        <v>244</v>
      </c>
      <c r="C5368" s="43" t="s">
        <v>723</v>
      </c>
      <c r="D5368" s="43" t="s">
        <v>737</v>
      </c>
      <c r="E5368" s="43" t="s">
        <v>738</v>
      </c>
      <c r="F5368" s="43">
        <v>0</v>
      </c>
      <c r="G5368" s="43" t="s">
        <v>4583</v>
      </c>
      <c r="H5368"/>
    </row>
    <row r="5369" spans="1:8" hidden="1" x14ac:dyDescent="0.25">
      <c r="A5369" s="43">
        <v>817</v>
      </c>
      <c r="B5369" s="43" t="s">
        <v>244</v>
      </c>
      <c r="C5369" s="43" t="s">
        <v>723</v>
      </c>
      <c r="D5369" s="43" t="s">
        <v>739</v>
      </c>
      <c r="E5369" s="43" t="s">
        <v>740</v>
      </c>
      <c r="F5369" s="43">
        <v>0</v>
      </c>
      <c r="G5369" s="43" t="s">
        <v>4583</v>
      </c>
      <c r="H5369"/>
    </row>
    <row r="5370" spans="1:8" hidden="1" x14ac:dyDescent="0.25">
      <c r="A5370" s="43">
        <v>817</v>
      </c>
      <c r="B5370" s="43" t="s">
        <v>244</v>
      </c>
      <c r="C5370" s="43" t="s">
        <v>723</v>
      </c>
      <c r="D5370" s="43" t="s">
        <v>741</v>
      </c>
      <c r="E5370" s="43" t="s">
        <v>742</v>
      </c>
      <c r="F5370" s="43">
        <v>0</v>
      </c>
      <c r="G5370" s="43" t="s">
        <v>4583</v>
      </c>
      <c r="H5370"/>
    </row>
    <row r="5371" spans="1:8" hidden="1" x14ac:dyDescent="0.25">
      <c r="A5371" s="43">
        <v>817</v>
      </c>
      <c r="B5371" s="43" t="s">
        <v>244</v>
      </c>
      <c r="C5371" s="43" t="s">
        <v>723</v>
      </c>
      <c r="D5371" s="43" t="s">
        <v>743</v>
      </c>
      <c r="E5371" s="43" t="s">
        <v>744</v>
      </c>
      <c r="F5371" s="43">
        <v>0</v>
      </c>
      <c r="G5371" s="43" t="s">
        <v>4583</v>
      </c>
      <c r="H5371"/>
    </row>
    <row r="5372" spans="1:8" hidden="1" x14ac:dyDescent="0.25">
      <c r="A5372" s="43">
        <v>817</v>
      </c>
      <c r="B5372" s="43" t="s">
        <v>244</v>
      </c>
      <c r="C5372" s="43" t="s">
        <v>723</v>
      </c>
      <c r="D5372" s="43" t="s">
        <v>745</v>
      </c>
      <c r="E5372" s="43" t="s">
        <v>746</v>
      </c>
      <c r="F5372" s="43">
        <v>0</v>
      </c>
      <c r="G5372" s="43" t="s">
        <v>4583</v>
      </c>
      <c r="H5372"/>
    </row>
    <row r="5373" spans="1:8" hidden="1" x14ac:dyDescent="0.25">
      <c r="A5373" s="43">
        <v>817</v>
      </c>
      <c r="B5373" s="43" t="s">
        <v>244</v>
      </c>
      <c r="C5373" s="43" t="s">
        <v>723</v>
      </c>
      <c r="D5373" s="43" t="s">
        <v>747</v>
      </c>
      <c r="E5373" s="43" t="s">
        <v>748</v>
      </c>
      <c r="F5373" s="43">
        <v>0</v>
      </c>
      <c r="G5373" s="43" t="s">
        <v>4583</v>
      </c>
      <c r="H5373"/>
    </row>
    <row r="5374" spans="1:8" hidden="1" x14ac:dyDescent="0.25">
      <c r="A5374" s="43">
        <v>817</v>
      </c>
      <c r="B5374" s="43" t="s">
        <v>244</v>
      </c>
      <c r="C5374" s="43" t="s">
        <v>723</v>
      </c>
      <c r="D5374" s="43" t="s">
        <v>749</v>
      </c>
      <c r="E5374" s="43" t="s">
        <v>750</v>
      </c>
      <c r="F5374" s="43">
        <v>0</v>
      </c>
      <c r="G5374" s="43" t="s">
        <v>4583</v>
      </c>
      <c r="H5374"/>
    </row>
    <row r="5375" spans="1:8" hidden="1" x14ac:dyDescent="0.25">
      <c r="A5375" s="43">
        <v>817</v>
      </c>
      <c r="B5375" s="43" t="s">
        <v>244</v>
      </c>
      <c r="C5375" s="43" t="s">
        <v>723</v>
      </c>
      <c r="D5375" s="43" t="s">
        <v>751</v>
      </c>
      <c r="E5375" s="43" t="s">
        <v>347</v>
      </c>
      <c r="F5375" s="43">
        <v>0</v>
      </c>
      <c r="G5375" s="43" t="s">
        <v>4583</v>
      </c>
      <c r="H5375"/>
    </row>
    <row r="5376" spans="1:8" hidden="1" x14ac:dyDescent="0.25">
      <c r="A5376" s="43">
        <v>817</v>
      </c>
      <c r="B5376" s="43" t="s">
        <v>244</v>
      </c>
      <c r="C5376" s="43" t="s">
        <v>723</v>
      </c>
      <c r="D5376" s="43" t="s">
        <v>752</v>
      </c>
      <c r="E5376" s="43" t="s">
        <v>753</v>
      </c>
      <c r="F5376" s="43">
        <v>0</v>
      </c>
      <c r="G5376" s="43" t="s">
        <v>4583</v>
      </c>
      <c r="H5376"/>
    </row>
    <row r="5377" spans="1:8" hidden="1" x14ac:dyDescent="0.25">
      <c r="A5377" s="43">
        <v>817</v>
      </c>
      <c r="B5377" s="43" t="s">
        <v>244</v>
      </c>
      <c r="C5377" s="43" t="s">
        <v>723</v>
      </c>
      <c r="D5377" s="43" t="s">
        <v>754</v>
      </c>
      <c r="E5377" s="43" t="s">
        <v>755</v>
      </c>
      <c r="F5377" s="43">
        <v>0</v>
      </c>
      <c r="G5377" s="43" t="s">
        <v>4583</v>
      </c>
      <c r="H5377"/>
    </row>
    <row r="5378" spans="1:8" hidden="1" x14ac:dyDescent="0.25">
      <c r="A5378" s="43">
        <v>817</v>
      </c>
      <c r="B5378" s="43" t="s">
        <v>244</v>
      </c>
      <c r="C5378" s="43" t="s">
        <v>723</v>
      </c>
      <c r="D5378" s="43" t="s">
        <v>756</v>
      </c>
      <c r="E5378" s="43" t="s">
        <v>757</v>
      </c>
      <c r="F5378" s="43">
        <v>0</v>
      </c>
      <c r="G5378" s="43" t="s">
        <v>4583</v>
      </c>
      <c r="H5378"/>
    </row>
    <row r="5379" spans="1:8" hidden="1" x14ac:dyDescent="0.25">
      <c r="A5379" s="43">
        <v>817</v>
      </c>
      <c r="B5379" s="43" t="s">
        <v>244</v>
      </c>
      <c r="C5379" s="43" t="s">
        <v>723</v>
      </c>
      <c r="D5379" s="43" t="s">
        <v>758</v>
      </c>
      <c r="E5379" s="43" t="s">
        <v>759</v>
      </c>
      <c r="F5379" s="43">
        <v>0</v>
      </c>
      <c r="G5379" s="43" t="s">
        <v>4583</v>
      </c>
      <c r="H5379"/>
    </row>
    <row r="5380" spans="1:8" hidden="1" x14ac:dyDescent="0.25">
      <c r="A5380" s="43">
        <v>817</v>
      </c>
      <c r="B5380" s="43" t="s">
        <v>244</v>
      </c>
      <c r="C5380" s="43" t="s">
        <v>1198</v>
      </c>
      <c r="D5380" s="43" t="s">
        <v>1199</v>
      </c>
      <c r="E5380" s="43" t="s">
        <v>273</v>
      </c>
      <c r="F5380" s="43">
        <v>1</v>
      </c>
      <c r="G5380"/>
      <c r="H5380"/>
    </row>
    <row r="5381" spans="1:8" hidden="1" x14ac:dyDescent="0.25">
      <c r="A5381" s="43">
        <v>817</v>
      </c>
      <c r="B5381" s="43" t="s">
        <v>244</v>
      </c>
      <c r="C5381" s="43" t="s">
        <v>1198</v>
      </c>
      <c r="D5381" s="43" t="s">
        <v>1200</v>
      </c>
      <c r="E5381" s="43" t="s">
        <v>312</v>
      </c>
      <c r="F5381" s="43">
        <v>1</v>
      </c>
      <c r="G5381"/>
      <c r="H5381"/>
    </row>
    <row r="5382" spans="1:8" hidden="1" x14ac:dyDescent="0.25">
      <c r="A5382" s="43">
        <v>817</v>
      </c>
      <c r="B5382" s="43" t="s">
        <v>244</v>
      </c>
      <c r="C5382" s="43" t="s">
        <v>1198</v>
      </c>
      <c r="D5382" s="43" t="s">
        <v>1201</v>
      </c>
      <c r="E5382" s="43" t="s">
        <v>801</v>
      </c>
      <c r="F5382" s="43">
        <v>0</v>
      </c>
      <c r="G5382" s="43" t="s">
        <v>4583</v>
      </c>
      <c r="H5382"/>
    </row>
    <row r="5383" spans="1:8" hidden="1" x14ac:dyDescent="0.25">
      <c r="A5383" s="43">
        <v>817</v>
      </c>
      <c r="B5383" s="43" t="s">
        <v>244</v>
      </c>
      <c r="C5383" s="43" t="s">
        <v>1198</v>
      </c>
      <c r="D5383" s="43" t="s">
        <v>1202</v>
      </c>
      <c r="E5383" s="43" t="s">
        <v>786</v>
      </c>
      <c r="F5383" s="43">
        <v>1</v>
      </c>
      <c r="G5383"/>
      <c r="H5383"/>
    </row>
    <row r="5384" spans="1:8" hidden="1" x14ac:dyDescent="0.25">
      <c r="A5384" s="43">
        <v>817</v>
      </c>
      <c r="B5384" s="43" t="s">
        <v>244</v>
      </c>
      <c r="C5384" s="43" t="s">
        <v>1198</v>
      </c>
      <c r="D5384" s="43" t="s">
        <v>1203</v>
      </c>
      <c r="E5384" s="43" t="s">
        <v>784</v>
      </c>
      <c r="F5384" s="43">
        <v>1</v>
      </c>
      <c r="G5384"/>
      <c r="H5384"/>
    </row>
    <row r="5385" spans="1:8" hidden="1" x14ac:dyDescent="0.25">
      <c r="A5385" s="43">
        <v>817</v>
      </c>
      <c r="B5385" s="43" t="s">
        <v>244</v>
      </c>
      <c r="C5385" s="43" t="s">
        <v>1198</v>
      </c>
      <c r="D5385" s="43" t="s">
        <v>1204</v>
      </c>
      <c r="E5385" s="43" t="s">
        <v>1205</v>
      </c>
      <c r="F5385" s="43">
        <v>0</v>
      </c>
      <c r="G5385" s="43" t="s">
        <v>4583</v>
      </c>
      <c r="H5385"/>
    </row>
    <row r="5386" spans="1:8" hidden="1" x14ac:dyDescent="0.25">
      <c r="A5386" s="43">
        <v>817</v>
      </c>
      <c r="B5386" s="43" t="s">
        <v>244</v>
      </c>
      <c r="C5386" s="43" t="s">
        <v>1198</v>
      </c>
      <c r="D5386" s="43" t="s">
        <v>1206</v>
      </c>
      <c r="E5386" s="43" t="s">
        <v>1207</v>
      </c>
      <c r="F5386" s="43">
        <v>0</v>
      </c>
      <c r="G5386" s="43" t="s">
        <v>4583</v>
      </c>
      <c r="H5386"/>
    </row>
    <row r="5387" spans="1:8" hidden="1" x14ac:dyDescent="0.25">
      <c r="A5387" s="43">
        <v>817</v>
      </c>
      <c r="B5387" s="43" t="s">
        <v>244</v>
      </c>
      <c r="C5387" s="43" t="s">
        <v>1198</v>
      </c>
      <c r="D5387" s="43" t="s">
        <v>1208</v>
      </c>
      <c r="E5387" s="43" t="s">
        <v>1209</v>
      </c>
      <c r="F5387" s="43">
        <v>0</v>
      </c>
      <c r="G5387" s="43" t="s">
        <v>4583</v>
      </c>
      <c r="H5387"/>
    </row>
    <row r="5388" spans="1:8" hidden="1" x14ac:dyDescent="0.25">
      <c r="A5388" s="43">
        <v>817</v>
      </c>
      <c r="B5388" s="43" t="s">
        <v>244</v>
      </c>
      <c r="C5388" s="43" t="s">
        <v>1198</v>
      </c>
      <c r="D5388" s="43" t="s">
        <v>1210</v>
      </c>
      <c r="E5388" s="43" t="s">
        <v>1211</v>
      </c>
      <c r="F5388" s="43">
        <v>0</v>
      </c>
      <c r="G5388" s="43" t="s">
        <v>4583</v>
      </c>
      <c r="H5388"/>
    </row>
    <row r="5389" spans="1:8" hidden="1" x14ac:dyDescent="0.25">
      <c r="A5389" s="43">
        <v>817</v>
      </c>
      <c r="B5389" s="43" t="s">
        <v>244</v>
      </c>
      <c r="C5389" s="43" t="s">
        <v>1198</v>
      </c>
      <c r="D5389" s="43" t="s">
        <v>1212</v>
      </c>
      <c r="E5389" s="43" t="s">
        <v>789</v>
      </c>
      <c r="F5389" s="43">
        <v>0</v>
      </c>
      <c r="G5389" s="43" t="s">
        <v>4583</v>
      </c>
      <c r="H5389"/>
    </row>
    <row r="5390" spans="1:8" hidden="1" x14ac:dyDescent="0.25">
      <c r="A5390" s="43">
        <v>817</v>
      </c>
      <c r="B5390" s="43" t="s">
        <v>244</v>
      </c>
      <c r="C5390" s="43" t="s">
        <v>1198</v>
      </c>
      <c r="D5390" s="43" t="s">
        <v>1213</v>
      </c>
      <c r="E5390" s="43" t="s">
        <v>1214</v>
      </c>
      <c r="F5390" s="43">
        <v>1</v>
      </c>
      <c r="G5390"/>
      <c r="H5390"/>
    </row>
    <row r="5391" spans="1:8" hidden="1" x14ac:dyDescent="0.25">
      <c r="A5391" s="43">
        <v>817</v>
      </c>
      <c r="B5391" s="43" t="s">
        <v>244</v>
      </c>
      <c r="C5391" s="43" t="s">
        <v>1198</v>
      </c>
      <c r="D5391" s="43" t="s">
        <v>1215</v>
      </c>
      <c r="E5391" s="43" t="s">
        <v>1216</v>
      </c>
      <c r="F5391" s="43">
        <v>0</v>
      </c>
      <c r="G5391" s="43" t="s">
        <v>4583</v>
      </c>
      <c r="H5391"/>
    </row>
    <row r="5392" spans="1:8" hidden="1" x14ac:dyDescent="0.25">
      <c r="A5392" s="43">
        <v>817</v>
      </c>
      <c r="B5392" s="43" t="s">
        <v>244</v>
      </c>
      <c r="C5392" s="43" t="s">
        <v>1198</v>
      </c>
      <c r="D5392" s="43" t="s">
        <v>1217</v>
      </c>
      <c r="E5392" s="43" t="s">
        <v>791</v>
      </c>
      <c r="F5392" s="43">
        <v>0</v>
      </c>
      <c r="G5392" s="43" t="s">
        <v>4583</v>
      </c>
      <c r="H5392"/>
    </row>
    <row r="5393" spans="1:8" hidden="1" x14ac:dyDescent="0.25">
      <c r="A5393" s="43">
        <v>817</v>
      </c>
      <c r="B5393" s="43" t="s">
        <v>244</v>
      </c>
      <c r="C5393" s="43" t="s">
        <v>1198</v>
      </c>
      <c r="D5393" s="43" t="s">
        <v>1218</v>
      </c>
      <c r="E5393" s="43" t="s">
        <v>795</v>
      </c>
      <c r="F5393" s="43">
        <v>1</v>
      </c>
      <c r="G5393"/>
      <c r="H5393"/>
    </row>
    <row r="5394" spans="1:8" hidden="1" x14ac:dyDescent="0.25">
      <c r="A5394" s="43">
        <v>817</v>
      </c>
      <c r="B5394" s="43" t="s">
        <v>244</v>
      </c>
      <c r="C5394" s="43" t="s">
        <v>1198</v>
      </c>
      <c r="D5394" s="43" t="s">
        <v>1219</v>
      </c>
      <c r="E5394" s="43" t="s">
        <v>372</v>
      </c>
      <c r="F5394" s="43">
        <v>0</v>
      </c>
      <c r="G5394" s="43" t="s">
        <v>4583</v>
      </c>
      <c r="H5394"/>
    </row>
    <row r="5395" spans="1:8" hidden="1" x14ac:dyDescent="0.25">
      <c r="A5395" s="43">
        <v>817</v>
      </c>
      <c r="B5395" s="43" t="s">
        <v>244</v>
      </c>
      <c r="C5395" s="43" t="s">
        <v>1259</v>
      </c>
      <c r="D5395" s="43" t="s">
        <v>1260</v>
      </c>
      <c r="E5395" s="43" t="s">
        <v>273</v>
      </c>
      <c r="F5395" s="43">
        <v>1</v>
      </c>
      <c r="G5395"/>
      <c r="H5395"/>
    </row>
    <row r="5396" spans="1:8" hidden="1" x14ac:dyDescent="0.25">
      <c r="A5396" s="43">
        <v>817</v>
      </c>
      <c r="B5396" s="43" t="s">
        <v>244</v>
      </c>
      <c r="C5396" s="43" t="s">
        <v>1259</v>
      </c>
      <c r="D5396" s="43" t="s">
        <v>1261</v>
      </c>
      <c r="E5396" s="43" t="s">
        <v>1262</v>
      </c>
      <c r="F5396" s="43">
        <v>0</v>
      </c>
      <c r="G5396" s="43" t="s">
        <v>4583</v>
      </c>
      <c r="H5396"/>
    </row>
    <row r="5397" spans="1:8" hidden="1" x14ac:dyDescent="0.25">
      <c r="A5397" s="43">
        <v>817</v>
      </c>
      <c r="B5397" s="43" t="s">
        <v>244</v>
      </c>
      <c r="C5397" s="43" t="s">
        <v>1259</v>
      </c>
      <c r="D5397" s="43" t="s">
        <v>1263</v>
      </c>
      <c r="E5397" s="43" t="s">
        <v>1264</v>
      </c>
      <c r="F5397" s="43">
        <v>0</v>
      </c>
      <c r="G5397" s="43" t="s">
        <v>4583</v>
      </c>
      <c r="H5397"/>
    </row>
    <row r="5398" spans="1:8" hidden="1" x14ac:dyDescent="0.25">
      <c r="A5398" s="43">
        <v>817</v>
      </c>
      <c r="B5398" s="43" t="s">
        <v>244</v>
      </c>
      <c r="C5398" s="43" t="s">
        <v>1259</v>
      </c>
      <c r="D5398" s="43" t="s">
        <v>1265</v>
      </c>
      <c r="E5398" s="43" t="s">
        <v>1266</v>
      </c>
      <c r="F5398" s="43">
        <v>0</v>
      </c>
      <c r="G5398" s="43" t="s">
        <v>4583</v>
      </c>
      <c r="H5398"/>
    </row>
    <row r="5399" spans="1:8" hidden="1" x14ac:dyDescent="0.25">
      <c r="A5399" s="43">
        <v>817</v>
      </c>
      <c r="B5399" s="43" t="s">
        <v>244</v>
      </c>
      <c r="C5399" s="43" t="s">
        <v>1125</v>
      </c>
      <c r="D5399" s="43" t="s">
        <v>1126</v>
      </c>
      <c r="E5399" s="43" t="s">
        <v>273</v>
      </c>
      <c r="F5399" s="43">
        <v>1</v>
      </c>
      <c r="G5399"/>
      <c r="H5399"/>
    </row>
    <row r="5400" spans="1:8" hidden="1" x14ac:dyDescent="0.25">
      <c r="A5400" s="43">
        <v>817</v>
      </c>
      <c r="B5400" s="43" t="s">
        <v>244</v>
      </c>
      <c r="C5400" s="43" t="s">
        <v>1125</v>
      </c>
      <c r="D5400" s="43" t="s">
        <v>1127</v>
      </c>
      <c r="E5400" s="43" t="s">
        <v>312</v>
      </c>
      <c r="F5400" s="43">
        <v>1</v>
      </c>
      <c r="G5400"/>
      <c r="H5400"/>
    </row>
    <row r="5401" spans="1:8" hidden="1" x14ac:dyDescent="0.25">
      <c r="A5401" s="43">
        <v>817</v>
      </c>
      <c r="B5401" s="43" t="s">
        <v>244</v>
      </c>
      <c r="C5401" s="43" t="s">
        <v>1125</v>
      </c>
      <c r="D5401" s="43" t="s">
        <v>1128</v>
      </c>
      <c r="E5401" s="43" t="s">
        <v>1129</v>
      </c>
      <c r="F5401" s="43">
        <v>0</v>
      </c>
      <c r="G5401" s="43" t="s">
        <v>4583</v>
      </c>
      <c r="H5401"/>
    </row>
    <row r="5402" spans="1:8" hidden="1" x14ac:dyDescent="0.25">
      <c r="A5402" s="43">
        <v>817</v>
      </c>
      <c r="B5402" s="43" t="s">
        <v>244</v>
      </c>
      <c r="C5402" s="43" t="s">
        <v>1125</v>
      </c>
      <c r="D5402" s="43" t="s">
        <v>1130</v>
      </c>
      <c r="E5402" s="43" t="s">
        <v>1131</v>
      </c>
      <c r="F5402" s="43">
        <v>1</v>
      </c>
      <c r="G5402"/>
      <c r="H5402"/>
    </row>
    <row r="5403" spans="1:8" hidden="1" x14ac:dyDescent="0.25">
      <c r="A5403" s="43">
        <v>817</v>
      </c>
      <c r="B5403" s="43" t="s">
        <v>244</v>
      </c>
      <c r="C5403" s="43" t="s">
        <v>1125</v>
      </c>
      <c r="D5403" s="43" t="s">
        <v>1132</v>
      </c>
      <c r="E5403" s="43" t="s">
        <v>1133</v>
      </c>
      <c r="F5403" s="43">
        <v>0</v>
      </c>
      <c r="G5403" s="43" t="s">
        <v>4583</v>
      </c>
      <c r="H5403"/>
    </row>
    <row r="5404" spans="1:8" hidden="1" x14ac:dyDescent="0.25">
      <c r="A5404" s="43">
        <v>817</v>
      </c>
      <c r="B5404" s="43" t="s">
        <v>244</v>
      </c>
      <c r="C5404" s="43" t="s">
        <v>1125</v>
      </c>
      <c r="D5404" s="43" t="s">
        <v>1134</v>
      </c>
      <c r="E5404" s="43" t="s">
        <v>347</v>
      </c>
      <c r="F5404" s="43">
        <v>0</v>
      </c>
      <c r="G5404" s="43" t="s">
        <v>4583</v>
      </c>
      <c r="H5404"/>
    </row>
    <row r="5405" spans="1:8" hidden="1" x14ac:dyDescent="0.25">
      <c r="A5405" s="43">
        <v>817</v>
      </c>
      <c r="B5405" s="43" t="s">
        <v>244</v>
      </c>
      <c r="C5405" s="43" t="s">
        <v>1125</v>
      </c>
      <c r="D5405" s="43" t="s">
        <v>1135</v>
      </c>
      <c r="E5405" s="43" t="s">
        <v>1136</v>
      </c>
      <c r="F5405" s="43">
        <v>0</v>
      </c>
      <c r="G5405" s="43" t="s">
        <v>4583</v>
      </c>
      <c r="H5405"/>
    </row>
    <row r="5406" spans="1:8" hidden="1" x14ac:dyDescent="0.25">
      <c r="A5406" s="43">
        <v>817</v>
      </c>
      <c r="B5406" s="43" t="s">
        <v>244</v>
      </c>
      <c r="C5406" s="43" t="s">
        <v>1125</v>
      </c>
      <c r="D5406" s="43" t="s">
        <v>1137</v>
      </c>
      <c r="E5406" s="43" t="s">
        <v>1138</v>
      </c>
      <c r="F5406" s="43">
        <v>1</v>
      </c>
      <c r="G5406"/>
      <c r="H5406"/>
    </row>
    <row r="5407" spans="1:8" hidden="1" x14ac:dyDescent="0.25">
      <c r="A5407" s="43">
        <v>817</v>
      </c>
      <c r="B5407" s="43" t="s">
        <v>244</v>
      </c>
      <c r="C5407" s="43" t="s">
        <v>1125</v>
      </c>
      <c r="D5407" s="43" t="s">
        <v>1139</v>
      </c>
      <c r="E5407" s="43" t="s">
        <v>1140</v>
      </c>
      <c r="F5407" s="43">
        <v>0</v>
      </c>
      <c r="G5407" s="43" t="s">
        <v>4583</v>
      </c>
      <c r="H5407"/>
    </row>
    <row r="5408" spans="1:8" hidden="1" x14ac:dyDescent="0.25">
      <c r="A5408" s="43">
        <v>817</v>
      </c>
      <c r="B5408" s="43" t="s">
        <v>244</v>
      </c>
      <c r="C5408" s="43" t="s">
        <v>1723</v>
      </c>
      <c r="D5408" s="43" t="s">
        <v>1724</v>
      </c>
      <c r="E5408" s="43" t="s">
        <v>273</v>
      </c>
      <c r="F5408" s="43">
        <v>1</v>
      </c>
      <c r="G5408"/>
      <c r="H5408"/>
    </row>
    <row r="5409" spans="1:8" hidden="1" x14ac:dyDescent="0.25">
      <c r="A5409" s="43">
        <v>817</v>
      </c>
      <c r="B5409" s="43" t="s">
        <v>244</v>
      </c>
      <c r="C5409" s="43" t="s">
        <v>1723</v>
      </c>
      <c r="D5409" s="43" t="s">
        <v>1725</v>
      </c>
      <c r="E5409" s="43" t="s">
        <v>312</v>
      </c>
      <c r="F5409" s="43">
        <v>1</v>
      </c>
      <c r="G5409"/>
      <c r="H5409"/>
    </row>
    <row r="5410" spans="1:8" hidden="1" x14ac:dyDescent="0.25">
      <c r="A5410" s="43">
        <v>817</v>
      </c>
      <c r="B5410" s="43" t="s">
        <v>244</v>
      </c>
      <c r="C5410" s="43" t="s">
        <v>1723</v>
      </c>
      <c r="D5410" s="43" t="s">
        <v>1726</v>
      </c>
      <c r="E5410" s="43" t="s">
        <v>1727</v>
      </c>
      <c r="F5410" s="43">
        <v>1</v>
      </c>
      <c r="G5410"/>
      <c r="H5410"/>
    </row>
    <row r="5411" spans="1:8" hidden="1" x14ac:dyDescent="0.25">
      <c r="A5411" s="43">
        <v>817</v>
      </c>
      <c r="B5411" s="43" t="s">
        <v>244</v>
      </c>
      <c r="C5411" s="43" t="s">
        <v>1723</v>
      </c>
      <c r="D5411" s="43" t="s">
        <v>1728</v>
      </c>
      <c r="E5411" s="43" t="s">
        <v>380</v>
      </c>
      <c r="F5411" s="43">
        <v>0</v>
      </c>
      <c r="G5411" s="43" t="s">
        <v>4583</v>
      </c>
      <c r="H5411"/>
    </row>
    <row r="5412" spans="1:8" hidden="1" x14ac:dyDescent="0.25">
      <c r="A5412" s="43">
        <v>817</v>
      </c>
      <c r="B5412" s="43" t="s">
        <v>244</v>
      </c>
      <c r="C5412" s="43" t="s">
        <v>1723</v>
      </c>
      <c r="D5412" s="43" t="s">
        <v>1729</v>
      </c>
      <c r="E5412" s="43" t="s">
        <v>1730</v>
      </c>
      <c r="F5412" s="43">
        <v>0</v>
      </c>
      <c r="G5412" s="43" t="s">
        <v>4583</v>
      </c>
      <c r="H5412"/>
    </row>
    <row r="5413" spans="1:8" hidden="1" x14ac:dyDescent="0.25">
      <c r="A5413" s="43">
        <v>817</v>
      </c>
      <c r="B5413" s="43" t="s">
        <v>244</v>
      </c>
      <c r="C5413" s="43" t="s">
        <v>1723</v>
      </c>
      <c r="D5413" s="43" t="s">
        <v>1731</v>
      </c>
      <c r="E5413" s="43" t="s">
        <v>322</v>
      </c>
      <c r="F5413" s="43">
        <v>0</v>
      </c>
      <c r="G5413" s="43" t="s">
        <v>4583</v>
      </c>
      <c r="H5413"/>
    </row>
    <row r="5414" spans="1:8" hidden="1" x14ac:dyDescent="0.25">
      <c r="A5414" s="43">
        <v>817</v>
      </c>
      <c r="B5414" s="43" t="s">
        <v>244</v>
      </c>
      <c r="C5414" s="43" t="s">
        <v>1723</v>
      </c>
      <c r="D5414" s="43" t="s">
        <v>1732</v>
      </c>
      <c r="E5414" s="43" t="s">
        <v>1733</v>
      </c>
      <c r="F5414" s="43">
        <v>0</v>
      </c>
      <c r="G5414" s="43" t="s">
        <v>4583</v>
      </c>
      <c r="H5414"/>
    </row>
    <row r="5415" spans="1:8" hidden="1" x14ac:dyDescent="0.25">
      <c r="A5415" s="43">
        <v>817</v>
      </c>
      <c r="B5415" s="43" t="s">
        <v>244</v>
      </c>
      <c r="C5415" s="43" t="s">
        <v>1723</v>
      </c>
      <c r="D5415" s="43" t="s">
        <v>1734</v>
      </c>
      <c r="E5415" s="43" t="s">
        <v>1735</v>
      </c>
      <c r="F5415" s="43">
        <v>0</v>
      </c>
      <c r="G5415" s="43" t="s">
        <v>4583</v>
      </c>
      <c r="H5415"/>
    </row>
    <row r="5416" spans="1:8" hidden="1" x14ac:dyDescent="0.25">
      <c r="A5416" s="43">
        <v>817</v>
      </c>
      <c r="B5416" s="43" t="s">
        <v>244</v>
      </c>
      <c r="C5416" s="43" t="s">
        <v>1723</v>
      </c>
      <c r="D5416" s="43" t="s">
        <v>1736</v>
      </c>
      <c r="E5416" s="43" t="s">
        <v>4481</v>
      </c>
      <c r="F5416" s="43">
        <v>0</v>
      </c>
      <c r="G5416" s="43" t="s">
        <v>4583</v>
      </c>
      <c r="H5416"/>
    </row>
    <row r="5417" spans="1:8" hidden="1" x14ac:dyDescent="0.25">
      <c r="A5417" s="43">
        <v>817</v>
      </c>
      <c r="B5417" s="43" t="s">
        <v>244</v>
      </c>
      <c r="C5417" s="43" t="s">
        <v>1723</v>
      </c>
      <c r="D5417" s="43" t="s">
        <v>1738</v>
      </c>
      <c r="E5417" s="43" t="s">
        <v>1739</v>
      </c>
      <c r="F5417" s="43">
        <v>1</v>
      </c>
      <c r="G5417"/>
      <c r="H5417"/>
    </row>
    <row r="5418" spans="1:8" hidden="1" x14ac:dyDescent="0.25">
      <c r="A5418" s="43">
        <v>817</v>
      </c>
      <c r="B5418" s="43" t="s">
        <v>244</v>
      </c>
      <c r="C5418" s="43" t="s">
        <v>1723</v>
      </c>
      <c r="D5418" s="43" t="s">
        <v>1740</v>
      </c>
      <c r="E5418" s="43" t="s">
        <v>1741</v>
      </c>
      <c r="F5418" s="43">
        <v>0</v>
      </c>
      <c r="G5418" s="43" t="s">
        <v>4583</v>
      </c>
      <c r="H5418"/>
    </row>
    <row r="5419" spans="1:8" hidden="1" x14ac:dyDescent="0.25">
      <c r="A5419" s="43">
        <v>817</v>
      </c>
      <c r="B5419" s="43" t="s">
        <v>244</v>
      </c>
      <c r="C5419" s="43" t="s">
        <v>1723</v>
      </c>
      <c r="D5419" s="43" t="s">
        <v>1742</v>
      </c>
      <c r="E5419" s="43" t="s">
        <v>1743</v>
      </c>
      <c r="F5419" s="43">
        <v>0</v>
      </c>
      <c r="G5419" s="43" t="s">
        <v>4583</v>
      </c>
      <c r="H5419"/>
    </row>
    <row r="5420" spans="1:8" hidden="1" x14ac:dyDescent="0.25">
      <c r="A5420" s="43">
        <v>817</v>
      </c>
      <c r="B5420" s="43" t="s">
        <v>244</v>
      </c>
      <c r="C5420" s="43" t="s">
        <v>1723</v>
      </c>
      <c r="D5420" s="43" t="s">
        <v>1744</v>
      </c>
      <c r="E5420" s="43" t="s">
        <v>1745</v>
      </c>
      <c r="F5420" s="43">
        <v>0</v>
      </c>
      <c r="G5420" s="43" t="s">
        <v>4583</v>
      </c>
      <c r="H5420"/>
    </row>
    <row r="5421" spans="1:8" hidden="1" x14ac:dyDescent="0.25">
      <c r="A5421" s="43">
        <v>817</v>
      </c>
      <c r="B5421" s="43" t="s">
        <v>244</v>
      </c>
      <c r="C5421" s="43" t="s">
        <v>1723</v>
      </c>
      <c r="D5421" s="43" t="s">
        <v>1746</v>
      </c>
      <c r="E5421" s="43" t="s">
        <v>1747</v>
      </c>
      <c r="F5421" s="43">
        <v>0</v>
      </c>
      <c r="G5421" s="43" t="s">
        <v>4583</v>
      </c>
      <c r="H5421"/>
    </row>
    <row r="5422" spans="1:8" hidden="1" x14ac:dyDescent="0.25">
      <c r="A5422" s="43">
        <v>817</v>
      </c>
      <c r="B5422" s="43" t="s">
        <v>244</v>
      </c>
      <c r="C5422" s="43" t="s">
        <v>1723</v>
      </c>
      <c r="D5422" s="43" t="s">
        <v>1748</v>
      </c>
      <c r="E5422" s="43" t="s">
        <v>1749</v>
      </c>
      <c r="F5422" s="43">
        <v>0</v>
      </c>
      <c r="G5422" s="43" t="s">
        <v>4583</v>
      </c>
      <c r="H5422"/>
    </row>
    <row r="5423" spans="1:8" hidden="1" x14ac:dyDescent="0.25">
      <c r="A5423" s="43">
        <v>817</v>
      </c>
      <c r="B5423" s="43" t="s">
        <v>244</v>
      </c>
      <c r="C5423" s="43" t="s">
        <v>1723</v>
      </c>
      <c r="D5423" s="43" t="s">
        <v>1750</v>
      </c>
      <c r="E5423" s="43" t="s">
        <v>954</v>
      </c>
      <c r="F5423" s="43">
        <v>0</v>
      </c>
      <c r="G5423" s="43" t="s">
        <v>4583</v>
      </c>
      <c r="H5423"/>
    </row>
    <row r="5424" spans="1:8" hidden="1" x14ac:dyDescent="0.25">
      <c r="A5424" s="43">
        <v>817</v>
      </c>
      <c r="B5424" s="43" t="s">
        <v>244</v>
      </c>
      <c r="C5424" s="43" t="s">
        <v>386</v>
      </c>
      <c r="D5424" s="43" t="s">
        <v>387</v>
      </c>
      <c r="E5424" s="43" t="s">
        <v>388</v>
      </c>
      <c r="F5424" s="43">
        <v>0</v>
      </c>
      <c r="G5424" s="43" t="s">
        <v>4583</v>
      </c>
      <c r="H5424"/>
    </row>
    <row r="5425" spans="1:8" hidden="1" x14ac:dyDescent="0.25">
      <c r="A5425" s="43">
        <v>817</v>
      </c>
      <c r="B5425" s="43" t="s">
        <v>244</v>
      </c>
      <c r="C5425" s="43" t="s">
        <v>386</v>
      </c>
      <c r="D5425" s="43" t="s">
        <v>390</v>
      </c>
      <c r="E5425" s="43" t="s">
        <v>391</v>
      </c>
      <c r="F5425" s="43">
        <v>0</v>
      </c>
      <c r="G5425" s="43" t="s">
        <v>4583</v>
      </c>
      <c r="H5425"/>
    </row>
    <row r="5426" spans="1:8" hidden="1" x14ac:dyDescent="0.25">
      <c r="A5426" s="43">
        <v>817</v>
      </c>
      <c r="B5426" s="43" t="s">
        <v>244</v>
      </c>
      <c r="C5426" s="43" t="s">
        <v>386</v>
      </c>
      <c r="D5426" s="43" t="s">
        <v>392</v>
      </c>
      <c r="E5426" s="43" t="s">
        <v>393</v>
      </c>
      <c r="F5426" s="43">
        <v>0</v>
      </c>
      <c r="G5426" s="43" t="s">
        <v>4583</v>
      </c>
      <c r="H5426"/>
    </row>
    <row r="5427" spans="1:8" hidden="1" x14ac:dyDescent="0.25">
      <c r="A5427" s="43">
        <v>817</v>
      </c>
      <c r="B5427" s="43" t="s">
        <v>244</v>
      </c>
      <c r="C5427" s="43" t="s">
        <v>386</v>
      </c>
      <c r="D5427" s="43" t="s">
        <v>394</v>
      </c>
      <c r="E5427" s="43" t="s">
        <v>4474</v>
      </c>
      <c r="F5427" s="43">
        <v>0</v>
      </c>
      <c r="G5427" s="43" t="s">
        <v>4583</v>
      </c>
      <c r="H5427"/>
    </row>
    <row r="5428" spans="1:8" hidden="1" x14ac:dyDescent="0.25">
      <c r="A5428" s="43">
        <v>817</v>
      </c>
      <c r="B5428" s="43" t="s">
        <v>244</v>
      </c>
      <c r="C5428" s="43" t="s">
        <v>386</v>
      </c>
      <c r="D5428" s="43" t="s">
        <v>396</v>
      </c>
      <c r="E5428" s="43" t="s">
        <v>397</v>
      </c>
      <c r="F5428" s="43">
        <v>1</v>
      </c>
      <c r="G5428"/>
      <c r="H5428"/>
    </row>
    <row r="5429" spans="1:8" hidden="1" x14ac:dyDescent="0.25">
      <c r="A5429" s="43">
        <v>817</v>
      </c>
      <c r="B5429" s="43" t="s">
        <v>244</v>
      </c>
      <c r="C5429" s="43" t="s">
        <v>386</v>
      </c>
      <c r="D5429" s="43" t="s">
        <v>398</v>
      </c>
      <c r="E5429" s="43" t="s">
        <v>4475</v>
      </c>
      <c r="F5429" s="43">
        <v>1</v>
      </c>
      <c r="G5429"/>
      <c r="H5429"/>
    </row>
    <row r="5430" spans="1:8" hidden="1" x14ac:dyDescent="0.25">
      <c r="A5430" s="43">
        <v>817</v>
      </c>
      <c r="B5430" s="43" t="s">
        <v>244</v>
      </c>
      <c r="C5430" s="43" t="s">
        <v>386</v>
      </c>
      <c r="D5430" s="43" t="s">
        <v>400</v>
      </c>
      <c r="E5430" s="43" t="s">
        <v>401</v>
      </c>
      <c r="F5430" s="43">
        <v>1</v>
      </c>
      <c r="G5430"/>
      <c r="H5430"/>
    </row>
    <row r="5431" spans="1:8" hidden="1" x14ac:dyDescent="0.25">
      <c r="A5431" s="43">
        <v>817</v>
      </c>
      <c r="B5431" s="43" t="s">
        <v>244</v>
      </c>
      <c r="C5431" s="43" t="s">
        <v>386</v>
      </c>
      <c r="D5431" s="43" t="s">
        <v>402</v>
      </c>
      <c r="E5431" s="43" t="s">
        <v>403</v>
      </c>
      <c r="F5431" s="43">
        <v>0</v>
      </c>
      <c r="G5431" s="43" t="s">
        <v>4583</v>
      </c>
      <c r="H5431"/>
    </row>
    <row r="5432" spans="1:8" hidden="1" x14ac:dyDescent="0.25">
      <c r="A5432" s="43">
        <v>817</v>
      </c>
      <c r="B5432" s="43" t="s">
        <v>244</v>
      </c>
      <c r="C5432" s="43" t="s">
        <v>386</v>
      </c>
      <c r="D5432" s="43" t="s">
        <v>404</v>
      </c>
      <c r="E5432" s="43" t="s">
        <v>405</v>
      </c>
      <c r="F5432" s="43">
        <v>0</v>
      </c>
      <c r="G5432" s="43" t="s">
        <v>4583</v>
      </c>
      <c r="H5432"/>
    </row>
    <row r="5433" spans="1:8" hidden="1" x14ac:dyDescent="0.25">
      <c r="A5433" s="43">
        <v>817</v>
      </c>
      <c r="B5433" s="43" t="s">
        <v>244</v>
      </c>
      <c r="C5433" s="43" t="s">
        <v>386</v>
      </c>
      <c r="D5433" s="43" t="s">
        <v>406</v>
      </c>
      <c r="E5433" s="43" t="s">
        <v>407</v>
      </c>
      <c r="F5433" s="43">
        <v>0</v>
      </c>
      <c r="G5433" s="43" t="s">
        <v>4583</v>
      </c>
      <c r="H5433"/>
    </row>
    <row r="5434" spans="1:8" hidden="1" x14ac:dyDescent="0.25">
      <c r="A5434" s="43">
        <v>817</v>
      </c>
      <c r="B5434" s="43" t="s">
        <v>244</v>
      </c>
      <c r="C5434" s="43" t="s">
        <v>386</v>
      </c>
      <c r="D5434" s="43" t="s">
        <v>408</v>
      </c>
      <c r="E5434" s="43" t="s">
        <v>409</v>
      </c>
      <c r="F5434" s="43">
        <v>0</v>
      </c>
      <c r="G5434" s="43" t="s">
        <v>4583</v>
      </c>
      <c r="H5434"/>
    </row>
    <row r="5435" spans="1:8" hidden="1" x14ac:dyDescent="0.25">
      <c r="A5435" s="43">
        <v>817</v>
      </c>
      <c r="B5435" s="43" t="s">
        <v>244</v>
      </c>
      <c r="C5435" s="43" t="s">
        <v>1863</v>
      </c>
      <c r="D5435" s="43" t="s">
        <v>1864</v>
      </c>
      <c r="E5435" s="43" t="s">
        <v>1865</v>
      </c>
      <c r="F5435" s="43">
        <v>0</v>
      </c>
      <c r="G5435" s="43" t="s">
        <v>4583</v>
      </c>
      <c r="H5435"/>
    </row>
    <row r="5436" spans="1:8" hidden="1" x14ac:dyDescent="0.25">
      <c r="A5436" s="43">
        <v>817</v>
      </c>
      <c r="B5436" s="43" t="s">
        <v>244</v>
      </c>
      <c r="C5436" s="43" t="s">
        <v>1863</v>
      </c>
      <c r="D5436" s="43" t="s">
        <v>1866</v>
      </c>
      <c r="E5436" s="43" t="s">
        <v>1867</v>
      </c>
      <c r="F5436" s="43">
        <v>0</v>
      </c>
      <c r="G5436" s="43" t="s">
        <v>4583</v>
      </c>
      <c r="H5436"/>
    </row>
    <row r="5437" spans="1:8" hidden="1" x14ac:dyDescent="0.25">
      <c r="A5437" s="43">
        <v>817</v>
      </c>
      <c r="B5437" s="43" t="s">
        <v>244</v>
      </c>
      <c r="C5437" s="43" t="s">
        <v>1863</v>
      </c>
      <c r="D5437" s="43" t="s">
        <v>1868</v>
      </c>
      <c r="E5437" s="43" t="s">
        <v>289</v>
      </c>
      <c r="F5437" s="43">
        <v>0</v>
      </c>
      <c r="G5437" s="43" t="s">
        <v>4583</v>
      </c>
      <c r="H5437"/>
    </row>
    <row r="5438" spans="1:8" hidden="1" x14ac:dyDescent="0.25">
      <c r="A5438" s="43">
        <v>817</v>
      </c>
      <c r="B5438" s="43" t="s">
        <v>244</v>
      </c>
      <c r="C5438" s="43" t="s">
        <v>1863</v>
      </c>
      <c r="D5438" s="43" t="s">
        <v>1869</v>
      </c>
      <c r="E5438" s="43" t="s">
        <v>391</v>
      </c>
      <c r="F5438" s="43">
        <v>0</v>
      </c>
      <c r="G5438" s="43" t="s">
        <v>4583</v>
      </c>
      <c r="H5438"/>
    </row>
    <row r="5439" spans="1:8" hidden="1" x14ac:dyDescent="0.25">
      <c r="A5439" s="43">
        <v>817</v>
      </c>
      <c r="B5439" s="43" t="s">
        <v>244</v>
      </c>
      <c r="C5439" s="43" t="s">
        <v>1863</v>
      </c>
      <c r="D5439" s="43" t="s">
        <v>1870</v>
      </c>
      <c r="E5439" s="43" t="s">
        <v>1871</v>
      </c>
      <c r="F5439" s="43">
        <v>1</v>
      </c>
      <c r="G5439"/>
      <c r="H5439"/>
    </row>
    <row r="5440" spans="1:8" hidden="1" x14ac:dyDescent="0.25">
      <c r="A5440" s="43">
        <v>817</v>
      </c>
      <c r="B5440" s="43" t="s">
        <v>244</v>
      </c>
      <c r="C5440" s="43" t="s">
        <v>1863</v>
      </c>
      <c r="D5440" s="43" t="s">
        <v>1872</v>
      </c>
      <c r="E5440" s="43" t="s">
        <v>4494</v>
      </c>
      <c r="F5440" s="43">
        <v>1</v>
      </c>
      <c r="G5440"/>
      <c r="H5440"/>
    </row>
    <row r="5441" spans="1:8" hidden="1" x14ac:dyDescent="0.25">
      <c r="A5441" s="43">
        <v>817</v>
      </c>
      <c r="B5441" s="43" t="s">
        <v>244</v>
      </c>
      <c r="C5441" s="43" t="s">
        <v>1354</v>
      </c>
      <c r="D5441" s="43" t="s">
        <v>1355</v>
      </c>
      <c r="E5441" s="43" t="s">
        <v>270</v>
      </c>
      <c r="F5441" s="43">
        <v>1</v>
      </c>
      <c r="G5441"/>
      <c r="H5441"/>
    </row>
    <row r="5442" spans="1:8" hidden="1" x14ac:dyDescent="0.25">
      <c r="A5442" s="43">
        <v>817</v>
      </c>
      <c r="B5442" s="43" t="s">
        <v>244</v>
      </c>
      <c r="C5442" s="43" t="s">
        <v>1354</v>
      </c>
      <c r="D5442" s="43" t="s">
        <v>1356</v>
      </c>
      <c r="E5442" s="43" t="s">
        <v>1357</v>
      </c>
      <c r="F5442" s="43">
        <v>1</v>
      </c>
      <c r="G5442"/>
      <c r="H5442"/>
    </row>
    <row r="5443" spans="1:8" hidden="1" x14ac:dyDescent="0.25">
      <c r="A5443" s="43">
        <v>817</v>
      </c>
      <c r="B5443" s="43" t="s">
        <v>244</v>
      </c>
      <c r="C5443" s="43" t="s">
        <v>1354</v>
      </c>
      <c r="D5443" s="43" t="s">
        <v>1358</v>
      </c>
      <c r="E5443" s="43" t="s">
        <v>1359</v>
      </c>
      <c r="F5443" s="43">
        <v>0</v>
      </c>
      <c r="G5443" s="43" t="s">
        <v>4583</v>
      </c>
      <c r="H5443"/>
    </row>
    <row r="5444" spans="1:8" hidden="1" x14ac:dyDescent="0.25">
      <c r="A5444" s="43">
        <v>817</v>
      </c>
      <c r="B5444" s="43" t="s">
        <v>244</v>
      </c>
      <c r="C5444" s="43" t="s">
        <v>1354</v>
      </c>
      <c r="D5444" s="43" t="s">
        <v>1360</v>
      </c>
      <c r="E5444" s="43" t="s">
        <v>1361</v>
      </c>
      <c r="F5444" s="43">
        <v>0</v>
      </c>
      <c r="G5444" s="43" t="s">
        <v>4583</v>
      </c>
      <c r="H5444"/>
    </row>
    <row r="5445" spans="1:8" hidden="1" x14ac:dyDescent="0.25">
      <c r="A5445" s="43">
        <v>817</v>
      </c>
      <c r="B5445" s="43" t="s">
        <v>244</v>
      </c>
      <c r="C5445" s="43" t="s">
        <v>1354</v>
      </c>
      <c r="D5445" s="43" t="s">
        <v>1362</v>
      </c>
      <c r="E5445" s="43" t="s">
        <v>1363</v>
      </c>
      <c r="F5445" s="43">
        <v>1</v>
      </c>
      <c r="G5445"/>
      <c r="H5445"/>
    </row>
    <row r="5446" spans="1:8" hidden="1" x14ac:dyDescent="0.25">
      <c r="A5446" s="43">
        <v>817</v>
      </c>
      <c r="B5446" s="43" t="s">
        <v>244</v>
      </c>
      <c r="C5446" s="43" t="s">
        <v>1354</v>
      </c>
      <c r="D5446" s="43" t="s">
        <v>1364</v>
      </c>
      <c r="E5446" s="43" t="s">
        <v>1365</v>
      </c>
      <c r="F5446" s="43">
        <v>1</v>
      </c>
      <c r="G5446"/>
      <c r="H5446"/>
    </row>
    <row r="5447" spans="1:8" hidden="1" x14ac:dyDescent="0.25">
      <c r="A5447" s="43">
        <v>818</v>
      </c>
      <c r="B5447" s="43" t="s">
        <v>245</v>
      </c>
      <c r="C5447" s="43" t="s">
        <v>1390</v>
      </c>
      <c r="D5447" s="43" t="s">
        <v>1391</v>
      </c>
      <c r="E5447" s="43" t="s">
        <v>583</v>
      </c>
      <c r="F5447" s="43">
        <v>1</v>
      </c>
      <c r="G5447"/>
      <c r="H5447"/>
    </row>
    <row r="5448" spans="1:8" hidden="1" x14ac:dyDescent="0.25">
      <c r="A5448" s="43">
        <v>818</v>
      </c>
      <c r="B5448" s="43" t="s">
        <v>245</v>
      </c>
      <c r="C5448" s="43" t="s">
        <v>1390</v>
      </c>
      <c r="D5448" s="43" t="s">
        <v>1392</v>
      </c>
      <c r="E5448" s="43" t="s">
        <v>306</v>
      </c>
      <c r="F5448" s="43">
        <v>0</v>
      </c>
      <c r="G5448" s="43" t="s">
        <v>4583</v>
      </c>
      <c r="H5448"/>
    </row>
    <row r="5449" spans="1:8" hidden="1" x14ac:dyDescent="0.25">
      <c r="A5449" s="43">
        <v>818</v>
      </c>
      <c r="B5449" s="43" t="s">
        <v>245</v>
      </c>
      <c r="C5449" s="43" t="s">
        <v>1390</v>
      </c>
      <c r="D5449" s="43" t="s">
        <v>1393</v>
      </c>
      <c r="E5449" s="43" t="s">
        <v>1394</v>
      </c>
      <c r="F5449" s="43">
        <v>0</v>
      </c>
      <c r="G5449" s="43" t="s">
        <v>4583</v>
      </c>
      <c r="H5449"/>
    </row>
    <row r="5450" spans="1:8" hidden="1" x14ac:dyDescent="0.25">
      <c r="A5450" s="43">
        <v>818</v>
      </c>
      <c r="B5450" s="43" t="s">
        <v>245</v>
      </c>
      <c r="C5450" s="43" t="s">
        <v>1390</v>
      </c>
      <c r="D5450" s="43" t="s">
        <v>1395</v>
      </c>
      <c r="E5450" s="43" t="s">
        <v>273</v>
      </c>
      <c r="F5450" s="43">
        <v>0</v>
      </c>
      <c r="G5450" s="43" t="s">
        <v>4583</v>
      </c>
      <c r="H5450"/>
    </row>
    <row r="5451" spans="1:8" hidden="1" x14ac:dyDescent="0.25">
      <c r="A5451" s="43">
        <v>818</v>
      </c>
      <c r="B5451" s="43" t="s">
        <v>245</v>
      </c>
      <c r="C5451" s="43" t="s">
        <v>1390</v>
      </c>
      <c r="D5451" s="43" t="s">
        <v>1396</v>
      </c>
      <c r="E5451" s="43" t="s">
        <v>1397</v>
      </c>
      <c r="F5451" s="43">
        <v>1</v>
      </c>
      <c r="G5451"/>
      <c r="H5451"/>
    </row>
    <row r="5452" spans="1:8" hidden="1" x14ac:dyDescent="0.25">
      <c r="A5452" s="43">
        <v>818</v>
      </c>
      <c r="B5452" s="43" t="s">
        <v>245</v>
      </c>
      <c r="C5452" s="43" t="s">
        <v>1390</v>
      </c>
      <c r="D5452" s="43" t="s">
        <v>1398</v>
      </c>
      <c r="E5452" s="43" t="s">
        <v>493</v>
      </c>
      <c r="F5452" s="43">
        <v>0</v>
      </c>
      <c r="G5452" s="43" t="s">
        <v>4583</v>
      </c>
      <c r="H5452"/>
    </row>
    <row r="5453" spans="1:8" hidden="1" x14ac:dyDescent="0.25">
      <c r="A5453" s="43">
        <v>818</v>
      </c>
      <c r="B5453" s="43" t="s">
        <v>245</v>
      </c>
      <c r="C5453" s="43" t="s">
        <v>1390</v>
      </c>
      <c r="D5453" s="43" t="s">
        <v>1400</v>
      </c>
      <c r="E5453" s="43" t="s">
        <v>1401</v>
      </c>
      <c r="F5453" s="43">
        <v>0</v>
      </c>
      <c r="G5453" s="43" t="s">
        <v>4583</v>
      </c>
      <c r="H5453"/>
    </row>
    <row r="5454" spans="1:8" hidden="1" x14ac:dyDescent="0.25">
      <c r="A5454" s="43">
        <v>818</v>
      </c>
      <c r="B5454" s="43" t="s">
        <v>245</v>
      </c>
      <c r="C5454" s="43" t="s">
        <v>1390</v>
      </c>
      <c r="D5454" s="43" t="s">
        <v>1404</v>
      </c>
      <c r="E5454" s="43" t="s">
        <v>626</v>
      </c>
      <c r="F5454" s="43">
        <v>0</v>
      </c>
      <c r="G5454" s="43" t="s">
        <v>4583</v>
      </c>
      <c r="H5454"/>
    </row>
    <row r="5455" spans="1:8" hidden="1" x14ac:dyDescent="0.25">
      <c r="A5455" s="43">
        <v>818</v>
      </c>
      <c r="B5455" s="43" t="s">
        <v>245</v>
      </c>
      <c r="C5455" s="43" t="s">
        <v>1390</v>
      </c>
      <c r="D5455" s="43" t="s">
        <v>1407</v>
      </c>
      <c r="E5455" s="43" t="s">
        <v>627</v>
      </c>
      <c r="F5455" s="43">
        <v>1</v>
      </c>
      <c r="G5455"/>
      <c r="H5455"/>
    </row>
    <row r="5456" spans="1:8" hidden="1" x14ac:dyDescent="0.25">
      <c r="A5456" s="43">
        <v>818</v>
      </c>
      <c r="B5456" s="43" t="s">
        <v>245</v>
      </c>
      <c r="C5456" s="43" t="s">
        <v>1390</v>
      </c>
      <c r="D5456" s="43" t="s">
        <v>1410</v>
      </c>
      <c r="E5456" s="43" t="s">
        <v>628</v>
      </c>
      <c r="F5456" s="43">
        <v>0</v>
      </c>
      <c r="G5456" s="43" t="s">
        <v>4583</v>
      </c>
      <c r="H5456"/>
    </row>
    <row r="5457" spans="1:8" hidden="1" x14ac:dyDescent="0.25">
      <c r="A5457" s="43">
        <v>818</v>
      </c>
      <c r="B5457" s="43" t="s">
        <v>245</v>
      </c>
      <c r="C5457" s="43" t="s">
        <v>1390</v>
      </c>
      <c r="D5457" s="43" t="s">
        <v>1411</v>
      </c>
      <c r="E5457" s="43" t="s">
        <v>629</v>
      </c>
      <c r="F5457" s="43">
        <v>0</v>
      </c>
      <c r="G5457" s="43" t="s">
        <v>4583</v>
      </c>
      <c r="H5457"/>
    </row>
    <row r="5458" spans="1:8" hidden="1" x14ac:dyDescent="0.25">
      <c r="A5458" s="43">
        <v>818</v>
      </c>
      <c r="B5458" s="43" t="s">
        <v>245</v>
      </c>
      <c r="C5458" s="43" t="s">
        <v>1390</v>
      </c>
      <c r="D5458" s="43" t="s">
        <v>1412</v>
      </c>
      <c r="E5458" s="43" t="s">
        <v>630</v>
      </c>
      <c r="F5458" s="43">
        <v>0</v>
      </c>
      <c r="G5458" s="43" t="s">
        <v>4583</v>
      </c>
      <c r="H5458"/>
    </row>
    <row r="5459" spans="1:8" hidden="1" x14ac:dyDescent="0.25">
      <c r="A5459" s="43">
        <v>818</v>
      </c>
      <c r="B5459" s="43" t="s">
        <v>245</v>
      </c>
      <c r="C5459" s="43" t="s">
        <v>1390</v>
      </c>
      <c r="D5459" s="43" t="s">
        <v>1413</v>
      </c>
      <c r="E5459" s="43" t="s">
        <v>1414</v>
      </c>
      <c r="F5459" s="43">
        <v>0</v>
      </c>
      <c r="G5459" s="43" t="s">
        <v>4583</v>
      </c>
      <c r="H5459"/>
    </row>
    <row r="5460" spans="1:8" hidden="1" x14ac:dyDescent="0.25">
      <c r="A5460" s="43">
        <v>818</v>
      </c>
      <c r="B5460" s="43" t="s">
        <v>245</v>
      </c>
      <c r="C5460" s="43" t="s">
        <v>1390</v>
      </c>
      <c r="D5460" s="43" t="s">
        <v>1415</v>
      </c>
      <c r="E5460" s="43" t="s">
        <v>611</v>
      </c>
      <c r="F5460" s="43">
        <v>0</v>
      </c>
      <c r="G5460" s="43" t="s">
        <v>4583</v>
      </c>
      <c r="H5460"/>
    </row>
    <row r="5461" spans="1:8" hidden="1" x14ac:dyDescent="0.25">
      <c r="A5461" s="43">
        <v>818</v>
      </c>
      <c r="B5461" s="43" t="s">
        <v>245</v>
      </c>
      <c r="C5461" s="43" t="s">
        <v>1390</v>
      </c>
      <c r="D5461" s="43" t="s">
        <v>1416</v>
      </c>
      <c r="E5461" s="43" t="s">
        <v>612</v>
      </c>
      <c r="F5461" s="43">
        <v>1</v>
      </c>
      <c r="G5461"/>
      <c r="H5461"/>
    </row>
    <row r="5462" spans="1:8" hidden="1" x14ac:dyDescent="0.25">
      <c r="A5462" s="43">
        <v>818</v>
      </c>
      <c r="B5462" s="43" t="s">
        <v>245</v>
      </c>
      <c r="C5462" s="43" t="s">
        <v>1390</v>
      </c>
      <c r="D5462" s="43" t="s">
        <v>1417</v>
      </c>
      <c r="E5462" s="43" t="s">
        <v>613</v>
      </c>
      <c r="F5462" s="43">
        <v>1</v>
      </c>
      <c r="G5462"/>
      <c r="H5462"/>
    </row>
    <row r="5463" spans="1:8" hidden="1" x14ac:dyDescent="0.25">
      <c r="A5463" s="43">
        <v>818</v>
      </c>
      <c r="B5463" s="43" t="s">
        <v>245</v>
      </c>
      <c r="C5463" s="43" t="s">
        <v>1390</v>
      </c>
      <c r="D5463" s="43" t="s">
        <v>1418</v>
      </c>
      <c r="E5463" s="43" t="s">
        <v>1419</v>
      </c>
      <c r="F5463" s="43">
        <v>0</v>
      </c>
      <c r="G5463" s="43" t="s">
        <v>4583</v>
      </c>
      <c r="H5463"/>
    </row>
    <row r="5464" spans="1:8" hidden="1" x14ac:dyDescent="0.25">
      <c r="A5464" s="43">
        <v>818</v>
      </c>
      <c r="B5464" s="43" t="s">
        <v>245</v>
      </c>
      <c r="C5464" s="43" t="s">
        <v>1390</v>
      </c>
      <c r="D5464" s="43" t="s">
        <v>1420</v>
      </c>
      <c r="E5464" s="43" t="s">
        <v>621</v>
      </c>
      <c r="F5464" s="43">
        <v>0</v>
      </c>
      <c r="G5464" s="43" t="s">
        <v>4583</v>
      </c>
      <c r="H5464"/>
    </row>
    <row r="5465" spans="1:8" hidden="1" x14ac:dyDescent="0.25">
      <c r="A5465" s="43">
        <v>818</v>
      </c>
      <c r="B5465" s="43" t="s">
        <v>245</v>
      </c>
      <c r="C5465" s="43" t="s">
        <v>1390</v>
      </c>
      <c r="D5465" s="43" t="s">
        <v>1421</v>
      </c>
      <c r="E5465" s="43" t="s">
        <v>1422</v>
      </c>
      <c r="F5465" s="43">
        <v>0</v>
      </c>
      <c r="G5465" s="43" t="s">
        <v>4583</v>
      </c>
      <c r="H5465"/>
    </row>
    <row r="5466" spans="1:8" hidden="1" x14ac:dyDescent="0.25">
      <c r="A5466" s="43">
        <v>818</v>
      </c>
      <c r="B5466" s="43" t="s">
        <v>245</v>
      </c>
      <c r="C5466" s="43" t="s">
        <v>1390</v>
      </c>
      <c r="D5466" s="43" t="s">
        <v>1423</v>
      </c>
      <c r="E5466" s="43" t="s">
        <v>614</v>
      </c>
      <c r="F5466" s="43">
        <v>0</v>
      </c>
      <c r="G5466" s="43" t="s">
        <v>4583</v>
      </c>
      <c r="H5466"/>
    </row>
    <row r="5467" spans="1:8" hidden="1" x14ac:dyDescent="0.25">
      <c r="A5467" s="43">
        <v>818</v>
      </c>
      <c r="B5467" s="43" t="s">
        <v>245</v>
      </c>
      <c r="C5467" s="43" t="s">
        <v>1390</v>
      </c>
      <c r="D5467" s="43" t="s">
        <v>1424</v>
      </c>
      <c r="E5467" s="43" t="s">
        <v>615</v>
      </c>
      <c r="F5467" s="43">
        <v>0</v>
      </c>
      <c r="G5467" s="43" t="s">
        <v>4583</v>
      </c>
      <c r="H5467"/>
    </row>
    <row r="5468" spans="1:8" hidden="1" x14ac:dyDescent="0.25">
      <c r="A5468" s="43">
        <v>818</v>
      </c>
      <c r="B5468" s="43" t="s">
        <v>245</v>
      </c>
      <c r="C5468" s="43" t="s">
        <v>1390</v>
      </c>
      <c r="D5468" s="43" t="s">
        <v>1425</v>
      </c>
      <c r="E5468" s="43" t="s">
        <v>616</v>
      </c>
      <c r="F5468" s="43">
        <v>1</v>
      </c>
      <c r="G5468"/>
      <c r="H5468"/>
    </row>
    <row r="5469" spans="1:8" hidden="1" x14ac:dyDescent="0.25">
      <c r="A5469" s="43">
        <v>818</v>
      </c>
      <c r="B5469" s="43" t="s">
        <v>245</v>
      </c>
      <c r="C5469" s="43" t="s">
        <v>1390</v>
      </c>
      <c r="D5469" s="43" t="s">
        <v>1426</v>
      </c>
      <c r="E5469" s="43" t="s">
        <v>617</v>
      </c>
      <c r="F5469" s="43">
        <v>0</v>
      </c>
      <c r="G5469" s="43" t="s">
        <v>4583</v>
      </c>
      <c r="H5469"/>
    </row>
    <row r="5470" spans="1:8" hidden="1" x14ac:dyDescent="0.25">
      <c r="A5470" s="43">
        <v>818</v>
      </c>
      <c r="B5470" s="43" t="s">
        <v>245</v>
      </c>
      <c r="C5470" s="43" t="s">
        <v>1390</v>
      </c>
      <c r="D5470" s="43" t="s">
        <v>1427</v>
      </c>
      <c r="E5470" s="43" t="s">
        <v>1428</v>
      </c>
      <c r="F5470" s="43">
        <v>0</v>
      </c>
      <c r="G5470" s="43" t="s">
        <v>4583</v>
      </c>
      <c r="H5470"/>
    </row>
    <row r="5471" spans="1:8" hidden="1" x14ac:dyDescent="0.25">
      <c r="A5471" s="43">
        <v>818</v>
      </c>
      <c r="B5471" s="43" t="s">
        <v>245</v>
      </c>
      <c r="C5471" s="43" t="s">
        <v>1390</v>
      </c>
      <c r="D5471" s="43" t="s">
        <v>1429</v>
      </c>
      <c r="E5471" s="43" t="s">
        <v>1430</v>
      </c>
      <c r="F5471" s="43">
        <v>0</v>
      </c>
      <c r="G5471" s="43" t="s">
        <v>4583</v>
      </c>
      <c r="H5471"/>
    </row>
    <row r="5472" spans="1:8" hidden="1" x14ac:dyDescent="0.25">
      <c r="A5472" s="43">
        <v>818</v>
      </c>
      <c r="B5472" s="43" t="s">
        <v>245</v>
      </c>
      <c r="C5472" s="43" t="s">
        <v>1390</v>
      </c>
      <c r="D5472" s="43" t="s">
        <v>1431</v>
      </c>
      <c r="E5472" s="43" t="s">
        <v>4469</v>
      </c>
      <c r="F5472" s="43">
        <v>1</v>
      </c>
      <c r="G5472"/>
      <c r="H5472"/>
    </row>
    <row r="5473" spans="1:8" hidden="1" x14ac:dyDescent="0.25">
      <c r="A5473" s="43">
        <v>818</v>
      </c>
      <c r="B5473" s="43" t="s">
        <v>245</v>
      </c>
      <c r="C5473" s="43" t="s">
        <v>1390</v>
      </c>
      <c r="D5473" s="43" t="s">
        <v>1433</v>
      </c>
      <c r="E5473" s="43" t="s">
        <v>623</v>
      </c>
      <c r="F5473" s="43">
        <v>0</v>
      </c>
      <c r="G5473" s="43" t="s">
        <v>4583</v>
      </c>
      <c r="H5473"/>
    </row>
    <row r="5474" spans="1:8" hidden="1" x14ac:dyDescent="0.25">
      <c r="A5474" s="43">
        <v>818</v>
      </c>
      <c r="B5474" s="43" t="s">
        <v>245</v>
      </c>
      <c r="C5474" s="43" t="s">
        <v>1390</v>
      </c>
      <c r="D5474" s="43" t="s">
        <v>1434</v>
      </c>
      <c r="E5474" s="43" t="s">
        <v>624</v>
      </c>
      <c r="F5474" s="43">
        <v>0</v>
      </c>
      <c r="G5474" s="43" t="s">
        <v>4583</v>
      </c>
      <c r="H5474"/>
    </row>
    <row r="5475" spans="1:8" hidden="1" x14ac:dyDescent="0.25">
      <c r="A5475" s="43">
        <v>818</v>
      </c>
      <c r="B5475" s="43" t="s">
        <v>245</v>
      </c>
      <c r="C5475" s="43" t="s">
        <v>1390</v>
      </c>
      <c r="D5475" s="43" t="s">
        <v>1435</v>
      </c>
      <c r="E5475" s="43" t="s">
        <v>625</v>
      </c>
      <c r="F5475" s="43">
        <v>0</v>
      </c>
      <c r="G5475" s="43" t="s">
        <v>4583</v>
      </c>
      <c r="H5475"/>
    </row>
    <row r="5476" spans="1:8" hidden="1" x14ac:dyDescent="0.25">
      <c r="A5476" s="43">
        <v>830</v>
      </c>
      <c r="B5476" s="43" t="s">
        <v>246</v>
      </c>
      <c r="C5476" s="43" t="s">
        <v>1723</v>
      </c>
      <c r="D5476" s="43" t="s">
        <v>1724</v>
      </c>
      <c r="E5476" s="43" t="s">
        <v>273</v>
      </c>
      <c r="F5476" s="43">
        <v>1</v>
      </c>
      <c r="G5476"/>
      <c r="H5476"/>
    </row>
    <row r="5477" spans="1:8" hidden="1" x14ac:dyDescent="0.25">
      <c r="A5477" s="43">
        <v>830</v>
      </c>
      <c r="B5477" s="43" t="s">
        <v>246</v>
      </c>
      <c r="C5477" s="43" t="s">
        <v>1723</v>
      </c>
      <c r="D5477" s="43" t="s">
        <v>1725</v>
      </c>
      <c r="E5477" s="43" t="s">
        <v>312</v>
      </c>
      <c r="F5477" s="43">
        <v>1</v>
      </c>
      <c r="G5477"/>
      <c r="H5477"/>
    </row>
    <row r="5478" spans="1:8" hidden="1" x14ac:dyDescent="0.25">
      <c r="A5478" s="43">
        <v>830</v>
      </c>
      <c r="B5478" s="43" t="s">
        <v>246</v>
      </c>
      <c r="C5478" s="43" t="s">
        <v>1723</v>
      </c>
      <c r="D5478" s="43" t="s">
        <v>1726</v>
      </c>
      <c r="E5478" s="43" t="s">
        <v>1727</v>
      </c>
      <c r="F5478" s="43">
        <v>1</v>
      </c>
      <c r="G5478"/>
      <c r="H5478"/>
    </row>
    <row r="5479" spans="1:8" hidden="1" x14ac:dyDescent="0.25">
      <c r="A5479" s="43">
        <v>830</v>
      </c>
      <c r="B5479" s="43" t="s">
        <v>246</v>
      </c>
      <c r="C5479" s="43" t="s">
        <v>1723</v>
      </c>
      <c r="D5479" s="43" t="s">
        <v>1728</v>
      </c>
      <c r="E5479" s="43" t="s">
        <v>380</v>
      </c>
      <c r="F5479" s="43">
        <v>1</v>
      </c>
      <c r="G5479"/>
      <c r="H5479"/>
    </row>
    <row r="5480" spans="1:8" hidden="1" x14ac:dyDescent="0.25">
      <c r="A5480" s="43">
        <v>830</v>
      </c>
      <c r="B5480" s="43" t="s">
        <v>246</v>
      </c>
      <c r="C5480" s="43" t="s">
        <v>1723</v>
      </c>
      <c r="D5480" s="43" t="s">
        <v>1729</v>
      </c>
      <c r="E5480" s="43" t="s">
        <v>1730</v>
      </c>
      <c r="F5480" s="43">
        <v>1</v>
      </c>
      <c r="G5480"/>
      <c r="H5480"/>
    </row>
    <row r="5481" spans="1:8" hidden="1" x14ac:dyDescent="0.25">
      <c r="A5481" s="43">
        <v>830</v>
      </c>
      <c r="B5481" s="43" t="s">
        <v>246</v>
      </c>
      <c r="C5481" s="43" t="s">
        <v>1723</v>
      </c>
      <c r="D5481" s="43" t="s">
        <v>1731</v>
      </c>
      <c r="E5481" s="43" t="s">
        <v>322</v>
      </c>
      <c r="F5481" s="43">
        <v>1</v>
      </c>
      <c r="G5481"/>
      <c r="H5481"/>
    </row>
    <row r="5482" spans="1:8" hidden="1" x14ac:dyDescent="0.25">
      <c r="A5482" s="43">
        <v>830</v>
      </c>
      <c r="B5482" s="43" t="s">
        <v>246</v>
      </c>
      <c r="C5482" s="43" t="s">
        <v>1723</v>
      </c>
      <c r="D5482" s="43" t="s">
        <v>1732</v>
      </c>
      <c r="E5482" s="43" t="s">
        <v>1733</v>
      </c>
      <c r="F5482" s="43">
        <v>1</v>
      </c>
      <c r="G5482"/>
      <c r="H5482"/>
    </row>
    <row r="5483" spans="1:8" hidden="1" x14ac:dyDescent="0.25">
      <c r="A5483" s="43">
        <v>830</v>
      </c>
      <c r="B5483" s="43" t="s">
        <v>246</v>
      </c>
      <c r="C5483" s="43" t="s">
        <v>1723</v>
      </c>
      <c r="D5483" s="43" t="s">
        <v>1734</v>
      </c>
      <c r="E5483" s="43" t="s">
        <v>1735</v>
      </c>
      <c r="F5483" s="43">
        <v>1</v>
      </c>
      <c r="G5483"/>
      <c r="H5483"/>
    </row>
    <row r="5484" spans="1:8" hidden="1" x14ac:dyDescent="0.25">
      <c r="A5484" s="43">
        <v>830</v>
      </c>
      <c r="B5484" s="43" t="s">
        <v>246</v>
      </c>
      <c r="C5484" s="43" t="s">
        <v>1723</v>
      </c>
      <c r="D5484" s="43" t="s">
        <v>1736</v>
      </c>
      <c r="E5484" s="43" t="s">
        <v>4481</v>
      </c>
      <c r="F5484" s="43">
        <v>1</v>
      </c>
      <c r="G5484"/>
      <c r="H5484"/>
    </row>
    <row r="5485" spans="1:8" hidden="1" x14ac:dyDescent="0.25">
      <c r="A5485" s="43">
        <v>830</v>
      </c>
      <c r="B5485" s="43" t="s">
        <v>246</v>
      </c>
      <c r="C5485" s="43" t="s">
        <v>1723</v>
      </c>
      <c r="D5485" s="43" t="s">
        <v>1738</v>
      </c>
      <c r="E5485" s="43" t="s">
        <v>1739</v>
      </c>
      <c r="F5485" s="43">
        <v>1</v>
      </c>
      <c r="G5485"/>
      <c r="H5485"/>
    </row>
    <row r="5486" spans="1:8" hidden="1" x14ac:dyDescent="0.25">
      <c r="A5486" s="43">
        <v>830</v>
      </c>
      <c r="B5486" s="43" t="s">
        <v>246</v>
      </c>
      <c r="C5486" s="43" t="s">
        <v>1723</v>
      </c>
      <c r="D5486" s="43" t="s">
        <v>1740</v>
      </c>
      <c r="E5486" s="43" t="s">
        <v>1741</v>
      </c>
      <c r="F5486" s="43">
        <v>1</v>
      </c>
      <c r="G5486"/>
      <c r="H5486"/>
    </row>
    <row r="5487" spans="1:8" hidden="1" x14ac:dyDescent="0.25">
      <c r="A5487" s="43">
        <v>830</v>
      </c>
      <c r="B5487" s="43" t="s">
        <v>246</v>
      </c>
      <c r="C5487" s="43" t="s">
        <v>1723</v>
      </c>
      <c r="D5487" s="43" t="s">
        <v>1742</v>
      </c>
      <c r="E5487" s="43" t="s">
        <v>1743</v>
      </c>
      <c r="F5487" s="43">
        <v>1</v>
      </c>
      <c r="G5487"/>
      <c r="H5487"/>
    </row>
    <row r="5488" spans="1:8" hidden="1" x14ac:dyDescent="0.25">
      <c r="A5488" s="43">
        <v>830</v>
      </c>
      <c r="B5488" s="43" t="s">
        <v>246</v>
      </c>
      <c r="C5488" s="43" t="s">
        <v>1723</v>
      </c>
      <c r="D5488" s="43" t="s">
        <v>1744</v>
      </c>
      <c r="E5488" s="43" t="s">
        <v>1745</v>
      </c>
      <c r="F5488" s="89">
        <v>1</v>
      </c>
      <c r="H5488"/>
    </row>
    <row r="5489" spans="1:8" hidden="1" x14ac:dyDescent="0.25">
      <c r="A5489" s="43">
        <v>830</v>
      </c>
      <c r="B5489" s="43" t="s">
        <v>246</v>
      </c>
      <c r="C5489" s="43" t="s">
        <v>1723</v>
      </c>
      <c r="D5489" s="43" t="s">
        <v>1746</v>
      </c>
      <c r="E5489" s="43" t="s">
        <v>1747</v>
      </c>
      <c r="F5489" s="43">
        <v>1</v>
      </c>
      <c r="G5489"/>
      <c r="H5489"/>
    </row>
    <row r="5490" spans="1:8" hidden="1" x14ac:dyDescent="0.25">
      <c r="A5490" s="43">
        <v>830</v>
      </c>
      <c r="B5490" s="43" t="s">
        <v>246</v>
      </c>
      <c r="C5490" s="43" t="s">
        <v>1723</v>
      </c>
      <c r="D5490" s="43" t="s">
        <v>1748</v>
      </c>
      <c r="E5490" s="43" t="s">
        <v>1749</v>
      </c>
      <c r="F5490" s="43">
        <v>1</v>
      </c>
      <c r="G5490"/>
      <c r="H5490"/>
    </row>
    <row r="5491" spans="1:8" hidden="1" x14ac:dyDescent="0.25">
      <c r="A5491" s="43">
        <v>830</v>
      </c>
      <c r="B5491" s="43" t="s">
        <v>246</v>
      </c>
      <c r="C5491" s="43" t="s">
        <v>1723</v>
      </c>
      <c r="D5491" s="43" t="s">
        <v>1750</v>
      </c>
      <c r="E5491" s="43" t="s">
        <v>954</v>
      </c>
      <c r="F5491" s="43">
        <v>1</v>
      </c>
      <c r="G5491"/>
      <c r="H5491"/>
    </row>
    <row r="5492" spans="1:8" hidden="1" x14ac:dyDescent="0.25">
      <c r="A5492" s="43">
        <v>834</v>
      </c>
      <c r="B5492" s="43" t="s">
        <v>247</v>
      </c>
      <c r="C5492" s="43" t="s">
        <v>1790</v>
      </c>
      <c r="D5492" s="43" t="s">
        <v>1791</v>
      </c>
      <c r="E5492" s="43" t="s">
        <v>273</v>
      </c>
      <c r="F5492" s="43">
        <v>1</v>
      </c>
      <c r="G5492"/>
      <c r="H5492"/>
    </row>
    <row r="5493" spans="1:8" hidden="1" x14ac:dyDescent="0.25">
      <c r="A5493" s="43">
        <v>834</v>
      </c>
      <c r="B5493" s="43" t="s">
        <v>247</v>
      </c>
      <c r="C5493" s="43" t="s">
        <v>1790</v>
      </c>
      <c r="D5493" s="43" t="s">
        <v>1792</v>
      </c>
      <c r="E5493" s="43" t="s">
        <v>312</v>
      </c>
      <c r="F5493" s="43">
        <v>0</v>
      </c>
      <c r="G5493" s="43" t="s">
        <v>4583</v>
      </c>
      <c r="H5493"/>
    </row>
    <row r="5494" spans="1:8" hidden="1" x14ac:dyDescent="0.25">
      <c r="A5494" s="43">
        <v>834</v>
      </c>
      <c r="B5494" s="43" t="s">
        <v>247</v>
      </c>
      <c r="C5494" s="43" t="s">
        <v>1790</v>
      </c>
      <c r="D5494" s="43" t="s">
        <v>1793</v>
      </c>
      <c r="E5494" s="43" t="s">
        <v>801</v>
      </c>
      <c r="F5494" s="43">
        <v>1</v>
      </c>
      <c r="G5494"/>
      <c r="H5494"/>
    </row>
    <row r="5495" spans="1:8" hidden="1" x14ac:dyDescent="0.25">
      <c r="A5495" s="43">
        <v>834</v>
      </c>
      <c r="B5495" s="43" t="s">
        <v>247</v>
      </c>
      <c r="C5495" s="43" t="s">
        <v>1790</v>
      </c>
      <c r="D5495" s="43" t="s">
        <v>1794</v>
      </c>
      <c r="E5495" s="43" t="s">
        <v>786</v>
      </c>
      <c r="F5495" s="43">
        <v>1</v>
      </c>
      <c r="G5495"/>
      <c r="H5495"/>
    </row>
    <row r="5496" spans="1:8" hidden="1" x14ac:dyDescent="0.25">
      <c r="A5496" s="43">
        <v>834</v>
      </c>
      <c r="B5496" s="43" t="s">
        <v>247</v>
      </c>
      <c r="C5496" s="43" t="s">
        <v>1790</v>
      </c>
      <c r="D5496" s="43" t="s">
        <v>1795</v>
      </c>
      <c r="E5496" s="43" t="s">
        <v>784</v>
      </c>
      <c r="F5496" s="43">
        <v>0</v>
      </c>
      <c r="G5496" s="43" t="s">
        <v>4583</v>
      </c>
      <c r="H5496"/>
    </row>
    <row r="5497" spans="1:8" hidden="1" x14ac:dyDescent="0.25">
      <c r="A5497" s="43">
        <v>834</v>
      </c>
      <c r="B5497" s="43" t="s">
        <v>247</v>
      </c>
      <c r="C5497" s="43" t="s">
        <v>1790</v>
      </c>
      <c r="D5497" s="43" t="s">
        <v>1796</v>
      </c>
      <c r="E5497" s="43" t="s">
        <v>1205</v>
      </c>
      <c r="F5497" s="43">
        <v>1</v>
      </c>
      <c r="G5497"/>
      <c r="H5497"/>
    </row>
    <row r="5498" spans="1:8" hidden="1" x14ac:dyDescent="0.25">
      <c r="A5498" s="43">
        <v>834</v>
      </c>
      <c r="B5498" s="43" t="s">
        <v>247</v>
      </c>
      <c r="C5498" s="43" t="s">
        <v>1790</v>
      </c>
      <c r="D5498" s="43" t="s">
        <v>1797</v>
      </c>
      <c r="E5498" s="43" t="s">
        <v>1207</v>
      </c>
      <c r="F5498" s="43">
        <v>0</v>
      </c>
      <c r="G5498" s="43" t="s">
        <v>4583</v>
      </c>
      <c r="H5498"/>
    </row>
    <row r="5499" spans="1:8" hidden="1" x14ac:dyDescent="0.25">
      <c r="A5499" s="43">
        <v>834</v>
      </c>
      <c r="B5499" s="43" t="s">
        <v>247</v>
      </c>
      <c r="C5499" s="43" t="s">
        <v>1790</v>
      </c>
      <c r="D5499" s="43" t="s">
        <v>1798</v>
      </c>
      <c r="E5499" s="43" t="s">
        <v>1209</v>
      </c>
      <c r="F5499" s="43">
        <v>0</v>
      </c>
      <c r="G5499" s="43" t="s">
        <v>4583</v>
      </c>
      <c r="H5499"/>
    </row>
    <row r="5500" spans="1:8" hidden="1" x14ac:dyDescent="0.25">
      <c r="A5500" s="43">
        <v>834</v>
      </c>
      <c r="B5500" s="43" t="s">
        <v>247</v>
      </c>
      <c r="C5500" s="43" t="s">
        <v>1790</v>
      </c>
      <c r="D5500" s="43" t="s">
        <v>1799</v>
      </c>
      <c r="E5500" s="43" t="s">
        <v>789</v>
      </c>
      <c r="F5500" s="43">
        <v>0</v>
      </c>
      <c r="G5500" s="43" t="s">
        <v>4583</v>
      </c>
      <c r="H5500"/>
    </row>
    <row r="5501" spans="1:8" hidden="1" x14ac:dyDescent="0.25">
      <c r="A5501" s="43">
        <v>834</v>
      </c>
      <c r="B5501" s="43" t="s">
        <v>247</v>
      </c>
      <c r="C5501" s="43" t="s">
        <v>1790</v>
      </c>
      <c r="D5501" s="43" t="s">
        <v>1800</v>
      </c>
      <c r="E5501" s="43" t="s">
        <v>1214</v>
      </c>
      <c r="F5501" s="43">
        <v>1</v>
      </c>
      <c r="G5501"/>
      <c r="H5501"/>
    </row>
    <row r="5502" spans="1:8" hidden="1" x14ac:dyDescent="0.25">
      <c r="A5502" s="43">
        <v>834</v>
      </c>
      <c r="B5502" s="43" t="s">
        <v>247</v>
      </c>
      <c r="C5502" s="43" t="s">
        <v>1790</v>
      </c>
      <c r="D5502" s="43" t="s">
        <v>1801</v>
      </c>
      <c r="E5502" s="43" t="s">
        <v>1784</v>
      </c>
      <c r="F5502" s="43">
        <v>1</v>
      </c>
      <c r="G5502"/>
      <c r="H5502"/>
    </row>
    <row r="5503" spans="1:8" hidden="1" x14ac:dyDescent="0.25">
      <c r="A5503" s="43">
        <v>834</v>
      </c>
      <c r="B5503" s="43" t="s">
        <v>247</v>
      </c>
      <c r="C5503" s="43" t="s">
        <v>1790</v>
      </c>
      <c r="D5503" s="43" t="s">
        <v>1802</v>
      </c>
      <c r="E5503" s="43" t="s">
        <v>791</v>
      </c>
      <c r="F5503" s="43">
        <v>1</v>
      </c>
      <c r="G5503"/>
      <c r="H5503"/>
    </row>
    <row r="5504" spans="1:8" hidden="1" x14ac:dyDescent="0.25">
      <c r="A5504" s="43">
        <v>834</v>
      </c>
      <c r="B5504" s="43" t="s">
        <v>247</v>
      </c>
      <c r="C5504" s="43" t="s">
        <v>1790</v>
      </c>
      <c r="D5504" s="43" t="s">
        <v>1803</v>
      </c>
      <c r="E5504" s="43" t="s">
        <v>795</v>
      </c>
      <c r="F5504" s="43">
        <v>1</v>
      </c>
      <c r="G5504"/>
      <c r="H5504"/>
    </row>
    <row r="5505" spans="1:8" hidden="1" x14ac:dyDescent="0.25">
      <c r="A5505" s="43">
        <v>834</v>
      </c>
      <c r="B5505" s="43" t="s">
        <v>247</v>
      </c>
      <c r="C5505" s="43" t="s">
        <v>1790</v>
      </c>
      <c r="D5505" s="43" t="s">
        <v>1804</v>
      </c>
      <c r="E5505" s="43" t="s">
        <v>372</v>
      </c>
      <c r="F5505" s="43">
        <v>1</v>
      </c>
      <c r="G5505"/>
      <c r="H5505"/>
    </row>
    <row r="5506" spans="1:8" hidden="1" x14ac:dyDescent="0.25">
      <c r="A5506" s="43">
        <v>834</v>
      </c>
      <c r="B5506" s="43" t="s">
        <v>247</v>
      </c>
      <c r="C5506" s="43" t="s">
        <v>1790</v>
      </c>
      <c r="D5506" s="43" t="s">
        <v>1805</v>
      </c>
      <c r="E5506" s="43" t="s">
        <v>1806</v>
      </c>
      <c r="F5506" s="43">
        <v>0</v>
      </c>
      <c r="G5506" s="43" t="s">
        <v>4583</v>
      </c>
      <c r="H5506"/>
    </row>
    <row r="5507" spans="1:8" hidden="1" x14ac:dyDescent="0.25">
      <c r="A5507" s="43">
        <v>834</v>
      </c>
      <c r="B5507" s="43" t="s">
        <v>247</v>
      </c>
      <c r="C5507" s="43" t="s">
        <v>1790</v>
      </c>
      <c r="D5507" s="43" t="s">
        <v>1807</v>
      </c>
      <c r="E5507" s="43" t="s">
        <v>1808</v>
      </c>
      <c r="F5507" s="43">
        <v>1</v>
      </c>
      <c r="G5507"/>
      <c r="H5507"/>
    </row>
    <row r="5508" spans="1:8" hidden="1" x14ac:dyDescent="0.25">
      <c r="A5508" s="43">
        <v>834</v>
      </c>
      <c r="B5508" s="43" t="s">
        <v>247</v>
      </c>
      <c r="C5508" s="43" t="s">
        <v>682</v>
      </c>
      <c r="D5508" s="43" t="s">
        <v>683</v>
      </c>
      <c r="E5508" s="43" t="s">
        <v>684</v>
      </c>
      <c r="F5508" s="43">
        <v>0</v>
      </c>
      <c r="G5508" s="43" t="s">
        <v>4583</v>
      </c>
      <c r="H5508"/>
    </row>
    <row r="5509" spans="1:8" hidden="1" x14ac:dyDescent="0.25">
      <c r="A5509" s="43">
        <v>834</v>
      </c>
      <c r="B5509" s="43" t="s">
        <v>247</v>
      </c>
      <c r="C5509" s="43" t="s">
        <v>682</v>
      </c>
      <c r="D5509" s="43" t="s">
        <v>685</v>
      </c>
      <c r="E5509" s="43" t="s">
        <v>686</v>
      </c>
      <c r="F5509" s="43">
        <v>1</v>
      </c>
      <c r="G5509"/>
      <c r="H5509"/>
    </row>
    <row r="5510" spans="1:8" hidden="1" x14ac:dyDescent="0.25">
      <c r="A5510" s="43">
        <v>834</v>
      </c>
      <c r="B5510" s="43" t="s">
        <v>247</v>
      </c>
      <c r="C5510" s="43" t="s">
        <v>682</v>
      </c>
      <c r="D5510" s="43" t="s">
        <v>687</v>
      </c>
      <c r="E5510" s="43" t="s">
        <v>638</v>
      </c>
      <c r="F5510" s="43">
        <v>1</v>
      </c>
      <c r="G5510"/>
      <c r="H5510"/>
    </row>
    <row r="5511" spans="1:8" hidden="1" x14ac:dyDescent="0.25">
      <c r="A5511" s="43">
        <v>834</v>
      </c>
      <c r="B5511" s="43" t="s">
        <v>247</v>
      </c>
      <c r="C5511" s="43" t="s">
        <v>682</v>
      </c>
      <c r="D5511" s="43" t="s">
        <v>688</v>
      </c>
      <c r="E5511" s="43" t="s">
        <v>689</v>
      </c>
      <c r="F5511" s="43">
        <v>0</v>
      </c>
      <c r="G5511" s="43" t="s">
        <v>4583</v>
      </c>
      <c r="H5511"/>
    </row>
    <row r="5512" spans="1:8" hidden="1" x14ac:dyDescent="0.25">
      <c r="A5512" s="43">
        <v>834</v>
      </c>
      <c r="B5512" s="43" t="s">
        <v>247</v>
      </c>
      <c r="C5512" s="43" t="s">
        <v>682</v>
      </c>
      <c r="D5512" s="43" t="s">
        <v>690</v>
      </c>
      <c r="E5512" s="43" t="s">
        <v>640</v>
      </c>
      <c r="F5512" s="43">
        <v>1</v>
      </c>
      <c r="G5512"/>
      <c r="H5512"/>
    </row>
    <row r="5513" spans="1:8" hidden="1" x14ac:dyDescent="0.25">
      <c r="A5513" s="43">
        <v>834</v>
      </c>
      <c r="B5513" s="43" t="s">
        <v>247</v>
      </c>
      <c r="C5513" s="43" t="s">
        <v>682</v>
      </c>
      <c r="D5513" s="43" t="s">
        <v>691</v>
      </c>
      <c r="E5513" s="43" t="s">
        <v>692</v>
      </c>
      <c r="F5513" s="43">
        <v>0</v>
      </c>
      <c r="G5513" s="43" t="s">
        <v>4583</v>
      </c>
      <c r="H5513"/>
    </row>
    <row r="5514" spans="1:8" hidden="1" x14ac:dyDescent="0.25">
      <c r="A5514" s="43">
        <v>834</v>
      </c>
      <c r="B5514" s="43" t="s">
        <v>247</v>
      </c>
      <c r="C5514" s="43" t="s">
        <v>682</v>
      </c>
      <c r="D5514" s="43" t="s">
        <v>693</v>
      </c>
      <c r="E5514" s="43" t="s">
        <v>694</v>
      </c>
      <c r="F5514" s="43">
        <v>0</v>
      </c>
      <c r="G5514" s="43" t="s">
        <v>4583</v>
      </c>
      <c r="H5514"/>
    </row>
    <row r="5515" spans="1:8" hidden="1" x14ac:dyDescent="0.25">
      <c r="A5515" s="43">
        <v>834</v>
      </c>
      <c r="B5515" s="43" t="s">
        <v>247</v>
      </c>
      <c r="C5515" s="43" t="s">
        <v>682</v>
      </c>
      <c r="D5515" s="43" t="s">
        <v>695</v>
      </c>
      <c r="E5515" s="43" t="s">
        <v>696</v>
      </c>
      <c r="F5515" s="43">
        <v>0</v>
      </c>
      <c r="G5515" s="43" t="s">
        <v>4583</v>
      </c>
      <c r="H5515"/>
    </row>
    <row r="5516" spans="1:8" hidden="1" x14ac:dyDescent="0.25">
      <c r="A5516" s="43">
        <v>834</v>
      </c>
      <c r="B5516" s="43" t="s">
        <v>247</v>
      </c>
      <c r="C5516" s="43" t="s">
        <v>682</v>
      </c>
      <c r="D5516" s="43" t="s">
        <v>697</v>
      </c>
      <c r="E5516" s="43" t="s">
        <v>698</v>
      </c>
      <c r="F5516" s="43">
        <v>0</v>
      </c>
      <c r="G5516" s="43" t="s">
        <v>4583</v>
      </c>
      <c r="H5516"/>
    </row>
    <row r="5517" spans="1:8" hidden="1" x14ac:dyDescent="0.25">
      <c r="A5517" s="43">
        <v>834</v>
      </c>
      <c r="B5517" s="43" t="s">
        <v>247</v>
      </c>
      <c r="C5517" s="43" t="s">
        <v>682</v>
      </c>
      <c r="D5517" s="43" t="s">
        <v>699</v>
      </c>
      <c r="E5517" s="43" t="s">
        <v>700</v>
      </c>
      <c r="F5517" s="43">
        <v>1</v>
      </c>
      <c r="G5517"/>
      <c r="H5517"/>
    </row>
    <row r="5518" spans="1:8" hidden="1" x14ac:dyDescent="0.25">
      <c r="A5518" s="43">
        <v>838</v>
      </c>
      <c r="B5518" s="43" t="s">
        <v>248</v>
      </c>
      <c r="C5518" s="43" t="s">
        <v>1790</v>
      </c>
      <c r="D5518" s="43" t="s">
        <v>1791</v>
      </c>
      <c r="E5518" s="43" t="s">
        <v>273</v>
      </c>
      <c r="F5518" s="43">
        <v>1</v>
      </c>
      <c r="G5518"/>
      <c r="H5518"/>
    </row>
    <row r="5519" spans="1:8" hidden="1" x14ac:dyDescent="0.25">
      <c r="A5519" s="43">
        <v>838</v>
      </c>
      <c r="B5519" s="43" t="s">
        <v>248</v>
      </c>
      <c r="C5519" s="43" t="s">
        <v>1790</v>
      </c>
      <c r="D5519" s="43" t="s">
        <v>1792</v>
      </c>
      <c r="E5519" s="43" t="s">
        <v>312</v>
      </c>
      <c r="F5519" s="43">
        <v>1</v>
      </c>
      <c r="G5519"/>
      <c r="H5519"/>
    </row>
    <row r="5520" spans="1:8" hidden="1" x14ac:dyDescent="0.25">
      <c r="A5520" s="43">
        <v>838</v>
      </c>
      <c r="B5520" s="43" t="s">
        <v>248</v>
      </c>
      <c r="C5520" s="43" t="s">
        <v>1790</v>
      </c>
      <c r="D5520" s="43" t="s">
        <v>1793</v>
      </c>
      <c r="E5520" s="43" t="s">
        <v>801</v>
      </c>
      <c r="F5520" s="43">
        <v>1</v>
      </c>
      <c r="G5520"/>
      <c r="H5520"/>
    </row>
    <row r="5521" spans="1:8" hidden="1" x14ac:dyDescent="0.25">
      <c r="A5521" s="43">
        <v>838</v>
      </c>
      <c r="B5521" s="43" t="s">
        <v>248</v>
      </c>
      <c r="C5521" s="43" t="s">
        <v>1790</v>
      </c>
      <c r="D5521" s="43" t="s">
        <v>1794</v>
      </c>
      <c r="E5521" s="43" t="s">
        <v>786</v>
      </c>
      <c r="F5521" s="43">
        <v>1</v>
      </c>
      <c r="G5521"/>
      <c r="H5521"/>
    </row>
    <row r="5522" spans="1:8" hidden="1" x14ac:dyDescent="0.25">
      <c r="A5522" s="43">
        <v>838</v>
      </c>
      <c r="B5522" s="43" t="s">
        <v>248</v>
      </c>
      <c r="C5522" s="43" t="s">
        <v>1790</v>
      </c>
      <c r="D5522" s="43" t="s">
        <v>1795</v>
      </c>
      <c r="E5522" s="43" t="s">
        <v>784</v>
      </c>
      <c r="F5522" s="43">
        <v>1</v>
      </c>
      <c r="G5522"/>
      <c r="H5522"/>
    </row>
    <row r="5523" spans="1:8" hidden="1" x14ac:dyDescent="0.25">
      <c r="A5523" s="43">
        <v>838</v>
      </c>
      <c r="B5523" s="43" t="s">
        <v>248</v>
      </c>
      <c r="C5523" s="43" t="s">
        <v>1790</v>
      </c>
      <c r="D5523" s="43" t="s">
        <v>1796</v>
      </c>
      <c r="E5523" s="43" t="s">
        <v>1205</v>
      </c>
      <c r="F5523" s="43">
        <v>1</v>
      </c>
      <c r="G5523"/>
      <c r="H5523"/>
    </row>
    <row r="5524" spans="1:8" hidden="1" x14ac:dyDescent="0.25">
      <c r="A5524" s="43">
        <v>838</v>
      </c>
      <c r="B5524" s="43" t="s">
        <v>248</v>
      </c>
      <c r="C5524" s="43" t="s">
        <v>1790</v>
      </c>
      <c r="D5524" s="43" t="s">
        <v>1797</v>
      </c>
      <c r="E5524" s="43" t="s">
        <v>1207</v>
      </c>
      <c r="F5524" s="43">
        <v>1</v>
      </c>
      <c r="G5524"/>
      <c r="H5524"/>
    </row>
    <row r="5525" spans="1:8" hidden="1" x14ac:dyDescent="0.25">
      <c r="A5525" s="43">
        <v>838</v>
      </c>
      <c r="B5525" s="43" t="s">
        <v>248</v>
      </c>
      <c r="C5525" s="43" t="s">
        <v>1790</v>
      </c>
      <c r="D5525" s="43" t="s">
        <v>1798</v>
      </c>
      <c r="E5525" s="43" t="s">
        <v>1209</v>
      </c>
      <c r="F5525" s="43">
        <v>1</v>
      </c>
      <c r="G5525"/>
      <c r="H5525"/>
    </row>
    <row r="5526" spans="1:8" hidden="1" x14ac:dyDescent="0.25">
      <c r="A5526" s="43">
        <v>838</v>
      </c>
      <c r="B5526" s="43" t="s">
        <v>248</v>
      </c>
      <c r="C5526" s="43" t="s">
        <v>1790</v>
      </c>
      <c r="D5526" s="43" t="s">
        <v>1799</v>
      </c>
      <c r="E5526" s="43" t="s">
        <v>789</v>
      </c>
      <c r="F5526" s="43">
        <v>1</v>
      </c>
      <c r="G5526"/>
      <c r="H5526"/>
    </row>
    <row r="5527" spans="1:8" hidden="1" x14ac:dyDescent="0.25">
      <c r="A5527" s="43">
        <v>838</v>
      </c>
      <c r="B5527" s="43" t="s">
        <v>248</v>
      </c>
      <c r="C5527" s="43" t="s">
        <v>1790</v>
      </c>
      <c r="D5527" s="43" t="s">
        <v>1800</v>
      </c>
      <c r="E5527" s="43" t="s">
        <v>1214</v>
      </c>
      <c r="F5527" s="43">
        <v>1</v>
      </c>
      <c r="G5527"/>
      <c r="H5527"/>
    </row>
    <row r="5528" spans="1:8" hidden="1" x14ac:dyDescent="0.25">
      <c r="A5528" s="43">
        <v>838</v>
      </c>
      <c r="B5528" s="43" t="s">
        <v>248</v>
      </c>
      <c r="C5528" s="43" t="s">
        <v>1790</v>
      </c>
      <c r="D5528" s="43" t="s">
        <v>1801</v>
      </c>
      <c r="E5528" s="43" t="s">
        <v>1784</v>
      </c>
      <c r="F5528" s="43">
        <v>1</v>
      </c>
      <c r="G5528"/>
      <c r="H5528"/>
    </row>
    <row r="5529" spans="1:8" hidden="1" x14ac:dyDescent="0.25">
      <c r="A5529" s="43">
        <v>838</v>
      </c>
      <c r="B5529" s="43" t="s">
        <v>248</v>
      </c>
      <c r="C5529" s="43" t="s">
        <v>1790</v>
      </c>
      <c r="D5529" s="43" t="s">
        <v>1802</v>
      </c>
      <c r="E5529" s="43" t="s">
        <v>791</v>
      </c>
      <c r="F5529" s="43">
        <v>1</v>
      </c>
      <c r="G5529"/>
      <c r="H5529"/>
    </row>
    <row r="5530" spans="1:8" hidden="1" x14ac:dyDescent="0.25">
      <c r="A5530" s="43">
        <v>838</v>
      </c>
      <c r="B5530" s="43" t="s">
        <v>248</v>
      </c>
      <c r="C5530" s="43" t="s">
        <v>1790</v>
      </c>
      <c r="D5530" s="43" t="s">
        <v>1803</v>
      </c>
      <c r="E5530" s="43" t="s">
        <v>795</v>
      </c>
      <c r="F5530" s="43">
        <v>1</v>
      </c>
      <c r="G5530"/>
      <c r="H5530"/>
    </row>
    <row r="5531" spans="1:8" hidden="1" x14ac:dyDescent="0.25">
      <c r="A5531" s="43">
        <v>838</v>
      </c>
      <c r="B5531" s="43" t="s">
        <v>248</v>
      </c>
      <c r="C5531" s="43" t="s">
        <v>1790</v>
      </c>
      <c r="D5531" s="43" t="s">
        <v>1804</v>
      </c>
      <c r="E5531" s="43" t="s">
        <v>372</v>
      </c>
      <c r="F5531" s="43">
        <v>1</v>
      </c>
      <c r="G5531"/>
      <c r="H5531"/>
    </row>
    <row r="5532" spans="1:8" hidden="1" x14ac:dyDescent="0.25">
      <c r="A5532" s="43">
        <v>838</v>
      </c>
      <c r="B5532" s="43" t="s">
        <v>248</v>
      </c>
      <c r="C5532" s="43" t="s">
        <v>1790</v>
      </c>
      <c r="D5532" s="43" t="s">
        <v>1805</v>
      </c>
      <c r="E5532" s="43" t="s">
        <v>1806</v>
      </c>
      <c r="F5532" s="43">
        <v>1</v>
      </c>
      <c r="G5532"/>
      <c r="H5532"/>
    </row>
    <row r="5533" spans="1:8" hidden="1" x14ac:dyDescent="0.25">
      <c r="A5533" s="43">
        <v>838</v>
      </c>
      <c r="B5533" s="43" t="s">
        <v>248</v>
      </c>
      <c r="C5533" s="43" t="s">
        <v>1790</v>
      </c>
      <c r="D5533" s="43" t="s">
        <v>1807</v>
      </c>
      <c r="E5533" s="43" t="s">
        <v>1808</v>
      </c>
      <c r="F5533" s="43">
        <v>1</v>
      </c>
      <c r="G5533"/>
      <c r="H5533"/>
    </row>
    <row r="5534" spans="1:8" hidden="1" x14ac:dyDescent="0.25">
      <c r="A5534" s="43">
        <v>842</v>
      </c>
      <c r="B5534" s="43" t="s">
        <v>249</v>
      </c>
      <c r="C5534" s="43" t="s">
        <v>410</v>
      </c>
      <c r="D5534" s="43" t="s">
        <v>411</v>
      </c>
      <c r="E5534" s="43" t="s">
        <v>412</v>
      </c>
      <c r="F5534" s="43">
        <v>1</v>
      </c>
      <c r="G5534"/>
      <c r="H5534"/>
    </row>
    <row r="5535" spans="1:8" hidden="1" x14ac:dyDescent="0.25">
      <c r="A5535" s="43">
        <v>842</v>
      </c>
      <c r="B5535" s="43" t="s">
        <v>249</v>
      </c>
      <c r="C5535" s="43" t="s">
        <v>410</v>
      </c>
      <c r="D5535" s="43" t="s">
        <v>413</v>
      </c>
      <c r="E5535" s="43" t="s">
        <v>414</v>
      </c>
      <c r="F5535" s="43">
        <v>1</v>
      </c>
      <c r="G5535"/>
      <c r="H5535"/>
    </row>
    <row r="5536" spans="1:8" hidden="1" x14ac:dyDescent="0.25">
      <c r="A5536" s="43">
        <v>842</v>
      </c>
      <c r="B5536" s="43" t="s">
        <v>249</v>
      </c>
      <c r="C5536" s="43" t="s">
        <v>410</v>
      </c>
      <c r="D5536" s="43" t="s">
        <v>415</v>
      </c>
      <c r="E5536" s="43" t="s">
        <v>289</v>
      </c>
      <c r="F5536" s="43">
        <v>1</v>
      </c>
      <c r="G5536"/>
      <c r="H5536"/>
    </row>
    <row r="5537" spans="1:8" hidden="1" x14ac:dyDescent="0.25">
      <c r="A5537" s="43">
        <v>842</v>
      </c>
      <c r="B5537" s="43" t="s">
        <v>249</v>
      </c>
      <c r="C5537" s="43" t="s">
        <v>410</v>
      </c>
      <c r="D5537" s="43" t="s">
        <v>416</v>
      </c>
      <c r="E5537" s="43" t="s">
        <v>3226</v>
      </c>
      <c r="F5537" s="43">
        <v>1</v>
      </c>
      <c r="G5537"/>
      <c r="H5537"/>
    </row>
    <row r="5538" spans="1:8" hidden="1" x14ac:dyDescent="0.25">
      <c r="A5538" s="43">
        <v>842</v>
      </c>
      <c r="B5538" s="43" t="s">
        <v>249</v>
      </c>
      <c r="C5538" s="43" t="s">
        <v>410</v>
      </c>
      <c r="D5538" s="43" t="s">
        <v>418</v>
      </c>
      <c r="E5538" s="43" t="s">
        <v>419</v>
      </c>
      <c r="F5538" s="43">
        <v>1</v>
      </c>
      <c r="G5538"/>
      <c r="H5538"/>
    </row>
    <row r="5539" spans="1:8" hidden="1" x14ac:dyDescent="0.25">
      <c r="A5539" s="43">
        <v>842</v>
      </c>
      <c r="B5539" s="43" t="s">
        <v>249</v>
      </c>
      <c r="C5539" s="43" t="s">
        <v>410</v>
      </c>
      <c r="D5539" s="43" t="s">
        <v>420</v>
      </c>
      <c r="E5539" s="43" t="s">
        <v>3242</v>
      </c>
      <c r="F5539" s="43">
        <v>1</v>
      </c>
      <c r="G5539"/>
      <c r="H5539"/>
    </row>
    <row r="5540" spans="1:8" hidden="1" x14ac:dyDescent="0.25">
      <c r="A5540" s="43">
        <v>845</v>
      </c>
      <c r="B5540" s="43" t="s">
        <v>250</v>
      </c>
      <c r="C5540" s="43" t="s">
        <v>4478</v>
      </c>
      <c r="D5540" s="43" t="s">
        <v>1537</v>
      </c>
      <c r="E5540" s="43" t="s">
        <v>1494</v>
      </c>
      <c r="F5540" s="43">
        <v>1</v>
      </c>
      <c r="G5540"/>
      <c r="H5540"/>
    </row>
    <row r="5541" spans="1:8" hidden="1" x14ac:dyDescent="0.25">
      <c r="A5541" s="43">
        <v>845</v>
      </c>
      <c r="B5541" s="43" t="s">
        <v>250</v>
      </c>
      <c r="C5541" s="43" t="s">
        <v>4478</v>
      </c>
      <c r="D5541" s="43" t="s">
        <v>1538</v>
      </c>
      <c r="E5541" s="43" t="s">
        <v>306</v>
      </c>
      <c r="F5541" s="43">
        <v>1</v>
      </c>
      <c r="G5541"/>
      <c r="H5541"/>
    </row>
    <row r="5542" spans="1:8" hidden="1" x14ac:dyDescent="0.25">
      <c r="A5542" s="43">
        <v>845</v>
      </c>
      <c r="B5542" s="43" t="s">
        <v>250</v>
      </c>
      <c r="C5542" s="43" t="s">
        <v>4478</v>
      </c>
      <c r="D5542" s="43" t="s">
        <v>1539</v>
      </c>
      <c r="E5542" s="43" t="s">
        <v>1499</v>
      </c>
      <c r="F5542" s="43">
        <v>1</v>
      </c>
      <c r="G5542"/>
      <c r="H5542"/>
    </row>
    <row r="5543" spans="1:8" hidden="1" x14ac:dyDescent="0.25">
      <c r="A5543" s="43">
        <v>845</v>
      </c>
      <c r="B5543" s="43" t="s">
        <v>250</v>
      </c>
      <c r="C5543" s="43" t="s">
        <v>4478</v>
      </c>
      <c r="D5543" s="43" t="s">
        <v>1540</v>
      </c>
      <c r="E5543" s="43" t="s">
        <v>1541</v>
      </c>
      <c r="F5543" s="43">
        <v>1</v>
      </c>
      <c r="G5543"/>
      <c r="H5543"/>
    </row>
    <row r="5544" spans="1:8" hidden="1" x14ac:dyDescent="0.25">
      <c r="A5544" s="43">
        <v>845</v>
      </c>
      <c r="B5544" s="43" t="s">
        <v>250</v>
      </c>
      <c r="C5544" s="43" t="s">
        <v>4478</v>
      </c>
      <c r="D5544" s="43" t="s">
        <v>1542</v>
      </c>
      <c r="E5544" s="43" t="s">
        <v>1543</v>
      </c>
      <c r="F5544" s="43">
        <v>1</v>
      </c>
      <c r="G5544"/>
      <c r="H5544"/>
    </row>
    <row r="5545" spans="1:8" hidden="1" x14ac:dyDescent="0.25">
      <c r="A5545" s="43">
        <v>845</v>
      </c>
      <c r="B5545" s="43" t="s">
        <v>250</v>
      </c>
      <c r="C5545" s="43" t="s">
        <v>4478</v>
      </c>
      <c r="D5545" s="43" t="s">
        <v>1544</v>
      </c>
      <c r="E5545" s="43" t="s">
        <v>671</v>
      </c>
      <c r="F5545" s="43">
        <v>1</v>
      </c>
      <c r="G5545"/>
      <c r="H5545"/>
    </row>
    <row r="5546" spans="1:8" hidden="1" x14ac:dyDescent="0.25">
      <c r="A5546" s="43">
        <v>845</v>
      </c>
      <c r="B5546" s="43" t="s">
        <v>250</v>
      </c>
      <c r="C5546" s="43" t="s">
        <v>4478</v>
      </c>
      <c r="D5546" s="43" t="s">
        <v>1545</v>
      </c>
      <c r="E5546" s="43" t="s">
        <v>1546</v>
      </c>
      <c r="F5546" s="43">
        <v>1</v>
      </c>
      <c r="G5546"/>
      <c r="H5546"/>
    </row>
    <row r="5547" spans="1:8" hidden="1" x14ac:dyDescent="0.25">
      <c r="A5547" s="43">
        <v>845</v>
      </c>
      <c r="B5547" s="43" t="s">
        <v>250</v>
      </c>
      <c r="C5547" s="43" t="s">
        <v>4478</v>
      </c>
      <c r="D5547" s="43" t="s">
        <v>1547</v>
      </c>
      <c r="E5547" s="43" t="s">
        <v>1548</v>
      </c>
      <c r="F5547" s="43">
        <v>1</v>
      </c>
      <c r="G5547"/>
      <c r="H5547"/>
    </row>
    <row r="5548" spans="1:8" hidden="1" x14ac:dyDescent="0.25">
      <c r="A5548" s="43">
        <v>845</v>
      </c>
      <c r="B5548" s="43" t="s">
        <v>250</v>
      </c>
      <c r="C5548" s="43" t="s">
        <v>4478</v>
      </c>
      <c r="D5548" s="43" t="s">
        <v>1549</v>
      </c>
      <c r="E5548" s="43" t="s">
        <v>1550</v>
      </c>
      <c r="F5548" s="43">
        <v>1</v>
      </c>
      <c r="G5548"/>
      <c r="H5548"/>
    </row>
    <row r="5549" spans="1:8" hidden="1" x14ac:dyDescent="0.25">
      <c r="A5549" s="43">
        <v>845</v>
      </c>
      <c r="B5549" s="43" t="s">
        <v>250</v>
      </c>
      <c r="C5549" s="43" t="s">
        <v>4478</v>
      </c>
      <c r="D5549" s="43" t="s">
        <v>1551</v>
      </c>
      <c r="E5549" s="43" t="s">
        <v>1552</v>
      </c>
      <c r="F5549" s="43">
        <v>1</v>
      </c>
      <c r="G5549"/>
      <c r="H5549"/>
    </row>
    <row r="5550" spans="1:8" hidden="1" x14ac:dyDescent="0.25">
      <c r="A5550" s="43">
        <v>845</v>
      </c>
      <c r="B5550" s="43" t="s">
        <v>250</v>
      </c>
      <c r="C5550" s="43" t="s">
        <v>4478</v>
      </c>
      <c r="D5550" s="43" t="s">
        <v>1553</v>
      </c>
      <c r="E5550" s="43" t="s">
        <v>1554</v>
      </c>
      <c r="F5550" s="43">
        <v>1</v>
      </c>
      <c r="G5550"/>
      <c r="H5550"/>
    </row>
    <row r="5551" spans="1:8" hidden="1" x14ac:dyDescent="0.25">
      <c r="A5551" s="43">
        <v>845</v>
      </c>
      <c r="B5551" s="43" t="s">
        <v>250</v>
      </c>
      <c r="C5551" s="43" t="s">
        <v>4478</v>
      </c>
      <c r="D5551" s="43" t="s">
        <v>1555</v>
      </c>
      <c r="E5551" s="43" t="s">
        <v>1556</v>
      </c>
      <c r="F5551" s="43">
        <v>1</v>
      </c>
      <c r="G5551"/>
      <c r="H5551"/>
    </row>
    <row r="5552" spans="1:8" hidden="1" x14ac:dyDescent="0.25">
      <c r="A5552" s="43">
        <v>846</v>
      </c>
      <c r="B5552" s="43" t="s">
        <v>250</v>
      </c>
      <c r="C5552" s="43" t="s">
        <v>4478</v>
      </c>
      <c r="D5552" s="43" t="s">
        <v>1537</v>
      </c>
      <c r="E5552" s="43" t="s">
        <v>1494</v>
      </c>
      <c r="F5552" s="43">
        <v>1</v>
      </c>
      <c r="G5552"/>
      <c r="H5552"/>
    </row>
    <row r="5553" spans="1:8" hidden="1" x14ac:dyDescent="0.25">
      <c r="A5553" s="43">
        <v>846</v>
      </c>
      <c r="B5553" s="43" t="s">
        <v>250</v>
      </c>
      <c r="C5553" s="43" t="s">
        <v>4478</v>
      </c>
      <c r="D5553" s="43" t="s">
        <v>1538</v>
      </c>
      <c r="E5553" s="43" t="s">
        <v>306</v>
      </c>
      <c r="F5553" s="43">
        <v>1</v>
      </c>
      <c r="G5553"/>
      <c r="H5553"/>
    </row>
    <row r="5554" spans="1:8" hidden="1" x14ac:dyDescent="0.25">
      <c r="A5554" s="43">
        <v>846</v>
      </c>
      <c r="B5554" s="43" t="s">
        <v>250</v>
      </c>
      <c r="C5554" s="43" t="s">
        <v>4478</v>
      </c>
      <c r="D5554" s="43" t="s">
        <v>1539</v>
      </c>
      <c r="E5554" s="43" t="s">
        <v>1499</v>
      </c>
      <c r="F5554" s="43">
        <v>1</v>
      </c>
      <c r="G5554"/>
      <c r="H5554"/>
    </row>
    <row r="5555" spans="1:8" hidden="1" x14ac:dyDescent="0.25">
      <c r="A5555" s="43">
        <v>846</v>
      </c>
      <c r="B5555" s="43" t="s">
        <v>250</v>
      </c>
      <c r="C5555" s="43" t="s">
        <v>4478</v>
      </c>
      <c r="D5555" s="43" t="s">
        <v>1540</v>
      </c>
      <c r="E5555" s="43" t="s">
        <v>1541</v>
      </c>
      <c r="F5555" s="43">
        <v>1</v>
      </c>
      <c r="G5555"/>
      <c r="H5555"/>
    </row>
    <row r="5556" spans="1:8" hidden="1" x14ac:dyDescent="0.25">
      <c r="A5556" s="43">
        <v>846</v>
      </c>
      <c r="B5556" s="43" t="s">
        <v>250</v>
      </c>
      <c r="C5556" s="43" t="s">
        <v>4478</v>
      </c>
      <c r="D5556" s="43" t="s">
        <v>1542</v>
      </c>
      <c r="E5556" s="43" t="s">
        <v>1543</v>
      </c>
      <c r="F5556" s="43">
        <v>1</v>
      </c>
      <c r="G5556"/>
      <c r="H5556"/>
    </row>
    <row r="5557" spans="1:8" hidden="1" x14ac:dyDescent="0.25">
      <c r="A5557" s="43">
        <v>846</v>
      </c>
      <c r="B5557" s="43" t="s">
        <v>250</v>
      </c>
      <c r="C5557" s="43" t="s">
        <v>4478</v>
      </c>
      <c r="D5557" s="43" t="s">
        <v>1544</v>
      </c>
      <c r="E5557" s="43" t="s">
        <v>671</v>
      </c>
      <c r="F5557" s="43">
        <v>1</v>
      </c>
      <c r="G5557"/>
      <c r="H5557"/>
    </row>
    <row r="5558" spans="1:8" hidden="1" x14ac:dyDescent="0.25">
      <c r="A5558" s="43">
        <v>846</v>
      </c>
      <c r="B5558" s="43" t="s">
        <v>250</v>
      </c>
      <c r="C5558" s="43" t="s">
        <v>4478</v>
      </c>
      <c r="D5558" s="43" t="s">
        <v>1545</v>
      </c>
      <c r="E5558" s="43" t="s">
        <v>1546</v>
      </c>
      <c r="F5558" s="43">
        <v>1</v>
      </c>
      <c r="G5558"/>
      <c r="H5558"/>
    </row>
    <row r="5559" spans="1:8" hidden="1" x14ac:dyDescent="0.25">
      <c r="A5559" s="43">
        <v>846</v>
      </c>
      <c r="B5559" s="43" t="s">
        <v>250</v>
      </c>
      <c r="C5559" s="43" t="s">
        <v>4478</v>
      </c>
      <c r="D5559" s="43" t="s">
        <v>1547</v>
      </c>
      <c r="E5559" s="43" t="s">
        <v>1548</v>
      </c>
      <c r="F5559" s="43">
        <v>1</v>
      </c>
      <c r="G5559"/>
      <c r="H5559"/>
    </row>
    <row r="5560" spans="1:8" hidden="1" x14ac:dyDescent="0.25">
      <c r="A5560" s="43">
        <v>846</v>
      </c>
      <c r="B5560" s="43" t="s">
        <v>250</v>
      </c>
      <c r="C5560" s="43" t="s">
        <v>4478</v>
      </c>
      <c r="D5560" s="43" t="s">
        <v>1549</v>
      </c>
      <c r="E5560" s="43" t="s">
        <v>1550</v>
      </c>
      <c r="F5560" s="43">
        <v>1</v>
      </c>
      <c r="G5560"/>
      <c r="H5560"/>
    </row>
    <row r="5561" spans="1:8" hidden="1" x14ac:dyDescent="0.25">
      <c r="A5561" s="43">
        <v>846</v>
      </c>
      <c r="B5561" s="43" t="s">
        <v>250</v>
      </c>
      <c r="C5561" s="43" t="s">
        <v>4478</v>
      </c>
      <c r="D5561" s="43" t="s">
        <v>1551</v>
      </c>
      <c r="E5561" s="43" t="s">
        <v>1552</v>
      </c>
      <c r="F5561" s="43">
        <v>1</v>
      </c>
      <c r="G5561"/>
      <c r="H5561"/>
    </row>
    <row r="5562" spans="1:8" hidden="1" x14ac:dyDescent="0.25">
      <c r="A5562" s="43">
        <v>846</v>
      </c>
      <c r="B5562" s="43" t="s">
        <v>250</v>
      </c>
      <c r="C5562" s="43" t="s">
        <v>4478</v>
      </c>
      <c r="D5562" s="43" t="s">
        <v>1553</v>
      </c>
      <c r="E5562" s="43" t="s">
        <v>1554</v>
      </c>
      <c r="F5562" s="89">
        <v>2</v>
      </c>
      <c r="G5562" s="43" t="s">
        <v>4739</v>
      </c>
      <c r="H5562"/>
    </row>
    <row r="5563" spans="1:8" hidden="1" x14ac:dyDescent="0.25">
      <c r="A5563" s="43">
        <v>846</v>
      </c>
      <c r="B5563" s="43" t="s">
        <v>250</v>
      </c>
      <c r="C5563" s="43" t="s">
        <v>4478</v>
      </c>
      <c r="D5563" s="43" t="s">
        <v>1555</v>
      </c>
      <c r="E5563" s="43" t="s">
        <v>1556</v>
      </c>
      <c r="F5563" s="43">
        <v>1</v>
      </c>
      <c r="G5563"/>
      <c r="H5563"/>
    </row>
    <row r="5564" spans="1:8" hidden="1" x14ac:dyDescent="0.25">
      <c r="A5564" s="43">
        <v>848</v>
      </c>
      <c r="B5564" s="43" t="s">
        <v>251</v>
      </c>
      <c r="C5564" s="43" t="s">
        <v>1457</v>
      </c>
      <c r="D5564" s="43" t="s">
        <v>1458</v>
      </c>
      <c r="E5564" s="43" t="s">
        <v>273</v>
      </c>
      <c r="F5564" s="43">
        <v>1</v>
      </c>
      <c r="G5564"/>
      <c r="H5564"/>
    </row>
    <row r="5565" spans="1:8" hidden="1" x14ac:dyDescent="0.25">
      <c r="A5565" s="43">
        <v>848</v>
      </c>
      <c r="B5565" s="43" t="s">
        <v>251</v>
      </c>
      <c r="C5565" s="43" t="s">
        <v>1457</v>
      </c>
      <c r="D5565" s="43" t="s">
        <v>1459</v>
      </c>
      <c r="E5565" s="43" t="s">
        <v>640</v>
      </c>
      <c r="F5565" s="43">
        <v>1</v>
      </c>
      <c r="G5565"/>
      <c r="H5565"/>
    </row>
    <row r="5566" spans="1:8" hidden="1" x14ac:dyDescent="0.25">
      <c r="A5566" s="43">
        <v>848</v>
      </c>
      <c r="B5566" s="43" t="s">
        <v>251</v>
      </c>
      <c r="C5566" s="43" t="s">
        <v>1457</v>
      </c>
      <c r="D5566" s="43" t="s">
        <v>1460</v>
      </c>
      <c r="E5566" s="43" t="s">
        <v>929</v>
      </c>
      <c r="F5566" s="43">
        <v>1</v>
      </c>
      <c r="G5566"/>
      <c r="H5566"/>
    </row>
    <row r="5567" spans="1:8" hidden="1" x14ac:dyDescent="0.25">
      <c r="A5567" s="43">
        <v>848</v>
      </c>
      <c r="B5567" s="43" t="s">
        <v>251</v>
      </c>
      <c r="C5567" s="43" t="s">
        <v>1457</v>
      </c>
      <c r="D5567" s="43" t="s">
        <v>1461</v>
      </c>
      <c r="E5567" s="43" t="s">
        <v>1462</v>
      </c>
      <c r="F5567" s="43">
        <v>1</v>
      </c>
      <c r="G5567"/>
      <c r="H5567"/>
    </row>
    <row r="5568" spans="1:8" hidden="1" x14ac:dyDescent="0.25">
      <c r="A5568" s="43">
        <v>848</v>
      </c>
      <c r="B5568" s="43" t="s">
        <v>251</v>
      </c>
      <c r="C5568" s="43" t="s">
        <v>1457</v>
      </c>
      <c r="D5568" s="43" t="s">
        <v>1463</v>
      </c>
      <c r="E5568" s="43" t="s">
        <v>1464</v>
      </c>
      <c r="F5568" s="43">
        <v>1</v>
      </c>
      <c r="G5568"/>
      <c r="H5568"/>
    </row>
    <row r="5569" spans="1:8" hidden="1" x14ac:dyDescent="0.25">
      <c r="A5569" s="43">
        <v>848</v>
      </c>
      <c r="B5569" s="43" t="s">
        <v>251</v>
      </c>
      <c r="C5569" s="43" t="s">
        <v>1457</v>
      </c>
      <c r="D5569" s="43" t="s">
        <v>1465</v>
      </c>
      <c r="E5569" s="43" t="s">
        <v>347</v>
      </c>
      <c r="F5569" s="43">
        <v>0</v>
      </c>
      <c r="G5569" s="43" t="s">
        <v>4740</v>
      </c>
      <c r="H5569" s="43" t="s">
        <v>4765</v>
      </c>
    </row>
    <row r="5570" spans="1:8" hidden="1" x14ac:dyDescent="0.25">
      <c r="A5570" s="43">
        <v>848</v>
      </c>
      <c r="B5570" s="43" t="s">
        <v>251</v>
      </c>
      <c r="C5570" s="43" t="s">
        <v>1457</v>
      </c>
      <c r="D5570" s="43" t="s">
        <v>1466</v>
      </c>
      <c r="E5570" s="43" t="s">
        <v>1467</v>
      </c>
      <c r="F5570" s="43">
        <v>1</v>
      </c>
      <c r="G5570"/>
      <c r="H5570"/>
    </row>
    <row r="5571" spans="1:8" hidden="1" x14ac:dyDescent="0.25">
      <c r="A5571" s="43">
        <v>848</v>
      </c>
      <c r="B5571" s="43" t="s">
        <v>251</v>
      </c>
      <c r="C5571" s="43" t="s">
        <v>1457</v>
      </c>
      <c r="D5571" s="43" t="s">
        <v>1468</v>
      </c>
      <c r="E5571" s="43" t="s">
        <v>1469</v>
      </c>
      <c r="F5571" s="43">
        <v>1</v>
      </c>
      <c r="G5571"/>
      <c r="H5571"/>
    </row>
    <row r="5572" spans="1:8" hidden="1" x14ac:dyDescent="0.25">
      <c r="A5572" s="43">
        <v>848</v>
      </c>
      <c r="B5572" s="43" t="s">
        <v>251</v>
      </c>
      <c r="C5572" s="43" t="s">
        <v>1457</v>
      </c>
      <c r="D5572" s="43" t="s">
        <v>1470</v>
      </c>
      <c r="E5572" s="43" t="s">
        <v>1471</v>
      </c>
      <c r="F5572" s="43">
        <v>1</v>
      </c>
      <c r="G5572"/>
      <c r="H5572"/>
    </row>
    <row r="5573" spans="1:8" hidden="1" x14ac:dyDescent="0.25">
      <c r="A5573" s="43">
        <v>848</v>
      </c>
      <c r="B5573" s="43" t="s">
        <v>251</v>
      </c>
      <c r="C5573" s="43" t="s">
        <v>1457</v>
      </c>
      <c r="D5573" s="43" t="s">
        <v>1472</v>
      </c>
      <c r="E5573" s="43" t="s">
        <v>391</v>
      </c>
      <c r="F5573" s="43">
        <v>1</v>
      </c>
      <c r="G5573"/>
      <c r="H5573"/>
    </row>
    <row r="5574" spans="1:8" hidden="1" x14ac:dyDescent="0.25">
      <c r="A5574" s="43">
        <v>848</v>
      </c>
      <c r="B5574" s="43" t="s">
        <v>251</v>
      </c>
      <c r="C5574" s="43" t="s">
        <v>1457</v>
      </c>
      <c r="D5574" s="43" t="s">
        <v>1473</v>
      </c>
      <c r="E5574" s="43" t="s">
        <v>956</v>
      </c>
      <c r="F5574" s="43">
        <v>1</v>
      </c>
      <c r="G5574"/>
      <c r="H5574"/>
    </row>
    <row r="5575" spans="1:8" hidden="1" x14ac:dyDescent="0.25">
      <c r="A5575" s="43">
        <v>851</v>
      </c>
      <c r="B5575" s="43" t="s">
        <v>252</v>
      </c>
      <c r="C5575" s="43" t="s">
        <v>1125</v>
      </c>
      <c r="D5575" s="43" t="s">
        <v>1126</v>
      </c>
      <c r="E5575" s="43" t="s">
        <v>273</v>
      </c>
      <c r="F5575" s="43">
        <v>1</v>
      </c>
      <c r="G5575"/>
      <c r="H5575"/>
    </row>
    <row r="5576" spans="1:8" hidden="1" x14ac:dyDescent="0.25">
      <c r="A5576" s="43">
        <v>851</v>
      </c>
      <c r="B5576" s="43" t="s">
        <v>252</v>
      </c>
      <c r="C5576" s="43" t="s">
        <v>1125</v>
      </c>
      <c r="D5576" s="43" t="s">
        <v>1127</v>
      </c>
      <c r="E5576" s="43" t="s">
        <v>312</v>
      </c>
      <c r="F5576" s="43">
        <v>1</v>
      </c>
      <c r="G5576"/>
      <c r="H5576"/>
    </row>
    <row r="5577" spans="1:8" hidden="1" x14ac:dyDescent="0.25">
      <c r="A5577" s="43">
        <v>851</v>
      </c>
      <c r="B5577" s="43" t="s">
        <v>252</v>
      </c>
      <c r="C5577" s="43" t="s">
        <v>1125</v>
      </c>
      <c r="D5577" s="43" t="s">
        <v>1128</v>
      </c>
      <c r="E5577" s="43" t="s">
        <v>1129</v>
      </c>
      <c r="F5577" s="43">
        <v>1</v>
      </c>
      <c r="G5577"/>
      <c r="H5577"/>
    </row>
    <row r="5578" spans="1:8" hidden="1" x14ac:dyDescent="0.25">
      <c r="A5578" s="43">
        <v>851</v>
      </c>
      <c r="B5578" s="43" t="s">
        <v>252</v>
      </c>
      <c r="C5578" s="43" t="s">
        <v>1125</v>
      </c>
      <c r="D5578" s="43" t="s">
        <v>1130</v>
      </c>
      <c r="E5578" s="43" t="s">
        <v>1131</v>
      </c>
      <c r="F5578" s="43">
        <v>1</v>
      </c>
      <c r="G5578"/>
      <c r="H5578"/>
    </row>
    <row r="5579" spans="1:8" hidden="1" x14ac:dyDescent="0.25">
      <c r="A5579" s="43">
        <v>851</v>
      </c>
      <c r="B5579" s="43" t="s">
        <v>252</v>
      </c>
      <c r="C5579" s="43" t="s">
        <v>1125</v>
      </c>
      <c r="D5579" s="43" t="s">
        <v>1132</v>
      </c>
      <c r="E5579" s="43" t="s">
        <v>1133</v>
      </c>
      <c r="F5579" s="43">
        <v>1</v>
      </c>
      <c r="G5579"/>
      <c r="H5579"/>
    </row>
    <row r="5580" spans="1:8" hidden="1" x14ac:dyDescent="0.25">
      <c r="A5580" s="43">
        <v>851</v>
      </c>
      <c r="B5580" s="43" t="s">
        <v>252</v>
      </c>
      <c r="C5580" s="43" t="s">
        <v>1125</v>
      </c>
      <c r="D5580" s="43" t="s">
        <v>1134</v>
      </c>
      <c r="E5580" s="43" t="s">
        <v>347</v>
      </c>
      <c r="F5580" s="43">
        <v>0</v>
      </c>
      <c r="G5580" s="43" t="s">
        <v>4583</v>
      </c>
      <c r="H5580"/>
    </row>
    <row r="5581" spans="1:8" hidden="1" x14ac:dyDescent="0.25">
      <c r="A5581" s="43">
        <v>851</v>
      </c>
      <c r="B5581" s="43" t="s">
        <v>252</v>
      </c>
      <c r="C5581" s="43" t="s">
        <v>1125</v>
      </c>
      <c r="D5581" s="43" t="s">
        <v>1135</v>
      </c>
      <c r="E5581" s="43" t="s">
        <v>1136</v>
      </c>
      <c r="F5581" s="43">
        <v>1</v>
      </c>
      <c r="G5581"/>
      <c r="H5581"/>
    </row>
    <row r="5582" spans="1:8" hidden="1" x14ac:dyDescent="0.25">
      <c r="A5582" s="43">
        <v>851</v>
      </c>
      <c r="B5582" s="43" t="s">
        <v>252</v>
      </c>
      <c r="C5582" s="43" t="s">
        <v>1125</v>
      </c>
      <c r="D5582" s="43" t="s">
        <v>1137</v>
      </c>
      <c r="E5582" s="43" t="s">
        <v>1138</v>
      </c>
      <c r="F5582" s="43">
        <v>1</v>
      </c>
      <c r="G5582"/>
      <c r="H5582"/>
    </row>
    <row r="5583" spans="1:8" hidden="1" x14ac:dyDescent="0.25">
      <c r="A5583" s="43">
        <v>851</v>
      </c>
      <c r="B5583" s="43" t="s">
        <v>252</v>
      </c>
      <c r="C5583" s="43" t="s">
        <v>1125</v>
      </c>
      <c r="D5583" s="43" t="s">
        <v>1139</v>
      </c>
      <c r="E5583" s="43" t="s">
        <v>1140</v>
      </c>
      <c r="F5583" s="43">
        <v>1</v>
      </c>
      <c r="G5583"/>
      <c r="H5583"/>
    </row>
    <row r="5584" spans="1:8" hidden="1" x14ac:dyDescent="0.25">
      <c r="A5584" s="43">
        <v>856</v>
      </c>
      <c r="B5584" s="43" t="s">
        <v>253</v>
      </c>
      <c r="C5584" s="43" t="s">
        <v>337</v>
      </c>
      <c r="D5584" s="43" t="s">
        <v>338</v>
      </c>
      <c r="E5584" s="43" t="s">
        <v>304</v>
      </c>
      <c r="F5584" s="43">
        <v>1</v>
      </c>
      <c r="G5584"/>
      <c r="H5584"/>
    </row>
    <row r="5585" spans="1:8" hidden="1" x14ac:dyDescent="0.25">
      <c r="A5585" s="43">
        <v>856</v>
      </c>
      <c r="B5585" s="43" t="s">
        <v>253</v>
      </c>
      <c r="C5585" s="43" t="s">
        <v>337</v>
      </c>
      <c r="D5585" s="43" t="s">
        <v>339</v>
      </c>
      <c r="E5585" s="43" t="s">
        <v>306</v>
      </c>
      <c r="F5585" s="43">
        <v>1</v>
      </c>
      <c r="G5585"/>
      <c r="H5585"/>
    </row>
    <row r="5586" spans="1:8" hidden="1" x14ac:dyDescent="0.25">
      <c r="A5586" s="43">
        <v>856</v>
      </c>
      <c r="B5586" s="43" t="s">
        <v>253</v>
      </c>
      <c r="C5586" s="43" t="s">
        <v>337</v>
      </c>
      <c r="D5586" s="43" t="s">
        <v>340</v>
      </c>
      <c r="E5586" s="43" t="s">
        <v>341</v>
      </c>
      <c r="F5586" s="43">
        <v>1</v>
      </c>
      <c r="G5586"/>
      <c r="H5586"/>
    </row>
    <row r="5587" spans="1:8" hidden="1" x14ac:dyDescent="0.25">
      <c r="A5587" s="43">
        <v>856</v>
      </c>
      <c r="B5587" s="43" t="s">
        <v>253</v>
      </c>
      <c r="C5587" s="43" t="s">
        <v>337</v>
      </c>
      <c r="D5587" s="43" t="s">
        <v>342</v>
      </c>
      <c r="E5587" s="43" t="s">
        <v>343</v>
      </c>
      <c r="F5587" s="43">
        <v>1</v>
      </c>
      <c r="G5587"/>
      <c r="H5587"/>
    </row>
    <row r="5588" spans="1:8" hidden="1" x14ac:dyDescent="0.25">
      <c r="A5588" s="43">
        <v>856</v>
      </c>
      <c r="B5588" s="43" t="s">
        <v>253</v>
      </c>
      <c r="C5588" s="43" t="s">
        <v>337</v>
      </c>
      <c r="D5588" s="43" t="s">
        <v>344</v>
      </c>
      <c r="E5588" s="43" t="s">
        <v>345</v>
      </c>
      <c r="F5588" s="43">
        <v>1</v>
      </c>
      <c r="G5588"/>
      <c r="H5588"/>
    </row>
    <row r="5589" spans="1:8" hidden="1" x14ac:dyDescent="0.25">
      <c r="A5589" s="43">
        <v>856</v>
      </c>
      <c r="B5589" s="43" t="s">
        <v>253</v>
      </c>
      <c r="C5589" s="43" t="s">
        <v>337</v>
      </c>
      <c r="D5589" s="43" t="s">
        <v>346</v>
      </c>
      <c r="E5589" s="43" t="s">
        <v>347</v>
      </c>
      <c r="F5589" s="43">
        <v>0</v>
      </c>
      <c r="G5589" s="43" t="s">
        <v>4741</v>
      </c>
      <c r="H5589" s="43" t="s">
        <v>4770</v>
      </c>
    </row>
    <row r="5590" spans="1:8" hidden="1" x14ac:dyDescent="0.25">
      <c r="A5590" s="43">
        <v>856</v>
      </c>
      <c r="B5590" s="43" t="s">
        <v>253</v>
      </c>
      <c r="C5590" s="43" t="s">
        <v>337</v>
      </c>
      <c r="D5590" s="43" t="s">
        <v>348</v>
      </c>
      <c r="E5590" s="43" t="s">
        <v>349</v>
      </c>
      <c r="F5590" s="43">
        <v>1</v>
      </c>
      <c r="G5590"/>
      <c r="H5590"/>
    </row>
    <row r="5591" spans="1:8" hidden="1" x14ac:dyDescent="0.25">
      <c r="A5591" s="43">
        <v>856</v>
      </c>
      <c r="B5591" s="43" t="s">
        <v>253</v>
      </c>
      <c r="C5591" s="43" t="s">
        <v>337</v>
      </c>
      <c r="D5591" s="43" t="s">
        <v>350</v>
      </c>
      <c r="E5591" s="43" t="s">
        <v>351</v>
      </c>
      <c r="F5591" s="43">
        <v>0</v>
      </c>
      <c r="G5591" s="43" t="s">
        <v>4742</v>
      </c>
      <c r="H5591" s="43" t="s">
        <v>4760</v>
      </c>
    </row>
    <row r="5592" spans="1:8" hidden="1" x14ac:dyDescent="0.25">
      <c r="A5592" s="43">
        <v>856</v>
      </c>
      <c r="B5592" s="43" t="s">
        <v>253</v>
      </c>
      <c r="C5592" s="43" t="s">
        <v>337</v>
      </c>
      <c r="D5592" s="43" t="s">
        <v>352</v>
      </c>
      <c r="E5592" s="43" t="s">
        <v>353</v>
      </c>
      <c r="F5592" s="43">
        <v>1</v>
      </c>
      <c r="G5592"/>
      <c r="H5592"/>
    </row>
    <row r="5593" spans="1:8" hidden="1" x14ac:dyDescent="0.25">
      <c r="A5593" s="43">
        <v>856</v>
      </c>
      <c r="B5593" s="43" t="s">
        <v>253</v>
      </c>
      <c r="C5593" s="43" t="s">
        <v>337</v>
      </c>
      <c r="D5593" s="43" t="s">
        <v>354</v>
      </c>
      <c r="E5593" s="43" t="s">
        <v>355</v>
      </c>
      <c r="F5593" s="43">
        <v>1</v>
      </c>
      <c r="G5593"/>
      <c r="H5593"/>
    </row>
    <row r="5594" spans="1:8" x14ac:dyDescent="0.25">
      <c r="A5594" s="43">
        <v>856</v>
      </c>
      <c r="B5594" s="43" t="s">
        <v>253</v>
      </c>
      <c r="C5594" s="43" t="s">
        <v>337</v>
      </c>
      <c r="D5594" s="43" t="s">
        <v>356</v>
      </c>
      <c r="E5594" s="43" t="s">
        <v>357</v>
      </c>
      <c r="F5594" s="43">
        <v>2</v>
      </c>
      <c r="G5594" s="43" t="s">
        <v>4571</v>
      </c>
      <c r="H5594" s="43" t="s">
        <v>4580</v>
      </c>
    </row>
    <row r="5595" spans="1:8" hidden="1" x14ac:dyDescent="0.25">
      <c r="A5595" s="43">
        <v>856</v>
      </c>
      <c r="B5595" s="43" t="s">
        <v>253</v>
      </c>
      <c r="C5595" s="43" t="s">
        <v>337</v>
      </c>
      <c r="D5595" s="43" t="s">
        <v>358</v>
      </c>
      <c r="E5595" s="43" t="s">
        <v>359</v>
      </c>
      <c r="F5595" s="43">
        <v>1</v>
      </c>
      <c r="G5595"/>
      <c r="H5595"/>
    </row>
    <row r="5596" spans="1:8" hidden="1" x14ac:dyDescent="0.25">
      <c r="A5596" s="43">
        <v>856</v>
      </c>
      <c r="B5596" s="43" t="s">
        <v>253</v>
      </c>
      <c r="C5596" s="43" t="s">
        <v>337</v>
      </c>
      <c r="D5596" s="43" t="s">
        <v>360</v>
      </c>
      <c r="E5596" s="43" t="s">
        <v>361</v>
      </c>
      <c r="F5596" s="43">
        <v>1</v>
      </c>
      <c r="G5596"/>
      <c r="H5596"/>
    </row>
    <row r="5597" spans="1:8" hidden="1" x14ac:dyDescent="0.25">
      <c r="A5597" s="43">
        <v>860</v>
      </c>
      <c r="B5597" s="43" t="s">
        <v>254</v>
      </c>
      <c r="C5597" s="43" t="s">
        <v>1909</v>
      </c>
      <c r="D5597" s="43" t="s">
        <v>1910</v>
      </c>
      <c r="E5597" s="43" t="s">
        <v>273</v>
      </c>
      <c r="F5597" s="43">
        <v>1</v>
      </c>
      <c r="G5597"/>
      <c r="H5597"/>
    </row>
    <row r="5598" spans="1:8" hidden="1" x14ac:dyDescent="0.25">
      <c r="A5598" s="43">
        <v>860</v>
      </c>
      <c r="B5598" s="43" t="s">
        <v>254</v>
      </c>
      <c r="C5598" s="43" t="s">
        <v>1909</v>
      </c>
      <c r="D5598" s="43" t="s">
        <v>1911</v>
      </c>
      <c r="E5598" s="43" t="s">
        <v>1912</v>
      </c>
      <c r="F5598" s="43">
        <v>1</v>
      </c>
      <c r="G5598"/>
      <c r="H5598"/>
    </row>
    <row r="5599" spans="1:8" hidden="1" x14ac:dyDescent="0.25">
      <c r="A5599" s="43">
        <v>860</v>
      </c>
      <c r="B5599" s="43" t="s">
        <v>254</v>
      </c>
      <c r="C5599" s="43" t="s">
        <v>1909</v>
      </c>
      <c r="D5599" s="43" t="s">
        <v>1913</v>
      </c>
      <c r="E5599" s="43" t="s">
        <v>1914</v>
      </c>
      <c r="F5599" s="43">
        <v>1</v>
      </c>
      <c r="G5599"/>
      <c r="H5599"/>
    </row>
    <row r="5600" spans="1:8" hidden="1" x14ac:dyDescent="0.25">
      <c r="A5600" s="43">
        <v>860</v>
      </c>
      <c r="B5600" s="43" t="s">
        <v>254</v>
      </c>
      <c r="C5600" s="43" t="s">
        <v>1909</v>
      </c>
      <c r="D5600" s="43" t="s">
        <v>1915</v>
      </c>
      <c r="E5600" s="43" t="s">
        <v>1916</v>
      </c>
      <c r="F5600" s="43">
        <v>1</v>
      </c>
      <c r="G5600"/>
      <c r="H5600"/>
    </row>
    <row r="5601" spans="1:8" hidden="1" x14ac:dyDescent="0.25">
      <c r="A5601" s="43">
        <v>860</v>
      </c>
      <c r="B5601" s="43" t="s">
        <v>254</v>
      </c>
      <c r="C5601" s="43" t="s">
        <v>1909</v>
      </c>
      <c r="D5601" s="43" t="s">
        <v>1917</v>
      </c>
      <c r="E5601" s="43" t="s">
        <v>1918</v>
      </c>
      <c r="F5601" s="43">
        <v>0</v>
      </c>
      <c r="G5601" s="43" t="s">
        <v>4583</v>
      </c>
      <c r="H5601"/>
    </row>
    <row r="5602" spans="1:8" hidden="1" x14ac:dyDescent="0.25">
      <c r="A5602" s="43">
        <v>860</v>
      </c>
      <c r="B5602" s="43" t="s">
        <v>254</v>
      </c>
      <c r="C5602" s="43" t="s">
        <v>1909</v>
      </c>
      <c r="D5602" s="43" t="s">
        <v>1919</v>
      </c>
      <c r="E5602" s="43" t="s">
        <v>1920</v>
      </c>
      <c r="F5602" s="43">
        <v>1</v>
      </c>
      <c r="G5602"/>
      <c r="H5602"/>
    </row>
    <row r="5603" spans="1:8" hidden="1" x14ac:dyDescent="0.25">
      <c r="A5603" s="43">
        <v>860</v>
      </c>
      <c r="B5603" s="43" t="s">
        <v>254</v>
      </c>
      <c r="C5603" s="43" t="s">
        <v>1909</v>
      </c>
      <c r="D5603" s="43" t="s">
        <v>1921</v>
      </c>
      <c r="E5603" s="43" t="s">
        <v>1922</v>
      </c>
      <c r="F5603" s="43">
        <v>1</v>
      </c>
      <c r="G5603"/>
      <c r="H5603"/>
    </row>
    <row r="5604" spans="1:8" hidden="1" x14ac:dyDescent="0.25">
      <c r="A5604" s="43">
        <v>860</v>
      </c>
      <c r="B5604" s="43" t="s">
        <v>254</v>
      </c>
      <c r="C5604" s="43" t="s">
        <v>1909</v>
      </c>
      <c r="D5604" s="43" t="s">
        <v>1923</v>
      </c>
      <c r="E5604" s="43" t="s">
        <v>1924</v>
      </c>
      <c r="F5604" s="43">
        <v>1</v>
      </c>
      <c r="G5604"/>
      <c r="H5604"/>
    </row>
    <row r="5605" spans="1:8" hidden="1" x14ac:dyDescent="0.25">
      <c r="A5605" s="43">
        <v>860</v>
      </c>
      <c r="B5605" s="43" t="s">
        <v>254</v>
      </c>
      <c r="C5605" s="43" t="s">
        <v>1909</v>
      </c>
      <c r="D5605" s="43" t="s">
        <v>1925</v>
      </c>
      <c r="E5605" s="43" t="s">
        <v>1926</v>
      </c>
      <c r="F5605" s="43">
        <v>0</v>
      </c>
      <c r="G5605" s="43" t="s">
        <v>4583</v>
      </c>
      <c r="H5605"/>
    </row>
    <row r="5606" spans="1:8" hidden="1" x14ac:dyDescent="0.25">
      <c r="A5606" s="43">
        <v>860</v>
      </c>
      <c r="B5606" s="43" t="s">
        <v>254</v>
      </c>
      <c r="C5606" s="43" t="s">
        <v>1909</v>
      </c>
      <c r="D5606" s="43" t="s">
        <v>1927</v>
      </c>
      <c r="E5606" s="43" t="s">
        <v>1928</v>
      </c>
      <c r="F5606" s="43">
        <v>0</v>
      </c>
      <c r="G5606" s="43" t="s">
        <v>4583</v>
      </c>
      <c r="H5606"/>
    </row>
    <row r="5607" spans="1:8" hidden="1" x14ac:dyDescent="0.25">
      <c r="A5607" s="43">
        <v>860</v>
      </c>
      <c r="B5607" s="43" t="s">
        <v>254</v>
      </c>
      <c r="C5607" s="43" t="s">
        <v>1909</v>
      </c>
      <c r="D5607" s="43" t="s">
        <v>1929</v>
      </c>
      <c r="E5607" s="43" t="s">
        <v>1930</v>
      </c>
      <c r="F5607" s="43">
        <v>0</v>
      </c>
      <c r="G5607" s="43" t="s">
        <v>4583</v>
      </c>
      <c r="H5607"/>
    </row>
    <row r="5608" spans="1:8" hidden="1" x14ac:dyDescent="0.25">
      <c r="A5608" s="43">
        <v>860</v>
      </c>
      <c r="B5608" s="43" t="s">
        <v>254</v>
      </c>
      <c r="C5608" s="43" t="s">
        <v>1909</v>
      </c>
      <c r="D5608" s="43" t="s">
        <v>1931</v>
      </c>
      <c r="E5608" s="43" t="s">
        <v>1932</v>
      </c>
      <c r="F5608" s="43">
        <v>0</v>
      </c>
      <c r="G5608" s="43" t="s">
        <v>4583</v>
      </c>
      <c r="H5608"/>
    </row>
    <row r="5609" spans="1:8" hidden="1" x14ac:dyDescent="0.25">
      <c r="A5609" s="43">
        <v>860</v>
      </c>
      <c r="B5609" s="43" t="s">
        <v>254</v>
      </c>
      <c r="C5609" s="43" t="s">
        <v>1909</v>
      </c>
      <c r="D5609" s="43" t="s">
        <v>1933</v>
      </c>
      <c r="E5609" s="43" t="s">
        <v>1934</v>
      </c>
      <c r="F5609" s="43">
        <v>1</v>
      </c>
      <c r="G5609"/>
      <c r="H5609"/>
    </row>
    <row r="5610" spans="1:8" hidden="1" x14ac:dyDescent="0.25">
      <c r="A5610" s="43">
        <v>860</v>
      </c>
      <c r="B5610" s="43" t="s">
        <v>254</v>
      </c>
      <c r="C5610" s="43" t="s">
        <v>1909</v>
      </c>
      <c r="D5610" s="43" t="s">
        <v>1935</v>
      </c>
      <c r="E5610" s="43" t="s">
        <v>1936</v>
      </c>
      <c r="F5610" s="43">
        <v>0</v>
      </c>
      <c r="G5610" s="43" t="s">
        <v>4583</v>
      </c>
      <c r="H5610"/>
    </row>
    <row r="5611" spans="1:8" hidden="1" x14ac:dyDescent="0.25">
      <c r="A5611" s="43">
        <v>860</v>
      </c>
      <c r="B5611" s="43" t="s">
        <v>254</v>
      </c>
      <c r="C5611" s="43" t="s">
        <v>1909</v>
      </c>
      <c r="D5611" s="43" t="s">
        <v>1937</v>
      </c>
      <c r="E5611" s="43" t="s">
        <v>1938</v>
      </c>
      <c r="F5611" s="43">
        <v>0</v>
      </c>
      <c r="G5611" s="43" t="s">
        <v>4583</v>
      </c>
      <c r="H5611"/>
    </row>
    <row r="5612" spans="1:8" hidden="1" x14ac:dyDescent="0.25">
      <c r="A5612" s="43">
        <v>860</v>
      </c>
      <c r="B5612" s="43" t="s">
        <v>254</v>
      </c>
      <c r="C5612" s="43" t="s">
        <v>1909</v>
      </c>
      <c r="D5612" s="43" t="s">
        <v>1939</v>
      </c>
      <c r="E5612" s="43" t="s">
        <v>1940</v>
      </c>
      <c r="F5612" s="43">
        <v>1</v>
      </c>
      <c r="G5612"/>
      <c r="H5612"/>
    </row>
    <row r="5613" spans="1:8" hidden="1" x14ac:dyDescent="0.25">
      <c r="A5613" s="43">
        <v>860</v>
      </c>
      <c r="B5613" s="43" t="s">
        <v>254</v>
      </c>
      <c r="C5613" s="43" t="s">
        <v>1909</v>
      </c>
      <c r="D5613" s="43" t="s">
        <v>1941</v>
      </c>
      <c r="E5613" s="43" t="s">
        <v>1942</v>
      </c>
      <c r="F5613" s="43">
        <v>0</v>
      </c>
      <c r="G5613" s="43" t="s">
        <v>4583</v>
      </c>
      <c r="H5613"/>
    </row>
    <row r="5614" spans="1:8" hidden="1" x14ac:dyDescent="0.25">
      <c r="A5614" s="43">
        <v>860</v>
      </c>
      <c r="B5614" s="43" t="s">
        <v>254</v>
      </c>
      <c r="C5614" s="43" t="s">
        <v>1909</v>
      </c>
      <c r="D5614" s="43" t="s">
        <v>1943</v>
      </c>
      <c r="E5614" s="43" t="s">
        <v>1944</v>
      </c>
      <c r="F5614" s="43">
        <v>0</v>
      </c>
      <c r="G5614" s="43" t="s">
        <v>4583</v>
      </c>
      <c r="H5614"/>
    </row>
    <row r="5615" spans="1:8" hidden="1" x14ac:dyDescent="0.25">
      <c r="A5615" s="43">
        <v>860</v>
      </c>
      <c r="B5615" s="43" t="s">
        <v>254</v>
      </c>
      <c r="C5615" s="43" t="s">
        <v>1909</v>
      </c>
      <c r="D5615" s="43" t="s">
        <v>1945</v>
      </c>
      <c r="E5615" s="43" t="s">
        <v>1946</v>
      </c>
      <c r="F5615" s="43">
        <v>0</v>
      </c>
      <c r="G5615" s="43" t="s">
        <v>4583</v>
      </c>
      <c r="H5615"/>
    </row>
    <row r="5616" spans="1:8" hidden="1" x14ac:dyDescent="0.25">
      <c r="A5616" s="43">
        <v>860</v>
      </c>
      <c r="B5616" s="43" t="s">
        <v>254</v>
      </c>
      <c r="C5616" s="43" t="s">
        <v>1909</v>
      </c>
      <c r="D5616" s="43" t="s">
        <v>1947</v>
      </c>
      <c r="E5616" s="43" t="s">
        <v>1948</v>
      </c>
      <c r="F5616" s="43">
        <v>1</v>
      </c>
      <c r="G5616"/>
      <c r="H5616"/>
    </row>
    <row r="5617" spans="1:8" hidden="1" x14ac:dyDescent="0.25">
      <c r="A5617" s="43">
        <v>866</v>
      </c>
      <c r="B5617" s="43" t="s">
        <v>255</v>
      </c>
      <c r="C5617" s="43" t="s">
        <v>506</v>
      </c>
      <c r="D5617" s="43" t="s">
        <v>507</v>
      </c>
      <c r="E5617" s="43" t="s">
        <v>508</v>
      </c>
      <c r="F5617" s="43">
        <v>1</v>
      </c>
      <c r="G5617"/>
      <c r="H5617"/>
    </row>
    <row r="5618" spans="1:8" hidden="1" x14ac:dyDescent="0.25">
      <c r="A5618" s="43">
        <v>866</v>
      </c>
      <c r="B5618" s="43" t="s">
        <v>255</v>
      </c>
      <c r="C5618" s="43" t="s">
        <v>506</v>
      </c>
      <c r="D5618" s="43" t="s">
        <v>509</v>
      </c>
      <c r="E5618" s="43" t="s">
        <v>510</v>
      </c>
      <c r="F5618" s="43">
        <v>1</v>
      </c>
      <c r="G5618"/>
      <c r="H5618"/>
    </row>
    <row r="5619" spans="1:8" hidden="1" x14ac:dyDescent="0.25">
      <c r="A5619" s="43">
        <v>866</v>
      </c>
      <c r="B5619" s="43" t="s">
        <v>255</v>
      </c>
      <c r="C5619" s="43" t="s">
        <v>506</v>
      </c>
      <c r="D5619" s="43" t="s">
        <v>511</v>
      </c>
      <c r="E5619" s="43" t="s">
        <v>512</v>
      </c>
      <c r="F5619" s="43">
        <v>0</v>
      </c>
      <c r="G5619" s="43" t="s">
        <v>4625</v>
      </c>
      <c r="H5619" s="43" t="s">
        <v>4761</v>
      </c>
    </row>
    <row r="5620" spans="1:8" x14ac:dyDescent="0.25">
      <c r="A5620" s="43">
        <v>866</v>
      </c>
      <c r="B5620" s="43" t="s">
        <v>255</v>
      </c>
      <c r="C5620" s="43" t="s">
        <v>506</v>
      </c>
      <c r="D5620" s="43" t="s">
        <v>513</v>
      </c>
      <c r="E5620" s="43" t="s">
        <v>514</v>
      </c>
      <c r="F5620" s="43">
        <v>2</v>
      </c>
      <c r="G5620" s="43" t="s">
        <v>4572</v>
      </c>
      <c r="H5620" s="43" t="s">
        <v>4580</v>
      </c>
    </row>
    <row r="5621" spans="1:8" hidden="1" x14ac:dyDescent="0.25">
      <c r="A5621" s="43">
        <v>866</v>
      </c>
      <c r="B5621" s="43" t="s">
        <v>255</v>
      </c>
      <c r="C5621" s="43" t="s">
        <v>506</v>
      </c>
      <c r="D5621" s="43" t="s">
        <v>515</v>
      </c>
      <c r="E5621" s="43" t="s">
        <v>516</v>
      </c>
      <c r="F5621" s="43">
        <v>1</v>
      </c>
      <c r="G5621"/>
      <c r="H5621"/>
    </row>
    <row r="5622" spans="1:8" hidden="1" x14ac:dyDescent="0.25">
      <c r="A5622" s="43">
        <v>866</v>
      </c>
      <c r="B5622" s="43" t="s">
        <v>255</v>
      </c>
      <c r="C5622" s="43" t="s">
        <v>506</v>
      </c>
      <c r="D5622" s="43" t="s">
        <v>517</v>
      </c>
      <c r="E5622" s="43" t="s">
        <v>518</v>
      </c>
      <c r="F5622" s="43">
        <v>2</v>
      </c>
      <c r="G5622" s="43" t="s">
        <v>4500</v>
      </c>
      <c r="H5622" s="43" t="s">
        <v>4581</v>
      </c>
    </row>
    <row r="5623" spans="1:8" hidden="1" x14ac:dyDescent="0.25">
      <c r="A5623" s="43">
        <v>866</v>
      </c>
      <c r="B5623" s="43" t="s">
        <v>255</v>
      </c>
      <c r="C5623" s="43" t="s">
        <v>506</v>
      </c>
      <c r="D5623" s="43" t="s">
        <v>519</v>
      </c>
      <c r="E5623" s="43" t="s">
        <v>520</v>
      </c>
      <c r="F5623" s="43">
        <v>1</v>
      </c>
      <c r="G5623"/>
      <c r="H5623"/>
    </row>
    <row r="5624" spans="1:8" hidden="1" x14ac:dyDescent="0.25">
      <c r="A5624" s="43">
        <v>866</v>
      </c>
      <c r="B5624" s="43" t="s">
        <v>255</v>
      </c>
      <c r="C5624" s="43" t="s">
        <v>506</v>
      </c>
      <c r="D5624" s="43" t="s">
        <v>521</v>
      </c>
      <c r="E5624" s="43" t="s">
        <v>522</v>
      </c>
      <c r="F5624" s="43">
        <v>0</v>
      </c>
      <c r="G5624" s="43" t="s">
        <v>4625</v>
      </c>
      <c r="H5624" s="43" t="s">
        <v>4761</v>
      </c>
    </row>
    <row r="5625" spans="1:8" hidden="1" x14ac:dyDescent="0.25">
      <c r="A5625" s="43">
        <v>866</v>
      </c>
      <c r="B5625" s="43" t="s">
        <v>255</v>
      </c>
      <c r="C5625" s="43" t="s">
        <v>506</v>
      </c>
      <c r="D5625" s="43" t="s">
        <v>523</v>
      </c>
      <c r="E5625" s="43" t="s">
        <v>4472</v>
      </c>
      <c r="F5625" s="43">
        <v>1</v>
      </c>
      <c r="G5625"/>
      <c r="H5625"/>
    </row>
    <row r="5626" spans="1:8" hidden="1" x14ac:dyDescent="0.25">
      <c r="A5626" s="43">
        <v>866</v>
      </c>
      <c r="B5626" s="43" t="s">
        <v>255</v>
      </c>
      <c r="C5626" s="43" t="s">
        <v>506</v>
      </c>
      <c r="D5626" s="43" t="s">
        <v>525</v>
      </c>
      <c r="E5626" s="43" t="s">
        <v>526</v>
      </c>
      <c r="F5626" s="43">
        <v>1</v>
      </c>
      <c r="G5626"/>
      <c r="H5626"/>
    </row>
    <row r="5627" spans="1:8" hidden="1" x14ac:dyDescent="0.25">
      <c r="A5627" s="43">
        <v>866</v>
      </c>
      <c r="B5627" s="43" t="s">
        <v>255</v>
      </c>
      <c r="C5627" s="43" t="s">
        <v>506</v>
      </c>
      <c r="D5627" s="43" t="s">
        <v>527</v>
      </c>
      <c r="E5627" s="43" t="s">
        <v>283</v>
      </c>
      <c r="F5627" s="43">
        <v>0</v>
      </c>
      <c r="G5627" s="43" t="s">
        <v>4743</v>
      </c>
      <c r="H5627" s="43" t="s">
        <v>4765</v>
      </c>
    </row>
    <row r="5628" spans="1:8" hidden="1" x14ac:dyDescent="0.25">
      <c r="A5628" s="43">
        <v>866</v>
      </c>
      <c r="B5628" s="43" t="s">
        <v>255</v>
      </c>
      <c r="C5628" s="43" t="s">
        <v>506</v>
      </c>
      <c r="D5628" s="43" t="s">
        <v>528</v>
      </c>
      <c r="E5628" s="43" t="s">
        <v>529</v>
      </c>
      <c r="F5628" s="43">
        <v>0</v>
      </c>
      <c r="G5628" s="43" t="s">
        <v>4744</v>
      </c>
      <c r="H5628" s="43" t="s">
        <v>4759</v>
      </c>
    </row>
    <row r="5629" spans="1:8" hidden="1" x14ac:dyDescent="0.25">
      <c r="A5629" s="43">
        <v>866</v>
      </c>
      <c r="B5629" s="43" t="s">
        <v>255</v>
      </c>
      <c r="C5629" s="43" t="s">
        <v>506</v>
      </c>
      <c r="D5629" s="43" t="s">
        <v>530</v>
      </c>
      <c r="E5629" s="43" t="s">
        <v>531</v>
      </c>
      <c r="F5629" s="43">
        <v>0</v>
      </c>
      <c r="G5629" s="43" t="s">
        <v>4745</v>
      </c>
      <c r="H5629" s="43" t="s">
        <v>4761</v>
      </c>
    </row>
    <row r="5630" spans="1:8" hidden="1" x14ac:dyDescent="0.25">
      <c r="A5630" s="43">
        <v>866</v>
      </c>
      <c r="B5630" s="43" t="s">
        <v>255</v>
      </c>
      <c r="C5630" s="43" t="s">
        <v>506</v>
      </c>
      <c r="D5630" s="43" t="s">
        <v>532</v>
      </c>
      <c r="E5630" s="43" t="s">
        <v>533</v>
      </c>
      <c r="F5630" s="43">
        <v>1</v>
      </c>
      <c r="G5630"/>
      <c r="H5630"/>
    </row>
    <row r="5631" spans="1:8" hidden="1" x14ac:dyDescent="0.25">
      <c r="A5631" s="43">
        <v>866</v>
      </c>
      <c r="B5631" s="43" t="s">
        <v>255</v>
      </c>
      <c r="C5631" s="43" t="s">
        <v>506</v>
      </c>
      <c r="D5631" s="43" t="s">
        <v>534</v>
      </c>
      <c r="E5631" s="43" t="s">
        <v>535</v>
      </c>
      <c r="F5631" s="43">
        <v>1</v>
      </c>
      <c r="G5631"/>
      <c r="H5631"/>
    </row>
    <row r="5632" spans="1:8" hidden="1" x14ac:dyDescent="0.25">
      <c r="A5632" s="43">
        <v>866</v>
      </c>
      <c r="B5632" s="43" t="s">
        <v>255</v>
      </c>
      <c r="C5632" s="43" t="s">
        <v>506</v>
      </c>
      <c r="D5632" s="43" t="s">
        <v>536</v>
      </c>
      <c r="E5632" s="43" t="s">
        <v>537</v>
      </c>
      <c r="F5632" s="43">
        <v>0</v>
      </c>
      <c r="G5632" s="43" t="s">
        <v>4583</v>
      </c>
      <c r="H5632"/>
    </row>
    <row r="5633" spans="1:8" hidden="1" x14ac:dyDescent="0.25">
      <c r="A5633" s="43">
        <v>866</v>
      </c>
      <c r="B5633" s="43" t="s">
        <v>255</v>
      </c>
      <c r="C5633" s="43" t="s">
        <v>506</v>
      </c>
      <c r="D5633" s="43" t="s">
        <v>538</v>
      </c>
      <c r="E5633" s="43" t="s">
        <v>539</v>
      </c>
      <c r="F5633" s="43">
        <v>0</v>
      </c>
      <c r="G5633" s="43" t="s">
        <v>4625</v>
      </c>
      <c r="H5633" s="43" t="s">
        <v>4761</v>
      </c>
    </row>
    <row r="5634" spans="1:8" hidden="1" x14ac:dyDescent="0.25">
      <c r="A5634" s="43">
        <v>866</v>
      </c>
      <c r="B5634" s="43" t="s">
        <v>255</v>
      </c>
      <c r="C5634" s="43" t="s">
        <v>506</v>
      </c>
      <c r="D5634" s="43" t="s">
        <v>540</v>
      </c>
      <c r="E5634" s="43" t="s">
        <v>541</v>
      </c>
      <c r="F5634" s="43">
        <v>1</v>
      </c>
      <c r="G5634"/>
      <c r="H5634"/>
    </row>
    <row r="5635" spans="1:8" hidden="1" x14ac:dyDescent="0.25">
      <c r="A5635" s="43">
        <v>866</v>
      </c>
      <c r="B5635" s="43" t="s">
        <v>255</v>
      </c>
      <c r="C5635" s="43" t="s">
        <v>506</v>
      </c>
      <c r="D5635" s="43" t="s">
        <v>542</v>
      </c>
      <c r="E5635" s="43" t="s">
        <v>543</v>
      </c>
      <c r="F5635" s="43">
        <v>1</v>
      </c>
      <c r="G5635"/>
      <c r="H5635"/>
    </row>
    <row r="5636" spans="1:8" hidden="1" x14ac:dyDescent="0.25">
      <c r="A5636" s="43">
        <v>866</v>
      </c>
      <c r="B5636" s="43" t="s">
        <v>255</v>
      </c>
      <c r="C5636" s="43" t="s">
        <v>506</v>
      </c>
      <c r="D5636" s="43" t="s">
        <v>544</v>
      </c>
      <c r="E5636" s="43" t="s">
        <v>545</v>
      </c>
      <c r="F5636" s="43">
        <v>1</v>
      </c>
      <c r="G5636"/>
      <c r="H5636"/>
    </row>
    <row r="5637" spans="1:8" hidden="1" x14ac:dyDescent="0.25">
      <c r="A5637" s="43">
        <v>866</v>
      </c>
      <c r="B5637" s="43" t="s">
        <v>255</v>
      </c>
      <c r="C5637" s="43" t="s">
        <v>506</v>
      </c>
      <c r="D5637" s="43" t="s">
        <v>546</v>
      </c>
      <c r="E5637" s="43" t="s">
        <v>547</v>
      </c>
      <c r="F5637" s="43">
        <v>0</v>
      </c>
      <c r="G5637" s="43" t="s">
        <v>4583</v>
      </c>
      <c r="H5637"/>
    </row>
    <row r="5638" spans="1:8" hidden="1" x14ac:dyDescent="0.25">
      <c r="A5638" s="43">
        <v>866</v>
      </c>
      <c r="B5638" s="43" t="s">
        <v>255</v>
      </c>
      <c r="C5638" s="43" t="s">
        <v>506</v>
      </c>
      <c r="D5638" s="43" t="s">
        <v>548</v>
      </c>
      <c r="E5638" s="43" t="s">
        <v>549</v>
      </c>
      <c r="F5638" s="43">
        <v>1</v>
      </c>
      <c r="G5638"/>
      <c r="H5638"/>
    </row>
    <row r="5639" spans="1:8" hidden="1" x14ac:dyDescent="0.25">
      <c r="A5639" s="43">
        <v>866</v>
      </c>
      <c r="B5639" s="43" t="s">
        <v>255</v>
      </c>
      <c r="C5639" s="43" t="s">
        <v>506</v>
      </c>
      <c r="D5639" s="43" t="s">
        <v>550</v>
      </c>
      <c r="E5639" s="43" t="s">
        <v>551</v>
      </c>
      <c r="F5639" s="43">
        <v>1</v>
      </c>
      <c r="G5639"/>
      <c r="H5639"/>
    </row>
    <row r="5640" spans="1:8" hidden="1" x14ac:dyDescent="0.25">
      <c r="A5640" s="43">
        <v>435</v>
      </c>
      <c r="B5640" s="43" t="s">
        <v>3339</v>
      </c>
      <c r="C5640" s="43" t="s">
        <v>1613</v>
      </c>
      <c r="D5640" s="43" t="s">
        <v>1614</v>
      </c>
      <c r="E5640" s="43" t="s">
        <v>273</v>
      </c>
      <c r="F5640" s="43">
        <v>1</v>
      </c>
      <c r="G5640"/>
      <c r="H5640"/>
    </row>
    <row r="5641" spans="1:8" hidden="1" x14ac:dyDescent="0.25">
      <c r="A5641" s="43">
        <v>435</v>
      </c>
      <c r="B5641" s="43" t="s">
        <v>3339</v>
      </c>
      <c r="C5641" s="43" t="s">
        <v>1613</v>
      </c>
      <c r="D5641" s="43" t="s">
        <v>1615</v>
      </c>
      <c r="E5641" s="43" t="s">
        <v>312</v>
      </c>
      <c r="F5641" s="43">
        <v>1</v>
      </c>
      <c r="G5641"/>
      <c r="H5641"/>
    </row>
    <row r="5642" spans="1:8" hidden="1" x14ac:dyDescent="0.25">
      <c r="A5642" s="43">
        <v>435</v>
      </c>
      <c r="B5642" s="43" t="s">
        <v>3339</v>
      </c>
      <c r="C5642" s="43" t="s">
        <v>1613</v>
      </c>
      <c r="D5642" s="43" t="s">
        <v>1616</v>
      </c>
      <c r="E5642" s="43" t="s">
        <v>316</v>
      </c>
      <c r="F5642" s="43">
        <v>1</v>
      </c>
      <c r="G5642"/>
      <c r="H5642"/>
    </row>
    <row r="5643" spans="1:8" hidden="1" x14ac:dyDescent="0.25">
      <c r="A5643" s="43">
        <v>435</v>
      </c>
      <c r="B5643" s="43" t="s">
        <v>3339</v>
      </c>
      <c r="C5643" s="43" t="s">
        <v>1613</v>
      </c>
      <c r="D5643" s="43" t="s">
        <v>1617</v>
      </c>
      <c r="E5643" s="43" t="s">
        <v>314</v>
      </c>
      <c r="F5643" s="43">
        <v>1</v>
      </c>
      <c r="G5643"/>
      <c r="H5643"/>
    </row>
    <row r="5644" spans="1:8" hidden="1" x14ac:dyDescent="0.25">
      <c r="A5644" s="43">
        <v>435</v>
      </c>
      <c r="B5644" s="43" t="s">
        <v>3339</v>
      </c>
      <c r="C5644" s="43" t="s">
        <v>1613</v>
      </c>
      <c r="D5644" s="43" t="s">
        <v>1618</v>
      </c>
      <c r="E5644" s="43" t="s">
        <v>318</v>
      </c>
      <c r="F5644" s="43">
        <v>0</v>
      </c>
      <c r="G5644" s="43" t="s">
        <v>4583</v>
      </c>
      <c r="H5644"/>
    </row>
    <row r="5645" spans="1:8" hidden="1" x14ac:dyDescent="0.25">
      <c r="A5645" s="43">
        <v>435</v>
      </c>
      <c r="B5645" s="43" t="s">
        <v>3339</v>
      </c>
      <c r="C5645" s="43" t="s">
        <v>1613</v>
      </c>
      <c r="D5645" s="43" t="s">
        <v>1619</v>
      </c>
      <c r="E5645" s="43" t="s">
        <v>1620</v>
      </c>
      <c r="F5645" s="43">
        <v>0</v>
      </c>
      <c r="G5645" s="43" t="s">
        <v>4583</v>
      </c>
      <c r="H5645"/>
    </row>
    <row r="5646" spans="1:8" hidden="1" x14ac:dyDescent="0.25">
      <c r="A5646" s="43">
        <v>435</v>
      </c>
      <c r="B5646" s="43" t="s">
        <v>3339</v>
      </c>
      <c r="C5646" s="43" t="s">
        <v>1613</v>
      </c>
      <c r="D5646" s="43" t="s">
        <v>1621</v>
      </c>
      <c r="E5646" s="43" t="s">
        <v>1622</v>
      </c>
      <c r="F5646" s="43">
        <v>1</v>
      </c>
      <c r="G5646"/>
      <c r="H5646"/>
    </row>
    <row r="5647" spans="1:8" hidden="1" x14ac:dyDescent="0.25">
      <c r="A5647" s="43">
        <v>435</v>
      </c>
      <c r="B5647" s="43" t="s">
        <v>3339</v>
      </c>
      <c r="C5647" s="43" t="s">
        <v>1613</v>
      </c>
      <c r="D5647" s="43" t="s">
        <v>1623</v>
      </c>
      <c r="E5647" s="43" t="s">
        <v>322</v>
      </c>
      <c r="F5647" s="43">
        <v>1</v>
      </c>
      <c r="G5647"/>
      <c r="H5647"/>
    </row>
    <row r="5648" spans="1:8" hidden="1" x14ac:dyDescent="0.25">
      <c r="A5648" s="43">
        <v>435</v>
      </c>
      <c r="B5648" s="43" t="s">
        <v>3339</v>
      </c>
      <c r="C5648" s="43" t="s">
        <v>1613</v>
      </c>
      <c r="D5648" s="43" t="s">
        <v>1624</v>
      </c>
      <c r="E5648" s="43" t="s">
        <v>936</v>
      </c>
      <c r="F5648" s="43">
        <v>0</v>
      </c>
      <c r="G5648" s="43" t="s">
        <v>4583</v>
      </c>
      <c r="H5648"/>
    </row>
    <row r="5649" spans="1:8" hidden="1" x14ac:dyDescent="0.25">
      <c r="A5649" s="43">
        <v>435</v>
      </c>
      <c r="B5649" s="43" t="s">
        <v>3339</v>
      </c>
      <c r="C5649" s="43" t="s">
        <v>1613</v>
      </c>
      <c r="D5649" s="43" t="s">
        <v>1625</v>
      </c>
      <c r="E5649" s="43" t="s">
        <v>938</v>
      </c>
      <c r="F5649" s="43">
        <v>1</v>
      </c>
      <c r="G5649"/>
      <c r="H5649"/>
    </row>
    <row r="5650" spans="1:8" hidden="1" x14ac:dyDescent="0.25">
      <c r="A5650" s="43">
        <v>435</v>
      </c>
      <c r="B5650" s="43" t="s">
        <v>3339</v>
      </c>
      <c r="C5650" s="43" t="s">
        <v>1613</v>
      </c>
      <c r="D5650" s="43" t="s">
        <v>1626</v>
      </c>
      <c r="E5650" s="43" t="s">
        <v>1483</v>
      </c>
      <c r="F5650" s="43">
        <v>0</v>
      </c>
      <c r="G5650" s="43" t="s">
        <v>4583</v>
      </c>
      <c r="H5650"/>
    </row>
    <row r="5651" spans="1:8" hidden="1" x14ac:dyDescent="0.25">
      <c r="A5651" s="43">
        <v>435</v>
      </c>
      <c r="B5651" s="43" t="s">
        <v>3339</v>
      </c>
      <c r="C5651" s="43" t="s">
        <v>1613</v>
      </c>
      <c r="D5651" s="43" t="s">
        <v>1627</v>
      </c>
      <c r="E5651" s="43" t="s">
        <v>942</v>
      </c>
      <c r="F5651" s="43">
        <v>0</v>
      </c>
      <c r="G5651" s="43" t="s">
        <v>4583</v>
      </c>
      <c r="H5651"/>
    </row>
    <row r="5652" spans="1:8" hidden="1" x14ac:dyDescent="0.25">
      <c r="A5652" s="43">
        <v>435</v>
      </c>
      <c r="B5652" s="43" t="s">
        <v>3339</v>
      </c>
      <c r="C5652" s="43" t="s">
        <v>1613</v>
      </c>
      <c r="D5652" s="43" t="s">
        <v>1628</v>
      </c>
      <c r="E5652" s="43" t="s">
        <v>383</v>
      </c>
      <c r="F5652" s="43">
        <v>1</v>
      </c>
      <c r="G5652"/>
      <c r="H5652"/>
    </row>
    <row r="5653" spans="1:8" hidden="1" x14ac:dyDescent="0.25">
      <c r="A5653" s="43">
        <v>435</v>
      </c>
      <c r="B5653" s="43" t="s">
        <v>3339</v>
      </c>
      <c r="C5653" s="43" t="s">
        <v>1613</v>
      </c>
      <c r="D5653" s="43" t="s">
        <v>1629</v>
      </c>
      <c r="E5653" s="43" t="s">
        <v>1630</v>
      </c>
      <c r="F5653" s="43">
        <v>1</v>
      </c>
      <c r="G5653"/>
      <c r="H5653"/>
    </row>
    <row r="5654" spans="1:8" hidden="1" x14ac:dyDescent="0.25">
      <c r="A5654" s="43">
        <v>435</v>
      </c>
      <c r="B5654" s="43" t="s">
        <v>3339</v>
      </c>
      <c r="C5654" s="43" t="s">
        <v>1613</v>
      </c>
      <c r="D5654" s="43" t="s">
        <v>1631</v>
      </c>
      <c r="E5654" s="43" t="s">
        <v>380</v>
      </c>
      <c r="F5654" s="43">
        <v>0</v>
      </c>
      <c r="G5654" s="43" t="s">
        <v>4746</v>
      </c>
      <c r="H5654" s="43" t="s">
        <v>4759</v>
      </c>
    </row>
    <row r="5655" spans="1:8" hidden="1" x14ac:dyDescent="0.25">
      <c r="A5655" s="43">
        <v>435</v>
      </c>
      <c r="B5655" s="43" t="s">
        <v>3339</v>
      </c>
      <c r="C5655" s="43" t="s">
        <v>1613</v>
      </c>
      <c r="D5655" s="43" t="s">
        <v>1632</v>
      </c>
      <c r="E5655" s="43" t="s">
        <v>381</v>
      </c>
      <c r="F5655" s="43">
        <v>1</v>
      </c>
      <c r="G5655"/>
      <c r="H5655"/>
    </row>
    <row r="5656" spans="1:8" hidden="1" x14ac:dyDescent="0.25">
      <c r="A5656" s="43">
        <v>435</v>
      </c>
      <c r="B5656" s="43" t="s">
        <v>3339</v>
      </c>
      <c r="C5656" s="43" t="s">
        <v>1613</v>
      </c>
      <c r="D5656" s="43" t="s">
        <v>1633</v>
      </c>
      <c r="E5656" s="43" t="s">
        <v>1634</v>
      </c>
      <c r="F5656" s="43">
        <v>0</v>
      </c>
      <c r="G5656" s="43" t="s">
        <v>4747</v>
      </c>
      <c r="H5656" s="43" t="s">
        <v>4765</v>
      </c>
    </row>
    <row r="5657" spans="1:8" hidden="1" x14ac:dyDescent="0.25">
      <c r="A5657" s="43">
        <v>435</v>
      </c>
      <c r="B5657" s="43" t="s">
        <v>3339</v>
      </c>
      <c r="C5657" s="43" t="s">
        <v>1613</v>
      </c>
      <c r="D5657" s="43" t="s">
        <v>1635</v>
      </c>
      <c r="E5657" s="43" t="s">
        <v>4473</v>
      </c>
      <c r="F5657" s="43">
        <v>0</v>
      </c>
      <c r="G5657" s="43" t="s">
        <v>4748</v>
      </c>
      <c r="H5657" s="43" t="s">
        <v>4765</v>
      </c>
    </row>
    <row r="5658" spans="1:8" hidden="1" x14ac:dyDescent="0.25">
      <c r="A5658" s="43">
        <v>435</v>
      </c>
      <c r="B5658" s="43" t="s">
        <v>3339</v>
      </c>
      <c r="C5658" s="43" t="s">
        <v>1613</v>
      </c>
      <c r="D5658" s="43" t="s">
        <v>1636</v>
      </c>
      <c r="E5658" s="43" t="s">
        <v>1637</v>
      </c>
      <c r="F5658" s="43">
        <v>0</v>
      </c>
      <c r="G5658" s="43" t="s">
        <v>4749</v>
      </c>
      <c r="H5658" s="43" t="s">
        <v>4760</v>
      </c>
    </row>
    <row r="5659" spans="1:8" hidden="1" x14ac:dyDescent="0.25">
      <c r="A5659" s="43">
        <v>435</v>
      </c>
      <c r="B5659" s="43" t="s">
        <v>3339</v>
      </c>
      <c r="C5659" s="43" t="s">
        <v>1613</v>
      </c>
      <c r="D5659" s="43" t="s">
        <v>1638</v>
      </c>
      <c r="E5659" s="43" t="s">
        <v>1639</v>
      </c>
      <c r="F5659" s="43">
        <v>1</v>
      </c>
      <c r="G5659"/>
      <c r="H5659"/>
    </row>
    <row r="5660" spans="1:8" hidden="1" x14ac:dyDescent="0.25">
      <c r="A5660" s="43">
        <v>435</v>
      </c>
      <c r="B5660" s="43" t="s">
        <v>3339</v>
      </c>
      <c r="C5660" s="43" t="s">
        <v>1474</v>
      </c>
      <c r="D5660" s="43" t="s">
        <v>1475</v>
      </c>
      <c r="E5660" s="43" t="s">
        <v>308</v>
      </c>
      <c r="F5660" s="43">
        <v>1</v>
      </c>
      <c r="G5660"/>
      <c r="H5660"/>
    </row>
    <row r="5661" spans="1:8" hidden="1" x14ac:dyDescent="0.25">
      <c r="A5661" s="43">
        <v>435</v>
      </c>
      <c r="B5661" s="43" t="s">
        <v>3339</v>
      </c>
      <c r="C5661" s="43" t="s">
        <v>1474</v>
      </c>
      <c r="D5661" s="43" t="s">
        <v>1476</v>
      </c>
      <c r="E5661" s="43" t="s">
        <v>310</v>
      </c>
      <c r="F5661" s="43">
        <v>1</v>
      </c>
      <c r="G5661"/>
      <c r="H5661"/>
    </row>
    <row r="5662" spans="1:8" hidden="1" x14ac:dyDescent="0.25">
      <c r="A5662" s="43">
        <v>435</v>
      </c>
      <c r="B5662" s="43" t="s">
        <v>3339</v>
      </c>
      <c r="C5662" s="43" t="s">
        <v>1474</v>
      </c>
      <c r="D5662" s="43" t="s">
        <v>1477</v>
      </c>
      <c r="E5662" s="43" t="s">
        <v>312</v>
      </c>
      <c r="F5662" s="43">
        <v>1</v>
      </c>
      <c r="G5662"/>
      <c r="H5662"/>
    </row>
    <row r="5663" spans="1:8" hidden="1" x14ac:dyDescent="0.25">
      <c r="A5663" s="43">
        <v>435</v>
      </c>
      <c r="B5663" s="43" t="s">
        <v>3339</v>
      </c>
      <c r="C5663" s="43" t="s">
        <v>1474</v>
      </c>
      <c r="D5663" s="43" t="s">
        <v>1478</v>
      </c>
      <c r="E5663" s="43" t="s">
        <v>314</v>
      </c>
      <c r="F5663" s="43">
        <v>1</v>
      </c>
      <c r="G5663"/>
      <c r="H5663"/>
    </row>
    <row r="5664" spans="1:8" hidden="1" x14ac:dyDescent="0.25">
      <c r="A5664" s="43">
        <v>435</v>
      </c>
      <c r="B5664" s="43" t="s">
        <v>3339</v>
      </c>
      <c r="C5664" s="43" t="s">
        <v>1474</v>
      </c>
      <c r="D5664" s="43" t="s">
        <v>1479</v>
      </c>
      <c r="E5664" s="43" t="s">
        <v>1480</v>
      </c>
      <c r="F5664" s="43">
        <v>0</v>
      </c>
      <c r="G5664" s="43" t="s">
        <v>4750</v>
      </c>
      <c r="H5664" s="43" t="s">
        <v>4759</v>
      </c>
    </row>
    <row r="5665" spans="1:8" hidden="1" x14ac:dyDescent="0.25">
      <c r="A5665" s="43">
        <v>435</v>
      </c>
      <c r="B5665" s="43" t="s">
        <v>3339</v>
      </c>
      <c r="C5665" s="43" t="s">
        <v>1474</v>
      </c>
      <c r="D5665" s="43" t="s">
        <v>1481</v>
      </c>
      <c r="E5665" s="43" t="s">
        <v>938</v>
      </c>
      <c r="F5665" s="43">
        <v>1</v>
      </c>
      <c r="G5665"/>
      <c r="H5665"/>
    </row>
    <row r="5666" spans="1:8" hidden="1" x14ac:dyDescent="0.25">
      <c r="A5666" s="43">
        <v>435</v>
      </c>
      <c r="B5666" s="43" t="s">
        <v>3339</v>
      </c>
      <c r="C5666" s="43" t="s">
        <v>1474</v>
      </c>
      <c r="D5666" s="43" t="s">
        <v>1482</v>
      </c>
      <c r="E5666" s="43" t="s">
        <v>1483</v>
      </c>
      <c r="F5666" s="43">
        <v>0</v>
      </c>
      <c r="G5666" s="43" t="s">
        <v>4751</v>
      </c>
      <c r="H5666" s="43" t="s">
        <v>4765</v>
      </c>
    </row>
    <row r="5667" spans="1:8" hidden="1" x14ac:dyDescent="0.25">
      <c r="A5667" s="43">
        <v>435</v>
      </c>
      <c r="B5667" s="43" t="s">
        <v>3339</v>
      </c>
      <c r="C5667" s="43" t="s">
        <v>1474</v>
      </c>
      <c r="D5667" s="43" t="s">
        <v>1484</v>
      </c>
      <c r="E5667" s="43" t="s">
        <v>942</v>
      </c>
      <c r="F5667" s="43">
        <v>0</v>
      </c>
      <c r="G5667" s="43" t="s">
        <v>4752</v>
      </c>
      <c r="H5667" s="43" t="s">
        <v>4765</v>
      </c>
    </row>
    <row r="5668" spans="1:8" hidden="1" x14ac:dyDescent="0.25">
      <c r="A5668" s="43">
        <v>435</v>
      </c>
      <c r="B5668" s="43" t="s">
        <v>3339</v>
      </c>
      <c r="C5668" s="43" t="s">
        <v>1474</v>
      </c>
      <c r="D5668" s="43" t="s">
        <v>1485</v>
      </c>
      <c r="E5668" s="43" t="s">
        <v>383</v>
      </c>
      <c r="F5668" s="43">
        <v>1</v>
      </c>
      <c r="G5668"/>
      <c r="H5668"/>
    </row>
    <row r="5669" spans="1:8" hidden="1" x14ac:dyDescent="0.25">
      <c r="A5669" s="43">
        <v>435</v>
      </c>
      <c r="B5669" s="43" t="s">
        <v>3339</v>
      </c>
      <c r="C5669" s="43" t="s">
        <v>1474</v>
      </c>
      <c r="D5669" s="43" t="s">
        <v>1486</v>
      </c>
      <c r="E5669" s="43" t="s">
        <v>384</v>
      </c>
      <c r="F5669" s="43">
        <v>1</v>
      </c>
      <c r="G5669"/>
      <c r="H5669"/>
    </row>
    <row r="5670" spans="1:8" hidden="1" x14ac:dyDescent="0.25">
      <c r="A5670" s="43">
        <v>435</v>
      </c>
      <c r="B5670" s="43" t="s">
        <v>3339</v>
      </c>
      <c r="C5670" s="43" t="s">
        <v>1474</v>
      </c>
      <c r="D5670" s="43" t="s">
        <v>1487</v>
      </c>
      <c r="E5670" s="43" t="s">
        <v>380</v>
      </c>
      <c r="F5670" s="43">
        <v>0</v>
      </c>
      <c r="G5670" s="43" t="s">
        <v>4746</v>
      </c>
      <c r="H5670" s="43" t="s">
        <v>4759</v>
      </c>
    </row>
    <row r="5671" spans="1:8" hidden="1" x14ac:dyDescent="0.25">
      <c r="A5671" s="43">
        <v>435</v>
      </c>
      <c r="B5671" s="43" t="s">
        <v>3339</v>
      </c>
      <c r="C5671" s="43" t="s">
        <v>1474</v>
      </c>
      <c r="D5671" s="43" t="s">
        <v>1488</v>
      </c>
      <c r="E5671" s="43" t="s">
        <v>381</v>
      </c>
      <c r="F5671" s="43">
        <v>1</v>
      </c>
      <c r="G5671"/>
      <c r="H5671"/>
    </row>
    <row r="5672" spans="1:8" hidden="1" x14ac:dyDescent="0.25">
      <c r="A5672" s="43">
        <v>435</v>
      </c>
      <c r="B5672" s="43" t="s">
        <v>3339</v>
      </c>
      <c r="C5672" s="43" t="s">
        <v>1474</v>
      </c>
      <c r="D5672" s="43" t="s">
        <v>1489</v>
      </c>
      <c r="E5672" s="43" t="s">
        <v>4473</v>
      </c>
      <c r="F5672" s="43">
        <v>0</v>
      </c>
      <c r="G5672" s="43" t="s">
        <v>4747</v>
      </c>
      <c r="H5672" s="43" t="s">
        <v>4765</v>
      </c>
    </row>
    <row r="5673" spans="1:8" hidden="1" x14ac:dyDescent="0.25">
      <c r="A5673" s="43">
        <v>435</v>
      </c>
      <c r="B5673" s="43" t="s">
        <v>3339</v>
      </c>
      <c r="C5673" s="43" t="s">
        <v>1474</v>
      </c>
      <c r="D5673" s="43" t="s">
        <v>1490</v>
      </c>
      <c r="E5673" s="43" t="s">
        <v>378</v>
      </c>
      <c r="F5673" s="43">
        <v>0</v>
      </c>
      <c r="G5673" s="43" t="s">
        <v>4748</v>
      </c>
      <c r="H5673" s="43" t="s">
        <v>4765</v>
      </c>
    </row>
    <row r="5674" spans="1:8" hidden="1" x14ac:dyDescent="0.25">
      <c r="A5674" s="43">
        <v>435</v>
      </c>
      <c r="B5674" s="43" t="s">
        <v>3339</v>
      </c>
      <c r="C5674" s="43" t="s">
        <v>1474</v>
      </c>
      <c r="D5674" s="43" t="s">
        <v>1491</v>
      </c>
      <c r="E5674" s="43" t="s">
        <v>379</v>
      </c>
      <c r="F5674" s="43">
        <v>1</v>
      </c>
      <c r="G5674"/>
      <c r="H5674"/>
    </row>
    <row r="5675" spans="1:8" hidden="1" x14ac:dyDescent="0.25">
      <c r="A5675" s="43">
        <v>735</v>
      </c>
      <c r="B5675" s="43" t="s">
        <v>3340</v>
      </c>
      <c r="C5675" s="43" t="s">
        <v>636</v>
      </c>
      <c r="D5675" s="43" t="s">
        <v>637</v>
      </c>
      <c r="E5675" s="43" t="s">
        <v>638</v>
      </c>
      <c r="F5675" s="43">
        <v>0</v>
      </c>
      <c r="G5675" s="43" t="s">
        <v>4583</v>
      </c>
      <c r="H5675"/>
    </row>
    <row r="5676" spans="1:8" hidden="1" x14ac:dyDescent="0.25">
      <c r="A5676" s="43">
        <v>735</v>
      </c>
      <c r="B5676" s="43" t="s">
        <v>3340</v>
      </c>
      <c r="C5676" s="43" t="s">
        <v>636</v>
      </c>
      <c r="D5676" s="43" t="s">
        <v>639</v>
      </c>
      <c r="E5676" s="43" t="s">
        <v>640</v>
      </c>
      <c r="F5676" s="43">
        <v>1</v>
      </c>
      <c r="G5676"/>
      <c r="H5676"/>
    </row>
    <row r="5677" spans="1:8" hidden="1" x14ac:dyDescent="0.25">
      <c r="A5677" s="43">
        <v>735</v>
      </c>
      <c r="B5677" s="43" t="s">
        <v>3340</v>
      </c>
      <c r="C5677" s="43" t="s">
        <v>636</v>
      </c>
      <c r="D5677" s="43" t="s">
        <v>641</v>
      </c>
      <c r="E5677" s="43" t="s">
        <v>642</v>
      </c>
      <c r="F5677" s="43">
        <v>1</v>
      </c>
      <c r="G5677"/>
      <c r="H5677"/>
    </row>
    <row r="5678" spans="1:8" hidden="1" x14ac:dyDescent="0.25">
      <c r="A5678" s="43">
        <v>735</v>
      </c>
      <c r="B5678" s="43" t="s">
        <v>3340</v>
      </c>
      <c r="C5678" s="43" t="s">
        <v>636</v>
      </c>
      <c r="D5678" s="43" t="s">
        <v>643</v>
      </c>
      <c r="E5678" s="43" t="s">
        <v>644</v>
      </c>
      <c r="F5678" s="43">
        <v>0</v>
      </c>
      <c r="G5678" s="43" t="s">
        <v>4583</v>
      </c>
      <c r="H5678"/>
    </row>
    <row r="5679" spans="1:8" hidden="1" x14ac:dyDescent="0.25">
      <c r="A5679" s="43">
        <v>735</v>
      </c>
      <c r="B5679" s="43" t="s">
        <v>3340</v>
      </c>
      <c r="C5679" s="43" t="s">
        <v>636</v>
      </c>
      <c r="D5679" s="43" t="s">
        <v>645</v>
      </c>
      <c r="E5679" s="43" t="s">
        <v>646</v>
      </c>
      <c r="F5679" s="43">
        <v>0</v>
      </c>
      <c r="G5679" s="43" t="s">
        <v>4583</v>
      </c>
      <c r="H5679"/>
    </row>
    <row r="5680" spans="1:8" hidden="1" x14ac:dyDescent="0.25">
      <c r="A5680" s="43">
        <v>735</v>
      </c>
      <c r="B5680" s="43" t="s">
        <v>3340</v>
      </c>
      <c r="C5680" s="43" t="s">
        <v>636</v>
      </c>
      <c r="D5680" s="43" t="s">
        <v>647</v>
      </c>
      <c r="E5680" s="43" t="s">
        <v>648</v>
      </c>
      <c r="F5680" s="43">
        <v>1</v>
      </c>
      <c r="G5680"/>
      <c r="H5680"/>
    </row>
    <row r="5681" spans="1:8" hidden="1" x14ac:dyDescent="0.25">
      <c r="A5681" s="43">
        <v>735</v>
      </c>
      <c r="B5681" s="43" t="s">
        <v>3340</v>
      </c>
      <c r="C5681" s="43" t="s">
        <v>636</v>
      </c>
      <c r="D5681" s="43" t="s">
        <v>649</v>
      </c>
      <c r="E5681" s="43" t="s">
        <v>650</v>
      </c>
      <c r="F5681" s="43">
        <v>1</v>
      </c>
      <c r="G5681"/>
      <c r="H5681"/>
    </row>
    <row r="5682" spans="1:8" hidden="1" x14ac:dyDescent="0.25">
      <c r="A5682" s="43">
        <v>735</v>
      </c>
      <c r="B5682" s="43" t="s">
        <v>3340</v>
      </c>
      <c r="C5682" s="43" t="s">
        <v>636</v>
      </c>
      <c r="D5682" s="43" t="s">
        <v>651</v>
      </c>
      <c r="E5682" s="43" t="s">
        <v>652</v>
      </c>
      <c r="F5682" s="43">
        <v>1</v>
      </c>
      <c r="G5682"/>
      <c r="H5682"/>
    </row>
    <row r="5683" spans="1:8" hidden="1" x14ac:dyDescent="0.25">
      <c r="A5683" s="43">
        <v>735</v>
      </c>
      <c r="B5683" s="43" t="s">
        <v>3340</v>
      </c>
      <c r="C5683" s="43" t="s">
        <v>636</v>
      </c>
      <c r="D5683" s="43" t="s">
        <v>653</v>
      </c>
      <c r="E5683" s="43" t="s">
        <v>438</v>
      </c>
      <c r="F5683" s="43">
        <v>1</v>
      </c>
      <c r="G5683"/>
      <c r="H5683"/>
    </row>
    <row r="5684" spans="1:8" hidden="1" x14ac:dyDescent="0.25">
      <c r="A5684" s="43">
        <v>735</v>
      </c>
      <c r="B5684" s="43" t="s">
        <v>3340</v>
      </c>
      <c r="C5684" s="43" t="s">
        <v>636</v>
      </c>
      <c r="D5684" s="43" t="s">
        <v>654</v>
      </c>
      <c r="E5684" s="43" t="s">
        <v>440</v>
      </c>
      <c r="F5684" s="43">
        <v>1</v>
      </c>
      <c r="G5684"/>
      <c r="H5684"/>
    </row>
    <row r="5685" spans="1:8" hidden="1" x14ac:dyDescent="0.25">
      <c r="A5685" s="43">
        <v>735</v>
      </c>
      <c r="B5685" s="43" t="s">
        <v>3340</v>
      </c>
      <c r="C5685" s="43" t="s">
        <v>636</v>
      </c>
      <c r="D5685" s="43" t="s">
        <v>655</v>
      </c>
      <c r="E5685" s="43" t="s">
        <v>656</v>
      </c>
      <c r="F5685" s="43">
        <v>1</v>
      </c>
      <c r="G5685"/>
      <c r="H5685"/>
    </row>
    <row r="5686" spans="1:8" hidden="1" x14ac:dyDescent="0.25">
      <c r="A5686" s="43">
        <v>735</v>
      </c>
      <c r="B5686" s="43" t="s">
        <v>3340</v>
      </c>
      <c r="C5686" s="43" t="s">
        <v>636</v>
      </c>
      <c r="D5686" s="43" t="s">
        <v>657</v>
      </c>
      <c r="E5686" s="43" t="s">
        <v>658</v>
      </c>
      <c r="F5686" s="43">
        <v>1</v>
      </c>
      <c r="G5686"/>
      <c r="H5686"/>
    </row>
    <row r="5687" spans="1:8" hidden="1" x14ac:dyDescent="0.25">
      <c r="A5687" s="43">
        <v>55</v>
      </c>
      <c r="B5687" s="43" t="s">
        <v>3411</v>
      </c>
      <c r="C5687" s="43" t="s">
        <v>4478</v>
      </c>
      <c r="D5687" s="43" t="s">
        <v>1537</v>
      </c>
      <c r="E5687" s="43" t="s">
        <v>1494</v>
      </c>
      <c r="F5687" s="43">
        <v>1</v>
      </c>
      <c r="G5687"/>
      <c r="H5687"/>
    </row>
    <row r="5688" spans="1:8" hidden="1" x14ac:dyDescent="0.25">
      <c r="A5688" s="43">
        <v>55</v>
      </c>
      <c r="B5688" s="43" t="s">
        <v>3411</v>
      </c>
      <c r="C5688" s="43" t="s">
        <v>4478</v>
      </c>
      <c r="D5688" s="43" t="s">
        <v>1538</v>
      </c>
      <c r="E5688" s="43" t="s">
        <v>306</v>
      </c>
      <c r="F5688" s="43">
        <v>1</v>
      </c>
      <c r="G5688"/>
      <c r="H5688"/>
    </row>
    <row r="5689" spans="1:8" hidden="1" x14ac:dyDescent="0.25">
      <c r="A5689" s="43">
        <v>55</v>
      </c>
      <c r="B5689" s="43" t="s">
        <v>3411</v>
      </c>
      <c r="C5689" s="43" t="s">
        <v>4478</v>
      </c>
      <c r="D5689" s="43" t="s">
        <v>1539</v>
      </c>
      <c r="E5689" s="43" t="s">
        <v>1499</v>
      </c>
      <c r="F5689" s="43">
        <v>1</v>
      </c>
      <c r="G5689"/>
      <c r="H5689"/>
    </row>
    <row r="5690" spans="1:8" hidden="1" x14ac:dyDescent="0.25">
      <c r="A5690" s="43">
        <v>55</v>
      </c>
      <c r="B5690" s="43" t="s">
        <v>3411</v>
      </c>
      <c r="C5690" s="43" t="s">
        <v>4478</v>
      </c>
      <c r="D5690" s="43" t="s">
        <v>1540</v>
      </c>
      <c r="E5690" s="43" t="s">
        <v>1541</v>
      </c>
      <c r="F5690" s="43">
        <v>1</v>
      </c>
      <c r="G5690"/>
      <c r="H5690"/>
    </row>
    <row r="5691" spans="1:8" hidden="1" x14ac:dyDescent="0.25">
      <c r="A5691" s="43">
        <v>55</v>
      </c>
      <c r="B5691" s="43" t="s">
        <v>3411</v>
      </c>
      <c r="C5691" s="43" t="s">
        <v>4478</v>
      </c>
      <c r="D5691" s="43" t="s">
        <v>1542</v>
      </c>
      <c r="E5691" s="43" t="s">
        <v>1543</v>
      </c>
      <c r="F5691" s="43">
        <v>1</v>
      </c>
      <c r="G5691"/>
      <c r="H5691"/>
    </row>
    <row r="5692" spans="1:8" hidden="1" x14ac:dyDescent="0.25">
      <c r="A5692" s="43">
        <v>55</v>
      </c>
      <c r="B5692" s="43" t="s">
        <v>3411</v>
      </c>
      <c r="C5692" s="43" t="s">
        <v>4478</v>
      </c>
      <c r="D5692" s="43" t="s">
        <v>1544</v>
      </c>
      <c r="E5692" s="43" t="s">
        <v>671</v>
      </c>
      <c r="F5692" s="43">
        <v>0</v>
      </c>
      <c r="G5692" s="43" t="s">
        <v>4583</v>
      </c>
      <c r="H5692"/>
    </row>
    <row r="5693" spans="1:8" hidden="1" x14ac:dyDescent="0.25">
      <c r="A5693" s="43">
        <v>55</v>
      </c>
      <c r="B5693" s="43" t="s">
        <v>3411</v>
      </c>
      <c r="C5693" s="43" t="s">
        <v>4478</v>
      </c>
      <c r="D5693" s="43" t="s">
        <v>1545</v>
      </c>
      <c r="E5693" s="43" t="s">
        <v>1546</v>
      </c>
      <c r="F5693" s="43">
        <v>1</v>
      </c>
      <c r="G5693"/>
      <c r="H5693"/>
    </row>
    <row r="5694" spans="1:8" hidden="1" x14ac:dyDescent="0.25">
      <c r="A5694" s="43">
        <v>55</v>
      </c>
      <c r="B5694" s="43" t="s">
        <v>3411</v>
      </c>
      <c r="C5694" s="43" t="s">
        <v>4478</v>
      </c>
      <c r="D5694" s="43" t="s">
        <v>1547</v>
      </c>
      <c r="E5694" s="43" t="s">
        <v>1548</v>
      </c>
      <c r="F5694" s="43">
        <v>0</v>
      </c>
      <c r="G5694" s="43" t="s">
        <v>4583</v>
      </c>
      <c r="H5694"/>
    </row>
    <row r="5695" spans="1:8" hidden="1" x14ac:dyDescent="0.25">
      <c r="A5695" s="43">
        <v>55</v>
      </c>
      <c r="B5695" s="43" t="s">
        <v>3411</v>
      </c>
      <c r="C5695" s="43" t="s">
        <v>4478</v>
      </c>
      <c r="D5695" s="43" t="s">
        <v>1549</v>
      </c>
      <c r="E5695" s="43" t="s">
        <v>1550</v>
      </c>
      <c r="F5695" s="43">
        <v>0</v>
      </c>
      <c r="G5695" s="43" t="s">
        <v>4583</v>
      </c>
      <c r="H5695"/>
    </row>
    <row r="5696" spans="1:8" hidden="1" x14ac:dyDescent="0.25">
      <c r="A5696" s="43">
        <v>55</v>
      </c>
      <c r="B5696" s="43" t="s">
        <v>3411</v>
      </c>
      <c r="C5696" s="43" t="s">
        <v>4478</v>
      </c>
      <c r="D5696" s="43" t="s">
        <v>1551</v>
      </c>
      <c r="E5696" s="43" t="s">
        <v>1552</v>
      </c>
      <c r="F5696" s="43">
        <v>0</v>
      </c>
      <c r="G5696" s="43" t="s">
        <v>4583</v>
      </c>
      <c r="H5696"/>
    </row>
    <row r="5697" spans="1:8" hidden="1" x14ac:dyDescent="0.25">
      <c r="A5697" s="43">
        <v>55</v>
      </c>
      <c r="B5697" s="43" t="s">
        <v>3411</v>
      </c>
      <c r="C5697" s="43" t="s">
        <v>4478</v>
      </c>
      <c r="D5697" s="43" t="s">
        <v>1553</v>
      </c>
      <c r="E5697" s="43" t="s">
        <v>1554</v>
      </c>
      <c r="F5697" s="43">
        <v>0</v>
      </c>
      <c r="G5697" s="43" t="s">
        <v>4583</v>
      </c>
      <c r="H5697"/>
    </row>
    <row r="5698" spans="1:8" hidden="1" x14ac:dyDescent="0.25">
      <c r="A5698" s="43">
        <v>55</v>
      </c>
      <c r="B5698" s="43" t="s">
        <v>3411</v>
      </c>
      <c r="C5698" s="43" t="s">
        <v>4478</v>
      </c>
      <c r="D5698" s="43" t="s">
        <v>1555</v>
      </c>
      <c r="E5698" s="43" t="s">
        <v>1556</v>
      </c>
      <c r="F5698" s="43">
        <v>0</v>
      </c>
      <c r="G5698" s="43" t="s">
        <v>4583</v>
      </c>
      <c r="H5698"/>
    </row>
    <row r="5699" spans="1:8" hidden="1" x14ac:dyDescent="0.25">
      <c r="A5699" s="43">
        <v>344</v>
      </c>
      <c r="B5699" s="43" t="s">
        <v>3686</v>
      </c>
      <c r="C5699" s="43" t="s">
        <v>701</v>
      </c>
      <c r="D5699" s="43" t="s">
        <v>702</v>
      </c>
      <c r="E5699" s="43" t="s">
        <v>583</v>
      </c>
      <c r="F5699" s="43">
        <v>1</v>
      </c>
      <c r="G5699"/>
      <c r="H5699"/>
    </row>
    <row r="5700" spans="1:8" hidden="1" x14ac:dyDescent="0.25">
      <c r="A5700" s="43">
        <v>344</v>
      </c>
      <c r="B5700" s="43" t="s">
        <v>3686</v>
      </c>
      <c r="C5700" s="43" t="s">
        <v>701</v>
      </c>
      <c r="D5700" s="43" t="s">
        <v>703</v>
      </c>
      <c r="E5700" s="43" t="s">
        <v>306</v>
      </c>
      <c r="F5700" s="43">
        <v>1</v>
      </c>
      <c r="G5700"/>
      <c r="H5700"/>
    </row>
    <row r="5701" spans="1:8" hidden="1" x14ac:dyDescent="0.25">
      <c r="A5701" s="43">
        <v>344</v>
      </c>
      <c r="B5701" s="43" t="s">
        <v>3686</v>
      </c>
      <c r="C5701" s="43" t="s">
        <v>701</v>
      </c>
      <c r="D5701" s="43" t="s">
        <v>704</v>
      </c>
      <c r="E5701" s="43" t="s">
        <v>705</v>
      </c>
      <c r="F5701" s="43">
        <v>0</v>
      </c>
      <c r="G5701" s="43" t="s">
        <v>4753</v>
      </c>
      <c r="H5701" s="43" t="s">
        <v>4764</v>
      </c>
    </row>
    <row r="5702" spans="1:8" hidden="1" x14ac:dyDescent="0.25">
      <c r="A5702" s="43">
        <v>344</v>
      </c>
      <c r="B5702" s="43" t="s">
        <v>3686</v>
      </c>
      <c r="C5702" s="43" t="s">
        <v>701</v>
      </c>
      <c r="D5702" s="43" t="s">
        <v>706</v>
      </c>
      <c r="E5702" s="43" t="s">
        <v>588</v>
      </c>
      <c r="F5702" s="43">
        <v>1</v>
      </c>
      <c r="G5702"/>
      <c r="H5702"/>
    </row>
    <row r="5703" spans="1:8" hidden="1" x14ac:dyDescent="0.25">
      <c r="A5703" s="43">
        <v>344</v>
      </c>
      <c r="B5703" s="43" t="s">
        <v>3686</v>
      </c>
      <c r="C5703" s="43" t="s">
        <v>701</v>
      </c>
      <c r="D5703" s="43" t="s">
        <v>707</v>
      </c>
      <c r="E5703" s="43" t="s">
        <v>312</v>
      </c>
      <c r="F5703" s="43">
        <v>1</v>
      </c>
      <c r="G5703"/>
      <c r="H5703"/>
    </row>
    <row r="5704" spans="1:8" hidden="1" x14ac:dyDescent="0.25">
      <c r="A5704" s="43">
        <v>344</v>
      </c>
      <c r="B5704" s="43" t="s">
        <v>3686</v>
      </c>
      <c r="C5704" s="43" t="s">
        <v>701</v>
      </c>
      <c r="D5704" s="43" t="s">
        <v>708</v>
      </c>
      <c r="E5704" s="43" t="s">
        <v>314</v>
      </c>
      <c r="F5704" s="43">
        <v>1</v>
      </c>
      <c r="G5704"/>
      <c r="H5704"/>
    </row>
    <row r="5705" spans="1:8" hidden="1" x14ac:dyDescent="0.25">
      <c r="A5705" s="43">
        <v>344</v>
      </c>
      <c r="B5705" s="43" t="s">
        <v>3686</v>
      </c>
      <c r="C5705" s="43" t="s">
        <v>701</v>
      </c>
      <c r="D5705" s="43" t="s">
        <v>709</v>
      </c>
      <c r="E5705" s="43" t="s">
        <v>493</v>
      </c>
      <c r="F5705" s="43">
        <v>1</v>
      </c>
      <c r="G5705"/>
      <c r="H5705"/>
    </row>
    <row r="5706" spans="1:8" hidden="1" x14ac:dyDescent="0.25">
      <c r="A5706" s="43">
        <v>344</v>
      </c>
      <c r="B5706" s="43" t="s">
        <v>3686</v>
      </c>
      <c r="C5706" s="43" t="s">
        <v>701</v>
      </c>
      <c r="D5706" s="43" t="s">
        <v>710</v>
      </c>
      <c r="E5706" s="43" t="s">
        <v>275</v>
      </c>
      <c r="F5706" s="43">
        <v>1</v>
      </c>
      <c r="G5706"/>
      <c r="H5706"/>
    </row>
    <row r="5707" spans="1:8" hidden="1" x14ac:dyDescent="0.25">
      <c r="A5707" s="43">
        <v>344</v>
      </c>
      <c r="B5707" s="43" t="s">
        <v>3686</v>
      </c>
      <c r="C5707" s="43" t="s">
        <v>701</v>
      </c>
      <c r="D5707" s="43" t="s">
        <v>711</v>
      </c>
      <c r="E5707" s="43" t="s">
        <v>283</v>
      </c>
      <c r="F5707" s="43">
        <v>1</v>
      </c>
      <c r="G5707"/>
      <c r="H5707"/>
    </row>
    <row r="5708" spans="1:8" hidden="1" x14ac:dyDescent="0.25">
      <c r="A5708" s="43">
        <v>344</v>
      </c>
      <c r="B5708" s="43" t="s">
        <v>3686</v>
      </c>
      <c r="C5708" s="43" t="s">
        <v>701</v>
      </c>
      <c r="D5708" s="43" t="s">
        <v>712</v>
      </c>
      <c r="E5708" s="43" t="s">
        <v>713</v>
      </c>
      <c r="F5708" s="43">
        <v>1</v>
      </c>
      <c r="G5708"/>
      <c r="H5708"/>
    </row>
    <row r="5709" spans="1:8" hidden="1" x14ac:dyDescent="0.25">
      <c r="A5709" s="43">
        <v>344</v>
      </c>
      <c r="B5709" s="43" t="s">
        <v>3686</v>
      </c>
      <c r="C5709" s="43" t="s">
        <v>701</v>
      </c>
      <c r="D5709" s="43" t="s">
        <v>714</v>
      </c>
      <c r="E5709" s="43" t="s">
        <v>715</v>
      </c>
      <c r="F5709" s="43">
        <v>1</v>
      </c>
      <c r="G5709"/>
      <c r="H5709"/>
    </row>
    <row r="5710" spans="1:8" hidden="1" x14ac:dyDescent="0.25">
      <c r="A5710" s="43">
        <v>344</v>
      </c>
      <c r="B5710" s="43" t="s">
        <v>3686</v>
      </c>
      <c r="C5710" s="43" t="s">
        <v>701</v>
      </c>
      <c r="D5710" s="43" t="s">
        <v>716</v>
      </c>
      <c r="E5710" s="43" t="s">
        <v>717</v>
      </c>
      <c r="F5710" s="43">
        <v>1</v>
      </c>
      <c r="G5710"/>
      <c r="H5710"/>
    </row>
    <row r="5711" spans="1:8" hidden="1" x14ac:dyDescent="0.25">
      <c r="A5711" s="43">
        <v>344</v>
      </c>
      <c r="B5711" s="43" t="s">
        <v>3686</v>
      </c>
      <c r="C5711" s="43" t="s">
        <v>701</v>
      </c>
      <c r="D5711" s="43" t="s">
        <v>718</v>
      </c>
      <c r="E5711" s="43" t="s">
        <v>381</v>
      </c>
      <c r="F5711" s="43">
        <v>1</v>
      </c>
      <c r="G5711"/>
      <c r="H5711"/>
    </row>
    <row r="5712" spans="1:8" hidden="1" x14ac:dyDescent="0.25">
      <c r="A5712" s="43">
        <v>344</v>
      </c>
      <c r="B5712" s="43" t="s">
        <v>3686</v>
      </c>
      <c r="C5712" s="43" t="s">
        <v>701</v>
      </c>
      <c r="D5712" s="43" t="s">
        <v>719</v>
      </c>
      <c r="E5712" s="43" t="s">
        <v>720</v>
      </c>
      <c r="F5712" s="43">
        <v>1</v>
      </c>
      <c r="G5712"/>
      <c r="H5712"/>
    </row>
    <row r="5713" spans="1:8" hidden="1" x14ac:dyDescent="0.25">
      <c r="A5713" s="43">
        <v>344</v>
      </c>
      <c r="B5713" s="43" t="s">
        <v>3686</v>
      </c>
      <c r="C5713" s="43" t="s">
        <v>701</v>
      </c>
      <c r="D5713" s="43" t="s">
        <v>721</v>
      </c>
      <c r="E5713" s="43" t="s">
        <v>722</v>
      </c>
      <c r="F5713" s="43">
        <v>1</v>
      </c>
      <c r="G5713"/>
      <c r="H5713"/>
    </row>
    <row r="5714" spans="1:8" hidden="1" x14ac:dyDescent="0.25">
      <c r="A5714" s="43">
        <v>556</v>
      </c>
      <c r="B5714" s="43" t="s">
        <v>4263</v>
      </c>
      <c r="C5714" s="43" t="s">
        <v>506</v>
      </c>
      <c r="D5714" s="43" t="s">
        <v>507</v>
      </c>
      <c r="E5714" s="43" t="s">
        <v>508</v>
      </c>
      <c r="F5714" s="43">
        <v>1</v>
      </c>
      <c r="G5714"/>
      <c r="H5714"/>
    </row>
    <row r="5715" spans="1:8" hidden="1" x14ac:dyDescent="0.25">
      <c r="A5715" s="43">
        <v>556</v>
      </c>
      <c r="B5715" s="43" t="s">
        <v>4263</v>
      </c>
      <c r="C5715" s="43" t="s">
        <v>506</v>
      </c>
      <c r="D5715" s="43" t="s">
        <v>509</v>
      </c>
      <c r="E5715" s="43" t="s">
        <v>510</v>
      </c>
      <c r="F5715" s="43">
        <v>0</v>
      </c>
      <c r="G5715" s="43" t="s">
        <v>4583</v>
      </c>
      <c r="H5715"/>
    </row>
    <row r="5716" spans="1:8" hidden="1" x14ac:dyDescent="0.25">
      <c r="A5716" s="43">
        <v>556</v>
      </c>
      <c r="B5716" s="43" t="s">
        <v>4263</v>
      </c>
      <c r="C5716" s="43" t="s">
        <v>506</v>
      </c>
      <c r="D5716" s="43" t="s">
        <v>511</v>
      </c>
      <c r="E5716" s="43" t="s">
        <v>512</v>
      </c>
      <c r="F5716" s="43">
        <v>0</v>
      </c>
      <c r="G5716" s="43" t="s">
        <v>4583</v>
      </c>
      <c r="H5716"/>
    </row>
    <row r="5717" spans="1:8" hidden="1" x14ac:dyDescent="0.25">
      <c r="A5717" s="43">
        <v>556</v>
      </c>
      <c r="B5717" s="43" t="s">
        <v>4263</v>
      </c>
      <c r="C5717" s="43" t="s">
        <v>506</v>
      </c>
      <c r="D5717" s="43" t="s">
        <v>513</v>
      </c>
      <c r="E5717" s="43" t="s">
        <v>514</v>
      </c>
      <c r="F5717" s="43">
        <v>1</v>
      </c>
      <c r="G5717"/>
      <c r="H5717"/>
    </row>
    <row r="5718" spans="1:8" hidden="1" x14ac:dyDescent="0.25">
      <c r="A5718" s="43">
        <v>556</v>
      </c>
      <c r="B5718" s="43" t="s">
        <v>4263</v>
      </c>
      <c r="C5718" s="43" t="s">
        <v>506</v>
      </c>
      <c r="D5718" s="43" t="s">
        <v>515</v>
      </c>
      <c r="E5718" s="43" t="s">
        <v>516</v>
      </c>
      <c r="F5718" s="43">
        <v>1</v>
      </c>
      <c r="G5718"/>
      <c r="H5718"/>
    </row>
    <row r="5719" spans="1:8" hidden="1" x14ac:dyDescent="0.25">
      <c r="A5719" s="43">
        <v>556</v>
      </c>
      <c r="B5719" s="43" t="s">
        <v>4263</v>
      </c>
      <c r="C5719" s="43" t="s">
        <v>506</v>
      </c>
      <c r="D5719" s="43" t="s">
        <v>517</v>
      </c>
      <c r="E5719" s="43" t="s">
        <v>518</v>
      </c>
      <c r="F5719" s="43">
        <v>0</v>
      </c>
      <c r="G5719" s="43" t="s">
        <v>4583</v>
      </c>
      <c r="H5719"/>
    </row>
    <row r="5720" spans="1:8" hidden="1" x14ac:dyDescent="0.25">
      <c r="A5720" s="43">
        <v>556</v>
      </c>
      <c r="B5720" s="43" t="s">
        <v>4263</v>
      </c>
      <c r="C5720" s="43" t="s">
        <v>506</v>
      </c>
      <c r="D5720" s="43" t="s">
        <v>519</v>
      </c>
      <c r="E5720" s="43" t="s">
        <v>520</v>
      </c>
      <c r="F5720" s="43">
        <v>1</v>
      </c>
      <c r="G5720"/>
      <c r="H5720"/>
    </row>
    <row r="5721" spans="1:8" hidden="1" x14ac:dyDescent="0.25">
      <c r="A5721" s="43">
        <v>556</v>
      </c>
      <c r="B5721" s="43" t="s">
        <v>4263</v>
      </c>
      <c r="C5721" s="43" t="s">
        <v>506</v>
      </c>
      <c r="D5721" s="43" t="s">
        <v>521</v>
      </c>
      <c r="E5721" s="43" t="s">
        <v>522</v>
      </c>
      <c r="F5721" s="43">
        <v>1</v>
      </c>
      <c r="G5721"/>
      <c r="H5721"/>
    </row>
    <row r="5722" spans="1:8" hidden="1" x14ac:dyDescent="0.25">
      <c r="A5722" s="43">
        <v>556</v>
      </c>
      <c r="B5722" s="43" t="s">
        <v>4263</v>
      </c>
      <c r="C5722" s="43" t="s">
        <v>506</v>
      </c>
      <c r="D5722" s="43" t="s">
        <v>523</v>
      </c>
      <c r="E5722" s="43" t="s">
        <v>4472</v>
      </c>
      <c r="F5722" s="43">
        <v>0</v>
      </c>
      <c r="G5722" s="43" t="s">
        <v>4583</v>
      </c>
      <c r="H5722"/>
    </row>
    <row r="5723" spans="1:8" hidden="1" x14ac:dyDescent="0.25">
      <c r="A5723" s="43">
        <v>556</v>
      </c>
      <c r="B5723" s="43" t="s">
        <v>4263</v>
      </c>
      <c r="C5723" s="43" t="s">
        <v>506</v>
      </c>
      <c r="D5723" s="43" t="s">
        <v>525</v>
      </c>
      <c r="E5723" s="43" t="s">
        <v>526</v>
      </c>
      <c r="F5723" s="43">
        <v>0</v>
      </c>
      <c r="G5723" s="43" t="s">
        <v>4583</v>
      </c>
      <c r="H5723"/>
    </row>
    <row r="5724" spans="1:8" hidden="1" x14ac:dyDescent="0.25">
      <c r="A5724" s="43">
        <v>556</v>
      </c>
      <c r="B5724" s="43" t="s">
        <v>4263</v>
      </c>
      <c r="C5724" s="43" t="s">
        <v>506</v>
      </c>
      <c r="D5724" s="43" t="s">
        <v>527</v>
      </c>
      <c r="E5724" s="43" t="s">
        <v>283</v>
      </c>
      <c r="F5724" s="43">
        <v>1</v>
      </c>
      <c r="G5724"/>
      <c r="H5724"/>
    </row>
    <row r="5725" spans="1:8" hidden="1" x14ac:dyDescent="0.25">
      <c r="A5725" s="43">
        <v>556</v>
      </c>
      <c r="B5725" s="43" t="s">
        <v>4263</v>
      </c>
      <c r="C5725" s="43" t="s">
        <v>506</v>
      </c>
      <c r="D5725" s="43" t="s">
        <v>528</v>
      </c>
      <c r="E5725" s="43" t="s">
        <v>529</v>
      </c>
      <c r="F5725" s="43">
        <v>0</v>
      </c>
      <c r="G5725" s="43" t="s">
        <v>4583</v>
      </c>
      <c r="H5725"/>
    </row>
    <row r="5726" spans="1:8" hidden="1" x14ac:dyDescent="0.25">
      <c r="A5726" s="43">
        <v>556</v>
      </c>
      <c r="B5726" s="43" t="s">
        <v>4263</v>
      </c>
      <c r="C5726" s="43" t="s">
        <v>506</v>
      </c>
      <c r="D5726" s="43" t="s">
        <v>530</v>
      </c>
      <c r="E5726" s="43" t="s">
        <v>531</v>
      </c>
      <c r="F5726" s="43">
        <v>0</v>
      </c>
      <c r="G5726" s="43" t="s">
        <v>4583</v>
      </c>
      <c r="H5726"/>
    </row>
    <row r="5727" spans="1:8" hidden="1" x14ac:dyDescent="0.25">
      <c r="A5727" s="43">
        <v>556</v>
      </c>
      <c r="B5727" s="43" t="s">
        <v>4263</v>
      </c>
      <c r="C5727" s="43" t="s">
        <v>506</v>
      </c>
      <c r="D5727" s="43" t="s">
        <v>532</v>
      </c>
      <c r="E5727" s="43" t="s">
        <v>533</v>
      </c>
      <c r="F5727" s="43">
        <v>1</v>
      </c>
      <c r="G5727"/>
      <c r="H5727"/>
    </row>
    <row r="5728" spans="1:8" hidden="1" x14ac:dyDescent="0.25">
      <c r="A5728" s="43">
        <v>556</v>
      </c>
      <c r="B5728" s="43" t="s">
        <v>4263</v>
      </c>
      <c r="C5728" s="43" t="s">
        <v>506</v>
      </c>
      <c r="D5728" s="43" t="s">
        <v>534</v>
      </c>
      <c r="E5728" s="43" t="s">
        <v>535</v>
      </c>
      <c r="F5728" s="43">
        <v>0</v>
      </c>
      <c r="G5728" s="43" t="s">
        <v>4583</v>
      </c>
      <c r="H5728"/>
    </row>
    <row r="5729" spans="1:8" hidden="1" x14ac:dyDescent="0.25">
      <c r="A5729" s="43">
        <v>556</v>
      </c>
      <c r="B5729" s="43" t="s">
        <v>4263</v>
      </c>
      <c r="C5729" s="43" t="s">
        <v>506</v>
      </c>
      <c r="D5729" s="43" t="s">
        <v>536</v>
      </c>
      <c r="E5729" s="43" t="s">
        <v>537</v>
      </c>
      <c r="F5729" s="43">
        <v>0</v>
      </c>
      <c r="G5729" s="43" t="s">
        <v>4583</v>
      </c>
      <c r="H5729"/>
    </row>
    <row r="5730" spans="1:8" hidden="1" x14ac:dyDescent="0.25">
      <c r="A5730" s="43">
        <v>556</v>
      </c>
      <c r="B5730" s="43" t="s">
        <v>4263</v>
      </c>
      <c r="C5730" s="43" t="s">
        <v>506</v>
      </c>
      <c r="D5730" s="43" t="s">
        <v>538</v>
      </c>
      <c r="E5730" s="43" t="s">
        <v>539</v>
      </c>
      <c r="F5730" s="43">
        <v>0</v>
      </c>
      <c r="G5730" s="43" t="s">
        <v>4583</v>
      </c>
      <c r="H5730"/>
    </row>
    <row r="5731" spans="1:8" hidden="1" x14ac:dyDescent="0.25">
      <c r="A5731" s="43">
        <v>556</v>
      </c>
      <c r="B5731" s="43" t="s">
        <v>4263</v>
      </c>
      <c r="C5731" s="43" t="s">
        <v>506</v>
      </c>
      <c r="D5731" s="43" t="s">
        <v>540</v>
      </c>
      <c r="E5731" s="43" t="s">
        <v>541</v>
      </c>
      <c r="F5731" s="43">
        <v>0</v>
      </c>
      <c r="G5731" s="43" t="s">
        <v>4583</v>
      </c>
      <c r="H5731"/>
    </row>
    <row r="5732" spans="1:8" hidden="1" x14ac:dyDescent="0.25">
      <c r="A5732" s="43">
        <v>556</v>
      </c>
      <c r="B5732" s="43" t="s">
        <v>4263</v>
      </c>
      <c r="C5732" s="43" t="s">
        <v>506</v>
      </c>
      <c r="D5732" s="43" t="s">
        <v>542</v>
      </c>
      <c r="E5732" s="43" t="s">
        <v>543</v>
      </c>
      <c r="F5732" s="43">
        <v>1</v>
      </c>
      <c r="G5732"/>
      <c r="H5732"/>
    </row>
    <row r="5733" spans="1:8" hidden="1" x14ac:dyDescent="0.25">
      <c r="A5733" s="43">
        <v>556</v>
      </c>
      <c r="B5733" s="43" t="s">
        <v>4263</v>
      </c>
      <c r="C5733" s="43" t="s">
        <v>506</v>
      </c>
      <c r="D5733" s="43" t="s">
        <v>544</v>
      </c>
      <c r="E5733" s="43" t="s">
        <v>545</v>
      </c>
      <c r="F5733" s="43">
        <v>1</v>
      </c>
      <c r="G5733"/>
      <c r="H5733"/>
    </row>
    <row r="5734" spans="1:8" hidden="1" x14ac:dyDescent="0.25">
      <c r="A5734" s="43">
        <v>556</v>
      </c>
      <c r="B5734" s="43" t="s">
        <v>4263</v>
      </c>
      <c r="C5734" s="43" t="s">
        <v>506</v>
      </c>
      <c r="D5734" s="43" t="s">
        <v>546</v>
      </c>
      <c r="E5734" s="43" t="s">
        <v>547</v>
      </c>
      <c r="F5734" s="43">
        <v>1</v>
      </c>
      <c r="G5734"/>
      <c r="H5734"/>
    </row>
    <row r="5735" spans="1:8" hidden="1" x14ac:dyDescent="0.25">
      <c r="A5735" s="43">
        <v>556</v>
      </c>
      <c r="B5735" s="43" t="s">
        <v>4263</v>
      </c>
      <c r="C5735" s="43" t="s">
        <v>506</v>
      </c>
      <c r="D5735" s="43" t="s">
        <v>548</v>
      </c>
      <c r="E5735" s="43" t="s">
        <v>549</v>
      </c>
      <c r="F5735" s="43">
        <v>0</v>
      </c>
      <c r="G5735" s="43" t="s">
        <v>4583</v>
      </c>
      <c r="H5735"/>
    </row>
    <row r="5736" spans="1:8" hidden="1" x14ac:dyDescent="0.25">
      <c r="A5736" s="43">
        <v>556</v>
      </c>
      <c r="B5736" s="43" t="s">
        <v>4263</v>
      </c>
      <c r="C5736" s="43" t="s">
        <v>506</v>
      </c>
      <c r="D5736" s="43" t="s">
        <v>550</v>
      </c>
      <c r="E5736" s="43" t="s">
        <v>551</v>
      </c>
      <c r="F5736" s="43">
        <v>1</v>
      </c>
      <c r="G5736"/>
      <c r="H5736"/>
    </row>
  </sheetData>
  <autoFilter ref="A1:H5736" xr:uid="{84E23C10-7FCB-46F5-A64B-229069E0F2C7}">
    <filterColumn colId="5">
      <filters>
        <filter val="2"/>
      </filters>
    </filterColumn>
    <filterColumn colId="7">
      <filters>
        <filter val="Doesn't engage underlying activity"/>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5285-83C9-4AF5-A36F-9CB5DDC579D5}">
  <dimension ref="A1:T454"/>
  <sheetViews>
    <sheetView workbookViewId="0">
      <pane xSplit="7" ySplit="1" topLeftCell="L2" activePane="bottomRight" state="frozen"/>
      <selection pane="topRight" activeCell="H1" sqref="H1"/>
      <selection pane="bottomLeft" activeCell="A2" sqref="A2"/>
      <selection pane="bottomRight" activeCell="O2" sqref="O2"/>
    </sheetView>
  </sheetViews>
  <sheetFormatPr defaultRowHeight="15.75" x14ac:dyDescent="0.25"/>
  <cols>
    <col min="1" max="1" width="6.5" customWidth="1"/>
    <col min="2" max="2" width="15.625" customWidth="1"/>
    <col min="3" max="3" width="6.5" customWidth="1"/>
    <col min="4" max="4" width="12.375" customWidth="1"/>
    <col min="5" max="5" width="5.75" style="24" customWidth="1"/>
    <col min="6" max="6" width="12.75" customWidth="1"/>
    <col min="7" max="7" width="44.25" style="3" customWidth="1"/>
    <col min="8" max="8" width="5.75" hidden="1" customWidth="1"/>
    <col min="9" max="9" width="5.25" hidden="1" customWidth="1"/>
    <col min="10" max="10" width="4.5" hidden="1" customWidth="1"/>
    <col min="11" max="11" width="9" hidden="1" customWidth="1"/>
    <col min="12" max="12" width="12.25" customWidth="1"/>
    <col min="13" max="17" width="14" customWidth="1"/>
    <col min="18" max="18" width="14" style="25" customWidth="1"/>
    <col min="19" max="19" width="9" style="18"/>
  </cols>
  <sheetData>
    <row r="1" spans="1:19" x14ac:dyDescent="0.25">
      <c r="A1" t="s">
        <v>0</v>
      </c>
      <c r="B1" t="s">
        <v>1964</v>
      </c>
      <c r="C1" t="s">
        <v>1965</v>
      </c>
      <c r="D1" t="s">
        <v>1966</v>
      </c>
      <c r="E1" s="24" t="s">
        <v>1968</v>
      </c>
      <c r="F1" t="s">
        <v>1974</v>
      </c>
      <c r="G1" s="3" t="s">
        <v>1967</v>
      </c>
      <c r="H1" t="s">
        <v>2297</v>
      </c>
      <c r="I1" t="s">
        <v>2298</v>
      </c>
      <c r="J1" t="s">
        <v>2299</v>
      </c>
      <c r="K1" t="s">
        <v>2217</v>
      </c>
      <c r="L1" t="s">
        <v>2377</v>
      </c>
      <c r="M1" t="s">
        <v>2356</v>
      </c>
      <c r="N1" t="s">
        <v>2425</v>
      </c>
      <c r="O1" t="s">
        <v>2426</v>
      </c>
      <c r="P1" t="s">
        <v>2601</v>
      </c>
      <c r="Q1" t="s">
        <v>2428</v>
      </c>
      <c r="R1" s="25" t="s">
        <v>2357</v>
      </c>
      <c r="S1" s="18" t="s">
        <v>2358</v>
      </c>
    </row>
    <row r="2" spans="1:19" ht="63" x14ac:dyDescent="0.25">
      <c r="A2">
        <v>11</v>
      </c>
      <c r="B2" t="s">
        <v>4</v>
      </c>
      <c r="C2" t="s">
        <v>1169</v>
      </c>
      <c r="D2" t="s">
        <v>1170</v>
      </c>
      <c r="E2" s="24">
        <v>1</v>
      </c>
      <c r="F2" t="s">
        <v>2017</v>
      </c>
      <c r="G2" s="3" t="s">
        <v>1171</v>
      </c>
      <c r="H2" t="s">
        <v>2300</v>
      </c>
      <c r="I2" t="s">
        <v>2301</v>
      </c>
      <c r="J2">
        <v>270</v>
      </c>
      <c r="K2" t="s">
        <v>2243</v>
      </c>
      <c r="L2" t="s">
        <v>2378</v>
      </c>
      <c r="M2" t="s">
        <v>2359</v>
      </c>
      <c r="S2"/>
    </row>
    <row r="3" spans="1:19" ht="78.75" x14ac:dyDescent="0.25">
      <c r="A3">
        <v>11</v>
      </c>
      <c r="B3" t="s">
        <v>4</v>
      </c>
      <c r="C3" t="s">
        <v>1169</v>
      </c>
      <c r="D3" t="s">
        <v>1188</v>
      </c>
      <c r="E3" s="24">
        <v>0</v>
      </c>
      <c r="F3" t="s">
        <v>2144</v>
      </c>
      <c r="G3" s="3" t="s">
        <v>1189</v>
      </c>
      <c r="H3" t="s">
        <v>2300</v>
      </c>
      <c r="I3" t="s">
        <v>2301</v>
      </c>
      <c r="J3">
        <v>450</v>
      </c>
      <c r="K3" t="s">
        <v>2243</v>
      </c>
      <c r="L3" t="s">
        <v>2378</v>
      </c>
      <c r="M3" t="s">
        <v>2359</v>
      </c>
    </row>
    <row r="4" spans="1:19" ht="31.5" x14ac:dyDescent="0.25">
      <c r="A4">
        <v>12</v>
      </c>
      <c r="B4" t="s">
        <v>5</v>
      </c>
      <c r="C4" t="s">
        <v>1366</v>
      </c>
      <c r="D4" t="s">
        <v>1377</v>
      </c>
      <c r="E4" s="24">
        <v>1</v>
      </c>
      <c r="F4" t="s">
        <v>2036</v>
      </c>
      <c r="G4" s="3" t="s">
        <v>539</v>
      </c>
      <c r="H4" t="s">
        <v>2302</v>
      </c>
      <c r="I4" t="s">
        <v>2303</v>
      </c>
      <c r="J4">
        <v>270</v>
      </c>
      <c r="K4" t="s">
        <v>2250</v>
      </c>
      <c r="L4">
        <v>0</v>
      </c>
      <c r="M4" t="s">
        <v>2359</v>
      </c>
      <c r="S4"/>
    </row>
    <row r="5" spans="1:19" ht="31.5" x14ac:dyDescent="0.25">
      <c r="A5">
        <v>12</v>
      </c>
      <c r="B5" t="s">
        <v>5</v>
      </c>
      <c r="C5" t="s">
        <v>1366</v>
      </c>
      <c r="D5" t="s">
        <v>1388</v>
      </c>
      <c r="E5" s="24">
        <v>1</v>
      </c>
      <c r="F5" t="s">
        <v>2174</v>
      </c>
      <c r="G5" s="3" t="s">
        <v>875</v>
      </c>
      <c r="H5" t="s">
        <v>2302</v>
      </c>
      <c r="I5" t="s">
        <v>2303</v>
      </c>
      <c r="J5">
        <v>510</v>
      </c>
      <c r="K5" t="s">
        <v>2250</v>
      </c>
      <c r="L5">
        <v>0</v>
      </c>
      <c r="M5" t="s">
        <v>2359</v>
      </c>
      <c r="S5"/>
    </row>
    <row r="6" spans="1:19" ht="78.75" x14ac:dyDescent="0.25">
      <c r="A6">
        <v>14</v>
      </c>
      <c r="B6" t="s">
        <v>6</v>
      </c>
      <c r="C6" t="s">
        <v>422</v>
      </c>
      <c r="D6" t="s">
        <v>437</v>
      </c>
      <c r="E6" s="24">
        <v>1</v>
      </c>
      <c r="F6" t="s">
        <v>1984</v>
      </c>
      <c r="G6" s="3" t="s">
        <v>438</v>
      </c>
      <c r="H6" t="s">
        <v>2300</v>
      </c>
      <c r="I6" t="s">
        <v>2304</v>
      </c>
      <c r="J6">
        <v>510</v>
      </c>
      <c r="K6" t="s">
        <v>2239</v>
      </c>
      <c r="L6">
        <v>0</v>
      </c>
      <c r="M6" t="s">
        <v>2359</v>
      </c>
      <c r="S6"/>
    </row>
    <row r="7" spans="1:19" ht="63" x14ac:dyDescent="0.25">
      <c r="A7">
        <v>14</v>
      </c>
      <c r="B7" t="s">
        <v>6</v>
      </c>
      <c r="C7" t="s">
        <v>422</v>
      </c>
      <c r="D7" t="s">
        <v>425</v>
      </c>
      <c r="E7" s="24">
        <v>1</v>
      </c>
      <c r="F7" t="s">
        <v>2017</v>
      </c>
      <c r="G7" s="3" t="s">
        <v>426</v>
      </c>
      <c r="H7" t="s">
        <v>2300</v>
      </c>
      <c r="I7" t="s">
        <v>2304</v>
      </c>
      <c r="J7">
        <v>270</v>
      </c>
      <c r="K7" t="s">
        <v>2239</v>
      </c>
      <c r="L7">
        <v>0</v>
      </c>
      <c r="M7" t="s">
        <v>2359</v>
      </c>
      <c r="S7"/>
    </row>
    <row r="8" spans="1:19" ht="78.75" x14ac:dyDescent="0.25">
      <c r="A8">
        <v>15</v>
      </c>
      <c r="B8" t="s">
        <v>7</v>
      </c>
      <c r="C8" t="s">
        <v>1169</v>
      </c>
      <c r="D8" t="s">
        <v>1188</v>
      </c>
      <c r="E8" s="24">
        <v>1</v>
      </c>
      <c r="F8" t="s">
        <v>2144</v>
      </c>
      <c r="G8" s="3" t="s">
        <v>1189</v>
      </c>
      <c r="H8" t="s">
        <v>2300</v>
      </c>
      <c r="I8" t="s">
        <v>2301</v>
      </c>
      <c r="J8">
        <v>450</v>
      </c>
      <c r="K8" t="s">
        <v>2243</v>
      </c>
      <c r="L8">
        <v>0</v>
      </c>
      <c r="M8" t="s">
        <v>2359</v>
      </c>
    </row>
    <row r="9" spans="1:19" ht="63" x14ac:dyDescent="0.25">
      <c r="A9">
        <v>15</v>
      </c>
      <c r="B9" t="s">
        <v>7</v>
      </c>
      <c r="C9" t="s">
        <v>1169</v>
      </c>
      <c r="D9" t="s">
        <v>1170</v>
      </c>
      <c r="E9" s="24">
        <v>0</v>
      </c>
      <c r="F9" t="s">
        <v>2017</v>
      </c>
      <c r="G9" s="3" t="s">
        <v>1171</v>
      </c>
      <c r="H9" t="s">
        <v>2300</v>
      </c>
      <c r="I9" t="s">
        <v>2301</v>
      </c>
      <c r="J9">
        <v>270</v>
      </c>
      <c r="K9" t="s">
        <v>2243</v>
      </c>
      <c r="M9" t="s">
        <v>2359</v>
      </c>
    </row>
    <row r="10" spans="1:19" ht="78.75" x14ac:dyDescent="0.25">
      <c r="A10">
        <v>15</v>
      </c>
      <c r="B10" t="s">
        <v>7</v>
      </c>
      <c r="C10" t="s">
        <v>422</v>
      </c>
      <c r="D10" t="s">
        <v>437</v>
      </c>
      <c r="E10" s="24">
        <v>0</v>
      </c>
      <c r="F10" t="s">
        <v>1984</v>
      </c>
      <c r="G10" s="3" t="s">
        <v>438</v>
      </c>
      <c r="H10" t="s">
        <v>2300</v>
      </c>
      <c r="I10" t="s">
        <v>2304</v>
      </c>
      <c r="J10">
        <v>510</v>
      </c>
      <c r="K10" t="s">
        <v>2239</v>
      </c>
      <c r="M10" t="s">
        <v>2359</v>
      </c>
    </row>
    <row r="11" spans="1:19" ht="63" x14ac:dyDescent="0.25">
      <c r="A11">
        <v>15</v>
      </c>
      <c r="B11" t="s">
        <v>7</v>
      </c>
      <c r="C11" t="s">
        <v>422</v>
      </c>
      <c r="D11" t="s">
        <v>425</v>
      </c>
      <c r="E11" s="24">
        <v>0</v>
      </c>
      <c r="F11" t="s">
        <v>2017</v>
      </c>
      <c r="G11" s="3" t="s">
        <v>426</v>
      </c>
      <c r="H11" t="s">
        <v>2300</v>
      </c>
      <c r="I11" t="s">
        <v>2304</v>
      </c>
      <c r="J11">
        <v>270</v>
      </c>
      <c r="K11" t="s">
        <v>2239</v>
      </c>
      <c r="M11" t="s">
        <v>2359</v>
      </c>
    </row>
    <row r="12" spans="1:19" ht="31.5" x14ac:dyDescent="0.25">
      <c r="A12">
        <v>17</v>
      </c>
      <c r="B12" t="s">
        <v>8</v>
      </c>
      <c r="C12" t="s">
        <v>1790</v>
      </c>
      <c r="D12" t="s">
        <v>1796</v>
      </c>
      <c r="E12" s="24">
        <v>0</v>
      </c>
      <c r="F12" t="s">
        <v>2203</v>
      </c>
      <c r="G12" s="3" t="s">
        <v>1205</v>
      </c>
      <c r="H12" t="s">
        <v>2305</v>
      </c>
      <c r="I12" t="s">
        <v>2306</v>
      </c>
      <c r="J12">
        <v>220</v>
      </c>
      <c r="K12" t="s">
        <v>2280</v>
      </c>
      <c r="M12" t="s">
        <v>2359</v>
      </c>
    </row>
    <row r="13" spans="1:19" ht="47.25" x14ac:dyDescent="0.25">
      <c r="A13">
        <v>17</v>
      </c>
      <c r="B13" t="s">
        <v>8</v>
      </c>
      <c r="C13" t="s">
        <v>1790</v>
      </c>
      <c r="D13" t="s">
        <v>1804</v>
      </c>
      <c r="E13" s="24">
        <v>0</v>
      </c>
      <c r="F13" t="s">
        <v>2147</v>
      </c>
      <c r="G13" s="3" t="s">
        <v>372</v>
      </c>
      <c r="H13" t="s">
        <v>2305</v>
      </c>
      <c r="I13" t="s">
        <v>2306</v>
      </c>
      <c r="J13">
        <v>520</v>
      </c>
      <c r="K13" t="s">
        <v>2280</v>
      </c>
      <c r="M13" t="s">
        <v>2359</v>
      </c>
    </row>
    <row r="14" spans="1:19" ht="78.75" x14ac:dyDescent="0.25">
      <c r="A14">
        <v>27</v>
      </c>
      <c r="B14" t="s">
        <v>10</v>
      </c>
      <c r="C14" t="s">
        <v>636</v>
      </c>
      <c r="D14" t="s">
        <v>653</v>
      </c>
      <c r="E14" s="24">
        <v>1</v>
      </c>
      <c r="F14" t="s">
        <v>1984</v>
      </c>
      <c r="G14" s="3" t="s">
        <v>438</v>
      </c>
      <c r="H14" t="s">
        <v>2300</v>
      </c>
      <c r="I14" t="s">
        <v>2307</v>
      </c>
      <c r="J14">
        <v>510</v>
      </c>
      <c r="K14" t="s">
        <v>2240</v>
      </c>
      <c r="M14" t="s">
        <v>2359</v>
      </c>
      <c r="S14"/>
    </row>
    <row r="15" spans="1:19" ht="31.5" x14ac:dyDescent="0.25">
      <c r="A15">
        <v>27</v>
      </c>
      <c r="B15" t="s">
        <v>10</v>
      </c>
      <c r="C15" t="s">
        <v>1790</v>
      </c>
      <c r="D15" t="s">
        <v>1796</v>
      </c>
      <c r="E15" s="24">
        <v>0</v>
      </c>
      <c r="F15" t="s">
        <v>2203</v>
      </c>
      <c r="G15" s="3" t="s">
        <v>1205</v>
      </c>
      <c r="H15" t="s">
        <v>2305</v>
      </c>
      <c r="I15" t="s">
        <v>2306</v>
      </c>
      <c r="J15">
        <v>220</v>
      </c>
      <c r="K15" t="s">
        <v>2280</v>
      </c>
      <c r="M15" t="s">
        <v>2359</v>
      </c>
    </row>
    <row r="16" spans="1:19" ht="47.25" x14ac:dyDescent="0.25">
      <c r="A16">
        <v>27</v>
      </c>
      <c r="B16" t="s">
        <v>10</v>
      </c>
      <c r="C16" t="s">
        <v>1790</v>
      </c>
      <c r="D16" t="s">
        <v>1804</v>
      </c>
      <c r="E16" s="24">
        <v>0</v>
      </c>
      <c r="F16" t="s">
        <v>2147</v>
      </c>
      <c r="G16" s="3" t="s">
        <v>372</v>
      </c>
      <c r="H16" t="s">
        <v>2305</v>
      </c>
      <c r="I16" t="s">
        <v>2306</v>
      </c>
      <c r="J16">
        <v>520</v>
      </c>
      <c r="K16" t="s">
        <v>2280</v>
      </c>
      <c r="M16" t="s">
        <v>2359</v>
      </c>
    </row>
    <row r="17" spans="1:19" ht="78.75" x14ac:dyDescent="0.25">
      <c r="A17">
        <v>28</v>
      </c>
      <c r="B17" t="s">
        <v>10</v>
      </c>
      <c r="C17" t="s">
        <v>636</v>
      </c>
      <c r="D17" t="s">
        <v>653</v>
      </c>
      <c r="E17" s="24">
        <v>1</v>
      </c>
      <c r="F17" t="s">
        <v>1984</v>
      </c>
      <c r="G17" s="3" t="s">
        <v>438</v>
      </c>
      <c r="H17" t="s">
        <v>2300</v>
      </c>
      <c r="I17" t="s">
        <v>2307</v>
      </c>
      <c r="J17">
        <v>510</v>
      </c>
      <c r="K17" t="s">
        <v>2240</v>
      </c>
      <c r="M17" t="s">
        <v>2359</v>
      </c>
      <c r="S17"/>
    </row>
    <row r="18" spans="1:19" ht="31.5" x14ac:dyDescent="0.25">
      <c r="A18">
        <v>28</v>
      </c>
      <c r="B18" t="s">
        <v>10</v>
      </c>
      <c r="C18" t="s">
        <v>1790</v>
      </c>
      <c r="D18" t="s">
        <v>1796</v>
      </c>
      <c r="E18" s="24">
        <v>0</v>
      </c>
      <c r="F18" t="s">
        <v>2203</v>
      </c>
      <c r="G18" s="3" t="s">
        <v>1205</v>
      </c>
      <c r="H18" t="s">
        <v>2305</v>
      </c>
      <c r="I18" t="s">
        <v>2306</v>
      </c>
      <c r="J18">
        <v>220</v>
      </c>
      <c r="K18" t="s">
        <v>2280</v>
      </c>
      <c r="M18" t="s">
        <v>2359</v>
      </c>
    </row>
    <row r="19" spans="1:19" ht="47.25" x14ac:dyDescent="0.25">
      <c r="A19">
        <v>28</v>
      </c>
      <c r="B19" t="s">
        <v>10</v>
      </c>
      <c r="C19" t="s">
        <v>1790</v>
      </c>
      <c r="D19" t="s">
        <v>1804</v>
      </c>
      <c r="E19" s="24">
        <v>0</v>
      </c>
      <c r="F19" t="s">
        <v>2147</v>
      </c>
      <c r="G19" s="3" t="s">
        <v>372</v>
      </c>
      <c r="H19" t="s">
        <v>2305</v>
      </c>
      <c r="I19" t="s">
        <v>2306</v>
      </c>
      <c r="J19">
        <v>520</v>
      </c>
      <c r="K19" t="s">
        <v>2280</v>
      </c>
      <c r="M19" t="s">
        <v>2359</v>
      </c>
    </row>
    <row r="20" spans="1:19" ht="47.25" x14ac:dyDescent="0.25">
      <c r="A20">
        <v>36</v>
      </c>
      <c r="B20" t="s">
        <v>14</v>
      </c>
      <c r="C20" t="s">
        <v>362</v>
      </c>
      <c r="D20" t="s">
        <v>371</v>
      </c>
      <c r="E20" s="24">
        <v>1</v>
      </c>
      <c r="F20" t="s">
        <v>1997</v>
      </c>
      <c r="G20" s="3" t="s">
        <v>372</v>
      </c>
      <c r="H20" t="s">
        <v>2308</v>
      </c>
      <c r="I20" t="s">
        <v>2309</v>
      </c>
      <c r="J20">
        <v>520</v>
      </c>
      <c r="K20" t="s">
        <v>2283</v>
      </c>
      <c r="L20" s="29">
        <v>0</v>
      </c>
      <c r="M20" s="29" t="s">
        <v>2360</v>
      </c>
      <c r="N20" s="34">
        <v>43598</v>
      </c>
      <c r="O20" t="s">
        <v>2427</v>
      </c>
      <c r="Q20" t="s">
        <v>2429</v>
      </c>
      <c r="R20" s="25">
        <v>45000000</v>
      </c>
      <c r="S20" s="30" t="s">
        <v>2379</v>
      </c>
    </row>
    <row r="21" spans="1:19" ht="31.5" x14ac:dyDescent="0.25">
      <c r="A21">
        <v>39</v>
      </c>
      <c r="B21" t="s">
        <v>1972</v>
      </c>
      <c r="C21" t="s">
        <v>682</v>
      </c>
      <c r="D21" t="s">
        <v>685</v>
      </c>
      <c r="E21" s="24">
        <v>1</v>
      </c>
      <c r="F21" t="s">
        <v>2090</v>
      </c>
      <c r="G21" s="3" t="s">
        <v>686</v>
      </c>
      <c r="H21" t="s">
        <v>2300</v>
      </c>
      <c r="I21" t="s">
        <v>2310</v>
      </c>
      <c r="J21">
        <v>220</v>
      </c>
      <c r="K21" t="s">
        <v>2241</v>
      </c>
      <c r="L21">
        <v>0</v>
      </c>
      <c r="M21" t="s">
        <v>2359</v>
      </c>
      <c r="S21"/>
    </row>
    <row r="22" spans="1:19" ht="78.75" x14ac:dyDescent="0.25">
      <c r="A22">
        <v>39</v>
      </c>
      <c r="B22" t="s">
        <v>1972</v>
      </c>
      <c r="C22" t="s">
        <v>682</v>
      </c>
      <c r="D22" t="s">
        <v>697</v>
      </c>
      <c r="E22" s="24">
        <v>1</v>
      </c>
      <c r="F22" t="s">
        <v>2091</v>
      </c>
      <c r="G22" s="3" t="s">
        <v>698</v>
      </c>
      <c r="H22" t="s">
        <v>2300</v>
      </c>
      <c r="I22" t="s">
        <v>2310</v>
      </c>
      <c r="J22">
        <v>270</v>
      </c>
      <c r="K22" t="s">
        <v>2241</v>
      </c>
      <c r="L22">
        <v>0</v>
      </c>
      <c r="M22" t="s">
        <v>2359</v>
      </c>
      <c r="S22"/>
    </row>
    <row r="23" spans="1:19" ht="47.25" x14ac:dyDescent="0.25">
      <c r="A23">
        <v>39</v>
      </c>
      <c r="B23" t="s">
        <v>1972</v>
      </c>
      <c r="C23" t="s">
        <v>682</v>
      </c>
      <c r="D23" t="s">
        <v>699</v>
      </c>
      <c r="E23" s="24">
        <v>1</v>
      </c>
      <c r="F23" t="s">
        <v>2091</v>
      </c>
      <c r="G23" s="3" t="s">
        <v>700</v>
      </c>
      <c r="H23" t="s">
        <v>2300</v>
      </c>
      <c r="I23" t="s">
        <v>2310</v>
      </c>
      <c r="J23">
        <v>270</v>
      </c>
      <c r="K23" t="s">
        <v>2241</v>
      </c>
      <c r="L23">
        <v>0</v>
      </c>
      <c r="M23" t="s">
        <v>2359</v>
      </c>
      <c r="S23"/>
    </row>
    <row r="24" spans="1:19" ht="78.75" x14ac:dyDescent="0.25">
      <c r="A24">
        <v>39</v>
      </c>
      <c r="B24" t="s">
        <v>1972</v>
      </c>
      <c r="C24" t="s">
        <v>636</v>
      </c>
      <c r="D24" t="s">
        <v>653</v>
      </c>
      <c r="E24" s="24">
        <v>1</v>
      </c>
      <c r="F24" t="s">
        <v>1984</v>
      </c>
      <c r="G24" s="3" t="s">
        <v>438</v>
      </c>
      <c r="H24" t="s">
        <v>2300</v>
      </c>
      <c r="I24" t="s">
        <v>2307</v>
      </c>
      <c r="J24">
        <v>510</v>
      </c>
      <c r="K24" t="s">
        <v>2240</v>
      </c>
      <c r="L24">
        <v>0</v>
      </c>
      <c r="M24" t="s">
        <v>2359</v>
      </c>
      <c r="S24"/>
    </row>
    <row r="25" spans="1:19" ht="31.5" x14ac:dyDescent="0.25">
      <c r="A25">
        <v>39</v>
      </c>
      <c r="B25" t="s">
        <v>1972</v>
      </c>
      <c r="C25" t="s">
        <v>1790</v>
      </c>
      <c r="D25" t="s">
        <v>1796</v>
      </c>
      <c r="E25" s="24">
        <v>1</v>
      </c>
      <c r="F25" t="s">
        <v>2203</v>
      </c>
      <c r="G25" s="3" t="s">
        <v>1205</v>
      </c>
      <c r="H25" t="s">
        <v>2305</v>
      </c>
      <c r="I25" t="s">
        <v>2306</v>
      </c>
      <c r="J25">
        <v>220</v>
      </c>
      <c r="K25" t="s">
        <v>2280</v>
      </c>
      <c r="L25">
        <v>0</v>
      </c>
      <c r="M25" t="s">
        <v>2359</v>
      </c>
      <c r="S25"/>
    </row>
    <row r="26" spans="1:19" ht="47.25" x14ac:dyDescent="0.25">
      <c r="A26">
        <v>39</v>
      </c>
      <c r="B26" t="s">
        <v>1972</v>
      </c>
      <c r="C26" t="s">
        <v>1790</v>
      </c>
      <c r="D26" t="s">
        <v>1804</v>
      </c>
      <c r="E26" s="24">
        <v>1</v>
      </c>
      <c r="F26" t="s">
        <v>2147</v>
      </c>
      <c r="G26" s="3" t="s">
        <v>372</v>
      </c>
      <c r="H26" t="s">
        <v>2305</v>
      </c>
      <c r="I26" t="s">
        <v>2306</v>
      </c>
      <c r="J26">
        <v>520</v>
      </c>
      <c r="K26" t="s">
        <v>2280</v>
      </c>
      <c r="L26">
        <v>0</v>
      </c>
      <c r="M26" t="s">
        <v>2359</v>
      </c>
      <c r="S26"/>
    </row>
    <row r="27" spans="1:19" ht="47.25" x14ac:dyDescent="0.25">
      <c r="A27">
        <v>42</v>
      </c>
      <c r="B27" t="s">
        <v>17</v>
      </c>
      <c r="C27" t="s">
        <v>1832</v>
      </c>
      <c r="D27" t="s">
        <v>1845</v>
      </c>
      <c r="E27" s="24">
        <v>1</v>
      </c>
      <c r="F27" t="s">
        <v>2200</v>
      </c>
      <c r="G27" s="3" t="s">
        <v>372</v>
      </c>
      <c r="H27" t="s">
        <v>2305</v>
      </c>
      <c r="I27" t="s">
        <v>2311</v>
      </c>
      <c r="J27">
        <v>520</v>
      </c>
      <c r="K27" t="s">
        <v>2281</v>
      </c>
      <c r="L27">
        <v>0</v>
      </c>
      <c r="M27" t="s">
        <v>2359</v>
      </c>
      <c r="S27"/>
    </row>
    <row r="28" spans="1:19" ht="31.5" x14ac:dyDescent="0.25">
      <c r="A28">
        <v>42</v>
      </c>
      <c r="B28" t="s">
        <v>17</v>
      </c>
      <c r="C28" t="s">
        <v>1832</v>
      </c>
      <c r="D28" t="s">
        <v>1838</v>
      </c>
      <c r="E28" s="24">
        <v>0</v>
      </c>
      <c r="F28" t="s">
        <v>1975</v>
      </c>
      <c r="G28" s="3" t="s">
        <v>686</v>
      </c>
      <c r="H28" t="s">
        <v>2305</v>
      </c>
      <c r="I28" t="s">
        <v>2311</v>
      </c>
      <c r="J28">
        <v>220</v>
      </c>
      <c r="K28" t="s">
        <v>2281</v>
      </c>
      <c r="L28">
        <v>0</v>
      </c>
      <c r="M28" t="s">
        <v>2359</v>
      </c>
    </row>
    <row r="29" spans="1:19" ht="31.5" x14ac:dyDescent="0.25">
      <c r="A29">
        <v>48</v>
      </c>
      <c r="B29" t="s">
        <v>18</v>
      </c>
      <c r="C29" t="s">
        <v>859</v>
      </c>
      <c r="D29" t="s">
        <v>874</v>
      </c>
      <c r="E29" s="24">
        <v>1</v>
      </c>
      <c r="F29" t="s">
        <v>1984</v>
      </c>
      <c r="G29" s="3" t="s">
        <v>875</v>
      </c>
      <c r="H29" t="s">
        <v>2312</v>
      </c>
      <c r="I29" t="s">
        <v>2313</v>
      </c>
      <c r="J29">
        <v>510</v>
      </c>
      <c r="K29" t="s">
        <v>2268</v>
      </c>
      <c r="L29">
        <v>0</v>
      </c>
      <c r="M29" t="s">
        <v>2359</v>
      </c>
      <c r="S29"/>
    </row>
    <row r="30" spans="1:19" ht="47.25" x14ac:dyDescent="0.25">
      <c r="A30">
        <v>48</v>
      </c>
      <c r="B30" t="s">
        <v>18</v>
      </c>
      <c r="C30" t="s">
        <v>859</v>
      </c>
      <c r="D30" t="s">
        <v>876</v>
      </c>
      <c r="E30" s="24">
        <v>1</v>
      </c>
      <c r="F30" t="s">
        <v>1984</v>
      </c>
      <c r="G30" s="3" t="s">
        <v>372</v>
      </c>
      <c r="H30" t="s">
        <v>2312</v>
      </c>
      <c r="I30" t="s">
        <v>2313</v>
      </c>
      <c r="J30">
        <v>510</v>
      </c>
      <c r="K30" t="s">
        <v>2268</v>
      </c>
      <c r="M30" t="s">
        <v>2359</v>
      </c>
      <c r="S30"/>
    </row>
    <row r="31" spans="1:19" ht="31.5" x14ac:dyDescent="0.25">
      <c r="A31">
        <v>48</v>
      </c>
      <c r="B31" t="s">
        <v>18</v>
      </c>
      <c r="C31" t="s">
        <v>859</v>
      </c>
      <c r="D31" t="s">
        <v>864</v>
      </c>
      <c r="E31" s="24">
        <v>0</v>
      </c>
      <c r="F31" t="s">
        <v>1981</v>
      </c>
      <c r="G31" s="3" t="s">
        <v>289</v>
      </c>
      <c r="H31" t="s">
        <v>2312</v>
      </c>
      <c r="I31" t="s">
        <v>2313</v>
      </c>
      <c r="J31">
        <v>250</v>
      </c>
      <c r="K31" t="s">
        <v>2268</v>
      </c>
      <c r="M31" t="s">
        <v>2359</v>
      </c>
    </row>
    <row r="32" spans="1:19" ht="31.5" x14ac:dyDescent="0.25">
      <c r="A32">
        <v>49</v>
      </c>
      <c r="B32" t="s">
        <v>18</v>
      </c>
      <c r="C32" t="s">
        <v>859</v>
      </c>
      <c r="D32" t="s">
        <v>874</v>
      </c>
      <c r="E32" s="24">
        <v>0</v>
      </c>
      <c r="F32" t="s">
        <v>1984</v>
      </c>
      <c r="G32" s="3" t="s">
        <v>875</v>
      </c>
      <c r="H32" t="s">
        <v>2312</v>
      </c>
      <c r="I32" t="s">
        <v>2313</v>
      </c>
      <c r="J32">
        <v>510</v>
      </c>
      <c r="K32" t="s">
        <v>2268</v>
      </c>
      <c r="M32" t="s">
        <v>2359</v>
      </c>
    </row>
    <row r="33" spans="1:19" ht="47.25" x14ac:dyDescent="0.25">
      <c r="A33">
        <v>49</v>
      </c>
      <c r="B33" t="s">
        <v>18</v>
      </c>
      <c r="C33" t="s">
        <v>859</v>
      </c>
      <c r="D33" t="s">
        <v>876</v>
      </c>
      <c r="E33" s="24">
        <v>0</v>
      </c>
      <c r="F33" t="s">
        <v>1984</v>
      </c>
      <c r="G33" s="3" t="s">
        <v>372</v>
      </c>
      <c r="H33" t="s">
        <v>2312</v>
      </c>
      <c r="I33" t="s">
        <v>2313</v>
      </c>
      <c r="J33">
        <v>510</v>
      </c>
      <c r="K33" t="s">
        <v>2268</v>
      </c>
      <c r="M33" t="s">
        <v>2359</v>
      </c>
    </row>
    <row r="34" spans="1:19" ht="31.5" x14ac:dyDescent="0.25">
      <c r="A34">
        <v>49</v>
      </c>
      <c r="B34" t="s">
        <v>18</v>
      </c>
      <c r="C34" t="s">
        <v>859</v>
      </c>
      <c r="D34" t="s">
        <v>864</v>
      </c>
      <c r="E34" s="24">
        <v>0</v>
      </c>
      <c r="F34" t="s">
        <v>1981</v>
      </c>
      <c r="G34" s="3" t="s">
        <v>289</v>
      </c>
      <c r="H34" t="s">
        <v>2312</v>
      </c>
      <c r="I34" t="s">
        <v>2313</v>
      </c>
      <c r="J34">
        <v>250</v>
      </c>
      <c r="K34" t="s">
        <v>2268</v>
      </c>
      <c r="M34" t="s">
        <v>2359</v>
      </c>
    </row>
    <row r="35" spans="1:19" ht="31.5" x14ac:dyDescent="0.25">
      <c r="A35">
        <v>50</v>
      </c>
      <c r="B35" t="s">
        <v>18</v>
      </c>
      <c r="C35" t="s">
        <v>859</v>
      </c>
      <c r="D35" t="s">
        <v>874</v>
      </c>
      <c r="E35" s="24">
        <v>0</v>
      </c>
      <c r="F35" t="s">
        <v>1984</v>
      </c>
      <c r="G35" s="3" t="s">
        <v>875</v>
      </c>
      <c r="H35" t="s">
        <v>2312</v>
      </c>
      <c r="I35" t="s">
        <v>2313</v>
      </c>
      <c r="J35">
        <v>510</v>
      </c>
      <c r="K35" t="s">
        <v>2268</v>
      </c>
      <c r="M35" t="s">
        <v>2359</v>
      </c>
    </row>
    <row r="36" spans="1:19" ht="47.25" x14ac:dyDescent="0.25">
      <c r="A36">
        <v>50</v>
      </c>
      <c r="B36" t="s">
        <v>18</v>
      </c>
      <c r="C36" t="s">
        <v>859</v>
      </c>
      <c r="D36" t="s">
        <v>876</v>
      </c>
      <c r="E36" s="24">
        <v>0</v>
      </c>
      <c r="F36" t="s">
        <v>1984</v>
      </c>
      <c r="G36" s="3" t="s">
        <v>372</v>
      </c>
      <c r="H36" t="s">
        <v>2312</v>
      </c>
      <c r="I36" t="s">
        <v>2313</v>
      </c>
      <c r="J36">
        <v>510</v>
      </c>
      <c r="K36" t="s">
        <v>2268</v>
      </c>
      <c r="M36" t="s">
        <v>2359</v>
      </c>
    </row>
    <row r="37" spans="1:19" ht="31.5" x14ac:dyDescent="0.25">
      <c r="A37">
        <v>50</v>
      </c>
      <c r="B37" t="s">
        <v>18</v>
      </c>
      <c r="C37" t="s">
        <v>859</v>
      </c>
      <c r="D37" t="s">
        <v>864</v>
      </c>
      <c r="E37" s="24">
        <v>0</v>
      </c>
      <c r="F37" t="s">
        <v>1981</v>
      </c>
      <c r="G37" s="3" t="s">
        <v>289</v>
      </c>
      <c r="H37" t="s">
        <v>2312</v>
      </c>
      <c r="I37" t="s">
        <v>2313</v>
      </c>
      <c r="J37">
        <v>250</v>
      </c>
      <c r="K37" t="s">
        <v>2268</v>
      </c>
      <c r="M37" t="s">
        <v>2359</v>
      </c>
    </row>
    <row r="38" spans="1:19" ht="63" x14ac:dyDescent="0.25">
      <c r="A38">
        <v>52</v>
      </c>
      <c r="B38" t="s">
        <v>20</v>
      </c>
      <c r="C38" t="s">
        <v>422</v>
      </c>
      <c r="D38" t="s">
        <v>425</v>
      </c>
      <c r="E38" s="24">
        <v>1</v>
      </c>
      <c r="F38" t="s">
        <v>2017</v>
      </c>
      <c r="G38" s="3" t="s">
        <v>426</v>
      </c>
      <c r="H38" t="s">
        <v>2300</v>
      </c>
      <c r="I38" t="s">
        <v>2304</v>
      </c>
      <c r="J38">
        <v>270</v>
      </c>
      <c r="K38" t="s">
        <v>2239</v>
      </c>
      <c r="M38" t="s">
        <v>2359</v>
      </c>
      <c r="S38"/>
    </row>
    <row r="39" spans="1:19" ht="78.75" x14ac:dyDescent="0.25">
      <c r="A39">
        <v>52</v>
      </c>
      <c r="B39" t="s">
        <v>20</v>
      </c>
      <c r="C39" t="s">
        <v>422</v>
      </c>
      <c r="D39" t="s">
        <v>437</v>
      </c>
      <c r="E39" s="24">
        <v>1</v>
      </c>
      <c r="F39" t="s">
        <v>1984</v>
      </c>
      <c r="G39" s="3" t="s">
        <v>438</v>
      </c>
      <c r="H39" t="s">
        <v>2300</v>
      </c>
      <c r="I39" t="s">
        <v>2304</v>
      </c>
      <c r="J39">
        <v>510</v>
      </c>
      <c r="K39" t="s">
        <v>2239</v>
      </c>
      <c r="M39" t="s">
        <v>2359</v>
      </c>
      <c r="S39"/>
    </row>
    <row r="40" spans="1:19" ht="47.25" x14ac:dyDescent="0.25">
      <c r="A40">
        <v>52</v>
      </c>
      <c r="B40" t="s">
        <v>20</v>
      </c>
      <c r="C40" t="s">
        <v>1436</v>
      </c>
      <c r="D40" t="s">
        <v>1441</v>
      </c>
      <c r="E40" s="24">
        <v>1</v>
      </c>
      <c r="F40" t="s">
        <v>2352</v>
      </c>
      <c r="G40" s="3" t="s">
        <v>1442</v>
      </c>
      <c r="H40" t="s">
        <v>2300</v>
      </c>
      <c r="I40" t="s">
        <v>2314</v>
      </c>
      <c r="J40">
        <v>270</v>
      </c>
      <c r="K40" t="s">
        <v>2244</v>
      </c>
      <c r="M40" t="s">
        <v>2359</v>
      </c>
      <c r="S40"/>
    </row>
    <row r="41" spans="1:19" ht="47.25" x14ac:dyDescent="0.25">
      <c r="A41">
        <v>52</v>
      </c>
      <c r="B41" t="s">
        <v>20</v>
      </c>
      <c r="C41" t="s">
        <v>1436</v>
      </c>
      <c r="D41" t="s">
        <v>1447</v>
      </c>
      <c r="E41" s="24">
        <v>1</v>
      </c>
      <c r="F41" t="s">
        <v>2353</v>
      </c>
      <c r="G41" s="3" t="s">
        <v>1448</v>
      </c>
      <c r="H41" t="s">
        <v>2300</v>
      </c>
      <c r="I41" t="s">
        <v>2314</v>
      </c>
      <c r="J41">
        <v>270</v>
      </c>
      <c r="K41" t="s">
        <v>2244</v>
      </c>
      <c r="M41" t="s">
        <v>2359</v>
      </c>
      <c r="S41"/>
    </row>
    <row r="42" spans="1:19" ht="63" x14ac:dyDescent="0.25">
      <c r="A42">
        <v>53</v>
      </c>
      <c r="B42" t="s">
        <v>20</v>
      </c>
      <c r="C42" t="s">
        <v>422</v>
      </c>
      <c r="D42" t="s">
        <v>425</v>
      </c>
      <c r="E42" s="24">
        <v>1</v>
      </c>
      <c r="F42" t="s">
        <v>2017</v>
      </c>
      <c r="G42" s="3" t="s">
        <v>426</v>
      </c>
      <c r="H42" t="s">
        <v>2300</v>
      </c>
      <c r="I42" t="s">
        <v>2304</v>
      </c>
      <c r="J42">
        <v>270</v>
      </c>
      <c r="K42" t="s">
        <v>2239</v>
      </c>
      <c r="M42" t="s">
        <v>2359</v>
      </c>
      <c r="S42"/>
    </row>
    <row r="43" spans="1:19" ht="78.75" x14ac:dyDescent="0.25">
      <c r="A43">
        <v>53</v>
      </c>
      <c r="B43" t="s">
        <v>20</v>
      </c>
      <c r="C43" t="s">
        <v>422</v>
      </c>
      <c r="D43" t="s">
        <v>437</v>
      </c>
      <c r="E43" s="24">
        <v>1</v>
      </c>
      <c r="F43" t="s">
        <v>1984</v>
      </c>
      <c r="G43" s="3" t="s">
        <v>438</v>
      </c>
      <c r="H43" t="s">
        <v>2300</v>
      </c>
      <c r="I43" t="s">
        <v>2304</v>
      </c>
      <c r="J43">
        <v>510</v>
      </c>
      <c r="K43" t="s">
        <v>2239</v>
      </c>
      <c r="M43" t="s">
        <v>2359</v>
      </c>
      <c r="S43"/>
    </row>
    <row r="44" spans="1:19" ht="47.25" x14ac:dyDescent="0.25">
      <c r="A44">
        <v>70</v>
      </c>
      <c r="B44" t="s">
        <v>24</v>
      </c>
      <c r="C44" t="s">
        <v>659</v>
      </c>
      <c r="D44" t="s">
        <v>680</v>
      </c>
      <c r="E44" s="24">
        <v>0</v>
      </c>
      <c r="F44" t="s">
        <v>2089</v>
      </c>
      <c r="G44" s="3" t="s">
        <v>681</v>
      </c>
      <c r="H44" t="s">
        <v>2315</v>
      </c>
      <c r="I44" t="s">
        <v>2316</v>
      </c>
      <c r="J44">
        <v>520</v>
      </c>
      <c r="K44" t="s">
        <v>2225</v>
      </c>
      <c r="M44" t="s">
        <v>2359</v>
      </c>
    </row>
    <row r="45" spans="1:19" ht="47.25" x14ac:dyDescent="0.25">
      <c r="A45">
        <v>71</v>
      </c>
      <c r="B45" t="s">
        <v>25</v>
      </c>
      <c r="C45" t="s">
        <v>506</v>
      </c>
      <c r="D45" t="s">
        <v>511</v>
      </c>
      <c r="E45" s="24">
        <v>1</v>
      </c>
      <c r="F45" t="s">
        <v>2031</v>
      </c>
      <c r="G45" s="3" t="s">
        <v>512</v>
      </c>
      <c r="H45" t="s">
        <v>2302</v>
      </c>
      <c r="I45" t="s">
        <v>2317</v>
      </c>
      <c r="J45">
        <v>210</v>
      </c>
      <c r="K45" t="s">
        <v>2245</v>
      </c>
      <c r="M45" t="s">
        <v>2359</v>
      </c>
      <c r="S45"/>
    </row>
    <row r="46" spans="1:19" ht="31.5" x14ac:dyDescent="0.25">
      <c r="A46">
        <v>71</v>
      </c>
      <c r="B46" t="s">
        <v>25</v>
      </c>
      <c r="C46" t="s">
        <v>506</v>
      </c>
      <c r="D46" t="s">
        <v>538</v>
      </c>
      <c r="E46" s="24">
        <v>1</v>
      </c>
      <c r="F46" t="s">
        <v>2036</v>
      </c>
      <c r="G46" s="3" t="s">
        <v>539</v>
      </c>
      <c r="H46" t="s">
        <v>2302</v>
      </c>
      <c r="I46" t="s">
        <v>2317</v>
      </c>
      <c r="J46">
        <v>270</v>
      </c>
      <c r="K46" t="s">
        <v>2245</v>
      </c>
      <c r="M46" t="s">
        <v>2359</v>
      </c>
      <c r="S46"/>
    </row>
    <row r="47" spans="1:19" ht="31.5" x14ac:dyDescent="0.25">
      <c r="A47">
        <v>71</v>
      </c>
      <c r="B47" t="s">
        <v>25</v>
      </c>
      <c r="C47" t="s">
        <v>506</v>
      </c>
      <c r="D47" t="s">
        <v>548</v>
      </c>
      <c r="E47" s="24">
        <v>1</v>
      </c>
      <c r="F47" t="s">
        <v>1984</v>
      </c>
      <c r="G47" s="3" t="s">
        <v>549</v>
      </c>
      <c r="H47" t="s">
        <v>2302</v>
      </c>
      <c r="I47" t="s">
        <v>2317</v>
      </c>
      <c r="J47">
        <v>510</v>
      </c>
      <c r="K47" t="s">
        <v>2245</v>
      </c>
      <c r="M47" t="s">
        <v>2359</v>
      </c>
      <c r="S47"/>
    </row>
    <row r="48" spans="1:19" ht="31.5" x14ac:dyDescent="0.25">
      <c r="A48">
        <v>78</v>
      </c>
      <c r="B48" t="s">
        <v>27</v>
      </c>
      <c r="C48" t="s">
        <v>859</v>
      </c>
      <c r="D48" t="s">
        <v>874</v>
      </c>
      <c r="E48" s="24">
        <v>1</v>
      </c>
      <c r="F48" t="s">
        <v>1984</v>
      </c>
      <c r="G48" s="3" t="s">
        <v>875</v>
      </c>
      <c r="H48" t="s">
        <v>2312</v>
      </c>
      <c r="I48" t="s">
        <v>2313</v>
      </c>
      <c r="J48">
        <v>510</v>
      </c>
      <c r="K48" t="s">
        <v>2268</v>
      </c>
      <c r="M48" t="s">
        <v>2359</v>
      </c>
      <c r="S48"/>
    </row>
    <row r="49" spans="1:19" ht="47.25" x14ac:dyDescent="0.25">
      <c r="A49">
        <v>78</v>
      </c>
      <c r="B49" t="s">
        <v>27</v>
      </c>
      <c r="C49" t="s">
        <v>859</v>
      </c>
      <c r="D49" t="s">
        <v>876</v>
      </c>
      <c r="E49" s="24">
        <v>1</v>
      </c>
      <c r="F49" t="s">
        <v>1984</v>
      </c>
      <c r="G49" s="3" t="s">
        <v>372</v>
      </c>
      <c r="H49" t="s">
        <v>2312</v>
      </c>
      <c r="I49" t="s">
        <v>2313</v>
      </c>
      <c r="J49">
        <v>510</v>
      </c>
      <c r="K49" t="s">
        <v>2268</v>
      </c>
      <c r="M49" t="s">
        <v>2359</v>
      </c>
      <c r="S49"/>
    </row>
    <row r="50" spans="1:19" ht="31.5" x14ac:dyDescent="0.25">
      <c r="A50">
        <v>78</v>
      </c>
      <c r="B50" t="s">
        <v>27</v>
      </c>
      <c r="C50" t="s">
        <v>859</v>
      </c>
      <c r="D50" t="s">
        <v>864</v>
      </c>
      <c r="E50" s="24">
        <v>1</v>
      </c>
      <c r="F50" t="s">
        <v>1981</v>
      </c>
      <c r="G50" s="3" t="s">
        <v>289</v>
      </c>
      <c r="H50" t="s">
        <v>2312</v>
      </c>
      <c r="I50" t="s">
        <v>2313</v>
      </c>
      <c r="J50">
        <v>250</v>
      </c>
      <c r="K50" t="s">
        <v>2268</v>
      </c>
      <c r="M50" t="s">
        <v>2359</v>
      </c>
      <c r="S50"/>
    </row>
    <row r="51" spans="1:19" ht="31.5" x14ac:dyDescent="0.25">
      <c r="A51">
        <v>90</v>
      </c>
      <c r="B51" t="s">
        <v>30</v>
      </c>
      <c r="C51" t="s">
        <v>1366</v>
      </c>
      <c r="D51" t="s">
        <v>1377</v>
      </c>
      <c r="E51" s="24">
        <v>1</v>
      </c>
      <c r="F51" t="s">
        <v>2036</v>
      </c>
      <c r="G51" s="3" t="s">
        <v>539</v>
      </c>
      <c r="H51" t="s">
        <v>2302</v>
      </c>
      <c r="I51" t="s">
        <v>2303</v>
      </c>
      <c r="J51">
        <v>270</v>
      </c>
      <c r="K51" t="s">
        <v>2250</v>
      </c>
      <c r="M51" t="s">
        <v>2359</v>
      </c>
      <c r="S51"/>
    </row>
    <row r="52" spans="1:19" ht="31.5" x14ac:dyDescent="0.25">
      <c r="A52">
        <v>90</v>
      </c>
      <c r="B52" t="s">
        <v>30</v>
      </c>
      <c r="C52" t="s">
        <v>1366</v>
      </c>
      <c r="D52" t="s">
        <v>1388</v>
      </c>
      <c r="E52" s="24">
        <v>1</v>
      </c>
      <c r="F52" t="s">
        <v>2174</v>
      </c>
      <c r="G52" s="3" t="s">
        <v>875</v>
      </c>
      <c r="H52" t="s">
        <v>2302</v>
      </c>
      <c r="I52" t="s">
        <v>2303</v>
      </c>
      <c r="J52">
        <v>510</v>
      </c>
      <c r="K52" t="s">
        <v>2250</v>
      </c>
      <c r="M52" t="s">
        <v>2359</v>
      </c>
      <c r="S52"/>
    </row>
    <row r="53" spans="1:19" ht="31.5" x14ac:dyDescent="0.25">
      <c r="A53">
        <v>91</v>
      </c>
      <c r="B53" t="s">
        <v>31</v>
      </c>
      <c r="C53" t="s">
        <v>1366</v>
      </c>
      <c r="D53" t="s">
        <v>1377</v>
      </c>
      <c r="E53" s="24">
        <v>0</v>
      </c>
      <c r="F53" t="s">
        <v>2036</v>
      </c>
      <c r="G53" s="3" t="s">
        <v>539</v>
      </c>
      <c r="H53" t="s">
        <v>2302</v>
      </c>
      <c r="I53" t="s">
        <v>2303</v>
      </c>
      <c r="J53">
        <v>270</v>
      </c>
      <c r="K53" t="s">
        <v>2250</v>
      </c>
      <c r="M53" t="s">
        <v>2359</v>
      </c>
    </row>
    <row r="54" spans="1:19" ht="31.5" x14ac:dyDescent="0.25">
      <c r="A54">
        <v>91</v>
      </c>
      <c r="B54" t="s">
        <v>31</v>
      </c>
      <c r="C54" t="s">
        <v>1366</v>
      </c>
      <c r="D54" t="s">
        <v>1388</v>
      </c>
      <c r="E54" s="24">
        <v>0</v>
      </c>
      <c r="F54" t="s">
        <v>2174</v>
      </c>
      <c r="G54" s="3" t="s">
        <v>875</v>
      </c>
      <c r="H54" t="s">
        <v>2302</v>
      </c>
      <c r="I54" t="s">
        <v>2303</v>
      </c>
      <c r="J54">
        <v>510</v>
      </c>
      <c r="K54" t="s">
        <v>2250</v>
      </c>
      <c r="M54" t="s">
        <v>2359</v>
      </c>
    </row>
    <row r="55" spans="1:19" ht="31.5" x14ac:dyDescent="0.25">
      <c r="A55">
        <v>98</v>
      </c>
      <c r="B55" t="s">
        <v>33</v>
      </c>
      <c r="C55" t="s">
        <v>1790</v>
      </c>
      <c r="D55" t="s">
        <v>1796</v>
      </c>
      <c r="E55" s="24">
        <v>1</v>
      </c>
      <c r="F55" t="s">
        <v>2203</v>
      </c>
      <c r="G55" s="3" t="s">
        <v>1205</v>
      </c>
      <c r="H55" t="s">
        <v>2305</v>
      </c>
      <c r="I55" t="s">
        <v>2306</v>
      </c>
      <c r="J55">
        <v>220</v>
      </c>
      <c r="K55" t="s">
        <v>2280</v>
      </c>
      <c r="M55" t="s">
        <v>2359</v>
      </c>
      <c r="S55"/>
    </row>
    <row r="56" spans="1:19" ht="47.25" x14ac:dyDescent="0.25">
      <c r="A56">
        <v>98</v>
      </c>
      <c r="B56" t="s">
        <v>33</v>
      </c>
      <c r="C56" t="s">
        <v>1790</v>
      </c>
      <c r="D56" t="s">
        <v>1804</v>
      </c>
      <c r="E56" s="24">
        <v>1</v>
      </c>
      <c r="F56" t="s">
        <v>2147</v>
      </c>
      <c r="G56" s="3" t="s">
        <v>372</v>
      </c>
      <c r="H56" t="s">
        <v>2305</v>
      </c>
      <c r="I56" t="s">
        <v>2306</v>
      </c>
      <c r="J56">
        <v>520</v>
      </c>
      <c r="K56" t="s">
        <v>2280</v>
      </c>
      <c r="M56" t="s">
        <v>2359</v>
      </c>
      <c r="S56"/>
    </row>
    <row r="57" spans="1:19" ht="31.5" x14ac:dyDescent="0.25">
      <c r="A57">
        <v>120</v>
      </c>
      <c r="B57" t="s">
        <v>36</v>
      </c>
      <c r="C57" t="s">
        <v>1457</v>
      </c>
      <c r="D57" t="s">
        <v>1465</v>
      </c>
      <c r="E57" s="24">
        <v>0</v>
      </c>
      <c r="F57" t="s">
        <v>1993</v>
      </c>
      <c r="G57" s="3" t="s">
        <v>347</v>
      </c>
      <c r="H57" t="s">
        <v>2318</v>
      </c>
      <c r="I57" t="s">
        <v>2319</v>
      </c>
      <c r="J57">
        <v>310</v>
      </c>
      <c r="K57" t="s">
        <v>2223</v>
      </c>
      <c r="M57" t="s">
        <v>2360</v>
      </c>
      <c r="N57" s="34">
        <v>44042</v>
      </c>
      <c r="O57" t="s">
        <v>2446</v>
      </c>
      <c r="Q57" t="s">
        <v>2447</v>
      </c>
      <c r="R57" s="25">
        <v>6000</v>
      </c>
      <c r="S57" s="26" t="s">
        <v>2448</v>
      </c>
    </row>
    <row r="58" spans="1:19" x14ac:dyDescent="0.25">
      <c r="N58" s="34">
        <v>44180</v>
      </c>
      <c r="O58" t="s">
        <v>2449</v>
      </c>
      <c r="R58" s="25">
        <v>19613900</v>
      </c>
      <c r="S58" s="26" t="s">
        <v>2450</v>
      </c>
    </row>
    <row r="59" spans="1:19" ht="47.25" x14ac:dyDescent="0.25">
      <c r="A59">
        <v>120</v>
      </c>
      <c r="B59" t="s">
        <v>36</v>
      </c>
      <c r="C59" t="s">
        <v>1457</v>
      </c>
      <c r="D59" t="s">
        <v>1468</v>
      </c>
      <c r="E59" s="24">
        <v>0</v>
      </c>
      <c r="F59" t="s">
        <v>1977</v>
      </c>
      <c r="G59" s="3" t="s">
        <v>1469</v>
      </c>
      <c r="H59" t="s">
        <v>2318</v>
      </c>
      <c r="I59" t="s">
        <v>2319</v>
      </c>
      <c r="J59">
        <v>330</v>
      </c>
      <c r="K59" t="s">
        <v>2223</v>
      </c>
      <c r="M59" t="s">
        <v>2359</v>
      </c>
    </row>
    <row r="60" spans="1:19" ht="47.25" x14ac:dyDescent="0.25">
      <c r="A60">
        <v>124</v>
      </c>
      <c r="B60" t="s">
        <v>39</v>
      </c>
      <c r="C60" t="s">
        <v>1613</v>
      </c>
      <c r="D60" t="s">
        <v>1629</v>
      </c>
      <c r="E60" s="24">
        <v>1</v>
      </c>
      <c r="F60" t="s">
        <v>2120</v>
      </c>
      <c r="G60" s="3" t="s">
        <v>1630</v>
      </c>
      <c r="H60" t="s">
        <v>2320</v>
      </c>
      <c r="I60" t="s">
        <v>2321</v>
      </c>
      <c r="J60">
        <v>270</v>
      </c>
      <c r="K60" t="s">
        <v>2236</v>
      </c>
      <c r="M60" t="s">
        <v>2359</v>
      </c>
      <c r="S60"/>
    </row>
    <row r="61" spans="1:19" ht="47.25" x14ac:dyDescent="0.25">
      <c r="A61">
        <v>130</v>
      </c>
      <c r="B61" t="s">
        <v>42</v>
      </c>
      <c r="C61" t="s">
        <v>1077</v>
      </c>
      <c r="D61" t="s">
        <v>1095</v>
      </c>
      <c r="E61" s="24">
        <v>1</v>
      </c>
      <c r="F61" t="s">
        <v>1984</v>
      </c>
      <c r="G61" s="3" t="s">
        <v>1096</v>
      </c>
      <c r="H61" t="s">
        <v>2302</v>
      </c>
      <c r="I61" t="s">
        <v>2322</v>
      </c>
      <c r="J61">
        <v>510</v>
      </c>
      <c r="K61" t="s">
        <v>2246</v>
      </c>
      <c r="L61" t="s">
        <v>2381</v>
      </c>
      <c r="M61" t="s">
        <v>2360</v>
      </c>
      <c r="N61" s="34">
        <v>43889</v>
      </c>
      <c r="O61" t="s">
        <v>2461</v>
      </c>
      <c r="Q61" t="s">
        <v>2462</v>
      </c>
      <c r="R61" s="25">
        <v>8000000</v>
      </c>
      <c r="S61" s="30" t="s">
        <v>2380</v>
      </c>
    </row>
    <row r="62" spans="1:19" ht="31.5" x14ac:dyDescent="0.25">
      <c r="A62">
        <v>130</v>
      </c>
      <c r="B62" t="s">
        <v>42</v>
      </c>
      <c r="C62" t="s">
        <v>1077</v>
      </c>
      <c r="D62" t="s">
        <v>1082</v>
      </c>
      <c r="E62" s="24">
        <v>1</v>
      </c>
      <c r="F62" t="s">
        <v>1981</v>
      </c>
      <c r="G62" s="3" t="s">
        <v>289</v>
      </c>
      <c r="H62" t="s">
        <v>2302</v>
      </c>
      <c r="I62" t="s">
        <v>2322</v>
      </c>
      <c r="J62">
        <v>250</v>
      </c>
      <c r="K62" t="s">
        <v>2246</v>
      </c>
      <c r="M62" t="s">
        <v>2359</v>
      </c>
      <c r="S62"/>
    </row>
    <row r="63" spans="1:19" ht="31.5" x14ac:dyDescent="0.25">
      <c r="A63">
        <v>131</v>
      </c>
      <c r="B63" t="s">
        <v>43</v>
      </c>
      <c r="C63" t="s">
        <v>859</v>
      </c>
      <c r="D63" t="s">
        <v>874</v>
      </c>
      <c r="E63" s="24">
        <v>1</v>
      </c>
      <c r="F63" t="s">
        <v>1984</v>
      </c>
      <c r="G63" s="3" t="s">
        <v>875</v>
      </c>
      <c r="H63" t="s">
        <v>2312</v>
      </c>
      <c r="I63" t="s">
        <v>2313</v>
      </c>
      <c r="J63">
        <v>510</v>
      </c>
      <c r="K63" t="s">
        <v>2268</v>
      </c>
      <c r="M63" t="s">
        <v>2359</v>
      </c>
      <c r="S63"/>
    </row>
    <row r="64" spans="1:19" ht="47.25" x14ac:dyDescent="0.25">
      <c r="A64">
        <v>131</v>
      </c>
      <c r="B64" t="s">
        <v>43</v>
      </c>
      <c r="C64" t="s">
        <v>859</v>
      </c>
      <c r="D64" t="s">
        <v>876</v>
      </c>
      <c r="E64" s="24">
        <v>1</v>
      </c>
      <c r="F64" t="s">
        <v>1984</v>
      </c>
      <c r="G64" s="3" t="s">
        <v>372</v>
      </c>
      <c r="H64" t="s">
        <v>2312</v>
      </c>
      <c r="I64" t="s">
        <v>2313</v>
      </c>
      <c r="J64">
        <v>510</v>
      </c>
      <c r="K64" t="s">
        <v>2268</v>
      </c>
      <c r="M64" t="s">
        <v>2359</v>
      </c>
      <c r="S64"/>
    </row>
    <row r="65" spans="1:19" ht="31.5" x14ac:dyDescent="0.25">
      <c r="A65">
        <v>131</v>
      </c>
      <c r="B65" t="s">
        <v>43</v>
      </c>
      <c r="C65" t="s">
        <v>859</v>
      </c>
      <c r="D65" t="s">
        <v>864</v>
      </c>
      <c r="E65" s="24">
        <v>0</v>
      </c>
      <c r="F65" t="s">
        <v>1981</v>
      </c>
      <c r="G65" s="3" t="s">
        <v>289</v>
      </c>
      <c r="H65" t="s">
        <v>2312</v>
      </c>
      <c r="I65" t="s">
        <v>2313</v>
      </c>
      <c r="J65">
        <v>250</v>
      </c>
      <c r="K65" t="s">
        <v>2268</v>
      </c>
      <c r="M65" t="s">
        <v>2359</v>
      </c>
    </row>
    <row r="66" spans="1:19" ht="31.5" x14ac:dyDescent="0.25">
      <c r="A66">
        <v>132</v>
      </c>
      <c r="B66" t="s">
        <v>44</v>
      </c>
      <c r="C66" t="s">
        <v>506</v>
      </c>
      <c r="D66" t="s">
        <v>548</v>
      </c>
      <c r="E66" s="24">
        <v>1</v>
      </c>
      <c r="F66" t="s">
        <v>1984</v>
      </c>
      <c r="G66" s="3" t="s">
        <v>549</v>
      </c>
      <c r="H66" t="s">
        <v>2302</v>
      </c>
      <c r="I66" t="s">
        <v>2317</v>
      </c>
      <c r="J66">
        <v>510</v>
      </c>
      <c r="K66" t="s">
        <v>2245</v>
      </c>
      <c r="M66" t="s">
        <v>2359</v>
      </c>
      <c r="S66"/>
    </row>
    <row r="67" spans="1:19" ht="31.5" x14ac:dyDescent="0.25">
      <c r="A67">
        <v>132</v>
      </c>
      <c r="B67" t="s">
        <v>44</v>
      </c>
      <c r="C67" t="s">
        <v>506</v>
      </c>
      <c r="D67" t="s">
        <v>538</v>
      </c>
      <c r="E67" s="24">
        <v>2</v>
      </c>
      <c r="F67" t="s">
        <v>2036</v>
      </c>
      <c r="G67" s="3" t="s">
        <v>539</v>
      </c>
      <c r="H67" t="s">
        <v>2302</v>
      </c>
      <c r="I67" t="s">
        <v>2317</v>
      </c>
      <c r="J67">
        <v>270</v>
      </c>
      <c r="K67" t="s">
        <v>2245</v>
      </c>
      <c r="M67" t="s">
        <v>2359</v>
      </c>
      <c r="R67"/>
      <c r="S67"/>
    </row>
    <row r="68" spans="1:19" ht="47.25" x14ac:dyDescent="0.25">
      <c r="A68">
        <v>132</v>
      </c>
      <c r="B68" t="s">
        <v>44</v>
      </c>
      <c r="C68" t="s">
        <v>506</v>
      </c>
      <c r="D68" t="s">
        <v>511</v>
      </c>
      <c r="E68" s="24">
        <v>1</v>
      </c>
      <c r="F68" t="s">
        <v>2031</v>
      </c>
      <c r="G68" s="3" t="s">
        <v>512</v>
      </c>
      <c r="H68" t="s">
        <v>2302</v>
      </c>
      <c r="I68" t="s">
        <v>2317</v>
      </c>
      <c r="J68">
        <v>210</v>
      </c>
      <c r="K68" t="s">
        <v>2245</v>
      </c>
      <c r="M68" t="s">
        <v>2359</v>
      </c>
      <c r="S68"/>
    </row>
    <row r="69" spans="1:19" ht="31.5" x14ac:dyDescent="0.25">
      <c r="A69">
        <v>133</v>
      </c>
      <c r="B69" t="s">
        <v>44</v>
      </c>
      <c r="C69" t="s">
        <v>506</v>
      </c>
      <c r="D69" t="s">
        <v>548</v>
      </c>
      <c r="E69" s="24">
        <v>1</v>
      </c>
      <c r="F69" t="s">
        <v>1984</v>
      </c>
      <c r="G69" s="3" t="s">
        <v>549</v>
      </c>
      <c r="H69" t="s">
        <v>2302</v>
      </c>
      <c r="I69" t="s">
        <v>2317</v>
      </c>
      <c r="J69">
        <v>510</v>
      </c>
      <c r="K69" t="s">
        <v>2245</v>
      </c>
      <c r="M69" t="s">
        <v>2359</v>
      </c>
      <c r="S69"/>
    </row>
    <row r="70" spans="1:19" ht="31.5" x14ac:dyDescent="0.25">
      <c r="A70">
        <v>133</v>
      </c>
      <c r="B70" t="s">
        <v>44</v>
      </c>
      <c r="C70" t="s">
        <v>506</v>
      </c>
      <c r="D70" t="s">
        <v>538</v>
      </c>
      <c r="E70" s="24">
        <v>2</v>
      </c>
      <c r="F70" t="s">
        <v>2036</v>
      </c>
      <c r="G70" s="3" t="s">
        <v>539</v>
      </c>
      <c r="H70" t="s">
        <v>2302</v>
      </c>
      <c r="I70" t="s">
        <v>2317</v>
      </c>
      <c r="J70">
        <v>270</v>
      </c>
      <c r="K70" t="s">
        <v>2245</v>
      </c>
      <c r="R70"/>
      <c r="S70"/>
    </row>
    <row r="71" spans="1:19" ht="47.25" x14ac:dyDescent="0.25">
      <c r="A71">
        <v>133</v>
      </c>
      <c r="B71" t="s">
        <v>44</v>
      </c>
      <c r="C71" t="s">
        <v>506</v>
      </c>
      <c r="D71" t="s">
        <v>511</v>
      </c>
      <c r="E71" s="24">
        <v>1</v>
      </c>
      <c r="F71" t="s">
        <v>2031</v>
      </c>
      <c r="G71" s="3" t="s">
        <v>512</v>
      </c>
      <c r="H71" t="s">
        <v>2302</v>
      </c>
      <c r="I71" t="s">
        <v>2317</v>
      </c>
      <c r="J71">
        <v>210</v>
      </c>
      <c r="K71" t="s">
        <v>2245</v>
      </c>
      <c r="M71" t="s">
        <v>2359</v>
      </c>
      <c r="S71"/>
    </row>
    <row r="72" spans="1:19" ht="47.25" x14ac:dyDescent="0.25">
      <c r="A72">
        <v>142</v>
      </c>
      <c r="B72" t="s">
        <v>46</v>
      </c>
      <c r="C72" t="s">
        <v>1097</v>
      </c>
      <c r="D72" t="s">
        <v>1102</v>
      </c>
      <c r="E72" s="24">
        <v>1</v>
      </c>
      <c r="F72" t="s">
        <v>2135</v>
      </c>
      <c r="G72" s="3" t="s">
        <v>1103</v>
      </c>
      <c r="H72" t="s">
        <v>2323</v>
      </c>
      <c r="I72" t="s">
        <v>2324</v>
      </c>
      <c r="J72">
        <v>160</v>
      </c>
      <c r="K72" t="s">
        <v>2254</v>
      </c>
      <c r="M72" t="s">
        <v>2359</v>
      </c>
      <c r="S72"/>
    </row>
    <row r="73" spans="1:19" ht="31.5" x14ac:dyDescent="0.25">
      <c r="A73">
        <v>146</v>
      </c>
      <c r="B73" t="s">
        <v>47</v>
      </c>
      <c r="C73" t="s">
        <v>337</v>
      </c>
      <c r="D73" t="s">
        <v>346</v>
      </c>
      <c r="E73" s="24">
        <v>0</v>
      </c>
      <c r="F73" t="s">
        <v>1993</v>
      </c>
      <c r="G73" s="3" t="s">
        <v>347</v>
      </c>
      <c r="H73" t="s">
        <v>2308</v>
      </c>
      <c r="I73" t="s">
        <v>2325</v>
      </c>
      <c r="J73">
        <v>310</v>
      </c>
      <c r="K73" t="s">
        <v>2282</v>
      </c>
      <c r="M73" t="s">
        <v>2359</v>
      </c>
    </row>
    <row r="74" spans="1:19" ht="47.25" x14ac:dyDescent="0.25">
      <c r="A74">
        <v>147</v>
      </c>
      <c r="B74" t="s">
        <v>48</v>
      </c>
      <c r="C74" t="s">
        <v>891</v>
      </c>
      <c r="D74" t="s">
        <v>913</v>
      </c>
      <c r="E74" s="24">
        <v>1</v>
      </c>
      <c r="F74" t="s">
        <v>1984</v>
      </c>
      <c r="G74" s="3" t="s">
        <v>914</v>
      </c>
      <c r="H74" t="s">
        <v>2323</v>
      </c>
      <c r="I74" t="s">
        <v>2326</v>
      </c>
      <c r="J74">
        <v>510</v>
      </c>
      <c r="K74" t="s">
        <v>2251</v>
      </c>
      <c r="M74" t="s">
        <v>2359</v>
      </c>
      <c r="S74"/>
    </row>
    <row r="75" spans="1:19" ht="47.25" x14ac:dyDescent="0.25">
      <c r="A75">
        <v>147</v>
      </c>
      <c r="B75" t="s">
        <v>48</v>
      </c>
      <c r="C75" t="s">
        <v>891</v>
      </c>
      <c r="D75" t="s">
        <v>898</v>
      </c>
      <c r="E75" s="24">
        <v>1</v>
      </c>
      <c r="F75" t="s">
        <v>2113</v>
      </c>
      <c r="G75" s="3" t="s">
        <v>899</v>
      </c>
      <c r="H75" t="s">
        <v>2323</v>
      </c>
      <c r="I75" t="s">
        <v>2326</v>
      </c>
      <c r="J75">
        <v>250</v>
      </c>
      <c r="K75" t="s">
        <v>2251</v>
      </c>
      <c r="M75" t="s">
        <v>2359</v>
      </c>
      <c r="S75"/>
    </row>
    <row r="76" spans="1:19" ht="47.25" x14ac:dyDescent="0.25">
      <c r="A76">
        <v>154</v>
      </c>
      <c r="B76" t="s">
        <v>51</v>
      </c>
      <c r="C76" t="s">
        <v>2293</v>
      </c>
      <c r="D76" t="s">
        <v>1547</v>
      </c>
      <c r="E76" s="24">
        <v>0</v>
      </c>
      <c r="F76" t="s">
        <v>1997</v>
      </c>
      <c r="G76" s="3" t="s">
        <v>1548</v>
      </c>
      <c r="H76" t="s">
        <v>2315</v>
      </c>
      <c r="I76" t="s">
        <v>2327</v>
      </c>
      <c r="J76">
        <v>520</v>
      </c>
      <c r="K76" t="s">
        <v>2228</v>
      </c>
      <c r="M76" t="s">
        <v>2359</v>
      </c>
    </row>
    <row r="77" spans="1:19" ht="47.25" x14ac:dyDescent="0.25">
      <c r="A77">
        <v>154</v>
      </c>
      <c r="B77" t="s">
        <v>51</v>
      </c>
      <c r="C77" t="s">
        <v>2294</v>
      </c>
      <c r="D77" t="s">
        <v>1576</v>
      </c>
      <c r="E77" s="24">
        <v>0</v>
      </c>
      <c r="F77" t="s">
        <v>2089</v>
      </c>
      <c r="G77" s="3" t="s">
        <v>1577</v>
      </c>
      <c r="H77" t="s">
        <v>2315</v>
      </c>
      <c r="I77" t="s">
        <v>2328</v>
      </c>
      <c r="J77">
        <v>520</v>
      </c>
      <c r="K77" t="s">
        <v>2230</v>
      </c>
      <c r="M77" t="s">
        <v>2359</v>
      </c>
    </row>
    <row r="78" spans="1:19" ht="47.25" x14ac:dyDescent="0.25">
      <c r="A78">
        <v>157</v>
      </c>
      <c r="B78" t="s">
        <v>52</v>
      </c>
      <c r="C78" t="s">
        <v>1723</v>
      </c>
      <c r="D78" t="s">
        <v>1744</v>
      </c>
      <c r="E78" s="24">
        <v>0</v>
      </c>
      <c r="F78" t="s">
        <v>1993</v>
      </c>
      <c r="G78" s="3" t="s">
        <v>1745</v>
      </c>
      <c r="H78" t="s">
        <v>2320</v>
      </c>
      <c r="I78" t="s">
        <v>2329</v>
      </c>
      <c r="J78">
        <v>310</v>
      </c>
      <c r="K78" t="s">
        <v>2237</v>
      </c>
      <c r="M78" t="s">
        <v>2360</v>
      </c>
      <c r="N78" s="34">
        <v>44013</v>
      </c>
      <c r="O78" t="s">
        <v>2442</v>
      </c>
      <c r="R78" s="25">
        <v>46220</v>
      </c>
      <c r="S78" s="26" t="s">
        <v>2471</v>
      </c>
    </row>
    <row r="79" spans="1:19" ht="64.5" customHeight="1" x14ac:dyDescent="0.25">
      <c r="A79">
        <v>164</v>
      </c>
      <c r="B79" t="s">
        <v>53</v>
      </c>
      <c r="C79" t="s">
        <v>636</v>
      </c>
      <c r="D79" t="s">
        <v>653</v>
      </c>
      <c r="E79" s="24">
        <v>0</v>
      </c>
      <c r="F79" t="s">
        <v>1984</v>
      </c>
      <c r="G79" s="3" t="s">
        <v>438</v>
      </c>
      <c r="H79" t="s">
        <v>2300</v>
      </c>
      <c r="I79" t="s">
        <v>2307</v>
      </c>
      <c r="J79">
        <v>510</v>
      </c>
      <c r="K79" t="s">
        <v>2240</v>
      </c>
      <c r="L79" s="40" t="s">
        <v>2382</v>
      </c>
      <c r="M79" t="s">
        <v>2360</v>
      </c>
      <c r="N79" s="38">
        <v>44000</v>
      </c>
      <c r="O79" s="5" t="s">
        <v>2481</v>
      </c>
      <c r="P79" s="5"/>
      <c r="Q79" s="5"/>
      <c r="R79" s="39">
        <v>20833333</v>
      </c>
      <c r="S79" s="37" t="s">
        <v>2482</v>
      </c>
    </row>
    <row r="80" spans="1:19" x14ac:dyDescent="0.25">
      <c r="N80" s="38">
        <v>44091</v>
      </c>
      <c r="O80" s="5" t="s">
        <v>2481</v>
      </c>
      <c r="P80" s="5"/>
      <c r="Q80" s="5"/>
      <c r="R80" s="39">
        <v>33400000</v>
      </c>
      <c r="S80" s="37" t="s">
        <v>2483</v>
      </c>
    </row>
    <row r="81" spans="1:20" x14ac:dyDescent="0.25">
      <c r="N81" s="38">
        <v>44102</v>
      </c>
      <c r="O81" s="5" t="s">
        <v>2488</v>
      </c>
      <c r="P81" s="5"/>
      <c r="Q81" s="5"/>
      <c r="R81" s="39">
        <v>4500000</v>
      </c>
      <c r="S81" s="37" t="s">
        <v>2487</v>
      </c>
    </row>
    <row r="82" spans="1:20" x14ac:dyDescent="0.25">
      <c r="N82" s="38">
        <v>44109</v>
      </c>
      <c r="O82" s="5" t="s">
        <v>2481</v>
      </c>
      <c r="P82" s="5"/>
      <c r="Q82" s="5"/>
      <c r="R82" s="39">
        <v>7025000</v>
      </c>
      <c r="S82" s="37" t="s">
        <v>2484</v>
      </c>
    </row>
    <row r="83" spans="1:20" x14ac:dyDescent="0.25">
      <c r="N83" s="38">
        <v>44154</v>
      </c>
      <c r="O83" s="5" t="s">
        <v>2481</v>
      </c>
      <c r="P83" s="5"/>
      <c r="Q83" s="5"/>
      <c r="R83" s="39">
        <v>9950000</v>
      </c>
      <c r="S83" s="37" t="s">
        <v>2480</v>
      </c>
    </row>
    <row r="84" spans="1:20" ht="31.5" x14ac:dyDescent="0.25">
      <c r="A84">
        <v>164</v>
      </c>
      <c r="B84" t="s">
        <v>53</v>
      </c>
      <c r="C84" t="s">
        <v>682</v>
      </c>
      <c r="D84" t="s">
        <v>685</v>
      </c>
      <c r="E84" s="24">
        <v>1</v>
      </c>
      <c r="F84" t="s">
        <v>2090</v>
      </c>
      <c r="G84" s="3" t="s">
        <v>686</v>
      </c>
      <c r="H84" t="s">
        <v>2300</v>
      </c>
      <c r="I84" t="s">
        <v>2310</v>
      </c>
      <c r="J84">
        <v>220</v>
      </c>
      <c r="K84" t="s">
        <v>2241</v>
      </c>
      <c r="M84" t="s">
        <v>2359</v>
      </c>
      <c r="S84" s="37"/>
    </row>
    <row r="85" spans="1:20" ht="78.75" x14ac:dyDescent="0.25">
      <c r="A85">
        <v>164</v>
      </c>
      <c r="B85" t="s">
        <v>53</v>
      </c>
      <c r="C85" t="s">
        <v>682</v>
      </c>
      <c r="D85" t="s">
        <v>697</v>
      </c>
      <c r="E85" s="24">
        <v>0</v>
      </c>
      <c r="F85" t="s">
        <v>2091</v>
      </c>
      <c r="G85" s="3" t="s">
        <v>698</v>
      </c>
      <c r="H85" t="s">
        <v>2300</v>
      </c>
      <c r="I85" t="s">
        <v>2310</v>
      </c>
      <c r="J85">
        <v>270</v>
      </c>
      <c r="K85" t="s">
        <v>2241</v>
      </c>
      <c r="M85" t="s">
        <v>2359</v>
      </c>
    </row>
    <row r="86" spans="1:20" ht="47.25" x14ac:dyDescent="0.25">
      <c r="A86">
        <v>164</v>
      </c>
      <c r="B86" t="s">
        <v>53</v>
      </c>
      <c r="C86" t="s">
        <v>682</v>
      </c>
      <c r="D86" t="s">
        <v>699</v>
      </c>
      <c r="E86" s="24">
        <v>1</v>
      </c>
      <c r="F86" t="s">
        <v>2091</v>
      </c>
      <c r="G86" s="3" t="s">
        <v>700</v>
      </c>
      <c r="H86" t="s">
        <v>2300</v>
      </c>
      <c r="I86" t="s">
        <v>2310</v>
      </c>
      <c r="J86">
        <v>270</v>
      </c>
      <c r="K86" t="s">
        <v>2241</v>
      </c>
      <c r="M86" t="s">
        <v>2359</v>
      </c>
      <c r="S86"/>
    </row>
    <row r="87" spans="1:20" ht="78.75" x14ac:dyDescent="0.25">
      <c r="A87">
        <v>164</v>
      </c>
      <c r="B87" t="s">
        <v>53</v>
      </c>
      <c r="C87" t="s">
        <v>1220</v>
      </c>
      <c r="D87" t="s">
        <v>1228</v>
      </c>
      <c r="E87" s="24">
        <v>0</v>
      </c>
      <c r="F87" t="s">
        <v>1984</v>
      </c>
      <c r="G87" s="3" t="s">
        <v>438</v>
      </c>
      <c r="H87" t="s">
        <v>2300</v>
      </c>
      <c r="I87" t="s">
        <v>2330</v>
      </c>
      <c r="J87">
        <v>510</v>
      </c>
      <c r="K87" t="s">
        <v>2242</v>
      </c>
      <c r="L87" t="s">
        <v>2382</v>
      </c>
      <c r="M87" t="s">
        <v>2360</v>
      </c>
      <c r="N87" s="38">
        <v>44000</v>
      </c>
      <c r="O87" s="5" t="s">
        <v>2481</v>
      </c>
      <c r="P87" s="5"/>
      <c r="Q87" s="5"/>
      <c r="R87" s="39">
        <v>20833333</v>
      </c>
      <c r="S87" s="37" t="s">
        <v>2482</v>
      </c>
      <c r="T87" t="s">
        <v>2864</v>
      </c>
    </row>
    <row r="88" spans="1:20" x14ac:dyDescent="0.25">
      <c r="N88" s="38">
        <v>44091</v>
      </c>
      <c r="O88" s="5" t="s">
        <v>2481</v>
      </c>
      <c r="P88" s="5"/>
      <c r="Q88" s="5"/>
      <c r="R88" s="39">
        <v>33400000</v>
      </c>
      <c r="S88" s="37" t="s">
        <v>2483</v>
      </c>
      <c r="T88" t="s">
        <v>2864</v>
      </c>
    </row>
    <row r="89" spans="1:20" x14ac:dyDescent="0.25">
      <c r="N89" s="38">
        <v>44109</v>
      </c>
      <c r="O89" s="5" t="s">
        <v>2481</v>
      </c>
      <c r="P89" s="5"/>
      <c r="Q89" s="5"/>
      <c r="R89" s="39">
        <v>7025000</v>
      </c>
      <c r="S89" s="37" t="s">
        <v>2484</v>
      </c>
      <c r="T89" t="s">
        <v>2864</v>
      </c>
    </row>
    <row r="90" spans="1:20" x14ac:dyDescent="0.25">
      <c r="N90" s="38">
        <v>44154</v>
      </c>
      <c r="O90" s="5" t="s">
        <v>2481</v>
      </c>
      <c r="P90" s="5"/>
      <c r="Q90" s="5"/>
      <c r="R90" s="39">
        <v>9950000</v>
      </c>
      <c r="S90" s="37" t="s">
        <v>2480</v>
      </c>
      <c r="T90" t="s">
        <v>2864</v>
      </c>
    </row>
    <row r="91" spans="1:20" ht="34.5" customHeight="1" x14ac:dyDescent="0.25">
      <c r="A91">
        <v>164</v>
      </c>
      <c r="B91" t="s">
        <v>53</v>
      </c>
      <c r="C91" t="s">
        <v>1220</v>
      </c>
      <c r="D91" t="s">
        <v>1233</v>
      </c>
      <c r="E91" s="24">
        <v>0</v>
      </c>
      <c r="F91" t="s">
        <v>2149</v>
      </c>
      <c r="G91" s="3" t="s">
        <v>1234</v>
      </c>
      <c r="H91" t="s">
        <v>2300</v>
      </c>
      <c r="I91" t="s">
        <v>2330</v>
      </c>
      <c r="J91">
        <v>510</v>
      </c>
      <c r="K91" t="s">
        <v>2242</v>
      </c>
      <c r="L91" s="41" t="s">
        <v>2382</v>
      </c>
      <c r="M91" t="s">
        <v>2360</v>
      </c>
      <c r="N91" s="38">
        <v>44102</v>
      </c>
      <c r="O91" s="5" t="s">
        <v>2488</v>
      </c>
      <c r="P91" s="5"/>
      <c r="Q91" s="5"/>
      <c r="R91" s="39">
        <v>4500000</v>
      </c>
      <c r="S91" s="37" t="s">
        <v>2487</v>
      </c>
      <c r="T91" t="s">
        <v>2864</v>
      </c>
    </row>
    <row r="92" spans="1:20" ht="78.75" x14ac:dyDescent="0.25">
      <c r="A92">
        <v>165</v>
      </c>
      <c r="B92" t="s">
        <v>54</v>
      </c>
      <c r="C92" t="s">
        <v>636</v>
      </c>
      <c r="D92" t="s">
        <v>653</v>
      </c>
      <c r="E92" s="24">
        <v>1</v>
      </c>
      <c r="F92" t="s">
        <v>1984</v>
      </c>
      <c r="G92" s="3" t="s">
        <v>438</v>
      </c>
      <c r="H92" t="s">
        <v>2300</v>
      </c>
      <c r="I92" t="s">
        <v>2307</v>
      </c>
      <c r="J92">
        <v>510</v>
      </c>
      <c r="K92" t="s">
        <v>2240</v>
      </c>
      <c r="M92" t="s">
        <v>2359</v>
      </c>
      <c r="S92"/>
    </row>
    <row r="93" spans="1:20" ht="47.25" x14ac:dyDescent="0.25">
      <c r="A93">
        <v>173</v>
      </c>
      <c r="B93" t="s">
        <v>55</v>
      </c>
      <c r="C93" t="s">
        <v>2293</v>
      </c>
      <c r="D93" t="s">
        <v>1547</v>
      </c>
      <c r="E93" s="24">
        <v>0</v>
      </c>
      <c r="F93" t="s">
        <v>1997</v>
      </c>
      <c r="G93" s="3" t="s">
        <v>1548</v>
      </c>
      <c r="H93" t="s">
        <v>2315</v>
      </c>
      <c r="I93" t="s">
        <v>2327</v>
      </c>
      <c r="J93">
        <v>520</v>
      </c>
      <c r="K93" t="s">
        <v>2228</v>
      </c>
      <c r="M93" t="s">
        <v>2359</v>
      </c>
    </row>
    <row r="94" spans="1:20" ht="47.25" x14ac:dyDescent="0.25">
      <c r="A94">
        <v>188</v>
      </c>
      <c r="B94" t="s">
        <v>59</v>
      </c>
      <c r="C94" t="s">
        <v>1613</v>
      </c>
      <c r="D94" t="s">
        <v>1629</v>
      </c>
      <c r="E94" s="24">
        <v>1</v>
      </c>
      <c r="F94" t="s">
        <v>2120</v>
      </c>
      <c r="G94" s="3" t="s">
        <v>1630</v>
      </c>
      <c r="H94" t="s">
        <v>2320</v>
      </c>
      <c r="I94" t="s">
        <v>2321</v>
      </c>
      <c r="J94">
        <v>270</v>
      </c>
      <c r="K94" t="s">
        <v>2236</v>
      </c>
      <c r="M94" t="s">
        <v>2359</v>
      </c>
      <c r="S94"/>
    </row>
    <row r="95" spans="1:20" ht="31.5" x14ac:dyDescent="0.25">
      <c r="A95">
        <v>190</v>
      </c>
      <c r="B95" t="s">
        <v>60</v>
      </c>
      <c r="C95" t="s">
        <v>1790</v>
      </c>
      <c r="D95" t="s">
        <v>1796</v>
      </c>
      <c r="E95" s="24">
        <v>1</v>
      </c>
      <c r="F95" t="s">
        <v>2203</v>
      </c>
      <c r="G95" s="3" t="s">
        <v>1205</v>
      </c>
      <c r="H95" t="s">
        <v>2305</v>
      </c>
      <c r="I95" t="s">
        <v>2306</v>
      </c>
      <c r="J95">
        <v>220</v>
      </c>
      <c r="K95" t="s">
        <v>2280</v>
      </c>
      <c r="M95" t="s">
        <v>2359</v>
      </c>
      <c r="S95"/>
    </row>
    <row r="96" spans="1:20" ht="47.25" x14ac:dyDescent="0.25">
      <c r="A96">
        <v>190</v>
      </c>
      <c r="B96" t="s">
        <v>60</v>
      </c>
      <c r="C96" t="s">
        <v>1790</v>
      </c>
      <c r="D96" t="s">
        <v>1804</v>
      </c>
      <c r="E96" s="24">
        <v>1</v>
      </c>
      <c r="F96" t="s">
        <v>2147</v>
      </c>
      <c r="G96" s="3" t="s">
        <v>372</v>
      </c>
      <c r="H96" t="s">
        <v>2305</v>
      </c>
      <c r="I96" t="s">
        <v>2306</v>
      </c>
      <c r="J96">
        <v>520</v>
      </c>
      <c r="K96" t="s">
        <v>2280</v>
      </c>
      <c r="M96" t="s">
        <v>2359</v>
      </c>
      <c r="S96"/>
    </row>
    <row r="97" spans="1:20" ht="31.5" x14ac:dyDescent="0.25">
      <c r="A97">
        <v>194</v>
      </c>
      <c r="B97" t="s">
        <v>61</v>
      </c>
      <c r="C97" t="s">
        <v>1366</v>
      </c>
      <c r="D97" t="s">
        <v>1377</v>
      </c>
      <c r="E97" s="24">
        <v>1</v>
      </c>
      <c r="F97" t="s">
        <v>2036</v>
      </c>
      <c r="G97" s="3" t="s">
        <v>539</v>
      </c>
      <c r="H97" t="s">
        <v>2302</v>
      </c>
      <c r="I97" t="s">
        <v>2303</v>
      </c>
      <c r="J97">
        <v>270</v>
      </c>
      <c r="K97" t="s">
        <v>2250</v>
      </c>
      <c r="M97" t="s">
        <v>2359</v>
      </c>
      <c r="S97"/>
    </row>
    <row r="98" spans="1:20" ht="31.5" x14ac:dyDescent="0.25">
      <c r="A98">
        <v>194</v>
      </c>
      <c r="B98" t="s">
        <v>61</v>
      </c>
      <c r="C98" t="s">
        <v>1366</v>
      </c>
      <c r="D98" t="s">
        <v>1388</v>
      </c>
      <c r="E98" s="24">
        <v>1</v>
      </c>
      <c r="F98" t="s">
        <v>2174</v>
      </c>
      <c r="G98" s="3" t="s">
        <v>875</v>
      </c>
      <c r="H98" t="s">
        <v>2302</v>
      </c>
      <c r="I98" t="s">
        <v>2303</v>
      </c>
      <c r="J98">
        <v>510</v>
      </c>
      <c r="K98" t="s">
        <v>2250</v>
      </c>
      <c r="M98" t="s">
        <v>2359</v>
      </c>
      <c r="S98" s="31"/>
    </row>
    <row r="99" spans="1:20" ht="47.25" x14ac:dyDescent="0.25">
      <c r="A99">
        <v>195</v>
      </c>
      <c r="B99" t="s">
        <v>62</v>
      </c>
      <c r="C99" t="s">
        <v>450</v>
      </c>
      <c r="D99" t="s">
        <v>462</v>
      </c>
      <c r="E99" s="24">
        <v>1</v>
      </c>
      <c r="F99" t="s">
        <v>1997</v>
      </c>
      <c r="G99" s="3" t="s">
        <v>372</v>
      </c>
      <c r="H99" t="s">
        <v>2308</v>
      </c>
      <c r="I99" t="s">
        <v>2331</v>
      </c>
      <c r="J99">
        <v>520</v>
      </c>
      <c r="K99" t="s">
        <v>2284</v>
      </c>
      <c r="M99" t="s">
        <v>2359</v>
      </c>
      <c r="S99"/>
    </row>
    <row r="100" spans="1:20" ht="47.25" x14ac:dyDescent="0.25">
      <c r="A100">
        <v>200</v>
      </c>
      <c r="B100" t="s">
        <v>63</v>
      </c>
      <c r="C100" t="s">
        <v>2293</v>
      </c>
      <c r="D100" t="s">
        <v>1547</v>
      </c>
      <c r="E100" s="24">
        <v>1</v>
      </c>
      <c r="F100" t="s">
        <v>1997</v>
      </c>
      <c r="G100" s="3" t="s">
        <v>1548</v>
      </c>
      <c r="H100" t="s">
        <v>2315</v>
      </c>
      <c r="I100" t="s">
        <v>2327</v>
      </c>
      <c r="J100">
        <v>520</v>
      </c>
      <c r="K100" t="s">
        <v>2228</v>
      </c>
      <c r="M100" t="s">
        <v>2359</v>
      </c>
      <c r="S100"/>
    </row>
    <row r="101" spans="1:20" ht="47.25" x14ac:dyDescent="0.25">
      <c r="A101">
        <v>201</v>
      </c>
      <c r="B101" t="s">
        <v>63</v>
      </c>
      <c r="C101" t="s">
        <v>2293</v>
      </c>
      <c r="D101" t="s">
        <v>1547</v>
      </c>
      <c r="E101" s="24">
        <v>1</v>
      </c>
      <c r="F101" t="s">
        <v>1997</v>
      </c>
      <c r="G101" s="3" t="s">
        <v>1548</v>
      </c>
      <c r="H101" t="s">
        <v>2315</v>
      </c>
      <c r="I101" t="s">
        <v>2327</v>
      </c>
      <c r="J101">
        <v>520</v>
      </c>
      <c r="K101" t="s">
        <v>2228</v>
      </c>
      <c r="M101" t="s">
        <v>2359</v>
      </c>
      <c r="S101"/>
    </row>
    <row r="102" spans="1:20" ht="47.25" x14ac:dyDescent="0.25">
      <c r="A102">
        <v>205</v>
      </c>
      <c r="B102" t="s">
        <v>65</v>
      </c>
      <c r="C102" t="s">
        <v>1668</v>
      </c>
      <c r="D102" t="s">
        <v>1676</v>
      </c>
      <c r="E102" s="24">
        <v>1</v>
      </c>
      <c r="F102" t="s">
        <v>1997</v>
      </c>
      <c r="G102" s="3" t="s">
        <v>372</v>
      </c>
      <c r="H102" t="s">
        <v>2308</v>
      </c>
      <c r="I102" t="s">
        <v>2332</v>
      </c>
      <c r="J102">
        <v>520</v>
      </c>
      <c r="K102" t="s">
        <v>2288</v>
      </c>
      <c r="M102" t="s">
        <v>2359</v>
      </c>
      <c r="S102"/>
    </row>
    <row r="103" spans="1:20" ht="47.25" x14ac:dyDescent="0.25">
      <c r="A103">
        <v>207</v>
      </c>
      <c r="B103" t="s">
        <v>67</v>
      </c>
      <c r="C103" t="s">
        <v>1712</v>
      </c>
      <c r="D103" t="s">
        <v>1722</v>
      </c>
      <c r="E103" s="24">
        <v>0</v>
      </c>
      <c r="F103" t="s">
        <v>2191</v>
      </c>
      <c r="G103" s="3" t="s">
        <v>1234</v>
      </c>
      <c r="H103" t="s">
        <v>2323</v>
      </c>
      <c r="I103" t="s">
        <v>2333</v>
      </c>
      <c r="J103">
        <v>510</v>
      </c>
      <c r="K103" t="s">
        <v>2256</v>
      </c>
      <c r="M103" t="s">
        <v>2359</v>
      </c>
    </row>
    <row r="104" spans="1:20" ht="47.25" x14ac:dyDescent="0.25">
      <c r="A104">
        <v>208</v>
      </c>
      <c r="B104" t="s">
        <v>68</v>
      </c>
      <c r="C104" t="s">
        <v>760</v>
      </c>
      <c r="D104" t="s">
        <v>766</v>
      </c>
      <c r="E104" s="24">
        <v>0</v>
      </c>
      <c r="F104" t="s">
        <v>2097</v>
      </c>
      <c r="G104" s="3" t="s">
        <v>767</v>
      </c>
      <c r="H104" t="s">
        <v>2302</v>
      </c>
      <c r="I104" t="s">
        <v>2334</v>
      </c>
      <c r="J104">
        <v>230</v>
      </c>
      <c r="K104" t="s">
        <v>2247</v>
      </c>
      <c r="M104" t="s">
        <v>2360</v>
      </c>
      <c r="N104" s="34">
        <v>44132</v>
      </c>
      <c r="O104" t="s">
        <v>2526</v>
      </c>
      <c r="Q104" t="s">
        <v>2527</v>
      </c>
      <c r="R104" s="25">
        <v>1000000</v>
      </c>
      <c r="S104" s="26" t="s">
        <v>2364</v>
      </c>
    </row>
    <row r="105" spans="1:20" ht="31.5" x14ac:dyDescent="0.25">
      <c r="A105">
        <v>208</v>
      </c>
      <c r="B105" t="s">
        <v>68</v>
      </c>
      <c r="C105" t="s">
        <v>760</v>
      </c>
      <c r="D105" t="s">
        <v>774</v>
      </c>
      <c r="E105" s="24">
        <v>0</v>
      </c>
      <c r="F105" t="s">
        <v>2099</v>
      </c>
      <c r="G105" s="3" t="s">
        <v>775</v>
      </c>
      <c r="H105" t="s">
        <v>2302</v>
      </c>
      <c r="I105" t="s">
        <v>2334</v>
      </c>
      <c r="J105">
        <v>260</v>
      </c>
      <c r="K105" t="s">
        <v>2247</v>
      </c>
      <c r="M105" t="s">
        <v>2360</v>
      </c>
      <c r="N105" s="34">
        <v>43964</v>
      </c>
      <c r="O105" t="s">
        <v>2500</v>
      </c>
      <c r="Q105" t="s">
        <v>2501</v>
      </c>
      <c r="R105" s="25">
        <v>15300000</v>
      </c>
      <c r="S105" s="26" t="s">
        <v>2363</v>
      </c>
    </row>
    <row r="106" spans="1:20" ht="47.25" x14ac:dyDescent="0.25">
      <c r="A106">
        <v>208</v>
      </c>
      <c r="B106" t="s">
        <v>68</v>
      </c>
      <c r="C106" t="s">
        <v>760</v>
      </c>
      <c r="D106" t="s">
        <v>780</v>
      </c>
      <c r="E106" s="24">
        <v>0</v>
      </c>
      <c r="F106" t="s">
        <v>2100</v>
      </c>
      <c r="G106" s="3" t="s">
        <v>781</v>
      </c>
      <c r="H106" t="s">
        <v>2302</v>
      </c>
      <c r="I106" t="s">
        <v>2334</v>
      </c>
      <c r="J106">
        <v>260</v>
      </c>
      <c r="K106" t="s">
        <v>2247</v>
      </c>
      <c r="M106" t="s">
        <v>2359</v>
      </c>
    </row>
    <row r="107" spans="1:20" ht="47.25" x14ac:dyDescent="0.25">
      <c r="A107">
        <v>208</v>
      </c>
      <c r="B107" t="s">
        <v>68</v>
      </c>
      <c r="C107" t="s">
        <v>1030</v>
      </c>
      <c r="D107" t="s">
        <v>1075</v>
      </c>
      <c r="E107" s="24">
        <v>0</v>
      </c>
      <c r="F107" t="s">
        <v>2134</v>
      </c>
      <c r="G107" s="3" t="s">
        <v>1076</v>
      </c>
      <c r="H107" t="s">
        <v>2302</v>
      </c>
      <c r="I107" t="s">
        <v>2335</v>
      </c>
      <c r="J107">
        <v>510</v>
      </c>
      <c r="K107" t="s">
        <v>2248</v>
      </c>
      <c r="M107" t="s">
        <v>2359</v>
      </c>
    </row>
    <row r="108" spans="1:20" ht="47.25" x14ac:dyDescent="0.25">
      <c r="A108">
        <v>208</v>
      </c>
      <c r="B108" t="s">
        <v>68</v>
      </c>
      <c r="C108" t="s">
        <v>1030</v>
      </c>
      <c r="D108" t="s">
        <v>1040</v>
      </c>
      <c r="E108" s="24">
        <v>0</v>
      </c>
      <c r="F108" t="s">
        <v>2129</v>
      </c>
      <c r="G108" s="3" t="s">
        <v>767</v>
      </c>
      <c r="H108" t="s">
        <v>2302</v>
      </c>
      <c r="I108" t="s">
        <v>2335</v>
      </c>
      <c r="J108">
        <v>230</v>
      </c>
      <c r="K108" t="s">
        <v>2248</v>
      </c>
      <c r="M108" t="s">
        <v>2360</v>
      </c>
      <c r="R108" s="25">
        <v>1000000</v>
      </c>
      <c r="S108" s="26" t="s">
        <v>2364</v>
      </c>
      <c r="T108" t="s">
        <v>2864</v>
      </c>
    </row>
    <row r="109" spans="1:20" ht="31.5" x14ac:dyDescent="0.25">
      <c r="A109">
        <v>208</v>
      </c>
      <c r="B109" t="s">
        <v>68</v>
      </c>
      <c r="C109" t="s">
        <v>1457</v>
      </c>
      <c r="D109" t="s">
        <v>1465</v>
      </c>
      <c r="E109" s="24">
        <v>0</v>
      </c>
      <c r="F109" t="s">
        <v>1993</v>
      </c>
      <c r="G109" s="3" t="s">
        <v>347</v>
      </c>
      <c r="H109" t="s">
        <v>2318</v>
      </c>
      <c r="I109" t="s">
        <v>2319</v>
      </c>
      <c r="J109">
        <v>310</v>
      </c>
      <c r="K109" t="s">
        <v>2223</v>
      </c>
      <c r="M109" t="s">
        <v>2360</v>
      </c>
      <c r="R109" s="25">
        <v>5783</v>
      </c>
      <c r="S109" s="26" t="s">
        <v>2533</v>
      </c>
    </row>
    <row r="110" spans="1:20" x14ac:dyDescent="0.25">
      <c r="R110" s="25">
        <v>5783</v>
      </c>
      <c r="S110" s="26" t="s">
        <v>2532</v>
      </c>
    </row>
    <row r="111" spans="1:20" x14ac:dyDescent="0.25">
      <c r="R111" s="25">
        <v>14711</v>
      </c>
      <c r="S111" s="26" t="s">
        <v>2530</v>
      </c>
    </row>
    <row r="112" spans="1:20" x14ac:dyDescent="0.25">
      <c r="R112" s="25">
        <v>4500000</v>
      </c>
      <c r="S112" s="26" t="s">
        <v>2519</v>
      </c>
    </row>
    <row r="113" spans="1:19" x14ac:dyDescent="0.25">
      <c r="N113" s="34">
        <v>44078</v>
      </c>
      <c r="O113" t="s">
        <v>2449</v>
      </c>
      <c r="Q113" t="s">
        <v>2477</v>
      </c>
      <c r="R113" s="25">
        <v>42869</v>
      </c>
      <c r="S113" s="26" t="s">
        <v>2528</v>
      </c>
    </row>
    <row r="114" spans="1:19" ht="47.25" x14ac:dyDescent="0.25">
      <c r="A114">
        <v>208</v>
      </c>
      <c r="B114" t="s">
        <v>68</v>
      </c>
      <c r="C114" t="s">
        <v>1457</v>
      </c>
      <c r="D114" t="s">
        <v>1468</v>
      </c>
      <c r="E114" s="24">
        <v>0</v>
      </c>
      <c r="F114" t="s">
        <v>1977</v>
      </c>
      <c r="G114" s="3" t="s">
        <v>1469</v>
      </c>
      <c r="H114" t="s">
        <v>2318</v>
      </c>
      <c r="I114" t="s">
        <v>2319</v>
      </c>
      <c r="J114">
        <v>330</v>
      </c>
      <c r="K114" t="s">
        <v>2223</v>
      </c>
      <c r="M114" t="s">
        <v>2359</v>
      </c>
    </row>
    <row r="115" spans="1:19" ht="78.75" x14ac:dyDescent="0.25">
      <c r="A115">
        <v>208</v>
      </c>
      <c r="B115" t="s">
        <v>68</v>
      </c>
      <c r="C115" t="s">
        <v>1169</v>
      </c>
      <c r="D115" t="s">
        <v>1188</v>
      </c>
      <c r="E115" s="24">
        <v>0</v>
      </c>
      <c r="F115" t="s">
        <v>2144</v>
      </c>
      <c r="G115" s="3" t="s">
        <v>1189</v>
      </c>
      <c r="H115" t="s">
        <v>2300</v>
      </c>
      <c r="I115" t="s">
        <v>2301</v>
      </c>
      <c r="J115">
        <v>450</v>
      </c>
      <c r="K115" t="s">
        <v>2243</v>
      </c>
      <c r="M115" t="s">
        <v>2360</v>
      </c>
      <c r="N115" s="34">
        <v>43853</v>
      </c>
      <c r="O115" t="s">
        <v>2502</v>
      </c>
      <c r="Q115" t="s">
        <v>2508</v>
      </c>
      <c r="R115" s="25">
        <v>51000</v>
      </c>
      <c r="S115" s="26" t="s">
        <v>2507</v>
      </c>
    </row>
    <row r="116" spans="1:19" x14ac:dyDescent="0.25">
      <c r="N116" s="34">
        <v>43882</v>
      </c>
      <c r="O116" t="s">
        <v>2502</v>
      </c>
      <c r="Q116" t="s">
        <v>2503</v>
      </c>
      <c r="R116" s="25">
        <v>60000</v>
      </c>
      <c r="S116" s="26" t="s">
        <v>2504</v>
      </c>
    </row>
    <row r="117" spans="1:19" x14ac:dyDescent="0.25">
      <c r="N117" s="34">
        <v>43908</v>
      </c>
      <c r="O117" t="s">
        <v>2502</v>
      </c>
      <c r="Q117" t="s">
        <v>2509</v>
      </c>
      <c r="R117" s="25">
        <v>57805</v>
      </c>
      <c r="S117" s="26" t="s">
        <v>2510</v>
      </c>
    </row>
    <row r="118" spans="1:19" x14ac:dyDescent="0.25">
      <c r="N118" s="34">
        <v>43925</v>
      </c>
      <c r="O118" t="s">
        <v>2502</v>
      </c>
      <c r="Q118" t="s">
        <v>2503</v>
      </c>
      <c r="R118" s="25">
        <v>35000</v>
      </c>
      <c r="S118" s="26" t="s">
        <v>2524</v>
      </c>
    </row>
    <row r="119" spans="1:19" x14ac:dyDescent="0.25">
      <c r="N119" s="34">
        <v>43927</v>
      </c>
      <c r="O119" t="s">
        <v>2502</v>
      </c>
      <c r="Q119" t="s">
        <v>2505</v>
      </c>
      <c r="R119" s="25">
        <v>67000</v>
      </c>
      <c r="S119" s="26" t="s">
        <v>2506</v>
      </c>
    </row>
    <row r="120" spans="1:19" x14ac:dyDescent="0.25">
      <c r="N120" s="34">
        <v>43937</v>
      </c>
      <c r="O120" t="s">
        <v>2502</v>
      </c>
      <c r="Q120" t="s">
        <v>2503</v>
      </c>
      <c r="R120" s="25">
        <v>47500</v>
      </c>
      <c r="S120" s="26" t="s">
        <v>2523</v>
      </c>
    </row>
    <row r="121" spans="1:19" x14ac:dyDescent="0.25">
      <c r="N121" s="34">
        <v>43994</v>
      </c>
      <c r="O121" t="s">
        <v>2502</v>
      </c>
      <c r="Q121" t="s">
        <v>2511</v>
      </c>
      <c r="R121" s="25">
        <v>20000</v>
      </c>
      <c r="S121" s="26" t="s">
        <v>2512</v>
      </c>
    </row>
    <row r="122" spans="1:19" x14ac:dyDescent="0.25">
      <c r="N122" s="34">
        <v>44004</v>
      </c>
      <c r="O122" t="s">
        <v>2502</v>
      </c>
      <c r="Q122" t="s">
        <v>2516</v>
      </c>
      <c r="R122" s="25">
        <v>5000</v>
      </c>
      <c r="S122" s="26" t="s">
        <v>2515</v>
      </c>
    </row>
    <row r="123" spans="1:19" x14ac:dyDescent="0.25">
      <c r="N123" s="34">
        <v>44025</v>
      </c>
      <c r="O123" t="s">
        <v>2502</v>
      </c>
      <c r="Q123" t="s">
        <v>2518</v>
      </c>
      <c r="R123" s="25">
        <v>250000</v>
      </c>
      <c r="S123" s="26" t="s">
        <v>2517</v>
      </c>
    </row>
    <row r="124" spans="1:19" x14ac:dyDescent="0.25">
      <c r="N124" s="34">
        <v>44033</v>
      </c>
      <c r="O124" t="s">
        <v>2502</v>
      </c>
      <c r="Q124" t="s">
        <v>2503</v>
      </c>
      <c r="R124" s="25">
        <v>22500</v>
      </c>
      <c r="S124" s="26" t="s">
        <v>2522</v>
      </c>
    </row>
    <row r="125" spans="1:19" x14ac:dyDescent="0.25">
      <c r="N125" s="34">
        <v>44040</v>
      </c>
      <c r="O125" t="s">
        <v>2502</v>
      </c>
      <c r="Q125" t="s">
        <v>2513</v>
      </c>
      <c r="R125" s="25">
        <v>10000</v>
      </c>
      <c r="S125" s="26" t="s">
        <v>2514</v>
      </c>
    </row>
    <row r="126" spans="1:19" x14ac:dyDescent="0.25">
      <c r="N126" s="34">
        <v>44068</v>
      </c>
      <c r="O126" t="s">
        <v>2502</v>
      </c>
      <c r="Q126" t="s">
        <v>2503</v>
      </c>
      <c r="R126" s="25">
        <v>500000</v>
      </c>
      <c r="S126" s="26" t="s">
        <v>2521</v>
      </c>
    </row>
    <row r="127" spans="1:19" x14ac:dyDescent="0.25">
      <c r="N127" s="34">
        <v>44113</v>
      </c>
      <c r="O127" t="s">
        <v>2502</v>
      </c>
      <c r="Q127" t="s">
        <v>2503</v>
      </c>
      <c r="R127" s="25">
        <v>37500</v>
      </c>
      <c r="S127" s="26" t="s">
        <v>2520</v>
      </c>
    </row>
    <row r="128" spans="1:19" x14ac:dyDescent="0.25">
      <c r="N128" s="34">
        <v>44133</v>
      </c>
      <c r="O128" t="s">
        <v>2502</v>
      </c>
      <c r="Q128" t="s">
        <v>2505</v>
      </c>
      <c r="R128" s="25">
        <v>298000</v>
      </c>
      <c r="S128" s="26" t="s">
        <v>2525</v>
      </c>
    </row>
    <row r="129" spans="1:19" x14ac:dyDescent="0.25">
      <c r="N129" s="34">
        <v>44134</v>
      </c>
      <c r="O129" t="s">
        <v>2502</v>
      </c>
      <c r="Q129" t="s">
        <v>2511</v>
      </c>
      <c r="R129" s="25">
        <v>30000</v>
      </c>
      <c r="S129" s="26" t="s">
        <v>2529</v>
      </c>
    </row>
    <row r="130" spans="1:19" ht="63" x14ac:dyDescent="0.25">
      <c r="A130">
        <v>208</v>
      </c>
      <c r="B130" t="s">
        <v>68</v>
      </c>
      <c r="C130" t="s">
        <v>1169</v>
      </c>
      <c r="D130" t="s">
        <v>1170</v>
      </c>
      <c r="E130" s="24">
        <v>0</v>
      </c>
      <c r="F130" t="s">
        <v>2017</v>
      </c>
      <c r="G130" s="3" t="s">
        <v>1171</v>
      </c>
      <c r="H130" t="s">
        <v>2300</v>
      </c>
      <c r="I130" t="s">
        <v>2301</v>
      </c>
      <c r="J130">
        <v>270</v>
      </c>
      <c r="K130" t="s">
        <v>2243</v>
      </c>
      <c r="M130" t="s">
        <v>2359</v>
      </c>
    </row>
    <row r="131" spans="1:19" ht="31.5" x14ac:dyDescent="0.25">
      <c r="A131">
        <v>209</v>
      </c>
      <c r="B131" t="s">
        <v>69</v>
      </c>
      <c r="C131" t="s">
        <v>1198</v>
      </c>
      <c r="D131" t="s">
        <v>1204</v>
      </c>
      <c r="E131" s="24">
        <v>0</v>
      </c>
      <c r="F131" t="s">
        <v>2146</v>
      </c>
      <c r="G131" s="3" t="s">
        <v>1205</v>
      </c>
      <c r="H131" t="s">
        <v>2305</v>
      </c>
      <c r="I131" t="s">
        <v>2336</v>
      </c>
      <c r="J131">
        <v>220</v>
      </c>
      <c r="K131" t="s">
        <v>2278</v>
      </c>
      <c r="M131" t="s">
        <v>2359</v>
      </c>
    </row>
    <row r="132" spans="1:19" ht="47.25" x14ac:dyDescent="0.25">
      <c r="A132">
        <v>209</v>
      </c>
      <c r="B132" t="s">
        <v>69</v>
      </c>
      <c r="C132" t="s">
        <v>1198</v>
      </c>
      <c r="D132" t="s">
        <v>1219</v>
      </c>
      <c r="E132" s="24">
        <v>0</v>
      </c>
      <c r="F132" t="s">
        <v>2147</v>
      </c>
      <c r="G132" s="3" t="s">
        <v>372</v>
      </c>
      <c r="H132" t="s">
        <v>2305</v>
      </c>
      <c r="I132" t="s">
        <v>2336</v>
      </c>
      <c r="J132">
        <v>520</v>
      </c>
      <c r="K132" t="s">
        <v>2278</v>
      </c>
      <c r="M132" t="s">
        <v>2359</v>
      </c>
    </row>
    <row r="133" spans="1:19" ht="31.5" x14ac:dyDescent="0.25">
      <c r="A133">
        <v>213</v>
      </c>
      <c r="B133" t="s">
        <v>70</v>
      </c>
      <c r="C133" t="s">
        <v>1366</v>
      </c>
      <c r="D133" t="s">
        <v>1377</v>
      </c>
      <c r="E133" s="24">
        <v>1</v>
      </c>
      <c r="F133" t="s">
        <v>2036</v>
      </c>
      <c r="G133" s="3" t="s">
        <v>539</v>
      </c>
      <c r="H133" t="s">
        <v>2302</v>
      </c>
      <c r="I133" t="s">
        <v>2303</v>
      </c>
      <c r="J133">
        <v>270</v>
      </c>
      <c r="K133" t="s">
        <v>2250</v>
      </c>
      <c r="M133" t="s">
        <v>2359</v>
      </c>
      <c r="S133"/>
    </row>
    <row r="134" spans="1:19" ht="31.5" x14ac:dyDescent="0.25">
      <c r="A134">
        <v>213</v>
      </c>
      <c r="B134" t="s">
        <v>70</v>
      </c>
      <c r="C134" t="s">
        <v>1366</v>
      </c>
      <c r="D134" t="s">
        <v>1388</v>
      </c>
      <c r="E134" s="24">
        <v>1</v>
      </c>
      <c r="F134" t="s">
        <v>2174</v>
      </c>
      <c r="G134" s="3" t="s">
        <v>875</v>
      </c>
      <c r="H134" t="s">
        <v>2302</v>
      </c>
      <c r="I134" t="s">
        <v>2303</v>
      </c>
      <c r="J134">
        <v>510</v>
      </c>
      <c r="K134" t="s">
        <v>2250</v>
      </c>
      <c r="M134" t="s">
        <v>2359</v>
      </c>
      <c r="S134"/>
    </row>
    <row r="135" spans="1:19" ht="31.5" x14ac:dyDescent="0.25">
      <c r="A135">
        <v>243</v>
      </c>
      <c r="B135" t="s">
        <v>78</v>
      </c>
      <c r="C135" t="s">
        <v>1292</v>
      </c>
      <c r="D135" t="s">
        <v>1308</v>
      </c>
      <c r="E135" s="24">
        <v>1</v>
      </c>
      <c r="F135" t="s">
        <v>1984</v>
      </c>
      <c r="G135" s="3" t="s">
        <v>875</v>
      </c>
      <c r="H135" t="s">
        <v>2308</v>
      </c>
      <c r="I135" t="s">
        <v>2337</v>
      </c>
      <c r="J135">
        <v>510</v>
      </c>
      <c r="K135" t="s">
        <v>2287</v>
      </c>
      <c r="M135" t="s">
        <v>2359</v>
      </c>
      <c r="S135"/>
    </row>
    <row r="136" spans="1:19" ht="31.5" x14ac:dyDescent="0.25">
      <c r="A136">
        <v>244</v>
      </c>
      <c r="B136" t="s">
        <v>78</v>
      </c>
      <c r="C136" t="s">
        <v>1292</v>
      </c>
      <c r="D136" t="s">
        <v>1308</v>
      </c>
      <c r="E136" s="24">
        <v>1</v>
      </c>
      <c r="F136" t="s">
        <v>1984</v>
      </c>
      <c r="G136" s="3" t="s">
        <v>875</v>
      </c>
      <c r="H136" t="s">
        <v>2308</v>
      </c>
      <c r="I136" t="s">
        <v>2337</v>
      </c>
      <c r="J136">
        <v>510</v>
      </c>
      <c r="K136" t="s">
        <v>2287</v>
      </c>
      <c r="M136" t="s">
        <v>2359</v>
      </c>
      <c r="S136"/>
    </row>
    <row r="137" spans="1:19" ht="31.5" x14ac:dyDescent="0.25">
      <c r="A137">
        <v>255</v>
      </c>
      <c r="B137" t="s">
        <v>80</v>
      </c>
      <c r="C137" t="s">
        <v>1640</v>
      </c>
      <c r="D137" t="s">
        <v>1653</v>
      </c>
      <c r="E137" s="24">
        <v>0</v>
      </c>
      <c r="F137" t="s">
        <v>2149</v>
      </c>
      <c r="G137" s="3" t="s">
        <v>1654</v>
      </c>
      <c r="H137" t="s">
        <v>2338</v>
      </c>
      <c r="I137" t="s">
        <v>2339</v>
      </c>
      <c r="J137">
        <v>510</v>
      </c>
      <c r="K137" t="s">
        <v>2275</v>
      </c>
      <c r="M137" t="s">
        <v>2359</v>
      </c>
    </row>
    <row r="138" spans="1:19" ht="31.5" x14ac:dyDescent="0.25">
      <c r="A138">
        <v>268</v>
      </c>
      <c r="B138" t="s">
        <v>82</v>
      </c>
      <c r="C138" t="s">
        <v>1366</v>
      </c>
      <c r="D138" t="s">
        <v>1377</v>
      </c>
      <c r="E138" s="24">
        <v>1</v>
      </c>
      <c r="F138" t="s">
        <v>2036</v>
      </c>
      <c r="G138" s="3" t="s">
        <v>539</v>
      </c>
      <c r="H138" t="s">
        <v>2302</v>
      </c>
      <c r="I138" t="s">
        <v>2303</v>
      </c>
      <c r="J138">
        <v>270</v>
      </c>
      <c r="K138" t="s">
        <v>2250</v>
      </c>
      <c r="M138" t="s">
        <v>2359</v>
      </c>
      <c r="S138"/>
    </row>
    <row r="139" spans="1:19" ht="31.5" x14ac:dyDescent="0.25">
      <c r="A139">
        <v>268</v>
      </c>
      <c r="B139" t="s">
        <v>82</v>
      </c>
      <c r="C139" t="s">
        <v>1366</v>
      </c>
      <c r="D139" t="s">
        <v>1388</v>
      </c>
      <c r="E139" s="24">
        <v>1</v>
      </c>
      <c r="F139" t="s">
        <v>2174</v>
      </c>
      <c r="G139" s="3" t="s">
        <v>875</v>
      </c>
      <c r="H139" t="s">
        <v>2302</v>
      </c>
      <c r="I139" t="s">
        <v>2303</v>
      </c>
      <c r="J139">
        <v>510</v>
      </c>
      <c r="K139" t="s">
        <v>2250</v>
      </c>
      <c r="M139" t="s">
        <v>2359</v>
      </c>
      <c r="S139"/>
    </row>
    <row r="140" spans="1:19" ht="47.25" x14ac:dyDescent="0.25">
      <c r="A140">
        <v>274</v>
      </c>
      <c r="B140" t="s">
        <v>85</v>
      </c>
      <c r="C140" t="s">
        <v>2293</v>
      </c>
      <c r="D140" t="s">
        <v>1547</v>
      </c>
      <c r="E140" s="24">
        <v>1</v>
      </c>
      <c r="F140" t="s">
        <v>1997</v>
      </c>
      <c r="G140" s="3" t="s">
        <v>1548</v>
      </c>
      <c r="H140" t="s">
        <v>2315</v>
      </c>
      <c r="I140" t="s">
        <v>2327</v>
      </c>
      <c r="J140">
        <v>520</v>
      </c>
      <c r="K140" t="s">
        <v>2228</v>
      </c>
      <c r="M140" t="s">
        <v>2359</v>
      </c>
      <c r="S140"/>
    </row>
    <row r="141" spans="1:19" ht="31.5" x14ac:dyDescent="0.25">
      <c r="A141">
        <v>295</v>
      </c>
      <c r="B141" t="s">
        <v>90</v>
      </c>
      <c r="C141" t="s">
        <v>337</v>
      </c>
      <c r="D141" t="s">
        <v>346</v>
      </c>
      <c r="E141" s="24">
        <v>0</v>
      </c>
      <c r="F141" t="s">
        <v>1993</v>
      </c>
      <c r="G141" s="3" t="s">
        <v>347</v>
      </c>
      <c r="H141" t="s">
        <v>2308</v>
      </c>
      <c r="I141" t="s">
        <v>2325</v>
      </c>
      <c r="J141">
        <v>310</v>
      </c>
      <c r="K141" t="s">
        <v>2282</v>
      </c>
      <c r="M141" t="s">
        <v>2359</v>
      </c>
      <c r="S141" s="26"/>
    </row>
    <row r="142" spans="1:19" ht="78.75" x14ac:dyDescent="0.25">
      <c r="A142">
        <v>297</v>
      </c>
      <c r="B142" t="s">
        <v>91</v>
      </c>
      <c r="C142" t="s">
        <v>636</v>
      </c>
      <c r="D142" t="s">
        <v>653</v>
      </c>
      <c r="E142" s="24">
        <v>1</v>
      </c>
      <c r="F142" t="s">
        <v>1984</v>
      </c>
      <c r="G142" s="3" t="s">
        <v>438</v>
      </c>
      <c r="H142" t="s">
        <v>2300</v>
      </c>
      <c r="I142" t="s">
        <v>2307</v>
      </c>
      <c r="J142">
        <v>510</v>
      </c>
      <c r="K142" t="s">
        <v>2240</v>
      </c>
      <c r="M142" t="s">
        <v>2359</v>
      </c>
      <c r="S142"/>
    </row>
    <row r="143" spans="1:19" ht="78.75" x14ac:dyDescent="0.25">
      <c r="A143">
        <v>298</v>
      </c>
      <c r="B143" t="s">
        <v>91</v>
      </c>
      <c r="C143" t="s">
        <v>636</v>
      </c>
      <c r="D143" t="s">
        <v>653</v>
      </c>
      <c r="E143" s="24">
        <v>1</v>
      </c>
      <c r="F143" t="s">
        <v>1984</v>
      </c>
      <c r="G143" s="3" t="s">
        <v>438</v>
      </c>
      <c r="H143" t="s">
        <v>2300</v>
      </c>
      <c r="I143" t="s">
        <v>2307</v>
      </c>
      <c r="J143">
        <v>510</v>
      </c>
      <c r="K143" t="s">
        <v>2240</v>
      </c>
      <c r="M143" t="s">
        <v>2359</v>
      </c>
      <c r="S143"/>
    </row>
    <row r="144" spans="1:19" ht="31.5" x14ac:dyDescent="0.25">
      <c r="A144">
        <v>310</v>
      </c>
      <c r="B144" t="s">
        <v>94</v>
      </c>
      <c r="C144" t="s">
        <v>1457</v>
      </c>
      <c r="D144" t="s">
        <v>1465</v>
      </c>
      <c r="E144" s="24">
        <v>1</v>
      </c>
      <c r="F144" t="s">
        <v>1993</v>
      </c>
      <c r="G144" s="3" t="s">
        <v>347</v>
      </c>
      <c r="H144" t="s">
        <v>2318</v>
      </c>
      <c r="I144" t="s">
        <v>2319</v>
      </c>
      <c r="J144">
        <v>310</v>
      </c>
      <c r="K144" t="s">
        <v>2223</v>
      </c>
      <c r="M144" t="s">
        <v>2359</v>
      </c>
      <c r="S144"/>
    </row>
    <row r="145" spans="1:19" ht="47.25" x14ac:dyDescent="0.25">
      <c r="A145">
        <v>310</v>
      </c>
      <c r="B145" t="s">
        <v>94</v>
      </c>
      <c r="C145" t="s">
        <v>1457</v>
      </c>
      <c r="D145" t="s">
        <v>1468</v>
      </c>
      <c r="E145" s="24">
        <v>1</v>
      </c>
      <c r="F145" t="s">
        <v>1977</v>
      </c>
      <c r="G145" s="3" t="s">
        <v>1469</v>
      </c>
      <c r="H145" t="s">
        <v>2318</v>
      </c>
      <c r="I145" t="s">
        <v>2319</v>
      </c>
      <c r="J145">
        <v>330</v>
      </c>
      <c r="K145" t="s">
        <v>2223</v>
      </c>
      <c r="M145" t="s">
        <v>2359</v>
      </c>
      <c r="S145"/>
    </row>
    <row r="146" spans="1:19" ht="47.25" x14ac:dyDescent="0.25">
      <c r="A146">
        <v>325</v>
      </c>
      <c r="B146" t="s">
        <v>95</v>
      </c>
      <c r="C146" t="s">
        <v>1613</v>
      </c>
      <c r="D146" t="s">
        <v>1629</v>
      </c>
      <c r="E146" s="24">
        <v>0</v>
      </c>
      <c r="F146" t="s">
        <v>2120</v>
      </c>
      <c r="G146" s="3" t="s">
        <v>1630</v>
      </c>
      <c r="H146" t="s">
        <v>2320</v>
      </c>
      <c r="I146" t="s">
        <v>2321</v>
      </c>
      <c r="J146">
        <v>270</v>
      </c>
      <c r="K146" t="s">
        <v>2236</v>
      </c>
      <c r="M146" t="s">
        <v>2359</v>
      </c>
    </row>
    <row r="147" spans="1:19" ht="47.25" x14ac:dyDescent="0.25">
      <c r="A147">
        <v>326</v>
      </c>
      <c r="B147" t="s">
        <v>95</v>
      </c>
      <c r="C147" t="s">
        <v>1613</v>
      </c>
      <c r="D147" t="s">
        <v>1629</v>
      </c>
      <c r="E147" s="24">
        <v>0</v>
      </c>
      <c r="F147" t="s">
        <v>2120</v>
      </c>
      <c r="G147" s="3" t="s">
        <v>1630</v>
      </c>
      <c r="H147" t="s">
        <v>2320</v>
      </c>
      <c r="I147" t="s">
        <v>2321</v>
      </c>
      <c r="J147">
        <v>270</v>
      </c>
      <c r="K147" t="s">
        <v>2236</v>
      </c>
      <c r="M147" t="s">
        <v>2359</v>
      </c>
    </row>
    <row r="148" spans="1:19" ht="47.25" x14ac:dyDescent="0.25">
      <c r="A148">
        <v>333</v>
      </c>
      <c r="B148" t="s">
        <v>97</v>
      </c>
      <c r="C148" t="s">
        <v>450</v>
      </c>
      <c r="D148" t="s">
        <v>462</v>
      </c>
      <c r="E148" s="24">
        <v>1</v>
      </c>
      <c r="F148" t="s">
        <v>1997</v>
      </c>
      <c r="G148" s="3" t="s">
        <v>372</v>
      </c>
      <c r="H148" t="s">
        <v>2308</v>
      </c>
      <c r="I148" t="s">
        <v>2331</v>
      </c>
      <c r="J148">
        <v>520</v>
      </c>
      <c r="K148" t="s">
        <v>2284</v>
      </c>
      <c r="M148" t="s">
        <v>2359</v>
      </c>
      <c r="S148"/>
    </row>
    <row r="149" spans="1:19" ht="47.25" x14ac:dyDescent="0.25">
      <c r="A149">
        <v>358</v>
      </c>
      <c r="B149" t="s">
        <v>103</v>
      </c>
      <c r="C149" t="s">
        <v>362</v>
      </c>
      <c r="D149" t="s">
        <v>371</v>
      </c>
      <c r="E149" s="24">
        <v>1</v>
      </c>
      <c r="F149" t="s">
        <v>1997</v>
      </c>
      <c r="G149" s="3" t="s">
        <v>372</v>
      </c>
      <c r="H149" t="s">
        <v>2308</v>
      </c>
      <c r="I149" t="s">
        <v>2309</v>
      </c>
      <c r="J149">
        <v>520</v>
      </c>
      <c r="K149" t="s">
        <v>2283</v>
      </c>
      <c r="M149" t="s">
        <v>2359</v>
      </c>
      <c r="S149"/>
    </row>
    <row r="150" spans="1:19" ht="47.25" x14ac:dyDescent="0.25">
      <c r="A150">
        <v>366</v>
      </c>
      <c r="B150" t="s">
        <v>105</v>
      </c>
      <c r="C150" t="s">
        <v>1613</v>
      </c>
      <c r="D150" t="s">
        <v>1629</v>
      </c>
      <c r="E150" s="24">
        <v>1</v>
      </c>
      <c r="F150" t="s">
        <v>2120</v>
      </c>
      <c r="G150" s="3" t="s">
        <v>1630</v>
      </c>
      <c r="H150" t="s">
        <v>2320</v>
      </c>
      <c r="I150" t="s">
        <v>2321</v>
      </c>
      <c r="J150">
        <v>270</v>
      </c>
      <c r="K150" t="s">
        <v>2236</v>
      </c>
      <c r="M150" t="s">
        <v>2359</v>
      </c>
      <c r="S150"/>
    </row>
    <row r="151" spans="1:19" ht="47.25" x14ac:dyDescent="0.25">
      <c r="A151">
        <v>367</v>
      </c>
      <c r="B151" t="s">
        <v>105</v>
      </c>
      <c r="C151" t="s">
        <v>1613</v>
      </c>
      <c r="D151" t="s">
        <v>1629</v>
      </c>
      <c r="E151" s="24">
        <v>1</v>
      </c>
      <c r="F151" t="s">
        <v>2120</v>
      </c>
      <c r="G151" s="3" t="s">
        <v>1630</v>
      </c>
      <c r="H151" t="s">
        <v>2320</v>
      </c>
      <c r="I151" t="s">
        <v>2321</v>
      </c>
      <c r="J151">
        <v>270</v>
      </c>
      <c r="K151" t="s">
        <v>2236</v>
      </c>
      <c r="M151" t="s">
        <v>2359</v>
      </c>
      <c r="S151"/>
    </row>
    <row r="152" spans="1:19" ht="31.5" x14ac:dyDescent="0.25">
      <c r="A152">
        <v>372</v>
      </c>
      <c r="B152" t="s">
        <v>107</v>
      </c>
      <c r="C152" t="s">
        <v>1790</v>
      </c>
      <c r="D152" t="s">
        <v>1796</v>
      </c>
      <c r="E152" s="24">
        <v>0</v>
      </c>
      <c r="F152" t="s">
        <v>2203</v>
      </c>
      <c r="G152" s="3" t="s">
        <v>1205</v>
      </c>
      <c r="H152" t="s">
        <v>2305</v>
      </c>
      <c r="I152" t="s">
        <v>2306</v>
      </c>
      <c r="J152">
        <v>220</v>
      </c>
      <c r="K152" t="s">
        <v>2280</v>
      </c>
      <c r="M152" t="s">
        <v>2359</v>
      </c>
    </row>
    <row r="153" spans="1:19" ht="47.25" x14ac:dyDescent="0.25">
      <c r="A153">
        <v>372</v>
      </c>
      <c r="B153" t="s">
        <v>107</v>
      </c>
      <c r="C153" t="s">
        <v>1790</v>
      </c>
      <c r="D153" t="s">
        <v>1804</v>
      </c>
      <c r="E153" s="24">
        <v>0</v>
      </c>
      <c r="F153" t="s">
        <v>2147</v>
      </c>
      <c r="G153" s="3" t="s">
        <v>372</v>
      </c>
      <c r="H153" t="s">
        <v>2305</v>
      </c>
      <c r="I153" t="s">
        <v>2306</v>
      </c>
      <c r="J153">
        <v>520</v>
      </c>
      <c r="K153" t="s">
        <v>2280</v>
      </c>
      <c r="M153" t="s">
        <v>2359</v>
      </c>
    </row>
    <row r="154" spans="1:19" ht="31.5" x14ac:dyDescent="0.25">
      <c r="A154">
        <v>379</v>
      </c>
      <c r="B154" t="s">
        <v>108</v>
      </c>
      <c r="C154" t="s">
        <v>1366</v>
      </c>
      <c r="D154" t="s">
        <v>1377</v>
      </c>
      <c r="E154" s="24">
        <v>1</v>
      </c>
      <c r="F154" t="s">
        <v>2036</v>
      </c>
      <c r="G154" s="3" t="s">
        <v>539</v>
      </c>
      <c r="H154" t="s">
        <v>2302</v>
      </c>
      <c r="I154" t="s">
        <v>2303</v>
      </c>
      <c r="J154">
        <v>270</v>
      </c>
      <c r="K154" t="s">
        <v>2250</v>
      </c>
      <c r="M154" t="s">
        <v>2359</v>
      </c>
      <c r="S154"/>
    </row>
    <row r="155" spans="1:19" ht="31.5" x14ac:dyDescent="0.25">
      <c r="A155">
        <v>379</v>
      </c>
      <c r="B155" t="s">
        <v>108</v>
      </c>
      <c r="C155" t="s">
        <v>1366</v>
      </c>
      <c r="D155" t="s">
        <v>1388</v>
      </c>
      <c r="E155" s="24">
        <v>1</v>
      </c>
      <c r="F155" t="s">
        <v>2174</v>
      </c>
      <c r="G155" s="3" t="s">
        <v>875</v>
      </c>
      <c r="H155" t="s">
        <v>2302</v>
      </c>
      <c r="I155" t="s">
        <v>2303</v>
      </c>
      <c r="J155">
        <v>510</v>
      </c>
      <c r="K155" t="s">
        <v>2250</v>
      </c>
      <c r="M155" t="s">
        <v>2359</v>
      </c>
      <c r="S155"/>
    </row>
    <row r="156" spans="1:19" ht="31.5" x14ac:dyDescent="0.25">
      <c r="A156">
        <v>381</v>
      </c>
      <c r="B156" t="s">
        <v>109</v>
      </c>
      <c r="C156" t="s">
        <v>1457</v>
      </c>
      <c r="D156" t="s">
        <v>1465</v>
      </c>
      <c r="E156" s="24">
        <v>0</v>
      </c>
      <c r="F156" t="s">
        <v>1993</v>
      </c>
      <c r="G156" s="3" t="s">
        <v>347</v>
      </c>
      <c r="H156" t="s">
        <v>2318</v>
      </c>
      <c r="I156" t="s">
        <v>2319</v>
      </c>
      <c r="J156">
        <v>310</v>
      </c>
      <c r="K156" t="s">
        <v>2223</v>
      </c>
      <c r="M156" t="s">
        <v>2360</v>
      </c>
      <c r="N156" s="34">
        <v>43502</v>
      </c>
      <c r="O156" t="s">
        <v>2446</v>
      </c>
      <c r="Q156" t="s">
        <v>2447</v>
      </c>
      <c r="R156" s="25">
        <v>8353</v>
      </c>
      <c r="S156" s="36" t="s">
        <v>2557</v>
      </c>
    </row>
    <row r="157" spans="1:19" x14ac:dyDescent="0.25">
      <c r="N157" s="34">
        <v>43510</v>
      </c>
      <c r="O157" t="s">
        <v>2446</v>
      </c>
      <c r="Q157" t="s">
        <v>2447</v>
      </c>
      <c r="R157" s="25">
        <v>11366</v>
      </c>
      <c r="S157" s="36" t="s">
        <v>2558</v>
      </c>
    </row>
    <row r="158" spans="1:19" x14ac:dyDescent="0.25">
      <c r="N158" s="34">
        <v>43538</v>
      </c>
      <c r="O158" t="s">
        <v>2446</v>
      </c>
      <c r="Q158" t="s">
        <v>2447</v>
      </c>
      <c r="R158" s="25">
        <v>5683</v>
      </c>
      <c r="S158" s="36" t="s">
        <v>2559</v>
      </c>
    </row>
    <row r="159" spans="1:19" x14ac:dyDescent="0.25">
      <c r="N159" s="34">
        <v>43544</v>
      </c>
      <c r="O159" t="s">
        <v>2446</v>
      </c>
      <c r="Q159" t="s">
        <v>2447</v>
      </c>
      <c r="R159" s="25">
        <v>12000</v>
      </c>
      <c r="S159" s="36" t="s">
        <v>2560</v>
      </c>
    </row>
    <row r="160" spans="1:19" x14ac:dyDescent="0.25">
      <c r="N160" s="34">
        <v>43552</v>
      </c>
      <c r="O160" t="s">
        <v>2446</v>
      </c>
      <c r="Q160" t="s">
        <v>2447</v>
      </c>
      <c r="R160" s="25">
        <v>14587</v>
      </c>
      <c r="S160" s="36" t="s">
        <v>2561</v>
      </c>
    </row>
    <row r="161" spans="1:19" x14ac:dyDescent="0.25">
      <c r="N161" s="34">
        <v>43559</v>
      </c>
      <c r="O161" t="s">
        <v>2446</v>
      </c>
      <c r="Q161" t="s">
        <v>2447</v>
      </c>
      <c r="R161" s="25">
        <v>30000</v>
      </c>
      <c r="S161" s="36" t="s">
        <v>2562</v>
      </c>
    </row>
    <row r="162" spans="1:19" x14ac:dyDescent="0.25">
      <c r="N162" s="34">
        <v>43577</v>
      </c>
      <c r="O162" t="s">
        <v>2446</v>
      </c>
      <c r="Q162" t="s">
        <v>2447</v>
      </c>
      <c r="R162" s="25">
        <v>5600</v>
      </c>
      <c r="S162" s="36" t="s">
        <v>2563</v>
      </c>
    </row>
    <row r="163" spans="1:19" x14ac:dyDescent="0.25">
      <c r="N163" s="34">
        <v>43602</v>
      </c>
      <c r="O163" t="s">
        <v>2446</v>
      </c>
      <c r="Q163" t="s">
        <v>2447</v>
      </c>
      <c r="R163" s="25">
        <v>6000</v>
      </c>
      <c r="S163" s="36" t="s">
        <v>2564</v>
      </c>
    </row>
    <row r="164" spans="1:19" x14ac:dyDescent="0.25">
      <c r="N164" s="34">
        <v>43606</v>
      </c>
      <c r="O164" t="s">
        <v>2446</v>
      </c>
      <c r="Q164" t="s">
        <v>2447</v>
      </c>
      <c r="R164" s="25">
        <v>5500</v>
      </c>
      <c r="S164" s="36" t="s">
        <v>2565</v>
      </c>
    </row>
    <row r="165" spans="1:19" x14ac:dyDescent="0.25">
      <c r="N165" s="34">
        <v>43613</v>
      </c>
      <c r="O165" t="s">
        <v>2446</v>
      </c>
      <c r="Q165" t="s">
        <v>2447</v>
      </c>
      <c r="R165" s="25">
        <v>13260</v>
      </c>
      <c r="S165" s="36" t="s">
        <v>2566</v>
      </c>
    </row>
    <row r="166" spans="1:19" x14ac:dyDescent="0.25">
      <c r="N166" s="34">
        <v>43636</v>
      </c>
      <c r="O166" t="s">
        <v>2446</v>
      </c>
      <c r="Q166" t="s">
        <v>2447</v>
      </c>
      <c r="R166" s="25">
        <v>6560</v>
      </c>
      <c r="S166" s="36" t="s">
        <v>2567</v>
      </c>
    </row>
    <row r="167" spans="1:19" x14ac:dyDescent="0.25">
      <c r="N167" s="34">
        <v>43639</v>
      </c>
      <c r="O167" t="s">
        <v>2446</v>
      </c>
      <c r="Q167" t="s">
        <v>2447</v>
      </c>
      <c r="R167" s="25">
        <v>49062</v>
      </c>
      <c r="S167" s="36" t="s">
        <v>2569</v>
      </c>
    </row>
    <row r="168" spans="1:19" x14ac:dyDescent="0.25">
      <c r="N168" s="34">
        <v>43641</v>
      </c>
      <c r="O168" t="s">
        <v>2446</v>
      </c>
      <c r="Q168" t="s">
        <v>2447</v>
      </c>
      <c r="R168" s="25">
        <v>9472</v>
      </c>
      <c r="S168" s="36" t="s">
        <v>2568</v>
      </c>
    </row>
    <row r="169" spans="1:19" x14ac:dyDescent="0.25">
      <c r="N169" s="34">
        <v>43742</v>
      </c>
      <c r="O169" t="s">
        <v>2446</v>
      </c>
      <c r="Q169" t="s">
        <v>2447</v>
      </c>
      <c r="R169" s="25">
        <v>9446</v>
      </c>
      <c r="S169" s="36" t="s">
        <v>2570</v>
      </c>
    </row>
    <row r="170" spans="1:19" x14ac:dyDescent="0.25">
      <c r="N170" s="34">
        <v>43746</v>
      </c>
      <c r="O170" t="s">
        <v>2446</v>
      </c>
      <c r="Q170" t="s">
        <v>2447</v>
      </c>
      <c r="R170" s="25">
        <v>18000</v>
      </c>
      <c r="S170" s="36" t="s">
        <v>2571</v>
      </c>
    </row>
    <row r="171" spans="1:19" x14ac:dyDescent="0.25">
      <c r="N171" s="34">
        <v>43748</v>
      </c>
      <c r="O171" t="s">
        <v>2446</v>
      </c>
      <c r="Q171" t="s">
        <v>2447</v>
      </c>
      <c r="R171" s="25">
        <v>25287</v>
      </c>
      <c r="S171" s="36" t="s">
        <v>2572</v>
      </c>
    </row>
    <row r="172" spans="1:19" x14ac:dyDescent="0.25">
      <c r="N172" s="34">
        <v>43834</v>
      </c>
      <c r="O172" t="s">
        <v>2446</v>
      </c>
      <c r="Q172" t="s">
        <v>2447</v>
      </c>
      <c r="R172" s="25">
        <v>40000</v>
      </c>
      <c r="S172" s="36" t="s">
        <v>2553</v>
      </c>
    </row>
    <row r="173" spans="1:19" x14ac:dyDescent="0.25">
      <c r="N173" s="34">
        <v>43851</v>
      </c>
      <c r="O173" t="s">
        <v>2446</v>
      </c>
      <c r="Q173" t="s">
        <v>2447</v>
      </c>
      <c r="R173" s="25">
        <v>39250</v>
      </c>
      <c r="S173" s="26" t="s">
        <v>2552</v>
      </c>
    </row>
    <row r="174" spans="1:19" ht="47.25" x14ac:dyDescent="0.25">
      <c r="A174">
        <v>381</v>
      </c>
      <c r="B174" t="s">
        <v>109</v>
      </c>
      <c r="C174" t="s">
        <v>1457</v>
      </c>
      <c r="D174" t="s">
        <v>1468</v>
      </c>
      <c r="E174" s="24">
        <v>0</v>
      </c>
      <c r="F174" t="s">
        <v>1977</v>
      </c>
      <c r="G174" s="3" t="s">
        <v>1469</v>
      </c>
      <c r="H174" t="s">
        <v>2318</v>
      </c>
      <c r="I174" t="s">
        <v>2319</v>
      </c>
      <c r="J174">
        <v>330</v>
      </c>
      <c r="K174" t="s">
        <v>2223</v>
      </c>
      <c r="M174" t="s">
        <v>2359</v>
      </c>
    </row>
    <row r="175" spans="1:19" ht="31.5" x14ac:dyDescent="0.25">
      <c r="A175">
        <v>389</v>
      </c>
      <c r="B175" t="s">
        <v>110</v>
      </c>
      <c r="C175" t="s">
        <v>271</v>
      </c>
      <c r="D175" t="s">
        <v>288</v>
      </c>
      <c r="E175" s="24">
        <v>1</v>
      </c>
      <c r="F175" t="s">
        <v>1981</v>
      </c>
      <c r="G175" s="3" t="s">
        <v>289</v>
      </c>
      <c r="H175" t="s">
        <v>2312</v>
      </c>
      <c r="I175" t="s">
        <v>2340</v>
      </c>
      <c r="J175">
        <v>250</v>
      </c>
      <c r="K175" t="s">
        <v>2265</v>
      </c>
      <c r="M175" t="s">
        <v>2359</v>
      </c>
      <c r="S175"/>
    </row>
    <row r="176" spans="1:19" ht="47.25" x14ac:dyDescent="0.25">
      <c r="A176">
        <v>389</v>
      </c>
      <c r="B176" t="s">
        <v>110</v>
      </c>
      <c r="C176" t="s">
        <v>271</v>
      </c>
      <c r="D176" t="s">
        <v>296</v>
      </c>
      <c r="E176" s="24">
        <v>1</v>
      </c>
      <c r="F176" t="s">
        <v>1984</v>
      </c>
      <c r="G176" s="3" t="s">
        <v>297</v>
      </c>
      <c r="H176" t="s">
        <v>2312</v>
      </c>
      <c r="I176" t="s">
        <v>2340</v>
      </c>
      <c r="J176">
        <v>510</v>
      </c>
      <c r="K176" t="s">
        <v>2265</v>
      </c>
      <c r="M176" t="s">
        <v>2359</v>
      </c>
      <c r="S176"/>
    </row>
    <row r="177" spans="1:20" ht="31.5" x14ac:dyDescent="0.25">
      <c r="A177">
        <v>390</v>
      </c>
      <c r="B177" t="s">
        <v>110</v>
      </c>
      <c r="C177" t="s">
        <v>271</v>
      </c>
      <c r="D177" t="s">
        <v>288</v>
      </c>
      <c r="E177" s="24">
        <v>0</v>
      </c>
      <c r="F177" t="s">
        <v>1981</v>
      </c>
      <c r="G177" s="3" t="s">
        <v>289</v>
      </c>
      <c r="H177" t="s">
        <v>2312</v>
      </c>
      <c r="I177" t="s">
        <v>2340</v>
      </c>
      <c r="J177">
        <v>250</v>
      </c>
      <c r="K177" t="s">
        <v>2265</v>
      </c>
      <c r="M177" t="s">
        <v>2359</v>
      </c>
    </row>
    <row r="178" spans="1:20" ht="47.25" x14ac:dyDescent="0.25">
      <c r="A178">
        <v>390</v>
      </c>
      <c r="B178" t="s">
        <v>110</v>
      </c>
      <c r="C178" t="s">
        <v>271</v>
      </c>
      <c r="D178" t="s">
        <v>296</v>
      </c>
      <c r="E178" s="24">
        <v>1</v>
      </c>
      <c r="F178" t="s">
        <v>1984</v>
      </c>
      <c r="G178" s="3" t="s">
        <v>297</v>
      </c>
      <c r="H178" t="s">
        <v>2312</v>
      </c>
      <c r="I178" t="s">
        <v>2340</v>
      </c>
      <c r="J178">
        <v>510</v>
      </c>
      <c r="K178" t="s">
        <v>2265</v>
      </c>
      <c r="M178" t="s">
        <v>2359</v>
      </c>
      <c r="S178"/>
    </row>
    <row r="179" spans="1:20" ht="31.5" x14ac:dyDescent="0.25">
      <c r="A179">
        <v>399</v>
      </c>
      <c r="B179" t="s">
        <v>113</v>
      </c>
      <c r="C179" t="s">
        <v>1790</v>
      </c>
      <c r="D179" t="s">
        <v>1796</v>
      </c>
      <c r="E179" s="24">
        <v>1</v>
      </c>
      <c r="F179" t="s">
        <v>2203</v>
      </c>
      <c r="G179" s="3" t="s">
        <v>1205</v>
      </c>
      <c r="H179" t="s">
        <v>2305</v>
      </c>
      <c r="I179" t="s">
        <v>2306</v>
      </c>
      <c r="J179">
        <v>220</v>
      </c>
      <c r="K179" t="s">
        <v>2280</v>
      </c>
      <c r="M179" t="s">
        <v>2359</v>
      </c>
      <c r="S179"/>
    </row>
    <row r="180" spans="1:20" ht="47.25" x14ac:dyDescent="0.25">
      <c r="A180">
        <v>399</v>
      </c>
      <c r="B180" t="s">
        <v>113</v>
      </c>
      <c r="C180" t="s">
        <v>1790</v>
      </c>
      <c r="D180" t="s">
        <v>1804</v>
      </c>
      <c r="E180" s="24">
        <v>1</v>
      </c>
      <c r="F180" t="s">
        <v>2147</v>
      </c>
      <c r="G180" s="3" t="s">
        <v>372</v>
      </c>
      <c r="H180" t="s">
        <v>2305</v>
      </c>
      <c r="I180" t="s">
        <v>2306</v>
      </c>
      <c r="J180">
        <v>520</v>
      </c>
      <c r="K180" t="s">
        <v>2280</v>
      </c>
      <c r="M180" t="s">
        <v>2359</v>
      </c>
      <c r="S180"/>
    </row>
    <row r="181" spans="1:20" ht="47.25" x14ac:dyDescent="0.25">
      <c r="A181">
        <v>406</v>
      </c>
      <c r="B181" t="s">
        <v>114</v>
      </c>
      <c r="C181" t="s">
        <v>506</v>
      </c>
      <c r="D181" t="s">
        <v>511</v>
      </c>
      <c r="E181" s="24">
        <v>0</v>
      </c>
      <c r="F181" t="s">
        <v>2031</v>
      </c>
      <c r="G181" s="3" t="s">
        <v>512</v>
      </c>
      <c r="H181" t="s">
        <v>2302</v>
      </c>
      <c r="I181" t="s">
        <v>2317</v>
      </c>
      <c r="J181">
        <v>210</v>
      </c>
      <c r="K181" t="s">
        <v>2245</v>
      </c>
      <c r="M181" t="s">
        <v>2359</v>
      </c>
    </row>
    <row r="182" spans="1:20" ht="31.5" x14ac:dyDescent="0.25">
      <c r="A182">
        <v>406</v>
      </c>
      <c r="B182" t="s">
        <v>114</v>
      </c>
      <c r="C182" t="s">
        <v>506</v>
      </c>
      <c r="D182" t="s">
        <v>538</v>
      </c>
      <c r="E182" s="24">
        <v>0</v>
      </c>
      <c r="F182" t="s">
        <v>2036</v>
      </c>
      <c r="G182" s="3" t="s">
        <v>539</v>
      </c>
      <c r="H182" t="s">
        <v>2302</v>
      </c>
      <c r="I182" t="s">
        <v>2317</v>
      </c>
      <c r="J182">
        <v>270</v>
      </c>
      <c r="K182" t="s">
        <v>2245</v>
      </c>
      <c r="M182" t="s">
        <v>2359</v>
      </c>
    </row>
    <row r="183" spans="1:20" ht="31.5" x14ac:dyDescent="0.25">
      <c r="A183">
        <v>406</v>
      </c>
      <c r="B183" t="s">
        <v>114</v>
      </c>
      <c r="C183" t="s">
        <v>506</v>
      </c>
      <c r="D183" t="s">
        <v>548</v>
      </c>
      <c r="E183" s="24">
        <v>1</v>
      </c>
      <c r="F183" t="s">
        <v>1984</v>
      </c>
      <c r="G183" s="3" t="s">
        <v>549</v>
      </c>
      <c r="H183" t="s">
        <v>2302</v>
      </c>
      <c r="I183" t="s">
        <v>2317</v>
      </c>
      <c r="J183">
        <v>510</v>
      </c>
      <c r="K183" t="s">
        <v>2245</v>
      </c>
      <c r="M183" t="s">
        <v>2359</v>
      </c>
      <c r="S183"/>
    </row>
    <row r="184" spans="1:20" ht="31.5" x14ac:dyDescent="0.25">
      <c r="A184">
        <v>412</v>
      </c>
      <c r="B184" t="s">
        <v>115</v>
      </c>
      <c r="C184" t="s">
        <v>1366</v>
      </c>
      <c r="D184" t="s">
        <v>1377</v>
      </c>
      <c r="E184" s="24">
        <v>0</v>
      </c>
      <c r="F184" t="s">
        <v>2036</v>
      </c>
      <c r="G184" s="3" t="s">
        <v>539</v>
      </c>
      <c r="H184" t="s">
        <v>2302</v>
      </c>
      <c r="I184" t="s">
        <v>2303</v>
      </c>
      <c r="J184">
        <v>270</v>
      </c>
      <c r="K184" t="s">
        <v>2250</v>
      </c>
      <c r="M184" t="s">
        <v>2359</v>
      </c>
    </row>
    <row r="185" spans="1:20" ht="31.5" x14ac:dyDescent="0.25">
      <c r="A185">
        <v>412</v>
      </c>
      <c r="B185" t="s">
        <v>115</v>
      </c>
      <c r="C185" t="s">
        <v>1366</v>
      </c>
      <c r="D185" t="s">
        <v>1388</v>
      </c>
      <c r="E185" s="24">
        <v>0</v>
      </c>
      <c r="F185" t="s">
        <v>2174</v>
      </c>
      <c r="G185" s="3" t="s">
        <v>875</v>
      </c>
      <c r="H185" t="s">
        <v>2302</v>
      </c>
      <c r="I185" t="s">
        <v>2303</v>
      </c>
      <c r="J185">
        <v>510</v>
      </c>
      <c r="K185" t="s">
        <v>2250</v>
      </c>
      <c r="M185" t="s">
        <v>2359</v>
      </c>
    </row>
    <row r="186" spans="1:20" ht="31.5" x14ac:dyDescent="0.25">
      <c r="A186">
        <v>421</v>
      </c>
      <c r="B186" t="s">
        <v>118</v>
      </c>
      <c r="C186" t="s">
        <v>256</v>
      </c>
      <c r="D186" t="s">
        <v>261</v>
      </c>
      <c r="E186" s="24">
        <v>1</v>
      </c>
      <c r="F186" t="s">
        <v>1975</v>
      </c>
      <c r="G186" s="3" t="s">
        <v>262</v>
      </c>
      <c r="H186" t="s">
        <v>2338</v>
      </c>
      <c r="I186" t="s">
        <v>2341</v>
      </c>
      <c r="J186">
        <v>220</v>
      </c>
      <c r="K186" t="s">
        <v>2270</v>
      </c>
      <c r="M186" t="s">
        <v>2359</v>
      </c>
      <c r="S186"/>
    </row>
    <row r="187" spans="1:20" ht="47.25" x14ac:dyDescent="0.25">
      <c r="A187">
        <v>421</v>
      </c>
      <c r="B187" t="s">
        <v>118</v>
      </c>
      <c r="C187" t="s">
        <v>256</v>
      </c>
      <c r="D187" t="s">
        <v>263</v>
      </c>
      <c r="E187" s="24">
        <v>1</v>
      </c>
      <c r="F187" t="s">
        <v>1976</v>
      </c>
      <c r="G187" s="3" t="s">
        <v>264</v>
      </c>
      <c r="H187" t="s">
        <v>2338</v>
      </c>
      <c r="I187" t="s">
        <v>2341</v>
      </c>
      <c r="J187">
        <v>270</v>
      </c>
      <c r="K187" t="s">
        <v>2270</v>
      </c>
      <c r="M187" t="s">
        <v>2359</v>
      </c>
      <c r="S187"/>
    </row>
    <row r="188" spans="1:20" ht="47.25" x14ac:dyDescent="0.25">
      <c r="A188">
        <v>436</v>
      </c>
      <c r="B188" t="s">
        <v>121</v>
      </c>
      <c r="C188" t="s">
        <v>506</v>
      </c>
      <c r="D188" t="s">
        <v>511</v>
      </c>
      <c r="E188" s="24">
        <v>0</v>
      </c>
      <c r="F188" t="s">
        <v>2031</v>
      </c>
      <c r="G188" s="3" t="s">
        <v>512</v>
      </c>
      <c r="H188" t="s">
        <v>2302</v>
      </c>
      <c r="I188" t="s">
        <v>2317</v>
      </c>
      <c r="J188">
        <v>210</v>
      </c>
      <c r="K188" t="s">
        <v>2245</v>
      </c>
      <c r="M188" t="s">
        <v>2359</v>
      </c>
    </row>
    <row r="189" spans="1:20" ht="31.5" x14ac:dyDescent="0.25">
      <c r="A189">
        <v>436</v>
      </c>
      <c r="B189" t="s">
        <v>121</v>
      </c>
      <c r="C189" t="s">
        <v>506</v>
      </c>
      <c r="D189" t="s">
        <v>538</v>
      </c>
      <c r="E189" s="24">
        <v>0</v>
      </c>
      <c r="F189" t="s">
        <v>2036</v>
      </c>
      <c r="G189" s="3" t="s">
        <v>539</v>
      </c>
      <c r="H189" t="s">
        <v>2302</v>
      </c>
      <c r="I189" t="s">
        <v>2317</v>
      </c>
      <c r="J189">
        <v>270</v>
      </c>
      <c r="K189" t="s">
        <v>2245</v>
      </c>
      <c r="M189" t="s">
        <v>2360</v>
      </c>
      <c r="N189" s="34">
        <v>44004</v>
      </c>
      <c r="O189" t="s">
        <v>2469</v>
      </c>
      <c r="Q189" t="s">
        <v>2865</v>
      </c>
      <c r="R189" s="25">
        <v>6315000</v>
      </c>
      <c r="S189" s="36" t="s">
        <v>2366</v>
      </c>
    </row>
    <row r="190" spans="1:20" ht="31.5" x14ac:dyDescent="0.25">
      <c r="A190">
        <v>436</v>
      </c>
      <c r="B190" t="s">
        <v>121</v>
      </c>
      <c r="C190" t="s">
        <v>506</v>
      </c>
      <c r="D190" t="s">
        <v>548</v>
      </c>
      <c r="E190" s="24">
        <v>0</v>
      </c>
      <c r="F190" t="s">
        <v>1984</v>
      </c>
      <c r="G190" s="3" t="s">
        <v>549</v>
      </c>
      <c r="H190" t="s">
        <v>2302</v>
      </c>
      <c r="I190" t="s">
        <v>2317</v>
      </c>
      <c r="J190">
        <v>510</v>
      </c>
      <c r="K190" t="s">
        <v>2245</v>
      </c>
      <c r="M190" t="s">
        <v>2359</v>
      </c>
    </row>
    <row r="191" spans="1:20" ht="31.5" x14ac:dyDescent="0.25">
      <c r="A191">
        <v>436</v>
      </c>
      <c r="B191" t="s">
        <v>121</v>
      </c>
      <c r="C191" t="s">
        <v>1366</v>
      </c>
      <c r="D191" t="s">
        <v>1377</v>
      </c>
      <c r="E191" s="24">
        <v>0</v>
      </c>
      <c r="F191" t="s">
        <v>2036</v>
      </c>
      <c r="G191" s="3" t="s">
        <v>539</v>
      </c>
      <c r="H191" t="s">
        <v>2302</v>
      </c>
      <c r="I191" t="s">
        <v>2303</v>
      </c>
      <c r="J191">
        <v>270</v>
      </c>
      <c r="K191" t="s">
        <v>2250</v>
      </c>
      <c r="M191" t="s">
        <v>2360</v>
      </c>
      <c r="N191" s="34">
        <v>44004</v>
      </c>
      <c r="O191" t="s">
        <v>2469</v>
      </c>
      <c r="Q191" t="s">
        <v>2865</v>
      </c>
      <c r="R191" s="25">
        <v>6315000</v>
      </c>
      <c r="S191" s="36" t="s">
        <v>2366</v>
      </c>
      <c r="T191" t="s">
        <v>2864</v>
      </c>
    </row>
    <row r="192" spans="1:20" ht="31.5" x14ac:dyDescent="0.25">
      <c r="A192">
        <v>436</v>
      </c>
      <c r="B192" t="s">
        <v>121</v>
      </c>
      <c r="C192" t="s">
        <v>1366</v>
      </c>
      <c r="D192" t="s">
        <v>1388</v>
      </c>
      <c r="E192" s="24">
        <v>0</v>
      </c>
      <c r="F192" t="s">
        <v>2174</v>
      </c>
      <c r="G192" s="3" t="s">
        <v>875</v>
      </c>
      <c r="H192" t="s">
        <v>2302</v>
      </c>
      <c r="I192" t="s">
        <v>2303</v>
      </c>
      <c r="J192">
        <v>510</v>
      </c>
      <c r="K192" t="s">
        <v>2250</v>
      </c>
      <c r="M192" t="s">
        <v>2359</v>
      </c>
    </row>
    <row r="193" spans="1:20" ht="31.5" x14ac:dyDescent="0.25">
      <c r="A193">
        <v>438</v>
      </c>
      <c r="B193" t="s">
        <v>122</v>
      </c>
      <c r="C193" t="s">
        <v>859</v>
      </c>
      <c r="D193" t="s">
        <v>864</v>
      </c>
      <c r="E193" s="24">
        <v>1</v>
      </c>
      <c r="F193" t="s">
        <v>1981</v>
      </c>
      <c r="G193" s="3" t="s">
        <v>289</v>
      </c>
      <c r="H193" t="s">
        <v>2312</v>
      </c>
      <c r="I193" t="s">
        <v>2313</v>
      </c>
      <c r="J193">
        <v>250</v>
      </c>
      <c r="K193" t="s">
        <v>2268</v>
      </c>
      <c r="M193" t="s">
        <v>2359</v>
      </c>
      <c r="N193" s="34">
        <v>43955</v>
      </c>
      <c r="O193" t="s">
        <v>2581</v>
      </c>
      <c r="Q193" t="s">
        <v>2582</v>
      </c>
      <c r="R193" s="25">
        <v>3900000</v>
      </c>
      <c r="S193" s="36" t="s">
        <v>2583</v>
      </c>
    </row>
    <row r="194" spans="1:20" ht="31.5" x14ac:dyDescent="0.25">
      <c r="A194">
        <v>438</v>
      </c>
      <c r="B194" t="s">
        <v>122</v>
      </c>
      <c r="C194" t="s">
        <v>859</v>
      </c>
      <c r="D194" t="s">
        <v>874</v>
      </c>
      <c r="E194" s="24">
        <v>1</v>
      </c>
      <c r="F194" t="s">
        <v>1984</v>
      </c>
      <c r="G194" s="3" t="s">
        <v>875</v>
      </c>
      <c r="H194" t="s">
        <v>2312</v>
      </c>
      <c r="I194" t="s">
        <v>2313</v>
      </c>
      <c r="J194">
        <v>510</v>
      </c>
      <c r="K194" t="s">
        <v>2268</v>
      </c>
      <c r="M194" t="s">
        <v>2359</v>
      </c>
      <c r="S194"/>
    </row>
    <row r="195" spans="1:20" ht="47.25" x14ac:dyDescent="0.25">
      <c r="A195">
        <v>438</v>
      </c>
      <c r="B195" t="s">
        <v>122</v>
      </c>
      <c r="C195" t="s">
        <v>859</v>
      </c>
      <c r="D195" t="s">
        <v>876</v>
      </c>
      <c r="E195" s="24">
        <v>1</v>
      </c>
      <c r="F195" t="s">
        <v>1984</v>
      </c>
      <c r="G195" s="3" t="s">
        <v>372</v>
      </c>
      <c r="H195" t="s">
        <v>2312</v>
      </c>
      <c r="I195" t="s">
        <v>2313</v>
      </c>
      <c r="J195">
        <v>510</v>
      </c>
      <c r="K195" t="s">
        <v>2268</v>
      </c>
      <c r="M195" t="s">
        <v>2359</v>
      </c>
      <c r="N195" s="34">
        <v>43991</v>
      </c>
      <c r="O195" t="s">
        <v>2481</v>
      </c>
      <c r="R195" s="25">
        <v>35000000</v>
      </c>
      <c r="S195" s="36" t="s">
        <v>2585</v>
      </c>
    </row>
    <row r="196" spans="1:20" ht="31.5" x14ac:dyDescent="0.25">
      <c r="A196">
        <v>439</v>
      </c>
      <c r="B196" t="s">
        <v>122</v>
      </c>
      <c r="C196" t="s">
        <v>859</v>
      </c>
      <c r="D196" t="s">
        <v>864</v>
      </c>
      <c r="E196" s="24">
        <v>1</v>
      </c>
      <c r="F196" t="s">
        <v>1981</v>
      </c>
      <c r="G196" s="3" t="s">
        <v>289</v>
      </c>
      <c r="H196" t="s">
        <v>2312</v>
      </c>
      <c r="I196" t="s">
        <v>2313</v>
      </c>
      <c r="J196">
        <v>250</v>
      </c>
      <c r="K196" t="s">
        <v>2268</v>
      </c>
      <c r="M196" t="s">
        <v>2359</v>
      </c>
      <c r="N196" s="34">
        <v>43955</v>
      </c>
      <c r="O196" t="s">
        <v>2581</v>
      </c>
      <c r="Q196" t="s">
        <v>2582</v>
      </c>
      <c r="R196" s="25">
        <v>3900000</v>
      </c>
      <c r="S196" s="36" t="s">
        <v>2583</v>
      </c>
      <c r="T196" t="s">
        <v>2864</v>
      </c>
    </row>
    <row r="197" spans="1:20" ht="31.5" x14ac:dyDescent="0.25">
      <c r="A197">
        <v>439</v>
      </c>
      <c r="B197" t="s">
        <v>122</v>
      </c>
      <c r="C197" t="s">
        <v>859</v>
      </c>
      <c r="D197" t="s">
        <v>874</v>
      </c>
      <c r="E197" s="24">
        <v>1</v>
      </c>
      <c r="F197" t="s">
        <v>1984</v>
      </c>
      <c r="G197" s="3" t="s">
        <v>875</v>
      </c>
      <c r="H197" t="s">
        <v>2312</v>
      </c>
      <c r="I197" t="s">
        <v>2313</v>
      </c>
      <c r="J197">
        <v>510</v>
      </c>
      <c r="K197" t="s">
        <v>2268</v>
      </c>
      <c r="M197" t="s">
        <v>2359</v>
      </c>
      <c r="S197"/>
    </row>
    <row r="198" spans="1:20" ht="47.25" x14ac:dyDescent="0.25">
      <c r="A198">
        <v>439</v>
      </c>
      <c r="B198" t="s">
        <v>122</v>
      </c>
      <c r="C198" t="s">
        <v>859</v>
      </c>
      <c r="D198" t="s">
        <v>876</v>
      </c>
      <c r="E198" s="24">
        <v>1</v>
      </c>
      <c r="F198" t="s">
        <v>1984</v>
      </c>
      <c r="G198" s="3" t="s">
        <v>372</v>
      </c>
      <c r="H198" t="s">
        <v>2312</v>
      </c>
      <c r="I198" t="s">
        <v>2313</v>
      </c>
      <c r="J198">
        <v>510</v>
      </c>
      <c r="K198" t="s">
        <v>2268</v>
      </c>
      <c r="M198" t="s">
        <v>2359</v>
      </c>
      <c r="N198" s="34">
        <v>43991</v>
      </c>
      <c r="O198" t="s">
        <v>2481</v>
      </c>
      <c r="R198" s="25">
        <v>35000000</v>
      </c>
      <c r="S198" s="36" t="s">
        <v>2585</v>
      </c>
      <c r="T198" t="s">
        <v>2864</v>
      </c>
    </row>
    <row r="199" spans="1:20" ht="63" x14ac:dyDescent="0.25">
      <c r="A199">
        <v>443</v>
      </c>
      <c r="B199" t="s">
        <v>123</v>
      </c>
      <c r="C199" t="s">
        <v>422</v>
      </c>
      <c r="D199" t="s">
        <v>425</v>
      </c>
      <c r="E199" s="24">
        <v>1</v>
      </c>
      <c r="F199" t="s">
        <v>2017</v>
      </c>
      <c r="G199" s="3" t="s">
        <v>426</v>
      </c>
      <c r="H199" t="s">
        <v>2300</v>
      </c>
      <c r="I199" t="s">
        <v>2304</v>
      </c>
      <c r="J199">
        <v>270</v>
      </c>
      <c r="K199" t="s">
        <v>2239</v>
      </c>
      <c r="M199" t="s">
        <v>2359</v>
      </c>
      <c r="S199"/>
    </row>
    <row r="200" spans="1:20" ht="78.75" x14ac:dyDescent="0.25">
      <c r="A200">
        <v>443</v>
      </c>
      <c r="B200" t="s">
        <v>123</v>
      </c>
      <c r="C200" t="s">
        <v>422</v>
      </c>
      <c r="D200" t="s">
        <v>437</v>
      </c>
      <c r="E200" s="24">
        <v>1</v>
      </c>
      <c r="F200" t="s">
        <v>1984</v>
      </c>
      <c r="G200" s="3" t="s">
        <v>438</v>
      </c>
      <c r="H200" t="s">
        <v>2300</v>
      </c>
      <c r="I200" t="s">
        <v>2304</v>
      </c>
      <c r="J200">
        <v>510</v>
      </c>
      <c r="K200" t="s">
        <v>2239</v>
      </c>
      <c r="M200" t="s">
        <v>2360</v>
      </c>
      <c r="N200" s="34">
        <v>44000</v>
      </c>
      <c r="O200" t="s">
        <v>2481</v>
      </c>
      <c r="P200" t="s">
        <v>2602</v>
      </c>
      <c r="R200" s="25">
        <v>20833333</v>
      </c>
      <c r="S200" s="36" t="s">
        <v>2600</v>
      </c>
    </row>
    <row r="201" spans="1:20" x14ac:dyDescent="0.25">
      <c r="N201" s="34">
        <v>44091</v>
      </c>
      <c r="O201" t="s">
        <v>2481</v>
      </c>
      <c r="P201" t="s">
        <v>2608</v>
      </c>
      <c r="R201" s="25">
        <v>1500000</v>
      </c>
      <c r="S201" s="36" t="s">
        <v>2607</v>
      </c>
    </row>
    <row r="202" spans="1:20" x14ac:dyDescent="0.25">
      <c r="N202" s="34">
        <v>44109</v>
      </c>
      <c r="O202" t="s">
        <v>2481</v>
      </c>
      <c r="P202" t="s">
        <v>2603</v>
      </c>
      <c r="R202" s="25">
        <v>5000000</v>
      </c>
      <c r="S202" s="36" t="s">
        <v>2604</v>
      </c>
    </row>
    <row r="203" spans="1:20" x14ac:dyDescent="0.25">
      <c r="N203" s="34">
        <v>44181</v>
      </c>
      <c r="O203" t="s">
        <v>2481</v>
      </c>
      <c r="P203" t="s">
        <v>2606</v>
      </c>
      <c r="R203" s="25">
        <v>6250000</v>
      </c>
      <c r="S203" s="36" t="s">
        <v>2605</v>
      </c>
    </row>
    <row r="204" spans="1:20" ht="78.75" x14ac:dyDescent="0.25">
      <c r="A204">
        <v>443</v>
      </c>
      <c r="B204" t="s">
        <v>123</v>
      </c>
      <c r="C204" t="s">
        <v>636</v>
      </c>
      <c r="D204" t="s">
        <v>653</v>
      </c>
      <c r="E204" s="24">
        <v>1</v>
      </c>
      <c r="F204" t="s">
        <v>1984</v>
      </c>
      <c r="G204" s="3" t="s">
        <v>438</v>
      </c>
      <c r="H204" t="s">
        <v>2300</v>
      </c>
      <c r="I204" t="s">
        <v>2307</v>
      </c>
      <c r="J204">
        <v>510</v>
      </c>
      <c r="K204" t="s">
        <v>2240</v>
      </c>
      <c r="M204" t="s">
        <v>2360</v>
      </c>
      <c r="N204" s="34">
        <v>44000</v>
      </c>
      <c r="O204" t="s">
        <v>2481</v>
      </c>
      <c r="P204" t="s">
        <v>2602</v>
      </c>
      <c r="R204" s="25">
        <v>20833333</v>
      </c>
      <c r="S204" s="36" t="s">
        <v>2600</v>
      </c>
      <c r="T204" t="s">
        <v>2864</v>
      </c>
    </row>
    <row r="205" spans="1:20" x14ac:dyDescent="0.25">
      <c r="N205" s="34">
        <v>44091</v>
      </c>
      <c r="O205" t="s">
        <v>2481</v>
      </c>
      <c r="P205" t="s">
        <v>2608</v>
      </c>
      <c r="R205" s="25">
        <v>1500000</v>
      </c>
      <c r="S205" s="36" t="s">
        <v>2607</v>
      </c>
      <c r="T205" t="s">
        <v>2864</v>
      </c>
    </row>
    <row r="206" spans="1:20" x14ac:dyDescent="0.25">
      <c r="N206" s="34">
        <v>44109</v>
      </c>
      <c r="O206" t="s">
        <v>2481</v>
      </c>
      <c r="P206" t="s">
        <v>2603</v>
      </c>
      <c r="R206" s="25">
        <v>5000000</v>
      </c>
      <c r="S206" s="36" t="s">
        <v>2604</v>
      </c>
      <c r="T206" t="s">
        <v>2864</v>
      </c>
    </row>
    <row r="207" spans="1:20" x14ac:dyDescent="0.25">
      <c r="N207" s="34">
        <v>44181</v>
      </c>
      <c r="O207" t="s">
        <v>2481</v>
      </c>
      <c r="P207" t="s">
        <v>2606</v>
      </c>
      <c r="R207" s="25">
        <v>6250000</v>
      </c>
      <c r="S207" s="36" t="s">
        <v>2605</v>
      </c>
      <c r="T207" t="s">
        <v>2864</v>
      </c>
    </row>
    <row r="208" spans="1:20" ht="31.5" x14ac:dyDescent="0.25">
      <c r="A208">
        <v>443</v>
      </c>
      <c r="B208" t="s">
        <v>123</v>
      </c>
      <c r="C208" t="s">
        <v>682</v>
      </c>
      <c r="D208" t="s">
        <v>685</v>
      </c>
      <c r="E208" s="24">
        <v>1</v>
      </c>
      <c r="F208" t="s">
        <v>2090</v>
      </c>
      <c r="G208" s="3" t="s">
        <v>686</v>
      </c>
      <c r="H208" t="s">
        <v>2300</v>
      </c>
      <c r="I208" t="s">
        <v>2310</v>
      </c>
      <c r="J208">
        <v>220</v>
      </c>
      <c r="K208" t="s">
        <v>2241</v>
      </c>
      <c r="S208"/>
    </row>
    <row r="209" spans="1:19" ht="78.75" x14ac:dyDescent="0.25">
      <c r="A209">
        <v>443</v>
      </c>
      <c r="B209" t="s">
        <v>123</v>
      </c>
      <c r="C209" t="s">
        <v>682</v>
      </c>
      <c r="D209" t="s">
        <v>697</v>
      </c>
      <c r="E209" s="24">
        <v>0</v>
      </c>
      <c r="F209" t="s">
        <v>2091</v>
      </c>
      <c r="G209" s="3" t="s">
        <v>698</v>
      </c>
      <c r="H209" t="s">
        <v>2300</v>
      </c>
      <c r="I209" t="s">
        <v>2310</v>
      </c>
      <c r="J209">
        <v>270</v>
      </c>
      <c r="K209" t="s">
        <v>2241</v>
      </c>
      <c r="M209" t="s">
        <v>2360</v>
      </c>
      <c r="R209" s="25">
        <v>64962000</v>
      </c>
      <c r="S209" s="26" t="s">
        <v>2367</v>
      </c>
    </row>
    <row r="210" spans="1:19" ht="47.25" x14ac:dyDescent="0.25">
      <c r="A210">
        <v>443</v>
      </c>
      <c r="B210" t="s">
        <v>123</v>
      </c>
      <c r="C210" t="s">
        <v>682</v>
      </c>
      <c r="D210" t="s">
        <v>699</v>
      </c>
      <c r="E210" s="24">
        <v>1</v>
      </c>
      <c r="F210" t="s">
        <v>2091</v>
      </c>
      <c r="G210" s="3" t="s">
        <v>700</v>
      </c>
      <c r="H210" t="s">
        <v>2300</v>
      </c>
      <c r="I210" t="s">
        <v>2310</v>
      </c>
      <c r="J210">
        <v>270</v>
      </c>
      <c r="K210" t="s">
        <v>2241</v>
      </c>
      <c r="L210" t="s">
        <v>2388</v>
      </c>
      <c r="M210" t="s">
        <v>2360</v>
      </c>
      <c r="S210" s="30" t="s">
        <v>2387</v>
      </c>
    </row>
    <row r="211" spans="1:19" ht="78.75" x14ac:dyDescent="0.25">
      <c r="A211">
        <v>443</v>
      </c>
      <c r="B211" t="s">
        <v>123</v>
      </c>
      <c r="C211" t="s">
        <v>1220</v>
      </c>
      <c r="D211" t="s">
        <v>1228</v>
      </c>
      <c r="E211" s="24">
        <v>1</v>
      </c>
      <c r="F211" t="s">
        <v>1984</v>
      </c>
      <c r="G211" s="3" t="s">
        <v>438</v>
      </c>
      <c r="H211" t="s">
        <v>2300</v>
      </c>
      <c r="I211" t="s">
        <v>2330</v>
      </c>
      <c r="J211">
        <v>510</v>
      </c>
      <c r="K211" t="s">
        <v>2242</v>
      </c>
      <c r="L211" t="s">
        <v>2388</v>
      </c>
      <c r="M211" t="s">
        <v>2360</v>
      </c>
      <c r="N211" s="34">
        <v>44103</v>
      </c>
      <c r="O211" t="s">
        <v>2594</v>
      </c>
      <c r="P211" t="s">
        <v>2613</v>
      </c>
      <c r="Q211" t="s">
        <v>2595</v>
      </c>
      <c r="R211" s="25">
        <v>920000000</v>
      </c>
      <c r="S211" s="36" t="s">
        <v>2593</v>
      </c>
    </row>
    <row r="212" spans="1:19" ht="47.25" x14ac:dyDescent="0.25">
      <c r="A212">
        <v>443</v>
      </c>
      <c r="B212" t="s">
        <v>123</v>
      </c>
      <c r="C212" t="s">
        <v>1220</v>
      </c>
      <c r="D212" t="s">
        <v>1233</v>
      </c>
      <c r="E212" s="24">
        <v>1</v>
      </c>
      <c r="F212" t="s">
        <v>2149</v>
      </c>
      <c r="G212" s="3" t="s">
        <v>1234</v>
      </c>
      <c r="H212" t="s">
        <v>2300</v>
      </c>
      <c r="I212" t="s">
        <v>2330</v>
      </c>
      <c r="J212">
        <v>510</v>
      </c>
      <c r="K212" t="s">
        <v>2242</v>
      </c>
      <c r="L212" t="s">
        <v>2388</v>
      </c>
      <c r="M212" t="s">
        <v>2360</v>
      </c>
      <c r="N212" s="34">
        <v>43899</v>
      </c>
      <c r="O212" t="s">
        <v>2488</v>
      </c>
      <c r="P212" t="s">
        <v>2868</v>
      </c>
      <c r="Q212" t="s">
        <v>2591</v>
      </c>
      <c r="R212" s="25">
        <v>325000</v>
      </c>
      <c r="S212" s="36" t="s">
        <v>2590</v>
      </c>
    </row>
    <row r="213" spans="1:19" ht="47.25" x14ac:dyDescent="0.25">
      <c r="A213">
        <v>443</v>
      </c>
      <c r="B213" t="s">
        <v>123</v>
      </c>
      <c r="C213" t="s">
        <v>1436</v>
      </c>
      <c r="D213" t="s">
        <v>1441</v>
      </c>
      <c r="E213" s="24">
        <v>1</v>
      </c>
      <c r="F213" t="s">
        <v>2352</v>
      </c>
      <c r="G213" s="3" t="s">
        <v>1442</v>
      </c>
      <c r="H213" t="s">
        <v>2300</v>
      </c>
      <c r="I213" t="s">
        <v>2314</v>
      </c>
      <c r="J213">
        <v>270</v>
      </c>
      <c r="K213" t="s">
        <v>2244</v>
      </c>
      <c r="S213"/>
    </row>
    <row r="214" spans="1:19" ht="47.25" x14ac:dyDescent="0.25">
      <c r="A214">
        <v>443</v>
      </c>
      <c r="B214" t="s">
        <v>123</v>
      </c>
      <c r="C214" t="s">
        <v>1436</v>
      </c>
      <c r="D214" t="s">
        <v>1447</v>
      </c>
      <c r="E214" s="24">
        <v>1</v>
      </c>
      <c r="F214" t="s">
        <v>2353</v>
      </c>
      <c r="G214" s="3" t="s">
        <v>1448</v>
      </c>
      <c r="H214" t="s">
        <v>2300</v>
      </c>
      <c r="I214" t="s">
        <v>2314</v>
      </c>
      <c r="J214">
        <v>270</v>
      </c>
      <c r="K214" t="s">
        <v>2244</v>
      </c>
      <c r="M214" t="s">
        <v>2359</v>
      </c>
      <c r="S214"/>
    </row>
    <row r="215" spans="1:19" ht="47.25" x14ac:dyDescent="0.25">
      <c r="A215">
        <v>447</v>
      </c>
      <c r="B215" t="s">
        <v>125</v>
      </c>
      <c r="C215" t="s">
        <v>1097</v>
      </c>
      <c r="D215" t="s">
        <v>1102</v>
      </c>
      <c r="E215" s="24">
        <v>1</v>
      </c>
      <c r="F215" t="s">
        <v>2135</v>
      </c>
      <c r="G215" s="3" t="s">
        <v>1103</v>
      </c>
      <c r="H215" t="s">
        <v>2323</v>
      </c>
      <c r="I215" t="s">
        <v>2324</v>
      </c>
      <c r="J215">
        <v>160</v>
      </c>
      <c r="K215" t="s">
        <v>2254</v>
      </c>
      <c r="L215">
        <v>0</v>
      </c>
      <c r="M215" t="s">
        <v>2359</v>
      </c>
      <c r="S215"/>
    </row>
    <row r="216" spans="1:19" ht="47.25" x14ac:dyDescent="0.25">
      <c r="A216">
        <v>448</v>
      </c>
      <c r="B216" t="s">
        <v>126</v>
      </c>
      <c r="C216" t="s">
        <v>891</v>
      </c>
      <c r="D216" t="s">
        <v>898</v>
      </c>
      <c r="E216" s="24">
        <v>1</v>
      </c>
      <c r="F216" t="s">
        <v>2113</v>
      </c>
      <c r="G216" s="3" t="s">
        <v>899</v>
      </c>
      <c r="H216" t="s">
        <v>2323</v>
      </c>
      <c r="I216" t="s">
        <v>2326</v>
      </c>
      <c r="J216">
        <v>250</v>
      </c>
      <c r="K216" t="s">
        <v>2251</v>
      </c>
      <c r="M216" t="s">
        <v>2359</v>
      </c>
      <c r="S216"/>
    </row>
    <row r="217" spans="1:19" ht="47.25" x14ac:dyDescent="0.25">
      <c r="A217">
        <v>448</v>
      </c>
      <c r="B217" t="s">
        <v>126</v>
      </c>
      <c r="C217" t="s">
        <v>891</v>
      </c>
      <c r="D217" t="s">
        <v>913</v>
      </c>
      <c r="E217" s="24">
        <v>1</v>
      </c>
      <c r="F217" t="s">
        <v>1984</v>
      </c>
      <c r="G217" s="3" t="s">
        <v>914</v>
      </c>
      <c r="H217" t="s">
        <v>2323</v>
      </c>
      <c r="I217" t="s">
        <v>2326</v>
      </c>
      <c r="J217">
        <v>510</v>
      </c>
      <c r="K217" t="s">
        <v>2251</v>
      </c>
      <c r="M217" t="s">
        <v>2359</v>
      </c>
      <c r="S217"/>
    </row>
    <row r="218" spans="1:19" ht="47.25" x14ac:dyDescent="0.25">
      <c r="A218">
        <v>451</v>
      </c>
      <c r="B218" t="s">
        <v>127</v>
      </c>
      <c r="C218" t="s">
        <v>1613</v>
      </c>
      <c r="D218" t="s">
        <v>1629</v>
      </c>
      <c r="E218" s="24">
        <v>0</v>
      </c>
      <c r="F218" t="s">
        <v>2120</v>
      </c>
      <c r="G218" s="3" t="s">
        <v>1630</v>
      </c>
      <c r="H218" t="s">
        <v>2320</v>
      </c>
      <c r="I218" t="s">
        <v>2321</v>
      </c>
      <c r="J218">
        <v>270</v>
      </c>
      <c r="K218" t="s">
        <v>2236</v>
      </c>
      <c r="M218" t="s">
        <v>2359</v>
      </c>
    </row>
    <row r="219" spans="1:19" ht="47.25" x14ac:dyDescent="0.25">
      <c r="A219">
        <v>456</v>
      </c>
      <c r="B219" t="s">
        <v>128</v>
      </c>
      <c r="C219" t="s">
        <v>1474</v>
      </c>
      <c r="D219" t="s">
        <v>1486</v>
      </c>
      <c r="E219" s="24">
        <v>1</v>
      </c>
      <c r="F219" t="s">
        <v>2120</v>
      </c>
      <c r="G219" s="3" t="s">
        <v>384</v>
      </c>
      <c r="H219" t="s">
        <v>2320</v>
      </c>
      <c r="I219" t="s">
        <v>2342</v>
      </c>
      <c r="J219">
        <v>270</v>
      </c>
      <c r="K219" t="s">
        <v>2235</v>
      </c>
      <c r="M219" t="s">
        <v>2359</v>
      </c>
      <c r="S219"/>
    </row>
    <row r="220" spans="1:19" ht="47.25" x14ac:dyDescent="0.25">
      <c r="A220">
        <v>465</v>
      </c>
      <c r="B220" t="s">
        <v>131</v>
      </c>
      <c r="C220" t="s">
        <v>2293</v>
      </c>
      <c r="D220" t="s">
        <v>1547</v>
      </c>
      <c r="E220" s="24">
        <v>1</v>
      </c>
      <c r="F220" t="s">
        <v>1997</v>
      </c>
      <c r="G220" s="3" t="s">
        <v>1548</v>
      </c>
      <c r="H220" t="s">
        <v>2315</v>
      </c>
      <c r="I220" t="s">
        <v>2327</v>
      </c>
      <c r="J220">
        <v>520</v>
      </c>
      <c r="K220" t="s">
        <v>2228</v>
      </c>
      <c r="L220">
        <v>0</v>
      </c>
      <c r="M220" t="s">
        <v>2359</v>
      </c>
      <c r="S220"/>
    </row>
    <row r="221" spans="1:19" ht="47.25" x14ac:dyDescent="0.25">
      <c r="A221">
        <v>465</v>
      </c>
      <c r="B221" t="s">
        <v>131</v>
      </c>
      <c r="C221" t="s">
        <v>2294</v>
      </c>
      <c r="D221" t="s">
        <v>1576</v>
      </c>
      <c r="E221" s="24">
        <v>0</v>
      </c>
      <c r="F221" t="s">
        <v>2089</v>
      </c>
      <c r="G221" s="3" t="s">
        <v>1577</v>
      </c>
      <c r="H221" t="s">
        <v>2315</v>
      </c>
      <c r="I221" t="s">
        <v>2328</v>
      </c>
      <c r="J221">
        <v>520</v>
      </c>
      <c r="K221" t="s">
        <v>2230</v>
      </c>
      <c r="M221" t="s">
        <v>2359</v>
      </c>
      <c r="S221" s="26"/>
    </row>
    <row r="222" spans="1:19" ht="31.5" x14ac:dyDescent="0.25">
      <c r="A222">
        <v>465</v>
      </c>
      <c r="B222" t="s">
        <v>131</v>
      </c>
      <c r="C222" t="s">
        <v>1292</v>
      </c>
      <c r="D222" t="s">
        <v>1308</v>
      </c>
      <c r="E222" s="24">
        <v>0</v>
      </c>
      <c r="F222" t="s">
        <v>1984</v>
      </c>
      <c r="G222" s="3" t="s">
        <v>875</v>
      </c>
      <c r="H222" t="s">
        <v>2308</v>
      </c>
      <c r="I222" t="s">
        <v>2337</v>
      </c>
      <c r="J222">
        <v>510</v>
      </c>
      <c r="K222" t="s">
        <v>2287</v>
      </c>
      <c r="M222" t="s">
        <v>2359</v>
      </c>
    </row>
    <row r="223" spans="1:19" ht="47.25" x14ac:dyDescent="0.25">
      <c r="A223">
        <v>465</v>
      </c>
      <c r="B223" t="s">
        <v>131</v>
      </c>
      <c r="C223" t="s">
        <v>1668</v>
      </c>
      <c r="D223" t="s">
        <v>1676</v>
      </c>
      <c r="E223" s="24">
        <v>0</v>
      </c>
      <c r="F223" t="s">
        <v>1997</v>
      </c>
      <c r="G223" s="3" t="s">
        <v>372</v>
      </c>
      <c r="H223" t="s">
        <v>2308</v>
      </c>
      <c r="I223" t="s">
        <v>2332</v>
      </c>
      <c r="J223">
        <v>520</v>
      </c>
      <c r="K223" t="s">
        <v>2288</v>
      </c>
      <c r="L223">
        <v>0</v>
      </c>
      <c r="M223" t="s">
        <v>2359</v>
      </c>
      <c r="S223" s="30"/>
    </row>
    <row r="224" spans="1:19" ht="78.75" x14ac:dyDescent="0.25">
      <c r="A224">
        <v>465</v>
      </c>
      <c r="B224" t="s">
        <v>131</v>
      </c>
      <c r="C224" t="s">
        <v>1220</v>
      </c>
      <c r="D224" t="s">
        <v>1228</v>
      </c>
      <c r="E224" s="24">
        <v>0</v>
      </c>
      <c r="F224" t="s">
        <v>1984</v>
      </c>
      <c r="G224" s="3" t="s">
        <v>438</v>
      </c>
      <c r="H224" t="s">
        <v>2300</v>
      </c>
      <c r="I224" t="s">
        <v>2330</v>
      </c>
      <c r="J224">
        <v>510</v>
      </c>
      <c r="K224" t="s">
        <v>2242</v>
      </c>
      <c r="M224" t="s">
        <v>2359</v>
      </c>
      <c r="S224"/>
    </row>
    <row r="225" spans="1:19" ht="47.25" x14ac:dyDescent="0.25">
      <c r="A225">
        <v>465</v>
      </c>
      <c r="B225" t="s">
        <v>131</v>
      </c>
      <c r="C225" t="s">
        <v>1220</v>
      </c>
      <c r="D225" t="s">
        <v>1233</v>
      </c>
      <c r="E225" s="24">
        <v>0</v>
      </c>
      <c r="F225" t="s">
        <v>2149</v>
      </c>
      <c r="G225" s="3" t="s">
        <v>1234</v>
      </c>
      <c r="H225" t="s">
        <v>2300</v>
      </c>
      <c r="I225" t="s">
        <v>2330</v>
      </c>
      <c r="J225">
        <v>510</v>
      </c>
      <c r="K225" t="s">
        <v>2242</v>
      </c>
      <c r="M225" t="s">
        <v>2359</v>
      </c>
    </row>
    <row r="226" spans="1:19" ht="47.25" x14ac:dyDescent="0.25">
      <c r="A226">
        <v>472</v>
      </c>
      <c r="B226" t="s">
        <v>132</v>
      </c>
      <c r="C226" t="s">
        <v>917</v>
      </c>
      <c r="D226" t="s">
        <v>940</v>
      </c>
      <c r="E226" s="24">
        <v>1</v>
      </c>
      <c r="F226" t="s">
        <v>2120</v>
      </c>
      <c r="G226" s="3" t="s">
        <v>384</v>
      </c>
      <c r="H226" t="s">
        <v>2320</v>
      </c>
      <c r="I226" t="s">
        <v>2343</v>
      </c>
      <c r="J226">
        <v>270</v>
      </c>
      <c r="K226" t="s">
        <v>2233</v>
      </c>
      <c r="M226" t="s">
        <v>2359</v>
      </c>
      <c r="S226"/>
    </row>
    <row r="227" spans="1:19" ht="47.25" x14ac:dyDescent="0.25">
      <c r="A227">
        <v>472</v>
      </c>
      <c r="B227" t="s">
        <v>132</v>
      </c>
      <c r="C227" t="s">
        <v>917</v>
      </c>
      <c r="D227" t="s">
        <v>947</v>
      </c>
      <c r="E227" s="24">
        <v>1</v>
      </c>
      <c r="F227" t="s">
        <v>1993</v>
      </c>
      <c r="G227" s="3" t="s">
        <v>948</v>
      </c>
      <c r="H227" t="s">
        <v>2320</v>
      </c>
      <c r="I227" t="s">
        <v>2343</v>
      </c>
      <c r="J227">
        <v>310</v>
      </c>
      <c r="K227" t="s">
        <v>2233</v>
      </c>
      <c r="M227" t="s">
        <v>2359</v>
      </c>
      <c r="S227"/>
    </row>
    <row r="228" spans="1:19" ht="47.25" x14ac:dyDescent="0.25">
      <c r="A228">
        <v>474</v>
      </c>
      <c r="B228" t="s">
        <v>133</v>
      </c>
      <c r="C228" t="s">
        <v>1772</v>
      </c>
      <c r="D228" t="s">
        <v>1781</v>
      </c>
      <c r="E228" s="24">
        <v>1</v>
      </c>
      <c r="F228" t="s">
        <v>1994</v>
      </c>
      <c r="G228" s="3" t="s">
        <v>1782</v>
      </c>
      <c r="H228" t="s">
        <v>2305</v>
      </c>
      <c r="I228" t="s">
        <v>2344</v>
      </c>
      <c r="J228">
        <v>320</v>
      </c>
      <c r="K228" t="s">
        <v>2279</v>
      </c>
      <c r="M228" t="s">
        <v>2359</v>
      </c>
      <c r="S228"/>
    </row>
    <row r="229" spans="1:19" ht="47.25" x14ac:dyDescent="0.25">
      <c r="A229">
        <v>474</v>
      </c>
      <c r="B229" t="s">
        <v>133</v>
      </c>
      <c r="C229" t="s">
        <v>1772</v>
      </c>
      <c r="D229" t="s">
        <v>1789</v>
      </c>
      <c r="E229" s="24">
        <v>1</v>
      </c>
      <c r="F229" t="s">
        <v>1983</v>
      </c>
      <c r="G229" s="3" t="s">
        <v>372</v>
      </c>
      <c r="H229" t="s">
        <v>2305</v>
      </c>
      <c r="I229" t="s">
        <v>2344</v>
      </c>
      <c r="J229">
        <v>520</v>
      </c>
      <c r="K229" t="s">
        <v>2279</v>
      </c>
      <c r="M229" t="s">
        <v>2359</v>
      </c>
      <c r="S229"/>
    </row>
    <row r="230" spans="1:19" ht="47.25" x14ac:dyDescent="0.25">
      <c r="A230">
        <v>476</v>
      </c>
      <c r="B230" t="s">
        <v>134</v>
      </c>
      <c r="C230" t="s">
        <v>1613</v>
      </c>
      <c r="D230" t="s">
        <v>1629</v>
      </c>
      <c r="E230" s="24">
        <v>1</v>
      </c>
      <c r="F230" t="s">
        <v>2120</v>
      </c>
      <c r="G230" s="3" t="s">
        <v>1630</v>
      </c>
      <c r="H230" t="s">
        <v>2320</v>
      </c>
      <c r="I230" t="s">
        <v>2321</v>
      </c>
      <c r="J230">
        <v>270</v>
      </c>
      <c r="K230" t="s">
        <v>2236</v>
      </c>
      <c r="M230" t="s">
        <v>2359</v>
      </c>
      <c r="S230"/>
    </row>
    <row r="231" spans="1:19" ht="31.5" x14ac:dyDescent="0.25">
      <c r="A231">
        <v>478</v>
      </c>
      <c r="B231" t="s">
        <v>135</v>
      </c>
      <c r="C231" t="s">
        <v>1125</v>
      </c>
      <c r="D231" t="s">
        <v>1134</v>
      </c>
      <c r="E231" s="24">
        <v>0</v>
      </c>
      <c r="F231" t="s">
        <v>1993</v>
      </c>
      <c r="G231" s="3" t="s">
        <v>347</v>
      </c>
      <c r="H231" t="s">
        <v>2338</v>
      </c>
      <c r="I231" t="s">
        <v>2345</v>
      </c>
      <c r="J231">
        <v>310</v>
      </c>
      <c r="K231" t="s">
        <v>2272</v>
      </c>
      <c r="M231" t="s">
        <v>2359</v>
      </c>
    </row>
    <row r="232" spans="1:19" ht="31.5" x14ac:dyDescent="0.25">
      <c r="A232">
        <v>478</v>
      </c>
      <c r="B232" t="s">
        <v>135</v>
      </c>
      <c r="C232" t="s">
        <v>567</v>
      </c>
      <c r="D232" t="s">
        <v>579</v>
      </c>
      <c r="E232" s="24">
        <v>1</v>
      </c>
      <c r="F232" t="s">
        <v>2048</v>
      </c>
      <c r="G232" s="3" t="s">
        <v>580</v>
      </c>
      <c r="H232" t="s">
        <v>2338</v>
      </c>
      <c r="I232" t="s">
        <v>2346</v>
      </c>
      <c r="J232">
        <v>510</v>
      </c>
      <c r="K232" t="s">
        <v>2271</v>
      </c>
      <c r="M232" t="s">
        <v>2359</v>
      </c>
      <c r="S232"/>
    </row>
    <row r="233" spans="1:19" ht="47.25" x14ac:dyDescent="0.25">
      <c r="A233">
        <v>481</v>
      </c>
      <c r="B233" t="s">
        <v>136</v>
      </c>
      <c r="C233" t="s">
        <v>450</v>
      </c>
      <c r="D233" t="s">
        <v>462</v>
      </c>
      <c r="E233" s="24">
        <v>0</v>
      </c>
      <c r="F233" t="s">
        <v>1997</v>
      </c>
      <c r="G233" s="3" t="s">
        <v>372</v>
      </c>
      <c r="H233" t="s">
        <v>2308</v>
      </c>
      <c r="I233" t="s">
        <v>2331</v>
      </c>
      <c r="J233">
        <v>520</v>
      </c>
      <c r="K233" t="s">
        <v>2284</v>
      </c>
      <c r="M233" t="s">
        <v>2359</v>
      </c>
    </row>
    <row r="234" spans="1:19" ht="31.5" x14ac:dyDescent="0.25">
      <c r="A234">
        <v>485</v>
      </c>
      <c r="B234" t="s">
        <v>137</v>
      </c>
      <c r="C234" t="s">
        <v>1832</v>
      </c>
      <c r="D234" t="s">
        <v>1838</v>
      </c>
      <c r="E234" s="24">
        <v>0</v>
      </c>
      <c r="F234" t="s">
        <v>1975</v>
      </c>
      <c r="G234" s="3" t="s">
        <v>686</v>
      </c>
      <c r="H234" t="s">
        <v>2305</v>
      </c>
      <c r="I234" t="s">
        <v>2311</v>
      </c>
      <c r="J234">
        <v>220</v>
      </c>
      <c r="K234" t="s">
        <v>2281</v>
      </c>
      <c r="M234" t="s">
        <v>2359</v>
      </c>
    </row>
    <row r="235" spans="1:19" ht="47.25" x14ac:dyDescent="0.25">
      <c r="A235">
        <v>485</v>
      </c>
      <c r="B235" t="s">
        <v>137</v>
      </c>
      <c r="C235" t="s">
        <v>1832</v>
      </c>
      <c r="D235" t="s">
        <v>1845</v>
      </c>
      <c r="E235" s="24">
        <v>1</v>
      </c>
      <c r="F235" t="s">
        <v>2200</v>
      </c>
      <c r="G235" s="3" t="s">
        <v>372</v>
      </c>
      <c r="H235" t="s">
        <v>2305</v>
      </c>
      <c r="I235" t="s">
        <v>2311</v>
      </c>
      <c r="J235">
        <v>520</v>
      </c>
      <c r="K235" t="s">
        <v>2281</v>
      </c>
      <c r="M235" t="s">
        <v>2359</v>
      </c>
      <c r="S235"/>
    </row>
    <row r="236" spans="1:19" ht="47.25" x14ac:dyDescent="0.25">
      <c r="A236">
        <v>488</v>
      </c>
      <c r="B236" t="s">
        <v>138</v>
      </c>
      <c r="C236" t="s">
        <v>450</v>
      </c>
      <c r="D236" t="s">
        <v>462</v>
      </c>
      <c r="E236" s="24">
        <v>0</v>
      </c>
      <c r="F236" t="s">
        <v>1997</v>
      </c>
      <c r="G236" s="3" t="s">
        <v>372</v>
      </c>
      <c r="H236" t="s">
        <v>2308</v>
      </c>
      <c r="I236" t="s">
        <v>2331</v>
      </c>
      <c r="J236">
        <v>520</v>
      </c>
      <c r="K236" t="s">
        <v>2284</v>
      </c>
      <c r="M236" t="s">
        <v>2359</v>
      </c>
    </row>
    <row r="237" spans="1:19" ht="31.5" x14ac:dyDescent="0.25">
      <c r="A237">
        <v>488</v>
      </c>
      <c r="B237" t="s">
        <v>138</v>
      </c>
      <c r="C237" t="s">
        <v>859</v>
      </c>
      <c r="D237" t="s">
        <v>864</v>
      </c>
      <c r="E237" s="24">
        <v>1</v>
      </c>
      <c r="F237" t="s">
        <v>1981</v>
      </c>
      <c r="G237" s="3" t="s">
        <v>289</v>
      </c>
      <c r="H237" t="s">
        <v>2312</v>
      </c>
      <c r="I237" t="s">
        <v>2313</v>
      </c>
      <c r="J237">
        <v>250</v>
      </c>
      <c r="K237" t="s">
        <v>2268</v>
      </c>
      <c r="M237" t="s">
        <v>2359</v>
      </c>
      <c r="S237"/>
    </row>
    <row r="238" spans="1:19" ht="31.5" x14ac:dyDescent="0.25">
      <c r="A238">
        <v>488</v>
      </c>
      <c r="B238" t="s">
        <v>138</v>
      </c>
      <c r="C238" t="s">
        <v>859</v>
      </c>
      <c r="D238" t="s">
        <v>874</v>
      </c>
      <c r="E238" s="24">
        <v>0</v>
      </c>
      <c r="F238" t="s">
        <v>1984</v>
      </c>
      <c r="G238" s="3" t="s">
        <v>875</v>
      </c>
      <c r="H238" t="s">
        <v>2312</v>
      </c>
      <c r="I238" t="s">
        <v>2313</v>
      </c>
      <c r="J238">
        <v>510</v>
      </c>
      <c r="K238" t="s">
        <v>2268</v>
      </c>
      <c r="M238" t="s">
        <v>2359</v>
      </c>
    </row>
    <row r="239" spans="1:19" ht="47.25" x14ac:dyDescent="0.25">
      <c r="A239">
        <v>488</v>
      </c>
      <c r="B239" t="s">
        <v>138</v>
      </c>
      <c r="C239" t="s">
        <v>859</v>
      </c>
      <c r="D239" t="s">
        <v>876</v>
      </c>
      <c r="E239" s="24">
        <v>0</v>
      </c>
      <c r="F239" t="s">
        <v>1984</v>
      </c>
      <c r="G239" s="3" t="s">
        <v>372</v>
      </c>
      <c r="H239" t="s">
        <v>2312</v>
      </c>
      <c r="I239" t="s">
        <v>2313</v>
      </c>
      <c r="J239">
        <v>510</v>
      </c>
      <c r="K239" t="s">
        <v>2268</v>
      </c>
      <c r="M239" t="s">
        <v>2359</v>
      </c>
    </row>
    <row r="240" spans="1:19" ht="31.5" x14ac:dyDescent="0.25">
      <c r="A240">
        <v>489</v>
      </c>
      <c r="B240" t="s">
        <v>139</v>
      </c>
      <c r="C240" t="s">
        <v>1457</v>
      </c>
      <c r="D240" t="s">
        <v>1465</v>
      </c>
      <c r="E240" s="24">
        <v>0</v>
      </c>
      <c r="F240" t="s">
        <v>1993</v>
      </c>
      <c r="G240" s="3" t="s">
        <v>347</v>
      </c>
      <c r="H240" t="s">
        <v>2318</v>
      </c>
      <c r="I240" t="s">
        <v>2319</v>
      </c>
      <c r="J240">
        <v>310</v>
      </c>
      <c r="K240" t="s">
        <v>2223</v>
      </c>
      <c r="M240" t="s">
        <v>2359</v>
      </c>
    </row>
    <row r="241" spans="1:19" ht="47.25" x14ac:dyDescent="0.25">
      <c r="A241">
        <v>489</v>
      </c>
      <c r="B241" t="s">
        <v>139</v>
      </c>
      <c r="C241" t="s">
        <v>1457</v>
      </c>
      <c r="D241" t="s">
        <v>1468</v>
      </c>
      <c r="E241" s="24">
        <v>0</v>
      </c>
      <c r="F241" t="s">
        <v>1977</v>
      </c>
      <c r="G241" s="3" t="s">
        <v>1469</v>
      </c>
      <c r="H241" t="s">
        <v>2318</v>
      </c>
      <c r="I241" t="s">
        <v>2319</v>
      </c>
      <c r="J241">
        <v>330</v>
      </c>
      <c r="K241" t="s">
        <v>2223</v>
      </c>
      <c r="M241" t="s">
        <v>2359</v>
      </c>
    </row>
    <row r="242" spans="1:19" ht="47.25" x14ac:dyDescent="0.25">
      <c r="A242">
        <v>489</v>
      </c>
      <c r="B242" t="s">
        <v>139</v>
      </c>
      <c r="C242" t="s">
        <v>450</v>
      </c>
      <c r="D242" t="s">
        <v>462</v>
      </c>
      <c r="E242" s="24">
        <v>1</v>
      </c>
      <c r="F242" t="s">
        <v>1997</v>
      </c>
      <c r="G242" s="3" t="s">
        <v>372</v>
      </c>
      <c r="H242" t="s">
        <v>2308</v>
      </c>
      <c r="I242" t="s">
        <v>2331</v>
      </c>
      <c r="J242">
        <v>520</v>
      </c>
      <c r="K242" t="s">
        <v>2284</v>
      </c>
      <c r="M242" t="s">
        <v>2359</v>
      </c>
      <c r="S242"/>
    </row>
    <row r="243" spans="1:19" ht="31.5" x14ac:dyDescent="0.25">
      <c r="A243">
        <v>489</v>
      </c>
      <c r="B243" t="s">
        <v>139</v>
      </c>
      <c r="C243" t="s">
        <v>1457</v>
      </c>
      <c r="D243" t="s">
        <v>1465</v>
      </c>
      <c r="E243" s="24">
        <v>1</v>
      </c>
      <c r="F243" t="s">
        <v>1993</v>
      </c>
      <c r="G243" s="3" t="s">
        <v>347</v>
      </c>
      <c r="H243" t="s">
        <v>2318</v>
      </c>
      <c r="I243" t="s">
        <v>2319</v>
      </c>
      <c r="J243">
        <v>310</v>
      </c>
      <c r="K243" t="s">
        <v>2223</v>
      </c>
      <c r="M243" t="s">
        <v>2359</v>
      </c>
      <c r="S243"/>
    </row>
    <row r="244" spans="1:19" ht="47.25" x14ac:dyDescent="0.25">
      <c r="A244">
        <v>489</v>
      </c>
      <c r="B244" t="s">
        <v>139</v>
      </c>
      <c r="C244" t="s">
        <v>1457</v>
      </c>
      <c r="D244" t="s">
        <v>1468</v>
      </c>
      <c r="E244" s="24">
        <v>1</v>
      </c>
      <c r="F244" t="s">
        <v>1977</v>
      </c>
      <c r="G244" s="3" t="s">
        <v>1469</v>
      </c>
      <c r="H244" t="s">
        <v>2318</v>
      </c>
      <c r="I244" t="s">
        <v>2319</v>
      </c>
      <c r="J244">
        <v>330</v>
      </c>
      <c r="K244" t="s">
        <v>2223</v>
      </c>
      <c r="M244" t="s">
        <v>2359</v>
      </c>
      <c r="S244"/>
    </row>
    <row r="245" spans="1:19" ht="63" x14ac:dyDescent="0.25">
      <c r="A245">
        <v>493</v>
      </c>
      <c r="B245" t="s">
        <v>140</v>
      </c>
      <c r="C245" t="s">
        <v>422</v>
      </c>
      <c r="D245" t="s">
        <v>425</v>
      </c>
      <c r="E245" s="24">
        <v>0</v>
      </c>
      <c r="F245" t="s">
        <v>2017</v>
      </c>
      <c r="G245" s="3" t="s">
        <v>426</v>
      </c>
      <c r="H245" t="s">
        <v>2300</v>
      </c>
      <c r="I245" t="s">
        <v>2304</v>
      </c>
      <c r="J245">
        <v>270</v>
      </c>
      <c r="K245" t="s">
        <v>2239</v>
      </c>
      <c r="M245" t="s">
        <v>2359</v>
      </c>
    </row>
    <row r="246" spans="1:19" ht="78.75" x14ac:dyDescent="0.25">
      <c r="A246">
        <v>493</v>
      </c>
      <c r="B246" t="s">
        <v>140</v>
      </c>
      <c r="C246" t="s">
        <v>422</v>
      </c>
      <c r="D246" t="s">
        <v>437</v>
      </c>
      <c r="E246" s="24">
        <v>1</v>
      </c>
      <c r="F246" t="s">
        <v>1984</v>
      </c>
      <c r="G246" s="3" t="s">
        <v>438</v>
      </c>
      <c r="H246" t="s">
        <v>2300</v>
      </c>
      <c r="I246" t="s">
        <v>2304</v>
      </c>
      <c r="J246">
        <v>510</v>
      </c>
      <c r="K246" t="s">
        <v>2239</v>
      </c>
      <c r="L246">
        <v>0</v>
      </c>
      <c r="M246" t="s">
        <v>2359</v>
      </c>
      <c r="S246" s="30"/>
    </row>
    <row r="247" spans="1:19" ht="78.75" x14ac:dyDescent="0.25">
      <c r="A247">
        <v>493</v>
      </c>
      <c r="B247" t="s">
        <v>140</v>
      </c>
      <c r="C247" t="s">
        <v>1220</v>
      </c>
      <c r="D247" t="s">
        <v>1228</v>
      </c>
      <c r="E247" s="24">
        <v>0</v>
      </c>
      <c r="F247" t="s">
        <v>1984</v>
      </c>
      <c r="G247" s="3" t="s">
        <v>438</v>
      </c>
      <c r="H247" t="s">
        <v>2300</v>
      </c>
      <c r="I247" t="s">
        <v>2330</v>
      </c>
      <c r="J247">
        <v>510</v>
      </c>
      <c r="K247" t="s">
        <v>2242</v>
      </c>
      <c r="M247" t="s">
        <v>2359</v>
      </c>
    </row>
    <row r="248" spans="1:19" ht="47.25" x14ac:dyDescent="0.25">
      <c r="A248">
        <v>493</v>
      </c>
      <c r="B248" t="s">
        <v>140</v>
      </c>
      <c r="C248" t="s">
        <v>1220</v>
      </c>
      <c r="D248" t="s">
        <v>1233</v>
      </c>
      <c r="E248" s="24">
        <v>0</v>
      </c>
      <c r="F248" t="s">
        <v>2149</v>
      </c>
      <c r="G248" s="3" t="s">
        <v>1234</v>
      </c>
      <c r="H248" t="s">
        <v>2300</v>
      </c>
      <c r="I248" t="s">
        <v>2330</v>
      </c>
      <c r="J248">
        <v>510</v>
      </c>
      <c r="K248" t="s">
        <v>2242</v>
      </c>
      <c r="M248" t="s">
        <v>2360</v>
      </c>
      <c r="N248" s="34">
        <v>44042</v>
      </c>
      <c r="O248" t="s">
        <v>2488</v>
      </c>
      <c r="Q248" t="s">
        <v>2643</v>
      </c>
      <c r="R248" s="25">
        <v>976000</v>
      </c>
      <c r="S248" s="36" t="s">
        <v>2368</v>
      </c>
    </row>
    <row r="249" spans="1:19" ht="41.25" customHeight="1" x14ac:dyDescent="0.25">
      <c r="A249">
        <v>493</v>
      </c>
      <c r="B249" t="s">
        <v>140</v>
      </c>
      <c r="C249" t="s">
        <v>682</v>
      </c>
      <c r="D249" t="s">
        <v>685</v>
      </c>
      <c r="E249" s="24">
        <v>0</v>
      </c>
      <c r="F249" t="s">
        <v>2090</v>
      </c>
      <c r="G249" s="3" t="s">
        <v>686</v>
      </c>
      <c r="H249" t="s">
        <v>2300</v>
      </c>
      <c r="I249" t="s">
        <v>2310</v>
      </c>
      <c r="J249">
        <v>220</v>
      </c>
      <c r="K249" t="s">
        <v>2241</v>
      </c>
      <c r="M249" t="s">
        <v>2359</v>
      </c>
    </row>
    <row r="250" spans="1:19" ht="50.25" customHeight="1" x14ac:dyDescent="0.25">
      <c r="A250">
        <v>493</v>
      </c>
      <c r="B250" t="s">
        <v>140</v>
      </c>
      <c r="C250" t="s">
        <v>682</v>
      </c>
      <c r="D250" t="s">
        <v>697</v>
      </c>
      <c r="E250" s="24">
        <v>0</v>
      </c>
      <c r="F250" t="s">
        <v>2091</v>
      </c>
      <c r="G250" s="3" t="s">
        <v>698</v>
      </c>
      <c r="H250" t="s">
        <v>2300</v>
      </c>
      <c r="I250" t="s">
        <v>2310</v>
      </c>
      <c r="J250">
        <v>270</v>
      </c>
      <c r="K250" t="s">
        <v>2241</v>
      </c>
      <c r="M250" t="s">
        <v>2359</v>
      </c>
    </row>
    <row r="251" spans="1:19" ht="48.75" customHeight="1" x14ac:dyDescent="0.25">
      <c r="A251">
        <v>493</v>
      </c>
      <c r="B251" t="s">
        <v>140</v>
      </c>
      <c r="C251" t="s">
        <v>682</v>
      </c>
      <c r="D251" t="s">
        <v>699</v>
      </c>
      <c r="E251" s="24">
        <v>0</v>
      </c>
      <c r="F251" t="s">
        <v>2091</v>
      </c>
      <c r="G251" s="3" t="s">
        <v>700</v>
      </c>
      <c r="H251" t="s">
        <v>2300</v>
      </c>
      <c r="I251" t="s">
        <v>2310</v>
      </c>
      <c r="J251">
        <v>270</v>
      </c>
      <c r="K251" t="s">
        <v>2241</v>
      </c>
      <c r="M251" t="s">
        <v>2359</v>
      </c>
      <c r="S251" s="26"/>
    </row>
    <row r="252" spans="1:19" ht="30.75" customHeight="1" x14ac:dyDescent="0.25">
      <c r="A252" s="32">
        <v>494</v>
      </c>
      <c r="B252" t="s">
        <v>140</v>
      </c>
      <c r="C252" t="s">
        <v>422</v>
      </c>
      <c r="D252" t="s">
        <v>425</v>
      </c>
      <c r="E252" s="24">
        <v>1</v>
      </c>
      <c r="F252" t="s">
        <v>2017</v>
      </c>
      <c r="G252" s="3" t="s">
        <v>426</v>
      </c>
      <c r="H252" t="s">
        <v>2300</v>
      </c>
      <c r="I252" t="s">
        <v>2304</v>
      </c>
      <c r="J252">
        <v>270</v>
      </c>
      <c r="K252" t="s">
        <v>2239</v>
      </c>
      <c r="L252">
        <v>3350</v>
      </c>
      <c r="M252" t="s">
        <v>2359</v>
      </c>
    </row>
    <row r="253" spans="1:19" ht="78.75" x14ac:dyDescent="0.25">
      <c r="A253">
        <v>494</v>
      </c>
      <c r="B253" t="s">
        <v>140</v>
      </c>
      <c r="C253" t="s">
        <v>422</v>
      </c>
      <c r="D253" t="s">
        <v>437</v>
      </c>
      <c r="E253" s="24">
        <v>1</v>
      </c>
      <c r="F253" t="s">
        <v>1984</v>
      </c>
      <c r="G253" s="3" t="s">
        <v>438</v>
      </c>
      <c r="H253" t="s">
        <v>2300</v>
      </c>
      <c r="I253" t="s">
        <v>2304</v>
      </c>
      <c r="J253">
        <v>510</v>
      </c>
      <c r="K253" t="s">
        <v>2239</v>
      </c>
      <c r="M253" t="s">
        <v>2359</v>
      </c>
      <c r="S253"/>
    </row>
    <row r="254" spans="1:19" ht="78.75" x14ac:dyDescent="0.25">
      <c r="A254">
        <v>494</v>
      </c>
      <c r="B254" t="s">
        <v>140</v>
      </c>
      <c r="C254" t="s">
        <v>1220</v>
      </c>
      <c r="D254" t="s">
        <v>1228</v>
      </c>
      <c r="E254" s="24">
        <v>1</v>
      </c>
      <c r="F254" t="s">
        <v>1984</v>
      </c>
      <c r="G254" s="3" t="s">
        <v>438</v>
      </c>
      <c r="H254" t="s">
        <v>2300</v>
      </c>
      <c r="I254" t="s">
        <v>2330</v>
      </c>
      <c r="J254">
        <v>510</v>
      </c>
      <c r="K254" t="s">
        <v>2242</v>
      </c>
      <c r="M254" t="s">
        <v>2359</v>
      </c>
      <c r="S254"/>
    </row>
    <row r="255" spans="1:19" ht="47.25" x14ac:dyDescent="0.25">
      <c r="A255">
        <v>494</v>
      </c>
      <c r="B255" t="s">
        <v>140</v>
      </c>
      <c r="C255" t="s">
        <v>1220</v>
      </c>
      <c r="D255" t="s">
        <v>1233</v>
      </c>
      <c r="E255" s="24">
        <v>1</v>
      </c>
      <c r="F255" t="s">
        <v>2149</v>
      </c>
      <c r="G255" s="3" t="s">
        <v>1234</v>
      </c>
      <c r="H255" t="s">
        <v>2300</v>
      </c>
      <c r="I255" t="s">
        <v>2330</v>
      </c>
      <c r="J255">
        <v>510</v>
      </c>
      <c r="K255" t="s">
        <v>2242</v>
      </c>
      <c r="S255"/>
    </row>
    <row r="256" spans="1:19" ht="31.5" x14ac:dyDescent="0.25">
      <c r="A256">
        <v>494</v>
      </c>
      <c r="B256" t="s">
        <v>140</v>
      </c>
      <c r="C256" t="s">
        <v>682</v>
      </c>
      <c r="D256" t="s">
        <v>685</v>
      </c>
      <c r="E256" s="24">
        <v>1</v>
      </c>
      <c r="F256" t="s">
        <v>2090</v>
      </c>
      <c r="G256" s="3" t="s">
        <v>686</v>
      </c>
      <c r="H256" t="s">
        <v>2300</v>
      </c>
      <c r="I256" t="s">
        <v>2310</v>
      </c>
      <c r="J256">
        <v>220</v>
      </c>
      <c r="K256" t="s">
        <v>2241</v>
      </c>
      <c r="L256" t="s">
        <v>2359</v>
      </c>
      <c r="S256"/>
    </row>
    <row r="257" spans="1:20" ht="78.75" x14ac:dyDescent="0.25">
      <c r="A257">
        <v>494</v>
      </c>
      <c r="B257" t="s">
        <v>140</v>
      </c>
      <c r="C257" t="s">
        <v>682</v>
      </c>
      <c r="D257" t="s">
        <v>697</v>
      </c>
      <c r="E257" s="24">
        <v>1</v>
      </c>
      <c r="F257" t="s">
        <v>2091</v>
      </c>
      <c r="G257" s="3" t="s">
        <v>698</v>
      </c>
      <c r="H257" t="s">
        <v>2300</v>
      </c>
      <c r="I257" t="s">
        <v>2310</v>
      </c>
      <c r="J257">
        <v>270</v>
      </c>
      <c r="K257" t="s">
        <v>2241</v>
      </c>
      <c r="S257"/>
    </row>
    <row r="258" spans="1:20" ht="47.25" x14ac:dyDescent="0.25">
      <c r="A258">
        <v>494</v>
      </c>
      <c r="B258" t="s">
        <v>140</v>
      </c>
      <c r="C258" t="s">
        <v>682</v>
      </c>
      <c r="D258" t="s">
        <v>699</v>
      </c>
      <c r="E258" s="24">
        <v>1</v>
      </c>
      <c r="F258" t="s">
        <v>2091</v>
      </c>
      <c r="G258" s="3" t="s">
        <v>700</v>
      </c>
      <c r="H258" t="s">
        <v>2300</v>
      </c>
      <c r="I258" t="s">
        <v>2310</v>
      </c>
      <c r="J258">
        <v>270</v>
      </c>
      <c r="K258" t="s">
        <v>2241</v>
      </c>
      <c r="S258"/>
    </row>
    <row r="259" spans="1:20" ht="78.75" x14ac:dyDescent="0.25">
      <c r="A259">
        <v>500</v>
      </c>
      <c r="B259" t="s">
        <v>142</v>
      </c>
      <c r="C259" t="s">
        <v>636</v>
      </c>
      <c r="D259" t="s">
        <v>653</v>
      </c>
      <c r="E259" s="24">
        <v>1</v>
      </c>
      <c r="F259" t="s">
        <v>1984</v>
      </c>
      <c r="G259" s="3" t="s">
        <v>438</v>
      </c>
      <c r="H259" t="s">
        <v>2300</v>
      </c>
      <c r="I259" t="s">
        <v>2307</v>
      </c>
      <c r="J259">
        <v>510</v>
      </c>
      <c r="K259" t="s">
        <v>2240</v>
      </c>
      <c r="M259" t="s">
        <v>2360</v>
      </c>
      <c r="N259" s="34">
        <v>43951</v>
      </c>
      <c r="O259" t="s">
        <v>2665</v>
      </c>
      <c r="P259" t="s">
        <v>2666</v>
      </c>
      <c r="Q259" t="s">
        <v>2667</v>
      </c>
      <c r="R259" s="25">
        <v>88000000</v>
      </c>
      <c r="S259" s="30" t="s">
        <v>2664</v>
      </c>
    </row>
    <row r="260" spans="1:20" ht="63" x14ac:dyDescent="0.25">
      <c r="A260">
        <v>500</v>
      </c>
      <c r="B260" t="s">
        <v>142</v>
      </c>
      <c r="C260" t="s">
        <v>422</v>
      </c>
      <c r="D260" t="s">
        <v>425</v>
      </c>
      <c r="E260" s="24">
        <v>0</v>
      </c>
      <c r="F260" t="s">
        <v>2017</v>
      </c>
      <c r="G260" s="3" t="s">
        <v>426</v>
      </c>
      <c r="H260" t="s">
        <v>2300</v>
      </c>
      <c r="I260" t="s">
        <v>2304</v>
      </c>
      <c r="J260">
        <v>270</v>
      </c>
      <c r="K260" t="s">
        <v>2239</v>
      </c>
      <c r="M260" t="s">
        <v>2359</v>
      </c>
    </row>
    <row r="261" spans="1:20" ht="78.75" x14ac:dyDescent="0.25">
      <c r="A261">
        <v>500</v>
      </c>
      <c r="B261" t="s">
        <v>142</v>
      </c>
      <c r="C261" t="s">
        <v>422</v>
      </c>
      <c r="D261" t="s">
        <v>437</v>
      </c>
      <c r="E261" s="24">
        <v>1</v>
      </c>
      <c r="F261" t="s">
        <v>1984</v>
      </c>
      <c r="G261" s="3" t="s">
        <v>438</v>
      </c>
      <c r="H261" t="s">
        <v>2300</v>
      </c>
      <c r="I261" t="s">
        <v>2304</v>
      </c>
      <c r="J261">
        <v>510</v>
      </c>
      <c r="K261" t="s">
        <v>2239</v>
      </c>
      <c r="M261" t="s">
        <v>2360</v>
      </c>
      <c r="S261" s="26"/>
      <c r="T261" t="s">
        <v>2864</v>
      </c>
    </row>
    <row r="262" spans="1:20" ht="31.5" x14ac:dyDescent="0.25">
      <c r="A262">
        <v>502</v>
      </c>
      <c r="B262" t="s">
        <v>144</v>
      </c>
      <c r="C262" t="s">
        <v>1457</v>
      </c>
      <c r="D262" t="s">
        <v>1465</v>
      </c>
      <c r="E262" s="24">
        <v>0</v>
      </c>
      <c r="F262" t="s">
        <v>1993</v>
      </c>
      <c r="G262" s="3" t="s">
        <v>347</v>
      </c>
      <c r="H262" t="s">
        <v>2318</v>
      </c>
      <c r="I262" t="s">
        <v>2319</v>
      </c>
      <c r="J262">
        <v>310</v>
      </c>
      <c r="K262" t="s">
        <v>2223</v>
      </c>
      <c r="M262" t="s">
        <v>2360</v>
      </c>
      <c r="N262" s="34">
        <v>43220</v>
      </c>
      <c r="O262" t="s">
        <v>2446</v>
      </c>
      <c r="Q262" t="s">
        <v>2447</v>
      </c>
      <c r="R262" s="25">
        <v>5000</v>
      </c>
      <c r="S262" s="36" t="s">
        <v>2673</v>
      </c>
    </row>
    <row r="263" spans="1:20" x14ac:dyDescent="0.25">
      <c r="N263" s="34">
        <v>43230</v>
      </c>
      <c r="O263" t="s">
        <v>2446</v>
      </c>
      <c r="Q263" t="s">
        <v>2447</v>
      </c>
      <c r="R263" s="25">
        <v>6467</v>
      </c>
      <c r="S263" s="36" t="s">
        <v>2672</v>
      </c>
    </row>
    <row r="264" spans="1:20" x14ac:dyDescent="0.25">
      <c r="N264" s="34">
        <v>43378</v>
      </c>
      <c r="O264" t="s">
        <v>2446</v>
      </c>
      <c r="Q264" t="s">
        <v>2447</v>
      </c>
      <c r="R264" s="25">
        <v>14956</v>
      </c>
      <c r="S264" s="36" t="s">
        <v>2671</v>
      </c>
    </row>
    <row r="265" spans="1:20" x14ac:dyDescent="0.25">
      <c r="N265" s="34">
        <v>43388</v>
      </c>
      <c r="O265" t="s">
        <v>2446</v>
      </c>
      <c r="Q265" t="s">
        <v>2447</v>
      </c>
      <c r="R265" s="25">
        <v>9282</v>
      </c>
      <c r="S265" s="36" t="s">
        <v>2670</v>
      </c>
    </row>
    <row r="266" spans="1:20" ht="47.25" x14ac:dyDescent="0.25">
      <c r="A266">
        <v>502</v>
      </c>
      <c r="B266" t="s">
        <v>144</v>
      </c>
      <c r="C266" t="s">
        <v>1457</v>
      </c>
      <c r="D266" t="s">
        <v>1468</v>
      </c>
      <c r="E266" s="24">
        <v>0</v>
      </c>
      <c r="F266" t="s">
        <v>1977</v>
      </c>
      <c r="G266" s="3" t="s">
        <v>1469</v>
      </c>
      <c r="H266" t="s">
        <v>2318</v>
      </c>
      <c r="I266" t="s">
        <v>2319</v>
      </c>
      <c r="J266">
        <v>330</v>
      </c>
      <c r="K266" t="s">
        <v>2223</v>
      </c>
      <c r="M266" t="s">
        <v>2360</v>
      </c>
      <c r="N266" s="34">
        <v>43208</v>
      </c>
      <c r="O266" t="s">
        <v>2442</v>
      </c>
      <c r="Q266" t="s">
        <v>2497</v>
      </c>
      <c r="R266" s="25">
        <v>75000</v>
      </c>
      <c r="S266" s="36" t="s">
        <v>2389</v>
      </c>
    </row>
    <row r="267" spans="1:20" ht="47.25" x14ac:dyDescent="0.25">
      <c r="A267">
        <v>507</v>
      </c>
      <c r="B267" t="s">
        <v>145</v>
      </c>
      <c r="C267" t="s">
        <v>2294</v>
      </c>
      <c r="D267" t="s">
        <v>1576</v>
      </c>
      <c r="E267" s="24">
        <v>1</v>
      </c>
      <c r="F267" t="s">
        <v>2089</v>
      </c>
      <c r="G267" s="3" t="s">
        <v>1577</v>
      </c>
      <c r="H267" t="s">
        <v>2315</v>
      </c>
      <c r="I267" t="s">
        <v>2328</v>
      </c>
      <c r="J267">
        <v>520</v>
      </c>
      <c r="K267" t="s">
        <v>2230</v>
      </c>
      <c r="M267" t="s">
        <v>2359</v>
      </c>
      <c r="S267"/>
    </row>
    <row r="268" spans="1:20" ht="47.25" x14ac:dyDescent="0.25">
      <c r="A268">
        <v>507</v>
      </c>
      <c r="B268" t="s">
        <v>145</v>
      </c>
      <c r="C268" t="s">
        <v>2293</v>
      </c>
      <c r="D268" t="s">
        <v>1547</v>
      </c>
      <c r="E268" s="24">
        <v>0</v>
      </c>
      <c r="F268" t="s">
        <v>1997</v>
      </c>
      <c r="G268" s="3" t="s">
        <v>1548</v>
      </c>
      <c r="H268" t="s">
        <v>2315</v>
      </c>
      <c r="I268" t="s">
        <v>2327</v>
      </c>
      <c r="J268">
        <v>520</v>
      </c>
      <c r="K268" t="s">
        <v>2228</v>
      </c>
      <c r="M268" t="s">
        <v>2360</v>
      </c>
      <c r="N268" s="34">
        <v>43958</v>
      </c>
      <c r="O268" t="s">
        <v>2675</v>
      </c>
      <c r="Q268" t="s">
        <v>2676</v>
      </c>
      <c r="R268" s="25">
        <v>236602</v>
      </c>
      <c r="S268" s="28" t="s">
        <v>2370</v>
      </c>
    </row>
    <row r="269" spans="1:20" ht="31.5" x14ac:dyDescent="0.25">
      <c r="A269">
        <v>509</v>
      </c>
      <c r="B269" t="s">
        <v>146</v>
      </c>
      <c r="C269" t="s">
        <v>1125</v>
      </c>
      <c r="D269" t="s">
        <v>1134</v>
      </c>
      <c r="E269" s="24">
        <v>0</v>
      </c>
      <c r="F269" t="s">
        <v>1993</v>
      </c>
      <c r="G269" s="3" t="s">
        <v>347</v>
      </c>
      <c r="H269" t="s">
        <v>2338</v>
      </c>
      <c r="I269" t="s">
        <v>2345</v>
      </c>
      <c r="J269">
        <v>310</v>
      </c>
      <c r="K269" t="s">
        <v>2272</v>
      </c>
      <c r="M269" t="s">
        <v>2360</v>
      </c>
      <c r="N269" s="34">
        <v>43564</v>
      </c>
      <c r="O269" t="s">
        <v>2449</v>
      </c>
      <c r="R269" s="25">
        <v>4168000</v>
      </c>
      <c r="S269" s="30" t="s">
        <v>2695</v>
      </c>
    </row>
    <row r="270" spans="1:20" ht="47.25" x14ac:dyDescent="0.25">
      <c r="A270">
        <v>518</v>
      </c>
      <c r="B270" t="s">
        <v>147</v>
      </c>
      <c r="C270" t="s">
        <v>2293</v>
      </c>
      <c r="D270" t="s">
        <v>1547</v>
      </c>
      <c r="E270" s="24">
        <v>0</v>
      </c>
      <c r="F270" t="s">
        <v>1997</v>
      </c>
      <c r="G270" s="3" t="s">
        <v>1548</v>
      </c>
      <c r="H270" t="s">
        <v>2315</v>
      </c>
      <c r="I270" t="s">
        <v>2327</v>
      </c>
      <c r="J270">
        <v>520</v>
      </c>
      <c r="K270" t="s">
        <v>2228</v>
      </c>
      <c r="M270" t="s">
        <v>2359</v>
      </c>
      <c r="R270" s="25">
        <v>236602</v>
      </c>
      <c r="S270" s="30" t="s">
        <v>2370</v>
      </c>
    </row>
    <row r="271" spans="1:20" ht="31.5" x14ac:dyDescent="0.25">
      <c r="A271">
        <v>521</v>
      </c>
      <c r="B271" t="s">
        <v>148</v>
      </c>
      <c r="C271" t="s">
        <v>1790</v>
      </c>
      <c r="D271" t="s">
        <v>1796</v>
      </c>
      <c r="E271" s="24">
        <v>0</v>
      </c>
      <c r="F271" t="s">
        <v>2203</v>
      </c>
      <c r="G271" s="3" t="s">
        <v>1205</v>
      </c>
      <c r="H271" t="s">
        <v>2305</v>
      </c>
      <c r="I271" t="s">
        <v>2306</v>
      </c>
      <c r="J271">
        <v>220</v>
      </c>
      <c r="K271" t="s">
        <v>2280</v>
      </c>
      <c r="M271" t="s">
        <v>2359</v>
      </c>
      <c r="S271"/>
    </row>
    <row r="272" spans="1:20" ht="47.25" x14ac:dyDescent="0.25">
      <c r="A272">
        <v>521</v>
      </c>
      <c r="B272" t="s">
        <v>148</v>
      </c>
      <c r="C272" t="s">
        <v>1790</v>
      </c>
      <c r="D272" t="s">
        <v>1804</v>
      </c>
      <c r="E272" s="24">
        <v>0</v>
      </c>
      <c r="F272" t="s">
        <v>2147</v>
      </c>
      <c r="G272" s="3" t="s">
        <v>372</v>
      </c>
      <c r="H272" t="s">
        <v>2305</v>
      </c>
      <c r="I272" t="s">
        <v>2306</v>
      </c>
      <c r="J272">
        <v>520</v>
      </c>
      <c r="K272" t="s">
        <v>2280</v>
      </c>
      <c r="M272" t="s">
        <v>2359</v>
      </c>
      <c r="S272"/>
    </row>
    <row r="273" spans="1:20" ht="47.25" x14ac:dyDescent="0.25">
      <c r="A273">
        <v>522</v>
      </c>
      <c r="B273" t="s">
        <v>149</v>
      </c>
      <c r="C273" t="s">
        <v>506</v>
      </c>
      <c r="D273" t="s">
        <v>511</v>
      </c>
      <c r="E273" s="24">
        <v>1</v>
      </c>
      <c r="F273" t="s">
        <v>2031</v>
      </c>
      <c r="G273" s="3" t="s">
        <v>512</v>
      </c>
      <c r="H273" t="s">
        <v>2302</v>
      </c>
      <c r="I273" t="s">
        <v>2317</v>
      </c>
      <c r="J273">
        <v>210</v>
      </c>
      <c r="K273" t="s">
        <v>2245</v>
      </c>
      <c r="M273" t="s">
        <v>2359</v>
      </c>
      <c r="S273"/>
    </row>
    <row r="274" spans="1:20" ht="31.5" x14ac:dyDescent="0.25">
      <c r="A274">
        <v>522</v>
      </c>
      <c r="B274" t="s">
        <v>149</v>
      </c>
      <c r="C274" t="s">
        <v>506</v>
      </c>
      <c r="D274" t="s">
        <v>538</v>
      </c>
      <c r="E274" s="24">
        <v>1</v>
      </c>
      <c r="F274" t="s">
        <v>2036</v>
      </c>
      <c r="G274" s="3" t="s">
        <v>539</v>
      </c>
      <c r="H274" t="s">
        <v>2302</v>
      </c>
      <c r="I274" t="s">
        <v>2317</v>
      </c>
      <c r="J274">
        <v>270</v>
      </c>
      <c r="K274" t="s">
        <v>2245</v>
      </c>
      <c r="M274" t="s">
        <v>2359</v>
      </c>
      <c r="S274"/>
    </row>
    <row r="275" spans="1:20" ht="31.5" x14ac:dyDescent="0.25">
      <c r="A275">
        <v>522</v>
      </c>
      <c r="B275" t="s">
        <v>149</v>
      </c>
      <c r="C275" t="s">
        <v>506</v>
      </c>
      <c r="D275" t="s">
        <v>548</v>
      </c>
      <c r="E275" s="24">
        <v>1</v>
      </c>
      <c r="F275" t="s">
        <v>1984</v>
      </c>
      <c r="G275" s="3" t="s">
        <v>549</v>
      </c>
      <c r="H275" t="s">
        <v>2302</v>
      </c>
      <c r="I275" t="s">
        <v>2317</v>
      </c>
      <c r="J275">
        <v>510</v>
      </c>
      <c r="K275" t="s">
        <v>2245</v>
      </c>
      <c r="M275" t="s">
        <v>2359</v>
      </c>
      <c r="S275"/>
    </row>
    <row r="276" spans="1:20" ht="47.25" x14ac:dyDescent="0.25">
      <c r="A276">
        <v>523</v>
      </c>
      <c r="B276" t="s">
        <v>149</v>
      </c>
      <c r="C276" t="s">
        <v>506</v>
      </c>
      <c r="D276" t="s">
        <v>511</v>
      </c>
      <c r="E276" s="24">
        <v>1</v>
      </c>
      <c r="F276" t="s">
        <v>2031</v>
      </c>
      <c r="G276" s="3" t="s">
        <v>512</v>
      </c>
      <c r="H276" t="s">
        <v>2302</v>
      </c>
      <c r="I276" t="s">
        <v>2317</v>
      </c>
      <c r="J276">
        <v>210</v>
      </c>
      <c r="K276" t="s">
        <v>2245</v>
      </c>
      <c r="M276" t="s">
        <v>2359</v>
      </c>
      <c r="S276"/>
    </row>
    <row r="277" spans="1:20" ht="31.5" x14ac:dyDescent="0.25">
      <c r="A277">
        <v>523</v>
      </c>
      <c r="B277" t="s">
        <v>149</v>
      </c>
      <c r="C277" t="s">
        <v>506</v>
      </c>
      <c r="D277" t="s">
        <v>538</v>
      </c>
      <c r="E277" s="24">
        <v>1</v>
      </c>
      <c r="F277" t="s">
        <v>2036</v>
      </c>
      <c r="G277" s="3" t="s">
        <v>539</v>
      </c>
      <c r="H277" t="s">
        <v>2302</v>
      </c>
      <c r="I277" t="s">
        <v>2317</v>
      </c>
      <c r="J277">
        <v>270</v>
      </c>
      <c r="K277" t="s">
        <v>2245</v>
      </c>
      <c r="M277" t="s">
        <v>2359</v>
      </c>
      <c r="S277"/>
    </row>
    <row r="278" spans="1:20" ht="31.5" x14ac:dyDescent="0.25">
      <c r="A278">
        <v>523</v>
      </c>
      <c r="B278" t="s">
        <v>149</v>
      </c>
      <c r="C278" t="s">
        <v>506</v>
      </c>
      <c r="D278" t="s">
        <v>548</v>
      </c>
      <c r="E278" s="24">
        <v>1</v>
      </c>
      <c r="F278" t="s">
        <v>1984</v>
      </c>
      <c r="G278" s="3" t="s">
        <v>549</v>
      </c>
      <c r="H278" t="s">
        <v>2302</v>
      </c>
      <c r="I278" t="s">
        <v>2317</v>
      </c>
      <c r="J278">
        <v>510</v>
      </c>
      <c r="K278" t="s">
        <v>2245</v>
      </c>
      <c r="M278" t="s">
        <v>2359</v>
      </c>
      <c r="S278"/>
    </row>
    <row r="279" spans="1:20" ht="63" x14ac:dyDescent="0.25">
      <c r="A279">
        <v>527</v>
      </c>
      <c r="B279" t="s">
        <v>150</v>
      </c>
      <c r="C279" t="s">
        <v>422</v>
      </c>
      <c r="D279" t="s">
        <v>425</v>
      </c>
      <c r="E279" s="24">
        <v>1</v>
      </c>
      <c r="F279" t="s">
        <v>2017</v>
      </c>
      <c r="G279" s="3" t="s">
        <v>426</v>
      </c>
      <c r="H279" t="s">
        <v>2300</v>
      </c>
      <c r="I279" t="s">
        <v>2304</v>
      </c>
      <c r="J279">
        <v>270</v>
      </c>
      <c r="K279" t="s">
        <v>2239</v>
      </c>
      <c r="M279" t="s">
        <v>2359</v>
      </c>
      <c r="S279"/>
    </row>
    <row r="280" spans="1:20" ht="78.75" x14ac:dyDescent="0.25">
      <c r="A280">
        <v>527</v>
      </c>
      <c r="B280" t="s">
        <v>150</v>
      </c>
      <c r="C280" t="s">
        <v>422</v>
      </c>
      <c r="D280" t="s">
        <v>437</v>
      </c>
      <c r="E280" s="24">
        <v>1</v>
      </c>
      <c r="F280" t="s">
        <v>1984</v>
      </c>
      <c r="G280" s="3" t="s">
        <v>438</v>
      </c>
      <c r="H280" t="s">
        <v>2300</v>
      </c>
      <c r="I280" t="s">
        <v>2304</v>
      </c>
      <c r="J280">
        <v>510</v>
      </c>
      <c r="K280" t="s">
        <v>2239</v>
      </c>
      <c r="M280" t="s">
        <v>2359</v>
      </c>
      <c r="S280"/>
    </row>
    <row r="281" spans="1:20" ht="63" x14ac:dyDescent="0.25">
      <c r="A281">
        <v>527</v>
      </c>
      <c r="B281" t="s">
        <v>150</v>
      </c>
      <c r="C281" t="s">
        <v>1169</v>
      </c>
      <c r="D281" t="s">
        <v>1170</v>
      </c>
      <c r="E281" s="24">
        <v>1</v>
      </c>
      <c r="F281" t="s">
        <v>2017</v>
      </c>
      <c r="G281" s="3" t="s">
        <v>1171</v>
      </c>
      <c r="H281" t="s">
        <v>2300</v>
      </c>
      <c r="I281" t="s">
        <v>2301</v>
      </c>
      <c r="J281">
        <v>270</v>
      </c>
      <c r="K281" t="s">
        <v>2243</v>
      </c>
      <c r="M281" t="s">
        <v>2359</v>
      </c>
      <c r="S281"/>
    </row>
    <row r="282" spans="1:20" ht="78.75" x14ac:dyDescent="0.25">
      <c r="A282">
        <v>527</v>
      </c>
      <c r="B282" t="s">
        <v>150</v>
      </c>
      <c r="C282" t="s">
        <v>1169</v>
      </c>
      <c r="D282" t="s">
        <v>1188</v>
      </c>
      <c r="E282" s="24">
        <v>1</v>
      </c>
      <c r="F282" t="s">
        <v>2144</v>
      </c>
      <c r="G282" s="3" t="s">
        <v>1189</v>
      </c>
      <c r="H282" t="s">
        <v>2300</v>
      </c>
      <c r="I282" t="s">
        <v>2301</v>
      </c>
      <c r="J282">
        <v>450</v>
      </c>
      <c r="K282" t="s">
        <v>2243</v>
      </c>
      <c r="M282" t="s">
        <v>2359</v>
      </c>
      <c r="S282"/>
    </row>
    <row r="283" spans="1:20" ht="63" x14ac:dyDescent="0.25">
      <c r="A283">
        <v>528</v>
      </c>
      <c r="B283" t="s">
        <v>150</v>
      </c>
      <c r="C283" t="s">
        <v>422</v>
      </c>
      <c r="D283" t="s">
        <v>425</v>
      </c>
      <c r="E283" s="24">
        <v>1</v>
      </c>
      <c r="F283" t="s">
        <v>2017</v>
      </c>
      <c r="G283" s="3" t="s">
        <v>426</v>
      </c>
      <c r="H283" t="s">
        <v>2300</v>
      </c>
      <c r="I283" t="s">
        <v>2304</v>
      </c>
      <c r="J283">
        <v>270</v>
      </c>
      <c r="K283" t="s">
        <v>2239</v>
      </c>
      <c r="M283" t="s">
        <v>2359</v>
      </c>
      <c r="S283"/>
    </row>
    <row r="284" spans="1:20" ht="78.75" x14ac:dyDescent="0.25">
      <c r="A284">
        <v>528</v>
      </c>
      <c r="B284" t="s">
        <v>150</v>
      </c>
      <c r="C284" t="s">
        <v>422</v>
      </c>
      <c r="D284" t="s">
        <v>437</v>
      </c>
      <c r="E284" s="24">
        <v>0</v>
      </c>
      <c r="F284" t="s">
        <v>1984</v>
      </c>
      <c r="G284" s="3" t="s">
        <v>438</v>
      </c>
      <c r="H284" t="s">
        <v>2300</v>
      </c>
      <c r="I284" t="s">
        <v>2304</v>
      </c>
      <c r="J284">
        <v>510</v>
      </c>
      <c r="K284" t="s">
        <v>2239</v>
      </c>
      <c r="L284" t="s">
        <v>2866</v>
      </c>
      <c r="M284" t="s">
        <v>2360</v>
      </c>
      <c r="N284" s="34">
        <v>43493</v>
      </c>
      <c r="O284" t="s">
        <v>2502</v>
      </c>
      <c r="P284" t="s">
        <v>2703</v>
      </c>
      <c r="Q284" t="s">
        <v>2704</v>
      </c>
      <c r="R284" s="25">
        <v>208750000</v>
      </c>
      <c r="S284" s="36" t="s">
        <v>2702</v>
      </c>
    </row>
    <row r="285" spans="1:20" ht="63" x14ac:dyDescent="0.25">
      <c r="A285">
        <v>528</v>
      </c>
      <c r="B285" t="s">
        <v>150</v>
      </c>
      <c r="C285" t="s">
        <v>1169</v>
      </c>
      <c r="D285" t="s">
        <v>1170</v>
      </c>
      <c r="E285" s="24">
        <v>1</v>
      </c>
      <c r="F285" t="s">
        <v>2017</v>
      </c>
      <c r="G285" s="3" t="s">
        <v>1171</v>
      </c>
      <c r="H285" t="s">
        <v>2300</v>
      </c>
      <c r="I285" t="s">
        <v>2301</v>
      </c>
      <c r="J285">
        <v>270</v>
      </c>
      <c r="K285" t="s">
        <v>2243</v>
      </c>
      <c r="M285" t="s">
        <v>2359</v>
      </c>
      <c r="S285"/>
      <c r="T285" t="s">
        <v>2864</v>
      </c>
    </row>
    <row r="286" spans="1:20" ht="78.75" x14ac:dyDescent="0.25">
      <c r="A286">
        <v>528</v>
      </c>
      <c r="B286" t="s">
        <v>150</v>
      </c>
      <c r="C286" t="s">
        <v>1169</v>
      </c>
      <c r="D286" t="s">
        <v>1188</v>
      </c>
      <c r="E286" s="24">
        <v>0</v>
      </c>
      <c r="F286" t="s">
        <v>2144</v>
      </c>
      <c r="G286" s="3" t="s">
        <v>1189</v>
      </c>
      <c r="H286" t="s">
        <v>2300</v>
      </c>
      <c r="I286" t="s">
        <v>2301</v>
      </c>
      <c r="J286">
        <v>450</v>
      </c>
      <c r="K286" t="s">
        <v>2243</v>
      </c>
      <c r="M286" t="s">
        <v>2359</v>
      </c>
    </row>
    <row r="287" spans="1:20" ht="47.25" x14ac:dyDescent="0.25">
      <c r="A287">
        <v>530</v>
      </c>
      <c r="B287" t="s">
        <v>151</v>
      </c>
      <c r="C287" t="s">
        <v>1772</v>
      </c>
      <c r="D287" t="s">
        <v>1781</v>
      </c>
      <c r="E287" s="24">
        <v>1</v>
      </c>
      <c r="F287" t="s">
        <v>1994</v>
      </c>
      <c r="G287" s="3" t="s">
        <v>1782</v>
      </c>
      <c r="H287" t="s">
        <v>2305</v>
      </c>
      <c r="I287" t="s">
        <v>2344</v>
      </c>
      <c r="J287">
        <v>320</v>
      </c>
      <c r="K287" t="s">
        <v>2279</v>
      </c>
      <c r="M287" t="s">
        <v>2359</v>
      </c>
      <c r="S287"/>
    </row>
    <row r="288" spans="1:20" ht="47.25" x14ac:dyDescent="0.25">
      <c r="A288">
        <v>530</v>
      </c>
      <c r="B288" t="s">
        <v>151</v>
      </c>
      <c r="C288" t="s">
        <v>1772</v>
      </c>
      <c r="D288" t="s">
        <v>1789</v>
      </c>
      <c r="E288" s="24">
        <v>1</v>
      </c>
      <c r="F288" t="s">
        <v>1983</v>
      </c>
      <c r="G288" s="3" t="s">
        <v>372</v>
      </c>
      <c r="H288" t="s">
        <v>2305</v>
      </c>
      <c r="I288" t="s">
        <v>2344</v>
      </c>
      <c r="J288">
        <v>520</v>
      </c>
      <c r="K288" t="s">
        <v>2279</v>
      </c>
      <c r="M288" t="s">
        <v>2359</v>
      </c>
      <c r="S288"/>
    </row>
    <row r="289" spans="1:19" ht="47.25" x14ac:dyDescent="0.25">
      <c r="A289">
        <v>532</v>
      </c>
      <c r="B289" t="s">
        <v>151</v>
      </c>
      <c r="C289" t="s">
        <v>1772</v>
      </c>
      <c r="D289" t="s">
        <v>1781</v>
      </c>
      <c r="E289" s="24">
        <v>1</v>
      </c>
      <c r="F289" t="s">
        <v>1994</v>
      </c>
      <c r="G289" s="3" t="s">
        <v>1782</v>
      </c>
      <c r="H289" t="s">
        <v>2305</v>
      </c>
      <c r="I289" t="s">
        <v>2344</v>
      </c>
      <c r="J289">
        <v>320</v>
      </c>
      <c r="K289" t="s">
        <v>2279</v>
      </c>
      <c r="M289" t="s">
        <v>2359</v>
      </c>
      <c r="S289"/>
    </row>
    <row r="290" spans="1:19" ht="47.25" x14ac:dyDescent="0.25">
      <c r="A290">
        <v>532</v>
      </c>
      <c r="B290" t="s">
        <v>151</v>
      </c>
      <c r="C290" t="s">
        <v>1772</v>
      </c>
      <c r="D290" t="s">
        <v>1789</v>
      </c>
      <c r="E290" s="24">
        <v>1</v>
      </c>
      <c r="F290" t="s">
        <v>1983</v>
      </c>
      <c r="G290" s="3" t="s">
        <v>372</v>
      </c>
      <c r="H290" t="s">
        <v>2305</v>
      </c>
      <c r="I290" t="s">
        <v>2344</v>
      </c>
      <c r="J290">
        <v>520</v>
      </c>
      <c r="K290" t="s">
        <v>2279</v>
      </c>
      <c r="M290" t="s">
        <v>2359</v>
      </c>
      <c r="S290"/>
    </row>
    <row r="291" spans="1:19" ht="47.25" x14ac:dyDescent="0.25">
      <c r="A291">
        <v>535</v>
      </c>
      <c r="B291" t="s">
        <v>152</v>
      </c>
      <c r="C291" t="s">
        <v>917</v>
      </c>
      <c r="D291" t="s">
        <v>940</v>
      </c>
      <c r="E291" s="24">
        <v>1</v>
      </c>
      <c r="F291" t="s">
        <v>2120</v>
      </c>
      <c r="G291" s="3" t="s">
        <v>384</v>
      </c>
      <c r="H291" t="s">
        <v>2320</v>
      </c>
      <c r="I291" t="s">
        <v>2343</v>
      </c>
      <c r="J291">
        <v>270</v>
      </c>
      <c r="K291" t="s">
        <v>2233</v>
      </c>
      <c r="M291" t="s">
        <v>2359</v>
      </c>
      <c r="S291"/>
    </row>
    <row r="292" spans="1:19" ht="47.25" x14ac:dyDescent="0.25">
      <c r="A292">
        <v>535</v>
      </c>
      <c r="B292" t="s">
        <v>152</v>
      </c>
      <c r="C292" t="s">
        <v>917</v>
      </c>
      <c r="D292" t="s">
        <v>947</v>
      </c>
      <c r="E292" s="24">
        <v>0</v>
      </c>
      <c r="F292" t="s">
        <v>1993</v>
      </c>
      <c r="G292" s="3" t="s">
        <v>948</v>
      </c>
      <c r="H292" t="s">
        <v>2320</v>
      </c>
      <c r="I292" t="s">
        <v>2343</v>
      </c>
      <c r="J292">
        <v>310</v>
      </c>
      <c r="K292" t="s">
        <v>2233</v>
      </c>
      <c r="M292" t="s">
        <v>2360</v>
      </c>
      <c r="N292" s="34">
        <v>43859</v>
      </c>
      <c r="O292" t="s">
        <v>2446</v>
      </c>
      <c r="Q292" t="s">
        <v>2447</v>
      </c>
      <c r="R292" s="25">
        <v>8096</v>
      </c>
      <c r="S292" s="26" t="s">
        <v>2371</v>
      </c>
    </row>
    <row r="293" spans="1:19" ht="47.25" x14ac:dyDescent="0.25">
      <c r="A293">
        <v>539</v>
      </c>
      <c r="B293" t="s">
        <v>153</v>
      </c>
      <c r="C293" t="s">
        <v>1613</v>
      </c>
      <c r="D293" t="s">
        <v>1629</v>
      </c>
      <c r="E293" s="24">
        <v>0</v>
      </c>
      <c r="F293" t="s">
        <v>2120</v>
      </c>
      <c r="G293" s="3" t="s">
        <v>1630</v>
      </c>
      <c r="H293" t="s">
        <v>2320</v>
      </c>
      <c r="I293" t="s">
        <v>2321</v>
      </c>
      <c r="J293">
        <v>270</v>
      </c>
      <c r="K293" t="s">
        <v>2236</v>
      </c>
      <c r="M293" t="s">
        <v>2359</v>
      </c>
    </row>
    <row r="294" spans="1:19" ht="47.25" x14ac:dyDescent="0.25">
      <c r="A294">
        <v>540</v>
      </c>
      <c r="B294" t="s">
        <v>153</v>
      </c>
      <c r="C294" t="s">
        <v>1613</v>
      </c>
      <c r="D294" t="s">
        <v>1629</v>
      </c>
      <c r="E294" s="24">
        <v>0</v>
      </c>
      <c r="F294" t="s">
        <v>2120</v>
      </c>
      <c r="G294" s="3" t="s">
        <v>1630</v>
      </c>
      <c r="H294" t="s">
        <v>2320</v>
      </c>
      <c r="I294" t="s">
        <v>2321</v>
      </c>
      <c r="J294">
        <v>270</v>
      </c>
      <c r="K294" t="s">
        <v>2236</v>
      </c>
      <c r="M294" t="s">
        <v>2359</v>
      </c>
    </row>
    <row r="295" spans="1:19" ht="31.5" x14ac:dyDescent="0.25">
      <c r="A295">
        <v>542</v>
      </c>
      <c r="B295" t="s">
        <v>154</v>
      </c>
      <c r="C295" t="s">
        <v>1640</v>
      </c>
      <c r="D295" t="s">
        <v>1653</v>
      </c>
      <c r="E295" s="24">
        <v>1</v>
      </c>
      <c r="F295" t="s">
        <v>2149</v>
      </c>
      <c r="G295" s="3" t="s">
        <v>1654</v>
      </c>
      <c r="H295" t="s">
        <v>2338</v>
      </c>
      <c r="I295" t="s">
        <v>2339</v>
      </c>
      <c r="J295">
        <v>510</v>
      </c>
      <c r="K295" t="s">
        <v>2275</v>
      </c>
      <c r="L295" t="s">
        <v>2388</v>
      </c>
      <c r="M295" t="s">
        <v>2360</v>
      </c>
      <c r="N295" s="34">
        <v>43340</v>
      </c>
      <c r="O295" t="s">
        <v>2488</v>
      </c>
      <c r="Q295" t="s">
        <v>2462</v>
      </c>
      <c r="R295" s="25">
        <v>15000000</v>
      </c>
      <c r="S295" s="26" t="s">
        <v>2391</v>
      </c>
    </row>
    <row r="296" spans="1:19" ht="31.5" x14ac:dyDescent="0.25">
      <c r="A296">
        <v>558</v>
      </c>
      <c r="B296" t="s">
        <v>155</v>
      </c>
      <c r="C296" t="s">
        <v>1790</v>
      </c>
      <c r="D296" t="s">
        <v>1796</v>
      </c>
      <c r="E296" s="24">
        <v>0</v>
      </c>
      <c r="F296" t="s">
        <v>2203</v>
      </c>
      <c r="G296" s="3" t="s">
        <v>1205</v>
      </c>
      <c r="H296" t="s">
        <v>2305</v>
      </c>
      <c r="I296" t="s">
        <v>2306</v>
      </c>
      <c r="J296">
        <v>220</v>
      </c>
      <c r="K296" t="s">
        <v>2280</v>
      </c>
      <c r="M296" t="s">
        <v>2359</v>
      </c>
    </row>
    <row r="297" spans="1:19" ht="47.25" x14ac:dyDescent="0.25">
      <c r="A297">
        <v>558</v>
      </c>
      <c r="B297" t="s">
        <v>155</v>
      </c>
      <c r="C297" t="s">
        <v>1790</v>
      </c>
      <c r="D297" t="s">
        <v>1804</v>
      </c>
      <c r="E297" s="24">
        <v>0</v>
      </c>
      <c r="F297" t="s">
        <v>2147</v>
      </c>
      <c r="G297" s="3" t="s">
        <v>372</v>
      </c>
      <c r="H297" t="s">
        <v>2305</v>
      </c>
      <c r="I297" t="s">
        <v>2306</v>
      </c>
      <c r="J297">
        <v>520</v>
      </c>
      <c r="K297" t="s">
        <v>2280</v>
      </c>
      <c r="M297" t="s">
        <v>2359</v>
      </c>
    </row>
    <row r="298" spans="1:19" ht="47.25" x14ac:dyDescent="0.25">
      <c r="A298">
        <v>558</v>
      </c>
      <c r="B298" t="s">
        <v>155</v>
      </c>
      <c r="C298" t="s">
        <v>2293</v>
      </c>
      <c r="D298" t="s">
        <v>1547</v>
      </c>
      <c r="E298" s="24">
        <v>1</v>
      </c>
      <c r="F298" t="s">
        <v>1997</v>
      </c>
      <c r="G298" s="3" t="s">
        <v>1548</v>
      </c>
      <c r="H298" t="s">
        <v>2315</v>
      </c>
      <c r="I298" t="s">
        <v>2327</v>
      </c>
      <c r="J298">
        <v>520</v>
      </c>
      <c r="K298" t="s">
        <v>2228</v>
      </c>
      <c r="M298" t="s">
        <v>2359</v>
      </c>
      <c r="S298"/>
    </row>
    <row r="299" spans="1:19" ht="31.5" x14ac:dyDescent="0.25">
      <c r="A299">
        <v>569</v>
      </c>
      <c r="B299" t="s">
        <v>159</v>
      </c>
      <c r="C299" t="s">
        <v>1640</v>
      </c>
      <c r="D299" t="s">
        <v>1653</v>
      </c>
      <c r="E299" s="24">
        <v>1</v>
      </c>
      <c r="F299" t="s">
        <v>2149</v>
      </c>
      <c r="G299" s="3" t="s">
        <v>1654</v>
      </c>
      <c r="H299" t="s">
        <v>2338</v>
      </c>
      <c r="I299" t="s">
        <v>2339</v>
      </c>
      <c r="J299">
        <v>510</v>
      </c>
      <c r="K299" t="s">
        <v>2275</v>
      </c>
      <c r="M299" t="s">
        <v>2359</v>
      </c>
      <c r="S299"/>
    </row>
    <row r="300" spans="1:19" ht="31.5" x14ac:dyDescent="0.25">
      <c r="A300">
        <v>580</v>
      </c>
      <c r="B300" t="s">
        <v>161</v>
      </c>
      <c r="C300" t="s">
        <v>723</v>
      </c>
      <c r="D300" t="s">
        <v>751</v>
      </c>
      <c r="E300" s="24">
        <v>1</v>
      </c>
      <c r="F300" t="s">
        <v>1993</v>
      </c>
      <c r="G300" s="3" t="s">
        <v>347</v>
      </c>
      <c r="H300" t="s">
        <v>2308</v>
      </c>
      <c r="I300" t="s">
        <v>2347</v>
      </c>
      <c r="J300">
        <v>310</v>
      </c>
      <c r="K300" t="s">
        <v>2286</v>
      </c>
      <c r="M300" t="s">
        <v>2359</v>
      </c>
      <c r="S300"/>
    </row>
    <row r="301" spans="1:19" ht="31.5" x14ac:dyDescent="0.25">
      <c r="A301">
        <v>588</v>
      </c>
      <c r="B301" t="s">
        <v>163</v>
      </c>
      <c r="C301" t="s">
        <v>1790</v>
      </c>
      <c r="D301" t="s">
        <v>1796</v>
      </c>
      <c r="E301" s="24">
        <v>1</v>
      </c>
      <c r="F301" t="s">
        <v>2203</v>
      </c>
      <c r="G301" s="3" t="s">
        <v>1205</v>
      </c>
      <c r="H301" t="s">
        <v>2305</v>
      </c>
      <c r="I301" t="s">
        <v>2306</v>
      </c>
      <c r="J301">
        <v>220</v>
      </c>
      <c r="K301" t="s">
        <v>2280</v>
      </c>
      <c r="M301" t="s">
        <v>2359</v>
      </c>
      <c r="S301"/>
    </row>
    <row r="302" spans="1:19" ht="47.25" x14ac:dyDescent="0.25">
      <c r="A302">
        <v>588</v>
      </c>
      <c r="B302" t="s">
        <v>163</v>
      </c>
      <c r="C302" t="s">
        <v>1790</v>
      </c>
      <c r="D302" t="s">
        <v>1804</v>
      </c>
      <c r="E302" s="24">
        <v>1</v>
      </c>
      <c r="F302" t="s">
        <v>2147</v>
      </c>
      <c r="G302" s="3" t="s">
        <v>372</v>
      </c>
      <c r="H302" t="s">
        <v>2305</v>
      </c>
      <c r="I302" t="s">
        <v>2306</v>
      </c>
      <c r="J302">
        <v>520</v>
      </c>
      <c r="K302" t="s">
        <v>2280</v>
      </c>
      <c r="M302" t="s">
        <v>2359</v>
      </c>
      <c r="S302"/>
    </row>
    <row r="303" spans="1:19" ht="47.25" x14ac:dyDescent="0.25">
      <c r="A303">
        <v>590</v>
      </c>
      <c r="B303" t="s">
        <v>164</v>
      </c>
      <c r="C303" t="s">
        <v>1772</v>
      </c>
      <c r="D303" t="s">
        <v>1781</v>
      </c>
      <c r="E303" s="24">
        <v>1</v>
      </c>
      <c r="F303" t="s">
        <v>1994</v>
      </c>
      <c r="G303" s="3" t="s">
        <v>1782</v>
      </c>
      <c r="H303" t="s">
        <v>2305</v>
      </c>
      <c r="I303" t="s">
        <v>2344</v>
      </c>
      <c r="J303">
        <v>320</v>
      </c>
      <c r="K303" t="s">
        <v>2279</v>
      </c>
      <c r="M303" t="s">
        <v>2359</v>
      </c>
      <c r="S303"/>
    </row>
    <row r="304" spans="1:19" ht="47.25" x14ac:dyDescent="0.25">
      <c r="A304">
        <v>590</v>
      </c>
      <c r="B304" t="s">
        <v>164</v>
      </c>
      <c r="C304" t="s">
        <v>1772</v>
      </c>
      <c r="D304" t="s">
        <v>1789</v>
      </c>
      <c r="E304" s="24">
        <v>1</v>
      </c>
      <c r="F304" t="s">
        <v>1983</v>
      </c>
      <c r="G304" s="3" t="s">
        <v>372</v>
      </c>
      <c r="H304" t="s">
        <v>2305</v>
      </c>
      <c r="I304" t="s">
        <v>2344</v>
      </c>
      <c r="J304">
        <v>520</v>
      </c>
      <c r="K304" t="s">
        <v>2279</v>
      </c>
      <c r="M304" t="s">
        <v>2359</v>
      </c>
      <c r="S304"/>
    </row>
    <row r="305" spans="1:19" ht="47.25" x14ac:dyDescent="0.25">
      <c r="A305">
        <v>595</v>
      </c>
      <c r="B305" t="s">
        <v>165</v>
      </c>
      <c r="C305" t="s">
        <v>1772</v>
      </c>
      <c r="D305" t="s">
        <v>1781</v>
      </c>
      <c r="E305" s="24">
        <v>1</v>
      </c>
      <c r="F305" t="s">
        <v>1994</v>
      </c>
      <c r="G305" s="3" t="s">
        <v>1782</v>
      </c>
      <c r="H305" t="s">
        <v>2305</v>
      </c>
      <c r="I305" t="s">
        <v>2344</v>
      </c>
      <c r="J305">
        <v>320</v>
      </c>
      <c r="K305" t="s">
        <v>2279</v>
      </c>
      <c r="M305" t="s">
        <v>2359</v>
      </c>
      <c r="S305"/>
    </row>
    <row r="306" spans="1:19" ht="47.25" x14ac:dyDescent="0.25">
      <c r="A306">
        <v>595</v>
      </c>
      <c r="B306" t="s">
        <v>165</v>
      </c>
      <c r="C306" t="s">
        <v>1772</v>
      </c>
      <c r="D306" t="s">
        <v>1789</v>
      </c>
      <c r="E306" s="24">
        <v>1</v>
      </c>
      <c r="F306" t="s">
        <v>1983</v>
      </c>
      <c r="G306" s="3" t="s">
        <v>372</v>
      </c>
      <c r="H306" t="s">
        <v>2305</v>
      </c>
      <c r="I306" t="s">
        <v>2344</v>
      </c>
      <c r="J306">
        <v>520</v>
      </c>
      <c r="K306" t="s">
        <v>2279</v>
      </c>
      <c r="M306" t="s">
        <v>2359</v>
      </c>
      <c r="S306"/>
    </row>
    <row r="307" spans="1:19" ht="47.25" x14ac:dyDescent="0.25">
      <c r="A307">
        <v>596</v>
      </c>
      <c r="B307" t="s">
        <v>166</v>
      </c>
      <c r="C307" t="s">
        <v>2293</v>
      </c>
      <c r="D307" t="s">
        <v>1547</v>
      </c>
      <c r="E307" s="24">
        <v>0</v>
      </c>
      <c r="F307" t="s">
        <v>1997</v>
      </c>
      <c r="G307" s="3" t="s">
        <v>1548</v>
      </c>
      <c r="H307" t="s">
        <v>2315</v>
      </c>
      <c r="I307" t="s">
        <v>2327</v>
      </c>
      <c r="J307">
        <v>520</v>
      </c>
      <c r="K307" t="s">
        <v>2228</v>
      </c>
      <c r="M307" t="s">
        <v>2359</v>
      </c>
      <c r="S307" s="26"/>
    </row>
    <row r="308" spans="1:19" ht="31.5" x14ac:dyDescent="0.25">
      <c r="A308">
        <v>599</v>
      </c>
      <c r="B308" t="s">
        <v>168</v>
      </c>
      <c r="C308" t="s">
        <v>1292</v>
      </c>
      <c r="D308" t="s">
        <v>1308</v>
      </c>
      <c r="E308" s="24">
        <v>1</v>
      </c>
      <c r="F308" t="s">
        <v>1984</v>
      </c>
      <c r="G308" s="3" t="s">
        <v>875</v>
      </c>
      <c r="H308" t="s">
        <v>2308</v>
      </c>
      <c r="I308" t="s">
        <v>2337</v>
      </c>
      <c r="J308">
        <v>510</v>
      </c>
      <c r="K308" t="s">
        <v>2287</v>
      </c>
      <c r="M308" t="s">
        <v>2359</v>
      </c>
      <c r="S308"/>
    </row>
    <row r="309" spans="1:19" ht="31.5" x14ac:dyDescent="0.25">
      <c r="A309">
        <v>601</v>
      </c>
      <c r="B309" t="s">
        <v>170</v>
      </c>
      <c r="C309" t="s">
        <v>1077</v>
      </c>
      <c r="D309" t="s">
        <v>1082</v>
      </c>
      <c r="E309" s="24">
        <v>1</v>
      </c>
      <c r="F309" t="s">
        <v>1981</v>
      </c>
      <c r="G309" s="3" t="s">
        <v>289</v>
      </c>
      <c r="H309" t="s">
        <v>2302</v>
      </c>
      <c r="I309" t="s">
        <v>2322</v>
      </c>
      <c r="J309">
        <v>250</v>
      </c>
      <c r="K309" t="s">
        <v>2246</v>
      </c>
      <c r="M309" t="s">
        <v>2359</v>
      </c>
      <c r="S309"/>
    </row>
    <row r="310" spans="1:19" ht="47.25" x14ac:dyDescent="0.25">
      <c r="A310">
        <v>601</v>
      </c>
      <c r="B310" t="s">
        <v>170</v>
      </c>
      <c r="C310" t="s">
        <v>1077</v>
      </c>
      <c r="D310" t="s">
        <v>1095</v>
      </c>
      <c r="E310" s="24">
        <v>1</v>
      </c>
      <c r="F310" t="s">
        <v>1984</v>
      </c>
      <c r="G310" s="3" t="s">
        <v>1096</v>
      </c>
      <c r="H310" t="s">
        <v>2302</v>
      </c>
      <c r="I310" t="s">
        <v>2322</v>
      </c>
      <c r="J310">
        <v>510</v>
      </c>
      <c r="K310" t="s">
        <v>2246</v>
      </c>
      <c r="M310" t="s">
        <v>2359</v>
      </c>
      <c r="S310"/>
    </row>
    <row r="311" spans="1:19" ht="31.5" x14ac:dyDescent="0.25">
      <c r="A311">
        <v>601</v>
      </c>
      <c r="B311" t="s">
        <v>170</v>
      </c>
      <c r="C311" t="s">
        <v>1366</v>
      </c>
      <c r="D311" t="s">
        <v>1377</v>
      </c>
      <c r="E311" s="24">
        <v>1</v>
      </c>
      <c r="F311" t="s">
        <v>2036</v>
      </c>
      <c r="G311" s="3" t="s">
        <v>539</v>
      </c>
      <c r="H311" t="s">
        <v>2302</v>
      </c>
      <c r="I311" t="s">
        <v>2303</v>
      </c>
      <c r="J311">
        <v>270</v>
      </c>
      <c r="K311" t="s">
        <v>2250</v>
      </c>
      <c r="M311" t="s">
        <v>2359</v>
      </c>
      <c r="S311"/>
    </row>
    <row r="312" spans="1:19" ht="31.5" x14ac:dyDescent="0.25">
      <c r="A312">
        <v>601</v>
      </c>
      <c r="B312" t="s">
        <v>170</v>
      </c>
      <c r="C312" t="s">
        <v>1366</v>
      </c>
      <c r="D312" t="s">
        <v>1388</v>
      </c>
      <c r="E312" s="24">
        <v>1</v>
      </c>
      <c r="F312" t="s">
        <v>2174</v>
      </c>
      <c r="G312" s="3" t="s">
        <v>875</v>
      </c>
      <c r="H312" t="s">
        <v>2302</v>
      </c>
      <c r="I312" t="s">
        <v>2303</v>
      </c>
      <c r="J312">
        <v>510</v>
      </c>
      <c r="K312" t="s">
        <v>2250</v>
      </c>
      <c r="M312" t="s">
        <v>2359</v>
      </c>
      <c r="S312"/>
    </row>
    <row r="313" spans="1:19" ht="47.25" x14ac:dyDescent="0.25">
      <c r="A313">
        <v>603</v>
      </c>
      <c r="B313" t="s">
        <v>171</v>
      </c>
      <c r="C313" t="s">
        <v>659</v>
      </c>
      <c r="D313" t="s">
        <v>680</v>
      </c>
      <c r="E313" s="24">
        <v>1</v>
      </c>
      <c r="F313" t="s">
        <v>2089</v>
      </c>
      <c r="G313" s="3" t="s">
        <v>681</v>
      </c>
      <c r="H313" t="s">
        <v>2315</v>
      </c>
      <c r="I313" t="s">
        <v>2316</v>
      </c>
      <c r="J313">
        <v>520</v>
      </c>
      <c r="K313" t="s">
        <v>2225</v>
      </c>
      <c r="M313" t="s">
        <v>2359</v>
      </c>
      <c r="S313"/>
    </row>
    <row r="314" spans="1:19" ht="31.5" x14ac:dyDescent="0.25">
      <c r="A314">
        <v>608</v>
      </c>
      <c r="B314" t="s">
        <v>174</v>
      </c>
      <c r="C314" t="s">
        <v>1790</v>
      </c>
      <c r="D314" t="s">
        <v>1796</v>
      </c>
      <c r="E314" s="24">
        <v>1</v>
      </c>
      <c r="F314" t="s">
        <v>2203</v>
      </c>
      <c r="G314" s="3" t="s">
        <v>1205</v>
      </c>
      <c r="H314" t="s">
        <v>2305</v>
      </c>
      <c r="I314" t="s">
        <v>2306</v>
      </c>
      <c r="J314">
        <v>220</v>
      </c>
      <c r="K314" t="s">
        <v>2280</v>
      </c>
      <c r="M314" t="s">
        <v>2359</v>
      </c>
      <c r="S314" s="31"/>
    </row>
    <row r="315" spans="1:19" ht="47.25" x14ac:dyDescent="0.25">
      <c r="A315">
        <v>608</v>
      </c>
      <c r="B315" t="s">
        <v>174</v>
      </c>
      <c r="C315" t="s">
        <v>1790</v>
      </c>
      <c r="D315" t="s">
        <v>1804</v>
      </c>
      <c r="E315" s="24">
        <v>1</v>
      </c>
      <c r="F315" t="s">
        <v>2147</v>
      </c>
      <c r="G315" s="3" t="s">
        <v>372</v>
      </c>
      <c r="H315" t="s">
        <v>2305</v>
      </c>
      <c r="I315" t="s">
        <v>2306</v>
      </c>
      <c r="J315">
        <v>520</v>
      </c>
      <c r="K315" t="s">
        <v>2280</v>
      </c>
      <c r="M315" t="s">
        <v>2359</v>
      </c>
      <c r="S315"/>
    </row>
    <row r="316" spans="1:19" ht="31.5" x14ac:dyDescent="0.25">
      <c r="A316">
        <v>608</v>
      </c>
      <c r="B316" t="s">
        <v>174</v>
      </c>
      <c r="C316" t="s">
        <v>682</v>
      </c>
      <c r="D316" t="s">
        <v>685</v>
      </c>
      <c r="E316" s="24">
        <v>1</v>
      </c>
      <c r="F316" t="s">
        <v>2090</v>
      </c>
      <c r="G316" s="3" t="s">
        <v>686</v>
      </c>
      <c r="H316" t="s">
        <v>2300</v>
      </c>
      <c r="I316" t="s">
        <v>2310</v>
      </c>
      <c r="J316">
        <v>220</v>
      </c>
      <c r="K316" t="s">
        <v>2241</v>
      </c>
      <c r="M316" t="s">
        <v>2359</v>
      </c>
      <c r="S316" s="31"/>
    </row>
    <row r="317" spans="1:19" ht="78.75" x14ac:dyDescent="0.25">
      <c r="A317">
        <v>608</v>
      </c>
      <c r="B317" t="s">
        <v>174</v>
      </c>
      <c r="C317" t="s">
        <v>682</v>
      </c>
      <c r="D317" t="s">
        <v>697</v>
      </c>
      <c r="E317" s="24">
        <v>0</v>
      </c>
      <c r="F317" t="s">
        <v>2091</v>
      </c>
      <c r="G317" s="3" t="s">
        <v>698</v>
      </c>
      <c r="H317" t="s">
        <v>2300</v>
      </c>
      <c r="I317" t="s">
        <v>2310</v>
      </c>
      <c r="J317">
        <v>270</v>
      </c>
      <c r="K317" t="s">
        <v>2241</v>
      </c>
      <c r="M317" t="s">
        <v>2360</v>
      </c>
      <c r="N317" s="34">
        <v>44099</v>
      </c>
      <c r="O317" t="s">
        <v>2469</v>
      </c>
      <c r="Q317" t="s">
        <v>2513</v>
      </c>
      <c r="R317" s="25">
        <v>20000</v>
      </c>
      <c r="S317" s="26" t="s">
        <v>2372</v>
      </c>
    </row>
    <row r="318" spans="1:19" ht="47.25" x14ac:dyDescent="0.25">
      <c r="A318">
        <v>608</v>
      </c>
      <c r="B318" t="s">
        <v>174</v>
      </c>
      <c r="C318" t="s">
        <v>682</v>
      </c>
      <c r="D318" t="s">
        <v>699</v>
      </c>
      <c r="E318" s="24">
        <v>0</v>
      </c>
      <c r="F318" t="s">
        <v>2091</v>
      </c>
      <c r="G318" s="3" t="s">
        <v>700</v>
      </c>
      <c r="H318" t="s">
        <v>2300</v>
      </c>
      <c r="I318" t="s">
        <v>2310</v>
      </c>
      <c r="J318">
        <v>270</v>
      </c>
      <c r="K318" t="s">
        <v>2241</v>
      </c>
      <c r="M318" t="s">
        <v>2359</v>
      </c>
    </row>
    <row r="319" spans="1:19" ht="31.5" x14ac:dyDescent="0.25">
      <c r="A319">
        <v>609</v>
      </c>
      <c r="B319" t="s">
        <v>174</v>
      </c>
      <c r="C319" t="s">
        <v>1790</v>
      </c>
      <c r="D319" t="s">
        <v>1796</v>
      </c>
      <c r="E319" s="24">
        <v>1</v>
      </c>
      <c r="F319" t="s">
        <v>2203</v>
      </c>
      <c r="G319" s="3" t="s">
        <v>1205</v>
      </c>
      <c r="H319" t="s">
        <v>2305</v>
      </c>
      <c r="I319" t="s">
        <v>2306</v>
      </c>
      <c r="J319">
        <v>220</v>
      </c>
      <c r="K319" t="s">
        <v>2280</v>
      </c>
      <c r="M319" t="s">
        <v>2359</v>
      </c>
      <c r="S319" s="31"/>
    </row>
    <row r="320" spans="1:19" ht="47.25" x14ac:dyDescent="0.25">
      <c r="A320">
        <v>609</v>
      </c>
      <c r="B320" t="s">
        <v>174</v>
      </c>
      <c r="C320" t="s">
        <v>1790</v>
      </c>
      <c r="D320" t="s">
        <v>1804</v>
      </c>
      <c r="E320" s="24">
        <v>1</v>
      </c>
      <c r="F320" t="s">
        <v>2147</v>
      </c>
      <c r="G320" s="3" t="s">
        <v>372</v>
      </c>
      <c r="H320" t="s">
        <v>2305</v>
      </c>
      <c r="I320" t="s">
        <v>2306</v>
      </c>
      <c r="J320">
        <v>520</v>
      </c>
      <c r="K320" t="s">
        <v>2280</v>
      </c>
      <c r="M320" t="s">
        <v>2359</v>
      </c>
      <c r="S320"/>
    </row>
    <row r="321" spans="1:19" ht="31.5" x14ac:dyDescent="0.25">
      <c r="A321">
        <v>609</v>
      </c>
      <c r="B321" t="s">
        <v>174</v>
      </c>
      <c r="C321" t="s">
        <v>682</v>
      </c>
      <c r="D321" t="s">
        <v>685</v>
      </c>
      <c r="E321" s="24">
        <v>1</v>
      </c>
      <c r="F321" t="s">
        <v>2090</v>
      </c>
      <c r="G321" s="3" t="s">
        <v>686</v>
      </c>
      <c r="H321" t="s">
        <v>2300</v>
      </c>
      <c r="I321" t="s">
        <v>2310</v>
      </c>
      <c r="J321">
        <v>220</v>
      </c>
      <c r="K321" t="s">
        <v>2241</v>
      </c>
      <c r="M321" t="s">
        <v>2359</v>
      </c>
      <c r="S321" s="31"/>
    </row>
    <row r="322" spans="1:19" ht="78.75" x14ac:dyDescent="0.25">
      <c r="A322">
        <v>609</v>
      </c>
      <c r="B322" t="s">
        <v>174</v>
      </c>
      <c r="C322" t="s">
        <v>682</v>
      </c>
      <c r="D322" t="s">
        <v>697</v>
      </c>
      <c r="E322" s="24">
        <v>0</v>
      </c>
      <c r="F322" t="s">
        <v>2091</v>
      </c>
      <c r="G322" s="3" t="s">
        <v>698</v>
      </c>
      <c r="H322" t="s">
        <v>2300</v>
      </c>
      <c r="I322" t="s">
        <v>2310</v>
      </c>
      <c r="J322">
        <v>270</v>
      </c>
      <c r="K322" t="s">
        <v>2241</v>
      </c>
      <c r="M322" t="s">
        <v>2359</v>
      </c>
    </row>
    <row r="323" spans="1:19" ht="47.25" x14ac:dyDescent="0.25">
      <c r="A323">
        <v>609</v>
      </c>
      <c r="B323" t="s">
        <v>174</v>
      </c>
      <c r="C323" t="s">
        <v>682</v>
      </c>
      <c r="D323" t="s">
        <v>699</v>
      </c>
      <c r="E323" s="24">
        <v>0</v>
      </c>
      <c r="F323" t="s">
        <v>2091</v>
      </c>
      <c r="G323" s="3" t="s">
        <v>700</v>
      </c>
      <c r="H323" t="s">
        <v>2300</v>
      </c>
      <c r="I323" t="s">
        <v>2310</v>
      </c>
      <c r="J323">
        <v>270</v>
      </c>
      <c r="K323" t="s">
        <v>2241</v>
      </c>
      <c r="M323" t="s">
        <v>2359</v>
      </c>
    </row>
    <row r="324" spans="1:19" ht="47.25" x14ac:dyDescent="0.25">
      <c r="A324">
        <v>616</v>
      </c>
      <c r="B324" t="s">
        <v>176</v>
      </c>
      <c r="C324" t="s">
        <v>1474</v>
      </c>
      <c r="D324" t="s">
        <v>1486</v>
      </c>
      <c r="E324" s="24">
        <v>0</v>
      </c>
      <c r="F324" t="s">
        <v>2120</v>
      </c>
      <c r="G324" s="3" t="s">
        <v>384</v>
      </c>
      <c r="H324" t="s">
        <v>2320</v>
      </c>
      <c r="I324" t="s">
        <v>2342</v>
      </c>
      <c r="J324">
        <v>270</v>
      </c>
      <c r="K324" t="s">
        <v>2235</v>
      </c>
      <c r="M324" t="s">
        <v>2359</v>
      </c>
    </row>
    <row r="325" spans="1:19" ht="47.25" x14ac:dyDescent="0.25">
      <c r="A325">
        <v>616</v>
      </c>
      <c r="B325" t="s">
        <v>176</v>
      </c>
      <c r="C325" t="s">
        <v>1613</v>
      </c>
      <c r="D325" t="s">
        <v>1629</v>
      </c>
      <c r="E325" s="24">
        <v>0</v>
      </c>
      <c r="F325" t="s">
        <v>2120</v>
      </c>
      <c r="G325" s="3" t="s">
        <v>1630</v>
      </c>
      <c r="H325" t="s">
        <v>2320</v>
      </c>
      <c r="I325" t="s">
        <v>2321</v>
      </c>
      <c r="J325">
        <v>270</v>
      </c>
      <c r="K325" t="s">
        <v>2236</v>
      </c>
      <c r="M325" t="s">
        <v>2359</v>
      </c>
    </row>
    <row r="326" spans="1:19" ht="47.25" x14ac:dyDescent="0.25">
      <c r="A326">
        <v>619</v>
      </c>
      <c r="B326" t="s">
        <v>177</v>
      </c>
      <c r="C326" t="s">
        <v>1854</v>
      </c>
      <c r="D326" t="s">
        <v>1859</v>
      </c>
      <c r="E326" s="24">
        <v>0</v>
      </c>
      <c r="F326" t="s">
        <v>2198</v>
      </c>
      <c r="G326" s="3" t="s">
        <v>1860</v>
      </c>
      <c r="H326" t="s">
        <v>2320</v>
      </c>
      <c r="I326" t="s">
        <v>2348</v>
      </c>
      <c r="J326">
        <v>270</v>
      </c>
      <c r="K326" t="s">
        <v>2238</v>
      </c>
      <c r="M326" t="s">
        <v>2359</v>
      </c>
    </row>
    <row r="327" spans="1:19" ht="47.25" x14ac:dyDescent="0.25">
      <c r="A327">
        <v>620</v>
      </c>
      <c r="B327" t="s">
        <v>177</v>
      </c>
      <c r="C327" t="s">
        <v>1854</v>
      </c>
      <c r="D327" t="s">
        <v>1859</v>
      </c>
      <c r="E327" s="24">
        <v>0</v>
      </c>
      <c r="F327" t="s">
        <v>2198</v>
      </c>
      <c r="G327" s="3" t="s">
        <v>1860</v>
      </c>
      <c r="H327" t="s">
        <v>2320</v>
      </c>
      <c r="I327" t="s">
        <v>2348</v>
      </c>
      <c r="J327">
        <v>270</v>
      </c>
      <c r="K327" t="s">
        <v>2238</v>
      </c>
      <c r="M327" t="s">
        <v>2359</v>
      </c>
    </row>
    <row r="328" spans="1:19" ht="47.25" x14ac:dyDescent="0.25">
      <c r="A328">
        <v>621</v>
      </c>
      <c r="B328" t="s">
        <v>177</v>
      </c>
      <c r="C328" t="s">
        <v>1854</v>
      </c>
      <c r="D328" t="s">
        <v>1859</v>
      </c>
      <c r="E328" s="24">
        <v>0</v>
      </c>
      <c r="F328" t="s">
        <v>2198</v>
      </c>
      <c r="G328" s="3" t="s">
        <v>1860</v>
      </c>
      <c r="H328" t="s">
        <v>2320</v>
      </c>
      <c r="I328" t="s">
        <v>2348</v>
      </c>
      <c r="J328">
        <v>270</v>
      </c>
      <c r="K328" t="s">
        <v>2238</v>
      </c>
      <c r="M328" t="s">
        <v>2359</v>
      </c>
    </row>
    <row r="329" spans="1:19" ht="47.25" x14ac:dyDescent="0.25">
      <c r="A329">
        <v>622</v>
      </c>
      <c r="B329" t="s">
        <v>178</v>
      </c>
      <c r="C329" t="s">
        <v>2293</v>
      </c>
      <c r="D329" t="s">
        <v>1547</v>
      </c>
      <c r="E329" s="24">
        <v>0</v>
      </c>
      <c r="F329" t="s">
        <v>1997</v>
      </c>
      <c r="G329" s="3" t="s">
        <v>1548</v>
      </c>
      <c r="H329" t="s">
        <v>2315</v>
      </c>
      <c r="I329" t="s">
        <v>2327</v>
      </c>
      <c r="J329">
        <v>520</v>
      </c>
      <c r="K329" t="s">
        <v>2228</v>
      </c>
      <c r="M329" t="s">
        <v>2359</v>
      </c>
    </row>
    <row r="330" spans="1:19" ht="47.25" x14ac:dyDescent="0.25">
      <c r="A330">
        <v>622</v>
      </c>
      <c r="B330" t="s">
        <v>178</v>
      </c>
      <c r="C330" t="s">
        <v>2294</v>
      </c>
      <c r="D330" t="s">
        <v>1576</v>
      </c>
      <c r="E330" s="24">
        <v>0</v>
      </c>
      <c r="F330" t="s">
        <v>2089</v>
      </c>
      <c r="G330" s="3" t="s">
        <v>1577</v>
      </c>
      <c r="H330" t="s">
        <v>2315</v>
      </c>
      <c r="I330" t="s">
        <v>2328</v>
      </c>
      <c r="J330">
        <v>520</v>
      </c>
      <c r="K330" t="s">
        <v>2230</v>
      </c>
      <c r="M330" t="s">
        <v>2359</v>
      </c>
    </row>
    <row r="331" spans="1:19" ht="47.25" x14ac:dyDescent="0.25">
      <c r="A331">
        <v>628</v>
      </c>
      <c r="B331" t="s">
        <v>181</v>
      </c>
      <c r="C331" t="s">
        <v>2293</v>
      </c>
      <c r="D331" t="s">
        <v>1547</v>
      </c>
      <c r="E331" s="24">
        <v>0</v>
      </c>
      <c r="F331" t="s">
        <v>1997</v>
      </c>
      <c r="G331" s="3" t="s">
        <v>1548</v>
      </c>
      <c r="H331" t="s">
        <v>2315</v>
      </c>
      <c r="I331" t="s">
        <v>2327</v>
      </c>
      <c r="J331">
        <v>520</v>
      </c>
      <c r="K331" t="s">
        <v>2228</v>
      </c>
      <c r="M331" t="s">
        <v>2360</v>
      </c>
      <c r="N331" s="34">
        <v>43903</v>
      </c>
      <c r="O331" t="s">
        <v>2675</v>
      </c>
      <c r="Q331" t="s">
        <v>2453</v>
      </c>
      <c r="R331" s="25">
        <v>5925000</v>
      </c>
      <c r="S331" s="26" t="s">
        <v>2373</v>
      </c>
    </row>
    <row r="332" spans="1:19" ht="63" x14ac:dyDescent="0.25">
      <c r="A332">
        <v>643</v>
      </c>
      <c r="B332" t="s">
        <v>186</v>
      </c>
      <c r="C332" t="s">
        <v>1169</v>
      </c>
      <c r="D332" t="s">
        <v>1170</v>
      </c>
      <c r="E332" s="24">
        <v>0</v>
      </c>
      <c r="F332" t="s">
        <v>2017</v>
      </c>
      <c r="G332" s="3" t="s">
        <v>1171</v>
      </c>
      <c r="H332" t="s">
        <v>2300</v>
      </c>
      <c r="I332" t="s">
        <v>2301</v>
      </c>
      <c r="J332">
        <v>270</v>
      </c>
      <c r="K332" t="s">
        <v>2243</v>
      </c>
      <c r="M332" t="s">
        <v>2359</v>
      </c>
    </row>
    <row r="333" spans="1:19" ht="78.75" x14ac:dyDescent="0.25">
      <c r="A333">
        <v>643</v>
      </c>
      <c r="B333" t="s">
        <v>186</v>
      </c>
      <c r="C333" t="s">
        <v>1169</v>
      </c>
      <c r="D333" t="s">
        <v>1188</v>
      </c>
      <c r="E333" s="24">
        <v>2</v>
      </c>
      <c r="F333" t="s">
        <v>2144</v>
      </c>
      <c r="G333" s="3" t="s">
        <v>1189</v>
      </c>
      <c r="H333" t="s">
        <v>2300</v>
      </c>
      <c r="I333" t="s">
        <v>2301</v>
      </c>
      <c r="J333">
        <v>450</v>
      </c>
      <c r="K333" t="s">
        <v>2243</v>
      </c>
      <c r="M333" t="s">
        <v>2359</v>
      </c>
      <c r="R333"/>
      <c r="S333"/>
    </row>
    <row r="334" spans="1:19" ht="63" x14ac:dyDescent="0.25">
      <c r="A334">
        <v>644</v>
      </c>
      <c r="B334" t="s">
        <v>186</v>
      </c>
      <c r="C334" t="s">
        <v>1169</v>
      </c>
      <c r="D334" t="s">
        <v>1170</v>
      </c>
      <c r="E334" s="24">
        <v>0</v>
      </c>
      <c r="F334" t="s">
        <v>2017</v>
      </c>
      <c r="G334" s="3" t="s">
        <v>1171</v>
      </c>
      <c r="H334" t="s">
        <v>2300</v>
      </c>
      <c r="I334" t="s">
        <v>2301</v>
      </c>
      <c r="J334">
        <v>270</v>
      </c>
      <c r="K334" t="s">
        <v>2243</v>
      </c>
      <c r="M334" t="s">
        <v>2360</v>
      </c>
      <c r="N334" s="34">
        <v>43732</v>
      </c>
      <c r="O334" t="s">
        <v>2502</v>
      </c>
      <c r="P334" t="s">
        <v>2867</v>
      </c>
      <c r="Q334" t="s">
        <v>2704</v>
      </c>
      <c r="R334" s="25">
        <v>49020</v>
      </c>
      <c r="S334" s="36" t="s">
        <v>2768</v>
      </c>
    </row>
    <row r="335" spans="1:19" ht="78.75" x14ac:dyDescent="0.25">
      <c r="A335">
        <v>644</v>
      </c>
      <c r="B335" t="s">
        <v>186</v>
      </c>
      <c r="C335" t="s">
        <v>1169</v>
      </c>
      <c r="D335" t="s">
        <v>1188</v>
      </c>
      <c r="E335" s="24">
        <v>2</v>
      </c>
      <c r="F335" t="s">
        <v>2144</v>
      </c>
      <c r="G335" s="3" t="s">
        <v>1189</v>
      </c>
      <c r="H335" t="s">
        <v>2300</v>
      </c>
      <c r="I335" t="s">
        <v>2301</v>
      </c>
      <c r="J335">
        <v>450</v>
      </c>
      <c r="K335" t="s">
        <v>2243</v>
      </c>
      <c r="M335" t="s">
        <v>2359</v>
      </c>
      <c r="R335"/>
      <c r="S335"/>
    </row>
    <row r="336" spans="1:19" ht="78.75" x14ac:dyDescent="0.25">
      <c r="A336">
        <v>671</v>
      </c>
      <c r="B336" t="s">
        <v>193</v>
      </c>
      <c r="C336" t="s">
        <v>636</v>
      </c>
      <c r="D336" t="s">
        <v>653</v>
      </c>
      <c r="E336" s="24">
        <v>1</v>
      </c>
      <c r="F336" t="s">
        <v>1984</v>
      </c>
      <c r="G336" s="3" t="s">
        <v>438</v>
      </c>
      <c r="H336" t="s">
        <v>2300</v>
      </c>
      <c r="I336" t="s">
        <v>2307</v>
      </c>
      <c r="J336">
        <v>510</v>
      </c>
      <c r="K336" t="s">
        <v>2240</v>
      </c>
      <c r="M336" t="s">
        <v>2359</v>
      </c>
      <c r="S336"/>
    </row>
    <row r="337" spans="1:19" ht="47.25" x14ac:dyDescent="0.25">
      <c r="A337">
        <v>676</v>
      </c>
      <c r="B337" t="s">
        <v>195</v>
      </c>
      <c r="C337" t="s">
        <v>506</v>
      </c>
      <c r="D337" t="s">
        <v>511</v>
      </c>
      <c r="E337" s="24">
        <v>1</v>
      </c>
      <c r="F337" t="s">
        <v>2031</v>
      </c>
      <c r="G337" s="3" t="s">
        <v>512</v>
      </c>
      <c r="H337" t="s">
        <v>2302</v>
      </c>
      <c r="I337" t="s">
        <v>2317</v>
      </c>
      <c r="J337">
        <v>210</v>
      </c>
      <c r="K337" t="s">
        <v>2245</v>
      </c>
      <c r="M337" t="s">
        <v>2359</v>
      </c>
      <c r="S337"/>
    </row>
    <row r="338" spans="1:19" ht="31.5" x14ac:dyDescent="0.25">
      <c r="A338">
        <v>676</v>
      </c>
      <c r="B338" t="s">
        <v>195</v>
      </c>
      <c r="C338" t="s">
        <v>506</v>
      </c>
      <c r="D338" t="s">
        <v>538</v>
      </c>
      <c r="E338" s="24">
        <v>0</v>
      </c>
      <c r="F338" t="s">
        <v>2036</v>
      </c>
      <c r="G338" s="3" t="s">
        <v>539</v>
      </c>
      <c r="H338" t="s">
        <v>2302</v>
      </c>
      <c r="I338" t="s">
        <v>2317</v>
      </c>
      <c r="J338">
        <v>270</v>
      </c>
      <c r="K338" t="s">
        <v>2245</v>
      </c>
      <c r="M338" t="s">
        <v>2359</v>
      </c>
    </row>
    <row r="339" spans="1:19" ht="31.5" x14ac:dyDescent="0.25">
      <c r="A339">
        <v>676</v>
      </c>
      <c r="B339" t="s">
        <v>195</v>
      </c>
      <c r="C339" t="s">
        <v>506</v>
      </c>
      <c r="D339" t="s">
        <v>548</v>
      </c>
      <c r="E339" s="24">
        <v>1</v>
      </c>
      <c r="F339" t="s">
        <v>1984</v>
      </c>
      <c r="G339" s="3" t="s">
        <v>549</v>
      </c>
      <c r="H339" t="s">
        <v>2302</v>
      </c>
      <c r="I339" t="s">
        <v>2317</v>
      </c>
      <c r="J339">
        <v>510</v>
      </c>
      <c r="K339" t="s">
        <v>2245</v>
      </c>
      <c r="M339" t="s">
        <v>2359</v>
      </c>
      <c r="S339"/>
    </row>
    <row r="340" spans="1:19" ht="31.5" x14ac:dyDescent="0.25">
      <c r="A340">
        <v>677</v>
      </c>
      <c r="B340" t="s">
        <v>196</v>
      </c>
      <c r="C340" t="s">
        <v>1292</v>
      </c>
      <c r="D340" t="s">
        <v>1308</v>
      </c>
      <c r="E340" s="24">
        <v>0</v>
      </c>
      <c r="F340" t="s">
        <v>1984</v>
      </c>
      <c r="G340" s="3" t="s">
        <v>875</v>
      </c>
      <c r="H340" t="s">
        <v>2308</v>
      </c>
      <c r="I340" t="s">
        <v>2337</v>
      </c>
      <c r="J340">
        <v>510</v>
      </c>
      <c r="K340" t="s">
        <v>2287</v>
      </c>
      <c r="M340" t="s">
        <v>2359</v>
      </c>
    </row>
    <row r="341" spans="1:19" ht="31.5" x14ac:dyDescent="0.25">
      <c r="A341">
        <v>677</v>
      </c>
      <c r="B341" t="s">
        <v>196</v>
      </c>
      <c r="C341" t="s">
        <v>1366</v>
      </c>
      <c r="D341" t="s">
        <v>1377</v>
      </c>
      <c r="E341" s="24">
        <v>0</v>
      </c>
      <c r="F341" t="s">
        <v>2036</v>
      </c>
      <c r="G341" s="3" t="s">
        <v>539</v>
      </c>
      <c r="H341" t="s">
        <v>2302</v>
      </c>
      <c r="I341" t="s">
        <v>2303</v>
      </c>
      <c r="J341">
        <v>270</v>
      </c>
      <c r="K341" t="s">
        <v>2250</v>
      </c>
      <c r="M341" t="s">
        <v>2359</v>
      </c>
    </row>
    <row r="342" spans="1:19" ht="31.5" x14ac:dyDescent="0.25">
      <c r="A342">
        <v>677</v>
      </c>
      <c r="B342" t="s">
        <v>196</v>
      </c>
      <c r="C342" t="s">
        <v>1366</v>
      </c>
      <c r="D342" t="s">
        <v>1388</v>
      </c>
      <c r="E342" s="24">
        <v>0</v>
      </c>
      <c r="F342" t="s">
        <v>2174</v>
      </c>
      <c r="G342" s="3" t="s">
        <v>875</v>
      </c>
      <c r="H342" t="s">
        <v>2302</v>
      </c>
      <c r="I342" t="s">
        <v>2303</v>
      </c>
      <c r="J342">
        <v>510</v>
      </c>
      <c r="K342" t="s">
        <v>2250</v>
      </c>
      <c r="M342" t="s">
        <v>2359</v>
      </c>
    </row>
    <row r="343" spans="1:19" ht="31.5" x14ac:dyDescent="0.25">
      <c r="A343">
        <v>679</v>
      </c>
      <c r="B343" t="s">
        <v>197</v>
      </c>
      <c r="C343" t="s">
        <v>859</v>
      </c>
      <c r="D343" t="s">
        <v>864</v>
      </c>
      <c r="E343" s="24">
        <v>1</v>
      </c>
      <c r="F343" t="s">
        <v>1981</v>
      </c>
      <c r="G343" s="3" t="s">
        <v>289</v>
      </c>
      <c r="H343" t="s">
        <v>2312</v>
      </c>
      <c r="I343" t="s">
        <v>2313</v>
      </c>
      <c r="J343">
        <v>250</v>
      </c>
      <c r="K343" t="s">
        <v>2268</v>
      </c>
      <c r="M343" t="s">
        <v>2359</v>
      </c>
      <c r="S343"/>
    </row>
    <row r="344" spans="1:19" ht="31.5" x14ac:dyDescent="0.25">
      <c r="A344">
        <v>679</v>
      </c>
      <c r="B344" t="s">
        <v>197</v>
      </c>
      <c r="C344" t="s">
        <v>859</v>
      </c>
      <c r="D344" t="s">
        <v>874</v>
      </c>
      <c r="E344" s="24">
        <v>1</v>
      </c>
      <c r="F344" t="s">
        <v>1984</v>
      </c>
      <c r="G344" s="3" t="s">
        <v>875</v>
      </c>
      <c r="H344" t="s">
        <v>2312</v>
      </c>
      <c r="I344" t="s">
        <v>2313</v>
      </c>
      <c r="J344">
        <v>510</v>
      </c>
      <c r="K344" t="s">
        <v>2268</v>
      </c>
      <c r="M344" t="s">
        <v>2359</v>
      </c>
      <c r="S344"/>
    </row>
    <row r="345" spans="1:19" ht="47.25" x14ac:dyDescent="0.25">
      <c r="A345">
        <v>679</v>
      </c>
      <c r="B345" t="s">
        <v>197</v>
      </c>
      <c r="C345" t="s">
        <v>859</v>
      </c>
      <c r="D345" t="s">
        <v>876</v>
      </c>
      <c r="E345" s="24">
        <v>1</v>
      </c>
      <c r="F345" t="s">
        <v>1984</v>
      </c>
      <c r="G345" s="3" t="s">
        <v>372</v>
      </c>
      <c r="H345" t="s">
        <v>2312</v>
      </c>
      <c r="I345" t="s">
        <v>2313</v>
      </c>
      <c r="J345">
        <v>510</v>
      </c>
      <c r="K345" t="s">
        <v>2268</v>
      </c>
      <c r="M345" t="s">
        <v>2359</v>
      </c>
      <c r="S345"/>
    </row>
    <row r="346" spans="1:19" ht="31.5" x14ac:dyDescent="0.25">
      <c r="A346">
        <v>682</v>
      </c>
      <c r="B346" t="s">
        <v>199</v>
      </c>
      <c r="C346" t="s">
        <v>1640</v>
      </c>
      <c r="D346" t="s">
        <v>1653</v>
      </c>
      <c r="E346" s="24">
        <v>1</v>
      </c>
      <c r="F346" t="s">
        <v>2149</v>
      </c>
      <c r="G346" s="3" t="s">
        <v>1654</v>
      </c>
      <c r="H346" t="s">
        <v>2338</v>
      </c>
      <c r="I346" t="s">
        <v>2339</v>
      </c>
      <c r="J346">
        <v>510</v>
      </c>
      <c r="K346" t="s">
        <v>2275</v>
      </c>
      <c r="M346" t="s">
        <v>2359</v>
      </c>
      <c r="S346"/>
    </row>
    <row r="347" spans="1:19" ht="31.5" x14ac:dyDescent="0.25">
      <c r="A347">
        <v>684</v>
      </c>
      <c r="B347" t="s">
        <v>200</v>
      </c>
      <c r="C347" t="s">
        <v>1790</v>
      </c>
      <c r="D347" t="s">
        <v>1796</v>
      </c>
      <c r="E347" s="24">
        <v>1</v>
      </c>
      <c r="F347" t="s">
        <v>2203</v>
      </c>
      <c r="G347" s="3" t="s">
        <v>1205</v>
      </c>
      <c r="H347" t="s">
        <v>2305</v>
      </c>
      <c r="I347" t="s">
        <v>2306</v>
      </c>
      <c r="J347">
        <v>220</v>
      </c>
      <c r="K347" t="s">
        <v>2280</v>
      </c>
      <c r="M347" t="s">
        <v>2359</v>
      </c>
      <c r="S347"/>
    </row>
    <row r="348" spans="1:19" ht="47.25" x14ac:dyDescent="0.25">
      <c r="A348">
        <v>684</v>
      </c>
      <c r="B348" t="s">
        <v>200</v>
      </c>
      <c r="C348" t="s">
        <v>1790</v>
      </c>
      <c r="D348" t="s">
        <v>1804</v>
      </c>
      <c r="E348" s="24">
        <v>0</v>
      </c>
      <c r="F348" t="s">
        <v>2147</v>
      </c>
      <c r="G348" s="3" t="s">
        <v>372</v>
      </c>
      <c r="H348" t="s">
        <v>2305</v>
      </c>
      <c r="I348" t="s">
        <v>2306</v>
      </c>
      <c r="J348">
        <v>520</v>
      </c>
      <c r="K348" t="s">
        <v>2280</v>
      </c>
      <c r="M348" t="s">
        <v>2359</v>
      </c>
    </row>
    <row r="349" spans="1:19" ht="31.5" x14ac:dyDescent="0.25">
      <c r="A349">
        <v>710</v>
      </c>
      <c r="B349" t="s">
        <v>206</v>
      </c>
      <c r="C349" t="s">
        <v>682</v>
      </c>
      <c r="D349" t="s">
        <v>685</v>
      </c>
      <c r="E349" s="24">
        <v>1</v>
      </c>
      <c r="F349" t="s">
        <v>2090</v>
      </c>
      <c r="G349" s="3" t="s">
        <v>686</v>
      </c>
      <c r="H349" t="s">
        <v>2300</v>
      </c>
      <c r="I349" t="s">
        <v>2310</v>
      </c>
      <c r="J349">
        <v>220</v>
      </c>
      <c r="K349" t="s">
        <v>2241</v>
      </c>
      <c r="M349" t="s">
        <v>2359</v>
      </c>
      <c r="S349"/>
    </row>
    <row r="350" spans="1:19" ht="78.75" x14ac:dyDescent="0.25">
      <c r="A350">
        <v>710</v>
      </c>
      <c r="B350" t="s">
        <v>206</v>
      </c>
      <c r="C350" t="s">
        <v>682</v>
      </c>
      <c r="D350" t="s">
        <v>697</v>
      </c>
      <c r="E350" s="24">
        <v>1</v>
      </c>
      <c r="F350" t="s">
        <v>2091</v>
      </c>
      <c r="G350" s="3" t="s">
        <v>698</v>
      </c>
      <c r="H350" t="s">
        <v>2300</v>
      </c>
      <c r="I350" t="s">
        <v>2310</v>
      </c>
      <c r="J350">
        <v>270</v>
      </c>
      <c r="K350" t="s">
        <v>2241</v>
      </c>
      <c r="M350" t="s">
        <v>2359</v>
      </c>
      <c r="S350"/>
    </row>
    <row r="351" spans="1:19" ht="47.25" x14ac:dyDescent="0.25">
      <c r="A351">
        <v>710</v>
      </c>
      <c r="B351" t="s">
        <v>206</v>
      </c>
      <c r="C351" t="s">
        <v>682</v>
      </c>
      <c r="D351" t="s">
        <v>699</v>
      </c>
      <c r="E351" s="24">
        <v>1</v>
      </c>
      <c r="F351" t="s">
        <v>2091</v>
      </c>
      <c r="G351" s="3" t="s">
        <v>700</v>
      </c>
      <c r="H351" t="s">
        <v>2300</v>
      </c>
      <c r="I351" t="s">
        <v>2310</v>
      </c>
      <c r="J351">
        <v>270</v>
      </c>
      <c r="K351" t="s">
        <v>2241</v>
      </c>
      <c r="M351" t="s">
        <v>2359</v>
      </c>
      <c r="S351"/>
    </row>
    <row r="352" spans="1:19" ht="31.5" x14ac:dyDescent="0.25">
      <c r="A352">
        <v>712</v>
      </c>
      <c r="B352" t="s">
        <v>207</v>
      </c>
      <c r="C352" t="s">
        <v>1198</v>
      </c>
      <c r="D352" t="s">
        <v>1204</v>
      </c>
      <c r="E352" s="24">
        <v>1</v>
      </c>
      <c r="F352" t="s">
        <v>2146</v>
      </c>
      <c r="G352" s="3" t="s">
        <v>1205</v>
      </c>
      <c r="H352" t="s">
        <v>2305</v>
      </c>
      <c r="I352" t="s">
        <v>2336</v>
      </c>
      <c r="J352">
        <v>220</v>
      </c>
      <c r="K352" t="s">
        <v>2278</v>
      </c>
      <c r="M352" t="s">
        <v>2359</v>
      </c>
      <c r="S352"/>
    </row>
    <row r="353" spans="1:19" ht="47.25" x14ac:dyDescent="0.25">
      <c r="A353">
        <v>712</v>
      </c>
      <c r="B353" t="s">
        <v>207</v>
      </c>
      <c r="C353" t="s">
        <v>1198</v>
      </c>
      <c r="D353" t="s">
        <v>1219</v>
      </c>
      <c r="E353" s="24">
        <v>1</v>
      </c>
      <c r="F353" t="s">
        <v>2147</v>
      </c>
      <c r="G353" s="3" t="s">
        <v>372</v>
      </c>
      <c r="H353" t="s">
        <v>2305</v>
      </c>
      <c r="I353" t="s">
        <v>2336</v>
      </c>
      <c r="J353">
        <v>520</v>
      </c>
      <c r="K353" t="s">
        <v>2278</v>
      </c>
      <c r="M353" t="s">
        <v>2359</v>
      </c>
      <c r="S353"/>
    </row>
    <row r="354" spans="1:19" ht="47.25" x14ac:dyDescent="0.25">
      <c r="A354">
        <v>716</v>
      </c>
      <c r="B354" t="s">
        <v>209</v>
      </c>
      <c r="C354" t="s">
        <v>362</v>
      </c>
      <c r="D354" t="s">
        <v>371</v>
      </c>
      <c r="E354" s="24">
        <v>1</v>
      </c>
      <c r="F354" t="s">
        <v>1997</v>
      </c>
      <c r="G354" s="3" t="s">
        <v>372</v>
      </c>
      <c r="H354" t="s">
        <v>2308</v>
      </c>
      <c r="I354" t="s">
        <v>2309</v>
      </c>
      <c r="J354">
        <v>520</v>
      </c>
      <c r="K354" t="s">
        <v>2283</v>
      </c>
      <c r="M354" t="s">
        <v>2359</v>
      </c>
      <c r="S354"/>
    </row>
    <row r="355" spans="1:19" ht="47.25" x14ac:dyDescent="0.25">
      <c r="A355">
        <v>722</v>
      </c>
      <c r="B355" t="s">
        <v>210</v>
      </c>
      <c r="C355" t="s">
        <v>917</v>
      </c>
      <c r="D355" t="s">
        <v>940</v>
      </c>
      <c r="E355" s="24">
        <v>1</v>
      </c>
      <c r="F355" t="s">
        <v>2120</v>
      </c>
      <c r="G355" s="3" t="s">
        <v>384</v>
      </c>
      <c r="H355" t="s">
        <v>2320</v>
      </c>
      <c r="I355" t="s">
        <v>2343</v>
      </c>
      <c r="J355">
        <v>270</v>
      </c>
      <c r="K355" t="s">
        <v>2233</v>
      </c>
      <c r="M355" t="s">
        <v>2359</v>
      </c>
      <c r="S355"/>
    </row>
    <row r="356" spans="1:19" ht="47.25" x14ac:dyDescent="0.25">
      <c r="A356">
        <v>722</v>
      </c>
      <c r="B356" t="s">
        <v>210</v>
      </c>
      <c r="C356" t="s">
        <v>917</v>
      </c>
      <c r="D356" t="s">
        <v>947</v>
      </c>
      <c r="E356" s="24">
        <v>1</v>
      </c>
      <c r="F356" t="s">
        <v>1993</v>
      </c>
      <c r="G356" s="3" t="s">
        <v>948</v>
      </c>
      <c r="H356" t="s">
        <v>2320</v>
      </c>
      <c r="I356" t="s">
        <v>2343</v>
      </c>
      <c r="J356">
        <v>310</v>
      </c>
      <c r="K356" t="s">
        <v>2233</v>
      </c>
      <c r="M356" t="s">
        <v>2359</v>
      </c>
      <c r="S356"/>
    </row>
    <row r="357" spans="1:19" ht="63" x14ac:dyDescent="0.25">
      <c r="A357">
        <v>739</v>
      </c>
      <c r="B357" t="s">
        <v>214</v>
      </c>
      <c r="C357" t="s">
        <v>422</v>
      </c>
      <c r="D357" t="s">
        <v>425</v>
      </c>
      <c r="E357" s="24">
        <v>1</v>
      </c>
      <c r="F357" t="s">
        <v>2017</v>
      </c>
      <c r="G357" s="3" t="s">
        <v>426</v>
      </c>
      <c r="H357" t="s">
        <v>2300</v>
      </c>
      <c r="I357" t="s">
        <v>2304</v>
      </c>
      <c r="J357">
        <v>270</v>
      </c>
      <c r="K357" t="s">
        <v>2239</v>
      </c>
      <c r="M357" t="s">
        <v>2359</v>
      </c>
      <c r="S357"/>
    </row>
    <row r="358" spans="1:19" ht="78.75" x14ac:dyDescent="0.25">
      <c r="A358">
        <v>739</v>
      </c>
      <c r="B358" t="s">
        <v>214</v>
      </c>
      <c r="C358" t="s">
        <v>422</v>
      </c>
      <c r="D358" t="s">
        <v>437</v>
      </c>
      <c r="E358" s="24">
        <v>1</v>
      </c>
      <c r="F358" t="s">
        <v>1984</v>
      </c>
      <c r="G358" s="3" t="s">
        <v>438</v>
      </c>
      <c r="H358" t="s">
        <v>2300</v>
      </c>
      <c r="I358" t="s">
        <v>2304</v>
      </c>
      <c r="J358">
        <v>510</v>
      </c>
      <c r="K358" t="s">
        <v>2239</v>
      </c>
      <c r="M358" t="s">
        <v>2359</v>
      </c>
      <c r="S358"/>
    </row>
    <row r="359" spans="1:19" ht="47.25" x14ac:dyDescent="0.25">
      <c r="A359">
        <v>742</v>
      </c>
      <c r="B359" t="s">
        <v>216</v>
      </c>
      <c r="C359" t="s">
        <v>2293</v>
      </c>
      <c r="D359" t="s">
        <v>1547</v>
      </c>
      <c r="E359" s="24">
        <v>0</v>
      </c>
      <c r="F359" t="s">
        <v>1997</v>
      </c>
      <c r="G359" s="3" t="s">
        <v>1548</v>
      </c>
      <c r="H359" t="s">
        <v>2315</v>
      </c>
      <c r="I359" t="s">
        <v>2327</v>
      </c>
      <c r="J359">
        <v>520</v>
      </c>
      <c r="K359" t="s">
        <v>2228</v>
      </c>
      <c r="M359" t="s">
        <v>2359</v>
      </c>
    </row>
    <row r="360" spans="1:19" ht="31.5" x14ac:dyDescent="0.25">
      <c r="A360">
        <v>744</v>
      </c>
      <c r="B360" t="s">
        <v>217</v>
      </c>
      <c r="C360" t="s">
        <v>1457</v>
      </c>
      <c r="D360" t="s">
        <v>1465</v>
      </c>
      <c r="E360" s="24">
        <v>0</v>
      </c>
      <c r="F360" t="s">
        <v>1993</v>
      </c>
      <c r="G360" s="3" t="s">
        <v>347</v>
      </c>
      <c r="H360" t="s">
        <v>2318</v>
      </c>
      <c r="I360" t="s">
        <v>2319</v>
      </c>
      <c r="J360">
        <v>310</v>
      </c>
      <c r="K360" t="s">
        <v>2223</v>
      </c>
      <c r="M360" t="s">
        <v>2360</v>
      </c>
      <c r="N360" s="34">
        <v>43511</v>
      </c>
      <c r="O360" t="s">
        <v>2446</v>
      </c>
      <c r="Q360" t="s">
        <v>2447</v>
      </c>
      <c r="R360" s="25">
        <v>10000</v>
      </c>
      <c r="S360" s="36" t="s">
        <v>2783</v>
      </c>
    </row>
    <row r="361" spans="1:19" x14ac:dyDescent="0.25">
      <c r="N361" s="34">
        <v>43558</v>
      </c>
      <c r="O361" t="s">
        <v>2446</v>
      </c>
      <c r="Q361" t="s">
        <v>2447</v>
      </c>
      <c r="R361" s="25">
        <v>19510</v>
      </c>
      <c r="S361" s="36" t="s">
        <v>2784</v>
      </c>
    </row>
    <row r="362" spans="1:19" x14ac:dyDescent="0.25">
      <c r="N362" s="34">
        <v>43593</v>
      </c>
      <c r="O362" t="s">
        <v>2446</v>
      </c>
      <c r="Q362" t="s">
        <v>2447</v>
      </c>
      <c r="R362" s="25">
        <v>113660</v>
      </c>
      <c r="S362" s="36" t="s">
        <v>2785</v>
      </c>
    </row>
    <row r="363" spans="1:19" x14ac:dyDescent="0.25">
      <c r="N363" s="34">
        <v>43633</v>
      </c>
      <c r="O363" t="s">
        <v>2446</v>
      </c>
      <c r="Q363" t="s">
        <v>2447</v>
      </c>
      <c r="R363" s="25">
        <v>10000</v>
      </c>
      <c r="S363" s="36" t="s">
        <v>2786</v>
      </c>
    </row>
    <row r="364" spans="1:19" x14ac:dyDescent="0.25">
      <c r="N364" s="34">
        <v>43643</v>
      </c>
      <c r="O364" t="s">
        <v>2446</v>
      </c>
      <c r="Q364" t="s">
        <v>2447</v>
      </c>
      <c r="R364" s="25">
        <v>6843</v>
      </c>
      <c r="S364" s="36" t="s">
        <v>2787</v>
      </c>
    </row>
    <row r="365" spans="1:19" x14ac:dyDescent="0.25">
      <c r="N365" s="34">
        <v>43656</v>
      </c>
      <c r="O365" t="s">
        <v>2446</v>
      </c>
      <c r="Q365" t="s">
        <v>2447</v>
      </c>
      <c r="R365" s="25">
        <v>60000</v>
      </c>
      <c r="S365" s="36" t="s">
        <v>2789</v>
      </c>
    </row>
    <row r="366" spans="1:19" x14ac:dyDescent="0.25">
      <c r="N366" s="34">
        <v>43662</v>
      </c>
      <c r="O366" t="s">
        <v>2446</v>
      </c>
      <c r="Q366" t="s">
        <v>2447</v>
      </c>
      <c r="R366" s="25">
        <v>48416</v>
      </c>
      <c r="S366" s="36" t="s">
        <v>2788</v>
      </c>
    </row>
    <row r="367" spans="1:19" x14ac:dyDescent="0.25">
      <c r="N367" s="34">
        <v>43665</v>
      </c>
      <c r="O367" t="s">
        <v>2446</v>
      </c>
      <c r="Q367" t="s">
        <v>2447</v>
      </c>
      <c r="R367" s="25">
        <v>95420</v>
      </c>
      <c r="S367" s="36" t="s">
        <v>2790</v>
      </c>
    </row>
    <row r="368" spans="1:19" x14ac:dyDescent="0.25">
      <c r="N368" s="34">
        <v>43689</v>
      </c>
      <c r="O368" t="s">
        <v>2446</v>
      </c>
      <c r="Q368" t="s">
        <v>2447</v>
      </c>
      <c r="R368" s="25">
        <v>67000</v>
      </c>
      <c r="S368" s="36" t="s">
        <v>2791</v>
      </c>
    </row>
    <row r="369" spans="1:20" x14ac:dyDescent="0.25">
      <c r="N369" s="34">
        <v>43689</v>
      </c>
      <c r="O369" t="s">
        <v>2446</v>
      </c>
      <c r="Q369" t="s">
        <v>2447</v>
      </c>
      <c r="R369" s="25">
        <v>8096</v>
      </c>
      <c r="S369" s="36" t="s">
        <v>2792</v>
      </c>
    </row>
    <row r="370" spans="1:20" x14ac:dyDescent="0.25">
      <c r="N370" s="34">
        <v>43704</v>
      </c>
      <c r="O370" t="s">
        <v>2446</v>
      </c>
      <c r="Q370" t="s">
        <v>2447</v>
      </c>
      <c r="R370" s="25">
        <v>28414</v>
      </c>
      <c r="S370" s="36" t="s">
        <v>2793</v>
      </c>
    </row>
    <row r="371" spans="1:20" x14ac:dyDescent="0.25">
      <c r="N371" s="34">
        <v>43784</v>
      </c>
      <c r="O371" t="s">
        <v>2446</v>
      </c>
      <c r="Q371" t="s">
        <v>2447</v>
      </c>
      <c r="R371" s="25">
        <v>5314</v>
      </c>
      <c r="S371" s="36" t="s">
        <v>2794</v>
      </c>
    </row>
    <row r="372" spans="1:20" x14ac:dyDescent="0.25">
      <c r="N372" s="34">
        <v>43789</v>
      </c>
      <c r="O372" t="s">
        <v>2446</v>
      </c>
      <c r="Q372" t="s">
        <v>2447</v>
      </c>
      <c r="R372" s="25">
        <v>57830</v>
      </c>
      <c r="S372" s="36" t="s">
        <v>2795</v>
      </c>
    </row>
    <row r="373" spans="1:20" ht="47.25" x14ac:dyDescent="0.25">
      <c r="A373">
        <v>744</v>
      </c>
      <c r="B373" t="s">
        <v>217</v>
      </c>
      <c r="C373" t="s">
        <v>1457</v>
      </c>
      <c r="D373" t="s">
        <v>1468</v>
      </c>
      <c r="E373" s="24">
        <v>0</v>
      </c>
      <c r="F373" t="s">
        <v>1977</v>
      </c>
      <c r="G373" s="3" t="s">
        <v>1469</v>
      </c>
      <c r="H373" t="s">
        <v>2318</v>
      </c>
      <c r="I373" t="s">
        <v>2319</v>
      </c>
      <c r="J373">
        <v>330</v>
      </c>
      <c r="K373" t="s">
        <v>2223</v>
      </c>
      <c r="M373" t="s">
        <v>2360</v>
      </c>
      <c r="N373" s="34">
        <v>43767</v>
      </c>
      <c r="O373" t="s">
        <v>2442</v>
      </c>
      <c r="P373" t="s">
        <v>2779</v>
      </c>
      <c r="R373" s="25">
        <v>3742500</v>
      </c>
      <c r="S373" s="36" t="s">
        <v>2374</v>
      </c>
    </row>
    <row r="374" spans="1:20" ht="47.25" x14ac:dyDescent="0.25">
      <c r="A374">
        <v>744</v>
      </c>
      <c r="B374" t="s">
        <v>217</v>
      </c>
      <c r="C374" t="s">
        <v>917</v>
      </c>
      <c r="D374" t="s">
        <v>940</v>
      </c>
      <c r="E374" s="24">
        <v>0</v>
      </c>
      <c r="F374" t="s">
        <v>2120</v>
      </c>
      <c r="G374" s="3" t="s">
        <v>384</v>
      </c>
      <c r="H374" t="s">
        <v>2320</v>
      </c>
      <c r="I374" t="s">
        <v>2343</v>
      </c>
      <c r="J374">
        <v>270</v>
      </c>
      <c r="K374" t="s">
        <v>2233</v>
      </c>
      <c r="M374" t="s">
        <v>2359</v>
      </c>
    </row>
    <row r="375" spans="1:20" ht="47.25" x14ac:dyDescent="0.25">
      <c r="A375">
        <v>744</v>
      </c>
      <c r="B375" t="s">
        <v>217</v>
      </c>
      <c r="C375" t="s">
        <v>917</v>
      </c>
      <c r="D375" t="s">
        <v>947</v>
      </c>
      <c r="E375" s="24">
        <v>0</v>
      </c>
      <c r="F375" t="s">
        <v>1993</v>
      </c>
      <c r="G375" s="3" t="s">
        <v>948</v>
      </c>
      <c r="H375" t="s">
        <v>2320</v>
      </c>
      <c r="I375" t="s">
        <v>2343</v>
      </c>
      <c r="J375">
        <v>310</v>
      </c>
      <c r="K375" t="s">
        <v>2233</v>
      </c>
      <c r="M375" t="s">
        <v>2360</v>
      </c>
      <c r="N375" s="34">
        <v>43767</v>
      </c>
      <c r="O375" t="s">
        <v>2442</v>
      </c>
      <c r="P375" t="s">
        <v>2779</v>
      </c>
      <c r="R375" s="25">
        <v>3742500</v>
      </c>
      <c r="S375" s="36" t="s">
        <v>2374</v>
      </c>
      <c r="T375" t="s">
        <v>2864</v>
      </c>
    </row>
    <row r="376" spans="1:20" ht="31.5" x14ac:dyDescent="0.25">
      <c r="A376">
        <v>745</v>
      </c>
      <c r="B376" t="s">
        <v>217</v>
      </c>
      <c r="C376" t="s">
        <v>1457</v>
      </c>
      <c r="D376" t="s">
        <v>1465</v>
      </c>
      <c r="E376" s="24">
        <v>0</v>
      </c>
      <c r="F376" t="s">
        <v>1993</v>
      </c>
      <c r="G376" s="3" t="s">
        <v>347</v>
      </c>
      <c r="H376" t="s">
        <v>2318</v>
      </c>
      <c r="I376" t="s">
        <v>2319</v>
      </c>
      <c r="J376">
        <v>310</v>
      </c>
      <c r="K376" t="s">
        <v>2223</v>
      </c>
      <c r="M376" t="s">
        <v>2360</v>
      </c>
      <c r="N376" s="34">
        <v>43305</v>
      </c>
      <c r="O376" t="s">
        <v>2449</v>
      </c>
      <c r="R376" s="25">
        <v>9000000</v>
      </c>
      <c r="S376" s="26" t="s">
        <v>2797</v>
      </c>
    </row>
    <row r="377" spans="1:20" x14ac:dyDescent="0.25">
      <c r="N377" s="34">
        <v>43384</v>
      </c>
      <c r="O377" t="s">
        <v>2446</v>
      </c>
      <c r="Q377" t="s">
        <v>2447</v>
      </c>
      <c r="R377" s="25">
        <v>5683</v>
      </c>
      <c r="S377" s="26" t="s">
        <v>2807</v>
      </c>
    </row>
    <row r="378" spans="1:20" x14ac:dyDescent="0.25">
      <c r="N378" s="34">
        <v>43404</v>
      </c>
      <c r="O378" t="s">
        <v>2446</v>
      </c>
      <c r="Q378" t="s">
        <v>2447</v>
      </c>
      <c r="R378" s="25">
        <v>41674</v>
      </c>
      <c r="S378" s="26" t="s">
        <v>2808</v>
      </c>
    </row>
    <row r="379" spans="1:20" x14ac:dyDescent="0.25">
      <c r="N379" s="34">
        <v>43417</v>
      </c>
      <c r="O379" t="s">
        <v>2446</v>
      </c>
      <c r="Q379" t="s">
        <v>2447</v>
      </c>
      <c r="R379" s="25">
        <v>7956</v>
      </c>
      <c r="S379" s="26" t="s">
        <v>2809</v>
      </c>
    </row>
    <row r="380" spans="1:20" x14ac:dyDescent="0.25">
      <c r="N380" s="34">
        <v>43423</v>
      </c>
      <c r="O380" t="s">
        <v>2446</v>
      </c>
      <c r="Q380" t="s">
        <v>2447</v>
      </c>
      <c r="R380" s="25">
        <v>36465</v>
      </c>
      <c r="S380" s="26" t="s">
        <v>2810</v>
      </c>
    </row>
    <row r="381" spans="1:20" x14ac:dyDescent="0.25">
      <c r="N381" s="34">
        <v>43438</v>
      </c>
      <c r="O381" t="s">
        <v>2446</v>
      </c>
      <c r="Q381" t="s">
        <v>2447</v>
      </c>
      <c r="R381" s="25">
        <v>6000</v>
      </c>
      <c r="S381" s="26" t="s">
        <v>2811</v>
      </c>
    </row>
    <row r="382" spans="1:20" x14ac:dyDescent="0.25">
      <c r="N382" s="34">
        <v>43446</v>
      </c>
      <c r="O382" t="s">
        <v>2446</v>
      </c>
      <c r="Q382" t="s">
        <v>2447</v>
      </c>
      <c r="R382" s="25">
        <v>10500</v>
      </c>
      <c r="S382" s="26" t="s">
        <v>2812</v>
      </c>
    </row>
    <row r="383" spans="1:20" x14ac:dyDescent="0.25">
      <c r="N383" s="34">
        <v>43453</v>
      </c>
      <c r="O383" t="s">
        <v>2446</v>
      </c>
      <c r="Q383" t="s">
        <v>2447</v>
      </c>
      <c r="R383" s="25">
        <v>9701</v>
      </c>
      <c r="S383" s="26" t="s">
        <v>2813</v>
      </c>
    </row>
    <row r="384" spans="1:20" x14ac:dyDescent="0.25">
      <c r="N384" s="34">
        <v>43455</v>
      </c>
      <c r="O384" t="s">
        <v>2446</v>
      </c>
      <c r="Q384" t="s">
        <v>2447</v>
      </c>
      <c r="R384" s="25">
        <v>64000</v>
      </c>
      <c r="S384" s="26" t="s">
        <v>2814</v>
      </c>
    </row>
    <row r="385" spans="1:19" x14ac:dyDescent="0.25">
      <c r="N385" s="34">
        <v>43473</v>
      </c>
      <c r="O385" t="s">
        <v>2446</v>
      </c>
      <c r="Q385" t="s">
        <v>2447</v>
      </c>
      <c r="R385" s="25">
        <v>8335</v>
      </c>
      <c r="S385" s="26" t="s">
        <v>2782</v>
      </c>
    </row>
    <row r="386" spans="1:19" ht="47.25" x14ac:dyDescent="0.25">
      <c r="A386">
        <v>745</v>
      </c>
      <c r="B386" t="s">
        <v>217</v>
      </c>
      <c r="C386" t="s">
        <v>1457</v>
      </c>
      <c r="D386" t="s">
        <v>1468</v>
      </c>
      <c r="E386" s="24">
        <v>0</v>
      </c>
      <c r="F386" t="s">
        <v>1977</v>
      </c>
      <c r="G386" s="3" t="s">
        <v>1469</v>
      </c>
      <c r="H386" t="s">
        <v>2318</v>
      </c>
      <c r="I386" t="s">
        <v>2319</v>
      </c>
      <c r="J386">
        <v>330</v>
      </c>
      <c r="K386" t="s">
        <v>2223</v>
      </c>
      <c r="M386" t="s">
        <v>2360</v>
      </c>
      <c r="N386" s="34">
        <v>43234</v>
      </c>
      <c r="O386" t="s">
        <v>2442</v>
      </c>
      <c r="P386" t="s">
        <v>2796</v>
      </c>
      <c r="R386" s="25">
        <v>3742500</v>
      </c>
      <c r="S386" s="26" t="s">
        <v>2375</v>
      </c>
    </row>
    <row r="387" spans="1:19" ht="47.25" x14ac:dyDescent="0.25">
      <c r="A387">
        <v>746</v>
      </c>
      <c r="B387" t="s">
        <v>218</v>
      </c>
      <c r="C387" t="s">
        <v>1097</v>
      </c>
      <c r="D387" t="s">
        <v>1102</v>
      </c>
      <c r="E387" s="24">
        <v>1</v>
      </c>
      <c r="F387" t="s">
        <v>2135</v>
      </c>
      <c r="G387" s="3" t="s">
        <v>1103</v>
      </c>
      <c r="H387" t="s">
        <v>2323</v>
      </c>
      <c r="I387" t="s">
        <v>2324</v>
      </c>
      <c r="J387">
        <v>160</v>
      </c>
      <c r="K387" t="s">
        <v>2254</v>
      </c>
      <c r="M387" t="s">
        <v>2359</v>
      </c>
      <c r="S387"/>
    </row>
    <row r="388" spans="1:19" ht="47.25" x14ac:dyDescent="0.25">
      <c r="A388">
        <v>748</v>
      </c>
      <c r="B388" t="s">
        <v>218</v>
      </c>
      <c r="C388" t="s">
        <v>1097</v>
      </c>
      <c r="D388" t="s">
        <v>1102</v>
      </c>
      <c r="E388" s="24">
        <v>0</v>
      </c>
      <c r="F388" t="s">
        <v>2135</v>
      </c>
      <c r="G388" s="3" t="s">
        <v>1103</v>
      </c>
      <c r="H388" t="s">
        <v>2323</v>
      </c>
      <c r="I388" t="s">
        <v>2324</v>
      </c>
      <c r="J388">
        <v>160</v>
      </c>
      <c r="K388" t="s">
        <v>2254</v>
      </c>
      <c r="M388" t="s">
        <v>2359</v>
      </c>
    </row>
    <row r="389" spans="1:19" ht="31.5" x14ac:dyDescent="0.25">
      <c r="A389">
        <v>750</v>
      </c>
      <c r="B389" t="s">
        <v>219</v>
      </c>
      <c r="C389" t="s">
        <v>1790</v>
      </c>
      <c r="D389" t="s">
        <v>1796</v>
      </c>
      <c r="E389" s="24">
        <v>1</v>
      </c>
      <c r="F389" t="s">
        <v>2203</v>
      </c>
      <c r="G389" s="3" t="s">
        <v>1205</v>
      </c>
      <c r="H389" t="s">
        <v>2305</v>
      </c>
      <c r="I389" t="s">
        <v>2306</v>
      </c>
      <c r="J389">
        <v>220</v>
      </c>
      <c r="K389" t="s">
        <v>2280</v>
      </c>
      <c r="M389" t="s">
        <v>2359</v>
      </c>
      <c r="S389"/>
    </row>
    <row r="390" spans="1:19" ht="47.25" x14ac:dyDescent="0.25">
      <c r="A390">
        <v>750</v>
      </c>
      <c r="B390" t="s">
        <v>219</v>
      </c>
      <c r="C390" t="s">
        <v>1790</v>
      </c>
      <c r="D390" t="s">
        <v>1804</v>
      </c>
      <c r="E390" s="24">
        <v>0</v>
      </c>
      <c r="F390" t="s">
        <v>2147</v>
      </c>
      <c r="G390" s="3" t="s">
        <v>372</v>
      </c>
      <c r="H390" t="s">
        <v>2305</v>
      </c>
      <c r="I390" t="s">
        <v>2306</v>
      </c>
      <c r="J390">
        <v>520</v>
      </c>
      <c r="K390" t="s">
        <v>2280</v>
      </c>
      <c r="M390" t="s">
        <v>2359</v>
      </c>
    </row>
    <row r="391" spans="1:19" ht="47.25" x14ac:dyDescent="0.25">
      <c r="A391">
        <v>750</v>
      </c>
      <c r="B391" t="s">
        <v>219</v>
      </c>
      <c r="C391" t="s">
        <v>1030</v>
      </c>
      <c r="D391" t="s">
        <v>1040</v>
      </c>
      <c r="E391" s="24">
        <v>1</v>
      </c>
      <c r="F391" t="s">
        <v>2129</v>
      </c>
      <c r="G391" s="3" t="s">
        <v>767</v>
      </c>
      <c r="H391" t="s">
        <v>2302</v>
      </c>
      <c r="I391" t="s">
        <v>2335</v>
      </c>
      <c r="J391">
        <v>230</v>
      </c>
      <c r="K391" t="s">
        <v>2248</v>
      </c>
      <c r="M391" t="s">
        <v>2359</v>
      </c>
      <c r="S391"/>
    </row>
    <row r="392" spans="1:19" ht="47.25" x14ac:dyDescent="0.25">
      <c r="A392">
        <v>750</v>
      </c>
      <c r="B392" t="s">
        <v>219</v>
      </c>
      <c r="C392" t="s">
        <v>1030</v>
      </c>
      <c r="D392" t="s">
        <v>1075</v>
      </c>
      <c r="E392" s="24">
        <v>0</v>
      </c>
      <c r="F392" t="s">
        <v>2134</v>
      </c>
      <c r="G392" s="3" t="s">
        <v>1076</v>
      </c>
      <c r="H392" t="s">
        <v>2302</v>
      </c>
      <c r="I392" t="s">
        <v>2335</v>
      </c>
      <c r="J392">
        <v>510</v>
      </c>
      <c r="K392" t="s">
        <v>2248</v>
      </c>
      <c r="M392" t="s">
        <v>2359</v>
      </c>
    </row>
    <row r="393" spans="1:19" ht="31.5" x14ac:dyDescent="0.25">
      <c r="A393">
        <v>752</v>
      </c>
      <c r="B393" t="s">
        <v>220</v>
      </c>
      <c r="C393" t="s">
        <v>1292</v>
      </c>
      <c r="D393" t="s">
        <v>1308</v>
      </c>
      <c r="E393" s="24">
        <v>1</v>
      </c>
      <c r="F393" t="s">
        <v>1984</v>
      </c>
      <c r="G393" s="3" t="s">
        <v>875</v>
      </c>
      <c r="H393" t="s">
        <v>2308</v>
      </c>
      <c r="I393" t="s">
        <v>2337</v>
      </c>
      <c r="J393">
        <v>510</v>
      </c>
      <c r="K393" t="s">
        <v>2287</v>
      </c>
      <c r="M393" t="s">
        <v>2359</v>
      </c>
      <c r="S393"/>
    </row>
    <row r="394" spans="1:19" ht="47.25" x14ac:dyDescent="0.25">
      <c r="A394">
        <v>753</v>
      </c>
      <c r="B394" t="s">
        <v>221</v>
      </c>
      <c r="C394" t="s">
        <v>1097</v>
      </c>
      <c r="D394" t="s">
        <v>1102</v>
      </c>
      <c r="E394" s="24">
        <v>1</v>
      </c>
      <c r="F394" t="s">
        <v>2135</v>
      </c>
      <c r="G394" s="3" t="s">
        <v>1103</v>
      </c>
      <c r="H394" t="s">
        <v>2323</v>
      </c>
      <c r="I394" t="s">
        <v>2324</v>
      </c>
      <c r="J394">
        <v>160</v>
      </c>
      <c r="K394" t="s">
        <v>2254</v>
      </c>
      <c r="M394" t="s">
        <v>2359</v>
      </c>
      <c r="S394"/>
    </row>
    <row r="395" spans="1:19" ht="31.5" x14ac:dyDescent="0.25">
      <c r="A395">
        <v>756</v>
      </c>
      <c r="B395" t="s">
        <v>223</v>
      </c>
      <c r="C395" t="s">
        <v>1457</v>
      </c>
      <c r="D395" t="s">
        <v>1465</v>
      </c>
      <c r="E395" s="24">
        <v>0</v>
      </c>
      <c r="F395" t="s">
        <v>1993</v>
      </c>
      <c r="G395" s="3" t="s">
        <v>347</v>
      </c>
      <c r="H395" t="s">
        <v>2318</v>
      </c>
      <c r="I395" t="s">
        <v>2319</v>
      </c>
      <c r="J395">
        <v>310</v>
      </c>
      <c r="K395" t="s">
        <v>2223</v>
      </c>
      <c r="M395" t="s">
        <v>2360</v>
      </c>
      <c r="R395" s="25">
        <v>5683</v>
      </c>
      <c r="S395" s="26" t="s">
        <v>2376</v>
      </c>
    </row>
    <row r="396" spans="1:19" ht="47.25" x14ac:dyDescent="0.25">
      <c r="A396">
        <v>756</v>
      </c>
      <c r="B396" t="s">
        <v>223</v>
      </c>
      <c r="C396" t="s">
        <v>1457</v>
      </c>
      <c r="D396" t="s">
        <v>1468</v>
      </c>
      <c r="E396" s="24">
        <v>1</v>
      </c>
      <c r="F396" t="s">
        <v>1977</v>
      </c>
      <c r="G396" s="3" t="s">
        <v>1469</v>
      </c>
      <c r="H396" t="s">
        <v>2318</v>
      </c>
      <c r="I396" t="s">
        <v>2319</v>
      </c>
      <c r="J396">
        <v>330</v>
      </c>
      <c r="K396" t="s">
        <v>2223</v>
      </c>
      <c r="M396" t="s">
        <v>2359</v>
      </c>
      <c r="S396"/>
    </row>
    <row r="397" spans="1:19" ht="63" x14ac:dyDescent="0.25">
      <c r="A397">
        <v>760</v>
      </c>
      <c r="B397" t="s">
        <v>224</v>
      </c>
      <c r="C397" t="s">
        <v>1169</v>
      </c>
      <c r="D397" t="s">
        <v>1170</v>
      </c>
      <c r="E397" s="24">
        <v>1</v>
      </c>
      <c r="F397" t="s">
        <v>2017</v>
      </c>
      <c r="G397" s="3" t="s">
        <v>1171</v>
      </c>
      <c r="H397" t="s">
        <v>2300</v>
      </c>
      <c r="I397" t="s">
        <v>2301</v>
      </c>
      <c r="J397">
        <v>270</v>
      </c>
      <c r="K397" t="s">
        <v>2243</v>
      </c>
      <c r="M397" t="s">
        <v>2359</v>
      </c>
      <c r="S397"/>
    </row>
    <row r="398" spans="1:19" ht="78.75" x14ac:dyDescent="0.25">
      <c r="A398">
        <v>760</v>
      </c>
      <c r="B398" t="s">
        <v>224</v>
      </c>
      <c r="C398" t="s">
        <v>1169</v>
      </c>
      <c r="D398" t="s">
        <v>1188</v>
      </c>
      <c r="E398" s="24">
        <v>1</v>
      </c>
      <c r="F398" t="s">
        <v>2144</v>
      </c>
      <c r="G398" s="3" t="s">
        <v>1189</v>
      </c>
      <c r="H398" t="s">
        <v>2300</v>
      </c>
      <c r="I398" t="s">
        <v>2301</v>
      </c>
      <c r="J398">
        <v>450</v>
      </c>
      <c r="K398" t="s">
        <v>2243</v>
      </c>
      <c r="M398" t="s">
        <v>2359</v>
      </c>
      <c r="S398"/>
    </row>
    <row r="399" spans="1:19" ht="63" x14ac:dyDescent="0.25">
      <c r="A399">
        <v>761</v>
      </c>
      <c r="B399" t="s">
        <v>224</v>
      </c>
      <c r="C399" t="s">
        <v>1169</v>
      </c>
      <c r="D399" t="s">
        <v>1170</v>
      </c>
      <c r="E399" s="24">
        <v>1</v>
      </c>
      <c r="F399" t="s">
        <v>2017</v>
      </c>
      <c r="G399" s="3" t="s">
        <v>1171</v>
      </c>
      <c r="H399" t="s">
        <v>2300</v>
      </c>
      <c r="I399" t="s">
        <v>2301</v>
      </c>
      <c r="J399">
        <v>270</v>
      </c>
      <c r="K399" t="s">
        <v>2243</v>
      </c>
      <c r="M399" t="s">
        <v>2359</v>
      </c>
      <c r="S399"/>
    </row>
    <row r="400" spans="1:19" ht="78.75" x14ac:dyDescent="0.25">
      <c r="A400">
        <v>761</v>
      </c>
      <c r="B400" t="s">
        <v>224</v>
      </c>
      <c r="C400" t="s">
        <v>1169</v>
      </c>
      <c r="D400" t="s">
        <v>1188</v>
      </c>
      <c r="E400" s="24">
        <v>1</v>
      </c>
      <c r="F400" t="s">
        <v>2144</v>
      </c>
      <c r="G400" s="3" t="s">
        <v>1189</v>
      </c>
      <c r="H400" t="s">
        <v>2300</v>
      </c>
      <c r="I400" t="s">
        <v>2301</v>
      </c>
      <c r="J400">
        <v>450</v>
      </c>
      <c r="K400" t="s">
        <v>2243</v>
      </c>
      <c r="M400" t="s">
        <v>2359</v>
      </c>
      <c r="S400" s="30"/>
    </row>
    <row r="401" spans="1:19" ht="47.25" x14ac:dyDescent="0.25">
      <c r="A401">
        <v>763</v>
      </c>
      <c r="B401" t="s">
        <v>225</v>
      </c>
      <c r="C401" t="s">
        <v>1613</v>
      </c>
      <c r="D401" t="s">
        <v>1629</v>
      </c>
      <c r="E401" s="24">
        <v>0</v>
      </c>
      <c r="F401" t="s">
        <v>2120</v>
      </c>
      <c r="G401" s="3" t="s">
        <v>1630</v>
      </c>
      <c r="H401" t="s">
        <v>2320</v>
      </c>
      <c r="I401" t="s">
        <v>2321</v>
      </c>
      <c r="J401">
        <v>270</v>
      </c>
      <c r="K401" t="s">
        <v>2236</v>
      </c>
      <c r="M401" t="s">
        <v>2359</v>
      </c>
    </row>
    <row r="402" spans="1:19" ht="78.75" x14ac:dyDescent="0.25">
      <c r="A402">
        <v>767</v>
      </c>
      <c r="B402" t="s">
        <v>228</v>
      </c>
      <c r="C402" t="s">
        <v>636</v>
      </c>
      <c r="D402" t="s">
        <v>653</v>
      </c>
      <c r="E402" s="24">
        <v>1</v>
      </c>
      <c r="F402" t="s">
        <v>1984</v>
      </c>
      <c r="G402" s="3" t="s">
        <v>438</v>
      </c>
      <c r="H402" t="s">
        <v>2300</v>
      </c>
      <c r="I402" t="s">
        <v>2307</v>
      </c>
      <c r="J402">
        <v>510</v>
      </c>
      <c r="K402" t="s">
        <v>2240</v>
      </c>
      <c r="M402" t="s">
        <v>2359</v>
      </c>
      <c r="S402"/>
    </row>
    <row r="403" spans="1:19" ht="31.5" x14ac:dyDescent="0.25">
      <c r="A403">
        <v>769</v>
      </c>
      <c r="B403" t="s">
        <v>230</v>
      </c>
      <c r="C403" t="s">
        <v>1198</v>
      </c>
      <c r="D403" t="s">
        <v>1204</v>
      </c>
      <c r="E403" s="24">
        <v>1</v>
      </c>
      <c r="F403" t="s">
        <v>2146</v>
      </c>
      <c r="G403" s="3" t="s">
        <v>1205</v>
      </c>
      <c r="H403" t="s">
        <v>2305</v>
      </c>
      <c r="I403" t="s">
        <v>2336</v>
      </c>
      <c r="J403">
        <v>220</v>
      </c>
      <c r="K403" t="s">
        <v>2278</v>
      </c>
      <c r="M403" t="s">
        <v>2359</v>
      </c>
      <c r="S403"/>
    </row>
    <row r="404" spans="1:19" ht="47.25" x14ac:dyDescent="0.25">
      <c r="A404">
        <v>769</v>
      </c>
      <c r="B404" t="s">
        <v>230</v>
      </c>
      <c r="C404" t="s">
        <v>1198</v>
      </c>
      <c r="D404" t="s">
        <v>1219</v>
      </c>
      <c r="E404" s="24">
        <v>1</v>
      </c>
      <c r="F404" t="s">
        <v>2147</v>
      </c>
      <c r="G404" s="3" t="s">
        <v>372</v>
      </c>
      <c r="H404" t="s">
        <v>2305</v>
      </c>
      <c r="I404" t="s">
        <v>2336</v>
      </c>
      <c r="J404">
        <v>520</v>
      </c>
      <c r="K404" t="s">
        <v>2278</v>
      </c>
      <c r="M404" t="s">
        <v>2359</v>
      </c>
      <c r="S404"/>
    </row>
    <row r="405" spans="1:19" ht="47.25" x14ac:dyDescent="0.25">
      <c r="A405">
        <v>777</v>
      </c>
      <c r="B405" t="s">
        <v>232</v>
      </c>
      <c r="C405" t="s">
        <v>917</v>
      </c>
      <c r="D405" t="s">
        <v>940</v>
      </c>
      <c r="E405" s="24">
        <v>0</v>
      </c>
      <c r="F405" t="s">
        <v>2120</v>
      </c>
      <c r="G405" s="3" t="s">
        <v>384</v>
      </c>
      <c r="H405" t="s">
        <v>2320</v>
      </c>
      <c r="I405" t="s">
        <v>2343</v>
      </c>
      <c r="J405">
        <v>270</v>
      </c>
      <c r="K405" t="s">
        <v>2233</v>
      </c>
      <c r="M405" t="s">
        <v>2359</v>
      </c>
    </row>
    <row r="406" spans="1:19" ht="47.25" x14ac:dyDescent="0.25">
      <c r="A406">
        <v>777</v>
      </c>
      <c r="B406" t="s">
        <v>232</v>
      </c>
      <c r="C406" t="s">
        <v>917</v>
      </c>
      <c r="D406" t="s">
        <v>947</v>
      </c>
      <c r="E406" s="24">
        <v>1</v>
      </c>
      <c r="F406" t="s">
        <v>1993</v>
      </c>
      <c r="G406" s="3" t="s">
        <v>948</v>
      </c>
      <c r="H406" t="s">
        <v>2320</v>
      </c>
      <c r="I406" t="s">
        <v>2343</v>
      </c>
      <c r="J406">
        <v>310</v>
      </c>
      <c r="K406" t="s">
        <v>2233</v>
      </c>
      <c r="M406" t="s">
        <v>2360</v>
      </c>
      <c r="N406" s="34">
        <v>43873</v>
      </c>
      <c r="O406" t="s">
        <v>2446</v>
      </c>
      <c r="Q406" t="s">
        <v>2447</v>
      </c>
      <c r="R406" s="25">
        <v>10590</v>
      </c>
      <c r="S406" s="26" t="s">
        <v>2829</v>
      </c>
    </row>
    <row r="407" spans="1:19" x14ac:dyDescent="0.25">
      <c r="N407" s="34">
        <v>43885</v>
      </c>
      <c r="O407" t="s">
        <v>2446</v>
      </c>
      <c r="Q407" t="s">
        <v>2447</v>
      </c>
      <c r="R407" s="25">
        <v>8400</v>
      </c>
      <c r="S407" s="26" t="s">
        <v>2830</v>
      </c>
    </row>
    <row r="408" spans="1:19" x14ac:dyDescent="0.25">
      <c r="N408" s="34">
        <v>43725</v>
      </c>
      <c r="O408" t="s">
        <v>2446</v>
      </c>
      <c r="Q408" t="s">
        <v>2447</v>
      </c>
      <c r="R408" s="25">
        <v>11566</v>
      </c>
      <c r="S408" s="26" t="s">
        <v>2833</v>
      </c>
    </row>
    <row r="409" spans="1:19" ht="47.25" x14ac:dyDescent="0.25">
      <c r="A409">
        <v>780</v>
      </c>
      <c r="B409" t="s">
        <v>234</v>
      </c>
      <c r="C409" t="s">
        <v>506</v>
      </c>
      <c r="D409" t="s">
        <v>511</v>
      </c>
      <c r="E409" s="24">
        <v>0</v>
      </c>
      <c r="F409" t="s">
        <v>2031</v>
      </c>
      <c r="G409" s="3" t="s">
        <v>512</v>
      </c>
      <c r="H409" t="s">
        <v>2302</v>
      </c>
      <c r="I409" t="s">
        <v>2317</v>
      </c>
      <c r="J409">
        <v>210</v>
      </c>
      <c r="K409" t="s">
        <v>2245</v>
      </c>
      <c r="M409" t="s">
        <v>2359</v>
      </c>
    </row>
    <row r="410" spans="1:19" ht="31.5" x14ac:dyDescent="0.25">
      <c r="A410">
        <v>780</v>
      </c>
      <c r="B410" t="s">
        <v>234</v>
      </c>
      <c r="C410" t="s">
        <v>506</v>
      </c>
      <c r="D410" t="s">
        <v>538</v>
      </c>
      <c r="E410" s="24">
        <v>1</v>
      </c>
      <c r="F410" t="s">
        <v>2036</v>
      </c>
      <c r="G410" s="3" t="s">
        <v>539</v>
      </c>
      <c r="H410" t="s">
        <v>2302</v>
      </c>
      <c r="I410" t="s">
        <v>2317</v>
      </c>
      <c r="J410">
        <v>270</v>
      </c>
      <c r="K410" t="s">
        <v>2245</v>
      </c>
      <c r="M410" t="s">
        <v>2359</v>
      </c>
      <c r="S410"/>
    </row>
    <row r="411" spans="1:19" ht="31.5" x14ac:dyDescent="0.25">
      <c r="A411">
        <v>780</v>
      </c>
      <c r="B411" t="s">
        <v>234</v>
      </c>
      <c r="C411" t="s">
        <v>506</v>
      </c>
      <c r="D411" t="s">
        <v>548</v>
      </c>
      <c r="E411" s="24">
        <v>1</v>
      </c>
      <c r="F411" t="s">
        <v>1984</v>
      </c>
      <c r="G411" s="3" t="s">
        <v>549</v>
      </c>
      <c r="H411" t="s">
        <v>2302</v>
      </c>
      <c r="I411" t="s">
        <v>2317</v>
      </c>
      <c r="J411">
        <v>510</v>
      </c>
      <c r="K411" t="s">
        <v>2245</v>
      </c>
      <c r="M411" t="s">
        <v>2359</v>
      </c>
      <c r="S411"/>
    </row>
    <row r="412" spans="1:19" ht="31.5" x14ac:dyDescent="0.25">
      <c r="A412">
        <v>797</v>
      </c>
      <c r="B412" t="s">
        <v>237</v>
      </c>
      <c r="C412" t="s">
        <v>1354</v>
      </c>
      <c r="D412" t="s">
        <v>1358</v>
      </c>
      <c r="E412" s="24">
        <v>0</v>
      </c>
      <c r="F412" t="s">
        <v>2165</v>
      </c>
      <c r="G412" s="3" t="s">
        <v>1359</v>
      </c>
      <c r="H412" t="s">
        <v>2338</v>
      </c>
      <c r="I412" t="s">
        <v>2349</v>
      </c>
      <c r="J412">
        <v>270</v>
      </c>
      <c r="K412" t="s">
        <v>2274</v>
      </c>
      <c r="M412" t="s">
        <v>2359</v>
      </c>
    </row>
    <row r="413" spans="1:19" ht="31.5" x14ac:dyDescent="0.25">
      <c r="A413">
        <v>797</v>
      </c>
      <c r="B413" t="s">
        <v>237</v>
      </c>
      <c r="C413" t="s">
        <v>1198</v>
      </c>
      <c r="D413" t="s">
        <v>1204</v>
      </c>
      <c r="E413" s="24">
        <v>0</v>
      </c>
      <c r="F413" t="s">
        <v>2146</v>
      </c>
      <c r="G413" s="3" t="s">
        <v>1205</v>
      </c>
      <c r="H413" t="s">
        <v>2305</v>
      </c>
      <c r="I413" t="s">
        <v>2336</v>
      </c>
      <c r="J413">
        <v>220</v>
      </c>
      <c r="K413" t="s">
        <v>2278</v>
      </c>
      <c r="M413" t="s">
        <v>2359</v>
      </c>
    </row>
    <row r="414" spans="1:19" ht="47.25" x14ac:dyDescent="0.25">
      <c r="A414">
        <v>797</v>
      </c>
      <c r="B414" t="s">
        <v>237</v>
      </c>
      <c r="C414" t="s">
        <v>1198</v>
      </c>
      <c r="D414" t="s">
        <v>1219</v>
      </c>
      <c r="E414" s="24">
        <v>1</v>
      </c>
      <c r="F414" t="s">
        <v>2147</v>
      </c>
      <c r="G414" s="3" t="s">
        <v>372</v>
      </c>
      <c r="H414" t="s">
        <v>2305</v>
      </c>
      <c r="I414" t="s">
        <v>2336</v>
      </c>
      <c r="J414">
        <v>520</v>
      </c>
      <c r="K414" t="s">
        <v>2278</v>
      </c>
      <c r="M414" t="s">
        <v>2359</v>
      </c>
      <c r="S414"/>
    </row>
    <row r="415" spans="1:19" ht="31.5" x14ac:dyDescent="0.25">
      <c r="A415">
        <v>797</v>
      </c>
      <c r="B415" t="s">
        <v>237</v>
      </c>
      <c r="C415" t="s">
        <v>1832</v>
      </c>
      <c r="D415" t="s">
        <v>1838</v>
      </c>
      <c r="E415" s="24">
        <v>0</v>
      </c>
      <c r="F415" t="s">
        <v>1975</v>
      </c>
      <c r="G415" s="3" t="s">
        <v>686</v>
      </c>
      <c r="H415" t="s">
        <v>2305</v>
      </c>
      <c r="I415" t="s">
        <v>2311</v>
      </c>
      <c r="J415">
        <v>220</v>
      </c>
      <c r="K415" t="s">
        <v>2281</v>
      </c>
      <c r="M415" t="s">
        <v>2359</v>
      </c>
    </row>
    <row r="416" spans="1:19" ht="47.25" x14ac:dyDescent="0.25">
      <c r="A416">
        <v>797</v>
      </c>
      <c r="B416" t="s">
        <v>237</v>
      </c>
      <c r="C416" t="s">
        <v>1832</v>
      </c>
      <c r="D416" t="s">
        <v>1845</v>
      </c>
      <c r="E416" s="24">
        <v>0</v>
      </c>
      <c r="F416" t="s">
        <v>2200</v>
      </c>
      <c r="G416" s="3" t="s">
        <v>372</v>
      </c>
      <c r="H416" t="s">
        <v>2305</v>
      </c>
      <c r="I416" t="s">
        <v>2311</v>
      </c>
      <c r="J416">
        <v>520</v>
      </c>
      <c r="K416" t="s">
        <v>2281</v>
      </c>
      <c r="M416" t="s">
        <v>2359</v>
      </c>
    </row>
    <row r="417" spans="1:20" ht="31.5" x14ac:dyDescent="0.25">
      <c r="A417">
        <v>800</v>
      </c>
      <c r="B417" t="s">
        <v>238</v>
      </c>
      <c r="C417" t="s">
        <v>1790</v>
      </c>
      <c r="D417" t="s">
        <v>1796</v>
      </c>
      <c r="E417" s="24">
        <v>0</v>
      </c>
      <c r="F417" t="s">
        <v>2203</v>
      </c>
      <c r="G417" s="3" t="s">
        <v>1205</v>
      </c>
      <c r="H417" t="s">
        <v>2305</v>
      </c>
      <c r="I417" t="s">
        <v>2306</v>
      </c>
      <c r="J417">
        <v>220</v>
      </c>
      <c r="K417" t="s">
        <v>2280</v>
      </c>
      <c r="M417" t="s">
        <v>2359</v>
      </c>
    </row>
    <row r="418" spans="1:20" ht="47.25" x14ac:dyDescent="0.25">
      <c r="A418">
        <v>800</v>
      </c>
      <c r="B418" t="s">
        <v>238</v>
      </c>
      <c r="C418" t="s">
        <v>1790</v>
      </c>
      <c r="D418" t="s">
        <v>1804</v>
      </c>
      <c r="E418" s="24">
        <v>0</v>
      </c>
      <c r="F418" t="s">
        <v>2147</v>
      </c>
      <c r="G418" s="3" t="s">
        <v>372</v>
      </c>
      <c r="H418" t="s">
        <v>2305</v>
      </c>
      <c r="I418" t="s">
        <v>2306</v>
      </c>
      <c r="J418">
        <v>520</v>
      </c>
      <c r="K418" t="s">
        <v>2280</v>
      </c>
      <c r="M418" t="s">
        <v>2359</v>
      </c>
      <c r="S418" s="30"/>
    </row>
    <row r="419" spans="1:20" ht="47.25" x14ac:dyDescent="0.25">
      <c r="A419">
        <v>814</v>
      </c>
      <c r="B419" t="s">
        <v>243</v>
      </c>
      <c r="C419" t="s">
        <v>760</v>
      </c>
      <c r="D419" t="s">
        <v>766</v>
      </c>
      <c r="E419" s="24">
        <v>0</v>
      </c>
      <c r="F419" t="s">
        <v>2097</v>
      </c>
      <c r="G419" s="3" t="s">
        <v>767</v>
      </c>
      <c r="H419" t="s">
        <v>2302</v>
      </c>
      <c r="I419" t="s">
        <v>2334</v>
      </c>
      <c r="J419">
        <v>230</v>
      </c>
      <c r="K419" t="s">
        <v>2247</v>
      </c>
      <c r="M419" t="s">
        <v>2359</v>
      </c>
    </row>
    <row r="420" spans="1:20" ht="31.5" x14ac:dyDescent="0.25">
      <c r="A420">
        <v>814</v>
      </c>
      <c r="B420" t="s">
        <v>243</v>
      </c>
      <c r="C420" t="s">
        <v>760</v>
      </c>
      <c r="D420" t="s">
        <v>774</v>
      </c>
      <c r="E420" s="24">
        <v>0</v>
      </c>
      <c r="F420" t="s">
        <v>2099</v>
      </c>
      <c r="G420" s="3" t="s">
        <v>775</v>
      </c>
      <c r="H420" t="s">
        <v>2302</v>
      </c>
      <c r="I420" t="s">
        <v>2334</v>
      </c>
      <c r="J420">
        <v>260</v>
      </c>
      <c r="K420" t="s">
        <v>2247</v>
      </c>
      <c r="M420" t="s">
        <v>2359</v>
      </c>
    </row>
    <row r="421" spans="1:20" ht="47.25" x14ac:dyDescent="0.25">
      <c r="A421">
        <v>814</v>
      </c>
      <c r="B421" t="s">
        <v>243</v>
      </c>
      <c r="C421" t="s">
        <v>760</v>
      </c>
      <c r="D421" t="s">
        <v>780</v>
      </c>
      <c r="E421" s="24">
        <v>0</v>
      </c>
      <c r="F421" t="s">
        <v>2100</v>
      </c>
      <c r="G421" s="3" t="s">
        <v>781</v>
      </c>
      <c r="H421" t="s">
        <v>2302</v>
      </c>
      <c r="I421" t="s">
        <v>2334</v>
      </c>
      <c r="J421">
        <v>260</v>
      </c>
      <c r="K421" t="s">
        <v>2247</v>
      </c>
      <c r="M421" t="s">
        <v>2359</v>
      </c>
    </row>
    <row r="422" spans="1:20" ht="31.5" x14ac:dyDescent="0.25">
      <c r="A422">
        <v>817</v>
      </c>
      <c r="B422" t="s">
        <v>244</v>
      </c>
      <c r="C422" t="s">
        <v>723</v>
      </c>
      <c r="D422" t="s">
        <v>751</v>
      </c>
      <c r="E422" s="24">
        <v>0</v>
      </c>
      <c r="F422" t="s">
        <v>1993</v>
      </c>
      <c r="G422" s="3" t="s">
        <v>347</v>
      </c>
      <c r="H422" t="s">
        <v>2308</v>
      </c>
      <c r="I422" t="s">
        <v>2347</v>
      </c>
      <c r="J422">
        <v>310</v>
      </c>
      <c r="K422" t="s">
        <v>2286</v>
      </c>
      <c r="M422" t="s">
        <v>2360</v>
      </c>
      <c r="N422" s="34">
        <v>43922</v>
      </c>
      <c r="O422" t="s">
        <v>2449</v>
      </c>
      <c r="R422" s="25">
        <v>2000000</v>
      </c>
      <c r="S422" s="36" t="s">
        <v>2834</v>
      </c>
    </row>
    <row r="423" spans="1:20" ht="31.5" x14ac:dyDescent="0.25">
      <c r="A423">
        <v>817</v>
      </c>
      <c r="B423" t="s">
        <v>244</v>
      </c>
      <c r="C423" t="s">
        <v>1198</v>
      </c>
      <c r="D423" t="s">
        <v>1204</v>
      </c>
      <c r="E423" s="24">
        <v>0</v>
      </c>
      <c r="F423" t="s">
        <v>2146</v>
      </c>
      <c r="G423" s="3" t="s">
        <v>1205</v>
      </c>
      <c r="H423" t="s">
        <v>2305</v>
      </c>
      <c r="I423" t="s">
        <v>2336</v>
      </c>
      <c r="J423">
        <v>220</v>
      </c>
      <c r="K423" t="s">
        <v>2278</v>
      </c>
      <c r="M423" t="s">
        <v>2359</v>
      </c>
    </row>
    <row r="424" spans="1:20" ht="47.25" x14ac:dyDescent="0.25">
      <c r="A424">
        <v>817</v>
      </c>
      <c r="B424" t="s">
        <v>244</v>
      </c>
      <c r="C424" t="s">
        <v>1198</v>
      </c>
      <c r="D424" t="s">
        <v>1219</v>
      </c>
      <c r="E424" s="24">
        <v>0</v>
      </c>
      <c r="F424" t="s">
        <v>2147</v>
      </c>
      <c r="G424" s="3" t="s">
        <v>372</v>
      </c>
      <c r="H424" t="s">
        <v>2305</v>
      </c>
      <c r="I424" t="s">
        <v>2336</v>
      </c>
      <c r="J424">
        <v>520</v>
      </c>
      <c r="K424" t="s">
        <v>2278</v>
      </c>
      <c r="M424" t="s">
        <v>2359</v>
      </c>
    </row>
    <row r="425" spans="1:20" ht="31.5" x14ac:dyDescent="0.25">
      <c r="A425">
        <v>817</v>
      </c>
      <c r="B425" t="s">
        <v>244</v>
      </c>
      <c r="C425" t="s">
        <v>1125</v>
      </c>
      <c r="D425" t="s">
        <v>1134</v>
      </c>
      <c r="E425" s="24">
        <v>0</v>
      </c>
      <c r="F425" t="s">
        <v>1993</v>
      </c>
      <c r="G425" s="3" t="s">
        <v>347</v>
      </c>
      <c r="H425" t="s">
        <v>2338</v>
      </c>
      <c r="I425" t="s">
        <v>2345</v>
      </c>
      <c r="J425">
        <v>310</v>
      </c>
      <c r="K425" t="s">
        <v>2272</v>
      </c>
      <c r="M425" t="s">
        <v>2360</v>
      </c>
      <c r="N425" s="34">
        <v>43922</v>
      </c>
      <c r="O425" t="s">
        <v>2449</v>
      </c>
      <c r="R425" s="25">
        <v>2000000</v>
      </c>
      <c r="S425" s="36" t="s">
        <v>2834</v>
      </c>
      <c r="T425" t="s">
        <v>2864</v>
      </c>
    </row>
    <row r="426" spans="1:20" ht="47.25" x14ac:dyDescent="0.25">
      <c r="A426">
        <v>817</v>
      </c>
      <c r="B426" t="s">
        <v>244</v>
      </c>
      <c r="C426" t="s">
        <v>1723</v>
      </c>
      <c r="D426" t="s">
        <v>1744</v>
      </c>
      <c r="E426" s="24">
        <v>0</v>
      </c>
      <c r="F426" t="s">
        <v>1993</v>
      </c>
      <c r="G426" s="3" t="s">
        <v>1745</v>
      </c>
      <c r="H426" t="s">
        <v>2320</v>
      </c>
      <c r="I426" t="s">
        <v>2329</v>
      </c>
      <c r="J426">
        <v>310</v>
      </c>
      <c r="K426" t="s">
        <v>2237</v>
      </c>
      <c r="M426" t="s">
        <v>2360</v>
      </c>
      <c r="N426" s="34">
        <v>43922</v>
      </c>
      <c r="O426" t="s">
        <v>2449</v>
      </c>
      <c r="R426" s="25">
        <v>2000000</v>
      </c>
      <c r="S426" s="36" t="s">
        <v>2834</v>
      </c>
      <c r="T426" t="s">
        <v>2864</v>
      </c>
    </row>
    <row r="427" spans="1:20" ht="31.5" x14ac:dyDescent="0.25">
      <c r="A427">
        <v>817</v>
      </c>
      <c r="B427" t="s">
        <v>244</v>
      </c>
      <c r="C427" t="s">
        <v>1863</v>
      </c>
      <c r="D427" t="s">
        <v>1868</v>
      </c>
      <c r="E427" s="24">
        <v>0</v>
      </c>
      <c r="F427" t="s">
        <v>2192</v>
      </c>
      <c r="G427" s="3" t="s">
        <v>289</v>
      </c>
      <c r="H427" t="s">
        <v>2318</v>
      </c>
      <c r="I427" t="s">
        <v>2350</v>
      </c>
      <c r="J427">
        <v>250</v>
      </c>
      <c r="K427" t="s">
        <v>2224</v>
      </c>
      <c r="M427" t="s">
        <v>2359</v>
      </c>
    </row>
    <row r="428" spans="1:20" ht="31.5" x14ac:dyDescent="0.25">
      <c r="A428">
        <v>817</v>
      </c>
      <c r="B428" t="s">
        <v>244</v>
      </c>
      <c r="C428" t="s">
        <v>1354</v>
      </c>
      <c r="D428" t="s">
        <v>1358</v>
      </c>
      <c r="E428" s="24">
        <v>0</v>
      </c>
      <c r="F428" t="s">
        <v>2165</v>
      </c>
      <c r="G428" s="3" t="s">
        <v>1359</v>
      </c>
      <c r="H428" t="s">
        <v>2338</v>
      </c>
      <c r="I428" t="s">
        <v>2349</v>
      </c>
      <c r="J428">
        <v>270</v>
      </c>
      <c r="K428" t="s">
        <v>2274</v>
      </c>
      <c r="M428" t="s">
        <v>2359</v>
      </c>
    </row>
    <row r="429" spans="1:20" ht="47.25" x14ac:dyDescent="0.25">
      <c r="A429">
        <v>830</v>
      </c>
      <c r="B429" t="s">
        <v>246</v>
      </c>
      <c r="C429" t="s">
        <v>1723</v>
      </c>
      <c r="D429" t="s">
        <v>1744</v>
      </c>
      <c r="E429" s="24">
        <v>0</v>
      </c>
      <c r="F429" t="s">
        <v>1993</v>
      </c>
      <c r="G429" s="3" t="s">
        <v>1745</v>
      </c>
      <c r="H429" t="s">
        <v>2320</v>
      </c>
      <c r="I429" t="s">
        <v>2329</v>
      </c>
      <c r="J429">
        <v>310</v>
      </c>
      <c r="K429" t="s">
        <v>2237</v>
      </c>
      <c r="M429" t="s">
        <v>2360</v>
      </c>
      <c r="N429" s="34">
        <v>43879</v>
      </c>
      <c r="O429" t="s">
        <v>2449</v>
      </c>
      <c r="Q429" t="s">
        <v>2477</v>
      </c>
      <c r="R429" s="25">
        <v>400000</v>
      </c>
      <c r="S429" s="36" t="s">
        <v>2836</v>
      </c>
    </row>
    <row r="430" spans="1:20" x14ac:dyDescent="0.25">
      <c r="N430" s="34">
        <v>43934</v>
      </c>
      <c r="O430" t="s">
        <v>2449</v>
      </c>
      <c r="Q430" t="s">
        <v>2465</v>
      </c>
      <c r="R430" s="25">
        <v>7609</v>
      </c>
      <c r="S430" s="36" t="s">
        <v>2837</v>
      </c>
    </row>
    <row r="431" spans="1:20" ht="31.5" x14ac:dyDescent="0.25">
      <c r="A431">
        <v>834</v>
      </c>
      <c r="B431" t="s">
        <v>247</v>
      </c>
      <c r="C431" t="s">
        <v>1790</v>
      </c>
      <c r="D431" t="s">
        <v>1796</v>
      </c>
      <c r="E431" s="24">
        <v>1</v>
      </c>
      <c r="F431" t="s">
        <v>2203</v>
      </c>
      <c r="G431" s="3" t="s">
        <v>1205</v>
      </c>
      <c r="H431" t="s">
        <v>2305</v>
      </c>
      <c r="I431" t="s">
        <v>2306</v>
      </c>
      <c r="J431">
        <v>220</v>
      </c>
      <c r="K431" t="s">
        <v>2280</v>
      </c>
      <c r="M431" t="s">
        <v>2359</v>
      </c>
      <c r="S431"/>
    </row>
    <row r="432" spans="1:20" ht="47.25" x14ac:dyDescent="0.25">
      <c r="A432">
        <v>834</v>
      </c>
      <c r="B432" t="s">
        <v>247</v>
      </c>
      <c r="C432" t="s">
        <v>1790</v>
      </c>
      <c r="D432" t="s">
        <v>1804</v>
      </c>
      <c r="E432" s="24">
        <v>1</v>
      </c>
      <c r="F432" t="s">
        <v>2147</v>
      </c>
      <c r="G432" s="3" t="s">
        <v>372</v>
      </c>
      <c r="H432" t="s">
        <v>2305</v>
      </c>
      <c r="I432" t="s">
        <v>2306</v>
      </c>
      <c r="J432">
        <v>520</v>
      </c>
      <c r="K432" t="s">
        <v>2280</v>
      </c>
      <c r="M432" t="s">
        <v>2359</v>
      </c>
      <c r="S432"/>
    </row>
    <row r="433" spans="1:19" ht="31.5" x14ac:dyDescent="0.25">
      <c r="A433">
        <v>834</v>
      </c>
      <c r="B433" t="s">
        <v>247</v>
      </c>
      <c r="C433" t="s">
        <v>682</v>
      </c>
      <c r="D433" t="s">
        <v>685</v>
      </c>
      <c r="E433" s="24">
        <v>1</v>
      </c>
      <c r="F433" t="s">
        <v>2090</v>
      </c>
      <c r="G433" s="3" t="s">
        <v>686</v>
      </c>
      <c r="H433" t="s">
        <v>2300</v>
      </c>
      <c r="I433" t="s">
        <v>2310</v>
      </c>
      <c r="J433">
        <v>220</v>
      </c>
      <c r="K433" t="s">
        <v>2241</v>
      </c>
      <c r="M433" t="s">
        <v>2359</v>
      </c>
      <c r="S433"/>
    </row>
    <row r="434" spans="1:19" ht="78.75" x14ac:dyDescent="0.25">
      <c r="A434">
        <v>834</v>
      </c>
      <c r="B434" t="s">
        <v>247</v>
      </c>
      <c r="C434" t="s">
        <v>682</v>
      </c>
      <c r="D434" t="s">
        <v>697</v>
      </c>
      <c r="E434" s="24">
        <v>0</v>
      </c>
      <c r="F434" t="s">
        <v>2091</v>
      </c>
      <c r="G434" s="3" t="s">
        <v>698</v>
      </c>
      <c r="H434" t="s">
        <v>2300</v>
      </c>
      <c r="I434" t="s">
        <v>2310</v>
      </c>
      <c r="J434">
        <v>270</v>
      </c>
      <c r="K434" t="s">
        <v>2241</v>
      </c>
      <c r="M434" t="s">
        <v>2359</v>
      </c>
    </row>
    <row r="435" spans="1:19" ht="47.25" x14ac:dyDescent="0.25">
      <c r="A435">
        <v>834</v>
      </c>
      <c r="B435" t="s">
        <v>247</v>
      </c>
      <c r="C435" t="s">
        <v>682</v>
      </c>
      <c r="D435" t="s">
        <v>699</v>
      </c>
      <c r="E435" s="24">
        <v>1</v>
      </c>
      <c r="F435" t="s">
        <v>2091</v>
      </c>
      <c r="G435" s="3" t="s">
        <v>700</v>
      </c>
      <c r="H435" t="s">
        <v>2300</v>
      </c>
      <c r="I435" t="s">
        <v>2310</v>
      </c>
      <c r="J435">
        <v>270</v>
      </c>
      <c r="K435" t="s">
        <v>2241</v>
      </c>
      <c r="M435" t="s">
        <v>2359</v>
      </c>
      <c r="S435"/>
    </row>
    <row r="436" spans="1:19" ht="31.5" x14ac:dyDescent="0.25">
      <c r="A436">
        <v>838</v>
      </c>
      <c r="B436" t="s">
        <v>248</v>
      </c>
      <c r="C436" t="s">
        <v>1790</v>
      </c>
      <c r="D436" t="s">
        <v>1796</v>
      </c>
      <c r="E436" s="24">
        <v>1</v>
      </c>
      <c r="F436" t="s">
        <v>2203</v>
      </c>
      <c r="G436" s="3" t="s">
        <v>1205</v>
      </c>
      <c r="H436" t="s">
        <v>2305</v>
      </c>
      <c r="I436" t="s">
        <v>2306</v>
      </c>
      <c r="J436">
        <v>220</v>
      </c>
      <c r="K436" t="s">
        <v>2280</v>
      </c>
      <c r="M436" t="s">
        <v>2359</v>
      </c>
      <c r="S436"/>
    </row>
    <row r="437" spans="1:19" ht="47.25" x14ac:dyDescent="0.25">
      <c r="A437">
        <v>838</v>
      </c>
      <c r="B437" t="s">
        <v>248</v>
      </c>
      <c r="C437" t="s">
        <v>1790</v>
      </c>
      <c r="D437" t="s">
        <v>1804</v>
      </c>
      <c r="E437" s="24">
        <v>1</v>
      </c>
      <c r="F437" t="s">
        <v>2147</v>
      </c>
      <c r="G437" s="3" t="s">
        <v>372</v>
      </c>
      <c r="H437" t="s">
        <v>2305</v>
      </c>
      <c r="I437" t="s">
        <v>2306</v>
      </c>
      <c r="J437">
        <v>520</v>
      </c>
      <c r="K437" t="s">
        <v>2280</v>
      </c>
      <c r="M437" t="s">
        <v>2359</v>
      </c>
      <c r="S437"/>
    </row>
    <row r="438" spans="1:19" ht="31.5" x14ac:dyDescent="0.25">
      <c r="A438">
        <v>842</v>
      </c>
      <c r="B438" t="s">
        <v>249</v>
      </c>
      <c r="C438" t="s">
        <v>410</v>
      </c>
      <c r="D438" t="s">
        <v>415</v>
      </c>
      <c r="E438" s="24">
        <v>1</v>
      </c>
      <c r="F438" t="s">
        <v>1981</v>
      </c>
      <c r="G438" s="3" t="s">
        <v>289</v>
      </c>
      <c r="H438" t="s">
        <v>2318</v>
      </c>
      <c r="I438" t="s">
        <v>2351</v>
      </c>
      <c r="J438">
        <v>250</v>
      </c>
      <c r="K438" t="s">
        <v>2219</v>
      </c>
      <c r="M438" t="s">
        <v>2359</v>
      </c>
      <c r="S438"/>
    </row>
    <row r="439" spans="1:19" ht="47.25" x14ac:dyDescent="0.25">
      <c r="A439">
        <v>845</v>
      </c>
      <c r="B439" t="s">
        <v>250</v>
      </c>
      <c r="C439" t="s">
        <v>2293</v>
      </c>
      <c r="D439" t="s">
        <v>1547</v>
      </c>
      <c r="E439" s="24">
        <v>1</v>
      </c>
      <c r="F439" t="s">
        <v>1997</v>
      </c>
      <c r="G439" s="3" t="s">
        <v>1548</v>
      </c>
      <c r="H439" t="s">
        <v>2315</v>
      </c>
      <c r="I439" t="s">
        <v>2327</v>
      </c>
      <c r="J439">
        <v>520</v>
      </c>
      <c r="K439" t="s">
        <v>2228</v>
      </c>
      <c r="L439" s="33">
        <v>209000</v>
      </c>
      <c r="M439" s="29" t="s">
        <v>2360</v>
      </c>
      <c r="N439" s="34">
        <v>44096</v>
      </c>
      <c r="O439" t="s">
        <v>2675</v>
      </c>
      <c r="Q439" t="s">
        <v>2491</v>
      </c>
      <c r="R439" s="25">
        <v>736294</v>
      </c>
      <c r="S439" s="36" t="s">
        <v>2393</v>
      </c>
    </row>
    <row r="440" spans="1:19" ht="47.25" x14ac:dyDescent="0.25">
      <c r="A440">
        <v>846</v>
      </c>
      <c r="B440" t="s">
        <v>250</v>
      </c>
      <c r="C440" t="s">
        <v>2293</v>
      </c>
      <c r="D440" t="s">
        <v>1547</v>
      </c>
      <c r="E440" s="24">
        <v>1</v>
      </c>
      <c r="F440" t="s">
        <v>1997</v>
      </c>
      <c r="G440" s="3" t="s">
        <v>1548</v>
      </c>
      <c r="H440" t="s">
        <v>2315</v>
      </c>
      <c r="I440" t="s">
        <v>2327</v>
      </c>
      <c r="J440">
        <v>520</v>
      </c>
      <c r="K440" t="s">
        <v>2228</v>
      </c>
      <c r="M440" t="s">
        <v>2359</v>
      </c>
      <c r="S440"/>
    </row>
    <row r="441" spans="1:19" ht="31.5" x14ac:dyDescent="0.25">
      <c r="A441">
        <v>848</v>
      </c>
      <c r="B441" t="s">
        <v>251</v>
      </c>
      <c r="C441" t="s">
        <v>1457</v>
      </c>
      <c r="D441" t="s">
        <v>1465</v>
      </c>
      <c r="E441" s="24">
        <v>0</v>
      </c>
      <c r="F441" t="s">
        <v>1993</v>
      </c>
      <c r="G441" s="3" t="s">
        <v>347</v>
      </c>
      <c r="H441" t="s">
        <v>2318</v>
      </c>
      <c r="I441" t="s">
        <v>2319</v>
      </c>
      <c r="J441">
        <v>310</v>
      </c>
      <c r="K441" t="s">
        <v>2223</v>
      </c>
      <c r="M441" t="s">
        <v>2360</v>
      </c>
      <c r="N441" s="34">
        <v>43480</v>
      </c>
      <c r="O441" t="s">
        <v>2446</v>
      </c>
      <c r="Q441" t="s">
        <v>2447</v>
      </c>
      <c r="R441" s="25">
        <v>6441</v>
      </c>
      <c r="S441" s="26" t="s">
        <v>2847</v>
      </c>
    </row>
    <row r="442" spans="1:19" x14ac:dyDescent="0.25">
      <c r="N442" s="34">
        <v>43789</v>
      </c>
      <c r="O442" t="s">
        <v>2446</v>
      </c>
      <c r="Q442" t="s">
        <v>2447</v>
      </c>
      <c r="R442" s="25">
        <v>20838</v>
      </c>
      <c r="S442" s="26" t="s">
        <v>2848</v>
      </c>
    </row>
    <row r="443" spans="1:19" ht="47.25" x14ac:dyDescent="0.25">
      <c r="A443">
        <v>848</v>
      </c>
      <c r="B443" t="s">
        <v>251</v>
      </c>
      <c r="C443" t="s">
        <v>1457</v>
      </c>
      <c r="D443" t="s">
        <v>1468</v>
      </c>
      <c r="E443" s="24">
        <v>1</v>
      </c>
      <c r="F443" t="s">
        <v>1977</v>
      </c>
      <c r="G443" s="3" t="s">
        <v>1469</v>
      </c>
      <c r="H443" t="s">
        <v>2318</v>
      </c>
      <c r="I443" t="s">
        <v>2319</v>
      </c>
      <c r="J443">
        <v>330</v>
      </c>
      <c r="K443" t="s">
        <v>2223</v>
      </c>
      <c r="M443" t="s">
        <v>2359</v>
      </c>
      <c r="S443"/>
    </row>
    <row r="444" spans="1:19" ht="31.5" x14ac:dyDescent="0.25">
      <c r="A444">
        <v>851</v>
      </c>
      <c r="B444" t="s">
        <v>252</v>
      </c>
      <c r="C444" t="s">
        <v>1125</v>
      </c>
      <c r="D444" t="s">
        <v>1134</v>
      </c>
      <c r="E444" s="24">
        <v>0</v>
      </c>
      <c r="F444" t="s">
        <v>1993</v>
      </c>
      <c r="G444" s="3" t="s">
        <v>347</v>
      </c>
      <c r="H444" t="s">
        <v>2338</v>
      </c>
      <c r="I444" t="s">
        <v>2345</v>
      </c>
      <c r="J444">
        <v>310</v>
      </c>
      <c r="K444" t="s">
        <v>2272</v>
      </c>
      <c r="M444" t="s">
        <v>2360</v>
      </c>
      <c r="N444" s="34">
        <v>43522</v>
      </c>
      <c r="O444" t="s">
        <v>2442</v>
      </c>
      <c r="P444" t="s">
        <v>2853</v>
      </c>
      <c r="Q444" t="s">
        <v>2854</v>
      </c>
      <c r="R444" s="25">
        <v>20000000</v>
      </c>
      <c r="S444" s="26" t="s">
        <v>2852</v>
      </c>
    </row>
    <row r="445" spans="1:19" x14ac:dyDescent="0.25">
      <c r="N445" s="34">
        <v>43616</v>
      </c>
      <c r="O445" t="s">
        <v>2449</v>
      </c>
      <c r="Q445" t="s">
        <v>2473</v>
      </c>
      <c r="R445" s="25">
        <v>29189</v>
      </c>
      <c r="S445" s="26" t="s">
        <v>2855</v>
      </c>
    </row>
    <row r="446" spans="1:19" x14ac:dyDescent="0.25">
      <c r="N446" s="34">
        <v>43646</v>
      </c>
      <c r="O446" t="s">
        <v>2442</v>
      </c>
      <c r="P446" t="s">
        <v>2850</v>
      </c>
      <c r="Q446" t="s">
        <v>2851</v>
      </c>
      <c r="R446" s="25">
        <v>35000000</v>
      </c>
      <c r="S446" s="26" t="s">
        <v>2849</v>
      </c>
    </row>
    <row r="447" spans="1:19" ht="31.5" x14ac:dyDescent="0.25">
      <c r="A447">
        <v>856</v>
      </c>
      <c r="B447" t="s">
        <v>253</v>
      </c>
      <c r="C447" t="s">
        <v>337</v>
      </c>
      <c r="D447" t="s">
        <v>346</v>
      </c>
      <c r="E447" s="24">
        <v>0</v>
      </c>
      <c r="F447" t="s">
        <v>1993</v>
      </c>
      <c r="G447" s="3" t="s">
        <v>347</v>
      </c>
      <c r="H447" t="s">
        <v>2308</v>
      </c>
      <c r="I447" t="s">
        <v>2325</v>
      </c>
      <c r="J447">
        <v>310</v>
      </c>
      <c r="K447" t="s">
        <v>2282</v>
      </c>
      <c r="M447" t="s">
        <v>2360</v>
      </c>
      <c r="N447" s="34">
        <v>43838</v>
      </c>
      <c r="O447" t="s">
        <v>2456</v>
      </c>
      <c r="Q447" t="s">
        <v>2457</v>
      </c>
      <c r="R447" s="25">
        <v>10715</v>
      </c>
      <c r="S447" s="26" t="s">
        <v>2857</v>
      </c>
    </row>
    <row r="448" spans="1:19" x14ac:dyDescent="0.25">
      <c r="N448" s="34">
        <v>43852</v>
      </c>
      <c r="O448" t="s">
        <v>2446</v>
      </c>
      <c r="Q448" t="s">
        <v>2447</v>
      </c>
      <c r="R448" s="25">
        <v>11027</v>
      </c>
      <c r="S448" s="26" t="s">
        <v>2859</v>
      </c>
    </row>
    <row r="449" spans="1:19" x14ac:dyDescent="0.25">
      <c r="N449" s="34">
        <v>43880</v>
      </c>
      <c r="O449" t="s">
        <v>2446</v>
      </c>
      <c r="Q449" t="s">
        <v>2447</v>
      </c>
      <c r="R449" s="25">
        <v>6500</v>
      </c>
      <c r="S449" s="26" t="s">
        <v>2860</v>
      </c>
    </row>
    <row r="450" spans="1:19" x14ac:dyDescent="0.25">
      <c r="N450" s="34">
        <v>43893</v>
      </c>
      <c r="O450" t="s">
        <v>2456</v>
      </c>
      <c r="Q450" t="s">
        <v>2457</v>
      </c>
      <c r="R450" s="25">
        <v>125000</v>
      </c>
      <c r="S450" s="26" t="s">
        <v>2856</v>
      </c>
    </row>
    <row r="451" spans="1:19" x14ac:dyDescent="0.25">
      <c r="N451" s="34">
        <v>44097</v>
      </c>
      <c r="O451" t="s">
        <v>2446</v>
      </c>
      <c r="Q451" t="s">
        <v>2447</v>
      </c>
      <c r="R451" s="25">
        <v>7635</v>
      </c>
      <c r="S451" s="26" t="s">
        <v>2861</v>
      </c>
    </row>
    <row r="452" spans="1:19" ht="47.25" x14ac:dyDescent="0.25">
      <c r="A452">
        <v>866</v>
      </c>
      <c r="B452" t="s">
        <v>255</v>
      </c>
      <c r="C452" t="s">
        <v>506</v>
      </c>
      <c r="D452" t="s">
        <v>511</v>
      </c>
      <c r="E452" s="24">
        <v>0</v>
      </c>
      <c r="F452" t="s">
        <v>2031</v>
      </c>
      <c r="G452" s="3" t="s">
        <v>512</v>
      </c>
      <c r="H452" t="s">
        <v>2302</v>
      </c>
      <c r="I452" t="s">
        <v>2317</v>
      </c>
      <c r="J452">
        <v>210</v>
      </c>
      <c r="K452" t="s">
        <v>2245</v>
      </c>
      <c r="M452" t="s">
        <v>2359</v>
      </c>
    </row>
    <row r="453" spans="1:19" ht="31.5" x14ac:dyDescent="0.25">
      <c r="A453">
        <v>866</v>
      </c>
      <c r="B453" t="s">
        <v>255</v>
      </c>
      <c r="C453" t="s">
        <v>506</v>
      </c>
      <c r="D453" t="s">
        <v>538</v>
      </c>
      <c r="E453" s="24">
        <v>0</v>
      </c>
      <c r="F453" t="s">
        <v>2036</v>
      </c>
      <c r="G453" s="3" t="s">
        <v>539</v>
      </c>
      <c r="H453" t="s">
        <v>2302</v>
      </c>
      <c r="I453" t="s">
        <v>2317</v>
      </c>
      <c r="J453">
        <v>270</v>
      </c>
      <c r="K453" t="s">
        <v>2245</v>
      </c>
      <c r="M453" t="s">
        <v>2359</v>
      </c>
    </row>
    <row r="454" spans="1:19" ht="31.5" x14ac:dyDescent="0.25">
      <c r="A454">
        <v>866</v>
      </c>
      <c r="B454" t="s">
        <v>255</v>
      </c>
      <c r="C454" t="s">
        <v>506</v>
      </c>
      <c r="D454" t="s">
        <v>548</v>
      </c>
      <c r="E454" s="24">
        <v>1</v>
      </c>
      <c r="F454" t="s">
        <v>1984</v>
      </c>
      <c r="G454" s="3" t="s">
        <v>549</v>
      </c>
      <c r="H454" t="s">
        <v>2302</v>
      </c>
      <c r="I454" t="s">
        <v>2317</v>
      </c>
      <c r="J454">
        <v>510</v>
      </c>
      <c r="K454" t="s">
        <v>2245</v>
      </c>
      <c r="M454" t="s">
        <v>2359</v>
      </c>
      <c r="S454"/>
    </row>
  </sheetData>
  <autoFilter ref="A1:K454" xr:uid="{B1C35285-83C9-4AF5-A36F-9CB5DDC579D5}"/>
  <hyperlinks>
    <hyperlink ref="S209" r:id="rId1" display="https://violationtracker.goodjobsfirst.org/violation-tracker/-jpmorgan-chase-and-co-21" xr:uid="{AE9DD6F7-EF95-4920-9381-AEEA9C3B6037}"/>
    <hyperlink ref="S395" r:id="rId2" xr:uid="{21CFF835-E985-4132-9615-9C6B4480A81B}"/>
    <hyperlink ref="S20" r:id="rId3" xr:uid="{04ACD588-0503-4A33-8435-FE0611D53474}"/>
    <hyperlink ref="S210" r:id="rId4" xr:uid="{F84588AA-847B-4577-8872-57438F129ECC}"/>
    <hyperlink ref="S270" r:id="rId5" xr:uid="{36625C05-C4A1-47F1-A8FB-3D87AA415140}"/>
    <hyperlink ref="S108" r:id="rId6" xr:uid="{D6C387D7-5289-40F8-9962-1DBDE090EA89}"/>
    <hyperlink ref="S110" r:id="rId7" xr:uid="{626238E4-0731-4EEF-9304-0391FE1CF481}"/>
    <hyperlink ref="S109" r:id="rId8" xr:uid="{7E4F5B24-1B1E-4B74-9A73-140C47BA8102}"/>
    <hyperlink ref="S111" r:id="rId9" xr:uid="{D69605F7-59D3-43EA-BC7C-DB799AF8ED92}"/>
    <hyperlink ref="S112" r:id="rId10" xr:uid="{C94CC4FF-2F11-46FC-93EF-7284221971C3}"/>
    <hyperlink ref="S115" r:id="rId11" xr:uid="{2E2319AF-BC8F-42B2-B224-6F221155EBED}"/>
    <hyperlink ref="S116" r:id="rId12" xr:uid="{91844A1E-5285-42B9-BE18-21E4A399388F}"/>
    <hyperlink ref="S119" r:id="rId13" xr:uid="{E7160CB3-0D02-4D72-9546-62AF8C89FDC8}"/>
    <hyperlink ref="S117" r:id="rId14" xr:uid="{CBA27A20-356E-47E7-850F-F9AB831A08CE}"/>
    <hyperlink ref="S120" r:id="rId15" xr:uid="{A92EF281-9079-4230-8C2D-480FB10A0828}"/>
    <hyperlink ref="S118" r:id="rId16" xr:uid="{9711CA06-5124-4522-8E3C-515B27E7F898}"/>
    <hyperlink ref="S121" r:id="rId17" xr:uid="{72710D63-17C1-4FA0-B6F1-7370B7B9226F}"/>
    <hyperlink ref="S125" r:id="rId18" xr:uid="{A83A8AB9-CBC9-4BDB-A4C8-CE3BA95C2147}"/>
    <hyperlink ref="S122" r:id="rId19" xr:uid="{B8B5A0FD-90FF-4C96-8EE4-7B7C08B4D1E3}"/>
    <hyperlink ref="S123" r:id="rId20" xr:uid="{0062F6EA-864F-4D4E-8A6A-6AA951FD8F91}"/>
    <hyperlink ref="S124" r:id="rId21" xr:uid="{40F422D8-3893-40CD-883E-2C2F11AAB710}"/>
    <hyperlink ref="S126" r:id="rId22" xr:uid="{799E4BE0-CBF7-4D75-8BDF-8215F64C84CD}"/>
    <hyperlink ref="S127" r:id="rId23" xr:uid="{E31FA36E-FD98-4A05-92BA-DD950491774C}"/>
    <hyperlink ref="S128" r:id="rId24" xr:uid="{D78EC3DD-FD73-41D7-9D28-6694E290306F}"/>
    <hyperlink ref="S129" r:id="rId25" xr:uid="{75865219-1F26-4884-8FB5-43E19FB043BB}"/>
    <hyperlink ref="S113" r:id="rId26" xr:uid="{186DB0DE-357C-4472-A25A-F9FCE01B98D4}"/>
    <hyperlink ref="S156" r:id="rId27" xr:uid="{2759DD1D-A71E-4470-BF5B-E2579CC0FC76}"/>
    <hyperlink ref="S157" r:id="rId28" xr:uid="{663BC1D7-C954-4E0C-86B1-F045C80D4800}"/>
    <hyperlink ref="S158" r:id="rId29" xr:uid="{2691AFA6-1F21-47E6-84F6-AF20EA12AA78}"/>
    <hyperlink ref="S159" r:id="rId30" xr:uid="{3970F93A-DA13-4778-ACDA-5226390A6533}"/>
    <hyperlink ref="S160" r:id="rId31" xr:uid="{EF84AEFA-62D4-41C2-9302-AE4D3FB1163D}"/>
    <hyperlink ref="S161" r:id="rId32" xr:uid="{6546A258-0146-456E-B11B-80F52AD92892}"/>
    <hyperlink ref="S162" r:id="rId33" xr:uid="{14BC485A-3E12-4A54-8ECA-9109162159AF}"/>
    <hyperlink ref="S163" r:id="rId34" xr:uid="{99A3E96E-7715-4925-86F8-BD467ECBF6A1}"/>
    <hyperlink ref="S164" r:id="rId35" xr:uid="{383408FA-490B-4366-8125-5F010C31ABA2}"/>
    <hyperlink ref="S165" r:id="rId36" xr:uid="{B1C78312-9291-4740-AB18-0B7B7078077F}"/>
    <hyperlink ref="S166" r:id="rId37" xr:uid="{485F3851-C433-490C-AECB-AC3E09FD5F81}"/>
    <hyperlink ref="S168" r:id="rId38" xr:uid="{BC6AC725-EFFF-437B-910A-A5A76CF5DC85}"/>
    <hyperlink ref="S167" r:id="rId39" xr:uid="{497BFB99-5D9A-4204-A669-104D6DC077CD}"/>
    <hyperlink ref="S169" r:id="rId40" xr:uid="{BC01BDA2-76EC-4D70-8F5C-D7F82EC0553E}"/>
    <hyperlink ref="S170" r:id="rId41" xr:uid="{0D2187FD-E098-48C2-AB33-8033BBD249BE}"/>
    <hyperlink ref="S171" r:id="rId42" xr:uid="{A06B3E99-1275-4017-931D-A08D097926CB}"/>
    <hyperlink ref="S173" r:id="rId43" xr:uid="{9B46268F-AA3C-4309-A5D7-1E56499CDC73}"/>
    <hyperlink ref="S172" r:id="rId44" xr:uid="{D4FA81FB-E7E7-49D5-82F7-A03A51605CA2}"/>
    <hyperlink ref="S189" r:id="rId45" xr:uid="{BD9B9AED-377D-4C4A-B82A-FB77BF9ADA62}"/>
    <hyperlink ref="S191" r:id="rId46" xr:uid="{9F475F35-6FF6-4B2D-AF94-AE23F3D36195}"/>
    <hyperlink ref="S193" r:id="rId47" xr:uid="{956CE59E-D2C4-457F-8F6D-20A70B5F165A}"/>
    <hyperlink ref="S195" r:id="rId48" xr:uid="{51F2D555-94E9-42C8-B88D-422F0FEB83DB}"/>
    <hyperlink ref="S196" r:id="rId49" xr:uid="{944479F1-B804-4E32-8A0C-02936B667AF6}"/>
    <hyperlink ref="S198" r:id="rId50" xr:uid="{D3430268-56FE-4BDF-9923-0F8BF506D50B}"/>
    <hyperlink ref="S200" r:id="rId51" xr:uid="{312BAB97-29E7-46A2-A4AE-865993653D19}"/>
    <hyperlink ref="S201" r:id="rId52" xr:uid="{5B3DB91E-1C7D-4071-9D1B-C7FD75E3EB39}"/>
    <hyperlink ref="S202" r:id="rId53" xr:uid="{AD386D6A-6789-42F1-B40F-CC6AA653120E}"/>
    <hyperlink ref="S203" r:id="rId54" xr:uid="{1BB8FC2B-C90C-4EC8-8FB5-309C1BDA2235}"/>
    <hyperlink ref="S248" r:id="rId55" xr:uid="{5D79E004-9DBE-45BA-9359-C030EBC2D78F}"/>
    <hyperlink ref="S259" r:id="rId56" xr:uid="{6D961AF1-F1BB-48E6-A042-94E16577DF40}"/>
    <hyperlink ref="S266" r:id="rId57" xr:uid="{987F5977-0603-411D-9671-E9E2CCCB2C2D}"/>
    <hyperlink ref="S265" r:id="rId58" xr:uid="{2AACB654-0A90-4858-A460-27D9E7FB470E}"/>
    <hyperlink ref="S264" r:id="rId59" xr:uid="{A9CD67F6-3C5B-4DF9-8C09-C5AA7CD12EB7}"/>
    <hyperlink ref="S263" r:id="rId60" xr:uid="{440318CB-2AFA-4F7D-8BAC-9421F463912A}"/>
    <hyperlink ref="S262" r:id="rId61" xr:uid="{587E762B-8674-4D73-BBA0-5F5B6A7F1BA7}"/>
    <hyperlink ref="S268" r:id="rId62" xr:uid="{46116C8A-158C-438E-8F12-8B941240F928}"/>
    <hyperlink ref="S269" r:id="rId63" xr:uid="{B9B5846B-3B04-4420-9321-D832592466B9}"/>
    <hyperlink ref="S284" r:id="rId64" xr:uid="{B7EF8BB0-D27C-4456-8C5A-8525544EAAC4}"/>
    <hyperlink ref="S292" r:id="rId65" xr:uid="{54A27F59-969C-4ABE-8997-2C5EB0DBDEE6}"/>
    <hyperlink ref="S295" r:id="rId66" xr:uid="{A0EC25EC-A472-4C14-8B8B-3B4DB24E3CFA}"/>
    <hyperlink ref="S317" r:id="rId67" xr:uid="{8418E638-AC46-4192-9923-E1CE8CF09418}"/>
    <hyperlink ref="S331" r:id="rId68" xr:uid="{D778C283-A29A-4EB0-ABDD-0FA0A54A35E7}"/>
    <hyperlink ref="S334" r:id="rId69" xr:uid="{CAEF56B8-8B5E-4AC3-98A3-32902D17F6A2}"/>
    <hyperlink ref="S373" r:id="rId70" xr:uid="{D1B81047-2E0F-4546-B379-BC0203728F45}"/>
    <hyperlink ref="S360" r:id="rId71" xr:uid="{391099FC-F8F2-4A6A-8E7E-AE54B7929649}"/>
    <hyperlink ref="S361" r:id="rId72" xr:uid="{3DE2D102-4CC5-4359-8741-7E53BCDF714B}"/>
    <hyperlink ref="S362" r:id="rId73" xr:uid="{9DDB8392-245B-49AB-853D-6CE10F484AEA}"/>
    <hyperlink ref="S363" r:id="rId74" xr:uid="{7D83293A-8EF9-4B4F-9C70-8008C846D261}"/>
    <hyperlink ref="S364" r:id="rId75" xr:uid="{51C94C5C-3E7D-4CE3-A1D3-58F7B001BA02}"/>
    <hyperlink ref="S366" r:id="rId76" xr:uid="{23F867B2-A83A-4013-BE11-234D0F3A77C1}"/>
    <hyperlink ref="S365" r:id="rId77" xr:uid="{25F4FB50-B074-4217-9E1D-0EC67156D7B5}"/>
    <hyperlink ref="S367" r:id="rId78" xr:uid="{F2430805-2D4B-4BFA-B71C-B3B3E1AAF5AE}"/>
    <hyperlink ref="S368" r:id="rId79" xr:uid="{7A280AF6-A634-4BF6-89EB-6BC205234126}"/>
    <hyperlink ref="S369" r:id="rId80" xr:uid="{D9603C63-23EB-45BB-8A37-F5016332F3BA}"/>
    <hyperlink ref="S370" r:id="rId81" xr:uid="{1DC1CDC1-A6DD-4EBF-8969-09D42713852B}"/>
    <hyperlink ref="S371" r:id="rId82" xr:uid="{5B670D07-D6F0-4317-9081-95B9F613BAAB}"/>
    <hyperlink ref="S372" r:id="rId83" xr:uid="{7FA17C16-4A83-4C26-9B64-9A2C53A19A90}"/>
    <hyperlink ref="S375" r:id="rId84" xr:uid="{AE2911F6-D0FD-4E13-9881-A89E1CB97E6B}"/>
    <hyperlink ref="S386" r:id="rId85" xr:uid="{816071D5-2444-4CD8-A18C-BD2FC8D97AA9}"/>
    <hyperlink ref="S376" r:id="rId86" xr:uid="{1D2222BC-D6B2-447F-8314-C59CCD23910D}"/>
    <hyperlink ref="S377" r:id="rId87" xr:uid="{7B35E55D-79C0-45AB-9055-DC57B866C83E}"/>
    <hyperlink ref="S378" r:id="rId88" xr:uid="{3213DF2A-F91E-48B0-9316-A1CFF0F4C9A3}"/>
    <hyperlink ref="S379" r:id="rId89" xr:uid="{D3C36380-3B8E-49D4-9E1D-36E1CA2DBE84}"/>
    <hyperlink ref="S380" r:id="rId90" xr:uid="{809B89F2-210A-4F76-BF1D-100FD001D15B}"/>
    <hyperlink ref="S381" r:id="rId91" xr:uid="{69BA18E6-82FC-453D-B41C-D85193A5A02F}"/>
    <hyperlink ref="S385" r:id="rId92" xr:uid="{248CCE97-CCC5-46D1-AC06-1C91A8A4B8C9}"/>
    <hyperlink ref="S382" r:id="rId93" xr:uid="{F6058678-CA22-47B4-BE48-9BAC6C99C28B}"/>
    <hyperlink ref="S383" r:id="rId94" xr:uid="{44A950C4-5304-4917-9AF7-D264B77EF681}"/>
    <hyperlink ref="S384" r:id="rId95" xr:uid="{68F2E6F5-1D48-4499-9400-C59AC348B86D}"/>
    <hyperlink ref="S406" r:id="rId96" xr:uid="{F14EBAB2-3204-4F4C-BB7F-7C470FE0C706}"/>
    <hyperlink ref="S407" r:id="rId97" xr:uid="{BC5B6B30-367F-4490-8498-7BBC6BE47580}"/>
    <hyperlink ref="S408" r:id="rId98" xr:uid="{74571157-FB41-4134-B858-73ACED883350}"/>
    <hyperlink ref="S422" r:id="rId99" xr:uid="{65D56F04-C4DC-4142-AD4D-FE45042BCA3B}"/>
    <hyperlink ref="S425" r:id="rId100" xr:uid="{091C6FFF-F692-4E62-BBC1-669187FFA2EE}"/>
    <hyperlink ref="S426" r:id="rId101" xr:uid="{29351899-47D0-487A-9DFF-02FBF89AECB4}"/>
    <hyperlink ref="S429" r:id="rId102" xr:uid="{6EB7D70D-EA92-4B98-B0D3-C3465EBED3C5}"/>
    <hyperlink ref="S430" r:id="rId103" xr:uid="{F6998B3A-5B1F-400B-8046-34D73ACB0107}"/>
    <hyperlink ref="S439" r:id="rId104" xr:uid="{25EAD2BC-62FC-4A61-86E9-7F4F8E401A42}"/>
    <hyperlink ref="S441" r:id="rId105" xr:uid="{226B3660-1753-4C44-942B-917F83EDDA87}"/>
    <hyperlink ref="S442" r:id="rId106" xr:uid="{C66DE793-E77C-42B8-A472-CE703A213FEE}"/>
    <hyperlink ref="S446" r:id="rId107" xr:uid="{4349E1D2-091F-43E1-9D73-50B60E57A037}"/>
    <hyperlink ref="S444" r:id="rId108" xr:uid="{D0DD7D72-85C7-4A5D-B600-67CAF12E67D1}"/>
    <hyperlink ref="S445" r:id="rId109" xr:uid="{975B241B-16E6-4BC2-9962-B03109BACD21}"/>
    <hyperlink ref="S447" r:id="rId110" xr:uid="{7F2C2D41-0724-41BA-9CC4-6CC51BE3CF0C}"/>
    <hyperlink ref="S450" r:id="rId111" xr:uid="{9FB398C1-5AC3-42AC-B270-A9CC4171CEBF}"/>
    <hyperlink ref="S448" r:id="rId112" xr:uid="{926619D1-4BAB-4B98-B317-3A9775DE0E6F}"/>
    <hyperlink ref="S449" r:id="rId113" xr:uid="{E8FCC479-1D9A-4880-BC06-4B1382C49AB5}"/>
    <hyperlink ref="S451" r:id="rId114" xr:uid="{305A3E3F-AC0B-4D53-9904-B54B11E9FB09}"/>
    <hyperlink ref="S57" r:id="rId115" xr:uid="{B8C31D18-9A2A-4765-9D39-0AA681CB3C45}"/>
    <hyperlink ref="S58" r:id="rId116" xr:uid="{40B8BB7D-B784-4419-9040-4649D9B54ACA}"/>
    <hyperlink ref="S61" r:id="rId117" xr:uid="{3C43E9EE-7A02-42EF-93C4-B0513DA29A2E}"/>
    <hyperlink ref="S78" r:id="rId118" xr:uid="{22A2763C-7E88-4F03-9D0D-5065569FACB9}"/>
    <hyperlink ref="S79" r:id="rId119" xr:uid="{99E305C5-5F2D-4A38-8244-DBF1864B4744}"/>
    <hyperlink ref="S80" r:id="rId120" xr:uid="{12A037AA-748F-4431-83E2-830CEE2A5F07}"/>
    <hyperlink ref="S82" r:id="rId121" xr:uid="{A1279C51-98C8-463F-80CF-2B9B49DF8020}"/>
    <hyperlink ref="S81" r:id="rId122" xr:uid="{64290F0D-F323-423E-A621-71193DECDAB9}"/>
    <hyperlink ref="S83" r:id="rId123" xr:uid="{A9436D55-7E56-4C24-B974-84AB45985A46}"/>
    <hyperlink ref="S87" r:id="rId124" xr:uid="{A0BE8591-2298-4E80-8E3B-134ADA370A8C}"/>
    <hyperlink ref="S88" r:id="rId125" xr:uid="{9BDF6067-6987-4CDC-9C52-9B4E92794475}"/>
    <hyperlink ref="S89" r:id="rId126" xr:uid="{EAA636EA-1383-437B-B824-6AC96C9407A5}"/>
    <hyperlink ref="S90" r:id="rId127" xr:uid="{FB0E1CB0-05CC-43F2-BC8A-5796C366BCB1}"/>
    <hyperlink ref="S91" r:id="rId128" xr:uid="{87BDBB44-AD20-4C50-A165-A218851960A2}"/>
    <hyperlink ref="S104" r:id="rId129" xr:uid="{8B0B44CF-678C-4D18-BB8C-6B2C908B9AFF}"/>
    <hyperlink ref="S105" r:id="rId130" xr:uid="{648929D9-53AE-46C9-B38C-E0601CAD7B64}"/>
    <hyperlink ref="S204" r:id="rId131" xr:uid="{2BD35A43-5E54-4925-886B-9ADA53CB5843}"/>
    <hyperlink ref="S205" r:id="rId132" xr:uid="{1D2DAAB7-0EF3-463B-81B8-FA92DA218252}"/>
    <hyperlink ref="S206" r:id="rId133" xr:uid="{0700EAE3-9BAC-46A2-8C6A-22EC31A4BEFF}"/>
    <hyperlink ref="S207" r:id="rId134" xr:uid="{810E49BC-7EC4-41FA-90C1-B2406C5A629A}"/>
    <hyperlink ref="S211" r:id="rId135" xr:uid="{F8F6FC64-B507-4D83-AA47-16C664BF68DA}"/>
    <hyperlink ref="S212" r:id="rId136" xr:uid="{B5FD1FE6-AA25-414C-AD49-B42CA4A712E4}"/>
  </hyperlinks>
  <pageMargins left="0.7" right="0.7" top="0.75" bottom="0.75" header="0.3" footer="0.3"/>
  <legacyDrawing r:id="rId13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78368-BC2E-404D-A123-56C4C9A7B7A2}">
  <dimension ref="A1:K393"/>
  <sheetViews>
    <sheetView workbookViewId="0">
      <pane xSplit="4" ySplit="1" topLeftCell="E378" activePane="bottomRight" state="frozen"/>
      <selection pane="topRight" activeCell="D1" sqref="D1"/>
      <selection pane="bottomLeft" activeCell="A2" sqref="A2"/>
      <selection pane="bottomRight" activeCell="C23" sqref="C23"/>
    </sheetView>
  </sheetViews>
  <sheetFormatPr defaultRowHeight="15.75" x14ac:dyDescent="0.25"/>
  <cols>
    <col min="1" max="1" width="6.125" customWidth="1"/>
    <col min="2" max="2" width="6.75" customWidth="1"/>
    <col min="3" max="3" width="17.625" customWidth="1"/>
    <col min="4" max="4" width="20" customWidth="1"/>
    <col min="5" max="5" width="9.125" customWidth="1"/>
    <col min="6" max="6" width="11.625" customWidth="1"/>
    <col min="7" max="7" width="29.125" customWidth="1"/>
    <col min="8" max="9" width="13.125" customWidth="1"/>
    <col min="10" max="10" width="14" style="25" customWidth="1"/>
    <col min="11" max="11" width="9" style="18"/>
  </cols>
  <sheetData>
    <row r="1" spans="1:11" x14ac:dyDescent="0.25">
      <c r="A1" t="s">
        <v>2430</v>
      </c>
      <c r="B1" t="s">
        <v>0</v>
      </c>
      <c r="C1" t="s">
        <v>1964</v>
      </c>
      <c r="D1" t="s">
        <v>2423</v>
      </c>
      <c r="E1" t="s">
        <v>2356</v>
      </c>
      <c r="F1" t="s">
        <v>2425</v>
      </c>
      <c r="G1" t="s">
        <v>2426</v>
      </c>
      <c r="H1" t="s">
        <v>2601</v>
      </c>
      <c r="I1" t="s">
        <v>2428</v>
      </c>
      <c r="J1" s="25" t="s">
        <v>2357</v>
      </c>
      <c r="K1" s="18" t="s">
        <v>2358</v>
      </c>
    </row>
    <row r="2" spans="1:11" x14ac:dyDescent="0.25">
      <c r="B2">
        <v>11</v>
      </c>
      <c r="C2" t="s">
        <v>4</v>
      </c>
      <c r="D2" t="s">
        <v>2422</v>
      </c>
      <c r="E2" t="s">
        <v>2359</v>
      </c>
      <c r="K2"/>
    </row>
    <row r="3" spans="1:11" x14ac:dyDescent="0.25">
      <c r="B3">
        <v>12</v>
      </c>
      <c r="C3" t="s">
        <v>5</v>
      </c>
      <c r="D3" t="s">
        <v>2424</v>
      </c>
      <c r="E3" t="s">
        <v>2359</v>
      </c>
      <c r="K3"/>
    </row>
    <row r="4" spans="1:11" x14ac:dyDescent="0.25">
      <c r="B4">
        <v>14</v>
      </c>
      <c r="C4" t="s">
        <v>6</v>
      </c>
      <c r="D4">
        <v>2020</v>
      </c>
      <c r="E4" t="s">
        <v>2359</v>
      </c>
      <c r="K4"/>
    </row>
    <row r="5" spans="1:11" x14ac:dyDescent="0.25">
      <c r="B5">
        <v>15</v>
      </c>
      <c r="C5" t="s">
        <v>7</v>
      </c>
      <c r="D5" t="s">
        <v>2420</v>
      </c>
      <c r="E5" t="s">
        <v>2359</v>
      </c>
    </row>
    <row r="6" spans="1:11" x14ac:dyDescent="0.25">
      <c r="B6">
        <v>17</v>
      </c>
      <c r="C6" t="s">
        <v>8</v>
      </c>
      <c r="D6" t="s">
        <v>2420</v>
      </c>
      <c r="E6" t="s">
        <v>2359</v>
      </c>
    </row>
    <row r="7" spans="1:11" x14ac:dyDescent="0.25">
      <c r="B7">
        <v>27</v>
      </c>
      <c r="C7" t="s">
        <v>10</v>
      </c>
      <c r="D7" t="s">
        <v>2420</v>
      </c>
      <c r="E7" t="s">
        <v>2359</v>
      </c>
      <c r="K7"/>
    </row>
    <row r="8" spans="1:11" x14ac:dyDescent="0.25">
      <c r="B8">
        <v>28</v>
      </c>
      <c r="C8" t="s">
        <v>10</v>
      </c>
      <c r="D8" t="s">
        <v>2422</v>
      </c>
      <c r="E8" t="s">
        <v>2359</v>
      </c>
      <c r="K8"/>
    </row>
    <row r="9" spans="1:11" x14ac:dyDescent="0.25">
      <c r="B9">
        <v>36</v>
      </c>
      <c r="C9" t="s">
        <v>14</v>
      </c>
      <c r="D9" t="s">
        <v>2422</v>
      </c>
      <c r="E9" t="s">
        <v>2360</v>
      </c>
      <c r="F9" s="38">
        <v>43598</v>
      </c>
      <c r="G9" s="5" t="s">
        <v>2427</v>
      </c>
      <c r="H9" s="5"/>
      <c r="I9" s="5" t="s">
        <v>2429</v>
      </c>
      <c r="J9" s="39">
        <v>45000000</v>
      </c>
      <c r="K9" s="30" t="s">
        <v>2379</v>
      </c>
    </row>
    <row r="10" spans="1:11" x14ac:dyDescent="0.25">
      <c r="B10">
        <v>39</v>
      </c>
      <c r="C10" t="s">
        <v>1972</v>
      </c>
      <c r="D10" t="s">
        <v>2422</v>
      </c>
      <c r="E10" t="s">
        <v>2359</v>
      </c>
      <c r="K10"/>
    </row>
    <row r="11" spans="1:11" x14ac:dyDescent="0.25">
      <c r="B11">
        <v>42</v>
      </c>
      <c r="C11" t="s">
        <v>17</v>
      </c>
      <c r="D11" t="s">
        <v>2422</v>
      </c>
      <c r="E11" t="s">
        <v>2360</v>
      </c>
      <c r="F11" s="34">
        <v>43776</v>
      </c>
      <c r="G11" s="35" t="s">
        <v>2431</v>
      </c>
      <c r="H11" s="35"/>
      <c r="I11" t="s">
        <v>2433</v>
      </c>
      <c r="J11" s="25">
        <v>5000</v>
      </c>
      <c r="K11" s="36" t="s">
        <v>2432</v>
      </c>
    </row>
    <row r="12" spans="1:11" x14ac:dyDescent="0.25">
      <c r="B12">
        <v>48</v>
      </c>
      <c r="C12" t="s">
        <v>18</v>
      </c>
      <c r="D12" t="s">
        <v>2420</v>
      </c>
      <c r="E12" t="s">
        <v>2359</v>
      </c>
      <c r="K12"/>
    </row>
    <row r="13" spans="1:11" x14ac:dyDescent="0.25">
      <c r="B13">
        <v>49</v>
      </c>
      <c r="C13" t="s">
        <v>18</v>
      </c>
      <c r="D13" t="s">
        <v>2422</v>
      </c>
      <c r="E13" t="s">
        <v>2359</v>
      </c>
    </row>
    <row r="14" spans="1:11" x14ac:dyDescent="0.25">
      <c r="B14">
        <v>50</v>
      </c>
      <c r="C14" t="s">
        <v>18</v>
      </c>
      <c r="D14" t="s">
        <v>2434</v>
      </c>
      <c r="E14" t="s">
        <v>2359</v>
      </c>
    </row>
    <row r="15" spans="1:11" x14ac:dyDescent="0.25">
      <c r="B15">
        <v>52</v>
      </c>
      <c r="C15" t="s">
        <v>20</v>
      </c>
      <c r="D15" t="s">
        <v>2420</v>
      </c>
      <c r="E15" t="s">
        <v>2359</v>
      </c>
      <c r="K15"/>
    </row>
    <row r="16" spans="1:11" x14ac:dyDescent="0.25">
      <c r="B16">
        <v>53</v>
      </c>
      <c r="C16" t="s">
        <v>20</v>
      </c>
      <c r="D16" t="s">
        <v>2422</v>
      </c>
      <c r="E16" t="s">
        <v>2359</v>
      </c>
      <c r="K16"/>
    </row>
    <row r="17" spans="2:11" x14ac:dyDescent="0.25">
      <c r="B17">
        <v>70</v>
      </c>
      <c r="C17" t="s">
        <v>24</v>
      </c>
      <c r="D17">
        <v>2020</v>
      </c>
      <c r="E17" t="s">
        <v>2360</v>
      </c>
      <c r="F17" s="34">
        <v>43924</v>
      </c>
      <c r="G17" t="s">
        <v>2431</v>
      </c>
      <c r="I17" t="s">
        <v>2436</v>
      </c>
      <c r="J17" s="25">
        <v>35175</v>
      </c>
      <c r="K17" s="26" t="s">
        <v>2435</v>
      </c>
    </row>
    <row r="18" spans="2:11" x14ac:dyDescent="0.25">
      <c r="F18" s="34">
        <v>44145</v>
      </c>
      <c r="G18" t="s">
        <v>2437</v>
      </c>
      <c r="I18" t="s">
        <v>2438</v>
      </c>
      <c r="J18" s="25">
        <v>31628</v>
      </c>
      <c r="K18" s="26" t="s">
        <v>2439</v>
      </c>
    </row>
    <row r="19" spans="2:11" x14ac:dyDescent="0.25">
      <c r="B19">
        <v>71</v>
      </c>
      <c r="C19" t="s">
        <v>25</v>
      </c>
      <c r="D19">
        <v>2020</v>
      </c>
      <c r="E19" t="s">
        <v>2359</v>
      </c>
      <c r="K19"/>
    </row>
    <row r="20" spans="2:11" x14ac:dyDescent="0.25">
      <c r="B20">
        <v>78</v>
      </c>
      <c r="C20" t="s">
        <v>27</v>
      </c>
      <c r="D20" t="s">
        <v>2440</v>
      </c>
      <c r="E20" t="s">
        <v>2359</v>
      </c>
      <c r="K20"/>
    </row>
    <row r="21" spans="2:11" x14ac:dyDescent="0.25">
      <c r="B21">
        <v>90</v>
      </c>
      <c r="C21" t="s">
        <v>30</v>
      </c>
      <c r="D21" t="s">
        <v>2422</v>
      </c>
      <c r="E21" t="s">
        <v>2359</v>
      </c>
      <c r="K21"/>
    </row>
    <row r="22" spans="2:11" x14ac:dyDescent="0.25">
      <c r="B22">
        <v>91</v>
      </c>
      <c r="C22" t="s">
        <v>31</v>
      </c>
      <c r="D22" t="s">
        <v>2441</v>
      </c>
      <c r="E22" t="s">
        <v>2360</v>
      </c>
      <c r="F22" s="34">
        <v>44103</v>
      </c>
      <c r="G22" t="s">
        <v>2442</v>
      </c>
      <c r="I22" t="s">
        <v>2443</v>
      </c>
      <c r="J22" s="25">
        <v>89678</v>
      </c>
      <c r="K22" s="26" t="s">
        <v>2444</v>
      </c>
    </row>
    <row r="23" spans="2:11" x14ac:dyDescent="0.25">
      <c r="B23">
        <v>98</v>
      </c>
      <c r="C23" t="s">
        <v>33</v>
      </c>
      <c r="D23" t="s">
        <v>2420</v>
      </c>
      <c r="E23" t="s">
        <v>2359</v>
      </c>
      <c r="K23"/>
    </row>
    <row r="24" spans="2:11" x14ac:dyDescent="0.25">
      <c r="B24">
        <v>120</v>
      </c>
      <c r="C24" t="s">
        <v>36</v>
      </c>
      <c r="D24" t="s">
        <v>2445</v>
      </c>
      <c r="E24" t="s">
        <v>2360</v>
      </c>
      <c r="F24" s="38">
        <v>44042</v>
      </c>
      <c r="G24" s="5" t="s">
        <v>2446</v>
      </c>
      <c r="H24" s="5"/>
      <c r="I24" s="5" t="s">
        <v>2447</v>
      </c>
      <c r="J24" s="39">
        <v>6000</v>
      </c>
      <c r="K24" s="26" t="s">
        <v>2448</v>
      </c>
    </row>
    <row r="25" spans="2:11" x14ac:dyDescent="0.25">
      <c r="F25" s="38">
        <v>44180</v>
      </c>
      <c r="G25" s="5" t="s">
        <v>2449</v>
      </c>
      <c r="H25" s="5"/>
      <c r="I25" s="5"/>
      <c r="J25" s="39">
        <v>19613900</v>
      </c>
      <c r="K25" s="26" t="s">
        <v>2450</v>
      </c>
    </row>
    <row r="26" spans="2:11" x14ac:dyDescent="0.25">
      <c r="B26">
        <v>124</v>
      </c>
      <c r="C26" t="s">
        <v>39</v>
      </c>
      <c r="D26" t="s">
        <v>2420</v>
      </c>
      <c r="E26" t="s">
        <v>2360</v>
      </c>
      <c r="F26" s="34">
        <v>44064</v>
      </c>
      <c r="G26" t="s">
        <v>2446</v>
      </c>
      <c r="I26" t="s">
        <v>2447</v>
      </c>
      <c r="J26" s="25">
        <v>5885</v>
      </c>
      <c r="K26" s="30" t="s">
        <v>2452</v>
      </c>
    </row>
    <row r="27" spans="2:11" x14ac:dyDescent="0.25">
      <c r="F27" s="34">
        <v>44153</v>
      </c>
      <c r="G27" t="s">
        <v>2446</v>
      </c>
      <c r="I27" t="s">
        <v>2447</v>
      </c>
      <c r="J27" s="25">
        <v>12875</v>
      </c>
      <c r="K27" s="30" t="s">
        <v>2451</v>
      </c>
    </row>
    <row r="28" spans="2:11" x14ac:dyDescent="0.25">
      <c r="B28">
        <v>130</v>
      </c>
      <c r="C28" t="s">
        <v>42</v>
      </c>
      <c r="D28" t="s">
        <v>2459</v>
      </c>
      <c r="E28" t="s">
        <v>2360</v>
      </c>
      <c r="F28" s="34">
        <v>43697</v>
      </c>
      <c r="G28" t="s">
        <v>2449</v>
      </c>
      <c r="J28" s="25">
        <v>7500000</v>
      </c>
      <c r="K28" s="30" t="s">
        <v>2460</v>
      </c>
    </row>
    <row r="29" spans="2:11" x14ac:dyDescent="0.25">
      <c r="F29" s="38">
        <v>43889</v>
      </c>
      <c r="G29" s="5" t="s">
        <v>2461</v>
      </c>
      <c r="H29" s="5"/>
      <c r="I29" s="5" t="s">
        <v>2462</v>
      </c>
      <c r="J29" s="39">
        <v>8000000</v>
      </c>
      <c r="K29" s="30" t="s">
        <v>2380</v>
      </c>
    </row>
    <row r="30" spans="2:11" x14ac:dyDescent="0.25">
      <c r="B30">
        <v>131</v>
      </c>
      <c r="C30" t="s">
        <v>43</v>
      </c>
      <c r="D30" t="s">
        <v>2422</v>
      </c>
      <c r="E30" t="s">
        <v>2360</v>
      </c>
      <c r="F30" s="34">
        <v>43538</v>
      </c>
      <c r="G30" t="s">
        <v>2437</v>
      </c>
      <c r="I30" t="s">
        <v>2453</v>
      </c>
      <c r="J30" s="25">
        <v>593750</v>
      </c>
      <c r="K30" s="26" t="s">
        <v>2454</v>
      </c>
    </row>
    <row r="31" spans="2:11" x14ac:dyDescent="0.25">
      <c r="F31" s="34">
        <v>43663</v>
      </c>
      <c r="G31" t="s">
        <v>2456</v>
      </c>
      <c r="I31" t="s">
        <v>2457</v>
      </c>
      <c r="J31" s="25">
        <v>16243</v>
      </c>
      <c r="K31" s="26" t="s">
        <v>2458</v>
      </c>
    </row>
    <row r="32" spans="2:11" ht="16.5" customHeight="1" x14ac:dyDescent="0.25">
      <c r="F32" s="34">
        <v>43684</v>
      </c>
      <c r="G32" t="s">
        <v>2446</v>
      </c>
      <c r="I32" t="s">
        <v>2447</v>
      </c>
      <c r="J32" s="25">
        <v>12730</v>
      </c>
      <c r="K32" s="26" t="s">
        <v>2455</v>
      </c>
    </row>
    <row r="33" spans="2:11" x14ac:dyDescent="0.25">
      <c r="B33">
        <v>132</v>
      </c>
      <c r="C33" t="s">
        <v>44</v>
      </c>
      <c r="D33" t="s">
        <v>2463</v>
      </c>
      <c r="E33" t="s">
        <v>2359</v>
      </c>
      <c r="K33"/>
    </row>
    <row r="34" spans="2:11" x14ac:dyDescent="0.25">
      <c r="B34">
        <v>133</v>
      </c>
      <c r="C34" t="s">
        <v>44</v>
      </c>
      <c r="D34" t="s">
        <v>2464</v>
      </c>
      <c r="E34" t="s">
        <v>2359</v>
      </c>
      <c r="K34"/>
    </row>
    <row r="35" spans="2:11" x14ac:dyDescent="0.25">
      <c r="B35">
        <v>142</v>
      </c>
      <c r="C35" t="s">
        <v>46</v>
      </c>
      <c r="D35" t="s">
        <v>2420</v>
      </c>
      <c r="E35" t="s">
        <v>2359</v>
      </c>
      <c r="K35"/>
    </row>
    <row r="36" spans="2:11" x14ac:dyDescent="0.25">
      <c r="B36">
        <v>146</v>
      </c>
      <c r="C36" t="s">
        <v>47</v>
      </c>
      <c r="D36" t="s">
        <v>2420</v>
      </c>
      <c r="E36" t="s">
        <v>2359</v>
      </c>
    </row>
    <row r="37" spans="2:11" x14ac:dyDescent="0.25">
      <c r="B37">
        <v>147</v>
      </c>
      <c r="C37" t="s">
        <v>48</v>
      </c>
      <c r="D37">
        <v>2020</v>
      </c>
      <c r="E37" t="s">
        <v>2359</v>
      </c>
      <c r="K37"/>
    </row>
    <row r="38" spans="2:11" x14ac:dyDescent="0.25">
      <c r="B38">
        <v>154</v>
      </c>
      <c r="C38" t="s">
        <v>51</v>
      </c>
      <c r="D38" t="s">
        <v>2420</v>
      </c>
      <c r="E38" t="s">
        <v>2359</v>
      </c>
    </row>
    <row r="39" spans="2:11" x14ac:dyDescent="0.25">
      <c r="B39">
        <v>157</v>
      </c>
      <c r="C39" t="s">
        <v>52</v>
      </c>
      <c r="D39" t="s">
        <v>2420</v>
      </c>
      <c r="E39" t="s">
        <v>2360</v>
      </c>
      <c r="F39" s="34">
        <v>43857</v>
      </c>
      <c r="G39" t="s">
        <v>2449</v>
      </c>
      <c r="I39" t="s">
        <v>2477</v>
      </c>
      <c r="J39" s="25">
        <v>50000</v>
      </c>
      <c r="K39" s="26" t="s">
        <v>2478</v>
      </c>
    </row>
    <row r="40" spans="2:11" x14ac:dyDescent="0.25">
      <c r="F40" s="34">
        <v>43857</v>
      </c>
      <c r="G40" t="s">
        <v>2449</v>
      </c>
      <c r="I40" t="s">
        <v>2477</v>
      </c>
      <c r="J40" s="25">
        <v>20000</v>
      </c>
      <c r="K40" s="26" t="s">
        <v>2479</v>
      </c>
    </row>
    <row r="41" spans="2:11" x14ac:dyDescent="0.25">
      <c r="F41" s="34">
        <v>43857</v>
      </c>
      <c r="G41" t="s">
        <v>2449</v>
      </c>
      <c r="I41" t="s">
        <v>2477</v>
      </c>
      <c r="J41" s="25">
        <v>1870000</v>
      </c>
      <c r="K41" s="26" t="s">
        <v>2361</v>
      </c>
    </row>
    <row r="42" spans="2:11" x14ac:dyDescent="0.25">
      <c r="F42" s="34">
        <v>43942</v>
      </c>
      <c r="G42" t="s">
        <v>2474</v>
      </c>
      <c r="I42" t="s">
        <v>2475</v>
      </c>
      <c r="J42" s="25">
        <v>25000000</v>
      </c>
      <c r="K42" s="26" t="s">
        <v>2476</v>
      </c>
    </row>
    <row r="43" spans="2:11" x14ac:dyDescent="0.25">
      <c r="F43" s="38">
        <v>44013</v>
      </c>
      <c r="G43" s="5" t="s">
        <v>2442</v>
      </c>
      <c r="H43" s="5"/>
      <c r="I43" s="5"/>
      <c r="J43" s="39">
        <v>46220</v>
      </c>
      <c r="K43" s="26" t="s">
        <v>2471</v>
      </c>
    </row>
    <row r="44" spans="2:11" x14ac:dyDescent="0.25">
      <c r="F44" s="34">
        <v>44019</v>
      </c>
      <c r="G44" t="s">
        <v>2449</v>
      </c>
      <c r="I44" t="s">
        <v>2465</v>
      </c>
      <c r="J44" s="25">
        <v>6645</v>
      </c>
      <c r="K44" s="26" t="s">
        <v>2466</v>
      </c>
    </row>
    <row r="45" spans="2:11" x14ac:dyDescent="0.25">
      <c r="F45" s="34">
        <v>44105</v>
      </c>
      <c r="G45" t="s">
        <v>2456</v>
      </c>
      <c r="I45" t="s">
        <v>2457</v>
      </c>
      <c r="J45" s="25">
        <v>5737</v>
      </c>
      <c r="K45" s="26" t="s">
        <v>2467</v>
      </c>
    </row>
    <row r="46" spans="2:11" x14ac:dyDescent="0.25">
      <c r="F46" s="34">
        <v>44123</v>
      </c>
      <c r="G46" t="s">
        <v>2456</v>
      </c>
      <c r="I46" t="s">
        <v>2457</v>
      </c>
      <c r="J46" s="25">
        <v>54136</v>
      </c>
      <c r="K46" s="26" t="s">
        <v>2468</v>
      </c>
    </row>
    <row r="47" spans="2:11" x14ac:dyDescent="0.25">
      <c r="F47" s="34">
        <v>44139</v>
      </c>
      <c r="G47" t="s">
        <v>2469</v>
      </c>
      <c r="J47" s="25">
        <v>6500000</v>
      </c>
      <c r="K47" s="26" t="s">
        <v>2470</v>
      </c>
    </row>
    <row r="48" spans="2:11" x14ac:dyDescent="0.25">
      <c r="F48" s="34">
        <v>44195</v>
      </c>
      <c r="G48" t="s">
        <v>2449</v>
      </c>
      <c r="I48" t="s">
        <v>2473</v>
      </c>
      <c r="J48" s="25">
        <v>27150</v>
      </c>
      <c r="K48" s="26" t="s">
        <v>2472</v>
      </c>
    </row>
    <row r="49" spans="2:11" x14ac:dyDescent="0.25">
      <c r="B49">
        <v>164</v>
      </c>
      <c r="C49" t="s">
        <v>53</v>
      </c>
      <c r="D49" t="s">
        <v>2420</v>
      </c>
      <c r="E49" t="s">
        <v>2360</v>
      </c>
      <c r="F49" s="34">
        <v>43847</v>
      </c>
      <c r="G49" t="s">
        <v>2486</v>
      </c>
      <c r="J49" s="25">
        <v>17998510</v>
      </c>
      <c r="K49" s="37" t="s">
        <v>2489</v>
      </c>
    </row>
    <row r="50" spans="2:11" x14ac:dyDescent="0.25">
      <c r="F50" s="38">
        <v>44000</v>
      </c>
      <c r="G50" s="5" t="s">
        <v>2481</v>
      </c>
      <c r="H50" s="5"/>
      <c r="I50" s="5"/>
      <c r="J50" s="39">
        <v>20833333</v>
      </c>
      <c r="K50" s="37" t="s">
        <v>2482</v>
      </c>
    </row>
    <row r="51" spans="2:11" x14ac:dyDescent="0.25">
      <c r="F51" s="38">
        <v>44091</v>
      </c>
      <c r="G51" s="5" t="s">
        <v>2481</v>
      </c>
      <c r="H51" s="5"/>
      <c r="I51" s="5"/>
      <c r="J51" s="39">
        <v>33400000</v>
      </c>
      <c r="K51" s="37" t="s">
        <v>2483</v>
      </c>
    </row>
    <row r="52" spans="2:11" x14ac:dyDescent="0.25">
      <c r="F52" s="38">
        <v>44102</v>
      </c>
      <c r="G52" s="5" t="s">
        <v>2488</v>
      </c>
      <c r="H52" s="5"/>
      <c r="I52" s="5"/>
      <c r="J52" s="39">
        <v>4500000</v>
      </c>
      <c r="K52" s="37" t="s">
        <v>2487</v>
      </c>
    </row>
    <row r="53" spans="2:11" x14ac:dyDescent="0.25">
      <c r="F53" s="38">
        <v>44109</v>
      </c>
      <c r="G53" s="5" t="s">
        <v>2481</v>
      </c>
      <c r="H53" s="5"/>
      <c r="I53" s="5"/>
      <c r="J53" s="39">
        <v>7025000</v>
      </c>
      <c r="K53" s="37" t="s">
        <v>2484</v>
      </c>
    </row>
    <row r="54" spans="2:11" x14ac:dyDescent="0.25">
      <c r="F54" s="34">
        <v>44111</v>
      </c>
      <c r="G54" t="s">
        <v>2486</v>
      </c>
      <c r="J54" s="25">
        <v>400000000</v>
      </c>
      <c r="K54" s="37" t="s">
        <v>2485</v>
      </c>
    </row>
    <row r="55" spans="2:11" x14ac:dyDescent="0.25">
      <c r="F55" s="38">
        <v>44154</v>
      </c>
      <c r="G55" s="5" t="s">
        <v>2481</v>
      </c>
      <c r="H55" s="5"/>
      <c r="I55" s="5"/>
      <c r="J55" s="39">
        <v>9950000</v>
      </c>
      <c r="K55" s="37" t="s">
        <v>2480</v>
      </c>
    </row>
    <row r="56" spans="2:11" x14ac:dyDescent="0.25">
      <c r="B56">
        <v>165</v>
      </c>
      <c r="C56" t="s">
        <v>54</v>
      </c>
      <c r="D56" t="s">
        <v>2420</v>
      </c>
      <c r="E56" t="s">
        <v>2359</v>
      </c>
      <c r="K56"/>
    </row>
    <row r="57" spans="2:11" x14ac:dyDescent="0.25">
      <c r="B57">
        <v>173</v>
      </c>
      <c r="C57" t="s">
        <v>55</v>
      </c>
      <c r="D57" t="s">
        <v>2420</v>
      </c>
      <c r="E57" t="s">
        <v>2360</v>
      </c>
      <c r="F57" s="34">
        <v>43928</v>
      </c>
      <c r="G57" t="s">
        <v>2437</v>
      </c>
      <c r="I57" t="s">
        <v>2491</v>
      </c>
      <c r="J57" s="25">
        <v>180000</v>
      </c>
      <c r="K57" s="26" t="s">
        <v>2490</v>
      </c>
    </row>
    <row r="58" spans="2:11" x14ac:dyDescent="0.25">
      <c r="F58" s="34">
        <v>43941</v>
      </c>
      <c r="G58" t="s">
        <v>2437</v>
      </c>
      <c r="I58" t="s">
        <v>2491</v>
      </c>
      <c r="J58" s="25">
        <v>12050</v>
      </c>
      <c r="K58" s="26" t="s">
        <v>2495</v>
      </c>
    </row>
    <row r="59" spans="2:11" x14ac:dyDescent="0.25">
      <c r="F59" s="34">
        <v>44036</v>
      </c>
      <c r="G59" t="s">
        <v>2437</v>
      </c>
      <c r="I59" t="s">
        <v>2491</v>
      </c>
      <c r="J59" s="25">
        <v>310000</v>
      </c>
      <c r="K59" s="26" t="s">
        <v>2492</v>
      </c>
    </row>
    <row r="60" spans="2:11" x14ac:dyDescent="0.25">
      <c r="F60" s="34">
        <v>44063</v>
      </c>
      <c r="G60" t="s">
        <v>2494</v>
      </c>
      <c r="I60" t="s">
        <v>2491</v>
      </c>
      <c r="J60" s="25">
        <v>175000</v>
      </c>
      <c r="K60" s="26" t="s">
        <v>2493</v>
      </c>
    </row>
    <row r="61" spans="2:11" x14ac:dyDescent="0.25">
      <c r="B61">
        <v>188</v>
      </c>
      <c r="C61" t="s">
        <v>59</v>
      </c>
      <c r="D61" t="s">
        <v>2496</v>
      </c>
      <c r="E61" t="s">
        <v>2359</v>
      </c>
      <c r="K61"/>
    </row>
    <row r="62" spans="2:11" x14ac:dyDescent="0.25">
      <c r="B62">
        <v>190</v>
      </c>
      <c r="C62" t="s">
        <v>60</v>
      </c>
      <c r="D62" t="s">
        <v>2420</v>
      </c>
      <c r="E62" t="s">
        <v>2360</v>
      </c>
      <c r="F62" s="34">
        <v>44124</v>
      </c>
      <c r="G62" t="s">
        <v>2442</v>
      </c>
      <c r="I62" t="s">
        <v>2497</v>
      </c>
      <c r="J62" s="25">
        <v>77500</v>
      </c>
      <c r="K62" s="36" t="s">
        <v>2498</v>
      </c>
    </row>
    <row r="63" spans="2:11" x14ac:dyDescent="0.25">
      <c r="B63">
        <v>194</v>
      </c>
      <c r="C63" t="s">
        <v>61</v>
      </c>
      <c r="D63" t="s">
        <v>2499</v>
      </c>
      <c r="E63" t="s">
        <v>2359</v>
      </c>
      <c r="K63"/>
    </row>
    <row r="64" spans="2:11" x14ac:dyDescent="0.25">
      <c r="B64">
        <v>195</v>
      </c>
      <c r="C64" t="s">
        <v>62</v>
      </c>
      <c r="D64" t="s">
        <v>2420</v>
      </c>
      <c r="E64" t="s">
        <v>2359</v>
      </c>
      <c r="K64"/>
    </row>
    <row r="65" spans="2:11" x14ac:dyDescent="0.25">
      <c r="B65">
        <v>200</v>
      </c>
      <c r="C65" t="s">
        <v>63</v>
      </c>
      <c r="D65" t="s">
        <v>2420</v>
      </c>
      <c r="E65" t="s">
        <v>2359</v>
      </c>
      <c r="K65"/>
    </row>
    <row r="66" spans="2:11" x14ac:dyDescent="0.25">
      <c r="B66">
        <v>201</v>
      </c>
      <c r="C66" t="s">
        <v>63</v>
      </c>
      <c r="D66" t="s">
        <v>2422</v>
      </c>
      <c r="E66" t="s">
        <v>2359</v>
      </c>
      <c r="K66"/>
    </row>
    <row r="67" spans="2:11" x14ac:dyDescent="0.25">
      <c r="B67">
        <v>205</v>
      </c>
      <c r="C67" t="s">
        <v>65</v>
      </c>
      <c r="D67" t="s">
        <v>2422</v>
      </c>
      <c r="E67" t="s">
        <v>2359</v>
      </c>
      <c r="K67"/>
    </row>
    <row r="68" spans="2:11" x14ac:dyDescent="0.25">
      <c r="B68">
        <v>207</v>
      </c>
      <c r="C68" t="s">
        <v>67</v>
      </c>
      <c r="D68" t="s">
        <v>2420</v>
      </c>
      <c r="E68" t="s">
        <v>2359</v>
      </c>
    </row>
    <row r="69" spans="2:11" x14ac:dyDescent="0.25">
      <c r="B69">
        <v>208</v>
      </c>
      <c r="C69" t="s">
        <v>68</v>
      </c>
      <c r="D69" t="s">
        <v>2420</v>
      </c>
      <c r="E69" t="s">
        <v>2360</v>
      </c>
      <c r="F69" s="38">
        <v>43853</v>
      </c>
      <c r="G69" s="5" t="s">
        <v>2502</v>
      </c>
      <c r="H69" s="5"/>
      <c r="I69" s="5" t="s">
        <v>2508</v>
      </c>
      <c r="J69" s="39">
        <v>51000</v>
      </c>
      <c r="K69" s="26" t="s">
        <v>2507</v>
      </c>
    </row>
    <row r="70" spans="2:11" x14ac:dyDescent="0.25">
      <c r="F70" s="34">
        <v>43870</v>
      </c>
      <c r="G70" t="s">
        <v>2437</v>
      </c>
      <c r="I70" t="s">
        <v>2453</v>
      </c>
      <c r="J70" s="25">
        <v>60000</v>
      </c>
      <c r="K70" s="26" t="s">
        <v>2534</v>
      </c>
    </row>
    <row r="71" spans="2:11" x14ac:dyDescent="0.25">
      <c r="F71" s="38">
        <v>43880</v>
      </c>
      <c r="G71" s="5" t="s">
        <v>2446</v>
      </c>
      <c r="H71" s="5"/>
      <c r="I71" s="5" t="s">
        <v>2447</v>
      </c>
      <c r="J71" s="39">
        <v>5783</v>
      </c>
      <c r="K71" s="26" t="s">
        <v>2533</v>
      </c>
    </row>
    <row r="72" spans="2:11" x14ac:dyDescent="0.25">
      <c r="F72" s="38">
        <v>43881</v>
      </c>
      <c r="G72" s="5" t="s">
        <v>2446</v>
      </c>
      <c r="H72" s="5"/>
      <c r="I72" s="5" t="s">
        <v>2447</v>
      </c>
      <c r="J72" s="39">
        <v>5783</v>
      </c>
      <c r="K72" s="26" t="s">
        <v>2532</v>
      </c>
    </row>
    <row r="73" spans="2:11" x14ac:dyDescent="0.25">
      <c r="F73" s="38">
        <v>43882</v>
      </c>
      <c r="G73" s="5" t="s">
        <v>2502</v>
      </c>
      <c r="H73" s="5"/>
      <c r="I73" s="5" t="s">
        <v>2503</v>
      </c>
      <c r="J73" s="39">
        <v>60000</v>
      </c>
      <c r="K73" s="26" t="s">
        <v>2504</v>
      </c>
    </row>
    <row r="74" spans="2:11" x14ac:dyDescent="0.25">
      <c r="F74" s="38">
        <v>43889</v>
      </c>
      <c r="G74" s="5" t="s">
        <v>2449</v>
      </c>
      <c r="H74" s="5"/>
      <c r="I74" s="5" t="s">
        <v>2531</v>
      </c>
      <c r="J74" s="39">
        <v>14711</v>
      </c>
      <c r="K74" s="26" t="s">
        <v>2530</v>
      </c>
    </row>
    <row r="75" spans="2:11" x14ac:dyDescent="0.25">
      <c r="F75" s="38">
        <v>43908</v>
      </c>
      <c r="G75" s="5" t="s">
        <v>2502</v>
      </c>
      <c r="H75" s="5"/>
      <c r="I75" s="5" t="s">
        <v>2509</v>
      </c>
      <c r="J75" s="39">
        <v>57805</v>
      </c>
      <c r="K75" s="26" t="s">
        <v>2510</v>
      </c>
    </row>
    <row r="76" spans="2:11" x14ac:dyDescent="0.25">
      <c r="F76" s="38">
        <v>43925</v>
      </c>
      <c r="G76" s="5" t="s">
        <v>2502</v>
      </c>
      <c r="H76" s="5"/>
      <c r="I76" s="5" t="s">
        <v>2503</v>
      </c>
      <c r="J76" s="39">
        <v>35000</v>
      </c>
      <c r="K76" s="26" t="s">
        <v>2524</v>
      </c>
    </row>
    <row r="77" spans="2:11" x14ac:dyDescent="0.25">
      <c r="F77" s="38">
        <v>43927</v>
      </c>
      <c r="G77" s="5" t="s">
        <v>2502</v>
      </c>
      <c r="H77" s="5"/>
      <c r="I77" s="5" t="s">
        <v>2505</v>
      </c>
      <c r="J77" s="39">
        <v>67000</v>
      </c>
      <c r="K77" s="26" t="s">
        <v>2506</v>
      </c>
    </row>
    <row r="78" spans="2:11" x14ac:dyDescent="0.25">
      <c r="F78" s="38">
        <v>43937</v>
      </c>
      <c r="G78" s="5" t="s">
        <v>2502</v>
      </c>
      <c r="H78" s="5"/>
      <c r="I78" s="5" t="s">
        <v>2503</v>
      </c>
      <c r="J78" s="39">
        <v>47500</v>
      </c>
      <c r="K78" s="26" t="s">
        <v>2523</v>
      </c>
    </row>
    <row r="79" spans="2:11" x14ac:dyDescent="0.25">
      <c r="F79" s="38">
        <v>43964</v>
      </c>
      <c r="G79" s="5" t="s">
        <v>2500</v>
      </c>
      <c r="H79" s="5"/>
      <c r="I79" s="5" t="s">
        <v>2501</v>
      </c>
      <c r="J79" s="39">
        <v>15300000</v>
      </c>
      <c r="K79" s="26" t="s">
        <v>2363</v>
      </c>
    </row>
    <row r="80" spans="2:11" x14ac:dyDescent="0.25">
      <c r="F80" s="38">
        <v>43994</v>
      </c>
      <c r="G80" s="5" t="s">
        <v>2502</v>
      </c>
      <c r="H80" s="5"/>
      <c r="I80" s="5" t="s">
        <v>2511</v>
      </c>
      <c r="J80" s="39">
        <v>20000</v>
      </c>
      <c r="K80" s="26" t="s">
        <v>2512</v>
      </c>
    </row>
    <row r="81" spans="2:11" x14ac:dyDescent="0.25">
      <c r="F81" s="38">
        <v>44004</v>
      </c>
      <c r="G81" s="5" t="s">
        <v>2502</v>
      </c>
      <c r="H81" s="5"/>
      <c r="I81" s="5" t="s">
        <v>2516</v>
      </c>
      <c r="J81" s="39">
        <v>5000</v>
      </c>
      <c r="K81" s="26" t="s">
        <v>2515</v>
      </c>
    </row>
    <row r="82" spans="2:11" x14ac:dyDescent="0.25">
      <c r="F82" s="38">
        <v>44025</v>
      </c>
      <c r="G82" s="5" t="s">
        <v>2502</v>
      </c>
      <c r="H82" s="5"/>
      <c r="I82" s="5" t="s">
        <v>2518</v>
      </c>
      <c r="J82" s="39">
        <v>250000</v>
      </c>
      <c r="K82" s="26" t="s">
        <v>2517</v>
      </c>
    </row>
    <row r="83" spans="2:11" x14ac:dyDescent="0.25">
      <c r="F83" s="38">
        <v>44033</v>
      </c>
      <c r="G83" s="5" t="s">
        <v>2502</v>
      </c>
      <c r="H83" s="5"/>
      <c r="I83" s="5" t="s">
        <v>2503</v>
      </c>
      <c r="J83" s="39">
        <v>22500</v>
      </c>
      <c r="K83" s="26" t="s">
        <v>2522</v>
      </c>
    </row>
    <row r="84" spans="2:11" x14ac:dyDescent="0.25">
      <c r="F84" s="38">
        <v>44040</v>
      </c>
      <c r="G84" s="5" t="s">
        <v>2502</v>
      </c>
      <c r="H84" s="5"/>
      <c r="I84" s="5" t="s">
        <v>2513</v>
      </c>
      <c r="J84" s="39">
        <v>10000</v>
      </c>
      <c r="K84" s="26" t="s">
        <v>2514</v>
      </c>
    </row>
    <row r="85" spans="2:11" x14ac:dyDescent="0.25">
      <c r="F85" s="38">
        <v>44061</v>
      </c>
      <c r="G85" s="5" t="s">
        <v>2449</v>
      </c>
      <c r="H85" s="5"/>
      <c r="I85" s="5"/>
      <c r="J85" s="39">
        <v>4500000</v>
      </c>
      <c r="K85" s="26" t="s">
        <v>2519</v>
      </c>
    </row>
    <row r="86" spans="2:11" x14ac:dyDescent="0.25">
      <c r="F86" s="38">
        <v>44068</v>
      </c>
      <c r="G86" s="5" t="s">
        <v>2502</v>
      </c>
      <c r="H86" s="5"/>
      <c r="I86" s="5" t="s">
        <v>2503</v>
      </c>
      <c r="J86" s="39">
        <v>500000</v>
      </c>
      <c r="K86" s="26" t="s">
        <v>2521</v>
      </c>
    </row>
    <row r="87" spans="2:11" x14ac:dyDescent="0.25">
      <c r="F87" s="38">
        <v>44078</v>
      </c>
      <c r="G87" s="5" t="s">
        <v>2449</v>
      </c>
      <c r="H87" s="5"/>
      <c r="I87" s="5" t="s">
        <v>2477</v>
      </c>
      <c r="J87" s="39">
        <v>42869</v>
      </c>
      <c r="K87" s="26" t="s">
        <v>2528</v>
      </c>
    </row>
    <row r="88" spans="2:11" x14ac:dyDescent="0.25">
      <c r="F88" s="38">
        <v>44113</v>
      </c>
      <c r="G88" s="5" t="s">
        <v>2502</v>
      </c>
      <c r="H88" s="5"/>
      <c r="I88" s="5" t="s">
        <v>2503</v>
      </c>
      <c r="J88" s="39">
        <v>37500</v>
      </c>
      <c r="K88" s="26" t="s">
        <v>2520</v>
      </c>
    </row>
    <row r="89" spans="2:11" x14ac:dyDescent="0.25">
      <c r="F89" s="38">
        <v>44132</v>
      </c>
      <c r="G89" s="5" t="s">
        <v>2526</v>
      </c>
      <c r="H89" s="5"/>
      <c r="I89" s="5" t="s">
        <v>2527</v>
      </c>
      <c r="J89" s="39">
        <v>1000000</v>
      </c>
      <c r="K89" s="26" t="s">
        <v>2364</v>
      </c>
    </row>
    <row r="90" spans="2:11" x14ac:dyDescent="0.25">
      <c r="F90" s="38">
        <v>44133</v>
      </c>
      <c r="G90" s="5" t="s">
        <v>2502</v>
      </c>
      <c r="H90" s="5"/>
      <c r="I90" s="5" t="s">
        <v>2505</v>
      </c>
      <c r="J90" s="39">
        <v>298000</v>
      </c>
      <c r="K90" s="26" t="s">
        <v>2525</v>
      </c>
    </row>
    <row r="91" spans="2:11" x14ac:dyDescent="0.25">
      <c r="F91" s="38">
        <v>44134</v>
      </c>
      <c r="G91" s="5" t="s">
        <v>2502</v>
      </c>
      <c r="H91" s="5"/>
      <c r="I91" s="5" t="s">
        <v>2511</v>
      </c>
      <c r="J91" s="39">
        <v>30000</v>
      </c>
      <c r="K91" s="26" t="s">
        <v>2529</v>
      </c>
    </row>
    <row r="92" spans="2:11" x14ac:dyDescent="0.25">
      <c r="B92">
        <v>209</v>
      </c>
      <c r="C92" t="s">
        <v>69</v>
      </c>
      <c r="D92" t="s">
        <v>2422</v>
      </c>
      <c r="E92" t="s">
        <v>2359</v>
      </c>
    </row>
    <row r="93" spans="2:11" x14ac:dyDescent="0.25">
      <c r="B93">
        <v>213</v>
      </c>
      <c r="C93" t="s">
        <v>70</v>
      </c>
      <c r="D93" t="s">
        <v>2422</v>
      </c>
      <c r="E93" t="s">
        <v>2360</v>
      </c>
      <c r="F93" s="34">
        <v>43762</v>
      </c>
      <c r="G93" t="s">
        <v>2446</v>
      </c>
      <c r="I93" t="s">
        <v>2447</v>
      </c>
      <c r="J93" s="25">
        <v>10000</v>
      </c>
      <c r="K93" s="36" t="s">
        <v>2535</v>
      </c>
    </row>
    <row r="94" spans="2:11" x14ac:dyDescent="0.25">
      <c r="B94">
        <v>243</v>
      </c>
      <c r="C94" t="s">
        <v>78</v>
      </c>
      <c r="D94" t="s">
        <v>2420</v>
      </c>
      <c r="E94" t="s">
        <v>2359</v>
      </c>
      <c r="K94"/>
    </row>
    <row r="95" spans="2:11" x14ac:dyDescent="0.25">
      <c r="B95">
        <v>244</v>
      </c>
      <c r="C95" t="s">
        <v>78</v>
      </c>
      <c r="D95" t="s">
        <v>2422</v>
      </c>
      <c r="E95" t="s">
        <v>2359</v>
      </c>
    </row>
    <row r="96" spans="2:11" x14ac:dyDescent="0.25">
      <c r="B96">
        <v>255</v>
      </c>
      <c r="C96" t="s">
        <v>80</v>
      </c>
      <c r="D96" t="s">
        <v>2420</v>
      </c>
      <c r="E96" t="s">
        <v>2360</v>
      </c>
      <c r="F96" s="34">
        <v>44026</v>
      </c>
      <c r="G96" t="s">
        <v>2502</v>
      </c>
      <c r="I96" t="s">
        <v>2537</v>
      </c>
      <c r="J96" s="25">
        <v>5000</v>
      </c>
      <c r="K96" s="36" t="s">
        <v>2536</v>
      </c>
    </row>
    <row r="97" spans="2:11" x14ac:dyDescent="0.25">
      <c r="B97">
        <v>268</v>
      </c>
      <c r="C97" t="s">
        <v>82</v>
      </c>
      <c r="D97" t="s">
        <v>2420</v>
      </c>
      <c r="E97" t="s">
        <v>2359</v>
      </c>
      <c r="K97"/>
    </row>
    <row r="98" spans="2:11" x14ac:dyDescent="0.25">
      <c r="B98">
        <v>274</v>
      </c>
      <c r="C98" t="s">
        <v>85</v>
      </c>
      <c r="D98" t="s">
        <v>2420</v>
      </c>
      <c r="E98" t="s">
        <v>2359</v>
      </c>
      <c r="K98" s="26"/>
    </row>
    <row r="99" spans="2:11" x14ac:dyDescent="0.25">
      <c r="B99">
        <v>295</v>
      </c>
      <c r="C99" t="s">
        <v>90</v>
      </c>
      <c r="D99" t="s">
        <v>2538</v>
      </c>
      <c r="E99" t="s">
        <v>2359</v>
      </c>
      <c r="K99"/>
    </row>
    <row r="100" spans="2:11" x14ac:dyDescent="0.25">
      <c r="B100">
        <v>297</v>
      </c>
      <c r="C100" t="s">
        <v>91</v>
      </c>
      <c r="D100" t="s">
        <v>2420</v>
      </c>
      <c r="E100" t="s">
        <v>2359</v>
      </c>
      <c r="K100"/>
    </row>
    <row r="101" spans="2:11" x14ac:dyDescent="0.25">
      <c r="B101">
        <v>298</v>
      </c>
      <c r="C101" t="s">
        <v>91</v>
      </c>
      <c r="D101" t="s">
        <v>2422</v>
      </c>
      <c r="E101" t="s">
        <v>2359</v>
      </c>
      <c r="K101"/>
    </row>
    <row r="102" spans="2:11" x14ac:dyDescent="0.25">
      <c r="B102">
        <v>310</v>
      </c>
      <c r="C102" t="s">
        <v>94</v>
      </c>
      <c r="D102" t="s">
        <v>2539</v>
      </c>
      <c r="E102" t="s">
        <v>2360</v>
      </c>
      <c r="F102" s="34">
        <v>43808</v>
      </c>
      <c r="G102" t="s">
        <v>2449</v>
      </c>
      <c r="I102" t="s">
        <v>2473</v>
      </c>
      <c r="J102" s="25">
        <v>7368</v>
      </c>
      <c r="K102" s="26" t="s">
        <v>2540</v>
      </c>
    </row>
    <row r="103" spans="2:11" x14ac:dyDescent="0.25">
      <c r="B103">
        <v>325</v>
      </c>
      <c r="C103" t="s">
        <v>95</v>
      </c>
      <c r="D103" t="s">
        <v>2408</v>
      </c>
      <c r="E103" t="s">
        <v>2360</v>
      </c>
      <c r="F103" s="34">
        <v>44279</v>
      </c>
      <c r="G103" t="s">
        <v>2437</v>
      </c>
      <c r="I103" t="s">
        <v>2453</v>
      </c>
      <c r="J103" s="25">
        <v>40000</v>
      </c>
      <c r="K103" s="26" t="s">
        <v>2543</v>
      </c>
    </row>
    <row r="104" spans="2:11" x14ac:dyDescent="0.25">
      <c r="F104" s="34">
        <v>44301</v>
      </c>
      <c r="G104" t="s">
        <v>2446</v>
      </c>
      <c r="I104" t="s">
        <v>2447</v>
      </c>
      <c r="J104" s="25">
        <v>6962</v>
      </c>
      <c r="K104" s="26" t="s">
        <v>2544</v>
      </c>
    </row>
    <row r="105" spans="2:11" x14ac:dyDescent="0.25">
      <c r="B105">
        <v>326</v>
      </c>
      <c r="C105" t="s">
        <v>95</v>
      </c>
      <c r="D105" t="s">
        <v>2409</v>
      </c>
      <c r="E105" t="s">
        <v>2360</v>
      </c>
      <c r="F105" s="34">
        <v>43425</v>
      </c>
      <c r="G105" t="s">
        <v>2446</v>
      </c>
      <c r="I105" t="s">
        <v>2447</v>
      </c>
      <c r="J105" s="25">
        <v>5250</v>
      </c>
      <c r="K105" s="36" t="s">
        <v>2541</v>
      </c>
    </row>
    <row r="106" spans="2:11" x14ac:dyDescent="0.25">
      <c r="F106" s="34">
        <v>43572</v>
      </c>
      <c r="G106" t="s">
        <v>2437</v>
      </c>
      <c r="I106" t="s">
        <v>2453</v>
      </c>
      <c r="J106" s="25">
        <v>143070</v>
      </c>
      <c r="K106" s="36" t="s">
        <v>2542</v>
      </c>
    </row>
    <row r="107" spans="2:11" x14ac:dyDescent="0.25">
      <c r="B107">
        <v>333</v>
      </c>
      <c r="C107" t="s">
        <v>97</v>
      </c>
      <c r="D107" t="s">
        <v>2420</v>
      </c>
      <c r="E107" t="s">
        <v>2359</v>
      </c>
      <c r="K107"/>
    </row>
    <row r="108" spans="2:11" x14ac:dyDescent="0.25">
      <c r="B108">
        <v>358</v>
      </c>
      <c r="C108" t="s">
        <v>103</v>
      </c>
      <c r="D108">
        <v>2019</v>
      </c>
      <c r="E108" t="s">
        <v>2359</v>
      </c>
      <c r="K108"/>
    </row>
    <row r="109" spans="2:11" x14ac:dyDescent="0.25">
      <c r="B109">
        <v>366</v>
      </c>
      <c r="C109" t="s">
        <v>105</v>
      </c>
      <c r="D109">
        <v>2020</v>
      </c>
      <c r="E109" t="s">
        <v>2360</v>
      </c>
      <c r="F109" s="34">
        <v>44147</v>
      </c>
      <c r="G109" t="s">
        <v>2446</v>
      </c>
      <c r="I109" t="s">
        <v>2447</v>
      </c>
      <c r="J109" s="25">
        <v>13653</v>
      </c>
      <c r="K109" s="36" t="s">
        <v>2545</v>
      </c>
    </row>
    <row r="110" spans="2:11" x14ac:dyDescent="0.25">
      <c r="B110">
        <v>367</v>
      </c>
      <c r="C110" t="s">
        <v>105</v>
      </c>
      <c r="D110">
        <v>2019</v>
      </c>
      <c r="E110" t="s">
        <v>2360</v>
      </c>
      <c r="F110" s="34">
        <v>43525</v>
      </c>
      <c r="G110" t="s">
        <v>2446</v>
      </c>
      <c r="I110" t="s">
        <v>2447</v>
      </c>
      <c r="J110" s="25">
        <v>18480</v>
      </c>
      <c r="K110" s="26" t="s">
        <v>2546</v>
      </c>
    </row>
    <row r="111" spans="2:11" x14ac:dyDescent="0.25">
      <c r="F111" s="34">
        <v>43579</v>
      </c>
      <c r="G111" t="s">
        <v>2446</v>
      </c>
      <c r="I111" t="s">
        <v>2447</v>
      </c>
      <c r="J111" s="25">
        <v>13260</v>
      </c>
      <c r="K111" s="26" t="s">
        <v>2547</v>
      </c>
    </row>
    <row r="112" spans="2:11" x14ac:dyDescent="0.25">
      <c r="F112" s="34">
        <v>43705</v>
      </c>
      <c r="G112" t="s">
        <v>2446</v>
      </c>
      <c r="I112" t="s">
        <v>2447</v>
      </c>
      <c r="J112" s="25">
        <v>6394</v>
      </c>
      <c r="K112" s="26" t="s">
        <v>2548</v>
      </c>
    </row>
    <row r="113" spans="2:11" x14ac:dyDescent="0.25">
      <c r="B113">
        <v>372</v>
      </c>
      <c r="C113" t="s">
        <v>107</v>
      </c>
      <c r="D113" t="s">
        <v>2549</v>
      </c>
      <c r="E113" t="s">
        <v>2359</v>
      </c>
      <c r="K113"/>
    </row>
    <row r="114" spans="2:11" x14ac:dyDescent="0.25">
      <c r="B114">
        <v>379</v>
      </c>
      <c r="C114" t="s">
        <v>108</v>
      </c>
      <c r="D114">
        <v>2020</v>
      </c>
      <c r="E114" t="s">
        <v>2359</v>
      </c>
      <c r="J114" s="25">
        <v>286961</v>
      </c>
      <c r="K114" s="27" t="s">
        <v>2365</v>
      </c>
    </row>
    <row r="115" spans="2:11" x14ac:dyDescent="0.25">
      <c r="B115">
        <v>381</v>
      </c>
      <c r="C115" t="s">
        <v>109</v>
      </c>
      <c r="D115" t="s">
        <v>2550</v>
      </c>
      <c r="E115" t="s">
        <v>2360</v>
      </c>
      <c r="F115" s="34">
        <v>43501</v>
      </c>
      <c r="G115" t="s">
        <v>2437</v>
      </c>
      <c r="I115" t="s">
        <v>2453</v>
      </c>
      <c r="J115" s="25">
        <v>58376</v>
      </c>
      <c r="K115" s="36" t="s">
        <v>2573</v>
      </c>
    </row>
    <row r="116" spans="2:11" x14ac:dyDescent="0.25">
      <c r="F116" s="34">
        <v>43501</v>
      </c>
      <c r="G116" t="s">
        <v>2437</v>
      </c>
      <c r="I116" t="s">
        <v>2453</v>
      </c>
      <c r="J116" s="25">
        <v>5000</v>
      </c>
      <c r="K116" s="36" t="s">
        <v>2574</v>
      </c>
    </row>
    <row r="117" spans="2:11" x14ac:dyDescent="0.25">
      <c r="F117" s="34">
        <v>43501</v>
      </c>
      <c r="G117" t="s">
        <v>2437</v>
      </c>
      <c r="I117" t="s">
        <v>2453</v>
      </c>
      <c r="J117" s="25">
        <v>19760</v>
      </c>
      <c r="K117" s="36" t="s">
        <v>2575</v>
      </c>
    </row>
    <row r="118" spans="2:11" x14ac:dyDescent="0.25">
      <c r="F118" s="38">
        <v>43502</v>
      </c>
      <c r="G118" s="5" t="s">
        <v>2446</v>
      </c>
      <c r="H118" s="5"/>
      <c r="I118" s="5" t="s">
        <v>2447</v>
      </c>
      <c r="J118" s="39">
        <v>8353</v>
      </c>
      <c r="K118" s="36" t="s">
        <v>2557</v>
      </c>
    </row>
    <row r="119" spans="2:11" x14ac:dyDescent="0.25">
      <c r="F119" s="38">
        <v>43510</v>
      </c>
      <c r="G119" s="5" t="s">
        <v>2446</v>
      </c>
      <c r="H119" s="5"/>
      <c r="I119" s="5" t="s">
        <v>2447</v>
      </c>
      <c r="J119" s="39">
        <v>11366</v>
      </c>
      <c r="K119" s="36" t="s">
        <v>2558</v>
      </c>
    </row>
    <row r="120" spans="2:11" x14ac:dyDescent="0.25">
      <c r="F120" s="34">
        <v>43531</v>
      </c>
      <c r="G120" t="s">
        <v>2437</v>
      </c>
      <c r="I120" t="s">
        <v>2554</v>
      </c>
      <c r="J120" s="25">
        <v>17000</v>
      </c>
      <c r="K120" s="36" t="s">
        <v>2555</v>
      </c>
    </row>
    <row r="121" spans="2:11" x14ac:dyDescent="0.25">
      <c r="F121" s="38">
        <v>43538</v>
      </c>
      <c r="G121" s="5" t="s">
        <v>2446</v>
      </c>
      <c r="H121" s="5"/>
      <c r="I121" s="5" t="s">
        <v>2447</v>
      </c>
      <c r="J121" s="39">
        <v>5683</v>
      </c>
      <c r="K121" s="36" t="s">
        <v>2559</v>
      </c>
    </row>
    <row r="122" spans="2:11" x14ac:dyDescent="0.25">
      <c r="F122" s="38">
        <v>43544</v>
      </c>
      <c r="G122" s="5" t="s">
        <v>2446</v>
      </c>
      <c r="H122" s="5"/>
      <c r="I122" s="5" t="s">
        <v>2447</v>
      </c>
      <c r="J122" s="39">
        <v>12000</v>
      </c>
      <c r="K122" s="36" t="s">
        <v>2560</v>
      </c>
    </row>
    <row r="123" spans="2:11" x14ac:dyDescent="0.25">
      <c r="F123" s="38">
        <v>43552</v>
      </c>
      <c r="G123" s="5" t="s">
        <v>2446</v>
      </c>
      <c r="H123" s="5"/>
      <c r="I123" s="5" t="s">
        <v>2447</v>
      </c>
      <c r="J123" s="39">
        <v>14587</v>
      </c>
      <c r="K123" s="36" t="s">
        <v>2561</v>
      </c>
    </row>
    <row r="124" spans="2:11" x14ac:dyDescent="0.25">
      <c r="F124" s="38">
        <v>43559</v>
      </c>
      <c r="G124" s="5" t="s">
        <v>2446</v>
      </c>
      <c r="H124" s="5"/>
      <c r="I124" s="5" t="s">
        <v>2447</v>
      </c>
      <c r="J124" s="39">
        <v>30000</v>
      </c>
      <c r="K124" s="36" t="s">
        <v>2562</v>
      </c>
    </row>
    <row r="125" spans="2:11" x14ac:dyDescent="0.25">
      <c r="F125" s="38">
        <v>43577</v>
      </c>
      <c r="G125" s="5" t="s">
        <v>2446</v>
      </c>
      <c r="H125" s="5"/>
      <c r="I125" s="5" t="s">
        <v>2447</v>
      </c>
      <c r="J125" s="39">
        <v>5600</v>
      </c>
      <c r="K125" s="36" t="s">
        <v>2563</v>
      </c>
    </row>
    <row r="126" spans="2:11" x14ac:dyDescent="0.25">
      <c r="F126" s="38">
        <v>43602</v>
      </c>
      <c r="G126" s="5" t="s">
        <v>2446</v>
      </c>
      <c r="H126" s="5"/>
      <c r="I126" s="5" t="s">
        <v>2447</v>
      </c>
      <c r="J126" s="39">
        <v>6000</v>
      </c>
      <c r="K126" s="36" t="s">
        <v>2564</v>
      </c>
    </row>
    <row r="127" spans="2:11" x14ac:dyDescent="0.25">
      <c r="F127" s="38">
        <v>43606</v>
      </c>
      <c r="G127" s="5" t="s">
        <v>2446</v>
      </c>
      <c r="H127" s="5"/>
      <c r="I127" s="5" t="s">
        <v>2447</v>
      </c>
      <c r="J127" s="39">
        <v>5500</v>
      </c>
      <c r="K127" s="36" t="s">
        <v>2565</v>
      </c>
    </row>
    <row r="128" spans="2:11" x14ac:dyDescent="0.25">
      <c r="F128" s="38">
        <v>43613</v>
      </c>
      <c r="G128" s="5" t="s">
        <v>2446</v>
      </c>
      <c r="H128" s="5"/>
      <c r="I128" s="5" t="s">
        <v>2447</v>
      </c>
      <c r="J128" s="39">
        <v>13260</v>
      </c>
      <c r="K128" s="36" t="s">
        <v>2566</v>
      </c>
    </row>
    <row r="129" spans="2:11" x14ac:dyDescent="0.25">
      <c r="F129" s="38">
        <v>43636</v>
      </c>
      <c r="G129" s="5" t="s">
        <v>2446</v>
      </c>
      <c r="H129" s="5"/>
      <c r="I129" s="5" t="s">
        <v>2447</v>
      </c>
      <c r="J129" s="39">
        <v>6560</v>
      </c>
      <c r="K129" s="36" t="s">
        <v>2567</v>
      </c>
    </row>
    <row r="130" spans="2:11" x14ac:dyDescent="0.25">
      <c r="F130" s="38">
        <v>43639</v>
      </c>
      <c r="G130" s="5" t="s">
        <v>2446</v>
      </c>
      <c r="H130" s="5"/>
      <c r="I130" s="5" t="s">
        <v>2447</v>
      </c>
      <c r="J130" s="39">
        <v>49062</v>
      </c>
      <c r="K130" s="36" t="s">
        <v>2569</v>
      </c>
    </row>
    <row r="131" spans="2:11" x14ac:dyDescent="0.25">
      <c r="F131" s="38">
        <v>43641</v>
      </c>
      <c r="G131" s="5" t="s">
        <v>2446</v>
      </c>
      <c r="H131" s="5"/>
      <c r="I131" s="5" t="s">
        <v>2447</v>
      </c>
      <c r="J131" s="39">
        <v>9472</v>
      </c>
      <c r="K131" s="36" t="s">
        <v>2568</v>
      </c>
    </row>
    <row r="132" spans="2:11" x14ac:dyDescent="0.25">
      <c r="F132" s="34">
        <v>43669</v>
      </c>
      <c r="G132" t="s">
        <v>2431</v>
      </c>
      <c r="I132" t="s">
        <v>2433</v>
      </c>
      <c r="J132" s="25">
        <v>7000000</v>
      </c>
      <c r="K132" s="36" t="s">
        <v>2556</v>
      </c>
    </row>
    <row r="133" spans="2:11" x14ac:dyDescent="0.25">
      <c r="F133" s="38">
        <v>43742</v>
      </c>
      <c r="G133" s="5" t="s">
        <v>2446</v>
      </c>
      <c r="H133" s="5"/>
      <c r="I133" s="5" t="s">
        <v>2447</v>
      </c>
      <c r="J133" s="39">
        <v>9446</v>
      </c>
      <c r="K133" s="36" t="s">
        <v>2570</v>
      </c>
    </row>
    <row r="134" spans="2:11" x14ac:dyDescent="0.25">
      <c r="F134" s="38">
        <v>43746</v>
      </c>
      <c r="G134" s="5" t="s">
        <v>2446</v>
      </c>
      <c r="H134" s="5"/>
      <c r="I134" s="5" t="s">
        <v>2447</v>
      </c>
      <c r="J134" s="39">
        <v>18000</v>
      </c>
      <c r="K134" s="36" t="s">
        <v>2571</v>
      </c>
    </row>
    <row r="135" spans="2:11" x14ac:dyDescent="0.25">
      <c r="F135" s="38">
        <v>43748</v>
      </c>
      <c r="G135" s="5" t="s">
        <v>2446</v>
      </c>
      <c r="H135" s="5"/>
      <c r="I135" s="5" t="s">
        <v>2447</v>
      </c>
      <c r="J135" s="39">
        <v>25287</v>
      </c>
      <c r="K135" s="36" t="s">
        <v>2572</v>
      </c>
    </row>
    <row r="136" spans="2:11" x14ac:dyDescent="0.25">
      <c r="F136" s="34">
        <v>43833</v>
      </c>
      <c r="G136" t="s">
        <v>2526</v>
      </c>
      <c r="J136" s="25">
        <v>25000000</v>
      </c>
      <c r="K136" s="36" t="s">
        <v>2551</v>
      </c>
    </row>
    <row r="137" spans="2:11" x14ac:dyDescent="0.25">
      <c r="F137" s="38">
        <v>43834</v>
      </c>
      <c r="G137" s="5" t="s">
        <v>2446</v>
      </c>
      <c r="H137" s="5"/>
      <c r="I137" s="5" t="s">
        <v>2447</v>
      </c>
      <c r="J137" s="39">
        <v>40000</v>
      </c>
      <c r="K137" s="36" t="s">
        <v>2553</v>
      </c>
    </row>
    <row r="138" spans="2:11" x14ac:dyDescent="0.25">
      <c r="F138" s="38">
        <v>43851</v>
      </c>
      <c r="G138" s="5" t="s">
        <v>2446</v>
      </c>
      <c r="H138" s="5"/>
      <c r="I138" s="5" t="s">
        <v>2447</v>
      </c>
      <c r="J138" s="39">
        <v>39250</v>
      </c>
      <c r="K138" s="26" t="s">
        <v>2552</v>
      </c>
    </row>
    <row r="139" spans="2:11" x14ac:dyDescent="0.25">
      <c r="B139">
        <v>389</v>
      </c>
      <c r="C139" t="s">
        <v>110</v>
      </c>
      <c r="D139" t="s">
        <v>2420</v>
      </c>
      <c r="E139" t="s">
        <v>2359</v>
      </c>
    </row>
    <row r="140" spans="2:11" x14ac:dyDescent="0.25">
      <c r="B140">
        <v>390</v>
      </c>
      <c r="C140" t="s">
        <v>110</v>
      </c>
      <c r="D140" t="s">
        <v>2422</v>
      </c>
      <c r="E140" t="s">
        <v>2359</v>
      </c>
      <c r="K140"/>
    </row>
    <row r="141" spans="2:11" x14ac:dyDescent="0.25">
      <c r="B141">
        <v>399</v>
      </c>
      <c r="C141" t="s">
        <v>113</v>
      </c>
      <c r="D141" t="s">
        <v>2422</v>
      </c>
      <c r="E141" t="s">
        <v>2360</v>
      </c>
      <c r="F141" s="34">
        <v>43630</v>
      </c>
      <c r="G141" t="s">
        <v>2578</v>
      </c>
      <c r="I141" t="s">
        <v>2577</v>
      </c>
      <c r="J141" s="25">
        <v>14800000</v>
      </c>
      <c r="K141" s="36" t="s">
        <v>2576</v>
      </c>
    </row>
    <row r="142" spans="2:11" x14ac:dyDescent="0.25">
      <c r="F142" s="34">
        <v>43630</v>
      </c>
      <c r="G142" t="s">
        <v>2578</v>
      </c>
      <c r="I142" t="s">
        <v>2580</v>
      </c>
      <c r="J142" s="25">
        <v>2800000</v>
      </c>
      <c r="K142" s="36" t="s">
        <v>2579</v>
      </c>
    </row>
    <row r="143" spans="2:11" x14ac:dyDescent="0.25">
      <c r="B143">
        <v>406</v>
      </c>
      <c r="C143" t="s">
        <v>114</v>
      </c>
      <c r="D143" t="s">
        <v>2422</v>
      </c>
      <c r="E143" t="s">
        <v>2359</v>
      </c>
    </row>
    <row r="144" spans="2:11" x14ac:dyDescent="0.25">
      <c r="B144">
        <v>412</v>
      </c>
      <c r="C144" t="s">
        <v>115</v>
      </c>
      <c r="D144" t="s">
        <v>2420</v>
      </c>
      <c r="E144" t="s">
        <v>2359</v>
      </c>
      <c r="K144"/>
    </row>
    <row r="145" spans="2:11" x14ac:dyDescent="0.25">
      <c r="B145">
        <v>421</v>
      </c>
      <c r="C145" t="s">
        <v>118</v>
      </c>
      <c r="D145">
        <v>2019</v>
      </c>
      <c r="E145" t="s">
        <v>2359</v>
      </c>
    </row>
    <row r="146" spans="2:11" x14ac:dyDescent="0.25">
      <c r="B146">
        <v>436</v>
      </c>
      <c r="C146" t="s">
        <v>121</v>
      </c>
      <c r="D146" t="s">
        <v>2420</v>
      </c>
      <c r="E146" t="s">
        <v>2360</v>
      </c>
      <c r="F146" s="34">
        <v>43949</v>
      </c>
      <c r="G146" t="s">
        <v>2446</v>
      </c>
      <c r="I146" t="s">
        <v>2447</v>
      </c>
      <c r="J146" s="25">
        <v>9832</v>
      </c>
      <c r="K146" s="36" t="s">
        <v>2586</v>
      </c>
    </row>
    <row r="147" spans="2:11" x14ac:dyDescent="0.25">
      <c r="F147" s="38">
        <v>43955</v>
      </c>
      <c r="G147" s="5" t="s">
        <v>2581</v>
      </c>
      <c r="H147" s="5"/>
      <c r="I147" s="5" t="s">
        <v>2582</v>
      </c>
      <c r="J147" s="39">
        <v>3900000</v>
      </c>
      <c r="K147" s="36" t="s">
        <v>2583</v>
      </c>
    </row>
    <row r="148" spans="2:11" x14ac:dyDescent="0.25">
      <c r="F148" s="38">
        <v>43991</v>
      </c>
      <c r="G148" s="5" t="s">
        <v>2481</v>
      </c>
      <c r="H148" s="5"/>
      <c r="I148" s="5"/>
      <c r="J148" s="39">
        <v>35000000</v>
      </c>
      <c r="K148" s="36" t="s">
        <v>2585</v>
      </c>
    </row>
    <row r="149" spans="2:11" x14ac:dyDescent="0.25">
      <c r="F149" s="38">
        <v>44004</v>
      </c>
      <c r="G149" s="5" t="s">
        <v>2469</v>
      </c>
      <c r="H149" s="5"/>
      <c r="I149" s="5" t="s">
        <v>2865</v>
      </c>
      <c r="J149" s="39">
        <v>6315000</v>
      </c>
      <c r="K149" s="36" t="s">
        <v>2366</v>
      </c>
    </row>
    <row r="150" spans="2:11" x14ac:dyDescent="0.25">
      <c r="F150" s="34">
        <v>44117</v>
      </c>
      <c r="G150" t="s">
        <v>2449</v>
      </c>
      <c r="I150" t="s">
        <v>2531</v>
      </c>
      <c r="J150" s="25">
        <v>57488</v>
      </c>
      <c r="K150" s="36" t="s">
        <v>2584</v>
      </c>
    </row>
    <row r="151" spans="2:11" x14ac:dyDescent="0.25">
      <c r="F151" s="34">
        <v>44154</v>
      </c>
      <c r="G151" t="s">
        <v>2502</v>
      </c>
      <c r="I151" t="s">
        <v>2587</v>
      </c>
      <c r="J151" s="25">
        <v>150000</v>
      </c>
      <c r="K151" s="36" t="s">
        <v>2588</v>
      </c>
    </row>
    <row r="152" spans="2:11" x14ac:dyDescent="0.25">
      <c r="B152">
        <v>438</v>
      </c>
      <c r="C152" t="s">
        <v>122</v>
      </c>
      <c r="D152" t="s">
        <v>2441</v>
      </c>
      <c r="E152" t="s">
        <v>2359</v>
      </c>
      <c r="K152"/>
    </row>
    <row r="153" spans="2:11" x14ac:dyDescent="0.25">
      <c r="B153">
        <v>439</v>
      </c>
      <c r="C153" t="s">
        <v>122</v>
      </c>
      <c r="D153" t="s">
        <v>2417</v>
      </c>
      <c r="E153" t="s">
        <v>2359</v>
      </c>
      <c r="K153"/>
    </row>
    <row r="154" spans="2:11" x14ac:dyDescent="0.25">
      <c r="B154" s="32">
        <v>443</v>
      </c>
      <c r="C154" t="s">
        <v>123</v>
      </c>
      <c r="D154" t="s">
        <v>2420</v>
      </c>
      <c r="E154" t="s">
        <v>2360</v>
      </c>
      <c r="F154" s="34">
        <v>43839</v>
      </c>
      <c r="G154" t="s">
        <v>2488</v>
      </c>
      <c r="I154" t="s">
        <v>2462</v>
      </c>
      <c r="J154" s="25">
        <v>1822438</v>
      </c>
      <c r="K154" s="36" t="s">
        <v>2589</v>
      </c>
    </row>
    <row r="155" spans="2:11" x14ac:dyDescent="0.25">
      <c r="F155" s="38">
        <v>43899</v>
      </c>
      <c r="G155" s="5" t="s">
        <v>2488</v>
      </c>
      <c r="H155" s="5" t="s">
        <v>2868</v>
      </c>
      <c r="I155" s="5" t="s">
        <v>2591</v>
      </c>
      <c r="J155" s="39">
        <v>325000</v>
      </c>
      <c r="K155" s="36" t="s">
        <v>2590</v>
      </c>
    </row>
    <row r="156" spans="2:11" x14ac:dyDescent="0.25">
      <c r="F156" s="38">
        <v>44000</v>
      </c>
      <c r="G156" s="5" t="s">
        <v>2481</v>
      </c>
      <c r="H156" s="5" t="s">
        <v>2602</v>
      </c>
      <c r="I156" s="5"/>
      <c r="J156" s="39">
        <v>20833333</v>
      </c>
      <c r="K156" s="36" t="s">
        <v>2600</v>
      </c>
    </row>
    <row r="157" spans="2:11" x14ac:dyDescent="0.25">
      <c r="F157" s="34">
        <v>44026</v>
      </c>
      <c r="G157" t="s">
        <v>2449</v>
      </c>
      <c r="J157" s="25">
        <v>3750000</v>
      </c>
      <c r="K157" s="36" t="s">
        <v>2592</v>
      </c>
    </row>
    <row r="158" spans="2:11" x14ac:dyDescent="0.25">
      <c r="F158" s="38">
        <v>44091</v>
      </c>
      <c r="G158" s="5" t="s">
        <v>2481</v>
      </c>
      <c r="H158" s="5" t="s">
        <v>2608</v>
      </c>
      <c r="I158" s="5"/>
      <c r="J158" s="39">
        <v>1500000</v>
      </c>
      <c r="K158" s="36" t="s">
        <v>2607</v>
      </c>
    </row>
    <row r="159" spans="2:11" x14ac:dyDescent="0.25">
      <c r="F159" s="38">
        <v>44103</v>
      </c>
      <c r="G159" s="5" t="s">
        <v>2594</v>
      </c>
      <c r="H159" s="5" t="s">
        <v>2613</v>
      </c>
      <c r="I159" s="5" t="s">
        <v>2595</v>
      </c>
      <c r="J159" s="39">
        <v>920000000</v>
      </c>
      <c r="K159" s="36" t="s">
        <v>2593</v>
      </c>
    </row>
    <row r="160" spans="2:11" x14ac:dyDescent="0.25">
      <c r="F160" s="34">
        <v>44103</v>
      </c>
      <c r="G160" t="s">
        <v>2488</v>
      </c>
      <c r="I160" t="s">
        <v>2462</v>
      </c>
      <c r="J160" s="25">
        <v>35000000</v>
      </c>
      <c r="K160" s="36" t="s">
        <v>2599</v>
      </c>
    </row>
    <row r="161" spans="2:11" x14ac:dyDescent="0.25">
      <c r="F161" s="34">
        <v>44105</v>
      </c>
      <c r="G161" t="s">
        <v>2469</v>
      </c>
      <c r="H161" t="s">
        <v>2612</v>
      </c>
      <c r="J161" s="25">
        <v>62462000</v>
      </c>
      <c r="K161" s="36" t="s">
        <v>2611</v>
      </c>
    </row>
    <row r="162" spans="2:11" x14ac:dyDescent="0.25">
      <c r="F162" s="38">
        <v>44109</v>
      </c>
      <c r="G162" s="5" t="s">
        <v>2481</v>
      </c>
      <c r="H162" s="5" t="s">
        <v>2603</v>
      </c>
      <c r="I162" s="5"/>
      <c r="J162" s="39">
        <v>5000000</v>
      </c>
      <c r="K162" s="36" t="s">
        <v>2604</v>
      </c>
    </row>
    <row r="163" spans="2:11" x14ac:dyDescent="0.25">
      <c r="F163" s="34">
        <v>44126</v>
      </c>
      <c r="G163" t="s">
        <v>2469</v>
      </c>
      <c r="H163" t="s">
        <v>2610</v>
      </c>
      <c r="J163" s="25">
        <v>2500000</v>
      </c>
      <c r="K163" s="36" t="s">
        <v>2609</v>
      </c>
    </row>
    <row r="164" spans="2:11" x14ac:dyDescent="0.25">
      <c r="F164" s="34">
        <v>44137</v>
      </c>
      <c r="G164" t="s">
        <v>2442</v>
      </c>
      <c r="I164" t="s">
        <v>2443</v>
      </c>
      <c r="J164" s="25">
        <v>9000000</v>
      </c>
      <c r="K164" s="36" t="s">
        <v>2598</v>
      </c>
    </row>
    <row r="165" spans="2:11" x14ac:dyDescent="0.25">
      <c r="F165" s="34">
        <v>44159</v>
      </c>
      <c r="G165" t="s">
        <v>2486</v>
      </c>
      <c r="H165" t="s">
        <v>2869</v>
      </c>
      <c r="I165" t="s">
        <v>2597</v>
      </c>
      <c r="J165" s="25">
        <v>250000000</v>
      </c>
      <c r="K165" s="36" t="s">
        <v>2596</v>
      </c>
    </row>
    <row r="166" spans="2:11" x14ac:dyDescent="0.25">
      <c r="F166" s="38">
        <v>44181</v>
      </c>
      <c r="G166" s="5" t="s">
        <v>2481</v>
      </c>
      <c r="H166" s="5" t="s">
        <v>2606</v>
      </c>
      <c r="I166" s="5"/>
      <c r="J166" s="39">
        <v>6250000</v>
      </c>
      <c r="K166" s="36" t="s">
        <v>2605</v>
      </c>
    </row>
    <row r="167" spans="2:11" x14ac:dyDescent="0.25">
      <c r="B167">
        <v>447</v>
      </c>
      <c r="C167" t="s">
        <v>125</v>
      </c>
      <c r="D167" t="s">
        <v>2410</v>
      </c>
      <c r="E167" t="s">
        <v>2359</v>
      </c>
      <c r="K167"/>
    </row>
    <row r="168" spans="2:11" x14ac:dyDescent="0.25">
      <c r="B168">
        <v>448</v>
      </c>
      <c r="C168" t="s">
        <v>126</v>
      </c>
      <c r="D168" t="s">
        <v>2422</v>
      </c>
      <c r="E168" t="s">
        <v>2359</v>
      </c>
    </row>
    <row r="169" spans="2:11" x14ac:dyDescent="0.25">
      <c r="B169">
        <v>451</v>
      </c>
      <c r="C169" t="s">
        <v>127</v>
      </c>
      <c r="D169" t="s">
        <v>2614</v>
      </c>
      <c r="E169" t="s">
        <v>2359</v>
      </c>
      <c r="K169"/>
    </row>
    <row r="170" spans="2:11" x14ac:dyDescent="0.25">
      <c r="B170">
        <v>456</v>
      </c>
      <c r="C170" t="s">
        <v>128</v>
      </c>
      <c r="D170" t="s">
        <v>2420</v>
      </c>
      <c r="E170" t="s">
        <v>2360</v>
      </c>
      <c r="F170" s="34">
        <v>44013</v>
      </c>
      <c r="G170" t="s">
        <v>2442</v>
      </c>
      <c r="I170" t="s">
        <v>2443</v>
      </c>
      <c r="J170" s="25">
        <v>590000</v>
      </c>
      <c r="K170" s="36" t="s">
        <v>2615</v>
      </c>
    </row>
    <row r="171" spans="2:11" x14ac:dyDescent="0.25">
      <c r="F171" s="34">
        <v>44055</v>
      </c>
      <c r="G171" t="s">
        <v>2431</v>
      </c>
      <c r="I171" t="s">
        <v>2617</v>
      </c>
      <c r="J171" s="25">
        <v>6000</v>
      </c>
      <c r="K171" s="36" t="s">
        <v>2616</v>
      </c>
    </row>
    <row r="172" spans="2:11" x14ac:dyDescent="0.25">
      <c r="F172" s="34">
        <v>43964</v>
      </c>
      <c r="G172" t="s">
        <v>2446</v>
      </c>
      <c r="I172" t="s">
        <v>2447</v>
      </c>
      <c r="J172" s="25">
        <v>7000</v>
      </c>
      <c r="K172" s="36" t="s">
        <v>2618</v>
      </c>
    </row>
    <row r="173" spans="2:11" x14ac:dyDescent="0.25">
      <c r="B173">
        <v>465</v>
      </c>
      <c r="C173" t="s">
        <v>131</v>
      </c>
      <c r="D173">
        <v>2018</v>
      </c>
      <c r="E173" t="s">
        <v>2360</v>
      </c>
      <c r="F173" s="34">
        <v>43132</v>
      </c>
      <c r="G173" t="s">
        <v>2437</v>
      </c>
      <c r="I173" t="s">
        <v>2629</v>
      </c>
      <c r="J173" s="25">
        <v>34125</v>
      </c>
      <c r="K173" s="36" t="s">
        <v>2630</v>
      </c>
    </row>
    <row r="174" spans="2:11" x14ac:dyDescent="0.25">
      <c r="F174" s="34">
        <v>43152</v>
      </c>
      <c r="G174" t="s">
        <v>2437</v>
      </c>
      <c r="I174" t="s">
        <v>2629</v>
      </c>
      <c r="J174" s="25">
        <v>14200</v>
      </c>
      <c r="K174" s="36" t="s">
        <v>2628</v>
      </c>
    </row>
    <row r="175" spans="2:11" x14ac:dyDescent="0.25">
      <c r="F175" s="34">
        <v>43164</v>
      </c>
      <c r="G175" t="s">
        <v>2622</v>
      </c>
      <c r="I175" t="s">
        <v>2623</v>
      </c>
      <c r="J175" s="25">
        <v>6500</v>
      </c>
      <c r="K175" s="36" t="s">
        <v>2621</v>
      </c>
    </row>
    <row r="176" spans="2:11" x14ac:dyDescent="0.25">
      <c r="F176" s="34">
        <v>43168</v>
      </c>
      <c r="G176" t="s">
        <v>2437</v>
      </c>
      <c r="I176" t="s">
        <v>2620</v>
      </c>
      <c r="J176" s="25">
        <v>179099</v>
      </c>
      <c r="K176" s="36" t="s">
        <v>2619</v>
      </c>
    </row>
    <row r="177" spans="2:11" x14ac:dyDescent="0.25">
      <c r="F177" s="34">
        <v>43171</v>
      </c>
      <c r="G177" t="s">
        <v>2437</v>
      </c>
      <c r="I177" t="s">
        <v>2438</v>
      </c>
      <c r="J177" s="25">
        <v>10800</v>
      </c>
      <c r="K177" s="36" t="s">
        <v>2627</v>
      </c>
    </row>
    <row r="178" spans="2:11" x14ac:dyDescent="0.25">
      <c r="F178" s="34">
        <v>43238</v>
      </c>
      <c r="G178" t="s">
        <v>2437</v>
      </c>
      <c r="H178" t="s">
        <v>2633</v>
      </c>
      <c r="I178" t="s">
        <v>2453</v>
      </c>
      <c r="J178" s="25">
        <v>566599</v>
      </c>
      <c r="K178" s="36" t="s">
        <v>2632</v>
      </c>
    </row>
    <row r="179" spans="2:11" x14ac:dyDescent="0.25">
      <c r="F179" s="34">
        <v>43244</v>
      </c>
      <c r="G179" t="s">
        <v>2437</v>
      </c>
      <c r="I179" t="s">
        <v>2453</v>
      </c>
      <c r="J179" s="25">
        <v>250000</v>
      </c>
      <c r="K179" s="36" t="s">
        <v>2634</v>
      </c>
    </row>
    <row r="180" spans="2:11" x14ac:dyDescent="0.25">
      <c r="F180" s="34">
        <v>43340</v>
      </c>
      <c r="G180" t="s">
        <v>2437</v>
      </c>
      <c r="H180" t="s">
        <v>2625</v>
      </c>
      <c r="I180" t="s">
        <v>2626</v>
      </c>
      <c r="J180" s="25">
        <v>10400</v>
      </c>
      <c r="K180" s="36" t="s">
        <v>2624</v>
      </c>
    </row>
    <row r="181" spans="2:11" x14ac:dyDescent="0.25">
      <c r="F181" s="34">
        <v>43383</v>
      </c>
      <c r="G181" t="s">
        <v>2437</v>
      </c>
      <c r="H181" t="s">
        <v>2636</v>
      </c>
      <c r="I181" t="s">
        <v>2453</v>
      </c>
      <c r="J181" s="25">
        <v>39300</v>
      </c>
      <c r="K181" s="36" t="s">
        <v>2635</v>
      </c>
    </row>
    <row r="182" spans="2:11" x14ac:dyDescent="0.25">
      <c r="F182" s="34">
        <v>43433</v>
      </c>
      <c r="G182" t="s">
        <v>2446</v>
      </c>
      <c r="I182" t="s">
        <v>2447</v>
      </c>
      <c r="J182" s="25">
        <v>6630</v>
      </c>
      <c r="K182" s="36" t="s">
        <v>2631</v>
      </c>
    </row>
    <row r="183" spans="2:11" x14ac:dyDescent="0.25">
      <c r="B183">
        <v>472</v>
      </c>
      <c r="C183" t="s">
        <v>132</v>
      </c>
      <c r="D183" t="s">
        <v>2411</v>
      </c>
      <c r="E183" t="s">
        <v>2360</v>
      </c>
      <c r="F183" s="34">
        <v>43521</v>
      </c>
      <c r="G183" t="s">
        <v>2446</v>
      </c>
      <c r="I183" t="s">
        <v>2447</v>
      </c>
      <c r="J183" s="25">
        <v>8335</v>
      </c>
      <c r="K183" s="36" t="s">
        <v>2637</v>
      </c>
    </row>
    <row r="184" spans="2:11" x14ac:dyDescent="0.25">
      <c r="B184">
        <v>474</v>
      </c>
      <c r="C184" t="s">
        <v>133</v>
      </c>
      <c r="D184" t="s">
        <v>2459</v>
      </c>
      <c r="E184" t="s">
        <v>2359</v>
      </c>
      <c r="K184"/>
    </row>
    <row r="185" spans="2:11" x14ac:dyDescent="0.25">
      <c r="B185">
        <v>476</v>
      </c>
      <c r="C185" t="s">
        <v>134</v>
      </c>
      <c r="D185" t="s">
        <v>2638</v>
      </c>
      <c r="E185" t="s">
        <v>2359</v>
      </c>
    </row>
    <row r="186" spans="2:11" x14ac:dyDescent="0.25">
      <c r="B186">
        <v>478</v>
      </c>
      <c r="C186" t="s">
        <v>135</v>
      </c>
      <c r="D186" t="s">
        <v>2422</v>
      </c>
      <c r="E186" t="s">
        <v>2359</v>
      </c>
    </row>
    <row r="187" spans="2:11" x14ac:dyDescent="0.25">
      <c r="B187">
        <v>481</v>
      </c>
      <c r="C187" t="s">
        <v>136</v>
      </c>
      <c r="D187" t="s">
        <v>2420</v>
      </c>
      <c r="E187" t="s">
        <v>2360</v>
      </c>
      <c r="F187" s="34">
        <v>43861</v>
      </c>
      <c r="G187" t="s">
        <v>2446</v>
      </c>
      <c r="I187" t="s">
        <v>2447</v>
      </c>
      <c r="J187" s="25">
        <v>25425</v>
      </c>
      <c r="K187" s="26" t="s">
        <v>2639</v>
      </c>
    </row>
    <row r="188" spans="2:11" x14ac:dyDescent="0.25">
      <c r="F188" s="34">
        <v>44092</v>
      </c>
      <c r="G188" t="s">
        <v>2446</v>
      </c>
      <c r="I188" t="s">
        <v>2447</v>
      </c>
      <c r="J188" s="25">
        <v>8675</v>
      </c>
      <c r="K188" s="26" t="s">
        <v>2640</v>
      </c>
    </row>
    <row r="189" spans="2:11" x14ac:dyDescent="0.25">
      <c r="B189">
        <v>485</v>
      </c>
      <c r="C189" t="s">
        <v>137</v>
      </c>
      <c r="D189">
        <v>2020</v>
      </c>
      <c r="E189" t="s">
        <v>2359</v>
      </c>
    </row>
    <row r="190" spans="2:11" x14ac:dyDescent="0.25">
      <c r="B190">
        <v>488</v>
      </c>
      <c r="C190" t="s">
        <v>138</v>
      </c>
      <c r="D190">
        <v>2020</v>
      </c>
      <c r="E190" t="s">
        <v>2359</v>
      </c>
    </row>
    <row r="191" spans="2:11" x14ac:dyDescent="0.25">
      <c r="B191">
        <v>489</v>
      </c>
      <c r="C191" t="s">
        <v>139</v>
      </c>
      <c r="D191">
        <v>2020</v>
      </c>
      <c r="E191" t="s">
        <v>2360</v>
      </c>
      <c r="F191" s="34">
        <v>43845</v>
      </c>
      <c r="G191" t="s">
        <v>2642</v>
      </c>
      <c r="I191" t="s">
        <v>2626</v>
      </c>
      <c r="J191" s="25">
        <v>5400</v>
      </c>
      <c r="K191" s="36" t="s">
        <v>2641</v>
      </c>
    </row>
    <row r="192" spans="2:11" x14ac:dyDescent="0.25">
      <c r="B192">
        <v>493</v>
      </c>
      <c r="C192" t="s">
        <v>140</v>
      </c>
      <c r="D192" t="s">
        <v>2420</v>
      </c>
      <c r="E192" t="s">
        <v>2360</v>
      </c>
      <c r="F192" s="38">
        <v>44042</v>
      </c>
      <c r="G192" s="5" t="s">
        <v>2488</v>
      </c>
      <c r="H192" s="5"/>
      <c r="I192" s="5" t="s">
        <v>2643</v>
      </c>
      <c r="J192" s="39">
        <v>976000</v>
      </c>
      <c r="K192" s="36" t="s">
        <v>2368</v>
      </c>
    </row>
    <row r="193" spans="2:11" x14ac:dyDescent="0.25">
      <c r="B193" s="42">
        <v>494</v>
      </c>
      <c r="C193" t="s">
        <v>140</v>
      </c>
      <c r="D193" t="s">
        <v>2422</v>
      </c>
      <c r="E193" t="s">
        <v>2360</v>
      </c>
      <c r="F193" s="34">
        <v>43535</v>
      </c>
      <c r="G193" t="s">
        <v>2488</v>
      </c>
      <c r="I193" t="s">
        <v>2462</v>
      </c>
      <c r="J193" s="25">
        <v>9333516</v>
      </c>
      <c r="K193" s="36" t="s">
        <v>2644</v>
      </c>
    </row>
    <row r="194" spans="2:11" x14ac:dyDescent="0.25">
      <c r="F194" s="34">
        <v>43644</v>
      </c>
      <c r="G194" t="s">
        <v>2488</v>
      </c>
      <c r="H194" t="s">
        <v>2646</v>
      </c>
      <c r="I194" t="s">
        <v>2647</v>
      </c>
      <c r="J194" s="25">
        <v>25848000</v>
      </c>
      <c r="K194" s="36" t="s">
        <v>2645</v>
      </c>
    </row>
    <row r="195" spans="2:11" x14ac:dyDescent="0.25">
      <c r="F195" s="34">
        <v>43571</v>
      </c>
      <c r="G195" t="s">
        <v>2488</v>
      </c>
      <c r="H195" t="s">
        <v>2649</v>
      </c>
      <c r="I195" t="s">
        <v>2650</v>
      </c>
      <c r="J195" s="25">
        <v>499000</v>
      </c>
      <c r="K195" s="36" t="s">
        <v>2648</v>
      </c>
    </row>
    <row r="196" spans="2:11" x14ac:dyDescent="0.25">
      <c r="F196" s="34">
        <v>43487</v>
      </c>
      <c r="G196" t="s">
        <v>2488</v>
      </c>
      <c r="I196" t="s">
        <v>2652</v>
      </c>
      <c r="J196" s="25">
        <v>40000</v>
      </c>
      <c r="K196" s="36" t="s">
        <v>2651</v>
      </c>
    </row>
    <row r="197" spans="2:11" x14ac:dyDescent="0.25">
      <c r="F197" s="34">
        <v>43645</v>
      </c>
      <c r="G197" t="s">
        <v>2488</v>
      </c>
      <c r="H197" t="s">
        <v>2654</v>
      </c>
      <c r="I197" t="s">
        <v>2655</v>
      </c>
      <c r="J197" s="25">
        <v>1100000</v>
      </c>
      <c r="K197" s="36" t="s">
        <v>2653</v>
      </c>
    </row>
    <row r="198" spans="2:11" x14ac:dyDescent="0.25">
      <c r="F198" s="34">
        <v>43496</v>
      </c>
      <c r="G198" t="s">
        <v>2488</v>
      </c>
      <c r="I198" t="s">
        <v>2657</v>
      </c>
      <c r="J198" s="25">
        <v>499000</v>
      </c>
      <c r="K198" s="36" t="s">
        <v>2656</v>
      </c>
    </row>
    <row r="199" spans="2:11" x14ac:dyDescent="0.25">
      <c r="F199" s="34">
        <v>43510</v>
      </c>
      <c r="G199" t="s">
        <v>2488</v>
      </c>
      <c r="I199" t="s">
        <v>2659</v>
      </c>
      <c r="J199" s="25">
        <v>40000</v>
      </c>
      <c r="K199" s="36" t="s">
        <v>2658</v>
      </c>
    </row>
    <row r="200" spans="2:11" x14ac:dyDescent="0.25">
      <c r="F200" s="34">
        <v>43825</v>
      </c>
      <c r="G200" t="s">
        <v>2488</v>
      </c>
      <c r="H200" t="s">
        <v>2661</v>
      </c>
      <c r="I200" t="s">
        <v>2662</v>
      </c>
      <c r="J200" s="25">
        <v>280000</v>
      </c>
      <c r="K200" s="36" t="s">
        <v>2660</v>
      </c>
    </row>
    <row r="201" spans="2:11" x14ac:dyDescent="0.25">
      <c r="B201">
        <v>500</v>
      </c>
      <c r="C201" t="s">
        <v>142</v>
      </c>
      <c r="D201" t="s">
        <v>2420</v>
      </c>
      <c r="E201" t="s">
        <v>2360</v>
      </c>
      <c r="F201" s="34">
        <v>43852</v>
      </c>
      <c r="G201" t="s">
        <v>2442</v>
      </c>
      <c r="I201" t="s">
        <v>2497</v>
      </c>
      <c r="J201" s="25">
        <v>100000</v>
      </c>
      <c r="K201" s="30" t="s">
        <v>2663</v>
      </c>
    </row>
    <row r="202" spans="2:11" x14ac:dyDescent="0.25">
      <c r="F202" s="38">
        <v>43951</v>
      </c>
      <c r="G202" s="5" t="s">
        <v>2665</v>
      </c>
      <c r="H202" s="5" t="s">
        <v>2666</v>
      </c>
      <c r="I202" s="5" t="s">
        <v>2667</v>
      </c>
      <c r="J202" s="39">
        <v>88000000</v>
      </c>
      <c r="K202" s="30" t="s">
        <v>2664</v>
      </c>
    </row>
    <row r="203" spans="2:11" x14ac:dyDescent="0.25">
      <c r="F203" s="34">
        <v>44118</v>
      </c>
      <c r="G203" t="s">
        <v>2486</v>
      </c>
      <c r="H203" t="s">
        <v>2668</v>
      </c>
      <c r="I203" t="s">
        <v>2669</v>
      </c>
      <c r="J203" s="25">
        <v>546000</v>
      </c>
      <c r="K203" s="30" t="s">
        <v>2369</v>
      </c>
    </row>
    <row r="204" spans="2:11" x14ac:dyDescent="0.25">
      <c r="B204">
        <v>502</v>
      </c>
      <c r="C204" t="s">
        <v>144</v>
      </c>
      <c r="D204" t="s">
        <v>2412</v>
      </c>
      <c r="E204" t="s">
        <v>2360</v>
      </c>
      <c r="F204" s="38">
        <v>43208</v>
      </c>
      <c r="G204" s="5" t="s">
        <v>2442</v>
      </c>
      <c r="H204" s="5"/>
      <c r="I204" s="5" t="s">
        <v>2497</v>
      </c>
      <c r="J204" s="39">
        <v>75000</v>
      </c>
      <c r="K204" s="36" t="s">
        <v>2389</v>
      </c>
    </row>
    <row r="205" spans="2:11" x14ac:dyDescent="0.25">
      <c r="F205" s="38">
        <v>43220</v>
      </c>
      <c r="G205" s="5" t="s">
        <v>2446</v>
      </c>
      <c r="H205" s="5"/>
      <c r="I205" s="5" t="s">
        <v>2447</v>
      </c>
      <c r="J205" s="39">
        <v>5000</v>
      </c>
      <c r="K205" s="36" t="s">
        <v>2673</v>
      </c>
    </row>
    <row r="206" spans="2:11" x14ac:dyDescent="0.25">
      <c r="F206" s="38">
        <v>43230</v>
      </c>
      <c r="G206" s="5" t="s">
        <v>2446</v>
      </c>
      <c r="H206" s="5"/>
      <c r="I206" s="5" t="s">
        <v>2447</v>
      </c>
      <c r="J206" s="39">
        <v>6467</v>
      </c>
      <c r="K206" s="36" t="s">
        <v>2672</v>
      </c>
    </row>
    <row r="207" spans="2:11" x14ac:dyDescent="0.25">
      <c r="F207" s="38">
        <v>43378</v>
      </c>
      <c r="G207" s="5" t="s">
        <v>2446</v>
      </c>
      <c r="H207" s="5"/>
      <c r="I207" s="5" t="s">
        <v>2447</v>
      </c>
      <c r="J207" s="39">
        <v>14956</v>
      </c>
      <c r="K207" s="36" t="s">
        <v>2671</v>
      </c>
    </row>
    <row r="208" spans="2:11" x14ac:dyDescent="0.25">
      <c r="F208" s="38">
        <v>43388</v>
      </c>
      <c r="G208" s="5" t="s">
        <v>2446</v>
      </c>
      <c r="H208" s="5"/>
      <c r="I208" s="5" t="s">
        <v>2447</v>
      </c>
      <c r="J208" s="39">
        <v>9282</v>
      </c>
      <c r="K208" s="36" t="s">
        <v>2670</v>
      </c>
    </row>
    <row r="209" spans="2:11" x14ac:dyDescent="0.25">
      <c r="B209">
        <v>507</v>
      </c>
      <c r="C209" t="s">
        <v>145</v>
      </c>
      <c r="D209" t="s">
        <v>2420</v>
      </c>
      <c r="E209" t="s">
        <v>2359</v>
      </c>
      <c r="F209" s="34">
        <v>43836</v>
      </c>
      <c r="G209" t="s">
        <v>2622</v>
      </c>
      <c r="I209" t="s">
        <v>2623</v>
      </c>
      <c r="J209" s="25">
        <v>7500</v>
      </c>
      <c r="K209" s="28" t="s">
        <v>2687</v>
      </c>
    </row>
    <row r="210" spans="2:11" x14ac:dyDescent="0.25">
      <c r="F210" s="34">
        <v>43887</v>
      </c>
      <c r="G210" t="s">
        <v>2446</v>
      </c>
      <c r="I210" t="s">
        <v>2447</v>
      </c>
      <c r="J210" s="25">
        <v>119740</v>
      </c>
      <c r="K210" s="28" t="s">
        <v>2693</v>
      </c>
    </row>
    <row r="211" spans="2:11" x14ac:dyDescent="0.25">
      <c r="F211" s="34">
        <v>43895</v>
      </c>
      <c r="G211" t="s">
        <v>2456</v>
      </c>
      <c r="I211" t="s">
        <v>2457</v>
      </c>
      <c r="J211" s="25">
        <v>600000</v>
      </c>
      <c r="K211" s="28" t="s">
        <v>2674</v>
      </c>
    </row>
    <row r="212" spans="2:11" x14ac:dyDescent="0.25">
      <c r="F212" s="34">
        <v>43897</v>
      </c>
      <c r="G212" t="s">
        <v>2446</v>
      </c>
      <c r="I212" t="s">
        <v>2447</v>
      </c>
      <c r="J212" s="25">
        <v>38060</v>
      </c>
      <c r="K212" s="28" t="s">
        <v>2694</v>
      </c>
    </row>
    <row r="213" spans="2:11" x14ac:dyDescent="0.25">
      <c r="F213" s="34">
        <v>43923</v>
      </c>
      <c r="G213" t="s">
        <v>2437</v>
      </c>
      <c r="I213" t="s">
        <v>2438</v>
      </c>
      <c r="J213" s="25">
        <v>125563</v>
      </c>
      <c r="K213" s="28" t="s">
        <v>2685</v>
      </c>
    </row>
    <row r="214" spans="2:11" x14ac:dyDescent="0.25">
      <c r="F214" s="38">
        <v>43958</v>
      </c>
      <c r="G214" s="5" t="s">
        <v>2675</v>
      </c>
      <c r="H214" s="5"/>
      <c r="I214" s="5" t="s">
        <v>2676</v>
      </c>
      <c r="J214" s="39">
        <v>236602</v>
      </c>
      <c r="K214" s="28" t="s">
        <v>2370</v>
      </c>
    </row>
    <row r="215" spans="2:11" x14ac:dyDescent="0.25">
      <c r="F215" s="34">
        <v>43980</v>
      </c>
      <c r="G215" t="s">
        <v>2622</v>
      </c>
      <c r="I215" t="s">
        <v>2623</v>
      </c>
      <c r="J215" s="25">
        <v>7500</v>
      </c>
      <c r="K215" s="28" t="s">
        <v>2688</v>
      </c>
    </row>
    <row r="216" spans="2:11" x14ac:dyDescent="0.25">
      <c r="F216" s="34">
        <v>43980</v>
      </c>
      <c r="G216" t="s">
        <v>2622</v>
      </c>
      <c r="I216" t="s">
        <v>2623</v>
      </c>
      <c r="J216" s="25">
        <v>39500</v>
      </c>
      <c r="K216" s="28" t="s">
        <v>2689</v>
      </c>
    </row>
    <row r="217" spans="2:11" x14ac:dyDescent="0.25">
      <c r="F217" s="34">
        <v>44032</v>
      </c>
      <c r="G217" t="s">
        <v>2437</v>
      </c>
      <c r="I217" t="s">
        <v>2438</v>
      </c>
      <c r="J217" s="25">
        <v>31500</v>
      </c>
      <c r="K217" s="28" t="s">
        <v>2683</v>
      </c>
    </row>
    <row r="218" spans="2:11" x14ac:dyDescent="0.25">
      <c r="F218" s="34">
        <v>44032</v>
      </c>
      <c r="G218" t="s">
        <v>2437</v>
      </c>
      <c r="I218" t="s">
        <v>2438</v>
      </c>
      <c r="J218" s="25">
        <v>13125</v>
      </c>
      <c r="K218" s="28" t="s">
        <v>2684</v>
      </c>
    </row>
    <row r="219" spans="2:11" x14ac:dyDescent="0.25">
      <c r="F219" s="34">
        <v>44070</v>
      </c>
      <c r="G219" t="s">
        <v>2437</v>
      </c>
      <c r="I219" t="s">
        <v>2438</v>
      </c>
      <c r="J219" s="25">
        <v>11400</v>
      </c>
      <c r="K219" s="28" t="s">
        <v>2682</v>
      </c>
    </row>
    <row r="220" spans="2:11" x14ac:dyDescent="0.25">
      <c r="F220" s="34">
        <v>44119</v>
      </c>
      <c r="G220" t="s">
        <v>2678</v>
      </c>
      <c r="I220" t="s">
        <v>2462</v>
      </c>
      <c r="J220" s="25">
        <v>20000000</v>
      </c>
      <c r="K220" s="28" t="s">
        <v>2677</v>
      </c>
    </row>
    <row r="221" spans="2:11" x14ac:dyDescent="0.25">
      <c r="F221" s="34">
        <v>44131</v>
      </c>
      <c r="G221" t="s">
        <v>2437</v>
      </c>
      <c r="I221" t="s">
        <v>2438</v>
      </c>
      <c r="J221" s="25">
        <v>13125</v>
      </c>
      <c r="K221" s="28" t="s">
        <v>2691</v>
      </c>
    </row>
    <row r="222" spans="2:11" x14ac:dyDescent="0.25">
      <c r="F222" s="34">
        <v>44145</v>
      </c>
      <c r="G222" t="s">
        <v>2437</v>
      </c>
      <c r="I222" t="s">
        <v>2438</v>
      </c>
      <c r="J222" s="25">
        <v>10500</v>
      </c>
      <c r="K222" s="28" t="s">
        <v>2690</v>
      </c>
    </row>
    <row r="223" spans="2:11" x14ac:dyDescent="0.25">
      <c r="F223" s="34">
        <v>44147</v>
      </c>
      <c r="G223" t="s">
        <v>2437</v>
      </c>
      <c r="H223" t="s">
        <v>2680</v>
      </c>
      <c r="I223" t="s">
        <v>2681</v>
      </c>
      <c r="J223" s="25">
        <v>32250</v>
      </c>
      <c r="K223" s="28" t="s">
        <v>2679</v>
      </c>
    </row>
    <row r="224" spans="2:11" x14ac:dyDescent="0.25">
      <c r="F224" s="34">
        <v>44152</v>
      </c>
      <c r="G224" t="s">
        <v>2622</v>
      </c>
      <c r="I224" t="s">
        <v>2623</v>
      </c>
      <c r="J224" s="25">
        <v>8850</v>
      </c>
      <c r="K224" s="28" t="s">
        <v>2692</v>
      </c>
    </row>
    <row r="225" spans="2:11" x14ac:dyDescent="0.25">
      <c r="F225" s="34">
        <v>44181</v>
      </c>
      <c r="G225" t="s">
        <v>2449</v>
      </c>
      <c r="J225" s="25">
        <v>15250000</v>
      </c>
      <c r="K225" s="28" t="s">
        <v>2686</v>
      </c>
    </row>
    <row r="226" spans="2:11" x14ac:dyDescent="0.25">
      <c r="B226">
        <v>509</v>
      </c>
      <c r="C226" t="s">
        <v>146</v>
      </c>
      <c r="D226" t="s">
        <v>2422</v>
      </c>
      <c r="E226" t="s">
        <v>2360</v>
      </c>
      <c r="F226" s="38">
        <v>43564</v>
      </c>
      <c r="G226" s="5" t="s">
        <v>2449</v>
      </c>
      <c r="H226" s="5"/>
      <c r="I226" s="5"/>
      <c r="J226" s="39">
        <v>4168000</v>
      </c>
      <c r="K226" s="30" t="s">
        <v>2695</v>
      </c>
    </row>
    <row r="227" spans="2:11" x14ac:dyDescent="0.25">
      <c r="B227">
        <v>518</v>
      </c>
      <c r="C227" t="s">
        <v>147</v>
      </c>
      <c r="D227" t="s">
        <v>2420</v>
      </c>
      <c r="E227" t="s">
        <v>2360</v>
      </c>
      <c r="F227" s="34">
        <v>44168</v>
      </c>
      <c r="G227" t="s">
        <v>2437</v>
      </c>
      <c r="H227" t="s">
        <v>2697</v>
      </c>
      <c r="I227" t="s">
        <v>2698</v>
      </c>
      <c r="J227" s="25">
        <v>125000</v>
      </c>
      <c r="K227" s="36" t="s">
        <v>2696</v>
      </c>
    </row>
    <row r="228" spans="2:11" x14ac:dyDescent="0.25">
      <c r="B228">
        <v>521</v>
      </c>
      <c r="C228" t="s">
        <v>148</v>
      </c>
      <c r="D228" t="s">
        <v>2413</v>
      </c>
      <c r="E228" t="s">
        <v>2359</v>
      </c>
      <c r="K228"/>
    </row>
    <row r="229" spans="2:11" x14ac:dyDescent="0.25">
      <c r="B229">
        <v>522</v>
      </c>
      <c r="C229" t="s">
        <v>149</v>
      </c>
      <c r="D229" t="s">
        <v>2422</v>
      </c>
      <c r="E229" t="s">
        <v>2360</v>
      </c>
      <c r="F229" s="34">
        <v>43735</v>
      </c>
      <c r="G229" t="s">
        <v>2442</v>
      </c>
      <c r="I229" t="s">
        <v>2443</v>
      </c>
      <c r="J229" s="25">
        <v>289755</v>
      </c>
      <c r="K229" s="36" t="s">
        <v>2699</v>
      </c>
    </row>
    <row r="230" spans="2:11" x14ac:dyDescent="0.25">
      <c r="F230" s="34">
        <v>43802</v>
      </c>
      <c r="G230" t="s">
        <v>2442</v>
      </c>
      <c r="H230" t="s">
        <v>2701</v>
      </c>
      <c r="J230" s="25">
        <v>6200000</v>
      </c>
      <c r="K230" s="36" t="s">
        <v>2700</v>
      </c>
    </row>
    <row r="231" spans="2:11" x14ac:dyDescent="0.25">
      <c r="B231">
        <v>523</v>
      </c>
      <c r="C231" t="s">
        <v>149</v>
      </c>
      <c r="D231" t="s">
        <v>2434</v>
      </c>
      <c r="E231" t="s">
        <v>2359</v>
      </c>
      <c r="K231"/>
    </row>
    <row r="232" spans="2:11" x14ac:dyDescent="0.25">
      <c r="B232">
        <v>527</v>
      </c>
      <c r="C232" t="s">
        <v>150</v>
      </c>
      <c r="D232" t="s">
        <v>2420</v>
      </c>
      <c r="E232" t="s">
        <v>2359</v>
      </c>
      <c r="K232"/>
    </row>
    <row r="233" spans="2:11" x14ac:dyDescent="0.25">
      <c r="B233">
        <v>528</v>
      </c>
      <c r="C233" t="s">
        <v>150</v>
      </c>
      <c r="D233" t="s">
        <v>2422</v>
      </c>
      <c r="E233" t="s">
        <v>2360</v>
      </c>
      <c r="F233" s="38">
        <v>43493</v>
      </c>
      <c r="G233" s="5" t="s">
        <v>2502</v>
      </c>
      <c r="H233" s="5" t="s">
        <v>2703</v>
      </c>
      <c r="I233" s="5" t="s">
        <v>2704</v>
      </c>
      <c r="J233" s="39">
        <v>208750000</v>
      </c>
      <c r="K233" s="36" t="s">
        <v>2702</v>
      </c>
    </row>
    <row r="234" spans="2:11" x14ac:dyDescent="0.25">
      <c r="F234" s="34">
        <v>43696</v>
      </c>
      <c r="G234" t="s">
        <v>2502</v>
      </c>
      <c r="I234" t="s">
        <v>2706</v>
      </c>
      <c r="J234" s="25">
        <v>15000</v>
      </c>
      <c r="K234" s="36" t="s">
        <v>2705</v>
      </c>
    </row>
    <row r="235" spans="2:11" x14ac:dyDescent="0.25">
      <c r="F235" s="34">
        <v>43817</v>
      </c>
      <c r="G235" t="s">
        <v>2488</v>
      </c>
      <c r="I235" t="s">
        <v>2462</v>
      </c>
      <c r="J235" s="25">
        <v>10000000</v>
      </c>
      <c r="K235" s="36" t="s">
        <v>2390</v>
      </c>
    </row>
    <row r="236" spans="2:11" x14ac:dyDescent="0.25">
      <c r="B236">
        <v>530</v>
      </c>
      <c r="C236" t="s">
        <v>151</v>
      </c>
      <c r="D236" t="s">
        <v>2707</v>
      </c>
      <c r="E236" t="s">
        <v>2359</v>
      </c>
      <c r="K236"/>
    </row>
    <row r="237" spans="2:11" x14ac:dyDescent="0.25">
      <c r="B237">
        <v>532</v>
      </c>
      <c r="C237" t="s">
        <v>151</v>
      </c>
      <c r="D237" t="s">
        <v>2708</v>
      </c>
      <c r="E237" t="s">
        <v>2359</v>
      </c>
      <c r="K237" s="26"/>
    </row>
    <row r="238" spans="2:11" x14ac:dyDescent="0.25">
      <c r="B238">
        <v>535</v>
      </c>
      <c r="C238" t="s">
        <v>152</v>
      </c>
      <c r="D238" t="s">
        <v>2414</v>
      </c>
      <c r="E238" t="s">
        <v>2360</v>
      </c>
      <c r="F238" s="38">
        <v>43859</v>
      </c>
      <c r="G238" s="5" t="s">
        <v>2446</v>
      </c>
      <c r="H238" s="5"/>
      <c r="I238" s="5" t="s">
        <v>2447</v>
      </c>
      <c r="J238" s="39">
        <v>8096</v>
      </c>
      <c r="K238" s="26" t="s">
        <v>2371</v>
      </c>
    </row>
    <row r="239" spans="2:11" x14ac:dyDescent="0.25">
      <c r="B239">
        <v>539</v>
      </c>
      <c r="C239" t="s">
        <v>153</v>
      </c>
      <c r="D239">
        <v>2020</v>
      </c>
      <c r="E239" t="s">
        <v>2359</v>
      </c>
      <c r="F239" s="34">
        <v>43882</v>
      </c>
      <c r="G239" t="s">
        <v>2437</v>
      </c>
      <c r="I239" t="s">
        <v>2626</v>
      </c>
      <c r="J239" s="25">
        <v>11465</v>
      </c>
      <c r="K239" s="26" t="s">
        <v>2709</v>
      </c>
    </row>
    <row r="240" spans="2:11" x14ac:dyDescent="0.25">
      <c r="B240">
        <v>540</v>
      </c>
      <c r="C240" t="s">
        <v>153</v>
      </c>
      <c r="D240">
        <v>2019</v>
      </c>
      <c r="E240" t="s">
        <v>2359</v>
      </c>
      <c r="F240" s="34">
        <v>43598</v>
      </c>
      <c r="G240" t="s">
        <v>2449</v>
      </c>
      <c r="J240" s="25">
        <v>1500000</v>
      </c>
      <c r="K240" s="30" t="s">
        <v>2710</v>
      </c>
    </row>
    <row r="241" spans="2:11" x14ac:dyDescent="0.25">
      <c r="F241" s="34">
        <v>43658</v>
      </c>
      <c r="G241" t="s">
        <v>2437</v>
      </c>
      <c r="H241" t="s">
        <v>2715</v>
      </c>
      <c r="I241" t="s">
        <v>2626</v>
      </c>
      <c r="J241" s="25">
        <v>6816</v>
      </c>
      <c r="K241" s="30" t="s">
        <v>2714</v>
      </c>
    </row>
    <row r="242" spans="2:11" x14ac:dyDescent="0.25">
      <c r="F242" s="34">
        <v>43692</v>
      </c>
      <c r="G242" t="s">
        <v>2481</v>
      </c>
      <c r="H242" t="s">
        <v>2712</v>
      </c>
      <c r="I242" t="s">
        <v>2713</v>
      </c>
      <c r="J242" s="25">
        <v>8000000</v>
      </c>
      <c r="K242" s="30" t="s">
        <v>2711</v>
      </c>
    </row>
    <row r="243" spans="2:11" x14ac:dyDescent="0.25">
      <c r="F243" s="34">
        <v>43787</v>
      </c>
      <c r="G243" t="s">
        <v>2437</v>
      </c>
      <c r="I243" t="s">
        <v>2629</v>
      </c>
      <c r="J243" s="25">
        <v>6750</v>
      </c>
      <c r="K243" s="30" t="s">
        <v>2716</v>
      </c>
    </row>
    <row r="244" spans="2:11" x14ac:dyDescent="0.25">
      <c r="B244">
        <v>542</v>
      </c>
      <c r="C244" t="s">
        <v>154</v>
      </c>
      <c r="D244" t="s">
        <v>2434</v>
      </c>
      <c r="E244" t="s">
        <v>2360</v>
      </c>
      <c r="F244" s="38">
        <v>43340</v>
      </c>
      <c r="G244" s="5" t="s">
        <v>2488</v>
      </c>
      <c r="H244" s="5"/>
      <c r="I244" s="5" t="s">
        <v>2462</v>
      </c>
      <c r="J244" s="39">
        <v>15000000</v>
      </c>
      <c r="K244" s="26" t="s">
        <v>2391</v>
      </c>
    </row>
    <row r="245" spans="2:11" x14ac:dyDescent="0.25">
      <c r="B245">
        <v>558</v>
      </c>
      <c r="C245" t="s">
        <v>155</v>
      </c>
      <c r="D245">
        <v>2019</v>
      </c>
      <c r="E245" t="s">
        <v>2360</v>
      </c>
      <c r="F245" s="34">
        <v>43545</v>
      </c>
      <c r="G245" t="s">
        <v>2718</v>
      </c>
      <c r="I245" t="s">
        <v>2719</v>
      </c>
      <c r="J245" s="25">
        <v>10000</v>
      </c>
      <c r="K245" s="36" t="s">
        <v>2717</v>
      </c>
    </row>
    <row r="246" spans="2:11" x14ac:dyDescent="0.25">
      <c r="B246">
        <v>569</v>
      </c>
      <c r="C246" t="s">
        <v>159</v>
      </c>
      <c r="D246" t="s">
        <v>2420</v>
      </c>
      <c r="E246" t="s">
        <v>2359</v>
      </c>
      <c r="K246"/>
    </row>
    <row r="247" spans="2:11" x14ac:dyDescent="0.25">
      <c r="B247">
        <v>580</v>
      </c>
      <c r="C247" t="s">
        <v>161</v>
      </c>
      <c r="D247" t="s">
        <v>2420</v>
      </c>
      <c r="E247" t="s">
        <v>2359</v>
      </c>
      <c r="K247"/>
    </row>
    <row r="248" spans="2:11" x14ac:dyDescent="0.25">
      <c r="B248">
        <v>588</v>
      </c>
      <c r="C248" t="s">
        <v>163</v>
      </c>
      <c r="D248">
        <v>2019</v>
      </c>
      <c r="E248" t="s">
        <v>2359</v>
      </c>
      <c r="K248"/>
    </row>
    <row r="249" spans="2:11" x14ac:dyDescent="0.25">
      <c r="B249">
        <v>590</v>
      </c>
      <c r="C249" t="s">
        <v>164</v>
      </c>
      <c r="D249" t="s">
        <v>2720</v>
      </c>
      <c r="E249" t="s">
        <v>2359</v>
      </c>
      <c r="K249"/>
    </row>
    <row r="250" spans="2:11" x14ac:dyDescent="0.25">
      <c r="B250">
        <v>595</v>
      </c>
      <c r="C250" t="s">
        <v>165</v>
      </c>
      <c r="D250" t="s">
        <v>2420</v>
      </c>
      <c r="E250" t="s">
        <v>2360</v>
      </c>
      <c r="F250" s="34">
        <v>44182</v>
      </c>
      <c r="G250" t="s">
        <v>2437</v>
      </c>
      <c r="I250" t="s">
        <v>2453</v>
      </c>
      <c r="J250" s="25">
        <v>104545</v>
      </c>
      <c r="K250" s="26" t="s">
        <v>2721</v>
      </c>
    </row>
    <row r="251" spans="2:11" x14ac:dyDescent="0.25">
      <c r="B251">
        <v>596</v>
      </c>
      <c r="C251" t="s">
        <v>166</v>
      </c>
      <c r="D251">
        <v>2020</v>
      </c>
      <c r="E251" t="s">
        <v>2359</v>
      </c>
      <c r="K251"/>
    </row>
    <row r="252" spans="2:11" x14ac:dyDescent="0.25">
      <c r="B252">
        <v>599</v>
      </c>
      <c r="C252" t="s">
        <v>168</v>
      </c>
      <c r="D252">
        <v>2020</v>
      </c>
      <c r="E252" t="s">
        <v>2359</v>
      </c>
      <c r="K252"/>
    </row>
    <row r="253" spans="2:11" x14ac:dyDescent="0.25">
      <c r="B253">
        <v>601</v>
      </c>
      <c r="C253" t="s">
        <v>170</v>
      </c>
      <c r="D253" t="s">
        <v>2420</v>
      </c>
      <c r="E253" t="s">
        <v>2359</v>
      </c>
      <c r="K253"/>
    </row>
    <row r="254" spans="2:11" x14ac:dyDescent="0.25">
      <c r="B254">
        <v>603</v>
      </c>
      <c r="C254" t="s">
        <v>171</v>
      </c>
      <c r="D254" t="s">
        <v>2422</v>
      </c>
      <c r="E254" t="s">
        <v>2360</v>
      </c>
      <c r="F254" s="34">
        <v>43488</v>
      </c>
      <c r="G254" t="s">
        <v>2446</v>
      </c>
      <c r="I254" t="s">
        <v>2447</v>
      </c>
      <c r="J254" s="25">
        <v>6000</v>
      </c>
      <c r="K254" s="31" t="s">
        <v>2723</v>
      </c>
    </row>
    <row r="255" spans="2:11" x14ac:dyDescent="0.25">
      <c r="F255" s="34">
        <v>43500</v>
      </c>
      <c r="G255" t="s">
        <v>2437</v>
      </c>
      <c r="I255" t="s">
        <v>2438</v>
      </c>
      <c r="J255" s="25">
        <v>12000</v>
      </c>
      <c r="K255" s="31" t="s">
        <v>2722</v>
      </c>
    </row>
    <row r="256" spans="2:11" x14ac:dyDescent="0.25">
      <c r="F256" s="34">
        <v>43515</v>
      </c>
      <c r="G256" t="s">
        <v>2446</v>
      </c>
      <c r="I256" t="s">
        <v>2447</v>
      </c>
      <c r="J256" s="25">
        <v>8000</v>
      </c>
      <c r="K256" s="31" t="s">
        <v>2724</v>
      </c>
    </row>
    <row r="257" spans="2:11" x14ac:dyDescent="0.25">
      <c r="F257" s="34">
        <v>43559</v>
      </c>
      <c r="G257" t="s">
        <v>2446</v>
      </c>
      <c r="I257" t="s">
        <v>2447</v>
      </c>
      <c r="J257" s="25">
        <v>13640</v>
      </c>
      <c r="K257" s="31" t="s">
        <v>2725</v>
      </c>
    </row>
    <row r="258" spans="2:11" x14ac:dyDescent="0.25">
      <c r="F258" s="34">
        <v>43581</v>
      </c>
      <c r="G258" t="s">
        <v>2437</v>
      </c>
      <c r="I258" t="s">
        <v>2453</v>
      </c>
      <c r="J258" s="25">
        <v>155865</v>
      </c>
      <c r="K258" s="31" t="s">
        <v>2730</v>
      </c>
    </row>
    <row r="259" spans="2:11" x14ac:dyDescent="0.25">
      <c r="F259" s="34">
        <v>43635</v>
      </c>
      <c r="G259" t="s">
        <v>2446</v>
      </c>
      <c r="I259" t="s">
        <v>2447</v>
      </c>
      <c r="J259" s="25">
        <v>15000</v>
      </c>
      <c r="K259" s="31" t="s">
        <v>2726</v>
      </c>
    </row>
    <row r="260" spans="2:11" x14ac:dyDescent="0.25">
      <c r="F260" s="34">
        <v>43693</v>
      </c>
      <c r="G260" t="s">
        <v>2446</v>
      </c>
      <c r="I260" t="s">
        <v>2447</v>
      </c>
      <c r="J260" s="25">
        <v>5363</v>
      </c>
      <c r="K260" s="31" t="s">
        <v>2727</v>
      </c>
    </row>
    <row r="261" spans="2:11" x14ac:dyDescent="0.25">
      <c r="F261" s="34">
        <v>43704</v>
      </c>
      <c r="G261" t="s">
        <v>2446</v>
      </c>
      <c r="I261" t="s">
        <v>2447</v>
      </c>
      <c r="J261" s="25">
        <v>5398</v>
      </c>
      <c r="K261" s="31" t="s">
        <v>2728</v>
      </c>
    </row>
    <row r="262" spans="2:11" x14ac:dyDescent="0.25">
      <c r="F262" s="34">
        <v>43755</v>
      </c>
      <c r="G262" t="s">
        <v>2446</v>
      </c>
      <c r="I262" t="s">
        <v>2447</v>
      </c>
      <c r="J262" s="25">
        <v>10391</v>
      </c>
      <c r="K262" s="31" t="s">
        <v>2729</v>
      </c>
    </row>
    <row r="263" spans="2:11" x14ac:dyDescent="0.25">
      <c r="B263">
        <v>608</v>
      </c>
      <c r="C263" t="s">
        <v>174</v>
      </c>
      <c r="D263" t="s">
        <v>2420</v>
      </c>
      <c r="E263" t="s">
        <v>2360</v>
      </c>
      <c r="F263" s="38">
        <v>44099</v>
      </c>
      <c r="G263" s="5" t="s">
        <v>2469</v>
      </c>
      <c r="H263" s="5"/>
      <c r="I263" s="5" t="s">
        <v>2513</v>
      </c>
      <c r="J263" s="39">
        <v>20000</v>
      </c>
      <c r="K263" s="26" t="s">
        <v>2372</v>
      </c>
    </row>
    <row r="264" spans="2:11" x14ac:dyDescent="0.25">
      <c r="B264">
        <v>609</v>
      </c>
      <c r="C264" t="s">
        <v>174</v>
      </c>
      <c r="D264" t="s">
        <v>2422</v>
      </c>
      <c r="E264" t="s">
        <v>2359</v>
      </c>
    </row>
    <row r="265" spans="2:11" x14ac:dyDescent="0.25">
      <c r="B265">
        <v>616</v>
      </c>
      <c r="C265" t="s">
        <v>176</v>
      </c>
      <c r="D265" t="s">
        <v>2420</v>
      </c>
      <c r="E265" t="s">
        <v>2360</v>
      </c>
      <c r="F265" s="34">
        <v>43903</v>
      </c>
      <c r="G265" t="s">
        <v>2431</v>
      </c>
      <c r="H265" t="s">
        <v>2732</v>
      </c>
      <c r="I265" t="s">
        <v>2453</v>
      </c>
      <c r="J265" s="25">
        <v>195125</v>
      </c>
      <c r="K265" s="26" t="s">
        <v>2731</v>
      </c>
    </row>
    <row r="266" spans="2:11" x14ac:dyDescent="0.25">
      <c r="F266" s="34">
        <v>43909</v>
      </c>
      <c r="G266" t="s">
        <v>2446</v>
      </c>
      <c r="I266" t="s">
        <v>2447</v>
      </c>
      <c r="J266" s="25">
        <v>26988</v>
      </c>
      <c r="K266" s="26" t="s">
        <v>2736</v>
      </c>
    </row>
    <row r="267" spans="2:11" x14ac:dyDescent="0.25">
      <c r="F267" s="34">
        <v>43941</v>
      </c>
      <c r="G267" t="s">
        <v>2437</v>
      </c>
      <c r="H267" t="s">
        <v>2734</v>
      </c>
      <c r="I267" t="s">
        <v>2735</v>
      </c>
      <c r="J267" s="25">
        <v>9584</v>
      </c>
      <c r="K267" s="26" t="s">
        <v>2733</v>
      </c>
    </row>
    <row r="268" spans="2:11" x14ac:dyDescent="0.25">
      <c r="F268" s="34">
        <v>43977</v>
      </c>
      <c r="G268" t="s">
        <v>2446</v>
      </c>
      <c r="I268" t="s">
        <v>2447</v>
      </c>
      <c r="J268" s="25">
        <v>18000</v>
      </c>
      <c r="K268" s="26" t="s">
        <v>2737</v>
      </c>
    </row>
    <row r="269" spans="2:11" x14ac:dyDescent="0.25">
      <c r="F269" s="34">
        <v>44110</v>
      </c>
      <c r="G269" t="s">
        <v>2446</v>
      </c>
      <c r="I269" t="s">
        <v>2447</v>
      </c>
      <c r="J269" s="25">
        <v>6850</v>
      </c>
      <c r="K269" s="26" t="s">
        <v>2738</v>
      </c>
    </row>
    <row r="270" spans="2:11" x14ac:dyDescent="0.25">
      <c r="F270" s="34">
        <v>44186</v>
      </c>
      <c r="G270" t="s">
        <v>2446</v>
      </c>
      <c r="I270" t="s">
        <v>2447</v>
      </c>
      <c r="J270" s="25">
        <v>39010</v>
      </c>
      <c r="K270" s="26" t="s">
        <v>2739</v>
      </c>
    </row>
    <row r="271" spans="2:11" x14ac:dyDescent="0.25">
      <c r="B271">
        <v>619</v>
      </c>
      <c r="C271" t="s">
        <v>177</v>
      </c>
      <c r="D271" t="s">
        <v>2420</v>
      </c>
      <c r="E271" t="s">
        <v>2359</v>
      </c>
    </row>
    <row r="272" spans="2:11" x14ac:dyDescent="0.25">
      <c r="B272">
        <v>620</v>
      </c>
      <c r="C272" t="s">
        <v>177</v>
      </c>
      <c r="D272" t="s">
        <v>2422</v>
      </c>
      <c r="E272" t="s">
        <v>2359</v>
      </c>
      <c r="K272" s="26"/>
    </row>
    <row r="273" spans="2:11" x14ac:dyDescent="0.25">
      <c r="B273">
        <v>621</v>
      </c>
      <c r="C273" t="s">
        <v>177</v>
      </c>
      <c r="D273" t="s">
        <v>2434</v>
      </c>
      <c r="E273" t="s">
        <v>2359</v>
      </c>
    </row>
    <row r="274" spans="2:11" x14ac:dyDescent="0.25">
      <c r="B274">
        <v>622</v>
      </c>
      <c r="C274" t="s">
        <v>178</v>
      </c>
      <c r="D274" t="s">
        <v>2420</v>
      </c>
      <c r="E274" t="s">
        <v>2360</v>
      </c>
      <c r="F274" s="34">
        <v>43851</v>
      </c>
      <c r="G274" t="s">
        <v>2437</v>
      </c>
      <c r="I274" t="s">
        <v>2438</v>
      </c>
      <c r="J274" s="25">
        <v>26252</v>
      </c>
      <c r="K274" s="36" t="s">
        <v>2747</v>
      </c>
    </row>
    <row r="275" spans="2:11" x14ac:dyDescent="0.25">
      <c r="F275" s="34">
        <v>43853</v>
      </c>
      <c r="G275" t="s">
        <v>2446</v>
      </c>
      <c r="I275" t="s">
        <v>2447</v>
      </c>
      <c r="J275" s="25">
        <v>13494</v>
      </c>
      <c r="K275" s="36" t="s">
        <v>2743</v>
      </c>
    </row>
    <row r="276" spans="2:11" x14ac:dyDescent="0.25">
      <c r="F276" s="34">
        <v>43858</v>
      </c>
      <c r="G276" t="s">
        <v>2437</v>
      </c>
      <c r="I276" t="s">
        <v>2438</v>
      </c>
      <c r="J276" s="25">
        <v>5040</v>
      </c>
      <c r="K276" s="36" t="s">
        <v>2748</v>
      </c>
    </row>
    <row r="277" spans="2:11" x14ac:dyDescent="0.25">
      <c r="F277" s="34">
        <v>43878</v>
      </c>
      <c r="G277" t="s">
        <v>2437</v>
      </c>
      <c r="I277" t="s">
        <v>2753</v>
      </c>
      <c r="J277" s="25">
        <v>7500</v>
      </c>
      <c r="K277" s="36" t="s">
        <v>2752</v>
      </c>
    </row>
    <row r="278" spans="2:11" x14ac:dyDescent="0.25">
      <c r="F278" s="34">
        <v>43895</v>
      </c>
      <c r="G278" t="s">
        <v>2437</v>
      </c>
      <c r="I278" t="s">
        <v>2438</v>
      </c>
      <c r="J278" s="25">
        <v>9000</v>
      </c>
      <c r="K278" s="36" t="s">
        <v>2749</v>
      </c>
    </row>
    <row r="279" spans="2:11" x14ac:dyDescent="0.25">
      <c r="F279" s="34">
        <v>44047</v>
      </c>
      <c r="G279" t="s">
        <v>2437</v>
      </c>
      <c r="H279" t="s">
        <v>2745</v>
      </c>
      <c r="I279" t="s">
        <v>2746</v>
      </c>
      <c r="J279" s="25">
        <v>14000</v>
      </c>
      <c r="K279" s="36" t="s">
        <v>2744</v>
      </c>
    </row>
    <row r="280" spans="2:11" x14ac:dyDescent="0.25">
      <c r="F280" s="34">
        <v>44047</v>
      </c>
      <c r="G280" t="s">
        <v>2437</v>
      </c>
      <c r="I280" t="s">
        <v>2438</v>
      </c>
      <c r="J280" s="25">
        <v>19350</v>
      </c>
      <c r="K280" s="36" t="s">
        <v>2750</v>
      </c>
    </row>
    <row r="281" spans="2:11" x14ac:dyDescent="0.25">
      <c r="F281" s="34">
        <v>44063</v>
      </c>
      <c r="G281" t="s">
        <v>2741</v>
      </c>
      <c r="I281" t="s">
        <v>2742</v>
      </c>
      <c r="J281" s="25">
        <v>285000</v>
      </c>
      <c r="K281" s="36" t="s">
        <v>2740</v>
      </c>
    </row>
    <row r="282" spans="2:11" x14ac:dyDescent="0.25">
      <c r="F282" s="34">
        <v>44070</v>
      </c>
      <c r="G282" t="s">
        <v>2437</v>
      </c>
      <c r="I282" t="s">
        <v>2438</v>
      </c>
      <c r="J282" s="25">
        <v>15752</v>
      </c>
      <c r="K282" s="36" t="s">
        <v>2751</v>
      </c>
    </row>
    <row r="283" spans="2:11" x14ac:dyDescent="0.25">
      <c r="F283" s="34">
        <v>44187</v>
      </c>
      <c r="G283" t="s">
        <v>2437</v>
      </c>
      <c r="I283" t="s">
        <v>2753</v>
      </c>
      <c r="J283" s="25">
        <v>5000</v>
      </c>
      <c r="K283" s="36" t="s">
        <v>2754</v>
      </c>
    </row>
    <row r="284" spans="2:11" x14ac:dyDescent="0.25">
      <c r="B284">
        <v>628</v>
      </c>
      <c r="C284" t="s">
        <v>181</v>
      </c>
      <c r="D284" t="s">
        <v>2420</v>
      </c>
      <c r="E284" t="s">
        <v>2360</v>
      </c>
      <c r="F284" s="38">
        <v>43903</v>
      </c>
      <c r="G284" s="5" t="s">
        <v>2675</v>
      </c>
      <c r="H284" s="5"/>
      <c r="I284" s="5" t="s">
        <v>2453</v>
      </c>
      <c r="J284" s="39">
        <v>5925000</v>
      </c>
      <c r="K284" s="26" t="s">
        <v>2373</v>
      </c>
    </row>
    <row r="285" spans="2:11" x14ac:dyDescent="0.25">
      <c r="F285" s="34">
        <v>44138</v>
      </c>
      <c r="G285" t="s">
        <v>2437</v>
      </c>
      <c r="I285" t="s">
        <v>2756</v>
      </c>
      <c r="J285" s="25">
        <v>2500000</v>
      </c>
      <c r="K285" s="26" t="s">
        <v>2755</v>
      </c>
    </row>
    <row r="286" spans="2:11" x14ac:dyDescent="0.25">
      <c r="F286" s="34">
        <v>44018</v>
      </c>
      <c r="G286" t="s">
        <v>2437</v>
      </c>
      <c r="I286" t="s">
        <v>2438</v>
      </c>
      <c r="J286" s="25">
        <v>50000</v>
      </c>
      <c r="K286" s="26" t="s">
        <v>2757</v>
      </c>
    </row>
    <row r="287" spans="2:11" x14ac:dyDescent="0.25">
      <c r="F287" s="34">
        <v>43843</v>
      </c>
      <c r="G287" t="s">
        <v>2446</v>
      </c>
      <c r="I287" t="s">
        <v>2447</v>
      </c>
      <c r="J287" s="25">
        <v>7711</v>
      </c>
      <c r="K287" s="26" t="s">
        <v>2758</v>
      </c>
    </row>
    <row r="288" spans="2:11" x14ac:dyDescent="0.25">
      <c r="F288" s="34">
        <v>44018</v>
      </c>
      <c r="G288" t="s">
        <v>2437</v>
      </c>
      <c r="I288" t="s">
        <v>2453</v>
      </c>
      <c r="J288" s="25">
        <v>2400000</v>
      </c>
      <c r="K288" s="26" t="s">
        <v>2759</v>
      </c>
    </row>
    <row r="289" spans="2:11" x14ac:dyDescent="0.25">
      <c r="F289" s="34">
        <v>44118</v>
      </c>
      <c r="G289" t="s">
        <v>2437</v>
      </c>
      <c r="H289" t="s">
        <v>2761</v>
      </c>
      <c r="I289" t="s">
        <v>2453</v>
      </c>
      <c r="J289" s="25">
        <v>23950000</v>
      </c>
      <c r="K289" s="26" t="s">
        <v>2760</v>
      </c>
    </row>
    <row r="290" spans="2:11" x14ac:dyDescent="0.25">
      <c r="B290">
        <v>643</v>
      </c>
      <c r="C290" t="s">
        <v>186</v>
      </c>
      <c r="D290" t="s">
        <v>2420</v>
      </c>
      <c r="E290" t="s">
        <v>2359</v>
      </c>
      <c r="F290" s="34">
        <v>43880</v>
      </c>
      <c r="G290" t="s">
        <v>2502</v>
      </c>
      <c r="I290" t="s">
        <v>2763</v>
      </c>
      <c r="J290" s="25">
        <v>25000</v>
      </c>
      <c r="K290" s="36" t="s">
        <v>2762</v>
      </c>
    </row>
    <row r="291" spans="2:11" x14ac:dyDescent="0.25">
      <c r="F291" s="34">
        <v>44188</v>
      </c>
      <c r="G291" t="s">
        <v>2488</v>
      </c>
      <c r="I291" t="s">
        <v>2462</v>
      </c>
      <c r="J291" s="25">
        <v>18252341</v>
      </c>
      <c r="K291" s="36" t="s">
        <v>2764</v>
      </c>
    </row>
    <row r="292" spans="2:11" x14ac:dyDescent="0.25">
      <c r="B292">
        <v>644</v>
      </c>
      <c r="C292" t="s">
        <v>186</v>
      </c>
      <c r="D292" t="s">
        <v>2422</v>
      </c>
      <c r="E292" t="s">
        <v>2359</v>
      </c>
      <c r="F292" s="34">
        <v>43560</v>
      </c>
      <c r="G292" t="s">
        <v>2665</v>
      </c>
      <c r="J292" s="25">
        <v>9000000</v>
      </c>
      <c r="K292" s="36" t="s">
        <v>2765</v>
      </c>
    </row>
    <row r="293" spans="2:11" x14ac:dyDescent="0.25">
      <c r="F293" s="34">
        <v>43724</v>
      </c>
      <c r="G293" t="s">
        <v>2488</v>
      </c>
      <c r="H293" t="s">
        <v>2767</v>
      </c>
      <c r="I293" t="s">
        <v>2462</v>
      </c>
      <c r="J293" s="25">
        <v>32600000</v>
      </c>
      <c r="K293" s="36" t="s">
        <v>2766</v>
      </c>
    </row>
    <row r="294" spans="2:11" x14ac:dyDescent="0.25">
      <c r="F294" s="34">
        <v>43732</v>
      </c>
      <c r="G294" t="s">
        <v>2502</v>
      </c>
      <c r="H294" t="s">
        <v>2867</v>
      </c>
      <c r="I294" t="s">
        <v>2704</v>
      </c>
      <c r="J294" s="25">
        <v>49020</v>
      </c>
      <c r="K294" s="36" t="s">
        <v>2768</v>
      </c>
    </row>
    <row r="295" spans="2:11" x14ac:dyDescent="0.25">
      <c r="B295">
        <v>671</v>
      </c>
      <c r="C295" t="s">
        <v>193</v>
      </c>
      <c r="D295" t="s">
        <v>2434</v>
      </c>
      <c r="E295" t="s">
        <v>2359</v>
      </c>
    </row>
    <row r="296" spans="2:11" x14ac:dyDescent="0.25">
      <c r="B296">
        <v>676</v>
      </c>
      <c r="C296" t="s">
        <v>195</v>
      </c>
      <c r="D296">
        <v>2020</v>
      </c>
      <c r="E296" t="s">
        <v>2359</v>
      </c>
      <c r="K296"/>
    </row>
    <row r="297" spans="2:11" x14ac:dyDescent="0.25">
      <c r="B297">
        <v>677</v>
      </c>
      <c r="C297" t="s">
        <v>196</v>
      </c>
      <c r="D297" t="s">
        <v>2420</v>
      </c>
      <c r="E297" t="s">
        <v>2359</v>
      </c>
      <c r="K297"/>
    </row>
    <row r="298" spans="2:11" x14ac:dyDescent="0.25">
      <c r="B298">
        <v>679</v>
      </c>
      <c r="C298" t="s">
        <v>197</v>
      </c>
      <c r="D298">
        <v>2019</v>
      </c>
      <c r="E298" t="s">
        <v>2359</v>
      </c>
      <c r="K298"/>
    </row>
    <row r="299" spans="2:11" x14ac:dyDescent="0.25">
      <c r="B299">
        <v>682</v>
      </c>
      <c r="C299" t="s">
        <v>199</v>
      </c>
      <c r="D299" t="s">
        <v>2420</v>
      </c>
      <c r="E299" t="s">
        <v>2359</v>
      </c>
      <c r="K299"/>
    </row>
    <row r="300" spans="2:11" x14ac:dyDescent="0.25">
      <c r="B300">
        <v>684</v>
      </c>
      <c r="C300" t="s">
        <v>200</v>
      </c>
      <c r="D300" t="s">
        <v>2413</v>
      </c>
      <c r="E300" t="s">
        <v>2359</v>
      </c>
      <c r="K300"/>
    </row>
    <row r="301" spans="2:11" x14ac:dyDescent="0.25">
      <c r="B301">
        <v>710</v>
      </c>
      <c r="C301" t="s">
        <v>206</v>
      </c>
      <c r="D301" t="s">
        <v>2420</v>
      </c>
      <c r="E301" t="s">
        <v>2360</v>
      </c>
      <c r="F301" s="34">
        <v>44144</v>
      </c>
      <c r="G301" t="s">
        <v>2449</v>
      </c>
      <c r="I301" t="s">
        <v>2473</v>
      </c>
      <c r="J301" s="25">
        <v>49104</v>
      </c>
      <c r="K301" s="36" t="s">
        <v>2769</v>
      </c>
    </row>
    <row r="302" spans="2:11" x14ac:dyDescent="0.25">
      <c r="B302">
        <v>712</v>
      </c>
      <c r="C302" t="s">
        <v>207</v>
      </c>
      <c r="D302" t="s">
        <v>2420</v>
      </c>
      <c r="E302" t="s">
        <v>2359</v>
      </c>
      <c r="K302"/>
    </row>
    <row r="303" spans="2:11" x14ac:dyDescent="0.25">
      <c r="B303">
        <v>716</v>
      </c>
      <c r="C303" t="s">
        <v>209</v>
      </c>
      <c r="D303" t="s">
        <v>2420</v>
      </c>
      <c r="E303" t="s">
        <v>2360</v>
      </c>
      <c r="F303" s="34">
        <v>43840</v>
      </c>
      <c r="G303" t="s">
        <v>2771</v>
      </c>
      <c r="H303" t="s">
        <v>2772</v>
      </c>
      <c r="I303" t="s">
        <v>2773</v>
      </c>
      <c r="J303" s="25">
        <v>3920000</v>
      </c>
      <c r="K303" s="36" t="s">
        <v>2770</v>
      </c>
    </row>
    <row r="304" spans="2:11" x14ac:dyDescent="0.25">
      <c r="B304">
        <v>722</v>
      </c>
      <c r="C304" t="s">
        <v>210</v>
      </c>
      <c r="D304" t="s">
        <v>2420</v>
      </c>
      <c r="E304" t="s">
        <v>2359</v>
      </c>
    </row>
    <row r="305" spans="2:11" x14ac:dyDescent="0.25">
      <c r="B305">
        <v>739</v>
      </c>
      <c r="C305" t="s">
        <v>214</v>
      </c>
      <c r="D305" t="s">
        <v>2420</v>
      </c>
      <c r="E305" t="s">
        <v>2359</v>
      </c>
      <c r="K305" s="31"/>
    </row>
    <row r="306" spans="2:11" x14ac:dyDescent="0.25">
      <c r="B306">
        <v>742</v>
      </c>
      <c r="C306" t="s">
        <v>216</v>
      </c>
      <c r="D306" t="s">
        <v>2420</v>
      </c>
      <c r="E306" t="s">
        <v>2360</v>
      </c>
      <c r="F306" s="34">
        <v>43872</v>
      </c>
      <c r="G306" t="s">
        <v>2437</v>
      </c>
      <c r="I306" t="s">
        <v>2438</v>
      </c>
      <c r="J306" s="25">
        <v>5251</v>
      </c>
      <c r="K306" s="26" t="s">
        <v>2775</v>
      </c>
    </row>
    <row r="307" spans="2:11" x14ac:dyDescent="0.25">
      <c r="F307" s="34">
        <v>43889</v>
      </c>
      <c r="G307" t="s">
        <v>2437</v>
      </c>
      <c r="I307" t="s">
        <v>2438</v>
      </c>
      <c r="J307" s="25">
        <v>5640</v>
      </c>
      <c r="K307" s="26" t="s">
        <v>2776</v>
      </c>
    </row>
    <row r="308" spans="2:11" x14ac:dyDescent="0.25">
      <c r="F308" s="34">
        <v>44070</v>
      </c>
      <c r="G308" t="s">
        <v>2437</v>
      </c>
      <c r="I308" t="s">
        <v>2438</v>
      </c>
      <c r="J308" s="25">
        <v>25000</v>
      </c>
      <c r="K308" s="26" t="s">
        <v>2774</v>
      </c>
    </row>
    <row r="309" spans="2:11" x14ac:dyDescent="0.25">
      <c r="F309" s="34">
        <v>44096</v>
      </c>
      <c r="G309" t="s">
        <v>2437</v>
      </c>
      <c r="I309" t="s">
        <v>2438</v>
      </c>
      <c r="J309" s="25">
        <v>5100</v>
      </c>
      <c r="K309" s="26" t="s">
        <v>2778</v>
      </c>
    </row>
    <row r="310" spans="2:11" x14ac:dyDescent="0.25">
      <c r="F310" s="34">
        <v>44155</v>
      </c>
      <c r="G310" t="s">
        <v>2437</v>
      </c>
      <c r="I310" t="s">
        <v>2438</v>
      </c>
      <c r="J310" s="25">
        <v>10500</v>
      </c>
      <c r="K310" s="26" t="s">
        <v>2777</v>
      </c>
    </row>
    <row r="311" spans="2:11" x14ac:dyDescent="0.25">
      <c r="B311">
        <v>744</v>
      </c>
      <c r="C311" t="s">
        <v>217</v>
      </c>
      <c r="D311" t="s">
        <v>2411</v>
      </c>
      <c r="E311" t="s">
        <v>2360</v>
      </c>
      <c r="F311" s="38">
        <v>43511</v>
      </c>
      <c r="G311" s="5" t="s">
        <v>2446</v>
      </c>
      <c r="H311" s="5"/>
      <c r="I311" s="5" t="s">
        <v>2447</v>
      </c>
      <c r="J311" s="39">
        <v>10000</v>
      </c>
      <c r="K311" s="36" t="s">
        <v>2783</v>
      </c>
    </row>
    <row r="312" spans="2:11" x14ac:dyDescent="0.25">
      <c r="F312" s="38">
        <v>43558</v>
      </c>
      <c r="G312" s="5" t="s">
        <v>2446</v>
      </c>
      <c r="H312" s="5"/>
      <c r="I312" s="5" t="s">
        <v>2447</v>
      </c>
      <c r="J312" s="39">
        <v>19510</v>
      </c>
      <c r="K312" s="36" t="s">
        <v>2784</v>
      </c>
    </row>
    <row r="313" spans="2:11" x14ac:dyDescent="0.25">
      <c r="F313" s="38">
        <v>43593</v>
      </c>
      <c r="G313" s="5" t="s">
        <v>2446</v>
      </c>
      <c r="H313" s="5"/>
      <c r="I313" s="5" t="s">
        <v>2447</v>
      </c>
      <c r="J313" s="39">
        <v>113660</v>
      </c>
      <c r="K313" s="36" t="s">
        <v>2785</v>
      </c>
    </row>
    <row r="314" spans="2:11" x14ac:dyDescent="0.25">
      <c r="F314" s="38">
        <v>43633</v>
      </c>
      <c r="G314" s="5" t="s">
        <v>2446</v>
      </c>
      <c r="H314" s="5"/>
      <c r="I314" s="5" t="s">
        <v>2447</v>
      </c>
      <c r="J314" s="39">
        <v>10000</v>
      </c>
      <c r="K314" s="36" t="s">
        <v>2786</v>
      </c>
    </row>
    <row r="315" spans="2:11" x14ac:dyDescent="0.25">
      <c r="F315" s="38">
        <v>43643</v>
      </c>
      <c r="G315" s="5" t="s">
        <v>2446</v>
      </c>
      <c r="H315" s="5"/>
      <c r="I315" s="5" t="s">
        <v>2447</v>
      </c>
      <c r="J315" s="39">
        <v>6843</v>
      </c>
      <c r="K315" s="36" t="s">
        <v>2787</v>
      </c>
    </row>
    <row r="316" spans="2:11" x14ac:dyDescent="0.25">
      <c r="F316" s="38">
        <v>43656</v>
      </c>
      <c r="G316" s="5" t="s">
        <v>2446</v>
      </c>
      <c r="H316" s="5"/>
      <c r="I316" s="5" t="s">
        <v>2447</v>
      </c>
      <c r="J316" s="39">
        <v>60000</v>
      </c>
      <c r="K316" s="36" t="s">
        <v>2789</v>
      </c>
    </row>
    <row r="317" spans="2:11" x14ac:dyDescent="0.25">
      <c r="F317" s="38">
        <v>43662</v>
      </c>
      <c r="G317" s="5" t="s">
        <v>2446</v>
      </c>
      <c r="H317" s="5"/>
      <c r="I317" s="5" t="s">
        <v>2447</v>
      </c>
      <c r="J317" s="39">
        <v>48416</v>
      </c>
      <c r="K317" s="36" t="s">
        <v>2788</v>
      </c>
    </row>
    <row r="318" spans="2:11" x14ac:dyDescent="0.25">
      <c r="F318" s="38">
        <v>43665</v>
      </c>
      <c r="G318" s="5" t="s">
        <v>2446</v>
      </c>
      <c r="H318" s="5"/>
      <c r="I318" s="5" t="s">
        <v>2447</v>
      </c>
      <c r="J318" s="39">
        <v>95420</v>
      </c>
      <c r="K318" s="36" t="s">
        <v>2790</v>
      </c>
    </row>
    <row r="319" spans="2:11" x14ac:dyDescent="0.25">
      <c r="F319" s="38">
        <v>43689</v>
      </c>
      <c r="G319" s="5" t="s">
        <v>2446</v>
      </c>
      <c r="H319" s="5"/>
      <c r="I319" s="5" t="s">
        <v>2447</v>
      </c>
      <c r="J319" s="39">
        <v>67000</v>
      </c>
      <c r="K319" s="36" t="s">
        <v>2791</v>
      </c>
    </row>
    <row r="320" spans="2:11" x14ac:dyDescent="0.25">
      <c r="F320" s="38">
        <v>43689</v>
      </c>
      <c r="G320" s="5" t="s">
        <v>2446</v>
      </c>
      <c r="H320" s="5"/>
      <c r="I320" s="5" t="s">
        <v>2447</v>
      </c>
      <c r="J320" s="39">
        <v>8096</v>
      </c>
      <c r="K320" s="36" t="s">
        <v>2792</v>
      </c>
    </row>
    <row r="321" spans="1:11" x14ac:dyDescent="0.25">
      <c r="F321" s="38">
        <v>43704</v>
      </c>
      <c r="G321" s="5" t="s">
        <v>2446</v>
      </c>
      <c r="H321" s="5"/>
      <c r="I321" s="5" t="s">
        <v>2447</v>
      </c>
      <c r="J321" s="39">
        <v>28414</v>
      </c>
      <c r="K321" s="36" t="s">
        <v>2793</v>
      </c>
    </row>
    <row r="322" spans="1:11" x14ac:dyDescent="0.25">
      <c r="F322" s="38">
        <v>43767</v>
      </c>
      <c r="G322" s="5" t="s">
        <v>2442</v>
      </c>
      <c r="H322" s="5" t="s">
        <v>2779</v>
      </c>
      <c r="I322" s="5"/>
      <c r="J322" s="39">
        <v>3742500</v>
      </c>
      <c r="K322" s="36" t="s">
        <v>2374</v>
      </c>
    </row>
    <row r="323" spans="1:11" x14ac:dyDescent="0.25">
      <c r="F323" s="34">
        <v>43770</v>
      </c>
      <c r="G323" t="s">
        <v>2431</v>
      </c>
      <c r="I323" t="s">
        <v>2781</v>
      </c>
      <c r="J323" s="25">
        <v>221850</v>
      </c>
      <c r="K323" s="36" t="s">
        <v>2780</v>
      </c>
    </row>
    <row r="324" spans="1:11" x14ac:dyDescent="0.25">
      <c r="F324" s="38">
        <v>43784</v>
      </c>
      <c r="G324" s="5" t="s">
        <v>2446</v>
      </c>
      <c r="H324" s="5"/>
      <c r="I324" s="5" t="s">
        <v>2447</v>
      </c>
      <c r="J324" s="39">
        <v>5314</v>
      </c>
      <c r="K324" s="36" t="s">
        <v>2794</v>
      </c>
    </row>
    <row r="325" spans="1:11" x14ac:dyDescent="0.25">
      <c r="F325" s="38">
        <v>43789</v>
      </c>
      <c r="G325" s="5" t="s">
        <v>2446</v>
      </c>
      <c r="H325" s="5"/>
      <c r="I325" s="5" t="s">
        <v>2447</v>
      </c>
      <c r="J325" s="39">
        <v>57830</v>
      </c>
      <c r="K325" s="36" t="s">
        <v>2795</v>
      </c>
    </row>
    <row r="326" spans="1:11" x14ac:dyDescent="0.25">
      <c r="B326">
        <v>745</v>
      </c>
      <c r="C326" t="s">
        <v>217</v>
      </c>
      <c r="D326" t="s">
        <v>2415</v>
      </c>
      <c r="E326" t="s">
        <v>2360</v>
      </c>
      <c r="F326" s="38">
        <v>43234</v>
      </c>
      <c r="G326" s="5" t="s">
        <v>2442</v>
      </c>
      <c r="H326" s="5" t="s">
        <v>2796</v>
      </c>
      <c r="I326" s="5"/>
      <c r="J326" s="39">
        <v>3742500</v>
      </c>
      <c r="K326" s="26" t="s">
        <v>2375</v>
      </c>
    </row>
    <row r="327" spans="1:11" x14ac:dyDescent="0.25">
      <c r="F327" s="38">
        <v>43305</v>
      </c>
      <c r="G327" s="5" t="s">
        <v>2449</v>
      </c>
      <c r="H327" s="5"/>
      <c r="I327" s="5"/>
      <c r="J327" s="39">
        <v>9000000</v>
      </c>
      <c r="K327" s="26" t="s">
        <v>2797</v>
      </c>
    </row>
    <row r="328" spans="1:11" x14ac:dyDescent="0.25">
      <c r="F328" s="38">
        <v>43384</v>
      </c>
      <c r="G328" s="5" t="s">
        <v>2446</v>
      </c>
      <c r="H328" s="5"/>
      <c r="I328" s="5" t="s">
        <v>2447</v>
      </c>
      <c r="J328" s="39">
        <v>5683</v>
      </c>
      <c r="K328" s="26" t="s">
        <v>2807</v>
      </c>
    </row>
    <row r="329" spans="1:11" x14ac:dyDescent="0.25">
      <c r="F329" s="38">
        <v>43404</v>
      </c>
      <c r="G329" s="5" t="s">
        <v>2446</v>
      </c>
      <c r="H329" s="5"/>
      <c r="I329" s="5" t="s">
        <v>2447</v>
      </c>
      <c r="J329" s="39">
        <v>41674</v>
      </c>
      <c r="K329" s="26" t="s">
        <v>2808</v>
      </c>
    </row>
    <row r="330" spans="1:11" x14ac:dyDescent="0.25">
      <c r="F330" s="38">
        <v>43417</v>
      </c>
      <c r="G330" s="5" t="s">
        <v>2446</v>
      </c>
      <c r="H330" s="5"/>
      <c r="I330" s="5" t="s">
        <v>2447</v>
      </c>
      <c r="J330" s="39">
        <v>7956</v>
      </c>
      <c r="K330" s="26" t="s">
        <v>2809</v>
      </c>
    </row>
    <row r="331" spans="1:11" x14ac:dyDescent="0.25">
      <c r="F331" s="38">
        <v>43423</v>
      </c>
      <c r="G331" s="5" t="s">
        <v>2446</v>
      </c>
      <c r="H331" s="5"/>
      <c r="I331" s="5" t="s">
        <v>2447</v>
      </c>
      <c r="J331" s="39">
        <v>36465</v>
      </c>
      <c r="K331" s="26" t="s">
        <v>2810</v>
      </c>
    </row>
    <row r="332" spans="1:11" x14ac:dyDescent="0.25">
      <c r="F332" s="38">
        <v>43438</v>
      </c>
      <c r="G332" s="5" t="s">
        <v>2446</v>
      </c>
      <c r="H332" s="5"/>
      <c r="I332" s="5" t="s">
        <v>2447</v>
      </c>
      <c r="J332" s="39">
        <v>6000</v>
      </c>
      <c r="K332" s="26" t="s">
        <v>2811</v>
      </c>
    </row>
    <row r="333" spans="1:11" x14ac:dyDescent="0.25">
      <c r="F333" s="34">
        <v>43439</v>
      </c>
      <c r="G333" t="s">
        <v>2437</v>
      </c>
      <c r="H333" t="s">
        <v>2805</v>
      </c>
      <c r="I333" t="s">
        <v>2806</v>
      </c>
      <c r="J333" s="25">
        <v>7400000</v>
      </c>
      <c r="K333" s="26" t="s">
        <v>2803</v>
      </c>
    </row>
    <row r="334" spans="1:11" x14ac:dyDescent="0.25">
      <c r="F334" s="34">
        <v>43445</v>
      </c>
      <c r="G334" t="s">
        <v>2578</v>
      </c>
      <c r="H334" t="s">
        <v>2799</v>
      </c>
      <c r="I334" t="s">
        <v>2800</v>
      </c>
      <c r="J334" s="25">
        <v>3000000</v>
      </c>
      <c r="K334" s="26" t="s">
        <v>2798</v>
      </c>
    </row>
    <row r="335" spans="1:11" x14ac:dyDescent="0.25">
      <c r="A335">
        <v>1</v>
      </c>
      <c r="F335" s="34">
        <v>43445</v>
      </c>
      <c r="G335" t="s">
        <v>2578</v>
      </c>
      <c r="H335" t="s">
        <v>2801</v>
      </c>
      <c r="I335" t="s">
        <v>2477</v>
      </c>
      <c r="J335" s="25">
        <v>3000000</v>
      </c>
      <c r="K335" s="26" t="s">
        <v>2802</v>
      </c>
    </row>
    <row r="336" spans="1:11" x14ac:dyDescent="0.25">
      <c r="F336" s="38">
        <v>43446</v>
      </c>
      <c r="G336" s="5" t="s">
        <v>2446</v>
      </c>
      <c r="H336" s="5"/>
      <c r="I336" s="5" t="s">
        <v>2447</v>
      </c>
      <c r="J336" s="39">
        <v>10500</v>
      </c>
      <c r="K336" s="26" t="s">
        <v>2812</v>
      </c>
    </row>
    <row r="337" spans="2:11" x14ac:dyDescent="0.25">
      <c r="F337" s="38">
        <v>43453</v>
      </c>
      <c r="G337" s="5" t="s">
        <v>2446</v>
      </c>
      <c r="H337" s="5"/>
      <c r="I337" s="5" t="s">
        <v>2447</v>
      </c>
      <c r="J337" s="39">
        <v>9701</v>
      </c>
      <c r="K337" s="26" t="s">
        <v>2813</v>
      </c>
    </row>
    <row r="338" spans="2:11" x14ac:dyDescent="0.25">
      <c r="F338" s="38">
        <v>43455</v>
      </c>
      <c r="G338" s="5" t="s">
        <v>2446</v>
      </c>
      <c r="H338" s="5"/>
      <c r="I338" s="5" t="s">
        <v>2447</v>
      </c>
      <c r="J338" s="39">
        <v>64000</v>
      </c>
      <c r="K338" s="26" t="s">
        <v>2814</v>
      </c>
    </row>
    <row r="339" spans="2:11" x14ac:dyDescent="0.25">
      <c r="F339" s="38">
        <v>43473</v>
      </c>
      <c r="G339" s="5" t="s">
        <v>2446</v>
      </c>
      <c r="H339" s="5"/>
      <c r="I339" s="5" t="s">
        <v>2447</v>
      </c>
      <c r="J339" s="39">
        <v>8335</v>
      </c>
      <c r="K339" s="26" t="s">
        <v>2782</v>
      </c>
    </row>
    <row r="340" spans="2:11" x14ac:dyDescent="0.25">
      <c r="B340">
        <v>746</v>
      </c>
      <c r="C340" t="s">
        <v>218</v>
      </c>
      <c r="D340" t="s">
        <v>2420</v>
      </c>
      <c r="E340" t="s">
        <v>2360</v>
      </c>
      <c r="F340" s="34">
        <v>43845</v>
      </c>
      <c r="G340" t="s">
        <v>2446</v>
      </c>
      <c r="H340" t="s">
        <v>2804</v>
      </c>
      <c r="I340" t="s">
        <v>2447</v>
      </c>
      <c r="J340" s="25">
        <v>6075</v>
      </c>
      <c r="K340" s="36" t="s">
        <v>2815</v>
      </c>
    </row>
    <row r="341" spans="2:11" x14ac:dyDescent="0.25">
      <c r="B341">
        <v>748</v>
      </c>
      <c r="C341" t="s">
        <v>218</v>
      </c>
      <c r="D341" t="s">
        <v>2434</v>
      </c>
      <c r="E341" t="s">
        <v>2360</v>
      </c>
      <c r="F341" s="34">
        <v>43180</v>
      </c>
      <c r="G341" t="s">
        <v>2446</v>
      </c>
      <c r="H341" t="s">
        <v>2804</v>
      </c>
      <c r="I341" t="s">
        <v>2447</v>
      </c>
      <c r="J341" s="25">
        <v>5115</v>
      </c>
      <c r="K341" s="36" t="s">
        <v>2816</v>
      </c>
    </row>
    <row r="342" spans="2:11" x14ac:dyDescent="0.25">
      <c r="B342">
        <v>750</v>
      </c>
      <c r="C342" t="s">
        <v>219</v>
      </c>
      <c r="D342">
        <v>2020</v>
      </c>
      <c r="E342" t="s">
        <v>2359</v>
      </c>
      <c r="K342"/>
    </row>
    <row r="343" spans="2:11" x14ac:dyDescent="0.25">
      <c r="B343">
        <v>752</v>
      </c>
      <c r="C343" t="s">
        <v>220</v>
      </c>
      <c r="D343" t="s">
        <v>2420</v>
      </c>
      <c r="E343" t="s">
        <v>2359</v>
      </c>
      <c r="K343" s="26"/>
    </row>
    <row r="344" spans="2:11" x14ac:dyDescent="0.25">
      <c r="B344">
        <v>753</v>
      </c>
      <c r="C344" t="s">
        <v>221</v>
      </c>
      <c r="D344" t="s">
        <v>2817</v>
      </c>
      <c r="E344" t="s">
        <v>2359</v>
      </c>
      <c r="K344"/>
    </row>
    <row r="345" spans="2:11" x14ac:dyDescent="0.25">
      <c r="B345">
        <v>756</v>
      </c>
      <c r="C345" t="s">
        <v>223</v>
      </c>
      <c r="D345" t="s">
        <v>2422</v>
      </c>
      <c r="E345" t="s">
        <v>2360</v>
      </c>
      <c r="F345" s="34">
        <v>43481</v>
      </c>
      <c r="G345" t="s">
        <v>2446</v>
      </c>
      <c r="I345" t="s">
        <v>2447</v>
      </c>
      <c r="J345" s="25">
        <v>5683</v>
      </c>
      <c r="K345" s="36" t="s">
        <v>2376</v>
      </c>
    </row>
    <row r="346" spans="2:11" x14ac:dyDescent="0.25">
      <c r="B346">
        <v>760</v>
      </c>
      <c r="C346" t="s">
        <v>224</v>
      </c>
      <c r="D346" t="s">
        <v>2420</v>
      </c>
      <c r="E346" t="s">
        <v>2360</v>
      </c>
      <c r="F346" s="34">
        <v>43937</v>
      </c>
      <c r="G346" t="s">
        <v>2502</v>
      </c>
      <c r="I346" t="s">
        <v>2505</v>
      </c>
      <c r="J346" s="25">
        <v>6000</v>
      </c>
      <c r="K346" s="26" t="s">
        <v>2818</v>
      </c>
    </row>
    <row r="347" spans="2:11" x14ac:dyDescent="0.25">
      <c r="F347" s="34">
        <v>43941</v>
      </c>
      <c r="G347" t="s">
        <v>2502</v>
      </c>
      <c r="I347" t="s">
        <v>2509</v>
      </c>
      <c r="J347" s="25">
        <v>49500</v>
      </c>
      <c r="K347" s="26" t="s">
        <v>2819</v>
      </c>
    </row>
    <row r="348" spans="2:11" x14ac:dyDescent="0.25">
      <c r="F348" s="34">
        <v>44043</v>
      </c>
      <c r="G348" t="s">
        <v>2502</v>
      </c>
      <c r="H348" t="s">
        <v>2821</v>
      </c>
      <c r="I348" t="s">
        <v>2518</v>
      </c>
      <c r="J348" s="25">
        <v>10000</v>
      </c>
      <c r="K348" s="26" t="s">
        <v>2820</v>
      </c>
    </row>
    <row r="349" spans="2:11" x14ac:dyDescent="0.25">
      <c r="B349">
        <v>761</v>
      </c>
      <c r="C349" t="s">
        <v>224</v>
      </c>
      <c r="D349" t="s">
        <v>2422</v>
      </c>
      <c r="E349" t="s">
        <v>2360</v>
      </c>
      <c r="F349" s="34">
        <v>43700</v>
      </c>
      <c r="G349" t="s">
        <v>2502</v>
      </c>
      <c r="I349" t="s">
        <v>2513</v>
      </c>
      <c r="J349" s="25">
        <v>10000</v>
      </c>
      <c r="K349" s="36" t="s">
        <v>2392</v>
      </c>
    </row>
    <row r="350" spans="2:11" x14ac:dyDescent="0.25">
      <c r="F350" s="34">
        <v>43711</v>
      </c>
      <c r="G350" t="s">
        <v>2502</v>
      </c>
      <c r="H350" t="s">
        <v>2821</v>
      </c>
      <c r="I350" t="s">
        <v>2518</v>
      </c>
      <c r="J350" s="25">
        <v>20000</v>
      </c>
      <c r="K350" s="36" t="s">
        <v>2822</v>
      </c>
    </row>
    <row r="351" spans="2:11" x14ac:dyDescent="0.25">
      <c r="F351" s="34">
        <v>43711</v>
      </c>
      <c r="G351" t="s">
        <v>2502</v>
      </c>
      <c r="H351" t="s">
        <v>2821</v>
      </c>
      <c r="I351" t="s">
        <v>2518</v>
      </c>
      <c r="J351" s="25">
        <v>6000</v>
      </c>
      <c r="K351" s="36" t="s">
        <v>2823</v>
      </c>
    </row>
    <row r="352" spans="2:11" x14ac:dyDescent="0.25">
      <c r="F352" s="34">
        <v>43720</v>
      </c>
      <c r="G352" t="s">
        <v>2502</v>
      </c>
      <c r="H352" t="s">
        <v>2821</v>
      </c>
      <c r="I352" t="s">
        <v>2518</v>
      </c>
      <c r="J352" s="25">
        <v>5000</v>
      </c>
      <c r="K352" s="36" t="s">
        <v>2824</v>
      </c>
    </row>
    <row r="353" spans="2:11" x14ac:dyDescent="0.25">
      <c r="B353">
        <v>763</v>
      </c>
      <c r="C353" t="s">
        <v>225</v>
      </c>
      <c r="D353">
        <v>2019</v>
      </c>
      <c r="E353" t="s">
        <v>2360</v>
      </c>
      <c r="F353" s="34">
        <v>43488</v>
      </c>
      <c r="G353" t="s">
        <v>2446</v>
      </c>
      <c r="I353" t="s">
        <v>2447</v>
      </c>
      <c r="J353" s="25">
        <v>6650</v>
      </c>
      <c r="K353" s="36" t="s">
        <v>2825</v>
      </c>
    </row>
    <row r="354" spans="2:11" x14ac:dyDescent="0.25">
      <c r="F354" s="34">
        <v>43584</v>
      </c>
      <c r="G354" t="s">
        <v>2446</v>
      </c>
      <c r="I354" t="s">
        <v>2447</v>
      </c>
      <c r="J354" s="25">
        <v>7294</v>
      </c>
      <c r="K354" s="36" t="s">
        <v>2826</v>
      </c>
    </row>
    <row r="355" spans="2:11" x14ac:dyDescent="0.25">
      <c r="F355" s="34">
        <v>43802</v>
      </c>
      <c r="G355" t="s">
        <v>2446</v>
      </c>
      <c r="I355" t="s">
        <v>2447</v>
      </c>
      <c r="J355" s="25">
        <v>7900</v>
      </c>
      <c r="K355" s="36" t="s">
        <v>2827</v>
      </c>
    </row>
    <row r="356" spans="2:11" x14ac:dyDescent="0.25">
      <c r="F356" s="34">
        <v>43809</v>
      </c>
      <c r="G356" t="s">
        <v>2446</v>
      </c>
      <c r="I356" t="s">
        <v>2447</v>
      </c>
      <c r="J356" s="25">
        <v>22400</v>
      </c>
      <c r="K356" s="36" t="s">
        <v>2828</v>
      </c>
    </row>
    <row r="357" spans="2:11" x14ac:dyDescent="0.25">
      <c r="B357">
        <v>767</v>
      </c>
      <c r="C357" t="s">
        <v>228</v>
      </c>
      <c r="D357" t="s">
        <v>2420</v>
      </c>
      <c r="E357" t="s">
        <v>2359</v>
      </c>
      <c r="K357"/>
    </row>
    <row r="358" spans="2:11" x14ac:dyDescent="0.25">
      <c r="B358">
        <v>769</v>
      </c>
      <c r="C358" t="s">
        <v>230</v>
      </c>
      <c r="D358">
        <v>2020</v>
      </c>
      <c r="E358" t="s">
        <v>2359</v>
      </c>
    </row>
    <row r="359" spans="2:11" x14ac:dyDescent="0.25">
      <c r="B359">
        <v>777</v>
      </c>
      <c r="C359" t="s">
        <v>232</v>
      </c>
      <c r="D359" t="s">
        <v>2416</v>
      </c>
      <c r="E359" t="s">
        <v>2360</v>
      </c>
      <c r="F359" s="38">
        <v>43873</v>
      </c>
      <c r="G359" s="5" t="s">
        <v>2446</v>
      </c>
      <c r="H359" s="5"/>
      <c r="I359" s="5" t="s">
        <v>2447</v>
      </c>
      <c r="J359" s="39">
        <v>10590</v>
      </c>
      <c r="K359" s="26" t="s">
        <v>2829</v>
      </c>
    </row>
    <row r="360" spans="2:11" x14ac:dyDescent="0.25">
      <c r="F360" s="38">
        <v>43885</v>
      </c>
      <c r="G360" s="5" t="s">
        <v>2446</v>
      </c>
      <c r="H360" s="5"/>
      <c r="I360" s="5" t="s">
        <v>2447</v>
      </c>
      <c r="J360" s="39">
        <v>8400</v>
      </c>
      <c r="K360" s="26" t="s">
        <v>2830</v>
      </c>
    </row>
    <row r="361" spans="2:11" x14ac:dyDescent="0.25">
      <c r="F361" s="34">
        <v>43997</v>
      </c>
      <c r="G361" t="s">
        <v>2437</v>
      </c>
      <c r="H361" t="s">
        <v>2636</v>
      </c>
      <c r="I361" t="s">
        <v>2453</v>
      </c>
      <c r="J361" s="25">
        <v>5000</v>
      </c>
      <c r="K361" s="26" t="s">
        <v>2831</v>
      </c>
    </row>
    <row r="362" spans="2:11" x14ac:dyDescent="0.25">
      <c r="F362" s="34">
        <v>43902</v>
      </c>
      <c r="G362" t="s">
        <v>2437</v>
      </c>
      <c r="H362" t="s">
        <v>2636</v>
      </c>
      <c r="I362" t="s">
        <v>2453</v>
      </c>
      <c r="J362" s="25">
        <v>179146</v>
      </c>
      <c r="K362" s="26" t="s">
        <v>2832</v>
      </c>
    </row>
    <row r="363" spans="2:11" x14ac:dyDescent="0.25">
      <c r="F363" s="38">
        <v>43725</v>
      </c>
      <c r="G363" s="5" t="s">
        <v>2446</v>
      </c>
      <c r="H363" s="5"/>
      <c r="I363" s="5" t="s">
        <v>2447</v>
      </c>
      <c r="J363" s="39">
        <v>11566</v>
      </c>
      <c r="K363" s="26" t="s">
        <v>2833</v>
      </c>
    </row>
    <row r="364" spans="2:11" x14ac:dyDescent="0.25">
      <c r="B364">
        <v>780</v>
      </c>
      <c r="C364" t="s">
        <v>234</v>
      </c>
      <c r="D364" t="s">
        <v>2422</v>
      </c>
      <c r="E364" t="s">
        <v>2359</v>
      </c>
      <c r="K364" s="30"/>
    </row>
    <row r="365" spans="2:11" x14ac:dyDescent="0.25">
      <c r="B365">
        <v>797</v>
      </c>
      <c r="C365" t="s">
        <v>237</v>
      </c>
      <c r="D365" t="s">
        <v>2422</v>
      </c>
      <c r="E365" t="s">
        <v>2359</v>
      </c>
    </row>
    <row r="366" spans="2:11" x14ac:dyDescent="0.25">
      <c r="B366">
        <v>800</v>
      </c>
      <c r="C366" t="s">
        <v>238</v>
      </c>
      <c r="D366" t="s">
        <v>2417</v>
      </c>
      <c r="E366" t="s">
        <v>2359</v>
      </c>
    </row>
    <row r="367" spans="2:11" x14ac:dyDescent="0.25">
      <c r="B367">
        <v>814</v>
      </c>
      <c r="C367" t="s">
        <v>243</v>
      </c>
      <c r="D367" t="s">
        <v>2418</v>
      </c>
      <c r="E367" t="s">
        <v>2359</v>
      </c>
      <c r="K367"/>
    </row>
    <row r="368" spans="2:11" x14ac:dyDescent="0.25">
      <c r="B368">
        <v>817</v>
      </c>
      <c r="C368" t="s">
        <v>244</v>
      </c>
      <c r="D368" t="s">
        <v>2419</v>
      </c>
      <c r="E368" t="s">
        <v>2360</v>
      </c>
      <c r="F368" s="38">
        <v>43922</v>
      </c>
      <c r="G368" s="5" t="s">
        <v>2449</v>
      </c>
      <c r="H368" s="5"/>
      <c r="I368" s="5"/>
      <c r="J368" s="39">
        <v>2000000</v>
      </c>
      <c r="K368" s="36" t="s">
        <v>2834</v>
      </c>
    </row>
    <row r="369" spans="2:11" x14ac:dyDescent="0.25">
      <c r="F369" s="34">
        <v>44011</v>
      </c>
      <c r="G369" t="s">
        <v>2431</v>
      </c>
      <c r="I369" t="s">
        <v>2735</v>
      </c>
      <c r="J369" s="25">
        <v>9000</v>
      </c>
      <c r="K369" s="36" t="s">
        <v>2835</v>
      </c>
    </row>
    <row r="370" spans="2:11" x14ac:dyDescent="0.25">
      <c r="B370">
        <v>830</v>
      </c>
      <c r="C370" t="s">
        <v>246</v>
      </c>
      <c r="D370" t="s">
        <v>2420</v>
      </c>
      <c r="E370" t="s">
        <v>2360</v>
      </c>
      <c r="F370" s="38">
        <v>43879</v>
      </c>
      <c r="G370" s="5" t="s">
        <v>2449</v>
      </c>
      <c r="H370" s="5"/>
      <c r="I370" s="5" t="s">
        <v>2477</v>
      </c>
      <c r="J370" s="39">
        <v>400000</v>
      </c>
      <c r="K370" s="36" t="s">
        <v>2836</v>
      </c>
    </row>
    <row r="371" spans="2:11" x14ac:dyDescent="0.25">
      <c r="F371" s="38">
        <v>43934</v>
      </c>
      <c r="G371" s="5" t="s">
        <v>2449</v>
      </c>
      <c r="H371" s="5"/>
      <c r="I371" s="5" t="s">
        <v>2465</v>
      </c>
      <c r="J371" s="39">
        <v>7609</v>
      </c>
      <c r="K371" s="36" t="s">
        <v>2837</v>
      </c>
    </row>
    <row r="372" spans="2:11" x14ac:dyDescent="0.25">
      <c r="B372">
        <v>834</v>
      </c>
      <c r="C372" t="s">
        <v>247</v>
      </c>
      <c r="D372" t="s">
        <v>2420</v>
      </c>
      <c r="E372" t="s">
        <v>2359</v>
      </c>
      <c r="K372"/>
    </row>
    <row r="373" spans="2:11" x14ac:dyDescent="0.25">
      <c r="B373">
        <v>838</v>
      </c>
      <c r="C373" t="s">
        <v>248</v>
      </c>
      <c r="D373" t="s">
        <v>2421</v>
      </c>
      <c r="E373" t="s">
        <v>2359</v>
      </c>
      <c r="K373" s="30"/>
    </row>
    <row r="374" spans="2:11" x14ac:dyDescent="0.25">
      <c r="B374">
        <v>842</v>
      </c>
      <c r="C374" t="s">
        <v>249</v>
      </c>
      <c r="D374" t="s">
        <v>2422</v>
      </c>
      <c r="E374" t="s">
        <v>2360</v>
      </c>
      <c r="F374" s="34">
        <v>43507</v>
      </c>
      <c r="G374" t="s">
        <v>2446</v>
      </c>
      <c r="I374" t="s">
        <v>2447</v>
      </c>
      <c r="J374" s="25">
        <v>8051</v>
      </c>
      <c r="K374" s="36" t="s">
        <v>2838</v>
      </c>
    </row>
    <row r="375" spans="2:11" x14ac:dyDescent="0.25">
      <c r="B375">
        <v>845</v>
      </c>
      <c r="C375" t="s">
        <v>250</v>
      </c>
      <c r="D375" t="s">
        <v>2420</v>
      </c>
      <c r="E375" t="s">
        <v>2360</v>
      </c>
      <c r="F375" s="34">
        <v>43860</v>
      </c>
      <c r="G375" t="s">
        <v>2446</v>
      </c>
      <c r="I375" t="s">
        <v>2447</v>
      </c>
      <c r="J375" s="25">
        <v>9639</v>
      </c>
      <c r="K375" s="36" t="s">
        <v>2841</v>
      </c>
    </row>
    <row r="376" spans="2:11" x14ac:dyDescent="0.25">
      <c r="F376" s="34">
        <v>43893</v>
      </c>
      <c r="G376" t="s">
        <v>2446</v>
      </c>
      <c r="I376" t="s">
        <v>2447</v>
      </c>
      <c r="J376" s="25">
        <v>11470</v>
      </c>
      <c r="K376" s="36" t="s">
        <v>2842</v>
      </c>
    </row>
    <row r="377" spans="2:11" x14ac:dyDescent="0.25">
      <c r="F377" s="34">
        <v>44096</v>
      </c>
      <c r="G377" t="s">
        <v>2675</v>
      </c>
      <c r="I377" t="s">
        <v>2491</v>
      </c>
      <c r="J377" s="25">
        <v>736294</v>
      </c>
      <c r="K377" s="36" t="s">
        <v>2393</v>
      </c>
    </row>
    <row r="378" spans="2:11" x14ac:dyDescent="0.25">
      <c r="F378" s="34">
        <v>44116</v>
      </c>
      <c r="G378" t="s">
        <v>2437</v>
      </c>
      <c r="I378" t="s">
        <v>2840</v>
      </c>
      <c r="J378" s="25">
        <v>28000</v>
      </c>
      <c r="K378" s="36" t="s">
        <v>2839</v>
      </c>
    </row>
    <row r="379" spans="2:11" x14ac:dyDescent="0.25">
      <c r="B379">
        <v>846</v>
      </c>
      <c r="C379" t="s">
        <v>250</v>
      </c>
      <c r="D379" t="s">
        <v>2422</v>
      </c>
      <c r="E379" t="s">
        <v>2360</v>
      </c>
      <c r="F379" s="34">
        <v>43648</v>
      </c>
      <c r="G379" t="s">
        <v>2446</v>
      </c>
      <c r="I379" t="s">
        <v>2447</v>
      </c>
      <c r="J379" s="25">
        <v>18477</v>
      </c>
      <c r="K379" s="26" t="s">
        <v>2846</v>
      </c>
    </row>
    <row r="380" spans="2:11" x14ac:dyDescent="0.25">
      <c r="F380" s="34">
        <v>43682</v>
      </c>
      <c r="G380" t="s">
        <v>2481</v>
      </c>
      <c r="H380" t="s">
        <v>2845</v>
      </c>
      <c r="J380" s="25">
        <v>4500000</v>
      </c>
      <c r="K380" s="26" t="s">
        <v>2844</v>
      </c>
    </row>
    <row r="381" spans="2:11" x14ac:dyDescent="0.25">
      <c r="F381" s="34">
        <v>43809</v>
      </c>
      <c r="G381" t="s">
        <v>2437</v>
      </c>
      <c r="I381" t="s">
        <v>2629</v>
      </c>
      <c r="J381" s="25">
        <v>7319</v>
      </c>
      <c r="K381" s="26" t="s">
        <v>2843</v>
      </c>
    </row>
    <row r="382" spans="2:11" x14ac:dyDescent="0.25">
      <c r="B382">
        <v>848</v>
      </c>
      <c r="C382" t="s">
        <v>251</v>
      </c>
      <c r="D382" t="s">
        <v>2422</v>
      </c>
      <c r="E382" t="s">
        <v>2360</v>
      </c>
      <c r="F382" s="38">
        <v>43480</v>
      </c>
      <c r="G382" s="5" t="s">
        <v>2446</v>
      </c>
      <c r="H382" s="5"/>
      <c r="I382" s="5" t="s">
        <v>2447</v>
      </c>
      <c r="J382" s="39">
        <v>6441</v>
      </c>
      <c r="K382" s="26" t="s">
        <v>2847</v>
      </c>
    </row>
    <row r="383" spans="2:11" x14ac:dyDescent="0.25">
      <c r="F383" s="38">
        <v>43789</v>
      </c>
      <c r="G383" s="5" t="s">
        <v>2446</v>
      </c>
      <c r="H383" s="5"/>
      <c r="I383" s="5" t="s">
        <v>2447</v>
      </c>
      <c r="J383" s="39">
        <v>20838</v>
      </c>
      <c r="K383" s="26" t="s">
        <v>2848</v>
      </c>
    </row>
    <row r="384" spans="2:11" x14ac:dyDescent="0.25">
      <c r="B384">
        <v>851</v>
      </c>
      <c r="C384" t="s">
        <v>252</v>
      </c>
      <c r="D384" t="s">
        <v>2422</v>
      </c>
      <c r="E384" t="s">
        <v>2360</v>
      </c>
      <c r="F384" s="38">
        <v>43522</v>
      </c>
      <c r="G384" s="5" t="s">
        <v>2442</v>
      </c>
      <c r="H384" s="5" t="s">
        <v>2853</v>
      </c>
      <c r="I384" s="5" t="s">
        <v>2854</v>
      </c>
      <c r="J384" s="39">
        <v>20000000</v>
      </c>
      <c r="K384" s="26" t="s">
        <v>2852</v>
      </c>
    </row>
    <row r="385" spans="2:11" x14ac:dyDescent="0.25">
      <c r="F385" s="38">
        <v>43616</v>
      </c>
      <c r="G385" s="5" t="s">
        <v>2449</v>
      </c>
      <c r="H385" s="5"/>
      <c r="I385" s="5" t="s">
        <v>2473</v>
      </c>
      <c r="J385" s="39">
        <v>29189</v>
      </c>
      <c r="K385" s="26" t="s">
        <v>2855</v>
      </c>
    </row>
    <row r="386" spans="2:11" x14ac:dyDescent="0.25">
      <c r="F386" s="38">
        <v>43646</v>
      </c>
      <c r="G386" s="5" t="s">
        <v>2442</v>
      </c>
      <c r="H386" s="5" t="s">
        <v>2850</v>
      </c>
      <c r="I386" s="5" t="s">
        <v>2851</v>
      </c>
      <c r="J386" s="39">
        <v>35000000</v>
      </c>
      <c r="K386" s="26" t="s">
        <v>2849</v>
      </c>
    </row>
    <row r="387" spans="2:11" x14ac:dyDescent="0.25">
      <c r="B387">
        <v>856</v>
      </c>
      <c r="C387" t="s">
        <v>253</v>
      </c>
      <c r="D387" t="s">
        <v>2420</v>
      </c>
      <c r="E387" t="s">
        <v>2360</v>
      </c>
      <c r="F387" s="38">
        <v>43838</v>
      </c>
      <c r="G387" s="5" t="s">
        <v>2456</v>
      </c>
      <c r="H387" s="5"/>
      <c r="I387" s="5" t="s">
        <v>2457</v>
      </c>
      <c r="J387" s="39">
        <v>10715</v>
      </c>
      <c r="K387" s="26" t="s">
        <v>2857</v>
      </c>
    </row>
    <row r="388" spans="2:11" x14ac:dyDescent="0.25">
      <c r="F388" s="34">
        <v>43850</v>
      </c>
      <c r="G388" t="s">
        <v>2642</v>
      </c>
      <c r="I388" t="s">
        <v>2681</v>
      </c>
      <c r="J388" s="25">
        <v>11000</v>
      </c>
      <c r="K388" s="26" t="s">
        <v>2858</v>
      </c>
    </row>
    <row r="389" spans="2:11" x14ac:dyDescent="0.25">
      <c r="F389" s="38">
        <v>43852</v>
      </c>
      <c r="G389" s="5" t="s">
        <v>2446</v>
      </c>
      <c r="H389" s="5"/>
      <c r="I389" s="5" t="s">
        <v>2447</v>
      </c>
      <c r="J389" s="39">
        <v>11027</v>
      </c>
      <c r="K389" s="26" t="s">
        <v>2859</v>
      </c>
    </row>
    <row r="390" spans="2:11" x14ac:dyDescent="0.25">
      <c r="F390" s="38">
        <v>43880</v>
      </c>
      <c r="G390" s="5" t="s">
        <v>2446</v>
      </c>
      <c r="H390" s="5"/>
      <c r="I390" s="5" t="s">
        <v>2447</v>
      </c>
      <c r="J390" s="39">
        <v>6500</v>
      </c>
      <c r="K390" s="26" t="s">
        <v>2860</v>
      </c>
    </row>
    <row r="391" spans="2:11" x14ac:dyDescent="0.25">
      <c r="F391" s="38">
        <v>43893</v>
      </c>
      <c r="G391" s="5" t="s">
        <v>2456</v>
      </c>
      <c r="H391" s="5"/>
      <c r="I391" s="5" t="s">
        <v>2457</v>
      </c>
      <c r="J391" s="39">
        <v>125000</v>
      </c>
      <c r="K391" s="26" t="s">
        <v>2856</v>
      </c>
    </row>
    <row r="392" spans="2:11" x14ac:dyDescent="0.25">
      <c r="F392" s="38">
        <v>44097</v>
      </c>
      <c r="G392" s="5" t="s">
        <v>2446</v>
      </c>
      <c r="H392" s="5"/>
      <c r="I392" s="5" t="s">
        <v>2447</v>
      </c>
      <c r="J392" s="39">
        <v>7635</v>
      </c>
      <c r="K392" s="26" t="s">
        <v>2861</v>
      </c>
    </row>
    <row r="393" spans="2:11" x14ac:dyDescent="0.25">
      <c r="B393">
        <v>866</v>
      </c>
      <c r="C393" t="s">
        <v>255</v>
      </c>
      <c r="D393" t="s">
        <v>2422</v>
      </c>
      <c r="E393" t="s">
        <v>2360</v>
      </c>
      <c r="F393" s="34">
        <v>43614</v>
      </c>
      <c r="G393" t="s">
        <v>2642</v>
      </c>
      <c r="I393" t="s">
        <v>2862</v>
      </c>
      <c r="J393" s="25">
        <v>14625</v>
      </c>
      <c r="K393" s="26" t="s">
        <v>2863</v>
      </c>
    </row>
  </sheetData>
  <autoFilter ref="B1:C384" xr:uid="{B1C35285-83C9-4AF5-A36F-9CB5DDC579D5}"/>
  <sortState xmlns:xlrd2="http://schemas.microsoft.com/office/spreadsheetml/2017/richdata2" ref="F387:K392">
    <sortCondition ref="F387:F392"/>
  </sortState>
  <hyperlinks>
    <hyperlink ref="K44" r:id="rId1" xr:uid="{FB0BD2B1-2593-4315-BDB3-2D26EFA507A0}"/>
    <hyperlink ref="K79" r:id="rId2" xr:uid="{966883E9-104B-4C29-816D-BB95A7D45926}"/>
    <hyperlink ref="K114" r:id="rId3" xr:uid="{9CF6A8F8-6D77-4D27-8C29-F312FB63181F}"/>
    <hyperlink ref="K211" r:id="rId4" xr:uid="{8AECB445-1AF6-46FE-A271-E90AF2980DBC}"/>
    <hyperlink ref="K9" r:id="rId5" xr:uid="{4CB55DF3-EBBA-43EE-BA2D-FD543954BBBE}"/>
    <hyperlink ref="K27" r:id="rId6" xr:uid="{A093A615-362C-46D9-B165-F1476339B8BD}"/>
    <hyperlink ref="K201" r:id="rId7" xr:uid="{5F281D3A-10F7-4E82-9264-68F37D9C755F}"/>
    <hyperlink ref="K226" r:id="rId8" xr:uid="{CA555228-1202-4461-908D-7C13CDF30B52}"/>
    <hyperlink ref="K11" r:id="rId9" xr:uid="{CF28EEAC-6E24-4D06-9E79-E39297C9652E}"/>
    <hyperlink ref="K17" r:id="rId10" xr:uid="{15F24825-6FC0-4857-B825-FCF7A6D06281}"/>
    <hyperlink ref="K18" r:id="rId11" xr:uid="{B8CFFBF4-2D57-491A-A60D-5EE071D0E364}"/>
    <hyperlink ref="K22" r:id="rId12" xr:uid="{2B3CDEAC-D45A-44B2-A74D-16604DA28209}"/>
    <hyperlink ref="K24" r:id="rId13" xr:uid="{6171B0E7-ADE1-41CE-AF64-4B766BBC634D}"/>
    <hyperlink ref="K25" r:id="rId14" xr:uid="{2CE9DCFF-F77F-4032-969E-F5CD9E76019C}"/>
    <hyperlink ref="K26" r:id="rId15" xr:uid="{BD1756A9-3B44-4E52-954F-EBAE11FEFBC9}"/>
    <hyperlink ref="K30" r:id="rId16" xr:uid="{5591C0A8-9EF0-4607-8B84-3694227486B7}"/>
    <hyperlink ref="K32" r:id="rId17" xr:uid="{04643085-001B-400B-9737-A1B68C3DFFB6}"/>
    <hyperlink ref="K31" r:id="rId18" xr:uid="{EDF39C26-DB87-488F-B850-344C1FE57383}"/>
    <hyperlink ref="K28" r:id="rId19" xr:uid="{BCF4E7B3-667C-4E88-856C-A33BCCC503FF}"/>
    <hyperlink ref="K29" r:id="rId20" xr:uid="{D2AC25C5-3321-4B31-8BAC-82FF6CBEF090}"/>
    <hyperlink ref="K45" r:id="rId21" xr:uid="{2610EF0E-CE8F-40B9-AB9B-AB72A5618D9D}"/>
    <hyperlink ref="K46" r:id="rId22" xr:uid="{B466AAC7-0C8A-482F-935A-EF578886F053}"/>
    <hyperlink ref="K47" r:id="rId23" xr:uid="{5C49BDA1-77A9-4B05-AAA5-1303BE8E1E08}"/>
    <hyperlink ref="K43" r:id="rId24" xr:uid="{B20C745C-3C27-4C95-A092-0FDD9F77E77C}"/>
    <hyperlink ref="K48" r:id="rId25" xr:uid="{0062B5B6-51C8-42D2-8DA9-59C59A2BA0DA}"/>
    <hyperlink ref="K42" r:id="rId26" xr:uid="{0F7AAE35-1EA1-47F7-8EF1-AAB9553A4EEB}"/>
    <hyperlink ref="K39" r:id="rId27" xr:uid="{0A9998D5-53EB-4BB1-99A7-01B1EA28EEB7}"/>
    <hyperlink ref="K40" r:id="rId28" xr:uid="{3BD4312A-5665-481C-A1A7-88B66D31093C}"/>
    <hyperlink ref="K41" r:id="rId29" xr:uid="{EA6FAC50-561C-405A-91AD-7EEE534A5C97}"/>
    <hyperlink ref="K55" r:id="rId30" xr:uid="{C44E8E70-3FDB-4FE8-995B-578FD86300E3}"/>
    <hyperlink ref="K50" r:id="rId31" xr:uid="{84762787-BA30-4715-AA38-28559C5B8113}"/>
    <hyperlink ref="K51" r:id="rId32" xr:uid="{2EA4FBBC-42FC-4E1E-984D-589570DBED71}"/>
    <hyperlink ref="K53" r:id="rId33" xr:uid="{539022CE-DED0-440E-BD5F-D9174DCCC7B4}"/>
    <hyperlink ref="K54" r:id="rId34" xr:uid="{5E92700D-3707-46B1-B683-CA073299EEF8}"/>
    <hyperlink ref="K52" r:id="rId35" xr:uid="{3E37EA86-2ACD-4E23-AC41-6AE89B3CCCC8}"/>
    <hyperlink ref="K49" r:id="rId36" xr:uid="{BF891969-D81B-4E91-A40A-ADA82F8497B0}"/>
    <hyperlink ref="K57" r:id="rId37" xr:uid="{451E480F-E5A0-49D8-B39D-6C439C314113}"/>
    <hyperlink ref="K59" r:id="rId38" xr:uid="{6811543B-9840-4EF5-ABD9-96E369F35E96}"/>
    <hyperlink ref="K60" r:id="rId39" xr:uid="{3F8B88D2-DAC5-4649-AF3B-0E235EBD2DB1}"/>
    <hyperlink ref="K58" r:id="rId40" xr:uid="{F46FB87A-6D55-479D-B97C-025718A17F67}"/>
    <hyperlink ref="K62" r:id="rId41" xr:uid="{735583CC-2C50-44F8-B9EF-D006937B16D9}"/>
    <hyperlink ref="K73" r:id="rId42" xr:uid="{09183C1C-AD69-4A9E-B9C3-1AF0B18FC9F5}"/>
    <hyperlink ref="K77" r:id="rId43" xr:uid="{ECCA0BF9-35B7-4E15-A0DD-23F66B4AD3DD}"/>
    <hyperlink ref="K69" r:id="rId44" xr:uid="{0E3A9BC8-0F58-4762-8CC0-4CE3C72DC922}"/>
    <hyperlink ref="K75" r:id="rId45" xr:uid="{6C49993B-2EAC-4BA7-A622-2D5712948F4C}"/>
    <hyperlink ref="K80" r:id="rId46" xr:uid="{B46BC482-275F-4C2D-82C6-E2F7FFBF16A1}"/>
    <hyperlink ref="K84" r:id="rId47" xr:uid="{2A8B5C56-3A8A-4239-B506-9BAE2DFABE1B}"/>
    <hyperlink ref="K81" r:id="rId48" xr:uid="{3DEA8A9E-78C8-47A2-A7A0-12900E10DEF2}"/>
    <hyperlink ref="K82" r:id="rId49" xr:uid="{F05C9596-5945-47E1-AC92-5B8FD3CD0EBA}"/>
    <hyperlink ref="K85" r:id="rId50" xr:uid="{30785B10-614C-4F69-89DF-FBD29BFE35AF}"/>
    <hyperlink ref="K88" r:id="rId51" xr:uid="{3B00D2B9-20B1-4A33-9268-FD918BA83FD3}"/>
    <hyperlink ref="K86" r:id="rId52" xr:uid="{207689A9-CFD5-4CEA-AEF4-92FB13187090}"/>
    <hyperlink ref="K83" r:id="rId53" xr:uid="{541B3783-ECA6-4AE4-9C27-CB6E5D6DE7F7}"/>
    <hyperlink ref="K78" r:id="rId54" xr:uid="{81A6AFAB-B2B9-403F-AC37-BA424EA393BE}"/>
    <hyperlink ref="K76" r:id="rId55" xr:uid="{2698A752-A544-42DB-88F6-C7E1BC30A8EE}"/>
    <hyperlink ref="K90" r:id="rId56" xr:uid="{58BECD99-7A1C-4D3A-855E-6D814AC0A32C}"/>
    <hyperlink ref="K89" r:id="rId57" xr:uid="{FA796F6B-ACF7-41ED-9A1B-85F72F5F8B91}"/>
    <hyperlink ref="K87" r:id="rId58" xr:uid="{F64848B7-2593-4601-AC6E-61F06FF9FEE2}"/>
    <hyperlink ref="K91" r:id="rId59" xr:uid="{A3281E76-C4AA-4DD2-896F-4A2E41935AED}"/>
    <hyperlink ref="K74" r:id="rId60" xr:uid="{1D530531-F56B-4EB4-85B6-033A2084B4E4}"/>
    <hyperlink ref="K72" r:id="rId61" xr:uid="{FB4205C8-09A8-47BE-90EB-1505169D5093}"/>
    <hyperlink ref="K71" r:id="rId62" xr:uid="{BCC894A1-6F3D-431C-8E96-BC4BC3D1D10F}"/>
    <hyperlink ref="K70" r:id="rId63" xr:uid="{4D84A959-2757-416A-BCEA-A6ABCE176CC4}"/>
    <hyperlink ref="K93" r:id="rId64" xr:uid="{95626F8B-BFF5-42F8-B0E4-1D0279EC5E53}"/>
    <hyperlink ref="K96" r:id="rId65" xr:uid="{EE62C9F1-2538-432A-8910-8D3223B147A1}"/>
    <hyperlink ref="K102" r:id="rId66" xr:uid="{C2FA3091-4122-450F-9DB4-10F9A89FCA5D}"/>
    <hyperlink ref="K105" r:id="rId67" xr:uid="{2D316B00-0446-4F40-A939-5FA59F7B7771}"/>
    <hyperlink ref="K106" r:id="rId68" xr:uid="{C7138C0D-2C2E-4670-A874-3BEC220D9758}"/>
    <hyperlink ref="K103" r:id="rId69" xr:uid="{ABA1BAC4-6B8B-4B84-A488-F24B58496668}"/>
    <hyperlink ref="K104" r:id="rId70" xr:uid="{CC7EDDBE-BA05-425D-9250-D142DBC90663}"/>
    <hyperlink ref="K109" r:id="rId71" xr:uid="{B2BBF18B-966C-409E-A495-A7D2145D18AB}"/>
    <hyperlink ref="K110" r:id="rId72" xr:uid="{A19A089A-64F7-40FA-96EA-D9F222457C00}"/>
    <hyperlink ref="K111" r:id="rId73" xr:uid="{DAFD7AF3-4081-4027-81D9-BBAB184ACCEB}"/>
    <hyperlink ref="K112" r:id="rId74" xr:uid="{C8915F3C-573E-4CED-9431-A96735FFA5AC}"/>
    <hyperlink ref="K136" r:id="rId75" xr:uid="{83560CDA-FC8D-4EEA-A4D7-6D2BB79614D8}"/>
    <hyperlink ref="K138" r:id="rId76" xr:uid="{9AC9F181-AFBA-41D5-8C20-277D725D4C3B}"/>
    <hyperlink ref="K137" r:id="rId77" xr:uid="{20BB8DBD-6C55-47C2-95B5-5E65195E7AEE}"/>
    <hyperlink ref="K120" r:id="rId78" xr:uid="{0CEB7E33-4D96-4648-BE0F-16B6E08E5A09}"/>
    <hyperlink ref="K132" r:id="rId79" xr:uid="{669C972A-247C-469E-B9FA-117D0905FA16}"/>
    <hyperlink ref="K118" r:id="rId80" xr:uid="{1C15B774-6C67-4017-995B-FD7B82F13219}"/>
    <hyperlink ref="K119" r:id="rId81" xr:uid="{60AAA3E0-DC4D-4DCD-8415-B14DA71B4D68}"/>
    <hyperlink ref="K121" r:id="rId82" xr:uid="{51727AED-B0CB-48AF-B4C0-4E95570EFC98}"/>
    <hyperlink ref="K122" r:id="rId83" xr:uid="{FA600D5D-46B9-42B1-A807-A4EC6700C007}"/>
    <hyperlink ref="K123" r:id="rId84" xr:uid="{221CEEBA-41CC-4313-A3B9-AB0A064992A0}"/>
    <hyperlink ref="K124" r:id="rId85" xr:uid="{88C0E733-0379-4053-B4A9-20531D07F91B}"/>
    <hyperlink ref="K125" r:id="rId86" xr:uid="{F89BE473-A520-4771-B50B-9D530BC00A4C}"/>
    <hyperlink ref="K126" r:id="rId87" xr:uid="{B20FD4D7-DB84-4109-B2EF-B9600FD96111}"/>
    <hyperlink ref="K127" r:id="rId88" xr:uid="{06F25DFD-4C22-4D14-8EFC-1F3963B455C8}"/>
    <hyperlink ref="K128" r:id="rId89" xr:uid="{906FAAE5-9001-4009-9EDB-A1D0C2ADEFE5}"/>
    <hyperlink ref="K129" r:id="rId90" xr:uid="{B4F38508-84CF-4035-BB5A-B3BAAE4AFBE4}"/>
    <hyperlink ref="K131" r:id="rId91" xr:uid="{F34A087C-4C5D-4AA6-A6A1-A57329D2F71C}"/>
    <hyperlink ref="K130" r:id="rId92" xr:uid="{0460DADF-A4F0-4FCA-8BEC-8723C4FC3360}"/>
    <hyperlink ref="K133" r:id="rId93" xr:uid="{13F079B2-255B-4AC4-BB64-EB9DCAFDB58E}"/>
    <hyperlink ref="K134" r:id="rId94" xr:uid="{C8410974-C314-41EE-915C-9720183BA35F}"/>
    <hyperlink ref="K135" r:id="rId95" xr:uid="{CE410CC3-EAC3-4DEE-962B-95424937E26C}"/>
    <hyperlink ref="K115" r:id="rId96" xr:uid="{B61DA3CC-F59B-46C5-B514-5F70B2E02CDC}"/>
    <hyperlink ref="K116" r:id="rId97" xr:uid="{9C166E62-4E0D-4CD5-9AF1-DB33FE1CB28F}"/>
    <hyperlink ref="K117" r:id="rId98" xr:uid="{C73E5B8A-9E4A-487C-9246-85CD151DE6BB}"/>
    <hyperlink ref="K141" r:id="rId99" xr:uid="{923D9432-2A0F-46F3-925C-B721049A6526}"/>
    <hyperlink ref="K142" r:id="rId100" xr:uid="{8D64D776-9AD8-4DA8-8755-CB66C7625F55}"/>
    <hyperlink ref="K147" r:id="rId101" xr:uid="{A5FD50EC-0413-433B-976E-92461B1F7D72}"/>
    <hyperlink ref="K150" r:id="rId102" xr:uid="{149582B8-7586-4AFB-8CFB-AED408FDCFEE}"/>
    <hyperlink ref="K148" r:id="rId103" xr:uid="{E9D0DD5E-F323-4A1D-B646-C0FC1E306F11}"/>
    <hyperlink ref="K146" r:id="rId104" xr:uid="{E028292E-5111-4818-A7F6-EAEA2FE3C1D2}"/>
    <hyperlink ref="K151" r:id="rId105" xr:uid="{9F183054-5AF5-48B7-8D57-4F8646395B72}"/>
    <hyperlink ref="K149" r:id="rId106" xr:uid="{69B45DBB-D43D-40ED-9429-228E376C84DA}"/>
    <hyperlink ref="K154" r:id="rId107" xr:uid="{193C0351-7ADE-41D1-85E3-BC50312EFD4D}"/>
    <hyperlink ref="K155" r:id="rId108" xr:uid="{C6F5AB63-2EA3-4144-A2AF-DD5BBF69F381}"/>
    <hyperlink ref="K157" r:id="rId109" xr:uid="{E88B13CA-0ED2-4331-918D-8BEF4DB75202}"/>
    <hyperlink ref="K159" r:id="rId110" xr:uid="{7C6FD41D-EBC0-4DAB-82E5-A8C42689D360}"/>
    <hyperlink ref="K165" r:id="rId111" xr:uid="{AC2CDAB5-E8CE-444A-A7B0-7EEB29920E02}"/>
    <hyperlink ref="K164" r:id="rId112" xr:uid="{0F859913-0104-4114-AD2E-A5CB0850B60E}"/>
    <hyperlink ref="K160" r:id="rId113" xr:uid="{8883CEB0-749C-4B55-A2EE-672E1A758074}"/>
    <hyperlink ref="K156" r:id="rId114" xr:uid="{7737155C-C564-4B10-8AFB-FEF2366016AB}"/>
    <hyperlink ref="K162" r:id="rId115" xr:uid="{18FAC17E-1256-45AE-8EB8-E55E60817679}"/>
    <hyperlink ref="K166" r:id="rId116" xr:uid="{22AF869F-174E-4201-9EBF-28395A358780}"/>
    <hyperlink ref="K158" r:id="rId117" xr:uid="{4A80CA8C-B412-456F-973D-F80D37221B83}"/>
    <hyperlink ref="K163" r:id="rId118" xr:uid="{1DD27A83-88E9-4CAE-89B8-E80154F65FB8}"/>
    <hyperlink ref="K161" r:id="rId119" xr:uid="{CA9583A9-46E2-4242-8529-202F53E25AF3}"/>
    <hyperlink ref="K170" r:id="rId120" xr:uid="{AD7C5201-1E82-4750-80DB-CAC1E5B5F17E}"/>
    <hyperlink ref="K171" r:id="rId121" xr:uid="{E1AEA0B2-E767-4614-A611-7D4B5606F0A4}"/>
    <hyperlink ref="K172" r:id="rId122" xr:uid="{BBFD954A-845F-4003-BAF5-06364A6B6E73}"/>
    <hyperlink ref="K176" r:id="rId123" xr:uid="{474C5C84-C755-4EE4-9425-CE4BA6CC1A6C}"/>
    <hyperlink ref="K175" r:id="rId124" xr:uid="{ACAA9F02-EDDE-4CF7-9518-CE56122A7A4D}"/>
    <hyperlink ref="K180" r:id="rId125" xr:uid="{1781E22C-B218-4DB6-B5D7-889A886D7453}"/>
    <hyperlink ref="K177" r:id="rId126" xr:uid="{B278845A-0531-4D74-8910-8FADE71A00AA}"/>
    <hyperlink ref="K174" r:id="rId127" xr:uid="{37725CB9-FF43-49FB-B705-8B5B13901689}"/>
    <hyperlink ref="K173" r:id="rId128" xr:uid="{7C5A0E00-6899-4FCC-83C3-A8BC512AF981}"/>
    <hyperlink ref="K182" r:id="rId129" xr:uid="{3F8B51A1-2BAE-4844-A275-90DF1B104E4D}"/>
    <hyperlink ref="K178" r:id="rId130" xr:uid="{23068B83-EBD6-46EA-8C11-63028C09ECF3}"/>
    <hyperlink ref="K179" r:id="rId131" xr:uid="{FBB70EBA-DE6B-4713-8674-9476C8FE9BCB}"/>
    <hyperlink ref="K181" r:id="rId132" xr:uid="{643C319A-B18A-4C4A-B1F4-E64FB444FFC6}"/>
    <hyperlink ref="K183" r:id="rId133" xr:uid="{B5A858C2-26D0-443A-9567-184C8EF328D3}"/>
    <hyperlink ref="K187" r:id="rId134" xr:uid="{4852F261-60EF-4063-B29B-A8ED7884F494}"/>
    <hyperlink ref="K188" r:id="rId135" xr:uid="{04936FA3-5EF9-4C76-B957-9052EE23F722}"/>
    <hyperlink ref="K191" r:id="rId136" xr:uid="{B9D02476-33C1-4437-9CA0-628EE8C113B3}"/>
    <hyperlink ref="K192" r:id="rId137" xr:uid="{13A828D2-FD00-4758-8AC1-E2980709255B}"/>
    <hyperlink ref="K193" r:id="rId138" xr:uid="{3DC6AC12-475B-4080-85BD-E1C766E349C9}"/>
    <hyperlink ref="K194" r:id="rId139" xr:uid="{9AE03F95-2727-4E2C-A394-F0B50389242B}"/>
    <hyperlink ref="K195" r:id="rId140" xr:uid="{1EB2F9E0-6787-4CCD-96CD-6886AFC00242}"/>
    <hyperlink ref="K196" r:id="rId141" xr:uid="{B31BF1E5-B3D3-4054-8F83-314BB8245B03}"/>
    <hyperlink ref="K197" r:id="rId142" xr:uid="{3B2FD5C9-BB10-457E-9102-7D9E97E20A2B}"/>
    <hyperlink ref="K198" r:id="rId143" xr:uid="{0DC2A69B-FF4D-4370-9B19-103386852D80}"/>
    <hyperlink ref="K199" r:id="rId144" xr:uid="{851A59FA-DE5D-4612-AEAD-ACDE9FE9D9E8}"/>
    <hyperlink ref="K200" r:id="rId145" xr:uid="{7FC39746-36FB-4040-A937-2A62BABCBD5E}"/>
    <hyperlink ref="K202" r:id="rId146" xr:uid="{00137138-6C1B-4F26-A4DE-31DAD7E01203}"/>
    <hyperlink ref="K203" r:id="rId147" xr:uid="{7D634978-77C2-485A-97EC-EBC156559EC4}"/>
    <hyperlink ref="K208" r:id="rId148" xr:uid="{E5409FE4-4D55-4ED9-963E-D67356520EB4}"/>
    <hyperlink ref="K207" r:id="rId149" xr:uid="{B6031164-9FC7-4D0A-9345-B1B5B5F69E61}"/>
    <hyperlink ref="K206" r:id="rId150" xr:uid="{0B8197A8-5FEB-4297-88C3-5CC019A45212}"/>
    <hyperlink ref="K205" r:id="rId151" xr:uid="{06C62FB3-A47A-41BE-B048-B4CD154E45F5}"/>
    <hyperlink ref="K204" r:id="rId152" xr:uid="{AC1AC903-0393-4B71-9E88-C019E92E68A5}"/>
    <hyperlink ref="K214" r:id="rId153" xr:uid="{A506592C-E14D-44C8-8E36-C28EBD5BAB03}"/>
    <hyperlink ref="K220" r:id="rId154" xr:uid="{1BD08D2B-6349-419E-A523-58BABA6223D6}"/>
    <hyperlink ref="K223" r:id="rId155" xr:uid="{EB67DA82-192E-4EFF-A4C4-99DD26130665}"/>
    <hyperlink ref="K219" r:id="rId156" xr:uid="{23BA7688-D7E1-47D8-A9CB-E931F7EE799F}"/>
    <hyperlink ref="K217" r:id="rId157" xr:uid="{9DD2108B-AC43-4F70-9D25-B5C31461E7F0}"/>
    <hyperlink ref="K218" r:id="rId158" xr:uid="{E7D6D6A4-A913-442E-827C-4C5D4A829B2C}"/>
    <hyperlink ref="K213" r:id="rId159" xr:uid="{8B23874A-E6B6-4B4A-81A7-A8EBD2E545A7}"/>
    <hyperlink ref="K225" r:id="rId160" xr:uid="{4D8C0B30-854F-4631-A189-3CCF2F164001}"/>
    <hyperlink ref="K209" r:id="rId161" xr:uid="{E7773625-22D1-4EF7-94E4-FEF47C2502C5}"/>
    <hyperlink ref="K215" r:id="rId162" xr:uid="{6EBB50C8-AFE9-4A8E-B324-74347513CB29}"/>
    <hyperlink ref="K216" r:id="rId163" xr:uid="{8B1524A9-DDDE-47F8-A90E-0E9E8FD4108A}"/>
    <hyperlink ref="K222" r:id="rId164" xr:uid="{985AE325-EB59-4AF1-8126-53B4623E8F24}"/>
    <hyperlink ref="K221" r:id="rId165" xr:uid="{69F30F0C-BD23-4011-8D59-F6B50568C8FF}"/>
    <hyperlink ref="K224" r:id="rId166" xr:uid="{8DA40E5F-0A76-4723-AFBE-443924BF65E9}"/>
    <hyperlink ref="K210" r:id="rId167" xr:uid="{1EF6C5C3-EE56-463D-8663-C6F61F4E8976}"/>
    <hyperlink ref="K212" r:id="rId168" xr:uid="{158F3993-13C9-4D58-BA08-5F4E4FC78FFC}"/>
    <hyperlink ref="K227" r:id="rId169" xr:uid="{8574ABB0-E9A1-4833-B533-A58B9EACDE5C}"/>
    <hyperlink ref="K229" r:id="rId170" xr:uid="{C994EA51-DF7B-4BB1-96CA-06A62CEE867F}"/>
    <hyperlink ref="K230" r:id="rId171" xr:uid="{B6EE9532-E09F-4A6D-A298-A26F692EEB19}"/>
    <hyperlink ref="K235" r:id="rId172" xr:uid="{058B6660-8F37-470B-96AB-E2E64BAB4020}"/>
    <hyperlink ref="K233" r:id="rId173" xr:uid="{ED6CC27B-1E29-4850-9AA7-DA4CB3D872FA}"/>
    <hyperlink ref="K234" r:id="rId174" xr:uid="{63AF7C45-DB5E-492F-BD87-AB76474CE550}"/>
    <hyperlink ref="K238" r:id="rId175" xr:uid="{4D713B97-F59D-41AC-AA50-2F78010D0450}"/>
    <hyperlink ref="K239" r:id="rId176" xr:uid="{39E62900-67B2-42ED-A736-5A25019956A9}"/>
    <hyperlink ref="K240" r:id="rId177" xr:uid="{5627B79D-A648-441F-BFF2-DB804BF958E1}"/>
    <hyperlink ref="K242" r:id="rId178" xr:uid="{54031BFB-E9C2-4833-BECB-441DDD0E1C16}"/>
    <hyperlink ref="K241" r:id="rId179" xr:uid="{11E907C6-2BEA-4C39-AD03-D48E89F13BF1}"/>
    <hyperlink ref="K243" r:id="rId180" xr:uid="{061AE966-1ACA-4AE7-A49B-C3E7D139A840}"/>
    <hyperlink ref="K245" r:id="rId181" xr:uid="{D8BC5C2F-7FE6-4FCB-BFF9-5647A1A5A264}"/>
    <hyperlink ref="K250" r:id="rId182" xr:uid="{85B381F2-8418-417F-83D9-957B4C7E0C37}"/>
    <hyperlink ref="K255" r:id="rId183" xr:uid="{449E8A3E-1321-4AE5-9DC4-4E4FC9B92935}"/>
    <hyperlink ref="K254" r:id="rId184" xr:uid="{B1B11825-C932-4B02-8D78-00FFC71AC3B4}"/>
    <hyperlink ref="K256" r:id="rId185" xr:uid="{34D86A7D-0EFA-4E07-B78D-28F03FE79BDA}"/>
    <hyperlink ref="K257" r:id="rId186" xr:uid="{B7930547-193E-449D-A4A6-15994D145D36}"/>
    <hyperlink ref="K259" r:id="rId187" xr:uid="{82DA557B-440F-4F42-A814-F3277A416314}"/>
    <hyperlink ref="K260" r:id="rId188" xr:uid="{4186A130-85C4-4EFB-861A-361CF5E589C6}"/>
    <hyperlink ref="K261" r:id="rId189" xr:uid="{DC9C73BE-0C0D-469D-ACD0-E51ECDA9A0D1}"/>
    <hyperlink ref="K262" r:id="rId190" xr:uid="{FE313C15-B570-4BAA-8B42-4DA0B213A3A5}"/>
    <hyperlink ref="K258" r:id="rId191" xr:uid="{98A44EC1-840C-42F4-B1F5-7706CCF302F0}"/>
    <hyperlink ref="K263" r:id="rId192" xr:uid="{72A89EAC-C4DC-43CB-94BE-89768A45A863}"/>
    <hyperlink ref="K265" r:id="rId193" xr:uid="{F1C21CBA-D6D6-490E-8423-12425378D8A3}"/>
    <hyperlink ref="K267" r:id="rId194" xr:uid="{0A30E32B-4E5D-4AB4-9343-9163FE1B9620}"/>
    <hyperlink ref="K266" r:id="rId195" xr:uid="{71DF69DA-54E3-455D-8F2A-EAD18DAA687C}"/>
    <hyperlink ref="K268" r:id="rId196" xr:uid="{797F5ED2-34CA-4C40-966B-06236552F134}"/>
    <hyperlink ref="K269" r:id="rId197" xr:uid="{6E04E721-B95E-4AE5-A7DC-7D8D0653F377}"/>
    <hyperlink ref="K270" r:id="rId198" xr:uid="{D2FBD556-D51A-4A76-9869-4DE4AE7183DD}"/>
    <hyperlink ref="K281" r:id="rId199" xr:uid="{57294407-A99B-47CE-A2E4-63D016570A7A}"/>
    <hyperlink ref="K275" r:id="rId200" xr:uid="{78AB7995-439C-43C6-93B3-44A9D6EDC5BB}"/>
    <hyperlink ref="K279" r:id="rId201" xr:uid="{2C8DFA14-9356-4FEC-993A-795377C23CE6}"/>
    <hyperlink ref="K274" r:id="rId202" xr:uid="{3FB862CC-72CE-42AD-AC45-FC66C738BAB5}"/>
    <hyperlink ref="K276" r:id="rId203" xr:uid="{16DDE62B-5044-4607-9C1E-8F8CEC70D9FA}"/>
    <hyperlink ref="K278" r:id="rId204" xr:uid="{999410A6-AB98-46F1-AF59-2D76B6AE94A0}"/>
    <hyperlink ref="K280" r:id="rId205" xr:uid="{DB5E222D-3FA8-4251-AE48-A413FAB94B19}"/>
    <hyperlink ref="K282" r:id="rId206" xr:uid="{C4430417-85DD-4B06-87F8-CD3BF985F386}"/>
    <hyperlink ref="K277" r:id="rId207" xr:uid="{C450D336-53BE-4FC6-9B4A-487631919AFE}"/>
    <hyperlink ref="K283" r:id="rId208" xr:uid="{44EE5188-2E64-4B9C-AB62-3E070B091725}"/>
    <hyperlink ref="K284" r:id="rId209" xr:uid="{71A874A3-DEAB-4B75-B4FE-B3B0646D207F}"/>
    <hyperlink ref="K285" r:id="rId210" xr:uid="{518DF58F-EAA7-4499-A65F-03BDF7993F29}"/>
    <hyperlink ref="K286" r:id="rId211" xr:uid="{472B06F0-3F14-47C5-8EFC-C6B5116A054C}"/>
    <hyperlink ref="K287" r:id="rId212" xr:uid="{273E3B3F-207F-4DE4-97AF-3D269F9E0756}"/>
    <hyperlink ref="K288" r:id="rId213" xr:uid="{F55A66D3-8C8E-426F-9CFE-7D076B0AB25B}"/>
    <hyperlink ref="K289" r:id="rId214" xr:uid="{9B74F365-56D2-425C-BDFA-5065ADF06C36}"/>
    <hyperlink ref="K290" r:id="rId215" xr:uid="{7FF0166C-E037-40B1-94D4-32651DB1CC5A}"/>
    <hyperlink ref="K291" r:id="rId216" xr:uid="{5BBB591B-B28C-44E6-B9EC-2D616823D957}"/>
    <hyperlink ref="K292" r:id="rId217" xr:uid="{D1D3C238-20B0-4CF2-BD04-C4C2C2811D6F}"/>
    <hyperlink ref="K293" r:id="rId218" xr:uid="{60D9F213-D11F-4AE7-918C-113896D4CA17}"/>
    <hyperlink ref="K294" r:id="rId219" xr:uid="{B13CE205-7E87-4B1A-B7E9-490605A1FC99}"/>
    <hyperlink ref="K301" r:id="rId220" xr:uid="{C55AB58A-0284-45EE-BE36-843527CB9FAC}"/>
    <hyperlink ref="K303" r:id="rId221" xr:uid="{9CD6D58A-CAE2-40F4-A13C-4B91561A017F}"/>
    <hyperlink ref="K308" r:id="rId222" xr:uid="{F7A2D625-5DAF-4A43-B7F8-5D69EB327220}"/>
    <hyperlink ref="K306" r:id="rId223" xr:uid="{AFF6B738-61C4-4CC6-ACAC-1BF430E4596C}"/>
    <hyperlink ref="K307" r:id="rId224" xr:uid="{26364A95-3AD8-43CA-9A31-D74A67096676}"/>
    <hyperlink ref="K310" r:id="rId225" xr:uid="{3B869156-C2D6-4640-9447-93F30314648A}"/>
    <hyperlink ref="K309" r:id="rId226" xr:uid="{7A2237FF-7543-4F53-A5E3-5A572F52FBD6}"/>
    <hyperlink ref="K322" r:id="rId227" xr:uid="{82F81D48-0E01-4ED7-92ED-AA0A66B245E4}"/>
    <hyperlink ref="K323" r:id="rId228" xr:uid="{10492A52-6270-4EB5-850B-B03841576992}"/>
    <hyperlink ref="K339" r:id="rId229" xr:uid="{3C636784-F111-4AAC-83D2-1300D7225336}"/>
    <hyperlink ref="K311" r:id="rId230" xr:uid="{F829A3EB-8D75-4F14-A75D-1F6039160BBA}"/>
    <hyperlink ref="K312" r:id="rId231" xr:uid="{7787B426-AF97-472F-B211-30DA939BDAEB}"/>
    <hyperlink ref="K313" r:id="rId232" xr:uid="{170581D9-846B-4C41-8724-BAE9C8958D82}"/>
    <hyperlink ref="K314" r:id="rId233" xr:uid="{50B5B312-A215-4D3C-8CCE-72C6BFFE9805}"/>
    <hyperlink ref="K315" r:id="rId234" xr:uid="{665241D9-8C93-43B6-BD5D-FD909D58B014}"/>
    <hyperlink ref="K317" r:id="rId235" xr:uid="{A12E1839-E1FF-49B3-9090-C0A72BD90715}"/>
    <hyperlink ref="K316" r:id="rId236" xr:uid="{081BFB82-F3A1-4B97-B59C-C2EA3C9CD442}"/>
    <hyperlink ref="K318" r:id="rId237" xr:uid="{DCC4A185-178A-4E31-AE5C-AA132C3DFE91}"/>
    <hyperlink ref="K319" r:id="rId238" xr:uid="{B75B0EC7-B165-4528-9784-5367BA70384B}"/>
    <hyperlink ref="K320" r:id="rId239" xr:uid="{60D5392B-CC7C-48EB-A36C-4344B41248D8}"/>
    <hyperlink ref="K321" r:id="rId240" xr:uid="{43F96F25-DC4C-428C-A3E2-30447649D95C}"/>
    <hyperlink ref="K324" r:id="rId241" xr:uid="{F55E2D9E-26EF-4AC7-9725-059A2C2216CC}"/>
    <hyperlink ref="K325" r:id="rId242" xr:uid="{83889E9D-7F88-44E4-B1CE-9BFB59292D08}"/>
    <hyperlink ref="K326" r:id="rId243" xr:uid="{A00F094C-AB97-462B-9F28-7288B183796B}"/>
    <hyperlink ref="K327" r:id="rId244" xr:uid="{BFF32368-7141-494A-8ACC-4F4C75BAED82}"/>
    <hyperlink ref="K334" r:id="rId245" xr:uid="{3823FC28-C9C5-4550-BB82-D5BD3C56EA85}"/>
    <hyperlink ref="K335" r:id="rId246" xr:uid="{D3A05681-C05C-48B7-9474-96E372F5AD49}"/>
    <hyperlink ref="K333" r:id="rId247" xr:uid="{8F8F8E55-C8AD-4BEE-A74E-5D911486FC7F}"/>
    <hyperlink ref="K328" r:id="rId248" xr:uid="{81D36603-C8B0-4159-8B76-E3B324F9B781}"/>
    <hyperlink ref="K329" r:id="rId249" xr:uid="{092EE768-4301-4480-8C2D-6C6BD801058F}"/>
    <hyperlink ref="K330" r:id="rId250" xr:uid="{ECA748E6-3190-4B37-AD82-96C5AC2CA423}"/>
    <hyperlink ref="K331" r:id="rId251" xr:uid="{97A381C1-6E3A-4006-B115-628FCFF907ED}"/>
    <hyperlink ref="K332" r:id="rId252" xr:uid="{605E62A0-A9FE-4726-85AF-086FF5315775}"/>
    <hyperlink ref="K336" r:id="rId253" xr:uid="{5615DCBD-59BC-4C53-8ABC-31B825F87680}"/>
    <hyperlink ref="K337" r:id="rId254" xr:uid="{63CE4607-4A60-4416-89A8-BA32001FF75B}"/>
    <hyperlink ref="K338" r:id="rId255" xr:uid="{F935F363-BF91-4F98-82A0-91242797B87E}"/>
    <hyperlink ref="K340" r:id="rId256" xr:uid="{F885DD71-C407-446D-9A85-509BE2C7895A}"/>
    <hyperlink ref="K341" r:id="rId257" xr:uid="{E9B2365B-1C4C-4093-B007-8B0F3C00BEC3}"/>
    <hyperlink ref="K345" r:id="rId258" xr:uid="{70BEE714-58D7-4DB6-BBB2-5694785F96AA}"/>
    <hyperlink ref="K346" r:id="rId259" xr:uid="{BB1DAB27-58BD-4E68-9211-A3DE0B0CB15E}"/>
    <hyperlink ref="K347" r:id="rId260" xr:uid="{048A78EE-8AEB-4CAB-AD30-36DB82C5C059}"/>
    <hyperlink ref="K348" r:id="rId261" xr:uid="{9C3ED596-6892-422A-8D2F-07ACE3F45B8D}"/>
    <hyperlink ref="K349" r:id="rId262" xr:uid="{A62A71B7-38E7-43B9-9573-3E7F3E3EB10A}"/>
    <hyperlink ref="K350" r:id="rId263" xr:uid="{3806DCD6-3CE6-415A-B32B-45B968C45529}"/>
    <hyperlink ref="K351" r:id="rId264" xr:uid="{37628982-4168-404B-BBDB-F89677499B36}"/>
    <hyperlink ref="K352" r:id="rId265" xr:uid="{486555B5-081F-494F-B36F-519FB5529480}"/>
    <hyperlink ref="K353" r:id="rId266" xr:uid="{5B7D48BC-EF38-466F-BF0B-602A8F096B60}"/>
    <hyperlink ref="K354" r:id="rId267" xr:uid="{C2C9BF7A-7517-4C9A-AA62-D8F59573ABCA}"/>
    <hyperlink ref="K355" r:id="rId268" xr:uid="{64CCFBA0-6788-4631-89F7-211C62EE9C62}"/>
    <hyperlink ref="K356" r:id="rId269" xr:uid="{C0E4E3E0-D227-45A1-95AA-CE4EDD29616A}"/>
    <hyperlink ref="K359" r:id="rId270" xr:uid="{C4C7F559-0E6F-4F47-8A97-CC612DBBE71E}"/>
    <hyperlink ref="K360" r:id="rId271" xr:uid="{2E41F40F-0247-4673-8DBC-3DF1D6A2AB3F}"/>
    <hyperlink ref="K361" r:id="rId272" xr:uid="{D13E7A80-1979-44E7-ABDA-35D54DE388C8}"/>
    <hyperlink ref="K362" r:id="rId273" xr:uid="{8F699F58-9C9B-4DE2-98CC-1726C04AB67C}"/>
    <hyperlink ref="K363" r:id="rId274" xr:uid="{C2D0FD76-2153-4DDE-BB86-354CD339F23A}"/>
    <hyperlink ref="K368" r:id="rId275" xr:uid="{0F73FAFE-9341-4819-B5EE-8D37C1193B78}"/>
    <hyperlink ref="K369" r:id="rId276" xr:uid="{502CC2A2-3024-4884-BC16-5411BEC70889}"/>
    <hyperlink ref="K370" r:id="rId277" xr:uid="{465830B9-3483-4BDA-99DC-B24F78517AA6}"/>
    <hyperlink ref="K371" r:id="rId278" xr:uid="{D5DD72D4-E47E-4554-8046-B0F36BB4E241}"/>
    <hyperlink ref="K374" r:id="rId279" xr:uid="{F924B9DC-09A0-4D23-A656-E2C4CF7CC9FD}"/>
    <hyperlink ref="K378" r:id="rId280" xr:uid="{4FD14AA9-EC37-458C-B8B3-C70AA49EF1A8}"/>
    <hyperlink ref="K377" r:id="rId281" xr:uid="{A8195EA7-7957-4196-A86C-B4A0421BFD3B}"/>
    <hyperlink ref="K375" r:id="rId282" xr:uid="{1B5242E3-1A91-4FE7-A8FA-4C227891E7F0}"/>
    <hyperlink ref="K376" r:id="rId283" xr:uid="{953E4913-D5EE-4E80-B19B-987AB0B6D7AD}"/>
    <hyperlink ref="K381" r:id="rId284" xr:uid="{12DFBF85-0953-4922-837B-9FBDF96C0A5C}"/>
    <hyperlink ref="K380" r:id="rId285" xr:uid="{EBBCB795-D0E8-4EC9-B869-1BDC2083C999}"/>
    <hyperlink ref="K379" r:id="rId286" xr:uid="{6F4FBBA3-B92F-43F6-A739-F6C700537F6F}"/>
    <hyperlink ref="K382" r:id="rId287" xr:uid="{C357003E-40C7-457B-9712-05DE6575C314}"/>
    <hyperlink ref="K383" r:id="rId288" xr:uid="{9FA2B6CB-8630-4B7F-974F-5B8E839A9D23}"/>
    <hyperlink ref="K386" r:id="rId289" xr:uid="{AACE07AB-5D88-4FAD-9492-C270EAB21D40}"/>
    <hyperlink ref="K384" r:id="rId290" xr:uid="{925A9426-A8FE-4F09-9AC7-B5770B0605CD}"/>
    <hyperlink ref="K385" r:id="rId291" xr:uid="{896EBB13-4163-4A3F-847E-67D0462BF3B7}"/>
    <hyperlink ref="K391" r:id="rId292" xr:uid="{383F9945-FA28-4928-8DD3-CB1CD3C57BF8}"/>
    <hyperlink ref="K387" r:id="rId293" xr:uid="{FC6F9174-2CF8-41EB-AF54-3869C6ADAE44}"/>
    <hyperlink ref="K388" r:id="rId294" xr:uid="{49636B68-4C96-43D4-AB4D-97E703E7B75C}"/>
    <hyperlink ref="K389" r:id="rId295" xr:uid="{C2DF7BEA-CA28-46DC-9441-7DAABE57D1B9}"/>
    <hyperlink ref="K390" r:id="rId296" xr:uid="{3F950DAC-436F-478D-82E5-B40881C31F03}"/>
    <hyperlink ref="K392" r:id="rId297" xr:uid="{0112EA40-7D49-4472-9F7D-8D1261F37024}"/>
    <hyperlink ref="K393" r:id="rId298" xr:uid="{79857000-08D5-4247-BF3C-D38324E93123}"/>
    <hyperlink ref="K244" r:id="rId299" xr:uid="{740BC51C-B034-4338-8BDC-0E1CE254FF46}"/>
  </hyperlinks>
  <pageMargins left="0.7" right="0.7" top="0.75" bottom="0.75" header="0.3" footer="0.3"/>
  <legacyDrawing r:id="rId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EC25-81C1-4C7F-BB1B-D868E099C0C6}">
  <dimension ref="A1:G74"/>
  <sheetViews>
    <sheetView workbookViewId="0">
      <selection activeCell="E4" sqref="A1:G74"/>
    </sheetView>
  </sheetViews>
  <sheetFormatPr defaultRowHeight="15.75" x14ac:dyDescent="0.25"/>
  <cols>
    <col min="2" max="2" width="25.5" customWidth="1"/>
    <col min="3" max="3" width="14" style="43" customWidth="1"/>
    <col min="4" max="4" width="11.875" customWidth="1"/>
    <col min="5" max="5" width="14.875" style="56" customWidth="1"/>
    <col min="6" max="6" width="12.625" style="56" customWidth="1"/>
    <col min="7" max="7" width="9" style="56"/>
  </cols>
  <sheetData>
    <row r="1" spans="1:7" x14ac:dyDescent="0.25">
      <c r="A1" s="45" t="s">
        <v>2217</v>
      </c>
      <c r="B1" s="45" t="s">
        <v>1965</v>
      </c>
      <c r="C1" s="45" t="s">
        <v>2291</v>
      </c>
      <c r="D1" s="45" t="s">
        <v>2290</v>
      </c>
      <c r="E1" s="72" t="s">
        <v>2296</v>
      </c>
      <c r="F1" s="72" t="s">
        <v>3337</v>
      </c>
      <c r="G1" s="72" t="s">
        <v>2870</v>
      </c>
    </row>
    <row r="2" spans="1:7" x14ac:dyDescent="0.25">
      <c r="A2" s="43" t="s">
        <v>2218</v>
      </c>
      <c r="B2" s="43" t="s">
        <v>386</v>
      </c>
      <c r="C2" s="43">
        <v>11</v>
      </c>
      <c r="D2" s="43">
        <v>12</v>
      </c>
      <c r="E2" s="56">
        <v>0.62916666666666599</v>
      </c>
      <c r="F2" s="56">
        <v>0.65</v>
      </c>
      <c r="G2" s="56">
        <v>0.51700000000000002</v>
      </c>
    </row>
    <row r="3" spans="1:7" x14ac:dyDescent="0.25">
      <c r="A3" s="43" t="s">
        <v>2219</v>
      </c>
      <c r="B3" s="43" t="s">
        <v>410</v>
      </c>
      <c r="C3" s="43">
        <v>6</v>
      </c>
      <c r="D3" s="43">
        <v>1</v>
      </c>
      <c r="E3" s="56">
        <v>1</v>
      </c>
      <c r="F3" s="56">
        <v>1</v>
      </c>
      <c r="G3" s="56">
        <v>1</v>
      </c>
    </row>
    <row r="4" spans="1:7" x14ac:dyDescent="0.25">
      <c r="A4" s="43" t="s">
        <v>2220</v>
      </c>
      <c r="B4" s="43" t="s">
        <v>552</v>
      </c>
      <c r="C4" s="43">
        <v>6</v>
      </c>
      <c r="D4" s="43">
        <v>1</v>
      </c>
      <c r="E4" s="56">
        <v>0.75</v>
      </c>
      <c r="F4" s="56">
        <v>1</v>
      </c>
      <c r="G4" s="56">
        <v>0.75</v>
      </c>
    </row>
    <row r="5" spans="1:7" x14ac:dyDescent="0.25">
      <c r="A5" s="43" t="s">
        <v>2221</v>
      </c>
      <c r="B5" s="43" t="s">
        <v>782</v>
      </c>
      <c r="C5" s="43">
        <v>13</v>
      </c>
      <c r="D5" s="43">
        <v>2</v>
      </c>
      <c r="E5" s="56">
        <v>0.16666666666666599</v>
      </c>
      <c r="F5" s="56">
        <v>0.125</v>
      </c>
      <c r="G5" s="56">
        <v>0.16700000000000001</v>
      </c>
    </row>
    <row r="6" spans="1:7" x14ac:dyDescent="0.25">
      <c r="A6" s="43" t="s">
        <v>2222</v>
      </c>
      <c r="B6" s="43" t="s">
        <v>1141</v>
      </c>
      <c r="C6" s="43">
        <v>9</v>
      </c>
      <c r="D6" s="43">
        <v>6</v>
      </c>
      <c r="E6" s="56">
        <v>0.38888888888888801</v>
      </c>
      <c r="F6" s="56">
        <v>0.66700000000000004</v>
      </c>
      <c r="G6" s="56">
        <v>0.38900000000000001</v>
      </c>
    </row>
    <row r="7" spans="1:7" x14ac:dyDescent="0.25">
      <c r="A7" s="43" t="s">
        <v>2223</v>
      </c>
      <c r="B7" s="43" t="s">
        <v>1457</v>
      </c>
      <c r="C7" s="43">
        <v>11</v>
      </c>
      <c r="D7" s="43">
        <v>10</v>
      </c>
      <c r="E7" s="56">
        <v>0.58541666666666603</v>
      </c>
      <c r="F7" s="56">
        <v>0.9</v>
      </c>
      <c r="G7" s="56">
        <v>0.48099999999999998</v>
      </c>
    </row>
    <row r="8" spans="1:7" x14ac:dyDescent="0.25">
      <c r="A8" s="43" t="s">
        <v>2224</v>
      </c>
      <c r="B8" s="43" t="s">
        <v>1863</v>
      </c>
      <c r="C8" s="43">
        <v>6</v>
      </c>
      <c r="D8" s="43">
        <v>1</v>
      </c>
      <c r="E8" s="56">
        <v>0.4</v>
      </c>
      <c r="F8" s="56">
        <v>0</v>
      </c>
      <c r="G8" s="56">
        <v>0.4</v>
      </c>
    </row>
    <row r="9" spans="1:7" x14ac:dyDescent="0.25">
      <c r="A9" s="43" t="s">
        <v>2225</v>
      </c>
      <c r="B9" s="43" t="s">
        <v>659</v>
      </c>
      <c r="C9" s="43">
        <v>13</v>
      </c>
      <c r="D9" s="43">
        <v>2</v>
      </c>
      <c r="E9" s="56">
        <v>0.72727272727272696</v>
      </c>
      <c r="F9" s="56">
        <v>0.75</v>
      </c>
      <c r="G9" s="56">
        <v>0.72699999999999998</v>
      </c>
    </row>
    <row r="10" spans="1:7" x14ac:dyDescent="0.25">
      <c r="A10" s="43" t="s">
        <v>2226</v>
      </c>
      <c r="B10" s="43" t="s">
        <v>2292</v>
      </c>
      <c r="C10" s="43">
        <v>27</v>
      </c>
      <c r="D10" s="43">
        <v>22</v>
      </c>
      <c r="E10" s="56">
        <v>0.57108585858585803</v>
      </c>
      <c r="F10" s="56">
        <v>0.68600000000000005</v>
      </c>
      <c r="G10" s="56">
        <v>0.57099999999999995</v>
      </c>
    </row>
    <row r="11" spans="1:7" x14ac:dyDescent="0.25">
      <c r="A11" s="43" t="s">
        <v>2227</v>
      </c>
      <c r="B11" s="43" t="s">
        <v>1245</v>
      </c>
      <c r="C11" s="43">
        <v>9</v>
      </c>
      <c r="D11" s="43">
        <v>2</v>
      </c>
      <c r="E11" s="56">
        <v>0.78571428571428503</v>
      </c>
      <c r="F11" s="56">
        <v>0.75</v>
      </c>
      <c r="G11" s="56">
        <v>0.78600000000000003</v>
      </c>
    </row>
    <row r="12" spans="1:7" x14ac:dyDescent="0.25">
      <c r="A12" s="43" t="s">
        <v>2228</v>
      </c>
      <c r="B12" s="43" t="s">
        <v>2293</v>
      </c>
      <c r="C12" s="43">
        <v>12</v>
      </c>
      <c r="D12" s="43">
        <v>15</v>
      </c>
      <c r="E12" s="56">
        <v>0.64444444444444404</v>
      </c>
      <c r="F12" s="56">
        <v>0.84399999999999997</v>
      </c>
      <c r="G12" s="56">
        <v>0.64400000000000002</v>
      </c>
    </row>
    <row r="13" spans="1:7" x14ac:dyDescent="0.25">
      <c r="A13" s="43" t="s">
        <v>2229</v>
      </c>
      <c r="B13" s="43" t="s">
        <v>1390</v>
      </c>
      <c r="C13" s="43">
        <v>32</v>
      </c>
      <c r="D13" s="43">
        <v>7</v>
      </c>
      <c r="E13" s="56">
        <v>0.56152279093455504</v>
      </c>
      <c r="F13" s="56">
        <v>0.503</v>
      </c>
      <c r="G13" s="56">
        <v>0.56200000000000006</v>
      </c>
    </row>
    <row r="14" spans="1:7" x14ac:dyDescent="0.25">
      <c r="A14" s="43" t="s">
        <v>2230</v>
      </c>
      <c r="B14" s="43" t="s">
        <v>2294</v>
      </c>
      <c r="C14" s="43">
        <v>17</v>
      </c>
      <c r="D14" s="43">
        <v>4</v>
      </c>
      <c r="E14" s="56">
        <v>0.42307692307692302</v>
      </c>
      <c r="F14" s="56">
        <v>0.438</v>
      </c>
      <c r="G14" s="56">
        <v>0.42299999999999999</v>
      </c>
    </row>
    <row r="15" spans="1:7" x14ac:dyDescent="0.25">
      <c r="A15" s="43" t="s">
        <v>2231</v>
      </c>
      <c r="B15" s="43" t="s">
        <v>2295</v>
      </c>
      <c r="C15" s="43">
        <v>15</v>
      </c>
      <c r="D15" s="43">
        <v>1</v>
      </c>
      <c r="E15" s="56">
        <v>0.4</v>
      </c>
      <c r="F15" s="56">
        <v>0.625</v>
      </c>
      <c r="G15" s="56">
        <v>0.4</v>
      </c>
    </row>
    <row r="16" spans="1:7" x14ac:dyDescent="0.25">
      <c r="A16" s="43" t="s">
        <v>2232</v>
      </c>
      <c r="B16" s="43" t="s">
        <v>302</v>
      </c>
      <c r="C16" s="43">
        <v>17</v>
      </c>
      <c r="D16" s="43">
        <v>3</v>
      </c>
      <c r="E16" s="56">
        <v>0.72643097643097598</v>
      </c>
      <c r="F16" s="56">
        <v>0.85</v>
      </c>
      <c r="G16" s="56">
        <v>0.72599999999999998</v>
      </c>
    </row>
    <row r="17" spans="1:7" x14ac:dyDescent="0.25">
      <c r="A17" s="43" t="s">
        <v>2233</v>
      </c>
      <c r="B17" s="43" t="s">
        <v>917</v>
      </c>
      <c r="C17" s="43">
        <v>23</v>
      </c>
      <c r="D17" s="43">
        <v>5</v>
      </c>
      <c r="E17" s="56">
        <v>0.62972136222910202</v>
      </c>
      <c r="F17" s="56">
        <v>0.9</v>
      </c>
      <c r="G17" s="56">
        <v>0.63</v>
      </c>
    </row>
    <row r="18" spans="1:7" x14ac:dyDescent="0.25">
      <c r="A18" s="43" t="s">
        <v>2234</v>
      </c>
      <c r="B18" s="43" t="s">
        <v>1312</v>
      </c>
      <c r="C18" s="43">
        <v>24</v>
      </c>
      <c r="D18" s="43">
        <v>2</v>
      </c>
      <c r="E18" s="56">
        <v>0.49415204678362501</v>
      </c>
      <c r="F18" s="56">
        <v>0.75</v>
      </c>
      <c r="G18" s="56">
        <v>0.49399999999999999</v>
      </c>
    </row>
    <row r="19" spans="1:7" x14ac:dyDescent="0.25">
      <c r="A19" s="43" t="s">
        <v>2235</v>
      </c>
      <c r="B19" s="43" t="s">
        <v>1474</v>
      </c>
      <c r="C19" s="43">
        <v>15</v>
      </c>
      <c r="D19" s="43">
        <v>3</v>
      </c>
      <c r="E19" s="56">
        <v>0.66666666666666596</v>
      </c>
      <c r="F19" s="56">
        <v>0.75</v>
      </c>
      <c r="G19" s="56">
        <v>0.66700000000000004</v>
      </c>
    </row>
    <row r="20" spans="1:7" x14ac:dyDescent="0.25">
      <c r="A20" s="43" t="s">
        <v>2236</v>
      </c>
      <c r="B20" s="43" t="s">
        <v>1613</v>
      </c>
      <c r="C20" s="43">
        <v>20</v>
      </c>
      <c r="D20" s="43">
        <v>13</v>
      </c>
      <c r="E20" s="56">
        <v>0.74006410256410204</v>
      </c>
      <c r="F20" s="56">
        <v>0.92300000000000004</v>
      </c>
      <c r="G20" s="56">
        <v>0.74</v>
      </c>
    </row>
    <row r="21" spans="1:7" x14ac:dyDescent="0.25">
      <c r="A21" s="43" t="s">
        <v>2237</v>
      </c>
      <c r="B21" s="43" t="s">
        <v>1723</v>
      </c>
      <c r="C21" s="43">
        <v>16</v>
      </c>
      <c r="D21" s="43">
        <v>3</v>
      </c>
      <c r="E21" s="56">
        <v>0.53333333333333299</v>
      </c>
      <c r="F21" s="56">
        <v>0.66700000000000004</v>
      </c>
      <c r="G21" s="56">
        <v>0.53300000000000003</v>
      </c>
    </row>
    <row r="22" spans="1:7" x14ac:dyDescent="0.25">
      <c r="A22" s="43" t="s">
        <v>2238</v>
      </c>
      <c r="B22" s="43" t="s">
        <v>1854</v>
      </c>
      <c r="C22" s="43">
        <v>4</v>
      </c>
      <c r="D22" s="43">
        <v>3</v>
      </c>
      <c r="E22" s="56">
        <v>0</v>
      </c>
      <c r="F22" s="56">
        <v>1</v>
      </c>
      <c r="G22" s="56">
        <v>0</v>
      </c>
    </row>
    <row r="23" spans="1:7" x14ac:dyDescent="0.25">
      <c r="A23" s="43" t="s">
        <v>2239</v>
      </c>
      <c r="B23" s="43" t="s">
        <v>422</v>
      </c>
      <c r="C23" s="43">
        <v>13</v>
      </c>
      <c r="D23" s="43">
        <v>11</v>
      </c>
      <c r="E23" s="56">
        <v>0.72499999999999998</v>
      </c>
      <c r="F23" s="56">
        <v>0.77300000000000002</v>
      </c>
      <c r="G23" s="56">
        <v>0.72499999999999998</v>
      </c>
    </row>
    <row r="24" spans="1:7" x14ac:dyDescent="0.25">
      <c r="A24" s="43" t="s">
        <v>2240</v>
      </c>
      <c r="B24" s="43" t="s">
        <v>636</v>
      </c>
      <c r="C24" s="43">
        <v>12</v>
      </c>
      <c r="D24" s="43">
        <v>12</v>
      </c>
      <c r="E24" s="56">
        <v>0.69940476190476097</v>
      </c>
      <c r="F24" s="56">
        <v>0.85399999999999998</v>
      </c>
      <c r="G24" s="56">
        <v>0.69899999999999995</v>
      </c>
    </row>
    <row r="25" spans="1:7" x14ac:dyDescent="0.25">
      <c r="A25" s="43" t="s">
        <v>2241</v>
      </c>
      <c r="B25" s="43" t="s">
        <v>682</v>
      </c>
      <c r="C25" s="43">
        <v>10</v>
      </c>
      <c r="D25" s="43">
        <v>9</v>
      </c>
      <c r="E25" s="56">
        <v>0.47134038800705402</v>
      </c>
      <c r="F25" s="56">
        <v>0.88900000000000001</v>
      </c>
      <c r="G25" s="56">
        <v>0.47099999999999997</v>
      </c>
    </row>
    <row r="26" spans="1:7" x14ac:dyDescent="0.25">
      <c r="A26" s="43" t="s">
        <v>2242</v>
      </c>
      <c r="B26" s="43" t="s">
        <v>1220</v>
      </c>
      <c r="C26" s="43">
        <v>15</v>
      </c>
      <c r="D26" s="43">
        <v>5</v>
      </c>
      <c r="E26" s="56">
        <v>0.57999999999999996</v>
      </c>
      <c r="F26" s="56">
        <v>0.92</v>
      </c>
      <c r="G26" s="56">
        <v>0.57999999999999996</v>
      </c>
    </row>
    <row r="27" spans="1:7" x14ac:dyDescent="0.25">
      <c r="A27" s="43" t="s">
        <v>2243</v>
      </c>
      <c r="B27" s="43" t="s">
        <v>1169</v>
      </c>
      <c r="C27" s="43">
        <v>14</v>
      </c>
      <c r="D27" s="43">
        <v>9</v>
      </c>
      <c r="E27" s="56">
        <v>0.58024691358024605</v>
      </c>
      <c r="F27" s="56">
        <v>0.84399999999999997</v>
      </c>
      <c r="G27" s="56">
        <v>0.57999999999999996</v>
      </c>
    </row>
    <row r="28" spans="1:7" x14ac:dyDescent="0.25">
      <c r="A28" s="43" t="s">
        <v>2244</v>
      </c>
      <c r="B28" s="43" t="s">
        <v>1436</v>
      </c>
      <c r="C28" s="43">
        <v>10</v>
      </c>
      <c r="D28" s="43">
        <v>2</v>
      </c>
      <c r="E28" s="56">
        <v>0.64285714285714202</v>
      </c>
      <c r="F28" s="56">
        <v>0.66700000000000004</v>
      </c>
      <c r="G28" s="56">
        <v>0.64300000000000002</v>
      </c>
    </row>
    <row r="29" spans="1:7" x14ac:dyDescent="0.25">
      <c r="A29" s="43" t="s">
        <v>2245</v>
      </c>
      <c r="B29" s="43" t="s">
        <v>506</v>
      </c>
      <c r="C29" s="43">
        <v>23</v>
      </c>
      <c r="D29" s="43">
        <v>10</v>
      </c>
      <c r="E29" s="56">
        <v>0.72222222222222199</v>
      </c>
      <c r="F29" s="56">
        <v>0.72199999999999998</v>
      </c>
      <c r="G29" s="56">
        <v>0.623</v>
      </c>
    </row>
    <row r="30" spans="1:7" x14ac:dyDescent="0.25">
      <c r="A30" s="43" t="s">
        <v>2246</v>
      </c>
      <c r="B30" s="43" t="s">
        <v>1077</v>
      </c>
      <c r="C30" s="43">
        <v>11</v>
      </c>
      <c r="D30" s="43">
        <v>2</v>
      </c>
      <c r="E30" s="56">
        <v>0.875</v>
      </c>
      <c r="F30" s="56">
        <v>0.71399999999999997</v>
      </c>
      <c r="G30" s="56">
        <v>0.875</v>
      </c>
    </row>
    <row r="31" spans="1:7" x14ac:dyDescent="0.25">
      <c r="A31" s="43" t="s">
        <v>2247</v>
      </c>
      <c r="B31" s="43" t="s">
        <v>760</v>
      </c>
      <c r="C31" s="43">
        <v>11</v>
      </c>
      <c r="D31" s="43">
        <v>2</v>
      </c>
      <c r="E31" s="56">
        <v>0.29166666666666602</v>
      </c>
      <c r="F31" s="56">
        <v>0.5</v>
      </c>
      <c r="G31" s="56">
        <v>0.188</v>
      </c>
    </row>
    <row r="32" spans="1:7" x14ac:dyDescent="0.25">
      <c r="A32" s="43" t="s">
        <v>2248</v>
      </c>
      <c r="B32" s="43" t="s">
        <v>1030</v>
      </c>
      <c r="C32" s="43">
        <v>25</v>
      </c>
      <c r="D32" s="43">
        <v>2</v>
      </c>
      <c r="E32" s="56">
        <v>0.48412698412698402</v>
      </c>
      <c r="F32" s="56">
        <v>0.42899999999999999</v>
      </c>
      <c r="G32" s="56">
        <v>0.16700000000000001</v>
      </c>
    </row>
    <row r="33" spans="1:7" x14ac:dyDescent="0.25">
      <c r="A33" s="43" t="s">
        <v>2249</v>
      </c>
      <c r="B33" s="43" t="s">
        <v>1267</v>
      </c>
      <c r="C33" s="43">
        <v>14</v>
      </c>
      <c r="D33" s="43">
        <v>1</v>
      </c>
      <c r="E33" s="56">
        <v>0</v>
      </c>
      <c r="F33" s="56">
        <v>0.5</v>
      </c>
      <c r="G33" s="56">
        <v>0</v>
      </c>
    </row>
    <row r="34" spans="1:7" x14ac:dyDescent="0.25">
      <c r="A34" s="43" t="s">
        <v>2250</v>
      </c>
      <c r="B34" s="43" t="s">
        <v>1366</v>
      </c>
      <c r="C34" s="43">
        <v>15</v>
      </c>
      <c r="D34" s="43">
        <v>11</v>
      </c>
      <c r="E34" s="56">
        <v>0.63636363636363602</v>
      </c>
      <c r="F34" s="56">
        <v>0.63600000000000001</v>
      </c>
      <c r="G34" s="56">
        <v>0.66100000000000003</v>
      </c>
    </row>
    <row r="35" spans="1:7" x14ac:dyDescent="0.25">
      <c r="A35" s="43" t="s">
        <v>2251</v>
      </c>
      <c r="B35" s="43" t="s">
        <v>891</v>
      </c>
      <c r="C35" s="43">
        <v>13</v>
      </c>
      <c r="D35" s="43">
        <v>2</v>
      </c>
      <c r="E35" s="56">
        <v>0.9</v>
      </c>
      <c r="F35" s="56">
        <v>0.83299999999999996</v>
      </c>
      <c r="G35" s="56">
        <v>0.9</v>
      </c>
    </row>
    <row r="36" spans="1:7" x14ac:dyDescent="0.25">
      <c r="A36" s="43" t="s">
        <v>2252</v>
      </c>
      <c r="B36" s="43" t="s">
        <v>818</v>
      </c>
      <c r="C36" s="43">
        <v>22</v>
      </c>
      <c r="D36" s="43">
        <v>11</v>
      </c>
      <c r="E36" s="56">
        <v>0.76054664289958396</v>
      </c>
      <c r="F36" s="56">
        <v>0.84099999999999997</v>
      </c>
      <c r="G36" s="56">
        <v>0.76100000000000001</v>
      </c>
    </row>
    <row r="37" spans="1:7" x14ac:dyDescent="0.25">
      <c r="A37" s="43" t="s">
        <v>2253</v>
      </c>
      <c r="B37" s="43" t="s">
        <v>994</v>
      </c>
      <c r="C37" s="43">
        <v>10</v>
      </c>
      <c r="D37" s="43">
        <v>4</v>
      </c>
      <c r="E37" s="56">
        <v>1</v>
      </c>
      <c r="F37" s="56">
        <v>1</v>
      </c>
      <c r="G37" s="56">
        <v>1</v>
      </c>
    </row>
    <row r="38" spans="1:7" x14ac:dyDescent="0.25">
      <c r="A38" s="43" t="s">
        <v>2254</v>
      </c>
      <c r="B38" s="43" t="s">
        <v>1097</v>
      </c>
      <c r="C38" s="43">
        <v>14</v>
      </c>
      <c r="D38" s="43">
        <v>5</v>
      </c>
      <c r="E38" s="56">
        <v>0.78</v>
      </c>
      <c r="F38" s="56">
        <v>0.75</v>
      </c>
      <c r="G38" s="56">
        <v>0.78</v>
      </c>
    </row>
    <row r="39" spans="1:7" x14ac:dyDescent="0.25">
      <c r="A39" s="43" t="s">
        <v>2255</v>
      </c>
      <c r="B39" s="43" t="s">
        <v>1685</v>
      </c>
      <c r="C39" s="43">
        <v>14</v>
      </c>
      <c r="D39" s="43">
        <v>26</v>
      </c>
      <c r="E39" s="56">
        <v>0.757692307692307</v>
      </c>
      <c r="F39" s="56">
        <v>0.82699999999999996</v>
      </c>
      <c r="G39" s="56">
        <v>0.75800000000000001</v>
      </c>
    </row>
    <row r="40" spans="1:7" x14ac:dyDescent="0.25">
      <c r="A40" s="43" t="s">
        <v>2256</v>
      </c>
      <c r="B40" s="43" t="s">
        <v>1712</v>
      </c>
      <c r="C40" s="43">
        <v>6</v>
      </c>
      <c r="D40" s="43">
        <v>1</v>
      </c>
      <c r="E40" s="56">
        <v>0.5</v>
      </c>
      <c r="F40" s="56">
        <v>0</v>
      </c>
      <c r="G40" s="56">
        <v>0.5</v>
      </c>
    </row>
    <row r="41" spans="1:7" x14ac:dyDescent="0.25">
      <c r="A41" s="43" t="s">
        <v>2257</v>
      </c>
      <c r="B41" s="43" t="s">
        <v>1874</v>
      </c>
      <c r="C41" s="43">
        <v>20</v>
      </c>
      <c r="D41" s="43">
        <v>5</v>
      </c>
      <c r="E41" s="56">
        <v>0.37763157894736799</v>
      </c>
      <c r="F41" s="56">
        <v>0.8</v>
      </c>
      <c r="G41" s="56">
        <v>0.378</v>
      </c>
    </row>
    <row r="42" spans="1:7" x14ac:dyDescent="0.25">
      <c r="A42" s="43" t="s">
        <v>2258</v>
      </c>
      <c r="B42" s="43" t="s">
        <v>1909</v>
      </c>
      <c r="C42" s="43">
        <v>20</v>
      </c>
      <c r="D42" s="43">
        <v>4</v>
      </c>
      <c r="E42" s="56">
        <v>0.8</v>
      </c>
      <c r="F42" s="56">
        <v>0.8</v>
      </c>
      <c r="G42" s="56">
        <v>0.8</v>
      </c>
    </row>
    <row r="43" spans="1:7" x14ac:dyDescent="0.25">
      <c r="A43" s="43" t="s">
        <v>2259</v>
      </c>
      <c r="B43" s="43" t="s">
        <v>485</v>
      </c>
      <c r="C43" s="43">
        <v>11</v>
      </c>
      <c r="D43" s="43">
        <v>1</v>
      </c>
      <c r="E43" s="56">
        <v>0.75</v>
      </c>
      <c r="F43" s="56">
        <v>1</v>
      </c>
      <c r="G43" s="56">
        <v>0.75</v>
      </c>
    </row>
    <row r="44" spans="1:7" x14ac:dyDescent="0.25">
      <c r="A44" s="43" t="s">
        <v>2260</v>
      </c>
      <c r="B44" s="43" t="s">
        <v>972</v>
      </c>
      <c r="C44" s="43">
        <v>12</v>
      </c>
      <c r="D44" s="43">
        <v>1</v>
      </c>
      <c r="E44" s="56">
        <v>0.7</v>
      </c>
      <c r="F44" s="56">
        <v>1</v>
      </c>
      <c r="G44" s="56">
        <v>0.7</v>
      </c>
    </row>
    <row r="45" spans="1:7" x14ac:dyDescent="0.25">
      <c r="A45" s="43" t="s">
        <v>2261</v>
      </c>
      <c r="B45" s="43" t="s">
        <v>957</v>
      </c>
      <c r="C45" s="43">
        <v>7</v>
      </c>
      <c r="D45" s="43">
        <v>3</v>
      </c>
      <c r="E45" s="56">
        <v>1</v>
      </c>
      <c r="F45" s="56">
        <v>1</v>
      </c>
      <c r="G45" s="56">
        <v>1</v>
      </c>
    </row>
    <row r="46" spans="1:7" x14ac:dyDescent="0.25">
      <c r="A46" s="43" t="s">
        <v>2262</v>
      </c>
      <c r="B46" s="43" t="s">
        <v>1655</v>
      </c>
      <c r="C46" s="43">
        <v>8</v>
      </c>
      <c r="D46" s="43">
        <v>2</v>
      </c>
      <c r="E46" s="56">
        <v>0.83333333333333304</v>
      </c>
      <c r="F46" s="56">
        <v>0.5</v>
      </c>
      <c r="G46" s="56">
        <v>0.83299999999999996</v>
      </c>
    </row>
    <row r="47" spans="1:7" x14ac:dyDescent="0.25">
      <c r="A47" s="43" t="s">
        <v>2263</v>
      </c>
      <c r="B47" s="43" t="s">
        <v>1809</v>
      </c>
      <c r="C47" s="43">
        <v>15</v>
      </c>
      <c r="D47" s="43">
        <v>2</v>
      </c>
      <c r="E47" s="56">
        <v>0.3125</v>
      </c>
      <c r="F47" s="56">
        <v>0.71399999999999997</v>
      </c>
      <c r="G47" s="56">
        <v>0.312</v>
      </c>
    </row>
    <row r="48" spans="1:7" x14ac:dyDescent="0.25">
      <c r="A48" s="43" t="s">
        <v>2264</v>
      </c>
      <c r="B48" s="43" t="s">
        <v>1949</v>
      </c>
      <c r="C48" s="43">
        <v>8</v>
      </c>
      <c r="D48" s="43">
        <v>2</v>
      </c>
      <c r="E48" s="56">
        <v>0.3</v>
      </c>
      <c r="F48" s="56">
        <v>0.66700000000000004</v>
      </c>
      <c r="G48" s="56">
        <v>0.3</v>
      </c>
    </row>
    <row r="49" spans="1:7" x14ac:dyDescent="0.25">
      <c r="A49" s="43" t="s">
        <v>2265</v>
      </c>
      <c r="B49" s="43" t="s">
        <v>271</v>
      </c>
      <c r="C49" s="43">
        <v>15</v>
      </c>
      <c r="D49" s="43">
        <v>2</v>
      </c>
      <c r="E49" s="56">
        <v>0.59090909090909005</v>
      </c>
      <c r="F49" s="56">
        <v>1</v>
      </c>
      <c r="G49" s="56">
        <v>0.59099999999999997</v>
      </c>
    </row>
    <row r="50" spans="1:7" x14ac:dyDescent="0.25">
      <c r="A50" s="43" t="s">
        <v>2266</v>
      </c>
      <c r="B50" s="43" t="s">
        <v>581</v>
      </c>
      <c r="C50" s="43">
        <v>18</v>
      </c>
      <c r="D50" s="43">
        <v>18</v>
      </c>
      <c r="E50" s="56">
        <v>0.82323232323232298</v>
      </c>
      <c r="F50" s="56">
        <v>0.89800000000000002</v>
      </c>
      <c r="G50" s="56">
        <v>0.81799999999999995</v>
      </c>
    </row>
    <row r="51" spans="1:7" x14ac:dyDescent="0.25">
      <c r="A51" s="43" t="s">
        <v>2267</v>
      </c>
      <c r="B51" s="43" t="s">
        <v>701</v>
      </c>
      <c r="C51" s="43">
        <v>15</v>
      </c>
      <c r="D51" s="43">
        <v>5</v>
      </c>
      <c r="E51" s="56">
        <v>0.8</v>
      </c>
      <c r="F51" s="56">
        <v>0.73299999999999998</v>
      </c>
      <c r="G51" s="56">
        <v>0.8</v>
      </c>
    </row>
    <row r="52" spans="1:7" x14ac:dyDescent="0.25">
      <c r="A52" s="43" t="s">
        <v>2268</v>
      </c>
      <c r="B52" s="43" t="s">
        <v>859</v>
      </c>
      <c r="C52" s="43">
        <v>12</v>
      </c>
      <c r="D52" s="43">
        <v>9</v>
      </c>
      <c r="E52" s="56">
        <v>0.72222222222222199</v>
      </c>
      <c r="F52" s="56">
        <v>0.66700000000000004</v>
      </c>
      <c r="G52" s="56">
        <v>0.61099999999999999</v>
      </c>
    </row>
    <row r="53" spans="1:7" x14ac:dyDescent="0.25">
      <c r="A53" s="43" t="s">
        <v>2269</v>
      </c>
      <c r="B53" s="43" t="s">
        <v>1155</v>
      </c>
      <c r="C53" s="43">
        <v>8</v>
      </c>
      <c r="D53" s="43">
        <v>17</v>
      </c>
      <c r="E53" s="56">
        <v>0.64565826330532206</v>
      </c>
      <c r="F53" s="56">
        <v>0.82399999999999995</v>
      </c>
      <c r="G53" s="56">
        <v>0.64600000000000002</v>
      </c>
    </row>
    <row r="54" spans="1:7" x14ac:dyDescent="0.25">
      <c r="A54" s="43" t="s">
        <v>2270</v>
      </c>
      <c r="B54" s="43" t="s">
        <v>256</v>
      </c>
      <c r="C54" s="43">
        <v>7</v>
      </c>
      <c r="D54" s="43">
        <v>1</v>
      </c>
      <c r="E54" s="56">
        <v>1</v>
      </c>
      <c r="F54" s="56">
        <v>1</v>
      </c>
      <c r="G54" s="56">
        <v>0.83299999999999996</v>
      </c>
    </row>
    <row r="55" spans="1:7" x14ac:dyDescent="0.25">
      <c r="A55" s="43" t="s">
        <v>2271</v>
      </c>
      <c r="B55" s="43" t="s">
        <v>567</v>
      </c>
      <c r="C55" s="43">
        <v>7</v>
      </c>
      <c r="D55" s="43">
        <v>1</v>
      </c>
      <c r="E55" s="56">
        <v>1</v>
      </c>
      <c r="F55" s="56">
        <v>1</v>
      </c>
      <c r="G55" s="56">
        <v>1</v>
      </c>
    </row>
    <row r="56" spans="1:7" x14ac:dyDescent="0.25">
      <c r="A56" s="43" t="s">
        <v>2272</v>
      </c>
      <c r="B56" s="43" t="s">
        <v>1125</v>
      </c>
      <c r="C56" s="43">
        <v>9</v>
      </c>
      <c r="D56" s="43">
        <v>4</v>
      </c>
      <c r="E56" s="56">
        <v>0.5</v>
      </c>
      <c r="F56" s="56">
        <v>0.875</v>
      </c>
      <c r="G56" s="56">
        <v>0.5</v>
      </c>
    </row>
    <row r="57" spans="1:7" x14ac:dyDescent="0.25">
      <c r="A57" s="43" t="s">
        <v>2273</v>
      </c>
      <c r="B57" s="43" t="s">
        <v>1259</v>
      </c>
      <c r="C57" s="43">
        <v>4</v>
      </c>
      <c r="D57" s="43">
        <v>2</v>
      </c>
      <c r="E57" s="56">
        <v>0.25</v>
      </c>
      <c r="F57" s="56">
        <v>0</v>
      </c>
      <c r="G57" s="56">
        <v>0.25</v>
      </c>
    </row>
    <row r="58" spans="1:7" x14ac:dyDescent="0.25">
      <c r="A58" s="43" t="s">
        <v>2274</v>
      </c>
      <c r="B58" s="43" t="s">
        <v>1354</v>
      </c>
      <c r="C58" s="43">
        <v>6</v>
      </c>
      <c r="D58" s="43">
        <v>2</v>
      </c>
      <c r="E58" s="56">
        <v>0.33333333333333298</v>
      </c>
      <c r="F58" s="56">
        <v>1</v>
      </c>
      <c r="G58" s="56">
        <v>0.33300000000000002</v>
      </c>
    </row>
    <row r="59" spans="1:7" x14ac:dyDescent="0.25">
      <c r="A59" s="43" t="s">
        <v>2275</v>
      </c>
      <c r="B59" s="43" t="s">
        <v>1640</v>
      </c>
      <c r="C59" s="43">
        <v>8</v>
      </c>
      <c r="D59" s="43">
        <v>4</v>
      </c>
      <c r="E59" s="56">
        <v>1</v>
      </c>
      <c r="F59" s="56">
        <v>1</v>
      </c>
      <c r="G59" s="56">
        <v>0.8</v>
      </c>
    </row>
    <row r="60" spans="1:7" x14ac:dyDescent="0.25">
      <c r="A60" s="43" t="s">
        <v>2276</v>
      </c>
      <c r="B60" s="43" t="s">
        <v>877</v>
      </c>
      <c r="C60" s="43">
        <v>8</v>
      </c>
      <c r="D60" s="43">
        <v>2</v>
      </c>
      <c r="E60" s="56">
        <v>0.5</v>
      </c>
      <c r="F60" s="56">
        <v>0.5</v>
      </c>
      <c r="G60" s="56">
        <v>0.5</v>
      </c>
    </row>
    <row r="61" spans="1:7" x14ac:dyDescent="0.25">
      <c r="A61" s="43" t="s">
        <v>2277</v>
      </c>
      <c r="B61" s="43" t="s">
        <v>1015</v>
      </c>
      <c r="C61" s="43">
        <v>9</v>
      </c>
      <c r="D61" s="43">
        <v>4</v>
      </c>
      <c r="E61" s="56">
        <v>0.89285714285714202</v>
      </c>
      <c r="F61" s="56">
        <v>1</v>
      </c>
      <c r="G61" s="56">
        <v>0.64300000000000002</v>
      </c>
    </row>
    <row r="62" spans="1:7" x14ac:dyDescent="0.25">
      <c r="A62" s="43" t="s">
        <v>2278</v>
      </c>
      <c r="B62" s="43" t="s">
        <v>1198</v>
      </c>
      <c r="C62" s="43">
        <v>15</v>
      </c>
      <c r="D62" s="43">
        <v>5</v>
      </c>
      <c r="E62" s="56">
        <v>0.45</v>
      </c>
      <c r="F62" s="56">
        <v>0.65</v>
      </c>
      <c r="G62" s="56">
        <v>0.436</v>
      </c>
    </row>
    <row r="63" spans="1:7" x14ac:dyDescent="0.25">
      <c r="A63" s="43" t="s">
        <v>2279</v>
      </c>
      <c r="B63" s="43" t="s">
        <v>1772</v>
      </c>
      <c r="C63" s="43">
        <v>12</v>
      </c>
      <c r="D63" s="43">
        <v>5</v>
      </c>
      <c r="E63" s="56">
        <v>1</v>
      </c>
      <c r="F63" s="56">
        <v>1</v>
      </c>
      <c r="G63" s="56">
        <v>0.89600000000000002</v>
      </c>
    </row>
    <row r="64" spans="1:7" x14ac:dyDescent="0.25">
      <c r="A64" s="43" t="s">
        <v>2280</v>
      </c>
      <c r="B64" s="43" t="s">
        <v>1790</v>
      </c>
      <c r="C64" s="43">
        <v>16</v>
      </c>
      <c r="D64" s="43">
        <v>18</v>
      </c>
      <c r="E64" s="56">
        <v>0.50808080808080802</v>
      </c>
      <c r="F64" s="56">
        <v>0.622</v>
      </c>
      <c r="G64" s="56">
        <v>0.52</v>
      </c>
    </row>
    <row r="65" spans="1:7" x14ac:dyDescent="0.25">
      <c r="A65" s="43" t="s">
        <v>2281</v>
      </c>
      <c r="B65" s="43" t="s">
        <v>1832</v>
      </c>
      <c r="C65" s="43">
        <v>13</v>
      </c>
      <c r="D65" s="43">
        <v>3</v>
      </c>
      <c r="E65" s="56">
        <v>0.36441798941798897</v>
      </c>
      <c r="F65" s="56">
        <v>0.58299999999999996</v>
      </c>
      <c r="G65" s="56">
        <v>0.36399999999999999</v>
      </c>
    </row>
    <row r="66" spans="1:7" x14ac:dyDescent="0.25">
      <c r="A66" s="43" t="s">
        <v>2282</v>
      </c>
      <c r="B66" s="43" t="s">
        <v>337</v>
      </c>
      <c r="C66" s="43">
        <v>13</v>
      </c>
      <c r="D66" s="43">
        <v>3</v>
      </c>
      <c r="E66" s="56">
        <v>0.75151515151515103</v>
      </c>
      <c r="F66" s="56">
        <v>1</v>
      </c>
      <c r="G66" s="56">
        <v>0.65200000000000002</v>
      </c>
    </row>
    <row r="67" spans="1:7" x14ac:dyDescent="0.25">
      <c r="A67" s="43" t="s">
        <v>2283</v>
      </c>
      <c r="B67" s="43" t="s">
        <v>362</v>
      </c>
      <c r="C67" s="43">
        <v>9</v>
      </c>
      <c r="D67" s="43">
        <v>3</v>
      </c>
      <c r="E67" s="56">
        <v>1</v>
      </c>
      <c r="F67" s="56">
        <v>1</v>
      </c>
      <c r="G67" s="56">
        <v>1</v>
      </c>
    </row>
    <row r="68" spans="1:7" x14ac:dyDescent="0.25">
      <c r="A68" s="43" t="s">
        <v>2284</v>
      </c>
      <c r="B68" s="43" t="s">
        <v>450</v>
      </c>
      <c r="C68" s="43">
        <v>8</v>
      </c>
      <c r="D68" s="43">
        <v>5</v>
      </c>
      <c r="E68" s="56">
        <v>0.65714285714285703</v>
      </c>
      <c r="F68" s="56">
        <v>0.6</v>
      </c>
      <c r="G68" s="56">
        <v>0.65700000000000003</v>
      </c>
    </row>
    <row r="69" spans="1:7" x14ac:dyDescent="0.25">
      <c r="A69" s="43" t="s">
        <v>2285</v>
      </c>
      <c r="B69" s="43" t="s">
        <v>463</v>
      </c>
      <c r="C69" s="43">
        <v>12</v>
      </c>
      <c r="D69" s="43">
        <v>3</v>
      </c>
      <c r="E69" s="56">
        <v>0.9</v>
      </c>
      <c r="F69" s="56">
        <v>1</v>
      </c>
      <c r="G69" s="56">
        <v>0.9</v>
      </c>
    </row>
    <row r="70" spans="1:7" x14ac:dyDescent="0.25">
      <c r="A70" s="43" t="s">
        <v>2286</v>
      </c>
      <c r="B70" s="43" t="s">
        <v>723</v>
      </c>
      <c r="C70" s="43">
        <v>20</v>
      </c>
      <c r="D70" s="43">
        <v>2</v>
      </c>
      <c r="E70" s="56">
        <v>0.394736842105263</v>
      </c>
      <c r="F70" s="56">
        <v>1</v>
      </c>
      <c r="G70" s="56">
        <v>0.39500000000000002</v>
      </c>
    </row>
    <row r="71" spans="1:7" x14ac:dyDescent="0.25">
      <c r="A71" s="43" t="s">
        <v>2287</v>
      </c>
      <c r="B71" s="43" t="s">
        <v>1292</v>
      </c>
      <c r="C71" s="43">
        <v>14</v>
      </c>
      <c r="D71" s="43">
        <v>6</v>
      </c>
      <c r="E71" s="56">
        <v>0.66666666666666596</v>
      </c>
      <c r="F71" s="56">
        <v>0.83299999999999996</v>
      </c>
      <c r="G71" s="56">
        <v>0.66700000000000004</v>
      </c>
    </row>
    <row r="72" spans="1:7" x14ac:dyDescent="0.25">
      <c r="A72" s="43" t="s">
        <v>2288</v>
      </c>
      <c r="B72" s="43" t="s">
        <v>1668</v>
      </c>
      <c r="C72" s="43">
        <v>10</v>
      </c>
      <c r="D72" s="43">
        <v>2</v>
      </c>
      <c r="E72" s="56">
        <v>0.66666666666666596</v>
      </c>
      <c r="F72" s="56">
        <v>0.5</v>
      </c>
      <c r="G72" s="56">
        <v>0.66700000000000004</v>
      </c>
    </row>
    <row r="73" spans="1:7" x14ac:dyDescent="0.25">
      <c r="A73" s="43" t="s">
        <v>2289</v>
      </c>
      <c r="B73" s="43" t="s">
        <v>1751</v>
      </c>
      <c r="C73" s="43">
        <v>10</v>
      </c>
      <c r="D73" s="43">
        <v>3</v>
      </c>
      <c r="E73" s="56">
        <v>0.75</v>
      </c>
      <c r="F73" s="56">
        <v>0.5</v>
      </c>
      <c r="G73" s="56">
        <v>0.75</v>
      </c>
    </row>
    <row r="74" spans="1:7" x14ac:dyDescent="0.25">
      <c r="A74" s="43"/>
      <c r="B74" s="43"/>
      <c r="C74" s="43">
        <f>SUM(C2:C73)</f>
        <v>937</v>
      </c>
      <c r="D74" s="43">
        <f>SUM(D2:D73)</f>
        <v>392</v>
      </c>
      <c r="E74" s="56">
        <f>AVERAGE(E2:E73)</f>
        <v>0.63154161587474456</v>
      </c>
      <c r="F74" s="56">
        <f t="shared" ref="F74:G74" si="0">AVERAGE(F2:F73)</f>
        <v>0.7464305555555556</v>
      </c>
      <c r="G74" s="56">
        <f t="shared" si="0"/>
        <v>0.60861111111111121</v>
      </c>
    </row>
  </sheetData>
  <phoneticPr fontId="5"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33FE-3BC7-4F48-915B-9BBC0A9523ED}">
  <dimension ref="A1:I604"/>
  <sheetViews>
    <sheetView topLeftCell="A52" workbookViewId="0">
      <selection activeCell="A7" sqref="A1:I604"/>
    </sheetView>
  </sheetViews>
  <sheetFormatPr defaultRowHeight="15.75" x14ac:dyDescent="0.25"/>
  <cols>
    <col min="1" max="1" width="71.375" customWidth="1"/>
    <col min="2" max="2" width="11" customWidth="1"/>
    <col min="3" max="3" width="9.5" style="48" customWidth="1"/>
    <col min="4" max="4" width="15.375" customWidth="1"/>
    <col min="5" max="5" width="11.875" style="48" customWidth="1"/>
    <col min="6" max="6" width="18.75" style="48" customWidth="1"/>
    <col min="7" max="7" width="16" customWidth="1"/>
    <col min="8" max="8" width="0.5" customWidth="1"/>
    <col min="9" max="9" width="14.5" hidden="1" customWidth="1"/>
  </cols>
  <sheetData>
    <row r="1" spans="1:9" x14ac:dyDescent="0.25">
      <c r="A1" s="51" t="s">
        <v>3276</v>
      </c>
      <c r="B1" s="45" t="s">
        <v>3266</v>
      </c>
      <c r="C1" s="46" t="s">
        <v>3271</v>
      </c>
      <c r="D1" s="45" t="s">
        <v>3267</v>
      </c>
      <c r="E1" s="46" t="s">
        <v>3268</v>
      </c>
      <c r="F1" s="46" t="s">
        <v>3272</v>
      </c>
      <c r="G1" s="45" t="s">
        <v>3277</v>
      </c>
    </row>
    <row r="2" spans="1:9" x14ac:dyDescent="0.25">
      <c r="A2" s="43" t="s">
        <v>2871</v>
      </c>
      <c r="B2" s="43">
        <v>351</v>
      </c>
      <c r="C2" s="47">
        <f t="shared" ref="C2:C65" si="0">B2/$B$602</f>
        <v>6.398104265402843E-2</v>
      </c>
      <c r="D2" s="43">
        <v>209</v>
      </c>
      <c r="E2" s="47">
        <v>0.59499999999999997</v>
      </c>
      <c r="F2" s="47">
        <f t="shared" ref="F2:F65" si="1">E2*C2</f>
        <v>3.8068720379146916E-2</v>
      </c>
      <c r="G2" s="43">
        <v>1</v>
      </c>
      <c r="I2" s="47" t="s">
        <v>3274</v>
      </c>
    </row>
    <row r="3" spans="1:9" x14ac:dyDescent="0.25">
      <c r="A3" s="43" t="s">
        <v>2872</v>
      </c>
      <c r="B3" s="43">
        <v>143</v>
      </c>
      <c r="C3" s="47">
        <f t="shared" si="0"/>
        <v>2.6066350710900472E-2</v>
      </c>
      <c r="D3" s="43">
        <v>127</v>
      </c>
      <c r="E3" s="47">
        <v>0.88800000000000001</v>
      </c>
      <c r="F3" s="47">
        <f t="shared" si="1"/>
        <v>2.3146919431279622E-2</v>
      </c>
      <c r="G3" s="43">
        <v>1</v>
      </c>
    </row>
    <row r="4" spans="1:9" x14ac:dyDescent="0.25">
      <c r="A4" s="43" t="s">
        <v>2873</v>
      </c>
      <c r="B4" s="43">
        <v>117</v>
      </c>
      <c r="C4" s="47">
        <f t="shared" si="0"/>
        <v>2.132701421800948E-2</v>
      </c>
      <c r="D4" s="43">
        <v>99</v>
      </c>
      <c r="E4" s="47">
        <v>0.84599999999999997</v>
      </c>
      <c r="F4" s="47">
        <f t="shared" si="1"/>
        <v>1.8042654028436019E-2</v>
      </c>
      <c r="G4" s="43">
        <v>0.154</v>
      </c>
    </row>
    <row r="5" spans="1:9" x14ac:dyDescent="0.25">
      <c r="A5" s="43" t="s">
        <v>2874</v>
      </c>
      <c r="B5" s="43">
        <v>102</v>
      </c>
      <c r="C5" s="47">
        <f t="shared" si="0"/>
        <v>1.859278162595698E-2</v>
      </c>
      <c r="D5" s="43">
        <v>82</v>
      </c>
      <c r="E5" s="47">
        <v>0.80400000000000005</v>
      </c>
      <c r="F5" s="47">
        <f t="shared" si="1"/>
        <v>1.4948596427269412E-2</v>
      </c>
      <c r="G5" s="43">
        <v>1</v>
      </c>
    </row>
    <row r="6" spans="1:9" x14ac:dyDescent="0.25">
      <c r="A6" s="43" t="s">
        <v>2875</v>
      </c>
      <c r="B6" s="43">
        <v>89</v>
      </c>
      <c r="C6" s="47">
        <f t="shared" si="0"/>
        <v>1.6223113379511482E-2</v>
      </c>
      <c r="D6" s="43">
        <v>78</v>
      </c>
      <c r="E6" s="47">
        <v>0.876</v>
      </c>
      <c r="F6" s="47">
        <f t="shared" si="1"/>
        <v>1.4211447320452058E-2</v>
      </c>
      <c r="G6" s="43">
        <v>5.6000000000000001E-2</v>
      </c>
    </row>
    <row r="7" spans="1:9" x14ac:dyDescent="0.25">
      <c r="A7" s="43" t="s">
        <v>2877</v>
      </c>
      <c r="B7" s="43">
        <v>63</v>
      </c>
      <c r="C7" s="47">
        <f t="shared" si="0"/>
        <v>1.1483776886620488E-2</v>
      </c>
      <c r="D7" s="43">
        <v>50</v>
      </c>
      <c r="E7" s="47">
        <v>0.79400000000000004</v>
      </c>
      <c r="F7" s="47">
        <f t="shared" si="1"/>
        <v>9.1181188479766678E-3</v>
      </c>
      <c r="G7" s="43">
        <v>0.19</v>
      </c>
    </row>
    <row r="8" spans="1:9" x14ac:dyDescent="0.25">
      <c r="A8" s="43" t="s">
        <v>2876</v>
      </c>
      <c r="B8" s="43">
        <v>65</v>
      </c>
      <c r="C8" s="47">
        <f t="shared" si="0"/>
        <v>1.1848341232227487E-2</v>
      </c>
      <c r="D8" s="43">
        <v>45</v>
      </c>
      <c r="E8" s="47">
        <v>0.69199999999999995</v>
      </c>
      <c r="F8" s="47">
        <f t="shared" si="1"/>
        <v>8.1990521327014211E-3</v>
      </c>
      <c r="G8" s="43">
        <v>1</v>
      </c>
    </row>
    <row r="9" spans="1:9" x14ac:dyDescent="0.25">
      <c r="A9" s="43" t="s">
        <v>2880</v>
      </c>
      <c r="B9" s="43">
        <v>44</v>
      </c>
      <c r="C9" s="47">
        <f t="shared" si="0"/>
        <v>8.0204156033539913E-3</v>
      </c>
      <c r="D9" s="43">
        <v>40</v>
      </c>
      <c r="E9" s="47">
        <v>0.90900000000000003</v>
      </c>
      <c r="F9" s="47">
        <f t="shared" si="1"/>
        <v>7.2905577834487785E-3</v>
      </c>
      <c r="G9" s="43">
        <v>1</v>
      </c>
    </row>
    <row r="10" spans="1:9" x14ac:dyDescent="0.25">
      <c r="A10" s="43" t="s">
        <v>640</v>
      </c>
      <c r="B10" s="43">
        <v>42</v>
      </c>
      <c r="C10" s="47">
        <f t="shared" si="0"/>
        <v>7.6558512577469921E-3</v>
      </c>
      <c r="D10" s="43">
        <v>37</v>
      </c>
      <c r="E10" s="47">
        <v>0.88100000000000001</v>
      </c>
      <c r="F10" s="47">
        <f t="shared" si="1"/>
        <v>6.7448049580751002E-3</v>
      </c>
      <c r="G10" s="43">
        <v>0</v>
      </c>
    </row>
    <row r="11" spans="1:9" x14ac:dyDescent="0.25">
      <c r="A11" s="43" t="s">
        <v>2882</v>
      </c>
      <c r="B11" s="43">
        <v>37</v>
      </c>
      <c r="C11" s="47">
        <f t="shared" si="0"/>
        <v>6.7444403937294934E-3</v>
      </c>
      <c r="D11" s="43">
        <v>34</v>
      </c>
      <c r="E11" s="47">
        <v>0.91900000000000004</v>
      </c>
      <c r="F11" s="47">
        <f t="shared" si="1"/>
        <v>6.1981407218374045E-3</v>
      </c>
      <c r="G11" s="43">
        <v>1</v>
      </c>
    </row>
    <row r="12" spans="1:9" x14ac:dyDescent="0.25">
      <c r="A12" s="43" t="s">
        <v>275</v>
      </c>
      <c r="B12" s="43">
        <v>40</v>
      </c>
      <c r="C12" s="47">
        <f t="shared" si="0"/>
        <v>7.291286912139993E-3</v>
      </c>
      <c r="D12" s="43">
        <v>33</v>
      </c>
      <c r="E12" s="47">
        <v>0.82499999999999996</v>
      </c>
      <c r="F12" s="47">
        <f t="shared" si="1"/>
        <v>6.0153117025154943E-3</v>
      </c>
      <c r="G12" s="43">
        <v>1</v>
      </c>
    </row>
    <row r="13" spans="1:9" x14ac:dyDescent="0.25">
      <c r="A13" s="43" t="s">
        <v>2881</v>
      </c>
      <c r="B13" s="43">
        <v>38</v>
      </c>
      <c r="C13" s="47">
        <f t="shared" si="0"/>
        <v>6.926722566532993E-3</v>
      </c>
      <c r="D13" s="43">
        <v>33</v>
      </c>
      <c r="E13" s="47">
        <v>0.86799999999999999</v>
      </c>
      <c r="F13" s="47">
        <f t="shared" si="1"/>
        <v>6.0123951877506382E-3</v>
      </c>
      <c r="G13" s="43">
        <v>1</v>
      </c>
    </row>
    <row r="14" spans="1:9" x14ac:dyDescent="0.25">
      <c r="A14" s="43" t="s">
        <v>2879</v>
      </c>
      <c r="B14" s="43">
        <v>46</v>
      </c>
      <c r="C14" s="47">
        <f t="shared" si="0"/>
        <v>8.3849799489609921E-3</v>
      </c>
      <c r="D14" s="43">
        <v>33</v>
      </c>
      <c r="E14" s="47">
        <v>0.71699999999999997</v>
      </c>
      <c r="F14" s="47">
        <f t="shared" si="1"/>
        <v>6.0120306234050314E-3</v>
      </c>
      <c r="G14" s="43">
        <v>0</v>
      </c>
    </row>
    <row r="15" spans="1:9" x14ac:dyDescent="0.25">
      <c r="A15" s="43" t="s">
        <v>2883</v>
      </c>
      <c r="B15" s="43">
        <v>36</v>
      </c>
      <c r="C15" s="47">
        <f t="shared" si="0"/>
        <v>6.562158220925993E-3</v>
      </c>
      <c r="D15" s="43">
        <v>31</v>
      </c>
      <c r="E15" s="47">
        <v>0.86099999999999999</v>
      </c>
      <c r="F15" s="47">
        <f t="shared" si="1"/>
        <v>5.6500182282172799E-3</v>
      </c>
      <c r="G15" s="43">
        <v>0</v>
      </c>
    </row>
    <row r="16" spans="1:9" x14ac:dyDescent="0.25">
      <c r="A16" s="43" t="s">
        <v>2878</v>
      </c>
      <c r="B16" s="43">
        <v>63</v>
      </c>
      <c r="C16" s="47">
        <f t="shared" si="0"/>
        <v>1.1483776886620488E-2</v>
      </c>
      <c r="D16" s="43">
        <v>31</v>
      </c>
      <c r="E16" s="47">
        <v>0.49199999999999999</v>
      </c>
      <c r="F16" s="47">
        <f t="shared" si="1"/>
        <v>5.6500182282172799E-3</v>
      </c>
      <c r="G16" s="43">
        <v>1</v>
      </c>
    </row>
    <row r="17" spans="1:7" x14ac:dyDescent="0.25">
      <c r="A17" s="43" t="s">
        <v>2886</v>
      </c>
      <c r="B17" s="43">
        <v>33</v>
      </c>
      <c r="C17" s="47">
        <f t="shared" si="0"/>
        <v>6.0153117025154943E-3</v>
      </c>
      <c r="D17" s="43">
        <v>30</v>
      </c>
      <c r="E17" s="47">
        <v>0.90900000000000003</v>
      </c>
      <c r="F17" s="47">
        <f t="shared" si="1"/>
        <v>5.4679183375865841E-3</v>
      </c>
      <c r="G17" s="43">
        <v>1</v>
      </c>
    </row>
    <row r="18" spans="1:7" x14ac:dyDescent="0.25">
      <c r="A18" s="43" t="s">
        <v>283</v>
      </c>
      <c r="B18" s="43">
        <v>41</v>
      </c>
      <c r="C18" s="47">
        <f t="shared" si="0"/>
        <v>7.4735690849434926E-3</v>
      </c>
      <c r="D18" s="43">
        <v>29</v>
      </c>
      <c r="E18" s="47">
        <v>0.70699999999999996</v>
      </c>
      <c r="F18" s="47">
        <f t="shared" si="1"/>
        <v>5.2838133430550488E-3</v>
      </c>
      <c r="G18" s="43">
        <v>1</v>
      </c>
    </row>
    <row r="19" spans="1:7" x14ac:dyDescent="0.25">
      <c r="A19" s="43" t="s">
        <v>2888</v>
      </c>
      <c r="B19" s="43">
        <v>31</v>
      </c>
      <c r="C19" s="47">
        <f t="shared" si="0"/>
        <v>5.6507473569084943E-3</v>
      </c>
      <c r="D19" s="43">
        <v>26</v>
      </c>
      <c r="E19" s="47">
        <v>0.83899999999999997</v>
      </c>
      <c r="F19" s="47">
        <f t="shared" si="1"/>
        <v>4.7409770324462266E-3</v>
      </c>
      <c r="G19" s="43">
        <v>0</v>
      </c>
    </row>
    <row r="20" spans="1:7" x14ac:dyDescent="0.25">
      <c r="A20" s="43" t="s">
        <v>2887</v>
      </c>
      <c r="B20" s="43">
        <v>32</v>
      </c>
      <c r="C20" s="47">
        <f t="shared" si="0"/>
        <v>5.8330295297119939E-3</v>
      </c>
      <c r="D20" s="43">
        <v>25</v>
      </c>
      <c r="E20" s="47">
        <v>0.78100000000000003</v>
      </c>
      <c r="F20" s="47">
        <f t="shared" si="1"/>
        <v>4.5555960627050671E-3</v>
      </c>
      <c r="G20" s="43">
        <v>1</v>
      </c>
    </row>
    <row r="21" spans="1:7" x14ac:dyDescent="0.25">
      <c r="A21" s="43" t="s">
        <v>2894</v>
      </c>
      <c r="B21" s="43">
        <v>26</v>
      </c>
      <c r="C21" s="47">
        <f t="shared" si="0"/>
        <v>4.7393364928909956E-3</v>
      </c>
      <c r="D21" s="43">
        <v>24</v>
      </c>
      <c r="E21" s="47">
        <v>0.92300000000000004</v>
      </c>
      <c r="F21" s="47">
        <f t="shared" si="1"/>
        <v>4.3744075829383888E-3</v>
      </c>
      <c r="G21" s="43">
        <v>1</v>
      </c>
    </row>
    <row r="22" spans="1:7" x14ac:dyDescent="0.25">
      <c r="A22" s="43" t="s">
        <v>2890</v>
      </c>
      <c r="B22" s="43">
        <v>29</v>
      </c>
      <c r="C22" s="47">
        <f t="shared" si="0"/>
        <v>5.2861830113014943E-3</v>
      </c>
      <c r="D22" s="43">
        <v>23</v>
      </c>
      <c r="E22" s="47">
        <v>0.79300000000000004</v>
      </c>
      <c r="F22" s="47">
        <f t="shared" si="1"/>
        <v>4.1919431279620854E-3</v>
      </c>
      <c r="G22" s="43">
        <v>1</v>
      </c>
    </row>
    <row r="23" spans="1:7" x14ac:dyDescent="0.25">
      <c r="A23" s="43" t="s">
        <v>2885</v>
      </c>
      <c r="B23" s="43">
        <v>35</v>
      </c>
      <c r="C23" s="47">
        <f t="shared" si="0"/>
        <v>6.3798760481224934E-3</v>
      </c>
      <c r="D23" s="43">
        <v>23</v>
      </c>
      <c r="E23" s="47">
        <v>0.65700000000000003</v>
      </c>
      <c r="F23" s="47">
        <f t="shared" si="1"/>
        <v>4.1915785636164786E-3</v>
      </c>
      <c r="G23" s="43">
        <v>1</v>
      </c>
    </row>
    <row r="24" spans="1:7" x14ac:dyDescent="0.25">
      <c r="A24" s="43" t="s">
        <v>2893</v>
      </c>
      <c r="B24" s="43">
        <v>27</v>
      </c>
      <c r="C24" s="47">
        <f t="shared" si="0"/>
        <v>4.9216186656944952E-3</v>
      </c>
      <c r="D24" s="43">
        <v>22</v>
      </c>
      <c r="E24" s="47">
        <v>0.81499999999999995</v>
      </c>
      <c r="F24" s="47">
        <f t="shared" si="1"/>
        <v>4.0111192125410131E-3</v>
      </c>
      <c r="G24" s="43">
        <v>0</v>
      </c>
    </row>
    <row r="25" spans="1:7" x14ac:dyDescent="0.25">
      <c r="A25" s="43" t="s">
        <v>2901</v>
      </c>
      <c r="B25" s="43">
        <v>25</v>
      </c>
      <c r="C25" s="47">
        <f t="shared" si="0"/>
        <v>4.5570543200874952E-3</v>
      </c>
      <c r="D25" s="43">
        <v>22</v>
      </c>
      <c r="E25" s="47">
        <v>0.88</v>
      </c>
      <c r="F25" s="47">
        <f t="shared" si="1"/>
        <v>4.0102078016769956E-3</v>
      </c>
      <c r="G25" s="43">
        <v>1</v>
      </c>
    </row>
    <row r="26" spans="1:7" x14ac:dyDescent="0.25">
      <c r="A26" s="43" t="s">
        <v>2902</v>
      </c>
      <c r="B26" s="43">
        <v>25</v>
      </c>
      <c r="C26" s="47">
        <f t="shared" si="0"/>
        <v>4.5570543200874952E-3</v>
      </c>
      <c r="D26" s="43">
        <v>22</v>
      </c>
      <c r="E26" s="47">
        <v>0.88</v>
      </c>
      <c r="F26" s="47">
        <f t="shared" si="1"/>
        <v>4.0102078016769956E-3</v>
      </c>
      <c r="G26" s="43">
        <v>1</v>
      </c>
    </row>
    <row r="27" spans="1:7" x14ac:dyDescent="0.25">
      <c r="A27" s="43" t="s">
        <v>2903</v>
      </c>
      <c r="B27" s="43">
        <v>25</v>
      </c>
      <c r="C27" s="47">
        <f t="shared" si="0"/>
        <v>4.5570543200874952E-3</v>
      </c>
      <c r="D27" s="43">
        <v>22</v>
      </c>
      <c r="E27" s="47">
        <v>0.88</v>
      </c>
      <c r="F27" s="47">
        <f t="shared" si="1"/>
        <v>4.0102078016769956E-3</v>
      </c>
      <c r="G27" s="43">
        <v>0</v>
      </c>
    </row>
    <row r="28" spans="1:7" x14ac:dyDescent="0.25">
      <c r="A28" s="43" t="s">
        <v>2895</v>
      </c>
      <c r="B28" s="43">
        <v>26</v>
      </c>
      <c r="C28" s="47">
        <f t="shared" si="0"/>
        <v>4.7393364928909956E-3</v>
      </c>
      <c r="D28" s="43">
        <v>22</v>
      </c>
      <c r="E28" s="47">
        <v>0.84599999999999997</v>
      </c>
      <c r="F28" s="47">
        <f t="shared" si="1"/>
        <v>4.009478672985782E-3</v>
      </c>
      <c r="G28" s="43">
        <v>0</v>
      </c>
    </row>
    <row r="29" spans="1:7" x14ac:dyDescent="0.25">
      <c r="A29" s="43" t="s">
        <v>2896</v>
      </c>
      <c r="B29" s="43">
        <v>26</v>
      </c>
      <c r="C29" s="47">
        <f t="shared" si="0"/>
        <v>4.7393364928909956E-3</v>
      </c>
      <c r="D29" s="43">
        <v>22</v>
      </c>
      <c r="E29" s="47">
        <v>0.84599999999999997</v>
      </c>
      <c r="F29" s="47">
        <f t="shared" si="1"/>
        <v>4.009478672985782E-3</v>
      </c>
      <c r="G29" s="43">
        <v>1</v>
      </c>
    </row>
    <row r="30" spans="1:7" x14ac:dyDescent="0.25">
      <c r="A30" s="43" t="s">
        <v>440</v>
      </c>
      <c r="B30" s="43">
        <v>26</v>
      </c>
      <c r="C30" s="47">
        <f t="shared" si="0"/>
        <v>4.7393364928909956E-3</v>
      </c>
      <c r="D30" s="43">
        <v>22</v>
      </c>
      <c r="E30" s="47">
        <v>0.84599999999999997</v>
      </c>
      <c r="F30" s="47">
        <f t="shared" si="1"/>
        <v>4.009478672985782E-3</v>
      </c>
      <c r="G30" s="43">
        <v>0</v>
      </c>
    </row>
    <row r="31" spans="1:7" x14ac:dyDescent="0.25">
      <c r="A31" s="43" t="s">
        <v>2897</v>
      </c>
      <c r="B31" s="43">
        <v>26</v>
      </c>
      <c r="C31" s="47">
        <f t="shared" si="0"/>
        <v>4.7393364928909956E-3</v>
      </c>
      <c r="D31" s="43">
        <v>22</v>
      </c>
      <c r="E31" s="47">
        <v>0.84599999999999997</v>
      </c>
      <c r="F31" s="47">
        <f t="shared" si="1"/>
        <v>4.009478672985782E-3</v>
      </c>
      <c r="G31" s="43">
        <v>1</v>
      </c>
    </row>
    <row r="32" spans="1:7" x14ac:dyDescent="0.25">
      <c r="A32" s="43" t="s">
        <v>304</v>
      </c>
      <c r="B32" s="43">
        <v>26</v>
      </c>
      <c r="C32" s="47">
        <f t="shared" si="0"/>
        <v>4.7393364928909956E-3</v>
      </c>
      <c r="D32" s="43">
        <v>21</v>
      </c>
      <c r="E32" s="47">
        <v>0.80800000000000005</v>
      </c>
      <c r="F32" s="47">
        <f t="shared" si="1"/>
        <v>3.8293838862559246E-3</v>
      </c>
      <c r="G32" s="43">
        <v>1</v>
      </c>
    </row>
    <row r="33" spans="1:7" x14ac:dyDescent="0.25">
      <c r="A33" s="43" t="s">
        <v>2889</v>
      </c>
      <c r="B33" s="43">
        <v>30</v>
      </c>
      <c r="C33" s="47">
        <f t="shared" si="0"/>
        <v>5.4684651841049947E-3</v>
      </c>
      <c r="D33" s="43">
        <v>21</v>
      </c>
      <c r="E33" s="47">
        <v>0.7</v>
      </c>
      <c r="F33" s="47">
        <f t="shared" si="1"/>
        <v>3.8279256288734961E-3</v>
      </c>
      <c r="G33" s="43">
        <v>0</v>
      </c>
    </row>
    <row r="34" spans="1:7" x14ac:dyDescent="0.25">
      <c r="A34" s="43" t="s">
        <v>2911</v>
      </c>
      <c r="B34" s="43">
        <v>23</v>
      </c>
      <c r="C34" s="47">
        <f t="shared" si="0"/>
        <v>4.1924899744804961E-3</v>
      </c>
      <c r="D34" s="43">
        <v>21</v>
      </c>
      <c r="E34" s="47">
        <v>0.91300000000000003</v>
      </c>
      <c r="F34" s="47">
        <f t="shared" si="1"/>
        <v>3.8277433467006931E-3</v>
      </c>
      <c r="G34" s="43">
        <v>1</v>
      </c>
    </row>
    <row r="35" spans="1:7" x14ac:dyDescent="0.25">
      <c r="A35" s="43" t="s">
        <v>611</v>
      </c>
      <c r="B35" s="43">
        <v>31</v>
      </c>
      <c r="C35" s="47">
        <f t="shared" si="0"/>
        <v>5.6507473569084943E-3</v>
      </c>
      <c r="D35" s="43">
        <v>21</v>
      </c>
      <c r="E35" s="47">
        <v>0.67700000000000005</v>
      </c>
      <c r="F35" s="47">
        <f t="shared" si="1"/>
        <v>3.825555960627051E-3</v>
      </c>
      <c r="G35" s="43">
        <v>0</v>
      </c>
    </row>
    <row r="36" spans="1:7" x14ac:dyDescent="0.25">
      <c r="A36" s="43" t="s">
        <v>2884</v>
      </c>
      <c r="B36" s="43">
        <v>36</v>
      </c>
      <c r="C36" s="47">
        <f t="shared" si="0"/>
        <v>6.562158220925993E-3</v>
      </c>
      <c r="D36" s="43">
        <v>20</v>
      </c>
      <c r="E36" s="47">
        <v>0.55600000000000005</v>
      </c>
      <c r="F36" s="47">
        <f t="shared" si="1"/>
        <v>3.6485599708348526E-3</v>
      </c>
      <c r="G36" s="43">
        <v>1</v>
      </c>
    </row>
    <row r="37" spans="1:7" x14ac:dyDescent="0.25">
      <c r="A37" s="43" t="s">
        <v>2904</v>
      </c>
      <c r="B37" s="43">
        <v>25</v>
      </c>
      <c r="C37" s="47">
        <f t="shared" si="0"/>
        <v>4.5570543200874952E-3</v>
      </c>
      <c r="D37" s="43">
        <v>20</v>
      </c>
      <c r="E37" s="47">
        <v>0.8</v>
      </c>
      <c r="F37" s="47">
        <f t="shared" si="1"/>
        <v>3.6456434560699965E-3</v>
      </c>
      <c r="G37" s="43">
        <v>1</v>
      </c>
    </row>
    <row r="38" spans="1:7" x14ac:dyDescent="0.25">
      <c r="A38" s="43" t="s">
        <v>2915</v>
      </c>
      <c r="B38" s="43">
        <v>22</v>
      </c>
      <c r="C38" s="47">
        <f t="shared" si="0"/>
        <v>4.0102078016769956E-3</v>
      </c>
      <c r="D38" s="43">
        <v>19</v>
      </c>
      <c r="E38" s="47">
        <v>0.86399999999999999</v>
      </c>
      <c r="F38" s="47">
        <f t="shared" si="1"/>
        <v>3.4648195406489241E-3</v>
      </c>
      <c r="G38" s="43">
        <v>1</v>
      </c>
    </row>
    <row r="39" spans="1:7" x14ac:dyDescent="0.25">
      <c r="A39" s="43" t="s">
        <v>2898</v>
      </c>
      <c r="B39" s="43">
        <v>26</v>
      </c>
      <c r="C39" s="47">
        <f t="shared" si="0"/>
        <v>4.7393364928909956E-3</v>
      </c>
      <c r="D39" s="43">
        <v>19</v>
      </c>
      <c r="E39" s="47">
        <v>0.73099999999999998</v>
      </c>
      <c r="F39" s="47">
        <f t="shared" si="1"/>
        <v>3.4644549763033178E-3</v>
      </c>
      <c r="G39" s="43">
        <v>0</v>
      </c>
    </row>
    <row r="40" spans="1:7" x14ac:dyDescent="0.25">
      <c r="A40" s="43" t="s">
        <v>2905</v>
      </c>
      <c r="B40" s="43">
        <v>25</v>
      </c>
      <c r="C40" s="47">
        <f t="shared" si="0"/>
        <v>4.5570543200874952E-3</v>
      </c>
      <c r="D40" s="43">
        <v>19</v>
      </c>
      <c r="E40" s="47">
        <v>0.76</v>
      </c>
      <c r="F40" s="47">
        <f t="shared" si="1"/>
        <v>3.4633612832664965E-3</v>
      </c>
      <c r="G40" s="43">
        <v>1</v>
      </c>
    </row>
    <row r="41" spans="1:7" x14ac:dyDescent="0.25">
      <c r="A41" s="43" t="s">
        <v>2906</v>
      </c>
      <c r="B41" s="43">
        <v>25</v>
      </c>
      <c r="C41" s="47">
        <f t="shared" si="0"/>
        <v>4.5570543200874952E-3</v>
      </c>
      <c r="D41" s="43">
        <v>19</v>
      </c>
      <c r="E41" s="47">
        <v>0.76</v>
      </c>
      <c r="F41" s="47">
        <f t="shared" si="1"/>
        <v>3.4633612832664965E-3</v>
      </c>
      <c r="G41" s="43">
        <v>0</v>
      </c>
    </row>
    <row r="42" spans="1:7" x14ac:dyDescent="0.25">
      <c r="A42" s="43" t="s">
        <v>2891</v>
      </c>
      <c r="B42" s="43">
        <v>29</v>
      </c>
      <c r="C42" s="47">
        <f t="shared" si="0"/>
        <v>5.2861830113014943E-3</v>
      </c>
      <c r="D42" s="43">
        <v>19</v>
      </c>
      <c r="E42" s="47">
        <v>0.65500000000000003</v>
      </c>
      <c r="F42" s="47">
        <f t="shared" si="1"/>
        <v>3.4624498724024791E-3</v>
      </c>
      <c r="G42" s="43">
        <v>0</v>
      </c>
    </row>
    <row r="43" spans="1:7" x14ac:dyDescent="0.25">
      <c r="A43" s="43" t="s">
        <v>2912</v>
      </c>
      <c r="B43" s="43">
        <v>23</v>
      </c>
      <c r="C43" s="47">
        <f t="shared" si="0"/>
        <v>4.1924899744804961E-3</v>
      </c>
      <c r="D43" s="43">
        <v>18</v>
      </c>
      <c r="E43" s="47">
        <v>0.78300000000000003</v>
      </c>
      <c r="F43" s="47">
        <f t="shared" si="1"/>
        <v>3.2827196500182284E-3</v>
      </c>
      <c r="G43" s="43">
        <v>1</v>
      </c>
    </row>
    <row r="44" spans="1:7" x14ac:dyDescent="0.25">
      <c r="A44" s="43" t="s">
        <v>2907</v>
      </c>
      <c r="B44" s="43">
        <v>25</v>
      </c>
      <c r="C44" s="47">
        <f t="shared" si="0"/>
        <v>4.5570543200874952E-3</v>
      </c>
      <c r="D44" s="43">
        <v>18</v>
      </c>
      <c r="E44" s="47">
        <v>0.72</v>
      </c>
      <c r="F44" s="47">
        <f t="shared" si="1"/>
        <v>3.2810791104629965E-3</v>
      </c>
      <c r="G44" s="43">
        <v>0</v>
      </c>
    </row>
    <row r="45" spans="1:7" x14ac:dyDescent="0.25">
      <c r="A45" s="43" t="s">
        <v>2925</v>
      </c>
      <c r="B45" s="43">
        <v>21</v>
      </c>
      <c r="C45" s="47">
        <f t="shared" si="0"/>
        <v>3.8279256288734961E-3</v>
      </c>
      <c r="D45" s="43">
        <v>18</v>
      </c>
      <c r="E45" s="47">
        <v>0.85699999999999998</v>
      </c>
      <c r="F45" s="47">
        <f t="shared" si="1"/>
        <v>3.2805322639445859E-3</v>
      </c>
      <c r="G45" s="43">
        <v>1</v>
      </c>
    </row>
    <row r="46" spans="1:7" x14ac:dyDescent="0.25">
      <c r="A46" s="43" t="s">
        <v>2916</v>
      </c>
      <c r="B46" s="43">
        <v>22</v>
      </c>
      <c r="C46" s="47">
        <f t="shared" si="0"/>
        <v>4.0102078016769956E-3</v>
      </c>
      <c r="D46" s="43">
        <v>18</v>
      </c>
      <c r="E46" s="47">
        <v>0.81799999999999995</v>
      </c>
      <c r="F46" s="47">
        <f t="shared" si="1"/>
        <v>3.280349981771782E-3</v>
      </c>
      <c r="G46" s="43">
        <v>1</v>
      </c>
    </row>
    <row r="47" spans="1:7" x14ac:dyDescent="0.25">
      <c r="A47" s="43" t="s">
        <v>2917</v>
      </c>
      <c r="B47" s="43">
        <v>22</v>
      </c>
      <c r="C47" s="47">
        <f t="shared" si="0"/>
        <v>4.0102078016769956E-3</v>
      </c>
      <c r="D47" s="43">
        <v>18</v>
      </c>
      <c r="E47" s="47">
        <v>0.81799999999999995</v>
      </c>
      <c r="F47" s="47">
        <f t="shared" si="1"/>
        <v>3.280349981771782E-3</v>
      </c>
      <c r="G47" s="43">
        <v>0</v>
      </c>
    </row>
    <row r="48" spans="1:7" x14ac:dyDescent="0.25">
      <c r="A48" s="43" t="s">
        <v>2926</v>
      </c>
      <c r="B48" s="43">
        <v>21</v>
      </c>
      <c r="C48" s="47">
        <f t="shared" si="0"/>
        <v>3.8279256288734961E-3</v>
      </c>
      <c r="D48" s="43">
        <v>17</v>
      </c>
      <c r="E48" s="47">
        <v>0.81</v>
      </c>
      <c r="F48" s="47">
        <f t="shared" si="1"/>
        <v>3.1006197593875322E-3</v>
      </c>
      <c r="G48" s="43">
        <v>0</v>
      </c>
    </row>
    <row r="49" spans="1:7" x14ac:dyDescent="0.25">
      <c r="A49" s="43" t="s">
        <v>2929</v>
      </c>
      <c r="B49" s="43">
        <v>19</v>
      </c>
      <c r="C49" s="47">
        <f t="shared" si="0"/>
        <v>3.4633612832664965E-3</v>
      </c>
      <c r="D49" s="43">
        <v>17</v>
      </c>
      <c r="E49" s="47">
        <v>0.89500000000000002</v>
      </c>
      <c r="F49" s="47">
        <f t="shared" si="1"/>
        <v>3.0997083485235144E-3</v>
      </c>
      <c r="G49" s="43">
        <v>1</v>
      </c>
    </row>
    <row r="50" spans="1:7" x14ac:dyDescent="0.25">
      <c r="A50" s="43" t="s">
        <v>2927</v>
      </c>
      <c r="B50" s="43">
        <v>20</v>
      </c>
      <c r="C50" s="47">
        <f t="shared" si="0"/>
        <v>3.6456434560699965E-3</v>
      </c>
      <c r="D50" s="43">
        <v>17</v>
      </c>
      <c r="E50" s="47">
        <v>0.85</v>
      </c>
      <c r="F50" s="47">
        <f t="shared" si="1"/>
        <v>3.0987969376594969E-3</v>
      </c>
      <c r="G50" s="43">
        <v>1</v>
      </c>
    </row>
    <row r="51" spans="1:7" x14ac:dyDescent="0.25">
      <c r="A51" s="43" t="s">
        <v>2910</v>
      </c>
      <c r="B51" s="43">
        <v>24</v>
      </c>
      <c r="C51" s="47">
        <f t="shared" si="0"/>
        <v>4.3747721472839956E-3</v>
      </c>
      <c r="D51" s="43">
        <v>17</v>
      </c>
      <c r="E51" s="47">
        <v>0.70799999999999996</v>
      </c>
      <c r="F51" s="47">
        <f t="shared" si="1"/>
        <v>3.0973386802770689E-3</v>
      </c>
      <c r="G51" s="43">
        <v>1</v>
      </c>
    </row>
    <row r="52" spans="1:7" x14ac:dyDescent="0.25">
      <c r="A52" s="43" t="s">
        <v>2933</v>
      </c>
      <c r="B52" s="43">
        <v>18</v>
      </c>
      <c r="C52" s="47">
        <f t="shared" si="0"/>
        <v>3.2810791104629965E-3</v>
      </c>
      <c r="D52" s="43">
        <v>17</v>
      </c>
      <c r="E52" s="47">
        <v>0.94399999999999995</v>
      </c>
      <c r="F52" s="47">
        <f t="shared" si="1"/>
        <v>3.0973386802770684E-3</v>
      </c>
      <c r="G52" s="43">
        <v>0</v>
      </c>
    </row>
    <row r="53" spans="1:7" x14ac:dyDescent="0.25">
      <c r="A53" s="43" t="s">
        <v>791</v>
      </c>
      <c r="B53" s="43">
        <v>29</v>
      </c>
      <c r="C53" s="47">
        <f t="shared" si="0"/>
        <v>5.2861830113014943E-3</v>
      </c>
      <c r="D53" s="43">
        <v>16</v>
      </c>
      <c r="E53" s="47">
        <v>0.55200000000000005</v>
      </c>
      <c r="F53" s="47">
        <f t="shared" si="1"/>
        <v>2.917973022238425E-3</v>
      </c>
      <c r="G53" s="43">
        <v>1</v>
      </c>
    </row>
    <row r="54" spans="1:7" x14ac:dyDescent="0.25">
      <c r="A54" s="43" t="s">
        <v>2934</v>
      </c>
      <c r="B54" s="43">
        <v>18</v>
      </c>
      <c r="C54" s="47">
        <f t="shared" si="0"/>
        <v>3.2810791104629965E-3</v>
      </c>
      <c r="D54" s="43">
        <v>16</v>
      </c>
      <c r="E54" s="47">
        <v>0.88900000000000001</v>
      </c>
      <c r="F54" s="47">
        <f t="shared" si="1"/>
        <v>2.9168793292016037E-3</v>
      </c>
      <c r="G54" s="43">
        <v>0</v>
      </c>
    </row>
    <row r="55" spans="1:7" x14ac:dyDescent="0.25">
      <c r="A55" s="43" t="s">
        <v>2935</v>
      </c>
      <c r="B55" s="43">
        <v>18</v>
      </c>
      <c r="C55" s="47">
        <f t="shared" si="0"/>
        <v>3.2810791104629965E-3</v>
      </c>
      <c r="D55" s="43">
        <v>16</v>
      </c>
      <c r="E55" s="47">
        <v>0.88900000000000001</v>
      </c>
      <c r="F55" s="47">
        <f t="shared" si="1"/>
        <v>2.9168793292016037E-3</v>
      </c>
      <c r="G55" s="43">
        <v>0</v>
      </c>
    </row>
    <row r="56" spans="1:7" x14ac:dyDescent="0.25">
      <c r="A56" s="43" t="s">
        <v>2908</v>
      </c>
      <c r="B56" s="43">
        <v>25</v>
      </c>
      <c r="C56" s="47">
        <f t="shared" si="0"/>
        <v>4.5570543200874952E-3</v>
      </c>
      <c r="D56" s="43">
        <v>16</v>
      </c>
      <c r="E56" s="47">
        <v>0.64</v>
      </c>
      <c r="F56" s="47">
        <f t="shared" si="1"/>
        <v>2.9165147648559969E-3</v>
      </c>
      <c r="G56" s="43">
        <v>0.04</v>
      </c>
    </row>
    <row r="57" spans="1:7" x14ac:dyDescent="0.25">
      <c r="A57" s="43" t="s">
        <v>2899</v>
      </c>
      <c r="B57" s="43">
        <v>26</v>
      </c>
      <c r="C57" s="47">
        <f t="shared" si="0"/>
        <v>4.7393364928909956E-3</v>
      </c>
      <c r="D57" s="43">
        <v>16</v>
      </c>
      <c r="E57" s="47">
        <v>0.61499999999999999</v>
      </c>
      <c r="F57" s="47">
        <f t="shared" si="1"/>
        <v>2.9146919431279621E-3</v>
      </c>
      <c r="G57" s="43">
        <v>1</v>
      </c>
    </row>
    <row r="58" spans="1:7" x14ac:dyDescent="0.25">
      <c r="A58" s="43" t="s">
        <v>2892</v>
      </c>
      <c r="B58" s="43">
        <v>28</v>
      </c>
      <c r="C58" s="47">
        <f t="shared" si="0"/>
        <v>5.1039008384979948E-3</v>
      </c>
      <c r="D58" s="43">
        <v>15</v>
      </c>
      <c r="E58" s="47">
        <v>0.53600000000000003</v>
      </c>
      <c r="F58" s="47">
        <f t="shared" si="1"/>
        <v>2.7356908494349254E-3</v>
      </c>
      <c r="G58" s="43">
        <v>1</v>
      </c>
    </row>
    <row r="59" spans="1:7" x14ac:dyDescent="0.25">
      <c r="A59" s="43" t="s">
        <v>2918</v>
      </c>
      <c r="B59" s="43">
        <v>22</v>
      </c>
      <c r="C59" s="47">
        <f t="shared" si="0"/>
        <v>4.0102078016769956E-3</v>
      </c>
      <c r="D59" s="43">
        <v>15</v>
      </c>
      <c r="E59" s="47">
        <v>0.68200000000000005</v>
      </c>
      <c r="F59" s="47">
        <f t="shared" si="1"/>
        <v>2.7349617207437114E-3</v>
      </c>
      <c r="G59" s="43">
        <v>1</v>
      </c>
    </row>
    <row r="60" spans="1:7" x14ac:dyDescent="0.25">
      <c r="A60" s="43" t="s">
        <v>2919</v>
      </c>
      <c r="B60" s="43">
        <v>22</v>
      </c>
      <c r="C60" s="47">
        <f t="shared" si="0"/>
        <v>4.0102078016769956E-3</v>
      </c>
      <c r="D60" s="43">
        <v>15</v>
      </c>
      <c r="E60" s="47">
        <v>0.68200000000000005</v>
      </c>
      <c r="F60" s="47">
        <f t="shared" si="1"/>
        <v>2.7349617207437114E-3</v>
      </c>
      <c r="G60" s="43">
        <v>1</v>
      </c>
    </row>
    <row r="61" spans="1:7" x14ac:dyDescent="0.25">
      <c r="A61" s="43" t="s">
        <v>1710</v>
      </c>
      <c r="B61" s="43">
        <v>26</v>
      </c>
      <c r="C61" s="47">
        <f t="shared" si="0"/>
        <v>4.7393364928909956E-3</v>
      </c>
      <c r="D61" s="43">
        <v>15</v>
      </c>
      <c r="E61" s="47">
        <v>0.57699999999999996</v>
      </c>
      <c r="F61" s="47">
        <f t="shared" si="1"/>
        <v>2.7345971563981042E-3</v>
      </c>
      <c r="G61" s="43">
        <v>1</v>
      </c>
    </row>
    <row r="62" spans="1:7" x14ac:dyDescent="0.25">
      <c r="A62" s="43" t="s">
        <v>2939</v>
      </c>
      <c r="B62" s="43">
        <v>17</v>
      </c>
      <c r="C62" s="47">
        <f t="shared" si="0"/>
        <v>3.0987969376594969E-3</v>
      </c>
      <c r="D62" s="43">
        <v>15</v>
      </c>
      <c r="E62" s="47">
        <v>0.88200000000000001</v>
      </c>
      <c r="F62" s="47">
        <f t="shared" si="1"/>
        <v>2.7331388990156761E-3</v>
      </c>
      <c r="G62" s="43">
        <v>0</v>
      </c>
    </row>
    <row r="63" spans="1:7" x14ac:dyDescent="0.25">
      <c r="A63" s="43" t="s">
        <v>609</v>
      </c>
      <c r="B63" s="43">
        <v>18</v>
      </c>
      <c r="C63" s="47">
        <f t="shared" si="0"/>
        <v>3.2810791104629965E-3</v>
      </c>
      <c r="D63" s="43">
        <v>15</v>
      </c>
      <c r="E63" s="47">
        <v>0.83299999999999996</v>
      </c>
      <c r="F63" s="47">
        <f t="shared" si="1"/>
        <v>2.7331388990156761E-3</v>
      </c>
      <c r="G63" s="43">
        <v>1</v>
      </c>
    </row>
    <row r="64" spans="1:7" x14ac:dyDescent="0.25">
      <c r="A64" s="43" t="s">
        <v>2913</v>
      </c>
      <c r="B64" s="43">
        <v>23</v>
      </c>
      <c r="C64" s="47">
        <f t="shared" si="0"/>
        <v>4.1924899744804961E-3</v>
      </c>
      <c r="D64" s="43">
        <v>14</v>
      </c>
      <c r="E64" s="47">
        <v>0.60899999999999999</v>
      </c>
      <c r="F64" s="47">
        <f t="shared" si="1"/>
        <v>2.553226394458622E-3</v>
      </c>
      <c r="G64" s="43">
        <v>0</v>
      </c>
    </row>
    <row r="65" spans="1:7" x14ac:dyDescent="0.25">
      <c r="A65" s="43" t="s">
        <v>2936</v>
      </c>
      <c r="B65" s="43">
        <v>18</v>
      </c>
      <c r="C65" s="47">
        <f t="shared" si="0"/>
        <v>3.2810791104629965E-3</v>
      </c>
      <c r="D65" s="43">
        <v>14</v>
      </c>
      <c r="E65" s="47">
        <v>0.77800000000000002</v>
      </c>
      <c r="F65" s="47">
        <f t="shared" si="1"/>
        <v>2.5526795479402114E-3</v>
      </c>
      <c r="G65" s="43">
        <v>1</v>
      </c>
    </row>
    <row r="66" spans="1:7" x14ac:dyDescent="0.25">
      <c r="A66" s="43" t="s">
        <v>368</v>
      </c>
      <c r="B66" s="43">
        <v>16</v>
      </c>
      <c r="C66" s="47">
        <f t="shared" ref="C66:C129" si="2">B66/$B$602</f>
        <v>2.9165147648559969E-3</v>
      </c>
      <c r="D66" s="43">
        <v>14</v>
      </c>
      <c r="E66" s="47">
        <v>0.875</v>
      </c>
      <c r="F66" s="47">
        <f t="shared" ref="F66:F129" si="3">E66*C66</f>
        <v>2.5519504192489974E-3</v>
      </c>
      <c r="G66" s="43">
        <v>1</v>
      </c>
    </row>
    <row r="67" spans="1:7" x14ac:dyDescent="0.25">
      <c r="A67" s="43" t="s">
        <v>2941</v>
      </c>
      <c r="B67" s="43">
        <v>16</v>
      </c>
      <c r="C67" s="47">
        <f t="shared" si="2"/>
        <v>2.9165147648559969E-3</v>
      </c>
      <c r="D67" s="43">
        <v>14</v>
      </c>
      <c r="E67" s="47">
        <v>0.875</v>
      </c>
      <c r="F67" s="47">
        <f t="shared" si="3"/>
        <v>2.5519504192489974E-3</v>
      </c>
      <c r="G67" s="43">
        <v>1</v>
      </c>
    </row>
    <row r="68" spans="1:7" x14ac:dyDescent="0.25">
      <c r="A68" s="43" t="s">
        <v>2942</v>
      </c>
      <c r="B68" s="43">
        <v>16</v>
      </c>
      <c r="C68" s="47">
        <f t="shared" si="2"/>
        <v>2.9165147648559969E-3</v>
      </c>
      <c r="D68" s="43">
        <v>14</v>
      </c>
      <c r="E68" s="47">
        <v>0.875</v>
      </c>
      <c r="F68" s="47">
        <f t="shared" si="3"/>
        <v>2.5519504192489974E-3</v>
      </c>
      <c r="G68" s="43">
        <v>0</v>
      </c>
    </row>
    <row r="69" spans="1:7" x14ac:dyDescent="0.25">
      <c r="A69" s="43" t="s">
        <v>2909</v>
      </c>
      <c r="B69" s="43">
        <v>25</v>
      </c>
      <c r="C69" s="47">
        <f t="shared" si="2"/>
        <v>4.5570543200874952E-3</v>
      </c>
      <c r="D69" s="43">
        <v>14</v>
      </c>
      <c r="E69" s="47">
        <v>0.56000000000000005</v>
      </c>
      <c r="F69" s="47">
        <f t="shared" si="3"/>
        <v>2.5519504192489974E-3</v>
      </c>
      <c r="G69" s="43">
        <v>0</v>
      </c>
    </row>
    <row r="70" spans="1:7" x14ac:dyDescent="0.25">
      <c r="A70" s="43" t="s">
        <v>615</v>
      </c>
      <c r="B70" s="43">
        <v>28</v>
      </c>
      <c r="C70" s="47">
        <f t="shared" si="2"/>
        <v>5.1039008384979948E-3</v>
      </c>
      <c r="D70" s="43">
        <v>14</v>
      </c>
      <c r="E70" s="47">
        <v>0.5</v>
      </c>
      <c r="F70" s="47">
        <f t="shared" si="3"/>
        <v>2.5519504192489974E-3</v>
      </c>
      <c r="G70" s="43">
        <v>1</v>
      </c>
    </row>
    <row r="71" spans="1:7" x14ac:dyDescent="0.25">
      <c r="A71" s="43" t="s">
        <v>2946</v>
      </c>
      <c r="B71" s="43">
        <v>15</v>
      </c>
      <c r="C71" s="47">
        <f t="shared" si="2"/>
        <v>2.7342325920524974E-3</v>
      </c>
      <c r="D71" s="43">
        <v>14</v>
      </c>
      <c r="E71" s="47">
        <v>0.93300000000000005</v>
      </c>
      <c r="F71" s="47">
        <f t="shared" si="3"/>
        <v>2.5510390083849804E-3</v>
      </c>
      <c r="G71" s="43">
        <v>0</v>
      </c>
    </row>
    <row r="72" spans="1:7" x14ac:dyDescent="0.25">
      <c r="A72" s="43" t="s">
        <v>2920</v>
      </c>
      <c r="B72" s="43">
        <v>22</v>
      </c>
      <c r="C72" s="47">
        <f t="shared" si="2"/>
        <v>4.0102078016769956E-3</v>
      </c>
      <c r="D72" s="43">
        <v>14</v>
      </c>
      <c r="E72" s="47">
        <v>0.63600000000000001</v>
      </c>
      <c r="F72" s="47">
        <f t="shared" si="3"/>
        <v>2.5504921618665693E-3</v>
      </c>
      <c r="G72" s="43">
        <v>1</v>
      </c>
    </row>
    <row r="73" spans="1:7" x14ac:dyDescent="0.25">
      <c r="A73" s="43" t="s">
        <v>2947</v>
      </c>
      <c r="B73" s="43">
        <v>15</v>
      </c>
      <c r="C73" s="47">
        <f t="shared" si="2"/>
        <v>2.7342325920524974E-3</v>
      </c>
      <c r="D73" s="43">
        <v>13</v>
      </c>
      <c r="E73" s="47">
        <v>0.86699999999999999</v>
      </c>
      <c r="F73" s="47">
        <f t="shared" si="3"/>
        <v>2.3705796573095152E-3</v>
      </c>
      <c r="G73" s="43">
        <v>1</v>
      </c>
    </row>
    <row r="74" spans="1:7" x14ac:dyDescent="0.25">
      <c r="A74" s="43" t="s">
        <v>2940</v>
      </c>
      <c r="B74" s="43">
        <v>17</v>
      </c>
      <c r="C74" s="47">
        <f t="shared" si="2"/>
        <v>3.0987969376594969E-3</v>
      </c>
      <c r="D74" s="43">
        <v>13</v>
      </c>
      <c r="E74" s="47">
        <v>0.76500000000000001</v>
      </c>
      <c r="F74" s="47">
        <f t="shared" si="3"/>
        <v>2.3705796573095152E-3</v>
      </c>
      <c r="G74" s="43">
        <v>1</v>
      </c>
    </row>
    <row r="75" spans="1:7" x14ac:dyDescent="0.25">
      <c r="A75" s="43" t="s">
        <v>541</v>
      </c>
      <c r="B75" s="43">
        <v>19</v>
      </c>
      <c r="C75" s="47">
        <f t="shared" si="2"/>
        <v>3.4633612832664965E-3</v>
      </c>
      <c r="D75" s="43">
        <v>13</v>
      </c>
      <c r="E75" s="47">
        <v>0.68400000000000005</v>
      </c>
      <c r="F75" s="47">
        <f t="shared" si="3"/>
        <v>2.3689391177542838E-3</v>
      </c>
      <c r="G75" s="43">
        <v>0.52400000000000002</v>
      </c>
    </row>
    <row r="76" spans="1:7" x14ac:dyDescent="0.25">
      <c r="A76" s="43" t="s">
        <v>322</v>
      </c>
      <c r="B76" s="43">
        <v>18</v>
      </c>
      <c r="C76" s="47">
        <f t="shared" si="2"/>
        <v>3.2810791104629965E-3</v>
      </c>
      <c r="D76" s="43">
        <v>13</v>
      </c>
      <c r="E76" s="47">
        <v>0.72199999999999998</v>
      </c>
      <c r="F76" s="47">
        <f t="shared" si="3"/>
        <v>2.3689391177542833E-3</v>
      </c>
      <c r="G76" s="43">
        <v>1</v>
      </c>
    </row>
    <row r="77" spans="1:7" x14ac:dyDescent="0.25">
      <c r="A77" s="43" t="s">
        <v>370</v>
      </c>
      <c r="B77" s="43">
        <v>18</v>
      </c>
      <c r="C77" s="47">
        <f t="shared" si="2"/>
        <v>3.2810791104629965E-3</v>
      </c>
      <c r="D77" s="43">
        <v>13</v>
      </c>
      <c r="E77" s="47">
        <v>0.72199999999999998</v>
      </c>
      <c r="F77" s="47">
        <f t="shared" si="3"/>
        <v>2.3689391177542833E-3</v>
      </c>
      <c r="G77" s="43">
        <v>1</v>
      </c>
    </row>
    <row r="78" spans="1:7" x14ac:dyDescent="0.25">
      <c r="A78" s="43" t="s">
        <v>2930</v>
      </c>
      <c r="B78" s="43">
        <v>19</v>
      </c>
      <c r="C78" s="47">
        <f t="shared" si="2"/>
        <v>3.4633612832664965E-3</v>
      </c>
      <c r="D78" s="43">
        <v>12</v>
      </c>
      <c r="E78" s="47">
        <v>0.63200000000000001</v>
      </c>
      <c r="F78" s="47">
        <f t="shared" si="3"/>
        <v>2.1888443310244259E-3</v>
      </c>
      <c r="G78" s="43">
        <v>1</v>
      </c>
    </row>
    <row r="79" spans="1:7" x14ac:dyDescent="0.25">
      <c r="A79" s="43" t="s">
        <v>2931</v>
      </c>
      <c r="B79" s="43">
        <v>19</v>
      </c>
      <c r="C79" s="47">
        <f t="shared" si="2"/>
        <v>3.4633612832664965E-3</v>
      </c>
      <c r="D79" s="43">
        <v>12</v>
      </c>
      <c r="E79" s="47">
        <v>0.63200000000000001</v>
      </c>
      <c r="F79" s="47">
        <f t="shared" si="3"/>
        <v>2.1888443310244259E-3</v>
      </c>
      <c r="G79" s="43">
        <v>1</v>
      </c>
    </row>
    <row r="80" spans="1:7" x14ac:dyDescent="0.25">
      <c r="A80" s="43" t="s">
        <v>1784</v>
      </c>
      <c r="B80" s="43">
        <v>23</v>
      </c>
      <c r="C80" s="47">
        <f t="shared" si="2"/>
        <v>4.1924899744804961E-3</v>
      </c>
      <c r="D80" s="43">
        <v>12</v>
      </c>
      <c r="E80" s="47">
        <v>0.52200000000000002</v>
      </c>
      <c r="F80" s="47">
        <f t="shared" si="3"/>
        <v>2.1884797666788191E-3</v>
      </c>
      <c r="G80" s="43">
        <v>1</v>
      </c>
    </row>
    <row r="81" spans="1:7" x14ac:dyDescent="0.25">
      <c r="A81" s="43" t="s">
        <v>2937</v>
      </c>
      <c r="B81" s="43">
        <v>18</v>
      </c>
      <c r="C81" s="47">
        <f t="shared" si="2"/>
        <v>3.2810791104629965E-3</v>
      </c>
      <c r="D81" s="43">
        <v>12</v>
      </c>
      <c r="E81" s="47">
        <v>0.66700000000000004</v>
      </c>
      <c r="F81" s="47">
        <f t="shared" si="3"/>
        <v>2.1884797666788186E-3</v>
      </c>
      <c r="G81" s="43">
        <v>1</v>
      </c>
    </row>
    <row r="82" spans="1:7" x14ac:dyDescent="0.25">
      <c r="A82" s="43" t="s">
        <v>2954</v>
      </c>
      <c r="B82" s="43">
        <v>12</v>
      </c>
      <c r="C82" s="47">
        <f t="shared" si="2"/>
        <v>2.1873860736419978E-3</v>
      </c>
      <c r="D82" s="43">
        <v>12</v>
      </c>
      <c r="E82" s="47">
        <v>1</v>
      </c>
      <c r="F82" s="47">
        <f t="shared" si="3"/>
        <v>2.1873860736419978E-3</v>
      </c>
      <c r="G82" s="43">
        <v>1</v>
      </c>
    </row>
    <row r="83" spans="1:7" x14ac:dyDescent="0.25">
      <c r="A83" s="43" t="s">
        <v>2948</v>
      </c>
      <c r="B83" s="43">
        <v>15</v>
      </c>
      <c r="C83" s="47">
        <f t="shared" si="2"/>
        <v>2.7342325920524974E-3</v>
      </c>
      <c r="D83" s="43">
        <v>12</v>
      </c>
      <c r="E83" s="47">
        <v>0.8</v>
      </c>
      <c r="F83" s="47">
        <f t="shared" si="3"/>
        <v>2.1873860736419978E-3</v>
      </c>
      <c r="G83" s="43">
        <v>0</v>
      </c>
    </row>
    <row r="84" spans="1:7" x14ac:dyDescent="0.25">
      <c r="A84" s="43" t="s">
        <v>956</v>
      </c>
      <c r="B84" s="43">
        <v>16</v>
      </c>
      <c r="C84" s="47">
        <f t="shared" si="2"/>
        <v>2.9165147648559969E-3</v>
      </c>
      <c r="D84" s="43">
        <v>12</v>
      </c>
      <c r="E84" s="47">
        <v>0.75</v>
      </c>
      <c r="F84" s="47">
        <f t="shared" si="3"/>
        <v>2.1873860736419978E-3</v>
      </c>
      <c r="G84" s="43">
        <v>0</v>
      </c>
    </row>
    <row r="85" spans="1:7" x14ac:dyDescent="0.25">
      <c r="A85" s="43" t="s">
        <v>2943</v>
      </c>
      <c r="B85" s="43">
        <v>16</v>
      </c>
      <c r="C85" s="47">
        <f t="shared" si="2"/>
        <v>2.9165147648559969E-3</v>
      </c>
      <c r="D85" s="43">
        <v>12</v>
      </c>
      <c r="E85" s="47">
        <v>0.75</v>
      </c>
      <c r="F85" s="47">
        <f t="shared" si="3"/>
        <v>2.1873860736419978E-3</v>
      </c>
      <c r="G85" s="43">
        <v>1</v>
      </c>
    </row>
    <row r="86" spans="1:7" x14ac:dyDescent="0.25">
      <c r="A86" s="43" t="s">
        <v>656</v>
      </c>
      <c r="B86" s="43">
        <v>14</v>
      </c>
      <c r="C86" s="47">
        <f t="shared" si="2"/>
        <v>2.5519504192489974E-3</v>
      </c>
      <c r="D86" s="43">
        <v>12</v>
      </c>
      <c r="E86" s="47">
        <v>0.85699999999999998</v>
      </c>
      <c r="F86" s="47">
        <f t="shared" si="3"/>
        <v>2.1870215092963906E-3</v>
      </c>
      <c r="G86" s="43">
        <v>1</v>
      </c>
    </row>
    <row r="87" spans="1:7" x14ac:dyDescent="0.25">
      <c r="A87" s="43" t="s">
        <v>2944</v>
      </c>
      <c r="B87" s="43">
        <v>16</v>
      </c>
      <c r="C87" s="47">
        <f t="shared" si="2"/>
        <v>2.9165147648559969E-3</v>
      </c>
      <c r="D87" s="43">
        <v>11</v>
      </c>
      <c r="E87" s="47">
        <v>0.68799999999999994</v>
      </c>
      <c r="F87" s="47">
        <f t="shared" si="3"/>
        <v>2.0065621582209259E-3</v>
      </c>
      <c r="G87" s="43">
        <v>1</v>
      </c>
    </row>
    <row r="88" spans="1:7" x14ac:dyDescent="0.25">
      <c r="A88" s="43" t="s">
        <v>2921</v>
      </c>
      <c r="B88" s="43">
        <v>22</v>
      </c>
      <c r="C88" s="47">
        <f t="shared" si="2"/>
        <v>4.0102078016769956E-3</v>
      </c>
      <c r="D88" s="43">
        <v>11</v>
      </c>
      <c r="E88" s="47">
        <v>0.5</v>
      </c>
      <c r="F88" s="47">
        <f t="shared" si="3"/>
        <v>2.0051039008384978E-3</v>
      </c>
      <c r="G88" s="43">
        <v>0</v>
      </c>
    </row>
    <row r="89" spans="1:7" x14ac:dyDescent="0.25">
      <c r="A89" s="43" t="s">
        <v>599</v>
      </c>
      <c r="B89" s="43">
        <v>18</v>
      </c>
      <c r="C89" s="47">
        <f t="shared" si="2"/>
        <v>3.2810791104629965E-3</v>
      </c>
      <c r="D89" s="43">
        <v>11</v>
      </c>
      <c r="E89" s="47">
        <v>0.61099999999999999</v>
      </c>
      <c r="F89" s="47">
        <f t="shared" si="3"/>
        <v>2.004739336492891E-3</v>
      </c>
      <c r="G89" s="43">
        <v>1</v>
      </c>
    </row>
    <row r="90" spans="1:7" x14ac:dyDescent="0.25">
      <c r="A90" s="43" t="s">
        <v>2900</v>
      </c>
      <c r="B90" s="43">
        <v>26</v>
      </c>
      <c r="C90" s="47">
        <f t="shared" si="2"/>
        <v>4.7393364928909956E-3</v>
      </c>
      <c r="D90" s="43">
        <v>11</v>
      </c>
      <c r="E90" s="47">
        <v>0.42299999999999999</v>
      </c>
      <c r="F90" s="47">
        <f t="shared" si="3"/>
        <v>2.004739336492891E-3</v>
      </c>
      <c r="G90" s="43">
        <v>1</v>
      </c>
    </row>
    <row r="91" spans="1:7" x14ac:dyDescent="0.25">
      <c r="A91" s="43" t="s">
        <v>1419</v>
      </c>
      <c r="B91" s="43">
        <v>24</v>
      </c>
      <c r="C91" s="47">
        <f t="shared" si="2"/>
        <v>4.3747721472839956E-3</v>
      </c>
      <c r="D91" s="43">
        <v>11</v>
      </c>
      <c r="E91" s="47">
        <v>0.45800000000000002</v>
      </c>
      <c r="F91" s="47">
        <f t="shared" si="3"/>
        <v>2.0036456434560702E-3</v>
      </c>
      <c r="G91" s="43">
        <v>1</v>
      </c>
    </row>
    <row r="92" spans="1:7" x14ac:dyDescent="0.25">
      <c r="A92" s="43" t="s">
        <v>2922</v>
      </c>
      <c r="B92" s="43">
        <v>22</v>
      </c>
      <c r="C92" s="47">
        <f t="shared" si="2"/>
        <v>4.0102078016769956E-3</v>
      </c>
      <c r="D92" s="43">
        <v>10</v>
      </c>
      <c r="E92" s="47">
        <v>0.45500000000000002</v>
      </c>
      <c r="F92" s="47">
        <f t="shared" si="3"/>
        <v>1.8246445497630331E-3</v>
      </c>
      <c r="G92" s="43">
        <v>1</v>
      </c>
    </row>
    <row r="93" spans="1:7" x14ac:dyDescent="0.25">
      <c r="A93" s="43" t="s">
        <v>1808</v>
      </c>
      <c r="B93" s="43">
        <v>18</v>
      </c>
      <c r="C93" s="47">
        <f t="shared" si="2"/>
        <v>3.2810791104629965E-3</v>
      </c>
      <c r="D93" s="43">
        <v>10</v>
      </c>
      <c r="E93" s="47">
        <v>0.55600000000000005</v>
      </c>
      <c r="F93" s="47">
        <f t="shared" si="3"/>
        <v>1.8242799854174263E-3</v>
      </c>
      <c r="G93" s="43">
        <v>0</v>
      </c>
    </row>
    <row r="94" spans="1:7" x14ac:dyDescent="0.25">
      <c r="A94" s="43" t="s">
        <v>1550</v>
      </c>
      <c r="B94" s="43">
        <v>15</v>
      </c>
      <c r="C94" s="47">
        <f t="shared" si="2"/>
        <v>2.7342325920524974E-3</v>
      </c>
      <c r="D94" s="43">
        <v>10</v>
      </c>
      <c r="E94" s="47">
        <v>0.66700000000000004</v>
      </c>
      <c r="F94" s="47">
        <f t="shared" si="3"/>
        <v>1.8237331388990159E-3</v>
      </c>
      <c r="G94" s="43">
        <v>1</v>
      </c>
    </row>
    <row r="95" spans="1:7" x14ac:dyDescent="0.25">
      <c r="A95" s="43" t="s">
        <v>2982</v>
      </c>
      <c r="B95" s="43">
        <v>10</v>
      </c>
      <c r="C95" s="47">
        <f t="shared" si="2"/>
        <v>1.8228217280349982E-3</v>
      </c>
      <c r="D95" s="43">
        <v>10</v>
      </c>
      <c r="E95" s="47">
        <v>1</v>
      </c>
      <c r="F95" s="47">
        <f t="shared" si="3"/>
        <v>1.8228217280349982E-3</v>
      </c>
      <c r="G95" s="43">
        <v>0</v>
      </c>
    </row>
    <row r="96" spans="1:7" x14ac:dyDescent="0.25">
      <c r="A96" s="43" t="s">
        <v>832</v>
      </c>
      <c r="B96" s="43">
        <v>10</v>
      </c>
      <c r="C96" s="47">
        <f t="shared" si="2"/>
        <v>1.8228217280349982E-3</v>
      </c>
      <c r="D96" s="43">
        <v>10</v>
      </c>
      <c r="E96" s="47">
        <v>1</v>
      </c>
      <c r="F96" s="47">
        <f t="shared" si="3"/>
        <v>1.8228217280349982E-3</v>
      </c>
      <c r="G96" s="43">
        <v>1</v>
      </c>
    </row>
    <row r="97" spans="1:7" x14ac:dyDescent="0.25">
      <c r="A97" s="43" t="s">
        <v>2964</v>
      </c>
      <c r="B97" s="43">
        <v>11</v>
      </c>
      <c r="C97" s="47">
        <f t="shared" si="2"/>
        <v>2.0051039008384978E-3</v>
      </c>
      <c r="D97" s="43">
        <v>10</v>
      </c>
      <c r="E97" s="47">
        <v>0.90900000000000003</v>
      </c>
      <c r="F97" s="47">
        <f t="shared" si="3"/>
        <v>1.8226394458621946E-3</v>
      </c>
      <c r="G97" s="43">
        <v>1</v>
      </c>
    </row>
    <row r="98" spans="1:7" x14ac:dyDescent="0.25">
      <c r="A98" s="43" t="s">
        <v>2965</v>
      </c>
      <c r="B98" s="43">
        <v>11</v>
      </c>
      <c r="C98" s="47">
        <f t="shared" si="2"/>
        <v>2.0051039008384978E-3</v>
      </c>
      <c r="D98" s="43">
        <v>10</v>
      </c>
      <c r="E98" s="47">
        <v>0.90900000000000003</v>
      </c>
      <c r="F98" s="47">
        <f t="shared" si="3"/>
        <v>1.8226394458621946E-3</v>
      </c>
      <c r="G98" s="43">
        <v>1</v>
      </c>
    </row>
    <row r="99" spans="1:7" x14ac:dyDescent="0.25">
      <c r="A99" s="43" t="s">
        <v>277</v>
      </c>
      <c r="B99" s="43">
        <v>13</v>
      </c>
      <c r="C99" s="47">
        <f t="shared" si="2"/>
        <v>2.3696682464454978E-3</v>
      </c>
      <c r="D99" s="43">
        <v>10</v>
      </c>
      <c r="E99" s="47">
        <v>0.76900000000000002</v>
      </c>
      <c r="F99" s="47">
        <f t="shared" si="3"/>
        <v>1.8222748815165878E-3</v>
      </c>
      <c r="G99" s="43">
        <v>1</v>
      </c>
    </row>
    <row r="100" spans="1:7" x14ac:dyDescent="0.25">
      <c r="A100" s="43" t="s">
        <v>2955</v>
      </c>
      <c r="B100" s="43">
        <v>12</v>
      </c>
      <c r="C100" s="47">
        <f t="shared" si="2"/>
        <v>2.1873860736419978E-3</v>
      </c>
      <c r="D100" s="43">
        <v>10</v>
      </c>
      <c r="E100" s="47">
        <v>0.83299999999999996</v>
      </c>
      <c r="F100" s="47">
        <f t="shared" si="3"/>
        <v>1.822092599343784E-3</v>
      </c>
      <c r="G100" s="43">
        <v>0</v>
      </c>
    </row>
    <row r="101" spans="1:7" x14ac:dyDescent="0.25">
      <c r="A101" s="43" t="s">
        <v>2956</v>
      </c>
      <c r="B101" s="43">
        <v>12</v>
      </c>
      <c r="C101" s="47">
        <f t="shared" si="2"/>
        <v>2.1873860736419978E-3</v>
      </c>
      <c r="D101" s="43">
        <v>10</v>
      </c>
      <c r="E101" s="47">
        <v>0.83299999999999996</v>
      </c>
      <c r="F101" s="47">
        <f t="shared" si="3"/>
        <v>1.822092599343784E-3</v>
      </c>
      <c r="G101" s="43">
        <v>0</v>
      </c>
    </row>
    <row r="102" spans="1:7" x14ac:dyDescent="0.25">
      <c r="A102" s="43" t="s">
        <v>2957</v>
      </c>
      <c r="B102" s="43">
        <v>12</v>
      </c>
      <c r="C102" s="47">
        <f t="shared" si="2"/>
        <v>2.1873860736419978E-3</v>
      </c>
      <c r="D102" s="43">
        <v>10</v>
      </c>
      <c r="E102" s="47">
        <v>0.83299999999999996</v>
      </c>
      <c r="F102" s="47">
        <f t="shared" si="3"/>
        <v>1.822092599343784E-3</v>
      </c>
      <c r="G102" s="43">
        <v>1</v>
      </c>
    </row>
    <row r="103" spans="1:7" x14ac:dyDescent="0.25">
      <c r="A103" s="43" t="s">
        <v>2952</v>
      </c>
      <c r="B103" s="43">
        <v>14</v>
      </c>
      <c r="C103" s="47">
        <f t="shared" si="2"/>
        <v>2.5519504192489974E-3</v>
      </c>
      <c r="D103" s="43">
        <v>10</v>
      </c>
      <c r="E103" s="47">
        <v>0.71399999999999997</v>
      </c>
      <c r="F103" s="47">
        <f t="shared" si="3"/>
        <v>1.822092599343784E-3</v>
      </c>
      <c r="G103" s="43">
        <v>1</v>
      </c>
    </row>
    <row r="104" spans="1:7" x14ac:dyDescent="0.25">
      <c r="A104" s="43" t="s">
        <v>671</v>
      </c>
      <c r="B104" s="43">
        <v>17</v>
      </c>
      <c r="C104" s="47">
        <f t="shared" si="2"/>
        <v>3.0987969376594969E-3</v>
      </c>
      <c r="D104" s="43">
        <v>10</v>
      </c>
      <c r="E104" s="47">
        <v>0.58799999999999997</v>
      </c>
      <c r="F104" s="47">
        <f t="shared" si="3"/>
        <v>1.822092599343784E-3</v>
      </c>
      <c r="G104" s="43">
        <v>1</v>
      </c>
    </row>
    <row r="105" spans="1:7" x14ac:dyDescent="0.25">
      <c r="A105" s="43" t="s">
        <v>2932</v>
      </c>
      <c r="B105" s="43">
        <v>19</v>
      </c>
      <c r="C105" s="47">
        <f t="shared" si="2"/>
        <v>3.4633612832664965E-3</v>
      </c>
      <c r="D105" s="43">
        <v>10</v>
      </c>
      <c r="E105" s="47">
        <v>0.52600000000000002</v>
      </c>
      <c r="F105" s="47">
        <f t="shared" si="3"/>
        <v>1.8217280349981772E-3</v>
      </c>
      <c r="G105" s="43">
        <v>1</v>
      </c>
    </row>
    <row r="106" spans="1:7" x14ac:dyDescent="0.25">
      <c r="A106" s="43" t="s">
        <v>1168</v>
      </c>
      <c r="B106" s="43">
        <v>14</v>
      </c>
      <c r="C106" s="47">
        <f t="shared" si="2"/>
        <v>2.5519504192489974E-3</v>
      </c>
      <c r="D106" s="43">
        <v>9</v>
      </c>
      <c r="E106" s="47">
        <v>0.64300000000000002</v>
      </c>
      <c r="F106" s="47">
        <f t="shared" si="3"/>
        <v>1.6409041195771053E-3</v>
      </c>
      <c r="G106" s="43">
        <v>1</v>
      </c>
    </row>
    <row r="107" spans="1:7" x14ac:dyDescent="0.25">
      <c r="A107" s="43" t="s">
        <v>1552</v>
      </c>
      <c r="B107" s="43">
        <v>15</v>
      </c>
      <c r="C107" s="47">
        <f t="shared" si="2"/>
        <v>2.7342325920524974E-3</v>
      </c>
      <c r="D107" s="43">
        <v>9</v>
      </c>
      <c r="E107" s="47">
        <v>0.6</v>
      </c>
      <c r="F107" s="47">
        <f t="shared" si="3"/>
        <v>1.6405395552314985E-3</v>
      </c>
      <c r="G107" s="43">
        <v>1</v>
      </c>
    </row>
    <row r="108" spans="1:7" x14ac:dyDescent="0.25">
      <c r="A108" s="43" t="s">
        <v>2949</v>
      </c>
      <c r="B108" s="43">
        <v>15</v>
      </c>
      <c r="C108" s="47">
        <f t="shared" si="2"/>
        <v>2.7342325920524974E-3</v>
      </c>
      <c r="D108" s="43">
        <v>9</v>
      </c>
      <c r="E108" s="47">
        <v>0.6</v>
      </c>
      <c r="F108" s="47">
        <f t="shared" si="3"/>
        <v>1.6405395552314985E-3</v>
      </c>
      <c r="G108" s="43">
        <v>1</v>
      </c>
    </row>
    <row r="109" spans="1:7" x14ac:dyDescent="0.25">
      <c r="A109" s="43" t="s">
        <v>2950</v>
      </c>
      <c r="B109" s="43">
        <v>15</v>
      </c>
      <c r="C109" s="47">
        <f t="shared" si="2"/>
        <v>2.7342325920524974E-3</v>
      </c>
      <c r="D109" s="43">
        <v>9</v>
      </c>
      <c r="E109" s="47">
        <v>0.6</v>
      </c>
      <c r="F109" s="47">
        <f t="shared" si="3"/>
        <v>1.6405395552314985E-3</v>
      </c>
      <c r="G109" s="43">
        <v>1</v>
      </c>
    </row>
    <row r="110" spans="1:7" x14ac:dyDescent="0.25">
      <c r="A110" s="43" t="s">
        <v>1179</v>
      </c>
      <c r="B110" s="43">
        <v>9</v>
      </c>
      <c r="C110" s="47">
        <f t="shared" si="2"/>
        <v>1.6405395552314983E-3</v>
      </c>
      <c r="D110" s="43">
        <v>9</v>
      </c>
      <c r="E110" s="47">
        <v>1</v>
      </c>
      <c r="F110" s="47">
        <f t="shared" si="3"/>
        <v>1.6405395552314983E-3</v>
      </c>
      <c r="G110" s="43">
        <v>1</v>
      </c>
    </row>
    <row r="111" spans="1:7" x14ac:dyDescent="0.25">
      <c r="A111" s="43" t="s">
        <v>2958</v>
      </c>
      <c r="B111" s="43">
        <v>12</v>
      </c>
      <c r="C111" s="47">
        <f t="shared" si="2"/>
        <v>2.1873860736419978E-3</v>
      </c>
      <c r="D111" s="43">
        <v>9</v>
      </c>
      <c r="E111" s="47">
        <v>0.75</v>
      </c>
      <c r="F111" s="47">
        <f t="shared" si="3"/>
        <v>1.6405395552314983E-3</v>
      </c>
      <c r="G111" s="43">
        <v>0</v>
      </c>
    </row>
    <row r="112" spans="1:7" x14ac:dyDescent="0.25">
      <c r="A112" s="43" t="s">
        <v>2959</v>
      </c>
      <c r="B112" s="43">
        <v>12</v>
      </c>
      <c r="C112" s="47">
        <f t="shared" si="2"/>
        <v>2.1873860736419978E-3</v>
      </c>
      <c r="D112" s="43">
        <v>9</v>
      </c>
      <c r="E112" s="47">
        <v>0.75</v>
      </c>
      <c r="F112" s="47">
        <f t="shared" si="3"/>
        <v>1.6405395552314983E-3</v>
      </c>
      <c r="G112" s="43">
        <v>1</v>
      </c>
    </row>
    <row r="113" spans="1:7" x14ac:dyDescent="0.25">
      <c r="A113" s="43" t="s">
        <v>621</v>
      </c>
      <c r="B113" s="43">
        <v>25</v>
      </c>
      <c r="C113" s="47">
        <f t="shared" si="2"/>
        <v>4.5570543200874952E-3</v>
      </c>
      <c r="D113" s="43">
        <v>9</v>
      </c>
      <c r="E113" s="47">
        <v>0.36</v>
      </c>
      <c r="F113" s="47">
        <f t="shared" si="3"/>
        <v>1.6405395552314983E-3</v>
      </c>
      <c r="G113" s="43">
        <v>1</v>
      </c>
    </row>
    <row r="114" spans="1:7" x14ac:dyDescent="0.25">
      <c r="A114" s="43" t="s">
        <v>1386</v>
      </c>
      <c r="B114" s="43">
        <v>11</v>
      </c>
      <c r="C114" s="47">
        <f t="shared" si="2"/>
        <v>2.0051039008384978E-3</v>
      </c>
      <c r="D114" s="43">
        <v>9</v>
      </c>
      <c r="E114" s="47">
        <v>0.81799999999999995</v>
      </c>
      <c r="F114" s="47">
        <f t="shared" si="3"/>
        <v>1.640174990885891E-3</v>
      </c>
      <c r="G114" s="43">
        <v>1</v>
      </c>
    </row>
    <row r="115" spans="1:7" x14ac:dyDescent="0.25">
      <c r="A115" s="43" t="s">
        <v>2960</v>
      </c>
      <c r="B115" s="43">
        <v>12</v>
      </c>
      <c r="C115" s="47">
        <f t="shared" si="2"/>
        <v>2.1873860736419978E-3</v>
      </c>
      <c r="D115" s="43">
        <v>8</v>
      </c>
      <c r="E115" s="47">
        <v>0.66700000000000004</v>
      </c>
      <c r="F115" s="47">
        <f t="shared" si="3"/>
        <v>1.4589865111192127E-3</v>
      </c>
      <c r="G115" s="43">
        <v>0</v>
      </c>
    </row>
    <row r="116" spans="1:7" x14ac:dyDescent="0.25">
      <c r="A116" s="43" t="s">
        <v>2961</v>
      </c>
      <c r="B116" s="43">
        <v>12</v>
      </c>
      <c r="C116" s="47">
        <f t="shared" si="2"/>
        <v>2.1873860736419978E-3</v>
      </c>
      <c r="D116" s="43">
        <v>8</v>
      </c>
      <c r="E116" s="47">
        <v>0.66700000000000004</v>
      </c>
      <c r="F116" s="47">
        <f t="shared" si="3"/>
        <v>1.4589865111192127E-3</v>
      </c>
      <c r="G116" s="43">
        <v>1</v>
      </c>
    </row>
    <row r="117" spans="1:7" x14ac:dyDescent="0.25">
      <c r="A117" s="43" t="s">
        <v>2997</v>
      </c>
      <c r="B117" s="43">
        <v>9</v>
      </c>
      <c r="C117" s="47">
        <f t="shared" si="2"/>
        <v>1.6405395552314983E-3</v>
      </c>
      <c r="D117" s="43">
        <v>8</v>
      </c>
      <c r="E117" s="47">
        <v>0.88900000000000001</v>
      </c>
      <c r="F117" s="47">
        <f t="shared" si="3"/>
        <v>1.4584396646008019E-3</v>
      </c>
      <c r="G117" s="43">
        <v>0</v>
      </c>
    </row>
    <row r="118" spans="1:7" x14ac:dyDescent="0.25">
      <c r="A118" s="43" t="s">
        <v>2998</v>
      </c>
      <c r="B118" s="43">
        <v>9</v>
      </c>
      <c r="C118" s="47">
        <f t="shared" si="2"/>
        <v>1.6405395552314983E-3</v>
      </c>
      <c r="D118" s="43">
        <v>8</v>
      </c>
      <c r="E118" s="47">
        <v>0.88900000000000001</v>
      </c>
      <c r="F118" s="47">
        <f t="shared" si="3"/>
        <v>1.4584396646008019E-3</v>
      </c>
      <c r="G118" s="43">
        <v>0</v>
      </c>
    </row>
    <row r="119" spans="1:7" x14ac:dyDescent="0.25">
      <c r="A119" s="43" t="s">
        <v>2999</v>
      </c>
      <c r="B119" s="43">
        <v>9</v>
      </c>
      <c r="C119" s="47">
        <f t="shared" si="2"/>
        <v>1.6405395552314983E-3</v>
      </c>
      <c r="D119" s="43">
        <v>8</v>
      </c>
      <c r="E119" s="47">
        <v>0.88900000000000001</v>
      </c>
      <c r="F119" s="47">
        <f t="shared" si="3"/>
        <v>1.4584396646008019E-3</v>
      </c>
      <c r="G119" s="43">
        <v>1</v>
      </c>
    </row>
    <row r="120" spans="1:7" x14ac:dyDescent="0.25">
      <c r="A120" s="43" t="s">
        <v>1177</v>
      </c>
      <c r="B120" s="43">
        <v>9</v>
      </c>
      <c r="C120" s="47">
        <f t="shared" si="2"/>
        <v>1.6405395552314983E-3</v>
      </c>
      <c r="D120" s="43">
        <v>8</v>
      </c>
      <c r="E120" s="47">
        <v>0.88900000000000001</v>
      </c>
      <c r="F120" s="47">
        <f t="shared" si="3"/>
        <v>1.4584396646008019E-3</v>
      </c>
      <c r="G120" s="43">
        <v>0</v>
      </c>
    </row>
    <row r="121" spans="1:7" x14ac:dyDescent="0.25">
      <c r="A121" s="43" t="s">
        <v>2983</v>
      </c>
      <c r="B121" s="43">
        <v>10</v>
      </c>
      <c r="C121" s="47">
        <f t="shared" si="2"/>
        <v>1.8228217280349982E-3</v>
      </c>
      <c r="D121" s="43">
        <v>8</v>
      </c>
      <c r="E121" s="47">
        <v>0.8</v>
      </c>
      <c r="F121" s="47">
        <f t="shared" si="3"/>
        <v>1.4582573824279987E-3</v>
      </c>
      <c r="G121" s="43">
        <v>1</v>
      </c>
    </row>
    <row r="122" spans="1:7" x14ac:dyDescent="0.25">
      <c r="A122" s="43" t="s">
        <v>2928</v>
      </c>
      <c r="B122" s="43">
        <v>20</v>
      </c>
      <c r="C122" s="47">
        <f t="shared" si="2"/>
        <v>3.6456434560699965E-3</v>
      </c>
      <c r="D122" s="43">
        <v>8</v>
      </c>
      <c r="E122" s="47">
        <v>0.4</v>
      </c>
      <c r="F122" s="47">
        <f t="shared" si="3"/>
        <v>1.4582573824279987E-3</v>
      </c>
      <c r="G122" s="43">
        <v>1</v>
      </c>
    </row>
    <row r="123" spans="1:7" x14ac:dyDescent="0.25">
      <c r="A123" s="43" t="s">
        <v>2945</v>
      </c>
      <c r="B123" s="43">
        <v>16</v>
      </c>
      <c r="C123" s="47">
        <f t="shared" si="2"/>
        <v>2.9165147648559969E-3</v>
      </c>
      <c r="D123" s="43">
        <v>8</v>
      </c>
      <c r="E123" s="47">
        <v>0.5</v>
      </c>
      <c r="F123" s="47">
        <f t="shared" si="3"/>
        <v>1.4582573824279985E-3</v>
      </c>
      <c r="G123" s="43">
        <v>1</v>
      </c>
    </row>
    <row r="124" spans="1:7" x14ac:dyDescent="0.25">
      <c r="A124" s="43" t="s">
        <v>2966</v>
      </c>
      <c r="B124" s="43">
        <v>11</v>
      </c>
      <c r="C124" s="47">
        <f t="shared" si="2"/>
        <v>2.0051039008384978E-3</v>
      </c>
      <c r="D124" s="43">
        <v>8</v>
      </c>
      <c r="E124" s="47">
        <v>0.72699999999999998</v>
      </c>
      <c r="F124" s="47">
        <f t="shared" si="3"/>
        <v>1.4577105359095878E-3</v>
      </c>
      <c r="G124" s="43">
        <v>1</v>
      </c>
    </row>
    <row r="125" spans="1:7" x14ac:dyDescent="0.25">
      <c r="A125" s="43" t="s">
        <v>2967</v>
      </c>
      <c r="B125" s="43">
        <v>11</v>
      </c>
      <c r="C125" s="47">
        <f t="shared" si="2"/>
        <v>2.0051039008384978E-3</v>
      </c>
      <c r="D125" s="43">
        <v>8</v>
      </c>
      <c r="E125" s="47">
        <v>0.72699999999999998</v>
      </c>
      <c r="F125" s="47">
        <f t="shared" si="3"/>
        <v>1.4577105359095878E-3</v>
      </c>
      <c r="G125" s="43">
        <v>1</v>
      </c>
    </row>
    <row r="126" spans="1:7" x14ac:dyDescent="0.25">
      <c r="A126" s="43" t="s">
        <v>428</v>
      </c>
      <c r="B126" s="43">
        <v>11</v>
      </c>
      <c r="C126" s="47">
        <f t="shared" si="2"/>
        <v>2.0051039008384978E-3</v>
      </c>
      <c r="D126" s="43">
        <v>8</v>
      </c>
      <c r="E126" s="47">
        <v>0.72699999999999998</v>
      </c>
      <c r="F126" s="47">
        <f t="shared" si="3"/>
        <v>1.4577105359095878E-3</v>
      </c>
      <c r="G126" s="43">
        <v>0</v>
      </c>
    </row>
    <row r="127" spans="1:7" x14ac:dyDescent="0.25">
      <c r="A127" s="43" t="s">
        <v>2968</v>
      </c>
      <c r="B127" s="43">
        <v>11</v>
      </c>
      <c r="C127" s="47">
        <f t="shared" si="2"/>
        <v>2.0051039008384978E-3</v>
      </c>
      <c r="D127" s="43">
        <v>8</v>
      </c>
      <c r="E127" s="47">
        <v>0.72699999999999998</v>
      </c>
      <c r="F127" s="47">
        <f t="shared" si="3"/>
        <v>1.4577105359095878E-3</v>
      </c>
      <c r="G127" s="43">
        <v>1</v>
      </c>
    </row>
    <row r="128" spans="1:7" x14ac:dyDescent="0.25">
      <c r="A128" s="43" t="s">
        <v>650</v>
      </c>
      <c r="B128" s="43">
        <v>11</v>
      </c>
      <c r="C128" s="47">
        <f t="shared" si="2"/>
        <v>2.0051039008384978E-3</v>
      </c>
      <c r="D128" s="43">
        <v>8</v>
      </c>
      <c r="E128" s="47">
        <v>0.72699999999999998</v>
      </c>
      <c r="F128" s="47">
        <f t="shared" si="3"/>
        <v>1.4577105359095878E-3</v>
      </c>
      <c r="G128" s="43">
        <v>1</v>
      </c>
    </row>
    <row r="129" spans="1:7" x14ac:dyDescent="0.25">
      <c r="A129" s="43" t="s">
        <v>436</v>
      </c>
      <c r="B129" s="43">
        <v>11</v>
      </c>
      <c r="C129" s="47">
        <f t="shared" si="2"/>
        <v>2.0051039008384978E-3</v>
      </c>
      <c r="D129" s="43">
        <v>8</v>
      </c>
      <c r="E129" s="47">
        <v>0.72699999999999998</v>
      </c>
      <c r="F129" s="47">
        <f t="shared" si="3"/>
        <v>1.4577105359095878E-3</v>
      </c>
      <c r="G129" s="43">
        <v>0</v>
      </c>
    </row>
    <row r="130" spans="1:7" x14ac:dyDescent="0.25">
      <c r="A130" s="43" t="s">
        <v>3000</v>
      </c>
      <c r="B130" s="43">
        <v>9</v>
      </c>
      <c r="C130" s="47">
        <f t="shared" ref="C130:C193" si="4">B130/$B$602</f>
        <v>1.6405395552314983E-3</v>
      </c>
      <c r="D130" s="43">
        <v>7</v>
      </c>
      <c r="E130" s="47">
        <v>0.77800000000000002</v>
      </c>
      <c r="F130" s="47">
        <f t="shared" ref="F130:F193" si="5">E130*C130</f>
        <v>1.2763397739701057E-3</v>
      </c>
      <c r="G130" s="43">
        <v>0</v>
      </c>
    </row>
    <row r="131" spans="1:7" x14ac:dyDescent="0.25">
      <c r="A131" s="43" t="s">
        <v>1303</v>
      </c>
      <c r="B131" s="43">
        <v>9</v>
      </c>
      <c r="C131" s="47">
        <f t="shared" si="4"/>
        <v>1.6405395552314983E-3</v>
      </c>
      <c r="D131" s="43">
        <v>7</v>
      </c>
      <c r="E131" s="47">
        <v>0.77800000000000002</v>
      </c>
      <c r="F131" s="47">
        <f t="shared" si="5"/>
        <v>1.2763397739701057E-3</v>
      </c>
      <c r="G131" s="43">
        <v>1</v>
      </c>
    </row>
    <row r="132" spans="1:7" x14ac:dyDescent="0.25">
      <c r="A132" s="43" t="s">
        <v>3001</v>
      </c>
      <c r="B132" s="43">
        <v>9</v>
      </c>
      <c r="C132" s="47">
        <f t="shared" si="4"/>
        <v>1.6405395552314983E-3</v>
      </c>
      <c r="D132" s="43">
        <v>7</v>
      </c>
      <c r="E132" s="47">
        <v>0.77800000000000002</v>
      </c>
      <c r="F132" s="47">
        <f t="shared" si="5"/>
        <v>1.2763397739701057E-3</v>
      </c>
      <c r="G132" s="43">
        <v>1</v>
      </c>
    </row>
    <row r="133" spans="1:7" x14ac:dyDescent="0.25">
      <c r="A133" s="43" t="s">
        <v>3007</v>
      </c>
      <c r="B133" s="43">
        <v>8</v>
      </c>
      <c r="C133" s="47">
        <f t="shared" si="4"/>
        <v>1.4582573824279985E-3</v>
      </c>
      <c r="D133" s="43">
        <v>7</v>
      </c>
      <c r="E133" s="47">
        <v>0.875</v>
      </c>
      <c r="F133" s="47">
        <f t="shared" si="5"/>
        <v>1.2759752096244987E-3</v>
      </c>
      <c r="G133" s="43">
        <v>1</v>
      </c>
    </row>
    <row r="134" spans="1:7" x14ac:dyDescent="0.25">
      <c r="A134" s="43" t="s">
        <v>3008</v>
      </c>
      <c r="B134" s="43">
        <v>8</v>
      </c>
      <c r="C134" s="47">
        <f t="shared" si="4"/>
        <v>1.4582573824279985E-3</v>
      </c>
      <c r="D134" s="43">
        <v>7</v>
      </c>
      <c r="E134" s="47">
        <v>0.875</v>
      </c>
      <c r="F134" s="47">
        <f t="shared" si="5"/>
        <v>1.2759752096244987E-3</v>
      </c>
      <c r="G134" s="43">
        <v>0.375</v>
      </c>
    </row>
    <row r="135" spans="1:7" x14ac:dyDescent="0.25">
      <c r="A135" s="43" t="s">
        <v>2984</v>
      </c>
      <c r="B135" s="43">
        <v>10</v>
      </c>
      <c r="C135" s="47">
        <f t="shared" si="4"/>
        <v>1.8228217280349982E-3</v>
      </c>
      <c r="D135" s="43">
        <v>7</v>
      </c>
      <c r="E135" s="47">
        <v>0.7</v>
      </c>
      <c r="F135" s="47">
        <f t="shared" si="5"/>
        <v>1.2759752096244987E-3</v>
      </c>
      <c r="G135" s="43">
        <v>1</v>
      </c>
    </row>
    <row r="136" spans="1:7" x14ac:dyDescent="0.25">
      <c r="A136" s="43" t="s">
        <v>2985</v>
      </c>
      <c r="B136" s="43">
        <v>10</v>
      </c>
      <c r="C136" s="47">
        <f t="shared" si="4"/>
        <v>1.8228217280349982E-3</v>
      </c>
      <c r="D136" s="43">
        <v>7</v>
      </c>
      <c r="E136" s="47">
        <v>0.7</v>
      </c>
      <c r="F136" s="47">
        <f t="shared" si="5"/>
        <v>1.2759752096244987E-3</v>
      </c>
      <c r="G136" s="43">
        <v>0</v>
      </c>
    </row>
    <row r="137" spans="1:7" x14ac:dyDescent="0.25">
      <c r="A137" s="43" t="s">
        <v>822</v>
      </c>
      <c r="B137" s="43">
        <v>10</v>
      </c>
      <c r="C137" s="47">
        <f t="shared" si="4"/>
        <v>1.8228217280349982E-3</v>
      </c>
      <c r="D137" s="43">
        <v>7</v>
      </c>
      <c r="E137" s="47">
        <v>0.7</v>
      </c>
      <c r="F137" s="47">
        <f t="shared" si="5"/>
        <v>1.2759752096244987E-3</v>
      </c>
      <c r="G137" s="43">
        <v>1</v>
      </c>
    </row>
    <row r="138" spans="1:7" x14ac:dyDescent="0.25">
      <c r="A138" s="43" t="s">
        <v>2986</v>
      </c>
      <c r="B138" s="43">
        <v>10</v>
      </c>
      <c r="C138" s="47">
        <f t="shared" si="4"/>
        <v>1.8228217280349982E-3</v>
      </c>
      <c r="D138" s="43">
        <v>7</v>
      </c>
      <c r="E138" s="47">
        <v>0.7</v>
      </c>
      <c r="F138" s="47">
        <f t="shared" si="5"/>
        <v>1.2759752096244987E-3</v>
      </c>
      <c r="G138" s="43">
        <v>1</v>
      </c>
    </row>
    <row r="139" spans="1:7" x14ac:dyDescent="0.25">
      <c r="A139" s="43" t="s">
        <v>2987</v>
      </c>
      <c r="B139" s="43">
        <v>10</v>
      </c>
      <c r="C139" s="47">
        <f t="shared" si="4"/>
        <v>1.8228217280349982E-3</v>
      </c>
      <c r="D139" s="43">
        <v>7</v>
      </c>
      <c r="E139" s="47">
        <v>0.7</v>
      </c>
      <c r="F139" s="47">
        <f t="shared" si="5"/>
        <v>1.2759752096244987E-3</v>
      </c>
      <c r="G139" s="43">
        <v>1</v>
      </c>
    </row>
    <row r="140" spans="1:7" x14ac:dyDescent="0.25">
      <c r="A140" s="43" t="s">
        <v>2988</v>
      </c>
      <c r="B140" s="43">
        <v>10</v>
      </c>
      <c r="C140" s="47">
        <f t="shared" si="4"/>
        <v>1.8228217280349982E-3</v>
      </c>
      <c r="D140" s="43">
        <v>7</v>
      </c>
      <c r="E140" s="47">
        <v>0.7</v>
      </c>
      <c r="F140" s="47">
        <f t="shared" si="5"/>
        <v>1.2759752096244987E-3</v>
      </c>
      <c r="G140" s="43">
        <v>1</v>
      </c>
    </row>
    <row r="141" spans="1:7" x14ac:dyDescent="0.25">
      <c r="A141" s="43" t="s">
        <v>2989</v>
      </c>
      <c r="B141" s="43">
        <v>10</v>
      </c>
      <c r="C141" s="47">
        <f t="shared" si="4"/>
        <v>1.8228217280349982E-3</v>
      </c>
      <c r="D141" s="43">
        <v>7</v>
      </c>
      <c r="E141" s="47">
        <v>0.7</v>
      </c>
      <c r="F141" s="47">
        <f t="shared" si="5"/>
        <v>1.2759752096244987E-3</v>
      </c>
      <c r="G141" s="43">
        <v>0</v>
      </c>
    </row>
    <row r="142" spans="1:7" x14ac:dyDescent="0.25">
      <c r="A142" s="43" t="s">
        <v>850</v>
      </c>
      <c r="B142" s="43">
        <v>10</v>
      </c>
      <c r="C142" s="47">
        <f t="shared" si="4"/>
        <v>1.8228217280349982E-3</v>
      </c>
      <c r="D142" s="43">
        <v>7</v>
      </c>
      <c r="E142" s="47">
        <v>0.7</v>
      </c>
      <c r="F142" s="47">
        <f t="shared" si="5"/>
        <v>1.2759752096244987E-3</v>
      </c>
      <c r="G142" s="43">
        <v>1</v>
      </c>
    </row>
    <row r="143" spans="1:7" x14ac:dyDescent="0.25">
      <c r="A143" s="43" t="s">
        <v>784</v>
      </c>
      <c r="B143" s="43">
        <v>25</v>
      </c>
      <c r="C143" s="47">
        <f t="shared" si="4"/>
        <v>4.5570543200874952E-3</v>
      </c>
      <c r="D143" s="43">
        <v>7</v>
      </c>
      <c r="E143" s="47">
        <v>0.28000000000000003</v>
      </c>
      <c r="F143" s="47">
        <f t="shared" si="5"/>
        <v>1.2759752096244987E-3</v>
      </c>
      <c r="G143" s="43">
        <v>1</v>
      </c>
    </row>
    <row r="144" spans="1:7" x14ac:dyDescent="0.25">
      <c r="A144" s="43" t="s">
        <v>854</v>
      </c>
      <c r="B144" s="43">
        <v>11</v>
      </c>
      <c r="C144" s="47">
        <f t="shared" si="4"/>
        <v>2.0051039008384978E-3</v>
      </c>
      <c r="D144" s="43">
        <v>7</v>
      </c>
      <c r="E144" s="47">
        <v>0.63600000000000001</v>
      </c>
      <c r="F144" s="47">
        <f t="shared" si="5"/>
        <v>1.2752460809332847E-3</v>
      </c>
      <c r="G144" s="43">
        <v>0</v>
      </c>
    </row>
    <row r="145" spans="1:7" x14ac:dyDescent="0.25">
      <c r="A145" s="43" t="s">
        <v>2969</v>
      </c>
      <c r="B145" s="43">
        <v>11</v>
      </c>
      <c r="C145" s="47">
        <f t="shared" si="4"/>
        <v>2.0051039008384978E-3</v>
      </c>
      <c r="D145" s="43">
        <v>7</v>
      </c>
      <c r="E145" s="47">
        <v>0.63600000000000001</v>
      </c>
      <c r="F145" s="47">
        <f t="shared" si="5"/>
        <v>1.2752460809332847E-3</v>
      </c>
      <c r="G145" s="43">
        <v>1</v>
      </c>
    </row>
    <row r="146" spans="1:7" x14ac:dyDescent="0.25">
      <c r="A146" s="43" t="s">
        <v>2970</v>
      </c>
      <c r="B146" s="43">
        <v>11</v>
      </c>
      <c r="C146" s="47">
        <f t="shared" si="4"/>
        <v>2.0051039008384978E-3</v>
      </c>
      <c r="D146" s="43">
        <v>7</v>
      </c>
      <c r="E146" s="47">
        <v>0.63600000000000001</v>
      </c>
      <c r="F146" s="47">
        <f t="shared" si="5"/>
        <v>1.2752460809332847E-3</v>
      </c>
      <c r="G146" s="43">
        <v>0</v>
      </c>
    </row>
    <row r="147" spans="1:7" x14ac:dyDescent="0.25">
      <c r="A147" s="43" t="s">
        <v>2971</v>
      </c>
      <c r="B147" s="43">
        <v>11</v>
      </c>
      <c r="C147" s="47">
        <f t="shared" si="4"/>
        <v>2.0051039008384978E-3</v>
      </c>
      <c r="D147" s="43">
        <v>7</v>
      </c>
      <c r="E147" s="47">
        <v>0.63600000000000001</v>
      </c>
      <c r="F147" s="47">
        <f t="shared" si="5"/>
        <v>1.2752460809332847E-3</v>
      </c>
      <c r="G147" s="43">
        <v>1</v>
      </c>
    </row>
    <row r="148" spans="1:7" x14ac:dyDescent="0.25">
      <c r="A148" s="43" t="s">
        <v>2972</v>
      </c>
      <c r="B148" s="43">
        <v>11</v>
      </c>
      <c r="C148" s="47">
        <f t="shared" si="4"/>
        <v>2.0051039008384978E-3</v>
      </c>
      <c r="D148" s="43">
        <v>7</v>
      </c>
      <c r="E148" s="47">
        <v>0.63600000000000001</v>
      </c>
      <c r="F148" s="47">
        <f t="shared" si="5"/>
        <v>1.2752460809332847E-3</v>
      </c>
      <c r="G148" s="43">
        <v>1</v>
      </c>
    </row>
    <row r="149" spans="1:7" x14ac:dyDescent="0.25">
      <c r="A149" s="43" t="s">
        <v>2962</v>
      </c>
      <c r="B149" s="43">
        <v>12</v>
      </c>
      <c r="C149" s="47">
        <f t="shared" si="4"/>
        <v>2.1873860736419978E-3</v>
      </c>
      <c r="D149" s="43">
        <v>7</v>
      </c>
      <c r="E149" s="47">
        <v>0.58299999999999996</v>
      </c>
      <c r="F149" s="47">
        <f t="shared" si="5"/>
        <v>1.2752460809332847E-3</v>
      </c>
      <c r="G149" s="43">
        <v>0</v>
      </c>
    </row>
    <row r="150" spans="1:7" x14ac:dyDescent="0.25">
      <c r="A150" s="43" t="s">
        <v>2963</v>
      </c>
      <c r="B150" s="43">
        <v>12</v>
      </c>
      <c r="C150" s="47">
        <f t="shared" si="4"/>
        <v>2.1873860736419978E-3</v>
      </c>
      <c r="D150" s="43">
        <v>7</v>
      </c>
      <c r="E150" s="47">
        <v>0.58299999999999996</v>
      </c>
      <c r="F150" s="47">
        <f t="shared" si="5"/>
        <v>1.2752460809332847E-3</v>
      </c>
      <c r="G150" s="43">
        <v>1</v>
      </c>
    </row>
    <row r="151" spans="1:7" x14ac:dyDescent="0.25">
      <c r="A151" s="43" t="s">
        <v>2923</v>
      </c>
      <c r="B151" s="43">
        <v>22</v>
      </c>
      <c r="C151" s="47">
        <f t="shared" si="4"/>
        <v>4.0102078016769956E-3</v>
      </c>
      <c r="D151" s="43">
        <v>7</v>
      </c>
      <c r="E151" s="47">
        <v>0.318</v>
      </c>
      <c r="F151" s="47">
        <f t="shared" si="5"/>
        <v>1.2752460809332847E-3</v>
      </c>
      <c r="G151" s="43">
        <v>1</v>
      </c>
    </row>
    <row r="152" spans="1:7" x14ac:dyDescent="0.25">
      <c r="A152" s="43" t="s">
        <v>2914</v>
      </c>
      <c r="B152" s="43">
        <v>23</v>
      </c>
      <c r="C152" s="47">
        <f t="shared" si="4"/>
        <v>4.1924899744804961E-3</v>
      </c>
      <c r="D152" s="43">
        <v>7</v>
      </c>
      <c r="E152" s="47">
        <v>0.30399999999999999</v>
      </c>
      <c r="F152" s="47">
        <f t="shared" si="5"/>
        <v>1.2745169522420708E-3</v>
      </c>
      <c r="G152" s="43">
        <v>0</v>
      </c>
    </row>
    <row r="153" spans="1:7" x14ac:dyDescent="0.25">
      <c r="A153" s="43" t="s">
        <v>2924</v>
      </c>
      <c r="B153" s="43">
        <v>22</v>
      </c>
      <c r="C153" s="47">
        <f t="shared" si="4"/>
        <v>4.0102078016769956E-3</v>
      </c>
      <c r="D153" s="43">
        <v>6</v>
      </c>
      <c r="E153" s="47">
        <v>0.27300000000000002</v>
      </c>
      <c r="F153" s="47">
        <f t="shared" si="5"/>
        <v>1.09478672985782E-3</v>
      </c>
      <c r="G153" s="43">
        <v>1</v>
      </c>
    </row>
    <row r="154" spans="1:7" x14ac:dyDescent="0.25">
      <c r="A154" s="43" t="s">
        <v>308</v>
      </c>
      <c r="B154" s="43">
        <v>9</v>
      </c>
      <c r="C154" s="47">
        <f t="shared" si="4"/>
        <v>1.6405395552314983E-3</v>
      </c>
      <c r="D154" s="43">
        <v>6</v>
      </c>
      <c r="E154" s="47">
        <v>0.66700000000000004</v>
      </c>
      <c r="F154" s="47">
        <f t="shared" si="5"/>
        <v>1.0942398833394093E-3</v>
      </c>
      <c r="G154" s="43">
        <v>1</v>
      </c>
    </row>
    <row r="155" spans="1:7" x14ac:dyDescent="0.25">
      <c r="A155" s="43" t="s">
        <v>3002</v>
      </c>
      <c r="B155" s="43">
        <v>9</v>
      </c>
      <c r="C155" s="47">
        <f t="shared" si="4"/>
        <v>1.6405395552314983E-3</v>
      </c>
      <c r="D155" s="43">
        <v>6</v>
      </c>
      <c r="E155" s="47">
        <v>0.66700000000000004</v>
      </c>
      <c r="F155" s="47">
        <f t="shared" si="5"/>
        <v>1.0942398833394093E-3</v>
      </c>
      <c r="G155" s="43">
        <v>1</v>
      </c>
    </row>
    <row r="156" spans="1:7" x14ac:dyDescent="0.25">
      <c r="A156" s="43" t="s">
        <v>866</v>
      </c>
      <c r="B156" s="43">
        <v>17</v>
      </c>
      <c r="C156" s="47">
        <f t="shared" si="4"/>
        <v>3.0987969376594969E-3</v>
      </c>
      <c r="D156" s="43">
        <v>6</v>
      </c>
      <c r="E156" s="47">
        <v>0.35299999999999998</v>
      </c>
      <c r="F156" s="47">
        <f t="shared" si="5"/>
        <v>1.0938753189938023E-3</v>
      </c>
      <c r="G156" s="43">
        <v>1</v>
      </c>
    </row>
    <row r="157" spans="1:7" x14ac:dyDescent="0.25">
      <c r="A157" s="43" t="s">
        <v>3009</v>
      </c>
      <c r="B157" s="43">
        <v>8</v>
      </c>
      <c r="C157" s="47">
        <f t="shared" si="4"/>
        <v>1.4582573824279985E-3</v>
      </c>
      <c r="D157" s="43">
        <v>6</v>
      </c>
      <c r="E157" s="47">
        <v>0.75</v>
      </c>
      <c r="F157" s="47">
        <f t="shared" si="5"/>
        <v>1.0936930368209989E-3</v>
      </c>
      <c r="G157" s="43">
        <v>0</v>
      </c>
    </row>
    <row r="158" spans="1:7" x14ac:dyDescent="0.25">
      <c r="A158" s="43" t="s">
        <v>848</v>
      </c>
      <c r="B158" s="43">
        <v>10</v>
      </c>
      <c r="C158" s="47">
        <f t="shared" si="4"/>
        <v>1.8228217280349982E-3</v>
      </c>
      <c r="D158" s="43">
        <v>6</v>
      </c>
      <c r="E158" s="47">
        <v>0.6</v>
      </c>
      <c r="F158" s="47">
        <f t="shared" si="5"/>
        <v>1.0936930368209989E-3</v>
      </c>
      <c r="G158" s="43">
        <v>1</v>
      </c>
    </row>
    <row r="159" spans="1:7" x14ac:dyDescent="0.25">
      <c r="A159" s="43" t="s">
        <v>2990</v>
      </c>
      <c r="B159" s="43">
        <v>10</v>
      </c>
      <c r="C159" s="47">
        <f t="shared" si="4"/>
        <v>1.8228217280349982E-3</v>
      </c>
      <c r="D159" s="43">
        <v>6</v>
      </c>
      <c r="E159" s="47">
        <v>0.6</v>
      </c>
      <c r="F159" s="47">
        <f t="shared" si="5"/>
        <v>1.0936930368209989E-3</v>
      </c>
      <c r="G159" s="43">
        <v>1</v>
      </c>
    </row>
    <row r="160" spans="1:7" x14ac:dyDescent="0.25">
      <c r="A160" s="43" t="s">
        <v>2991</v>
      </c>
      <c r="B160" s="43">
        <v>10</v>
      </c>
      <c r="C160" s="47">
        <f t="shared" si="4"/>
        <v>1.8228217280349982E-3</v>
      </c>
      <c r="D160" s="43">
        <v>6</v>
      </c>
      <c r="E160" s="47">
        <v>0.6</v>
      </c>
      <c r="F160" s="47">
        <f t="shared" si="5"/>
        <v>1.0936930368209989E-3</v>
      </c>
      <c r="G160" s="43">
        <v>1</v>
      </c>
    </row>
    <row r="161" spans="1:7" x14ac:dyDescent="0.25">
      <c r="A161" s="43" t="s">
        <v>2992</v>
      </c>
      <c r="B161" s="43">
        <v>10</v>
      </c>
      <c r="C161" s="47">
        <f t="shared" si="4"/>
        <v>1.8228217280349982E-3</v>
      </c>
      <c r="D161" s="43">
        <v>6</v>
      </c>
      <c r="E161" s="47">
        <v>0.6</v>
      </c>
      <c r="F161" s="47">
        <f t="shared" si="5"/>
        <v>1.0936930368209989E-3</v>
      </c>
      <c r="G161" s="43">
        <v>1</v>
      </c>
    </row>
    <row r="162" spans="1:7" x14ac:dyDescent="0.25">
      <c r="A162" s="43" t="s">
        <v>2993</v>
      </c>
      <c r="B162" s="43">
        <v>10</v>
      </c>
      <c r="C162" s="47">
        <f t="shared" si="4"/>
        <v>1.8228217280349982E-3</v>
      </c>
      <c r="D162" s="43">
        <v>6</v>
      </c>
      <c r="E162" s="47">
        <v>0.6</v>
      </c>
      <c r="F162" s="47">
        <f t="shared" si="5"/>
        <v>1.0936930368209989E-3</v>
      </c>
      <c r="G162" s="43">
        <v>1</v>
      </c>
    </row>
    <row r="163" spans="1:7" x14ac:dyDescent="0.25">
      <c r="A163" s="43" t="s">
        <v>2973</v>
      </c>
      <c r="B163" s="43">
        <v>11</v>
      </c>
      <c r="C163" s="47">
        <f t="shared" si="4"/>
        <v>2.0051039008384978E-3</v>
      </c>
      <c r="D163" s="43">
        <v>6</v>
      </c>
      <c r="E163" s="47">
        <v>0.54500000000000004</v>
      </c>
      <c r="F163" s="47">
        <f t="shared" si="5"/>
        <v>1.0927816259569815E-3</v>
      </c>
      <c r="G163" s="43">
        <v>0</v>
      </c>
    </row>
    <row r="164" spans="1:7" x14ac:dyDescent="0.25">
      <c r="A164" s="43" t="s">
        <v>2974</v>
      </c>
      <c r="B164" s="43">
        <v>11</v>
      </c>
      <c r="C164" s="47">
        <f t="shared" si="4"/>
        <v>2.0051039008384978E-3</v>
      </c>
      <c r="D164" s="43">
        <v>6</v>
      </c>
      <c r="E164" s="47">
        <v>0.54500000000000004</v>
      </c>
      <c r="F164" s="47">
        <f t="shared" si="5"/>
        <v>1.0927816259569815E-3</v>
      </c>
      <c r="G164" s="43">
        <v>1</v>
      </c>
    </row>
    <row r="165" spans="1:7" x14ac:dyDescent="0.25">
      <c r="A165" s="43" t="s">
        <v>2975</v>
      </c>
      <c r="B165" s="43">
        <v>11</v>
      </c>
      <c r="C165" s="47">
        <f t="shared" si="4"/>
        <v>2.0051039008384978E-3</v>
      </c>
      <c r="D165" s="43">
        <v>5</v>
      </c>
      <c r="E165" s="47">
        <v>0.45500000000000002</v>
      </c>
      <c r="F165" s="47">
        <f t="shared" si="5"/>
        <v>9.1232227488151655E-4</v>
      </c>
      <c r="G165" s="43">
        <v>1</v>
      </c>
    </row>
    <row r="166" spans="1:7" x14ac:dyDescent="0.25">
      <c r="A166" s="43" t="s">
        <v>2976</v>
      </c>
      <c r="B166" s="43">
        <v>11</v>
      </c>
      <c r="C166" s="47">
        <f t="shared" si="4"/>
        <v>2.0051039008384978E-3</v>
      </c>
      <c r="D166" s="43">
        <v>5</v>
      </c>
      <c r="E166" s="47">
        <v>0.45500000000000002</v>
      </c>
      <c r="F166" s="47">
        <f t="shared" si="5"/>
        <v>9.1232227488151655E-4</v>
      </c>
      <c r="G166" s="43">
        <v>1</v>
      </c>
    </row>
    <row r="167" spans="1:7" x14ac:dyDescent="0.25">
      <c r="A167" s="43" t="s">
        <v>2977</v>
      </c>
      <c r="B167" s="43">
        <v>11</v>
      </c>
      <c r="C167" s="47">
        <f t="shared" si="4"/>
        <v>2.0051039008384978E-3</v>
      </c>
      <c r="D167" s="43">
        <v>5</v>
      </c>
      <c r="E167" s="47">
        <v>0.45500000000000002</v>
      </c>
      <c r="F167" s="47">
        <f t="shared" si="5"/>
        <v>9.1232227488151655E-4</v>
      </c>
      <c r="G167" s="43">
        <v>1</v>
      </c>
    </row>
    <row r="168" spans="1:7" x14ac:dyDescent="0.25">
      <c r="A168" s="43" t="s">
        <v>2978</v>
      </c>
      <c r="B168" s="43">
        <v>11</v>
      </c>
      <c r="C168" s="47">
        <f t="shared" si="4"/>
        <v>2.0051039008384978E-3</v>
      </c>
      <c r="D168" s="43">
        <v>5</v>
      </c>
      <c r="E168" s="47">
        <v>0.45500000000000002</v>
      </c>
      <c r="F168" s="47">
        <f t="shared" si="5"/>
        <v>9.1232227488151655E-4</v>
      </c>
      <c r="G168" s="43">
        <v>1</v>
      </c>
    </row>
    <row r="169" spans="1:7" x14ac:dyDescent="0.25">
      <c r="A169" s="43" t="s">
        <v>3003</v>
      </c>
      <c r="B169" s="43">
        <v>9</v>
      </c>
      <c r="C169" s="47">
        <f t="shared" si="4"/>
        <v>1.6405395552314983E-3</v>
      </c>
      <c r="D169" s="43">
        <v>5</v>
      </c>
      <c r="E169" s="47">
        <v>0.55600000000000005</v>
      </c>
      <c r="F169" s="47">
        <f t="shared" si="5"/>
        <v>9.1213999270871315E-4</v>
      </c>
      <c r="G169" s="43">
        <v>1</v>
      </c>
    </row>
    <row r="170" spans="1:7" x14ac:dyDescent="0.25">
      <c r="A170" s="43" t="s">
        <v>3004</v>
      </c>
      <c r="B170" s="43">
        <v>9</v>
      </c>
      <c r="C170" s="47">
        <f t="shared" si="4"/>
        <v>1.6405395552314983E-3</v>
      </c>
      <c r="D170" s="43">
        <v>5</v>
      </c>
      <c r="E170" s="47">
        <v>0.55600000000000005</v>
      </c>
      <c r="F170" s="47">
        <f t="shared" si="5"/>
        <v>9.1213999270871315E-4</v>
      </c>
      <c r="G170" s="43">
        <v>0</v>
      </c>
    </row>
    <row r="171" spans="1:7" x14ac:dyDescent="0.25">
      <c r="A171" s="43" t="s">
        <v>3037</v>
      </c>
      <c r="B171" s="43">
        <v>5</v>
      </c>
      <c r="C171" s="47">
        <f t="shared" si="4"/>
        <v>9.1141086401749912E-4</v>
      </c>
      <c r="D171" s="43">
        <v>5</v>
      </c>
      <c r="E171" s="47">
        <v>1</v>
      </c>
      <c r="F171" s="47">
        <f t="shared" si="5"/>
        <v>9.1141086401749912E-4</v>
      </c>
      <c r="G171" s="43">
        <v>0</v>
      </c>
    </row>
    <row r="172" spans="1:7" x14ac:dyDescent="0.25">
      <c r="A172" s="43" t="s">
        <v>920</v>
      </c>
      <c r="B172" s="43">
        <v>5</v>
      </c>
      <c r="C172" s="47">
        <f t="shared" si="4"/>
        <v>9.1141086401749912E-4</v>
      </c>
      <c r="D172" s="43">
        <v>5</v>
      </c>
      <c r="E172" s="47">
        <v>1</v>
      </c>
      <c r="F172" s="47">
        <f t="shared" si="5"/>
        <v>9.1141086401749912E-4</v>
      </c>
      <c r="G172" s="43">
        <v>1</v>
      </c>
    </row>
    <row r="173" spans="1:7" x14ac:dyDescent="0.25">
      <c r="A173" s="43" t="s">
        <v>927</v>
      </c>
      <c r="B173" s="43">
        <v>5</v>
      </c>
      <c r="C173" s="47">
        <f t="shared" si="4"/>
        <v>9.1141086401749912E-4</v>
      </c>
      <c r="D173" s="43">
        <v>5</v>
      </c>
      <c r="E173" s="47">
        <v>1</v>
      </c>
      <c r="F173" s="47">
        <f t="shared" si="5"/>
        <v>9.1141086401749912E-4</v>
      </c>
      <c r="G173" s="43">
        <v>1</v>
      </c>
    </row>
    <row r="174" spans="1:7" x14ac:dyDescent="0.25">
      <c r="A174" s="43" t="s">
        <v>3038</v>
      </c>
      <c r="B174" s="43">
        <v>5</v>
      </c>
      <c r="C174" s="47">
        <f t="shared" si="4"/>
        <v>9.1141086401749912E-4</v>
      </c>
      <c r="D174" s="43">
        <v>5</v>
      </c>
      <c r="E174" s="47">
        <v>1</v>
      </c>
      <c r="F174" s="47">
        <f t="shared" si="5"/>
        <v>9.1141086401749912E-4</v>
      </c>
      <c r="G174" s="43">
        <v>0</v>
      </c>
    </row>
    <row r="175" spans="1:7" x14ac:dyDescent="0.25">
      <c r="A175" s="43" t="s">
        <v>355</v>
      </c>
      <c r="B175" s="43">
        <v>5</v>
      </c>
      <c r="C175" s="47">
        <f t="shared" si="4"/>
        <v>9.1141086401749912E-4</v>
      </c>
      <c r="D175" s="43">
        <v>5</v>
      </c>
      <c r="E175" s="47">
        <v>1</v>
      </c>
      <c r="F175" s="47">
        <f t="shared" si="5"/>
        <v>9.1141086401749912E-4</v>
      </c>
      <c r="G175" s="43">
        <v>0</v>
      </c>
    </row>
    <row r="176" spans="1:7" x14ac:dyDescent="0.25">
      <c r="A176" s="43" t="s">
        <v>3039</v>
      </c>
      <c r="B176" s="43">
        <v>5</v>
      </c>
      <c r="C176" s="47">
        <f t="shared" si="4"/>
        <v>9.1141086401749912E-4</v>
      </c>
      <c r="D176" s="43">
        <v>5</v>
      </c>
      <c r="E176" s="47">
        <v>1</v>
      </c>
      <c r="F176" s="47">
        <f t="shared" si="5"/>
        <v>9.1141086401749912E-4</v>
      </c>
      <c r="G176" s="43">
        <v>0</v>
      </c>
    </row>
    <row r="177" spans="1:7" x14ac:dyDescent="0.25">
      <c r="A177" s="43" t="s">
        <v>734</v>
      </c>
      <c r="B177" s="43">
        <v>8</v>
      </c>
      <c r="C177" s="47">
        <f t="shared" si="4"/>
        <v>1.4582573824279985E-3</v>
      </c>
      <c r="D177" s="43">
        <v>5</v>
      </c>
      <c r="E177" s="47">
        <v>0.625</v>
      </c>
      <c r="F177" s="47">
        <f t="shared" si="5"/>
        <v>9.1141086401749902E-4</v>
      </c>
      <c r="G177" s="43">
        <v>1</v>
      </c>
    </row>
    <row r="178" spans="1:7" x14ac:dyDescent="0.25">
      <c r="A178" s="43" t="s">
        <v>757</v>
      </c>
      <c r="B178" s="43">
        <v>8</v>
      </c>
      <c r="C178" s="47">
        <f t="shared" si="4"/>
        <v>1.4582573824279985E-3</v>
      </c>
      <c r="D178" s="43">
        <v>5</v>
      </c>
      <c r="E178" s="47">
        <v>0.625</v>
      </c>
      <c r="F178" s="47">
        <f t="shared" si="5"/>
        <v>9.1141086401749902E-4</v>
      </c>
      <c r="G178" s="43">
        <v>1</v>
      </c>
    </row>
    <row r="179" spans="1:7" x14ac:dyDescent="0.25">
      <c r="A179" s="43" t="s">
        <v>759</v>
      </c>
      <c r="B179" s="43">
        <v>8</v>
      </c>
      <c r="C179" s="47">
        <f t="shared" si="4"/>
        <v>1.4582573824279985E-3</v>
      </c>
      <c r="D179" s="43">
        <v>5</v>
      </c>
      <c r="E179" s="47">
        <v>0.625</v>
      </c>
      <c r="F179" s="47">
        <f t="shared" si="5"/>
        <v>9.1141086401749902E-4</v>
      </c>
      <c r="G179" s="43">
        <v>1</v>
      </c>
    </row>
    <row r="180" spans="1:7" x14ac:dyDescent="0.25">
      <c r="A180" s="43" t="s">
        <v>1305</v>
      </c>
      <c r="B180" s="43">
        <v>6</v>
      </c>
      <c r="C180" s="47">
        <f t="shared" si="4"/>
        <v>1.0936930368209989E-3</v>
      </c>
      <c r="D180" s="43">
        <v>5</v>
      </c>
      <c r="E180" s="47">
        <v>0.83299999999999996</v>
      </c>
      <c r="F180" s="47">
        <f t="shared" si="5"/>
        <v>9.11046299671892E-4</v>
      </c>
      <c r="G180" s="43">
        <v>1</v>
      </c>
    </row>
    <row r="181" spans="1:7" x14ac:dyDescent="0.25">
      <c r="A181" s="43" t="s">
        <v>880</v>
      </c>
      <c r="B181" s="43">
        <v>6</v>
      </c>
      <c r="C181" s="47">
        <f t="shared" si="4"/>
        <v>1.0936930368209989E-3</v>
      </c>
      <c r="D181" s="43">
        <v>5</v>
      </c>
      <c r="E181" s="47">
        <v>0.83299999999999996</v>
      </c>
      <c r="F181" s="47">
        <f t="shared" si="5"/>
        <v>9.11046299671892E-4</v>
      </c>
      <c r="G181" s="43">
        <v>1</v>
      </c>
    </row>
    <row r="182" spans="1:7" x14ac:dyDescent="0.25">
      <c r="A182" s="43" t="s">
        <v>3017</v>
      </c>
      <c r="B182" s="43">
        <v>7</v>
      </c>
      <c r="C182" s="47">
        <f t="shared" si="4"/>
        <v>1.2759752096244987E-3</v>
      </c>
      <c r="D182" s="43">
        <v>5</v>
      </c>
      <c r="E182" s="47">
        <v>0.71399999999999997</v>
      </c>
      <c r="F182" s="47">
        <f t="shared" si="5"/>
        <v>9.11046299671892E-4</v>
      </c>
      <c r="G182" s="43">
        <v>1</v>
      </c>
    </row>
    <row r="183" spans="1:7" x14ac:dyDescent="0.25">
      <c r="A183" s="43" t="s">
        <v>729</v>
      </c>
      <c r="B183" s="43">
        <v>7</v>
      </c>
      <c r="C183" s="47">
        <f t="shared" si="4"/>
        <v>1.2759752096244987E-3</v>
      </c>
      <c r="D183" s="43">
        <v>5</v>
      </c>
      <c r="E183" s="47">
        <v>0.71399999999999997</v>
      </c>
      <c r="F183" s="47">
        <f t="shared" si="5"/>
        <v>9.11046299671892E-4</v>
      </c>
      <c r="G183" s="43">
        <v>1</v>
      </c>
    </row>
    <row r="184" spans="1:7" x14ac:dyDescent="0.25">
      <c r="A184" s="43" t="s">
        <v>3018</v>
      </c>
      <c r="B184" s="43">
        <v>7</v>
      </c>
      <c r="C184" s="47">
        <f t="shared" si="4"/>
        <v>1.2759752096244987E-3</v>
      </c>
      <c r="D184" s="43">
        <v>5</v>
      </c>
      <c r="E184" s="47">
        <v>0.71399999999999997</v>
      </c>
      <c r="F184" s="47">
        <f t="shared" si="5"/>
        <v>9.11046299671892E-4</v>
      </c>
      <c r="G184" s="43">
        <v>1</v>
      </c>
    </row>
    <row r="185" spans="1:7" x14ac:dyDescent="0.25">
      <c r="A185" s="43" t="s">
        <v>3019</v>
      </c>
      <c r="B185" s="43">
        <v>7</v>
      </c>
      <c r="C185" s="47">
        <f t="shared" si="4"/>
        <v>1.2759752096244987E-3</v>
      </c>
      <c r="D185" s="43">
        <v>5</v>
      </c>
      <c r="E185" s="47">
        <v>0.71399999999999997</v>
      </c>
      <c r="F185" s="47">
        <f t="shared" si="5"/>
        <v>9.11046299671892E-4</v>
      </c>
      <c r="G185" s="43">
        <v>0</v>
      </c>
    </row>
    <row r="186" spans="1:7" x14ac:dyDescent="0.25">
      <c r="A186" s="43" t="s">
        <v>3020</v>
      </c>
      <c r="B186" s="43">
        <v>7</v>
      </c>
      <c r="C186" s="47">
        <f t="shared" si="4"/>
        <v>1.2759752096244987E-3</v>
      </c>
      <c r="D186" s="43">
        <v>5</v>
      </c>
      <c r="E186" s="47">
        <v>0.71399999999999997</v>
      </c>
      <c r="F186" s="47">
        <f t="shared" si="5"/>
        <v>9.11046299671892E-4</v>
      </c>
      <c r="G186" s="43">
        <v>1</v>
      </c>
    </row>
    <row r="187" spans="1:7" x14ac:dyDescent="0.25">
      <c r="A187" s="43" t="s">
        <v>2953</v>
      </c>
      <c r="B187" s="43">
        <v>14</v>
      </c>
      <c r="C187" s="47">
        <f t="shared" si="4"/>
        <v>2.5519504192489974E-3</v>
      </c>
      <c r="D187" s="43">
        <v>5</v>
      </c>
      <c r="E187" s="47">
        <v>0.35699999999999998</v>
      </c>
      <c r="F187" s="47">
        <f t="shared" si="5"/>
        <v>9.11046299671892E-4</v>
      </c>
      <c r="G187" s="43">
        <v>1</v>
      </c>
    </row>
    <row r="188" spans="1:7" x14ac:dyDescent="0.25">
      <c r="A188" s="43" t="s">
        <v>1525</v>
      </c>
      <c r="B188" s="43">
        <v>21</v>
      </c>
      <c r="C188" s="47">
        <f t="shared" si="4"/>
        <v>3.8279256288734961E-3</v>
      </c>
      <c r="D188" s="43">
        <v>5</v>
      </c>
      <c r="E188" s="47">
        <v>0.23799999999999999</v>
      </c>
      <c r="F188" s="47">
        <f t="shared" si="5"/>
        <v>9.11046299671892E-4</v>
      </c>
      <c r="G188" s="43">
        <v>1</v>
      </c>
    </row>
    <row r="189" spans="1:7" x14ac:dyDescent="0.25">
      <c r="A189" s="43" t="s">
        <v>2951</v>
      </c>
      <c r="B189" s="43">
        <v>15</v>
      </c>
      <c r="C189" s="47">
        <f t="shared" si="4"/>
        <v>2.7342325920524974E-3</v>
      </c>
      <c r="D189" s="43">
        <v>5</v>
      </c>
      <c r="E189" s="47">
        <v>0.33300000000000002</v>
      </c>
      <c r="F189" s="47">
        <f t="shared" si="5"/>
        <v>9.104994531534817E-4</v>
      </c>
      <c r="G189" s="43">
        <v>1</v>
      </c>
    </row>
    <row r="190" spans="1:7" x14ac:dyDescent="0.25">
      <c r="A190" s="43" t="s">
        <v>1523</v>
      </c>
      <c r="B190" s="43">
        <v>22</v>
      </c>
      <c r="C190" s="47">
        <f t="shared" si="4"/>
        <v>4.0102078016769956E-3</v>
      </c>
      <c r="D190" s="43">
        <v>5</v>
      </c>
      <c r="E190" s="47">
        <v>0.22700000000000001</v>
      </c>
      <c r="F190" s="47">
        <f t="shared" si="5"/>
        <v>9.1031717098067808E-4</v>
      </c>
      <c r="G190" s="43">
        <v>1</v>
      </c>
    </row>
    <row r="191" spans="1:7" x14ac:dyDescent="0.25">
      <c r="A191" s="43" t="s">
        <v>1464</v>
      </c>
      <c r="B191" s="43">
        <v>11</v>
      </c>
      <c r="C191" s="47">
        <f t="shared" si="4"/>
        <v>2.0051039008384978E-3</v>
      </c>
      <c r="D191" s="43">
        <v>4</v>
      </c>
      <c r="E191" s="47">
        <v>0.36399999999999999</v>
      </c>
      <c r="F191" s="47">
        <f t="shared" si="5"/>
        <v>7.2985781990521316E-4</v>
      </c>
      <c r="G191" s="43">
        <v>1</v>
      </c>
    </row>
    <row r="192" spans="1:7" x14ac:dyDescent="0.25">
      <c r="A192" s="43" t="s">
        <v>3030</v>
      </c>
      <c r="B192" s="43">
        <v>6</v>
      </c>
      <c r="C192" s="47">
        <f t="shared" si="4"/>
        <v>1.0936930368209989E-3</v>
      </c>
      <c r="D192" s="43">
        <v>4</v>
      </c>
      <c r="E192" s="47">
        <v>0.66700000000000004</v>
      </c>
      <c r="F192" s="47">
        <f t="shared" si="5"/>
        <v>7.2949325555960636E-4</v>
      </c>
      <c r="G192" s="43">
        <v>1</v>
      </c>
    </row>
    <row r="193" spans="1:7" x14ac:dyDescent="0.25">
      <c r="A193" s="43" t="s">
        <v>3031</v>
      </c>
      <c r="B193" s="43">
        <v>6</v>
      </c>
      <c r="C193" s="47">
        <f t="shared" si="4"/>
        <v>1.0936930368209989E-3</v>
      </c>
      <c r="D193" s="43">
        <v>4</v>
      </c>
      <c r="E193" s="47">
        <v>0.66700000000000004</v>
      </c>
      <c r="F193" s="47">
        <f t="shared" si="5"/>
        <v>7.2949325555960636E-4</v>
      </c>
      <c r="G193" s="43">
        <v>1</v>
      </c>
    </row>
    <row r="194" spans="1:7" x14ac:dyDescent="0.25">
      <c r="A194" s="43" t="s">
        <v>3032</v>
      </c>
      <c r="B194" s="43">
        <v>6</v>
      </c>
      <c r="C194" s="47">
        <f t="shared" ref="C194:C257" si="6">B194/$B$602</f>
        <v>1.0936930368209989E-3</v>
      </c>
      <c r="D194" s="43">
        <v>4</v>
      </c>
      <c r="E194" s="47">
        <v>0.66700000000000004</v>
      </c>
      <c r="F194" s="47">
        <f t="shared" ref="F194:F257" si="7">E194*C194</f>
        <v>7.2949325555960636E-4</v>
      </c>
      <c r="G194" s="43">
        <v>1</v>
      </c>
    </row>
    <row r="195" spans="1:7" x14ac:dyDescent="0.25">
      <c r="A195" s="43" t="s">
        <v>3040</v>
      </c>
      <c r="B195" s="43">
        <v>5</v>
      </c>
      <c r="C195" s="47">
        <f t="shared" si="6"/>
        <v>9.1141086401749912E-4</v>
      </c>
      <c r="D195" s="43">
        <v>4</v>
      </c>
      <c r="E195" s="47">
        <v>0.8</v>
      </c>
      <c r="F195" s="47">
        <f t="shared" si="7"/>
        <v>7.2912869121399934E-4</v>
      </c>
      <c r="G195" s="43">
        <v>0</v>
      </c>
    </row>
    <row r="196" spans="1:7" x14ac:dyDescent="0.25">
      <c r="A196" s="43" t="s">
        <v>3041</v>
      </c>
      <c r="B196" s="43">
        <v>5</v>
      </c>
      <c r="C196" s="47">
        <f t="shared" si="6"/>
        <v>9.1141086401749912E-4</v>
      </c>
      <c r="D196" s="43">
        <v>4</v>
      </c>
      <c r="E196" s="47">
        <v>0.8</v>
      </c>
      <c r="F196" s="47">
        <f t="shared" si="7"/>
        <v>7.2912869121399934E-4</v>
      </c>
      <c r="G196" s="43">
        <v>0</v>
      </c>
    </row>
    <row r="197" spans="1:7" x14ac:dyDescent="0.25">
      <c r="A197" s="43" t="s">
        <v>3042</v>
      </c>
      <c r="B197" s="43">
        <v>5</v>
      </c>
      <c r="C197" s="47">
        <f t="shared" si="6"/>
        <v>9.1141086401749912E-4</v>
      </c>
      <c r="D197" s="43">
        <v>4</v>
      </c>
      <c r="E197" s="47">
        <v>0.8</v>
      </c>
      <c r="F197" s="47">
        <f t="shared" si="7"/>
        <v>7.2912869121399934E-4</v>
      </c>
      <c r="G197" s="43">
        <v>1</v>
      </c>
    </row>
    <row r="198" spans="1:7" x14ac:dyDescent="0.25">
      <c r="A198" s="43" t="s">
        <v>922</v>
      </c>
      <c r="B198" s="43">
        <v>5</v>
      </c>
      <c r="C198" s="47">
        <f t="shared" si="6"/>
        <v>9.1141086401749912E-4</v>
      </c>
      <c r="D198" s="43">
        <v>4</v>
      </c>
      <c r="E198" s="47">
        <v>0.8</v>
      </c>
      <c r="F198" s="47">
        <f t="shared" si="7"/>
        <v>7.2912869121399934E-4</v>
      </c>
      <c r="G198" s="43">
        <v>1</v>
      </c>
    </row>
    <row r="199" spans="1:7" x14ac:dyDescent="0.25">
      <c r="A199" s="43" t="s">
        <v>717</v>
      </c>
      <c r="B199" s="43">
        <v>5</v>
      </c>
      <c r="C199" s="47">
        <f t="shared" si="6"/>
        <v>9.1141086401749912E-4</v>
      </c>
      <c r="D199" s="43">
        <v>4</v>
      </c>
      <c r="E199" s="47">
        <v>0.8</v>
      </c>
      <c r="F199" s="47">
        <f t="shared" si="7"/>
        <v>7.2912869121399934E-4</v>
      </c>
      <c r="G199" s="43">
        <v>1</v>
      </c>
    </row>
    <row r="200" spans="1:7" x14ac:dyDescent="0.25">
      <c r="A200" s="43" t="s">
        <v>3043</v>
      </c>
      <c r="B200" s="43">
        <v>5</v>
      </c>
      <c r="C200" s="47">
        <f t="shared" si="6"/>
        <v>9.1141086401749912E-4</v>
      </c>
      <c r="D200" s="43">
        <v>4</v>
      </c>
      <c r="E200" s="47">
        <v>0.8</v>
      </c>
      <c r="F200" s="47">
        <f t="shared" si="7"/>
        <v>7.2912869121399934E-4</v>
      </c>
      <c r="G200" s="43">
        <v>0</v>
      </c>
    </row>
    <row r="201" spans="1:7" x14ac:dyDescent="0.25">
      <c r="A201" s="43" t="s">
        <v>3044</v>
      </c>
      <c r="B201" s="43">
        <v>5</v>
      </c>
      <c r="C201" s="47">
        <f t="shared" si="6"/>
        <v>9.1141086401749912E-4</v>
      </c>
      <c r="D201" s="43">
        <v>4</v>
      </c>
      <c r="E201" s="47">
        <v>0.8</v>
      </c>
      <c r="F201" s="47">
        <f t="shared" si="7"/>
        <v>7.2912869121399934E-4</v>
      </c>
      <c r="G201" s="43">
        <v>1</v>
      </c>
    </row>
    <row r="202" spans="1:7" x14ac:dyDescent="0.25">
      <c r="A202" s="43" t="s">
        <v>357</v>
      </c>
      <c r="B202" s="43">
        <v>5</v>
      </c>
      <c r="C202" s="47">
        <f t="shared" si="6"/>
        <v>9.1141086401749912E-4</v>
      </c>
      <c r="D202" s="43">
        <v>4</v>
      </c>
      <c r="E202" s="47">
        <v>0.8</v>
      </c>
      <c r="F202" s="47">
        <f t="shared" si="7"/>
        <v>7.2912869121399934E-4</v>
      </c>
      <c r="G202" s="43">
        <v>1</v>
      </c>
    </row>
    <row r="203" spans="1:7" x14ac:dyDescent="0.25">
      <c r="A203" s="43" t="s">
        <v>1122</v>
      </c>
      <c r="B203" s="43">
        <v>5</v>
      </c>
      <c r="C203" s="47">
        <f t="shared" si="6"/>
        <v>9.1141086401749912E-4</v>
      </c>
      <c r="D203" s="43">
        <v>4</v>
      </c>
      <c r="E203" s="47">
        <v>0.8</v>
      </c>
      <c r="F203" s="47">
        <f t="shared" si="7"/>
        <v>7.2912869121399934E-4</v>
      </c>
      <c r="G203" s="43">
        <v>1</v>
      </c>
    </row>
    <row r="204" spans="1:7" x14ac:dyDescent="0.25">
      <c r="A204" s="43" t="s">
        <v>3045</v>
      </c>
      <c r="B204" s="43">
        <v>5</v>
      </c>
      <c r="C204" s="47">
        <f t="shared" si="6"/>
        <v>9.1141086401749912E-4</v>
      </c>
      <c r="D204" s="43">
        <v>4</v>
      </c>
      <c r="E204" s="47">
        <v>0.8</v>
      </c>
      <c r="F204" s="47">
        <f t="shared" si="7"/>
        <v>7.2912869121399934E-4</v>
      </c>
      <c r="G204" s="43">
        <v>1</v>
      </c>
    </row>
    <row r="205" spans="1:7" x14ac:dyDescent="0.25">
      <c r="A205" s="43" t="s">
        <v>1099</v>
      </c>
      <c r="B205" s="43">
        <v>5</v>
      </c>
      <c r="C205" s="47">
        <f t="shared" si="6"/>
        <v>9.1141086401749912E-4</v>
      </c>
      <c r="D205" s="43">
        <v>4</v>
      </c>
      <c r="E205" s="47">
        <v>0.8</v>
      </c>
      <c r="F205" s="47">
        <f t="shared" si="7"/>
        <v>7.2912869121399934E-4</v>
      </c>
      <c r="G205" s="43">
        <v>1</v>
      </c>
    </row>
    <row r="206" spans="1:7" x14ac:dyDescent="0.25">
      <c r="A206" s="43" t="s">
        <v>1120</v>
      </c>
      <c r="B206" s="43">
        <v>5</v>
      </c>
      <c r="C206" s="47">
        <f t="shared" si="6"/>
        <v>9.1141086401749912E-4</v>
      </c>
      <c r="D206" s="43">
        <v>4</v>
      </c>
      <c r="E206" s="47">
        <v>0.8</v>
      </c>
      <c r="F206" s="47">
        <f t="shared" si="7"/>
        <v>7.2912869121399934E-4</v>
      </c>
      <c r="G206" s="43">
        <v>1</v>
      </c>
    </row>
    <row r="207" spans="1:7" x14ac:dyDescent="0.25">
      <c r="A207" s="43" t="s">
        <v>3046</v>
      </c>
      <c r="B207" s="43">
        <v>5</v>
      </c>
      <c r="C207" s="47">
        <f t="shared" si="6"/>
        <v>9.1141086401749912E-4</v>
      </c>
      <c r="D207" s="43">
        <v>4</v>
      </c>
      <c r="E207" s="47">
        <v>0.8</v>
      </c>
      <c r="F207" s="47">
        <f t="shared" si="7"/>
        <v>7.2912869121399934E-4</v>
      </c>
      <c r="G207" s="43">
        <v>1</v>
      </c>
    </row>
    <row r="208" spans="1:7" x14ac:dyDescent="0.25">
      <c r="A208" s="43" t="s">
        <v>3047</v>
      </c>
      <c r="B208" s="43">
        <v>5</v>
      </c>
      <c r="C208" s="47">
        <f t="shared" si="6"/>
        <v>9.1141086401749912E-4</v>
      </c>
      <c r="D208" s="43">
        <v>4</v>
      </c>
      <c r="E208" s="47">
        <v>0.8</v>
      </c>
      <c r="F208" s="47">
        <f t="shared" si="7"/>
        <v>7.2912869121399934E-4</v>
      </c>
      <c r="G208" s="43">
        <v>0</v>
      </c>
    </row>
    <row r="209" spans="1:7" x14ac:dyDescent="0.25">
      <c r="A209" s="43" t="s">
        <v>1118</v>
      </c>
      <c r="B209" s="43">
        <v>5</v>
      </c>
      <c r="C209" s="47">
        <f t="shared" si="6"/>
        <v>9.1141086401749912E-4</v>
      </c>
      <c r="D209" s="43">
        <v>4</v>
      </c>
      <c r="E209" s="47">
        <v>0.8</v>
      </c>
      <c r="F209" s="47">
        <f t="shared" si="7"/>
        <v>7.2912869121399934E-4</v>
      </c>
      <c r="G209" s="43">
        <v>1</v>
      </c>
    </row>
    <row r="210" spans="1:7" x14ac:dyDescent="0.25">
      <c r="A210" s="43" t="s">
        <v>3048</v>
      </c>
      <c r="B210" s="43">
        <v>5</v>
      </c>
      <c r="C210" s="47">
        <f t="shared" si="6"/>
        <v>9.1141086401749912E-4</v>
      </c>
      <c r="D210" s="43">
        <v>4</v>
      </c>
      <c r="E210" s="47">
        <v>0.8</v>
      </c>
      <c r="F210" s="47">
        <f t="shared" si="7"/>
        <v>7.2912869121399934E-4</v>
      </c>
      <c r="G210" s="43">
        <v>1</v>
      </c>
    </row>
    <row r="211" spans="1:7" x14ac:dyDescent="0.25">
      <c r="A211" s="43" t="s">
        <v>889</v>
      </c>
      <c r="B211" s="43">
        <v>5</v>
      </c>
      <c r="C211" s="47">
        <f t="shared" si="6"/>
        <v>9.1141086401749912E-4</v>
      </c>
      <c r="D211" s="43">
        <v>4</v>
      </c>
      <c r="E211" s="47">
        <v>0.8</v>
      </c>
      <c r="F211" s="47">
        <f t="shared" si="7"/>
        <v>7.2912869121399934E-4</v>
      </c>
      <c r="G211" s="43">
        <v>1</v>
      </c>
    </row>
    <row r="212" spans="1:7" x14ac:dyDescent="0.25">
      <c r="A212" s="43" t="s">
        <v>3049</v>
      </c>
      <c r="B212" s="43">
        <v>5</v>
      </c>
      <c r="C212" s="47">
        <f t="shared" si="6"/>
        <v>9.1141086401749912E-4</v>
      </c>
      <c r="D212" s="43">
        <v>4</v>
      </c>
      <c r="E212" s="47">
        <v>0.8</v>
      </c>
      <c r="F212" s="47">
        <f t="shared" si="7"/>
        <v>7.2912869121399934E-4</v>
      </c>
      <c r="G212" s="43">
        <v>1</v>
      </c>
    </row>
    <row r="213" spans="1:7" x14ac:dyDescent="0.25">
      <c r="A213" s="43" t="s">
        <v>3050</v>
      </c>
      <c r="B213" s="43">
        <v>5</v>
      </c>
      <c r="C213" s="47">
        <f t="shared" si="6"/>
        <v>9.1141086401749912E-4</v>
      </c>
      <c r="D213" s="43">
        <v>4</v>
      </c>
      <c r="E213" s="47">
        <v>0.8</v>
      </c>
      <c r="F213" s="47">
        <f t="shared" si="7"/>
        <v>7.2912869121399934E-4</v>
      </c>
      <c r="G213" s="43">
        <v>1</v>
      </c>
    </row>
    <row r="214" spans="1:7" x14ac:dyDescent="0.25">
      <c r="A214" s="43" t="s">
        <v>2994</v>
      </c>
      <c r="B214" s="43">
        <v>10</v>
      </c>
      <c r="C214" s="47">
        <f t="shared" si="6"/>
        <v>1.8228217280349982E-3</v>
      </c>
      <c r="D214" s="43">
        <v>4</v>
      </c>
      <c r="E214" s="47">
        <v>0.4</v>
      </c>
      <c r="F214" s="47">
        <f t="shared" si="7"/>
        <v>7.2912869121399934E-4</v>
      </c>
      <c r="G214" s="43">
        <v>1</v>
      </c>
    </row>
    <row r="215" spans="1:7" x14ac:dyDescent="0.25">
      <c r="A215" s="43" t="s">
        <v>2995</v>
      </c>
      <c r="B215" s="43">
        <v>10</v>
      </c>
      <c r="C215" s="47">
        <f t="shared" si="6"/>
        <v>1.8228217280349982E-3</v>
      </c>
      <c r="D215" s="43">
        <v>4</v>
      </c>
      <c r="E215" s="47">
        <v>0.4</v>
      </c>
      <c r="F215" s="47">
        <f t="shared" si="7"/>
        <v>7.2912869121399934E-4</v>
      </c>
      <c r="G215" s="43">
        <v>1</v>
      </c>
    </row>
    <row r="216" spans="1:7" x14ac:dyDescent="0.25">
      <c r="A216" s="43" t="s">
        <v>3066</v>
      </c>
      <c r="B216" s="43">
        <v>4</v>
      </c>
      <c r="C216" s="47">
        <f t="shared" si="6"/>
        <v>7.2912869121399923E-4</v>
      </c>
      <c r="D216" s="43">
        <v>4</v>
      </c>
      <c r="E216" s="47">
        <v>1</v>
      </c>
      <c r="F216" s="47">
        <f t="shared" si="7"/>
        <v>7.2912869121399923E-4</v>
      </c>
      <c r="G216" s="43">
        <v>1</v>
      </c>
    </row>
    <row r="217" spans="1:7" x14ac:dyDescent="0.25">
      <c r="A217" s="43" t="s">
        <v>3067</v>
      </c>
      <c r="B217" s="43">
        <v>4</v>
      </c>
      <c r="C217" s="47">
        <f t="shared" si="6"/>
        <v>7.2912869121399923E-4</v>
      </c>
      <c r="D217" s="43">
        <v>4</v>
      </c>
      <c r="E217" s="47">
        <v>1</v>
      </c>
      <c r="F217" s="47">
        <f t="shared" si="7"/>
        <v>7.2912869121399923E-4</v>
      </c>
      <c r="G217" s="43">
        <v>1</v>
      </c>
    </row>
    <row r="218" spans="1:7" x14ac:dyDescent="0.25">
      <c r="A218" s="43" t="s">
        <v>3068</v>
      </c>
      <c r="B218" s="43">
        <v>4</v>
      </c>
      <c r="C218" s="47">
        <f t="shared" si="6"/>
        <v>7.2912869121399923E-4</v>
      </c>
      <c r="D218" s="43">
        <v>4</v>
      </c>
      <c r="E218" s="47">
        <v>1</v>
      </c>
      <c r="F218" s="47">
        <f t="shared" si="7"/>
        <v>7.2912869121399923E-4</v>
      </c>
      <c r="G218" s="43">
        <v>1</v>
      </c>
    </row>
    <row r="219" spans="1:7" x14ac:dyDescent="0.25">
      <c r="A219" s="43" t="s">
        <v>3069</v>
      </c>
      <c r="B219" s="43">
        <v>4</v>
      </c>
      <c r="C219" s="47">
        <f t="shared" si="6"/>
        <v>7.2912869121399923E-4</v>
      </c>
      <c r="D219" s="43">
        <v>4</v>
      </c>
      <c r="E219" s="47">
        <v>1</v>
      </c>
      <c r="F219" s="47">
        <f t="shared" si="7"/>
        <v>7.2912869121399923E-4</v>
      </c>
      <c r="G219" s="43">
        <v>1</v>
      </c>
    </row>
    <row r="220" spans="1:7" x14ac:dyDescent="0.25">
      <c r="A220" s="43" t="s">
        <v>1012</v>
      </c>
      <c r="B220" s="43">
        <v>4</v>
      </c>
      <c r="C220" s="47">
        <f t="shared" si="6"/>
        <v>7.2912869121399923E-4</v>
      </c>
      <c r="D220" s="43">
        <v>4</v>
      </c>
      <c r="E220" s="47">
        <v>1</v>
      </c>
      <c r="F220" s="47">
        <f t="shared" si="7"/>
        <v>7.2912869121399923E-4</v>
      </c>
      <c r="G220" s="43">
        <v>1</v>
      </c>
    </row>
    <row r="221" spans="1:7" x14ac:dyDescent="0.25">
      <c r="A221" s="43" t="s">
        <v>3070</v>
      </c>
      <c r="B221" s="43">
        <v>4</v>
      </c>
      <c r="C221" s="47">
        <f t="shared" si="6"/>
        <v>7.2912869121399923E-4</v>
      </c>
      <c r="D221" s="43">
        <v>4</v>
      </c>
      <c r="E221" s="47">
        <v>1</v>
      </c>
      <c r="F221" s="47">
        <f t="shared" si="7"/>
        <v>7.2912869121399923E-4</v>
      </c>
      <c r="G221" s="43">
        <v>1</v>
      </c>
    </row>
    <row r="222" spans="1:7" x14ac:dyDescent="0.25">
      <c r="A222" s="43" t="s">
        <v>1649</v>
      </c>
      <c r="B222" s="43">
        <v>4</v>
      </c>
      <c r="C222" s="47">
        <f t="shared" si="6"/>
        <v>7.2912869121399923E-4</v>
      </c>
      <c r="D222" s="43">
        <v>4</v>
      </c>
      <c r="E222" s="47">
        <v>1</v>
      </c>
      <c r="F222" s="47">
        <f t="shared" si="7"/>
        <v>7.2912869121399923E-4</v>
      </c>
      <c r="G222" s="43">
        <v>1</v>
      </c>
    </row>
    <row r="223" spans="1:7" x14ac:dyDescent="0.25">
      <c r="A223" s="43" t="s">
        <v>3071</v>
      </c>
      <c r="B223" s="43">
        <v>4</v>
      </c>
      <c r="C223" s="47">
        <f t="shared" si="6"/>
        <v>7.2912869121399923E-4</v>
      </c>
      <c r="D223" s="43">
        <v>4</v>
      </c>
      <c r="E223" s="47">
        <v>1</v>
      </c>
      <c r="F223" s="47">
        <f t="shared" si="7"/>
        <v>7.2912869121399923E-4</v>
      </c>
      <c r="G223" s="43">
        <v>1</v>
      </c>
    </row>
    <row r="224" spans="1:7" x14ac:dyDescent="0.25">
      <c r="A224" s="43" t="s">
        <v>3072</v>
      </c>
      <c r="B224" s="43">
        <v>4</v>
      </c>
      <c r="C224" s="47">
        <f t="shared" si="6"/>
        <v>7.2912869121399923E-4</v>
      </c>
      <c r="D224" s="43">
        <v>4</v>
      </c>
      <c r="E224" s="47">
        <v>1</v>
      </c>
      <c r="F224" s="47">
        <f t="shared" si="7"/>
        <v>7.2912869121399923E-4</v>
      </c>
      <c r="G224" s="43">
        <v>0</v>
      </c>
    </row>
    <row r="225" spans="1:7" x14ac:dyDescent="0.25">
      <c r="A225" s="43" t="s">
        <v>3073</v>
      </c>
      <c r="B225" s="43">
        <v>4</v>
      </c>
      <c r="C225" s="47">
        <f t="shared" si="6"/>
        <v>7.2912869121399923E-4</v>
      </c>
      <c r="D225" s="43">
        <v>4</v>
      </c>
      <c r="E225" s="47">
        <v>1</v>
      </c>
      <c r="F225" s="47">
        <f t="shared" si="7"/>
        <v>7.2912869121399923E-4</v>
      </c>
      <c r="G225" s="43">
        <v>0</v>
      </c>
    </row>
    <row r="226" spans="1:7" x14ac:dyDescent="0.25">
      <c r="A226" s="43" t="s">
        <v>3074</v>
      </c>
      <c r="B226" s="43">
        <v>4</v>
      </c>
      <c r="C226" s="47">
        <f t="shared" si="6"/>
        <v>7.2912869121399923E-4</v>
      </c>
      <c r="D226" s="43">
        <v>4</v>
      </c>
      <c r="E226" s="47">
        <v>1</v>
      </c>
      <c r="F226" s="47">
        <f t="shared" si="7"/>
        <v>7.2912869121399923E-4</v>
      </c>
      <c r="G226" s="43">
        <v>0</v>
      </c>
    </row>
    <row r="227" spans="1:7" x14ac:dyDescent="0.25">
      <c r="A227" s="43" t="s">
        <v>1006</v>
      </c>
      <c r="B227" s="43">
        <v>4</v>
      </c>
      <c r="C227" s="47">
        <f t="shared" si="6"/>
        <v>7.2912869121399923E-4</v>
      </c>
      <c r="D227" s="43">
        <v>4</v>
      </c>
      <c r="E227" s="47">
        <v>1</v>
      </c>
      <c r="F227" s="47">
        <f t="shared" si="7"/>
        <v>7.2912869121399923E-4</v>
      </c>
      <c r="G227" s="43">
        <v>1</v>
      </c>
    </row>
    <row r="228" spans="1:7" x14ac:dyDescent="0.25">
      <c r="A228" s="43" t="s">
        <v>3075</v>
      </c>
      <c r="B228" s="43">
        <v>4</v>
      </c>
      <c r="C228" s="47">
        <f t="shared" si="6"/>
        <v>7.2912869121399923E-4</v>
      </c>
      <c r="D228" s="43">
        <v>4</v>
      </c>
      <c r="E228" s="47">
        <v>1</v>
      </c>
      <c r="F228" s="47">
        <f t="shared" si="7"/>
        <v>7.2912869121399923E-4</v>
      </c>
      <c r="G228" s="43">
        <v>0</v>
      </c>
    </row>
    <row r="229" spans="1:7" x14ac:dyDescent="0.25">
      <c r="A229" s="43" t="s">
        <v>1652</v>
      </c>
      <c r="B229" s="43">
        <v>4</v>
      </c>
      <c r="C229" s="47">
        <f t="shared" si="6"/>
        <v>7.2912869121399923E-4</v>
      </c>
      <c r="D229" s="43">
        <v>4</v>
      </c>
      <c r="E229" s="47">
        <v>1</v>
      </c>
      <c r="F229" s="47">
        <f t="shared" si="7"/>
        <v>7.2912869121399923E-4</v>
      </c>
      <c r="G229" s="43">
        <v>0</v>
      </c>
    </row>
    <row r="230" spans="1:7" x14ac:dyDescent="0.25">
      <c r="A230" s="44" t="s">
        <v>1970</v>
      </c>
      <c r="B230" s="43">
        <v>4</v>
      </c>
      <c r="C230" s="47">
        <f t="shared" si="6"/>
        <v>7.2912869121399923E-4</v>
      </c>
      <c r="D230" s="43">
        <v>4</v>
      </c>
      <c r="E230" s="47">
        <v>1</v>
      </c>
      <c r="F230" s="47">
        <f t="shared" si="7"/>
        <v>7.2912869121399923E-4</v>
      </c>
      <c r="G230" s="43">
        <v>1</v>
      </c>
    </row>
    <row r="231" spans="1:7" x14ac:dyDescent="0.25">
      <c r="A231" s="43" t="s">
        <v>3076</v>
      </c>
      <c r="B231" s="43">
        <v>4</v>
      </c>
      <c r="C231" s="47">
        <f t="shared" si="6"/>
        <v>7.2912869121399923E-4</v>
      </c>
      <c r="D231" s="43">
        <v>4</v>
      </c>
      <c r="E231" s="47">
        <v>1</v>
      </c>
      <c r="F231" s="47">
        <f t="shared" si="7"/>
        <v>7.2912869121399923E-4</v>
      </c>
      <c r="G231" s="43">
        <v>1</v>
      </c>
    </row>
    <row r="232" spans="1:7" x14ac:dyDescent="0.25">
      <c r="A232" s="43" t="s">
        <v>3010</v>
      </c>
      <c r="B232" s="43">
        <v>8</v>
      </c>
      <c r="C232" s="47">
        <f t="shared" si="6"/>
        <v>1.4582573824279985E-3</v>
      </c>
      <c r="D232" s="43">
        <v>4</v>
      </c>
      <c r="E232" s="47">
        <v>0.5</v>
      </c>
      <c r="F232" s="47">
        <f t="shared" si="7"/>
        <v>7.2912869121399923E-4</v>
      </c>
      <c r="G232" s="43">
        <v>0</v>
      </c>
    </row>
    <row r="233" spans="1:7" x14ac:dyDescent="0.25">
      <c r="A233" s="43" t="s">
        <v>3011</v>
      </c>
      <c r="B233" s="43">
        <v>8</v>
      </c>
      <c r="C233" s="47">
        <f t="shared" si="6"/>
        <v>1.4582573824279985E-3</v>
      </c>
      <c r="D233" s="43">
        <v>4</v>
      </c>
      <c r="E233" s="47">
        <v>0.5</v>
      </c>
      <c r="F233" s="47">
        <f t="shared" si="7"/>
        <v>7.2912869121399923E-4</v>
      </c>
      <c r="G233" s="43">
        <v>1</v>
      </c>
    </row>
    <row r="234" spans="1:7" x14ac:dyDescent="0.25">
      <c r="A234" s="43" t="s">
        <v>755</v>
      </c>
      <c r="B234" s="43">
        <v>8</v>
      </c>
      <c r="C234" s="47">
        <f t="shared" si="6"/>
        <v>1.4582573824279985E-3</v>
      </c>
      <c r="D234" s="43">
        <v>4</v>
      </c>
      <c r="E234" s="47">
        <v>0.5</v>
      </c>
      <c r="F234" s="47">
        <f t="shared" si="7"/>
        <v>7.2912869121399923E-4</v>
      </c>
      <c r="G234" s="43">
        <v>1</v>
      </c>
    </row>
    <row r="235" spans="1:7" x14ac:dyDescent="0.25">
      <c r="A235" s="43" t="s">
        <v>3012</v>
      </c>
      <c r="B235" s="43">
        <v>8</v>
      </c>
      <c r="C235" s="47">
        <f t="shared" si="6"/>
        <v>1.4582573824279985E-3</v>
      </c>
      <c r="D235" s="43">
        <v>4</v>
      </c>
      <c r="E235" s="47">
        <v>0.5</v>
      </c>
      <c r="F235" s="47">
        <f t="shared" si="7"/>
        <v>7.2912869121399923E-4</v>
      </c>
      <c r="G235" s="43">
        <v>1</v>
      </c>
    </row>
    <row r="236" spans="1:7" x14ac:dyDescent="0.25">
      <c r="A236" s="43" t="s">
        <v>3013</v>
      </c>
      <c r="B236" s="43">
        <v>8</v>
      </c>
      <c r="C236" s="47">
        <f t="shared" si="6"/>
        <v>1.4582573824279985E-3</v>
      </c>
      <c r="D236" s="43">
        <v>4</v>
      </c>
      <c r="E236" s="47">
        <v>0.5</v>
      </c>
      <c r="F236" s="47">
        <f t="shared" si="7"/>
        <v>7.2912869121399923E-4</v>
      </c>
      <c r="G236" s="43">
        <v>1</v>
      </c>
    </row>
    <row r="237" spans="1:7" x14ac:dyDescent="0.25">
      <c r="A237" s="43" t="s">
        <v>3014</v>
      </c>
      <c r="B237" s="43">
        <v>8</v>
      </c>
      <c r="C237" s="47">
        <f t="shared" si="6"/>
        <v>1.4582573824279985E-3</v>
      </c>
      <c r="D237" s="43">
        <v>4</v>
      </c>
      <c r="E237" s="47">
        <v>0.5</v>
      </c>
      <c r="F237" s="47">
        <f t="shared" si="7"/>
        <v>7.2912869121399923E-4</v>
      </c>
      <c r="G237" s="43">
        <v>1</v>
      </c>
    </row>
    <row r="238" spans="1:7" x14ac:dyDescent="0.25">
      <c r="A238" s="43" t="s">
        <v>3015</v>
      </c>
      <c r="B238" s="43">
        <v>8</v>
      </c>
      <c r="C238" s="47">
        <f t="shared" si="6"/>
        <v>1.4582573824279985E-3</v>
      </c>
      <c r="D238" s="43">
        <v>4</v>
      </c>
      <c r="E238" s="47">
        <v>0.5</v>
      </c>
      <c r="F238" s="47">
        <f t="shared" si="7"/>
        <v>7.2912869121399923E-4</v>
      </c>
      <c r="G238" s="43">
        <v>1</v>
      </c>
    </row>
    <row r="239" spans="1:7" x14ac:dyDescent="0.25">
      <c r="A239" s="43" t="s">
        <v>3021</v>
      </c>
      <c r="B239" s="43">
        <v>7</v>
      </c>
      <c r="C239" s="47">
        <f t="shared" si="6"/>
        <v>1.2759752096244987E-3</v>
      </c>
      <c r="D239" s="43">
        <v>4</v>
      </c>
      <c r="E239" s="47">
        <v>0.57099999999999995</v>
      </c>
      <c r="F239" s="47">
        <f t="shared" si="7"/>
        <v>7.2858184469558871E-4</v>
      </c>
      <c r="G239" s="43">
        <v>1</v>
      </c>
    </row>
    <row r="240" spans="1:7" x14ac:dyDescent="0.25">
      <c r="A240" s="43" t="s">
        <v>3022</v>
      </c>
      <c r="B240" s="43">
        <v>7</v>
      </c>
      <c r="C240" s="47">
        <f t="shared" si="6"/>
        <v>1.2759752096244987E-3</v>
      </c>
      <c r="D240" s="43">
        <v>4</v>
      </c>
      <c r="E240" s="47">
        <v>0.57099999999999995</v>
      </c>
      <c r="F240" s="47">
        <f t="shared" si="7"/>
        <v>7.2858184469558871E-4</v>
      </c>
      <c r="G240" s="43">
        <v>1</v>
      </c>
    </row>
    <row r="241" spans="1:7" x14ac:dyDescent="0.25">
      <c r="A241" s="43" t="s">
        <v>1173</v>
      </c>
      <c r="B241" s="43">
        <v>9</v>
      </c>
      <c r="C241" s="47">
        <f t="shared" si="6"/>
        <v>1.6405395552314983E-3</v>
      </c>
      <c r="D241" s="43">
        <v>4</v>
      </c>
      <c r="E241" s="47">
        <v>0.44400000000000001</v>
      </c>
      <c r="F241" s="47">
        <f t="shared" si="7"/>
        <v>7.2839956252278521E-4</v>
      </c>
      <c r="G241" s="43">
        <v>1</v>
      </c>
    </row>
    <row r="242" spans="1:7" x14ac:dyDescent="0.25">
      <c r="A242" s="43" t="s">
        <v>1175</v>
      </c>
      <c r="B242" s="43">
        <v>9</v>
      </c>
      <c r="C242" s="47">
        <f t="shared" si="6"/>
        <v>1.6405395552314983E-3</v>
      </c>
      <c r="D242" s="43">
        <v>4</v>
      </c>
      <c r="E242" s="47">
        <v>0.44400000000000001</v>
      </c>
      <c r="F242" s="47">
        <f t="shared" si="7"/>
        <v>7.2839956252278521E-4</v>
      </c>
      <c r="G242" s="43">
        <v>1</v>
      </c>
    </row>
    <row r="243" spans="1:7" x14ac:dyDescent="0.25">
      <c r="A243" s="43" t="s">
        <v>870</v>
      </c>
      <c r="B243" s="43">
        <v>9</v>
      </c>
      <c r="C243" s="47">
        <f t="shared" si="6"/>
        <v>1.6405395552314983E-3</v>
      </c>
      <c r="D243" s="43">
        <v>4</v>
      </c>
      <c r="E243" s="47">
        <v>0.44400000000000001</v>
      </c>
      <c r="F243" s="47">
        <f t="shared" si="7"/>
        <v>7.2839956252278521E-4</v>
      </c>
      <c r="G243" s="43">
        <v>1</v>
      </c>
    </row>
    <row r="244" spans="1:7" x14ac:dyDescent="0.25">
      <c r="A244" s="43" t="s">
        <v>1195</v>
      </c>
      <c r="B244" s="43">
        <v>9</v>
      </c>
      <c r="C244" s="47">
        <f t="shared" si="6"/>
        <v>1.6405395552314983E-3</v>
      </c>
      <c r="D244" s="43">
        <v>4</v>
      </c>
      <c r="E244" s="47">
        <v>0.44400000000000001</v>
      </c>
      <c r="F244" s="47">
        <f t="shared" si="7"/>
        <v>7.2839956252278521E-4</v>
      </c>
      <c r="G244" s="43">
        <v>1</v>
      </c>
    </row>
    <row r="245" spans="1:7" x14ac:dyDescent="0.25">
      <c r="A245" s="43" t="s">
        <v>2938</v>
      </c>
      <c r="B245" s="43">
        <v>18</v>
      </c>
      <c r="C245" s="47">
        <f t="shared" si="6"/>
        <v>3.2810791104629965E-3</v>
      </c>
      <c r="D245" s="43">
        <v>4</v>
      </c>
      <c r="E245" s="47">
        <v>0.222</v>
      </c>
      <c r="F245" s="47">
        <f t="shared" si="7"/>
        <v>7.2839956252278521E-4</v>
      </c>
      <c r="G245" s="43">
        <v>0.94399999999999995</v>
      </c>
    </row>
    <row r="246" spans="1:7" x14ac:dyDescent="0.25">
      <c r="A246" s="43" t="s">
        <v>1183</v>
      </c>
      <c r="B246" s="43">
        <v>7</v>
      </c>
      <c r="C246" s="47">
        <f t="shared" si="6"/>
        <v>1.2759752096244987E-3</v>
      </c>
      <c r="D246" s="43">
        <v>3</v>
      </c>
      <c r="E246" s="47">
        <v>0.42899999999999999</v>
      </c>
      <c r="F246" s="47">
        <f t="shared" si="7"/>
        <v>5.4739336492890998E-4</v>
      </c>
      <c r="G246" s="43">
        <v>1</v>
      </c>
    </row>
    <row r="247" spans="1:7" x14ac:dyDescent="0.25">
      <c r="A247" s="43" t="s">
        <v>617</v>
      </c>
      <c r="B247" s="43">
        <v>7</v>
      </c>
      <c r="C247" s="47">
        <f t="shared" si="6"/>
        <v>1.2759752096244987E-3</v>
      </c>
      <c r="D247" s="43">
        <v>3</v>
      </c>
      <c r="E247" s="47">
        <v>0.42899999999999999</v>
      </c>
      <c r="F247" s="47">
        <f t="shared" si="7"/>
        <v>5.4739336492890998E-4</v>
      </c>
      <c r="G247" s="43">
        <v>1</v>
      </c>
    </row>
    <row r="248" spans="1:7" x14ac:dyDescent="0.25">
      <c r="A248" s="43" t="s">
        <v>3023</v>
      </c>
      <c r="B248" s="43">
        <v>7</v>
      </c>
      <c r="C248" s="47">
        <f t="shared" si="6"/>
        <v>1.2759752096244987E-3</v>
      </c>
      <c r="D248" s="43">
        <v>3</v>
      </c>
      <c r="E248" s="47">
        <v>0.42899999999999999</v>
      </c>
      <c r="F248" s="47">
        <f t="shared" si="7"/>
        <v>5.4739336492890998E-4</v>
      </c>
      <c r="G248" s="43">
        <v>1</v>
      </c>
    </row>
    <row r="249" spans="1:7" x14ac:dyDescent="0.25">
      <c r="A249" s="43" t="s">
        <v>2979</v>
      </c>
      <c r="B249" s="43">
        <v>11</v>
      </c>
      <c r="C249" s="47">
        <f t="shared" si="6"/>
        <v>2.0051039008384978E-3</v>
      </c>
      <c r="D249" s="43">
        <v>3</v>
      </c>
      <c r="E249" s="47">
        <v>0.27300000000000002</v>
      </c>
      <c r="F249" s="47">
        <f t="shared" si="7"/>
        <v>5.4739336492890998E-4</v>
      </c>
      <c r="G249" s="43">
        <v>1</v>
      </c>
    </row>
    <row r="250" spans="1:7" x14ac:dyDescent="0.25">
      <c r="A250" s="43" t="s">
        <v>359</v>
      </c>
      <c r="B250" s="43">
        <v>11</v>
      </c>
      <c r="C250" s="47">
        <f t="shared" si="6"/>
        <v>2.0051039008384978E-3</v>
      </c>
      <c r="D250" s="43">
        <v>3</v>
      </c>
      <c r="E250" s="47">
        <v>0.27300000000000002</v>
      </c>
      <c r="F250" s="47">
        <f t="shared" si="7"/>
        <v>5.4739336492890998E-4</v>
      </c>
      <c r="G250" s="43">
        <v>1</v>
      </c>
    </row>
    <row r="251" spans="1:7" x14ac:dyDescent="0.25">
      <c r="A251" s="43" t="s">
        <v>1161</v>
      </c>
      <c r="B251" s="43">
        <v>11</v>
      </c>
      <c r="C251" s="47">
        <f t="shared" si="6"/>
        <v>2.0051039008384978E-3</v>
      </c>
      <c r="D251" s="43">
        <v>3</v>
      </c>
      <c r="E251" s="47">
        <v>0.27300000000000002</v>
      </c>
      <c r="F251" s="47">
        <f t="shared" si="7"/>
        <v>5.4739336492890998E-4</v>
      </c>
      <c r="G251" s="43">
        <v>1</v>
      </c>
    </row>
    <row r="252" spans="1:7" x14ac:dyDescent="0.25">
      <c r="A252" s="43" t="s">
        <v>467</v>
      </c>
      <c r="B252" s="43">
        <v>3</v>
      </c>
      <c r="C252" s="47">
        <f t="shared" si="6"/>
        <v>5.4684651841049945E-4</v>
      </c>
      <c r="D252" s="43">
        <v>3</v>
      </c>
      <c r="E252" s="47">
        <v>1</v>
      </c>
      <c r="F252" s="47">
        <f t="shared" si="7"/>
        <v>5.4684651841049945E-4</v>
      </c>
      <c r="G252" s="43">
        <v>1</v>
      </c>
    </row>
    <row r="253" spans="1:7" x14ac:dyDescent="0.25">
      <c r="A253" s="43" t="s">
        <v>469</v>
      </c>
      <c r="B253" s="43">
        <v>3</v>
      </c>
      <c r="C253" s="47">
        <f t="shared" si="6"/>
        <v>5.4684651841049945E-4</v>
      </c>
      <c r="D253" s="43">
        <v>3</v>
      </c>
      <c r="E253" s="47">
        <v>1</v>
      </c>
      <c r="F253" s="47">
        <f t="shared" si="7"/>
        <v>5.4684651841049945E-4</v>
      </c>
      <c r="G253" s="43">
        <v>1</v>
      </c>
    </row>
    <row r="254" spans="1:7" x14ac:dyDescent="0.25">
      <c r="A254" s="43" t="s">
        <v>3091</v>
      </c>
      <c r="B254" s="43">
        <v>3</v>
      </c>
      <c r="C254" s="47">
        <f t="shared" si="6"/>
        <v>5.4684651841049945E-4</v>
      </c>
      <c r="D254" s="43">
        <v>3</v>
      </c>
      <c r="E254" s="47">
        <v>1</v>
      </c>
      <c r="F254" s="47">
        <f t="shared" si="7"/>
        <v>5.4684651841049945E-4</v>
      </c>
      <c r="G254" s="43">
        <v>1</v>
      </c>
    </row>
    <row r="255" spans="1:7" x14ac:dyDescent="0.25">
      <c r="A255" s="43" t="s">
        <v>376</v>
      </c>
      <c r="B255" s="43">
        <v>3</v>
      </c>
      <c r="C255" s="47">
        <f t="shared" si="6"/>
        <v>5.4684651841049945E-4</v>
      </c>
      <c r="D255" s="43">
        <v>3</v>
      </c>
      <c r="E255" s="47">
        <v>1</v>
      </c>
      <c r="F255" s="47">
        <f t="shared" si="7"/>
        <v>5.4684651841049945E-4</v>
      </c>
      <c r="G255" s="43">
        <v>1</v>
      </c>
    </row>
    <row r="256" spans="1:7" x14ac:dyDescent="0.25">
      <c r="A256" s="43" t="s">
        <v>3092</v>
      </c>
      <c r="B256" s="43">
        <v>3</v>
      </c>
      <c r="C256" s="47">
        <f t="shared" si="6"/>
        <v>5.4684651841049945E-4</v>
      </c>
      <c r="D256" s="43">
        <v>3</v>
      </c>
      <c r="E256" s="47">
        <v>1</v>
      </c>
      <c r="F256" s="47">
        <f t="shared" si="7"/>
        <v>5.4684651841049945E-4</v>
      </c>
      <c r="G256" s="43">
        <v>1</v>
      </c>
    </row>
    <row r="257" spans="1:7" x14ac:dyDescent="0.25">
      <c r="A257" s="43" t="s">
        <v>3093</v>
      </c>
      <c r="B257" s="43">
        <v>3</v>
      </c>
      <c r="C257" s="47">
        <f t="shared" si="6"/>
        <v>5.4684651841049945E-4</v>
      </c>
      <c r="D257" s="43">
        <v>3</v>
      </c>
      <c r="E257" s="47">
        <v>1</v>
      </c>
      <c r="F257" s="47">
        <f t="shared" si="7"/>
        <v>5.4684651841049945E-4</v>
      </c>
      <c r="G257" s="43">
        <v>1</v>
      </c>
    </row>
    <row r="258" spans="1:7" x14ac:dyDescent="0.25">
      <c r="A258" s="43" t="s">
        <v>991</v>
      </c>
      <c r="B258" s="43">
        <v>3</v>
      </c>
      <c r="C258" s="47">
        <f t="shared" ref="C258:C321" si="8">B258/$B$602</f>
        <v>5.4684651841049945E-4</v>
      </c>
      <c r="D258" s="43">
        <v>3</v>
      </c>
      <c r="E258" s="47">
        <v>1</v>
      </c>
      <c r="F258" s="47">
        <f t="shared" ref="F258:F321" si="9">E258*C258</f>
        <v>5.4684651841049945E-4</v>
      </c>
      <c r="G258" s="43">
        <v>1</v>
      </c>
    </row>
    <row r="259" spans="1:7" x14ac:dyDescent="0.25">
      <c r="A259" s="43" t="s">
        <v>3094</v>
      </c>
      <c r="B259" s="43">
        <v>3</v>
      </c>
      <c r="C259" s="47">
        <f t="shared" si="8"/>
        <v>5.4684651841049945E-4</v>
      </c>
      <c r="D259" s="43">
        <v>3</v>
      </c>
      <c r="E259" s="47">
        <v>1</v>
      </c>
      <c r="F259" s="47">
        <f t="shared" si="9"/>
        <v>5.4684651841049945E-4</v>
      </c>
      <c r="G259" s="43">
        <v>1</v>
      </c>
    </row>
    <row r="260" spans="1:7" x14ac:dyDescent="0.25">
      <c r="A260" s="43" t="s">
        <v>3095</v>
      </c>
      <c r="B260" s="43">
        <v>3</v>
      </c>
      <c r="C260" s="47">
        <f t="shared" si="8"/>
        <v>5.4684651841049945E-4</v>
      </c>
      <c r="D260" s="43">
        <v>3</v>
      </c>
      <c r="E260" s="47">
        <v>1</v>
      </c>
      <c r="F260" s="47">
        <f t="shared" si="9"/>
        <v>5.4684651841049945E-4</v>
      </c>
      <c r="G260" s="43">
        <v>1</v>
      </c>
    </row>
    <row r="261" spans="1:7" x14ac:dyDescent="0.25">
      <c r="A261" s="43" t="s">
        <v>3096</v>
      </c>
      <c r="B261" s="43">
        <v>3</v>
      </c>
      <c r="C261" s="47">
        <f t="shared" si="8"/>
        <v>5.4684651841049945E-4</v>
      </c>
      <c r="D261" s="43">
        <v>3</v>
      </c>
      <c r="E261" s="47">
        <v>1</v>
      </c>
      <c r="F261" s="47">
        <f t="shared" si="9"/>
        <v>5.4684651841049945E-4</v>
      </c>
      <c r="G261" s="43">
        <v>0</v>
      </c>
    </row>
    <row r="262" spans="1:7" x14ac:dyDescent="0.25">
      <c r="A262" s="43" t="s">
        <v>3097</v>
      </c>
      <c r="B262" s="43">
        <v>3</v>
      </c>
      <c r="C262" s="47">
        <f t="shared" si="8"/>
        <v>5.4684651841049945E-4</v>
      </c>
      <c r="D262" s="43">
        <v>3</v>
      </c>
      <c r="E262" s="47">
        <v>1</v>
      </c>
      <c r="F262" s="47">
        <f t="shared" si="9"/>
        <v>5.4684651841049945E-4</v>
      </c>
      <c r="G262" s="43">
        <v>0</v>
      </c>
    </row>
    <row r="263" spans="1:7" x14ac:dyDescent="0.25">
      <c r="A263" s="43" t="s">
        <v>366</v>
      </c>
      <c r="B263" s="43">
        <v>3</v>
      </c>
      <c r="C263" s="47">
        <f t="shared" si="8"/>
        <v>5.4684651841049945E-4</v>
      </c>
      <c r="D263" s="43">
        <v>3</v>
      </c>
      <c r="E263" s="47">
        <v>1</v>
      </c>
      <c r="F263" s="47">
        <f t="shared" si="9"/>
        <v>5.4684651841049945E-4</v>
      </c>
      <c r="G263" s="43">
        <v>1</v>
      </c>
    </row>
    <row r="264" spans="1:7" x14ac:dyDescent="0.25">
      <c r="A264" s="43" t="s">
        <v>3098</v>
      </c>
      <c r="B264" s="43">
        <v>3</v>
      </c>
      <c r="C264" s="47">
        <f t="shared" si="8"/>
        <v>5.4684651841049945E-4</v>
      </c>
      <c r="D264" s="43">
        <v>3</v>
      </c>
      <c r="E264" s="47">
        <v>1</v>
      </c>
      <c r="F264" s="47">
        <f t="shared" si="9"/>
        <v>5.4684651841049945E-4</v>
      </c>
      <c r="G264" s="43">
        <v>0</v>
      </c>
    </row>
    <row r="265" spans="1:7" x14ac:dyDescent="0.25">
      <c r="A265" s="43" t="s">
        <v>473</v>
      </c>
      <c r="B265" s="43">
        <v>3</v>
      </c>
      <c r="C265" s="47">
        <f t="shared" si="8"/>
        <v>5.4684651841049945E-4</v>
      </c>
      <c r="D265" s="43">
        <v>3</v>
      </c>
      <c r="E265" s="47">
        <v>1</v>
      </c>
      <c r="F265" s="47">
        <f t="shared" si="9"/>
        <v>5.4684651841049945E-4</v>
      </c>
      <c r="G265" s="43">
        <v>1</v>
      </c>
    </row>
    <row r="266" spans="1:7" x14ac:dyDescent="0.25">
      <c r="A266" s="43" t="s">
        <v>484</v>
      </c>
      <c r="B266" s="43">
        <v>3</v>
      </c>
      <c r="C266" s="47">
        <f t="shared" si="8"/>
        <v>5.4684651841049945E-4</v>
      </c>
      <c r="D266" s="43">
        <v>3</v>
      </c>
      <c r="E266" s="47">
        <v>1</v>
      </c>
      <c r="F266" s="47">
        <f t="shared" si="9"/>
        <v>5.4684651841049945E-4</v>
      </c>
      <c r="G266" s="43">
        <v>1</v>
      </c>
    </row>
    <row r="267" spans="1:7" x14ac:dyDescent="0.25">
      <c r="A267" s="43" t="s">
        <v>3099</v>
      </c>
      <c r="B267" s="43">
        <v>3</v>
      </c>
      <c r="C267" s="47">
        <f t="shared" si="8"/>
        <v>5.4684651841049945E-4</v>
      </c>
      <c r="D267" s="43">
        <v>3</v>
      </c>
      <c r="E267" s="47">
        <v>1</v>
      </c>
      <c r="F267" s="47">
        <f t="shared" si="9"/>
        <v>5.4684651841049945E-4</v>
      </c>
      <c r="G267" s="43">
        <v>1</v>
      </c>
    </row>
    <row r="268" spans="1:7" x14ac:dyDescent="0.25">
      <c r="A268" s="43" t="s">
        <v>3100</v>
      </c>
      <c r="B268" s="43">
        <v>3</v>
      </c>
      <c r="C268" s="47">
        <f t="shared" si="8"/>
        <v>5.4684651841049945E-4</v>
      </c>
      <c r="D268" s="43">
        <v>3</v>
      </c>
      <c r="E268" s="47">
        <v>1</v>
      </c>
      <c r="F268" s="47">
        <f t="shared" si="9"/>
        <v>5.4684651841049945E-4</v>
      </c>
      <c r="G268" s="43">
        <v>0</v>
      </c>
    </row>
    <row r="269" spans="1:7" x14ac:dyDescent="0.25">
      <c r="A269" s="43" t="s">
        <v>3101</v>
      </c>
      <c r="B269" s="43">
        <v>3</v>
      </c>
      <c r="C269" s="47">
        <f t="shared" si="8"/>
        <v>5.4684651841049945E-4</v>
      </c>
      <c r="D269" s="43">
        <v>3</v>
      </c>
      <c r="E269" s="47">
        <v>1</v>
      </c>
      <c r="F269" s="47">
        <f t="shared" si="9"/>
        <v>5.4684651841049945E-4</v>
      </c>
      <c r="G269" s="43">
        <v>0</v>
      </c>
    </row>
    <row r="270" spans="1:7" x14ac:dyDescent="0.25">
      <c r="A270" s="43" t="s">
        <v>3102</v>
      </c>
      <c r="B270" s="43">
        <v>3</v>
      </c>
      <c r="C270" s="47">
        <f t="shared" si="8"/>
        <v>5.4684651841049945E-4</v>
      </c>
      <c r="D270" s="43">
        <v>3</v>
      </c>
      <c r="E270" s="47">
        <v>1</v>
      </c>
      <c r="F270" s="47">
        <f t="shared" si="9"/>
        <v>5.4684651841049945E-4</v>
      </c>
      <c r="G270" s="43">
        <v>1</v>
      </c>
    </row>
    <row r="271" spans="1:7" x14ac:dyDescent="0.25">
      <c r="A271" s="43" t="s">
        <v>1914</v>
      </c>
      <c r="B271" s="43">
        <v>3</v>
      </c>
      <c r="C271" s="47">
        <f t="shared" si="8"/>
        <v>5.4684651841049945E-4</v>
      </c>
      <c r="D271" s="43">
        <v>3</v>
      </c>
      <c r="E271" s="47">
        <v>1</v>
      </c>
      <c r="F271" s="47">
        <f t="shared" si="9"/>
        <v>5.4684651841049945E-4</v>
      </c>
      <c r="G271" s="43">
        <v>1</v>
      </c>
    </row>
    <row r="272" spans="1:7" x14ac:dyDescent="0.25">
      <c r="A272" s="43" t="s">
        <v>3103</v>
      </c>
      <c r="B272" s="43">
        <v>3</v>
      </c>
      <c r="C272" s="47">
        <f t="shared" si="8"/>
        <v>5.4684651841049945E-4</v>
      </c>
      <c r="D272" s="43">
        <v>3</v>
      </c>
      <c r="E272" s="47">
        <v>1</v>
      </c>
      <c r="F272" s="47">
        <f t="shared" si="9"/>
        <v>5.4684651841049945E-4</v>
      </c>
      <c r="G272" s="43">
        <v>0</v>
      </c>
    </row>
    <row r="273" spans="1:7" x14ac:dyDescent="0.25">
      <c r="A273" s="43" t="s">
        <v>3104</v>
      </c>
      <c r="B273" s="43">
        <v>3</v>
      </c>
      <c r="C273" s="47">
        <f t="shared" si="8"/>
        <v>5.4684651841049945E-4</v>
      </c>
      <c r="D273" s="43">
        <v>3</v>
      </c>
      <c r="E273" s="47">
        <v>1</v>
      </c>
      <c r="F273" s="47">
        <f t="shared" si="9"/>
        <v>5.4684651841049945E-4</v>
      </c>
      <c r="G273" s="43">
        <v>0</v>
      </c>
    </row>
    <row r="274" spans="1:7" x14ac:dyDescent="0.25">
      <c r="A274" s="43" t="s">
        <v>3105</v>
      </c>
      <c r="B274" s="43">
        <v>3</v>
      </c>
      <c r="C274" s="47">
        <f t="shared" si="8"/>
        <v>5.4684651841049945E-4</v>
      </c>
      <c r="D274" s="43">
        <v>3</v>
      </c>
      <c r="E274" s="47">
        <v>1</v>
      </c>
      <c r="F274" s="47">
        <f t="shared" si="9"/>
        <v>5.4684651841049945E-4</v>
      </c>
      <c r="G274" s="43">
        <v>0</v>
      </c>
    </row>
    <row r="275" spans="1:7" x14ac:dyDescent="0.25">
      <c r="A275" s="43" t="s">
        <v>3106</v>
      </c>
      <c r="B275" s="43">
        <v>3</v>
      </c>
      <c r="C275" s="47">
        <f t="shared" si="8"/>
        <v>5.4684651841049945E-4</v>
      </c>
      <c r="D275" s="43">
        <v>3</v>
      </c>
      <c r="E275" s="47">
        <v>1</v>
      </c>
      <c r="F275" s="47">
        <f t="shared" si="9"/>
        <v>5.4684651841049945E-4</v>
      </c>
      <c r="G275" s="43">
        <v>0</v>
      </c>
    </row>
    <row r="276" spans="1:7" x14ac:dyDescent="0.25">
      <c r="A276" s="43" t="s">
        <v>3107</v>
      </c>
      <c r="B276" s="43">
        <v>3</v>
      </c>
      <c r="C276" s="47">
        <f t="shared" si="8"/>
        <v>5.4684651841049945E-4</v>
      </c>
      <c r="D276" s="43">
        <v>3</v>
      </c>
      <c r="E276" s="47">
        <v>1</v>
      </c>
      <c r="F276" s="47">
        <f t="shared" si="9"/>
        <v>5.4684651841049945E-4</v>
      </c>
      <c r="G276" s="43">
        <v>1</v>
      </c>
    </row>
    <row r="277" spans="1:7" x14ac:dyDescent="0.25">
      <c r="A277" s="43" t="s">
        <v>480</v>
      </c>
      <c r="B277" s="43">
        <v>3</v>
      </c>
      <c r="C277" s="47">
        <f t="shared" si="8"/>
        <v>5.4684651841049945E-4</v>
      </c>
      <c r="D277" s="43">
        <v>3</v>
      </c>
      <c r="E277" s="47">
        <v>1</v>
      </c>
      <c r="F277" s="47">
        <f t="shared" si="9"/>
        <v>5.4684651841049945E-4</v>
      </c>
      <c r="G277" s="43">
        <v>1</v>
      </c>
    </row>
    <row r="278" spans="1:7" x14ac:dyDescent="0.25">
      <c r="A278" s="43" t="s">
        <v>353</v>
      </c>
      <c r="B278" s="43">
        <v>3</v>
      </c>
      <c r="C278" s="47">
        <f t="shared" si="8"/>
        <v>5.4684651841049945E-4</v>
      </c>
      <c r="D278" s="43">
        <v>3</v>
      </c>
      <c r="E278" s="47">
        <v>1</v>
      </c>
      <c r="F278" s="47">
        <f t="shared" si="9"/>
        <v>5.4684651841049945E-4</v>
      </c>
      <c r="G278" s="43">
        <v>1</v>
      </c>
    </row>
    <row r="279" spans="1:7" x14ac:dyDescent="0.25">
      <c r="A279" s="43" t="s">
        <v>1912</v>
      </c>
      <c r="B279" s="43">
        <v>3</v>
      </c>
      <c r="C279" s="47">
        <f t="shared" si="8"/>
        <v>5.4684651841049945E-4</v>
      </c>
      <c r="D279" s="43">
        <v>3</v>
      </c>
      <c r="E279" s="47">
        <v>1</v>
      </c>
      <c r="F279" s="47">
        <f t="shared" si="9"/>
        <v>5.4684651841049945E-4</v>
      </c>
      <c r="G279" s="43">
        <v>1</v>
      </c>
    </row>
    <row r="280" spans="1:7" x14ac:dyDescent="0.25">
      <c r="A280" s="43" t="s">
        <v>627</v>
      </c>
      <c r="B280" s="43">
        <v>3</v>
      </c>
      <c r="C280" s="47">
        <f t="shared" si="8"/>
        <v>5.4684651841049945E-4</v>
      </c>
      <c r="D280" s="43">
        <v>3</v>
      </c>
      <c r="E280" s="47">
        <v>1</v>
      </c>
      <c r="F280" s="47">
        <f t="shared" si="9"/>
        <v>5.4684651841049945E-4</v>
      </c>
      <c r="G280" s="43">
        <v>1</v>
      </c>
    </row>
    <row r="281" spans="1:7" x14ac:dyDescent="0.25">
      <c r="A281" s="43" t="s">
        <v>1403</v>
      </c>
      <c r="B281" s="43">
        <v>3</v>
      </c>
      <c r="C281" s="47">
        <f t="shared" si="8"/>
        <v>5.4684651841049945E-4</v>
      </c>
      <c r="D281" s="43">
        <v>3</v>
      </c>
      <c r="E281" s="47">
        <v>1</v>
      </c>
      <c r="F281" s="47">
        <f t="shared" si="9"/>
        <v>5.4684651841049945E-4</v>
      </c>
      <c r="G281" s="43"/>
    </row>
    <row r="282" spans="1:7" x14ac:dyDescent="0.25">
      <c r="A282" s="43" t="s">
        <v>3077</v>
      </c>
      <c r="B282" s="43">
        <v>4</v>
      </c>
      <c r="C282" s="47">
        <f t="shared" si="8"/>
        <v>7.2912869121399923E-4</v>
      </c>
      <c r="D282" s="43">
        <v>3</v>
      </c>
      <c r="E282" s="47">
        <v>0.75</v>
      </c>
      <c r="F282" s="47">
        <f t="shared" si="9"/>
        <v>5.4684651841049945E-4</v>
      </c>
      <c r="G282" s="43">
        <v>1</v>
      </c>
    </row>
    <row r="283" spans="1:7" x14ac:dyDescent="0.25">
      <c r="A283" s="43" t="s">
        <v>668</v>
      </c>
      <c r="B283" s="43">
        <v>4</v>
      </c>
      <c r="C283" s="47">
        <f t="shared" si="8"/>
        <v>7.2912869121399923E-4</v>
      </c>
      <c r="D283" s="43">
        <v>3</v>
      </c>
      <c r="E283" s="47">
        <v>0.75</v>
      </c>
      <c r="F283" s="47">
        <f t="shared" si="9"/>
        <v>5.4684651841049945E-4</v>
      </c>
      <c r="G283" s="43">
        <v>1</v>
      </c>
    </row>
    <row r="284" spans="1:7" x14ac:dyDescent="0.25">
      <c r="A284" s="43" t="s">
        <v>1138</v>
      </c>
      <c r="B284" s="43">
        <v>4</v>
      </c>
      <c r="C284" s="47">
        <f t="shared" si="8"/>
        <v>7.2912869121399923E-4</v>
      </c>
      <c r="D284" s="43">
        <v>3</v>
      </c>
      <c r="E284" s="47">
        <v>0.75</v>
      </c>
      <c r="F284" s="47">
        <f t="shared" si="9"/>
        <v>5.4684651841049945E-4</v>
      </c>
      <c r="G284" s="43">
        <v>0</v>
      </c>
    </row>
    <row r="285" spans="1:7" x14ac:dyDescent="0.25">
      <c r="A285" s="43" t="s">
        <v>3078</v>
      </c>
      <c r="B285" s="43">
        <v>4</v>
      </c>
      <c r="C285" s="47">
        <f t="shared" si="8"/>
        <v>7.2912869121399923E-4</v>
      </c>
      <c r="D285" s="43">
        <v>3</v>
      </c>
      <c r="E285" s="47">
        <v>0.75</v>
      </c>
      <c r="F285" s="47">
        <f t="shared" si="9"/>
        <v>5.4684651841049945E-4</v>
      </c>
      <c r="G285" s="43">
        <v>1</v>
      </c>
    </row>
    <row r="286" spans="1:7" x14ac:dyDescent="0.25">
      <c r="A286" s="43" t="s">
        <v>1571</v>
      </c>
      <c r="B286" s="43">
        <v>4</v>
      </c>
      <c r="C286" s="47">
        <f t="shared" si="8"/>
        <v>7.2912869121399923E-4</v>
      </c>
      <c r="D286" s="43">
        <v>3</v>
      </c>
      <c r="E286" s="47">
        <v>0.75</v>
      </c>
      <c r="F286" s="47">
        <f t="shared" si="9"/>
        <v>5.4684651841049945E-4</v>
      </c>
      <c r="G286" s="43">
        <v>0</v>
      </c>
    </row>
    <row r="287" spans="1:7" x14ac:dyDescent="0.25">
      <c r="A287" s="43" t="s">
        <v>3079</v>
      </c>
      <c r="B287" s="43">
        <v>4</v>
      </c>
      <c r="C287" s="47">
        <f t="shared" si="8"/>
        <v>7.2912869121399923E-4</v>
      </c>
      <c r="D287" s="43">
        <v>3</v>
      </c>
      <c r="E287" s="47">
        <v>0.75</v>
      </c>
      <c r="F287" s="47">
        <f t="shared" si="9"/>
        <v>5.4684651841049945E-4</v>
      </c>
      <c r="G287" s="43">
        <v>1</v>
      </c>
    </row>
    <row r="288" spans="1:7" x14ac:dyDescent="0.25">
      <c r="A288" s="43" t="s">
        <v>3051</v>
      </c>
      <c r="B288" s="43">
        <v>5</v>
      </c>
      <c r="C288" s="47">
        <f t="shared" si="8"/>
        <v>9.1141086401749912E-4</v>
      </c>
      <c r="D288" s="43">
        <v>3</v>
      </c>
      <c r="E288" s="47">
        <v>0.6</v>
      </c>
      <c r="F288" s="47">
        <f t="shared" si="9"/>
        <v>5.4684651841049945E-4</v>
      </c>
      <c r="G288" s="43">
        <v>1</v>
      </c>
    </row>
    <row r="289" spans="1:7" x14ac:dyDescent="0.25">
      <c r="A289" s="43" t="s">
        <v>3052</v>
      </c>
      <c r="B289" s="43">
        <v>5</v>
      </c>
      <c r="C289" s="47">
        <f t="shared" si="8"/>
        <v>9.1141086401749912E-4</v>
      </c>
      <c r="D289" s="43">
        <v>3</v>
      </c>
      <c r="E289" s="47">
        <v>0.6</v>
      </c>
      <c r="F289" s="47">
        <f t="shared" si="9"/>
        <v>5.4684651841049945E-4</v>
      </c>
      <c r="G289" s="43">
        <v>1</v>
      </c>
    </row>
    <row r="290" spans="1:7" x14ac:dyDescent="0.25">
      <c r="A290" s="43" t="s">
        <v>924</v>
      </c>
      <c r="B290" s="43">
        <v>5</v>
      </c>
      <c r="C290" s="47">
        <f t="shared" si="8"/>
        <v>9.1141086401749912E-4</v>
      </c>
      <c r="D290" s="43">
        <v>3</v>
      </c>
      <c r="E290" s="47">
        <v>0.6</v>
      </c>
      <c r="F290" s="47">
        <f t="shared" si="9"/>
        <v>5.4684651841049945E-4</v>
      </c>
      <c r="G290" s="43">
        <v>1</v>
      </c>
    </row>
    <row r="291" spans="1:7" x14ac:dyDescent="0.25">
      <c r="A291" s="43" t="s">
        <v>3053</v>
      </c>
      <c r="B291" s="43">
        <v>5</v>
      </c>
      <c r="C291" s="47">
        <f t="shared" si="8"/>
        <v>9.1141086401749912E-4</v>
      </c>
      <c r="D291" s="43">
        <v>3</v>
      </c>
      <c r="E291" s="47">
        <v>0.6</v>
      </c>
      <c r="F291" s="47">
        <f t="shared" si="9"/>
        <v>5.4684651841049945E-4</v>
      </c>
      <c r="G291" s="43">
        <v>0</v>
      </c>
    </row>
    <row r="292" spans="1:7" x14ac:dyDescent="0.25">
      <c r="A292" s="43" t="s">
        <v>3054</v>
      </c>
      <c r="B292" s="43">
        <v>5</v>
      </c>
      <c r="C292" s="47">
        <f t="shared" si="8"/>
        <v>9.1141086401749912E-4</v>
      </c>
      <c r="D292" s="43">
        <v>3</v>
      </c>
      <c r="E292" s="47">
        <v>0.6</v>
      </c>
      <c r="F292" s="47">
        <f t="shared" si="9"/>
        <v>5.4684651841049945E-4</v>
      </c>
      <c r="G292" s="43">
        <v>1</v>
      </c>
    </row>
    <row r="293" spans="1:7" x14ac:dyDescent="0.25">
      <c r="A293" s="43" t="s">
        <v>3055</v>
      </c>
      <c r="B293" s="43">
        <v>5</v>
      </c>
      <c r="C293" s="47">
        <f t="shared" si="8"/>
        <v>9.1141086401749912E-4</v>
      </c>
      <c r="D293" s="43">
        <v>3</v>
      </c>
      <c r="E293" s="47">
        <v>0.6</v>
      </c>
      <c r="F293" s="47">
        <f t="shared" si="9"/>
        <v>5.4684651841049945E-4</v>
      </c>
      <c r="G293" s="43">
        <v>0</v>
      </c>
    </row>
    <row r="294" spans="1:7" x14ac:dyDescent="0.25">
      <c r="A294" s="43" t="s">
        <v>3056</v>
      </c>
      <c r="B294" s="43">
        <v>5</v>
      </c>
      <c r="C294" s="47">
        <f t="shared" si="8"/>
        <v>9.1141086401749912E-4</v>
      </c>
      <c r="D294" s="43">
        <v>3</v>
      </c>
      <c r="E294" s="47">
        <v>0.6</v>
      </c>
      <c r="F294" s="47">
        <f t="shared" si="9"/>
        <v>5.4684651841049945E-4</v>
      </c>
      <c r="G294" s="43">
        <v>1</v>
      </c>
    </row>
    <row r="295" spans="1:7" x14ac:dyDescent="0.25">
      <c r="A295" s="43" t="s">
        <v>793</v>
      </c>
      <c r="B295" s="43">
        <v>5</v>
      </c>
      <c r="C295" s="47">
        <f t="shared" si="8"/>
        <v>9.1141086401749912E-4</v>
      </c>
      <c r="D295" s="43">
        <v>3</v>
      </c>
      <c r="E295" s="47">
        <v>0.6</v>
      </c>
      <c r="F295" s="47">
        <f t="shared" si="9"/>
        <v>5.4684651841049945E-4</v>
      </c>
      <c r="G295" s="43">
        <v>1</v>
      </c>
    </row>
    <row r="296" spans="1:7" x14ac:dyDescent="0.25">
      <c r="A296" s="43" t="s">
        <v>722</v>
      </c>
      <c r="B296" s="43">
        <v>5</v>
      </c>
      <c r="C296" s="47">
        <f t="shared" si="8"/>
        <v>9.1141086401749912E-4</v>
      </c>
      <c r="D296" s="43">
        <v>3</v>
      </c>
      <c r="E296" s="47">
        <v>0.6</v>
      </c>
      <c r="F296" s="47">
        <f t="shared" si="9"/>
        <v>5.4684651841049945E-4</v>
      </c>
      <c r="G296" s="43">
        <v>1</v>
      </c>
    </row>
    <row r="297" spans="1:7" x14ac:dyDescent="0.25">
      <c r="A297" s="43" t="s">
        <v>720</v>
      </c>
      <c r="B297" s="43">
        <v>5</v>
      </c>
      <c r="C297" s="47">
        <f t="shared" si="8"/>
        <v>9.1141086401749912E-4</v>
      </c>
      <c r="D297" s="43">
        <v>3</v>
      </c>
      <c r="E297" s="47">
        <v>0.6</v>
      </c>
      <c r="F297" s="47">
        <f t="shared" si="9"/>
        <v>5.4684651841049945E-4</v>
      </c>
      <c r="G297" s="43">
        <v>1</v>
      </c>
    </row>
    <row r="298" spans="1:7" x14ac:dyDescent="0.25">
      <c r="A298" s="43" t="s">
        <v>932</v>
      </c>
      <c r="B298" s="43">
        <v>5</v>
      </c>
      <c r="C298" s="47">
        <f t="shared" si="8"/>
        <v>9.1141086401749912E-4</v>
      </c>
      <c r="D298" s="43">
        <v>3</v>
      </c>
      <c r="E298" s="47">
        <v>0.6</v>
      </c>
      <c r="F298" s="47">
        <f t="shared" si="9"/>
        <v>5.4684651841049945E-4</v>
      </c>
      <c r="G298" s="43">
        <v>1</v>
      </c>
    </row>
    <row r="299" spans="1:7" x14ac:dyDescent="0.25">
      <c r="A299" s="43" t="s">
        <v>3033</v>
      </c>
      <c r="B299" s="43">
        <v>6</v>
      </c>
      <c r="C299" s="47">
        <f t="shared" si="8"/>
        <v>1.0936930368209989E-3</v>
      </c>
      <c r="D299" s="43">
        <v>3</v>
      </c>
      <c r="E299" s="47">
        <v>0.5</v>
      </c>
      <c r="F299" s="47">
        <f t="shared" si="9"/>
        <v>5.4684651841049945E-4</v>
      </c>
      <c r="G299" s="43">
        <v>1</v>
      </c>
    </row>
    <row r="300" spans="1:7" x14ac:dyDescent="0.25">
      <c r="A300" s="43" t="s">
        <v>3034</v>
      </c>
      <c r="B300" s="43">
        <v>6</v>
      </c>
      <c r="C300" s="47">
        <f t="shared" si="8"/>
        <v>1.0936930368209989E-3</v>
      </c>
      <c r="D300" s="43">
        <v>3</v>
      </c>
      <c r="E300" s="47">
        <v>0.5</v>
      </c>
      <c r="F300" s="47">
        <f t="shared" si="9"/>
        <v>5.4684651841049945E-4</v>
      </c>
      <c r="G300" s="43">
        <v>1</v>
      </c>
    </row>
    <row r="301" spans="1:7" x14ac:dyDescent="0.25">
      <c r="A301" s="43" t="s">
        <v>3035</v>
      </c>
      <c r="B301" s="43">
        <v>6</v>
      </c>
      <c r="C301" s="47">
        <f t="shared" si="8"/>
        <v>1.0936930368209989E-3</v>
      </c>
      <c r="D301" s="43">
        <v>3</v>
      </c>
      <c r="E301" s="47">
        <v>0.5</v>
      </c>
      <c r="F301" s="47">
        <f t="shared" si="9"/>
        <v>5.4684651841049945E-4</v>
      </c>
      <c r="G301" s="43">
        <v>1</v>
      </c>
    </row>
    <row r="302" spans="1:7" x14ac:dyDescent="0.25">
      <c r="A302" s="43" t="s">
        <v>3016</v>
      </c>
      <c r="B302" s="43">
        <v>8</v>
      </c>
      <c r="C302" s="47">
        <f t="shared" si="8"/>
        <v>1.4582573824279985E-3</v>
      </c>
      <c r="D302" s="43">
        <v>3</v>
      </c>
      <c r="E302" s="47">
        <v>0.375</v>
      </c>
      <c r="F302" s="47">
        <f t="shared" si="9"/>
        <v>5.4684651841049945E-4</v>
      </c>
      <c r="G302" s="43">
        <v>1</v>
      </c>
    </row>
    <row r="303" spans="1:7" x14ac:dyDescent="0.25">
      <c r="A303" s="43" t="s">
        <v>529</v>
      </c>
      <c r="B303" s="43">
        <v>10</v>
      </c>
      <c r="C303" s="47">
        <f t="shared" si="8"/>
        <v>1.8228217280349982E-3</v>
      </c>
      <c r="D303" s="43">
        <v>3</v>
      </c>
      <c r="E303" s="47">
        <v>0.3</v>
      </c>
      <c r="F303" s="47">
        <f t="shared" si="9"/>
        <v>5.4684651841049945E-4</v>
      </c>
      <c r="G303" s="43">
        <v>1</v>
      </c>
    </row>
    <row r="304" spans="1:7" x14ac:dyDescent="0.25">
      <c r="A304" s="43" t="s">
        <v>2996</v>
      </c>
      <c r="B304" s="43">
        <v>10</v>
      </c>
      <c r="C304" s="47">
        <f t="shared" si="8"/>
        <v>1.8228217280349982E-3</v>
      </c>
      <c r="D304" s="43">
        <v>3</v>
      </c>
      <c r="E304" s="47">
        <v>0.3</v>
      </c>
      <c r="F304" s="47">
        <f t="shared" si="9"/>
        <v>5.4684651841049945E-4</v>
      </c>
      <c r="G304" s="43">
        <v>1</v>
      </c>
    </row>
    <row r="305" spans="1:7" x14ac:dyDescent="0.25">
      <c r="A305" s="43" t="s">
        <v>1159</v>
      </c>
      <c r="B305" s="43">
        <v>9</v>
      </c>
      <c r="C305" s="47">
        <f t="shared" si="8"/>
        <v>1.6405395552314983E-3</v>
      </c>
      <c r="D305" s="43">
        <v>3</v>
      </c>
      <c r="E305" s="47">
        <v>0.33300000000000002</v>
      </c>
      <c r="F305" s="47">
        <f t="shared" si="9"/>
        <v>5.4629967189208893E-4</v>
      </c>
      <c r="G305" s="43">
        <v>1</v>
      </c>
    </row>
    <row r="306" spans="1:7" x14ac:dyDescent="0.25">
      <c r="A306" s="43" t="s">
        <v>3005</v>
      </c>
      <c r="B306" s="43">
        <v>9</v>
      </c>
      <c r="C306" s="47">
        <f t="shared" si="8"/>
        <v>1.6405395552314983E-3</v>
      </c>
      <c r="D306" s="43">
        <v>3</v>
      </c>
      <c r="E306" s="47">
        <v>0.33300000000000002</v>
      </c>
      <c r="F306" s="47">
        <f t="shared" si="9"/>
        <v>5.4629967189208893E-4</v>
      </c>
      <c r="G306" s="43">
        <v>1</v>
      </c>
    </row>
    <row r="307" spans="1:7" x14ac:dyDescent="0.25">
      <c r="A307" s="43" t="s">
        <v>3024</v>
      </c>
      <c r="B307" s="43">
        <v>7</v>
      </c>
      <c r="C307" s="47">
        <f t="shared" si="8"/>
        <v>1.2759752096244987E-3</v>
      </c>
      <c r="D307" s="43">
        <v>2</v>
      </c>
      <c r="E307" s="47">
        <v>0.28599999999999998</v>
      </c>
      <c r="F307" s="47">
        <f t="shared" si="9"/>
        <v>3.6492890995260658E-4</v>
      </c>
      <c r="G307" s="43">
        <v>0</v>
      </c>
    </row>
    <row r="308" spans="1:7" x14ac:dyDescent="0.25">
      <c r="A308" s="43" t="s">
        <v>3025</v>
      </c>
      <c r="B308" s="43">
        <v>7</v>
      </c>
      <c r="C308" s="47">
        <f t="shared" si="8"/>
        <v>1.2759752096244987E-3</v>
      </c>
      <c r="D308" s="43">
        <v>2</v>
      </c>
      <c r="E308" s="47">
        <v>0.28599999999999998</v>
      </c>
      <c r="F308" s="47">
        <f t="shared" si="9"/>
        <v>3.6492890995260658E-4</v>
      </c>
      <c r="G308" s="43">
        <v>0</v>
      </c>
    </row>
    <row r="309" spans="1:7" x14ac:dyDescent="0.25">
      <c r="A309" s="43" t="s">
        <v>3026</v>
      </c>
      <c r="B309" s="43">
        <v>7</v>
      </c>
      <c r="C309" s="47">
        <f t="shared" si="8"/>
        <v>1.2759752096244987E-3</v>
      </c>
      <c r="D309" s="43">
        <v>2</v>
      </c>
      <c r="E309" s="47">
        <v>0.28599999999999998</v>
      </c>
      <c r="F309" s="47">
        <f t="shared" si="9"/>
        <v>3.6492890995260658E-4</v>
      </c>
      <c r="G309" s="43">
        <v>1</v>
      </c>
    </row>
    <row r="310" spans="1:7" x14ac:dyDescent="0.25">
      <c r="A310" s="43" t="s">
        <v>2980</v>
      </c>
      <c r="B310" s="43">
        <v>11</v>
      </c>
      <c r="C310" s="47">
        <f t="shared" si="8"/>
        <v>2.0051039008384978E-3</v>
      </c>
      <c r="D310" s="43">
        <v>2</v>
      </c>
      <c r="E310" s="47">
        <v>0.182</v>
      </c>
      <c r="F310" s="47">
        <f t="shared" si="9"/>
        <v>3.6492890995260658E-4</v>
      </c>
      <c r="G310" s="43">
        <v>1</v>
      </c>
    </row>
    <row r="311" spans="1:7" x14ac:dyDescent="0.25">
      <c r="A311" s="43" t="s">
        <v>1755</v>
      </c>
      <c r="B311" s="43">
        <v>3</v>
      </c>
      <c r="C311" s="47">
        <f t="shared" si="8"/>
        <v>5.4684651841049945E-4</v>
      </c>
      <c r="D311" s="43">
        <v>2</v>
      </c>
      <c r="E311" s="47">
        <v>0.66700000000000004</v>
      </c>
      <c r="F311" s="47">
        <f t="shared" si="9"/>
        <v>3.6474662777980318E-4</v>
      </c>
      <c r="G311" s="43">
        <v>1</v>
      </c>
    </row>
    <row r="312" spans="1:7" x14ac:dyDescent="0.25">
      <c r="A312" s="43" t="s">
        <v>1741</v>
      </c>
      <c r="B312" s="43">
        <v>3</v>
      </c>
      <c r="C312" s="47">
        <f t="shared" si="8"/>
        <v>5.4684651841049945E-4</v>
      </c>
      <c r="D312" s="43">
        <v>2</v>
      </c>
      <c r="E312" s="47">
        <v>0.66700000000000004</v>
      </c>
      <c r="F312" s="47">
        <f t="shared" si="9"/>
        <v>3.6474662777980318E-4</v>
      </c>
      <c r="G312" s="43">
        <v>1</v>
      </c>
    </row>
    <row r="313" spans="1:7" x14ac:dyDescent="0.25">
      <c r="A313" s="43" t="s">
        <v>3108</v>
      </c>
      <c r="B313" s="43">
        <v>3</v>
      </c>
      <c r="C313" s="47">
        <f t="shared" si="8"/>
        <v>5.4684651841049945E-4</v>
      </c>
      <c r="D313" s="43">
        <v>2</v>
      </c>
      <c r="E313" s="47">
        <v>0.66700000000000004</v>
      </c>
      <c r="F313" s="47">
        <f t="shared" si="9"/>
        <v>3.6474662777980318E-4</v>
      </c>
      <c r="G313" s="43">
        <v>1</v>
      </c>
    </row>
    <row r="314" spans="1:7" x14ac:dyDescent="0.25">
      <c r="A314" s="43" t="s">
        <v>3109</v>
      </c>
      <c r="B314" s="43">
        <v>3</v>
      </c>
      <c r="C314" s="47">
        <f t="shared" si="8"/>
        <v>5.4684651841049945E-4</v>
      </c>
      <c r="D314" s="43">
        <v>2</v>
      </c>
      <c r="E314" s="47">
        <v>0.66700000000000004</v>
      </c>
      <c r="F314" s="47">
        <f t="shared" si="9"/>
        <v>3.6474662777980318E-4</v>
      </c>
      <c r="G314" s="43">
        <v>0</v>
      </c>
    </row>
    <row r="315" spans="1:7" x14ac:dyDescent="0.25">
      <c r="A315" s="43" t="s">
        <v>3110</v>
      </c>
      <c r="B315" s="43">
        <v>3</v>
      </c>
      <c r="C315" s="47">
        <f t="shared" si="8"/>
        <v>5.4684651841049945E-4</v>
      </c>
      <c r="D315" s="43">
        <v>2</v>
      </c>
      <c r="E315" s="47">
        <v>0.66700000000000004</v>
      </c>
      <c r="F315" s="47">
        <f t="shared" si="9"/>
        <v>3.6474662777980318E-4</v>
      </c>
      <c r="G315" s="43">
        <v>0</v>
      </c>
    </row>
    <row r="316" spans="1:7" x14ac:dyDescent="0.25">
      <c r="A316" s="43" t="s">
        <v>345</v>
      </c>
      <c r="B316" s="43">
        <v>3</v>
      </c>
      <c r="C316" s="47">
        <f t="shared" si="8"/>
        <v>5.4684651841049945E-4</v>
      </c>
      <c r="D316" s="43">
        <v>2</v>
      </c>
      <c r="E316" s="47">
        <v>0.66700000000000004</v>
      </c>
      <c r="F316" s="47">
        <f t="shared" si="9"/>
        <v>3.6474662777980318E-4</v>
      </c>
      <c r="G316" s="43">
        <v>1</v>
      </c>
    </row>
    <row r="317" spans="1:7" x14ac:dyDescent="0.25">
      <c r="A317" s="43" t="s">
        <v>3111</v>
      </c>
      <c r="B317" s="43">
        <v>3</v>
      </c>
      <c r="C317" s="47">
        <f t="shared" si="8"/>
        <v>5.4684651841049945E-4</v>
      </c>
      <c r="D317" s="43">
        <v>2</v>
      </c>
      <c r="E317" s="47">
        <v>0.66700000000000004</v>
      </c>
      <c r="F317" s="47">
        <f t="shared" si="9"/>
        <v>3.6474662777980318E-4</v>
      </c>
      <c r="G317" s="43">
        <v>1</v>
      </c>
    </row>
    <row r="318" spans="1:7" x14ac:dyDescent="0.25">
      <c r="A318" s="43" t="s">
        <v>3112</v>
      </c>
      <c r="B318" s="43">
        <v>3</v>
      </c>
      <c r="C318" s="47">
        <f t="shared" si="8"/>
        <v>5.4684651841049945E-4</v>
      </c>
      <c r="D318" s="43">
        <v>2</v>
      </c>
      <c r="E318" s="47">
        <v>0.66700000000000004</v>
      </c>
      <c r="F318" s="47">
        <f t="shared" si="9"/>
        <v>3.6474662777980318E-4</v>
      </c>
      <c r="G318" s="43">
        <v>1</v>
      </c>
    </row>
    <row r="319" spans="1:7" x14ac:dyDescent="0.25">
      <c r="A319" s="43" t="s">
        <v>1938</v>
      </c>
      <c r="B319" s="43">
        <v>3</v>
      </c>
      <c r="C319" s="47">
        <f t="shared" si="8"/>
        <v>5.4684651841049945E-4</v>
      </c>
      <c r="D319" s="43">
        <v>2</v>
      </c>
      <c r="E319" s="47">
        <v>0.66700000000000004</v>
      </c>
      <c r="F319" s="47">
        <f t="shared" si="9"/>
        <v>3.6474662777980318E-4</v>
      </c>
      <c r="G319" s="43">
        <v>1</v>
      </c>
    </row>
    <row r="320" spans="1:7" x14ac:dyDescent="0.25">
      <c r="A320" s="43" t="s">
        <v>3113</v>
      </c>
      <c r="B320" s="43">
        <v>3</v>
      </c>
      <c r="C320" s="47">
        <f t="shared" si="8"/>
        <v>5.4684651841049945E-4</v>
      </c>
      <c r="D320" s="43">
        <v>2</v>
      </c>
      <c r="E320" s="47">
        <v>0.66700000000000004</v>
      </c>
      <c r="F320" s="47">
        <f t="shared" si="9"/>
        <v>3.6474662777980318E-4</v>
      </c>
      <c r="G320" s="43">
        <v>1</v>
      </c>
    </row>
    <row r="321" spans="1:7" x14ac:dyDescent="0.25">
      <c r="A321" s="43" t="s">
        <v>3114</v>
      </c>
      <c r="B321" s="43">
        <v>3</v>
      </c>
      <c r="C321" s="47">
        <f t="shared" si="8"/>
        <v>5.4684651841049945E-4</v>
      </c>
      <c r="D321" s="43">
        <v>2</v>
      </c>
      <c r="E321" s="47">
        <v>0.66700000000000004</v>
      </c>
      <c r="F321" s="47">
        <f t="shared" si="9"/>
        <v>3.6474662777980318E-4</v>
      </c>
      <c r="G321" s="43">
        <v>1</v>
      </c>
    </row>
    <row r="322" spans="1:7" x14ac:dyDescent="0.25">
      <c r="A322" s="43" t="s">
        <v>1934</v>
      </c>
      <c r="B322" s="43">
        <v>3</v>
      </c>
      <c r="C322" s="47">
        <f t="shared" ref="C322:C385" si="10">B322/$B$602</f>
        <v>5.4684651841049945E-4</v>
      </c>
      <c r="D322" s="43">
        <v>2</v>
      </c>
      <c r="E322" s="47">
        <v>0.66700000000000004</v>
      </c>
      <c r="F322" s="47">
        <f t="shared" ref="F322:F385" si="11">E322*C322</f>
        <v>3.6474662777980318E-4</v>
      </c>
      <c r="G322" s="43">
        <v>1</v>
      </c>
    </row>
    <row r="323" spans="1:7" x14ac:dyDescent="0.25">
      <c r="A323" s="43" t="s">
        <v>1918</v>
      </c>
      <c r="B323" s="43">
        <v>3</v>
      </c>
      <c r="C323" s="47">
        <f t="shared" si="10"/>
        <v>5.4684651841049945E-4</v>
      </c>
      <c r="D323" s="43">
        <v>2</v>
      </c>
      <c r="E323" s="47">
        <v>0.66700000000000004</v>
      </c>
      <c r="F323" s="47">
        <f t="shared" si="11"/>
        <v>3.6474662777980318E-4</v>
      </c>
      <c r="G323" s="43">
        <v>0</v>
      </c>
    </row>
    <row r="324" spans="1:7" x14ac:dyDescent="0.25">
      <c r="A324" s="43" t="s">
        <v>3115</v>
      </c>
      <c r="B324" s="43">
        <v>3</v>
      </c>
      <c r="C324" s="47">
        <f t="shared" si="10"/>
        <v>5.4684651841049945E-4</v>
      </c>
      <c r="D324" s="43">
        <v>2</v>
      </c>
      <c r="E324" s="47">
        <v>0.66700000000000004</v>
      </c>
      <c r="F324" s="47">
        <f t="shared" si="11"/>
        <v>3.6474662777980318E-4</v>
      </c>
      <c r="G324" s="43">
        <v>0</v>
      </c>
    </row>
    <row r="325" spans="1:7" x14ac:dyDescent="0.25">
      <c r="A325" s="43" t="s">
        <v>3116</v>
      </c>
      <c r="B325" s="43">
        <v>3</v>
      </c>
      <c r="C325" s="47">
        <f t="shared" si="10"/>
        <v>5.4684651841049945E-4</v>
      </c>
      <c r="D325" s="43">
        <v>2</v>
      </c>
      <c r="E325" s="47">
        <v>0.66700000000000004</v>
      </c>
      <c r="F325" s="47">
        <f t="shared" si="11"/>
        <v>3.6474662777980318E-4</v>
      </c>
      <c r="G325" s="43">
        <v>1</v>
      </c>
    </row>
    <row r="326" spans="1:7" x14ac:dyDescent="0.25">
      <c r="A326" s="43" t="s">
        <v>3117</v>
      </c>
      <c r="B326" s="43">
        <v>3</v>
      </c>
      <c r="C326" s="47">
        <f t="shared" si="10"/>
        <v>5.4684651841049945E-4</v>
      </c>
      <c r="D326" s="43">
        <v>2</v>
      </c>
      <c r="E326" s="47">
        <v>0.66700000000000004</v>
      </c>
      <c r="F326" s="47">
        <f t="shared" si="11"/>
        <v>3.6474662777980318E-4</v>
      </c>
      <c r="G326" s="43">
        <v>1</v>
      </c>
    </row>
    <row r="327" spans="1:7" x14ac:dyDescent="0.25">
      <c r="A327" s="43" t="s">
        <v>3057</v>
      </c>
      <c r="B327" s="43">
        <v>5</v>
      </c>
      <c r="C327" s="47">
        <f t="shared" si="10"/>
        <v>9.1141086401749912E-4</v>
      </c>
      <c r="D327" s="43">
        <v>2</v>
      </c>
      <c r="E327" s="47">
        <v>0.4</v>
      </c>
      <c r="F327" s="47">
        <f t="shared" si="11"/>
        <v>3.6456434560699967E-4</v>
      </c>
      <c r="G327" s="43">
        <v>1</v>
      </c>
    </row>
    <row r="328" spans="1:7" x14ac:dyDescent="0.25">
      <c r="A328" s="43" t="s">
        <v>461</v>
      </c>
      <c r="B328" s="43">
        <v>5</v>
      </c>
      <c r="C328" s="47">
        <f t="shared" si="10"/>
        <v>9.1141086401749912E-4</v>
      </c>
      <c r="D328" s="43">
        <v>2</v>
      </c>
      <c r="E328" s="47">
        <v>0.4</v>
      </c>
      <c r="F328" s="47">
        <f t="shared" si="11"/>
        <v>3.6456434560699967E-4</v>
      </c>
      <c r="G328" s="43">
        <v>1</v>
      </c>
    </row>
    <row r="329" spans="1:7" x14ac:dyDescent="0.25">
      <c r="A329" s="43" t="s">
        <v>1888</v>
      </c>
      <c r="B329" s="43">
        <v>5</v>
      </c>
      <c r="C329" s="47">
        <f t="shared" si="10"/>
        <v>9.1141086401749912E-4</v>
      </c>
      <c r="D329" s="43">
        <v>2</v>
      </c>
      <c r="E329" s="47">
        <v>0.4</v>
      </c>
      <c r="F329" s="47">
        <f t="shared" si="11"/>
        <v>3.6456434560699967E-4</v>
      </c>
      <c r="G329" s="43">
        <v>1</v>
      </c>
    </row>
    <row r="330" spans="1:7" x14ac:dyDescent="0.25">
      <c r="A330" s="43" t="s">
        <v>1894</v>
      </c>
      <c r="B330" s="43">
        <v>5</v>
      </c>
      <c r="C330" s="47">
        <f t="shared" si="10"/>
        <v>9.1141086401749912E-4</v>
      </c>
      <c r="D330" s="43">
        <v>2</v>
      </c>
      <c r="E330" s="47">
        <v>0.4</v>
      </c>
      <c r="F330" s="47">
        <f t="shared" si="11"/>
        <v>3.6456434560699967E-4</v>
      </c>
      <c r="G330" s="43">
        <v>1</v>
      </c>
    </row>
    <row r="331" spans="1:7" x14ac:dyDescent="0.25">
      <c r="A331" s="43" t="s">
        <v>3058</v>
      </c>
      <c r="B331" s="43">
        <v>5</v>
      </c>
      <c r="C331" s="47">
        <f t="shared" si="10"/>
        <v>9.1141086401749912E-4</v>
      </c>
      <c r="D331" s="43">
        <v>2</v>
      </c>
      <c r="E331" s="47">
        <v>0.4</v>
      </c>
      <c r="F331" s="47">
        <f t="shared" si="11"/>
        <v>3.6456434560699967E-4</v>
      </c>
      <c r="G331" s="43">
        <v>1</v>
      </c>
    </row>
    <row r="332" spans="1:7" x14ac:dyDescent="0.25">
      <c r="A332" s="43" t="s">
        <v>1881</v>
      </c>
      <c r="B332" s="43">
        <v>5</v>
      </c>
      <c r="C332" s="47">
        <f t="shared" si="10"/>
        <v>9.1141086401749912E-4</v>
      </c>
      <c r="D332" s="43">
        <v>2</v>
      </c>
      <c r="E332" s="47">
        <v>0.4</v>
      </c>
      <c r="F332" s="47">
        <f t="shared" si="11"/>
        <v>3.6456434560699967E-4</v>
      </c>
      <c r="G332" s="43">
        <v>1</v>
      </c>
    </row>
    <row r="333" spans="1:7" x14ac:dyDescent="0.25">
      <c r="A333" s="43" t="s">
        <v>1882</v>
      </c>
      <c r="B333" s="43">
        <v>5</v>
      </c>
      <c r="C333" s="47">
        <f t="shared" si="10"/>
        <v>9.1141086401749912E-4</v>
      </c>
      <c r="D333" s="43">
        <v>2</v>
      </c>
      <c r="E333" s="47">
        <v>0.4</v>
      </c>
      <c r="F333" s="47">
        <f t="shared" si="11"/>
        <v>3.6456434560699967E-4</v>
      </c>
      <c r="G333" s="43">
        <v>1</v>
      </c>
    </row>
    <row r="334" spans="1:7" x14ac:dyDescent="0.25">
      <c r="A334" s="43" t="s">
        <v>459</v>
      </c>
      <c r="B334" s="43">
        <v>5</v>
      </c>
      <c r="C334" s="47">
        <f t="shared" si="10"/>
        <v>9.1141086401749912E-4</v>
      </c>
      <c r="D334" s="43">
        <v>2</v>
      </c>
      <c r="E334" s="47">
        <v>0.4</v>
      </c>
      <c r="F334" s="47">
        <f t="shared" si="11"/>
        <v>3.6456434560699967E-4</v>
      </c>
      <c r="G334" s="43">
        <v>1</v>
      </c>
    </row>
    <row r="335" spans="1:7" x14ac:dyDescent="0.25">
      <c r="A335" s="43" t="s">
        <v>3059</v>
      </c>
      <c r="B335" s="43">
        <v>5</v>
      </c>
      <c r="C335" s="47">
        <f t="shared" si="10"/>
        <v>9.1141086401749912E-4</v>
      </c>
      <c r="D335" s="43">
        <v>2</v>
      </c>
      <c r="E335" s="47">
        <v>0.4</v>
      </c>
      <c r="F335" s="47">
        <f t="shared" si="11"/>
        <v>3.6456434560699967E-4</v>
      </c>
      <c r="G335" s="43">
        <v>1</v>
      </c>
    </row>
    <row r="336" spans="1:7" x14ac:dyDescent="0.25">
      <c r="A336" s="43" t="s">
        <v>3060</v>
      </c>
      <c r="B336" s="43">
        <v>5</v>
      </c>
      <c r="C336" s="47">
        <f t="shared" si="10"/>
        <v>9.1141086401749912E-4</v>
      </c>
      <c r="D336" s="43">
        <v>2</v>
      </c>
      <c r="E336" s="47">
        <v>0.4</v>
      </c>
      <c r="F336" s="47">
        <f t="shared" si="11"/>
        <v>3.6456434560699967E-4</v>
      </c>
      <c r="G336" s="43">
        <v>1</v>
      </c>
    </row>
    <row r="337" spans="1:7" x14ac:dyDescent="0.25">
      <c r="A337" s="43" t="s">
        <v>1908</v>
      </c>
      <c r="B337" s="43">
        <v>5</v>
      </c>
      <c r="C337" s="47">
        <f t="shared" si="10"/>
        <v>9.1141086401749912E-4</v>
      </c>
      <c r="D337" s="43">
        <v>2</v>
      </c>
      <c r="E337" s="47">
        <v>0.4</v>
      </c>
      <c r="F337" s="47">
        <f t="shared" si="11"/>
        <v>3.6456434560699967E-4</v>
      </c>
      <c r="G337" s="43">
        <v>1</v>
      </c>
    </row>
    <row r="338" spans="1:7" x14ac:dyDescent="0.25">
      <c r="A338" s="43" t="s">
        <v>1163</v>
      </c>
      <c r="B338" s="43">
        <v>10</v>
      </c>
      <c r="C338" s="47">
        <f t="shared" si="10"/>
        <v>1.8228217280349982E-3</v>
      </c>
      <c r="D338" s="43">
        <v>2</v>
      </c>
      <c r="E338" s="47">
        <v>0.2</v>
      </c>
      <c r="F338" s="47">
        <f t="shared" si="11"/>
        <v>3.6456434560699967E-4</v>
      </c>
      <c r="G338" s="43">
        <v>1</v>
      </c>
    </row>
    <row r="339" spans="1:7" x14ac:dyDescent="0.25">
      <c r="A339" s="43" t="s">
        <v>3130</v>
      </c>
      <c r="B339" s="43">
        <v>2</v>
      </c>
      <c r="C339" s="47">
        <f t="shared" si="10"/>
        <v>3.6456434560699962E-4</v>
      </c>
      <c r="D339" s="43">
        <v>2</v>
      </c>
      <c r="E339" s="47">
        <v>1</v>
      </c>
      <c r="F339" s="47">
        <f t="shared" si="11"/>
        <v>3.6456434560699962E-4</v>
      </c>
      <c r="G339" s="43">
        <v>1</v>
      </c>
    </row>
    <row r="340" spans="1:7" x14ac:dyDescent="0.25">
      <c r="A340" s="43" t="s">
        <v>3131</v>
      </c>
      <c r="B340" s="43">
        <v>2</v>
      </c>
      <c r="C340" s="47">
        <f t="shared" si="10"/>
        <v>3.6456434560699962E-4</v>
      </c>
      <c r="D340" s="43">
        <v>2</v>
      </c>
      <c r="E340" s="47">
        <v>1</v>
      </c>
      <c r="F340" s="47">
        <f t="shared" si="11"/>
        <v>3.6456434560699962E-4</v>
      </c>
      <c r="G340" s="43">
        <v>1</v>
      </c>
    </row>
    <row r="341" spans="1:7" x14ac:dyDescent="0.25">
      <c r="A341" s="43" t="s">
        <v>1409</v>
      </c>
      <c r="B341" s="43">
        <v>2</v>
      </c>
      <c r="C341" s="47">
        <f t="shared" si="10"/>
        <v>3.6456434560699962E-4</v>
      </c>
      <c r="D341" s="43">
        <v>2</v>
      </c>
      <c r="E341" s="47">
        <v>1</v>
      </c>
      <c r="F341" s="47">
        <f t="shared" si="11"/>
        <v>3.6456434560699962E-4</v>
      </c>
      <c r="G341" s="43"/>
    </row>
    <row r="342" spans="1:7" x14ac:dyDescent="0.25">
      <c r="A342" s="43" t="s">
        <v>1079</v>
      </c>
      <c r="B342" s="43">
        <v>2</v>
      </c>
      <c r="C342" s="47">
        <f t="shared" si="10"/>
        <v>3.6456434560699962E-4</v>
      </c>
      <c r="D342" s="43">
        <v>2</v>
      </c>
      <c r="E342" s="47">
        <v>1</v>
      </c>
      <c r="F342" s="47">
        <f t="shared" si="11"/>
        <v>3.6456434560699962E-4</v>
      </c>
      <c r="G342" s="43">
        <v>1</v>
      </c>
    </row>
    <row r="343" spans="1:7" x14ac:dyDescent="0.25">
      <c r="A343" s="43" t="s">
        <v>3132</v>
      </c>
      <c r="B343" s="43">
        <v>2</v>
      </c>
      <c r="C343" s="47">
        <f t="shared" si="10"/>
        <v>3.6456434560699962E-4</v>
      </c>
      <c r="D343" s="43">
        <v>2</v>
      </c>
      <c r="E343" s="47">
        <v>1</v>
      </c>
      <c r="F343" s="47">
        <f t="shared" si="11"/>
        <v>3.6456434560699962E-4</v>
      </c>
      <c r="G343" s="43">
        <v>1</v>
      </c>
    </row>
    <row r="344" spans="1:7" x14ac:dyDescent="0.25">
      <c r="A344" s="43" t="s">
        <v>3133</v>
      </c>
      <c r="B344" s="43">
        <v>2</v>
      </c>
      <c r="C344" s="47">
        <f t="shared" si="10"/>
        <v>3.6456434560699962E-4</v>
      </c>
      <c r="D344" s="43">
        <v>2</v>
      </c>
      <c r="E344" s="47">
        <v>1</v>
      </c>
      <c r="F344" s="47">
        <f t="shared" si="11"/>
        <v>3.6456434560699962E-4</v>
      </c>
      <c r="G344" s="43">
        <v>1</v>
      </c>
    </row>
    <row r="345" spans="1:7" x14ac:dyDescent="0.25">
      <c r="A345" s="43" t="s">
        <v>1682</v>
      </c>
      <c r="B345" s="43">
        <v>2</v>
      </c>
      <c r="C345" s="47">
        <f t="shared" si="10"/>
        <v>3.6456434560699962E-4</v>
      </c>
      <c r="D345" s="43">
        <v>2</v>
      </c>
      <c r="E345" s="47">
        <v>1</v>
      </c>
      <c r="F345" s="47">
        <f t="shared" si="11"/>
        <v>3.6456434560699962E-4</v>
      </c>
      <c r="G345" s="43">
        <v>1</v>
      </c>
    </row>
    <row r="346" spans="1:7" x14ac:dyDescent="0.25">
      <c r="A346" s="43" t="s">
        <v>3134</v>
      </c>
      <c r="B346" s="43">
        <v>2</v>
      </c>
      <c r="C346" s="47">
        <f t="shared" si="10"/>
        <v>3.6456434560699962E-4</v>
      </c>
      <c r="D346" s="43">
        <v>2</v>
      </c>
      <c r="E346" s="47">
        <v>1</v>
      </c>
      <c r="F346" s="47">
        <f t="shared" si="11"/>
        <v>3.6456434560699962E-4</v>
      </c>
      <c r="G346" s="43">
        <v>1</v>
      </c>
    </row>
    <row r="347" spans="1:7" x14ac:dyDescent="0.25">
      <c r="A347" s="43" t="s">
        <v>3135</v>
      </c>
      <c r="B347" s="43">
        <v>2</v>
      </c>
      <c r="C347" s="47">
        <f t="shared" si="10"/>
        <v>3.6456434560699962E-4</v>
      </c>
      <c r="D347" s="43">
        <v>2</v>
      </c>
      <c r="E347" s="47">
        <v>1</v>
      </c>
      <c r="F347" s="47">
        <f t="shared" si="11"/>
        <v>3.6456434560699962E-4</v>
      </c>
      <c r="G347" s="43">
        <v>0</v>
      </c>
    </row>
    <row r="348" spans="1:7" x14ac:dyDescent="0.25">
      <c r="A348" s="43" t="s">
        <v>1684</v>
      </c>
      <c r="B348" s="43">
        <v>2</v>
      </c>
      <c r="C348" s="47">
        <f t="shared" si="10"/>
        <v>3.6456434560699962E-4</v>
      </c>
      <c r="D348" s="43">
        <v>2</v>
      </c>
      <c r="E348" s="47">
        <v>1</v>
      </c>
      <c r="F348" s="47">
        <f t="shared" si="11"/>
        <v>3.6456434560699962E-4</v>
      </c>
      <c r="G348" s="43">
        <v>1</v>
      </c>
    </row>
    <row r="349" spans="1:7" x14ac:dyDescent="0.25">
      <c r="A349" s="43" t="s">
        <v>1667</v>
      </c>
      <c r="B349" s="43">
        <v>2</v>
      </c>
      <c r="C349" s="47">
        <f t="shared" si="10"/>
        <v>3.6456434560699962E-4</v>
      </c>
      <c r="D349" s="43">
        <v>2</v>
      </c>
      <c r="E349" s="47">
        <v>1</v>
      </c>
      <c r="F349" s="47">
        <f t="shared" si="11"/>
        <v>3.6456434560699962E-4</v>
      </c>
      <c r="G349" s="43">
        <v>1</v>
      </c>
    </row>
    <row r="350" spans="1:7" x14ac:dyDescent="0.25">
      <c r="A350" s="43" t="s">
        <v>897</v>
      </c>
      <c r="B350" s="43">
        <v>2</v>
      </c>
      <c r="C350" s="47">
        <f t="shared" si="10"/>
        <v>3.6456434560699962E-4</v>
      </c>
      <c r="D350" s="43">
        <v>2</v>
      </c>
      <c r="E350" s="47">
        <v>1</v>
      </c>
      <c r="F350" s="47">
        <f t="shared" si="11"/>
        <v>3.6456434560699962E-4</v>
      </c>
      <c r="G350" s="43">
        <v>1</v>
      </c>
    </row>
    <row r="351" spans="1:7" x14ac:dyDescent="0.25">
      <c r="A351" s="43" t="s">
        <v>3136</v>
      </c>
      <c r="B351" s="43">
        <v>2</v>
      </c>
      <c r="C351" s="47">
        <f t="shared" si="10"/>
        <v>3.6456434560699962E-4</v>
      </c>
      <c r="D351" s="43">
        <v>2</v>
      </c>
      <c r="E351" s="47">
        <v>1</v>
      </c>
      <c r="F351" s="47">
        <f t="shared" si="11"/>
        <v>3.6456434560699962E-4</v>
      </c>
      <c r="G351" s="43">
        <v>0</v>
      </c>
    </row>
    <row r="352" spans="1:7" x14ac:dyDescent="0.25">
      <c r="A352" s="43" t="s">
        <v>3137</v>
      </c>
      <c r="B352" s="43">
        <v>2</v>
      </c>
      <c r="C352" s="47">
        <f t="shared" si="10"/>
        <v>3.6456434560699962E-4</v>
      </c>
      <c r="D352" s="43">
        <v>2</v>
      </c>
      <c r="E352" s="47">
        <v>1</v>
      </c>
      <c r="F352" s="47">
        <f t="shared" si="11"/>
        <v>3.6456434560699962E-4</v>
      </c>
      <c r="G352" s="43">
        <v>0</v>
      </c>
    </row>
    <row r="353" spans="1:7" x14ac:dyDescent="0.25">
      <c r="A353" s="43" t="s">
        <v>967</v>
      </c>
      <c r="B353" s="43">
        <v>2</v>
      </c>
      <c r="C353" s="47">
        <f t="shared" si="10"/>
        <v>3.6456434560699962E-4</v>
      </c>
      <c r="D353" s="43">
        <v>2</v>
      </c>
      <c r="E353" s="47">
        <v>1</v>
      </c>
      <c r="F353" s="47">
        <f t="shared" si="11"/>
        <v>3.6456434560699962E-4</v>
      </c>
      <c r="G353" s="43">
        <v>1</v>
      </c>
    </row>
    <row r="354" spans="1:7" x14ac:dyDescent="0.25">
      <c r="A354" s="43" t="s">
        <v>961</v>
      </c>
      <c r="B354" s="43">
        <v>2</v>
      </c>
      <c r="C354" s="47">
        <f t="shared" si="10"/>
        <v>3.6456434560699962E-4</v>
      </c>
      <c r="D354" s="43">
        <v>2</v>
      </c>
      <c r="E354" s="47">
        <v>1</v>
      </c>
      <c r="F354" s="47">
        <f t="shared" si="11"/>
        <v>3.6456434560699962E-4</v>
      </c>
      <c r="G354" s="43">
        <v>1</v>
      </c>
    </row>
    <row r="355" spans="1:7" x14ac:dyDescent="0.25">
      <c r="A355" s="43" t="s">
        <v>963</v>
      </c>
      <c r="B355" s="43">
        <v>2</v>
      </c>
      <c r="C355" s="47">
        <f t="shared" si="10"/>
        <v>3.6456434560699962E-4</v>
      </c>
      <c r="D355" s="43">
        <v>2</v>
      </c>
      <c r="E355" s="47">
        <v>1</v>
      </c>
      <c r="F355" s="47">
        <f t="shared" si="11"/>
        <v>3.6456434560699962E-4</v>
      </c>
      <c r="G355" s="43">
        <v>1</v>
      </c>
    </row>
    <row r="356" spans="1:7" x14ac:dyDescent="0.25">
      <c r="A356" s="43" t="s">
        <v>3138</v>
      </c>
      <c r="B356" s="43">
        <v>2</v>
      </c>
      <c r="C356" s="47">
        <f t="shared" si="10"/>
        <v>3.6456434560699962E-4</v>
      </c>
      <c r="D356" s="43">
        <v>2</v>
      </c>
      <c r="E356" s="47">
        <v>1</v>
      </c>
      <c r="F356" s="47">
        <f t="shared" si="11"/>
        <v>3.6456434560699962E-4</v>
      </c>
      <c r="G356" s="43">
        <v>1</v>
      </c>
    </row>
    <row r="357" spans="1:7" x14ac:dyDescent="0.25">
      <c r="A357" s="43" t="s">
        <v>908</v>
      </c>
      <c r="B357" s="43">
        <v>2</v>
      </c>
      <c r="C357" s="47">
        <f t="shared" si="10"/>
        <v>3.6456434560699962E-4</v>
      </c>
      <c r="D357" s="43">
        <v>2</v>
      </c>
      <c r="E357" s="47">
        <v>1</v>
      </c>
      <c r="F357" s="47">
        <f t="shared" si="11"/>
        <v>3.6456434560699962E-4</v>
      </c>
      <c r="G357" s="43">
        <v>1</v>
      </c>
    </row>
    <row r="358" spans="1:7" x14ac:dyDescent="0.25">
      <c r="A358" s="43" t="s">
        <v>3139</v>
      </c>
      <c r="B358" s="43">
        <v>2</v>
      </c>
      <c r="C358" s="47">
        <f t="shared" si="10"/>
        <v>3.6456434560699962E-4</v>
      </c>
      <c r="D358" s="43">
        <v>2</v>
      </c>
      <c r="E358" s="47">
        <v>1</v>
      </c>
      <c r="F358" s="47">
        <f t="shared" si="11"/>
        <v>3.6456434560699962E-4</v>
      </c>
      <c r="G358" s="43">
        <v>1</v>
      </c>
    </row>
    <row r="359" spans="1:7" x14ac:dyDescent="0.25">
      <c r="A359" s="43" t="s">
        <v>3140</v>
      </c>
      <c r="B359" s="43">
        <v>2</v>
      </c>
      <c r="C359" s="47">
        <f t="shared" si="10"/>
        <v>3.6456434560699962E-4</v>
      </c>
      <c r="D359" s="43">
        <v>2</v>
      </c>
      <c r="E359" s="47">
        <v>1</v>
      </c>
      <c r="F359" s="47">
        <f t="shared" si="11"/>
        <v>3.6456434560699962E-4</v>
      </c>
      <c r="G359" s="43">
        <v>1</v>
      </c>
    </row>
    <row r="360" spans="1:7" x14ac:dyDescent="0.25">
      <c r="A360" s="43" t="s">
        <v>3141</v>
      </c>
      <c r="B360" s="43">
        <v>2</v>
      </c>
      <c r="C360" s="47">
        <f t="shared" si="10"/>
        <v>3.6456434560699962E-4</v>
      </c>
      <c r="D360" s="43">
        <v>2</v>
      </c>
      <c r="E360" s="47">
        <v>1</v>
      </c>
      <c r="F360" s="47">
        <f t="shared" si="11"/>
        <v>3.6456434560699962E-4</v>
      </c>
      <c r="G360" s="43">
        <v>1</v>
      </c>
    </row>
    <row r="361" spans="1:7" x14ac:dyDescent="0.25">
      <c r="A361" s="43" t="s">
        <v>3142</v>
      </c>
      <c r="B361" s="43">
        <v>2</v>
      </c>
      <c r="C361" s="47">
        <f t="shared" si="10"/>
        <v>3.6456434560699962E-4</v>
      </c>
      <c r="D361" s="43">
        <v>2</v>
      </c>
      <c r="E361" s="47">
        <v>1</v>
      </c>
      <c r="F361" s="47">
        <f t="shared" si="11"/>
        <v>3.6456434560699962E-4</v>
      </c>
      <c r="G361" s="43">
        <v>0</v>
      </c>
    </row>
    <row r="362" spans="1:7" x14ac:dyDescent="0.25">
      <c r="A362" s="43" t="s">
        <v>3143</v>
      </c>
      <c r="B362" s="43">
        <v>2</v>
      </c>
      <c r="C362" s="47">
        <f t="shared" si="10"/>
        <v>3.6456434560699962E-4</v>
      </c>
      <c r="D362" s="43">
        <v>2</v>
      </c>
      <c r="E362" s="47">
        <v>1</v>
      </c>
      <c r="F362" s="47">
        <f t="shared" si="11"/>
        <v>3.6456434560699962E-4</v>
      </c>
      <c r="G362" s="43">
        <v>0</v>
      </c>
    </row>
    <row r="363" spans="1:7" x14ac:dyDescent="0.25">
      <c r="A363" s="43" t="s">
        <v>3144</v>
      </c>
      <c r="B363" s="43">
        <v>2</v>
      </c>
      <c r="C363" s="47">
        <f t="shared" si="10"/>
        <v>3.6456434560699962E-4</v>
      </c>
      <c r="D363" s="43">
        <v>2</v>
      </c>
      <c r="E363" s="47">
        <v>1</v>
      </c>
      <c r="F363" s="47">
        <f t="shared" si="11"/>
        <v>3.6456434560699962E-4</v>
      </c>
      <c r="G363" s="43">
        <v>0</v>
      </c>
    </row>
    <row r="364" spans="1:7" x14ac:dyDescent="0.25">
      <c r="A364" s="43" t="s">
        <v>3145</v>
      </c>
      <c r="B364" s="43">
        <v>2</v>
      </c>
      <c r="C364" s="47">
        <f t="shared" si="10"/>
        <v>3.6456434560699962E-4</v>
      </c>
      <c r="D364" s="43">
        <v>2</v>
      </c>
      <c r="E364" s="47">
        <v>1</v>
      </c>
      <c r="F364" s="47">
        <f t="shared" si="11"/>
        <v>3.6456434560699962E-4</v>
      </c>
      <c r="G364" s="43">
        <v>0</v>
      </c>
    </row>
    <row r="365" spans="1:7" x14ac:dyDescent="0.25">
      <c r="A365" s="43" t="s">
        <v>3146</v>
      </c>
      <c r="B365" s="43">
        <v>2</v>
      </c>
      <c r="C365" s="47">
        <f t="shared" si="10"/>
        <v>3.6456434560699962E-4</v>
      </c>
      <c r="D365" s="43">
        <v>2</v>
      </c>
      <c r="E365" s="47">
        <v>1</v>
      </c>
      <c r="F365" s="47">
        <f t="shared" si="11"/>
        <v>3.6456434560699962E-4</v>
      </c>
      <c r="G365" s="43">
        <v>1</v>
      </c>
    </row>
    <row r="366" spans="1:7" x14ac:dyDescent="0.25">
      <c r="A366" s="43" t="s">
        <v>3147</v>
      </c>
      <c r="B366" s="43">
        <v>2</v>
      </c>
      <c r="C366" s="47">
        <f t="shared" si="10"/>
        <v>3.6456434560699962E-4</v>
      </c>
      <c r="D366" s="43">
        <v>2</v>
      </c>
      <c r="E366" s="47">
        <v>1</v>
      </c>
      <c r="F366" s="47">
        <f t="shared" si="11"/>
        <v>3.6456434560699962E-4</v>
      </c>
      <c r="G366" s="43">
        <v>0</v>
      </c>
    </row>
    <row r="367" spans="1:7" x14ac:dyDescent="0.25">
      <c r="A367" s="43" t="s">
        <v>3148</v>
      </c>
      <c r="B367" s="43">
        <v>2</v>
      </c>
      <c r="C367" s="47">
        <f t="shared" si="10"/>
        <v>3.6456434560699962E-4</v>
      </c>
      <c r="D367" s="43">
        <v>2</v>
      </c>
      <c r="E367" s="47">
        <v>1</v>
      </c>
      <c r="F367" s="47">
        <f t="shared" si="11"/>
        <v>3.6456434560699962E-4</v>
      </c>
      <c r="G367" s="43">
        <v>0</v>
      </c>
    </row>
    <row r="368" spans="1:7" x14ac:dyDescent="0.25">
      <c r="A368" s="43" t="s">
        <v>3149</v>
      </c>
      <c r="B368" s="43">
        <v>2</v>
      </c>
      <c r="C368" s="47">
        <f t="shared" si="10"/>
        <v>3.6456434560699962E-4</v>
      </c>
      <c r="D368" s="43">
        <v>2</v>
      </c>
      <c r="E368" s="47">
        <v>1</v>
      </c>
      <c r="F368" s="47">
        <f t="shared" si="11"/>
        <v>3.6456434560699962E-4</v>
      </c>
      <c r="G368" s="43">
        <v>0</v>
      </c>
    </row>
    <row r="369" spans="1:7" x14ac:dyDescent="0.25">
      <c r="A369" s="43" t="s">
        <v>3150</v>
      </c>
      <c r="B369" s="43">
        <v>2</v>
      </c>
      <c r="C369" s="47">
        <f t="shared" si="10"/>
        <v>3.6456434560699962E-4</v>
      </c>
      <c r="D369" s="43">
        <v>2</v>
      </c>
      <c r="E369" s="47">
        <v>1</v>
      </c>
      <c r="F369" s="47">
        <f t="shared" si="11"/>
        <v>3.6456434560699962E-4</v>
      </c>
      <c r="G369" s="43">
        <v>0</v>
      </c>
    </row>
    <row r="370" spans="1:7" x14ac:dyDescent="0.25">
      <c r="A370" s="43" t="s">
        <v>3151</v>
      </c>
      <c r="B370" s="43">
        <v>2</v>
      </c>
      <c r="C370" s="47">
        <f t="shared" si="10"/>
        <v>3.6456434560699962E-4</v>
      </c>
      <c r="D370" s="43">
        <v>2</v>
      </c>
      <c r="E370" s="47">
        <v>1</v>
      </c>
      <c r="F370" s="47">
        <f t="shared" si="11"/>
        <v>3.6456434560699962E-4</v>
      </c>
      <c r="G370" s="43">
        <v>0</v>
      </c>
    </row>
    <row r="371" spans="1:7" x14ac:dyDescent="0.25">
      <c r="A371" s="43" t="s">
        <v>3152</v>
      </c>
      <c r="B371" s="43">
        <v>2</v>
      </c>
      <c r="C371" s="47">
        <f t="shared" si="10"/>
        <v>3.6456434560699962E-4</v>
      </c>
      <c r="D371" s="43">
        <v>2</v>
      </c>
      <c r="E371" s="47">
        <v>1</v>
      </c>
      <c r="F371" s="47">
        <f t="shared" si="11"/>
        <v>3.6456434560699962E-4</v>
      </c>
      <c r="G371" s="43">
        <v>0</v>
      </c>
    </row>
    <row r="372" spans="1:7" x14ac:dyDescent="0.25">
      <c r="A372" s="43" t="s">
        <v>1081</v>
      </c>
      <c r="B372" s="43">
        <v>2</v>
      </c>
      <c r="C372" s="47">
        <f t="shared" si="10"/>
        <v>3.6456434560699962E-4</v>
      </c>
      <c r="D372" s="43">
        <v>2</v>
      </c>
      <c r="E372" s="47">
        <v>1</v>
      </c>
      <c r="F372" s="47">
        <f t="shared" si="11"/>
        <v>3.6456434560699962E-4</v>
      </c>
      <c r="G372" s="43">
        <v>0</v>
      </c>
    </row>
    <row r="373" spans="1:7" x14ac:dyDescent="0.25">
      <c r="A373" s="43" t="s">
        <v>3153</v>
      </c>
      <c r="B373" s="43">
        <v>2</v>
      </c>
      <c r="C373" s="47">
        <f t="shared" si="10"/>
        <v>3.6456434560699962E-4</v>
      </c>
      <c r="D373" s="43">
        <v>2</v>
      </c>
      <c r="E373" s="47">
        <v>1</v>
      </c>
      <c r="F373" s="47">
        <f t="shared" si="11"/>
        <v>3.6456434560699962E-4</v>
      </c>
      <c r="G373" s="43">
        <v>0</v>
      </c>
    </row>
    <row r="374" spans="1:7" x14ac:dyDescent="0.25">
      <c r="A374" s="43" t="s">
        <v>1365</v>
      </c>
      <c r="B374" s="43">
        <v>2</v>
      </c>
      <c r="C374" s="47">
        <f t="shared" si="10"/>
        <v>3.6456434560699962E-4</v>
      </c>
      <c r="D374" s="43">
        <v>2</v>
      </c>
      <c r="E374" s="47">
        <v>1</v>
      </c>
      <c r="F374" s="47">
        <f t="shared" si="11"/>
        <v>3.6456434560699962E-4</v>
      </c>
      <c r="G374" s="43">
        <v>0</v>
      </c>
    </row>
    <row r="375" spans="1:7" x14ac:dyDescent="0.25">
      <c r="A375" s="43" t="s">
        <v>1406</v>
      </c>
      <c r="B375" s="43">
        <v>2</v>
      </c>
      <c r="C375" s="47">
        <f t="shared" si="10"/>
        <v>3.6456434560699962E-4</v>
      </c>
      <c r="D375" s="43">
        <v>2</v>
      </c>
      <c r="E375" s="47">
        <v>1</v>
      </c>
      <c r="F375" s="47">
        <f t="shared" si="11"/>
        <v>3.6456434560699962E-4</v>
      </c>
      <c r="G375" s="43"/>
    </row>
    <row r="376" spans="1:7" x14ac:dyDescent="0.25">
      <c r="A376" s="43" t="s">
        <v>3080</v>
      </c>
      <c r="B376" s="43">
        <v>4</v>
      </c>
      <c r="C376" s="47">
        <f t="shared" si="10"/>
        <v>7.2912869121399923E-4</v>
      </c>
      <c r="D376" s="43">
        <v>2</v>
      </c>
      <c r="E376" s="47">
        <v>0.5</v>
      </c>
      <c r="F376" s="47">
        <f t="shared" si="11"/>
        <v>3.6456434560699962E-4</v>
      </c>
      <c r="G376" s="43">
        <v>1</v>
      </c>
    </row>
    <row r="377" spans="1:7" x14ac:dyDescent="0.25">
      <c r="A377" s="43" t="s">
        <v>1133</v>
      </c>
      <c r="B377" s="43">
        <v>4</v>
      </c>
      <c r="C377" s="47">
        <f t="shared" si="10"/>
        <v>7.2912869121399923E-4</v>
      </c>
      <c r="D377" s="43">
        <v>2</v>
      </c>
      <c r="E377" s="47">
        <v>0.5</v>
      </c>
      <c r="F377" s="47">
        <f t="shared" si="11"/>
        <v>3.6456434560699962E-4</v>
      </c>
      <c r="G377" s="43">
        <v>1</v>
      </c>
    </row>
    <row r="378" spans="1:7" x14ac:dyDescent="0.25">
      <c r="A378" s="43" t="s">
        <v>449</v>
      </c>
      <c r="B378" s="43">
        <v>4</v>
      </c>
      <c r="C378" s="47">
        <f t="shared" si="10"/>
        <v>7.2912869121399923E-4</v>
      </c>
      <c r="D378" s="43">
        <v>2</v>
      </c>
      <c r="E378" s="47">
        <v>0.5</v>
      </c>
      <c r="F378" s="47">
        <f t="shared" si="11"/>
        <v>3.6456434560699962E-4</v>
      </c>
      <c r="G378" s="43">
        <v>1</v>
      </c>
    </row>
    <row r="379" spans="1:7" x14ac:dyDescent="0.25">
      <c r="A379" s="43" t="s">
        <v>3081</v>
      </c>
      <c r="B379" s="43">
        <v>4</v>
      </c>
      <c r="C379" s="47">
        <f t="shared" si="10"/>
        <v>7.2912869121399923E-4</v>
      </c>
      <c r="D379" s="43">
        <v>2</v>
      </c>
      <c r="E379" s="47">
        <v>0.5</v>
      </c>
      <c r="F379" s="47">
        <f t="shared" si="11"/>
        <v>3.6456434560699962E-4</v>
      </c>
      <c r="G379" s="43">
        <v>1</v>
      </c>
    </row>
    <row r="380" spans="1:7" x14ac:dyDescent="0.25">
      <c r="A380" s="43" t="s">
        <v>3082</v>
      </c>
      <c r="B380" s="43">
        <v>4</v>
      </c>
      <c r="C380" s="47">
        <f t="shared" si="10"/>
        <v>7.2912869121399923E-4</v>
      </c>
      <c r="D380" s="43">
        <v>2</v>
      </c>
      <c r="E380" s="47">
        <v>0.5</v>
      </c>
      <c r="F380" s="47">
        <f t="shared" si="11"/>
        <v>3.6456434560699962E-4</v>
      </c>
      <c r="G380" s="43">
        <v>1</v>
      </c>
    </row>
    <row r="381" spans="1:7" x14ac:dyDescent="0.25">
      <c r="A381" s="43" t="s">
        <v>1942</v>
      </c>
      <c r="B381" s="43">
        <v>4</v>
      </c>
      <c r="C381" s="47">
        <f t="shared" si="10"/>
        <v>7.2912869121399923E-4</v>
      </c>
      <c r="D381" s="43">
        <v>2</v>
      </c>
      <c r="E381" s="47">
        <v>0.5</v>
      </c>
      <c r="F381" s="47">
        <f t="shared" si="11"/>
        <v>3.6456434560699962E-4</v>
      </c>
      <c r="G381" s="43">
        <v>1</v>
      </c>
    </row>
    <row r="382" spans="1:7" x14ac:dyDescent="0.25">
      <c r="A382" s="43" t="s">
        <v>3036</v>
      </c>
      <c r="B382" s="43">
        <v>6</v>
      </c>
      <c r="C382" s="47">
        <f t="shared" si="10"/>
        <v>1.0936930368209989E-3</v>
      </c>
      <c r="D382" s="43">
        <v>1</v>
      </c>
      <c r="E382" s="47">
        <v>0.16700000000000001</v>
      </c>
      <c r="F382" s="47">
        <f t="shared" si="11"/>
        <v>1.8264673714910682E-4</v>
      </c>
      <c r="G382" s="43">
        <v>1</v>
      </c>
    </row>
    <row r="383" spans="1:7" x14ac:dyDescent="0.25">
      <c r="A383" s="43" t="s">
        <v>482</v>
      </c>
      <c r="B383" s="43">
        <v>6</v>
      </c>
      <c r="C383" s="47">
        <f t="shared" si="10"/>
        <v>1.0936930368209989E-3</v>
      </c>
      <c r="D383" s="43">
        <v>1</v>
      </c>
      <c r="E383" s="47">
        <v>0.16700000000000001</v>
      </c>
      <c r="F383" s="47">
        <f t="shared" si="11"/>
        <v>1.8264673714910682E-4</v>
      </c>
      <c r="G383" s="43">
        <v>1</v>
      </c>
    </row>
    <row r="384" spans="1:7" x14ac:dyDescent="0.25">
      <c r="A384" s="43" t="s">
        <v>1145</v>
      </c>
      <c r="B384" s="43">
        <v>6</v>
      </c>
      <c r="C384" s="47">
        <f t="shared" si="10"/>
        <v>1.0936930368209989E-3</v>
      </c>
      <c r="D384" s="43">
        <v>1</v>
      </c>
      <c r="E384" s="47">
        <v>0.16700000000000001</v>
      </c>
      <c r="F384" s="47">
        <f t="shared" si="11"/>
        <v>1.8264673714910682E-4</v>
      </c>
      <c r="G384" s="43">
        <v>1</v>
      </c>
    </row>
    <row r="385" spans="1:7" x14ac:dyDescent="0.25">
      <c r="A385" s="43" t="s">
        <v>3027</v>
      </c>
      <c r="B385" s="43">
        <v>7</v>
      </c>
      <c r="C385" s="47">
        <f t="shared" si="10"/>
        <v>1.2759752096244987E-3</v>
      </c>
      <c r="D385" s="43">
        <v>1</v>
      </c>
      <c r="E385" s="47">
        <v>0.14299999999999999</v>
      </c>
      <c r="F385" s="47">
        <f t="shared" si="11"/>
        <v>1.8246445497630329E-4</v>
      </c>
      <c r="G385" s="43">
        <v>1</v>
      </c>
    </row>
    <row r="386" spans="1:7" x14ac:dyDescent="0.25">
      <c r="A386" s="43" t="s">
        <v>2981</v>
      </c>
      <c r="B386" s="43">
        <v>11</v>
      </c>
      <c r="C386" s="47">
        <f t="shared" ref="C386:C449" si="12">B386/$B$602</f>
        <v>2.0051039008384978E-3</v>
      </c>
      <c r="D386" s="43">
        <v>1</v>
      </c>
      <c r="E386" s="47">
        <v>9.0999999999999998E-2</v>
      </c>
      <c r="F386" s="47">
        <f t="shared" ref="F386:F449" si="13">E386*C386</f>
        <v>1.8246445497630329E-4</v>
      </c>
      <c r="G386" s="43">
        <v>0</v>
      </c>
    </row>
    <row r="387" spans="1:7" x14ac:dyDescent="0.25">
      <c r="A387" s="43" t="s">
        <v>3061</v>
      </c>
      <c r="B387" s="43">
        <v>5</v>
      </c>
      <c r="C387" s="47">
        <f t="shared" si="12"/>
        <v>9.1141086401749912E-4</v>
      </c>
      <c r="D387" s="43">
        <v>1</v>
      </c>
      <c r="E387" s="47">
        <v>0.2</v>
      </c>
      <c r="F387" s="47">
        <f t="shared" si="13"/>
        <v>1.8228217280349984E-4</v>
      </c>
      <c r="G387" s="43">
        <v>1</v>
      </c>
    </row>
    <row r="388" spans="1:7" x14ac:dyDescent="0.25">
      <c r="A388" s="43" t="s">
        <v>3062</v>
      </c>
      <c r="B388" s="43">
        <v>5</v>
      </c>
      <c r="C388" s="47">
        <f t="shared" si="12"/>
        <v>9.1141086401749912E-4</v>
      </c>
      <c r="D388" s="43">
        <v>1</v>
      </c>
      <c r="E388" s="47">
        <v>0.2</v>
      </c>
      <c r="F388" s="47">
        <f t="shared" si="13"/>
        <v>1.8228217280349984E-4</v>
      </c>
      <c r="G388" s="43">
        <v>1</v>
      </c>
    </row>
    <row r="389" spans="1:7" x14ac:dyDescent="0.25">
      <c r="A389" s="43" t="s">
        <v>3063</v>
      </c>
      <c r="B389" s="43">
        <v>5</v>
      </c>
      <c r="C389" s="47">
        <f t="shared" si="12"/>
        <v>9.1141086401749912E-4</v>
      </c>
      <c r="D389" s="43">
        <v>1</v>
      </c>
      <c r="E389" s="47">
        <v>0.2</v>
      </c>
      <c r="F389" s="47">
        <f t="shared" si="13"/>
        <v>1.8228217280349984E-4</v>
      </c>
      <c r="G389" s="43">
        <v>1</v>
      </c>
    </row>
    <row r="390" spans="1:7" x14ac:dyDescent="0.25">
      <c r="A390" s="43" t="s">
        <v>1216</v>
      </c>
      <c r="B390" s="43">
        <v>5</v>
      </c>
      <c r="C390" s="47">
        <f t="shared" si="12"/>
        <v>9.1141086401749912E-4</v>
      </c>
      <c r="D390" s="43">
        <v>1</v>
      </c>
      <c r="E390" s="47">
        <v>0.2</v>
      </c>
      <c r="F390" s="47">
        <f t="shared" si="13"/>
        <v>1.8228217280349984E-4</v>
      </c>
      <c r="G390" s="43">
        <v>1</v>
      </c>
    </row>
    <row r="391" spans="1:7" x14ac:dyDescent="0.25">
      <c r="A391" s="43" t="s">
        <v>1886</v>
      </c>
      <c r="B391" s="43">
        <v>5</v>
      </c>
      <c r="C391" s="47">
        <f t="shared" si="12"/>
        <v>9.1141086401749912E-4</v>
      </c>
      <c r="D391" s="43">
        <v>1</v>
      </c>
      <c r="E391" s="47">
        <v>0.2</v>
      </c>
      <c r="F391" s="47">
        <f t="shared" si="13"/>
        <v>1.8228217280349984E-4</v>
      </c>
      <c r="G391" s="43">
        <v>1</v>
      </c>
    </row>
    <row r="392" spans="1:7" x14ac:dyDescent="0.25">
      <c r="A392" s="43" t="s">
        <v>3064</v>
      </c>
      <c r="B392" s="43">
        <v>5</v>
      </c>
      <c r="C392" s="47">
        <f t="shared" si="12"/>
        <v>9.1141086401749912E-4</v>
      </c>
      <c r="D392" s="43">
        <v>1</v>
      </c>
      <c r="E392" s="47">
        <v>0.2</v>
      </c>
      <c r="F392" s="47">
        <f t="shared" si="13"/>
        <v>1.8228217280349984E-4</v>
      </c>
      <c r="G392" s="43">
        <v>1</v>
      </c>
    </row>
    <row r="393" spans="1:7" x14ac:dyDescent="0.25">
      <c r="A393" s="43" t="s">
        <v>3065</v>
      </c>
      <c r="B393" s="43">
        <v>5</v>
      </c>
      <c r="C393" s="47">
        <f t="shared" si="12"/>
        <v>9.1141086401749912E-4</v>
      </c>
      <c r="D393" s="43">
        <v>1</v>
      </c>
      <c r="E393" s="47">
        <v>0.2</v>
      </c>
      <c r="F393" s="47">
        <f t="shared" si="13"/>
        <v>1.8228217280349984E-4</v>
      </c>
      <c r="G393" s="43">
        <v>1</v>
      </c>
    </row>
    <row r="394" spans="1:7" x14ac:dyDescent="0.25">
      <c r="A394" s="43" t="s">
        <v>3220</v>
      </c>
      <c r="B394" s="43">
        <v>1</v>
      </c>
      <c r="C394" s="47">
        <f t="shared" si="12"/>
        <v>1.8228217280349981E-4</v>
      </c>
      <c r="D394" s="43">
        <v>1</v>
      </c>
      <c r="E394" s="47">
        <v>1</v>
      </c>
      <c r="F394" s="47">
        <f t="shared" si="13"/>
        <v>1.8228217280349981E-4</v>
      </c>
      <c r="G394" s="43">
        <v>1</v>
      </c>
    </row>
    <row r="395" spans="1:7" x14ac:dyDescent="0.25">
      <c r="A395" s="43" t="s">
        <v>3221</v>
      </c>
      <c r="B395" s="43">
        <v>1</v>
      </c>
      <c r="C395" s="47">
        <f t="shared" si="12"/>
        <v>1.8228217280349981E-4</v>
      </c>
      <c r="D395" s="43">
        <v>1</v>
      </c>
      <c r="E395" s="47">
        <v>1</v>
      </c>
      <c r="F395" s="47">
        <f t="shared" si="13"/>
        <v>1.8228217280349981E-4</v>
      </c>
      <c r="G395" s="43">
        <v>1</v>
      </c>
    </row>
    <row r="396" spans="1:7" x14ac:dyDescent="0.25">
      <c r="A396" s="43" t="s">
        <v>3222</v>
      </c>
      <c r="B396" s="43">
        <v>1</v>
      </c>
      <c r="C396" s="47">
        <f t="shared" si="12"/>
        <v>1.8228217280349981E-4</v>
      </c>
      <c r="D396" s="43">
        <v>1</v>
      </c>
      <c r="E396" s="47">
        <v>1</v>
      </c>
      <c r="F396" s="47">
        <f t="shared" si="13"/>
        <v>1.8228217280349981E-4</v>
      </c>
      <c r="G396" s="43">
        <v>1</v>
      </c>
    </row>
    <row r="397" spans="1:7" x14ac:dyDescent="0.25">
      <c r="A397" s="43" t="s">
        <v>3223</v>
      </c>
      <c r="B397" s="43">
        <v>1</v>
      </c>
      <c r="C397" s="47">
        <f t="shared" si="12"/>
        <v>1.8228217280349981E-4</v>
      </c>
      <c r="D397" s="43">
        <v>1</v>
      </c>
      <c r="E397" s="47">
        <v>1</v>
      </c>
      <c r="F397" s="47">
        <f t="shared" si="13"/>
        <v>1.8228217280349981E-4</v>
      </c>
      <c r="G397" s="43">
        <v>1</v>
      </c>
    </row>
    <row r="398" spans="1:7" x14ac:dyDescent="0.25">
      <c r="A398" s="43" t="s">
        <v>3224</v>
      </c>
      <c r="B398" s="43">
        <v>1</v>
      </c>
      <c r="C398" s="47">
        <f t="shared" si="12"/>
        <v>1.8228217280349981E-4</v>
      </c>
      <c r="D398" s="43">
        <v>1</v>
      </c>
      <c r="E398" s="47">
        <v>1</v>
      </c>
      <c r="F398" s="47">
        <f t="shared" si="13"/>
        <v>1.8228217280349981E-4</v>
      </c>
      <c r="G398" s="43">
        <v>1</v>
      </c>
    </row>
    <row r="399" spans="1:7" x14ac:dyDescent="0.25">
      <c r="A399" s="43" t="s">
        <v>268</v>
      </c>
      <c r="B399" s="43">
        <v>1</v>
      </c>
      <c r="C399" s="47">
        <f t="shared" si="12"/>
        <v>1.8228217280349981E-4</v>
      </c>
      <c r="D399" s="43">
        <v>1</v>
      </c>
      <c r="E399" s="47">
        <v>1</v>
      </c>
      <c r="F399" s="47">
        <f t="shared" si="13"/>
        <v>1.8228217280349981E-4</v>
      </c>
      <c r="G399" s="43">
        <v>1</v>
      </c>
    </row>
    <row r="400" spans="1:7" x14ac:dyDescent="0.25">
      <c r="A400" s="43" t="s">
        <v>3225</v>
      </c>
      <c r="B400" s="43">
        <v>1</v>
      </c>
      <c r="C400" s="47">
        <f t="shared" si="12"/>
        <v>1.8228217280349981E-4</v>
      </c>
      <c r="D400" s="43">
        <v>1</v>
      </c>
      <c r="E400" s="47">
        <v>1</v>
      </c>
      <c r="F400" s="47">
        <f t="shared" si="13"/>
        <v>1.8228217280349981E-4</v>
      </c>
      <c r="G400" s="43">
        <v>1</v>
      </c>
    </row>
    <row r="401" spans="1:7" x14ac:dyDescent="0.25">
      <c r="A401" s="43" t="s">
        <v>3226</v>
      </c>
      <c r="B401" s="43">
        <v>1</v>
      </c>
      <c r="C401" s="47">
        <f t="shared" si="12"/>
        <v>1.8228217280349981E-4</v>
      </c>
      <c r="D401" s="43">
        <v>1</v>
      </c>
      <c r="E401" s="47">
        <v>1</v>
      </c>
      <c r="F401" s="47">
        <f t="shared" si="13"/>
        <v>1.8228217280349981E-4</v>
      </c>
      <c r="G401" s="43">
        <v>1</v>
      </c>
    </row>
    <row r="402" spans="1:7" x14ac:dyDescent="0.25">
      <c r="A402" s="43" t="s">
        <v>3227</v>
      </c>
      <c r="B402" s="43">
        <v>1</v>
      </c>
      <c r="C402" s="47">
        <f t="shared" si="12"/>
        <v>1.8228217280349981E-4</v>
      </c>
      <c r="D402" s="43">
        <v>1</v>
      </c>
      <c r="E402" s="47">
        <v>1</v>
      </c>
      <c r="F402" s="47">
        <f t="shared" si="13"/>
        <v>1.8228217280349981E-4</v>
      </c>
      <c r="G402" s="43">
        <v>1</v>
      </c>
    </row>
    <row r="403" spans="1:7" x14ac:dyDescent="0.25">
      <c r="A403" s="43" t="s">
        <v>3228</v>
      </c>
      <c r="B403" s="43">
        <v>1</v>
      </c>
      <c r="C403" s="47">
        <f t="shared" si="12"/>
        <v>1.8228217280349981E-4</v>
      </c>
      <c r="D403" s="43">
        <v>1</v>
      </c>
      <c r="E403" s="47">
        <v>1</v>
      </c>
      <c r="F403" s="47">
        <f t="shared" si="13"/>
        <v>1.8228217280349981E-4</v>
      </c>
      <c r="G403" s="43">
        <v>1</v>
      </c>
    </row>
    <row r="404" spans="1:7" x14ac:dyDescent="0.25">
      <c r="A404" s="43" t="s">
        <v>570</v>
      </c>
      <c r="B404" s="43">
        <v>1</v>
      </c>
      <c r="C404" s="47">
        <f t="shared" si="12"/>
        <v>1.8228217280349981E-4</v>
      </c>
      <c r="D404" s="43">
        <v>1</v>
      </c>
      <c r="E404" s="47">
        <v>1</v>
      </c>
      <c r="F404" s="47">
        <f t="shared" si="13"/>
        <v>1.8228217280349981E-4</v>
      </c>
      <c r="G404" s="43">
        <v>1</v>
      </c>
    </row>
    <row r="405" spans="1:7" x14ac:dyDescent="0.25">
      <c r="A405" s="43" t="s">
        <v>574</v>
      </c>
      <c r="B405" s="43">
        <v>1</v>
      </c>
      <c r="C405" s="47">
        <f t="shared" si="12"/>
        <v>1.8228217280349981E-4</v>
      </c>
      <c r="D405" s="43">
        <v>1</v>
      </c>
      <c r="E405" s="47">
        <v>1</v>
      </c>
      <c r="F405" s="47">
        <f t="shared" si="13"/>
        <v>1.8228217280349981E-4</v>
      </c>
      <c r="G405" s="43">
        <v>1</v>
      </c>
    </row>
    <row r="406" spans="1:7" x14ac:dyDescent="0.25">
      <c r="A406" s="43" t="s">
        <v>1871</v>
      </c>
      <c r="B406" s="43">
        <v>1</v>
      </c>
      <c r="C406" s="47">
        <f t="shared" si="12"/>
        <v>1.8228217280349981E-4</v>
      </c>
      <c r="D406" s="43">
        <v>1</v>
      </c>
      <c r="E406" s="47">
        <v>1</v>
      </c>
      <c r="F406" s="47">
        <f t="shared" si="13"/>
        <v>1.8228217280349981E-4</v>
      </c>
      <c r="G406" s="43">
        <v>1</v>
      </c>
    </row>
    <row r="407" spans="1:7" x14ac:dyDescent="0.25">
      <c r="A407" s="43" t="s">
        <v>412</v>
      </c>
      <c r="B407" s="43">
        <v>1</v>
      </c>
      <c r="C407" s="47">
        <f t="shared" si="12"/>
        <v>1.8228217280349981E-4</v>
      </c>
      <c r="D407" s="43">
        <v>1</v>
      </c>
      <c r="E407" s="47">
        <v>1</v>
      </c>
      <c r="F407" s="47">
        <f t="shared" si="13"/>
        <v>1.8228217280349981E-4</v>
      </c>
      <c r="G407" s="43">
        <v>1</v>
      </c>
    </row>
    <row r="408" spans="1:7" x14ac:dyDescent="0.25">
      <c r="A408" s="43" t="s">
        <v>576</v>
      </c>
      <c r="B408" s="43">
        <v>1</v>
      </c>
      <c r="C408" s="47">
        <f t="shared" si="12"/>
        <v>1.8228217280349981E-4</v>
      </c>
      <c r="D408" s="43">
        <v>1</v>
      </c>
      <c r="E408" s="47">
        <v>1</v>
      </c>
      <c r="F408" s="47">
        <f t="shared" si="13"/>
        <v>1.8228217280349981E-4</v>
      </c>
      <c r="G408" s="43">
        <v>1</v>
      </c>
    </row>
    <row r="409" spans="1:7" x14ac:dyDescent="0.25">
      <c r="A409" s="43" t="s">
        <v>3229</v>
      </c>
      <c r="B409" s="43">
        <v>1</v>
      </c>
      <c r="C409" s="47">
        <f t="shared" si="12"/>
        <v>1.8228217280349981E-4</v>
      </c>
      <c r="D409" s="43">
        <v>1</v>
      </c>
      <c r="E409" s="47">
        <v>1</v>
      </c>
      <c r="F409" s="47">
        <f t="shared" si="13"/>
        <v>1.8228217280349981E-4</v>
      </c>
      <c r="G409" s="43">
        <v>0</v>
      </c>
    </row>
    <row r="410" spans="1:7" x14ac:dyDescent="0.25">
      <c r="A410" s="43" t="s">
        <v>3230</v>
      </c>
      <c r="B410" s="43">
        <v>1</v>
      </c>
      <c r="C410" s="47">
        <f t="shared" si="12"/>
        <v>1.8228217280349981E-4</v>
      </c>
      <c r="D410" s="43">
        <v>1</v>
      </c>
      <c r="E410" s="47">
        <v>1</v>
      </c>
      <c r="F410" s="47">
        <f t="shared" si="13"/>
        <v>1.8228217280349981E-4</v>
      </c>
      <c r="G410" s="43">
        <v>1</v>
      </c>
    </row>
    <row r="411" spans="1:7" x14ac:dyDescent="0.25">
      <c r="A411" s="43" t="s">
        <v>495</v>
      </c>
      <c r="B411" s="43">
        <v>1</v>
      </c>
      <c r="C411" s="47">
        <f t="shared" si="12"/>
        <v>1.8228217280349981E-4</v>
      </c>
      <c r="D411" s="43">
        <v>1</v>
      </c>
      <c r="E411" s="47">
        <v>1</v>
      </c>
      <c r="F411" s="47">
        <f t="shared" si="13"/>
        <v>1.8228217280349981E-4</v>
      </c>
      <c r="G411" s="43">
        <v>1</v>
      </c>
    </row>
    <row r="412" spans="1:7" x14ac:dyDescent="0.25">
      <c r="A412" s="43" t="s">
        <v>1721</v>
      </c>
      <c r="B412" s="43">
        <v>1</v>
      </c>
      <c r="C412" s="47">
        <f t="shared" si="12"/>
        <v>1.8228217280349981E-4</v>
      </c>
      <c r="D412" s="43">
        <v>1</v>
      </c>
      <c r="E412" s="47">
        <v>1</v>
      </c>
      <c r="F412" s="47">
        <f t="shared" si="13"/>
        <v>1.8228217280349981E-4</v>
      </c>
      <c r="G412" s="43">
        <v>1</v>
      </c>
    </row>
    <row r="413" spans="1:7" x14ac:dyDescent="0.25">
      <c r="A413" s="43" t="s">
        <v>3231</v>
      </c>
      <c r="B413" s="43">
        <v>1</v>
      </c>
      <c r="C413" s="47">
        <f t="shared" si="12"/>
        <v>1.8228217280349981E-4</v>
      </c>
      <c r="D413" s="43">
        <v>1</v>
      </c>
      <c r="E413" s="47">
        <v>1</v>
      </c>
      <c r="F413" s="47">
        <f t="shared" si="13"/>
        <v>1.8228217280349981E-4</v>
      </c>
      <c r="G413" s="43">
        <v>0</v>
      </c>
    </row>
    <row r="414" spans="1:7" x14ac:dyDescent="0.25">
      <c r="A414" s="43" t="s">
        <v>3232</v>
      </c>
      <c r="B414" s="43">
        <v>1</v>
      </c>
      <c r="C414" s="47">
        <f t="shared" si="12"/>
        <v>1.8228217280349981E-4</v>
      </c>
      <c r="D414" s="43">
        <v>1</v>
      </c>
      <c r="E414" s="47">
        <v>1</v>
      </c>
      <c r="F414" s="47">
        <f t="shared" si="13"/>
        <v>1.8228217280349981E-4</v>
      </c>
      <c r="G414" s="43">
        <v>0</v>
      </c>
    </row>
    <row r="415" spans="1:7" x14ac:dyDescent="0.25">
      <c r="A415" s="43" t="s">
        <v>3233</v>
      </c>
      <c r="B415" s="43">
        <v>1</v>
      </c>
      <c r="C415" s="47">
        <f t="shared" si="12"/>
        <v>1.8228217280349981E-4</v>
      </c>
      <c r="D415" s="43">
        <v>1</v>
      </c>
      <c r="E415" s="47">
        <v>1</v>
      </c>
      <c r="F415" s="47">
        <f t="shared" si="13"/>
        <v>1.8228217280349981E-4</v>
      </c>
      <c r="G415" s="43">
        <v>0</v>
      </c>
    </row>
    <row r="416" spans="1:7" x14ac:dyDescent="0.25">
      <c r="A416" s="43" t="s">
        <v>3234</v>
      </c>
      <c r="B416" s="43">
        <v>1</v>
      </c>
      <c r="C416" s="47">
        <f t="shared" si="12"/>
        <v>1.8228217280349981E-4</v>
      </c>
      <c r="D416" s="43">
        <v>1</v>
      </c>
      <c r="E416" s="47">
        <v>1</v>
      </c>
      <c r="F416" s="47">
        <f t="shared" si="13"/>
        <v>1.8228217280349981E-4</v>
      </c>
      <c r="G416" s="43">
        <v>0</v>
      </c>
    </row>
    <row r="417" spans="1:7" x14ac:dyDescent="0.25">
      <c r="A417" s="43" t="s">
        <v>3235</v>
      </c>
      <c r="B417" s="43">
        <v>1</v>
      </c>
      <c r="C417" s="47">
        <f t="shared" si="12"/>
        <v>1.8228217280349981E-4</v>
      </c>
      <c r="D417" s="43">
        <v>1</v>
      </c>
      <c r="E417" s="47">
        <v>1</v>
      </c>
      <c r="F417" s="47">
        <f t="shared" si="13"/>
        <v>1.8228217280349981E-4</v>
      </c>
      <c r="G417" s="43">
        <v>0</v>
      </c>
    </row>
    <row r="418" spans="1:7" x14ac:dyDescent="0.25">
      <c r="A418" s="43" t="s">
        <v>3236</v>
      </c>
      <c r="B418" s="43">
        <v>1</v>
      </c>
      <c r="C418" s="47">
        <f t="shared" si="12"/>
        <v>1.8228217280349981E-4</v>
      </c>
      <c r="D418" s="43">
        <v>1</v>
      </c>
      <c r="E418" s="47">
        <v>1</v>
      </c>
      <c r="F418" s="47">
        <f t="shared" si="13"/>
        <v>1.8228217280349981E-4</v>
      </c>
      <c r="G418" s="43">
        <v>1</v>
      </c>
    </row>
    <row r="419" spans="1:7" x14ac:dyDescent="0.25">
      <c r="A419" s="43" t="s">
        <v>3237</v>
      </c>
      <c r="B419" s="43">
        <v>1</v>
      </c>
      <c r="C419" s="47">
        <f t="shared" si="12"/>
        <v>1.8228217280349981E-4</v>
      </c>
      <c r="D419" s="43">
        <v>1</v>
      </c>
      <c r="E419" s="47">
        <v>1</v>
      </c>
      <c r="F419" s="47">
        <f t="shared" si="13"/>
        <v>1.8228217280349981E-4</v>
      </c>
      <c r="G419" s="43">
        <v>0</v>
      </c>
    </row>
    <row r="420" spans="1:7" x14ac:dyDescent="0.25">
      <c r="A420" s="43" t="s">
        <v>3238</v>
      </c>
      <c r="B420" s="43">
        <v>1</v>
      </c>
      <c r="C420" s="47">
        <f t="shared" si="12"/>
        <v>1.8228217280349981E-4</v>
      </c>
      <c r="D420" s="43">
        <v>1</v>
      </c>
      <c r="E420" s="47">
        <v>1</v>
      </c>
      <c r="F420" s="47">
        <f t="shared" si="13"/>
        <v>1.8228217280349981E-4</v>
      </c>
      <c r="G420" s="43">
        <v>1</v>
      </c>
    </row>
    <row r="421" spans="1:7" x14ac:dyDescent="0.25">
      <c r="A421" s="43" t="s">
        <v>3239</v>
      </c>
      <c r="B421" s="43">
        <v>1</v>
      </c>
      <c r="C421" s="47">
        <f t="shared" si="12"/>
        <v>1.8228217280349981E-4</v>
      </c>
      <c r="D421" s="43">
        <v>1</v>
      </c>
      <c r="E421" s="47">
        <v>1</v>
      </c>
      <c r="F421" s="47">
        <f t="shared" si="13"/>
        <v>1.8228217280349981E-4</v>
      </c>
      <c r="G421" s="43">
        <v>1</v>
      </c>
    </row>
    <row r="422" spans="1:7" x14ac:dyDescent="0.25">
      <c r="A422" s="43" t="s">
        <v>3240</v>
      </c>
      <c r="B422" s="43">
        <v>1</v>
      </c>
      <c r="C422" s="47">
        <f t="shared" si="12"/>
        <v>1.8228217280349981E-4</v>
      </c>
      <c r="D422" s="43">
        <v>1</v>
      </c>
      <c r="E422" s="47">
        <v>1</v>
      </c>
      <c r="F422" s="47">
        <f t="shared" si="13"/>
        <v>1.8228217280349981E-4</v>
      </c>
      <c r="G422" s="43">
        <v>1</v>
      </c>
    </row>
    <row r="423" spans="1:7" x14ac:dyDescent="0.25">
      <c r="A423" s="43" t="s">
        <v>3241</v>
      </c>
      <c r="B423" s="43">
        <v>1</v>
      </c>
      <c r="C423" s="47">
        <f t="shared" si="12"/>
        <v>1.8228217280349981E-4</v>
      </c>
      <c r="D423" s="43">
        <v>1</v>
      </c>
      <c r="E423" s="47">
        <v>1</v>
      </c>
      <c r="F423" s="47">
        <f t="shared" si="13"/>
        <v>1.8228217280349981E-4</v>
      </c>
      <c r="G423" s="43">
        <v>0</v>
      </c>
    </row>
    <row r="424" spans="1:7" x14ac:dyDescent="0.25">
      <c r="A424" s="43" t="s">
        <v>1597</v>
      </c>
      <c r="B424" s="43">
        <v>1</v>
      </c>
      <c r="C424" s="47">
        <f t="shared" si="12"/>
        <v>1.8228217280349981E-4</v>
      </c>
      <c r="D424" s="43">
        <v>1</v>
      </c>
      <c r="E424" s="47">
        <v>1</v>
      </c>
      <c r="F424" s="47">
        <f t="shared" si="13"/>
        <v>1.8228217280349981E-4</v>
      </c>
      <c r="G424" s="43">
        <v>1</v>
      </c>
    </row>
    <row r="425" spans="1:7" x14ac:dyDescent="0.25">
      <c r="A425" s="43" t="s">
        <v>3242</v>
      </c>
      <c r="B425" s="43">
        <v>1</v>
      </c>
      <c r="C425" s="47">
        <f t="shared" si="12"/>
        <v>1.8228217280349981E-4</v>
      </c>
      <c r="D425" s="43">
        <v>1</v>
      </c>
      <c r="E425" s="47">
        <v>1</v>
      </c>
      <c r="F425" s="47">
        <f t="shared" si="13"/>
        <v>1.8228217280349981E-4</v>
      </c>
      <c r="G425" s="43">
        <v>0</v>
      </c>
    </row>
    <row r="426" spans="1:7" x14ac:dyDescent="0.25">
      <c r="A426" s="43" t="s">
        <v>3243</v>
      </c>
      <c r="B426" s="43">
        <v>1</v>
      </c>
      <c r="C426" s="47">
        <f t="shared" si="12"/>
        <v>1.8228217280349981E-4</v>
      </c>
      <c r="D426" s="43">
        <v>1</v>
      </c>
      <c r="E426" s="47">
        <v>1</v>
      </c>
      <c r="F426" s="47">
        <f t="shared" si="13"/>
        <v>1.8228217280349981E-4</v>
      </c>
      <c r="G426" s="43">
        <v>0</v>
      </c>
    </row>
    <row r="427" spans="1:7" x14ac:dyDescent="0.25">
      <c r="A427" s="43" t="s">
        <v>578</v>
      </c>
      <c r="B427" s="43">
        <v>1</v>
      </c>
      <c r="C427" s="47">
        <f t="shared" si="12"/>
        <v>1.8228217280349981E-4</v>
      </c>
      <c r="D427" s="43">
        <v>1</v>
      </c>
      <c r="E427" s="47">
        <v>1</v>
      </c>
      <c r="F427" s="47">
        <f t="shared" si="13"/>
        <v>1.8228217280349981E-4</v>
      </c>
      <c r="G427" s="43">
        <v>0</v>
      </c>
    </row>
    <row r="428" spans="1:7" x14ac:dyDescent="0.25">
      <c r="A428" s="43" t="s">
        <v>3244</v>
      </c>
      <c r="B428" s="43">
        <v>1</v>
      </c>
      <c r="C428" s="47">
        <f t="shared" si="12"/>
        <v>1.8228217280349981E-4</v>
      </c>
      <c r="D428" s="43">
        <v>1</v>
      </c>
      <c r="E428" s="47">
        <v>1</v>
      </c>
      <c r="F428" s="47">
        <f t="shared" si="13"/>
        <v>1.8228217280349981E-4</v>
      </c>
      <c r="G428" s="43">
        <v>0</v>
      </c>
    </row>
    <row r="429" spans="1:7" x14ac:dyDescent="0.25">
      <c r="A429" s="43" t="s">
        <v>3245</v>
      </c>
      <c r="B429" s="43">
        <v>1</v>
      </c>
      <c r="C429" s="47">
        <f t="shared" si="12"/>
        <v>1.8228217280349981E-4</v>
      </c>
      <c r="D429" s="43">
        <v>1</v>
      </c>
      <c r="E429" s="47">
        <v>1</v>
      </c>
      <c r="F429" s="47">
        <f t="shared" si="13"/>
        <v>1.8228217280349981E-4</v>
      </c>
      <c r="G429" s="43">
        <v>0</v>
      </c>
    </row>
    <row r="430" spans="1:7" x14ac:dyDescent="0.25">
      <c r="A430" s="43" t="s">
        <v>3246</v>
      </c>
      <c r="B430" s="43">
        <v>1</v>
      </c>
      <c r="C430" s="47">
        <f t="shared" si="12"/>
        <v>1.8228217280349981E-4</v>
      </c>
      <c r="D430" s="43">
        <v>1</v>
      </c>
      <c r="E430" s="47">
        <v>1</v>
      </c>
      <c r="F430" s="47">
        <f t="shared" si="13"/>
        <v>1.8228217280349981E-4</v>
      </c>
      <c r="G430" s="43">
        <v>0</v>
      </c>
    </row>
    <row r="431" spans="1:7" x14ac:dyDescent="0.25">
      <c r="A431" s="43" t="s">
        <v>3247</v>
      </c>
      <c r="B431" s="43">
        <v>1</v>
      </c>
      <c r="C431" s="47">
        <f t="shared" si="12"/>
        <v>1.8228217280349981E-4</v>
      </c>
      <c r="D431" s="43">
        <v>1</v>
      </c>
      <c r="E431" s="47">
        <v>1</v>
      </c>
      <c r="F431" s="47">
        <f t="shared" si="13"/>
        <v>1.8228217280349981E-4</v>
      </c>
      <c r="G431" s="43">
        <v>0</v>
      </c>
    </row>
    <row r="432" spans="1:7" x14ac:dyDescent="0.25">
      <c r="A432" s="43" t="s">
        <v>3154</v>
      </c>
      <c r="B432" s="43">
        <v>2</v>
      </c>
      <c r="C432" s="47">
        <f t="shared" si="12"/>
        <v>3.6456434560699962E-4</v>
      </c>
      <c r="D432" s="43">
        <v>1</v>
      </c>
      <c r="E432" s="47">
        <v>0.5</v>
      </c>
      <c r="F432" s="47">
        <f t="shared" si="13"/>
        <v>1.8228217280349981E-4</v>
      </c>
      <c r="G432" s="43">
        <v>1</v>
      </c>
    </row>
    <row r="433" spans="1:7" x14ac:dyDescent="0.25">
      <c r="A433" s="43" t="s">
        <v>279</v>
      </c>
      <c r="B433" s="43">
        <v>2</v>
      </c>
      <c r="C433" s="47">
        <f t="shared" si="12"/>
        <v>3.6456434560699962E-4</v>
      </c>
      <c r="D433" s="43">
        <v>1</v>
      </c>
      <c r="E433" s="47">
        <v>0.5</v>
      </c>
      <c r="F433" s="47">
        <f t="shared" si="13"/>
        <v>1.8228217280349981E-4</v>
      </c>
      <c r="G433" s="43">
        <v>1</v>
      </c>
    </row>
    <row r="434" spans="1:7" x14ac:dyDescent="0.25">
      <c r="A434" s="43" t="s">
        <v>3155</v>
      </c>
      <c r="B434" s="43">
        <v>2</v>
      </c>
      <c r="C434" s="47">
        <f t="shared" si="12"/>
        <v>3.6456434560699962E-4</v>
      </c>
      <c r="D434" s="43">
        <v>1</v>
      </c>
      <c r="E434" s="47">
        <v>0.5</v>
      </c>
      <c r="F434" s="47">
        <f t="shared" si="13"/>
        <v>1.8228217280349981E-4</v>
      </c>
      <c r="G434" s="43">
        <v>1</v>
      </c>
    </row>
    <row r="435" spans="1:7" x14ac:dyDescent="0.25">
      <c r="A435" s="43" t="s">
        <v>1816</v>
      </c>
      <c r="B435" s="43">
        <v>2</v>
      </c>
      <c r="C435" s="47">
        <f t="shared" si="12"/>
        <v>3.6456434560699962E-4</v>
      </c>
      <c r="D435" s="43">
        <v>1</v>
      </c>
      <c r="E435" s="47">
        <v>0.5</v>
      </c>
      <c r="F435" s="47">
        <f t="shared" si="13"/>
        <v>1.8228217280349981E-4</v>
      </c>
      <c r="G435" s="43">
        <v>1</v>
      </c>
    </row>
    <row r="436" spans="1:7" x14ac:dyDescent="0.25">
      <c r="A436" s="43" t="s">
        <v>1680</v>
      </c>
      <c r="B436" s="43">
        <v>2</v>
      </c>
      <c r="C436" s="47">
        <f t="shared" si="12"/>
        <v>3.6456434560699962E-4</v>
      </c>
      <c r="D436" s="43">
        <v>1</v>
      </c>
      <c r="E436" s="47">
        <v>0.5</v>
      </c>
      <c r="F436" s="47">
        <f t="shared" si="13"/>
        <v>1.8228217280349981E-4</v>
      </c>
      <c r="G436" s="43">
        <v>1</v>
      </c>
    </row>
    <row r="437" spans="1:7" x14ac:dyDescent="0.25">
      <c r="A437" s="43" t="s">
        <v>3156</v>
      </c>
      <c r="B437" s="43">
        <v>2</v>
      </c>
      <c r="C437" s="47">
        <f t="shared" si="12"/>
        <v>3.6456434560699962E-4</v>
      </c>
      <c r="D437" s="43">
        <v>1</v>
      </c>
      <c r="E437" s="47">
        <v>0.5</v>
      </c>
      <c r="F437" s="47">
        <f t="shared" si="13"/>
        <v>1.8228217280349981E-4</v>
      </c>
      <c r="G437" s="43">
        <v>1</v>
      </c>
    </row>
    <row r="438" spans="1:7" x14ac:dyDescent="0.25">
      <c r="A438" s="43" t="s">
        <v>1672</v>
      </c>
      <c r="B438" s="43">
        <v>2</v>
      </c>
      <c r="C438" s="47">
        <f t="shared" si="12"/>
        <v>3.6456434560699962E-4</v>
      </c>
      <c r="D438" s="43">
        <v>1</v>
      </c>
      <c r="E438" s="47">
        <v>0.5</v>
      </c>
      <c r="F438" s="47">
        <f t="shared" si="13"/>
        <v>1.8228217280349981E-4</v>
      </c>
      <c r="G438" s="43">
        <v>1</v>
      </c>
    </row>
    <row r="439" spans="1:7" x14ac:dyDescent="0.25">
      <c r="A439" s="43" t="s">
        <v>3157</v>
      </c>
      <c r="B439" s="43">
        <v>2</v>
      </c>
      <c r="C439" s="47">
        <f t="shared" si="12"/>
        <v>3.6456434560699962E-4</v>
      </c>
      <c r="D439" s="43">
        <v>1</v>
      </c>
      <c r="E439" s="47">
        <v>0.5</v>
      </c>
      <c r="F439" s="47">
        <f t="shared" si="13"/>
        <v>1.8228217280349981E-4</v>
      </c>
      <c r="G439" s="43">
        <v>1</v>
      </c>
    </row>
    <row r="440" spans="1:7" x14ac:dyDescent="0.25">
      <c r="A440" s="43" t="s">
        <v>3158</v>
      </c>
      <c r="B440" s="43">
        <v>2</v>
      </c>
      <c r="C440" s="47">
        <f t="shared" si="12"/>
        <v>3.6456434560699962E-4</v>
      </c>
      <c r="D440" s="43">
        <v>1</v>
      </c>
      <c r="E440" s="47">
        <v>0.5</v>
      </c>
      <c r="F440" s="47">
        <f t="shared" si="13"/>
        <v>1.8228217280349981E-4</v>
      </c>
      <c r="G440" s="43">
        <v>0</v>
      </c>
    </row>
    <row r="441" spans="1:7" x14ac:dyDescent="0.25">
      <c r="A441" s="43" t="s">
        <v>3159</v>
      </c>
      <c r="B441" s="43">
        <v>2</v>
      </c>
      <c r="C441" s="47">
        <f t="shared" si="12"/>
        <v>3.6456434560699962E-4</v>
      </c>
      <c r="D441" s="43">
        <v>1</v>
      </c>
      <c r="E441" s="47">
        <v>0.5</v>
      </c>
      <c r="F441" s="47">
        <f t="shared" si="13"/>
        <v>1.8228217280349981E-4</v>
      </c>
      <c r="G441" s="43">
        <v>1</v>
      </c>
    </row>
    <row r="442" spans="1:7" x14ac:dyDescent="0.25">
      <c r="A442" s="43" t="s">
        <v>3160</v>
      </c>
      <c r="B442" s="43">
        <v>2</v>
      </c>
      <c r="C442" s="47">
        <f t="shared" si="12"/>
        <v>3.6456434560699962E-4</v>
      </c>
      <c r="D442" s="43">
        <v>1</v>
      </c>
      <c r="E442" s="47">
        <v>0.5</v>
      </c>
      <c r="F442" s="47">
        <f t="shared" si="13"/>
        <v>1.8228217280349981E-4</v>
      </c>
      <c r="G442" s="43">
        <v>1</v>
      </c>
    </row>
    <row r="443" spans="1:7" x14ac:dyDescent="0.25">
      <c r="A443" s="43" t="s">
        <v>777</v>
      </c>
      <c r="B443" s="43">
        <v>2</v>
      </c>
      <c r="C443" s="47">
        <f t="shared" si="12"/>
        <v>3.6456434560699962E-4</v>
      </c>
      <c r="D443" s="43">
        <v>1</v>
      </c>
      <c r="E443" s="47">
        <v>0.5</v>
      </c>
      <c r="F443" s="47">
        <f t="shared" si="13"/>
        <v>1.8228217280349981E-4</v>
      </c>
      <c r="G443" s="43">
        <v>1</v>
      </c>
    </row>
    <row r="444" spans="1:7" x14ac:dyDescent="0.25">
      <c r="A444" s="43" t="s">
        <v>3161</v>
      </c>
      <c r="B444" s="43">
        <v>2</v>
      </c>
      <c r="C444" s="47">
        <f t="shared" si="12"/>
        <v>3.6456434560699962E-4</v>
      </c>
      <c r="D444" s="43">
        <v>1</v>
      </c>
      <c r="E444" s="47">
        <v>0.5</v>
      </c>
      <c r="F444" s="47">
        <f t="shared" si="13"/>
        <v>1.8228217280349981E-4</v>
      </c>
      <c r="G444" s="43">
        <v>1</v>
      </c>
    </row>
    <row r="445" spans="1:7" x14ac:dyDescent="0.25">
      <c r="A445" s="43" t="s">
        <v>1330</v>
      </c>
      <c r="B445" s="43">
        <v>2</v>
      </c>
      <c r="C445" s="47">
        <f t="shared" si="12"/>
        <v>3.6456434560699962E-4</v>
      </c>
      <c r="D445" s="43">
        <v>1</v>
      </c>
      <c r="E445" s="47">
        <v>0.5</v>
      </c>
      <c r="F445" s="47">
        <f t="shared" si="13"/>
        <v>1.8228217280349981E-4</v>
      </c>
      <c r="G445" s="43">
        <v>1</v>
      </c>
    </row>
    <row r="446" spans="1:7" x14ac:dyDescent="0.25">
      <c r="A446" s="43" t="s">
        <v>3162</v>
      </c>
      <c r="B446" s="43">
        <v>2</v>
      </c>
      <c r="C446" s="47">
        <f t="shared" si="12"/>
        <v>3.6456434560699962E-4</v>
      </c>
      <c r="D446" s="43">
        <v>1</v>
      </c>
      <c r="E446" s="47">
        <v>0.5</v>
      </c>
      <c r="F446" s="47">
        <f t="shared" si="13"/>
        <v>1.8228217280349981E-4</v>
      </c>
      <c r="G446" s="43">
        <v>1</v>
      </c>
    </row>
    <row r="447" spans="1:7" x14ac:dyDescent="0.25">
      <c r="A447" s="43" t="s">
        <v>3163</v>
      </c>
      <c r="B447" s="43">
        <v>2</v>
      </c>
      <c r="C447" s="47">
        <f t="shared" si="12"/>
        <v>3.6456434560699962E-4</v>
      </c>
      <c r="D447" s="43">
        <v>1</v>
      </c>
      <c r="E447" s="47">
        <v>0.5</v>
      </c>
      <c r="F447" s="47">
        <f t="shared" si="13"/>
        <v>1.8228217280349981E-4</v>
      </c>
      <c r="G447" s="43">
        <v>1</v>
      </c>
    </row>
    <row r="448" spans="1:7" x14ac:dyDescent="0.25">
      <c r="A448" s="43" t="s">
        <v>3164</v>
      </c>
      <c r="B448" s="43">
        <v>2</v>
      </c>
      <c r="C448" s="47">
        <f t="shared" si="12"/>
        <v>3.6456434560699962E-4</v>
      </c>
      <c r="D448" s="43">
        <v>1</v>
      </c>
      <c r="E448" s="47">
        <v>0.5</v>
      </c>
      <c r="F448" s="47">
        <f t="shared" si="13"/>
        <v>1.8228217280349981E-4</v>
      </c>
      <c r="G448" s="43">
        <v>1</v>
      </c>
    </row>
    <row r="449" spans="1:7" x14ac:dyDescent="0.25">
      <c r="A449" s="43" t="s">
        <v>3165</v>
      </c>
      <c r="B449" s="43">
        <v>2</v>
      </c>
      <c r="C449" s="47">
        <f t="shared" si="12"/>
        <v>3.6456434560699962E-4</v>
      </c>
      <c r="D449" s="43">
        <v>1</v>
      </c>
      <c r="E449" s="47">
        <v>0.5</v>
      </c>
      <c r="F449" s="47">
        <f t="shared" si="13"/>
        <v>1.8228217280349981E-4</v>
      </c>
      <c r="G449" s="43">
        <v>1</v>
      </c>
    </row>
    <row r="450" spans="1:7" x14ac:dyDescent="0.25">
      <c r="A450" s="43" t="s">
        <v>3166</v>
      </c>
      <c r="B450" s="43">
        <v>2</v>
      </c>
      <c r="C450" s="47">
        <f t="shared" ref="C450:C513" si="14">B450/$B$602</f>
        <v>3.6456434560699962E-4</v>
      </c>
      <c r="D450" s="43">
        <v>1</v>
      </c>
      <c r="E450" s="47">
        <v>0.5</v>
      </c>
      <c r="F450" s="47">
        <f t="shared" ref="F450:F513" si="15">E450*C450</f>
        <v>1.8228217280349981E-4</v>
      </c>
      <c r="G450" s="43">
        <v>1</v>
      </c>
    </row>
    <row r="451" spans="1:7" x14ac:dyDescent="0.25">
      <c r="A451" s="43" t="s">
        <v>3167</v>
      </c>
      <c r="B451" s="43">
        <v>2</v>
      </c>
      <c r="C451" s="47">
        <f t="shared" si="14"/>
        <v>3.6456434560699962E-4</v>
      </c>
      <c r="D451" s="43">
        <v>1</v>
      </c>
      <c r="E451" s="47">
        <v>0.5</v>
      </c>
      <c r="F451" s="47">
        <f t="shared" si="15"/>
        <v>1.8228217280349981E-4</v>
      </c>
      <c r="G451" s="43">
        <v>0</v>
      </c>
    </row>
    <row r="452" spans="1:7" x14ac:dyDescent="0.25">
      <c r="A452" s="43" t="s">
        <v>287</v>
      </c>
      <c r="B452" s="43">
        <v>2</v>
      </c>
      <c r="C452" s="47">
        <f t="shared" si="14"/>
        <v>3.6456434560699962E-4</v>
      </c>
      <c r="D452" s="43">
        <v>1</v>
      </c>
      <c r="E452" s="47">
        <v>0.5</v>
      </c>
      <c r="F452" s="47">
        <f t="shared" si="15"/>
        <v>1.8228217280349981E-4</v>
      </c>
      <c r="G452" s="43">
        <v>1</v>
      </c>
    </row>
    <row r="453" spans="1:7" x14ac:dyDescent="0.25">
      <c r="A453" s="43" t="s">
        <v>3168</v>
      </c>
      <c r="B453" s="43">
        <v>2</v>
      </c>
      <c r="C453" s="47">
        <f t="shared" si="14"/>
        <v>3.6456434560699962E-4</v>
      </c>
      <c r="D453" s="43">
        <v>1</v>
      </c>
      <c r="E453" s="47">
        <v>0.5</v>
      </c>
      <c r="F453" s="47">
        <f t="shared" si="15"/>
        <v>1.8228217280349981E-4</v>
      </c>
      <c r="G453" s="43">
        <v>1</v>
      </c>
    </row>
    <row r="454" spans="1:7" x14ac:dyDescent="0.25">
      <c r="A454" s="43" t="s">
        <v>285</v>
      </c>
      <c r="B454" s="43">
        <v>2</v>
      </c>
      <c r="C454" s="47">
        <f t="shared" si="14"/>
        <v>3.6456434560699962E-4</v>
      </c>
      <c r="D454" s="43">
        <v>1</v>
      </c>
      <c r="E454" s="47">
        <v>0.5</v>
      </c>
      <c r="F454" s="47">
        <f t="shared" si="15"/>
        <v>1.8228217280349981E-4</v>
      </c>
      <c r="G454" s="43">
        <v>1</v>
      </c>
    </row>
    <row r="455" spans="1:7" x14ac:dyDescent="0.25">
      <c r="A455" s="43" t="s">
        <v>3169</v>
      </c>
      <c r="B455" s="43">
        <v>2</v>
      </c>
      <c r="C455" s="47">
        <f t="shared" si="14"/>
        <v>3.6456434560699962E-4</v>
      </c>
      <c r="D455" s="43">
        <v>1</v>
      </c>
      <c r="E455" s="47">
        <v>0.5</v>
      </c>
      <c r="F455" s="47">
        <f t="shared" si="15"/>
        <v>1.8228217280349981E-4</v>
      </c>
      <c r="G455" s="43">
        <v>1</v>
      </c>
    </row>
    <row r="456" spans="1:7" x14ac:dyDescent="0.25">
      <c r="A456" s="43" t="s">
        <v>1959</v>
      </c>
      <c r="B456" s="43">
        <v>2</v>
      </c>
      <c r="C456" s="47">
        <f t="shared" si="14"/>
        <v>3.6456434560699962E-4</v>
      </c>
      <c r="D456" s="43">
        <v>1</v>
      </c>
      <c r="E456" s="47">
        <v>0.5</v>
      </c>
      <c r="F456" s="47">
        <f t="shared" si="15"/>
        <v>1.8228217280349981E-4</v>
      </c>
      <c r="G456" s="43">
        <v>1</v>
      </c>
    </row>
    <row r="457" spans="1:7" x14ac:dyDescent="0.25">
      <c r="A457" s="43" t="s">
        <v>1062</v>
      </c>
      <c r="B457" s="43">
        <v>2</v>
      </c>
      <c r="C457" s="47">
        <f t="shared" si="14"/>
        <v>3.6456434560699962E-4</v>
      </c>
      <c r="D457" s="43">
        <v>1</v>
      </c>
      <c r="E457" s="47">
        <v>0.5</v>
      </c>
      <c r="F457" s="47">
        <f t="shared" si="15"/>
        <v>1.8228217280349981E-4</v>
      </c>
      <c r="G457" s="43">
        <v>0</v>
      </c>
    </row>
    <row r="458" spans="1:7" x14ac:dyDescent="0.25">
      <c r="A458" s="43" t="s">
        <v>3170</v>
      </c>
      <c r="B458" s="43">
        <v>2</v>
      </c>
      <c r="C458" s="47">
        <f t="shared" si="14"/>
        <v>3.6456434560699962E-4</v>
      </c>
      <c r="D458" s="43">
        <v>1</v>
      </c>
      <c r="E458" s="47">
        <v>0.5</v>
      </c>
      <c r="F458" s="47">
        <f t="shared" si="15"/>
        <v>1.8228217280349981E-4</v>
      </c>
      <c r="G458" s="43">
        <v>1</v>
      </c>
    </row>
    <row r="459" spans="1:7" x14ac:dyDescent="0.25">
      <c r="A459" s="43" t="s">
        <v>3171</v>
      </c>
      <c r="B459" s="43">
        <v>2</v>
      </c>
      <c r="C459" s="47">
        <f t="shared" si="14"/>
        <v>3.6456434560699962E-4</v>
      </c>
      <c r="D459" s="43">
        <v>1</v>
      </c>
      <c r="E459" s="47">
        <v>0.5</v>
      </c>
      <c r="F459" s="47">
        <f t="shared" si="15"/>
        <v>1.8228217280349981E-4</v>
      </c>
      <c r="G459" s="43">
        <v>1</v>
      </c>
    </row>
    <row r="460" spans="1:7" x14ac:dyDescent="0.25">
      <c r="A460" s="43" t="s">
        <v>3172</v>
      </c>
      <c r="B460" s="43">
        <v>2</v>
      </c>
      <c r="C460" s="47">
        <f t="shared" si="14"/>
        <v>3.6456434560699962E-4</v>
      </c>
      <c r="D460" s="43">
        <v>1</v>
      </c>
      <c r="E460" s="47">
        <v>0.5</v>
      </c>
      <c r="F460" s="47">
        <f t="shared" si="15"/>
        <v>1.8228217280349981E-4</v>
      </c>
      <c r="G460" s="43">
        <v>0</v>
      </c>
    </row>
    <row r="461" spans="1:7" x14ac:dyDescent="0.25">
      <c r="A461" s="43" t="s">
        <v>3173</v>
      </c>
      <c r="B461" s="43">
        <v>2</v>
      </c>
      <c r="C461" s="47">
        <f t="shared" si="14"/>
        <v>3.6456434560699962E-4</v>
      </c>
      <c r="D461" s="43">
        <v>1</v>
      </c>
      <c r="E461" s="47">
        <v>0.5</v>
      </c>
      <c r="F461" s="47">
        <f t="shared" si="15"/>
        <v>1.8228217280349981E-4</v>
      </c>
      <c r="G461" s="43">
        <v>0</v>
      </c>
    </row>
    <row r="462" spans="1:7" x14ac:dyDescent="0.25">
      <c r="A462" s="43" t="s">
        <v>3174</v>
      </c>
      <c r="B462" s="43">
        <v>2</v>
      </c>
      <c r="C462" s="47">
        <f t="shared" si="14"/>
        <v>3.6456434560699962E-4</v>
      </c>
      <c r="D462" s="43">
        <v>1</v>
      </c>
      <c r="E462" s="47">
        <v>0.5</v>
      </c>
      <c r="F462" s="47">
        <f t="shared" si="15"/>
        <v>1.8228217280349981E-4</v>
      </c>
      <c r="G462" s="43">
        <v>0</v>
      </c>
    </row>
    <row r="463" spans="1:7" x14ac:dyDescent="0.25">
      <c r="A463" s="43" t="s">
        <v>3175</v>
      </c>
      <c r="B463" s="43">
        <v>2</v>
      </c>
      <c r="C463" s="47">
        <f t="shared" si="14"/>
        <v>3.6456434560699962E-4</v>
      </c>
      <c r="D463" s="43">
        <v>1</v>
      </c>
      <c r="E463" s="47">
        <v>0.5</v>
      </c>
      <c r="F463" s="47">
        <f t="shared" si="15"/>
        <v>1.8228217280349981E-4</v>
      </c>
      <c r="G463" s="43">
        <v>1</v>
      </c>
    </row>
    <row r="464" spans="1:7" x14ac:dyDescent="0.25">
      <c r="A464" s="43" t="s">
        <v>1678</v>
      </c>
      <c r="B464" s="43">
        <v>2</v>
      </c>
      <c r="C464" s="47">
        <f t="shared" si="14"/>
        <v>3.6456434560699962E-4</v>
      </c>
      <c r="D464" s="43">
        <v>1</v>
      </c>
      <c r="E464" s="47">
        <v>0.5</v>
      </c>
      <c r="F464" s="47">
        <f t="shared" si="15"/>
        <v>1.8228217280349981E-4</v>
      </c>
      <c r="G464" s="43">
        <v>1</v>
      </c>
    </row>
    <row r="465" spans="1:7" x14ac:dyDescent="0.25">
      <c r="A465" s="43" t="s">
        <v>740</v>
      </c>
      <c r="B465" s="43">
        <v>2</v>
      </c>
      <c r="C465" s="47">
        <f t="shared" si="14"/>
        <v>3.6456434560699962E-4</v>
      </c>
      <c r="D465" s="43">
        <v>1</v>
      </c>
      <c r="E465" s="47">
        <v>0.5</v>
      </c>
      <c r="F465" s="47">
        <f t="shared" si="15"/>
        <v>1.8228217280349981E-4</v>
      </c>
      <c r="G465" s="43">
        <v>1</v>
      </c>
    </row>
    <row r="466" spans="1:7" x14ac:dyDescent="0.25">
      <c r="A466" s="43" t="s">
        <v>3176</v>
      </c>
      <c r="B466" s="43">
        <v>2</v>
      </c>
      <c r="C466" s="47">
        <f t="shared" si="14"/>
        <v>3.6456434560699962E-4</v>
      </c>
      <c r="D466" s="43">
        <v>1</v>
      </c>
      <c r="E466" s="47">
        <v>0.5</v>
      </c>
      <c r="F466" s="47">
        <f t="shared" si="15"/>
        <v>1.8228217280349981E-4</v>
      </c>
      <c r="G466" s="43">
        <v>1</v>
      </c>
    </row>
    <row r="467" spans="1:7" x14ac:dyDescent="0.25">
      <c r="A467" s="43" t="s">
        <v>1339</v>
      </c>
      <c r="B467" s="43">
        <v>2</v>
      </c>
      <c r="C467" s="47">
        <f t="shared" si="14"/>
        <v>3.6456434560699962E-4</v>
      </c>
      <c r="D467" s="43">
        <v>1</v>
      </c>
      <c r="E467" s="47">
        <v>0.5</v>
      </c>
      <c r="F467" s="47">
        <f t="shared" si="15"/>
        <v>1.8228217280349981E-4</v>
      </c>
      <c r="G467" s="43">
        <v>1</v>
      </c>
    </row>
    <row r="468" spans="1:7" x14ac:dyDescent="0.25">
      <c r="A468" s="43" t="s">
        <v>1343</v>
      </c>
      <c r="B468" s="43">
        <v>2</v>
      </c>
      <c r="C468" s="47">
        <f t="shared" si="14"/>
        <v>3.6456434560699962E-4</v>
      </c>
      <c r="D468" s="43">
        <v>1</v>
      </c>
      <c r="E468" s="47">
        <v>0.5</v>
      </c>
      <c r="F468" s="47">
        <f t="shared" si="15"/>
        <v>1.8228217280349981E-4</v>
      </c>
      <c r="G468" s="43">
        <v>1</v>
      </c>
    </row>
    <row r="469" spans="1:7" x14ac:dyDescent="0.25">
      <c r="A469" s="43" t="s">
        <v>3177</v>
      </c>
      <c r="B469" s="43">
        <v>2</v>
      </c>
      <c r="C469" s="47">
        <f t="shared" si="14"/>
        <v>3.6456434560699962E-4</v>
      </c>
      <c r="D469" s="43">
        <v>1</v>
      </c>
      <c r="E469" s="47">
        <v>0.5</v>
      </c>
      <c r="F469" s="47">
        <f t="shared" si="15"/>
        <v>1.8228217280349981E-4</v>
      </c>
      <c r="G469" s="43">
        <v>1</v>
      </c>
    </row>
    <row r="470" spans="1:7" x14ac:dyDescent="0.25">
      <c r="A470" s="43" t="s">
        <v>3178</v>
      </c>
      <c r="B470" s="43">
        <v>2</v>
      </c>
      <c r="C470" s="47">
        <f t="shared" si="14"/>
        <v>3.6456434560699962E-4</v>
      </c>
      <c r="D470" s="43">
        <v>1</v>
      </c>
      <c r="E470" s="47">
        <v>0.5</v>
      </c>
      <c r="F470" s="47">
        <f t="shared" si="15"/>
        <v>1.8228217280349981E-4</v>
      </c>
      <c r="G470" s="43">
        <v>1</v>
      </c>
    </row>
    <row r="471" spans="1:7" x14ac:dyDescent="0.25">
      <c r="A471" s="43" t="s">
        <v>3179</v>
      </c>
      <c r="B471" s="43">
        <v>2</v>
      </c>
      <c r="C471" s="47">
        <f t="shared" si="14"/>
        <v>3.6456434560699962E-4</v>
      </c>
      <c r="D471" s="43">
        <v>1</v>
      </c>
      <c r="E471" s="47">
        <v>0.5</v>
      </c>
      <c r="F471" s="47">
        <f t="shared" si="15"/>
        <v>1.8228217280349981E-4</v>
      </c>
      <c r="G471" s="43">
        <v>0</v>
      </c>
    </row>
    <row r="472" spans="1:7" x14ac:dyDescent="0.25">
      <c r="A472" s="43" t="s">
        <v>3180</v>
      </c>
      <c r="B472" s="43">
        <v>2</v>
      </c>
      <c r="C472" s="47">
        <f t="shared" si="14"/>
        <v>3.6456434560699962E-4</v>
      </c>
      <c r="D472" s="43">
        <v>1</v>
      </c>
      <c r="E472" s="47">
        <v>0.5</v>
      </c>
      <c r="F472" s="47">
        <f t="shared" si="15"/>
        <v>1.8228217280349981E-4</v>
      </c>
      <c r="G472" s="43">
        <v>0</v>
      </c>
    </row>
    <row r="473" spans="1:7" x14ac:dyDescent="0.25">
      <c r="A473" s="43" t="s">
        <v>779</v>
      </c>
      <c r="B473" s="43">
        <v>2</v>
      </c>
      <c r="C473" s="47">
        <f t="shared" si="14"/>
        <v>3.6456434560699962E-4</v>
      </c>
      <c r="D473" s="43">
        <v>1</v>
      </c>
      <c r="E473" s="47">
        <v>0.5</v>
      </c>
      <c r="F473" s="47">
        <f t="shared" si="15"/>
        <v>1.8228217280349981E-4</v>
      </c>
      <c r="G473" s="43">
        <v>0</v>
      </c>
    </row>
    <row r="474" spans="1:7" x14ac:dyDescent="0.25">
      <c r="A474" s="43" t="s">
        <v>3181</v>
      </c>
      <c r="B474" s="43">
        <v>2</v>
      </c>
      <c r="C474" s="47">
        <f t="shared" si="14"/>
        <v>3.6456434560699962E-4</v>
      </c>
      <c r="D474" s="43">
        <v>1</v>
      </c>
      <c r="E474" s="47">
        <v>0.5</v>
      </c>
      <c r="F474" s="47">
        <f t="shared" si="15"/>
        <v>1.8228217280349981E-4</v>
      </c>
      <c r="G474" s="43">
        <v>0</v>
      </c>
    </row>
    <row r="475" spans="1:7" x14ac:dyDescent="0.25">
      <c r="A475" s="43" t="s">
        <v>3182</v>
      </c>
      <c r="B475" s="43">
        <v>2</v>
      </c>
      <c r="C475" s="47">
        <f t="shared" si="14"/>
        <v>3.6456434560699962E-4</v>
      </c>
      <c r="D475" s="43">
        <v>1</v>
      </c>
      <c r="E475" s="47">
        <v>0.5</v>
      </c>
      <c r="F475" s="47">
        <f t="shared" si="15"/>
        <v>1.8228217280349981E-4</v>
      </c>
      <c r="G475" s="43">
        <v>1</v>
      </c>
    </row>
    <row r="476" spans="1:7" x14ac:dyDescent="0.25">
      <c r="A476" s="43" t="s">
        <v>3183</v>
      </c>
      <c r="B476" s="43">
        <v>2</v>
      </c>
      <c r="C476" s="47">
        <f t="shared" si="14"/>
        <v>3.6456434560699962E-4</v>
      </c>
      <c r="D476" s="43">
        <v>1</v>
      </c>
      <c r="E476" s="47">
        <v>0.5</v>
      </c>
      <c r="F476" s="47">
        <f t="shared" si="15"/>
        <v>1.8228217280349981E-4</v>
      </c>
      <c r="G476" s="43">
        <v>0</v>
      </c>
    </row>
    <row r="477" spans="1:7" x14ac:dyDescent="0.25">
      <c r="A477" s="43" t="s">
        <v>3184</v>
      </c>
      <c r="B477" s="43">
        <v>2</v>
      </c>
      <c r="C477" s="47">
        <f t="shared" si="14"/>
        <v>3.6456434560699962E-4</v>
      </c>
      <c r="D477" s="43">
        <v>1</v>
      </c>
      <c r="E477" s="47">
        <v>0.5</v>
      </c>
      <c r="F477" s="47">
        <f t="shared" si="15"/>
        <v>1.8228217280349981E-4</v>
      </c>
      <c r="G477" s="43">
        <v>0</v>
      </c>
    </row>
    <row r="478" spans="1:7" x14ac:dyDescent="0.25">
      <c r="A478" s="43" t="s">
        <v>3185</v>
      </c>
      <c r="B478" s="43">
        <v>2</v>
      </c>
      <c r="C478" s="47">
        <f t="shared" si="14"/>
        <v>3.6456434560699962E-4</v>
      </c>
      <c r="D478" s="43">
        <v>1</v>
      </c>
      <c r="E478" s="47">
        <v>0.5</v>
      </c>
      <c r="F478" s="47">
        <f t="shared" si="15"/>
        <v>1.8228217280349981E-4</v>
      </c>
      <c r="G478" s="43">
        <v>0</v>
      </c>
    </row>
    <row r="479" spans="1:7" x14ac:dyDescent="0.25">
      <c r="A479" s="43" t="s">
        <v>3186</v>
      </c>
      <c r="B479" s="43">
        <v>2</v>
      </c>
      <c r="C479" s="47">
        <f t="shared" si="14"/>
        <v>3.6456434560699962E-4</v>
      </c>
      <c r="D479" s="43">
        <v>1</v>
      </c>
      <c r="E479" s="47">
        <v>0.5</v>
      </c>
      <c r="F479" s="47">
        <f t="shared" si="15"/>
        <v>1.8228217280349981E-4</v>
      </c>
      <c r="G479" s="43">
        <v>1</v>
      </c>
    </row>
    <row r="480" spans="1:7" x14ac:dyDescent="0.25">
      <c r="A480" s="43" t="s">
        <v>3187</v>
      </c>
      <c r="B480" s="43">
        <v>2</v>
      </c>
      <c r="C480" s="47">
        <f t="shared" si="14"/>
        <v>3.6456434560699962E-4</v>
      </c>
      <c r="D480" s="43">
        <v>1</v>
      </c>
      <c r="E480" s="47">
        <v>0.5</v>
      </c>
      <c r="F480" s="47">
        <f t="shared" si="15"/>
        <v>1.8228217280349981E-4</v>
      </c>
      <c r="G480" s="43">
        <v>1</v>
      </c>
    </row>
    <row r="481" spans="1:7" x14ac:dyDescent="0.25">
      <c r="A481" s="43" t="s">
        <v>738</v>
      </c>
      <c r="B481" s="43">
        <v>2</v>
      </c>
      <c r="C481" s="47">
        <f t="shared" si="14"/>
        <v>3.6456434560699962E-4</v>
      </c>
      <c r="D481" s="43">
        <v>1</v>
      </c>
      <c r="E481" s="47">
        <v>0.5</v>
      </c>
      <c r="F481" s="47">
        <f t="shared" si="15"/>
        <v>1.8228217280349981E-4</v>
      </c>
      <c r="G481" s="43">
        <v>1</v>
      </c>
    </row>
    <row r="482" spans="1:7" x14ac:dyDescent="0.25">
      <c r="A482" s="43" t="s">
        <v>3188</v>
      </c>
      <c r="B482" s="43">
        <v>2</v>
      </c>
      <c r="C482" s="47">
        <f t="shared" si="14"/>
        <v>3.6456434560699962E-4</v>
      </c>
      <c r="D482" s="43">
        <v>1</v>
      </c>
      <c r="E482" s="47">
        <v>0.5</v>
      </c>
      <c r="F482" s="47">
        <f t="shared" si="15"/>
        <v>1.8228217280349981E-4</v>
      </c>
      <c r="G482" s="43">
        <v>0</v>
      </c>
    </row>
    <row r="483" spans="1:7" x14ac:dyDescent="0.25">
      <c r="A483" s="43" t="s">
        <v>746</v>
      </c>
      <c r="B483" s="43">
        <v>2</v>
      </c>
      <c r="C483" s="47">
        <f t="shared" si="14"/>
        <v>3.6456434560699962E-4</v>
      </c>
      <c r="D483" s="43">
        <v>1</v>
      </c>
      <c r="E483" s="47">
        <v>0.5</v>
      </c>
      <c r="F483" s="47">
        <f t="shared" si="15"/>
        <v>1.8228217280349981E-4</v>
      </c>
      <c r="G483" s="43">
        <v>1</v>
      </c>
    </row>
    <row r="484" spans="1:7" x14ac:dyDescent="0.25">
      <c r="A484" s="43" t="s">
        <v>3189</v>
      </c>
      <c r="B484" s="43">
        <v>2</v>
      </c>
      <c r="C484" s="47">
        <f t="shared" si="14"/>
        <v>3.6456434560699962E-4</v>
      </c>
      <c r="D484" s="43">
        <v>1</v>
      </c>
      <c r="E484" s="47">
        <v>0.5</v>
      </c>
      <c r="F484" s="47">
        <f t="shared" si="15"/>
        <v>1.8228217280349981E-4</v>
      </c>
      <c r="G484" s="43">
        <v>0</v>
      </c>
    </row>
    <row r="485" spans="1:7" x14ac:dyDescent="0.25">
      <c r="A485" s="43" t="s">
        <v>3190</v>
      </c>
      <c r="B485" s="43">
        <v>2</v>
      </c>
      <c r="C485" s="47">
        <f t="shared" si="14"/>
        <v>3.6456434560699962E-4</v>
      </c>
      <c r="D485" s="43">
        <v>1</v>
      </c>
      <c r="E485" s="47">
        <v>0.5</v>
      </c>
      <c r="F485" s="47">
        <f t="shared" si="15"/>
        <v>1.8228217280349981E-4</v>
      </c>
      <c r="G485" s="43">
        <v>0</v>
      </c>
    </row>
    <row r="486" spans="1:7" x14ac:dyDescent="0.25">
      <c r="A486" s="43" t="s">
        <v>1963</v>
      </c>
      <c r="B486" s="43">
        <v>2</v>
      </c>
      <c r="C486" s="47">
        <f t="shared" si="14"/>
        <v>3.6456434560699962E-4</v>
      </c>
      <c r="D486" s="43">
        <v>1</v>
      </c>
      <c r="E486" s="47">
        <v>0.5</v>
      </c>
      <c r="F486" s="47">
        <f t="shared" si="15"/>
        <v>1.8228217280349981E-4</v>
      </c>
      <c r="G486" s="43">
        <v>0</v>
      </c>
    </row>
    <row r="487" spans="1:7" x14ac:dyDescent="0.25">
      <c r="A487" s="43" t="s">
        <v>3191</v>
      </c>
      <c r="B487" s="43">
        <v>2</v>
      </c>
      <c r="C487" s="47">
        <f t="shared" si="14"/>
        <v>3.6456434560699962E-4</v>
      </c>
      <c r="D487" s="43">
        <v>1</v>
      </c>
      <c r="E487" s="47">
        <v>0.5</v>
      </c>
      <c r="F487" s="47">
        <f t="shared" si="15"/>
        <v>1.8228217280349981E-4</v>
      </c>
      <c r="G487" s="43">
        <v>1</v>
      </c>
    </row>
    <row r="488" spans="1:7" x14ac:dyDescent="0.25">
      <c r="A488" s="43" t="s">
        <v>3192</v>
      </c>
      <c r="B488" s="43">
        <v>2</v>
      </c>
      <c r="C488" s="47">
        <f t="shared" si="14"/>
        <v>3.6456434560699962E-4</v>
      </c>
      <c r="D488" s="43">
        <v>1</v>
      </c>
      <c r="E488" s="47">
        <v>0.5</v>
      </c>
      <c r="F488" s="47">
        <f t="shared" si="15"/>
        <v>1.8228217280349981E-4</v>
      </c>
      <c r="G488" s="43">
        <v>1</v>
      </c>
    </row>
    <row r="489" spans="1:7" x14ac:dyDescent="0.25">
      <c r="A489" s="43" t="s">
        <v>3193</v>
      </c>
      <c r="B489" s="43">
        <v>2</v>
      </c>
      <c r="C489" s="47">
        <f t="shared" si="14"/>
        <v>3.6456434560699962E-4</v>
      </c>
      <c r="D489" s="43">
        <v>1</v>
      </c>
      <c r="E489" s="47">
        <v>0.5</v>
      </c>
      <c r="F489" s="47">
        <f t="shared" si="15"/>
        <v>1.8228217280349981E-4</v>
      </c>
      <c r="G489" s="43">
        <v>1</v>
      </c>
    </row>
    <row r="490" spans="1:7" x14ac:dyDescent="0.25">
      <c r="A490" s="43" t="s">
        <v>1452</v>
      </c>
      <c r="B490" s="43">
        <v>2</v>
      </c>
      <c r="C490" s="47">
        <f t="shared" si="14"/>
        <v>3.6456434560699962E-4</v>
      </c>
      <c r="D490" s="43">
        <v>1</v>
      </c>
      <c r="E490" s="47">
        <v>0.5</v>
      </c>
      <c r="F490" s="47">
        <f t="shared" si="15"/>
        <v>1.8228217280349981E-4</v>
      </c>
      <c r="G490" s="43">
        <v>1</v>
      </c>
    </row>
    <row r="491" spans="1:7" x14ac:dyDescent="0.25">
      <c r="A491" s="43" t="s">
        <v>675</v>
      </c>
      <c r="B491" s="43">
        <v>2</v>
      </c>
      <c r="C491" s="47">
        <f t="shared" si="14"/>
        <v>3.6456434560699962E-4</v>
      </c>
      <c r="D491" s="43">
        <v>1</v>
      </c>
      <c r="E491" s="47">
        <v>0.5</v>
      </c>
      <c r="F491" s="47">
        <f t="shared" si="15"/>
        <v>1.8228217280349981E-4</v>
      </c>
      <c r="G491" s="43">
        <v>1</v>
      </c>
    </row>
    <row r="492" spans="1:7" x14ac:dyDescent="0.25">
      <c r="A492" s="43" t="s">
        <v>3194</v>
      </c>
      <c r="B492" s="43">
        <v>2</v>
      </c>
      <c r="C492" s="47">
        <f t="shared" si="14"/>
        <v>3.6456434560699962E-4</v>
      </c>
      <c r="D492" s="43">
        <v>1</v>
      </c>
      <c r="E492" s="47">
        <v>0.5</v>
      </c>
      <c r="F492" s="47">
        <f t="shared" si="15"/>
        <v>1.8228217280349981E-4</v>
      </c>
      <c r="G492" s="43">
        <v>1</v>
      </c>
    </row>
    <row r="493" spans="1:7" x14ac:dyDescent="0.25">
      <c r="A493" s="43" t="s">
        <v>3195</v>
      </c>
      <c r="B493" s="43">
        <v>2</v>
      </c>
      <c r="C493" s="47">
        <f t="shared" si="14"/>
        <v>3.6456434560699962E-4</v>
      </c>
      <c r="D493" s="43">
        <v>1</v>
      </c>
      <c r="E493" s="47">
        <v>0.5</v>
      </c>
      <c r="F493" s="47">
        <f t="shared" si="15"/>
        <v>1.8228217280349981E-4</v>
      </c>
      <c r="G493" s="43">
        <v>1</v>
      </c>
    </row>
    <row r="494" spans="1:7" x14ac:dyDescent="0.25">
      <c r="A494" s="43" t="s">
        <v>3196</v>
      </c>
      <c r="B494" s="43">
        <v>2</v>
      </c>
      <c r="C494" s="47">
        <f t="shared" si="14"/>
        <v>3.6456434560699962E-4</v>
      </c>
      <c r="D494" s="43">
        <v>1</v>
      </c>
      <c r="E494" s="47">
        <v>0.5</v>
      </c>
      <c r="F494" s="47">
        <f t="shared" si="15"/>
        <v>1.8228217280349981E-4</v>
      </c>
      <c r="G494" s="43">
        <v>1</v>
      </c>
    </row>
    <row r="495" spans="1:7" x14ac:dyDescent="0.25">
      <c r="A495" s="43" t="s">
        <v>3197</v>
      </c>
      <c r="B495" s="43">
        <v>2</v>
      </c>
      <c r="C495" s="47">
        <f t="shared" si="14"/>
        <v>3.6456434560699962E-4</v>
      </c>
      <c r="D495" s="43">
        <v>1</v>
      </c>
      <c r="E495" s="47">
        <v>0.5</v>
      </c>
      <c r="F495" s="47">
        <f t="shared" si="15"/>
        <v>1.8228217280349981E-4</v>
      </c>
      <c r="G495" s="43">
        <v>1</v>
      </c>
    </row>
    <row r="496" spans="1:7" x14ac:dyDescent="0.25">
      <c r="A496" s="43" t="s">
        <v>3198</v>
      </c>
      <c r="B496" s="43">
        <v>2</v>
      </c>
      <c r="C496" s="47">
        <f t="shared" si="14"/>
        <v>3.6456434560699962E-4</v>
      </c>
      <c r="D496" s="43">
        <v>1</v>
      </c>
      <c r="E496" s="47">
        <v>0.5</v>
      </c>
      <c r="F496" s="47">
        <f t="shared" si="15"/>
        <v>1.8228217280349981E-4</v>
      </c>
      <c r="G496" s="43">
        <v>1</v>
      </c>
    </row>
    <row r="497" spans="1:7" x14ac:dyDescent="0.25">
      <c r="A497" s="43" t="s">
        <v>628</v>
      </c>
      <c r="B497" s="43">
        <v>4</v>
      </c>
      <c r="C497" s="47">
        <f t="shared" si="14"/>
        <v>7.2912869121399923E-4</v>
      </c>
      <c r="D497" s="43">
        <v>1</v>
      </c>
      <c r="E497" s="47">
        <v>0.25</v>
      </c>
      <c r="F497" s="47">
        <f t="shared" si="15"/>
        <v>1.8228217280349981E-4</v>
      </c>
      <c r="G497" s="43">
        <v>1</v>
      </c>
    </row>
    <row r="498" spans="1:7" x14ac:dyDescent="0.25">
      <c r="A498" s="43" t="s">
        <v>3083</v>
      </c>
      <c r="B498" s="43">
        <v>4</v>
      </c>
      <c r="C498" s="47">
        <f t="shared" si="14"/>
        <v>7.2912869121399923E-4</v>
      </c>
      <c r="D498" s="43">
        <v>1</v>
      </c>
      <c r="E498" s="47">
        <v>0.25</v>
      </c>
      <c r="F498" s="47">
        <f t="shared" si="15"/>
        <v>1.8228217280349981E-4</v>
      </c>
      <c r="G498" s="43">
        <v>1</v>
      </c>
    </row>
    <row r="499" spans="1:7" x14ac:dyDescent="0.25">
      <c r="A499" s="43" t="s">
        <v>3084</v>
      </c>
      <c r="B499" s="43">
        <v>4</v>
      </c>
      <c r="C499" s="47">
        <f t="shared" si="14"/>
        <v>7.2912869121399923E-4</v>
      </c>
      <c r="D499" s="43">
        <v>1</v>
      </c>
      <c r="E499" s="47">
        <v>0.25</v>
      </c>
      <c r="F499" s="47">
        <f t="shared" si="15"/>
        <v>1.8228217280349981E-4</v>
      </c>
      <c r="G499" s="43">
        <v>1</v>
      </c>
    </row>
    <row r="500" spans="1:7" x14ac:dyDescent="0.25">
      <c r="A500" s="43" t="s">
        <v>3085</v>
      </c>
      <c r="B500" s="43">
        <v>4</v>
      </c>
      <c r="C500" s="47">
        <f t="shared" si="14"/>
        <v>7.2912869121399923E-4</v>
      </c>
      <c r="D500" s="43">
        <v>1</v>
      </c>
      <c r="E500" s="47">
        <v>0.25</v>
      </c>
      <c r="F500" s="47">
        <f t="shared" si="15"/>
        <v>1.8228217280349981E-4</v>
      </c>
      <c r="G500" s="43">
        <v>1</v>
      </c>
    </row>
    <row r="501" spans="1:7" x14ac:dyDescent="0.25">
      <c r="A501" s="43" t="s">
        <v>3086</v>
      </c>
      <c r="B501" s="43">
        <v>4</v>
      </c>
      <c r="C501" s="47">
        <f t="shared" si="14"/>
        <v>7.2912869121399923E-4</v>
      </c>
      <c r="D501" s="43">
        <v>1</v>
      </c>
      <c r="E501" s="47">
        <v>0.25</v>
      </c>
      <c r="F501" s="47">
        <f t="shared" si="15"/>
        <v>1.8228217280349981E-4</v>
      </c>
      <c r="G501" s="43">
        <v>1</v>
      </c>
    </row>
    <row r="502" spans="1:7" x14ac:dyDescent="0.25">
      <c r="A502" s="43" t="s">
        <v>629</v>
      </c>
      <c r="B502" s="43">
        <v>4</v>
      </c>
      <c r="C502" s="47">
        <f t="shared" si="14"/>
        <v>7.2912869121399923E-4</v>
      </c>
      <c r="D502" s="43">
        <v>1</v>
      </c>
      <c r="E502" s="47">
        <v>0.25</v>
      </c>
      <c r="F502" s="47">
        <f t="shared" si="15"/>
        <v>1.8228217280349981E-4</v>
      </c>
      <c r="G502" s="43">
        <v>1</v>
      </c>
    </row>
    <row r="503" spans="1:7" x14ac:dyDescent="0.25">
      <c r="A503" s="43" t="s">
        <v>3087</v>
      </c>
      <c r="B503" s="43">
        <v>4</v>
      </c>
      <c r="C503" s="47">
        <f t="shared" si="14"/>
        <v>7.2912869121399923E-4</v>
      </c>
      <c r="D503" s="43">
        <v>1</v>
      </c>
      <c r="E503" s="47">
        <v>0.25</v>
      </c>
      <c r="F503" s="47">
        <f t="shared" si="15"/>
        <v>1.8228217280349981E-4</v>
      </c>
      <c r="G503" s="43">
        <v>1</v>
      </c>
    </row>
    <row r="504" spans="1:7" x14ac:dyDescent="0.25">
      <c r="A504" s="43" t="s">
        <v>1892</v>
      </c>
      <c r="B504" s="43">
        <v>4</v>
      </c>
      <c r="C504" s="47">
        <f t="shared" si="14"/>
        <v>7.2912869121399923E-4</v>
      </c>
      <c r="D504" s="43">
        <v>1</v>
      </c>
      <c r="E504" s="47">
        <v>0.25</v>
      </c>
      <c r="F504" s="47">
        <f t="shared" si="15"/>
        <v>1.8228217280349981E-4</v>
      </c>
      <c r="G504" s="43">
        <v>1</v>
      </c>
    </row>
    <row r="505" spans="1:7" x14ac:dyDescent="0.25">
      <c r="A505" s="43" t="s">
        <v>630</v>
      </c>
      <c r="B505" s="43">
        <v>4</v>
      </c>
      <c r="C505" s="47">
        <f t="shared" si="14"/>
        <v>7.2912869121399923E-4</v>
      </c>
      <c r="D505" s="43">
        <v>1</v>
      </c>
      <c r="E505" s="47">
        <v>0.25</v>
      </c>
      <c r="F505" s="47">
        <f t="shared" si="15"/>
        <v>1.8228217280349981E-4</v>
      </c>
      <c r="G505" s="43">
        <v>1</v>
      </c>
    </row>
    <row r="506" spans="1:7" x14ac:dyDescent="0.25">
      <c r="A506" s="43" t="s">
        <v>3088</v>
      </c>
      <c r="B506" s="43">
        <v>4</v>
      </c>
      <c r="C506" s="47">
        <f t="shared" si="14"/>
        <v>7.2912869121399923E-4</v>
      </c>
      <c r="D506" s="43">
        <v>1</v>
      </c>
      <c r="E506" s="47">
        <v>0.25</v>
      </c>
      <c r="F506" s="47">
        <f t="shared" si="15"/>
        <v>1.8228217280349981E-4</v>
      </c>
      <c r="G506" s="43">
        <v>1</v>
      </c>
    </row>
    <row r="507" spans="1:7" x14ac:dyDescent="0.25">
      <c r="A507" s="43" t="s">
        <v>1140</v>
      </c>
      <c r="B507" s="43">
        <v>4</v>
      </c>
      <c r="C507" s="47">
        <f t="shared" si="14"/>
        <v>7.2912869121399923E-4</v>
      </c>
      <c r="D507" s="43">
        <v>1</v>
      </c>
      <c r="E507" s="47">
        <v>0.25</v>
      </c>
      <c r="F507" s="47">
        <f t="shared" si="15"/>
        <v>1.8228217280349981E-4</v>
      </c>
      <c r="G507" s="43">
        <v>1</v>
      </c>
    </row>
    <row r="508" spans="1:7" x14ac:dyDescent="0.25">
      <c r="A508" s="43" t="s">
        <v>1563</v>
      </c>
      <c r="B508" s="43">
        <v>4</v>
      </c>
      <c r="C508" s="47">
        <f t="shared" si="14"/>
        <v>7.2912869121399923E-4</v>
      </c>
      <c r="D508" s="43">
        <v>1</v>
      </c>
      <c r="E508" s="47">
        <v>0.25</v>
      </c>
      <c r="F508" s="47">
        <f t="shared" si="15"/>
        <v>1.8228217280349981E-4</v>
      </c>
      <c r="G508" s="43">
        <v>1</v>
      </c>
    </row>
    <row r="509" spans="1:7" x14ac:dyDescent="0.25">
      <c r="A509" s="43" t="s">
        <v>1582</v>
      </c>
      <c r="B509" s="43">
        <v>4</v>
      </c>
      <c r="C509" s="47">
        <f t="shared" si="14"/>
        <v>7.2912869121399923E-4</v>
      </c>
      <c r="D509" s="43">
        <v>1</v>
      </c>
      <c r="E509" s="47">
        <v>0.25</v>
      </c>
      <c r="F509" s="47">
        <f t="shared" si="15"/>
        <v>1.8228217280349981E-4</v>
      </c>
      <c r="G509" s="43">
        <v>1</v>
      </c>
    </row>
    <row r="510" spans="1:7" x14ac:dyDescent="0.25">
      <c r="A510" s="43" t="s">
        <v>3118</v>
      </c>
      <c r="B510" s="43">
        <v>3</v>
      </c>
      <c r="C510" s="47">
        <f t="shared" si="14"/>
        <v>5.4684651841049945E-4</v>
      </c>
      <c r="D510" s="43">
        <v>1</v>
      </c>
      <c r="E510" s="47">
        <v>0.33300000000000002</v>
      </c>
      <c r="F510" s="47">
        <f t="shared" si="15"/>
        <v>1.8209989063069633E-4</v>
      </c>
      <c r="G510" s="43">
        <v>1</v>
      </c>
    </row>
    <row r="511" spans="1:7" x14ac:dyDescent="0.25">
      <c r="A511" s="43" t="s">
        <v>3119</v>
      </c>
      <c r="B511" s="43">
        <v>3</v>
      </c>
      <c r="C511" s="47">
        <f t="shared" si="14"/>
        <v>5.4684651841049945E-4</v>
      </c>
      <c r="D511" s="43">
        <v>1</v>
      </c>
      <c r="E511" s="47">
        <v>0.33300000000000002</v>
      </c>
      <c r="F511" s="47">
        <f t="shared" si="15"/>
        <v>1.8209989063069633E-4</v>
      </c>
      <c r="G511" s="43">
        <v>1</v>
      </c>
    </row>
    <row r="512" spans="1:7" x14ac:dyDescent="0.25">
      <c r="A512" s="43" t="s">
        <v>1760</v>
      </c>
      <c r="B512" s="43">
        <v>3</v>
      </c>
      <c r="C512" s="47">
        <f t="shared" si="14"/>
        <v>5.4684651841049945E-4</v>
      </c>
      <c r="D512" s="43">
        <v>1</v>
      </c>
      <c r="E512" s="47">
        <v>0.33300000000000002</v>
      </c>
      <c r="F512" s="47">
        <f t="shared" si="15"/>
        <v>1.8209989063069633E-4</v>
      </c>
      <c r="G512" s="43">
        <v>0</v>
      </c>
    </row>
    <row r="513" spans="1:7" x14ac:dyDescent="0.25">
      <c r="A513" s="43" t="s">
        <v>3120</v>
      </c>
      <c r="B513" s="43">
        <v>3</v>
      </c>
      <c r="C513" s="47">
        <f t="shared" si="14"/>
        <v>5.4684651841049945E-4</v>
      </c>
      <c r="D513" s="43">
        <v>1</v>
      </c>
      <c r="E513" s="47">
        <v>0.33300000000000002</v>
      </c>
      <c r="F513" s="47">
        <f t="shared" si="15"/>
        <v>1.8209989063069633E-4</v>
      </c>
      <c r="G513" s="43">
        <v>1</v>
      </c>
    </row>
    <row r="514" spans="1:7" x14ac:dyDescent="0.25">
      <c r="A514" s="43" t="s">
        <v>3121</v>
      </c>
      <c r="B514" s="43">
        <v>3</v>
      </c>
      <c r="C514" s="47">
        <f t="shared" ref="C514:C577" si="16">B514/$B$602</f>
        <v>5.4684651841049945E-4</v>
      </c>
      <c r="D514" s="43">
        <v>1</v>
      </c>
      <c r="E514" s="47">
        <v>0.33300000000000002</v>
      </c>
      <c r="F514" s="47">
        <f t="shared" ref="F514:F577" si="17">E514*C514</f>
        <v>1.8209989063069633E-4</v>
      </c>
      <c r="G514" s="43">
        <v>1</v>
      </c>
    </row>
    <row r="515" spans="1:7" x14ac:dyDescent="0.25">
      <c r="A515" s="43" t="s">
        <v>3122</v>
      </c>
      <c r="B515" s="43">
        <v>3</v>
      </c>
      <c r="C515" s="47">
        <f t="shared" si="16"/>
        <v>5.4684651841049945E-4</v>
      </c>
      <c r="D515" s="43">
        <v>1</v>
      </c>
      <c r="E515" s="47">
        <v>0.33300000000000002</v>
      </c>
      <c r="F515" s="47">
        <f t="shared" si="17"/>
        <v>1.8209989063069633E-4</v>
      </c>
      <c r="G515" s="43">
        <v>1</v>
      </c>
    </row>
    <row r="516" spans="1:7" x14ac:dyDescent="0.25">
      <c r="A516" s="43" t="s">
        <v>3123</v>
      </c>
      <c r="B516" s="43">
        <v>3</v>
      </c>
      <c r="C516" s="47">
        <f t="shared" si="16"/>
        <v>5.4684651841049945E-4</v>
      </c>
      <c r="D516" s="43">
        <v>1</v>
      </c>
      <c r="E516" s="47">
        <v>0.33300000000000002</v>
      </c>
      <c r="F516" s="47">
        <f t="shared" si="17"/>
        <v>1.8209989063069633E-4</v>
      </c>
      <c r="G516" s="43">
        <v>1</v>
      </c>
    </row>
    <row r="517" spans="1:7" x14ac:dyDescent="0.25">
      <c r="A517" s="43" t="s">
        <v>3124</v>
      </c>
      <c r="B517" s="43">
        <v>3</v>
      </c>
      <c r="C517" s="47">
        <f t="shared" si="16"/>
        <v>5.4684651841049945E-4</v>
      </c>
      <c r="D517" s="43">
        <v>1</v>
      </c>
      <c r="E517" s="47">
        <v>0.33300000000000002</v>
      </c>
      <c r="F517" s="47">
        <f t="shared" si="17"/>
        <v>1.8209989063069633E-4</v>
      </c>
      <c r="G517" s="43">
        <v>1</v>
      </c>
    </row>
    <row r="518" spans="1:7" x14ac:dyDescent="0.25">
      <c r="A518" s="43" t="s">
        <v>986</v>
      </c>
      <c r="B518" s="43">
        <v>3</v>
      </c>
      <c r="C518" s="47">
        <f t="shared" si="16"/>
        <v>5.4684651841049945E-4</v>
      </c>
      <c r="D518" s="43">
        <v>1</v>
      </c>
      <c r="E518" s="47">
        <v>0.33300000000000002</v>
      </c>
      <c r="F518" s="47">
        <f t="shared" si="17"/>
        <v>1.8209989063069633E-4</v>
      </c>
      <c r="G518" s="43">
        <v>1</v>
      </c>
    </row>
    <row r="519" spans="1:7" x14ac:dyDescent="0.25">
      <c r="A519" s="43" t="s">
        <v>3125</v>
      </c>
      <c r="B519" s="43">
        <v>3</v>
      </c>
      <c r="C519" s="47">
        <f t="shared" si="16"/>
        <v>5.4684651841049945E-4</v>
      </c>
      <c r="D519" s="43">
        <v>1</v>
      </c>
      <c r="E519" s="47">
        <v>0.33300000000000002</v>
      </c>
      <c r="F519" s="47">
        <f t="shared" si="17"/>
        <v>1.8209989063069633E-4</v>
      </c>
      <c r="G519" s="43">
        <v>1</v>
      </c>
    </row>
    <row r="520" spans="1:7" x14ac:dyDescent="0.25">
      <c r="A520" s="43" t="s">
        <v>3126</v>
      </c>
      <c r="B520" s="43">
        <v>3</v>
      </c>
      <c r="C520" s="47">
        <f t="shared" si="16"/>
        <v>5.4684651841049945E-4</v>
      </c>
      <c r="D520" s="43">
        <v>1</v>
      </c>
      <c r="E520" s="47">
        <v>0.33300000000000002</v>
      </c>
      <c r="F520" s="47">
        <f t="shared" si="17"/>
        <v>1.8209989063069633E-4</v>
      </c>
      <c r="G520" s="43">
        <v>1</v>
      </c>
    </row>
    <row r="521" spans="1:7" x14ac:dyDescent="0.25">
      <c r="A521" s="43" t="s">
        <v>1837</v>
      </c>
      <c r="B521" s="43">
        <v>3</v>
      </c>
      <c r="C521" s="47">
        <f t="shared" si="16"/>
        <v>5.4684651841049945E-4</v>
      </c>
      <c r="D521" s="43">
        <v>1</v>
      </c>
      <c r="E521" s="47">
        <v>0.33300000000000002</v>
      </c>
      <c r="F521" s="47">
        <f t="shared" si="17"/>
        <v>1.8209989063069633E-4</v>
      </c>
      <c r="G521" s="43">
        <v>1</v>
      </c>
    </row>
    <row r="522" spans="1:7" x14ac:dyDescent="0.25">
      <c r="A522" s="43" t="s">
        <v>684</v>
      </c>
      <c r="B522" s="43">
        <v>9</v>
      </c>
      <c r="C522" s="47">
        <f t="shared" si="16"/>
        <v>1.6405395552314983E-3</v>
      </c>
      <c r="D522" s="43">
        <v>1</v>
      </c>
      <c r="E522" s="47">
        <v>0.111</v>
      </c>
      <c r="F522" s="47">
        <f t="shared" si="17"/>
        <v>1.820998906306963E-4</v>
      </c>
      <c r="G522" s="43">
        <v>1</v>
      </c>
    </row>
    <row r="523" spans="1:7" x14ac:dyDescent="0.25">
      <c r="A523" s="43" t="s">
        <v>3006</v>
      </c>
      <c r="B523" s="43">
        <v>9</v>
      </c>
      <c r="C523" s="47">
        <f t="shared" si="16"/>
        <v>1.6405395552314983E-3</v>
      </c>
      <c r="D523" s="43">
        <v>1</v>
      </c>
      <c r="E523" s="47">
        <v>0.111</v>
      </c>
      <c r="F523" s="47">
        <f t="shared" si="17"/>
        <v>1.820998906306963E-4</v>
      </c>
      <c r="G523" s="43">
        <v>1</v>
      </c>
    </row>
    <row r="524" spans="1:7" x14ac:dyDescent="0.25">
      <c r="A524" s="43" t="s">
        <v>3199</v>
      </c>
      <c r="B524" s="43">
        <v>2</v>
      </c>
      <c r="C524" s="47">
        <f t="shared" si="16"/>
        <v>3.6456434560699962E-4</v>
      </c>
      <c r="D524" s="43">
        <v>0</v>
      </c>
      <c r="E524" s="47">
        <v>0</v>
      </c>
      <c r="F524" s="47">
        <f t="shared" si="17"/>
        <v>0</v>
      </c>
      <c r="G524" s="43">
        <v>1</v>
      </c>
    </row>
    <row r="525" spans="1:7" x14ac:dyDescent="0.25">
      <c r="A525" s="43" t="s">
        <v>3200</v>
      </c>
      <c r="B525" s="43">
        <v>2</v>
      </c>
      <c r="C525" s="47">
        <f t="shared" si="16"/>
        <v>3.6456434560699962E-4</v>
      </c>
      <c r="D525" s="43">
        <v>0</v>
      </c>
      <c r="E525" s="47">
        <v>0</v>
      </c>
      <c r="F525" s="47">
        <f t="shared" si="17"/>
        <v>0</v>
      </c>
      <c r="G525" s="43">
        <v>1</v>
      </c>
    </row>
    <row r="526" spans="1:7" x14ac:dyDescent="0.25">
      <c r="A526" s="43" t="s">
        <v>3201</v>
      </c>
      <c r="B526" s="43">
        <v>2</v>
      </c>
      <c r="C526" s="47">
        <f t="shared" si="16"/>
        <v>3.6456434560699962E-4</v>
      </c>
      <c r="D526" s="43">
        <v>0</v>
      </c>
      <c r="E526" s="47">
        <v>0</v>
      </c>
      <c r="F526" s="47">
        <f t="shared" si="17"/>
        <v>0</v>
      </c>
      <c r="G526" s="43">
        <v>1</v>
      </c>
    </row>
    <row r="527" spans="1:7" x14ac:dyDescent="0.25">
      <c r="A527" s="43" t="s">
        <v>3127</v>
      </c>
      <c r="B527" s="43">
        <v>3</v>
      </c>
      <c r="C527" s="47">
        <f t="shared" si="16"/>
        <v>5.4684651841049945E-4</v>
      </c>
      <c r="D527" s="43">
        <v>0</v>
      </c>
      <c r="E527" s="47">
        <v>0</v>
      </c>
      <c r="F527" s="47">
        <f t="shared" si="17"/>
        <v>0</v>
      </c>
      <c r="G527" s="43">
        <v>1</v>
      </c>
    </row>
    <row r="528" spans="1:7" x14ac:dyDescent="0.25">
      <c r="A528" s="43" t="s">
        <v>1262</v>
      </c>
      <c r="B528" s="43">
        <v>2</v>
      </c>
      <c r="C528" s="47">
        <f t="shared" si="16"/>
        <v>3.6456434560699962E-4</v>
      </c>
      <c r="D528" s="43">
        <v>0</v>
      </c>
      <c r="E528" s="47">
        <v>0</v>
      </c>
      <c r="F528" s="47">
        <f t="shared" si="17"/>
        <v>0</v>
      </c>
      <c r="G528" s="43">
        <v>1</v>
      </c>
    </row>
    <row r="529" spans="1:7" x14ac:dyDescent="0.25">
      <c r="A529" s="43" t="s">
        <v>626</v>
      </c>
      <c r="B529" s="43">
        <v>4</v>
      </c>
      <c r="C529" s="47">
        <f t="shared" si="16"/>
        <v>7.2912869121399923E-4</v>
      </c>
      <c r="D529" s="43">
        <v>0</v>
      </c>
      <c r="E529" s="47">
        <v>0</v>
      </c>
      <c r="F529" s="47">
        <f t="shared" si="17"/>
        <v>0</v>
      </c>
      <c r="G529" s="43">
        <v>1</v>
      </c>
    </row>
    <row r="530" spans="1:7" x14ac:dyDescent="0.25">
      <c r="A530" s="43" t="s">
        <v>3028</v>
      </c>
      <c r="B530" s="43">
        <v>7</v>
      </c>
      <c r="C530" s="47">
        <f t="shared" si="16"/>
        <v>1.2759752096244987E-3</v>
      </c>
      <c r="D530" s="43">
        <v>0</v>
      </c>
      <c r="E530" s="47">
        <v>0</v>
      </c>
      <c r="F530" s="47">
        <f t="shared" si="17"/>
        <v>0</v>
      </c>
      <c r="G530" s="43">
        <v>0</v>
      </c>
    </row>
    <row r="531" spans="1:7" x14ac:dyDescent="0.25">
      <c r="A531" s="43" t="s">
        <v>1341</v>
      </c>
      <c r="B531" s="43">
        <v>1</v>
      </c>
      <c r="C531" s="47">
        <f t="shared" si="16"/>
        <v>1.8228217280349981E-4</v>
      </c>
      <c r="D531" s="43">
        <v>0</v>
      </c>
      <c r="E531" s="47">
        <v>0</v>
      </c>
      <c r="F531" s="47">
        <f t="shared" si="17"/>
        <v>0</v>
      </c>
      <c r="G531" s="43">
        <v>1</v>
      </c>
    </row>
    <row r="532" spans="1:7" x14ac:dyDescent="0.25">
      <c r="A532" s="43" t="s">
        <v>3128</v>
      </c>
      <c r="B532" s="43">
        <v>3</v>
      </c>
      <c r="C532" s="47">
        <f t="shared" si="16"/>
        <v>5.4684651841049945E-4</v>
      </c>
      <c r="D532" s="43">
        <v>0</v>
      </c>
      <c r="E532" s="47">
        <v>0</v>
      </c>
      <c r="F532" s="47">
        <f t="shared" si="17"/>
        <v>0</v>
      </c>
      <c r="G532" s="43">
        <v>1</v>
      </c>
    </row>
    <row r="533" spans="1:7" x14ac:dyDescent="0.25">
      <c r="A533" s="43" t="s">
        <v>3248</v>
      </c>
      <c r="B533" s="43">
        <v>1</v>
      </c>
      <c r="C533" s="47">
        <f t="shared" si="16"/>
        <v>1.8228217280349981E-4</v>
      </c>
      <c r="D533" s="43">
        <v>0</v>
      </c>
      <c r="E533" s="47">
        <v>0</v>
      </c>
      <c r="F533" s="47">
        <f t="shared" si="17"/>
        <v>0</v>
      </c>
      <c r="G533" s="43">
        <v>1</v>
      </c>
    </row>
    <row r="534" spans="1:7" x14ac:dyDescent="0.25">
      <c r="A534" s="43" t="s">
        <v>3202</v>
      </c>
      <c r="B534" s="43">
        <v>2</v>
      </c>
      <c r="C534" s="47">
        <f t="shared" si="16"/>
        <v>3.6456434560699962E-4</v>
      </c>
      <c r="D534" s="43">
        <v>0</v>
      </c>
      <c r="E534" s="47">
        <v>0</v>
      </c>
      <c r="F534" s="47">
        <f t="shared" si="17"/>
        <v>0</v>
      </c>
      <c r="G534" s="43">
        <v>1</v>
      </c>
    </row>
    <row r="535" spans="1:7" x14ac:dyDescent="0.25">
      <c r="A535" s="43" t="s">
        <v>3089</v>
      </c>
      <c r="B535" s="43">
        <v>4</v>
      </c>
      <c r="C535" s="47">
        <f t="shared" si="16"/>
        <v>7.2912869121399923E-4</v>
      </c>
      <c r="D535" s="43">
        <v>0</v>
      </c>
      <c r="E535" s="47">
        <v>0</v>
      </c>
      <c r="F535" s="47">
        <f t="shared" si="17"/>
        <v>0</v>
      </c>
      <c r="G535" s="43">
        <v>1</v>
      </c>
    </row>
    <row r="536" spans="1:7" x14ac:dyDescent="0.25">
      <c r="A536" s="43" t="s">
        <v>3203</v>
      </c>
      <c r="B536" s="43">
        <v>2</v>
      </c>
      <c r="C536" s="47">
        <f t="shared" si="16"/>
        <v>3.6456434560699962E-4</v>
      </c>
      <c r="D536" s="43">
        <v>0</v>
      </c>
      <c r="E536" s="47">
        <v>0</v>
      </c>
      <c r="F536" s="47">
        <f t="shared" si="17"/>
        <v>0</v>
      </c>
      <c r="G536" s="43">
        <v>1</v>
      </c>
    </row>
    <row r="537" spans="1:7" x14ac:dyDescent="0.25">
      <c r="A537" s="43" t="s">
        <v>3249</v>
      </c>
      <c r="B537" s="43">
        <v>1</v>
      </c>
      <c r="C537" s="47">
        <f t="shared" si="16"/>
        <v>1.8228217280349981E-4</v>
      </c>
      <c r="D537" s="43">
        <v>0</v>
      </c>
      <c r="E537" s="47">
        <v>0</v>
      </c>
      <c r="F537" s="47">
        <f t="shared" si="17"/>
        <v>0</v>
      </c>
      <c r="G537" s="43">
        <v>1</v>
      </c>
    </row>
    <row r="538" spans="1:7" x14ac:dyDescent="0.25">
      <c r="A538" s="43" t="s">
        <v>3250</v>
      </c>
      <c r="B538" s="43">
        <v>1</v>
      </c>
      <c r="C538" s="47">
        <f t="shared" si="16"/>
        <v>1.8228217280349981E-4</v>
      </c>
      <c r="D538" s="43">
        <v>0</v>
      </c>
      <c r="E538" s="47">
        <v>0</v>
      </c>
      <c r="F538" s="47">
        <f t="shared" si="17"/>
        <v>0</v>
      </c>
      <c r="G538" s="43">
        <v>1</v>
      </c>
    </row>
    <row r="539" spans="1:7" x14ac:dyDescent="0.25">
      <c r="A539" s="43" t="s">
        <v>748</v>
      </c>
      <c r="B539" s="43">
        <v>2</v>
      </c>
      <c r="C539" s="47">
        <f t="shared" si="16"/>
        <v>3.6456434560699962E-4</v>
      </c>
      <c r="D539" s="43">
        <v>0</v>
      </c>
      <c r="E539" s="47">
        <v>0</v>
      </c>
      <c r="F539" s="47">
        <f t="shared" si="17"/>
        <v>0</v>
      </c>
      <c r="G539" s="43">
        <v>1</v>
      </c>
    </row>
    <row r="540" spans="1:7" x14ac:dyDescent="0.25">
      <c r="A540" s="43" t="s">
        <v>3204</v>
      </c>
      <c r="B540" s="43">
        <v>2</v>
      </c>
      <c r="C540" s="47">
        <f t="shared" si="16"/>
        <v>3.6456434560699962E-4</v>
      </c>
      <c r="D540" s="43">
        <v>0</v>
      </c>
      <c r="E540" s="47">
        <v>0</v>
      </c>
      <c r="F540" s="47">
        <f t="shared" si="17"/>
        <v>0</v>
      </c>
      <c r="G540" s="43">
        <v>1</v>
      </c>
    </row>
    <row r="541" spans="1:7" x14ac:dyDescent="0.25">
      <c r="A541" s="43" t="s">
        <v>3205</v>
      </c>
      <c r="B541" s="43">
        <v>2</v>
      </c>
      <c r="C541" s="47">
        <f t="shared" si="16"/>
        <v>3.6456434560699962E-4</v>
      </c>
      <c r="D541" s="43">
        <v>0</v>
      </c>
      <c r="E541" s="47">
        <v>0</v>
      </c>
      <c r="F541" s="47">
        <f t="shared" si="17"/>
        <v>0</v>
      </c>
      <c r="G541" s="43">
        <v>0</v>
      </c>
    </row>
    <row r="542" spans="1:7" x14ac:dyDescent="0.25">
      <c r="A542" s="43" t="s">
        <v>1853</v>
      </c>
      <c r="B542" s="43">
        <v>2</v>
      </c>
      <c r="C542" s="47">
        <f t="shared" si="16"/>
        <v>3.6456434560699962E-4</v>
      </c>
      <c r="D542" s="43">
        <v>0</v>
      </c>
      <c r="E542" s="47">
        <v>0</v>
      </c>
      <c r="F542" s="47">
        <f t="shared" si="17"/>
        <v>0</v>
      </c>
      <c r="G542" s="43">
        <v>0</v>
      </c>
    </row>
    <row r="543" spans="1:7" x14ac:dyDescent="0.25">
      <c r="A543" s="43" t="s">
        <v>3206</v>
      </c>
      <c r="B543" s="43">
        <v>2</v>
      </c>
      <c r="C543" s="47">
        <f t="shared" si="16"/>
        <v>3.6456434560699962E-4</v>
      </c>
      <c r="D543" s="43">
        <v>0</v>
      </c>
      <c r="E543" s="47">
        <v>0</v>
      </c>
      <c r="F543" s="47">
        <f t="shared" si="17"/>
        <v>0</v>
      </c>
      <c r="G543" s="43">
        <v>0</v>
      </c>
    </row>
    <row r="544" spans="1:7" x14ac:dyDescent="0.25">
      <c r="A544" s="43" t="s">
        <v>1444</v>
      </c>
      <c r="B544" s="43">
        <v>1</v>
      </c>
      <c r="C544" s="47">
        <f t="shared" si="16"/>
        <v>1.8228217280349981E-4</v>
      </c>
      <c r="D544" s="43">
        <v>0</v>
      </c>
      <c r="E544" s="47">
        <v>0</v>
      </c>
      <c r="F544" s="47">
        <f t="shared" si="17"/>
        <v>0</v>
      </c>
      <c r="G544" s="43">
        <v>0</v>
      </c>
    </row>
    <row r="545" spans="1:7" x14ac:dyDescent="0.25">
      <c r="A545" s="43" t="s">
        <v>3090</v>
      </c>
      <c r="B545" s="43">
        <v>4</v>
      </c>
      <c r="C545" s="47">
        <f t="shared" si="16"/>
        <v>7.2912869121399923E-4</v>
      </c>
      <c r="D545" s="43">
        <v>0</v>
      </c>
      <c r="E545" s="47">
        <v>0</v>
      </c>
      <c r="F545" s="47">
        <f t="shared" si="17"/>
        <v>0</v>
      </c>
      <c r="G545" s="43">
        <v>0</v>
      </c>
    </row>
    <row r="546" spans="1:7" x14ac:dyDescent="0.25">
      <c r="A546" s="43" t="s">
        <v>3207</v>
      </c>
      <c r="B546" s="43">
        <v>2</v>
      </c>
      <c r="C546" s="47">
        <f t="shared" si="16"/>
        <v>3.6456434560699962E-4</v>
      </c>
      <c r="D546" s="43">
        <v>0</v>
      </c>
      <c r="E546" s="47">
        <v>0</v>
      </c>
      <c r="F546" s="47">
        <f t="shared" si="17"/>
        <v>0</v>
      </c>
      <c r="G546" s="43">
        <v>0</v>
      </c>
    </row>
    <row r="547" spans="1:7" x14ac:dyDescent="0.25">
      <c r="A547" s="43" t="s">
        <v>3251</v>
      </c>
      <c r="B547" s="43">
        <v>1</v>
      </c>
      <c r="C547" s="47">
        <f t="shared" si="16"/>
        <v>1.8228217280349981E-4</v>
      </c>
      <c r="D547" s="43">
        <v>0</v>
      </c>
      <c r="E547" s="47">
        <v>0</v>
      </c>
      <c r="F547" s="47">
        <f t="shared" si="17"/>
        <v>0</v>
      </c>
      <c r="G547" s="43">
        <v>1</v>
      </c>
    </row>
    <row r="548" spans="1:7" x14ac:dyDescent="0.25">
      <c r="A548" s="43" t="s">
        <v>805</v>
      </c>
      <c r="B548" s="43">
        <v>2</v>
      </c>
      <c r="C548" s="47">
        <f t="shared" si="16"/>
        <v>3.6456434560699962E-4</v>
      </c>
      <c r="D548" s="43">
        <v>0</v>
      </c>
      <c r="E548" s="47">
        <v>0</v>
      </c>
      <c r="F548" s="47">
        <f t="shared" si="17"/>
        <v>0</v>
      </c>
      <c r="G548" s="43">
        <v>0</v>
      </c>
    </row>
    <row r="549" spans="1:7" x14ac:dyDescent="0.25">
      <c r="A549" s="43" t="s">
        <v>1042</v>
      </c>
      <c r="B549" s="43">
        <v>2</v>
      </c>
      <c r="C549" s="47">
        <f t="shared" si="16"/>
        <v>3.6456434560699962E-4</v>
      </c>
      <c r="D549" s="43">
        <v>0</v>
      </c>
      <c r="E549" s="47">
        <v>0</v>
      </c>
      <c r="F549" s="47">
        <f t="shared" si="17"/>
        <v>0</v>
      </c>
      <c r="G549" s="43">
        <v>0</v>
      </c>
    </row>
    <row r="550" spans="1:7" x14ac:dyDescent="0.25">
      <c r="A550" s="43" t="s">
        <v>1050</v>
      </c>
      <c r="B550" s="43">
        <v>2</v>
      </c>
      <c r="C550" s="47">
        <f t="shared" si="16"/>
        <v>3.6456434560699962E-4</v>
      </c>
      <c r="D550" s="43">
        <v>0</v>
      </c>
      <c r="E550" s="47">
        <v>0</v>
      </c>
      <c r="F550" s="47">
        <f t="shared" si="17"/>
        <v>0</v>
      </c>
      <c r="G550" s="43">
        <v>1</v>
      </c>
    </row>
    <row r="551" spans="1:7" x14ac:dyDescent="0.25">
      <c r="A551" s="43" t="s">
        <v>3252</v>
      </c>
      <c r="B551" s="43">
        <v>1</v>
      </c>
      <c r="C551" s="47">
        <f t="shared" si="16"/>
        <v>1.8228217280349981E-4</v>
      </c>
      <c r="D551" s="43">
        <v>0</v>
      </c>
      <c r="E551" s="47">
        <v>0</v>
      </c>
      <c r="F551" s="47">
        <f t="shared" si="17"/>
        <v>0</v>
      </c>
      <c r="G551" s="43">
        <v>0</v>
      </c>
    </row>
    <row r="552" spans="1:7" x14ac:dyDescent="0.25">
      <c r="A552" s="43" t="s">
        <v>3253</v>
      </c>
      <c r="B552" s="43">
        <v>1</v>
      </c>
      <c r="C552" s="47">
        <f t="shared" si="16"/>
        <v>1.8228217280349981E-4</v>
      </c>
      <c r="D552" s="43">
        <v>0</v>
      </c>
      <c r="E552" s="47">
        <v>0</v>
      </c>
      <c r="F552" s="47">
        <f t="shared" si="17"/>
        <v>0</v>
      </c>
      <c r="G552" s="43">
        <v>1</v>
      </c>
    </row>
    <row r="553" spans="1:7" x14ac:dyDescent="0.25">
      <c r="A553" s="43" t="s">
        <v>3129</v>
      </c>
      <c r="B553" s="43">
        <v>3</v>
      </c>
      <c r="C553" s="47">
        <f t="shared" si="16"/>
        <v>5.4684651841049945E-4</v>
      </c>
      <c r="D553" s="43">
        <v>0</v>
      </c>
      <c r="E553" s="47">
        <v>0</v>
      </c>
      <c r="F553" s="47">
        <f t="shared" si="17"/>
        <v>0</v>
      </c>
      <c r="G553" s="43">
        <v>1</v>
      </c>
    </row>
    <row r="554" spans="1:7" x14ac:dyDescent="0.25">
      <c r="A554" s="43" t="s">
        <v>3208</v>
      </c>
      <c r="B554" s="43">
        <v>2</v>
      </c>
      <c r="C554" s="47">
        <f t="shared" si="16"/>
        <v>3.6456434560699962E-4</v>
      </c>
      <c r="D554" s="43">
        <v>0</v>
      </c>
      <c r="E554" s="47">
        <v>0</v>
      </c>
      <c r="F554" s="47">
        <f t="shared" si="17"/>
        <v>0</v>
      </c>
      <c r="G554" s="43">
        <v>1</v>
      </c>
    </row>
    <row r="555" spans="1:7" x14ac:dyDescent="0.25">
      <c r="A555" s="43" t="s">
        <v>3254</v>
      </c>
      <c r="B555" s="43">
        <v>1</v>
      </c>
      <c r="C555" s="47">
        <f t="shared" si="16"/>
        <v>1.8228217280349981E-4</v>
      </c>
      <c r="D555" s="43">
        <v>0</v>
      </c>
      <c r="E555" s="47">
        <v>0</v>
      </c>
      <c r="F555" s="47">
        <f t="shared" si="17"/>
        <v>0</v>
      </c>
      <c r="G555" s="43">
        <v>0</v>
      </c>
    </row>
    <row r="556" spans="1:7" x14ac:dyDescent="0.25">
      <c r="A556" s="43" t="s">
        <v>1052</v>
      </c>
      <c r="B556" s="43">
        <v>2</v>
      </c>
      <c r="C556" s="47">
        <f t="shared" si="16"/>
        <v>3.6456434560699962E-4</v>
      </c>
      <c r="D556" s="43">
        <v>0</v>
      </c>
      <c r="E556" s="47">
        <v>0</v>
      </c>
      <c r="F556" s="47">
        <f t="shared" si="17"/>
        <v>0</v>
      </c>
      <c r="G556" s="43">
        <v>1</v>
      </c>
    </row>
    <row r="557" spans="1:7" x14ac:dyDescent="0.25">
      <c r="A557" s="43" t="s">
        <v>3255</v>
      </c>
      <c r="B557" s="43">
        <v>1</v>
      </c>
      <c r="C557" s="47">
        <f t="shared" si="16"/>
        <v>1.8228217280349981E-4</v>
      </c>
      <c r="D557" s="43">
        <v>0</v>
      </c>
      <c r="E557" s="47">
        <v>0</v>
      </c>
      <c r="F557" s="47">
        <f t="shared" si="17"/>
        <v>0</v>
      </c>
      <c r="G557" s="43">
        <v>1</v>
      </c>
    </row>
    <row r="558" spans="1:7" x14ac:dyDescent="0.25">
      <c r="A558" s="43" t="s">
        <v>3209</v>
      </c>
      <c r="B558" s="43">
        <v>2</v>
      </c>
      <c r="C558" s="47">
        <f t="shared" si="16"/>
        <v>3.6456434560699962E-4</v>
      </c>
      <c r="D558" s="43">
        <v>0</v>
      </c>
      <c r="E558" s="47">
        <v>0</v>
      </c>
      <c r="F558" s="47">
        <f t="shared" si="17"/>
        <v>0</v>
      </c>
      <c r="G558" s="43">
        <v>1</v>
      </c>
    </row>
    <row r="559" spans="1:7" x14ac:dyDescent="0.25">
      <c r="A559" s="43" t="s">
        <v>3256</v>
      </c>
      <c r="B559" s="43">
        <v>1</v>
      </c>
      <c r="C559" s="47">
        <f t="shared" si="16"/>
        <v>1.8228217280349981E-4</v>
      </c>
      <c r="D559" s="43">
        <v>0</v>
      </c>
      <c r="E559" s="47">
        <v>0</v>
      </c>
      <c r="F559" s="47">
        <f t="shared" si="17"/>
        <v>0</v>
      </c>
      <c r="G559" s="43">
        <v>1</v>
      </c>
    </row>
    <row r="560" spans="1:7" x14ac:dyDescent="0.25">
      <c r="A560" s="43" t="s">
        <v>3210</v>
      </c>
      <c r="B560" s="43">
        <v>2</v>
      </c>
      <c r="C560" s="47">
        <f t="shared" si="16"/>
        <v>3.6456434560699962E-4</v>
      </c>
      <c r="D560" s="43">
        <v>0</v>
      </c>
      <c r="E560" s="47">
        <v>0</v>
      </c>
      <c r="F560" s="47">
        <f t="shared" si="17"/>
        <v>0</v>
      </c>
      <c r="G560" s="43">
        <v>1</v>
      </c>
    </row>
    <row r="561" spans="1:7" x14ac:dyDescent="0.25">
      <c r="A561" s="43" t="s">
        <v>3211</v>
      </c>
      <c r="B561" s="43">
        <v>2</v>
      </c>
      <c r="C561" s="47">
        <f t="shared" si="16"/>
        <v>3.6456434560699962E-4</v>
      </c>
      <c r="D561" s="43">
        <v>0</v>
      </c>
      <c r="E561" s="47">
        <v>0</v>
      </c>
      <c r="F561" s="47">
        <f t="shared" si="17"/>
        <v>0</v>
      </c>
      <c r="G561" s="43">
        <v>1</v>
      </c>
    </row>
    <row r="562" spans="1:7" x14ac:dyDescent="0.25">
      <c r="A562" s="43" t="s">
        <v>1865</v>
      </c>
      <c r="B562" s="43">
        <v>1</v>
      </c>
      <c r="C562" s="47">
        <f t="shared" si="16"/>
        <v>1.8228217280349981E-4</v>
      </c>
      <c r="D562" s="43">
        <v>0</v>
      </c>
      <c r="E562" s="47">
        <v>0</v>
      </c>
      <c r="F562" s="47">
        <f t="shared" si="17"/>
        <v>0</v>
      </c>
      <c r="G562" s="43">
        <v>1</v>
      </c>
    </row>
    <row r="563" spans="1:7" x14ac:dyDescent="0.25">
      <c r="A563" s="43" t="s">
        <v>3257</v>
      </c>
      <c r="B563" s="43">
        <v>1</v>
      </c>
      <c r="C563" s="47">
        <f t="shared" si="16"/>
        <v>1.8228217280349981E-4</v>
      </c>
      <c r="D563" s="43">
        <v>0</v>
      </c>
      <c r="E563" s="47">
        <v>0</v>
      </c>
      <c r="F563" s="47">
        <f t="shared" si="17"/>
        <v>0</v>
      </c>
      <c r="G563" s="43">
        <v>1</v>
      </c>
    </row>
    <row r="564" spans="1:7" x14ac:dyDescent="0.25">
      <c r="A564" s="43" t="s">
        <v>3212</v>
      </c>
      <c r="B564" s="43">
        <v>2</v>
      </c>
      <c r="C564" s="47">
        <f t="shared" si="16"/>
        <v>3.6456434560699962E-4</v>
      </c>
      <c r="D564" s="43">
        <v>0</v>
      </c>
      <c r="E564" s="47">
        <v>0</v>
      </c>
      <c r="F564" s="47">
        <f t="shared" si="17"/>
        <v>0</v>
      </c>
      <c r="G564" s="43">
        <v>1</v>
      </c>
    </row>
    <row r="565" spans="1:7" x14ac:dyDescent="0.25">
      <c r="A565" s="43" t="s">
        <v>1269</v>
      </c>
      <c r="B565" s="43">
        <v>1</v>
      </c>
      <c r="C565" s="47">
        <f t="shared" si="16"/>
        <v>1.8228217280349981E-4</v>
      </c>
      <c r="D565" s="43">
        <v>0</v>
      </c>
      <c r="E565" s="47">
        <v>0</v>
      </c>
      <c r="F565" s="47">
        <f t="shared" si="17"/>
        <v>0</v>
      </c>
      <c r="G565" s="43">
        <v>1</v>
      </c>
    </row>
    <row r="566" spans="1:7" x14ac:dyDescent="0.25">
      <c r="A566" s="43" t="s">
        <v>1867</v>
      </c>
      <c r="B566" s="43">
        <v>1</v>
      </c>
      <c r="C566" s="47">
        <f t="shared" si="16"/>
        <v>1.8228217280349981E-4</v>
      </c>
      <c r="D566" s="43">
        <v>0</v>
      </c>
      <c r="E566" s="47">
        <v>0</v>
      </c>
      <c r="F566" s="47">
        <f t="shared" si="17"/>
        <v>0</v>
      </c>
      <c r="G566" s="43">
        <v>1</v>
      </c>
    </row>
    <row r="567" spans="1:7" x14ac:dyDescent="0.25">
      <c r="A567" s="43" t="s">
        <v>3213</v>
      </c>
      <c r="B567" s="43">
        <v>2</v>
      </c>
      <c r="C567" s="47">
        <f t="shared" si="16"/>
        <v>3.6456434560699962E-4</v>
      </c>
      <c r="D567" s="43">
        <v>0</v>
      </c>
      <c r="E567" s="47">
        <v>0</v>
      </c>
      <c r="F567" s="47">
        <f t="shared" si="17"/>
        <v>0</v>
      </c>
      <c r="G567" s="43">
        <v>1</v>
      </c>
    </row>
    <row r="568" spans="1:7" x14ac:dyDescent="0.25">
      <c r="A568" s="43" t="s">
        <v>1291</v>
      </c>
      <c r="B568" s="43">
        <v>1</v>
      </c>
      <c r="C568" s="47">
        <f t="shared" si="16"/>
        <v>1.8228217280349981E-4</v>
      </c>
      <c r="D568" s="43">
        <v>0</v>
      </c>
      <c r="E568" s="47">
        <v>0</v>
      </c>
      <c r="F568" s="47">
        <f t="shared" si="17"/>
        <v>0</v>
      </c>
      <c r="G568" s="43">
        <v>1</v>
      </c>
    </row>
    <row r="569" spans="1:7" x14ac:dyDescent="0.25">
      <c r="A569" s="43" t="s">
        <v>797</v>
      </c>
      <c r="B569" s="43">
        <v>2</v>
      </c>
      <c r="C569" s="47">
        <f t="shared" si="16"/>
        <v>3.6456434560699962E-4</v>
      </c>
      <c r="D569" s="43">
        <v>0</v>
      </c>
      <c r="E569" s="47">
        <v>0</v>
      </c>
      <c r="F569" s="47">
        <f t="shared" si="17"/>
        <v>0</v>
      </c>
      <c r="G569" s="43">
        <v>1</v>
      </c>
    </row>
    <row r="570" spans="1:7" x14ac:dyDescent="0.25">
      <c r="A570" s="43" t="s">
        <v>750</v>
      </c>
      <c r="B570" s="43">
        <v>2</v>
      </c>
      <c r="C570" s="47">
        <f t="shared" si="16"/>
        <v>3.6456434560699962E-4</v>
      </c>
      <c r="D570" s="43">
        <v>0</v>
      </c>
      <c r="E570" s="47">
        <v>0</v>
      </c>
      <c r="F570" s="47">
        <f t="shared" si="17"/>
        <v>0</v>
      </c>
      <c r="G570" s="43">
        <v>1</v>
      </c>
    </row>
    <row r="571" spans="1:7" x14ac:dyDescent="0.25">
      <c r="A571" s="43" t="s">
        <v>3258</v>
      </c>
      <c r="B571" s="43">
        <v>1</v>
      </c>
      <c r="C571" s="47">
        <f t="shared" si="16"/>
        <v>1.8228217280349981E-4</v>
      </c>
      <c r="D571" s="43">
        <v>0</v>
      </c>
      <c r="E571" s="47">
        <v>0</v>
      </c>
      <c r="F571" s="47">
        <f t="shared" si="17"/>
        <v>0</v>
      </c>
      <c r="G571" s="43">
        <v>1</v>
      </c>
    </row>
    <row r="572" spans="1:7" x14ac:dyDescent="0.25">
      <c r="A572" s="43" t="s">
        <v>1961</v>
      </c>
      <c r="B572" s="43">
        <v>2</v>
      </c>
      <c r="C572" s="47">
        <f t="shared" si="16"/>
        <v>3.6456434560699962E-4</v>
      </c>
      <c r="D572" s="43">
        <v>0</v>
      </c>
      <c r="E572" s="47">
        <v>0</v>
      </c>
      <c r="F572" s="47">
        <f t="shared" si="17"/>
        <v>0</v>
      </c>
      <c r="G572" s="43">
        <v>1</v>
      </c>
    </row>
    <row r="573" spans="1:7" x14ac:dyDescent="0.25">
      <c r="A573" s="43" t="s">
        <v>1954</v>
      </c>
      <c r="B573" s="43">
        <v>2</v>
      </c>
      <c r="C573" s="47">
        <f t="shared" si="16"/>
        <v>3.6456434560699962E-4</v>
      </c>
      <c r="D573" s="43">
        <v>0</v>
      </c>
      <c r="E573" s="47">
        <v>0</v>
      </c>
      <c r="F573" s="47">
        <f t="shared" si="17"/>
        <v>0</v>
      </c>
      <c r="G573" s="43">
        <v>1</v>
      </c>
    </row>
    <row r="574" spans="1:7" x14ac:dyDescent="0.25">
      <c r="A574" s="43" t="s">
        <v>3259</v>
      </c>
      <c r="B574" s="43">
        <v>1</v>
      </c>
      <c r="C574" s="47">
        <f t="shared" si="16"/>
        <v>1.8228217280349981E-4</v>
      </c>
      <c r="D574" s="43">
        <v>0</v>
      </c>
      <c r="E574" s="47">
        <v>0</v>
      </c>
      <c r="F574" s="47">
        <f t="shared" si="17"/>
        <v>0</v>
      </c>
      <c r="G574" s="43">
        <v>1</v>
      </c>
    </row>
    <row r="575" spans="1:7" x14ac:dyDescent="0.25">
      <c r="A575" s="43" t="s">
        <v>291</v>
      </c>
      <c r="B575" s="43">
        <v>2</v>
      </c>
      <c r="C575" s="47">
        <f t="shared" si="16"/>
        <v>3.6456434560699962E-4</v>
      </c>
      <c r="D575" s="43">
        <v>0</v>
      </c>
      <c r="E575" s="47">
        <v>0</v>
      </c>
      <c r="F575" s="47">
        <f t="shared" si="17"/>
        <v>0</v>
      </c>
      <c r="G575" s="43">
        <v>1</v>
      </c>
    </row>
    <row r="576" spans="1:7" x14ac:dyDescent="0.25">
      <c r="A576" s="43" t="s">
        <v>1714</v>
      </c>
      <c r="B576" s="43">
        <v>1</v>
      </c>
      <c r="C576" s="47">
        <f t="shared" si="16"/>
        <v>1.8228217280349981E-4</v>
      </c>
      <c r="D576" s="43">
        <v>0</v>
      </c>
      <c r="E576" s="47">
        <v>0</v>
      </c>
      <c r="F576" s="47">
        <f t="shared" si="17"/>
        <v>0</v>
      </c>
      <c r="G576" s="43">
        <v>1</v>
      </c>
    </row>
    <row r="577" spans="1:7" x14ac:dyDescent="0.25">
      <c r="A577" s="43" t="s">
        <v>1361</v>
      </c>
      <c r="B577" s="43">
        <v>2</v>
      </c>
      <c r="C577" s="47">
        <f t="shared" si="16"/>
        <v>3.6456434560699962E-4</v>
      </c>
      <c r="D577" s="43">
        <v>0</v>
      </c>
      <c r="E577" s="47">
        <v>0</v>
      </c>
      <c r="F577" s="47">
        <f t="shared" si="17"/>
        <v>0</v>
      </c>
      <c r="G577" s="43">
        <v>1</v>
      </c>
    </row>
    <row r="578" spans="1:7" x14ac:dyDescent="0.25">
      <c r="A578" s="43" t="s">
        <v>1150</v>
      </c>
      <c r="B578" s="43">
        <v>6</v>
      </c>
      <c r="C578" s="47">
        <f t="shared" ref="C578:C602" si="18">B578/$B$602</f>
        <v>1.0936930368209989E-3</v>
      </c>
      <c r="D578" s="43">
        <v>0</v>
      </c>
      <c r="E578" s="47">
        <v>0</v>
      </c>
      <c r="F578" s="47">
        <f t="shared" ref="F578:F597" si="19">E578*C578</f>
        <v>0</v>
      </c>
      <c r="G578" s="43">
        <v>1</v>
      </c>
    </row>
    <row r="579" spans="1:7" x14ac:dyDescent="0.25">
      <c r="A579" s="43" t="s">
        <v>501</v>
      </c>
      <c r="B579" s="43">
        <v>1</v>
      </c>
      <c r="C579" s="47">
        <f t="shared" si="18"/>
        <v>1.8228217280349981E-4</v>
      </c>
      <c r="D579" s="43">
        <v>0</v>
      </c>
      <c r="E579" s="47">
        <v>0</v>
      </c>
      <c r="F579" s="47">
        <f t="shared" si="19"/>
        <v>0</v>
      </c>
      <c r="G579" s="43">
        <v>1</v>
      </c>
    </row>
    <row r="580" spans="1:7" x14ac:dyDescent="0.25">
      <c r="A580" s="43" t="s">
        <v>1325</v>
      </c>
      <c r="B580" s="43">
        <v>2</v>
      </c>
      <c r="C580" s="47">
        <f t="shared" si="18"/>
        <v>3.6456434560699962E-4</v>
      </c>
      <c r="D580" s="43">
        <v>0</v>
      </c>
      <c r="E580" s="47">
        <v>0</v>
      </c>
      <c r="F580" s="47">
        <f t="shared" si="19"/>
        <v>0</v>
      </c>
      <c r="G580" s="43">
        <v>1</v>
      </c>
    </row>
    <row r="581" spans="1:7" x14ac:dyDescent="0.25">
      <c r="A581" s="43" t="s">
        <v>1952</v>
      </c>
      <c r="B581" s="43">
        <v>2</v>
      </c>
      <c r="C581" s="47">
        <f t="shared" si="18"/>
        <v>3.6456434560699962E-4</v>
      </c>
      <c r="D581" s="43">
        <v>0</v>
      </c>
      <c r="E581" s="47">
        <v>0</v>
      </c>
      <c r="F581" s="47">
        <f t="shared" si="19"/>
        <v>0</v>
      </c>
      <c r="G581" s="43">
        <v>1</v>
      </c>
    </row>
    <row r="582" spans="1:7" x14ac:dyDescent="0.25">
      <c r="A582" s="43" t="s">
        <v>1720</v>
      </c>
      <c r="B582" s="43">
        <v>1</v>
      </c>
      <c r="C582" s="47">
        <f t="shared" si="18"/>
        <v>1.8228217280349981E-4</v>
      </c>
      <c r="D582" s="43">
        <v>0</v>
      </c>
      <c r="E582" s="47">
        <v>0</v>
      </c>
      <c r="F582" s="47">
        <f t="shared" si="19"/>
        <v>0</v>
      </c>
      <c r="G582" s="43">
        <v>1</v>
      </c>
    </row>
    <row r="583" spans="1:7" x14ac:dyDescent="0.25">
      <c r="A583" s="43" t="s">
        <v>3214</v>
      </c>
      <c r="B583" s="43">
        <v>2</v>
      </c>
      <c r="C583" s="47">
        <f t="shared" si="18"/>
        <v>3.6456434560699962E-4</v>
      </c>
      <c r="D583" s="43">
        <v>0</v>
      </c>
      <c r="E583" s="47">
        <v>0</v>
      </c>
      <c r="F583" s="47">
        <f t="shared" si="19"/>
        <v>0</v>
      </c>
      <c r="G583" s="43">
        <v>1</v>
      </c>
    </row>
    <row r="584" spans="1:7" x14ac:dyDescent="0.25">
      <c r="A584" s="43" t="s">
        <v>753</v>
      </c>
      <c r="B584" s="43">
        <v>2</v>
      </c>
      <c r="C584" s="47">
        <f t="shared" si="18"/>
        <v>3.6456434560699962E-4</v>
      </c>
      <c r="D584" s="43">
        <v>0</v>
      </c>
      <c r="E584" s="47">
        <v>0</v>
      </c>
      <c r="F584" s="47">
        <f t="shared" si="19"/>
        <v>0</v>
      </c>
      <c r="G584" s="43">
        <v>1</v>
      </c>
    </row>
    <row r="585" spans="1:7" x14ac:dyDescent="0.25">
      <c r="A585" s="43" t="s">
        <v>3260</v>
      </c>
      <c r="B585" s="43">
        <v>1</v>
      </c>
      <c r="C585" s="47">
        <f t="shared" si="18"/>
        <v>1.8228217280349981E-4</v>
      </c>
      <c r="D585" s="43">
        <v>0</v>
      </c>
      <c r="E585" s="47">
        <v>0</v>
      </c>
      <c r="F585" s="47">
        <f t="shared" si="19"/>
        <v>0</v>
      </c>
      <c r="G585" s="43">
        <v>1</v>
      </c>
    </row>
    <row r="586" spans="1:7" x14ac:dyDescent="0.25">
      <c r="A586" s="43" t="s">
        <v>3215</v>
      </c>
      <c r="B586" s="43">
        <v>2</v>
      </c>
      <c r="C586" s="47">
        <f t="shared" si="18"/>
        <v>3.6456434560699962E-4</v>
      </c>
      <c r="D586" s="43">
        <v>0</v>
      </c>
      <c r="E586" s="47">
        <v>0</v>
      </c>
      <c r="F586" s="47">
        <f t="shared" si="19"/>
        <v>0</v>
      </c>
      <c r="G586" s="43">
        <v>1</v>
      </c>
    </row>
    <row r="587" spans="1:7" x14ac:dyDescent="0.25">
      <c r="A587" s="43" t="s">
        <v>3216</v>
      </c>
      <c r="B587" s="43">
        <v>2</v>
      </c>
      <c r="C587" s="47">
        <f t="shared" si="18"/>
        <v>3.6456434560699962E-4</v>
      </c>
      <c r="D587" s="43">
        <v>0</v>
      </c>
      <c r="E587" s="47">
        <v>0</v>
      </c>
      <c r="F587" s="47">
        <f t="shared" si="19"/>
        <v>0</v>
      </c>
      <c r="G587" s="43">
        <v>1</v>
      </c>
    </row>
    <row r="588" spans="1:7" x14ac:dyDescent="0.25">
      <c r="A588" s="43" t="s">
        <v>1593</v>
      </c>
      <c r="B588" s="43">
        <v>1</v>
      </c>
      <c r="C588" s="47">
        <f t="shared" si="18"/>
        <v>1.8228217280349981E-4</v>
      </c>
      <c r="D588" s="43">
        <v>0</v>
      </c>
      <c r="E588" s="47">
        <v>0</v>
      </c>
      <c r="F588" s="47">
        <f t="shared" si="19"/>
        <v>0</v>
      </c>
      <c r="G588" s="43">
        <v>1</v>
      </c>
    </row>
    <row r="589" spans="1:7" x14ac:dyDescent="0.25">
      <c r="A589" s="43" t="s">
        <v>3261</v>
      </c>
      <c r="B589" s="43">
        <v>1</v>
      </c>
      <c r="C589" s="47">
        <f t="shared" si="18"/>
        <v>1.8228217280349981E-4</v>
      </c>
      <c r="D589" s="43">
        <v>0</v>
      </c>
      <c r="E589" s="47">
        <v>0</v>
      </c>
      <c r="F589" s="47">
        <f t="shared" si="19"/>
        <v>0</v>
      </c>
      <c r="G589" s="43">
        <v>1</v>
      </c>
    </row>
    <row r="590" spans="1:7" x14ac:dyDescent="0.25">
      <c r="A590" s="43" t="s">
        <v>3262</v>
      </c>
      <c r="B590" s="43">
        <v>1</v>
      </c>
      <c r="C590" s="47">
        <f t="shared" si="18"/>
        <v>1.8228217280349981E-4</v>
      </c>
      <c r="D590" s="43">
        <v>0</v>
      </c>
      <c r="E590" s="47">
        <v>0</v>
      </c>
      <c r="F590" s="47">
        <f t="shared" si="19"/>
        <v>0</v>
      </c>
      <c r="G590" s="43">
        <v>1</v>
      </c>
    </row>
    <row r="591" spans="1:7" x14ac:dyDescent="0.25">
      <c r="A591" s="43" t="s">
        <v>3217</v>
      </c>
      <c r="B591" s="43">
        <v>2</v>
      </c>
      <c r="C591" s="47">
        <f t="shared" si="18"/>
        <v>3.6456434560699962E-4</v>
      </c>
      <c r="D591" s="43">
        <v>0</v>
      </c>
      <c r="E591" s="47">
        <v>0</v>
      </c>
      <c r="F591" s="47">
        <f t="shared" si="19"/>
        <v>0</v>
      </c>
      <c r="G591" s="43">
        <v>1</v>
      </c>
    </row>
    <row r="592" spans="1:7" x14ac:dyDescent="0.25">
      <c r="A592" s="43" t="s">
        <v>3218</v>
      </c>
      <c r="B592" s="43">
        <v>2</v>
      </c>
      <c r="C592" s="47">
        <f t="shared" si="18"/>
        <v>3.6456434560699962E-4</v>
      </c>
      <c r="D592" s="43">
        <v>0</v>
      </c>
      <c r="E592" s="47">
        <v>0</v>
      </c>
      <c r="F592" s="47">
        <f t="shared" si="19"/>
        <v>0</v>
      </c>
      <c r="G592" s="43">
        <v>1</v>
      </c>
    </row>
    <row r="593" spans="1:8" x14ac:dyDescent="0.25">
      <c r="A593" s="43" t="s">
        <v>3219</v>
      </c>
      <c r="B593" s="43">
        <v>2</v>
      </c>
      <c r="C593" s="47">
        <f t="shared" si="18"/>
        <v>3.6456434560699962E-4</v>
      </c>
      <c r="D593" s="43">
        <v>0</v>
      </c>
      <c r="E593" s="47">
        <v>0</v>
      </c>
      <c r="F593" s="47">
        <f t="shared" si="19"/>
        <v>0</v>
      </c>
      <c r="G593" s="43">
        <v>1</v>
      </c>
    </row>
    <row r="594" spans="1:8" x14ac:dyDescent="0.25">
      <c r="A594" s="43" t="s">
        <v>803</v>
      </c>
      <c r="B594" s="43">
        <v>2</v>
      </c>
      <c r="C594" s="47">
        <f t="shared" si="18"/>
        <v>3.6456434560699962E-4</v>
      </c>
      <c r="D594" s="43">
        <v>0</v>
      </c>
      <c r="E594" s="47">
        <v>0</v>
      </c>
      <c r="F594" s="47">
        <f t="shared" si="19"/>
        <v>0</v>
      </c>
      <c r="G594" s="43">
        <v>1</v>
      </c>
    </row>
    <row r="595" spans="1:8" x14ac:dyDescent="0.25">
      <c r="A595" s="43" t="s">
        <v>3263</v>
      </c>
      <c r="B595" s="43">
        <v>1</v>
      </c>
      <c r="C595" s="47">
        <f t="shared" si="18"/>
        <v>1.8228217280349981E-4</v>
      </c>
      <c r="D595" s="43">
        <v>0</v>
      </c>
      <c r="E595" s="47">
        <v>0</v>
      </c>
      <c r="F595" s="47">
        <f t="shared" si="19"/>
        <v>0</v>
      </c>
      <c r="G595" s="43">
        <v>1</v>
      </c>
    </row>
    <row r="596" spans="1:8" x14ac:dyDescent="0.25">
      <c r="A596" s="43" t="s">
        <v>3264</v>
      </c>
      <c r="B596" s="43">
        <v>1</v>
      </c>
      <c r="C596" s="47">
        <f t="shared" si="18"/>
        <v>1.8228217280349981E-4</v>
      </c>
      <c r="D596" s="43">
        <v>0</v>
      </c>
      <c r="E596" s="47">
        <v>0</v>
      </c>
      <c r="F596" s="47">
        <f t="shared" si="19"/>
        <v>0</v>
      </c>
      <c r="G596" s="43">
        <v>1</v>
      </c>
    </row>
    <row r="597" spans="1:8" x14ac:dyDescent="0.25">
      <c r="A597" s="43" t="s">
        <v>3029</v>
      </c>
      <c r="B597" s="43">
        <v>7</v>
      </c>
      <c r="C597" s="47">
        <f t="shared" si="18"/>
        <v>1.2759752096244987E-3</v>
      </c>
      <c r="D597" s="43">
        <v>0</v>
      </c>
      <c r="E597" s="47">
        <v>0</v>
      </c>
      <c r="F597" s="47">
        <f t="shared" si="19"/>
        <v>0</v>
      </c>
      <c r="G597" s="43">
        <v>1</v>
      </c>
    </row>
    <row r="598" spans="1:8" x14ac:dyDescent="0.25">
      <c r="A598" s="43" t="s">
        <v>1601</v>
      </c>
      <c r="B598" s="43">
        <v>0</v>
      </c>
      <c r="C598" s="47">
        <f t="shared" si="18"/>
        <v>0</v>
      </c>
      <c r="D598" s="50">
        <v>0</v>
      </c>
      <c r="E598" s="49"/>
      <c r="F598" s="49"/>
      <c r="G598" s="50">
        <v>1</v>
      </c>
      <c r="H598" s="50" t="s">
        <v>3269</v>
      </c>
    </row>
    <row r="599" spans="1:8" x14ac:dyDescent="0.25">
      <c r="A599" s="43" t="s">
        <v>1971</v>
      </c>
      <c r="B599" s="43">
        <v>0</v>
      </c>
      <c r="C599" s="47">
        <f t="shared" si="18"/>
        <v>0</v>
      </c>
      <c r="D599" s="50">
        <v>0</v>
      </c>
      <c r="E599" s="49"/>
      <c r="F599" s="49"/>
      <c r="G599" s="50">
        <v>1</v>
      </c>
      <c r="H599" s="50" t="s">
        <v>3269</v>
      </c>
    </row>
    <row r="600" spans="1:8" x14ac:dyDescent="0.25">
      <c r="A600" s="43" t="s">
        <v>3265</v>
      </c>
      <c r="B600" s="43">
        <v>0</v>
      </c>
      <c r="C600" s="47">
        <f t="shared" si="18"/>
        <v>0</v>
      </c>
      <c r="D600" s="50">
        <v>0</v>
      </c>
      <c r="E600" s="49"/>
      <c r="F600" s="49"/>
      <c r="G600" s="50">
        <v>1</v>
      </c>
      <c r="H600" s="50" t="s">
        <v>3269</v>
      </c>
    </row>
    <row r="601" spans="1:8" x14ac:dyDescent="0.25">
      <c r="A601" s="52" t="s">
        <v>1970</v>
      </c>
      <c r="B601" s="52">
        <v>0</v>
      </c>
      <c r="C601" s="53">
        <f t="shared" si="18"/>
        <v>0</v>
      </c>
      <c r="D601" s="54">
        <v>0</v>
      </c>
      <c r="E601" s="55"/>
      <c r="F601" s="55"/>
      <c r="G601" s="54">
        <v>1</v>
      </c>
      <c r="H601" s="54" t="s">
        <v>3269</v>
      </c>
    </row>
    <row r="602" spans="1:8" x14ac:dyDescent="0.25">
      <c r="A602" s="45" t="s">
        <v>3270</v>
      </c>
      <c r="B602" s="43">
        <f>SUM(B2:B601)</f>
        <v>5486</v>
      </c>
      <c r="C602" s="47">
        <f t="shared" si="18"/>
        <v>1</v>
      </c>
      <c r="D602" s="43"/>
      <c r="E602" s="47"/>
      <c r="F602" s="47"/>
      <c r="G602" s="43"/>
    </row>
    <row r="603" spans="1:8" x14ac:dyDescent="0.25">
      <c r="A603" s="45" t="s">
        <v>3275</v>
      </c>
      <c r="C603" s="47"/>
      <c r="E603" s="47">
        <f>AVERAGE(E2:E597)</f>
        <v>0.60179865771812135</v>
      </c>
      <c r="F603" s="47"/>
    </row>
    <row r="604" spans="1:8" x14ac:dyDescent="0.25">
      <c r="A604" s="45" t="s">
        <v>3273</v>
      </c>
      <c r="E604" s="47">
        <f>MEDIAN(E2:E597)</f>
        <v>0.63600000000000001</v>
      </c>
    </row>
  </sheetData>
  <sortState xmlns:xlrd2="http://schemas.microsoft.com/office/spreadsheetml/2017/richdata2" ref="A2:G601">
    <sortCondition descending="1" ref="F2:F601"/>
  </sortState>
  <conditionalFormatting sqref="E2:E597">
    <cfRule type="cellIs" dxfId="3" priority="2" operator="greaterThan">
      <formula>0.6018</formula>
    </cfRule>
  </conditionalFormatting>
  <conditionalFormatting sqref="I2">
    <cfRule type="cellIs" dxfId="2" priority="1" operator="greaterThan">
      <formula>0.6018</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08AD-6180-4A29-92EF-261F6FB654E2}">
  <sheetPr filterMode="1"/>
  <dimension ref="A1:J602"/>
  <sheetViews>
    <sheetView topLeftCell="A397" zoomScale="81" zoomScaleNormal="120" workbookViewId="0">
      <selection activeCell="B602" sqref="B602"/>
    </sheetView>
  </sheetViews>
  <sheetFormatPr defaultRowHeight="15.75" x14ac:dyDescent="0.25"/>
  <cols>
    <col min="1" max="1" width="75.5" customWidth="1"/>
    <col min="2" max="2" width="16" customWidth="1"/>
    <col min="4" max="4" width="15.375" customWidth="1"/>
    <col min="5" max="5" width="18.125" customWidth="1"/>
    <col min="6" max="6" width="20" customWidth="1"/>
    <col min="9" max="10" width="9" style="43"/>
  </cols>
  <sheetData>
    <row r="1" spans="1:10" x14ac:dyDescent="0.25">
      <c r="A1" s="51" t="s">
        <v>3276</v>
      </c>
      <c r="B1" s="45" t="s">
        <v>3266</v>
      </c>
      <c r="C1" s="46" t="s">
        <v>3271</v>
      </c>
      <c r="D1" s="45" t="s">
        <v>3267</v>
      </c>
      <c r="E1" s="46" t="s">
        <v>3268</v>
      </c>
      <c r="F1" s="46" t="s">
        <v>3272</v>
      </c>
      <c r="G1" s="45" t="s">
        <v>3277</v>
      </c>
      <c r="I1" s="90" t="s">
        <v>4467</v>
      </c>
    </row>
    <row r="2" spans="1:10" hidden="1" x14ac:dyDescent="0.25">
      <c r="A2" s="43" t="s">
        <v>3199</v>
      </c>
      <c r="B2" s="43">
        <v>2</v>
      </c>
      <c r="C2" s="47">
        <v>3.6456434560699962E-4</v>
      </c>
      <c r="D2" s="43">
        <v>0</v>
      </c>
      <c r="E2" s="47">
        <v>0</v>
      </c>
      <c r="F2" s="47">
        <v>0</v>
      </c>
      <c r="G2" s="43">
        <v>1</v>
      </c>
      <c r="I2"/>
      <c r="J2"/>
    </row>
    <row r="3" spans="1:10" hidden="1" x14ac:dyDescent="0.25">
      <c r="A3" s="43" t="s">
        <v>3200</v>
      </c>
      <c r="B3" s="43">
        <v>2</v>
      </c>
      <c r="C3" s="47">
        <v>3.6456434560699962E-4</v>
      </c>
      <c r="D3" s="43">
        <v>0</v>
      </c>
      <c r="E3" s="47">
        <v>0</v>
      </c>
      <c r="F3" s="47">
        <v>0</v>
      </c>
      <c r="G3" s="43">
        <v>1</v>
      </c>
      <c r="I3"/>
      <c r="J3"/>
    </row>
    <row r="4" spans="1:10" hidden="1" x14ac:dyDescent="0.25">
      <c r="A4" s="43" t="s">
        <v>3201</v>
      </c>
      <c r="B4" s="43">
        <v>2</v>
      </c>
      <c r="C4" s="47">
        <v>3.6456434560699962E-4</v>
      </c>
      <c r="D4" s="43">
        <v>0</v>
      </c>
      <c r="E4" s="47">
        <v>0</v>
      </c>
      <c r="F4" s="47">
        <v>0</v>
      </c>
      <c r="G4" s="43">
        <v>1</v>
      </c>
      <c r="I4"/>
      <c r="J4"/>
    </row>
    <row r="5" spans="1:10" hidden="1" x14ac:dyDescent="0.25">
      <c r="A5" s="43" t="s">
        <v>3127</v>
      </c>
      <c r="B5" s="43">
        <v>3</v>
      </c>
      <c r="C5" s="47">
        <v>5.4684651841049945E-4</v>
      </c>
      <c r="D5" s="43">
        <v>0</v>
      </c>
      <c r="E5" s="47">
        <v>0</v>
      </c>
      <c r="F5" s="47">
        <v>0</v>
      </c>
      <c r="G5" s="43">
        <v>1</v>
      </c>
      <c r="I5"/>
      <c r="J5"/>
    </row>
    <row r="6" spans="1:10" hidden="1" x14ac:dyDescent="0.25">
      <c r="A6" s="43" t="s">
        <v>1262</v>
      </c>
      <c r="B6" s="43">
        <v>2</v>
      </c>
      <c r="C6" s="47">
        <v>3.6456434560699962E-4</v>
      </c>
      <c r="D6" s="43">
        <v>0</v>
      </c>
      <c r="E6" s="47">
        <v>0</v>
      </c>
      <c r="F6" s="47">
        <v>0</v>
      </c>
      <c r="G6" s="43">
        <v>1</v>
      </c>
      <c r="I6"/>
      <c r="J6"/>
    </row>
    <row r="7" spans="1:10" hidden="1" x14ac:dyDescent="0.25">
      <c r="A7" s="43" t="s">
        <v>626</v>
      </c>
      <c r="B7" s="43">
        <v>4</v>
      </c>
      <c r="C7" s="47">
        <v>7.2912869121399923E-4</v>
      </c>
      <c r="D7" s="43">
        <v>0</v>
      </c>
      <c r="E7" s="47">
        <v>0</v>
      </c>
      <c r="F7" s="47">
        <v>0</v>
      </c>
      <c r="G7" s="43">
        <v>1</v>
      </c>
      <c r="I7"/>
      <c r="J7"/>
    </row>
    <row r="8" spans="1:10" hidden="1" x14ac:dyDescent="0.25">
      <c r="A8" s="43" t="s">
        <v>3028</v>
      </c>
      <c r="B8" s="43">
        <v>7</v>
      </c>
      <c r="C8" s="47">
        <v>1.2759752096244987E-3</v>
      </c>
      <c r="D8" s="43">
        <v>0</v>
      </c>
      <c r="E8" s="47">
        <v>0</v>
      </c>
      <c r="F8" s="47">
        <v>0</v>
      </c>
      <c r="G8" s="43">
        <v>0</v>
      </c>
      <c r="I8"/>
      <c r="J8"/>
    </row>
    <row r="9" spans="1:10" hidden="1" x14ac:dyDescent="0.25">
      <c r="A9" s="43" t="s">
        <v>1341</v>
      </c>
      <c r="B9" s="43">
        <v>1</v>
      </c>
      <c r="C9" s="47">
        <v>1.8228217280349981E-4</v>
      </c>
      <c r="D9" s="43">
        <v>0</v>
      </c>
      <c r="E9" s="47">
        <v>0</v>
      </c>
      <c r="F9" s="47">
        <v>0</v>
      </c>
      <c r="G9" s="43">
        <v>1</v>
      </c>
      <c r="I9"/>
      <c r="J9"/>
    </row>
    <row r="10" spans="1:10" hidden="1" x14ac:dyDescent="0.25">
      <c r="A10" s="43" t="s">
        <v>3128</v>
      </c>
      <c r="B10" s="43">
        <v>3</v>
      </c>
      <c r="C10" s="47">
        <v>5.4684651841049945E-4</v>
      </c>
      <c r="D10" s="43">
        <v>0</v>
      </c>
      <c r="E10" s="47">
        <v>0</v>
      </c>
      <c r="F10" s="47">
        <v>0</v>
      </c>
      <c r="G10" s="43">
        <v>1</v>
      </c>
      <c r="I10"/>
      <c r="J10"/>
    </row>
    <row r="11" spans="1:10" hidden="1" x14ac:dyDescent="0.25">
      <c r="A11" s="43" t="s">
        <v>3248</v>
      </c>
      <c r="B11" s="43">
        <v>1</v>
      </c>
      <c r="C11" s="47">
        <v>1.8228217280349981E-4</v>
      </c>
      <c r="D11" s="43">
        <v>0</v>
      </c>
      <c r="E11" s="47">
        <v>0</v>
      </c>
      <c r="F11" s="47">
        <v>0</v>
      </c>
      <c r="G11" s="43">
        <v>1</v>
      </c>
      <c r="I11"/>
      <c r="J11"/>
    </row>
    <row r="12" spans="1:10" hidden="1" x14ac:dyDescent="0.25">
      <c r="A12" s="43" t="s">
        <v>3202</v>
      </c>
      <c r="B12" s="43">
        <v>2</v>
      </c>
      <c r="C12" s="47">
        <v>3.6456434560699962E-4</v>
      </c>
      <c r="D12" s="43">
        <v>0</v>
      </c>
      <c r="E12" s="47">
        <v>0</v>
      </c>
      <c r="F12" s="47">
        <v>0</v>
      </c>
      <c r="G12" s="43">
        <v>1</v>
      </c>
      <c r="I12"/>
      <c r="J12"/>
    </row>
    <row r="13" spans="1:10" hidden="1" x14ac:dyDescent="0.25">
      <c r="A13" s="43" t="s">
        <v>3089</v>
      </c>
      <c r="B13" s="43">
        <v>4</v>
      </c>
      <c r="C13" s="47">
        <v>7.2912869121399923E-4</v>
      </c>
      <c r="D13" s="43">
        <v>0</v>
      </c>
      <c r="E13" s="47">
        <v>0</v>
      </c>
      <c r="F13" s="47">
        <v>0</v>
      </c>
      <c r="G13" s="43">
        <v>1</v>
      </c>
      <c r="I13"/>
      <c r="J13"/>
    </row>
    <row r="14" spans="1:10" hidden="1" x14ac:dyDescent="0.25">
      <c r="A14" s="43" t="s">
        <v>3203</v>
      </c>
      <c r="B14" s="43">
        <v>2</v>
      </c>
      <c r="C14" s="47">
        <v>3.6456434560699962E-4</v>
      </c>
      <c r="D14" s="43">
        <v>0</v>
      </c>
      <c r="E14" s="47">
        <v>0</v>
      </c>
      <c r="F14" s="47">
        <v>0</v>
      </c>
      <c r="G14" s="43">
        <v>1</v>
      </c>
      <c r="I14"/>
      <c r="J14"/>
    </row>
    <row r="15" spans="1:10" hidden="1" x14ac:dyDescent="0.25">
      <c r="A15" s="43" t="s">
        <v>3249</v>
      </c>
      <c r="B15" s="43">
        <v>1</v>
      </c>
      <c r="C15" s="47">
        <v>1.8228217280349981E-4</v>
      </c>
      <c r="D15" s="43">
        <v>0</v>
      </c>
      <c r="E15" s="47">
        <v>0</v>
      </c>
      <c r="F15" s="47">
        <v>0</v>
      </c>
      <c r="G15" s="43">
        <v>1</v>
      </c>
      <c r="I15"/>
      <c r="J15"/>
    </row>
    <row r="16" spans="1:10" hidden="1" x14ac:dyDescent="0.25">
      <c r="A16" s="43" t="s">
        <v>3250</v>
      </c>
      <c r="B16" s="43">
        <v>1</v>
      </c>
      <c r="C16" s="47">
        <v>1.8228217280349981E-4</v>
      </c>
      <c r="D16" s="43">
        <v>0</v>
      </c>
      <c r="E16" s="47">
        <v>0</v>
      </c>
      <c r="F16" s="47">
        <v>0</v>
      </c>
      <c r="G16" s="43">
        <v>1</v>
      </c>
      <c r="I16"/>
      <c r="J16"/>
    </row>
    <row r="17" spans="1:7" customFormat="1" hidden="1" x14ac:dyDescent="0.25">
      <c r="A17" s="43" t="s">
        <v>748</v>
      </c>
      <c r="B17" s="43">
        <v>2</v>
      </c>
      <c r="C17" s="47">
        <v>3.6456434560699962E-4</v>
      </c>
      <c r="D17" s="43">
        <v>0</v>
      </c>
      <c r="E17" s="47">
        <v>0</v>
      </c>
      <c r="F17" s="47">
        <v>0</v>
      </c>
      <c r="G17" s="43">
        <v>1</v>
      </c>
    </row>
    <row r="18" spans="1:7" customFormat="1" hidden="1" x14ac:dyDescent="0.25">
      <c r="A18" s="43" t="s">
        <v>3204</v>
      </c>
      <c r="B18" s="43">
        <v>2</v>
      </c>
      <c r="C18" s="47">
        <v>3.6456434560699962E-4</v>
      </c>
      <c r="D18" s="43">
        <v>0</v>
      </c>
      <c r="E18" s="47">
        <v>0</v>
      </c>
      <c r="F18" s="47">
        <v>0</v>
      </c>
      <c r="G18" s="43">
        <v>1</v>
      </c>
    </row>
    <row r="19" spans="1:7" customFormat="1" hidden="1" x14ac:dyDescent="0.25">
      <c r="A19" s="43" t="s">
        <v>3205</v>
      </c>
      <c r="B19" s="43">
        <v>2</v>
      </c>
      <c r="C19" s="47">
        <v>3.6456434560699962E-4</v>
      </c>
      <c r="D19" s="43">
        <v>0</v>
      </c>
      <c r="E19" s="47">
        <v>0</v>
      </c>
      <c r="F19" s="47">
        <v>0</v>
      </c>
      <c r="G19" s="43">
        <v>0</v>
      </c>
    </row>
    <row r="20" spans="1:7" customFormat="1" hidden="1" x14ac:dyDescent="0.25">
      <c r="A20" s="43" t="s">
        <v>1853</v>
      </c>
      <c r="B20" s="43">
        <v>2</v>
      </c>
      <c r="C20" s="47">
        <v>3.6456434560699962E-4</v>
      </c>
      <c r="D20" s="43">
        <v>0</v>
      </c>
      <c r="E20" s="47">
        <v>0</v>
      </c>
      <c r="F20" s="47">
        <v>0</v>
      </c>
      <c r="G20" s="43">
        <v>0</v>
      </c>
    </row>
    <row r="21" spans="1:7" customFormat="1" hidden="1" x14ac:dyDescent="0.25">
      <c r="A21" s="43" t="s">
        <v>3206</v>
      </c>
      <c r="B21" s="43">
        <v>2</v>
      </c>
      <c r="C21" s="47">
        <v>3.6456434560699962E-4</v>
      </c>
      <c r="D21" s="43">
        <v>0</v>
      </c>
      <c r="E21" s="47">
        <v>0</v>
      </c>
      <c r="F21" s="47">
        <v>0</v>
      </c>
      <c r="G21" s="43">
        <v>0</v>
      </c>
    </row>
    <row r="22" spans="1:7" customFormat="1" hidden="1" x14ac:dyDescent="0.25">
      <c r="A22" s="43" t="s">
        <v>1444</v>
      </c>
      <c r="B22" s="43">
        <v>1</v>
      </c>
      <c r="C22" s="47">
        <v>1.8228217280349981E-4</v>
      </c>
      <c r="D22" s="43">
        <v>0</v>
      </c>
      <c r="E22" s="47">
        <v>0</v>
      </c>
      <c r="F22" s="47">
        <v>0</v>
      </c>
      <c r="G22" s="43">
        <v>0</v>
      </c>
    </row>
    <row r="23" spans="1:7" customFormat="1" hidden="1" x14ac:dyDescent="0.25">
      <c r="A23" s="43" t="s">
        <v>3090</v>
      </c>
      <c r="B23" s="43">
        <v>4</v>
      </c>
      <c r="C23" s="47">
        <v>7.2912869121399923E-4</v>
      </c>
      <c r="D23" s="43">
        <v>0</v>
      </c>
      <c r="E23" s="47">
        <v>0</v>
      </c>
      <c r="F23" s="47">
        <v>0</v>
      </c>
      <c r="G23" s="43">
        <v>0</v>
      </c>
    </row>
    <row r="24" spans="1:7" customFormat="1" hidden="1" x14ac:dyDescent="0.25">
      <c r="A24" s="43" t="s">
        <v>3207</v>
      </c>
      <c r="B24" s="43">
        <v>2</v>
      </c>
      <c r="C24" s="47">
        <v>3.6456434560699962E-4</v>
      </c>
      <c r="D24" s="43">
        <v>0</v>
      </c>
      <c r="E24" s="47">
        <v>0</v>
      </c>
      <c r="F24" s="47">
        <v>0</v>
      </c>
      <c r="G24" s="43">
        <v>0</v>
      </c>
    </row>
    <row r="25" spans="1:7" customFormat="1" hidden="1" x14ac:dyDescent="0.25">
      <c r="A25" s="43" t="s">
        <v>3251</v>
      </c>
      <c r="B25" s="43">
        <v>1</v>
      </c>
      <c r="C25" s="47">
        <v>1.8228217280349981E-4</v>
      </c>
      <c r="D25" s="43">
        <v>0</v>
      </c>
      <c r="E25" s="47">
        <v>0</v>
      </c>
      <c r="F25" s="47">
        <v>0</v>
      </c>
      <c r="G25" s="43">
        <v>1</v>
      </c>
    </row>
    <row r="26" spans="1:7" customFormat="1" hidden="1" x14ac:dyDescent="0.25">
      <c r="A26" s="43" t="s">
        <v>805</v>
      </c>
      <c r="B26" s="43">
        <v>2</v>
      </c>
      <c r="C26" s="47">
        <v>3.6456434560699962E-4</v>
      </c>
      <c r="D26" s="43">
        <v>0</v>
      </c>
      <c r="E26" s="47">
        <v>0</v>
      </c>
      <c r="F26" s="47">
        <v>0</v>
      </c>
      <c r="G26" s="43">
        <v>0</v>
      </c>
    </row>
    <row r="27" spans="1:7" customFormat="1" hidden="1" x14ac:dyDescent="0.25">
      <c r="A27" s="43" t="s">
        <v>1042</v>
      </c>
      <c r="B27" s="43">
        <v>2</v>
      </c>
      <c r="C27" s="47">
        <v>3.6456434560699962E-4</v>
      </c>
      <c r="D27" s="43">
        <v>0</v>
      </c>
      <c r="E27" s="47">
        <v>0</v>
      </c>
      <c r="F27" s="47">
        <v>0</v>
      </c>
      <c r="G27" s="43">
        <v>0</v>
      </c>
    </row>
    <row r="28" spans="1:7" customFormat="1" hidden="1" x14ac:dyDescent="0.25">
      <c r="A28" s="43" t="s">
        <v>1050</v>
      </c>
      <c r="B28" s="43">
        <v>2</v>
      </c>
      <c r="C28" s="47">
        <v>3.6456434560699962E-4</v>
      </c>
      <c r="D28" s="43">
        <v>0</v>
      </c>
      <c r="E28" s="47">
        <v>0</v>
      </c>
      <c r="F28" s="47">
        <v>0</v>
      </c>
      <c r="G28" s="43">
        <v>1</v>
      </c>
    </row>
    <row r="29" spans="1:7" customFormat="1" hidden="1" x14ac:dyDescent="0.25">
      <c r="A29" s="43" t="s">
        <v>3252</v>
      </c>
      <c r="B29" s="43">
        <v>1</v>
      </c>
      <c r="C29" s="47">
        <v>1.8228217280349981E-4</v>
      </c>
      <c r="D29" s="43">
        <v>0</v>
      </c>
      <c r="E29" s="47">
        <v>0</v>
      </c>
      <c r="F29" s="47">
        <v>0</v>
      </c>
      <c r="G29" s="43">
        <v>0</v>
      </c>
    </row>
    <row r="30" spans="1:7" customFormat="1" hidden="1" x14ac:dyDescent="0.25">
      <c r="A30" s="43" t="s">
        <v>3253</v>
      </c>
      <c r="B30" s="43">
        <v>1</v>
      </c>
      <c r="C30" s="47">
        <v>1.8228217280349981E-4</v>
      </c>
      <c r="D30" s="43">
        <v>0</v>
      </c>
      <c r="E30" s="47">
        <v>0</v>
      </c>
      <c r="F30" s="47">
        <v>0</v>
      </c>
      <c r="G30" s="43">
        <v>1</v>
      </c>
    </row>
    <row r="31" spans="1:7" customFormat="1" hidden="1" x14ac:dyDescent="0.25">
      <c r="A31" s="43" t="s">
        <v>3129</v>
      </c>
      <c r="B31" s="43">
        <v>3</v>
      </c>
      <c r="C31" s="47">
        <v>5.4684651841049945E-4</v>
      </c>
      <c r="D31" s="43">
        <v>0</v>
      </c>
      <c r="E31" s="47">
        <v>0</v>
      </c>
      <c r="F31" s="47">
        <v>0</v>
      </c>
      <c r="G31" s="43">
        <v>1</v>
      </c>
    </row>
    <row r="32" spans="1:7" customFormat="1" hidden="1" x14ac:dyDescent="0.25">
      <c r="A32" s="43" t="s">
        <v>3208</v>
      </c>
      <c r="B32" s="43">
        <v>2</v>
      </c>
      <c r="C32" s="47">
        <v>3.6456434560699962E-4</v>
      </c>
      <c r="D32" s="43">
        <v>0</v>
      </c>
      <c r="E32" s="47">
        <v>0</v>
      </c>
      <c r="F32" s="47">
        <v>0</v>
      </c>
      <c r="G32" s="43">
        <v>1</v>
      </c>
    </row>
    <row r="33" spans="1:7" customFormat="1" hidden="1" x14ac:dyDescent="0.25">
      <c r="A33" s="43" t="s">
        <v>3254</v>
      </c>
      <c r="B33" s="43">
        <v>1</v>
      </c>
      <c r="C33" s="47">
        <v>1.8228217280349981E-4</v>
      </c>
      <c r="D33" s="43">
        <v>0</v>
      </c>
      <c r="E33" s="47">
        <v>0</v>
      </c>
      <c r="F33" s="47">
        <v>0</v>
      </c>
      <c r="G33" s="43">
        <v>0</v>
      </c>
    </row>
    <row r="34" spans="1:7" customFormat="1" hidden="1" x14ac:dyDescent="0.25">
      <c r="A34" s="43" t="s">
        <v>1052</v>
      </c>
      <c r="B34" s="43">
        <v>2</v>
      </c>
      <c r="C34" s="47">
        <v>3.6456434560699962E-4</v>
      </c>
      <c r="D34" s="43">
        <v>0</v>
      </c>
      <c r="E34" s="47">
        <v>0</v>
      </c>
      <c r="F34" s="47">
        <v>0</v>
      </c>
      <c r="G34" s="43">
        <v>1</v>
      </c>
    </row>
    <row r="35" spans="1:7" customFormat="1" hidden="1" x14ac:dyDescent="0.25">
      <c r="A35" s="43" t="s">
        <v>3255</v>
      </c>
      <c r="B35" s="43">
        <v>1</v>
      </c>
      <c r="C35" s="47">
        <v>1.8228217280349981E-4</v>
      </c>
      <c r="D35" s="43">
        <v>0</v>
      </c>
      <c r="E35" s="47">
        <v>0</v>
      </c>
      <c r="F35" s="47">
        <v>0</v>
      </c>
      <c r="G35" s="43">
        <v>1</v>
      </c>
    </row>
    <row r="36" spans="1:7" customFormat="1" hidden="1" x14ac:dyDescent="0.25">
      <c r="A36" s="43" t="s">
        <v>3209</v>
      </c>
      <c r="B36" s="43">
        <v>2</v>
      </c>
      <c r="C36" s="47">
        <v>3.6456434560699962E-4</v>
      </c>
      <c r="D36" s="43">
        <v>0</v>
      </c>
      <c r="E36" s="47">
        <v>0</v>
      </c>
      <c r="F36" s="47">
        <v>0</v>
      </c>
      <c r="G36" s="43">
        <v>1</v>
      </c>
    </row>
    <row r="37" spans="1:7" customFormat="1" hidden="1" x14ac:dyDescent="0.25">
      <c r="A37" s="43" t="s">
        <v>3256</v>
      </c>
      <c r="B37" s="43">
        <v>1</v>
      </c>
      <c r="C37" s="47">
        <v>1.8228217280349981E-4</v>
      </c>
      <c r="D37" s="43">
        <v>0</v>
      </c>
      <c r="E37" s="47">
        <v>0</v>
      </c>
      <c r="F37" s="47">
        <v>0</v>
      </c>
      <c r="G37" s="43">
        <v>1</v>
      </c>
    </row>
    <row r="38" spans="1:7" customFormat="1" hidden="1" x14ac:dyDescent="0.25">
      <c r="A38" s="43" t="s">
        <v>3210</v>
      </c>
      <c r="B38" s="43">
        <v>2</v>
      </c>
      <c r="C38" s="47">
        <v>3.6456434560699962E-4</v>
      </c>
      <c r="D38" s="43">
        <v>0</v>
      </c>
      <c r="E38" s="47">
        <v>0</v>
      </c>
      <c r="F38" s="47">
        <v>0</v>
      </c>
      <c r="G38" s="43">
        <v>1</v>
      </c>
    </row>
    <row r="39" spans="1:7" customFormat="1" hidden="1" x14ac:dyDescent="0.25">
      <c r="A39" s="43" t="s">
        <v>3211</v>
      </c>
      <c r="B39" s="43">
        <v>2</v>
      </c>
      <c r="C39" s="47">
        <v>3.6456434560699962E-4</v>
      </c>
      <c r="D39" s="43">
        <v>0</v>
      </c>
      <c r="E39" s="47">
        <v>0</v>
      </c>
      <c r="F39" s="47">
        <v>0</v>
      </c>
      <c r="G39" s="43">
        <v>1</v>
      </c>
    </row>
    <row r="40" spans="1:7" customFormat="1" hidden="1" x14ac:dyDescent="0.25">
      <c r="A40" s="43" t="s">
        <v>1865</v>
      </c>
      <c r="B40" s="43">
        <v>1</v>
      </c>
      <c r="C40" s="47">
        <v>1.8228217280349981E-4</v>
      </c>
      <c r="D40" s="43">
        <v>0</v>
      </c>
      <c r="E40" s="47">
        <v>0</v>
      </c>
      <c r="F40" s="47">
        <v>0</v>
      </c>
      <c r="G40" s="43">
        <v>1</v>
      </c>
    </row>
    <row r="41" spans="1:7" customFormat="1" hidden="1" x14ac:dyDescent="0.25">
      <c r="A41" s="43" t="s">
        <v>3257</v>
      </c>
      <c r="B41" s="43">
        <v>1</v>
      </c>
      <c r="C41" s="47">
        <v>1.8228217280349981E-4</v>
      </c>
      <c r="D41" s="43">
        <v>0</v>
      </c>
      <c r="E41" s="47">
        <v>0</v>
      </c>
      <c r="F41" s="47">
        <v>0</v>
      </c>
      <c r="G41" s="43">
        <v>1</v>
      </c>
    </row>
    <row r="42" spans="1:7" customFormat="1" hidden="1" x14ac:dyDescent="0.25">
      <c r="A42" s="43" t="s">
        <v>3212</v>
      </c>
      <c r="B42" s="43">
        <v>2</v>
      </c>
      <c r="C42" s="47">
        <v>3.6456434560699962E-4</v>
      </c>
      <c r="D42" s="43">
        <v>0</v>
      </c>
      <c r="E42" s="47">
        <v>0</v>
      </c>
      <c r="F42" s="47">
        <v>0</v>
      </c>
      <c r="G42" s="43">
        <v>1</v>
      </c>
    </row>
    <row r="43" spans="1:7" customFormat="1" hidden="1" x14ac:dyDescent="0.25">
      <c r="A43" s="43" t="s">
        <v>1269</v>
      </c>
      <c r="B43" s="43">
        <v>1</v>
      </c>
      <c r="C43" s="47">
        <v>1.8228217280349981E-4</v>
      </c>
      <c r="D43" s="43">
        <v>0</v>
      </c>
      <c r="E43" s="47">
        <v>0</v>
      </c>
      <c r="F43" s="47">
        <v>0</v>
      </c>
      <c r="G43" s="43">
        <v>1</v>
      </c>
    </row>
    <row r="44" spans="1:7" customFormat="1" hidden="1" x14ac:dyDescent="0.25">
      <c r="A44" s="43" t="s">
        <v>1867</v>
      </c>
      <c r="B44" s="43">
        <v>1</v>
      </c>
      <c r="C44" s="47">
        <v>1.8228217280349981E-4</v>
      </c>
      <c r="D44" s="43">
        <v>0</v>
      </c>
      <c r="E44" s="47">
        <v>0</v>
      </c>
      <c r="F44" s="47">
        <v>0</v>
      </c>
      <c r="G44" s="43">
        <v>1</v>
      </c>
    </row>
    <row r="45" spans="1:7" customFormat="1" hidden="1" x14ac:dyDescent="0.25">
      <c r="A45" s="43" t="s">
        <v>3213</v>
      </c>
      <c r="B45" s="43">
        <v>2</v>
      </c>
      <c r="C45" s="47">
        <v>3.6456434560699962E-4</v>
      </c>
      <c r="D45" s="43">
        <v>0</v>
      </c>
      <c r="E45" s="47">
        <v>0</v>
      </c>
      <c r="F45" s="47">
        <v>0</v>
      </c>
      <c r="G45" s="43">
        <v>1</v>
      </c>
    </row>
    <row r="46" spans="1:7" customFormat="1" hidden="1" x14ac:dyDescent="0.25">
      <c r="A46" s="43" t="s">
        <v>1291</v>
      </c>
      <c r="B46" s="43">
        <v>1</v>
      </c>
      <c r="C46" s="47">
        <v>1.8228217280349981E-4</v>
      </c>
      <c r="D46" s="43">
        <v>0</v>
      </c>
      <c r="E46" s="47">
        <v>0</v>
      </c>
      <c r="F46" s="47">
        <v>0</v>
      </c>
      <c r="G46" s="43">
        <v>1</v>
      </c>
    </row>
    <row r="47" spans="1:7" customFormat="1" hidden="1" x14ac:dyDescent="0.25">
      <c r="A47" s="43" t="s">
        <v>797</v>
      </c>
      <c r="B47" s="43">
        <v>2</v>
      </c>
      <c r="C47" s="47">
        <v>3.6456434560699962E-4</v>
      </c>
      <c r="D47" s="43">
        <v>0</v>
      </c>
      <c r="E47" s="47">
        <v>0</v>
      </c>
      <c r="F47" s="47">
        <v>0</v>
      </c>
      <c r="G47" s="43">
        <v>1</v>
      </c>
    </row>
    <row r="48" spans="1:7" customFormat="1" hidden="1" x14ac:dyDescent="0.25">
      <c r="A48" s="43" t="s">
        <v>750</v>
      </c>
      <c r="B48" s="43">
        <v>2</v>
      </c>
      <c r="C48" s="47">
        <v>3.6456434560699962E-4</v>
      </c>
      <c r="D48" s="43">
        <v>0</v>
      </c>
      <c r="E48" s="47">
        <v>0</v>
      </c>
      <c r="F48" s="47">
        <v>0</v>
      </c>
      <c r="G48" s="43">
        <v>1</v>
      </c>
    </row>
    <row r="49" spans="1:7" customFormat="1" hidden="1" x14ac:dyDescent="0.25">
      <c r="A49" s="43" t="s">
        <v>3258</v>
      </c>
      <c r="B49" s="43">
        <v>1</v>
      </c>
      <c r="C49" s="47">
        <v>1.8228217280349981E-4</v>
      </c>
      <c r="D49" s="43">
        <v>0</v>
      </c>
      <c r="E49" s="47">
        <v>0</v>
      </c>
      <c r="F49" s="47">
        <v>0</v>
      </c>
      <c r="G49" s="43">
        <v>1</v>
      </c>
    </row>
    <row r="50" spans="1:7" customFormat="1" hidden="1" x14ac:dyDescent="0.25">
      <c r="A50" s="43" t="s">
        <v>1961</v>
      </c>
      <c r="B50" s="43">
        <v>2</v>
      </c>
      <c r="C50" s="47">
        <v>3.6456434560699962E-4</v>
      </c>
      <c r="D50" s="43">
        <v>0</v>
      </c>
      <c r="E50" s="47">
        <v>0</v>
      </c>
      <c r="F50" s="47">
        <v>0</v>
      </c>
      <c r="G50" s="43">
        <v>1</v>
      </c>
    </row>
    <row r="51" spans="1:7" customFormat="1" hidden="1" x14ac:dyDescent="0.25">
      <c r="A51" s="43" t="s">
        <v>1954</v>
      </c>
      <c r="B51" s="43">
        <v>2</v>
      </c>
      <c r="C51" s="47">
        <v>3.6456434560699962E-4</v>
      </c>
      <c r="D51" s="43">
        <v>0</v>
      </c>
      <c r="E51" s="47">
        <v>0</v>
      </c>
      <c r="F51" s="47">
        <v>0</v>
      </c>
      <c r="G51" s="43">
        <v>1</v>
      </c>
    </row>
    <row r="52" spans="1:7" customFormat="1" hidden="1" x14ac:dyDescent="0.25">
      <c r="A52" s="43" t="s">
        <v>3259</v>
      </c>
      <c r="B52" s="43">
        <v>1</v>
      </c>
      <c r="C52" s="47">
        <v>1.8228217280349981E-4</v>
      </c>
      <c r="D52" s="43">
        <v>0</v>
      </c>
      <c r="E52" s="47">
        <v>0</v>
      </c>
      <c r="F52" s="47">
        <v>0</v>
      </c>
      <c r="G52" s="43">
        <v>1</v>
      </c>
    </row>
    <row r="53" spans="1:7" customFormat="1" hidden="1" x14ac:dyDescent="0.25">
      <c r="A53" s="43" t="s">
        <v>291</v>
      </c>
      <c r="B53" s="43">
        <v>2</v>
      </c>
      <c r="C53" s="47">
        <v>3.6456434560699962E-4</v>
      </c>
      <c r="D53" s="43">
        <v>0</v>
      </c>
      <c r="E53" s="47">
        <v>0</v>
      </c>
      <c r="F53" s="47">
        <v>0</v>
      </c>
      <c r="G53" s="43">
        <v>1</v>
      </c>
    </row>
    <row r="54" spans="1:7" customFormat="1" hidden="1" x14ac:dyDescent="0.25">
      <c r="A54" s="43" t="s">
        <v>1714</v>
      </c>
      <c r="B54" s="43">
        <v>1</v>
      </c>
      <c r="C54" s="47">
        <v>1.8228217280349981E-4</v>
      </c>
      <c r="D54" s="43">
        <v>0</v>
      </c>
      <c r="E54" s="47">
        <v>0</v>
      </c>
      <c r="F54" s="47">
        <v>0</v>
      </c>
      <c r="G54" s="43">
        <v>1</v>
      </c>
    </row>
    <row r="55" spans="1:7" customFormat="1" hidden="1" x14ac:dyDescent="0.25">
      <c r="A55" s="43" t="s">
        <v>1361</v>
      </c>
      <c r="B55" s="43">
        <v>2</v>
      </c>
      <c r="C55" s="47">
        <v>3.6456434560699962E-4</v>
      </c>
      <c r="D55" s="43">
        <v>0</v>
      </c>
      <c r="E55" s="47">
        <v>0</v>
      </c>
      <c r="F55" s="47">
        <v>0</v>
      </c>
      <c r="G55" s="43">
        <v>1</v>
      </c>
    </row>
    <row r="56" spans="1:7" customFormat="1" hidden="1" x14ac:dyDescent="0.25">
      <c r="A56" s="43" t="s">
        <v>1150</v>
      </c>
      <c r="B56" s="43">
        <v>6</v>
      </c>
      <c r="C56" s="47">
        <v>1.0936930368209989E-3</v>
      </c>
      <c r="D56" s="43">
        <v>0</v>
      </c>
      <c r="E56" s="47">
        <v>0</v>
      </c>
      <c r="F56" s="47">
        <v>0</v>
      </c>
      <c r="G56" s="43">
        <v>1</v>
      </c>
    </row>
    <row r="57" spans="1:7" customFormat="1" hidden="1" x14ac:dyDescent="0.25">
      <c r="A57" s="43" t="s">
        <v>501</v>
      </c>
      <c r="B57" s="43">
        <v>1</v>
      </c>
      <c r="C57" s="47">
        <v>1.8228217280349981E-4</v>
      </c>
      <c r="D57" s="43">
        <v>0</v>
      </c>
      <c r="E57" s="47">
        <v>0</v>
      </c>
      <c r="F57" s="47">
        <v>0</v>
      </c>
      <c r="G57" s="43">
        <v>1</v>
      </c>
    </row>
    <row r="58" spans="1:7" customFormat="1" hidden="1" x14ac:dyDescent="0.25">
      <c r="A58" s="43" t="s">
        <v>1325</v>
      </c>
      <c r="B58" s="43">
        <v>2</v>
      </c>
      <c r="C58" s="47">
        <v>3.6456434560699962E-4</v>
      </c>
      <c r="D58" s="43">
        <v>0</v>
      </c>
      <c r="E58" s="47">
        <v>0</v>
      </c>
      <c r="F58" s="47">
        <v>0</v>
      </c>
      <c r="G58" s="43">
        <v>1</v>
      </c>
    </row>
    <row r="59" spans="1:7" customFormat="1" hidden="1" x14ac:dyDescent="0.25">
      <c r="A59" s="43" t="s">
        <v>1952</v>
      </c>
      <c r="B59" s="43">
        <v>2</v>
      </c>
      <c r="C59" s="47">
        <v>3.6456434560699962E-4</v>
      </c>
      <c r="D59" s="43">
        <v>0</v>
      </c>
      <c r="E59" s="47">
        <v>0</v>
      </c>
      <c r="F59" s="47">
        <v>0</v>
      </c>
      <c r="G59" s="43">
        <v>1</v>
      </c>
    </row>
    <row r="60" spans="1:7" customFormat="1" hidden="1" x14ac:dyDescent="0.25">
      <c r="A60" s="43" t="s">
        <v>1720</v>
      </c>
      <c r="B60" s="43">
        <v>1</v>
      </c>
      <c r="C60" s="47">
        <v>1.8228217280349981E-4</v>
      </c>
      <c r="D60" s="43">
        <v>0</v>
      </c>
      <c r="E60" s="47">
        <v>0</v>
      </c>
      <c r="F60" s="47">
        <v>0</v>
      </c>
      <c r="G60" s="43">
        <v>1</v>
      </c>
    </row>
    <row r="61" spans="1:7" customFormat="1" hidden="1" x14ac:dyDescent="0.25">
      <c r="A61" s="43" t="s">
        <v>3214</v>
      </c>
      <c r="B61" s="43">
        <v>2</v>
      </c>
      <c r="C61" s="47">
        <v>3.6456434560699962E-4</v>
      </c>
      <c r="D61" s="43">
        <v>0</v>
      </c>
      <c r="E61" s="47">
        <v>0</v>
      </c>
      <c r="F61" s="47">
        <v>0</v>
      </c>
      <c r="G61" s="43">
        <v>1</v>
      </c>
    </row>
    <row r="62" spans="1:7" customFormat="1" hidden="1" x14ac:dyDescent="0.25">
      <c r="A62" s="43" t="s">
        <v>753</v>
      </c>
      <c r="B62" s="43">
        <v>2</v>
      </c>
      <c r="C62" s="47">
        <v>3.6456434560699962E-4</v>
      </c>
      <c r="D62" s="43">
        <v>0</v>
      </c>
      <c r="E62" s="47">
        <v>0</v>
      </c>
      <c r="F62" s="47">
        <v>0</v>
      </c>
      <c r="G62" s="43">
        <v>1</v>
      </c>
    </row>
    <row r="63" spans="1:7" customFormat="1" hidden="1" x14ac:dyDescent="0.25">
      <c r="A63" s="43" t="s">
        <v>3260</v>
      </c>
      <c r="B63" s="43">
        <v>1</v>
      </c>
      <c r="C63" s="47">
        <v>1.8228217280349981E-4</v>
      </c>
      <c r="D63" s="43">
        <v>0</v>
      </c>
      <c r="E63" s="47">
        <v>0</v>
      </c>
      <c r="F63" s="47">
        <v>0</v>
      </c>
      <c r="G63" s="43">
        <v>1</v>
      </c>
    </row>
    <row r="64" spans="1:7" customFormat="1" hidden="1" x14ac:dyDescent="0.25">
      <c r="A64" s="43" t="s">
        <v>3215</v>
      </c>
      <c r="B64" s="43">
        <v>2</v>
      </c>
      <c r="C64" s="47">
        <v>3.6456434560699962E-4</v>
      </c>
      <c r="D64" s="43">
        <v>0</v>
      </c>
      <c r="E64" s="47">
        <v>0</v>
      </c>
      <c r="F64" s="47">
        <v>0</v>
      </c>
      <c r="G64" s="43">
        <v>1</v>
      </c>
    </row>
    <row r="65" spans="1:10" hidden="1" x14ac:dyDescent="0.25">
      <c r="A65" s="43" t="s">
        <v>3216</v>
      </c>
      <c r="B65" s="43">
        <v>2</v>
      </c>
      <c r="C65" s="47">
        <v>3.6456434560699962E-4</v>
      </c>
      <c r="D65" s="43">
        <v>0</v>
      </c>
      <c r="E65" s="47">
        <v>0</v>
      </c>
      <c r="F65" s="47">
        <v>0</v>
      </c>
      <c r="G65" s="43">
        <v>1</v>
      </c>
      <c r="I65"/>
      <c r="J65"/>
    </row>
    <row r="66" spans="1:10" hidden="1" x14ac:dyDescent="0.25">
      <c r="A66" s="43" t="s">
        <v>1593</v>
      </c>
      <c r="B66" s="43">
        <v>1</v>
      </c>
      <c r="C66" s="47">
        <v>1.8228217280349981E-4</v>
      </c>
      <c r="D66" s="43">
        <v>0</v>
      </c>
      <c r="E66" s="47">
        <v>0</v>
      </c>
      <c r="F66" s="47">
        <v>0</v>
      </c>
      <c r="G66" s="43">
        <v>1</v>
      </c>
      <c r="I66"/>
      <c r="J66"/>
    </row>
    <row r="67" spans="1:10" hidden="1" x14ac:dyDescent="0.25">
      <c r="A67" s="43" t="s">
        <v>3261</v>
      </c>
      <c r="B67" s="43">
        <v>1</v>
      </c>
      <c r="C67" s="47">
        <v>1.8228217280349981E-4</v>
      </c>
      <c r="D67" s="43">
        <v>0</v>
      </c>
      <c r="E67" s="47">
        <v>0</v>
      </c>
      <c r="F67" s="47">
        <v>0</v>
      </c>
      <c r="G67" s="43">
        <v>1</v>
      </c>
      <c r="I67"/>
      <c r="J67"/>
    </row>
    <row r="68" spans="1:10" hidden="1" x14ac:dyDescent="0.25">
      <c r="A68" s="43" t="s">
        <v>3262</v>
      </c>
      <c r="B68" s="43">
        <v>1</v>
      </c>
      <c r="C68" s="47">
        <v>1.8228217280349981E-4</v>
      </c>
      <c r="D68" s="43">
        <v>0</v>
      </c>
      <c r="E68" s="47">
        <v>0</v>
      </c>
      <c r="F68" s="47">
        <v>0</v>
      </c>
      <c r="G68" s="43">
        <v>1</v>
      </c>
      <c r="I68"/>
      <c r="J68"/>
    </row>
    <row r="69" spans="1:10" hidden="1" x14ac:dyDescent="0.25">
      <c r="A69" s="43" t="s">
        <v>3217</v>
      </c>
      <c r="B69" s="43">
        <v>2</v>
      </c>
      <c r="C69" s="47">
        <v>3.6456434560699962E-4</v>
      </c>
      <c r="D69" s="43">
        <v>0</v>
      </c>
      <c r="E69" s="47">
        <v>0</v>
      </c>
      <c r="F69" s="47">
        <v>0</v>
      </c>
      <c r="G69" s="43">
        <v>1</v>
      </c>
      <c r="I69"/>
      <c r="J69"/>
    </row>
    <row r="70" spans="1:10" hidden="1" x14ac:dyDescent="0.25">
      <c r="A70" s="43" t="s">
        <v>3218</v>
      </c>
      <c r="B70" s="43">
        <v>2</v>
      </c>
      <c r="C70" s="47">
        <v>3.6456434560699962E-4</v>
      </c>
      <c r="D70" s="43">
        <v>0</v>
      </c>
      <c r="E70" s="47">
        <v>0</v>
      </c>
      <c r="F70" s="47">
        <v>0</v>
      </c>
      <c r="G70" s="43">
        <v>1</v>
      </c>
      <c r="I70"/>
      <c r="J70"/>
    </row>
    <row r="71" spans="1:10" hidden="1" x14ac:dyDescent="0.25">
      <c r="A71" s="43" t="s">
        <v>3219</v>
      </c>
      <c r="B71" s="43">
        <v>2</v>
      </c>
      <c r="C71" s="47">
        <v>3.6456434560699962E-4</v>
      </c>
      <c r="D71" s="43">
        <v>0</v>
      </c>
      <c r="E71" s="47">
        <v>0</v>
      </c>
      <c r="F71" s="47">
        <v>0</v>
      </c>
      <c r="G71" s="43">
        <v>1</v>
      </c>
      <c r="I71"/>
      <c r="J71"/>
    </row>
    <row r="72" spans="1:10" hidden="1" x14ac:dyDescent="0.25">
      <c r="A72" s="43" t="s">
        <v>803</v>
      </c>
      <c r="B72" s="43">
        <v>2</v>
      </c>
      <c r="C72" s="47">
        <v>3.6456434560699962E-4</v>
      </c>
      <c r="D72" s="43">
        <v>0</v>
      </c>
      <c r="E72" s="47">
        <v>0</v>
      </c>
      <c r="F72" s="47">
        <v>0</v>
      </c>
      <c r="G72" s="43">
        <v>1</v>
      </c>
      <c r="I72"/>
      <c r="J72"/>
    </row>
    <row r="73" spans="1:10" hidden="1" x14ac:dyDescent="0.25">
      <c r="A73" s="43" t="s">
        <v>3263</v>
      </c>
      <c r="B73" s="43">
        <v>1</v>
      </c>
      <c r="C73" s="47">
        <v>1.8228217280349981E-4</v>
      </c>
      <c r="D73" s="43">
        <v>0</v>
      </c>
      <c r="E73" s="47">
        <v>0</v>
      </c>
      <c r="F73" s="47">
        <v>0</v>
      </c>
      <c r="G73" s="43">
        <v>1</v>
      </c>
      <c r="I73"/>
      <c r="J73"/>
    </row>
    <row r="74" spans="1:10" hidden="1" x14ac:dyDescent="0.25">
      <c r="A74" s="43" t="s">
        <v>3264</v>
      </c>
      <c r="B74" s="43">
        <v>1</v>
      </c>
      <c r="C74" s="47">
        <v>1.8228217280349981E-4</v>
      </c>
      <c r="D74" s="43">
        <v>0</v>
      </c>
      <c r="E74" s="47">
        <v>0</v>
      </c>
      <c r="F74" s="47">
        <v>0</v>
      </c>
      <c r="G74" s="43">
        <v>1</v>
      </c>
      <c r="I74"/>
      <c r="J74"/>
    </row>
    <row r="75" spans="1:10" hidden="1" x14ac:dyDescent="0.25">
      <c r="A75" s="43" t="s">
        <v>3029</v>
      </c>
      <c r="B75" s="43">
        <v>7</v>
      </c>
      <c r="C75" s="47">
        <v>1.2759752096244987E-3</v>
      </c>
      <c r="D75" s="43">
        <v>0</v>
      </c>
      <c r="E75" s="47">
        <v>0</v>
      </c>
      <c r="F75" s="47">
        <v>0</v>
      </c>
      <c r="G75" s="43">
        <v>1</v>
      </c>
      <c r="I75"/>
      <c r="J75"/>
    </row>
    <row r="76" spans="1:10" x14ac:dyDescent="0.25">
      <c r="A76" s="43" t="s">
        <v>2981</v>
      </c>
      <c r="B76" s="43">
        <v>11</v>
      </c>
      <c r="C76" s="47">
        <v>2.0051039008384978E-3</v>
      </c>
      <c r="D76" s="43">
        <v>1</v>
      </c>
      <c r="E76" s="47">
        <v>9.0999999999999998E-2</v>
      </c>
      <c r="F76" s="47">
        <v>1.8246445497630329E-4</v>
      </c>
      <c r="G76" s="43">
        <v>0</v>
      </c>
    </row>
    <row r="77" spans="1:10" hidden="1" x14ac:dyDescent="0.25">
      <c r="A77" s="43" t="s">
        <v>684</v>
      </c>
      <c r="B77" s="43">
        <v>9</v>
      </c>
      <c r="C77" s="47">
        <v>1.6405395552314983E-3</v>
      </c>
      <c r="D77" s="43">
        <v>1</v>
      </c>
      <c r="E77" s="47">
        <v>0.111</v>
      </c>
      <c r="F77" s="47">
        <v>1.820998906306963E-4</v>
      </c>
      <c r="G77" s="43">
        <v>1</v>
      </c>
      <c r="I77"/>
      <c r="J77"/>
    </row>
    <row r="78" spans="1:10" hidden="1" x14ac:dyDescent="0.25">
      <c r="A78" s="43" t="s">
        <v>3118</v>
      </c>
      <c r="B78" s="43">
        <v>3</v>
      </c>
      <c r="C78" s="47">
        <v>5.4684651841049945E-4</v>
      </c>
      <c r="D78" s="43">
        <v>1</v>
      </c>
      <c r="E78" s="47">
        <v>0.33300000000000002</v>
      </c>
      <c r="F78" s="47">
        <v>1.8209989063069633E-4</v>
      </c>
      <c r="G78" s="43">
        <v>1</v>
      </c>
      <c r="I78"/>
      <c r="J78"/>
    </row>
    <row r="79" spans="1:10" hidden="1" x14ac:dyDescent="0.25">
      <c r="A79" s="43" t="s">
        <v>3119</v>
      </c>
      <c r="B79" s="43">
        <v>3</v>
      </c>
      <c r="C79" s="47">
        <v>5.4684651841049945E-4</v>
      </c>
      <c r="D79" s="43">
        <v>1</v>
      </c>
      <c r="E79" s="47">
        <v>0.33300000000000002</v>
      </c>
      <c r="F79" s="47">
        <v>1.8209989063069633E-4</v>
      </c>
      <c r="G79" s="43">
        <v>1</v>
      </c>
      <c r="I79"/>
      <c r="J79"/>
    </row>
    <row r="80" spans="1:10" hidden="1" x14ac:dyDescent="0.25">
      <c r="A80" s="43" t="s">
        <v>1760</v>
      </c>
      <c r="B80" s="43">
        <v>3</v>
      </c>
      <c r="C80" s="47">
        <v>5.4684651841049945E-4</v>
      </c>
      <c r="D80" s="43">
        <v>1</v>
      </c>
      <c r="E80" s="47">
        <v>0.33300000000000002</v>
      </c>
      <c r="F80" s="47">
        <v>1.8209989063069633E-4</v>
      </c>
      <c r="G80" s="43">
        <v>0</v>
      </c>
      <c r="I80"/>
      <c r="J80"/>
    </row>
    <row r="81" spans="1:7" customFormat="1" hidden="1" x14ac:dyDescent="0.25">
      <c r="A81" s="43" t="s">
        <v>3120</v>
      </c>
      <c r="B81" s="43">
        <v>3</v>
      </c>
      <c r="C81" s="47">
        <v>5.4684651841049945E-4</v>
      </c>
      <c r="D81" s="43">
        <v>1</v>
      </c>
      <c r="E81" s="47">
        <v>0.33300000000000002</v>
      </c>
      <c r="F81" s="47">
        <v>1.8209989063069633E-4</v>
      </c>
      <c r="G81" s="43">
        <v>1</v>
      </c>
    </row>
    <row r="82" spans="1:7" customFormat="1" hidden="1" x14ac:dyDescent="0.25">
      <c r="A82" s="43" t="s">
        <v>3121</v>
      </c>
      <c r="B82" s="43">
        <v>3</v>
      </c>
      <c r="C82" s="47">
        <v>5.4684651841049945E-4</v>
      </c>
      <c r="D82" s="43">
        <v>1</v>
      </c>
      <c r="E82" s="47">
        <v>0.33300000000000002</v>
      </c>
      <c r="F82" s="47">
        <v>1.8209989063069633E-4</v>
      </c>
      <c r="G82" s="43">
        <v>1</v>
      </c>
    </row>
    <row r="83" spans="1:7" customFormat="1" hidden="1" x14ac:dyDescent="0.25">
      <c r="A83" s="43" t="s">
        <v>3122</v>
      </c>
      <c r="B83" s="43">
        <v>3</v>
      </c>
      <c r="C83" s="47">
        <v>5.4684651841049945E-4</v>
      </c>
      <c r="D83" s="43">
        <v>1</v>
      </c>
      <c r="E83" s="47">
        <v>0.33300000000000002</v>
      </c>
      <c r="F83" s="47">
        <v>1.8209989063069633E-4</v>
      </c>
      <c r="G83" s="43">
        <v>1</v>
      </c>
    </row>
    <row r="84" spans="1:7" customFormat="1" hidden="1" x14ac:dyDescent="0.25">
      <c r="A84" s="43" t="s">
        <v>3123</v>
      </c>
      <c r="B84" s="43">
        <v>3</v>
      </c>
      <c r="C84" s="47">
        <v>5.4684651841049945E-4</v>
      </c>
      <c r="D84" s="43">
        <v>1</v>
      </c>
      <c r="E84" s="47">
        <v>0.33300000000000002</v>
      </c>
      <c r="F84" s="47">
        <v>1.8209989063069633E-4</v>
      </c>
      <c r="G84" s="43">
        <v>1</v>
      </c>
    </row>
    <row r="85" spans="1:7" customFormat="1" hidden="1" x14ac:dyDescent="0.25">
      <c r="A85" s="43" t="s">
        <v>3124</v>
      </c>
      <c r="B85" s="43">
        <v>3</v>
      </c>
      <c r="C85" s="47">
        <v>5.4684651841049945E-4</v>
      </c>
      <c r="D85" s="43">
        <v>1</v>
      </c>
      <c r="E85" s="47">
        <v>0.33300000000000002</v>
      </c>
      <c r="F85" s="47">
        <v>1.8209989063069633E-4</v>
      </c>
      <c r="G85" s="43">
        <v>1</v>
      </c>
    </row>
    <row r="86" spans="1:7" customFormat="1" hidden="1" x14ac:dyDescent="0.25">
      <c r="A86" s="43" t="s">
        <v>986</v>
      </c>
      <c r="B86" s="43">
        <v>3</v>
      </c>
      <c r="C86" s="47">
        <v>5.4684651841049945E-4</v>
      </c>
      <c r="D86" s="43">
        <v>1</v>
      </c>
      <c r="E86" s="47">
        <v>0.33300000000000002</v>
      </c>
      <c r="F86" s="47">
        <v>1.8209989063069633E-4</v>
      </c>
      <c r="G86" s="43">
        <v>1</v>
      </c>
    </row>
    <row r="87" spans="1:7" customFormat="1" hidden="1" x14ac:dyDescent="0.25">
      <c r="A87" s="43" t="s">
        <v>3125</v>
      </c>
      <c r="B87" s="43">
        <v>3</v>
      </c>
      <c r="C87" s="47">
        <v>5.4684651841049945E-4</v>
      </c>
      <c r="D87" s="43">
        <v>1</v>
      </c>
      <c r="E87" s="47">
        <v>0.33300000000000002</v>
      </c>
      <c r="F87" s="47">
        <v>1.8209989063069633E-4</v>
      </c>
      <c r="G87" s="43">
        <v>1</v>
      </c>
    </row>
    <row r="88" spans="1:7" customFormat="1" hidden="1" x14ac:dyDescent="0.25">
      <c r="A88" s="43" t="s">
        <v>3126</v>
      </c>
      <c r="B88" s="43">
        <v>3</v>
      </c>
      <c r="C88" s="47">
        <v>5.4684651841049945E-4</v>
      </c>
      <c r="D88" s="43">
        <v>1</v>
      </c>
      <c r="E88" s="47">
        <v>0.33300000000000002</v>
      </c>
      <c r="F88" s="47">
        <v>1.8209989063069633E-4</v>
      </c>
      <c r="G88" s="43">
        <v>1</v>
      </c>
    </row>
    <row r="89" spans="1:7" customFormat="1" hidden="1" x14ac:dyDescent="0.25">
      <c r="A89" s="43" t="s">
        <v>1837</v>
      </c>
      <c r="B89" s="43">
        <v>3</v>
      </c>
      <c r="C89" s="47">
        <v>5.4684651841049945E-4</v>
      </c>
      <c r="D89" s="43">
        <v>1</v>
      </c>
      <c r="E89" s="47">
        <v>0.33300000000000002</v>
      </c>
      <c r="F89" s="47">
        <v>1.8209989063069633E-4</v>
      </c>
      <c r="G89" s="43">
        <v>1</v>
      </c>
    </row>
    <row r="90" spans="1:7" customFormat="1" hidden="1" x14ac:dyDescent="0.25">
      <c r="A90" s="43" t="s">
        <v>628</v>
      </c>
      <c r="B90" s="43">
        <v>4</v>
      </c>
      <c r="C90" s="47">
        <v>7.2912869121399923E-4</v>
      </c>
      <c r="D90" s="43">
        <v>1</v>
      </c>
      <c r="E90" s="47">
        <v>0.25</v>
      </c>
      <c r="F90" s="47">
        <v>1.8228217280349981E-4</v>
      </c>
      <c r="G90" s="43">
        <v>1</v>
      </c>
    </row>
    <row r="91" spans="1:7" customFormat="1" hidden="1" x14ac:dyDescent="0.25">
      <c r="A91" s="43" t="s">
        <v>3083</v>
      </c>
      <c r="B91" s="43">
        <v>4</v>
      </c>
      <c r="C91" s="47">
        <v>7.2912869121399923E-4</v>
      </c>
      <c r="D91" s="43">
        <v>1</v>
      </c>
      <c r="E91" s="47">
        <v>0.25</v>
      </c>
      <c r="F91" s="47">
        <v>1.8228217280349981E-4</v>
      </c>
      <c r="G91" s="43">
        <v>1</v>
      </c>
    </row>
    <row r="92" spans="1:7" customFormat="1" hidden="1" x14ac:dyDescent="0.25">
      <c r="A92" s="43" t="s">
        <v>3084</v>
      </c>
      <c r="B92" s="43">
        <v>4</v>
      </c>
      <c r="C92" s="47">
        <v>7.2912869121399923E-4</v>
      </c>
      <c r="D92" s="43">
        <v>1</v>
      </c>
      <c r="E92" s="47">
        <v>0.25</v>
      </c>
      <c r="F92" s="47">
        <v>1.8228217280349981E-4</v>
      </c>
      <c r="G92" s="43">
        <v>1</v>
      </c>
    </row>
    <row r="93" spans="1:7" customFormat="1" hidden="1" x14ac:dyDescent="0.25">
      <c r="A93" s="43" t="s">
        <v>3085</v>
      </c>
      <c r="B93" s="43">
        <v>4</v>
      </c>
      <c r="C93" s="47">
        <v>7.2912869121399923E-4</v>
      </c>
      <c r="D93" s="43">
        <v>1</v>
      </c>
      <c r="E93" s="47">
        <v>0.25</v>
      </c>
      <c r="F93" s="47">
        <v>1.8228217280349981E-4</v>
      </c>
      <c r="G93" s="43">
        <v>1</v>
      </c>
    </row>
    <row r="94" spans="1:7" customFormat="1" hidden="1" x14ac:dyDescent="0.25">
      <c r="A94" s="43" t="s">
        <v>3086</v>
      </c>
      <c r="B94" s="43">
        <v>4</v>
      </c>
      <c r="C94" s="47">
        <v>7.2912869121399923E-4</v>
      </c>
      <c r="D94" s="43">
        <v>1</v>
      </c>
      <c r="E94" s="47">
        <v>0.25</v>
      </c>
      <c r="F94" s="47">
        <v>1.8228217280349981E-4</v>
      </c>
      <c r="G94" s="43">
        <v>1</v>
      </c>
    </row>
    <row r="95" spans="1:7" customFormat="1" hidden="1" x14ac:dyDescent="0.25">
      <c r="A95" s="43" t="s">
        <v>629</v>
      </c>
      <c r="B95" s="43">
        <v>4</v>
      </c>
      <c r="C95" s="47">
        <v>7.2912869121399923E-4</v>
      </c>
      <c r="D95" s="43">
        <v>1</v>
      </c>
      <c r="E95" s="47">
        <v>0.25</v>
      </c>
      <c r="F95" s="47">
        <v>1.8228217280349981E-4</v>
      </c>
      <c r="G95" s="43">
        <v>1</v>
      </c>
    </row>
    <row r="96" spans="1:7" customFormat="1" hidden="1" x14ac:dyDescent="0.25">
      <c r="A96" s="43" t="s">
        <v>3087</v>
      </c>
      <c r="B96" s="43">
        <v>4</v>
      </c>
      <c r="C96" s="47">
        <v>7.2912869121399923E-4</v>
      </c>
      <c r="D96" s="43">
        <v>1</v>
      </c>
      <c r="E96" s="47">
        <v>0.25</v>
      </c>
      <c r="F96" s="47">
        <v>1.8228217280349981E-4</v>
      </c>
      <c r="G96" s="43">
        <v>1</v>
      </c>
    </row>
    <row r="97" spans="1:7" customFormat="1" hidden="1" x14ac:dyDescent="0.25">
      <c r="A97" s="43" t="s">
        <v>1892</v>
      </c>
      <c r="B97" s="43">
        <v>4</v>
      </c>
      <c r="C97" s="47">
        <v>7.2912869121399923E-4</v>
      </c>
      <c r="D97" s="43">
        <v>1</v>
      </c>
      <c r="E97" s="47">
        <v>0.25</v>
      </c>
      <c r="F97" s="47">
        <v>1.8228217280349981E-4</v>
      </c>
      <c r="G97" s="43">
        <v>1</v>
      </c>
    </row>
    <row r="98" spans="1:7" customFormat="1" hidden="1" x14ac:dyDescent="0.25">
      <c r="A98" s="43" t="s">
        <v>630</v>
      </c>
      <c r="B98" s="43">
        <v>4</v>
      </c>
      <c r="C98" s="47">
        <v>7.2912869121399923E-4</v>
      </c>
      <c r="D98" s="43">
        <v>1</v>
      </c>
      <c r="E98" s="47">
        <v>0.25</v>
      </c>
      <c r="F98" s="47">
        <v>1.8228217280349981E-4</v>
      </c>
      <c r="G98" s="43">
        <v>1</v>
      </c>
    </row>
    <row r="99" spans="1:7" customFormat="1" hidden="1" x14ac:dyDescent="0.25">
      <c r="A99" s="43" t="s">
        <v>3088</v>
      </c>
      <c r="B99" s="43">
        <v>4</v>
      </c>
      <c r="C99" s="47">
        <v>7.2912869121399923E-4</v>
      </c>
      <c r="D99" s="43">
        <v>1</v>
      </c>
      <c r="E99" s="47">
        <v>0.25</v>
      </c>
      <c r="F99" s="47">
        <v>1.8228217280349981E-4</v>
      </c>
      <c r="G99" s="43">
        <v>1</v>
      </c>
    </row>
    <row r="100" spans="1:7" customFormat="1" hidden="1" x14ac:dyDescent="0.25">
      <c r="A100" s="43" t="s">
        <v>1140</v>
      </c>
      <c r="B100" s="43">
        <v>4</v>
      </c>
      <c r="C100" s="47">
        <v>7.2912869121399923E-4</v>
      </c>
      <c r="D100" s="43">
        <v>1</v>
      </c>
      <c r="E100" s="47">
        <v>0.25</v>
      </c>
      <c r="F100" s="47">
        <v>1.8228217280349981E-4</v>
      </c>
      <c r="G100" s="43">
        <v>1</v>
      </c>
    </row>
    <row r="101" spans="1:7" customFormat="1" hidden="1" x14ac:dyDescent="0.25">
      <c r="A101" s="43" t="s">
        <v>1563</v>
      </c>
      <c r="B101" s="43">
        <v>4</v>
      </c>
      <c r="C101" s="47">
        <v>7.2912869121399923E-4</v>
      </c>
      <c r="D101" s="43">
        <v>1</v>
      </c>
      <c r="E101" s="47">
        <v>0.25</v>
      </c>
      <c r="F101" s="47">
        <v>1.8228217280349981E-4</v>
      </c>
      <c r="G101" s="43">
        <v>1</v>
      </c>
    </row>
    <row r="102" spans="1:7" customFormat="1" hidden="1" x14ac:dyDescent="0.25">
      <c r="A102" s="43" t="s">
        <v>1582</v>
      </c>
      <c r="B102" s="43">
        <v>4</v>
      </c>
      <c r="C102" s="47">
        <v>7.2912869121399923E-4</v>
      </c>
      <c r="D102" s="43">
        <v>1</v>
      </c>
      <c r="E102" s="47">
        <v>0.25</v>
      </c>
      <c r="F102" s="47">
        <v>1.8228217280349981E-4</v>
      </c>
      <c r="G102" s="43">
        <v>1</v>
      </c>
    </row>
    <row r="103" spans="1:7" customFormat="1" hidden="1" x14ac:dyDescent="0.25">
      <c r="A103" s="43" t="s">
        <v>3154</v>
      </c>
      <c r="B103" s="43">
        <v>2</v>
      </c>
      <c r="C103" s="47">
        <v>3.6456434560699962E-4</v>
      </c>
      <c r="D103" s="43">
        <v>1</v>
      </c>
      <c r="E103" s="47">
        <v>0.5</v>
      </c>
      <c r="F103" s="47">
        <v>1.8228217280349981E-4</v>
      </c>
      <c r="G103" s="43">
        <v>1</v>
      </c>
    </row>
    <row r="104" spans="1:7" customFormat="1" hidden="1" x14ac:dyDescent="0.25">
      <c r="A104" s="43" t="s">
        <v>279</v>
      </c>
      <c r="B104" s="43">
        <v>2</v>
      </c>
      <c r="C104" s="47">
        <v>3.6456434560699962E-4</v>
      </c>
      <c r="D104" s="43">
        <v>1</v>
      </c>
      <c r="E104" s="47">
        <v>0.5</v>
      </c>
      <c r="F104" s="47">
        <v>1.8228217280349981E-4</v>
      </c>
      <c r="G104" s="43">
        <v>1</v>
      </c>
    </row>
    <row r="105" spans="1:7" customFormat="1" hidden="1" x14ac:dyDescent="0.25">
      <c r="A105" s="43" t="s">
        <v>3155</v>
      </c>
      <c r="B105" s="43">
        <v>2</v>
      </c>
      <c r="C105" s="47">
        <v>3.6456434560699962E-4</v>
      </c>
      <c r="D105" s="43">
        <v>1</v>
      </c>
      <c r="E105" s="47">
        <v>0.5</v>
      </c>
      <c r="F105" s="47">
        <v>1.8228217280349981E-4</v>
      </c>
      <c r="G105" s="43">
        <v>1</v>
      </c>
    </row>
    <row r="106" spans="1:7" customFormat="1" hidden="1" x14ac:dyDescent="0.25">
      <c r="A106" s="43" t="s">
        <v>1816</v>
      </c>
      <c r="B106" s="43">
        <v>2</v>
      </c>
      <c r="C106" s="47">
        <v>3.6456434560699962E-4</v>
      </c>
      <c r="D106" s="43">
        <v>1</v>
      </c>
      <c r="E106" s="47">
        <v>0.5</v>
      </c>
      <c r="F106" s="47">
        <v>1.8228217280349981E-4</v>
      </c>
      <c r="G106" s="43">
        <v>1</v>
      </c>
    </row>
    <row r="107" spans="1:7" customFormat="1" hidden="1" x14ac:dyDescent="0.25">
      <c r="A107" s="43" t="s">
        <v>1680</v>
      </c>
      <c r="B107" s="43">
        <v>2</v>
      </c>
      <c r="C107" s="47">
        <v>3.6456434560699962E-4</v>
      </c>
      <c r="D107" s="43">
        <v>1</v>
      </c>
      <c r="E107" s="47">
        <v>0.5</v>
      </c>
      <c r="F107" s="47">
        <v>1.8228217280349981E-4</v>
      </c>
      <c r="G107" s="43">
        <v>1</v>
      </c>
    </row>
    <row r="108" spans="1:7" customFormat="1" hidden="1" x14ac:dyDescent="0.25">
      <c r="A108" s="43" t="s">
        <v>3156</v>
      </c>
      <c r="B108" s="43">
        <v>2</v>
      </c>
      <c r="C108" s="47">
        <v>3.6456434560699962E-4</v>
      </c>
      <c r="D108" s="43">
        <v>1</v>
      </c>
      <c r="E108" s="47">
        <v>0.5</v>
      </c>
      <c r="F108" s="47">
        <v>1.8228217280349981E-4</v>
      </c>
      <c r="G108" s="43">
        <v>1</v>
      </c>
    </row>
    <row r="109" spans="1:7" customFormat="1" hidden="1" x14ac:dyDescent="0.25">
      <c r="A109" s="43" t="s">
        <v>1672</v>
      </c>
      <c r="B109" s="43">
        <v>2</v>
      </c>
      <c r="C109" s="47">
        <v>3.6456434560699962E-4</v>
      </c>
      <c r="D109" s="43">
        <v>1</v>
      </c>
      <c r="E109" s="47">
        <v>0.5</v>
      </c>
      <c r="F109" s="47">
        <v>1.8228217280349981E-4</v>
      </c>
      <c r="G109" s="43">
        <v>1</v>
      </c>
    </row>
    <row r="110" spans="1:7" customFormat="1" hidden="1" x14ac:dyDescent="0.25">
      <c r="A110" s="43" t="s">
        <v>3157</v>
      </c>
      <c r="B110" s="43">
        <v>2</v>
      </c>
      <c r="C110" s="47">
        <v>3.6456434560699962E-4</v>
      </c>
      <c r="D110" s="43">
        <v>1</v>
      </c>
      <c r="E110" s="47">
        <v>0.5</v>
      </c>
      <c r="F110" s="47">
        <v>1.8228217280349981E-4</v>
      </c>
      <c r="G110" s="43">
        <v>1</v>
      </c>
    </row>
    <row r="111" spans="1:7" customFormat="1" hidden="1" x14ac:dyDescent="0.25">
      <c r="A111" s="43" t="s">
        <v>3158</v>
      </c>
      <c r="B111" s="43">
        <v>2</v>
      </c>
      <c r="C111" s="47">
        <v>3.6456434560699962E-4</v>
      </c>
      <c r="D111" s="43">
        <v>1</v>
      </c>
      <c r="E111" s="47">
        <v>0.5</v>
      </c>
      <c r="F111" s="47">
        <v>1.8228217280349981E-4</v>
      </c>
      <c r="G111" s="43">
        <v>0</v>
      </c>
    </row>
    <row r="112" spans="1:7" customFormat="1" hidden="1" x14ac:dyDescent="0.25">
      <c r="A112" s="43" t="s">
        <v>3159</v>
      </c>
      <c r="B112" s="43">
        <v>2</v>
      </c>
      <c r="C112" s="47">
        <v>3.6456434560699962E-4</v>
      </c>
      <c r="D112" s="43">
        <v>1</v>
      </c>
      <c r="E112" s="47">
        <v>0.5</v>
      </c>
      <c r="F112" s="47">
        <v>1.8228217280349981E-4</v>
      </c>
      <c r="G112" s="43">
        <v>1</v>
      </c>
    </row>
    <row r="113" spans="1:7" customFormat="1" hidden="1" x14ac:dyDescent="0.25">
      <c r="A113" s="43" t="s">
        <v>3160</v>
      </c>
      <c r="B113" s="43">
        <v>2</v>
      </c>
      <c r="C113" s="47">
        <v>3.6456434560699962E-4</v>
      </c>
      <c r="D113" s="43">
        <v>1</v>
      </c>
      <c r="E113" s="47">
        <v>0.5</v>
      </c>
      <c r="F113" s="47">
        <v>1.8228217280349981E-4</v>
      </c>
      <c r="G113" s="43">
        <v>1</v>
      </c>
    </row>
    <row r="114" spans="1:7" customFormat="1" hidden="1" x14ac:dyDescent="0.25">
      <c r="A114" s="43" t="s">
        <v>777</v>
      </c>
      <c r="B114" s="43">
        <v>2</v>
      </c>
      <c r="C114" s="47">
        <v>3.6456434560699962E-4</v>
      </c>
      <c r="D114" s="43">
        <v>1</v>
      </c>
      <c r="E114" s="47">
        <v>0.5</v>
      </c>
      <c r="F114" s="47">
        <v>1.8228217280349981E-4</v>
      </c>
      <c r="G114" s="43">
        <v>1</v>
      </c>
    </row>
    <row r="115" spans="1:7" customFormat="1" hidden="1" x14ac:dyDescent="0.25">
      <c r="A115" s="43" t="s">
        <v>3161</v>
      </c>
      <c r="B115" s="43">
        <v>2</v>
      </c>
      <c r="C115" s="47">
        <v>3.6456434560699962E-4</v>
      </c>
      <c r="D115" s="43">
        <v>1</v>
      </c>
      <c r="E115" s="47">
        <v>0.5</v>
      </c>
      <c r="F115" s="47">
        <v>1.8228217280349981E-4</v>
      </c>
      <c r="G115" s="43">
        <v>1</v>
      </c>
    </row>
    <row r="116" spans="1:7" customFormat="1" hidden="1" x14ac:dyDescent="0.25">
      <c r="A116" s="43" t="s">
        <v>1330</v>
      </c>
      <c r="B116" s="43">
        <v>2</v>
      </c>
      <c r="C116" s="47">
        <v>3.6456434560699962E-4</v>
      </c>
      <c r="D116" s="43">
        <v>1</v>
      </c>
      <c r="E116" s="47">
        <v>0.5</v>
      </c>
      <c r="F116" s="47">
        <v>1.8228217280349981E-4</v>
      </c>
      <c r="G116" s="43">
        <v>1</v>
      </c>
    </row>
    <row r="117" spans="1:7" customFormat="1" hidden="1" x14ac:dyDescent="0.25">
      <c r="A117" s="43" t="s">
        <v>3162</v>
      </c>
      <c r="B117" s="43">
        <v>2</v>
      </c>
      <c r="C117" s="47">
        <v>3.6456434560699962E-4</v>
      </c>
      <c r="D117" s="43">
        <v>1</v>
      </c>
      <c r="E117" s="47">
        <v>0.5</v>
      </c>
      <c r="F117" s="47">
        <v>1.8228217280349981E-4</v>
      </c>
      <c r="G117" s="43">
        <v>1</v>
      </c>
    </row>
    <row r="118" spans="1:7" customFormat="1" hidden="1" x14ac:dyDescent="0.25">
      <c r="A118" s="43" t="s">
        <v>3163</v>
      </c>
      <c r="B118" s="43">
        <v>2</v>
      </c>
      <c r="C118" s="47">
        <v>3.6456434560699962E-4</v>
      </c>
      <c r="D118" s="43">
        <v>1</v>
      </c>
      <c r="E118" s="47">
        <v>0.5</v>
      </c>
      <c r="F118" s="47">
        <v>1.8228217280349981E-4</v>
      </c>
      <c r="G118" s="43">
        <v>1</v>
      </c>
    </row>
    <row r="119" spans="1:7" customFormat="1" hidden="1" x14ac:dyDescent="0.25">
      <c r="A119" s="43" t="s">
        <v>3164</v>
      </c>
      <c r="B119" s="43">
        <v>2</v>
      </c>
      <c r="C119" s="47">
        <v>3.6456434560699962E-4</v>
      </c>
      <c r="D119" s="43">
        <v>1</v>
      </c>
      <c r="E119" s="47">
        <v>0.5</v>
      </c>
      <c r="F119" s="47">
        <v>1.8228217280349981E-4</v>
      </c>
      <c r="G119" s="43">
        <v>1</v>
      </c>
    </row>
    <row r="120" spans="1:7" customFormat="1" hidden="1" x14ac:dyDescent="0.25">
      <c r="A120" s="43" t="s">
        <v>3165</v>
      </c>
      <c r="B120" s="43">
        <v>2</v>
      </c>
      <c r="C120" s="47">
        <v>3.6456434560699962E-4</v>
      </c>
      <c r="D120" s="43">
        <v>1</v>
      </c>
      <c r="E120" s="47">
        <v>0.5</v>
      </c>
      <c r="F120" s="47">
        <v>1.8228217280349981E-4</v>
      </c>
      <c r="G120" s="43">
        <v>1</v>
      </c>
    </row>
    <row r="121" spans="1:7" customFormat="1" hidden="1" x14ac:dyDescent="0.25">
      <c r="A121" s="43" t="s">
        <v>3166</v>
      </c>
      <c r="B121" s="43">
        <v>2</v>
      </c>
      <c r="C121" s="47">
        <v>3.6456434560699962E-4</v>
      </c>
      <c r="D121" s="43">
        <v>1</v>
      </c>
      <c r="E121" s="47">
        <v>0.5</v>
      </c>
      <c r="F121" s="47">
        <v>1.8228217280349981E-4</v>
      </c>
      <c r="G121" s="43">
        <v>1</v>
      </c>
    </row>
    <row r="122" spans="1:7" customFormat="1" hidden="1" x14ac:dyDescent="0.25">
      <c r="A122" s="43" t="s">
        <v>3167</v>
      </c>
      <c r="B122" s="43">
        <v>2</v>
      </c>
      <c r="C122" s="47">
        <v>3.6456434560699962E-4</v>
      </c>
      <c r="D122" s="43">
        <v>1</v>
      </c>
      <c r="E122" s="47">
        <v>0.5</v>
      </c>
      <c r="F122" s="47">
        <v>1.8228217280349981E-4</v>
      </c>
      <c r="G122" s="43">
        <v>0</v>
      </c>
    </row>
    <row r="123" spans="1:7" customFormat="1" hidden="1" x14ac:dyDescent="0.25">
      <c r="A123" s="43" t="s">
        <v>287</v>
      </c>
      <c r="B123" s="43">
        <v>2</v>
      </c>
      <c r="C123" s="47">
        <v>3.6456434560699962E-4</v>
      </c>
      <c r="D123" s="43">
        <v>1</v>
      </c>
      <c r="E123" s="47">
        <v>0.5</v>
      </c>
      <c r="F123" s="47">
        <v>1.8228217280349981E-4</v>
      </c>
      <c r="G123" s="43">
        <v>1</v>
      </c>
    </row>
    <row r="124" spans="1:7" customFormat="1" hidden="1" x14ac:dyDescent="0.25">
      <c r="A124" s="43" t="s">
        <v>3168</v>
      </c>
      <c r="B124" s="43">
        <v>2</v>
      </c>
      <c r="C124" s="47">
        <v>3.6456434560699962E-4</v>
      </c>
      <c r="D124" s="43">
        <v>1</v>
      </c>
      <c r="E124" s="47">
        <v>0.5</v>
      </c>
      <c r="F124" s="47">
        <v>1.8228217280349981E-4</v>
      </c>
      <c r="G124" s="43">
        <v>1</v>
      </c>
    </row>
    <row r="125" spans="1:7" customFormat="1" hidden="1" x14ac:dyDescent="0.25">
      <c r="A125" s="43" t="s">
        <v>285</v>
      </c>
      <c r="B125" s="43">
        <v>2</v>
      </c>
      <c r="C125" s="47">
        <v>3.6456434560699962E-4</v>
      </c>
      <c r="D125" s="43">
        <v>1</v>
      </c>
      <c r="E125" s="47">
        <v>0.5</v>
      </c>
      <c r="F125" s="47">
        <v>1.8228217280349981E-4</v>
      </c>
      <c r="G125" s="43">
        <v>1</v>
      </c>
    </row>
    <row r="126" spans="1:7" customFormat="1" hidden="1" x14ac:dyDescent="0.25">
      <c r="A126" s="43" t="s">
        <v>3169</v>
      </c>
      <c r="B126" s="43">
        <v>2</v>
      </c>
      <c r="C126" s="47">
        <v>3.6456434560699962E-4</v>
      </c>
      <c r="D126" s="43">
        <v>1</v>
      </c>
      <c r="E126" s="47">
        <v>0.5</v>
      </c>
      <c r="F126" s="47">
        <v>1.8228217280349981E-4</v>
      </c>
      <c r="G126" s="43">
        <v>1</v>
      </c>
    </row>
    <row r="127" spans="1:7" customFormat="1" hidden="1" x14ac:dyDescent="0.25">
      <c r="A127" s="43" t="s">
        <v>1959</v>
      </c>
      <c r="B127" s="43">
        <v>2</v>
      </c>
      <c r="C127" s="47">
        <v>3.6456434560699962E-4</v>
      </c>
      <c r="D127" s="43">
        <v>1</v>
      </c>
      <c r="E127" s="47">
        <v>0.5</v>
      </c>
      <c r="F127" s="47">
        <v>1.8228217280349981E-4</v>
      </c>
      <c r="G127" s="43">
        <v>1</v>
      </c>
    </row>
    <row r="128" spans="1:7" customFormat="1" hidden="1" x14ac:dyDescent="0.25">
      <c r="A128" s="43" t="s">
        <v>1062</v>
      </c>
      <c r="B128" s="43">
        <v>2</v>
      </c>
      <c r="C128" s="47">
        <v>3.6456434560699962E-4</v>
      </c>
      <c r="D128" s="43">
        <v>1</v>
      </c>
      <c r="E128" s="47">
        <v>0.5</v>
      </c>
      <c r="F128" s="47">
        <v>1.8228217280349981E-4</v>
      </c>
      <c r="G128" s="43">
        <v>0</v>
      </c>
    </row>
    <row r="129" spans="1:7" customFormat="1" hidden="1" x14ac:dyDescent="0.25">
      <c r="A129" s="43" t="s">
        <v>3170</v>
      </c>
      <c r="B129" s="43">
        <v>2</v>
      </c>
      <c r="C129" s="47">
        <v>3.6456434560699962E-4</v>
      </c>
      <c r="D129" s="43">
        <v>1</v>
      </c>
      <c r="E129" s="47">
        <v>0.5</v>
      </c>
      <c r="F129" s="47">
        <v>1.8228217280349981E-4</v>
      </c>
      <c r="G129" s="43">
        <v>1</v>
      </c>
    </row>
    <row r="130" spans="1:7" customFormat="1" hidden="1" x14ac:dyDescent="0.25">
      <c r="A130" s="43" t="s">
        <v>3171</v>
      </c>
      <c r="B130" s="43">
        <v>2</v>
      </c>
      <c r="C130" s="47">
        <v>3.6456434560699962E-4</v>
      </c>
      <c r="D130" s="43">
        <v>1</v>
      </c>
      <c r="E130" s="47">
        <v>0.5</v>
      </c>
      <c r="F130" s="47">
        <v>1.8228217280349981E-4</v>
      </c>
      <c r="G130" s="43">
        <v>1</v>
      </c>
    </row>
    <row r="131" spans="1:7" customFormat="1" hidden="1" x14ac:dyDescent="0.25">
      <c r="A131" s="43" t="s">
        <v>3172</v>
      </c>
      <c r="B131" s="43">
        <v>2</v>
      </c>
      <c r="C131" s="47">
        <v>3.6456434560699962E-4</v>
      </c>
      <c r="D131" s="43">
        <v>1</v>
      </c>
      <c r="E131" s="47">
        <v>0.5</v>
      </c>
      <c r="F131" s="47">
        <v>1.8228217280349981E-4</v>
      </c>
      <c r="G131" s="43">
        <v>0</v>
      </c>
    </row>
    <row r="132" spans="1:7" customFormat="1" hidden="1" x14ac:dyDescent="0.25">
      <c r="A132" s="43" t="s">
        <v>3173</v>
      </c>
      <c r="B132" s="43">
        <v>2</v>
      </c>
      <c r="C132" s="47">
        <v>3.6456434560699962E-4</v>
      </c>
      <c r="D132" s="43">
        <v>1</v>
      </c>
      <c r="E132" s="47">
        <v>0.5</v>
      </c>
      <c r="F132" s="47">
        <v>1.8228217280349981E-4</v>
      </c>
      <c r="G132" s="43">
        <v>0</v>
      </c>
    </row>
    <row r="133" spans="1:7" customFormat="1" hidden="1" x14ac:dyDescent="0.25">
      <c r="A133" s="43" t="s">
        <v>3174</v>
      </c>
      <c r="B133" s="43">
        <v>2</v>
      </c>
      <c r="C133" s="47">
        <v>3.6456434560699962E-4</v>
      </c>
      <c r="D133" s="43">
        <v>1</v>
      </c>
      <c r="E133" s="47">
        <v>0.5</v>
      </c>
      <c r="F133" s="47">
        <v>1.8228217280349981E-4</v>
      </c>
      <c r="G133" s="43">
        <v>0</v>
      </c>
    </row>
    <row r="134" spans="1:7" customFormat="1" hidden="1" x14ac:dyDescent="0.25">
      <c r="A134" s="43" t="s">
        <v>3175</v>
      </c>
      <c r="B134" s="43">
        <v>2</v>
      </c>
      <c r="C134" s="47">
        <v>3.6456434560699962E-4</v>
      </c>
      <c r="D134" s="43">
        <v>1</v>
      </c>
      <c r="E134" s="47">
        <v>0.5</v>
      </c>
      <c r="F134" s="47">
        <v>1.8228217280349981E-4</v>
      </c>
      <c r="G134" s="43">
        <v>1</v>
      </c>
    </row>
    <row r="135" spans="1:7" customFormat="1" hidden="1" x14ac:dyDescent="0.25">
      <c r="A135" s="43" t="s">
        <v>1678</v>
      </c>
      <c r="B135" s="43">
        <v>2</v>
      </c>
      <c r="C135" s="47">
        <v>3.6456434560699962E-4</v>
      </c>
      <c r="D135" s="43">
        <v>1</v>
      </c>
      <c r="E135" s="47">
        <v>0.5</v>
      </c>
      <c r="F135" s="47">
        <v>1.8228217280349981E-4</v>
      </c>
      <c r="G135" s="43">
        <v>1</v>
      </c>
    </row>
    <row r="136" spans="1:7" customFormat="1" hidden="1" x14ac:dyDescent="0.25">
      <c r="A136" s="43" t="s">
        <v>740</v>
      </c>
      <c r="B136" s="43">
        <v>2</v>
      </c>
      <c r="C136" s="47">
        <v>3.6456434560699962E-4</v>
      </c>
      <c r="D136" s="43">
        <v>1</v>
      </c>
      <c r="E136" s="47">
        <v>0.5</v>
      </c>
      <c r="F136" s="47">
        <v>1.8228217280349981E-4</v>
      </c>
      <c r="G136" s="43">
        <v>1</v>
      </c>
    </row>
    <row r="137" spans="1:7" customFormat="1" hidden="1" x14ac:dyDescent="0.25">
      <c r="A137" s="43" t="s">
        <v>3176</v>
      </c>
      <c r="B137" s="43">
        <v>2</v>
      </c>
      <c r="C137" s="47">
        <v>3.6456434560699962E-4</v>
      </c>
      <c r="D137" s="43">
        <v>1</v>
      </c>
      <c r="E137" s="47">
        <v>0.5</v>
      </c>
      <c r="F137" s="47">
        <v>1.8228217280349981E-4</v>
      </c>
      <c r="G137" s="43">
        <v>1</v>
      </c>
    </row>
    <row r="138" spans="1:7" customFormat="1" hidden="1" x14ac:dyDescent="0.25">
      <c r="A138" s="43" t="s">
        <v>1339</v>
      </c>
      <c r="B138" s="43">
        <v>2</v>
      </c>
      <c r="C138" s="47">
        <v>3.6456434560699962E-4</v>
      </c>
      <c r="D138" s="43">
        <v>1</v>
      </c>
      <c r="E138" s="47">
        <v>0.5</v>
      </c>
      <c r="F138" s="47">
        <v>1.8228217280349981E-4</v>
      </c>
      <c r="G138" s="43">
        <v>1</v>
      </c>
    </row>
    <row r="139" spans="1:7" customFormat="1" hidden="1" x14ac:dyDescent="0.25">
      <c r="A139" s="43" t="s">
        <v>1343</v>
      </c>
      <c r="B139" s="43">
        <v>2</v>
      </c>
      <c r="C139" s="47">
        <v>3.6456434560699962E-4</v>
      </c>
      <c r="D139" s="43">
        <v>1</v>
      </c>
      <c r="E139" s="47">
        <v>0.5</v>
      </c>
      <c r="F139" s="47">
        <v>1.8228217280349981E-4</v>
      </c>
      <c r="G139" s="43">
        <v>1</v>
      </c>
    </row>
    <row r="140" spans="1:7" customFormat="1" hidden="1" x14ac:dyDescent="0.25">
      <c r="A140" s="43" t="s">
        <v>3177</v>
      </c>
      <c r="B140" s="43">
        <v>2</v>
      </c>
      <c r="C140" s="47">
        <v>3.6456434560699962E-4</v>
      </c>
      <c r="D140" s="43">
        <v>1</v>
      </c>
      <c r="E140" s="47">
        <v>0.5</v>
      </c>
      <c r="F140" s="47">
        <v>1.8228217280349981E-4</v>
      </c>
      <c r="G140" s="43">
        <v>1</v>
      </c>
    </row>
    <row r="141" spans="1:7" customFormat="1" hidden="1" x14ac:dyDescent="0.25">
      <c r="A141" s="43" t="s">
        <v>3178</v>
      </c>
      <c r="B141" s="43">
        <v>2</v>
      </c>
      <c r="C141" s="47">
        <v>3.6456434560699962E-4</v>
      </c>
      <c r="D141" s="43">
        <v>1</v>
      </c>
      <c r="E141" s="47">
        <v>0.5</v>
      </c>
      <c r="F141" s="47">
        <v>1.8228217280349981E-4</v>
      </c>
      <c r="G141" s="43">
        <v>1</v>
      </c>
    </row>
    <row r="142" spans="1:7" customFormat="1" hidden="1" x14ac:dyDescent="0.25">
      <c r="A142" s="43" t="s">
        <v>3179</v>
      </c>
      <c r="B142" s="43">
        <v>2</v>
      </c>
      <c r="C142" s="47">
        <v>3.6456434560699962E-4</v>
      </c>
      <c r="D142" s="43">
        <v>1</v>
      </c>
      <c r="E142" s="47">
        <v>0.5</v>
      </c>
      <c r="F142" s="47">
        <v>1.8228217280349981E-4</v>
      </c>
      <c r="G142" s="43">
        <v>0</v>
      </c>
    </row>
    <row r="143" spans="1:7" customFormat="1" hidden="1" x14ac:dyDescent="0.25">
      <c r="A143" s="43" t="s">
        <v>3180</v>
      </c>
      <c r="B143" s="43">
        <v>2</v>
      </c>
      <c r="C143" s="47">
        <v>3.6456434560699962E-4</v>
      </c>
      <c r="D143" s="43">
        <v>1</v>
      </c>
      <c r="E143" s="47">
        <v>0.5</v>
      </c>
      <c r="F143" s="47">
        <v>1.8228217280349981E-4</v>
      </c>
      <c r="G143" s="43">
        <v>0</v>
      </c>
    </row>
    <row r="144" spans="1:7" customFormat="1" hidden="1" x14ac:dyDescent="0.25">
      <c r="A144" s="43" t="s">
        <v>779</v>
      </c>
      <c r="B144" s="43">
        <v>2</v>
      </c>
      <c r="C144" s="47">
        <v>3.6456434560699962E-4</v>
      </c>
      <c r="D144" s="43">
        <v>1</v>
      </c>
      <c r="E144" s="47">
        <v>0.5</v>
      </c>
      <c r="F144" s="47">
        <v>1.8228217280349981E-4</v>
      </c>
      <c r="G144" s="43">
        <v>0</v>
      </c>
    </row>
    <row r="145" spans="1:7" customFormat="1" hidden="1" x14ac:dyDescent="0.25">
      <c r="A145" s="43" t="s">
        <v>3181</v>
      </c>
      <c r="B145" s="43">
        <v>2</v>
      </c>
      <c r="C145" s="47">
        <v>3.6456434560699962E-4</v>
      </c>
      <c r="D145" s="43">
        <v>1</v>
      </c>
      <c r="E145" s="47">
        <v>0.5</v>
      </c>
      <c r="F145" s="47">
        <v>1.8228217280349981E-4</v>
      </c>
      <c r="G145" s="43">
        <v>0</v>
      </c>
    </row>
    <row r="146" spans="1:7" customFormat="1" hidden="1" x14ac:dyDescent="0.25">
      <c r="A146" s="43" t="s">
        <v>3182</v>
      </c>
      <c r="B146" s="43">
        <v>2</v>
      </c>
      <c r="C146" s="47">
        <v>3.6456434560699962E-4</v>
      </c>
      <c r="D146" s="43">
        <v>1</v>
      </c>
      <c r="E146" s="47">
        <v>0.5</v>
      </c>
      <c r="F146" s="47">
        <v>1.8228217280349981E-4</v>
      </c>
      <c r="G146" s="43">
        <v>1</v>
      </c>
    </row>
    <row r="147" spans="1:7" customFormat="1" hidden="1" x14ac:dyDescent="0.25">
      <c r="A147" s="43" t="s">
        <v>3183</v>
      </c>
      <c r="B147" s="43">
        <v>2</v>
      </c>
      <c r="C147" s="47">
        <v>3.6456434560699962E-4</v>
      </c>
      <c r="D147" s="43">
        <v>1</v>
      </c>
      <c r="E147" s="47">
        <v>0.5</v>
      </c>
      <c r="F147" s="47">
        <v>1.8228217280349981E-4</v>
      </c>
      <c r="G147" s="43">
        <v>0</v>
      </c>
    </row>
    <row r="148" spans="1:7" customFormat="1" hidden="1" x14ac:dyDescent="0.25">
      <c r="A148" s="43" t="s">
        <v>3184</v>
      </c>
      <c r="B148" s="43">
        <v>2</v>
      </c>
      <c r="C148" s="47">
        <v>3.6456434560699962E-4</v>
      </c>
      <c r="D148" s="43">
        <v>1</v>
      </c>
      <c r="E148" s="47">
        <v>0.5</v>
      </c>
      <c r="F148" s="47">
        <v>1.8228217280349981E-4</v>
      </c>
      <c r="G148" s="43">
        <v>0</v>
      </c>
    </row>
    <row r="149" spans="1:7" customFormat="1" hidden="1" x14ac:dyDescent="0.25">
      <c r="A149" s="43" t="s">
        <v>3185</v>
      </c>
      <c r="B149" s="43">
        <v>2</v>
      </c>
      <c r="C149" s="47">
        <v>3.6456434560699962E-4</v>
      </c>
      <c r="D149" s="43">
        <v>1</v>
      </c>
      <c r="E149" s="47">
        <v>0.5</v>
      </c>
      <c r="F149" s="47">
        <v>1.8228217280349981E-4</v>
      </c>
      <c r="G149" s="43">
        <v>0</v>
      </c>
    </row>
    <row r="150" spans="1:7" customFormat="1" hidden="1" x14ac:dyDescent="0.25">
      <c r="A150" s="43" t="s">
        <v>3186</v>
      </c>
      <c r="B150" s="43">
        <v>2</v>
      </c>
      <c r="C150" s="47">
        <v>3.6456434560699962E-4</v>
      </c>
      <c r="D150" s="43">
        <v>1</v>
      </c>
      <c r="E150" s="47">
        <v>0.5</v>
      </c>
      <c r="F150" s="47">
        <v>1.8228217280349981E-4</v>
      </c>
      <c r="G150" s="43">
        <v>1</v>
      </c>
    </row>
    <row r="151" spans="1:7" customFormat="1" hidden="1" x14ac:dyDescent="0.25">
      <c r="A151" s="43" t="s">
        <v>3187</v>
      </c>
      <c r="B151" s="43">
        <v>2</v>
      </c>
      <c r="C151" s="47">
        <v>3.6456434560699962E-4</v>
      </c>
      <c r="D151" s="43">
        <v>1</v>
      </c>
      <c r="E151" s="47">
        <v>0.5</v>
      </c>
      <c r="F151" s="47">
        <v>1.8228217280349981E-4</v>
      </c>
      <c r="G151" s="43">
        <v>1</v>
      </c>
    </row>
    <row r="152" spans="1:7" customFormat="1" hidden="1" x14ac:dyDescent="0.25">
      <c r="A152" s="43" t="s">
        <v>738</v>
      </c>
      <c r="B152" s="43">
        <v>2</v>
      </c>
      <c r="C152" s="47">
        <v>3.6456434560699962E-4</v>
      </c>
      <c r="D152" s="43">
        <v>1</v>
      </c>
      <c r="E152" s="47">
        <v>0.5</v>
      </c>
      <c r="F152" s="47">
        <v>1.8228217280349981E-4</v>
      </c>
      <c r="G152" s="43">
        <v>1</v>
      </c>
    </row>
    <row r="153" spans="1:7" customFormat="1" hidden="1" x14ac:dyDescent="0.25">
      <c r="A153" s="43" t="s">
        <v>3188</v>
      </c>
      <c r="B153" s="43">
        <v>2</v>
      </c>
      <c r="C153" s="47">
        <v>3.6456434560699962E-4</v>
      </c>
      <c r="D153" s="43">
        <v>1</v>
      </c>
      <c r="E153" s="47">
        <v>0.5</v>
      </c>
      <c r="F153" s="47">
        <v>1.8228217280349981E-4</v>
      </c>
      <c r="G153" s="43">
        <v>0</v>
      </c>
    </row>
    <row r="154" spans="1:7" customFormat="1" hidden="1" x14ac:dyDescent="0.25">
      <c r="A154" s="43" t="s">
        <v>746</v>
      </c>
      <c r="B154" s="43">
        <v>2</v>
      </c>
      <c r="C154" s="47">
        <v>3.6456434560699962E-4</v>
      </c>
      <c r="D154" s="43">
        <v>1</v>
      </c>
      <c r="E154" s="47">
        <v>0.5</v>
      </c>
      <c r="F154" s="47">
        <v>1.8228217280349981E-4</v>
      </c>
      <c r="G154" s="43">
        <v>1</v>
      </c>
    </row>
    <row r="155" spans="1:7" customFormat="1" hidden="1" x14ac:dyDescent="0.25">
      <c r="A155" s="43" t="s">
        <v>3189</v>
      </c>
      <c r="B155" s="43">
        <v>2</v>
      </c>
      <c r="C155" s="47">
        <v>3.6456434560699962E-4</v>
      </c>
      <c r="D155" s="43">
        <v>1</v>
      </c>
      <c r="E155" s="47">
        <v>0.5</v>
      </c>
      <c r="F155" s="47">
        <v>1.8228217280349981E-4</v>
      </c>
      <c r="G155" s="43">
        <v>0</v>
      </c>
    </row>
    <row r="156" spans="1:7" customFormat="1" hidden="1" x14ac:dyDescent="0.25">
      <c r="A156" s="43" t="s">
        <v>3190</v>
      </c>
      <c r="B156" s="43">
        <v>2</v>
      </c>
      <c r="C156" s="47">
        <v>3.6456434560699962E-4</v>
      </c>
      <c r="D156" s="43">
        <v>1</v>
      </c>
      <c r="E156" s="47">
        <v>0.5</v>
      </c>
      <c r="F156" s="47">
        <v>1.8228217280349981E-4</v>
      </c>
      <c r="G156" s="43">
        <v>0</v>
      </c>
    </row>
    <row r="157" spans="1:7" customFormat="1" hidden="1" x14ac:dyDescent="0.25">
      <c r="A157" s="43" t="s">
        <v>1963</v>
      </c>
      <c r="B157" s="43">
        <v>2</v>
      </c>
      <c r="C157" s="47">
        <v>3.6456434560699962E-4</v>
      </c>
      <c r="D157" s="43">
        <v>1</v>
      </c>
      <c r="E157" s="47">
        <v>0.5</v>
      </c>
      <c r="F157" s="47">
        <v>1.8228217280349981E-4</v>
      </c>
      <c r="G157" s="43">
        <v>0</v>
      </c>
    </row>
    <row r="158" spans="1:7" customFormat="1" hidden="1" x14ac:dyDescent="0.25">
      <c r="A158" s="43" t="s">
        <v>3191</v>
      </c>
      <c r="B158" s="43">
        <v>2</v>
      </c>
      <c r="C158" s="47">
        <v>3.6456434560699962E-4</v>
      </c>
      <c r="D158" s="43">
        <v>1</v>
      </c>
      <c r="E158" s="47">
        <v>0.5</v>
      </c>
      <c r="F158" s="47">
        <v>1.8228217280349981E-4</v>
      </c>
      <c r="G158" s="43">
        <v>1</v>
      </c>
    </row>
    <row r="159" spans="1:7" customFormat="1" hidden="1" x14ac:dyDescent="0.25">
      <c r="A159" s="43" t="s">
        <v>3192</v>
      </c>
      <c r="B159" s="43">
        <v>2</v>
      </c>
      <c r="C159" s="47">
        <v>3.6456434560699962E-4</v>
      </c>
      <c r="D159" s="43">
        <v>1</v>
      </c>
      <c r="E159" s="47">
        <v>0.5</v>
      </c>
      <c r="F159" s="47">
        <v>1.8228217280349981E-4</v>
      </c>
      <c r="G159" s="43">
        <v>1</v>
      </c>
    </row>
    <row r="160" spans="1:7" customFormat="1" hidden="1" x14ac:dyDescent="0.25">
      <c r="A160" s="43" t="s">
        <v>3193</v>
      </c>
      <c r="B160" s="43">
        <v>2</v>
      </c>
      <c r="C160" s="47">
        <v>3.6456434560699962E-4</v>
      </c>
      <c r="D160" s="43">
        <v>1</v>
      </c>
      <c r="E160" s="47">
        <v>0.5</v>
      </c>
      <c r="F160" s="47">
        <v>1.8228217280349981E-4</v>
      </c>
      <c r="G160" s="43">
        <v>1</v>
      </c>
    </row>
    <row r="161" spans="1:7" customFormat="1" hidden="1" x14ac:dyDescent="0.25">
      <c r="A161" s="43" t="s">
        <v>1452</v>
      </c>
      <c r="B161" s="43">
        <v>2</v>
      </c>
      <c r="C161" s="47">
        <v>3.6456434560699962E-4</v>
      </c>
      <c r="D161" s="43">
        <v>1</v>
      </c>
      <c r="E161" s="47">
        <v>0.5</v>
      </c>
      <c r="F161" s="47">
        <v>1.8228217280349981E-4</v>
      </c>
      <c r="G161" s="43">
        <v>1</v>
      </c>
    </row>
    <row r="162" spans="1:7" customFormat="1" hidden="1" x14ac:dyDescent="0.25">
      <c r="A162" s="43" t="s">
        <v>675</v>
      </c>
      <c r="B162" s="43">
        <v>2</v>
      </c>
      <c r="C162" s="47">
        <v>3.6456434560699962E-4</v>
      </c>
      <c r="D162" s="43">
        <v>1</v>
      </c>
      <c r="E162" s="47">
        <v>0.5</v>
      </c>
      <c r="F162" s="47">
        <v>1.8228217280349981E-4</v>
      </c>
      <c r="G162" s="43">
        <v>1</v>
      </c>
    </row>
    <row r="163" spans="1:7" customFormat="1" hidden="1" x14ac:dyDescent="0.25">
      <c r="A163" s="43" t="s">
        <v>3194</v>
      </c>
      <c r="B163" s="43">
        <v>2</v>
      </c>
      <c r="C163" s="47">
        <v>3.6456434560699962E-4</v>
      </c>
      <c r="D163" s="43">
        <v>1</v>
      </c>
      <c r="E163" s="47">
        <v>0.5</v>
      </c>
      <c r="F163" s="47">
        <v>1.8228217280349981E-4</v>
      </c>
      <c r="G163" s="43">
        <v>1</v>
      </c>
    </row>
    <row r="164" spans="1:7" customFormat="1" hidden="1" x14ac:dyDescent="0.25">
      <c r="A164" s="43" t="s">
        <v>3195</v>
      </c>
      <c r="B164" s="43">
        <v>2</v>
      </c>
      <c r="C164" s="47">
        <v>3.6456434560699962E-4</v>
      </c>
      <c r="D164" s="43">
        <v>1</v>
      </c>
      <c r="E164" s="47">
        <v>0.5</v>
      </c>
      <c r="F164" s="47">
        <v>1.8228217280349981E-4</v>
      </c>
      <c r="G164" s="43">
        <v>1</v>
      </c>
    </row>
    <row r="165" spans="1:7" customFormat="1" hidden="1" x14ac:dyDescent="0.25">
      <c r="A165" s="43" t="s">
        <v>3196</v>
      </c>
      <c r="B165" s="43">
        <v>2</v>
      </c>
      <c r="C165" s="47">
        <v>3.6456434560699962E-4</v>
      </c>
      <c r="D165" s="43">
        <v>1</v>
      </c>
      <c r="E165" s="47">
        <v>0.5</v>
      </c>
      <c r="F165" s="47">
        <v>1.8228217280349981E-4</v>
      </c>
      <c r="G165" s="43">
        <v>1</v>
      </c>
    </row>
    <row r="166" spans="1:7" customFormat="1" hidden="1" x14ac:dyDescent="0.25">
      <c r="A166" s="43" t="s">
        <v>3197</v>
      </c>
      <c r="B166" s="43">
        <v>2</v>
      </c>
      <c r="C166" s="47">
        <v>3.6456434560699962E-4</v>
      </c>
      <c r="D166" s="43">
        <v>1</v>
      </c>
      <c r="E166" s="47">
        <v>0.5</v>
      </c>
      <c r="F166" s="47">
        <v>1.8228217280349981E-4</v>
      </c>
      <c r="G166" s="43">
        <v>1</v>
      </c>
    </row>
    <row r="167" spans="1:7" customFormat="1" hidden="1" x14ac:dyDescent="0.25">
      <c r="A167" s="43" t="s">
        <v>3198</v>
      </c>
      <c r="B167" s="43">
        <v>2</v>
      </c>
      <c r="C167" s="47">
        <v>3.6456434560699962E-4</v>
      </c>
      <c r="D167" s="43">
        <v>1</v>
      </c>
      <c r="E167" s="47">
        <v>0.5</v>
      </c>
      <c r="F167" s="47">
        <v>1.8228217280349981E-4</v>
      </c>
      <c r="G167" s="43">
        <v>1</v>
      </c>
    </row>
    <row r="168" spans="1:7" customFormat="1" hidden="1" x14ac:dyDescent="0.25">
      <c r="A168" s="43" t="s">
        <v>3220</v>
      </c>
      <c r="B168" s="43">
        <v>1</v>
      </c>
      <c r="C168" s="47">
        <v>1.8228217280349981E-4</v>
      </c>
      <c r="D168" s="43">
        <v>1</v>
      </c>
      <c r="E168" s="47">
        <v>1</v>
      </c>
      <c r="F168" s="47">
        <v>1.8228217280349981E-4</v>
      </c>
      <c r="G168" s="43">
        <v>1</v>
      </c>
    </row>
    <row r="169" spans="1:7" customFormat="1" hidden="1" x14ac:dyDescent="0.25">
      <c r="A169" s="43" t="s">
        <v>3221</v>
      </c>
      <c r="B169" s="43">
        <v>1</v>
      </c>
      <c r="C169" s="47">
        <v>1.8228217280349981E-4</v>
      </c>
      <c r="D169" s="43">
        <v>1</v>
      </c>
      <c r="E169" s="47">
        <v>1</v>
      </c>
      <c r="F169" s="47">
        <v>1.8228217280349981E-4</v>
      </c>
      <c r="G169" s="43">
        <v>1</v>
      </c>
    </row>
    <row r="170" spans="1:7" customFormat="1" hidden="1" x14ac:dyDescent="0.25">
      <c r="A170" s="43" t="s">
        <v>3222</v>
      </c>
      <c r="B170" s="43">
        <v>1</v>
      </c>
      <c r="C170" s="47">
        <v>1.8228217280349981E-4</v>
      </c>
      <c r="D170" s="43">
        <v>1</v>
      </c>
      <c r="E170" s="47">
        <v>1</v>
      </c>
      <c r="F170" s="47">
        <v>1.8228217280349981E-4</v>
      </c>
      <c r="G170" s="43">
        <v>1</v>
      </c>
    </row>
    <row r="171" spans="1:7" customFormat="1" hidden="1" x14ac:dyDescent="0.25">
      <c r="A171" s="43" t="s">
        <v>3223</v>
      </c>
      <c r="B171" s="43">
        <v>1</v>
      </c>
      <c r="C171" s="47">
        <v>1.8228217280349981E-4</v>
      </c>
      <c r="D171" s="43">
        <v>1</v>
      </c>
      <c r="E171" s="47">
        <v>1</v>
      </c>
      <c r="F171" s="47">
        <v>1.8228217280349981E-4</v>
      </c>
      <c r="G171" s="43">
        <v>1</v>
      </c>
    </row>
    <row r="172" spans="1:7" customFormat="1" hidden="1" x14ac:dyDescent="0.25">
      <c r="A172" s="43" t="s">
        <v>3224</v>
      </c>
      <c r="B172" s="43">
        <v>1</v>
      </c>
      <c r="C172" s="47">
        <v>1.8228217280349981E-4</v>
      </c>
      <c r="D172" s="43">
        <v>1</v>
      </c>
      <c r="E172" s="47">
        <v>1</v>
      </c>
      <c r="F172" s="47">
        <v>1.8228217280349981E-4</v>
      </c>
      <c r="G172" s="43">
        <v>1</v>
      </c>
    </row>
    <row r="173" spans="1:7" customFormat="1" hidden="1" x14ac:dyDescent="0.25">
      <c r="A173" s="43" t="s">
        <v>268</v>
      </c>
      <c r="B173" s="43">
        <v>1</v>
      </c>
      <c r="C173" s="47">
        <v>1.8228217280349981E-4</v>
      </c>
      <c r="D173" s="43">
        <v>1</v>
      </c>
      <c r="E173" s="47">
        <v>1</v>
      </c>
      <c r="F173" s="47">
        <v>1.8228217280349981E-4</v>
      </c>
      <c r="G173" s="43">
        <v>1</v>
      </c>
    </row>
    <row r="174" spans="1:7" customFormat="1" hidden="1" x14ac:dyDescent="0.25">
      <c r="A174" s="43" t="s">
        <v>3225</v>
      </c>
      <c r="B174" s="43">
        <v>1</v>
      </c>
      <c r="C174" s="47">
        <v>1.8228217280349981E-4</v>
      </c>
      <c r="D174" s="43">
        <v>1</v>
      </c>
      <c r="E174" s="47">
        <v>1</v>
      </c>
      <c r="F174" s="47">
        <v>1.8228217280349981E-4</v>
      </c>
      <c r="G174" s="43">
        <v>1</v>
      </c>
    </row>
    <row r="175" spans="1:7" customFormat="1" hidden="1" x14ac:dyDescent="0.25">
      <c r="A175" s="43" t="s">
        <v>3226</v>
      </c>
      <c r="B175" s="43">
        <v>1</v>
      </c>
      <c r="C175" s="47">
        <v>1.8228217280349981E-4</v>
      </c>
      <c r="D175" s="43">
        <v>1</v>
      </c>
      <c r="E175" s="47">
        <v>1</v>
      </c>
      <c r="F175" s="47">
        <v>1.8228217280349981E-4</v>
      </c>
      <c r="G175" s="43">
        <v>1</v>
      </c>
    </row>
    <row r="176" spans="1:7" customFormat="1" hidden="1" x14ac:dyDescent="0.25">
      <c r="A176" s="43" t="s">
        <v>3227</v>
      </c>
      <c r="B176" s="43">
        <v>1</v>
      </c>
      <c r="C176" s="47">
        <v>1.8228217280349981E-4</v>
      </c>
      <c r="D176" s="43">
        <v>1</v>
      </c>
      <c r="E176" s="47">
        <v>1</v>
      </c>
      <c r="F176" s="47">
        <v>1.8228217280349981E-4</v>
      </c>
      <c r="G176" s="43">
        <v>1</v>
      </c>
    </row>
    <row r="177" spans="1:7" customFormat="1" hidden="1" x14ac:dyDescent="0.25">
      <c r="A177" s="43" t="s">
        <v>3228</v>
      </c>
      <c r="B177" s="43">
        <v>1</v>
      </c>
      <c r="C177" s="47">
        <v>1.8228217280349981E-4</v>
      </c>
      <c r="D177" s="43">
        <v>1</v>
      </c>
      <c r="E177" s="47">
        <v>1</v>
      </c>
      <c r="F177" s="47">
        <v>1.8228217280349981E-4</v>
      </c>
      <c r="G177" s="43">
        <v>1</v>
      </c>
    </row>
    <row r="178" spans="1:7" customFormat="1" hidden="1" x14ac:dyDescent="0.25">
      <c r="A178" s="43" t="s">
        <v>570</v>
      </c>
      <c r="B178" s="43">
        <v>1</v>
      </c>
      <c r="C178" s="47">
        <v>1.8228217280349981E-4</v>
      </c>
      <c r="D178" s="43">
        <v>1</v>
      </c>
      <c r="E178" s="47">
        <v>1</v>
      </c>
      <c r="F178" s="47">
        <v>1.8228217280349981E-4</v>
      </c>
      <c r="G178" s="43">
        <v>1</v>
      </c>
    </row>
    <row r="179" spans="1:7" customFormat="1" hidden="1" x14ac:dyDescent="0.25">
      <c r="A179" s="43" t="s">
        <v>574</v>
      </c>
      <c r="B179" s="43">
        <v>1</v>
      </c>
      <c r="C179" s="47">
        <v>1.8228217280349981E-4</v>
      </c>
      <c r="D179" s="43">
        <v>1</v>
      </c>
      <c r="E179" s="47">
        <v>1</v>
      </c>
      <c r="F179" s="47">
        <v>1.8228217280349981E-4</v>
      </c>
      <c r="G179" s="43">
        <v>1</v>
      </c>
    </row>
    <row r="180" spans="1:7" customFormat="1" hidden="1" x14ac:dyDescent="0.25">
      <c r="A180" s="43" t="s">
        <v>1871</v>
      </c>
      <c r="B180" s="43">
        <v>1</v>
      </c>
      <c r="C180" s="47">
        <v>1.8228217280349981E-4</v>
      </c>
      <c r="D180" s="43">
        <v>1</v>
      </c>
      <c r="E180" s="47">
        <v>1</v>
      </c>
      <c r="F180" s="47">
        <v>1.8228217280349981E-4</v>
      </c>
      <c r="G180" s="43">
        <v>1</v>
      </c>
    </row>
    <row r="181" spans="1:7" customFormat="1" hidden="1" x14ac:dyDescent="0.25">
      <c r="A181" s="43" t="s">
        <v>412</v>
      </c>
      <c r="B181" s="43">
        <v>1</v>
      </c>
      <c r="C181" s="47">
        <v>1.8228217280349981E-4</v>
      </c>
      <c r="D181" s="43">
        <v>1</v>
      </c>
      <c r="E181" s="47">
        <v>1</v>
      </c>
      <c r="F181" s="47">
        <v>1.8228217280349981E-4</v>
      </c>
      <c r="G181" s="43">
        <v>1</v>
      </c>
    </row>
    <row r="182" spans="1:7" customFormat="1" hidden="1" x14ac:dyDescent="0.25">
      <c r="A182" s="43" t="s">
        <v>576</v>
      </c>
      <c r="B182" s="43">
        <v>1</v>
      </c>
      <c r="C182" s="47">
        <v>1.8228217280349981E-4</v>
      </c>
      <c r="D182" s="43">
        <v>1</v>
      </c>
      <c r="E182" s="47">
        <v>1</v>
      </c>
      <c r="F182" s="47">
        <v>1.8228217280349981E-4</v>
      </c>
      <c r="G182" s="43">
        <v>1</v>
      </c>
    </row>
    <row r="183" spans="1:7" customFormat="1" hidden="1" x14ac:dyDescent="0.25">
      <c r="A183" s="43" t="s">
        <v>3229</v>
      </c>
      <c r="B183" s="43">
        <v>1</v>
      </c>
      <c r="C183" s="47">
        <v>1.8228217280349981E-4</v>
      </c>
      <c r="D183" s="43">
        <v>1</v>
      </c>
      <c r="E183" s="47">
        <v>1</v>
      </c>
      <c r="F183" s="47">
        <v>1.8228217280349981E-4</v>
      </c>
      <c r="G183" s="43">
        <v>0</v>
      </c>
    </row>
    <row r="184" spans="1:7" customFormat="1" hidden="1" x14ac:dyDescent="0.25">
      <c r="A184" s="43" t="s">
        <v>3230</v>
      </c>
      <c r="B184" s="43">
        <v>1</v>
      </c>
      <c r="C184" s="47">
        <v>1.8228217280349981E-4</v>
      </c>
      <c r="D184" s="43">
        <v>1</v>
      </c>
      <c r="E184" s="47">
        <v>1</v>
      </c>
      <c r="F184" s="47">
        <v>1.8228217280349981E-4</v>
      </c>
      <c r="G184" s="43">
        <v>1</v>
      </c>
    </row>
    <row r="185" spans="1:7" customFormat="1" hidden="1" x14ac:dyDescent="0.25">
      <c r="A185" s="43" t="s">
        <v>495</v>
      </c>
      <c r="B185" s="43">
        <v>1</v>
      </c>
      <c r="C185" s="47">
        <v>1.8228217280349981E-4</v>
      </c>
      <c r="D185" s="43">
        <v>1</v>
      </c>
      <c r="E185" s="47">
        <v>1</v>
      </c>
      <c r="F185" s="47">
        <v>1.8228217280349981E-4</v>
      </c>
      <c r="G185" s="43">
        <v>1</v>
      </c>
    </row>
    <row r="186" spans="1:7" customFormat="1" hidden="1" x14ac:dyDescent="0.25">
      <c r="A186" s="43" t="s">
        <v>1721</v>
      </c>
      <c r="B186" s="43">
        <v>1</v>
      </c>
      <c r="C186" s="47">
        <v>1.8228217280349981E-4</v>
      </c>
      <c r="D186" s="43">
        <v>1</v>
      </c>
      <c r="E186" s="47">
        <v>1</v>
      </c>
      <c r="F186" s="47">
        <v>1.8228217280349981E-4</v>
      </c>
      <c r="G186" s="43">
        <v>1</v>
      </c>
    </row>
    <row r="187" spans="1:7" customFormat="1" hidden="1" x14ac:dyDescent="0.25">
      <c r="A187" s="43" t="s">
        <v>3231</v>
      </c>
      <c r="B187" s="43">
        <v>1</v>
      </c>
      <c r="C187" s="47">
        <v>1.8228217280349981E-4</v>
      </c>
      <c r="D187" s="43">
        <v>1</v>
      </c>
      <c r="E187" s="47">
        <v>1</v>
      </c>
      <c r="F187" s="47">
        <v>1.8228217280349981E-4</v>
      </c>
      <c r="G187" s="43">
        <v>0</v>
      </c>
    </row>
    <row r="188" spans="1:7" customFormat="1" hidden="1" x14ac:dyDescent="0.25">
      <c r="A188" s="43" t="s">
        <v>3232</v>
      </c>
      <c r="B188" s="43">
        <v>1</v>
      </c>
      <c r="C188" s="47">
        <v>1.8228217280349981E-4</v>
      </c>
      <c r="D188" s="43">
        <v>1</v>
      </c>
      <c r="E188" s="47">
        <v>1</v>
      </c>
      <c r="F188" s="47">
        <v>1.8228217280349981E-4</v>
      </c>
      <c r="G188" s="43">
        <v>0</v>
      </c>
    </row>
    <row r="189" spans="1:7" customFormat="1" hidden="1" x14ac:dyDescent="0.25">
      <c r="A189" s="43" t="s">
        <v>3233</v>
      </c>
      <c r="B189" s="43">
        <v>1</v>
      </c>
      <c r="C189" s="47">
        <v>1.8228217280349981E-4</v>
      </c>
      <c r="D189" s="43">
        <v>1</v>
      </c>
      <c r="E189" s="47">
        <v>1</v>
      </c>
      <c r="F189" s="47">
        <v>1.8228217280349981E-4</v>
      </c>
      <c r="G189" s="43">
        <v>0</v>
      </c>
    </row>
    <row r="190" spans="1:7" customFormat="1" hidden="1" x14ac:dyDescent="0.25">
      <c r="A190" s="43" t="s">
        <v>3234</v>
      </c>
      <c r="B190" s="43">
        <v>1</v>
      </c>
      <c r="C190" s="47">
        <v>1.8228217280349981E-4</v>
      </c>
      <c r="D190" s="43">
        <v>1</v>
      </c>
      <c r="E190" s="47">
        <v>1</v>
      </c>
      <c r="F190" s="47">
        <v>1.8228217280349981E-4</v>
      </c>
      <c r="G190" s="43">
        <v>0</v>
      </c>
    </row>
    <row r="191" spans="1:7" customFormat="1" hidden="1" x14ac:dyDescent="0.25">
      <c r="A191" s="43" t="s">
        <v>3235</v>
      </c>
      <c r="B191" s="43">
        <v>1</v>
      </c>
      <c r="C191" s="47">
        <v>1.8228217280349981E-4</v>
      </c>
      <c r="D191" s="43">
        <v>1</v>
      </c>
      <c r="E191" s="47">
        <v>1</v>
      </c>
      <c r="F191" s="47">
        <v>1.8228217280349981E-4</v>
      </c>
      <c r="G191" s="43">
        <v>0</v>
      </c>
    </row>
    <row r="192" spans="1:7" customFormat="1" hidden="1" x14ac:dyDescent="0.25">
      <c r="A192" s="43" t="s">
        <v>3236</v>
      </c>
      <c r="B192" s="43">
        <v>1</v>
      </c>
      <c r="C192" s="47">
        <v>1.8228217280349981E-4</v>
      </c>
      <c r="D192" s="43">
        <v>1</v>
      </c>
      <c r="E192" s="47">
        <v>1</v>
      </c>
      <c r="F192" s="47">
        <v>1.8228217280349981E-4</v>
      </c>
      <c r="G192" s="43">
        <v>1</v>
      </c>
    </row>
    <row r="193" spans="1:7" customFormat="1" hidden="1" x14ac:dyDescent="0.25">
      <c r="A193" s="43" t="s">
        <v>3237</v>
      </c>
      <c r="B193" s="43">
        <v>1</v>
      </c>
      <c r="C193" s="47">
        <v>1.8228217280349981E-4</v>
      </c>
      <c r="D193" s="43">
        <v>1</v>
      </c>
      <c r="E193" s="47">
        <v>1</v>
      </c>
      <c r="F193" s="47">
        <v>1.8228217280349981E-4</v>
      </c>
      <c r="G193" s="43">
        <v>0</v>
      </c>
    </row>
    <row r="194" spans="1:7" customFormat="1" hidden="1" x14ac:dyDescent="0.25">
      <c r="A194" s="43" t="s">
        <v>3238</v>
      </c>
      <c r="B194" s="43">
        <v>1</v>
      </c>
      <c r="C194" s="47">
        <v>1.8228217280349981E-4</v>
      </c>
      <c r="D194" s="43">
        <v>1</v>
      </c>
      <c r="E194" s="47">
        <v>1</v>
      </c>
      <c r="F194" s="47">
        <v>1.8228217280349981E-4</v>
      </c>
      <c r="G194" s="43">
        <v>1</v>
      </c>
    </row>
    <row r="195" spans="1:7" customFormat="1" hidden="1" x14ac:dyDescent="0.25">
      <c r="A195" s="43" t="s">
        <v>3239</v>
      </c>
      <c r="B195" s="43">
        <v>1</v>
      </c>
      <c r="C195" s="47">
        <v>1.8228217280349981E-4</v>
      </c>
      <c r="D195" s="43">
        <v>1</v>
      </c>
      <c r="E195" s="47">
        <v>1</v>
      </c>
      <c r="F195" s="47">
        <v>1.8228217280349981E-4</v>
      </c>
      <c r="G195" s="43">
        <v>1</v>
      </c>
    </row>
    <row r="196" spans="1:7" customFormat="1" hidden="1" x14ac:dyDescent="0.25">
      <c r="A196" s="43" t="s">
        <v>3240</v>
      </c>
      <c r="B196" s="43">
        <v>1</v>
      </c>
      <c r="C196" s="47">
        <v>1.8228217280349981E-4</v>
      </c>
      <c r="D196" s="43">
        <v>1</v>
      </c>
      <c r="E196" s="47">
        <v>1</v>
      </c>
      <c r="F196" s="47">
        <v>1.8228217280349981E-4</v>
      </c>
      <c r="G196" s="43">
        <v>1</v>
      </c>
    </row>
    <row r="197" spans="1:7" customFormat="1" hidden="1" x14ac:dyDescent="0.25">
      <c r="A197" s="43" t="s">
        <v>3241</v>
      </c>
      <c r="B197" s="43">
        <v>1</v>
      </c>
      <c r="C197" s="47">
        <v>1.8228217280349981E-4</v>
      </c>
      <c r="D197" s="43">
        <v>1</v>
      </c>
      <c r="E197" s="47">
        <v>1</v>
      </c>
      <c r="F197" s="47">
        <v>1.8228217280349981E-4</v>
      </c>
      <c r="G197" s="43">
        <v>0</v>
      </c>
    </row>
    <row r="198" spans="1:7" customFormat="1" hidden="1" x14ac:dyDescent="0.25">
      <c r="A198" s="43" t="s">
        <v>1597</v>
      </c>
      <c r="B198" s="43">
        <v>1</v>
      </c>
      <c r="C198" s="47">
        <v>1.8228217280349981E-4</v>
      </c>
      <c r="D198" s="43">
        <v>1</v>
      </c>
      <c r="E198" s="47">
        <v>1</v>
      </c>
      <c r="F198" s="47">
        <v>1.8228217280349981E-4</v>
      </c>
      <c r="G198" s="43">
        <v>1</v>
      </c>
    </row>
    <row r="199" spans="1:7" customFormat="1" hidden="1" x14ac:dyDescent="0.25">
      <c r="A199" s="43" t="s">
        <v>3242</v>
      </c>
      <c r="B199" s="43">
        <v>1</v>
      </c>
      <c r="C199" s="47">
        <v>1.8228217280349981E-4</v>
      </c>
      <c r="D199" s="43">
        <v>1</v>
      </c>
      <c r="E199" s="47">
        <v>1</v>
      </c>
      <c r="F199" s="47">
        <v>1.8228217280349981E-4</v>
      </c>
      <c r="G199" s="43">
        <v>0</v>
      </c>
    </row>
    <row r="200" spans="1:7" customFormat="1" hidden="1" x14ac:dyDescent="0.25">
      <c r="A200" s="43" t="s">
        <v>3243</v>
      </c>
      <c r="B200" s="43">
        <v>1</v>
      </c>
      <c r="C200" s="47">
        <v>1.8228217280349981E-4</v>
      </c>
      <c r="D200" s="43">
        <v>1</v>
      </c>
      <c r="E200" s="47">
        <v>1</v>
      </c>
      <c r="F200" s="47">
        <v>1.8228217280349981E-4</v>
      </c>
      <c r="G200" s="43">
        <v>0</v>
      </c>
    </row>
    <row r="201" spans="1:7" customFormat="1" hidden="1" x14ac:dyDescent="0.25">
      <c r="A201" s="43" t="s">
        <v>578</v>
      </c>
      <c r="B201" s="43">
        <v>1</v>
      </c>
      <c r="C201" s="47">
        <v>1.8228217280349981E-4</v>
      </c>
      <c r="D201" s="43">
        <v>1</v>
      </c>
      <c r="E201" s="47">
        <v>1</v>
      </c>
      <c r="F201" s="47">
        <v>1.8228217280349981E-4</v>
      </c>
      <c r="G201" s="43">
        <v>0</v>
      </c>
    </row>
    <row r="202" spans="1:7" customFormat="1" hidden="1" x14ac:dyDescent="0.25">
      <c r="A202" s="43" t="s">
        <v>3244</v>
      </c>
      <c r="B202" s="43">
        <v>1</v>
      </c>
      <c r="C202" s="47">
        <v>1.8228217280349981E-4</v>
      </c>
      <c r="D202" s="43">
        <v>1</v>
      </c>
      <c r="E202" s="47">
        <v>1</v>
      </c>
      <c r="F202" s="47">
        <v>1.8228217280349981E-4</v>
      </c>
      <c r="G202" s="43">
        <v>0</v>
      </c>
    </row>
    <row r="203" spans="1:7" customFormat="1" hidden="1" x14ac:dyDescent="0.25">
      <c r="A203" s="43" t="s">
        <v>3245</v>
      </c>
      <c r="B203" s="43">
        <v>1</v>
      </c>
      <c r="C203" s="47">
        <v>1.8228217280349981E-4</v>
      </c>
      <c r="D203" s="43">
        <v>1</v>
      </c>
      <c r="E203" s="47">
        <v>1</v>
      </c>
      <c r="F203" s="47">
        <v>1.8228217280349981E-4</v>
      </c>
      <c r="G203" s="43">
        <v>0</v>
      </c>
    </row>
    <row r="204" spans="1:7" customFormat="1" hidden="1" x14ac:dyDescent="0.25">
      <c r="A204" s="43" t="s">
        <v>3246</v>
      </c>
      <c r="B204" s="43">
        <v>1</v>
      </c>
      <c r="C204" s="47">
        <v>1.8228217280349981E-4</v>
      </c>
      <c r="D204" s="43">
        <v>1</v>
      </c>
      <c r="E204" s="47">
        <v>1</v>
      </c>
      <c r="F204" s="47">
        <v>1.8228217280349981E-4</v>
      </c>
      <c r="G204" s="43">
        <v>0</v>
      </c>
    </row>
    <row r="205" spans="1:7" customFormat="1" hidden="1" x14ac:dyDescent="0.25">
      <c r="A205" s="43" t="s">
        <v>3247</v>
      </c>
      <c r="B205" s="43">
        <v>1</v>
      </c>
      <c r="C205" s="47">
        <v>1.8228217280349981E-4</v>
      </c>
      <c r="D205" s="43">
        <v>1</v>
      </c>
      <c r="E205" s="47">
        <v>1</v>
      </c>
      <c r="F205" s="47">
        <v>1.8228217280349981E-4</v>
      </c>
      <c r="G205" s="43">
        <v>0</v>
      </c>
    </row>
    <row r="206" spans="1:7" customFormat="1" hidden="1" x14ac:dyDescent="0.25">
      <c r="A206" s="43" t="s">
        <v>3006</v>
      </c>
      <c r="B206" s="43">
        <v>9</v>
      </c>
      <c r="C206" s="47">
        <v>1.6405395552314983E-3</v>
      </c>
      <c r="D206" s="43">
        <v>1</v>
      </c>
      <c r="E206" s="47">
        <v>0.111</v>
      </c>
      <c r="F206" s="47">
        <v>1.820998906306963E-4</v>
      </c>
      <c r="G206" s="43">
        <v>1</v>
      </c>
    </row>
    <row r="207" spans="1:7" customFormat="1" hidden="1" x14ac:dyDescent="0.25">
      <c r="A207" s="43" t="s">
        <v>3027</v>
      </c>
      <c r="B207" s="43">
        <v>7</v>
      </c>
      <c r="C207" s="47">
        <v>1.2759752096244987E-3</v>
      </c>
      <c r="D207" s="43">
        <v>1</v>
      </c>
      <c r="E207" s="47">
        <v>0.14299999999999999</v>
      </c>
      <c r="F207" s="47">
        <v>1.8246445497630329E-4</v>
      </c>
      <c r="G207" s="43">
        <v>1</v>
      </c>
    </row>
    <row r="208" spans="1:7" customFormat="1" hidden="1" x14ac:dyDescent="0.25">
      <c r="A208" s="43" t="s">
        <v>3036</v>
      </c>
      <c r="B208" s="43">
        <v>6</v>
      </c>
      <c r="C208" s="47">
        <v>1.0936930368209989E-3</v>
      </c>
      <c r="D208" s="43">
        <v>1</v>
      </c>
      <c r="E208" s="47">
        <v>0.16700000000000001</v>
      </c>
      <c r="F208" s="47">
        <v>1.8264673714910682E-4</v>
      </c>
      <c r="G208" s="43">
        <v>1</v>
      </c>
    </row>
    <row r="209" spans="1:10" hidden="1" x14ac:dyDescent="0.25">
      <c r="A209" s="43" t="s">
        <v>482</v>
      </c>
      <c r="B209" s="43">
        <v>6</v>
      </c>
      <c r="C209" s="47">
        <v>1.0936930368209989E-3</v>
      </c>
      <c r="D209" s="43">
        <v>1</v>
      </c>
      <c r="E209" s="47">
        <v>0.16700000000000001</v>
      </c>
      <c r="F209" s="47">
        <v>1.8264673714910682E-4</v>
      </c>
      <c r="G209" s="43">
        <v>1</v>
      </c>
      <c r="I209"/>
      <c r="J209"/>
    </row>
    <row r="210" spans="1:10" hidden="1" x14ac:dyDescent="0.25">
      <c r="A210" s="43" t="s">
        <v>1145</v>
      </c>
      <c r="B210" s="43">
        <v>6</v>
      </c>
      <c r="C210" s="47">
        <v>1.0936930368209989E-3</v>
      </c>
      <c r="D210" s="43">
        <v>1</v>
      </c>
      <c r="E210" s="47">
        <v>0.16700000000000001</v>
      </c>
      <c r="F210" s="47">
        <v>1.8264673714910682E-4</v>
      </c>
      <c r="G210" s="43">
        <v>1</v>
      </c>
      <c r="I210"/>
      <c r="J210"/>
    </row>
    <row r="211" spans="1:10" x14ac:dyDescent="0.25">
      <c r="A211" s="43" t="s">
        <v>2980</v>
      </c>
      <c r="B211" s="43">
        <v>11</v>
      </c>
      <c r="C211" s="47">
        <v>2.0051039008384978E-3</v>
      </c>
      <c r="D211" s="43">
        <v>2</v>
      </c>
      <c r="E211" s="47">
        <v>0.182</v>
      </c>
      <c r="F211" s="47">
        <v>3.6492890995260658E-4</v>
      </c>
      <c r="G211" s="43">
        <v>1</v>
      </c>
    </row>
    <row r="212" spans="1:10" hidden="1" x14ac:dyDescent="0.25">
      <c r="A212" s="89" t="s">
        <v>3061</v>
      </c>
      <c r="B212" s="43">
        <v>5</v>
      </c>
      <c r="C212" s="47">
        <v>9.1141086401749912E-4</v>
      </c>
      <c r="D212" s="43">
        <v>1</v>
      </c>
      <c r="E212" s="47">
        <v>0.2</v>
      </c>
      <c r="F212" s="47">
        <v>1.8228217280349984E-4</v>
      </c>
      <c r="G212" s="43">
        <v>1</v>
      </c>
      <c r="I212"/>
      <c r="J212"/>
    </row>
    <row r="213" spans="1:10" hidden="1" x14ac:dyDescent="0.25">
      <c r="A213" s="43" t="s">
        <v>3062</v>
      </c>
      <c r="B213" s="43">
        <v>5</v>
      </c>
      <c r="C213" s="47">
        <v>9.1141086401749912E-4</v>
      </c>
      <c r="D213" s="43">
        <v>1</v>
      </c>
      <c r="E213" s="47">
        <v>0.2</v>
      </c>
      <c r="F213" s="47">
        <v>1.8228217280349984E-4</v>
      </c>
      <c r="G213" s="43">
        <v>1</v>
      </c>
      <c r="I213"/>
      <c r="J213"/>
    </row>
    <row r="214" spans="1:10" hidden="1" x14ac:dyDescent="0.25">
      <c r="A214" s="43" t="s">
        <v>3063</v>
      </c>
      <c r="B214" s="43">
        <v>5</v>
      </c>
      <c r="C214" s="47">
        <v>9.1141086401749912E-4</v>
      </c>
      <c r="D214" s="43">
        <v>1</v>
      </c>
      <c r="E214" s="47">
        <v>0.2</v>
      </c>
      <c r="F214" s="47">
        <v>1.8228217280349984E-4</v>
      </c>
      <c r="G214" s="43">
        <v>1</v>
      </c>
      <c r="I214"/>
      <c r="J214"/>
    </row>
    <row r="215" spans="1:10" hidden="1" x14ac:dyDescent="0.25">
      <c r="A215" s="43" t="s">
        <v>1216</v>
      </c>
      <c r="B215" s="43">
        <v>5</v>
      </c>
      <c r="C215" s="47">
        <v>9.1141086401749912E-4</v>
      </c>
      <c r="D215" s="43">
        <v>1</v>
      </c>
      <c r="E215" s="47">
        <v>0.2</v>
      </c>
      <c r="F215" s="47">
        <v>1.8228217280349984E-4</v>
      </c>
      <c r="G215" s="43">
        <v>1</v>
      </c>
      <c r="I215"/>
      <c r="J215"/>
    </row>
    <row r="216" spans="1:10" hidden="1" x14ac:dyDescent="0.25">
      <c r="A216" s="43" t="s">
        <v>1886</v>
      </c>
      <c r="B216" s="43">
        <v>5</v>
      </c>
      <c r="C216" s="47">
        <v>9.1141086401749912E-4</v>
      </c>
      <c r="D216" s="43">
        <v>1</v>
      </c>
      <c r="E216" s="47">
        <v>0.2</v>
      </c>
      <c r="F216" s="47">
        <v>1.8228217280349984E-4</v>
      </c>
      <c r="G216" s="43">
        <v>1</v>
      </c>
      <c r="I216"/>
      <c r="J216"/>
    </row>
    <row r="217" spans="1:10" hidden="1" x14ac:dyDescent="0.25">
      <c r="A217" s="43" t="s">
        <v>3064</v>
      </c>
      <c r="B217" s="43">
        <v>5</v>
      </c>
      <c r="C217" s="47">
        <v>9.1141086401749912E-4</v>
      </c>
      <c r="D217" s="43">
        <v>1</v>
      </c>
      <c r="E217" s="47">
        <v>0.2</v>
      </c>
      <c r="F217" s="47">
        <v>1.8228217280349984E-4</v>
      </c>
      <c r="G217" s="43">
        <v>1</v>
      </c>
      <c r="I217"/>
      <c r="J217"/>
    </row>
    <row r="218" spans="1:10" hidden="1" x14ac:dyDescent="0.25">
      <c r="A218" s="43" t="s">
        <v>3080</v>
      </c>
      <c r="B218" s="43">
        <v>4</v>
      </c>
      <c r="C218" s="47">
        <v>7.2912869121399923E-4</v>
      </c>
      <c r="D218" s="43">
        <v>2</v>
      </c>
      <c r="E218" s="47">
        <v>0.5</v>
      </c>
      <c r="F218" s="47">
        <v>3.6456434560699962E-4</v>
      </c>
      <c r="G218" s="43">
        <v>1</v>
      </c>
      <c r="I218"/>
      <c r="J218"/>
    </row>
    <row r="219" spans="1:10" hidden="1" x14ac:dyDescent="0.25">
      <c r="A219" s="43" t="s">
        <v>1133</v>
      </c>
      <c r="B219" s="43">
        <v>4</v>
      </c>
      <c r="C219" s="47">
        <v>7.2912869121399923E-4</v>
      </c>
      <c r="D219" s="43">
        <v>2</v>
      </c>
      <c r="E219" s="47">
        <v>0.5</v>
      </c>
      <c r="F219" s="47">
        <v>3.6456434560699962E-4</v>
      </c>
      <c r="G219" s="43">
        <v>1</v>
      </c>
      <c r="I219"/>
      <c r="J219"/>
    </row>
    <row r="220" spans="1:10" hidden="1" x14ac:dyDescent="0.25">
      <c r="A220" s="43" t="s">
        <v>449</v>
      </c>
      <c r="B220" s="43">
        <v>4</v>
      </c>
      <c r="C220" s="47">
        <v>7.2912869121399923E-4</v>
      </c>
      <c r="D220" s="43">
        <v>2</v>
      </c>
      <c r="E220" s="47">
        <v>0.5</v>
      </c>
      <c r="F220" s="47">
        <v>3.6456434560699962E-4</v>
      </c>
      <c r="G220" s="43">
        <v>1</v>
      </c>
      <c r="I220"/>
      <c r="J220"/>
    </row>
    <row r="221" spans="1:10" hidden="1" x14ac:dyDescent="0.25">
      <c r="A221" s="43" t="s">
        <v>3081</v>
      </c>
      <c r="B221" s="43">
        <v>4</v>
      </c>
      <c r="C221" s="47">
        <v>7.2912869121399923E-4</v>
      </c>
      <c r="D221" s="43">
        <v>2</v>
      </c>
      <c r="E221" s="47">
        <v>0.5</v>
      </c>
      <c r="F221" s="47">
        <v>3.6456434560699962E-4</v>
      </c>
      <c r="G221" s="43">
        <v>1</v>
      </c>
      <c r="I221"/>
      <c r="J221"/>
    </row>
    <row r="222" spans="1:10" hidden="1" x14ac:dyDescent="0.25">
      <c r="A222" s="43" t="s">
        <v>3082</v>
      </c>
      <c r="B222" s="43">
        <v>4</v>
      </c>
      <c r="C222" s="47">
        <v>7.2912869121399923E-4</v>
      </c>
      <c r="D222" s="43">
        <v>2</v>
      </c>
      <c r="E222" s="47">
        <v>0.5</v>
      </c>
      <c r="F222" s="47">
        <v>3.6456434560699962E-4</v>
      </c>
      <c r="G222" s="43">
        <v>1</v>
      </c>
      <c r="I222"/>
      <c r="J222"/>
    </row>
    <row r="223" spans="1:10" hidden="1" x14ac:dyDescent="0.25">
      <c r="A223" s="43" t="s">
        <v>1942</v>
      </c>
      <c r="B223" s="43">
        <v>4</v>
      </c>
      <c r="C223" s="47">
        <v>7.2912869121399923E-4</v>
      </c>
      <c r="D223" s="43">
        <v>2</v>
      </c>
      <c r="E223" s="47">
        <v>0.5</v>
      </c>
      <c r="F223" s="47">
        <v>3.6456434560699962E-4</v>
      </c>
      <c r="G223" s="43">
        <v>1</v>
      </c>
      <c r="I223"/>
      <c r="J223"/>
    </row>
    <row r="224" spans="1:10" hidden="1" x14ac:dyDescent="0.25">
      <c r="A224" s="43" t="s">
        <v>3130</v>
      </c>
      <c r="B224" s="43">
        <v>2</v>
      </c>
      <c r="C224" s="47">
        <v>3.6456434560699962E-4</v>
      </c>
      <c r="D224" s="43">
        <v>2</v>
      </c>
      <c r="E224" s="47">
        <v>1</v>
      </c>
      <c r="F224" s="47">
        <v>3.6456434560699962E-4</v>
      </c>
      <c r="G224" s="43">
        <v>1</v>
      </c>
      <c r="I224"/>
      <c r="J224"/>
    </row>
    <row r="225" spans="1:7" customFormat="1" hidden="1" x14ac:dyDescent="0.25">
      <c r="A225" s="43" t="s">
        <v>3131</v>
      </c>
      <c r="B225" s="43">
        <v>2</v>
      </c>
      <c r="C225" s="47">
        <v>3.6456434560699962E-4</v>
      </c>
      <c r="D225" s="43">
        <v>2</v>
      </c>
      <c r="E225" s="47">
        <v>1</v>
      </c>
      <c r="F225" s="47">
        <v>3.6456434560699962E-4</v>
      </c>
      <c r="G225" s="43">
        <v>1</v>
      </c>
    </row>
    <row r="226" spans="1:7" customFormat="1" hidden="1" x14ac:dyDescent="0.25">
      <c r="A226" s="43" t="s">
        <v>1409</v>
      </c>
      <c r="B226" s="43">
        <v>2</v>
      </c>
      <c r="C226" s="47">
        <v>3.6456434560699962E-4</v>
      </c>
      <c r="D226" s="43">
        <v>2</v>
      </c>
      <c r="E226" s="47">
        <v>1</v>
      </c>
      <c r="F226" s="47">
        <v>3.6456434560699962E-4</v>
      </c>
      <c r="G226" s="43"/>
    </row>
    <row r="227" spans="1:7" customFormat="1" hidden="1" x14ac:dyDescent="0.25">
      <c r="A227" s="43" t="s">
        <v>1079</v>
      </c>
      <c r="B227" s="43">
        <v>2</v>
      </c>
      <c r="C227" s="47">
        <v>3.6456434560699962E-4</v>
      </c>
      <c r="D227" s="43">
        <v>2</v>
      </c>
      <c r="E227" s="47">
        <v>1</v>
      </c>
      <c r="F227" s="47">
        <v>3.6456434560699962E-4</v>
      </c>
      <c r="G227" s="43">
        <v>1</v>
      </c>
    </row>
    <row r="228" spans="1:7" customFormat="1" hidden="1" x14ac:dyDescent="0.25">
      <c r="A228" s="43" t="s">
        <v>3132</v>
      </c>
      <c r="B228" s="43">
        <v>2</v>
      </c>
      <c r="C228" s="47">
        <v>3.6456434560699962E-4</v>
      </c>
      <c r="D228" s="43">
        <v>2</v>
      </c>
      <c r="E228" s="47">
        <v>1</v>
      </c>
      <c r="F228" s="47">
        <v>3.6456434560699962E-4</v>
      </c>
      <c r="G228" s="43">
        <v>1</v>
      </c>
    </row>
    <row r="229" spans="1:7" customFormat="1" hidden="1" x14ac:dyDescent="0.25">
      <c r="A229" s="43" t="s">
        <v>3133</v>
      </c>
      <c r="B229" s="43">
        <v>2</v>
      </c>
      <c r="C229" s="47">
        <v>3.6456434560699962E-4</v>
      </c>
      <c r="D229" s="43">
        <v>2</v>
      </c>
      <c r="E229" s="47">
        <v>1</v>
      </c>
      <c r="F229" s="47">
        <v>3.6456434560699962E-4</v>
      </c>
      <c r="G229" s="43">
        <v>1</v>
      </c>
    </row>
    <row r="230" spans="1:7" customFormat="1" hidden="1" x14ac:dyDescent="0.25">
      <c r="A230" s="43" t="s">
        <v>1682</v>
      </c>
      <c r="B230" s="43">
        <v>2</v>
      </c>
      <c r="C230" s="47">
        <v>3.6456434560699962E-4</v>
      </c>
      <c r="D230" s="43">
        <v>2</v>
      </c>
      <c r="E230" s="47">
        <v>1</v>
      </c>
      <c r="F230" s="47">
        <v>3.6456434560699962E-4</v>
      </c>
      <c r="G230" s="43">
        <v>1</v>
      </c>
    </row>
    <row r="231" spans="1:7" customFormat="1" hidden="1" x14ac:dyDescent="0.25">
      <c r="A231" s="43" t="s">
        <v>3134</v>
      </c>
      <c r="B231" s="43">
        <v>2</v>
      </c>
      <c r="C231" s="47">
        <v>3.6456434560699962E-4</v>
      </c>
      <c r="D231" s="43">
        <v>2</v>
      </c>
      <c r="E231" s="47">
        <v>1</v>
      </c>
      <c r="F231" s="47">
        <v>3.6456434560699962E-4</v>
      </c>
      <c r="G231" s="43">
        <v>1</v>
      </c>
    </row>
    <row r="232" spans="1:7" customFormat="1" hidden="1" x14ac:dyDescent="0.25">
      <c r="A232" s="43" t="s">
        <v>3135</v>
      </c>
      <c r="B232" s="43">
        <v>2</v>
      </c>
      <c r="C232" s="47">
        <v>3.6456434560699962E-4</v>
      </c>
      <c r="D232" s="43">
        <v>2</v>
      </c>
      <c r="E232" s="47">
        <v>1</v>
      </c>
      <c r="F232" s="47">
        <v>3.6456434560699962E-4</v>
      </c>
      <c r="G232" s="43">
        <v>0</v>
      </c>
    </row>
    <row r="233" spans="1:7" customFormat="1" hidden="1" x14ac:dyDescent="0.25">
      <c r="A233" s="43" t="s">
        <v>1684</v>
      </c>
      <c r="B233" s="43">
        <v>2</v>
      </c>
      <c r="C233" s="47">
        <v>3.6456434560699962E-4</v>
      </c>
      <c r="D233" s="43">
        <v>2</v>
      </c>
      <c r="E233" s="47">
        <v>1</v>
      </c>
      <c r="F233" s="47">
        <v>3.6456434560699962E-4</v>
      </c>
      <c r="G233" s="43">
        <v>1</v>
      </c>
    </row>
    <row r="234" spans="1:7" customFormat="1" hidden="1" x14ac:dyDescent="0.25">
      <c r="A234" s="43" t="s">
        <v>1667</v>
      </c>
      <c r="B234" s="43">
        <v>2</v>
      </c>
      <c r="C234" s="47">
        <v>3.6456434560699962E-4</v>
      </c>
      <c r="D234" s="43">
        <v>2</v>
      </c>
      <c r="E234" s="47">
        <v>1</v>
      </c>
      <c r="F234" s="47">
        <v>3.6456434560699962E-4</v>
      </c>
      <c r="G234" s="43">
        <v>1</v>
      </c>
    </row>
    <row r="235" spans="1:7" customFormat="1" hidden="1" x14ac:dyDescent="0.25">
      <c r="A235" s="43" t="s">
        <v>897</v>
      </c>
      <c r="B235" s="43">
        <v>2</v>
      </c>
      <c r="C235" s="47">
        <v>3.6456434560699962E-4</v>
      </c>
      <c r="D235" s="43">
        <v>2</v>
      </c>
      <c r="E235" s="47">
        <v>1</v>
      </c>
      <c r="F235" s="47">
        <v>3.6456434560699962E-4</v>
      </c>
      <c r="G235" s="43">
        <v>1</v>
      </c>
    </row>
    <row r="236" spans="1:7" customFormat="1" hidden="1" x14ac:dyDescent="0.25">
      <c r="A236" s="43" t="s">
        <v>3136</v>
      </c>
      <c r="B236" s="43">
        <v>2</v>
      </c>
      <c r="C236" s="47">
        <v>3.6456434560699962E-4</v>
      </c>
      <c r="D236" s="43">
        <v>2</v>
      </c>
      <c r="E236" s="47">
        <v>1</v>
      </c>
      <c r="F236" s="47">
        <v>3.6456434560699962E-4</v>
      </c>
      <c r="G236" s="43">
        <v>0</v>
      </c>
    </row>
    <row r="237" spans="1:7" customFormat="1" hidden="1" x14ac:dyDescent="0.25">
      <c r="A237" s="43" t="s">
        <v>3137</v>
      </c>
      <c r="B237" s="43">
        <v>2</v>
      </c>
      <c r="C237" s="47">
        <v>3.6456434560699962E-4</v>
      </c>
      <c r="D237" s="43">
        <v>2</v>
      </c>
      <c r="E237" s="47">
        <v>1</v>
      </c>
      <c r="F237" s="47">
        <v>3.6456434560699962E-4</v>
      </c>
      <c r="G237" s="43">
        <v>0</v>
      </c>
    </row>
    <row r="238" spans="1:7" customFormat="1" hidden="1" x14ac:dyDescent="0.25">
      <c r="A238" s="43" t="s">
        <v>967</v>
      </c>
      <c r="B238" s="43">
        <v>2</v>
      </c>
      <c r="C238" s="47">
        <v>3.6456434560699962E-4</v>
      </c>
      <c r="D238" s="43">
        <v>2</v>
      </c>
      <c r="E238" s="47">
        <v>1</v>
      </c>
      <c r="F238" s="47">
        <v>3.6456434560699962E-4</v>
      </c>
      <c r="G238" s="43">
        <v>1</v>
      </c>
    </row>
    <row r="239" spans="1:7" customFormat="1" hidden="1" x14ac:dyDescent="0.25">
      <c r="A239" s="43" t="s">
        <v>961</v>
      </c>
      <c r="B239" s="43">
        <v>2</v>
      </c>
      <c r="C239" s="47">
        <v>3.6456434560699962E-4</v>
      </c>
      <c r="D239" s="43">
        <v>2</v>
      </c>
      <c r="E239" s="47">
        <v>1</v>
      </c>
      <c r="F239" s="47">
        <v>3.6456434560699962E-4</v>
      </c>
      <c r="G239" s="43">
        <v>1</v>
      </c>
    </row>
    <row r="240" spans="1:7" customFormat="1" hidden="1" x14ac:dyDescent="0.25">
      <c r="A240" s="43" t="s">
        <v>963</v>
      </c>
      <c r="B240" s="43">
        <v>2</v>
      </c>
      <c r="C240" s="47">
        <v>3.6456434560699962E-4</v>
      </c>
      <c r="D240" s="43">
        <v>2</v>
      </c>
      <c r="E240" s="47">
        <v>1</v>
      </c>
      <c r="F240" s="47">
        <v>3.6456434560699962E-4</v>
      </c>
      <c r="G240" s="43">
        <v>1</v>
      </c>
    </row>
    <row r="241" spans="1:7" customFormat="1" hidden="1" x14ac:dyDescent="0.25">
      <c r="A241" s="43" t="s">
        <v>3138</v>
      </c>
      <c r="B241" s="43">
        <v>2</v>
      </c>
      <c r="C241" s="47">
        <v>3.6456434560699962E-4</v>
      </c>
      <c r="D241" s="43">
        <v>2</v>
      </c>
      <c r="E241" s="47">
        <v>1</v>
      </c>
      <c r="F241" s="47">
        <v>3.6456434560699962E-4</v>
      </c>
      <c r="G241" s="43">
        <v>1</v>
      </c>
    </row>
    <row r="242" spans="1:7" customFormat="1" hidden="1" x14ac:dyDescent="0.25">
      <c r="A242" s="43" t="s">
        <v>908</v>
      </c>
      <c r="B242" s="43">
        <v>2</v>
      </c>
      <c r="C242" s="47">
        <v>3.6456434560699962E-4</v>
      </c>
      <c r="D242" s="43">
        <v>2</v>
      </c>
      <c r="E242" s="47">
        <v>1</v>
      </c>
      <c r="F242" s="47">
        <v>3.6456434560699962E-4</v>
      </c>
      <c r="G242" s="43">
        <v>1</v>
      </c>
    </row>
    <row r="243" spans="1:7" customFormat="1" hidden="1" x14ac:dyDescent="0.25">
      <c r="A243" s="43" t="s">
        <v>3139</v>
      </c>
      <c r="B243" s="43">
        <v>2</v>
      </c>
      <c r="C243" s="47">
        <v>3.6456434560699962E-4</v>
      </c>
      <c r="D243" s="43">
        <v>2</v>
      </c>
      <c r="E243" s="47">
        <v>1</v>
      </c>
      <c r="F243" s="47">
        <v>3.6456434560699962E-4</v>
      </c>
      <c r="G243" s="43">
        <v>1</v>
      </c>
    </row>
    <row r="244" spans="1:7" customFormat="1" hidden="1" x14ac:dyDescent="0.25">
      <c r="A244" s="43" t="s">
        <v>3140</v>
      </c>
      <c r="B244" s="43">
        <v>2</v>
      </c>
      <c r="C244" s="47">
        <v>3.6456434560699962E-4</v>
      </c>
      <c r="D244" s="43">
        <v>2</v>
      </c>
      <c r="E244" s="47">
        <v>1</v>
      </c>
      <c r="F244" s="47">
        <v>3.6456434560699962E-4</v>
      </c>
      <c r="G244" s="43">
        <v>1</v>
      </c>
    </row>
    <row r="245" spans="1:7" customFormat="1" hidden="1" x14ac:dyDescent="0.25">
      <c r="A245" s="43" t="s">
        <v>3141</v>
      </c>
      <c r="B245" s="43">
        <v>2</v>
      </c>
      <c r="C245" s="47">
        <v>3.6456434560699962E-4</v>
      </c>
      <c r="D245" s="43">
        <v>2</v>
      </c>
      <c r="E245" s="47">
        <v>1</v>
      </c>
      <c r="F245" s="47">
        <v>3.6456434560699962E-4</v>
      </c>
      <c r="G245" s="43">
        <v>1</v>
      </c>
    </row>
    <row r="246" spans="1:7" customFormat="1" hidden="1" x14ac:dyDescent="0.25">
      <c r="A246" s="43" t="s">
        <v>3142</v>
      </c>
      <c r="B246" s="43">
        <v>2</v>
      </c>
      <c r="C246" s="47">
        <v>3.6456434560699962E-4</v>
      </c>
      <c r="D246" s="43">
        <v>2</v>
      </c>
      <c r="E246" s="47">
        <v>1</v>
      </c>
      <c r="F246" s="47">
        <v>3.6456434560699962E-4</v>
      </c>
      <c r="G246" s="43">
        <v>0</v>
      </c>
    </row>
    <row r="247" spans="1:7" customFormat="1" hidden="1" x14ac:dyDescent="0.25">
      <c r="A247" s="43" t="s">
        <v>3143</v>
      </c>
      <c r="B247" s="43">
        <v>2</v>
      </c>
      <c r="C247" s="47">
        <v>3.6456434560699962E-4</v>
      </c>
      <c r="D247" s="43">
        <v>2</v>
      </c>
      <c r="E247" s="47">
        <v>1</v>
      </c>
      <c r="F247" s="47">
        <v>3.6456434560699962E-4</v>
      </c>
      <c r="G247" s="43">
        <v>0</v>
      </c>
    </row>
    <row r="248" spans="1:7" customFormat="1" hidden="1" x14ac:dyDescent="0.25">
      <c r="A248" s="43" t="s">
        <v>3144</v>
      </c>
      <c r="B248" s="43">
        <v>2</v>
      </c>
      <c r="C248" s="47">
        <v>3.6456434560699962E-4</v>
      </c>
      <c r="D248" s="43">
        <v>2</v>
      </c>
      <c r="E248" s="47">
        <v>1</v>
      </c>
      <c r="F248" s="47">
        <v>3.6456434560699962E-4</v>
      </c>
      <c r="G248" s="43">
        <v>0</v>
      </c>
    </row>
    <row r="249" spans="1:7" customFormat="1" hidden="1" x14ac:dyDescent="0.25">
      <c r="A249" s="43" t="s">
        <v>3145</v>
      </c>
      <c r="B249" s="43">
        <v>2</v>
      </c>
      <c r="C249" s="47">
        <v>3.6456434560699962E-4</v>
      </c>
      <c r="D249" s="43">
        <v>2</v>
      </c>
      <c r="E249" s="47">
        <v>1</v>
      </c>
      <c r="F249" s="47">
        <v>3.6456434560699962E-4</v>
      </c>
      <c r="G249" s="43">
        <v>0</v>
      </c>
    </row>
    <row r="250" spans="1:7" customFormat="1" hidden="1" x14ac:dyDescent="0.25">
      <c r="A250" s="43" t="s">
        <v>3146</v>
      </c>
      <c r="B250" s="43">
        <v>2</v>
      </c>
      <c r="C250" s="47">
        <v>3.6456434560699962E-4</v>
      </c>
      <c r="D250" s="43">
        <v>2</v>
      </c>
      <c r="E250" s="47">
        <v>1</v>
      </c>
      <c r="F250" s="47">
        <v>3.6456434560699962E-4</v>
      </c>
      <c r="G250" s="43">
        <v>1</v>
      </c>
    </row>
    <row r="251" spans="1:7" customFormat="1" hidden="1" x14ac:dyDescent="0.25">
      <c r="A251" s="43" t="s">
        <v>3147</v>
      </c>
      <c r="B251" s="43">
        <v>2</v>
      </c>
      <c r="C251" s="47">
        <v>3.6456434560699962E-4</v>
      </c>
      <c r="D251" s="43">
        <v>2</v>
      </c>
      <c r="E251" s="47">
        <v>1</v>
      </c>
      <c r="F251" s="47">
        <v>3.6456434560699962E-4</v>
      </c>
      <c r="G251" s="43">
        <v>0</v>
      </c>
    </row>
    <row r="252" spans="1:7" customFormat="1" hidden="1" x14ac:dyDescent="0.25">
      <c r="A252" s="43" t="s">
        <v>3148</v>
      </c>
      <c r="B252" s="43">
        <v>2</v>
      </c>
      <c r="C252" s="47">
        <v>3.6456434560699962E-4</v>
      </c>
      <c r="D252" s="43">
        <v>2</v>
      </c>
      <c r="E252" s="47">
        <v>1</v>
      </c>
      <c r="F252" s="47">
        <v>3.6456434560699962E-4</v>
      </c>
      <c r="G252" s="43">
        <v>0</v>
      </c>
    </row>
    <row r="253" spans="1:7" customFormat="1" hidden="1" x14ac:dyDescent="0.25">
      <c r="A253" s="43" t="s">
        <v>3149</v>
      </c>
      <c r="B253" s="43">
        <v>2</v>
      </c>
      <c r="C253" s="47">
        <v>3.6456434560699962E-4</v>
      </c>
      <c r="D253" s="43">
        <v>2</v>
      </c>
      <c r="E253" s="47">
        <v>1</v>
      </c>
      <c r="F253" s="47">
        <v>3.6456434560699962E-4</v>
      </c>
      <c r="G253" s="43">
        <v>0</v>
      </c>
    </row>
    <row r="254" spans="1:7" customFormat="1" hidden="1" x14ac:dyDescent="0.25">
      <c r="A254" s="43" t="s">
        <v>3150</v>
      </c>
      <c r="B254" s="43">
        <v>2</v>
      </c>
      <c r="C254" s="47">
        <v>3.6456434560699962E-4</v>
      </c>
      <c r="D254" s="43">
        <v>2</v>
      </c>
      <c r="E254" s="47">
        <v>1</v>
      </c>
      <c r="F254" s="47">
        <v>3.6456434560699962E-4</v>
      </c>
      <c r="G254" s="43">
        <v>0</v>
      </c>
    </row>
    <row r="255" spans="1:7" customFormat="1" hidden="1" x14ac:dyDescent="0.25">
      <c r="A255" s="43" t="s">
        <v>3151</v>
      </c>
      <c r="B255" s="43">
        <v>2</v>
      </c>
      <c r="C255" s="47">
        <v>3.6456434560699962E-4</v>
      </c>
      <c r="D255" s="43">
        <v>2</v>
      </c>
      <c r="E255" s="47">
        <v>1</v>
      </c>
      <c r="F255" s="47">
        <v>3.6456434560699962E-4</v>
      </c>
      <c r="G255" s="43">
        <v>0</v>
      </c>
    </row>
    <row r="256" spans="1:7" customFormat="1" hidden="1" x14ac:dyDescent="0.25">
      <c r="A256" s="43" t="s">
        <v>3152</v>
      </c>
      <c r="B256" s="43">
        <v>2</v>
      </c>
      <c r="C256" s="47">
        <v>3.6456434560699962E-4</v>
      </c>
      <c r="D256" s="43">
        <v>2</v>
      </c>
      <c r="E256" s="47">
        <v>1</v>
      </c>
      <c r="F256" s="47">
        <v>3.6456434560699962E-4</v>
      </c>
      <c r="G256" s="43">
        <v>0</v>
      </c>
    </row>
    <row r="257" spans="1:10" hidden="1" x14ac:dyDescent="0.25">
      <c r="A257" s="43" t="s">
        <v>1081</v>
      </c>
      <c r="B257" s="43">
        <v>2</v>
      </c>
      <c r="C257" s="47">
        <v>3.6456434560699962E-4</v>
      </c>
      <c r="D257" s="43">
        <v>2</v>
      </c>
      <c r="E257" s="47">
        <v>1</v>
      </c>
      <c r="F257" s="47">
        <v>3.6456434560699962E-4</v>
      </c>
      <c r="G257" s="43">
        <v>0</v>
      </c>
      <c r="I257"/>
      <c r="J257"/>
    </row>
    <row r="258" spans="1:10" hidden="1" x14ac:dyDescent="0.25">
      <c r="A258" s="43" t="s">
        <v>3153</v>
      </c>
      <c r="B258" s="43">
        <v>2</v>
      </c>
      <c r="C258" s="47">
        <v>3.6456434560699962E-4</v>
      </c>
      <c r="D258" s="43">
        <v>2</v>
      </c>
      <c r="E258" s="47">
        <v>1</v>
      </c>
      <c r="F258" s="47">
        <v>3.6456434560699962E-4</v>
      </c>
      <c r="G258" s="43">
        <v>0</v>
      </c>
      <c r="I258"/>
      <c r="J258"/>
    </row>
    <row r="259" spans="1:10" hidden="1" x14ac:dyDescent="0.25">
      <c r="A259" s="43" t="s">
        <v>1365</v>
      </c>
      <c r="B259" s="43">
        <v>2</v>
      </c>
      <c r="C259" s="47">
        <v>3.6456434560699962E-4</v>
      </c>
      <c r="D259" s="43">
        <v>2</v>
      </c>
      <c r="E259" s="47">
        <v>1</v>
      </c>
      <c r="F259" s="47">
        <v>3.6456434560699962E-4</v>
      </c>
      <c r="G259" s="43">
        <v>0</v>
      </c>
      <c r="I259"/>
      <c r="J259"/>
    </row>
    <row r="260" spans="1:10" hidden="1" x14ac:dyDescent="0.25">
      <c r="A260" s="43" t="s">
        <v>1406</v>
      </c>
      <c r="B260" s="43">
        <v>2</v>
      </c>
      <c r="C260" s="47">
        <v>3.6456434560699962E-4</v>
      </c>
      <c r="D260" s="43">
        <v>2</v>
      </c>
      <c r="E260" s="47">
        <v>1</v>
      </c>
      <c r="F260" s="47">
        <v>3.6456434560699962E-4</v>
      </c>
      <c r="G260" s="43"/>
      <c r="I260"/>
      <c r="J260"/>
    </row>
    <row r="261" spans="1:10" hidden="1" x14ac:dyDescent="0.25">
      <c r="A261" s="43" t="s">
        <v>3065</v>
      </c>
      <c r="B261" s="43">
        <v>5</v>
      </c>
      <c r="C261" s="47">
        <v>9.1141086401749912E-4</v>
      </c>
      <c r="D261" s="43">
        <v>1</v>
      </c>
      <c r="E261" s="47">
        <v>0.2</v>
      </c>
      <c r="F261" s="47">
        <v>1.8228217280349984E-4</v>
      </c>
      <c r="G261" s="43">
        <v>1</v>
      </c>
      <c r="I261"/>
      <c r="J261"/>
    </row>
    <row r="262" spans="1:10" x14ac:dyDescent="0.25">
      <c r="A262" s="43" t="s">
        <v>1163</v>
      </c>
      <c r="B262" s="43">
        <v>10</v>
      </c>
      <c r="C262" s="47">
        <v>1.8228217280349982E-3</v>
      </c>
      <c r="D262" s="43">
        <v>2</v>
      </c>
      <c r="E262" s="47">
        <v>0.2</v>
      </c>
      <c r="F262" s="47">
        <v>3.6456434560699967E-4</v>
      </c>
      <c r="G262" s="43">
        <v>1</v>
      </c>
    </row>
    <row r="263" spans="1:10" x14ac:dyDescent="0.25">
      <c r="A263" s="43" t="s">
        <v>2938</v>
      </c>
      <c r="B263" s="43">
        <v>18</v>
      </c>
      <c r="C263" s="47">
        <v>3.2810791104629965E-3</v>
      </c>
      <c r="D263" s="43">
        <v>4</v>
      </c>
      <c r="E263" s="47">
        <v>0.222</v>
      </c>
      <c r="F263" s="47">
        <v>7.2839956252278521E-4</v>
      </c>
      <c r="G263" s="43">
        <v>0.94399999999999995</v>
      </c>
    </row>
    <row r="264" spans="1:10" x14ac:dyDescent="0.25">
      <c r="A264" s="89" t="s">
        <v>1523</v>
      </c>
      <c r="B264" s="43">
        <v>22</v>
      </c>
      <c r="C264" s="47">
        <v>4.0102078016769956E-3</v>
      </c>
      <c r="D264" s="43">
        <v>5</v>
      </c>
      <c r="E264" s="47">
        <v>0.22700000000000001</v>
      </c>
      <c r="F264" s="47">
        <v>9.1031717098067808E-4</v>
      </c>
      <c r="G264" s="43">
        <v>1</v>
      </c>
      <c r="I264" s="43">
        <v>1</v>
      </c>
      <c r="J264" s="43" t="s">
        <v>1492</v>
      </c>
    </row>
    <row r="265" spans="1:10" x14ac:dyDescent="0.25">
      <c r="A265" s="43" t="s">
        <v>1525</v>
      </c>
      <c r="B265" s="43">
        <v>21</v>
      </c>
      <c r="C265" s="47">
        <v>3.8279256288734961E-3</v>
      </c>
      <c r="D265" s="43">
        <v>5</v>
      </c>
      <c r="E265" s="47">
        <v>0.23799999999999999</v>
      </c>
      <c r="F265" s="47">
        <v>9.11046299671892E-4</v>
      </c>
      <c r="G265" s="43">
        <v>1</v>
      </c>
    </row>
    <row r="266" spans="1:10" x14ac:dyDescent="0.25">
      <c r="A266" s="43" t="s">
        <v>2979</v>
      </c>
      <c r="B266" s="43">
        <v>11</v>
      </c>
      <c r="C266" s="47">
        <v>2.0051039008384978E-3</v>
      </c>
      <c r="D266" s="43">
        <v>3</v>
      </c>
      <c r="E266" s="47">
        <v>0.27300000000000002</v>
      </c>
      <c r="F266" s="47">
        <v>5.4739336492890998E-4</v>
      </c>
      <c r="G266" s="43">
        <v>1</v>
      </c>
    </row>
    <row r="267" spans="1:10" x14ac:dyDescent="0.25">
      <c r="A267" s="91" t="s">
        <v>359</v>
      </c>
      <c r="B267" s="43">
        <v>11</v>
      </c>
      <c r="C267" s="47">
        <v>2.0051039008384978E-3</v>
      </c>
      <c r="D267" s="43">
        <v>3</v>
      </c>
      <c r="E267" s="47">
        <v>0.27300000000000002</v>
      </c>
      <c r="F267" s="47">
        <v>5.4739336492890998E-4</v>
      </c>
      <c r="G267" s="43">
        <v>1</v>
      </c>
      <c r="I267" s="43">
        <v>3</v>
      </c>
      <c r="J267" s="43" t="s">
        <v>4578</v>
      </c>
    </row>
    <row r="268" spans="1:10" x14ac:dyDescent="0.25">
      <c r="A268" s="43" t="s">
        <v>1161</v>
      </c>
      <c r="B268" s="43">
        <v>11</v>
      </c>
      <c r="C268" s="47">
        <v>2.0051039008384978E-3</v>
      </c>
      <c r="D268" s="43">
        <v>3</v>
      </c>
      <c r="E268" s="47">
        <v>0.27300000000000002</v>
      </c>
      <c r="F268" s="47">
        <v>5.4739336492890998E-4</v>
      </c>
      <c r="G268" s="43">
        <v>1</v>
      </c>
    </row>
    <row r="269" spans="1:10" x14ac:dyDescent="0.25">
      <c r="A269" s="43" t="s">
        <v>2924</v>
      </c>
      <c r="B269" s="43">
        <v>22</v>
      </c>
      <c r="C269" s="47">
        <v>4.0102078016769956E-3</v>
      </c>
      <c r="D269" s="43">
        <v>6</v>
      </c>
      <c r="E269" s="47">
        <v>0.27300000000000002</v>
      </c>
      <c r="F269" s="47">
        <v>1.09478672985782E-3</v>
      </c>
      <c r="G269" s="43">
        <v>1</v>
      </c>
    </row>
    <row r="270" spans="1:10" x14ac:dyDescent="0.25">
      <c r="A270" s="89" t="s">
        <v>784</v>
      </c>
      <c r="B270" s="43">
        <v>25</v>
      </c>
      <c r="C270" s="47">
        <v>4.5570543200874952E-3</v>
      </c>
      <c r="D270" s="43">
        <v>7</v>
      </c>
      <c r="E270" s="47">
        <v>0.28000000000000003</v>
      </c>
      <c r="F270" s="47">
        <v>1.2759752096244987E-3</v>
      </c>
      <c r="G270" s="43">
        <v>1</v>
      </c>
      <c r="I270" s="43">
        <v>3</v>
      </c>
      <c r="J270" s="43" t="s">
        <v>4579</v>
      </c>
    </row>
    <row r="271" spans="1:10" hidden="1" x14ac:dyDescent="0.25">
      <c r="A271" s="43" t="s">
        <v>3024</v>
      </c>
      <c r="B271" s="43">
        <v>7</v>
      </c>
      <c r="C271" s="47">
        <v>1.2759752096244987E-3</v>
      </c>
      <c r="D271" s="43">
        <v>2</v>
      </c>
      <c r="E271" s="47">
        <v>0.28599999999999998</v>
      </c>
      <c r="F271" s="47">
        <v>3.6492890995260658E-4</v>
      </c>
      <c r="G271" s="43">
        <v>0</v>
      </c>
      <c r="I271"/>
      <c r="J271"/>
    </row>
    <row r="272" spans="1:10" hidden="1" x14ac:dyDescent="0.25">
      <c r="A272" s="43" t="s">
        <v>3025</v>
      </c>
      <c r="B272" s="43">
        <v>7</v>
      </c>
      <c r="C272" s="47">
        <v>1.2759752096244987E-3</v>
      </c>
      <c r="D272" s="43">
        <v>2</v>
      </c>
      <c r="E272" s="47">
        <v>0.28599999999999998</v>
      </c>
      <c r="F272" s="47">
        <v>3.6492890995260658E-4</v>
      </c>
      <c r="G272" s="43">
        <v>0</v>
      </c>
      <c r="I272"/>
      <c r="J272"/>
    </row>
    <row r="273" spans="1:7" customFormat="1" hidden="1" x14ac:dyDescent="0.25">
      <c r="A273" s="43" t="s">
        <v>1755</v>
      </c>
      <c r="B273" s="43">
        <v>3</v>
      </c>
      <c r="C273" s="47">
        <v>5.4684651841049945E-4</v>
      </c>
      <c r="D273" s="43">
        <v>2</v>
      </c>
      <c r="E273" s="47">
        <v>0.66700000000000004</v>
      </c>
      <c r="F273" s="47">
        <v>3.6474662777980318E-4</v>
      </c>
      <c r="G273" s="43">
        <v>1</v>
      </c>
    </row>
    <row r="274" spans="1:7" customFormat="1" hidden="1" x14ac:dyDescent="0.25">
      <c r="A274" s="43" t="s">
        <v>1741</v>
      </c>
      <c r="B274" s="43">
        <v>3</v>
      </c>
      <c r="C274" s="47">
        <v>5.4684651841049945E-4</v>
      </c>
      <c r="D274" s="43">
        <v>2</v>
      </c>
      <c r="E274" s="47">
        <v>0.66700000000000004</v>
      </c>
      <c r="F274" s="47">
        <v>3.6474662777980318E-4</v>
      </c>
      <c r="G274" s="43">
        <v>1</v>
      </c>
    </row>
    <row r="275" spans="1:7" customFormat="1" hidden="1" x14ac:dyDescent="0.25">
      <c r="A275" s="43" t="s">
        <v>3108</v>
      </c>
      <c r="B275" s="43">
        <v>3</v>
      </c>
      <c r="C275" s="47">
        <v>5.4684651841049945E-4</v>
      </c>
      <c r="D275" s="43">
        <v>2</v>
      </c>
      <c r="E275" s="47">
        <v>0.66700000000000004</v>
      </c>
      <c r="F275" s="47">
        <v>3.6474662777980318E-4</v>
      </c>
      <c r="G275" s="43">
        <v>1</v>
      </c>
    </row>
    <row r="276" spans="1:7" customFormat="1" hidden="1" x14ac:dyDescent="0.25">
      <c r="A276" s="43" t="s">
        <v>3109</v>
      </c>
      <c r="B276" s="43">
        <v>3</v>
      </c>
      <c r="C276" s="47">
        <v>5.4684651841049945E-4</v>
      </c>
      <c r="D276" s="43">
        <v>2</v>
      </c>
      <c r="E276" s="47">
        <v>0.66700000000000004</v>
      </c>
      <c r="F276" s="47">
        <v>3.6474662777980318E-4</v>
      </c>
      <c r="G276" s="43">
        <v>0</v>
      </c>
    </row>
    <row r="277" spans="1:7" customFormat="1" hidden="1" x14ac:dyDescent="0.25">
      <c r="A277" s="43" t="s">
        <v>3110</v>
      </c>
      <c r="B277" s="43">
        <v>3</v>
      </c>
      <c r="C277" s="47">
        <v>5.4684651841049945E-4</v>
      </c>
      <c r="D277" s="43">
        <v>2</v>
      </c>
      <c r="E277" s="47">
        <v>0.66700000000000004</v>
      </c>
      <c r="F277" s="47">
        <v>3.6474662777980318E-4</v>
      </c>
      <c r="G277" s="43">
        <v>0</v>
      </c>
    </row>
    <row r="278" spans="1:7" customFormat="1" hidden="1" x14ac:dyDescent="0.25">
      <c r="A278" s="43" t="s">
        <v>345</v>
      </c>
      <c r="B278" s="43">
        <v>3</v>
      </c>
      <c r="C278" s="47">
        <v>5.4684651841049945E-4</v>
      </c>
      <c r="D278" s="43">
        <v>2</v>
      </c>
      <c r="E278" s="47">
        <v>0.66700000000000004</v>
      </c>
      <c r="F278" s="47">
        <v>3.6474662777980318E-4</v>
      </c>
      <c r="G278" s="43">
        <v>1</v>
      </c>
    </row>
    <row r="279" spans="1:7" customFormat="1" hidden="1" x14ac:dyDescent="0.25">
      <c r="A279" s="43" t="s">
        <v>3111</v>
      </c>
      <c r="B279" s="43">
        <v>3</v>
      </c>
      <c r="C279" s="47">
        <v>5.4684651841049945E-4</v>
      </c>
      <c r="D279" s="43">
        <v>2</v>
      </c>
      <c r="E279" s="47">
        <v>0.66700000000000004</v>
      </c>
      <c r="F279" s="47">
        <v>3.6474662777980318E-4</v>
      </c>
      <c r="G279" s="43">
        <v>1</v>
      </c>
    </row>
    <row r="280" spans="1:7" customFormat="1" hidden="1" x14ac:dyDescent="0.25">
      <c r="A280" s="43" t="s">
        <v>3112</v>
      </c>
      <c r="B280" s="43">
        <v>3</v>
      </c>
      <c r="C280" s="47">
        <v>5.4684651841049945E-4</v>
      </c>
      <c r="D280" s="43">
        <v>2</v>
      </c>
      <c r="E280" s="47">
        <v>0.66700000000000004</v>
      </c>
      <c r="F280" s="47">
        <v>3.6474662777980318E-4</v>
      </c>
      <c r="G280" s="43">
        <v>1</v>
      </c>
    </row>
    <row r="281" spans="1:7" customFormat="1" hidden="1" x14ac:dyDescent="0.25">
      <c r="A281" s="43" t="s">
        <v>1938</v>
      </c>
      <c r="B281" s="43">
        <v>3</v>
      </c>
      <c r="C281" s="47">
        <v>5.4684651841049945E-4</v>
      </c>
      <c r="D281" s="43">
        <v>2</v>
      </c>
      <c r="E281" s="47">
        <v>0.66700000000000004</v>
      </c>
      <c r="F281" s="47">
        <v>3.6474662777980318E-4</v>
      </c>
      <c r="G281" s="43">
        <v>1</v>
      </c>
    </row>
    <row r="282" spans="1:7" customFormat="1" hidden="1" x14ac:dyDescent="0.25">
      <c r="A282" s="43" t="s">
        <v>3113</v>
      </c>
      <c r="B282" s="43">
        <v>3</v>
      </c>
      <c r="C282" s="47">
        <v>5.4684651841049945E-4</v>
      </c>
      <c r="D282" s="43">
        <v>2</v>
      </c>
      <c r="E282" s="47">
        <v>0.66700000000000004</v>
      </c>
      <c r="F282" s="47">
        <v>3.6474662777980318E-4</v>
      </c>
      <c r="G282" s="43">
        <v>1</v>
      </c>
    </row>
    <row r="283" spans="1:7" customFormat="1" hidden="1" x14ac:dyDescent="0.25">
      <c r="A283" s="43" t="s">
        <v>3114</v>
      </c>
      <c r="B283" s="43">
        <v>3</v>
      </c>
      <c r="C283" s="47">
        <v>5.4684651841049945E-4</v>
      </c>
      <c r="D283" s="43">
        <v>2</v>
      </c>
      <c r="E283" s="47">
        <v>0.66700000000000004</v>
      </c>
      <c r="F283" s="47">
        <v>3.6474662777980318E-4</v>
      </c>
      <c r="G283" s="43">
        <v>1</v>
      </c>
    </row>
    <row r="284" spans="1:7" customFormat="1" hidden="1" x14ac:dyDescent="0.25">
      <c r="A284" s="43" t="s">
        <v>1934</v>
      </c>
      <c r="B284" s="43">
        <v>3</v>
      </c>
      <c r="C284" s="47">
        <v>5.4684651841049945E-4</v>
      </c>
      <c r="D284" s="43">
        <v>2</v>
      </c>
      <c r="E284" s="47">
        <v>0.66700000000000004</v>
      </c>
      <c r="F284" s="47">
        <v>3.6474662777980318E-4</v>
      </c>
      <c r="G284" s="43">
        <v>1</v>
      </c>
    </row>
    <row r="285" spans="1:7" customFormat="1" hidden="1" x14ac:dyDescent="0.25">
      <c r="A285" s="43" t="s">
        <v>1918</v>
      </c>
      <c r="B285" s="43">
        <v>3</v>
      </c>
      <c r="C285" s="47">
        <v>5.4684651841049945E-4</v>
      </c>
      <c r="D285" s="43">
        <v>2</v>
      </c>
      <c r="E285" s="47">
        <v>0.66700000000000004</v>
      </c>
      <c r="F285" s="47">
        <v>3.6474662777980318E-4</v>
      </c>
      <c r="G285" s="43">
        <v>0</v>
      </c>
    </row>
    <row r="286" spans="1:7" customFormat="1" hidden="1" x14ac:dyDescent="0.25">
      <c r="A286" s="43" t="s">
        <v>3115</v>
      </c>
      <c r="B286" s="43">
        <v>3</v>
      </c>
      <c r="C286" s="47">
        <v>5.4684651841049945E-4</v>
      </c>
      <c r="D286" s="43">
        <v>2</v>
      </c>
      <c r="E286" s="47">
        <v>0.66700000000000004</v>
      </c>
      <c r="F286" s="47">
        <v>3.6474662777980318E-4</v>
      </c>
      <c r="G286" s="43">
        <v>0</v>
      </c>
    </row>
    <row r="287" spans="1:7" customFormat="1" hidden="1" x14ac:dyDescent="0.25">
      <c r="A287" s="43" t="s">
        <v>3116</v>
      </c>
      <c r="B287" s="43">
        <v>3</v>
      </c>
      <c r="C287" s="47">
        <v>5.4684651841049945E-4</v>
      </c>
      <c r="D287" s="43">
        <v>2</v>
      </c>
      <c r="E287" s="47">
        <v>0.66700000000000004</v>
      </c>
      <c r="F287" s="47">
        <v>3.6474662777980318E-4</v>
      </c>
      <c r="G287" s="43">
        <v>1</v>
      </c>
    </row>
    <row r="288" spans="1:7" customFormat="1" hidden="1" x14ac:dyDescent="0.25">
      <c r="A288" s="43" t="s">
        <v>3117</v>
      </c>
      <c r="B288" s="43">
        <v>3</v>
      </c>
      <c r="C288" s="47">
        <v>5.4684651841049945E-4</v>
      </c>
      <c r="D288" s="43">
        <v>2</v>
      </c>
      <c r="E288" s="47">
        <v>0.66700000000000004</v>
      </c>
      <c r="F288" s="47">
        <v>3.6474662777980318E-4</v>
      </c>
      <c r="G288" s="43">
        <v>1</v>
      </c>
    </row>
    <row r="289" spans="1:10" hidden="1" x14ac:dyDescent="0.25">
      <c r="A289" s="43" t="s">
        <v>3026</v>
      </c>
      <c r="B289" s="43">
        <v>7</v>
      </c>
      <c r="C289" s="47">
        <v>1.2759752096244987E-3</v>
      </c>
      <c r="D289" s="43">
        <v>2</v>
      </c>
      <c r="E289" s="47">
        <v>0.28599999999999998</v>
      </c>
      <c r="F289" s="47">
        <v>3.6492890995260658E-4</v>
      </c>
      <c r="G289" s="43">
        <v>1</v>
      </c>
      <c r="I289"/>
      <c r="J289"/>
    </row>
    <row r="290" spans="1:10" x14ac:dyDescent="0.25">
      <c r="A290" s="43" t="s">
        <v>529</v>
      </c>
      <c r="B290" s="43">
        <v>10</v>
      </c>
      <c r="C290" s="47">
        <v>1.8228217280349982E-3</v>
      </c>
      <c r="D290" s="43">
        <v>3</v>
      </c>
      <c r="E290" s="47">
        <v>0.3</v>
      </c>
      <c r="F290" s="47">
        <v>5.4684651841049945E-4</v>
      </c>
      <c r="G290" s="43">
        <v>1</v>
      </c>
    </row>
    <row r="291" spans="1:10" x14ac:dyDescent="0.25">
      <c r="A291" s="43" t="s">
        <v>2996</v>
      </c>
      <c r="B291" s="43">
        <v>10</v>
      </c>
      <c r="C291" s="47">
        <v>1.8228217280349982E-3</v>
      </c>
      <c r="D291" s="43">
        <v>3</v>
      </c>
      <c r="E291" s="47">
        <v>0.3</v>
      </c>
      <c r="F291" s="47">
        <v>5.4684651841049945E-4</v>
      </c>
      <c r="G291" s="43">
        <v>1</v>
      </c>
    </row>
    <row r="292" spans="1:10" x14ac:dyDescent="0.25">
      <c r="A292" s="43" t="s">
        <v>2914</v>
      </c>
      <c r="B292" s="43">
        <v>23</v>
      </c>
      <c r="C292" s="47">
        <v>4.1924899744804961E-3</v>
      </c>
      <c r="D292" s="43">
        <v>7</v>
      </c>
      <c r="E292" s="47">
        <v>0.30399999999999999</v>
      </c>
      <c r="F292" s="47">
        <v>1.2745169522420708E-3</v>
      </c>
      <c r="G292" s="43">
        <v>0</v>
      </c>
    </row>
    <row r="293" spans="1:10" x14ac:dyDescent="0.25">
      <c r="A293" s="43" t="s">
        <v>2923</v>
      </c>
      <c r="B293" s="43">
        <v>22</v>
      </c>
      <c r="C293" s="47">
        <v>4.0102078016769956E-3</v>
      </c>
      <c r="D293" s="43">
        <v>7</v>
      </c>
      <c r="E293" s="47">
        <v>0.318</v>
      </c>
      <c r="F293" s="47">
        <v>1.2752460809332847E-3</v>
      </c>
      <c r="G293" s="43">
        <v>1</v>
      </c>
    </row>
    <row r="294" spans="1:10" hidden="1" x14ac:dyDescent="0.25">
      <c r="A294" s="43" t="s">
        <v>1159</v>
      </c>
      <c r="B294" s="43">
        <v>9</v>
      </c>
      <c r="C294" s="47">
        <v>1.6405395552314983E-3</v>
      </c>
      <c r="D294" s="43">
        <v>3</v>
      </c>
      <c r="E294" s="47">
        <v>0.33300000000000002</v>
      </c>
      <c r="F294" s="47">
        <v>5.4629967189208893E-4</v>
      </c>
      <c r="G294" s="43">
        <v>1</v>
      </c>
      <c r="I294"/>
      <c r="J294"/>
    </row>
    <row r="295" spans="1:10" hidden="1" x14ac:dyDescent="0.25">
      <c r="A295" s="43" t="s">
        <v>3005</v>
      </c>
      <c r="B295" s="43">
        <v>9</v>
      </c>
      <c r="C295" s="47">
        <v>1.6405395552314983E-3</v>
      </c>
      <c r="D295" s="43">
        <v>3</v>
      </c>
      <c r="E295" s="47">
        <v>0.33300000000000002</v>
      </c>
      <c r="F295" s="47">
        <v>5.4629967189208893E-4</v>
      </c>
      <c r="G295" s="43">
        <v>1</v>
      </c>
      <c r="I295"/>
      <c r="J295"/>
    </row>
    <row r="296" spans="1:10" x14ac:dyDescent="0.25">
      <c r="A296" s="43" t="s">
        <v>2951</v>
      </c>
      <c r="B296" s="43">
        <v>15</v>
      </c>
      <c r="C296" s="47">
        <v>2.7342325920524974E-3</v>
      </c>
      <c r="D296" s="43">
        <v>5</v>
      </c>
      <c r="E296" s="47">
        <v>0.33300000000000002</v>
      </c>
      <c r="F296" s="47">
        <v>9.104994531534817E-4</v>
      </c>
      <c r="G296" s="43">
        <v>1</v>
      </c>
    </row>
    <row r="297" spans="1:10" x14ac:dyDescent="0.25">
      <c r="A297" s="43" t="s">
        <v>866</v>
      </c>
      <c r="B297" s="43">
        <v>17</v>
      </c>
      <c r="C297" s="47">
        <v>3.0987969376594969E-3</v>
      </c>
      <c r="D297" s="43">
        <v>6</v>
      </c>
      <c r="E297" s="47">
        <v>0.35299999999999998</v>
      </c>
      <c r="F297" s="47">
        <v>1.0938753189938023E-3</v>
      </c>
      <c r="G297" s="43">
        <v>1</v>
      </c>
    </row>
    <row r="298" spans="1:10" x14ac:dyDescent="0.25">
      <c r="A298" s="43" t="s">
        <v>2953</v>
      </c>
      <c r="B298" s="43">
        <v>14</v>
      </c>
      <c r="C298" s="47">
        <v>2.5519504192489974E-3</v>
      </c>
      <c r="D298" s="43">
        <v>5</v>
      </c>
      <c r="E298" s="47">
        <v>0.35699999999999998</v>
      </c>
      <c r="F298" s="47">
        <v>9.11046299671892E-4</v>
      </c>
      <c r="G298" s="43">
        <v>1</v>
      </c>
    </row>
    <row r="299" spans="1:10" x14ac:dyDescent="0.25">
      <c r="A299" s="43" t="s">
        <v>621</v>
      </c>
      <c r="B299" s="43">
        <v>25</v>
      </c>
      <c r="C299" s="47">
        <v>4.5570543200874952E-3</v>
      </c>
      <c r="D299" s="43">
        <v>9</v>
      </c>
      <c r="E299" s="47">
        <v>0.36</v>
      </c>
      <c r="F299" s="47">
        <v>1.6405395552314983E-3</v>
      </c>
      <c r="G299" s="43">
        <v>1</v>
      </c>
    </row>
    <row r="300" spans="1:10" x14ac:dyDescent="0.25">
      <c r="A300" s="89" t="s">
        <v>1464</v>
      </c>
      <c r="B300" s="43">
        <v>11</v>
      </c>
      <c r="C300" s="47">
        <v>2.0051039008384978E-3</v>
      </c>
      <c r="D300" s="43">
        <v>4</v>
      </c>
      <c r="E300" s="47">
        <v>0.36399999999999999</v>
      </c>
      <c r="F300" s="47">
        <v>7.2985781990521316E-4</v>
      </c>
      <c r="G300" s="43">
        <v>1</v>
      </c>
      <c r="I300" s="43">
        <v>1</v>
      </c>
      <c r="J300" s="43" t="s">
        <v>1457</v>
      </c>
    </row>
    <row r="301" spans="1:10" hidden="1" x14ac:dyDescent="0.25">
      <c r="A301" s="43" t="s">
        <v>3016</v>
      </c>
      <c r="B301" s="43">
        <v>8</v>
      </c>
      <c r="C301" s="47">
        <v>1.4582573824279985E-3</v>
      </c>
      <c r="D301" s="43">
        <v>3</v>
      </c>
      <c r="E301" s="47">
        <v>0.375</v>
      </c>
      <c r="F301" s="47">
        <v>5.4684651841049945E-4</v>
      </c>
      <c r="G301" s="43">
        <v>1</v>
      </c>
      <c r="I301"/>
      <c r="J301"/>
    </row>
    <row r="302" spans="1:10" hidden="1" x14ac:dyDescent="0.25">
      <c r="A302" s="43" t="s">
        <v>3057</v>
      </c>
      <c r="B302" s="43">
        <v>5</v>
      </c>
      <c r="C302" s="47">
        <v>9.1141086401749912E-4</v>
      </c>
      <c r="D302" s="43">
        <v>2</v>
      </c>
      <c r="E302" s="47">
        <v>0.4</v>
      </c>
      <c r="F302" s="47">
        <v>3.6456434560699967E-4</v>
      </c>
      <c r="G302" s="43">
        <v>1</v>
      </c>
      <c r="I302"/>
      <c r="J302"/>
    </row>
    <row r="303" spans="1:10" hidden="1" x14ac:dyDescent="0.25">
      <c r="A303" s="43" t="s">
        <v>461</v>
      </c>
      <c r="B303" s="43">
        <v>5</v>
      </c>
      <c r="C303" s="47">
        <v>9.1141086401749912E-4</v>
      </c>
      <c r="D303" s="43">
        <v>2</v>
      </c>
      <c r="E303" s="47">
        <v>0.4</v>
      </c>
      <c r="F303" s="47">
        <v>3.6456434560699967E-4</v>
      </c>
      <c r="G303" s="43">
        <v>1</v>
      </c>
      <c r="I303"/>
      <c r="J303"/>
    </row>
    <row r="304" spans="1:10" hidden="1" x14ac:dyDescent="0.25">
      <c r="A304" s="43" t="s">
        <v>1888</v>
      </c>
      <c r="B304" s="43">
        <v>5</v>
      </c>
      <c r="C304" s="47">
        <v>9.1141086401749912E-4</v>
      </c>
      <c r="D304" s="43">
        <v>2</v>
      </c>
      <c r="E304" s="47">
        <v>0.4</v>
      </c>
      <c r="F304" s="47">
        <v>3.6456434560699967E-4</v>
      </c>
      <c r="G304" s="43">
        <v>1</v>
      </c>
      <c r="I304"/>
      <c r="J304"/>
    </row>
    <row r="305" spans="1:7" customFormat="1" hidden="1" x14ac:dyDescent="0.25">
      <c r="A305" s="43" t="s">
        <v>1894</v>
      </c>
      <c r="B305" s="43">
        <v>5</v>
      </c>
      <c r="C305" s="47">
        <v>9.1141086401749912E-4</v>
      </c>
      <c r="D305" s="43">
        <v>2</v>
      </c>
      <c r="E305" s="47">
        <v>0.4</v>
      </c>
      <c r="F305" s="47">
        <v>3.6456434560699967E-4</v>
      </c>
      <c r="G305" s="43">
        <v>1</v>
      </c>
    </row>
    <row r="306" spans="1:7" customFormat="1" hidden="1" x14ac:dyDescent="0.25">
      <c r="A306" s="43" t="s">
        <v>3058</v>
      </c>
      <c r="B306" s="43">
        <v>5</v>
      </c>
      <c r="C306" s="47">
        <v>9.1141086401749912E-4</v>
      </c>
      <c r="D306" s="43">
        <v>2</v>
      </c>
      <c r="E306" s="47">
        <v>0.4</v>
      </c>
      <c r="F306" s="47">
        <v>3.6456434560699967E-4</v>
      </c>
      <c r="G306" s="43">
        <v>1</v>
      </c>
    </row>
    <row r="307" spans="1:7" customFormat="1" hidden="1" x14ac:dyDescent="0.25">
      <c r="A307" s="43" t="s">
        <v>1881</v>
      </c>
      <c r="B307" s="43">
        <v>5</v>
      </c>
      <c r="C307" s="47">
        <v>9.1141086401749912E-4</v>
      </c>
      <c r="D307" s="43">
        <v>2</v>
      </c>
      <c r="E307" s="47">
        <v>0.4</v>
      </c>
      <c r="F307" s="47">
        <v>3.6456434560699967E-4</v>
      </c>
      <c r="G307" s="43">
        <v>1</v>
      </c>
    </row>
    <row r="308" spans="1:7" customFormat="1" hidden="1" x14ac:dyDescent="0.25">
      <c r="A308" s="43" t="s">
        <v>1882</v>
      </c>
      <c r="B308" s="43">
        <v>5</v>
      </c>
      <c r="C308" s="47">
        <v>9.1141086401749912E-4</v>
      </c>
      <c r="D308" s="43">
        <v>2</v>
      </c>
      <c r="E308" s="47">
        <v>0.4</v>
      </c>
      <c r="F308" s="47">
        <v>3.6456434560699967E-4</v>
      </c>
      <c r="G308" s="43">
        <v>1</v>
      </c>
    </row>
    <row r="309" spans="1:7" customFormat="1" hidden="1" x14ac:dyDescent="0.25">
      <c r="A309" s="43" t="s">
        <v>459</v>
      </c>
      <c r="B309" s="43">
        <v>5</v>
      </c>
      <c r="C309" s="47">
        <v>9.1141086401749912E-4</v>
      </c>
      <c r="D309" s="43">
        <v>2</v>
      </c>
      <c r="E309" s="47">
        <v>0.4</v>
      </c>
      <c r="F309" s="47">
        <v>3.6456434560699967E-4</v>
      </c>
      <c r="G309" s="43">
        <v>1</v>
      </c>
    </row>
    <row r="310" spans="1:7" customFormat="1" hidden="1" x14ac:dyDescent="0.25">
      <c r="A310" s="43" t="s">
        <v>3059</v>
      </c>
      <c r="B310" s="43">
        <v>5</v>
      </c>
      <c r="C310" s="47">
        <v>9.1141086401749912E-4</v>
      </c>
      <c r="D310" s="43">
        <v>2</v>
      </c>
      <c r="E310" s="47">
        <v>0.4</v>
      </c>
      <c r="F310" s="47">
        <v>3.6456434560699967E-4</v>
      </c>
      <c r="G310" s="43">
        <v>1</v>
      </c>
    </row>
    <row r="311" spans="1:7" customFormat="1" hidden="1" x14ac:dyDescent="0.25">
      <c r="A311" s="43" t="s">
        <v>3060</v>
      </c>
      <c r="B311" s="43">
        <v>5</v>
      </c>
      <c r="C311" s="47">
        <v>9.1141086401749912E-4</v>
      </c>
      <c r="D311" s="43">
        <v>2</v>
      </c>
      <c r="E311" s="47">
        <v>0.4</v>
      </c>
      <c r="F311" s="47">
        <v>3.6456434560699967E-4</v>
      </c>
      <c r="G311" s="43">
        <v>1</v>
      </c>
    </row>
    <row r="312" spans="1:7" customFormat="1" hidden="1" x14ac:dyDescent="0.25">
      <c r="A312" s="43" t="s">
        <v>3077</v>
      </c>
      <c r="B312" s="43">
        <v>4</v>
      </c>
      <c r="C312" s="47">
        <v>7.2912869121399923E-4</v>
      </c>
      <c r="D312" s="43">
        <v>3</v>
      </c>
      <c r="E312" s="47">
        <v>0.75</v>
      </c>
      <c r="F312" s="47">
        <v>5.4684651841049945E-4</v>
      </c>
      <c r="G312" s="43">
        <v>1</v>
      </c>
    </row>
    <row r="313" spans="1:7" customFormat="1" hidden="1" x14ac:dyDescent="0.25">
      <c r="A313" s="43" t="s">
        <v>668</v>
      </c>
      <c r="B313" s="43">
        <v>4</v>
      </c>
      <c r="C313" s="47">
        <v>7.2912869121399923E-4</v>
      </c>
      <c r="D313" s="43">
        <v>3</v>
      </c>
      <c r="E313" s="47">
        <v>0.75</v>
      </c>
      <c r="F313" s="47">
        <v>5.4684651841049945E-4</v>
      </c>
      <c r="G313" s="43">
        <v>1</v>
      </c>
    </row>
    <row r="314" spans="1:7" customFormat="1" hidden="1" x14ac:dyDescent="0.25">
      <c r="A314" s="43" t="s">
        <v>1138</v>
      </c>
      <c r="B314" s="43">
        <v>4</v>
      </c>
      <c r="C314" s="47">
        <v>7.2912869121399923E-4</v>
      </c>
      <c r="D314" s="43">
        <v>3</v>
      </c>
      <c r="E314" s="47">
        <v>0.75</v>
      </c>
      <c r="F314" s="47">
        <v>5.4684651841049945E-4</v>
      </c>
      <c r="G314" s="43">
        <v>0</v>
      </c>
    </row>
    <row r="315" spans="1:7" customFormat="1" hidden="1" x14ac:dyDescent="0.25">
      <c r="A315" s="43" t="s">
        <v>3078</v>
      </c>
      <c r="B315" s="43">
        <v>4</v>
      </c>
      <c r="C315" s="47">
        <v>7.2912869121399923E-4</v>
      </c>
      <c r="D315" s="43">
        <v>3</v>
      </c>
      <c r="E315" s="47">
        <v>0.75</v>
      </c>
      <c r="F315" s="47">
        <v>5.4684651841049945E-4</v>
      </c>
      <c r="G315" s="43">
        <v>1</v>
      </c>
    </row>
    <row r="316" spans="1:7" customFormat="1" hidden="1" x14ac:dyDescent="0.25">
      <c r="A316" s="43" t="s">
        <v>1571</v>
      </c>
      <c r="B316" s="43">
        <v>4</v>
      </c>
      <c r="C316" s="47">
        <v>7.2912869121399923E-4</v>
      </c>
      <c r="D316" s="43">
        <v>3</v>
      </c>
      <c r="E316" s="47">
        <v>0.75</v>
      </c>
      <c r="F316" s="47">
        <v>5.4684651841049945E-4</v>
      </c>
      <c r="G316" s="43">
        <v>0</v>
      </c>
    </row>
    <row r="317" spans="1:7" customFormat="1" hidden="1" x14ac:dyDescent="0.25">
      <c r="A317" s="43" t="s">
        <v>3079</v>
      </c>
      <c r="B317" s="43">
        <v>4</v>
      </c>
      <c r="C317" s="47">
        <v>7.2912869121399923E-4</v>
      </c>
      <c r="D317" s="43">
        <v>3</v>
      </c>
      <c r="E317" s="47">
        <v>0.75</v>
      </c>
      <c r="F317" s="47">
        <v>5.4684651841049945E-4</v>
      </c>
      <c r="G317" s="43">
        <v>1</v>
      </c>
    </row>
    <row r="318" spans="1:7" customFormat="1" hidden="1" x14ac:dyDescent="0.25">
      <c r="A318" s="43" t="s">
        <v>467</v>
      </c>
      <c r="B318" s="43">
        <v>3</v>
      </c>
      <c r="C318" s="47">
        <v>5.4684651841049945E-4</v>
      </c>
      <c r="D318" s="43">
        <v>3</v>
      </c>
      <c r="E318" s="47">
        <v>1</v>
      </c>
      <c r="F318" s="47">
        <v>5.4684651841049945E-4</v>
      </c>
      <c r="G318" s="43">
        <v>1</v>
      </c>
    </row>
    <row r="319" spans="1:7" customFormat="1" hidden="1" x14ac:dyDescent="0.25">
      <c r="A319" s="43" t="s">
        <v>469</v>
      </c>
      <c r="B319" s="43">
        <v>3</v>
      </c>
      <c r="C319" s="47">
        <v>5.4684651841049945E-4</v>
      </c>
      <c r="D319" s="43">
        <v>3</v>
      </c>
      <c r="E319" s="47">
        <v>1</v>
      </c>
      <c r="F319" s="47">
        <v>5.4684651841049945E-4</v>
      </c>
      <c r="G319" s="43">
        <v>1</v>
      </c>
    </row>
    <row r="320" spans="1:7" customFormat="1" hidden="1" x14ac:dyDescent="0.25">
      <c r="A320" s="43" t="s">
        <v>3091</v>
      </c>
      <c r="B320" s="43">
        <v>3</v>
      </c>
      <c r="C320" s="47">
        <v>5.4684651841049945E-4</v>
      </c>
      <c r="D320" s="43">
        <v>3</v>
      </c>
      <c r="E320" s="47">
        <v>1</v>
      </c>
      <c r="F320" s="47">
        <v>5.4684651841049945E-4</v>
      </c>
      <c r="G320" s="43">
        <v>1</v>
      </c>
    </row>
    <row r="321" spans="1:7" customFormat="1" hidden="1" x14ac:dyDescent="0.25">
      <c r="A321" s="43" t="s">
        <v>376</v>
      </c>
      <c r="B321" s="43">
        <v>3</v>
      </c>
      <c r="C321" s="47">
        <v>5.4684651841049945E-4</v>
      </c>
      <c r="D321" s="43">
        <v>3</v>
      </c>
      <c r="E321" s="47">
        <v>1</v>
      </c>
      <c r="F321" s="47">
        <v>5.4684651841049945E-4</v>
      </c>
      <c r="G321" s="43">
        <v>1</v>
      </c>
    </row>
    <row r="322" spans="1:7" customFormat="1" hidden="1" x14ac:dyDescent="0.25">
      <c r="A322" s="43" t="s">
        <v>3092</v>
      </c>
      <c r="B322" s="43">
        <v>3</v>
      </c>
      <c r="C322" s="47">
        <v>5.4684651841049945E-4</v>
      </c>
      <c r="D322" s="43">
        <v>3</v>
      </c>
      <c r="E322" s="47">
        <v>1</v>
      </c>
      <c r="F322" s="47">
        <v>5.4684651841049945E-4</v>
      </c>
      <c r="G322" s="43">
        <v>1</v>
      </c>
    </row>
    <row r="323" spans="1:7" customFormat="1" hidden="1" x14ac:dyDescent="0.25">
      <c r="A323" s="43" t="s">
        <v>3093</v>
      </c>
      <c r="B323" s="43">
        <v>3</v>
      </c>
      <c r="C323" s="47">
        <v>5.4684651841049945E-4</v>
      </c>
      <c r="D323" s="43">
        <v>3</v>
      </c>
      <c r="E323" s="47">
        <v>1</v>
      </c>
      <c r="F323" s="47">
        <v>5.4684651841049945E-4</v>
      </c>
      <c r="G323" s="43">
        <v>1</v>
      </c>
    </row>
    <row r="324" spans="1:7" customFormat="1" hidden="1" x14ac:dyDescent="0.25">
      <c r="A324" s="43" t="s">
        <v>991</v>
      </c>
      <c r="B324" s="43">
        <v>3</v>
      </c>
      <c r="C324" s="47">
        <v>5.4684651841049945E-4</v>
      </c>
      <c r="D324" s="43">
        <v>3</v>
      </c>
      <c r="E324" s="47">
        <v>1</v>
      </c>
      <c r="F324" s="47">
        <v>5.4684651841049945E-4</v>
      </c>
      <c r="G324" s="43">
        <v>1</v>
      </c>
    </row>
    <row r="325" spans="1:7" customFormat="1" hidden="1" x14ac:dyDescent="0.25">
      <c r="A325" s="43" t="s">
        <v>3094</v>
      </c>
      <c r="B325" s="43">
        <v>3</v>
      </c>
      <c r="C325" s="47">
        <v>5.4684651841049945E-4</v>
      </c>
      <c r="D325" s="43">
        <v>3</v>
      </c>
      <c r="E325" s="47">
        <v>1</v>
      </c>
      <c r="F325" s="47">
        <v>5.4684651841049945E-4</v>
      </c>
      <c r="G325" s="43">
        <v>1</v>
      </c>
    </row>
    <row r="326" spans="1:7" customFormat="1" hidden="1" x14ac:dyDescent="0.25">
      <c r="A326" s="43" t="s">
        <v>3095</v>
      </c>
      <c r="B326" s="43">
        <v>3</v>
      </c>
      <c r="C326" s="47">
        <v>5.4684651841049945E-4</v>
      </c>
      <c r="D326" s="43">
        <v>3</v>
      </c>
      <c r="E326" s="47">
        <v>1</v>
      </c>
      <c r="F326" s="47">
        <v>5.4684651841049945E-4</v>
      </c>
      <c r="G326" s="43">
        <v>1</v>
      </c>
    </row>
    <row r="327" spans="1:7" customFormat="1" hidden="1" x14ac:dyDescent="0.25">
      <c r="A327" s="43" t="s">
        <v>3096</v>
      </c>
      <c r="B327" s="43">
        <v>3</v>
      </c>
      <c r="C327" s="47">
        <v>5.4684651841049945E-4</v>
      </c>
      <c r="D327" s="43">
        <v>3</v>
      </c>
      <c r="E327" s="47">
        <v>1</v>
      </c>
      <c r="F327" s="47">
        <v>5.4684651841049945E-4</v>
      </c>
      <c r="G327" s="43">
        <v>0</v>
      </c>
    </row>
    <row r="328" spans="1:7" customFormat="1" hidden="1" x14ac:dyDescent="0.25">
      <c r="A328" s="43" t="s">
        <v>3097</v>
      </c>
      <c r="B328" s="43">
        <v>3</v>
      </c>
      <c r="C328" s="47">
        <v>5.4684651841049945E-4</v>
      </c>
      <c r="D328" s="43">
        <v>3</v>
      </c>
      <c r="E328" s="47">
        <v>1</v>
      </c>
      <c r="F328" s="47">
        <v>5.4684651841049945E-4</v>
      </c>
      <c r="G328" s="43">
        <v>0</v>
      </c>
    </row>
    <row r="329" spans="1:7" customFormat="1" hidden="1" x14ac:dyDescent="0.25">
      <c r="A329" s="43" t="s">
        <v>366</v>
      </c>
      <c r="B329" s="43">
        <v>3</v>
      </c>
      <c r="C329" s="47">
        <v>5.4684651841049945E-4</v>
      </c>
      <c r="D329" s="43">
        <v>3</v>
      </c>
      <c r="E329" s="47">
        <v>1</v>
      </c>
      <c r="F329" s="47">
        <v>5.4684651841049945E-4</v>
      </c>
      <c r="G329" s="43">
        <v>1</v>
      </c>
    </row>
    <row r="330" spans="1:7" customFormat="1" hidden="1" x14ac:dyDescent="0.25">
      <c r="A330" s="43" t="s">
        <v>3098</v>
      </c>
      <c r="B330" s="43">
        <v>3</v>
      </c>
      <c r="C330" s="47">
        <v>5.4684651841049945E-4</v>
      </c>
      <c r="D330" s="43">
        <v>3</v>
      </c>
      <c r="E330" s="47">
        <v>1</v>
      </c>
      <c r="F330" s="47">
        <v>5.4684651841049945E-4</v>
      </c>
      <c r="G330" s="43">
        <v>0</v>
      </c>
    </row>
    <row r="331" spans="1:7" customFormat="1" hidden="1" x14ac:dyDescent="0.25">
      <c r="A331" s="43" t="s">
        <v>473</v>
      </c>
      <c r="B331" s="43">
        <v>3</v>
      </c>
      <c r="C331" s="47">
        <v>5.4684651841049945E-4</v>
      </c>
      <c r="D331" s="43">
        <v>3</v>
      </c>
      <c r="E331" s="47">
        <v>1</v>
      </c>
      <c r="F331" s="47">
        <v>5.4684651841049945E-4</v>
      </c>
      <c r="G331" s="43">
        <v>1</v>
      </c>
    </row>
    <row r="332" spans="1:7" customFormat="1" hidden="1" x14ac:dyDescent="0.25">
      <c r="A332" s="43" t="s">
        <v>484</v>
      </c>
      <c r="B332" s="43">
        <v>3</v>
      </c>
      <c r="C332" s="47">
        <v>5.4684651841049945E-4</v>
      </c>
      <c r="D332" s="43">
        <v>3</v>
      </c>
      <c r="E332" s="47">
        <v>1</v>
      </c>
      <c r="F332" s="47">
        <v>5.4684651841049945E-4</v>
      </c>
      <c r="G332" s="43">
        <v>1</v>
      </c>
    </row>
    <row r="333" spans="1:7" customFormat="1" hidden="1" x14ac:dyDescent="0.25">
      <c r="A333" s="43" t="s">
        <v>3099</v>
      </c>
      <c r="B333" s="43">
        <v>3</v>
      </c>
      <c r="C333" s="47">
        <v>5.4684651841049945E-4</v>
      </c>
      <c r="D333" s="43">
        <v>3</v>
      </c>
      <c r="E333" s="47">
        <v>1</v>
      </c>
      <c r="F333" s="47">
        <v>5.4684651841049945E-4</v>
      </c>
      <c r="G333" s="43">
        <v>1</v>
      </c>
    </row>
    <row r="334" spans="1:7" customFormat="1" hidden="1" x14ac:dyDescent="0.25">
      <c r="A334" s="43" t="s">
        <v>3100</v>
      </c>
      <c r="B334" s="43">
        <v>3</v>
      </c>
      <c r="C334" s="47">
        <v>5.4684651841049945E-4</v>
      </c>
      <c r="D334" s="43">
        <v>3</v>
      </c>
      <c r="E334" s="47">
        <v>1</v>
      </c>
      <c r="F334" s="47">
        <v>5.4684651841049945E-4</v>
      </c>
      <c r="G334" s="43">
        <v>0</v>
      </c>
    </row>
    <row r="335" spans="1:7" customFormat="1" hidden="1" x14ac:dyDescent="0.25">
      <c r="A335" s="43" t="s">
        <v>3101</v>
      </c>
      <c r="B335" s="43">
        <v>3</v>
      </c>
      <c r="C335" s="47">
        <v>5.4684651841049945E-4</v>
      </c>
      <c r="D335" s="43">
        <v>3</v>
      </c>
      <c r="E335" s="47">
        <v>1</v>
      </c>
      <c r="F335" s="47">
        <v>5.4684651841049945E-4</v>
      </c>
      <c r="G335" s="43">
        <v>0</v>
      </c>
    </row>
    <row r="336" spans="1:7" customFormat="1" hidden="1" x14ac:dyDescent="0.25">
      <c r="A336" s="43" t="s">
        <v>3102</v>
      </c>
      <c r="B336" s="43">
        <v>3</v>
      </c>
      <c r="C336" s="47">
        <v>5.4684651841049945E-4</v>
      </c>
      <c r="D336" s="43">
        <v>3</v>
      </c>
      <c r="E336" s="47">
        <v>1</v>
      </c>
      <c r="F336" s="47">
        <v>5.4684651841049945E-4</v>
      </c>
      <c r="G336" s="43">
        <v>1</v>
      </c>
    </row>
    <row r="337" spans="1:10" hidden="1" x14ac:dyDescent="0.25">
      <c r="A337" s="43" t="s">
        <v>1914</v>
      </c>
      <c r="B337" s="43">
        <v>3</v>
      </c>
      <c r="C337" s="47">
        <v>5.4684651841049945E-4</v>
      </c>
      <c r="D337" s="43">
        <v>3</v>
      </c>
      <c r="E337" s="47">
        <v>1</v>
      </c>
      <c r="F337" s="47">
        <v>5.4684651841049945E-4</v>
      </c>
      <c r="G337" s="43">
        <v>1</v>
      </c>
      <c r="I337"/>
      <c r="J337"/>
    </row>
    <row r="338" spans="1:10" hidden="1" x14ac:dyDescent="0.25">
      <c r="A338" s="43" t="s">
        <v>3103</v>
      </c>
      <c r="B338" s="43">
        <v>3</v>
      </c>
      <c r="C338" s="47">
        <v>5.4684651841049945E-4</v>
      </c>
      <c r="D338" s="43">
        <v>3</v>
      </c>
      <c r="E338" s="47">
        <v>1</v>
      </c>
      <c r="F338" s="47">
        <v>5.4684651841049945E-4</v>
      </c>
      <c r="G338" s="43">
        <v>0</v>
      </c>
      <c r="I338"/>
      <c r="J338"/>
    </row>
    <row r="339" spans="1:10" hidden="1" x14ac:dyDescent="0.25">
      <c r="A339" s="43" t="s">
        <v>3104</v>
      </c>
      <c r="B339" s="43">
        <v>3</v>
      </c>
      <c r="C339" s="47">
        <v>5.4684651841049945E-4</v>
      </c>
      <c r="D339" s="43">
        <v>3</v>
      </c>
      <c r="E339" s="47">
        <v>1</v>
      </c>
      <c r="F339" s="47">
        <v>5.4684651841049945E-4</v>
      </c>
      <c r="G339" s="43">
        <v>0</v>
      </c>
      <c r="I339"/>
      <c r="J339"/>
    </row>
    <row r="340" spans="1:10" hidden="1" x14ac:dyDescent="0.25">
      <c r="A340" s="43" t="s">
        <v>3105</v>
      </c>
      <c r="B340" s="43">
        <v>3</v>
      </c>
      <c r="C340" s="47">
        <v>5.4684651841049945E-4</v>
      </c>
      <c r="D340" s="43">
        <v>3</v>
      </c>
      <c r="E340" s="47">
        <v>1</v>
      </c>
      <c r="F340" s="47">
        <v>5.4684651841049945E-4</v>
      </c>
      <c r="G340" s="43">
        <v>0</v>
      </c>
      <c r="I340"/>
      <c r="J340"/>
    </row>
    <row r="341" spans="1:10" hidden="1" x14ac:dyDescent="0.25">
      <c r="A341" s="43" t="s">
        <v>3106</v>
      </c>
      <c r="B341" s="43">
        <v>3</v>
      </c>
      <c r="C341" s="47">
        <v>5.4684651841049945E-4</v>
      </c>
      <c r="D341" s="43">
        <v>3</v>
      </c>
      <c r="E341" s="47">
        <v>1</v>
      </c>
      <c r="F341" s="47">
        <v>5.4684651841049945E-4</v>
      </c>
      <c r="G341" s="43">
        <v>0</v>
      </c>
      <c r="I341"/>
      <c r="J341"/>
    </row>
    <row r="342" spans="1:10" hidden="1" x14ac:dyDescent="0.25">
      <c r="A342" s="43" t="s">
        <v>3107</v>
      </c>
      <c r="B342" s="43">
        <v>3</v>
      </c>
      <c r="C342" s="47">
        <v>5.4684651841049945E-4</v>
      </c>
      <c r="D342" s="43">
        <v>3</v>
      </c>
      <c r="E342" s="47">
        <v>1</v>
      </c>
      <c r="F342" s="47">
        <v>5.4684651841049945E-4</v>
      </c>
      <c r="G342" s="43">
        <v>1</v>
      </c>
      <c r="I342"/>
      <c r="J342"/>
    </row>
    <row r="343" spans="1:10" hidden="1" x14ac:dyDescent="0.25">
      <c r="A343" s="43" t="s">
        <v>480</v>
      </c>
      <c r="B343" s="43">
        <v>3</v>
      </c>
      <c r="C343" s="47">
        <v>5.4684651841049945E-4</v>
      </c>
      <c r="D343" s="43">
        <v>3</v>
      </c>
      <c r="E343" s="47">
        <v>1</v>
      </c>
      <c r="F343" s="47">
        <v>5.4684651841049945E-4</v>
      </c>
      <c r="G343" s="43">
        <v>1</v>
      </c>
      <c r="I343"/>
      <c r="J343"/>
    </row>
    <row r="344" spans="1:10" hidden="1" x14ac:dyDescent="0.25">
      <c r="A344" s="43" t="s">
        <v>353</v>
      </c>
      <c r="B344" s="43">
        <v>3</v>
      </c>
      <c r="C344" s="47">
        <v>5.4684651841049945E-4</v>
      </c>
      <c r="D344" s="43">
        <v>3</v>
      </c>
      <c r="E344" s="47">
        <v>1</v>
      </c>
      <c r="F344" s="47">
        <v>5.4684651841049945E-4</v>
      </c>
      <c r="G344" s="43">
        <v>1</v>
      </c>
      <c r="I344"/>
      <c r="J344"/>
    </row>
    <row r="345" spans="1:10" hidden="1" x14ac:dyDescent="0.25">
      <c r="A345" s="43" t="s">
        <v>1912</v>
      </c>
      <c r="B345" s="43">
        <v>3</v>
      </c>
      <c r="C345" s="47">
        <v>5.4684651841049945E-4</v>
      </c>
      <c r="D345" s="43">
        <v>3</v>
      </c>
      <c r="E345" s="47">
        <v>1</v>
      </c>
      <c r="F345" s="47">
        <v>5.4684651841049945E-4</v>
      </c>
      <c r="G345" s="43">
        <v>1</v>
      </c>
      <c r="I345"/>
      <c r="J345"/>
    </row>
    <row r="346" spans="1:10" hidden="1" x14ac:dyDescent="0.25">
      <c r="A346" s="43" t="s">
        <v>627</v>
      </c>
      <c r="B346" s="43">
        <v>3</v>
      </c>
      <c r="C346" s="47">
        <v>5.4684651841049945E-4</v>
      </c>
      <c r="D346" s="43">
        <v>3</v>
      </c>
      <c r="E346" s="47">
        <v>1</v>
      </c>
      <c r="F346" s="47">
        <v>5.4684651841049945E-4</v>
      </c>
      <c r="G346" s="43">
        <v>1</v>
      </c>
      <c r="I346"/>
      <c r="J346"/>
    </row>
    <row r="347" spans="1:10" hidden="1" x14ac:dyDescent="0.25">
      <c r="A347" s="43" t="s">
        <v>1403</v>
      </c>
      <c r="B347" s="43">
        <v>3</v>
      </c>
      <c r="C347" s="47">
        <v>5.4684651841049945E-4</v>
      </c>
      <c r="D347" s="43">
        <v>3</v>
      </c>
      <c r="E347" s="47">
        <v>1</v>
      </c>
      <c r="F347" s="47">
        <v>5.4684651841049945E-4</v>
      </c>
      <c r="G347" s="43"/>
      <c r="I347"/>
      <c r="J347"/>
    </row>
    <row r="348" spans="1:10" hidden="1" x14ac:dyDescent="0.25">
      <c r="A348" s="43" t="s">
        <v>1908</v>
      </c>
      <c r="B348" s="43">
        <v>5</v>
      </c>
      <c r="C348" s="47">
        <v>9.1141086401749912E-4</v>
      </c>
      <c r="D348" s="43">
        <v>2</v>
      </c>
      <c r="E348" s="47">
        <v>0.4</v>
      </c>
      <c r="F348" s="47">
        <v>3.6456434560699967E-4</v>
      </c>
      <c r="G348" s="43">
        <v>1</v>
      </c>
      <c r="I348"/>
      <c r="J348"/>
    </row>
    <row r="349" spans="1:10" x14ac:dyDescent="0.25">
      <c r="A349" s="43" t="s">
        <v>2994</v>
      </c>
      <c r="B349" s="43">
        <v>10</v>
      </c>
      <c r="C349" s="47">
        <v>1.8228217280349982E-3</v>
      </c>
      <c r="D349" s="43">
        <v>4</v>
      </c>
      <c r="E349" s="47">
        <v>0.4</v>
      </c>
      <c r="F349" s="47">
        <v>7.2912869121399934E-4</v>
      </c>
      <c r="G349" s="43">
        <v>1</v>
      </c>
    </row>
    <row r="350" spans="1:10" x14ac:dyDescent="0.25">
      <c r="A350" s="43" t="s">
        <v>2995</v>
      </c>
      <c r="B350" s="43">
        <v>10</v>
      </c>
      <c r="C350" s="47">
        <v>1.8228217280349982E-3</v>
      </c>
      <c r="D350" s="43">
        <v>4</v>
      </c>
      <c r="E350" s="47">
        <v>0.4</v>
      </c>
      <c r="F350" s="47">
        <v>7.2912869121399934E-4</v>
      </c>
      <c r="G350" s="43">
        <v>1</v>
      </c>
    </row>
    <row r="351" spans="1:10" x14ac:dyDescent="0.25">
      <c r="A351" s="43" t="s">
        <v>2928</v>
      </c>
      <c r="B351" s="43">
        <v>20</v>
      </c>
      <c r="C351" s="47">
        <v>3.6456434560699965E-3</v>
      </c>
      <c r="D351" s="43">
        <v>8</v>
      </c>
      <c r="E351" s="47">
        <v>0.4</v>
      </c>
      <c r="F351" s="47">
        <v>1.4582573824279987E-3</v>
      </c>
      <c r="G351" s="43">
        <v>1</v>
      </c>
    </row>
    <row r="352" spans="1:10" x14ac:dyDescent="0.25">
      <c r="A352" s="43" t="s">
        <v>2900</v>
      </c>
      <c r="B352" s="43">
        <v>26</v>
      </c>
      <c r="C352" s="47">
        <v>4.7393364928909956E-3</v>
      </c>
      <c r="D352" s="43">
        <v>11</v>
      </c>
      <c r="E352" s="47">
        <v>0.42299999999999999</v>
      </c>
      <c r="F352" s="47">
        <v>2.004739336492891E-3</v>
      </c>
      <c r="G352" s="43">
        <v>1</v>
      </c>
    </row>
    <row r="353" spans="1:10" hidden="1" x14ac:dyDescent="0.25">
      <c r="A353" s="43" t="s">
        <v>1183</v>
      </c>
      <c r="B353" s="43">
        <v>7</v>
      </c>
      <c r="C353" s="47">
        <v>1.2759752096244987E-3</v>
      </c>
      <c r="D353" s="43">
        <v>3</v>
      </c>
      <c r="E353" s="47">
        <v>0.42899999999999999</v>
      </c>
      <c r="F353" s="47">
        <v>5.4739336492890998E-4</v>
      </c>
      <c r="G353" s="43">
        <v>1</v>
      </c>
      <c r="I353"/>
      <c r="J353"/>
    </row>
    <row r="354" spans="1:10" hidden="1" x14ac:dyDescent="0.25">
      <c r="A354" s="43" t="s">
        <v>617</v>
      </c>
      <c r="B354" s="43">
        <v>7</v>
      </c>
      <c r="C354" s="47">
        <v>1.2759752096244987E-3</v>
      </c>
      <c r="D354" s="43">
        <v>3</v>
      </c>
      <c r="E354" s="47">
        <v>0.42899999999999999</v>
      </c>
      <c r="F354" s="47">
        <v>5.4739336492890998E-4</v>
      </c>
      <c r="G354" s="43">
        <v>1</v>
      </c>
      <c r="I354"/>
      <c r="J354"/>
    </row>
    <row r="355" spans="1:10" hidden="1" x14ac:dyDescent="0.25">
      <c r="A355" s="43" t="s">
        <v>3023</v>
      </c>
      <c r="B355" s="43">
        <v>7</v>
      </c>
      <c r="C355" s="47">
        <v>1.2759752096244987E-3</v>
      </c>
      <c r="D355" s="43">
        <v>3</v>
      </c>
      <c r="E355" s="47">
        <v>0.42899999999999999</v>
      </c>
      <c r="F355" s="47">
        <v>5.4739336492890998E-4</v>
      </c>
      <c r="G355" s="43">
        <v>1</v>
      </c>
      <c r="I355"/>
      <c r="J355"/>
    </row>
    <row r="356" spans="1:10" hidden="1" x14ac:dyDescent="0.25">
      <c r="A356" s="43" t="s">
        <v>1173</v>
      </c>
      <c r="B356" s="43">
        <v>9</v>
      </c>
      <c r="C356" s="47">
        <v>1.6405395552314983E-3</v>
      </c>
      <c r="D356" s="43">
        <v>4</v>
      </c>
      <c r="E356" s="47">
        <v>0.44400000000000001</v>
      </c>
      <c r="F356" s="47">
        <v>7.2839956252278521E-4</v>
      </c>
      <c r="G356" s="43">
        <v>1</v>
      </c>
      <c r="I356"/>
      <c r="J356"/>
    </row>
    <row r="357" spans="1:10" hidden="1" x14ac:dyDescent="0.25">
      <c r="A357" s="43" t="s">
        <v>1175</v>
      </c>
      <c r="B357" s="43">
        <v>9</v>
      </c>
      <c r="C357" s="47">
        <v>1.6405395552314983E-3</v>
      </c>
      <c r="D357" s="43">
        <v>4</v>
      </c>
      <c r="E357" s="47">
        <v>0.44400000000000001</v>
      </c>
      <c r="F357" s="47">
        <v>7.2839956252278521E-4</v>
      </c>
      <c r="G357" s="43">
        <v>1</v>
      </c>
      <c r="I357"/>
      <c r="J357"/>
    </row>
    <row r="358" spans="1:10" hidden="1" x14ac:dyDescent="0.25">
      <c r="A358" s="43" t="s">
        <v>870</v>
      </c>
      <c r="B358" s="43">
        <v>9</v>
      </c>
      <c r="C358" s="47">
        <v>1.6405395552314983E-3</v>
      </c>
      <c r="D358" s="43">
        <v>4</v>
      </c>
      <c r="E358" s="47">
        <v>0.44400000000000001</v>
      </c>
      <c r="F358" s="47">
        <v>7.2839956252278521E-4</v>
      </c>
      <c r="G358" s="43">
        <v>1</v>
      </c>
      <c r="I358"/>
      <c r="J358"/>
    </row>
    <row r="359" spans="1:10" hidden="1" x14ac:dyDescent="0.25">
      <c r="A359" s="43" t="s">
        <v>1195</v>
      </c>
      <c r="B359" s="43">
        <v>9</v>
      </c>
      <c r="C359" s="47">
        <v>1.6405395552314983E-3</v>
      </c>
      <c r="D359" s="43">
        <v>4</v>
      </c>
      <c r="E359" s="47">
        <v>0.44400000000000001</v>
      </c>
      <c r="F359" s="47">
        <v>7.2839956252278521E-4</v>
      </c>
      <c r="G359" s="43">
        <v>1</v>
      </c>
      <c r="I359"/>
      <c r="J359"/>
    </row>
    <row r="360" spans="1:10" x14ac:dyDescent="0.25">
      <c r="A360" s="43" t="s">
        <v>2975</v>
      </c>
      <c r="B360" s="43">
        <v>11</v>
      </c>
      <c r="C360" s="47">
        <v>2.0051039008384978E-3</v>
      </c>
      <c r="D360" s="43">
        <v>5</v>
      </c>
      <c r="E360" s="47">
        <v>0.45500000000000002</v>
      </c>
      <c r="F360" s="47">
        <v>9.1232227488151655E-4</v>
      </c>
      <c r="G360" s="43">
        <v>1</v>
      </c>
    </row>
    <row r="361" spans="1:10" x14ac:dyDescent="0.25">
      <c r="A361" s="43" t="s">
        <v>2976</v>
      </c>
      <c r="B361" s="43">
        <v>11</v>
      </c>
      <c r="C361" s="47">
        <v>2.0051039008384978E-3</v>
      </c>
      <c r="D361" s="43">
        <v>5</v>
      </c>
      <c r="E361" s="47">
        <v>0.45500000000000002</v>
      </c>
      <c r="F361" s="47">
        <v>9.1232227488151655E-4</v>
      </c>
      <c r="G361" s="43">
        <v>1</v>
      </c>
    </row>
    <row r="362" spans="1:10" x14ac:dyDescent="0.25">
      <c r="A362" s="43" t="s">
        <v>2977</v>
      </c>
      <c r="B362" s="43">
        <v>11</v>
      </c>
      <c r="C362" s="47">
        <v>2.0051039008384978E-3</v>
      </c>
      <c r="D362" s="43">
        <v>5</v>
      </c>
      <c r="E362" s="47">
        <v>0.45500000000000002</v>
      </c>
      <c r="F362" s="47">
        <v>9.1232227488151655E-4</v>
      </c>
      <c r="G362" s="43">
        <v>1</v>
      </c>
    </row>
    <row r="363" spans="1:10" x14ac:dyDescent="0.25">
      <c r="A363" s="43" t="s">
        <v>2978</v>
      </c>
      <c r="B363" s="43">
        <v>11</v>
      </c>
      <c r="C363" s="47">
        <v>2.0051039008384978E-3</v>
      </c>
      <c r="D363" s="43">
        <v>5</v>
      </c>
      <c r="E363" s="47">
        <v>0.45500000000000002</v>
      </c>
      <c r="F363" s="47">
        <v>9.1232227488151655E-4</v>
      </c>
      <c r="G363" s="43">
        <v>1</v>
      </c>
    </row>
    <row r="364" spans="1:10" x14ac:dyDescent="0.25">
      <c r="A364" s="43" t="s">
        <v>2922</v>
      </c>
      <c r="B364" s="43">
        <v>22</v>
      </c>
      <c r="C364" s="47">
        <v>4.0102078016769956E-3</v>
      </c>
      <c r="D364" s="43">
        <v>10</v>
      </c>
      <c r="E364" s="47">
        <v>0.45500000000000002</v>
      </c>
      <c r="F364" s="47">
        <v>1.8246445497630331E-3</v>
      </c>
      <c r="G364" s="43">
        <v>1</v>
      </c>
    </row>
    <row r="365" spans="1:10" x14ac:dyDescent="0.25">
      <c r="A365" s="43" t="s">
        <v>1419</v>
      </c>
      <c r="B365" s="43">
        <v>24</v>
      </c>
      <c r="C365" s="47">
        <v>4.3747721472839956E-3</v>
      </c>
      <c r="D365" s="43">
        <v>11</v>
      </c>
      <c r="E365" s="47">
        <v>0.45800000000000002</v>
      </c>
      <c r="F365" s="47">
        <v>2.0036456434560702E-3</v>
      </c>
      <c r="G365" s="43">
        <v>1</v>
      </c>
    </row>
    <row r="366" spans="1:10" x14ac:dyDescent="0.25">
      <c r="A366" s="43" t="s">
        <v>2878</v>
      </c>
      <c r="B366" s="43">
        <v>63</v>
      </c>
      <c r="C366" s="47">
        <v>1.1483776886620488E-2</v>
      </c>
      <c r="D366" s="43">
        <v>31</v>
      </c>
      <c r="E366" s="47">
        <v>0.49199999999999999</v>
      </c>
      <c r="F366" s="47">
        <v>5.6500182282172799E-3</v>
      </c>
      <c r="G366" s="43">
        <v>1</v>
      </c>
    </row>
    <row r="367" spans="1:10" hidden="1" x14ac:dyDescent="0.25">
      <c r="A367" s="43" t="s">
        <v>3033</v>
      </c>
      <c r="B367" s="43">
        <v>6</v>
      </c>
      <c r="C367" s="47">
        <v>1.0936930368209989E-3</v>
      </c>
      <c r="D367" s="43">
        <v>3</v>
      </c>
      <c r="E367" s="47">
        <v>0.5</v>
      </c>
      <c r="F367" s="47">
        <v>5.4684651841049945E-4</v>
      </c>
      <c r="G367" s="43">
        <v>1</v>
      </c>
      <c r="I367"/>
      <c r="J367"/>
    </row>
    <row r="368" spans="1:10" hidden="1" x14ac:dyDescent="0.25">
      <c r="A368" s="43" t="s">
        <v>3066</v>
      </c>
      <c r="B368" s="43">
        <v>4</v>
      </c>
      <c r="C368" s="47">
        <v>7.2912869121399923E-4</v>
      </c>
      <c r="D368" s="43">
        <v>4</v>
      </c>
      <c r="E368" s="47">
        <v>1</v>
      </c>
      <c r="F368" s="47">
        <v>7.2912869121399923E-4</v>
      </c>
      <c r="G368" s="43">
        <v>1</v>
      </c>
      <c r="I368"/>
      <c r="J368"/>
    </row>
    <row r="369" spans="1:7" customFormat="1" hidden="1" x14ac:dyDescent="0.25">
      <c r="A369" s="43" t="s">
        <v>3067</v>
      </c>
      <c r="B369" s="43">
        <v>4</v>
      </c>
      <c r="C369" s="47">
        <v>7.2912869121399923E-4</v>
      </c>
      <c r="D369" s="43">
        <v>4</v>
      </c>
      <c r="E369" s="47">
        <v>1</v>
      </c>
      <c r="F369" s="47">
        <v>7.2912869121399923E-4</v>
      </c>
      <c r="G369" s="43">
        <v>1</v>
      </c>
    </row>
    <row r="370" spans="1:7" customFormat="1" hidden="1" x14ac:dyDescent="0.25">
      <c r="A370" s="43" t="s">
        <v>3068</v>
      </c>
      <c r="B370" s="43">
        <v>4</v>
      </c>
      <c r="C370" s="47">
        <v>7.2912869121399923E-4</v>
      </c>
      <c r="D370" s="43">
        <v>4</v>
      </c>
      <c r="E370" s="47">
        <v>1</v>
      </c>
      <c r="F370" s="47">
        <v>7.2912869121399923E-4</v>
      </c>
      <c r="G370" s="43">
        <v>1</v>
      </c>
    </row>
    <row r="371" spans="1:7" customFormat="1" hidden="1" x14ac:dyDescent="0.25">
      <c r="A371" s="43" t="s">
        <v>3069</v>
      </c>
      <c r="B371" s="43">
        <v>4</v>
      </c>
      <c r="C371" s="47">
        <v>7.2912869121399923E-4</v>
      </c>
      <c r="D371" s="43">
        <v>4</v>
      </c>
      <c r="E371" s="47">
        <v>1</v>
      </c>
      <c r="F371" s="47">
        <v>7.2912869121399923E-4</v>
      </c>
      <c r="G371" s="43">
        <v>1</v>
      </c>
    </row>
    <row r="372" spans="1:7" customFormat="1" hidden="1" x14ac:dyDescent="0.25">
      <c r="A372" s="43" t="s">
        <v>1012</v>
      </c>
      <c r="B372" s="43">
        <v>4</v>
      </c>
      <c r="C372" s="47">
        <v>7.2912869121399923E-4</v>
      </c>
      <c r="D372" s="43">
        <v>4</v>
      </c>
      <c r="E372" s="47">
        <v>1</v>
      </c>
      <c r="F372" s="47">
        <v>7.2912869121399923E-4</v>
      </c>
      <c r="G372" s="43">
        <v>1</v>
      </c>
    </row>
    <row r="373" spans="1:7" customFormat="1" hidden="1" x14ac:dyDescent="0.25">
      <c r="A373" s="43" t="s">
        <v>3070</v>
      </c>
      <c r="B373" s="43">
        <v>4</v>
      </c>
      <c r="C373" s="47">
        <v>7.2912869121399923E-4</v>
      </c>
      <c r="D373" s="43">
        <v>4</v>
      </c>
      <c r="E373" s="47">
        <v>1</v>
      </c>
      <c r="F373" s="47">
        <v>7.2912869121399923E-4</v>
      </c>
      <c r="G373" s="43">
        <v>1</v>
      </c>
    </row>
    <row r="374" spans="1:7" customFormat="1" hidden="1" x14ac:dyDescent="0.25">
      <c r="A374" s="43" t="s">
        <v>1649</v>
      </c>
      <c r="B374" s="43">
        <v>4</v>
      </c>
      <c r="C374" s="47">
        <v>7.2912869121399923E-4</v>
      </c>
      <c r="D374" s="43">
        <v>4</v>
      </c>
      <c r="E374" s="47">
        <v>1</v>
      </c>
      <c r="F374" s="47">
        <v>7.2912869121399923E-4</v>
      </c>
      <c r="G374" s="43">
        <v>1</v>
      </c>
    </row>
    <row r="375" spans="1:7" customFormat="1" hidden="1" x14ac:dyDescent="0.25">
      <c r="A375" s="43" t="s">
        <v>3071</v>
      </c>
      <c r="B375" s="43">
        <v>4</v>
      </c>
      <c r="C375" s="47">
        <v>7.2912869121399923E-4</v>
      </c>
      <c r="D375" s="43">
        <v>4</v>
      </c>
      <c r="E375" s="47">
        <v>1</v>
      </c>
      <c r="F375" s="47">
        <v>7.2912869121399923E-4</v>
      </c>
      <c r="G375" s="43">
        <v>1</v>
      </c>
    </row>
    <row r="376" spans="1:7" customFormat="1" hidden="1" x14ac:dyDescent="0.25">
      <c r="A376" s="43" t="s">
        <v>3072</v>
      </c>
      <c r="B376" s="43">
        <v>4</v>
      </c>
      <c r="C376" s="47">
        <v>7.2912869121399923E-4</v>
      </c>
      <c r="D376" s="43">
        <v>4</v>
      </c>
      <c r="E376" s="47">
        <v>1</v>
      </c>
      <c r="F376" s="47">
        <v>7.2912869121399923E-4</v>
      </c>
      <c r="G376" s="43">
        <v>0</v>
      </c>
    </row>
    <row r="377" spans="1:7" customFormat="1" hidden="1" x14ac:dyDescent="0.25">
      <c r="A377" s="43" t="s">
        <v>3073</v>
      </c>
      <c r="B377" s="43">
        <v>4</v>
      </c>
      <c r="C377" s="47">
        <v>7.2912869121399923E-4</v>
      </c>
      <c r="D377" s="43">
        <v>4</v>
      </c>
      <c r="E377" s="47">
        <v>1</v>
      </c>
      <c r="F377" s="47">
        <v>7.2912869121399923E-4</v>
      </c>
      <c r="G377" s="43">
        <v>0</v>
      </c>
    </row>
    <row r="378" spans="1:7" customFormat="1" hidden="1" x14ac:dyDescent="0.25">
      <c r="A378" s="43" t="s">
        <v>3074</v>
      </c>
      <c r="B378" s="43">
        <v>4</v>
      </c>
      <c r="C378" s="47">
        <v>7.2912869121399923E-4</v>
      </c>
      <c r="D378" s="43">
        <v>4</v>
      </c>
      <c r="E378" s="47">
        <v>1</v>
      </c>
      <c r="F378" s="47">
        <v>7.2912869121399923E-4</v>
      </c>
      <c r="G378" s="43">
        <v>0</v>
      </c>
    </row>
    <row r="379" spans="1:7" customFormat="1" hidden="1" x14ac:dyDescent="0.25">
      <c r="A379" s="43" t="s">
        <v>1006</v>
      </c>
      <c r="B379" s="43">
        <v>4</v>
      </c>
      <c r="C379" s="47">
        <v>7.2912869121399923E-4</v>
      </c>
      <c r="D379" s="43">
        <v>4</v>
      </c>
      <c r="E379" s="47">
        <v>1</v>
      </c>
      <c r="F379" s="47">
        <v>7.2912869121399923E-4</v>
      </c>
      <c r="G379" s="43">
        <v>1</v>
      </c>
    </row>
    <row r="380" spans="1:7" customFormat="1" hidden="1" x14ac:dyDescent="0.25">
      <c r="A380" s="43" t="s">
        <v>3075</v>
      </c>
      <c r="B380" s="43">
        <v>4</v>
      </c>
      <c r="C380" s="47">
        <v>7.2912869121399923E-4</v>
      </c>
      <c r="D380" s="43">
        <v>4</v>
      </c>
      <c r="E380" s="47">
        <v>1</v>
      </c>
      <c r="F380" s="47">
        <v>7.2912869121399923E-4</v>
      </c>
      <c r="G380" s="43">
        <v>0</v>
      </c>
    </row>
    <row r="381" spans="1:7" customFormat="1" hidden="1" x14ac:dyDescent="0.25">
      <c r="A381" s="43" t="s">
        <v>1652</v>
      </c>
      <c r="B381" s="43">
        <v>4</v>
      </c>
      <c r="C381" s="47">
        <v>7.2912869121399923E-4</v>
      </c>
      <c r="D381" s="43">
        <v>4</v>
      </c>
      <c r="E381" s="47">
        <v>1</v>
      </c>
      <c r="F381" s="47">
        <v>7.2912869121399923E-4</v>
      </c>
      <c r="G381" s="43">
        <v>0</v>
      </c>
    </row>
    <row r="382" spans="1:7" customFormat="1" hidden="1" x14ac:dyDescent="0.25">
      <c r="A382" s="44" t="s">
        <v>1970</v>
      </c>
      <c r="B382" s="43">
        <v>4</v>
      </c>
      <c r="C382" s="47">
        <v>7.2912869121399923E-4</v>
      </c>
      <c r="D382" s="43">
        <v>4</v>
      </c>
      <c r="E382" s="47">
        <v>1</v>
      </c>
      <c r="F382" s="47">
        <v>7.2912869121399923E-4</v>
      </c>
      <c r="G382" s="43">
        <v>1</v>
      </c>
    </row>
    <row r="383" spans="1:7" customFormat="1" hidden="1" x14ac:dyDescent="0.25">
      <c r="A383" s="43" t="s">
        <v>3076</v>
      </c>
      <c r="B383" s="43">
        <v>4</v>
      </c>
      <c r="C383" s="47">
        <v>7.2912869121399923E-4</v>
      </c>
      <c r="D383" s="43">
        <v>4</v>
      </c>
      <c r="E383" s="47">
        <v>1</v>
      </c>
      <c r="F383" s="47">
        <v>7.2912869121399923E-4</v>
      </c>
      <c r="G383" s="43">
        <v>1</v>
      </c>
    </row>
    <row r="384" spans="1:7" customFormat="1" hidden="1" x14ac:dyDescent="0.25">
      <c r="A384" s="43" t="s">
        <v>3034</v>
      </c>
      <c r="B384" s="43">
        <v>6</v>
      </c>
      <c r="C384" s="47">
        <v>1.0936930368209989E-3</v>
      </c>
      <c r="D384" s="43">
        <v>3</v>
      </c>
      <c r="E384" s="47">
        <v>0.5</v>
      </c>
      <c r="F384" s="47">
        <v>5.4684651841049945E-4</v>
      </c>
      <c r="G384" s="43">
        <v>1</v>
      </c>
    </row>
    <row r="385" spans="1:10" hidden="1" x14ac:dyDescent="0.25">
      <c r="A385" s="43" t="s">
        <v>3035</v>
      </c>
      <c r="B385" s="43">
        <v>6</v>
      </c>
      <c r="C385" s="47">
        <v>1.0936930368209989E-3</v>
      </c>
      <c r="D385" s="43">
        <v>3</v>
      </c>
      <c r="E385" s="47">
        <v>0.5</v>
      </c>
      <c r="F385" s="47">
        <v>5.4684651841049945E-4</v>
      </c>
      <c r="G385" s="43">
        <v>1</v>
      </c>
      <c r="I385"/>
      <c r="J385"/>
    </row>
    <row r="386" spans="1:10" hidden="1" x14ac:dyDescent="0.25">
      <c r="A386" s="43" t="s">
        <v>3010</v>
      </c>
      <c r="B386" s="43">
        <v>8</v>
      </c>
      <c r="C386" s="47">
        <v>1.4582573824279985E-3</v>
      </c>
      <c r="D386" s="43">
        <v>4</v>
      </c>
      <c r="E386" s="47">
        <v>0.5</v>
      </c>
      <c r="F386" s="47">
        <v>7.2912869121399923E-4</v>
      </c>
      <c r="G386" s="43">
        <v>0</v>
      </c>
      <c r="I386"/>
      <c r="J386"/>
    </row>
    <row r="387" spans="1:10" hidden="1" x14ac:dyDescent="0.25">
      <c r="A387" s="43" t="s">
        <v>3011</v>
      </c>
      <c r="B387" s="43">
        <v>8</v>
      </c>
      <c r="C387" s="47">
        <v>1.4582573824279985E-3</v>
      </c>
      <c r="D387" s="43">
        <v>4</v>
      </c>
      <c r="E387" s="47">
        <v>0.5</v>
      </c>
      <c r="F387" s="47">
        <v>7.2912869121399923E-4</v>
      </c>
      <c r="G387" s="43">
        <v>1</v>
      </c>
      <c r="I387"/>
      <c r="J387"/>
    </row>
    <row r="388" spans="1:10" hidden="1" x14ac:dyDescent="0.25">
      <c r="A388" s="43" t="s">
        <v>755</v>
      </c>
      <c r="B388" s="43">
        <v>8</v>
      </c>
      <c r="C388" s="47">
        <v>1.4582573824279985E-3</v>
      </c>
      <c r="D388" s="43">
        <v>4</v>
      </c>
      <c r="E388" s="47">
        <v>0.5</v>
      </c>
      <c r="F388" s="47">
        <v>7.2912869121399923E-4</v>
      </c>
      <c r="G388" s="43">
        <v>1</v>
      </c>
      <c r="I388"/>
      <c r="J388"/>
    </row>
    <row r="389" spans="1:10" hidden="1" x14ac:dyDescent="0.25">
      <c r="A389" s="43" t="s">
        <v>3012</v>
      </c>
      <c r="B389" s="43">
        <v>8</v>
      </c>
      <c r="C389" s="47">
        <v>1.4582573824279985E-3</v>
      </c>
      <c r="D389" s="43">
        <v>4</v>
      </c>
      <c r="E389" s="47">
        <v>0.5</v>
      </c>
      <c r="F389" s="47">
        <v>7.2912869121399923E-4</v>
      </c>
      <c r="G389" s="43">
        <v>1</v>
      </c>
      <c r="I389"/>
      <c r="J389"/>
    </row>
    <row r="390" spans="1:10" hidden="1" x14ac:dyDescent="0.25">
      <c r="A390" s="43" t="s">
        <v>3013</v>
      </c>
      <c r="B390" s="43">
        <v>8</v>
      </c>
      <c r="C390" s="47">
        <v>1.4582573824279985E-3</v>
      </c>
      <c r="D390" s="43">
        <v>4</v>
      </c>
      <c r="E390" s="47">
        <v>0.5</v>
      </c>
      <c r="F390" s="47">
        <v>7.2912869121399923E-4</v>
      </c>
      <c r="G390" s="43">
        <v>1</v>
      </c>
      <c r="I390"/>
      <c r="J390"/>
    </row>
    <row r="391" spans="1:10" hidden="1" x14ac:dyDescent="0.25">
      <c r="A391" s="43" t="s">
        <v>3014</v>
      </c>
      <c r="B391" s="43">
        <v>8</v>
      </c>
      <c r="C391" s="47">
        <v>1.4582573824279985E-3</v>
      </c>
      <c r="D391" s="43">
        <v>4</v>
      </c>
      <c r="E391" s="47">
        <v>0.5</v>
      </c>
      <c r="F391" s="47">
        <v>7.2912869121399923E-4</v>
      </c>
      <c r="G391" s="43">
        <v>1</v>
      </c>
      <c r="I391"/>
      <c r="J391"/>
    </row>
    <row r="392" spans="1:10" hidden="1" x14ac:dyDescent="0.25">
      <c r="A392" s="43" t="s">
        <v>3015</v>
      </c>
      <c r="B392" s="43">
        <v>8</v>
      </c>
      <c r="C392" s="47">
        <v>1.4582573824279985E-3</v>
      </c>
      <c r="D392" s="43">
        <v>4</v>
      </c>
      <c r="E392" s="47">
        <v>0.5</v>
      </c>
      <c r="F392" s="47">
        <v>7.2912869121399923E-4</v>
      </c>
      <c r="G392" s="43">
        <v>1</v>
      </c>
      <c r="I392"/>
      <c r="J392"/>
    </row>
    <row r="393" spans="1:10" x14ac:dyDescent="0.25">
      <c r="A393" s="43" t="s">
        <v>2945</v>
      </c>
      <c r="B393" s="43">
        <v>16</v>
      </c>
      <c r="C393" s="47">
        <v>2.9165147648559969E-3</v>
      </c>
      <c r="D393" s="43">
        <v>8</v>
      </c>
      <c r="E393" s="47">
        <v>0.5</v>
      </c>
      <c r="F393" s="47">
        <v>1.4582573824279985E-3</v>
      </c>
      <c r="G393" s="43">
        <v>1</v>
      </c>
    </row>
    <row r="394" spans="1:10" x14ac:dyDescent="0.25">
      <c r="A394" s="43" t="s">
        <v>2921</v>
      </c>
      <c r="B394" s="43">
        <v>22</v>
      </c>
      <c r="C394" s="47">
        <v>4.0102078016769956E-3</v>
      </c>
      <c r="D394" s="43">
        <v>11</v>
      </c>
      <c r="E394" s="47">
        <v>0.5</v>
      </c>
      <c r="F394" s="47">
        <v>2.0051039008384978E-3</v>
      </c>
      <c r="G394" s="43">
        <v>0</v>
      </c>
    </row>
    <row r="395" spans="1:10" x14ac:dyDescent="0.25">
      <c r="A395" s="43" t="s">
        <v>615</v>
      </c>
      <c r="B395" s="43">
        <v>28</v>
      </c>
      <c r="C395" s="47">
        <v>5.1039008384979948E-3</v>
      </c>
      <c r="D395" s="43">
        <v>14</v>
      </c>
      <c r="E395" s="47">
        <v>0.5</v>
      </c>
      <c r="F395" s="47">
        <v>2.5519504192489974E-3</v>
      </c>
      <c r="G395" s="43">
        <v>1</v>
      </c>
    </row>
    <row r="396" spans="1:10" x14ac:dyDescent="0.25">
      <c r="A396" s="43" t="s">
        <v>1784</v>
      </c>
      <c r="B396" s="43">
        <v>23</v>
      </c>
      <c r="C396" s="47">
        <v>4.1924899744804961E-3</v>
      </c>
      <c r="D396" s="43">
        <v>12</v>
      </c>
      <c r="E396" s="47">
        <v>0.52200000000000002</v>
      </c>
      <c r="F396" s="47">
        <v>2.1884797666788191E-3</v>
      </c>
      <c r="G396" s="43">
        <v>1</v>
      </c>
    </row>
    <row r="397" spans="1:10" x14ac:dyDescent="0.25">
      <c r="A397" s="43" t="s">
        <v>2932</v>
      </c>
      <c r="B397" s="43">
        <v>19</v>
      </c>
      <c r="C397" s="47">
        <v>3.4633612832664965E-3</v>
      </c>
      <c r="D397" s="43">
        <v>10</v>
      </c>
      <c r="E397" s="47">
        <v>0.52600000000000002</v>
      </c>
      <c r="F397" s="47">
        <v>1.8217280349981772E-3</v>
      </c>
      <c r="G397" s="43">
        <v>1</v>
      </c>
    </row>
    <row r="398" spans="1:10" x14ac:dyDescent="0.25">
      <c r="A398" s="43" t="s">
        <v>2892</v>
      </c>
      <c r="B398" s="43">
        <v>28</v>
      </c>
      <c r="C398" s="47">
        <v>5.1039008384979948E-3</v>
      </c>
      <c r="D398" s="43">
        <v>15</v>
      </c>
      <c r="E398" s="47">
        <v>0.53600000000000003</v>
      </c>
      <c r="F398" s="47">
        <v>2.7356908494349254E-3</v>
      </c>
      <c r="G398" s="43">
        <v>1</v>
      </c>
    </row>
    <row r="399" spans="1:10" x14ac:dyDescent="0.25">
      <c r="A399" s="43" t="s">
        <v>2973</v>
      </c>
      <c r="B399" s="43">
        <v>11</v>
      </c>
      <c r="C399" s="47">
        <v>2.0051039008384978E-3</v>
      </c>
      <c r="D399" s="43">
        <v>6</v>
      </c>
      <c r="E399" s="47">
        <v>0.54500000000000004</v>
      </c>
      <c r="F399" s="47">
        <v>1.0927816259569815E-3</v>
      </c>
      <c r="G399" s="43">
        <v>0</v>
      </c>
    </row>
    <row r="400" spans="1:10" x14ac:dyDescent="0.25">
      <c r="A400" s="43" t="s">
        <v>2974</v>
      </c>
      <c r="B400" s="43">
        <v>11</v>
      </c>
      <c r="C400" s="47">
        <v>2.0051039008384978E-3</v>
      </c>
      <c r="D400" s="43">
        <v>6</v>
      </c>
      <c r="E400" s="47">
        <v>0.54500000000000004</v>
      </c>
      <c r="F400" s="47">
        <v>1.0927816259569815E-3</v>
      </c>
      <c r="G400" s="43">
        <v>1</v>
      </c>
    </row>
    <row r="401" spans="1:10" x14ac:dyDescent="0.25">
      <c r="A401" s="43" t="s">
        <v>791</v>
      </c>
      <c r="B401" s="43">
        <v>29</v>
      </c>
      <c r="C401" s="47">
        <v>5.2861830113014943E-3</v>
      </c>
      <c r="D401" s="43">
        <v>16</v>
      </c>
      <c r="E401" s="47">
        <v>0.55200000000000005</v>
      </c>
      <c r="F401" s="47">
        <v>2.917973022238425E-3</v>
      </c>
      <c r="G401" s="43">
        <v>1</v>
      </c>
    </row>
    <row r="402" spans="1:10" hidden="1" x14ac:dyDescent="0.25">
      <c r="A402" s="43" t="s">
        <v>3003</v>
      </c>
      <c r="B402" s="43">
        <v>9</v>
      </c>
      <c r="C402" s="47">
        <v>1.6405395552314983E-3</v>
      </c>
      <c r="D402" s="43">
        <v>5</v>
      </c>
      <c r="E402" s="47">
        <v>0.55600000000000005</v>
      </c>
      <c r="F402" s="47">
        <v>9.1213999270871315E-4</v>
      </c>
      <c r="G402" s="43">
        <v>1</v>
      </c>
      <c r="I402"/>
      <c r="J402"/>
    </row>
    <row r="403" spans="1:10" hidden="1" x14ac:dyDescent="0.25">
      <c r="A403" s="43" t="s">
        <v>3004</v>
      </c>
      <c r="B403" s="43">
        <v>9</v>
      </c>
      <c r="C403" s="47">
        <v>1.6405395552314983E-3</v>
      </c>
      <c r="D403" s="43">
        <v>5</v>
      </c>
      <c r="E403" s="47">
        <v>0.55600000000000005</v>
      </c>
      <c r="F403" s="47">
        <v>9.1213999270871315E-4</v>
      </c>
      <c r="G403" s="43">
        <v>0</v>
      </c>
      <c r="I403"/>
      <c r="J403"/>
    </row>
    <row r="404" spans="1:10" x14ac:dyDescent="0.25">
      <c r="A404" s="43" t="s">
        <v>1808</v>
      </c>
      <c r="B404" s="43">
        <v>18</v>
      </c>
      <c r="C404" s="47">
        <v>3.2810791104629965E-3</v>
      </c>
      <c r="D404" s="43">
        <v>10</v>
      </c>
      <c r="E404" s="47">
        <v>0.55600000000000005</v>
      </c>
      <c r="F404" s="47">
        <v>1.8242799854174263E-3</v>
      </c>
      <c r="G404" s="43">
        <v>0</v>
      </c>
    </row>
    <row r="405" spans="1:10" x14ac:dyDescent="0.25">
      <c r="A405" s="43" t="s">
        <v>2884</v>
      </c>
      <c r="B405" s="43">
        <v>36</v>
      </c>
      <c r="C405" s="47">
        <v>6.562158220925993E-3</v>
      </c>
      <c r="D405" s="43">
        <v>20</v>
      </c>
      <c r="E405" s="47">
        <v>0.55600000000000005</v>
      </c>
      <c r="F405" s="47">
        <v>3.6485599708348526E-3</v>
      </c>
      <c r="G405" s="43">
        <v>1</v>
      </c>
    </row>
    <row r="406" spans="1:10" x14ac:dyDescent="0.25">
      <c r="A406" s="43" t="s">
        <v>2909</v>
      </c>
      <c r="B406" s="43">
        <v>25</v>
      </c>
      <c r="C406" s="47">
        <v>4.5570543200874952E-3</v>
      </c>
      <c r="D406" s="43">
        <v>14</v>
      </c>
      <c r="E406" s="47">
        <v>0.56000000000000005</v>
      </c>
      <c r="F406" s="47">
        <v>2.5519504192489974E-3</v>
      </c>
      <c r="G406" s="43">
        <v>0</v>
      </c>
    </row>
    <row r="407" spans="1:10" hidden="1" x14ac:dyDescent="0.25">
      <c r="A407" s="43" t="s">
        <v>3021</v>
      </c>
      <c r="B407" s="43">
        <v>7</v>
      </c>
      <c r="C407" s="47">
        <v>1.2759752096244987E-3</v>
      </c>
      <c r="D407" s="43">
        <v>4</v>
      </c>
      <c r="E407" s="47">
        <v>0.57099999999999995</v>
      </c>
      <c r="F407" s="47">
        <v>7.2858184469558871E-4</v>
      </c>
      <c r="G407" s="43">
        <v>1</v>
      </c>
      <c r="I407"/>
      <c r="J407"/>
    </row>
    <row r="408" spans="1:10" hidden="1" x14ac:dyDescent="0.25">
      <c r="A408" s="43" t="s">
        <v>3022</v>
      </c>
      <c r="B408" s="43">
        <v>7</v>
      </c>
      <c r="C408" s="47">
        <v>1.2759752096244987E-3</v>
      </c>
      <c r="D408" s="43">
        <v>4</v>
      </c>
      <c r="E408" s="47">
        <v>0.57099999999999995</v>
      </c>
      <c r="F408" s="47">
        <v>7.2858184469558871E-4</v>
      </c>
      <c r="G408" s="43">
        <v>1</v>
      </c>
      <c r="I408"/>
      <c r="J408"/>
    </row>
    <row r="409" spans="1:10" x14ac:dyDescent="0.25">
      <c r="A409" s="43" t="s">
        <v>1710</v>
      </c>
      <c r="B409" s="43">
        <v>26</v>
      </c>
      <c r="C409" s="47">
        <v>4.7393364928909956E-3</v>
      </c>
      <c r="D409" s="43">
        <v>15</v>
      </c>
      <c r="E409" s="47">
        <v>0.57699999999999996</v>
      </c>
      <c r="F409" s="47">
        <v>2.7345971563981042E-3</v>
      </c>
      <c r="G409" s="43">
        <v>1</v>
      </c>
    </row>
    <row r="410" spans="1:10" x14ac:dyDescent="0.25">
      <c r="A410" s="43" t="s">
        <v>2962</v>
      </c>
      <c r="B410" s="43">
        <v>12</v>
      </c>
      <c r="C410" s="47">
        <v>2.1873860736419978E-3</v>
      </c>
      <c r="D410" s="43">
        <v>7</v>
      </c>
      <c r="E410" s="47">
        <v>0.58299999999999996</v>
      </c>
      <c r="F410" s="47">
        <v>1.2752460809332847E-3</v>
      </c>
      <c r="G410" s="43">
        <v>0</v>
      </c>
    </row>
    <row r="411" spans="1:10" x14ac:dyDescent="0.25">
      <c r="A411" s="43" t="s">
        <v>2963</v>
      </c>
      <c r="B411" s="43">
        <v>12</v>
      </c>
      <c r="C411" s="47">
        <v>2.1873860736419978E-3</v>
      </c>
      <c r="D411" s="43">
        <v>7</v>
      </c>
      <c r="E411" s="47">
        <v>0.58299999999999996</v>
      </c>
      <c r="F411" s="47">
        <v>1.2752460809332847E-3</v>
      </c>
      <c r="G411" s="43">
        <v>1</v>
      </c>
    </row>
    <row r="412" spans="1:10" x14ac:dyDescent="0.25">
      <c r="A412" s="43" t="s">
        <v>671</v>
      </c>
      <c r="B412" s="43">
        <v>17</v>
      </c>
      <c r="C412" s="47">
        <v>3.0987969376594969E-3</v>
      </c>
      <c r="D412" s="43">
        <v>10</v>
      </c>
      <c r="E412" s="47">
        <v>0.58799999999999997</v>
      </c>
      <c r="F412" s="47">
        <v>1.822092599343784E-3</v>
      </c>
      <c r="G412" s="43">
        <v>1</v>
      </c>
    </row>
    <row r="413" spans="1:10" x14ac:dyDescent="0.25">
      <c r="A413" s="43" t="s">
        <v>2871</v>
      </c>
      <c r="B413" s="43">
        <v>351</v>
      </c>
      <c r="C413" s="47">
        <v>6.398104265402843E-2</v>
      </c>
      <c r="D413" s="43">
        <v>209</v>
      </c>
      <c r="E413" s="47">
        <v>0.59499999999999997</v>
      </c>
      <c r="F413" s="47">
        <v>3.8068720379146916E-2</v>
      </c>
      <c r="G413" s="43">
        <v>1</v>
      </c>
      <c r="I413" s="47" t="s">
        <v>3274</v>
      </c>
    </row>
    <row r="414" spans="1:10" hidden="1" x14ac:dyDescent="0.25">
      <c r="A414" s="43" t="s">
        <v>3051</v>
      </c>
      <c r="B414" s="43">
        <v>5</v>
      </c>
      <c r="C414" s="47">
        <v>9.1141086401749912E-4</v>
      </c>
      <c r="D414" s="43">
        <v>3</v>
      </c>
      <c r="E414" s="47">
        <v>0.6</v>
      </c>
      <c r="F414" s="47">
        <v>5.4684651841049945E-4</v>
      </c>
      <c r="G414" s="43">
        <v>1</v>
      </c>
      <c r="I414"/>
      <c r="J414"/>
    </row>
    <row r="415" spans="1:10" hidden="1" x14ac:dyDescent="0.25">
      <c r="A415" s="43" t="s">
        <v>3052</v>
      </c>
      <c r="B415" s="43">
        <v>5</v>
      </c>
      <c r="C415" s="47">
        <v>9.1141086401749912E-4</v>
      </c>
      <c r="D415" s="43">
        <v>3</v>
      </c>
      <c r="E415" s="47">
        <v>0.6</v>
      </c>
      <c r="F415" s="47">
        <v>5.4684651841049945E-4</v>
      </c>
      <c r="G415" s="43">
        <v>1</v>
      </c>
      <c r="I415"/>
      <c r="J415"/>
    </row>
    <row r="416" spans="1:10" hidden="1" x14ac:dyDescent="0.25">
      <c r="A416" s="43" t="s">
        <v>924</v>
      </c>
      <c r="B416" s="43">
        <v>5</v>
      </c>
      <c r="C416" s="47">
        <v>9.1141086401749912E-4</v>
      </c>
      <c r="D416" s="43">
        <v>3</v>
      </c>
      <c r="E416" s="47">
        <v>0.6</v>
      </c>
      <c r="F416" s="47">
        <v>5.4684651841049945E-4</v>
      </c>
      <c r="G416" s="43">
        <v>1</v>
      </c>
      <c r="I416"/>
      <c r="J416"/>
    </row>
    <row r="417" spans="1:10" hidden="1" x14ac:dyDescent="0.25">
      <c r="A417" s="43" t="s">
        <v>3053</v>
      </c>
      <c r="B417" s="43">
        <v>5</v>
      </c>
      <c r="C417" s="47">
        <v>9.1141086401749912E-4</v>
      </c>
      <c r="D417" s="43">
        <v>3</v>
      </c>
      <c r="E417" s="47">
        <v>0.6</v>
      </c>
      <c r="F417" s="47">
        <v>5.4684651841049945E-4</v>
      </c>
      <c r="G417" s="43">
        <v>0</v>
      </c>
      <c r="I417"/>
      <c r="J417"/>
    </row>
    <row r="418" spans="1:10" hidden="1" x14ac:dyDescent="0.25">
      <c r="A418" s="43" t="s">
        <v>3054</v>
      </c>
      <c r="B418" s="43">
        <v>5</v>
      </c>
      <c r="C418" s="47">
        <v>9.1141086401749912E-4</v>
      </c>
      <c r="D418" s="43">
        <v>3</v>
      </c>
      <c r="E418" s="47">
        <v>0.6</v>
      </c>
      <c r="F418" s="47">
        <v>5.4684651841049945E-4</v>
      </c>
      <c r="G418" s="43">
        <v>1</v>
      </c>
      <c r="I418"/>
      <c r="J418"/>
    </row>
    <row r="419" spans="1:10" hidden="1" x14ac:dyDescent="0.25">
      <c r="A419" s="43" t="s">
        <v>3055</v>
      </c>
      <c r="B419" s="43">
        <v>5</v>
      </c>
      <c r="C419" s="47">
        <v>9.1141086401749912E-4</v>
      </c>
      <c r="D419" s="43">
        <v>3</v>
      </c>
      <c r="E419" s="47">
        <v>0.6</v>
      </c>
      <c r="F419" s="47">
        <v>5.4684651841049945E-4</v>
      </c>
      <c r="G419" s="43">
        <v>0</v>
      </c>
      <c r="I419"/>
      <c r="J419"/>
    </row>
    <row r="420" spans="1:10" hidden="1" x14ac:dyDescent="0.25">
      <c r="A420" s="43" t="s">
        <v>3056</v>
      </c>
      <c r="B420" s="43">
        <v>5</v>
      </c>
      <c r="C420" s="47">
        <v>9.1141086401749912E-4</v>
      </c>
      <c r="D420" s="43">
        <v>3</v>
      </c>
      <c r="E420" s="47">
        <v>0.6</v>
      </c>
      <c r="F420" s="47">
        <v>5.4684651841049945E-4</v>
      </c>
      <c r="G420" s="43">
        <v>1</v>
      </c>
      <c r="I420"/>
      <c r="J420"/>
    </row>
    <row r="421" spans="1:10" hidden="1" x14ac:dyDescent="0.25">
      <c r="A421" s="43" t="s">
        <v>793</v>
      </c>
      <c r="B421" s="43">
        <v>5</v>
      </c>
      <c r="C421" s="47">
        <v>9.1141086401749912E-4</v>
      </c>
      <c r="D421" s="43">
        <v>3</v>
      </c>
      <c r="E421" s="47">
        <v>0.6</v>
      </c>
      <c r="F421" s="47">
        <v>5.4684651841049945E-4</v>
      </c>
      <c r="G421" s="43">
        <v>1</v>
      </c>
      <c r="I421"/>
      <c r="J421"/>
    </row>
    <row r="422" spans="1:10" hidden="1" x14ac:dyDescent="0.25">
      <c r="A422" s="43" t="s">
        <v>722</v>
      </c>
      <c r="B422" s="43">
        <v>5</v>
      </c>
      <c r="C422" s="47">
        <v>9.1141086401749912E-4</v>
      </c>
      <c r="D422" s="43">
        <v>3</v>
      </c>
      <c r="E422" s="47">
        <v>0.6</v>
      </c>
      <c r="F422" s="47">
        <v>5.4684651841049945E-4</v>
      </c>
      <c r="G422" s="43">
        <v>1</v>
      </c>
      <c r="I422"/>
      <c r="J422"/>
    </row>
    <row r="423" spans="1:10" hidden="1" x14ac:dyDescent="0.25">
      <c r="A423" s="43" t="s">
        <v>720</v>
      </c>
      <c r="B423" s="43">
        <v>5</v>
      </c>
      <c r="C423" s="47">
        <v>9.1141086401749912E-4</v>
      </c>
      <c r="D423" s="43">
        <v>3</v>
      </c>
      <c r="E423" s="47">
        <v>0.6</v>
      </c>
      <c r="F423" s="47">
        <v>5.4684651841049945E-4</v>
      </c>
      <c r="G423" s="43">
        <v>1</v>
      </c>
      <c r="I423"/>
      <c r="J423"/>
    </row>
    <row r="424" spans="1:10" hidden="1" x14ac:dyDescent="0.25">
      <c r="A424" s="43" t="s">
        <v>932</v>
      </c>
      <c r="B424" s="43">
        <v>5</v>
      </c>
      <c r="C424" s="47">
        <v>9.1141086401749912E-4</v>
      </c>
      <c r="D424" s="43">
        <v>3</v>
      </c>
      <c r="E424" s="47">
        <v>0.6</v>
      </c>
      <c r="F424" s="47">
        <v>5.4684651841049945E-4</v>
      </c>
      <c r="G424" s="43">
        <v>1</v>
      </c>
      <c r="I424"/>
      <c r="J424"/>
    </row>
    <row r="425" spans="1:10" x14ac:dyDescent="0.25">
      <c r="A425" s="43" t="s">
        <v>848</v>
      </c>
      <c r="B425" s="43">
        <v>10</v>
      </c>
      <c r="C425" s="47">
        <v>1.8228217280349982E-3</v>
      </c>
      <c r="D425" s="43">
        <v>6</v>
      </c>
      <c r="E425" s="47">
        <v>0.6</v>
      </c>
      <c r="F425" s="47">
        <v>1.0936930368209989E-3</v>
      </c>
      <c r="G425" s="43">
        <v>1</v>
      </c>
    </row>
    <row r="426" spans="1:10" x14ac:dyDescent="0.25">
      <c r="A426" s="43" t="s">
        <v>2990</v>
      </c>
      <c r="B426" s="43">
        <v>10</v>
      </c>
      <c r="C426" s="47">
        <v>1.8228217280349982E-3</v>
      </c>
      <c r="D426" s="43">
        <v>6</v>
      </c>
      <c r="E426" s="47">
        <v>0.6</v>
      </c>
      <c r="F426" s="47">
        <v>1.0936930368209989E-3</v>
      </c>
      <c r="G426" s="43">
        <v>1</v>
      </c>
    </row>
    <row r="427" spans="1:10" x14ac:dyDescent="0.25">
      <c r="A427" s="43" t="s">
        <v>2991</v>
      </c>
      <c r="B427" s="43">
        <v>10</v>
      </c>
      <c r="C427" s="47">
        <v>1.8228217280349982E-3</v>
      </c>
      <c r="D427" s="43">
        <v>6</v>
      </c>
      <c r="E427" s="47">
        <v>0.6</v>
      </c>
      <c r="F427" s="47">
        <v>1.0936930368209989E-3</v>
      </c>
      <c r="G427" s="43">
        <v>1</v>
      </c>
    </row>
    <row r="428" spans="1:10" x14ac:dyDescent="0.25">
      <c r="A428" s="43" t="s">
        <v>2992</v>
      </c>
      <c r="B428" s="43">
        <v>10</v>
      </c>
      <c r="C428" s="47">
        <v>1.8228217280349982E-3</v>
      </c>
      <c r="D428" s="43">
        <v>6</v>
      </c>
      <c r="E428" s="47">
        <v>0.6</v>
      </c>
      <c r="F428" s="47">
        <v>1.0936930368209989E-3</v>
      </c>
      <c r="G428" s="43">
        <v>1</v>
      </c>
    </row>
    <row r="429" spans="1:10" x14ac:dyDescent="0.25">
      <c r="A429" s="43" t="s">
        <v>2993</v>
      </c>
      <c r="B429" s="43">
        <v>10</v>
      </c>
      <c r="C429" s="47">
        <v>1.8228217280349982E-3</v>
      </c>
      <c r="D429" s="43">
        <v>6</v>
      </c>
      <c r="E429" s="47">
        <v>0.6</v>
      </c>
      <c r="F429" s="47">
        <v>1.0936930368209989E-3</v>
      </c>
      <c r="G429" s="43">
        <v>1</v>
      </c>
    </row>
    <row r="430" spans="1:10" x14ac:dyDescent="0.25">
      <c r="A430" s="43" t="s">
        <v>1552</v>
      </c>
      <c r="B430" s="43">
        <v>15</v>
      </c>
      <c r="C430" s="47">
        <v>2.7342325920524974E-3</v>
      </c>
      <c r="D430" s="43">
        <v>9</v>
      </c>
      <c r="E430" s="47">
        <v>0.6</v>
      </c>
      <c r="F430" s="47">
        <v>1.6405395552314985E-3</v>
      </c>
      <c r="G430" s="43">
        <v>1</v>
      </c>
    </row>
    <row r="431" spans="1:10" x14ac:dyDescent="0.25">
      <c r="A431" s="43" t="s">
        <v>2949</v>
      </c>
      <c r="B431" s="43">
        <v>15</v>
      </c>
      <c r="C431" s="47">
        <v>2.7342325920524974E-3</v>
      </c>
      <c r="D431" s="43">
        <v>9</v>
      </c>
      <c r="E431" s="47">
        <v>0.6</v>
      </c>
      <c r="F431" s="47">
        <v>1.6405395552314985E-3</v>
      </c>
      <c r="G431" s="43">
        <v>1</v>
      </c>
    </row>
    <row r="432" spans="1:10" x14ac:dyDescent="0.25">
      <c r="A432" s="43" t="s">
        <v>2950</v>
      </c>
      <c r="B432" s="43">
        <v>15</v>
      </c>
      <c r="C432" s="47">
        <v>2.7342325920524974E-3</v>
      </c>
      <c r="D432" s="43">
        <v>9</v>
      </c>
      <c r="E432" s="47">
        <v>0.6</v>
      </c>
      <c r="F432" s="47">
        <v>1.6405395552314985E-3</v>
      </c>
      <c r="G432" s="43">
        <v>1</v>
      </c>
    </row>
    <row r="433" spans="1:10" x14ac:dyDescent="0.25">
      <c r="A433" s="43" t="s">
        <v>2913</v>
      </c>
      <c r="B433" s="43">
        <v>23</v>
      </c>
      <c r="C433" s="47">
        <v>4.1924899744804961E-3</v>
      </c>
      <c r="D433" s="43">
        <v>14</v>
      </c>
      <c r="E433" s="47">
        <v>0.60899999999999999</v>
      </c>
      <c r="F433" s="47">
        <v>2.553226394458622E-3</v>
      </c>
      <c r="G433" s="43">
        <v>0</v>
      </c>
    </row>
    <row r="434" spans="1:10" x14ac:dyDescent="0.25">
      <c r="A434" s="43" t="s">
        <v>599</v>
      </c>
      <c r="B434" s="43">
        <v>18</v>
      </c>
      <c r="C434" s="47">
        <v>3.2810791104629965E-3</v>
      </c>
      <c r="D434" s="43">
        <v>11</v>
      </c>
      <c r="E434" s="47">
        <v>0.61099999999999999</v>
      </c>
      <c r="F434" s="47">
        <v>2.004739336492891E-3</v>
      </c>
      <c r="G434" s="43">
        <v>1</v>
      </c>
    </row>
    <row r="435" spans="1:10" x14ac:dyDescent="0.25">
      <c r="A435" s="43" t="s">
        <v>2899</v>
      </c>
      <c r="B435" s="43">
        <v>26</v>
      </c>
      <c r="C435" s="47">
        <v>4.7393364928909956E-3</v>
      </c>
      <c r="D435" s="43">
        <v>16</v>
      </c>
      <c r="E435" s="47">
        <v>0.61499999999999999</v>
      </c>
      <c r="F435" s="47">
        <v>2.9146919431279621E-3</v>
      </c>
      <c r="G435" s="43">
        <v>1</v>
      </c>
    </row>
    <row r="436" spans="1:10" hidden="1" x14ac:dyDescent="0.25">
      <c r="A436" s="43" t="s">
        <v>734</v>
      </c>
      <c r="B436" s="43">
        <v>8</v>
      </c>
      <c r="C436" s="47">
        <v>1.4582573824279985E-3</v>
      </c>
      <c r="D436" s="43">
        <v>5</v>
      </c>
      <c r="E436" s="47">
        <v>0.625</v>
      </c>
      <c r="F436" s="47">
        <v>9.1141086401749902E-4</v>
      </c>
      <c r="G436" s="43">
        <v>1</v>
      </c>
      <c r="I436"/>
      <c r="J436"/>
    </row>
    <row r="437" spans="1:10" hidden="1" x14ac:dyDescent="0.25">
      <c r="A437" s="43" t="s">
        <v>757</v>
      </c>
      <c r="B437" s="43">
        <v>8</v>
      </c>
      <c r="C437" s="47">
        <v>1.4582573824279985E-3</v>
      </c>
      <c r="D437" s="43">
        <v>5</v>
      </c>
      <c r="E437" s="47">
        <v>0.625</v>
      </c>
      <c r="F437" s="47">
        <v>9.1141086401749902E-4</v>
      </c>
      <c r="G437" s="43">
        <v>1</v>
      </c>
      <c r="I437"/>
      <c r="J437"/>
    </row>
    <row r="438" spans="1:10" hidden="1" x14ac:dyDescent="0.25">
      <c r="A438" s="43" t="s">
        <v>759</v>
      </c>
      <c r="B438" s="43">
        <v>8</v>
      </c>
      <c r="C438" s="47">
        <v>1.4582573824279985E-3</v>
      </c>
      <c r="D438" s="43">
        <v>5</v>
      </c>
      <c r="E438" s="47">
        <v>0.625</v>
      </c>
      <c r="F438" s="47">
        <v>9.1141086401749902E-4</v>
      </c>
      <c r="G438" s="43">
        <v>1</v>
      </c>
      <c r="I438"/>
      <c r="J438"/>
    </row>
    <row r="439" spans="1:10" x14ac:dyDescent="0.25">
      <c r="A439" s="43" t="s">
        <v>2930</v>
      </c>
      <c r="B439" s="43">
        <v>19</v>
      </c>
      <c r="C439" s="47">
        <v>3.4633612832664965E-3</v>
      </c>
      <c r="D439" s="43">
        <v>12</v>
      </c>
      <c r="E439" s="47">
        <v>0.63200000000000001</v>
      </c>
      <c r="F439" s="47">
        <v>2.1888443310244259E-3</v>
      </c>
      <c r="G439" s="43">
        <v>1</v>
      </c>
    </row>
    <row r="440" spans="1:10" x14ac:dyDescent="0.25">
      <c r="A440" s="43" t="s">
        <v>2931</v>
      </c>
      <c r="B440" s="43">
        <v>19</v>
      </c>
      <c r="C440" s="47">
        <v>3.4633612832664965E-3</v>
      </c>
      <c r="D440" s="43">
        <v>12</v>
      </c>
      <c r="E440" s="47">
        <v>0.63200000000000001</v>
      </c>
      <c r="F440" s="47">
        <v>2.1888443310244259E-3</v>
      </c>
      <c r="G440" s="43">
        <v>1</v>
      </c>
    </row>
    <row r="441" spans="1:10" x14ac:dyDescent="0.25">
      <c r="A441" s="43" t="s">
        <v>854</v>
      </c>
      <c r="B441" s="43">
        <v>11</v>
      </c>
      <c r="C441" s="47">
        <v>2.0051039008384978E-3</v>
      </c>
      <c r="D441" s="43">
        <v>7</v>
      </c>
      <c r="E441" s="47">
        <v>0.63600000000000001</v>
      </c>
      <c r="F441" s="47">
        <v>1.2752460809332847E-3</v>
      </c>
      <c r="G441" s="43">
        <v>0</v>
      </c>
    </row>
    <row r="442" spans="1:10" x14ac:dyDescent="0.25">
      <c r="A442" s="43" t="s">
        <v>2969</v>
      </c>
      <c r="B442" s="43">
        <v>11</v>
      </c>
      <c r="C442" s="47">
        <v>2.0051039008384978E-3</v>
      </c>
      <c r="D442" s="43">
        <v>7</v>
      </c>
      <c r="E442" s="47">
        <v>0.63600000000000001</v>
      </c>
      <c r="F442" s="47">
        <v>1.2752460809332847E-3</v>
      </c>
      <c r="G442" s="43">
        <v>1</v>
      </c>
    </row>
    <row r="443" spans="1:10" x14ac:dyDescent="0.25">
      <c r="A443" s="43" t="s">
        <v>2970</v>
      </c>
      <c r="B443" s="43">
        <v>11</v>
      </c>
      <c r="C443" s="47">
        <v>2.0051039008384978E-3</v>
      </c>
      <c r="D443" s="43">
        <v>7</v>
      </c>
      <c r="E443" s="47">
        <v>0.63600000000000001</v>
      </c>
      <c r="F443" s="47">
        <v>1.2752460809332847E-3</v>
      </c>
      <c r="G443" s="43">
        <v>0</v>
      </c>
    </row>
    <row r="444" spans="1:10" x14ac:dyDescent="0.25">
      <c r="A444" s="43" t="s">
        <v>2971</v>
      </c>
      <c r="B444" s="43">
        <v>11</v>
      </c>
      <c r="C444" s="47">
        <v>2.0051039008384978E-3</v>
      </c>
      <c r="D444" s="43">
        <v>7</v>
      </c>
      <c r="E444" s="47">
        <v>0.63600000000000001</v>
      </c>
      <c r="F444" s="47">
        <v>1.2752460809332847E-3</v>
      </c>
      <c r="G444" s="43">
        <v>1</v>
      </c>
    </row>
    <row r="445" spans="1:10" x14ac:dyDescent="0.25">
      <c r="A445" s="43" t="s">
        <v>2972</v>
      </c>
      <c r="B445" s="43">
        <v>11</v>
      </c>
      <c r="C445" s="47">
        <v>2.0051039008384978E-3</v>
      </c>
      <c r="D445" s="43">
        <v>7</v>
      </c>
      <c r="E445" s="47">
        <v>0.63600000000000001</v>
      </c>
      <c r="F445" s="47">
        <v>1.2752460809332847E-3</v>
      </c>
      <c r="G445" s="43">
        <v>1</v>
      </c>
    </row>
    <row r="446" spans="1:10" x14ac:dyDescent="0.25">
      <c r="A446" s="43" t="s">
        <v>2920</v>
      </c>
      <c r="B446" s="43">
        <v>22</v>
      </c>
      <c r="C446" s="47">
        <v>4.0102078016769956E-3</v>
      </c>
      <c r="D446" s="43">
        <v>14</v>
      </c>
      <c r="E446" s="47">
        <v>0.63600000000000001</v>
      </c>
      <c r="F446" s="47">
        <v>2.5504921618665693E-3</v>
      </c>
      <c r="G446" s="43">
        <v>1</v>
      </c>
    </row>
    <row r="447" spans="1:10" x14ac:dyDescent="0.25">
      <c r="A447" s="43" t="s">
        <v>2908</v>
      </c>
      <c r="B447" s="43">
        <v>25</v>
      </c>
      <c r="C447" s="47">
        <v>4.5570543200874952E-3</v>
      </c>
      <c r="D447" s="43">
        <v>16</v>
      </c>
      <c r="E447" s="47">
        <v>0.64</v>
      </c>
      <c r="F447" s="47">
        <v>2.9165147648559969E-3</v>
      </c>
      <c r="G447" s="43">
        <v>0.04</v>
      </c>
    </row>
    <row r="448" spans="1:10" x14ac:dyDescent="0.25">
      <c r="A448" s="43" t="s">
        <v>1168</v>
      </c>
      <c r="B448" s="43">
        <v>14</v>
      </c>
      <c r="C448" s="47">
        <v>2.5519504192489974E-3</v>
      </c>
      <c r="D448" s="43">
        <v>9</v>
      </c>
      <c r="E448" s="47">
        <v>0.64300000000000002</v>
      </c>
      <c r="F448" s="47">
        <v>1.6409041195771053E-3</v>
      </c>
      <c r="G448" s="43">
        <v>1</v>
      </c>
    </row>
    <row r="449" spans="1:10" x14ac:dyDescent="0.25">
      <c r="A449" s="43" t="s">
        <v>2891</v>
      </c>
      <c r="B449" s="43">
        <v>29</v>
      </c>
      <c r="C449" s="47">
        <v>5.2861830113014943E-3</v>
      </c>
      <c r="D449" s="43">
        <v>19</v>
      </c>
      <c r="E449" s="47">
        <v>0.65500000000000003</v>
      </c>
      <c r="F449" s="47">
        <v>3.4624498724024791E-3</v>
      </c>
      <c r="G449" s="43">
        <v>0</v>
      </c>
    </row>
    <row r="450" spans="1:10" x14ac:dyDescent="0.25">
      <c r="A450" s="43" t="s">
        <v>2885</v>
      </c>
      <c r="B450" s="43">
        <v>35</v>
      </c>
      <c r="C450" s="47">
        <v>6.3798760481224934E-3</v>
      </c>
      <c r="D450" s="43">
        <v>23</v>
      </c>
      <c r="E450" s="47">
        <v>0.65700000000000003</v>
      </c>
      <c r="F450" s="47">
        <v>4.1915785636164786E-3</v>
      </c>
      <c r="G450" s="43">
        <v>1</v>
      </c>
    </row>
    <row r="451" spans="1:10" hidden="1" x14ac:dyDescent="0.25">
      <c r="A451" s="43" t="s">
        <v>3030</v>
      </c>
      <c r="B451" s="43">
        <v>6</v>
      </c>
      <c r="C451" s="47">
        <v>1.0936930368209989E-3</v>
      </c>
      <c r="D451" s="43">
        <v>4</v>
      </c>
      <c r="E451" s="47">
        <v>0.66700000000000004</v>
      </c>
      <c r="F451" s="47">
        <v>7.2949325555960636E-4</v>
      </c>
      <c r="G451" s="43">
        <v>1</v>
      </c>
      <c r="I451"/>
      <c r="J451"/>
    </row>
    <row r="452" spans="1:10" hidden="1" x14ac:dyDescent="0.25">
      <c r="A452" s="43" t="s">
        <v>3031</v>
      </c>
      <c r="B452" s="43">
        <v>6</v>
      </c>
      <c r="C452" s="47">
        <v>1.0936930368209989E-3</v>
      </c>
      <c r="D452" s="43">
        <v>4</v>
      </c>
      <c r="E452" s="47">
        <v>0.66700000000000004</v>
      </c>
      <c r="F452" s="47">
        <v>7.2949325555960636E-4</v>
      </c>
      <c r="G452" s="43">
        <v>1</v>
      </c>
      <c r="I452"/>
      <c r="J452"/>
    </row>
    <row r="453" spans="1:10" hidden="1" x14ac:dyDescent="0.25">
      <c r="A453" s="43" t="s">
        <v>3032</v>
      </c>
      <c r="B453" s="43">
        <v>6</v>
      </c>
      <c r="C453" s="47">
        <v>1.0936930368209989E-3</v>
      </c>
      <c r="D453" s="43">
        <v>4</v>
      </c>
      <c r="E453" s="47">
        <v>0.66700000000000004</v>
      </c>
      <c r="F453" s="47">
        <v>7.2949325555960636E-4</v>
      </c>
      <c r="G453" s="43">
        <v>1</v>
      </c>
      <c r="I453"/>
      <c r="J453"/>
    </row>
    <row r="454" spans="1:10" hidden="1" x14ac:dyDescent="0.25">
      <c r="A454" s="43" t="s">
        <v>308</v>
      </c>
      <c r="B454" s="43">
        <v>9</v>
      </c>
      <c r="C454" s="47">
        <v>1.6405395552314983E-3</v>
      </c>
      <c r="D454" s="43">
        <v>6</v>
      </c>
      <c r="E454" s="47">
        <v>0.66700000000000004</v>
      </c>
      <c r="F454" s="47">
        <v>1.0942398833394093E-3</v>
      </c>
      <c r="G454" s="43">
        <v>1</v>
      </c>
      <c r="I454"/>
      <c r="J454"/>
    </row>
    <row r="455" spans="1:10" hidden="1" x14ac:dyDescent="0.25">
      <c r="A455" s="43" t="s">
        <v>3002</v>
      </c>
      <c r="B455" s="43">
        <v>9</v>
      </c>
      <c r="C455" s="47">
        <v>1.6405395552314983E-3</v>
      </c>
      <c r="D455" s="43">
        <v>6</v>
      </c>
      <c r="E455" s="47">
        <v>0.66700000000000004</v>
      </c>
      <c r="F455" s="47">
        <v>1.0942398833394093E-3</v>
      </c>
      <c r="G455" s="43">
        <v>1</v>
      </c>
      <c r="I455"/>
      <c r="J455"/>
    </row>
    <row r="456" spans="1:10" x14ac:dyDescent="0.25">
      <c r="A456" s="43" t="s">
        <v>2960</v>
      </c>
      <c r="B456" s="43">
        <v>12</v>
      </c>
      <c r="C456" s="47">
        <v>2.1873860736419978E-3</v>
      </c>
      <c r="D456" s="43">
        <v>8</v>
      </c>
      <c r="E456" s="47">
        <v>0.66700000000000004</v>
      </c>
      <c r="F456" s="47">
        <v>1.4589865111192127E-3</v>
      </c>
      <c r="G456" s="43">
        <v>0</v>
      </c>
    </row>
    <row r="457" spans="1:10" x14ac:dyDescent="0.25">
      <c r="A457" s="43" t="s">
        <v>2961</v>
      </c>
      <c r="B457" s="43">
        <v>12</v>
      </c>
      <c r="C457" s="47">
        <v>2.1873860736419978E-3</v>
      </c>
      <c r="D457" s="43">
        <v>8</v>
      </c>
      <c r="E457" s="47">
        <v>0.66700000000000004</v>
      </c>
      <c r="F457" s="47">
        <v>1.4589865111192127E-3</v>
      </c>
      <c r="G457" s="43">
        <v>1</v>
      </c>
    </row>
    <row r="458" spans="1:10" x14ac:dyDescent="0.25">
      <c r="A458" s="43" t="s">
        <v>1550</v>
      </c>
      <c r="B458" s="43">
        <v>15</v>
      </c>
      <c r="C458" s="47">
        <v>2.7342325920524974E-3</v>
      </c>
      <c r="D458" s="43">
        <v>10</v>
      </c>
      <c r="E458" s="47">
        <v>0.66700000000000004</v>
      </c>
      <c r="F458" s="47">
        <v>1.8237331388990159E-3</v>
      </c>
      <c r="G458" s="43">
        <v>1</v>
      </c>
    </row>
    <row r="459" spans="1:10" x14ac:dyDescent="0.25">
      <c r="A459" s="43" t="s">
        <v>2937</v>
      </c>
      <c r="B459" s="43">
        <v>18</v>
      </c>
      <c r="C459" s="47">
        <v>3.2810791104629965E-3</v>
      </c>
      <c r="D459" s="43">
        <v>12</v>
      </c>
      <c r="E459" s="47">
        <v>0.66700000000000004</v>
      </c>
      <c r="F459" s="47">
        <v>2.1884797666788186E-3</v>
      </c>
      <c r="G459" s="43">
        <v>1</v>
      </c>
    </row>
    <row r="460" spans="1:10" x14ac:dyDescent="0.25">
      <c r="A460" s="43" t="s">
        <v>611</v>
      </c>
      <c r="B460" s="43">
        <v>31</v>
      </c>
      <c r="C460" s="47">
        <v>5.6507473569084943E-3</v>
      </c>
      <c r="D460" s="43">
        <v>21</v>
      </c>
      <c r="E460" s="47">
        <v>0.67700000000000005</v>
      </c>
      <c r="F460" s="47">
        <v>3.825555960627051E-3</v>
      </c>
      <c r="G460" s="43">
        <v>0</v>
      </c>
    </row>
    <row r="461" spans="1:10" x14ac:dyDescent="0.25">
      <c r="A461" s="43" t="s">
        <v>2918</v>
      </c>
      <c r="B461" s="43">
        <v>22</v>
      </c>
      <c r="C461" s="47">
        <v>4.0102078016769956E-3</v>
      </c>
      <c r="D461" s="43">
        <v>15</v>
      </c>
      <c r="E461" s="47">
        <v>0.68200000000000005</v>
      </c>
      <c r="F461" s="47">
        <v>2.7349617207437114E-3</v>
      </c>
      <c r="G461" s="43">
        <v>1</v>
      </c>
    </row>
    <row r="462" spans="1:10" x14ac:dyDescent="0.25">
      <c r="A462" s="43" t="s">
        <v>2919</v>
      </c>
      <c r="B462" s="43">
        <v>22</v>
      </c>
      <c r="C462" s="47">
        <v>4.0102078016769956E-3</v>
      </c>
      <c r="D462" s="43">
        <v>15</v>
      </c>
      <c r="E462" s="47">
        <v>0.68200000000000005</v>
      </c>
      <c r="F462" s="47">
        <v>2.7349617207437114E-3</v>
      </c>
      <c r="G462" s="43">
        <v>1</v>
      </c>
    </row>
    <row r="463" spans="1:10" x14ac:dyDescent="0.25">
      <c r="A463" s="43" t="s">
        <v>541</v>
      </c>
      <c r="B463" s="43">
        <v>19</v>
      </c>
      <c r="C463" s="47">
        <v>3.4633612832664965E-3</v>
      </c>
      <c r="D463" s="43">
        <v>13</v>
      </c>
      <c r="E463" s="47">
        <v>0.68400000000000005</v>
      </c>
      <c r="F463" s="47">
        <v>2.3689391177542838E-3</v>
      </c>
      <c r="G463" s="43">
        <v>0.52400000000000002</v>
      </c>
    </row>
    <row r="464" spans="1:10" x14ac:dyDescent="0.25">
      <c r="A464" s="43" t="s">
        <v>2944</v>
      </c>
      <c r="B464" s="43">
        <v>16</v>
      </c>
      <c r="C464" s="47">
        <v>2.9165147648559969E-3</v>
      </c>
      <c r="D464" s="43">
        <v>11</v>
      </c>
      <c r="E464" s="47">
        <v>0.68799999999999994</v>
      </c>
      <c r="F464" s="47">
        <v>2.0065621582209259E-3</v>
      </c>
      <c r="G464" s="43">
        <v>1</v>
      </c>
    </row>
    <row r="465" spans="1:10" x14ac:dyDescent="0.25">
      <c r="A465" s="43" t="s">
        <v>2876</v>
      </c>
      <c r="B465" s="43">
        <v>65</v>
      </c>
      <c r="C465" s="47">
        <v>1.1848341232227487E-2</v>
      </c>
      <c r="D465" s="43">
        <v>45</v>
      </c>
      <c r="E465" s="47">
        <v>0.69199999999999995</v>
      </c>
      <c r="F465" s="47">
        <v>8.1990521327014211E-3</v>
      </c>
      <c r="G465" s="43">
        <v>1</v>
      </c>
    </row>
    <row r="466" spans="1:10" x14ac:dyDescent="0.25">
      <c r="A466" s="43" t="s">
        <v>2984</v>
      </c>
      <c r="B466" s="43">
        <v>10</v>
      </c>
      <c r="C466" s="47">
        <v>1.8228217280349982E-3</v>
      </c>
      <c r="D466" s="43">
        <v>7</v>
      </c>
      <c r="E466" s="47">
        <v>0.7</v>
      </c>
      <c r="F466" s="47">
        <v>1.2759752096244987E-3</v>
      </c>
      <c r="G466" s="43">
        <v>1</v>
      </c>
    </row>
    <row r="467" spans="1:10" x14ac:dyDescent="0.25">
      <c r="A467" s="43" t="s">
        <v>2985</v>
      </c>
      <c r="B467" s="43">
        <v>10</v>
      </c>
      <c r="C467" s="47">
        <v>1.8228217280349982E-3</v>
      </c>
      <c r="D467" s="43">
        <v>7</v>
      </c>
      <c r="E467" s="47">
        <v>0.7</v>
      </c>
      <c r="F467" s="47">
        <v>1.2759752096244987E-3</v>
      </c>
      <c r="G467" s="43">
        <v>0</v>
      </c>
    </row>
    <row r="468" spans="1:10" x14ac:dyDescent="0.25">
      <c r="A468" s="43" t="s">
        <v>822</v>
      </c>
      <c r="B468" s="43">
        <v>10</v>
      </c>
      <c r="C468" s="47">
        <v>1.8228217280349982E-3</v>
      </c>
      <c r="D468" s="43">
        <v>7</v>
      </c>
      <c r="E468" s="47">
        <v>0.7</v>
      </c>
      <c r="F468" s="47">
        <v>1.2759752096244987E-3</v>
      </c>
      <c r="G468" s="43">
        <v>1</v>
      </c>
    </row>
    <row r="469" spans="1:10" x14ac:dyDescent="0.25">
      <c r="A469" s="43" t="s">
        <v>2986</v>
      </c>
      <c r="B469" s="43">
        <v>10</v>
      </c>
      <c r="C469" s="47">
        <v>1.8228217280349982E-3</v>
      </c>
      <c r="D469" s="43">
        <v>7</v>
      </c>
      <c r="E469" s="47">
        <v>0.7</v>
      </c>
      <c r="F469" s="47">
        <v>1.2759752096244987E-3</v>
      </c>
      <c r="G469" s="43">
        <v>1</v>
      </c>
    </row>
    <row r="470" spans="1:10" x14ac:dyDescent="0.25">
      <c r="A470" s="43" t="s">
        <v>2987</v>
      </c>
      <c r="B470" s="43">
        <v>10</v>
      </c>
      <c r="C470" s="47">
        <v>1.8228217280349982E-3</v>
      </c>
      <c r="D470" s="43">
        <v>7</v>
      </c>
      <c r="E470" s="47">
        <v>0.7</v>
      </c>
      <c r="F470" s="47">
        <v>1.2759752096244987E-3</v>
      </c>
      <c r="G470" s="43">
        <v>1</v>
      </c>
    </row>
    <row r="471" spans="1:10" x14ac:dyDescent="0.25">
      <c r="A471" s="43" t="s">
        <v>2988</v>
      </c>
      <c r="B471" s="43">
        <v>10</v>
      </c>
      <c r="C471" s="47">
        <v>1.8228217280349982E-3</v>
      </c>
      <c r="D471" s="43">
        <v>7</v>
      </c>
      <c r="E471" s="47">
        <v>0.7</v>
      </c>
      <c r="F471" s="47">
        <v>1.2759752096244987E-3</v>
      </c>
      <c r="G471" s="43">
        <v>1</v>
      </c>
    </row>
    <row r="472" spans="1:10" x14ac:dyDescent="0.25">
      <c r="A472" s="43" t="s">
        <v>2989</v>
      </c>
      <c r="B472" s="43">
        <v>10</v>
      </c>
      <c r="C472" s="47">
        <v>1.8228217280349982E-3</v>
      </c>
      <c r="D472" s="43">
        <v>7</v>
      </c>
      <c r="E472" s="47">
        <v>0.7</v>
      </c>
      <c r="F472" s="47">
        <v>1.2759752096244987E-3</v>
      </c>
      <c r="G472" s="43">
        <v>0</v>
      </c>
    </row>
    <row r="473" spans="1:10" x14ac:dyDescent="0.25">
      <c r="A473" s="43" t="s">
        <v>850</v>
      </c>
      <c r="B473" s="43">
        <v>10</v>
      </c>
      <c r="C473" s="47">
        <v>1.8228217280349982E-3</v>
      </c>
      <c r="D473" s="43">
        <v>7</v>
      </c>
      <c r="E473" s="47">
        <v>0.7</v>
      </c>
      <c r="F473" s="47">
        <v>1.2759752096244987E-3</v>
      </c>
      <c r="G473" s="43">
        <v>1</v>
      </c>
    </row>
    <row r="474" spans="1:10" x14ac:dyDescent="0.25">
      <c r="A474" s="43" t="s">
        <v>2889</v>
      </c>
      <c r="B474" s="43">
        <v>30</v>
      </c>
      <c r="C474" s="47">
        <v>5.4684651841049947E-3</v>
      </c>
      <c r="D474" s="43">
        <v>21</v>
      </c>
      <c r="E474" s="47">
        <v>0.7</v>
      </c>
      <c r="F474" s="47">
        <v>3.8279256288734961E-3</v>
      </c>
      <c r="G474" s="43">
        <v>0</v>
      </c>
    </row>
    <row r="475" spans="1:10" x14ac:dyDescent="0.25">
      <c r="A475" s="43" t="s">
        <v>283</v>
      </c>
      <c r="B475" s="43">
        <v>41</v>
      </c>
      <c r="C475" s="47">
        <v>7.4735690849434926E-3</v>
      </c>
      <c r="D475" s="43">
        <v>29</v>
      </c>
      <c r="E475" s="47">
        <v>0.70699999999999996</v>
      </c>
      <c r="F475" s="47">
        <v>5.2838133430550488E-3</v>
      </c>
      <c r="G475" s="43">
        <v>1</v>
      </c>
    </row>
    <row r="476" spans="1:10" x14ac:dyDescent="0.25">
      <c r="A476" s="43" t="s">
        <v>2910</v>
      </c>
      <c r="B476" s="43">
        <v>24</v>
      </c>
      <c r="C476" s="47">
        <v>4.3747721472839956E-3</v>
      </c>
      <c r="D476" s="43">
        <v>17</v>
      </c>
      <c r="E476" s="47">
        <v>0.70799999999999996</v>
      </c>
      <c r="F476" s="47">
        <v>3.0973386802770689E-3</v>
      </c>
      <c r="G476" s="43">
        <v>1</v>
      </c>
    </row>
    <row r="477" spans="1:10" hidden="1" x14ac:dyDescent="0.25">
      <c r="A477" s="43" t="s">
        <v>3017</v>
      </c>
      <c r="B477" s="43">
        <v>7</v>
      </c>
      <c r="C477" s="47">
        <v>1.2759752096244987E-3</v>
      </c>
      <c r="D477" s="43">
        <v>5</v>
      </c>
      <c r="E477" s="47">
        <v>0.71399999999999997</v>
      </c>
      <c r="F477" s="47">
        <v>9.11046299671892E-4</v>
      </c>
      <c r="G477" s="43">
        <v>1</v>
      </c>
      <c r="I477"/>
      <c r="J477"/>
    </row>
    <row r="478" spans="1:10" hidden="1" x14ac:dyDescent="0.25">
      <c r="A478" s="43" t="s">
        <v>729</v>
      </c>
      <c r="B478" s="43">
        <v>7</v>
      </c>
      <c r="C478" s="47">
        <v>1.2759752096244987E-3</v>
      </c>
      <c r="D478" s="43">
        <v>5</v>
      </c>
      <c r="E478" s="47">
        <v>0.71399999999999997</v>
      </c>
      <c r="F478" s="47">
        <v>9.11046299671892E-4</v>
      </c>
      <c r="G478" s="43">
        <v>1</v>
      </c>
      <c r="I478"/>
      <c r="J478"/>
    </row>
    <row r="479" spans="1:10" hidden="1" x14ac:dyDescent="0.25">
      <c r="A479" s="43" t="s">
        <v>3018</v>
      </c>
      <c r="B479" s="43">
        <v>7</v>
      </c>
      <c r="C479" s="47">
        <v>1.2759752096244987E-3</v>
      </c>
      <c r="D479" s="43">
        <v>5</v>
      </c>
      <c r="E479" s="47">
        <v>0.71399999999999997</v>
      </c>
      <c r="F479" s="47">
        <v>9.11046299671892E-4</v>
      </c>
      <c r="G479" s="43">
        <v>1</v>
      </c>
      <c r="I479"/>
      <c r="J479"/>
    </row>
    <row r="480" spans="1:10" hidden="1" x14ac:dyDescent="0.25">
      <c r="A480" s="43" t="s">
        <v>3019</v>
      </c>
      <c r="B480" s="43">
        <v>7</v>
      </c>
      <c r="C480" s="47">
        <v>1.2759752096244987E-3</v>
      </c>
      <c r="D480" s="43">
        <v>5</v>
      </c>
      <c r="E480" s="47">
        <v>0.71399999999999997</v>
      </c>
      <c r="F480" s="47">
        <v>9.11046299671892E-4</v>
      </c>
      <c r="G480" s="43">
        <v>0</v>
      </c>
      <c r="I480"/>
      <c r="J480"/>
    </row>
    <row r="481" spans="1:10" hidden="1" x14ac:dyDescent="0.25">
      <c r="A481" s="43" t="s">
        <v>3020</v>
      </c>
      <c r="B481" s="43">
        <v>7</v>
      </c>
      <c r="C481" s="47">
        <v>1.2759752096244987E-3</v>
      </c>
      <c r="D481" s="43">
        <v>5</v>
      </c>
      <c r="E481" s="47">
        <v>0.71399999999999997</v>
      </c>
      <c r="F481" s="47">
        <v>9.11046299671892E-4</v>
      </c>
      <c r="G481" s="43">
        <v>1</v>
      </c>
      <c r="I481"/>
      <c r="J481"/>
    </row>
    <row r="482" spans="1:10" x14ac:dyDescent="0.25">
      <c r="A482" s="43" t="s">
        <v>2952</v>
      </c>
      <c r="B482" s="43">
        <v>14</v>
      </c>
      <c r="C482" s="47">
        <v>2.5519504192489974E-3</v>
      </c>
      <c r="D482" s="43">
        <v>10</v>
      </c>
      <c r="E482" s="47">
        <v>0.71399999999999997</v>
      </c>
      <c r="F482" s="47">
        <v>1.822092599343784E-3</v>
      </c>
      <c r="G482" s="43">
        <v>1</v>
      </c>
    </row>
    <row r="483" spans="1:10" x14ac:dyDescent="0.25">
      <c r="A483" s="43" t="s">
        <v>2879</v>
      </c>
      <c r="B483" s="43">
        <v>46</v>
      </c>
      <c r="C483" s="47">
        <v>8.3849799489609921E-3</v>
      </c>
      <c r="D483" s="43">
        <v>33</v>
      </c>
      <c r="E483" s="47">
        <v>0.71699999999999997</v>
      </c>
      <c r="F483" s="47">
        <v>6.0120306234050314E-3</v>
      </c>
      <c r="G483" s="43">
        <v>0</v>
      </c>
    </row>
    <row r="484" spans="1:10" x14ac:dyDescent="0.25">
      <c r="A484" s="43" t="s">
        <v>2907</v>
      </c>
      <c r="B484" s="43">
        <v>25</v>
      </c>
      <c r="C484" s="47">
        <v>4.5570543200874952E-3</v>
      </c>
      <c r="D484" s="43">
        <v>18</v>
      </c>
      <c r="E484" s="47">
        <v>0.72</v>
      </c>
      <c r="F484" s="47">
        <v>3.2810791104629965E-3</v>
      </c>
      <c r="G484" s="43">
        <v>0</v>
      </c>
    </row>
    <row r="485" spans="1:10" x14ac:dyDescent="0.25">
      <c r="A485" s="43" t="s">
        <v>322</v>
      </c>
      <c r="B485" s="43">
        <v>18</v>
      </c>
      <c r="C485" s="47">
        <v>3.2810791104629965E-3</v>
      </c>
      <c r="D485" s="43">
        <v>13</v>
      </c>
      <c r="E485" s="47">
        <v>0.72199999999999998</v>
      </c>
      <c r="F485" s="47">
        <v>2.3689391177542833E-3</v>
      </c>
      <c r="G485" s="43">
        <v>1</v>
      </c>
    </row>
    <row r="486" spans="1:10" x14ac:dyDescent="0.25">
      <c r="A486" s="43" t="s">
        <v>370</v>
      </c>
      <c r="B486" s="43">
        <v>18</v>
      </c>
      <c r="C486" s="47">
        <v>3.2810791104629965E-3</v>
      </c>
      <c r="D486" s="43">
        <v>13</v>
      </c>
      <c r="E486" s="47">
        <v>0.72199999999999998</v>
      </c>
      <c r="F486" s="47">
        <v>2.3689391177542833E-3</v>
      </c>
      <c r="G486" s="43">
        <v>1</v>
      </c>
    </row>
    <row r="487" spans="1:10" x14ac:dyDescent="0.25">
      <c r="A487" s="43" t="s">
        <v>2966</v>
      </c>
      <c r="B487" s="43">
        <v>11</v>
      </c>
      <c r="C487" s="47">
        <v>2.0051039008384978E-3</v>
      </c>
      <c r="D487" s="43">
        <v>8</v>
      </c>
      <c r="E487" s="47">
        <v>0.72699999999999998</v>
      </c>
      <c r="F487" s="47">
        <v>1.4577105359095878E-3</v>
      </c>
      <c r="G487" s="43">
        <v>1</v>
      </c>
    </row>
    <row r="488" spans="1:10" x14ac:dyDescent="0.25">
      <c r="A488" s="43" t="s">
        <v>2967</v>
      </c>
      <c r="B488" s="43">
        <v>11</v>
      </c>
      <c r="C488" s="47">
        <v>2.0051039008384978E-3</v>
      </c>
      <c r="D488" s="43">
        <v>8</v>
      </c>
      <c r="E488" s="47">
        <v>0.72699999999999998</v>
      </c>
      <c r="F488" s="47">
        <v>1.4577105359095878E-3</v>
      </c>
      <c r="G488" s="43">
        <v>1</v>
      </c>
    </row>
    <row r="489" spans="1:10" x14ac:dyDescent="0.25">
      <c r="A489" s="43" t="s">
        <v>428</v>
      </c>
      <c r="B489" s="43">
        <v>11</v>
      </c>
      <c r="C489" s="47">
        <v>2.0051039008384978E-3</v>
      </c>
      <c r="D489" s="43">
        <v>8</v>
      </c>
      <c r="E489" s="47">
        <v>0.72699999999999998</v>
      </c>
      <c r="F489" s="47">
        <v>1.4577105359095878E-3</v>
      </c>
      <c r="G489" s="43">
        <v>0</v>
      </c>
    </row>
    <row r="490" spans="1:10" x14ac:dyDescent="0.25">
      <c r="A490" s="43" t="s">
        <v>2968</v>
      </c>
      <c r="B490" s="43">
        <v>11</v>
      </c>
      <c r="C490" s="47">
        <v>2.0051039008384978E-3</v>
      </c>
      <c r="D490" s="43">
        <v>8</v>
      </c>
      <c r="E490" s="47">
        <v>0.72699999999999998</v>
      </c>
      <c r="F490" s="47">
        <v>1.4577105359095878E-3</v>
      </c>
      <c r="G490" s="43">
        <v>1</v>
      </c>
    </row>
    <row r="491" spans="1:10" x14ac:dyDescent="0.25">
      <c r="A491" s="43" t="s">
        <v>650</v>
      </c>
      <c r="B491" s="43">
        <v>11</v>
      </c>
      <c r="C491" s="47">
        <v>2.0051039008384978E-3</v>
      </c>
      <c r="D491" s="43">
        <v>8</v>
      </c>
      <c r="E491" s="47">
        <v>0.72699999999999998</v>
      </c>
      <c r="F491" s="47">
        <v>1.4577105359095878E-3</v>
      </c>
      <c r="G491" s="43">
        <v>1</v>
      </c>
    </row>
    <row r="492" spans="1:10" x14ac:dyDescent="0.25">
      <c r="A492" s="43" t="s">
        <v>436</v>
      </c>
      <c r="B492" s="43">
        <v>11</v>
      </c>
      <c r="C492" s="47">
        <v>2.0051039008384978E-3</v>
      </c>
      <c r="D492" s="43">
        <v>8</v>
      </c>
      <c r="E492" s="47">
        <v>0.72699999999999998</v>
      </c>
      <c r="F492" s="47">
        <v>1.4577105359095878E-3</v>
      </c>
      <c r="G492" s="43">
        <v>0</v>
      </c>
    </row>
    <row r="493" spans="1:10" x14ac:dyDescent="0.25">
      <c r="A493" s="43" t="s">
        <v>2898</v>
      </c>
      <c r="B493" s="43">
        <v>26</v>
      </c>
      <c r="C493" s="47">
        <v>4.7393364928909956E-3</v>
      </c>
      <c r="D493" s="43">
        <v>19</v>
      </c>
      <c r="E493" s="47">
        <v>0.73099999999999998</v>
      </c>
      <c r="F493" s="47">
        <v>3.4644549763033178E-3</v>
      </c>
      <c r="G493" s="43">
        <v>0</v>
      </c>
    </row>
    <row r="494" spans="1:10" hidden="1" x14ac:dyDescent="0.25">
      <c r="A494" s="43" t="s">
        <v>3009</v>
      </c>
      <c r="B494" s="43">
        <v>8</v>
      </c>
      <c r="C494" s="47">
        <v>1.4582573824279985E-3</v>
      </c>
      <c r="D494" s="43">
        <v>6</v>
      </c>
      <c r="E494" s="47">
        <v>0.75</v>
      </c>
      <c r="F494" s="47">
        <v>1.0936930368209989E-3</v>
      </c>
      <c r="G494" s="43">
        <v>0</v>
      </c>
      <c r="I494"/>
      <c r="J494"/>
    </row>
    <row r="495" spans="1:10" x14ac:dyDescent="0.25">
      <c r="A495" s="43" t="s">
        <v>2958</v>
      </c>
      <c r="B495" s="43">
        <v>12</v>
      </c>
      <c r="C495" s="47">
        <v>2.1873860736419978E-3</v>
      </c>
      <c r="D495" s="43">
        <v>9</v>
      </c>
      <c r="E495" s="47">
        <v>0.75</v>
      </c>
      <c r="F495" s="47">
        <v>1.6405395552314983E-3</v>
      </c>
      <c r="G495" s="43">
        <v>0</v>
      </c>
    </row>
    <row r="496" spans="1:10" x14ac:dyDescent="0.25">
      <c r="A496" s="43" t="s">
        <v>2959</v>
      </c>
      <c r="B496" s="43">
        <v>12</v>
      </c>
      <c r="C496" s="47">
        <v>2.1873860736419978E-3</v>
      </c>
      <c r="D496" s="43">
        <v>9</v>
      </c>
      <c r="E496" s="47">
        <v>0.75</v>
      </c>
      <c r="F496" s="47">
        <v>1.6405395552314983E-3</v>
      </c>
      <c r="G496" s="43">
        <v>1</v>
      </c>
    </row>
    <row r="497" spans="1:10" x14ac:dyDescent="0.25">
      <c r="A497" s="43" t="s">
        <v>956</v>
      </c>
      <c r="B497" s="43">
        <v>16</v>
      </c>
      <c r="C497" s="47">
        <v>2.9165147648559969E-3</v>
      </c>
      <c r="D497" s="43">
        <v>12</v>
      </c>
      <c r="E497" s="47">
        <v>0.75</v>
      </c>
      <c r="F497" s="47">
        <v>2.1873860736419978E-3</v>
      </c>
      <c r="G497" s="43">
        <v>0</v>
      </c>
    </row>
    <row r="498" spans="1:10" x14ac:dyDescent="0.25">
      <c r="A498" s="43" t="s">
        <v>2943</v>
      </c>
      <c r="B498" s="43">
        <v>16</v>
      </c>
      <c r="C498" s="47">
        <v>2.9165147648559969E-3</v>
      </c>
      <c r="D498" s="43">
        <v>12</v>
      </c>
      <c r="E498" s="47">
        <v>0.75</v>
      </c>
      <c r="F498" s="47">
        <v>2.1873860736419978E-3</v>
      </c>
      <c r="G498" s="43">
        <v>1</v>
      </c>
    </row>
    <row r="499" spans="1:10" x14ac:dyDescent="0.25">
      <c r="A499" s="43" t="s">
        <v>2905</v>
      </c>
      <c r="B499" s="43">
        <v>25</v>
      </c>
      <c r="C499" s="47">
        <v>4.5570543200874952E-3</v>
      </c>
      <c r="D499" s="43">
        <v>19</v>
      </c>
      <c r="E499" s="47">
        <v>0.76</v>
      </c>
      <c r="F499" s="47">
        <v>3.4633612832664965E-3</v>
      </c>
      <c r="G499" s="43">
        <v>1</v>
      </c>
    </row>
    <row r="500" spans="1:10" x14ac:dyDescent="0.25">
      <c r="A500" s="43" t="s">
        <v>2906</v>
      </c>
      <c r="B500" s="43">
        <v>25</v>
      </c>
      <c r="C500" s="47">
        <v>4.5570543200874952E-3</v>
      </c>
      <c r="D500" s="43">
        <v>19</v>
      </c>
      <c r="E500" s="47">
        <v>0.76</v>
      </c>
      <c r="F500" s="47">
        <v>3.4633612832664965E-3</v>
      </c>
      <c r="G500" s="43">
        <v>0</v>
      </c>
    </row>
    <row r="501" spans="1:10" x14ac:dyDescent="0.25">
      <c r="A501" s="43" t="s">
        <v>2940</v>
      </c>
      <c r="B501" s="43">
        <v>17</v>
      </c>
      <c r="C501" s="47">
        <v>3.0987969376594969E-3</v>
      </c>
      <c r="D501" s="43">
        <v>13</v>
      </c>
      <c r="E501" s="47">
        <v>0.76500000000000001</v>
      </c>
      <c r="F501" s="47">
        <v>2.3705796573095152E-3</v>
      </c>
      <c r="G501" s="43">
        <v>1</v>
      </c>
    </row>
    <row r="502" spans="1:10" x14ac:dyDescent="0.25">
      <c r="A502" s="43" t="s">
        <v>277</v>
      </c>
      <c r="B502" s="43">
        <v>13</v>
      </c>
      <c r="C502" s="47">
        <v>2.3696682464454978E-3</v>
      </c>
      <c r="D502" s="43">
        <v>10</v>
      </c>
      <c r="E502" s="47">
        <v>0.76900000000000002</v>
      </c>
      <c r="F502" s="47">
        <v>1.8222748815165878E-3</v>
      </c>
      <c r="G502" s="43">
        <v>1</v>
      </c>
    </row>
    <row r="503" spans="1:10" hidden="1" x14ac:dyDescent="0.25">
      <c r="A503" s="43" t="s">
        <v>3000</v>
      </c>
      <c r="B503" s="43">
        <v>9</v>
      </c>
      <c r="C503" s="47">
        <v>1.6405395552314983E-3</v>
      </c>
      <c r="D503" s="43">
        <v>7</v>
      </c>
      <c r="E503" s="47">
        <v>0.77800000000000002</v>
      </c>
      <c r="F503" s="47">
        <v>1.2763397739701057E-3</v>
      </c>
      <c r="G503" s="43">
        <v>0</v>
      </c>
      <c r="I503"/>
      <c r="J503"/>
    </row>
    <row r="504" spans="1:10" hidden="1" x14ac:dyDescent="0.25">
      <c r="A504" s="43" t="s">
        <v>1303</v>
      </c>
      <c r="B504" s="43">
        <v>9</v>
      </c>
      <c r="C504" s="47">
        <v>1.6405395552314983E-3</v>
      </c>
      <c r="D504" s="43">
        <v>7</v>
      </c>
      <c r="E504" s="47">
        <v>0.77800000000000002</v>
      </c>
      <c r="F504" s="47">
        <v>1.2763397739701057E-3</v>
      </c>
      <c r="G504" s="43">
        <v>1</v>
      </c>
      <c r="I504"/>
      <c r="J504"/>
    </row>
    <row r="505" spans="1:10" hidden="1" x14ac:dyDescent="0.25">
      <c r="A505" s="43" t="s">
        <v>3001</v>
      </c>
      <c r="B505" s="43">
        <v>9</v>
      </c>
      <c r="C505" s="47">
        <v>1.6405395552314983E-3</v>
      </c>
      <c r="D505" s="43">
        <v>7</v>
      </c>
      <c r="E505" s="47">
        <v>0.77800000000000002</v>
      </c>
      <c r="F505" s="47">
        <v>1.2763397739701057E-3</v>
      </c>
      <c r="G505" s="43">
        <v>1</v>
      </c>
      <c r="I505"/>
      <c r="J505"/>
    </row>
    <row r="506" spans="1:10" x14ac:dyDescent="0.25">
      <c r="A506" s="43" t="s">
        <v>2936</v>
      </c>
      <c r="B506" s="43">
        <v>18</v>
      </c>
      <c r="C506" s="47">
        <v>3.2810791104629965E-3</v>
      </c>
      <c r="D506" s="43">
        <v>14</v>
      </c>
      <c r="E506" s="47">
        <v>0.77800000000000002</v>
      </c>
      <c r="F506" s="47">
        <v>2.5526795479402114E-3</v>
      </c>
      <c r="G506" s="43">
        <v>1</v>
      </c>
    </row>
    <row r="507" spans="1:10" x14ac:dyDescent="0.25">
      <c r="A507" s="43" t="s">
        <v>2887</v>
      </c>
      <c r="B507" s="43">
        <v>32</v>
      </c>
      <c r="C507" s="47">
        <v>5.8330295297119939E-3</v>
      </c>
      <c r="D507" s="43">
        <v>25</v>
      </c>
      <c r="E507" s="47">
        <v>0.78100000000000003</v>
      </c>
      <c r="F507" s="47">
        <v>4.5555960627050671E-3</v>
      </c>
      <c r="G507" s="43">
        <v>1</v>
      </c>
    </row>
    <row r="508" spans="1:10" x14ac:dyDescent="0.25">
      <c r="A508" s="43" t="s">
        <v>2912</v>
      </c>
      <c r="B508" s="43">
        <v>23</v>
      </c>
      <c r="C508" s="47">
        <v>4.1924899744804961E-3</v>
      </c>
      <c r="D508" s="43">
        <v>18</v>
      </c>
      <c r="E508" s="47">
        <v>0.78300000000000003</v>
      </c>
      <c r="F508" s="47">
        <v>3.2827196500182284E-3</v>
      </c>
      <c r="G508" s="43">
        <v>1</v>
      </c>
    </row>
    <row r="509" spans="1:10" x14ac:dyDescent="0.25">
      <c r="A509" s="43" t="s">
        <v>2890</v>
      </c>
      <c r="B509" s="43">
        <v>29</v>
      </c>
      <c r="C509" s="47">
        <v>5.2861830113014943E-3</v>
      </c>
      <c r="D509" s="43">
        <v>23</v>
      </c>
      <c r="E509" s="47">
        <v>0.79300000000000004</v>
      </c>
      <c r="F509" s="47">
        <v>4.1919431279620854E-3</v>
      </c>
      <c r="G509" s="43">
        <v>1</v>
      </c>
    </row>
    <row r="510" spans="1:10" x14ac:dyDescent="0.25">
      <c r="A510" s="43" t="s">
        <v>2877</v>
      </c>
      <c r="B510" s="43">
        <v>63</v>
      </c>
      <c r="C510" s="47">
        <v>1.1483776886620488E-2</v>
      </c>
      <c r="D510" s="43">
        <v>50</v>
      </c>
      <c r="E510" s="47">
        <v>0.79400000000000004</v>
      </c>
      <c r="F510" s="47">
        <v>9.1181188479766678E-3</v>
      </c>
      <c r="G510" s="43">
        <v>0.19</v>
      </c>
    </row>
    <row r="511" spans="1:10" hidden="1" x14ac:dyDescent="0.25">
      <c r="A511" s="43" t="s">
        <v>3040</v>
      </c>
      <c r="B511" s="43">
        <v>5</v>
      </c>
      <c r="C511" s="47">
        <v>9.1141086401749912E-4</v>
      </c>
      <c r="D511" s="43">
        <v>4</v>
      </c>
      <c r="E511" s="47">
        <v>0.8</v>
      </c>
      <c r="F511" s="47">
        <v>7.2912869121399934E-4</v>
      </c>
      <c r="G511" s="43">
        <v>0</v>
      </c>
      <c r="I511"/>
      <c r="J511"/>
    </row>
    <row r="512" spans="1:10" hidden="1" x14ac:dyDescent="0.25">
      <c r="A512" s="43" t="s">
        <v>3041</v>
      </c>
      <c r="B512" s="43">
        <v>5</v>
      </c>
      <c r="C512" s="47">
        <v>9.1141086401749912E-4</v>
      </c>
      <c r="D512" s="43">
        <v>4</v>
      </c>
      <c r="E512" s="47">
        <v>0.8</v>
      </c>
      <c r="F512" s="47">
        <v>7.2912869121399934E-4</v>
      </c>
      <c r="G512" s="43">
        <v>0</v>
      </c>
      <c r="I512"/>
      <c r="J512"/>
    </row>
    <row r="513" spans="1:7" customFormat="1" hidden="1" x14ac:dyDescent="0.25">
      <c r="A513" s="43" t="s">
        <v>3042</v>
      </c>
      <c r="B513" s="43">
        <v>5</v>
      </c>
      <c r="C513" s="47">
        <v>9.1141086401749912E-4</v>
      </c>
      <c r="D513" s="43">
        <v>4</v>
      </c>
      <c r="E513" s="47">
        <v>0.8</v>
      </c>
      <c r="F513" s="47">
        <v>7.2912869121399934E-4</v>
      </c>
      <c r="G513" s="43">
        <v>1</v>
      </c>
    </row>
    <row r="514" spans="1:7" customFormat="1" hidden="1" x14ac:dyDescent="0.25">
      <c r="A514" s="43" t="s">
        <v>922</v>
      </c>
      <c r="B514" s="43">
        <v>5</v>
      </c>
      <c r="C514" s="47">
        <v>9.1141086401749912E-4</v>
      </c>
      <c r="D514" s="43">
        <v>4</v>
      </c>
      <c r="E514" s="47">
        <v>0.8</v>
      </c>
      <c r="F514" s="47">
        <v>7.2912869121399934E-4</v>
      </c>
      <c r="G514" s="43">
        <v>1</v>
      </c>
    </row>
    <row r="515" spans="1:7" customFormat="1" hidden="1" x14ac:dyDescent="0.25">
      <c r="A515" s="43" t="s">
        <v>717</v>
      </c>
      <c r="B515" s="43">
        <v>5</v>
      </c>
      <c r="C515" s="47">
        <v>9.1141086401749912E-4</v>
      </c>
      <c r="D515" s="43">
        <v>4</v>
      </c>
      <c r="E515" s="47">
        <v>0.8</v>
      </c>
      <c r="F515" s="47">
        <v>7.2912869121399934E-4</v>
      </c>
      <c r="G515" s="43">
        <v>1</v>
      </c>
    </row>
    <row r="516" spans="1:7" customFormat="1" hidden="1" x14ac:dyDescent="0.25">
      <c r="A516" s="43" t="s">
        <v>3043</v>
      </c>
      <c r="B516" s="43">
        <v>5</v>
      </c>
      <c r="C516" s="47">
        <v>9.1141086401749912E-4</v>
      </c>
      <c r="D516" s="43">
        <v>4</v>
      </c>
      <c r="E516" s="47">
        <v>0.8</v>
      </c>
      <c r="F516" s="47">
        <v>7.2912869121399934E-4</v>
      </c>
      <c r="G516" s="43">
        <v>0</v>
      </c>
    </row>
    <row r="517" spans="1:7" customFormat="1" hidden="1" x14ac:dyDescent="0.25">
      <c r="A517" s="43" t="s">
        <v>3044</v>
      </c>
      <c r="B517" s="43">
        <v>5</v>
      </c>
      <c r="C517" s="47">
        <v>9.1141086401749912E-4</v>
      </c>
      <c r="D517" s="43">
        <v>4</v>
      </c>
      <c r="E517" s="47">
        <v>0.8</v>
      </c>
      <c r="F517" s="47">
        <v>7.2912869121399934E-4</v>
      </c>
      <c r="G517" s="43">
        <v>1</v>
      </c>
    </row>
    <row r="518" spans="1:7" customFormat="1" hidden="1" x14ac:dyDescent="0.25">
      <c r="A518" s="43" t="s">
        <v>357</v>
      </c>
      <c r="B518" s="43">
        <v>5</v>
      </c>
      <c r="C518" s="47">
        <v>9.1141086401749912E-4</v>
      </c>
      <c r="D518" s="43">
        <v>4</v>
      </c>
      <c r="E518" s="47">
        <v>0.8</v>
      </c>
      <c r="F518" s="47">
        <v>7.2912869121399934E-4</v>
      </c>
      <c r="G518" s="43">
        <v>1</v>
      </c>
    </row>
    <row r="519" spans="1:7" customFormat="1" hidden="1" x14ac:dyDescent="0.25">
      <c r="A519" s="43" t="s">
        <v>1122</v>
      </c>
      <c r="B519" s="43">
        <v>5</v>
      </c>
      <c r="C519" s="47">
        <v>9.1141086401749912E-4</v>
      </c>
      <c r="D519" s="43">
        <v>4</v>
      </c>
      <c r="E519" s="47">
        <v>0.8</v>
      </c>
      <c r="F519" s="47">
        <v>7.2912869121399934E-4</v>
      </c>
      <c r="G519" s="43">
        <v>1</v>
      </c>
    </row>
    <row r="520" spans="1:7" customFormat="1" hidden="1" x14ac:dyDescent="0.25">
      <c r="A520" s="43" t="s">
        <v>3045</v>
      </c>
      <c r="B520" s="43">
        <v>5</v>
      </c>
      <c r="C520" s="47">
        <v>9.1141086401749912E-4</v>
      </c>
      <c r="D520" s="43">
        <v>4</v>
      </c>
      <c r="E520" s="47">
        <v>0.8</v>
      </c>
      <c r="F520" s="47">
        <v>7.2912869121399934E-4</v>
      </c>
      <c r="G520" s="43">
        <v>1</v>
      </c>
    </row>
    <row r="521" spans="1:7" customFormat="1" hidden="1" x14ac:dyDescent="0.25">
      <c r="A521" s="43" t="s">
        <v>1099</v>
      </c>
      <c r="B521" s="43">
        <v>5</v>
      </c>
      <c r="C521" s="47">
        <v>9.1141086401749912E-4</v>
      </c>
      <c r="D521" s="43">
        <v>4</v>
      </c>
      <c r="E521" s="47">
        <v>0.8</v>
      </c>
      <c r="F521" s="47">
        <v>7.2912869121399934E-4</v>
      </c>
      <c r="G521" s="43">
        <v>1</v>
      </c>
    </row>
    <row r="522" spans="1:7" customFormat="1" hidden="1" x14ac:dyDescent="0.25">
      <c r="A522" s="43" t="s">
        <v>1120</v>
      </c>
      <c r="B522" s="43">
        <v>5</v>
      </c>
      <c r="C522" s="47">
        <v>9.1141086401749912E-4</v>
      </c>
      <c r="D522" s="43">
        <v>4</v>
      </c>
      <c r="E522" s="47">
        <v>0.8</v>
      </c>
      <c r="F522" s="47">
        <v>7.2912869121399934E-4</v>
      </c>
      <c r="G522" s="43">
        <v>1</v>
      </c>
    </row>
    <row r="523" spans="1:7" customFormat="1" hidden="1" x14ac:dyDescent="0.25">
      <c r="A523" s="43" t="s">
        <v>3046</v>
      </c>
      <c r="B523" s="43">
        <v>5</v>
      </c>
      <c r="C523" s="47">
        <v>9.1141086401749912E-4</v>
      </c>
      <c r="D523" s="43">
        <v>4</v>
      </c>
      <c r="E523" s="47">
        <v>0.8</v>
      </c>
      <c r="F523" s="47">
        <v>7.2912869121399934E-4</v>
      </c>
      <c r="G523" s="43">
        <v>1</v>
      </c>
    </row>
    <row r="524" spans="1:7" customFormat="1" hidden="1" x14ac:dyDescent="0.25">
      <c r="A524" s="43" t="s">
        <v>3047</v>
      </c>
      <c r="B524" s="43">
        <v>5</v>
      </c>
      <c r="C524" s="47">
        <v>9.1141086401749912E-4</v>
      </c>
      <c r="D524" s="43">
        <v>4</v>
      </c>
      <c r="E524" s="47">
        <v>0.8</v>
      </c>
      <c r="F524" s="47">
        <v>7.2912869121399934E-4</v>
      </c>
      <c r="G524" s="43">
        <v>0</v>
      </c>
    </row>
    <row r="525" spans="1:7" customFormat="1" hidden="1" x14ac:dyDescent="0.25">
      <c r="A525" s="43" t="s">
        <v>1118</v>
      </c>
      <c r="B525" s="43">
        <v>5</v>
      </c>
      <c r="C525" s="47">
        <v>9.1141086401749912E-4</v>
      </c>
      <c r="D525" s="43">
        <v>4</v>
      </c>
      <c r="E525" s="47">
        <v>0.8</v>
      </c>
      <c r="F525" s="47">
        <v>7.2912869121399934E-4</v>
      </c>
      <c r="G525" s="43">
        <v>1</v>
      </c>
    </row>
    <row r="526" spans="1:7" customFormat="1" hidden="1" x14ac:dyDescent="0.25">
      <c r="A526" s="43" t="s">
        <v>3048</v>
      </c>
      <c r="B526" s="43">
        <v>5</v>
      </c>
      <c r="C526" s="47">
        <v>9.1141086401749912E-4</v>
      </c>
      <c r="D526" s="43">
        <v>4</v>
      </c>
      <c r="E526" s="47">
        <v>0.8</v>
      </c>
      <c r="F526" s="47">
        <v>7.2912869121399934E-4</v>
      </c>
      <c r="G526" s="43">
        <v>1</v>
      </c>
    </row>
    <row r="527" spans="1:7" customFormat="1" hidden="1" x14ac:dyDescent="0.25">
      <c r="A527" s="43" t="s">
        <v>889</v>
      </c>
      <c r="B527" s="43">
        <v>5</v>
      </c>
      <c r="C527" s="47">
        <v>9.1141086401749912E-4</v>
      </c>
      <c r="D527" s="43">
        <v>4</v>
      </c>
      <c r="E527" s="47">
        <v>0.8</v>
      </c>
      <c r="F527" s="47">
        <v>7.2912869121399934E-4</v>
      </c>
      <c r="G527" s="43">
        <v>1</v>
      </c>
    </row>
    <row r="528" spans="1:7" customFormat="1" hidden="1" x14ac:dyDescent="0.25">
      <c r="A528" s="43" t="s">
        <v>3049</v>
      </c>
      <c r="B528" s="43">
        <v>5</v>
      </c>
      <c r="C528" s="47">
        <v>9.1141086401749912E-4</v>
      </c>
      <c r="D528" s="43">
        <v>4</v>
      </c>
      <c r="E528" s="47">
        <v>0.8</v>
      </c>
      <c r="F528" s="47">
        <v>7.2912869121399934E-4</v>
      </c>
      <c r="G528" s="43">
        <v>1</v>
      </c>
    </row>
    <row r="529" spans="1:10" hidden="1" x14ac:dyDescent="0.25">
      <c r="A529" s="43" t="s">
        <v>3050</v>
      </c>
      <c r="B529" s="43">
        <v>5</v>
      </c>
      <c r="C529" s="47">
        <v>9.1141086401749912E-4</v>
      </c>
      <c r="D529" s="43">
        <v>4</v>
      </c>
      <c r="E529" s="47">
        <v>0.8</v>
      </c>
      <c r="F529" s="47">
        <v>7.2912869121399934E-4</v>
      </c>
      <c r="G529" s="43">
        <v>1</v>
      </c>
      <c r="I529"/>
      <c r="J529"/>
    </row>
    <row r="530" spans="1:10" x14ac:dyDescent="0.25">
      <c r="A530" s="43" t="s">
        <v>2983</v>
      </c>
      <c r="B530" s="43">
        <v>10</v>
      </c>
      <c r="C530" s="47">
        <v>1.8228217280349982E-3</v>
      </c>
      <c r="D530" s="43">
        <v>8</v>
      </c>
      <c r="E530" s="47">
        <v>0.8</v>
      </c>
      <c r="F530" s="47">
        <v>1.4582573824279987E-3</v>
      </c>
      <c r="G530" s="43">
        <v>1</v>
      </c>
    </row>
    <row r="531" spans="1:10" x14ac:dyDescent="0.25">
      <c r="A531" s="43" t="s">
        <v>2948</v>
      </c>
      <c r="B531" s="43">
        <v>15</v>
      </c>
      <c r="C531" s="47">
        <v>2.7342325920524974E-3</v>
      </c>
      <c r="D531" s="43">
        <v>12</v>
      </c>
      <c r="E531" s="47">
        <v>0.8</v>
      </c>
      <c r="F531" s="47">
        <v>2.1873860736419978E-3</v>
      </c>
      <c r="G531" s="43">
        <v>0</v>
      </c>
    </row>
    <row r="532" spans="1:10" x14ac:dyDescent="0.25">
      <c r="A532" s="43" t="s">
        <v>2904</v>
      </c>
      <c r="B532" s="43">
        <v>25</v>
      </c>
      <c r="C532" s="47">
        <v>4.5570543200874952E-3</v>
      </c>
      <c r="D532" s="43">
        <v>20</v>
      </c>
      <c r="E532" s="47">
        <v>0.8</v>
      </c>
      <c r="F532" s="47">
        <v>3.6456434560699965E-3</v>
      </c>
      <c r="G532" s="43">
        <v>1</v>
      </c>
    </row>
    <row r="533" spans="1:10" x14ac:dyDescent="0.25">
      <c r="A533" s="43" t="s">
        <v>2874</v>
      </c>
      <c r="B533" s="43">
        <v>102</v>
      </c>
      <c r="C533" s="47">
        <v>1.859278162595698E-2</v>
      </c>
      <c r="D533" s="43">
        <v>82</v>
      </c>
      <c r="E533" s="47">
        <v>0.80400000000000005</v>
      </c>
      <c r="F533" s="47">
        <v>1.4948596427269412E-2</v>
      </c>
      <c r="G533" s="43">
        <v>1</v>
      </c>
    </row>
    <row r="534" spans="1:10" x14ac:dyDescent="0.25">
      <c r="A534" s="43" t="s">
        <v>304</v>
      </c>
      <c r="B534" s="43">
        <v>26</v>
      </c>
      <c r="C534" s="47">
        <v>4.7393364928909956E-3</v>
      </c>
      <c r="D534" s="43">
        <v>21</v>
      </c>
      <c r="E534" s="47">
        <v>0.80800000000000005</v>
      </c>
      <c r="F534" s="47">
        <v>3.8293838862559246E-3</v>
      </c>
      <c r="G534" s="43">
        <v>1</v>
      </c>
    </row>
    <row r="535" spans="1:10" x14ac:dyDescent="0.25">
      <c r="A535" s="43" t="s">
        <v>2926</v>
      </c>
      <c r="B535" s="43">
        <v>21</v>
      </c>
      <c r="C535" s="47">
        <v>3.8279256288734961E-3</v>
      </c>
      <c r="D535" s="43">
        <v>17</v>
      </c>
      <c r="E535" s="47">
        <v>0.81</v>
      </c>
      <c r="F535" s="47">
        <v>3.1006197593875322E-3</v>
      </c>
      <c r="G535" s="43">
        <v>0</v>
      </c>
    </row>
    <row r="536" spans="1:10" x14ac:dyDescent="0.25">
      <c r="A536" s="43" t="s">
        <v>2893</v>
      </c>
      <c r="B536" s="43">
        <v>27</v>
      </c>
      <c r="C536" s="47">
        <v>4.9216186656944952E-3</v>
      </c>
      <c r="D536" s="43">
        <v>22</v>
      </c>
      <c r="E536" s="47">
        <v>0.81499999999999995</v>
      </c>
      <c r="F536" s="47">
        <v>4.0111192125410131E-3</v>
      </c>
      <c r="G536" s="43">
        <v>0</v>
      </c>
    </row>
    <row r="537" spans="1:10" x14ac:dyDescent="0.25">
      <c r="A537" s="43" t="s">
        <v>1386</v>
      </c>
      <c r="B537" s="43">
        <v>11</v>
      </c>
      <c r="C537" s="47">
        <v>2.0051039008384978E-3</v>
      </c>
      <c r="D537" s="43">
        <v>9</v>
      </c>
      <c r="E537" s="47">
        <v>0.81799999999999995</v>
      </c>
      <c r="F537" s="47">
        <v>1.640174990885891E-3</v>
      </c>
      <c r="G537" s="43">
        <v>1</v>
      </c>
    </row>
    <row r="538" spans="1:10" x14ac:dyDescent="0.25">
      <c r="A538" s="43" t="s">
        <v>2916</v>
      </c>
      <c r="B538" s="43">
        <v>22</v>
      </c>
      <c r="C538" s="47">
        <v>4.0102078016769956E-3</v>
      </c>
      <c r="D538" s="43">
        <v>18</v>
      </c>
      <c r="E538" s="47">
        <v>0.81799999999999995</v>
      </c>
      <c r="F538" s="47">
        <v>3.280349981771782E-3</v>
      </c>
      <c r="G538" s="43">
        <v>1</v>
      </c>
    </row>
    <row r="539" spans="1:10" x14ac:dyDescent="0.25">
      <c r="A539" s="43" t="s">
        <v>2917</v>
      </c>
      <c r="B539" s="43">
        <v>22</v>
      </c>
      <c r="C539" s="47">
        <v>4.0102078016769956E-3</v>
      </c>
      <c r="D539" s="43">
        <v>18</v>
      </c>
      <c r="E539" s="47">
        <v>0.81799999999999995</v>
      </c>
      <c r="F539" s="47">
        <v>3.280349981771782E-3</v>
      </c>
      <c r="G539" s="43">
        <v>0</v>
      </c>
    </row>
    <row r="540" spans="1:10" x14ac:dyDescent="0.25">
      <c r="A540" s="43" t="s">
        <v>275</v>
      </c>
      <c r="B540" s="43">
        <v>40</v>
      </c>
      <c r="C540" s="47">
        <v>7.291286912139993E-3</v>
      </c>
      <c r="D540" s="43">
        <v>33</v>
      </c>
      <c r="E540" s="47">
        <v>0.82499999999999996</v>
      </c>
      <c r="F540" s="47">
        <v>6.0153117025154943E-3</v>
      </c>
      <c r="G540" s="43">
        <v>1</v>
      </c>
    </row>
    <row r="541" spans="1:10" hidden="1" x14ac:dyDescent="0.25">
      <c r="A541" s="43" t="s">
        <v>1305</v>
      </c>
      <c r="B541" s="43">
        <v>6</v>
      </c>
      <c r="C541" s="47">
        <v>1.0936930368209989E-3</v>
      </c>
      <c r="D541" s="43">
        <v>5</v>
      </c>
      <c r="E541" s="47">
        <v>0.83299999999999996</v>
      </c>
      <c r="F541" s="47">
        <v>9.11046299671892E-4</v>
      </c>
      <c r="G541" s="43">
        <v>1</v>
      </c>
      <c r="I541"/>
      <c r="J541"/>
    </row>
    <row r="542" spans="1:10" hidden="1" x14ac:dyDescent="0.25">
      <c r="A542" s="43" t="s">
        <v>880</v>
      </c>
      <c r="B542" s="43">
        <v>6</v>
      </c>
      <c r="C542" s="47">
        <v>1.0936930368209989E-3</v>
      </c>
      <c r="D542" s="43">
        <v>5</v>
      </c>
      <c r="E542" s="47">
        <v>0.83299999999999996</v>
      </c>
      <c r="F542" s="47">
        <v>9.11046299671892E-4</v>
      </c>
      <c r="G542" s="43">
        <v>1</v>
      </c>
      <c r="I542"/>
      <c r="J542"/>
    </row>
    <row r="543" spans="1:10" x14ac:dyDescent="0.25">
      <c r="A543" s="43" t="s">
        <v>2955</v>
      </c>
      <c r="B543" s="43">
        <v>12</v>
      </c>
      <c r="C543" s="47">
        <v>2.1873860736419978E-3</v>
      </c>
      <c r="D543" s="43">
        <v>10</v>
      </c>
      <c r="E543" s="47">
        <v>0.83299999999999996</v>
      </c>
      <c r="F543" s="47">
        <v>1.822092599343784E-3</v>
      </c>
      <c r="G543" s="43">
        <v>0</v>
      </c>
    </row>
    <row r="544" spans="1:10" x14ac:dyDescent="0.25">
      <c r="A544" s="43" t="s">
        <v>2956</v>
      </c>
      <c r="B544" s="43">
        <v>12</v>
      </c>
      <c r="C544" s="47">
        <v>2.1873860736419978E-3</v>
      </c>
      <c r="D544" s="43">
        <v>10</v>
      </c>
      <c r="E544" s="47">
        <v>0.83299999999999996</v>
      </c>
      <c r="F544" s="47">
        <v>1.822092599343784E-3</v>
      </c>
      <c r="G544" s="43">
        <v>0</v>
      </c>
    </row>
    <row r="545" spans="1:10" x14ac:dyDescent="0.25">
      <c r="A545" s="43" t="s">
        <v>2957</v>
      </c>
      <c r="B545" s="43">
        <v>12</v>
      </c>
      <c r="C545" s="47">
        <v>2.1873860736419978E-3</v>
      </c>
      <c r="D545" s="43">
        <v>10</v>
      </c>
      <c r="E545" s="47">
        <v>0.83299999999999996</v>
      </c>
      <c r="F545" s="47">
        <v>1.822092599343784E-3</v>
      </c>
      <c r="G545" s="43">
        <v>1</v>
      </c>
    </row>
    <row r="546" spans="1:10" x14ac:dyDescent="0.25">
      <c r="A546" s="43" t="s">
        <v>609</v>
      </c>
      <c r="B546" s="43">
        <v>18</v>
      </c>
      <c r="C546" s="47">
        <v>3.2810791104629965E-3</v>
      </c>
      <c r="D546" s="43">
        <v>15</v>
      </c>
      <c r="E546" s="47">
        <v>0.83299999999999996</v>
      </c>
      <c r="F546" s="47">
        <v>2.7331388990156761E-3</v>
      </c>
      <c r="G546" s="43">
        <v>1</v>
      </c>
    </row>
    <row r="547" spans="1:10" x14ac:dyDescent="0.25">
      <c r="A547" s="43" t="s">
        <v>2888</v>
      </c>
      <c r="B547" s="43">
        <v>31</v>
      </c>
      <c r="C547" s="47">
        <v>5.6507473569084943E-3</v>
      </c>
      <c r="D547" s="43">
        <v>26</v>
      </c>
      <c r="E547" s="47">
        <v>0.83899999999999997</v>
      </c>
      <c r="F547" s="47">
        <v>4.7409770324462266E-3</v>
      </c>
      <c r="G547" s="43">
        <v>0</v>
      </c>
    </row>
    <row r="548" spans="1:10" x14ac:dyDescent="0.25">
      <c r="A548" s="43" t="s">
        <v>2895</v>
      </c>
      <c r="B548" s="43">
        <v>26</v>
      </c>
      <c r="C548" s="47">
        <v>4.7393364928909956E-3</v>
      </c>
      <c r="D548" s="43">
        <v>22</v>
      </c>
      <c r="E548" s="47">
        <v>0.84599999999999997</v>
      </c>
      <c r="F548" s="47">
        <v>4.009478672985782E-3</v>
      </c>
      <c r="G548" s="43">
        <v>0</v>
      </c>
    </row>
    <row r="549" spans="1:10" x14ac:dyDescent="0.25">
      <c r="A549" s="43" t="s">
        <v>2896</v>
      </c>
      <c r="B549" s="43">
        <v>26</v>
      </c>
      <c r="C549" s="47">
        <v>4.7393364928909956E-3</v>
      </c>
      <c r="D549" s="43">
        <v>22</v>
      </c>
      <c r="E549" s="47">
        <v>0.84599999999999997</v>
      </c>
      <c r="F549" s="47">
        <v>4.009478672985782E-3</v>
      </c>
      <c r="G549" s="43">
        <v>1</v>
      </c>
    </row>
    <row r="550" spans="1:10" x14ac:dyDescent="0.25">
      <c r="A550" s="43" t="s">
        <v>440</v>
      </c>
      <c r="B550" s="43">
        <v>26</v>
      </c>
      <c r="C550" s="47">
        <v>4.7393364928909956E-3</v>
      </c>
      <c r="D550" s="43">
        <v>22</v>
      </c>
      <c r="E550" s="47">
        <v>0.84599999999999997</v>
      </c>
      <c r="F550" s="47">
        <v>4.009478672985782E-3</v>
      </c>
      <c r="G550" s="43">
        <v>0</v>
      </c>
    </row>
    <row r="551" spans="1:10" x14ac:dyDescent="0.25">
      <c r="A551" s="43" t="s">
        <v>2897</v>
      </c>
      <c r="B551" s="43">
        <v>26</v>
      </c>
      <c r="C551" s="47">
        <v>4.7393364928909956E-3</v>
      </c>
      <c r="D551" s="43">
        <v>22</v>
      </c>
      <c r="E551" s="47">
        <v>0.84599999999999997</v>
      </c>
      <c r="F551" s="47">
        <v>4.009478672985782E-3</v>
      </c>
      <c r="G551" s="43">
        <v>1</v>
      </c>
    </row>
    <row r="552" spans="1:10" x14ac:dyDescent="0.25">
      <c r="A552" s="43" t="s">
        <v>2873</v>
      </c>
      <c r="B552" s="43">
        <v>117</v>
      </c>
      <c r="C552" s="47">
        <v>2.132701421800948E-2</v>
      </c>
      <c r="D552" s="43">
        <v>99</v>
      </c>
      <c r="E552" s="47">
        <v>0.84599999999999997</v>
      </c>
      <c r="F552" s="47">
        <v>1.8042654028436019E-2</v>
      </c>
      <c r="G552" s="43">
        <v>0.154</v>
      </c>
    </row>
    <row r="553" spans="1:10" x14ac:dyDescent="0.25">
      <c r="A553" s="43" t="s">
        <v>2927</v>
      </c>
      <c r="B553" s="43">
        <v>20</v>
      </c>
      <c r="C553" s="47">
        <v>3.6456434560699965E-3</v>
      </c>
      <c r="D553" s="43">
        <v>17</v>
      </c>
      <c r="E553" s="47">
        <v>0.85</v>
      </c>
      <c r="F553" s="47">
        <v>3.0987969376594969E-3</v>
      </c>
      <c r="G553" s="43">
        <v>1</v>
      </c>
    </row>
    <row r="554" spans="1:10" x14ac:dyDescent="0.25">
      <c r="A554" s="43" t="s">
        <v>656</v>
      </c>
      <c r="B554" s="43">
        <v>14</v>
      </c>
      <c r="C554" s="47">
        <v>2.5519504192489974E-3</v>
      </c>
      <c r="D554" s="43">
        <v>12</v>
      </c>
      <c r="E554" s="47">
        <v>0.85699999999999998</v>
      </c>
      <c r="F554" s="47">
        <v>2.1870215092963906E-3</v>
      </c>
      <c r="G554" s="43">
        <v>1</v>
      </c>
    </row>
    <row r="555" spans="1:10" x14ac:dyDescent="0.25">
      <c r="A555" s="43" t="s">
        <v>2925</v>
      </c>
      <c r="B555" s="43">
        <v>21</v>
      </c>
      <c r="C555" s="47">
        <v>3.8279256288734961E-3</v>
      </c>
      <c r="D555" s="43">
        <v>18</v>
      </c>
      <c r="E555" s="47">
        <v>0.85699999999999998</v>
      </c>
      <c r="F555" s="47">
        <v>3.2805322639445859E-3</v>
      </c>
      <c r="G555" s="43">
        <v>1</v>
      </c>
    </row>
    <row r="556" spans="1:10" x14ac:dyDescent="0.25">
      <c r="A556" s="43" t="s">
        <v>2883</v>
      </c>
      <c r="B556" s="43">
        <v>36</v>
      </c>
      <c r="C556" s="47">
        <v>6.562158220925993E-3</v>
      </c>
      <c r="D556" s="43">
        <v>31</v>
      </c>
      <c r="E556" s="47">
        <v>0.86099999999999999</v>
      </c>
      <c r="F556" s="47">
        <v>5.6500182282172799E-3</v>
      </c>
      <c r="G556" s="43">
        <v>0</v>
      </c>
    </row>
    <row r="557" spans="1:10" x14ac:dyDescent="0.25">
      <c r="A557" s="43" t="s">
        <v>2915</v>
      </c>
      <c r="B557" s="43">
        <v>22</v>
      </c>
      <c r="C557" s="47">
        <v>4.0102078016769956E-3</v>
      </c>
      <c r="D557" s="43">
        <v>19</v>
      </c>
      <c r="E557" s="47">
        <v>0.86399999999999999</v>
      </c>
      <c r="F557" s="47">
        <v>3.4648195406489241E-3</v>
      </c>
      <c r="G557" s="43">
        <v>1</v>
      </c>
    </row>
    <row r="558" spans="1:10" x14ac:dyDescent="0.25">
      <c r="A558" s="43" t="s">
        <v>2947</v>
      </c>
      <c r="B558" s="43">
        <v>15</v>
      </c>
      <c r="C558" s="47">
        <v>2.7342325920524974E-3</v>
      </c>
      <c r="D558" s="43">
        <v>13</v>
      </c>
      <c r="E558" s="47">
        <v>0.86699999999999999</v>
      </c>
      <c r="F558" s="47">
        <v>2.3705796573095152E-3</v>
      </c>
      <c r="G558" s="43">
        <v>1</v>
      </c>
    </row>
    <row r="559" spans="1:10" x14ac:dyDescent="0.25">
      <c r="A559" s="43" t="s">
        <v>2881</v>
      </c>
      <c r="B559" s="43">
        <v>38</v>
      </c>
      <c r="C559" s="47">
        <v>6.926722566532993E-3</v>
      </c>
      <c r="D559" s="43">
        <v>33</v>
      </c>
      <c r="E559" s="47">
        <v>0.86799999999999999</v>
      </c>
      <c r="F559" s="47">
        <v>6.0123951877506382E-3</v>
      </c>
      <c r="G559" s="43">
        <v>1</v>
      </c>
    </row>
    <row r="560" spans="1:10" hidden="1" x14ac:dyDescent="0.25">
      <c r="A560" s="43" t="s">
        <v>3007</v>
      </c>
      <c r="B560" s="43">
        <v>8</v>
      </c>
      <c r="C560" s="47">
        <v>1.4582573824279985E-3</v>
      </c>
      <c r="D560" s="43">
        <v>7</v>
      </c>
      <c r="E560" s="47">
        <v>0.875</v>
      </c>
      <c r="F560" s="47">
        <v>1.2759752096244987E-3</v>
      </c>
      <c r="G560" s="43">
        <v>1</v>
      </c>
      <c r="I560"/>
      <c r="J560"/>
    </row>
    <row r="561" spans="1:10" hidden="1" x14ac:dyDescent="0.25">
      <c r="A561" s="43" t="s">
        <v>3008</v>
      </c>
      <c r="B561" s="43">
        <v>8</v>
      </c>
      <c r="C561" s="47">
        <v>1.4582573824279985E-3</v>
      </c>
      <c r="D561" s="43">
        <v>7</v>
      </c>
      <c r="E561" s="47">
        <v>0.875</v>
      </c>
      <c r="F561" s="47">
        <v>1.2759752096244987E-3</v>
      </c>
      <c r="G561" s="43">
        <v>0.375</v>
      </c>
      <c r="I561"/>
      <c r="J561"/>
    </row>
    <row r="562" spans="1:10" x14ac:dyDescent="0.25">
      <c r="A562" s="43" t="s">
        <v>368</v>
      </c>
      <c r="B562" s="43">
        <v>16</v>
      </c>
      <c r="C562" s="47">
        <v>2.9165147648559969E-3</v>
      </c>
      <c r="D562" s="43">
        <v>14</v>
      </c>
      <c r="E562" s="47">
        <v>0.875</v>
      </c>
      <c r="F562" s="47">
        <v>2.5519504192489974E-3</v>
      </c>
      <c r="G562" s="43">
        <v>1</v>
      </c>
    </row>
    <row r="563" spans="1:10" x14ac:dyDescent="0.25">
      <c r="A563" s="43" t="s">
        <v>2941</v>
      </c>
      <c r="B563" s="43">
        <v>16</v>
      </c>
      <c r="C563" s="47">
        <v>2.9165147648559969E-3</v>
      </c>
      <c r="D563" s="43">
        <v>14</v>
      </c>
      <c r="E563" s="47">
        <v>0.875</v>
      </c>
      <c r="F563" s="47">
        <v>2.5519504192489974E-3</v>
      </c>
      <c r="G563" s="43">
        <v>1</v>
      </c>
    </row>
    <row r="564" spans="1:10" x14ac:dyDescent="0.25">
      <c r="A564" s="43" t="s">
        <v>2942</v>
      </c>
      <c r="B564" s="43">
        <v>16</v>
      </c>
      <c r="C564" s="47">
        <v>2.9165147648559969E-3</v>
      </c>
      <c r="D564" s="43">
        <v>14</v>
      </c>
      <c r="E564" s="47">
        <v>0.875</v>
      </c>
      <c r="F564" s="47">
        <v>2.5519504192489974E-3</v>
      </c>
      <c r="G564" s="43">
        <v>0</v>
      </c>
    </row>
    <row r="565" spans="1:10" x14ac:dyDescent="0.25">
      <c r="A565" s="43" t="s">
        <v>2875</v>
      </c>
      <c r="B565" s="43">
        <v>89</v>
      </c>
      <c r="C565" s="47">
        <v>1.6223113379511482E-2</v>
      </c>
      <c r="D565" s="43">
        <v>78</v>
      </c>
      <c r="E565" s="47">
        <v>0.876</v>
      </c>
      <c r="F565" s="47">
        <v>1.4211447320452058E-2</v>
      </c>
      <c r="G565" s="43">
        <v>5.6000000000000001E-2</v>
      </c>
    </row>
    <row r="566" spans="1:10" x14ac:dyDescent="0.25">
      <c r="A566" s="43" t="s">
        <v>2901</v>
      </c>
      <c r="B566" s="43">
        <v>25</v>
      </c>
      <c r="C566" s="47">
        <v>4.5570543200874952E-3</v>
      </c>
      <c r="D566" s="43">
        <v>22</v>
      </c>
      <c r="E566" s="47">
        <v>0.88</v>
      </c>
      <c r="F566" s="47">
        <v>4.0102078016769956E-3</v>
      </c>
      <c r="G566" s="43">
        <v>1</v>
      </c>
    </row>
    <row r="567" spans="1:10" x14ac:dyDescent="0.25">
      <c r="A567" s="43" t="s">
        <v>2902</v>
      </c>
      <c r="B567" s="43">
        <v>25</v>
      </c>
      <c r="C567" s="47">
        <v>4.5570543200874952E-3</v>
      </c>
      <c r="D567" s="43">
        <v>22</v>
      </c>
      <c r="E567" s="47">
        <v>0.88</v>
      </c>
      <c r="F567" s="47">
        <v>4.0102078016769956E-3</v>
      </c>
      <c r="G567" s="43">
        <v>1</v>
      </c>
    </row>
    <row r="568" spans="1:10" x14ac:dyDescent="0.25">
      <c r="A568" s="43" t="s">
        <v>2903</v>
      </c>
      <c r="B568" s="43">
        <v>25</v>
      </c>
      <c r="C568" s="47">
        <v>4.5570543200874952E-3</v>
      </c>
      <c r="D568" s="43">
        <v>22</v>
      </c>
      <c r="E568" s="47">
        <v>0.88</v>
      </c>
      <c r="F568" s="47">
        <v>4.0102078016769956E-3</v>
      </c>
      <c r="G568" s="43">
        <v>0</v>
      </c>
    </row>
    <row r="569" spans="1:10" x14ac:dyDescent="0.25">
      <c r="A569" s="43" t="s">
        <v>640</v>
      </c>
      <c r="B569" s="43">
        <v>42</v>
      </c>
      <c r="C569" s="47">
        <v>7.6558512577469921E-3</v>
      </c>
      <c r="D569" s="43">
        <v>37</v>
      </c>
      <c r="E569" s="47">
        <v>0.88100000000000001</v>
      </c>
      <c r="F569" s="47">
        <v>6.7448049580751002E-3</v>
      </c>
      <c r="G569" s="43">
        <v>0</v>
      </c>
    </row>
    <row r="570" spans="1:10" x14ac:dyDescent="0.25">
      <c r="A570" s="43" t="s">
        <v>2939</v>
      </c>
      <c r="B570" s="43">
        <v>17</v>
      </c>
      <c r="C570" s="47">
        <v>3.0987969376594969E-3</v>
      </c>
      <c r="D570" s="43">
        <v>15</v>
      </c>
      <c r="E570" s="47">
        <v>0.88200000000000001</v>
      </c>
      <c r="F570" s="47">
        <v>2.7331388990156761E-3</v>
      </c>
      <c r="G570" s="43">
        <v>0</v>
      </c>
    </row>
    <row r="571" spans="1:10" x14ac:dyDescent="0.25">
      <c r="A571" s="43" t="s">
        <v>2872</v>
      </c>
      <c r="B571" s="43">
        <v>143</v>
      </c>
      <c r="C571" s="47">
        <v>2.6066350710900472E-2</v>
      </c>
      <c r="D571" s="43">
        <v>127</v>
      </c>
      <c r="E571" s="47">
        <v>0.88800000000000001</v>
      </c>
      <c r="F571" s="47">
        <v>2.3146919431279622E-2</v>
      </c>
      <c r="G571" s="43">
        <v>1</v>
      </c>
    </row>
    <row r="572" spans="1:10" hidden="1" x14ac:dyDescent="0.25">
      <c r="A572" s="43" t="s">
        <v>2997</v>
      </c>
      <c r="B572" s="43">
        <v>9</v>
      </c>
      <c r="C572" s="47">
        <v>1.6405395552314983E-3</v>
      </c>
      <c r="D572" s="43">
        <v>8</v>
      </c>
      <c r="E572" s="47">
        <v>0.88900000000000001</v>
      </c>
      <c r="F572" s="47">
        <v>1.4584396646008019E-3</v>
      </c>
      <c r="G572" s="43">
        <v>0</v>
      </c>
      <c r="I572"/>
      <c r="J572"/>
    </row>
    <row r="573" spans="1:10" hidden="1" x14ac:dyDescent="0.25">
      <c r="A573" s="43" t="s">
        <v>2998</v>
      </c>
      <c r="B573" s="43">
        <v>9</v>
      </c>
      <c r="C573" s="47">
        <v>1.6405395552314983E-3</v>
      </c>
      <c r="D573" s="43">
        <v>8</v>
      </c>
      <c r="E573" s="47">
        <v>0.88900000000000001</v>
      </c>
      <c r="F573" s="47">
        <v>1.4584396646008019E-3</v>
      </c>
      <c r="G573" s="43">
        <v>0</v>
      </c>
      <c r="I573"/>
      <c r="J573"/>
    </row>
    <row r="574" spans="1:10" hidden="1" x14ac:dyDescent="0.25">
      <c r="A574" s="43" t="s">
        <v>2999</v>
      </c>
      <c r="B574" s="43">
        <v>9</v>
      </c>
      <c r="C574" s="47">
        <v>1.6405395552314983E-3</v>
      </c>
      <c r="D574" s="43">
        <v>8</v>
      </c>
      <c r="E574" s="47">
        <v>0.88900000000000001</v>
      </c>
      <c r="F574" s="47">
        <v>1.4584396646008019E-3</v>
      </c>
      <c r="G574" s="43">
        <v>1</v>
      </c>
      <c r="I574"/>
      <c r="J574"/>
    </row>
    <row r="575" spans="1:10" hidden="1" x14ac:dyDescent="0.25">
      <c r="A575" s="43" t="s">
        <v>1177</v>
      </c>
      <c r="B575" s="43">
        <v>9</v>
      </c>
      <c r="C575" s="47">
        <v>1.6405395552314983E-3</v>
      </c>
      <c r="D575" s="43">
        <v>8</v>
      </c>
      <c r="E575" s="47">
        <v>0.88900000000000001</v>
      </c>
      <c r="F575" s="47">
        <v>1.4584396646008019E-3</v>
      </c>
      <c r="G575" s="43">
        <v>0</v>
      </c>
      <c r="I575"/>
      <c r="J575"/>
    </row>
    <row r="576" spans="1:10" x14ac:dyDescent="0.25">
      <c r="A576" s="43" t="s">
        <v>2934</v>
      </c>
      <c r="B576" s="43">
        <v>18</v>
      </c>
      <c r="C576" s="47">
        <v>3.2810791104629965E-3</v>
      </c>
      <c r="D576" s="43">
        <v>16</v>
      </c>
      <c r="E576" s="47">
        <v>0.88900000000000001</v>
      </c>
      <c r="F576" s="47">
        <v>2.9168793292016037E-3</v>
      </c>
      <c r="G576" s="43">
        <v>0</v>
      </c>
    </row>
    <row r="577" spans="1:10" x14ac:dyDescent="0.25">
      <c r="A577" s="43" t="s">
        <v>2935</v>
      </c>
      <c r="B577" s="43">
        <v>18</v>
      </c>
      <c r="C577" s="47">
        <v>3.2810791104629965E-3</v>
      </c>
      <c r="D577" s="43">
        <v>16</v>
      </c>
      <c r="E577" s="47">
        <v>0.88900000000000001</v>
      </c>
      <c r="F577" s="47">
        <v>2.9168793292016037E-3</v>
      </c>
      <c r="G577" s="43">
        <v>0</v>
      </c>
    </row>
    <row r="578" spans="1:10" x14ac:dyDescent="0.25">
      <c r="A578" s="43" t="s">
        <v>2929</v>
      </c>
      <c r="B578" s="43">
        <v>19</v>
      </c>
      <c r="C578" s="47">
        <v>3.4633612832664965E-3</v>
      </c>
      <c r="D578" s="43">
        <v>17</v>
      </c>
      <c r="E578" s="47">
        <v>0.89500000000000002</v>
      </c>
      <c r="F578" s="47">
        <v>3.0997083485235144E-3</v>
      </c>
      <c r="G578" s="43">
        <v>1</v>
      </c>
    </row>
    <row r="579" spans="1:10" x14ac:dyDescent="0.25">
      <c r="A579" s="43" t="s">
        <v>2964</v>
      </c>
      <c r="B579" s="43">
        <v>11</v>
      </c>
      <c r="C579" s="47">
        <v>2.0051039008384978E-3</v>
      </c>
      <c r="D579" s="43">
        <v>10</v>
      </c>
      <c r="E579" s="47">
        <v>0.90900000000000003</v>
      </c>
      <c r="F579" s="47">
        <v>1.8226394458621946E-3</v>
      </c>
      <c r="G579" s="43">
        <v>1</v>
      </c>
    </row>
    <row r="580" spans="1:10" x14ac:dyDescent="0.25">
      <c r="A580" s="43" t="s">
        <v>2965</v>
      </c>
      <c r="B580" s="43">
        <v>11</v>
      </c>
      <c r="C580" s="47">
        <v>2.0051039008384978E-3</v>
      </c>
      <c r="D580" s="43">
        <v>10</v>
      </c>
      <c r="E580" s="47">
        <v>0.90900000000000003</v>
      </c>
      <c r="F580" s="47">
        <v>1.8226394458621946E-3</v>
      </c>
      <c r="G580" s="43">
        <v>1</v>
      </c>
    </row>
    <row r="581" spans="1:10" x14ac:dyDescent="0.25">
      <c r="A581" s="43" t="s">
        <v>2886</v>
      </c>
      <c r="B581" s="43">
        <v>33</v>
      </c>
      <c r="C581" s="47">
        <v>6.0153117025154943E-3</v>
      </c>
      <c r="D581" s="43">
        <v>30</v>
      </c>
      <c r="E581" s="47">
        <v>0.90900000000000003</v>
      </c>
      <c r="F581" s="47">
        <v>5.4679183375865841E-3</v>
      </c>
      <c r="G581" s="43">
        <v>1</v>
      </c>
    </row>
    <row r="582" spans="1:10" x14ac:dyDescent="0.25">
      <c r="A582" s="43" t="s">
        <v>2880</v>
      </c>
      <c r="B582" s="43">
        <v>44</v>
      </c>
      <c r="C582" s="47">
        <v>8.0204156033539913E-3</v>
      </c>
      <c r="D582" s="43">
        <v>40</v>
      </c>
      <c r="E582" s="47">
        <v>0.90900000000000003</v>
      </c>
      <c r="F582" s="47">
        <v>7.2905577834487785E-3</v>
      </c>
      <c r="G582" s="43">
        <v>1</v>
      </c>
    </row>
    <row r="583" spans="1:10" x14ac:dyDescent="0.25">
      <c r="A583" s="43" t="s">
        <v>2911</v>
      </c>
      <c r="B583" s="43">
        <v>23</v>
      </c>
      <c r="C583" s="47">
        <v>4.1924899744804961E-3</v>
      </c>
      <c r="D583" s="43">
        <v>21</v>
      </c>
      <c r="E583" s="47">
        <v>0.91300000000000003</v>
      </c>
      <c r="F583" s="47">
        <v>3.8277433467006931E-3</v>
      </c>
      <c r="G583" s="43">
        <v>1</v>
      </c>
    </row>
    <row r="584" spans="1:10" x14ac:dyDescent="0.25">
      <c r="A584" s="43" t="s">
        <v>2882</v>
      </c>
      <c r="B584" s="43">
        <v>37</v>
      </c>
      <c r="C584" s="47">
        <v>6.7444403937294934E-3</v>
      </c>
      <c r="D584" s="43">
        <v>34</v>
      </c>
      <c r="E584" s="47">
        <v>0.91900000000000004</v>
      </c>
      <c r="F584" s="47">
        <v>6.1981407218374045E-3</v>
      </c>
      <c r="G584" s="43">
        <v>1</v>
      </c>
    </row>
    <row r="585" spans="1:10" x14ac:dyDescent="0.25">
      <c r="A585" s="43" t="s">
        <v>2894</v>
      </c>
      <c r="B585" s="43">
        <v>26</v>
      </c>
      <c r="C585" s="47">
        <v>4.7393364928909956E-3</v>
      </c>
      <c r="D585" s="43">
        <v>24</v>
      </c>
      <c r="E585" s="47">
        <v>0.92300000000000004</v>
      </c>
      <c r="F585" s="47">
        <v>4.3744075829383888E-3</v>
      </c>
      <c r="G585" s="43">
        <v>1</v>
      </c>
    </row>
    <row r="586" spans="1:10" x14ac:dyDescent="0.25">
      <c r="A586" s="43" t="s">
        <v>2946</v>
      </c>
      <c r="B586" s="43">
        <v>15</v>
      </c>
      <c r="C586" s="47">
        <v>2.7342325920524974E-3</v>
      </c>
      <c r="D586" s="43">
        <v>14</v>
      </c>
      <c r="E586" s="47">
        <v>0.93300000000000005</v>
      </c>
      <c r="F586" s="47">
        <v>2.5510390083849804E-3</v>
      </c>
      <c r="G586" s="43">
        <v>0</v>
      </c>
    </row>
    <row r="587" spans="1:10" x14ac:dyDescent="0.25">
      <c r="A587" s="43" t="s">
        <v>2933</v>
      </c>
      <c r="B587" s="43">
        <v>18</v>
      </c>
      <c r="C587" s="47">
        <v>3.2810791104629965E-3</v>
      </c>
      <c r="D587" s="43">
        <v>17</v>
      </c>
      <c r="E587" s="47">
        <v>0.94399999999999995</v>
      </c>
      <c r="F587" s="47">
        <v>3.0973386802770684E-3</v>
      </c>
      <c r="G587" s="43">
        <v>0</v>
      </c>
    </row>
    <row r="588" spans="1:10" hidden="1" x14ac:dyDescent="0.25">
      <c r="A588" s="43" t="s">
        <v>3037</v>
      </c>
      <c r="B588" s="43">
        <v>5</v>
      </c>
      <c r="C588" s="47">
        <v>9.1141086401749912E-4</v>
      </c>
      <c r="D588" s="43">
        <v>5</v>
      </c>
      <c r="E588" s="47">
        <v>1</v>
      </c>
      <c r="F588" s="47">
        <v>9.1141086401749912E-4</v>
      </c>
      <c r="G588" s="43">
        <v>0</v>
      </c>
      <c r="I588"/>
      <c r="J588"/>
    </row>
    <row r="589" spans="1:10" hidden="1" x14ac:dyDescent="0.25">
      <c r="A589" s="43" t="s">
        <v>920</v>
      </c>
      <c r="B589" s="43">
        <v>5</v>
      </c>
      <c r="C589" s="47">
        <v>9.1141086401749912E-4</v>
      </c>
      <c r="D589" s="43">
        <v>5</v>
      </c>
      <c r="E589" s="47">
        <v>1</v>
      </c>
      <c r="F589" s="47">
        <v>9.1141086401749912E-4</v>
      </c>
      <c r="G589" s="43">
        <v>1</v>
      </c>
      <c r="I589"/>
      <c r="J589"/>
    </row>
    <row r="590" spans="1:10" hidden="1" x14ac:dyDescent="0.25">
      <c r="A590" s="43" t="s">
        <v>927</v>
      </c>
      <c r="B590" s="43">
        <v>5</v>
      </c>
      <c r="C590" s="47">
        <v>9.1141086401749912E-4</v>
      </c>
      <c r="D590" s="43">
        <v>5</v>
      </c>
      <c r="E590" s="47">
        <v>1</v>
      </c>
      <c r="F590" s="47">
        <v>9.1141086401749912E-4</v>
      </c>
      <c r="G590" s="43">
        <v>1</v>
      </c>
      <c r="I590"/>
      <c r="J590"/>
    </row>
    <row r="591" spans="1:10" hidden="1" x14ac:dyDescent="0.25">
      <c r="A591" s="43" t="s">
        <v>3038</v>
      </c>
      <c r="B591" s="43">
        <v>5</v>
      </c>
      <c r="C591" s="47">
        <v>9.1141086401749912E-4</v>
      </c>
      <c r="D591" s="43">
        <v>5</v>
      </c>
      <c r="E591" s="47">
        <v>1</v>
      </c>
      <c r="F591" s="47">
        <v>9.1141086401749912E-4</v>
      </c>
      <c r="G591" s="43">
        <v>0</v>
      </c>
      <c r="I591"/>
      <c r="J591"/>
    </row>
    <row r="592" spans="1:10" hidden="1" x14ac:dyDescent="0.25">
      <c r="A592" s="43" t="s">
        <v>355</v>
      </c>
      <c r="B592" s="43">
        <v>5</v>
      </c>
      <c r="C592" s="47">
        <v>9.1141086401749912E-4</v>
      </c>
      <c r="D592" s="43">
        <v>5</v>
      </c>
      <c r="E592" s="47">
        <v>1</v>
      </c>
      <c r="F592" s="47">
        <v>9.1141086401749912E-4</v>
      </c>
      <c r="G592" s="43">
        <v>0</v>
      </c>
      <c r="I592"/>
      <c r="J592"/>
    </row>
    <row r="593" spans="1:10" hidden="1" x14ac:dyDescent="0.25">
      <c r="A593" s="43" t="s">
        <v>3039</v>
      </c>
      <c r="B593" s="43">
        <v>5</v>
      </c>
      <c r="C593" s="47">
        <v>9.1141086401749912E-4</v>
      </c>
      <c r="D593" s="43">
        <v>5</v>
      </c>
      <c r="E593" s="47">
        <v>1</v>
      </c>
      <c r="F593" s="47">
        <v>9.1141086401749912E-4</v>
      </c>
      <c r="G593" s="43">
        <v>0</v>
      </c>
      <c r="I593"/>
      <c r="J593"/>
    </row>
    <row r="594" spans="1:10" hidden="1" x14ac:dyDescent="0.25">
      <c r="A594" s="43" t="s">
        <v>1179</v>
      </c>
      <c r="B594" s="43">
        <v>9</v>
      </c>
      <c r="C594" s="47">
        <v>1.6405395552314983E-3</v>
      </c>
      <c r="D594" s="43">
        <v>9</v>
      </c>
      <c r="E594" s="47">
        <v>1</v>
      </c>
      <c r="F594" s="47">
        <v>1.6405395552314983E-3</v>
      </c>
      <c r="G594" s="43">
        <v>1</v>
      </c>
      <c r="I594"/>
      <c r="J594"/>
    </row>
    <row r="595" spans="1:10" x14ac:dyDescent="0.25">
      <c r="A595" s="43" t="s">
        <v>2982</v>
      </c>
      <c r="B595" s="43">
        <v>10</v>
      </c>
      <c r="C595" s="47">
        <v>1.8228217280349982E-3</v>
      </c>
      <c r="D595" s="43">
        <v>10</v>
      </c>
      <c r="E595" s="47">
        <v>1</v>
      </c>
      <c r="F595" s="47">
        <v>1.8228217280349982E-3</v>
      </c>
      <c r="G595" s="43">
        <v>0</v>
      </c>
    </row>
    <row r="596" spans="1:10" x14ac:dyDescent="0.25">
      <c r="A596" s="43" t="s">
        <v>832</v>
      </c>
      <c r="B596" s="43">
        <v>10</v>
      </c>
      <c r="C596" s="47">
        <v>1.8228217280349982E-3</v>
      </c>
      <c r="D596" s="43">
        <v>10</v>
      </c>
      <c r="E596" s="47">
        <v>1</v>
      </c>
      <c r="F596" s="47">
        <v>1.8228217280349982E-3</v>
      </c>
      <c r="G596" s="43">
        <v>1</v>
      </c>
    </row>
    <row r="597" spans="1:10" x14ac:dyDescent="0.25">
      <c r="A597" s="43" t="s">
        <v>2954</v>
      </c>
      <c r="B597" s="43">
        <v>12</v>
      </c>
      <c r="C597" s="47">
        <v>2.1873860736419978E-3</v>
      </c>
      <c r="D597" s="43">
        <v>12</v>
      </c>
      <c r="E597" s="47">
        <v>1</v>
      </c>
      <c r="F597" s="47">
        <v>2.1873860736419978E-3</v>
      </c>
      <c r="G597" s="43">
        <v>1</v>
      </c>
    </row>
    <row r="598" spans="1:10" hidden="1" x14ac:dyDescent="0.25">
      <c r="A598" s="43" t="s">
        <v>1601</v>
      </c>
      <c r="B598" s="43">
        <v>0</v>
      </c>
      <c r="C598" s="47">
        <v>0</v>
      </c>
      <c r="D598" s="50">
        <v>0</v>
      </c>
      <c r="E598" s="49"/>
      <c r="F598" s="49"/>
      <c r="G598" s="50">
        <v>1</v>
      </c>
      <c r="H598" s="50" t="s">
        <v>3269</v>
      </c>
      <c r="I598"/>
      <c r="J598"/>
    </row>
    <row r="599" spans="1:10" hidden="1" x14ac:dyDescent="0.25">
      <c r="A599" s="52" t="s">
        <v>1971</v>
      </c>
      <c r="B599" s="52">
        <v>0</v>
      </c>
      <c r="C599" s="53">
        <v>0</v>
      </c>
      <c r="D599" s="54">
        <v>0</v>
      </c>
      <c r="E599" s="55"/>
      <c r="F599" s="55"/>
      <c r="G599" s="54">
        <v>1</v>
      </c>
      <c r="H599" s="54" t="s">
        <v>3269</v>
      </c>
      <c r="I599"/>
      <c r="J599"/>
    </row>
    <row r="600" spans="1:10" hidden="1" x14ac:dyDescent="0.25">
      <c r="A600" s="43" t="s">
        <v>3265</v>
      </c>
      <c r="B600" s="43">
        <v>0</v>
      </c>
      <c r="C600" s="47">
        <v>0</v>
      </c>
      <c r="D600" s="50">
        <v>0</v>
      </c>
      <c r="E600" s="49"/>
      <c r="F600" s="49"/>
      <c r="G600" s="50">
        <v>1</v>
      </c>
      <c r="H600" s="50" t="s">
        <v>3269</v>
      </c>
      <c r="I600"/>
      <c r="J600"/>
    </row>
    <row r="601" spans="1:10" hidden="1" x14ac:dyDescent="0.25">
      <c r="A601" s="43" t="s">
        <v>1970</v>
      </c>
      <c r="B601" s="43">
        <v>0</v>
      </c>
      <c r="C601" s="47">
        <v>0</v>
      </c>
      <c r="D601" s="50">
        <v>0</v>
      </c>
      <c r="E601" s="49"/>
      <c r="F601" s="49"/>
      <c r="G601" s="50">
        <v>1</v>
      </c>
      <c r="H601" s="50" t="s">
        <v>3269</v>
      </c>
      <c r="I601"/>
      <c r="J601"/>
    </row>
    <row r="602" spans="1:10" x14ac:dyDescent="0.25">
      <c r="A602" s="45" t="s">
        <v>3270</v>
      </c>
      <c r="B602" s="43">
        <v>5486</v>
      </c>
      <c r="C602" s="47">
        <v>1</v>
      </c>
      <c r="D602" s="43"/>
      <c r="E602" s="47"/>
      <c r="F602" s="47"/>
      <c r="G602" s="43"/>
    </row>
  </sheetData>
  <autoFilter ref="A1:I602" xr:uid="{CC3308AD-6180-4A29-92EF-261F6FB654E2}">
    <filterColumn colId="1">
      <filters blank="1">
        <filter val="10"/>
        <filter val="102"/>
        <filter val="11"/>
        <filter val="117"/>
        <filter val="12"/>
        <filter val="13"/>
        <filter val="14"/>
        <filter val="143"/>
        <filter val="15"/>
        <filter val="16"/>
        <filter val="17"/>
        <filter val="18"/>
        <filter val="19"/>
        <filter val="20"/>
        <filter val="21"/>
        <filter val="22"/>
        <filter val="23"/>
        <filter val="24"/>
        <filter val="25"/>
        <filter val="26"/>
        <filter val="27"/>
        <filter val="28"/>
        <filter val="29"/>
        <filter val="30"/>
        <filter val="31"/>
        <filter val="32"/>
        <filter val="33"/>
        <filter val="35"/>
        <filter val="351"/>
        <filter val="36"/>
        <filter val="37"/>
        <filter val="38"/>
        <filter val="40"/>
        <filter val="41"/>
        <filter val="42"/>
        <filter val="44"/>
        <filter val="46"/>
        <filter val="5486"/>
        <filter val="63"/>
        <filter val="65"/>
        <filter val="89"/>
      </filters>
    </filterColumn>
    <sortState xmlns:xlrd2="http://schemas.microsoft.com/office/spreadsheetml/2017/richdata2" ref="A8:I602">
      <sortCondition ref="E2:E602"/>
    </sortState>
  </autoFilter>
  <conditionalFormatting sqref="E2:E595">
    <cfRule type="cellIs" dxfId="1" priority="2" operator="greaterThan">
      <formula>0.6018</formula>
    </cfRule>
  </conditionalFormatting>
  <conditionalFormatting sqref="I2">
    <cfRule type="cellIs" dxfId="0" priority="1" operator="greaterThan">
      <formula>0.6018</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C495-784F-4EB8-AF17-4C16B5735987}">
  <dimension ref="A1:E78"/>
  <sheetViews>
    <sheetView topLeftCell="A43" workbookViewId="0">
      <selection activeCell="B59" sqref="B59"/>
    </sheetView>
  </sheetViews>
  <sheetFormatPr defaultRowHeight="15.75" x14ac:dyDescent="0.25"/>
  <cols>
    <col min="1" max="1" width="21.875" customWidth="1"/>
    <col min="2" max="2" width="33.125" customWidth="1"/>
    <col min="3" max="3" width="14.375" customWidth="1"/>
    <col min="4" max="4" width="25.375" customWidth="1"/>
    <col min="5" max="5" width="9" style="58"/>
  </cols>
  <sheetData>
    <row r="1" spans="1:5" x14ac:dyDescent="0.25">
      <c r="A1" s="45" t="s">
        <v>3278</v>
      </c>
      <c r="B1" s="45" t="s">
        <v>3279</v>
      </c>
      <c r="C1" s="45" t="s">
        <v>2217</v>
      </c>
      <c r="D1" s="45" t="s">
        <v>3280</v>
      </c>
      <c r="E1" s="57" t="s">
        <v>3338</v>
      </c>
    </row>
    <row r="2" spans="1:5" x14ac:dyDescent="0.25">
      <c r="A2" s="43" t="s">
        <v>3281</v>
      </c>
      <c r="B2" s="43" t="s">
        <v>386</v>
      </c>
      <c r="C2" s="43" t="s">
        <v>2218</v>
      </c>
      <c r="D2" s="43" t="s">
        <v>3282</v>
      </c>
      <c r="E2" s="58">
        <v>1.8850638651680509</v>
      </c>
    </row>
    <row r="3" spans="1:5" x14ac:dyDescent="0.25">
      <c r="A3" s="43" t="s">
        <v>3281</v>
      </c>
      <c r="B3" s="43" t="s">
        <v>410</v>
      </c>
      <c r="C3" s="43" t="s">
        <v>2219</v>
      </c>
      <c r="D3" s="43" t="s">
        <v>3283</v>
      </c>
      <c r="E3" s="58">
        <v>0.79353177365203531</v>
      </c>
    </row>
    <row r="4" spans="1:5" x14ac:dyDescent="0.25">
      <c r="A4" s="43" t="s">
        <v>3281</v>
      </c>
      <c r="B4" s="43" t="s">
        <v>552</v>
      </c>
      <c r="C4" s="43" t="s">
        <v>2220</v>
      </c>
      <c r="D4" s="43" t="s">
        <v>3284</v>
      </c>
      <c r="E4" s="58">
        <v>1.2913113210525022</v>
      </c>
    </row>
    <row r="5" spans="1:5" x14ac:dyDescent="0.25">
      <c r="A5" s="43" t="s">
        <v>3281</v>
      </c>
      <c r="B5" s="43" t="s">
        <v>782</v>
      </c>
      <c r="C5" s="43" t="s">
        <v>2221</v>
      </c>
      <c r="D5" s="43" t="s">
        <v>3284</v>
      </c>
      <c r="E5" s="58">
        <v>1.2913113210525022</v>
      </c>
    </row>
    <row r="6" spans="1:5" x14ac:dyDescent="0.25">
      <c r="A6" s="43" t="s">
        <v>3281</v>
      </c>
      <c r="B6" s="43" t="s">
        <v>1141</v>
      </c>
      <c r="C6" s="43" t="s">
        <v>2222</v>
      </c>
      <c r="D6" s="43" t="s">
        <v>3285</v>
      </c>
      <c r="E6" s="58">
        <v>1.9812882161814873</v>
      </c>
    </row>
    <row r="7" spans="1:5" x14ac:dyDescent="0.25">
      <c r="A7" s="43" t="s">
        <v>3281</v>
      </c>
      <c r="B7" s="43" t="s">
        <v>1457</v>
      </c>
      <c r="C7" s="43" t="s">
        <v>2223</v>
      </c>
      <c r="D7" s="43" t="s">
        <v>3284</v>
      </c>
      <c r="E7" s="58">
        <v>1.2913113210525022</v>
      </c>
    </row>
    <row r="8" spans="1:5" x14ac:dyDescent="0.25">
      <c r="A8" s="43" t="s">
        <v>3281</v>
      </c>
      <c r="B8" s="43" t="s">
        <v>1863</v>
      </c>
      <c r="C8" s="43" t="s">
        <v>2224</v>
      </c>
      <c r="D8" s="43" t="s">
        <v>3284</v>
      </c>
      <c r="E8" s="58">
        <v>1.2913113210525022</v>
      </c>
    </row>
    <row r="9" spans="1:5" x14ac:dyDescent="0.25">
      <c r="A9" s="43" t="s">
        <v>3286</v>
      </c>
      <c r="B9" s="43" t="s">
        <v>659</v>
      </c>
      <c r="C9" s="43" t="s">
        <v>2225</v>
      </c>
      <c r="D9" s="43" t="s">
        <v>3287</v>
      </c>
      <c r="E9" s="58">
        <v>0.20018522496056337</v>
      </c>
    </row>
    <row r="10" spans="1:5" x14ac:dyDescent="0.25">
      <c r="A10" s="43" t="s">
        <v>3286</v>
      </c>
      <c r="B10" s="43" t="s">
        <v>610</v>
      </c>
      <c r="C10" s="43" t="s">
        <v>3288</v>
      </c>
      <c r="D10" s="43" t="s">
        <v>3289</v>
      </c>
      <c r="E10" s="58">
        <v>2.556210974901537E-2</v>
      </c>
    </row>
    <row r="11" spans="1:5" x14ac:dyDescent="0.25">
      <c r="A11" s="43" t="s">
        <v>3286</v>
      </c>
      <c r="B11" s="43" t="s">
        <v>2292</v>
      </c>
      <c r="C11" s="43" t="s">
        <v>2226</v>
      </c>
      <c r="D11" s="43" t="s">
        <v>3290</v>
      </c>
      <c r="E11" s="58">
        <v>9.8847170181331101E-2</v>
      </c>
    </row>
    <row r="12" spans="1:5" x14ac:dyDescent="0.25">
      <c r="A12" s="43" t="s">
        <v>3286</v>
      </c>
      <c r="B12" s="43" t="s">
        <v>1245</v>
      </c>
      <c r="C12" s="43" t="s">
        <v>2227</v>
      </c>
      <c r="D12" s="43" t="s">
        <v>3289</v>
      </c>
      <c r="E12" s="58">
        <v>2.556210974901537E-2</v>
      </c>
    </row>
    <row r="13" spans="1:5" x14ac:dyDescent="0.25">
      <c r="A13" s="43" t="s">
        <v>3286</v>
      </c>
      <c r="B13" s="43" t="s">
        <v>2293</v>
      </c>
      <c r="C13" s="43" t="s">
        <v>2228</v>
      </c>
      <c r="D13" s="43" t="s">
        <v>3290</v>
      </c>
      <c r="E13" s="58">
        <v>9.8847170181331101E-2</v>
      </c>
    </row>
    <row r="14" spans="1:5" x14ac:dyDescent="0.25">
      <c r="A14" s="43" t="s">
        <v>3286</v>
      </c>
      <c r="B14" s="43" t="s">
        <v>1390</v>
      </c>
      <c r="C14" s="43" t="s">
        <v>2229</v>
      </c>
      <c r="D14" s="43" t="s">
        <v>3289</v>
      </c>
      <c r="E14" s="58">
        <v>2.556210974901537E-2</v>
      </c>
    </row>
    <row r="15" spans="1:5" x14ac:dyDescent="0.25">
      <c r="A15" s="43" t="s">
        <v>3286</v>
      </c>
      <c r="B15" s="43" t="s">
        <v>2294</v>
      </c>
      <c r="C15" s="43" t="s">
        <v>2230</v>
      </c>
      <c r="D15" s="43" t="s">
        <v>3290</v>
      </c>
      <c r="E15" s="58">
        <v>9.8847170181331101E-2</v>
      </c>
    </row>
    <row r="16" spans="1:5" x14ac:dyDescent="0.25">
      <c r="A16" s="43" t="s">
        <v>3286</v>
      </c>
      <c r="B16" s="43" t="s">
        <v>2295</v>
      </c>
      <c r="C16" s="43" t="s">
        <v>2231</v>
      </c>
      <c r="D16" s="43" t="s">
        <v>3290</v>
      </c>
      <c r="E16" s="58">
        <v>9.8847170181331101E-2</v>
      </c>
    </row>
    <row r="17" spans="1:5" x14ac:dyDescent="0.25">
      <c r="A17" s="43" t="s">
        <v>3291</v>
      </c>
      <c r="B17" s="43" t="s">
        <v>377</v>
      </c>
      <c r="C17" s="43" t="s">
        <v>3292</v>
      </c>
      <c r="D17" s="43" t="s">
        <v>3293</v>
      </c>
      <c r="E17" s="58">
        <v>1.3660612440230226</v>
      </c>
    </row>
    <row r="18" spans="1:5" x14ac:dyDescent="0.25">
      <c r="A18" s="43" t="s">
        <v>3291</v>
      </c>
      <c r="B18" s="43" t="s">
        <v>302</v>
      </c>
      <c r="C18" s="43" t="s">
        <v>2232</v>
      </c>
      <c r="D18" s="43" t="s">
        <v>3293</v>
      </c>
      <c r="E18" s="58">
        <v>1.3660612440230226</v>
      </c>
    </row>
    <row r="19" spans="1:5" x14ac:dyDescent="0.25">
      <c r="A19" s="43" t="s">
        <v>3291</v>
      </c>
      <c r="B19" s="43" t="s">
        <v>917</v>
      </c>
      <c r="C19" s="43" t="s">
        <v>2233</v>
      </c>
      <c r="D19" s="43" t="s">
        <v>3294</v>
      </c>
      <c r="E19" s="58">
        <v>1.5436962229219706</v>
      </c>
    </row>
    <row r="20" spans="1:5" x14ac:dyDescent="0.25">
      <c r="A20" s="43" t="s">
        <v>3291</v>
      </c>
      <c r="B20" s="43" t="s">
        <v>1312</v>
      </c>
      <c r="C20" s="43" t="s">
        <v>2234</v>
      </c>
      <c r="D20" s="43" t="s">
        <v>3293</v>
      </c>
      <c r="E20" s="58">
        <v>1.3660612440230226</v>
      </c>
    </row>
    <row r="21" spans="1:5" x14ac:dyDescent="0.25">
      <c r="A21" s="43" t="s">
        <v>3291</v>
      </c>
      <c r="B21" s="43" t="s">
        <v>1474</v>
      </c>
      <c r="C21" s="43" t="s">
        <v>2235</v>
      </c>
      <c r="D21" s="43" t="s">
        <v>3293</v>
      </c>
      <c r="E21" s="58">
        <v>1.3660612440230226</v>
      </c>
    </row>
    <row r="22" spans="1:5" x14ac:dyDescent="0.25">
      <c r="A22" s="43" t="s">
        <v>3291</v>
      </c>
      <c r="B22" s="43" t="s">
        <v>1613</v>
      </c>
      <c r="C22" s="43" t="s">
        <v>2236</v>
      </c>
      <c r="D22" s="43" t="s">
        <v>3293</v>
      </c>
      <c r="E22" s="58">
        <v>1.3660612440230226</v>
      </c>
    </row>
    <row r="23" spans="1:5" x14ac:dyDescent="0.25">
      <c r="A23" s="43" t="s">
        <v>3291</v>
      </c>
      <c r="B23" s="43" t="s">
        <v>1723</v>
      </c>
      <c r="C23" s="43" t="s">
        <v>2237</v>
      </c>
      <c r="D23" s="43" t="s">
        <v>3294</v>
      </c>
      <c r="E23" s="58">
        <v>1.5436962229219706</v>
      </c>
    </row>
    <row r="24" spans="1:5" x14ac:dyDescent="0.25">
      <c r="A24" s="43" t="s">
        <v>3291</v>
      </c>
      <c r="B24" s="43" t="s">
        <v>1854</v>
      </c>
      <c r="C24" s="43" t="s">
        <v>2238</v>
      </c>
      <c r="D24" s="43" t="s">
        <v>3293</v>
      </c>
      <c r="E24" s="58">
        <v>1.3660612440230226</v>
      </c>
    </row>
    <row r="25" spans="1:5" x14ac:dyDescent="0.25">
      <c r="A25" s="43" t="s">
        <v>3295</v>
      </c>
      <c r="B25" s="43" t="s">
        <v>422</v>
      </c>
      <c r="C25" s="43" t="s">
        <v>2239</v>
      </c>
      <c r="D25" s="43" t="s">
        <v>3296</v>
      </c>
      <c r="E25" s="58">
        <v>0.81663420347695848</v>
      </c>
    </row>
    <row r="26" spans="1:5" x14ac:dyDescent="0.25">
      <c r="A26" s="43" t="s">
        <v>3295</v>
      </c>
      <c r="B26" s="43" t="s">
        <v>636</v>
      </c>
      <c r="C26" s="43" t="s">
        <v>2240</v>
      </c>
      <c r="D26" s="43" t="s">
        <v>3297</v>
      </c>
      <c r="E26" s="58">
        <v>0.63661998100519512</v>
      </c>
    </row>
    <row r="27" spans="1:5" x14ac:dyDescent="0.25">
      <c r="A27" s="43" t="s">
        <v>3295</v>
      </c>
      <c r="B27" s="43" t="s">
        <v>682</v>
      </c>
      <c r="C27" s="43" t="s">
        <v>2241</v>
      </c>
      <c r="D27" s="43" t="s">
        <v>3297</v>
      </c>
      <c r="E27" s="58">
        <v>0.63661998100519512</v>
      </c>
    </row>
    <row r="28" spans="1:5" x14ac:dyDescent="0.25">
      <c r="A28" s="43" t="s">
        <v>3295</v>
      </c>
      <c r="B28" s="43" t="s">
        <v>1764</v>
      </c>
      <c r="C28" s="43" t="s">
        <v>3298</v>
      </c>
      <c r="D28" s="43" t="s">
        <v>3296</v>
      </c>
      <c r="E28" s="58">
        <v>0.81663420347695848</v>
      </c>
    </row>
    <row r="29" spans="1:5" x14ac:dyDescent="0.25">
      <c r="A29" s="43" t="s">
        <v>3295</v>
      </c>
      <c r="B29" s="43" t="s">
        <v>1220</v>
      </c>
      <c r="C29" s="43" t="s">
        <v>2242</v>
      </c>
      <c r="D29" s="43" t="s">
        <v>3296</v>
      </c>
      <c r="E29" s="58">
        <v>0.81663420347695848</v>
      </c>
    </row>
    <row r="30" spans="1:5" x14ac:dyDescent="0.25">
      <c r="A30" s="43" t="s">
        <v>3295</v>
      </c>
      <c r="B30" s="43" t="s">
        <v>1169</v>
      </c>
      <c r="C30" s="43" t="s">
        <v>2243</v>
      </c>
      <c r="D30" s="43" t="s">
        <v>3299</v>
      </c>
      <c r="E30" s="58">
        <v>0.64597693027534786</v>
      </c>
    </row>
    <row r="31" spans="1:5" x14ac:dyDescent="0.25">
      <c r="A31" s="43" t="s">
        <v>3295</v>
      </c>
      <c r="B31" s="43" t="s">
        <v>1436</v>
      </c>
      <c r="C31" s="43" t="s">
        <v>2244</v>
      </c>
      <c r="D31" s="43" t="s">
        <v>3297</v>
      </c>
      <c r="E31" s="58">
        <v>0.63661998100519512</v>
      </c>
    </row>
    <row r="32" spans="1:5" x14ac:dyDescent="0.25">
      <c r="A32" s="43" t="s">
        <v>3300</v>
      </c>
      <c r="B32" s="43" t="s">
        <v>506</v>
      </c>
      <c r="C32" s="43" t="s">
        <v>2245</v>
      </c>
      <c r="D32" s="43" t="s">
        <v>3301</v>
      </c>
      <c r="E32" s="58">
        <v>0.87961048003395859</v>
      </c>
    </row>
    <row r="33" spans="1:5" x14ac:dyDescent="0.25">
      <c r="A33" s="43" t="s">
        <v>3300</v>
      </c>
      <c r="B33" s="43" t="s">
        <v>1077</v>
      </c>
      <c r="C33" s="43" t="s">
        <v>2246</v>
      </c>
      <c r="D33" s="43" t="s">
        <v>3302</v>
      </c>
      <c r="E33" s="58">
        <v>1.9182562994551242</v>
      </c>
    </row>
    <row r="34" spans="1:5" x14ac:dyDescent="0.25">
      <c r="A34" s="43" t="s">
        <v>3300</v>
      </c>
      <c r="B34" s="43" t="s">
        <v>760</v>
      </c>
      <c r="C34" s="43" t="s">
        <v>2247</v>
      </c>
      <c r="D34" s="43" t="s">
        <v>3303</v>
      </c>
      <c r="E34" s="58">
        <v>1.7473364023419138</v>
      </c>
    </row>
    <row r="35" spans="1:5" x14ac:dyDescent="0.25">
      <c r="A35" s="43" t="s">
        <v>3300</v>
      </c>
      <c r="B35" s="43" t="s">
        <v>1030</v>
      </c>
      <c r="C35" s="43" t="s">
        <v>2248</v>
      </c>
      <c r="D35" s="43" t="s">
        <v>3302</v>
      </c>
      <c r="E35" s="58">
        <v>1.9182562994551242</v>
      </c>
    </row>
    <row r="36" spans="1:5" x14ac:dyDescent="0.25">
      <c r="A36" s="43" t="s">
        <v>3300</v>
      </c>
      <c r="B36" s="43" t="s">
        <v>1267</v>
      </c>
      <c r="C36" s="43" t="s">
        <v>2249</v>
      </c>
      <c r="D36" s="43" t="s">
        <v>3302</v>
      </c>
      <c r="E36" s="58">
        <v>1.9182562994551242</v>
      </c>
    </row>
    <row r="37" spans="1:5" x14ac:dyDescent="0.25">
      <c r="A37" s="43" t="s">
        <v>3300</v>
      </c>
      <c r="B37" s="43" t="s">
        <v>1366</v>
      </c>
      <c r="C37" s="43" t="s">
        <v>2250</v>
      </c>
      <c r="D37" s="43" t="s">
        <v>3284</v>
      </c>
      <c r="E37" s="58">
        <v>1.2913113210525022</v>
      </c>
    </row>
    <row r="38" spans="1:5" x14ac:dyDescent="0.25">
      <c r="A38" s="43" t="s">
        <v>3304</v>
      </c>
      <c r="B38" s="43" t="s">
        <v>891</v>
      </c>
      <c r="C38" s="43" t="s">
        <v>2251</v>
      </c>
      <c r="D38" s="43" t="s">
        <v>3305</v>
      </c>
      <c r="E38" s="58">
        <v>1.8064637195474378E-6</v>
      </c>
    </row>
    <row r="39" spans="1:5" x14ac:dyDescent="0.25">
      <c r="A39" s="43" t="s">
        <v>3304</v>
      </c>
      <c r="B39" s="43" t="s">
        <v>818</v>
      </c>
      <c r="C39" s="43" t="s">
        <v>2252</v>
      </c>
      <c r="D39" s="43" t="s">
        <v>3306</v>
      </c>
      <c r="E39" s="58">
        <v>0.45063989137172916</v>
      </c>
    </row>
    <row r="40" spans="1:5" x14ac:dyDescent="0.25">
      <c r="A40" s="43" t="s">
        <v>3304</v>
      </c>
      <c r="B40" s="43" t="s">
        <v>994</v>
      </c>
      <c r="C40" s="43" t="s">
        <v>2253</v>
      </c>
      <c r="D40" s="43" t="s">
        <v>3306</v>
      </c>
      <c r="E40" s="58">
        <v>0.45063989137172916</v>
      </c>
    </row>
    <row r="41" spans="1:5" x14ac:dyDescent="0.25">
      <c r="A41" s="43" t="s">
        <v>3304</v>
      </c>
      <c r="B41" s="43" t="s">
        <v>1097</v>
      </c>
      <c r="C41" s="43" t="s">
        <v>2254</v>
      </c>
      <c r="D41" s="43" t="s">
        <v>3305</v>
      </c>
      <c r="E41" s="58">
        <v>1.8064637195474378E-6</v>
      </c>
    </row>
    <row r="42" spans="1:5" x14ac:dyDescent="0.25">
      <c r="A42" s="43" t="s">
        <v>3304</v>
      </c>
      <c r="B42" s="43" t="s">
        <v>1685</v>
      </c>
      <c r="C42" s="43" t="s">
        <v>2255</v>
      </c>
      <c r="D42" s="43" t="s">
        <v>3307</v>
      </c>
      <c r="E42" s="58">
        <v>9.4846956928908693E-3</v>
      </c>
    </row>
    <row r="43" spans="1:5" x14ac:dyDescent="0.25">
      <c r="A43" s="43" t="s">
        <v>3304</v>
      </c>
      <c r="B43" s="43" t="s">
        <v>1712</v>
      </c>
      <c r="C43" s="43" t="s">
        <v>2256</v>
      </c>
      <c r="D43" s="43" t="s">
        <v>3307</v>
      </c>
      <c r="E43" s="58">
        <v>9.4846956928908693E-3</v>
      </c>
    </row>
    <row r="44" spans="1:5" x14ac:dyDescent="0.25">
      <c r="A44" s="43" t="s">
        <v>3304</v>
      </c>
      <c r="B44" s="43" t="s">
        <v>1874</v>
      </c>
      <c r="C44" s="43" t="s">
        <v>2257</v>
      </c>
      <c r="D44" s="43" t="s">
        <v>3308</v>
      </c>
      <c r="E44" s="58">
        <v>0.41111657881812042</v>
      </c>
    </row>
    <row r="45" spans="1:5" x14ac:dyDescent="0.25">
      <c r="A45" s="43" t="s">
        <v>3304</v>
      </c>
      <c r="B45" s="43" t="s">
        <v>1909</v>
      </c>
      <c r="C45" s="43" t="s">
        <v>2258</v>
      </c>
      <c r="D45" s="43" t="s">
        <v>3306</v>
      </c>
      <c r="E45" s="58">
        <v>0.45063989137172916</v>
      </c>
    </row>
    <row r="46" spans="1:5" x14ac:dyDescent="0.25">
      <c r="A46" s="43" t="s">
        <v>3309</v>
      </c>
      <c r="B46" s="43" t="s">
        <v>485</v>
      </c>
      <c r="C46" s="43" t="s">
        <v>2259</v>
      </c>
      <c r="D46" s="43" t="s">
        <v>3310</v>
      </c>
      <c r="E46" s="58">
        <v>0.94988437172896167</v>
      </c>
    </row>
    <row r="47" spans="1:5" x14ac:dyDescent="0.25">
      <c r="A47" s="43" t="s">
        <v>3309</v>
      </c>
      <c r="B47" s="43" t="s">
        <v>972</v>
      </c>
      <c r="C47" s="43" t="s">
        <v>2260</v>
      </c>
      <c r="D47" s="43" t="s">
        <v>3301</v>
      </c>
      <c r="E47" s="58">
        <v>0.87961048003395859</v>
      </c>
    </row>
    <row r="48" spans="1:5" x14ac:dyDescent="0.25">
      <c r="A48" s="43" t="s">
        <v>3309</v>
      </c>
      <c r="B48" s="43" t="s">
        <v>957</v>
      </c>
      <c r="C48" s="43" t="s">
        <v>2261</v>
      </c>
      <c r="D48" s="43" t="s">
        <v>3311</v>
      </c>
      <c r="E48" s="58">
        <v>0.12261742737443913</v>
      </c>
    </row>
    <row r="49" spans="1:5" x14ac:dyDescent="0.25">
      <c r="A49" s="43" t="s">
        <v>3309</v>
      </c>
      <c r="B49" s="43" t="s">
        <v>1655</v>
      </c>
      <c r="C49" s="43" t="s">
        <v>2262</v>
      </c>
      <c r="D49" s="43" t="s">
        <v>3312</v>
      </c>
      <c r="E49" s="58">
        <v>0.47532297071211904</v>
      </c>
    </row>
    <row r="50" spans="1:5" x14ac:dyDescent="0.25">
      <c r="A50" s="43" t="s">
        <v>3309</v>
      </c>
      <c r="B50" s="43" t="s">
        <v>1809</v>
      </c>
      <c r="C50" s="43" t="s">
        <v>2263</v>
      </c>
      <c r="D50" s="43" t="s">
        <v>3283</v>
      </c>
      <c r="E50" s="58">
        <v>0.79353177365203531</v>
      </c>
    </row>
    <row r="51" spans="1:5" x14ac:dyDescent="0.25">
      <c r="A51" s="43" t="s">
        <v>3309</v>
      </c>
      <c r="B51" s="43" t="s">
        <v>1949</v>
      </c>
      <c r="C51" s="43" t="s">
        <v>2264</v>
      </c>
      <c r="D51" s="43" t="s">
        <v>3283</v>
      </c>
      <c r="E51" s="58">
        <v>0.79353177365203531</v>
      </c>
    </row>
    <row r="52" spans="1:5" x14ac:dyDescent="0.25">
      <c r="A52" s="43" t="s">
        <v>3313</v>
      </c>
      <c r="B52" s="43" t="s">
        <v>271</v>
      </c>
      <c r="C52" s="43" t="s">
        <v>2265</v>
      </c>
      <c r="D52" s="43" t="s">
        <v>3314</v>
      </c>
      <c r="E52" s="58">
        <v>0.53789168994689052</v>
      </c>
    </row>
    <row r="53" spans="1:5" x14ac:dyDescent="0.25">
      <c r="A53" s="43" t="s">
        <v>3313</v>
      </c>
      <c r="B53" s="43" t="s">
        <v>581</v>
      </c>
      <c r="C53" s="43" t="s">
        <v>2266</v>
      </c>
      <c r="D53" s="43" t="s">
        <v>3301</v>
      </c>
      <c r="E53" s="58">
        <v>0.87961048003395859</v>
      </c>
    </row>
    <row r="54" spans="1:5" x14ac:dyDescent="0.25">
      <c r="A54" s="43" t="s">
        <v>3313</v>
      </c>
      <c r="B54" s="43" t="s">
        <v>701</v>
      </c>
      <c r="C54" s="43" t="s">
        <v>2267</v>
      </c>
      <c r="D54" s="43" t="s">
        <v>3312</v>
      </c>
      <c r="E54" s="58">
        <v>0.47532297071211904</v>
      </c>
    </row>
    <row r="55" spans="1:5" x14ac:dyDescent="0.25">
      <c r="A55" s="43" t="s">
        <v>3313</v>
      </c>
      <c r="B55" s="43" t="s">
        <v>859</v>
      </c>
      <c r="C55" s="43" t="s">
        <v>2268</v>
      </c>
      <c r="D55" s="43" t="s">
        <v>3283</v>
      </c>
      <c r="E55" s="58">
        <v>0.79353177365203531</v>
      </c>
    </row>
    <row r="56" spans="1:5" x14ac:dyDescent="0.25">
      <c r="A56" s="43" t="s">
        <v>3313</v>
      </c>
      <c r="B56" s="43" t="s">
        <v>1155</v>
      </c>
      <c r="C56" s="43" t="s">
        <v>2269</v>
      </c>
      <c r="D56" s="43" t="s">
        <v>3315</v>
      </c>
      <c r="E56" s="58">
        <v>0.2739756782278791</v>
      </c>
    </row>
    <row r="57" spans="1:5" x14ac:dyDescent="0.25">
      <c r="A57" s="43" t="s">
        <v>4772</v>
      </c>
      <c r="B57" s="43" t="s">
        <v>256</v>
      </c>
      <c r="C57" s="43" t="s">
        <v>2270</v>
      </c>
      <c r="D57" s="43" t="s">
        <v>3316</v>
      </c>
      <c r="E57" s="58">
        <v>0.40121463960840198</v>
      </c>
    </row>
    <row r="58" spans="1:5" x14ac:dyDescent="0.25">
      <c r="A58" s="43" t="s">
        <v>4772</v>
      </c>
      <c r="B58" s="43" t="s">
        <v>567</v>
      </c>
      <c r="C58" s="43" t="s">
        <v>2271</v>
      </c>
      <c r="D58" s="43" t="s">
        <v>3317</v>
      </c>
      <c r="E58" s="58">
        <v>1.7401012118170704</v>
      </c>
    </row>
    <row r="59" spans="1:5" x14ac:dyDescent="0.25">
      <c r="A59" s="43" t="s">
        <v>4772</v>
      </c>
      <c r="B59" s="43" t="s">
        <v>806</v>
      </c>
      <c r="C59" s="43" t="s">
        <v>3318</v>
      </c>
      <c r="D59" s="43" t="s">
        <v>3319</v>
      </c>
      <c r="E59" s="58">
        <v>1.6089220284203212</v>
      </c>
    </row>
    <row r="60" spans="1:5" x14ac:dyDescent="0.25">
      <c r="A60" s="43" t="s">
        <v>4772</v>
      </c>
      <c r="B60" s="43" t="s">
        <v>1125</v>
      </c>
      <c r="C60" s="43" t="s">
        <v>2272</v>
      </c>
      <c r="D60" s="43" t="s">
        <v>3320</v>
      </c>
      <c r="E60" s="58">
        <v>1.3918810344997281</v>
      </c>
    </row>
    <row r="61" spans="1:5" x14ac:dyDescent="0.25">
      <c r="A61" s="43" t="s">
        <v>4772</v>
      </c>
      <c r="B61" s="43" t="s">
        <v>1259</v>
      </c>
      <c r="C61" s="43" t="s">
        <v>2273</v>
      </c>
      <c r="D61" s="43" t="s">
        <v>3317</v>
      </c>
      <c r="E61" s="58">
        <v>1.7401012118170704</v>
      </c>
    </row>
    <row r="62" spans="1:5" x14ac:dyDescent="0.25">
      <c r="A62" s="43" t="s">
        <v>4772</v>
      </c>
      <c r="B62" s="43" t="s">
        <v>1354</v>
      </c>
      <c r="C62" s="43" t="s">
        <v>2274</v>
      </c>
      <c r="D62" s="43" t="s">
        <v>3321</v>
      </c>
      <c r="E62" s="58">
        <v>0.40582425290539825</v>
      </c>
    </row>
    <row r="63" spans="1:5" x14ac:dyDescent="0.25">
      <c r="A63" s="43" t="s">
        <v>4772</v>
      </c>
      <c r="B63" s="43" t="s">
        <v>1640</v>
      </c>
      <c r="C63" s="43" t="s">
        <v>2275</v>
      </c>
      <c r="D63" s="43" t="s">
        <v>3322</v>
      </c>
      <c r="E63" s="58">
        <v>0.13974086332843558</v>
      </c>
    </row>
    <row r="64" spans="1:5" x14ac:dyDescent="0.25">
      <c r="A64" s="43" t="s">
        <v>3323</v>
      </c>
      <c r="B64" s="43" t="s">
        <v>877</v>
      </c>
      <c r="C64" s="43" t="s">
        <v>2276</v>
      </c>
      <c r="D64" s="43" t="s">
        <v>3324</v>
      </c>
      <c r="E64" s="58">
        <v>0.59473046496034376</v>
      </c>
    </row>
    <row r="65" spans="1:5" x14ac:dyDescent="0.25">
      <c r="A65" s="43" t="s">
        <v>3323</v>
      </c>
      <c r="B65" s="43" t="s">
        <v>1015</v>
      </c>
      <c r="C65" s="43" t="s">
        <v>2277</v>
      </c>
      <c r="D65" s="43" t="s">
        <v>3325</v>
      </c>
      <c r="E65" s="58">
        <v>0.30034343925572049</v>
      </c>
    </row>
    <row r="66" spans="1:5" x14ac:dyDescent="0.25">
      <c r="A66" s="43" t="s">
        <v>3323</v>
      </c>
      <c r="B66" s="43" t="s">
        <v>1198</v>
      </c>
      <c r="C66" s="43" t="s">
        <v>2278</v>
      </c>
      <c r="D66" s="43" t="s">
        <v>3324</v>
      </c>
      <c r="E66" s="58">
        <v>0.59473046496034376</v>
      </c>
    </row>
    <row r="67" spans="1:5" x14ac:dyDescent="0.25">
      <c r="A67" s="43" t="s">
        <v>3323</v>
      </c>
      <c r="B67" s="43" t="s">
        <v>1772</v>
      </c>
      <c r="C67" s="43" t="s">
        <v>2279</v>
      </c>
      <c r="D67" s="43" t="s">
        <v>3324</v>
      </c>
      <c r="E67" s="58">
        <v>0.59473046496034376</v>
      </c>
    </row>
    <row r="68" spans="1:5" x14ac:dyDescent="0.25">
      <c r="A68" s="43" t="s">
        <v>3323</v>
      </c>
      <c r="B68" s="43" t="s">
        <v>1790</v>
      </c>
      <c r="C68" s="43" t="s">
        <v>2280</v>
      </c>
      <c r="D68" s="43" t="s">
        <v>3326</v>
      </c>
      <c r="E68" s="58">
        <v>7.5375526180090302E-2</v>
      </c>
    </row>
    <row r="69" spans="1:5" x14ac:dyDescent="0.25">
      <c r="A69" s="43" t="s">
        <v>3323</v>
      </c>
      <c r="B69" s="43" t="s">
        <v>1832</v>
      </c>
      <c r="C69" s="43" t="s">
        <v>2281</v>
      </c>
      <c r="D69" s="43" t="s">
        <v>3327</v>
      </c>
      <c r="E69" s="58">
        <v>0.91942208541937764</v>
      </c>
    </row>
    <row r="70" spans="1:5" x14ac:dyDescent="0.25">
      <c r="A70" s="43" t="s">
        <v>3328</v>
      </c>
      <c r="B70" s="43" t="s">
        <v>337</v>
      </c>
      <c r="C70" s="43" t="s">
        <v>2282</v>
      </c>
      <c r="D70" s="43" t="s">
        <v>3329</v>
      </c>
      <c r="E70" s="58">
        <v>1.5621355729951429</v>
      </c>
    </row>
    <row r="71" spans="1:5" x14ac:dyDescent="0.25">
      <c r="A71" s="43" t="s">
        <v>3328</v>
      </c>
      <c r="B71" s="43" t="s">
        <v>362</v>
      </c>
      <c r="C71" s="43" t="s">
        <v>2283</v>
      </c>
      <c r="D71" s="43" t="s">
        <v>3329</v>
      </c>
      <c r="E71" s="58">
        <v>1.5621355729951429</v>
      </c>
    </row>
    <row r="72" spans="1:5" x14ac:dyDescent="0.25">
      <c r="A72" s="43" t="s">
        <v>3328</v>
      </c>
      <c r="B72" s="43" t="s">
        <v>450</v>
      </c>
      <c r="C72" s="43" t="s">
        <v>2284</v>
      </c>
      <c r="D72" s="43" t="s">
        <v>3330</v>
      </c>
      <c r="E72" s="58">
        <v>0.96634527607269893</v>
      </c>
    </row>
    <row r="73" spans="1:5" x14ac:dyDescent="0.25">
      <c r="A73" s="43" t="s">
        <v>3328</v>
      </c>
      <c r="B73" s="43" t="s">
        <v>463</v>
      </c>
      <c r="C73" s="43" t="s">
        <v>2285</v>
      </c>
      <c r="D73" s="43" t="s">
        <v>3330</v>
      </c>
      <c r="E73" s="58">
        <v>0.96634527607269893</v>
      </c>
    </row>
    <row r="74" spans="1:5" x14ac:dyDescent="0.25">
      <c r="A74" s="43" t="s">
        <v>3328</v>
      </c>
      <c r="B74" s="43" t="s">
        <v>723</v>
      </c>
      <c r="C74" s="43" t="s">
        <v>2286</v>
      </c>
      <c r="D74" s="43" t="s">
        <v>3331</v>
      </c>
      <c r="E74" s="58">
        <v>1.6425939650320536</v>
      </c>
    </row>
    <row r="75" spans="1:5" x14ac:dyDescent="0.25">
      <c r="A75" s="43" t="s">
        <v>3328</v>
      </c>
      <c r="B75" s="43" t="s">
        <v>563</v>
      </c>
      <c r="C75" s="43" t="s">
        <v>3332</v>
      </c>
      <c r="D75" s="43" t="s">
        <v>3333</v>
      </c>
      <c r="E75" s="58">
        <v>0.33827071059503067</v>
      </c>
    </row>
    <row r="76" spans="1:5" x14ac:dyDescent="0.25">
      <c r="A76" s="43" t="s">
        <v>3328</v>
      </c>
      <c r="B76" s="43" t="s">
        <v>1292</v>
      </c>
      <c r="C76" s="43" t="s">
        <v>2287</v>
      </c>
      <c r="D76" s="43" t="s">
        <v>3331</v>
      </c>
      <c r="E76" s="58">
        <v>1.6425939650320536</v>
      </c>
    </row>
    <row r="77" spans="1:5" x14ac:dyDescent="0.25">
      <c r="A77" s="43" t="s">
        <v>3328</v>
      </c>
      <c r="B77" s="43" t="s">
        <v>1668</v>
      </c>
      <c r="C77" s="43" t="s">
        <v>2288</v>
      </c>
      <c r="D77" s="43" t="s">
        <v>3334</v>
      </c>
      <c r="E77" s="58">
        <v>0.33796407171318793</v>
      </c>
    </row>
    <row r="78" spans="1:5" x14ac:dyDescent="0.25">
      <c r="A78" s="43" t="s">
        <v>3328</v>
      </c>
      <c r="B78" s="43" t="s">
        <v>1751</v>
      </c>
      <c r="C78" s="43" t="s">
        <v>2289</v>
      </c>
      <c r="D78" s="43" t="s">
        <v>3335</v>
      </c>
      <c r="E78" s="58">
        <v>0.87160411264989357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Sample</vt:lpstr>
      <vt:lpstr>Compustat Links</vt:lpstr>
      <vt:lpstr>Compustat Controls</vt:lpstr>
      <vt:lpstr>Metrics</vt:lpstr>
      <vt:lpstr>List of Sample Metrics</vt:lpstr>
      <vt:lpstr>List of Sample Metrics (fill)</vt:lpstr>
      <vt:lpstr>Losses</vt:lpstr>
      <vt:lpstr>Violation Tracker</vt:lpstr>
      <vt:lpstr>Industry Descriptive</vt:lpstr>
      <vt:lpstr>Truncated Metrics</vt:lpstr>
      <vt:lpstr>Sheet1</vt:lpstr>
      <vt:lpstr>Consumer exposure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Sloan</dc:creator>
  <cp:keywords/>
  <dc:description/>
  <cp:lastModifiedBy>Ren, Huiping</cp:lastModifiedBy>
  <cp:revision/>
  <dcterms:created xsi:type="dcterms:W3CDTF">2024-08-15T22:38:09Z</dcterms:created>
  <dcterms:modified xsi:type="dcterms:W3CDTF">2026-08-27T20:47:47Z</dcterms:modified>
  <cp:category/>
  <cp:contentStatus/>
</cp:coreProperties>
</file>