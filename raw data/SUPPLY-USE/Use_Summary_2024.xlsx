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uipingr\Dropbox\4_SASB\Data and Coding\SUPPLY-USE\"/>
    </mc:Choice>
  </mc:AlternateContent>
  <xr:revisionPtr revIDLastSave="0" documentId="13_ncr:1_{8A52D827-BB2D-4240-9288-A435A66D74E9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Supply 2024" sheetId="4" r:id="rId1"/>
    <sheet name="Supply2024-coding" sheetId="5" r:id="rId2"/>
    <sheet name="Use 2024" sheetId="1" r:id="rId3"/>
    <sheet name="B2C" sheetId="6" r:id="rId4"/>
    <sheet name="personal consumption" sheetId="2" r:id="rId5"/>
    <sheet name="SASB Industri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2" i="3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A85" i="6" s="1"/>
  <c r="CB11" i="6"/>
  <c r="CC11" i="6"/>
  <c r="CD11" i="6"/>
  <c r="CE11" i="6"/>
  <c r="CF11" i="6"/>
  <c r="CG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C33" i="6"/>
  <c r="CD33" i="6"/>
  <c r="CE33" i="6"/>
  <c r="CF33" i="6"/>
  <c r="CG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C34" i="6"/>
  <c r="CD34" i="6"/>
  <c r="CE34" i="6"/>
  <c r="CF34" i="6"/>
  <c r="CG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C35" i="6"/>
  <c r="CD35" i="6"/>
  <c r="CE35" i="6"/>
  <c r="CF35" i="6"/>
  <c r="CG35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C36" i="6"/>
  <c r="CD36" i="6"/>
  <c r="CE36" i="6"/>
  <c r="CF36" i="6"/>
  <c r="CG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C37" i="6"/>
  <c r="CD37" i="6"/>
  <c r="CE37" i="6"/>
  <c r="CF37" i="6"/>
  <c r="CG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CC38" i="6"/>
  <c r="CD38" i="6"/>
  <c r="CE38" i="6"/>
  <c r="CF38" i="6"/>
  <c r="CG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CE40" i="6"/>
  <c r="CF40" i="6"/>
  <c r="CG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C41" i="6"/>
  <c r="CD41" i="6"/>
  <c r="CE41" i="6"/>
  <c r="CF41" i="6"/>
  <c r="CG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C42" i="6"/>
  <c r="CD42" i="6"/>
  <c r="CE42" i="6"/>
  <c r="CF42" i="6"/>
  <c r="CG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CE45" i="6"/>
  <c r="CF45" i="6"/>
  <c r="CG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CE49" i="6"/>
  <c r="CF49" i="6"/>
  <c r="CG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CE50" i="6"/>
  <c r="CF50" i="6"/>
  <c r="CG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C53" i="6"/>
  <c r="CD53" i="6"/>
  <c r="CE53" i="6"/>
  <c r="CF53" i="6"/>
  <c r="CG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L55" i="6"/>
  <c r="BM55" i="6"/>
  <c r="BN55" i="6"/>
  <c r="BO55" i="6"/>
  <c r="BP55" i="6"/>
  <c r="BQ55" i="6"/>
  <c r="BR55" i="6"/>
  <c r="BS55" i="6"/>
  <c r="BT55" i="6"/>
  <c r="BU55" i="6"/>
  <c r="BV55" i="6"/>
  <c r="BW55" i="6"/>
  <c r="BX55" i="6"/>
  <c r="BY55" i="6"/>
  <c r="BZ55" i="6"/>
  <c r="CA55" i="6"/>
  <c r="CB55" i="6"/>
  <c r="CC55" i="6"/>
  <c r="CD55" i="6"/>
  <c r="CE55" i="6"/>
  <c r="CF55" i="6"/>
  <c r="CG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Z56" i="6"/>
  <c r="CA56" i="6"/>
  <c r="CB56" i="6"/>
  <c r="CC56" i="6"/>
  <c r="CD56" i="6"/>
  <c r="CE56" i="6"/>
  <c r="CF56" i="6"/>
  <c r="CG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L57" i="6"/>
  <c r="BM57" i="6"/>
  <c r="BN57" i="6"/>
  <c r="BO57" i="6"/>
  <c r="BP57" i="6"/>
  <c r="BQ57" i="6"/>
  <c r="BR57" i="6"/>
  <c r="BS57" i="6"/>
  <c r="BT57" i="6"/>
  <c r="BU57" i="6"/>
  <c r="BV57" i="6"/>
  <c r="BW57" i="6"/>
  <c r="BX57" i="6"/>
  <c r="BY57" i="6"/>
  <c r="BZ57" i="6"/>
  <c r="CA57" i="6"/>
  <c r="CB57" i="6"/>
  <c r="CC57" i="6"/>
  <c r="CD57" i="6"/>
  <c r="CE57" i="6"/>
  <c r="CF57" i="6"/>
  <c r="CG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L58" i="6"/>
  <c r="BM58" i="6"/>
  <c r="BN58" i="6"/>
  <c r="BO58" i="6"/>
  <c r="BP58" i="6"/>
  <c r="BQ58" i="6"/>
  <c r="BR58" i="6"/>
  <c r="BS58" i="6"/>
  <c r="BT58" i="6"/>
  <c r="BU58" i="6"/>
  <c r="BV58" i="6"/>
  <c r="BW58" i="6"/>
  <c r="BX58" i="6"/>
  <c r="BY58" i="6"/>
  <c r="BZ58" i="6"/>
  <c r="CA58" i="6"/>
  <c r="CB58" i="6"/>
  <c r="CC58" i="6"/>
  <c r="CD58" i="6"/>
  <c r="CE58" i="6"/>
  <c r="CF58" i="6"/>
  <c r="CG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C59" i="6"/>
  <c r="CD59" i="6"/>
  <c r="CE59" i="6"/>
  <c r="CF59" i="6"/>
  <c r="CG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CC60" i="6"/>
  <c r="CD60" i="6"/>
  <c r="CE60" i="6"/>
  <c r="CF60" i="6"/>
  <c r="CG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CC61" i="6"/>
  <c r="CD61" i="6"/>
  <c r="CE61" i="6"/>
  <c r="CF61" i="6"/>
  <c r="CG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L62" i="6"/>
  <c r="BM62" i="6"/>
  <c r="BN62" i="6"/>
  <c r="BO62" i="6"/>
  <c r="BP62" i="6"/>
  <c r="BQ62" i="6"/>
  <c r="BR62" i="6"/>
  <c r="BS62" i="6"/>
  <c r="BT62" i="6"/>
  <c r="BU62" i="6"/>
  <c r="BV62" i="6"/>
  <c r="BW62" i="6"/>
  <c r="BX62" i="6"/>
  <c r="BY62" i="6"/>
  <c r="BZ62" i="6"/>
  <c r="CA62" i="6"/>
  <c r="CB62" i="6"/>
  <c r="CC62" i="6"/>
  <c r="CD62" i="6"/>
  <c r="CE62" i="6"/>
  <c r="CF62" i="6"/>
  <c r="CG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L63" i="6"/>
  <c r="BM63" i="6"/>
  <c r="BN63" i="6"/>
  <c r="BO63" i="6"/>
  <c r="BP63" i="6"/>
  <c r="BQ63" i="6"/>
  <c r="BR63" i="6"/>
  <c r="BS63" i="6"/>
  <c r="BT63" i="6"/>
  <c r="BU63" i="6"/>
  <c r="BV63" i="6"/>
  <c r="BW63" i="6"/>
  <c r="BX63" i="6"/>
  <c r="BY63" i="6"/>
  <c r="BZ63" i="6"/>
  <c r="CA63" i="6"/>
  <c r="CB63" i="6"/>
  <c r="CC63" i="6"/>
  <c r="CD63" i="6"/>
  <c r="CE63" i="6"/>
  <c r="CF63" i="6"/>
  <c r="CG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L64" i="6"/>
  <c r="BM64" i="6"/>
  <c r="BN64" i="6"/>
  <c r="BO64" i="6"/>
  <c r="BP64" i="6"/>
  <c r="BQ64" i="6"/>
  <c r="BR64" i="6"/>
  <c r="BS64" i="6"/>
  <c r="BT64" i="6"/>
  <c r="BU64" i="6"/>
  <c r="BV64" i="6"/>
  <c r="BW64" i="6"/>
  <c r="BX64" i="6"/>
  <c r="BY64" i="6"/>
  <c r="BZ64" i="6"/>
  <c r="CA64" i="6"/>
  <c r="CB64" i="6"/>
  <c r="CC64" i="6"/>
  <c r="CD64" i="6"/>
  <c r="CE64" i="6"/>
  <c r="CF64" i="6"/>
  <c r="CG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L65" i="6"/>
  <c r="BM65" i="6"/>
  <c r="BN65" i="6"/>
  <c r="BO65" i="6"/>
  <c r="BP65" i="6"/>
  <c r="BQ65" i="6"/>
  <c r="BR65" i="6"/>
  <c r="BS65" i="6"/>
  <c r="BT65" i="6"/>
  <c r="BU65" i="6"/>
  <c r="BV65" i="6"/>
  <c r="BW65" i="6"/>
  <c r="BX65" i="6"/>
  <c r="BY65" i="6"/>
  <c r="BZ65" i="6"/>
  <c r="CA65" i="6"/>
  <c r="CB65" i="6"/>
  <c r="CC65" i="6"/>
  <c r="CD65" i="6"/>
  <c r="CE65" i="6"/>
  <c r="CF65" i="6"/>
  <c r="CG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L66" i="6"/>
  <c r="BM66" i="6"/>
  <c r="BN66" i="6"/>
  <c r="BO66" i="6"/>
  <c r="BP66" i="6"/>
  <c r="BQ66" i="6"/>
  <c r="BR66" i="6"/>
  <c r="BS66" i="6"/>
  <c r="BT66" i="6"/>
  <c r="BU66" i="6"/>
  <c r="BV66" i="6"/>
  <c r="BW66" i="6"/>
  <c r="BX66" i="6"/>
  <c r="BY66" i="6"/>
  <c r="BZ66" i="6"/>
  <c r="CA66" i="6"/>
  <c r="CB66" i="6"/>
  <c r="CC66" i="6"/>
  <c r="CD66" i="6"/>
  <c r="CE66" i="6"/>
  <c r="CF66" i="6"/>
  <c r="CG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L67" i="6"/>
  <c r="BM67" i="6"/>
  <c r="BN67" i="6"/>
  <c r="BO67" i="6"/>
  <c r="BP67" i="6"/>
  <c r="BQ67" i="6"/>
  <c r="BR67" i="6"/>
  <c r="BS67" i="6"/>
  <c r="BT67" i="6"/>
  <c r="BU67" i="6"/>
  <c r="BV67" i="6"/>
  <c r="BW67" i="6"/>
  <c r="BX67" i="6"/>
  <c r="BY67" i="6"/>
  <c r="BZ67" i="6"/>
  <c r="CA67" i="6"/>
  <c r="CB67" i="6"/>
  <c r="CC67" i="6"/>
  <c r="CD67" i="6"/>
  <c r="CE67" i="6"/>
  <c r="CF67" i="6"/>
  <c r="CG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L68" i="6"/>
  <c r="BM68" i="6"/>
  <c r="BN68" i="6"/>
  <c r="BO68" i="6"/>
  <c r="BP68" i="6"/>
  <c r="BQ68" i="6"/>
  <c r="BR68" i="6"/>
  <c r="BS68" i="6"/>
  <c r="BT68" i="6"/>
  <c r="BU68" i="6"/>
  <c r="BV68" i="6"/>
  <c r="BW68" i="6"/>
  <c r="BX68" i="6"/>
  <c r="BY68" i="6"/>
  <c r="BZ68" i="6"/>
  <c r="CA68" i="6"/>
  <c r="CB68" i="6"/>
  <c r="CC68" i="6"/>
  <c r="CD68" i="6"/>
  <c r="CE68" i="6"/>
  <c r="CF68" i="6"/>
  <c r="CG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L69" i="6"/>
  <c r="BM69" i="6"/>
  <c r="BN69" i="6"/>
  <c r="BO69" i="6"/>
  <c r="BP69" i="6"/>
  <c r="BQ69" i="6"/>
  <c r="BR69" i="6"/>
  <c r="BS69" i="6"/>
  <c r="BT69" i="6"/>
  <c r="BU69" i="6"/>
  <c r="BV69" i="6"/>
  <c r="BW69" i="6"/>
  <c r="BX69" i="6"/>
  <c r="BY69" i="6"/>
  <c r="BZ69" i="6"/>
  <c r="CA69" i="6"/>
  <c r="CB69" i="6"/>
  <c r="CC69" i="6"/>
  <c r="CD69" i="6"/>
  <c r="CE69" i="6"/>
  <c r="CF69" i="6"/>
  <c r="CG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L70" i="6"/>
  <c r="BM70" i="6"/>
  <c r="BN70" i="6"/>
  <c r="BO70" i="6"/>
  <c r="BP70" i="6"/>
  <c r="BQ70" i="6"/>
  <c r="BR70" i="6"/>
  <c r="BS70" i="6"/>
  <c r="BT70" i="6"/>
  <c r="BU70" i="6"/>
  <c r="BV70" i="6"/>
  <c r="BW70" i="6"/>
  <c r="BX70" i="6"/>
  <c r="BY70" i="6"/>
  <c r="BZ70" i="6"/>
  <c r="CA70" i="6"/>
  <c r="CB70" i="6"/>
  <c r="CC70" i="6"/>
  <c r="CD70" i="6"/>
  <c r="CE70" i="6"/>
  <c r="CF70" i="6"/>
  <c r="CG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L71" i="6"/>
  <c r="BM71" i="6"/>
  <c r="BN71" i="6"/>
  <c r="BO71" i="6"/>
  <c r="BP71" i="6"/>
  <c r="BQ71" i="6"/>
  <c r="BR71" i="6"/>
  <c r="BS71" i="6"/>
  <c r="BT71" i="6"/>
  <c r="BU71" i="6"/>
  <c r="BV71" i="6"/>
  <c r="BW71" i="6"/>
  <c r="BX71" i="6"/>
  <c r="BY71" i="6"/>
  <c r="BZ71" i="6"/>
  <c r="CA71" i="6"/>
  <c r="CB71" i="6"/>
  <c r="CC71" i="6"/>
  <c r="CD71" i="6"/>
  <c r="CE71" i="6"/>
  <c r="CF71" i="6"/>
  <c r="CG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L72" i="6"/>
  <c r="BM72" i="6"/>
  <c r="BN72" i="6"/>
  <c r="BO72" i="6"/>
  <c r="BP72" i="6"/>
  <c r="BQ72" i="6"/>
  <c r="BR72" i="6"/>
  <c r="BS72" i="6"/>
  <c r="BT72" i="6"/>
  <c r="BU72" i="6"/>
  <c r="BV72" i="6"/>
  <c r="BW72" i="6"/>
  <c r="BX72" i="6"/>
  <c r="BY72" i="6"/>
  <c r="BZ72" i="6"/>
  <c r="CA72" i="6"/>
  <c r="CB72" i="6"/>
  <c r="CC72" i="6"/>
  <c r="CD72" i="6"/>
  <c r="CE72" i="6"/>
  <c r="CF72" i="6"/>
  <c r="CG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L73" i="6"/>
  <c r="BM73" i="6"/>
  <c r="BN73" i="6"/>
  <c r="BO73" i="6"/>
  <c r="BP73" i="6"/>
  <c r="BQ73" i="6"/>
  <c r="BR73" i="6"/>
  <c r="BS73" i="6"/>
  <c r="BT73" i="6"/>
  <c r="BU73" i="6"/>
  <c r="BV73" i="6"/>
  <c r="BW73" i="6"/>
  <c r="BX73" i="6"/>
  <c r="BY73" i="6"/>
  <c r="BZ73" i="6"/>
  <c r="CA73" i="6"/>
  <c r="CB73" i="6"/>
  <c r="CC73" i="6"/>
  <c r="CD73" i="6"/>
  <c r="CE73" i="6"/>
  <c r="CF73" i="6"/>
  <c r="CG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L74" i="6"/>
  <c r="BM74" i="6"/>
  <c r="BN74" i="6"/>
  <c r="BO74" i="6"/>
  <c r="BP74" i="6"/>
  <c r="BQ74" i="6"/>
  <c r="BR74" i="6"/>
  <c r="BS74" i="6"/>
  <c r="BT74" i="6"/>
  <c r="BU74" i="6"/>
  <c r="BV74" i="6"/>
  <c r="BW74" i="6"/>
  <c r="BX74" i="6"/>
  <c r="BY74" i="6"/>
  <c r="BZ74" i="6"/>
  <c r="CA74" i="6"/>
  <c r="CB74" i="6"/>
  <c r="CC74" i="6"/>
  <c r="CD74" i="6"/>
  <c r="CE74" i="6"/>
  <c r="CF74" i="6"/>
  <c r="CG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L75" i="6"/>
  <c r="BM75" i="6"/>
  <c r="BN75" i="6"/>
  <c r="BO75" i="6"/>
  <c r="BP75" i="6"/>
  <c r="BQ75" i="6"/>
  <c r="BR75" i="6"/>
  <c r="BS75" i="6"/>
  <c r="BT75" i="6"/>
  <c r="BU75" i="6"/>
  <c r="BV75" i="6"/>
  <c r="BW75" i="6"/>
  <c r="BX75" i="6"/>
  <c r="BY75" i="6"/>
  <c r="BZ75" i="6"/>
  <c r="CA75" i="6"/>
  <c r="CB75" i="6"/>
  <c r="CC75" i="6"/>
  <c r="CD75" i="6"/>
  <c r="CE75" i="6"/>
  <c r="CF75" i="6"/>
  <c r="CG75" i="6"/>
  <c r="E3" i="6"/>
  <c r="F3" i="6"/>
  <c r="G3" i="6"/>
  <c r="H3" i="6"/>
  <c r="I3" i="6"/>
  <c r="J3" i="6"/>
  <c r="K3" i="6"/>
  <c r="L3" i="6"/>
  <c r="L76" i="6" s="1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B76" i="6" s="1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R76" i="6" s="1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H76" i="6" s="1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X76" i="6" s="1"/>
  <c r="BY3" i="6"/>
  <c r="BZ3" i="6"/>
  <c r="CA3" i="6"/>
  <c r="CA76" i="6" s="1"/>
  <c r="CB3" i="6"/>
  <c r="CC3" i="6"/>
  <c r="CD3" i="6"/>
  <c r="CE3" i="6"/>
  <c r="CF3" i="6"/>
  <c r="CG3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3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2" i="1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E2" i="5"/>
  <c r="CF2" i="5"/>
  <c r="CG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2" i="1"/>
  <c r="L3" i="2"/>
  <c r="K3" i="2"/>
  <c r="I3" i="2"/>
  <c r="G3" i="2" l="1"/>
  <c r="H3" i="2"/>
  <c r="J3" i="2"/>
  <c r="AI76" i="6"/>
  <c r="CD76" i="6"/>
  <c r="BN76" i="6"/>
  <c r="AX76" i="6"/>
  <c r="AX85" i="6" s="1"/>
  <c r="AH76" i="6"/>
  <c r="AH85" i="6" s="1"/>
  <c r="R76" i="6"/>
  <c r="R85" i="6" s="1"/>
  <c r="CC76" i="6"/>
  <c r="BM76" i="6"/>
  <c r="AW76" i="6"/>
  <c r="AW85" i="6" s="1"/>
  <c r="AG76" i="6"/>
  <c r="AG85" i="6" s="1"/>
  <c r="Q76" i="6"/>
  <c r="Q85" i="6" s="1"/>
  <c r="AY76" i="6"/>
  <c r="BO76" i="6"/>
  <c r="BK76" i="6"/>
  <c r="BK85" i="6" s="1"/>
  <c r="AU76" i="6"/>
  <c r="AE76" i="6"/>
  <c r="AE85" i="6" s="1"/>
  <c r="O76" i="6"/>
  <c r="O85" i="6" s="1"/>
  <c r="BZ85" i="6"/>
  <c r="BJ85" i="6"/>
  <c r="AT85" i="6"/>
  <c r="AD85" i="6"/>
  <c r="BT76" i="6"/>
  <c r="BT85" i="6" s="1"/>
  <c r="BD76" i="6"/>
  <c r="AN76" i="6"/>
  <c r="X76" i="6"/>
  <c r="X85" i="6" s="1"/>
  <c r="H76" i="6"/>
  <c r="H85" i="6" s="1"/>
  <c r="S76" i="6"/>
  <c r="BZ76" i="6"/>
  <c r="BJ76" i="6"/>
  <c r="AT76" i="6"/>
  <c r="AD76" i="6"/>
  <c r="N76" i="6"/>
  <c r="N85" i="6" s="1"/>
  <c r="CE76" i="6"/>
  <c r="CE85" i="6" s="1"/>
  <c r="BY76" i="6"/>
  <c r="BI76" i="6"/>
  <c r="AS76" i="6"/>
  <c r="AC76" i="6"/>
  <c r="M76" i="6"/>
  <c r="M85" i="6" s="1"/>
  <c r="BY85" i="6"/>
  <c r="BI85" i="6"/>
  <c r="AS85" i="6"/>
  <c r="AC85" i="6"/>
  <c r="BW76" i="6"/>
  <c r="BG76" i="6"/>
  <c r="AQ76" i="6"/>
  <c r="AA76" i="6"/>
  <c r="K76" i="6"/>
  <c r="BV76" i="6"/>
  <c r="BV85" i="6" s="1"/>
  <c r="BF76" i="6"/>
  <c r="BF85" i="6" s="1"/>
  <c r="AP76" i="6"/>
  <c r="AP85" i="6" s="1"/>
  <c r="Z76" i="6"/>
  <c r="Z85" i="6" s="1"/>
  <c r="J76" i="6"/>
  <c r="BW85" i="6"/>
  <c r="BG85" i="6"/>
  <c r="AQ85" i="6"/>
  <c r="AA85" i="6"/>
  <c r="K85" i="6"/>
  <c r="Y76" i="6"/>
  <c r="I76" i="6"/>
  <c r="BS76" i="6"/>
  <c r="BC76" i="6"/>
  <c r="AM76" i="6"/>
  <c r="W76" i="6"/>
  <c r="G76" i="6"/>
  <c r="BD85" i="6"/>
  <c r="AN85" i="6"/>
  <c r="BE76" i="6"/>
  <c r="D76" i="6"/>
  <c r="D85" i="6" s="1"/>
  <c r="BR76" i="6"/>
  <c r="BR85" i="6" s="1"/>
  <c r="BB76" i="6"/>
  <c r="BB85" i="6" s="1"/>
  <c r="AL76" i="6"/>
  <c r="V76" i="6"/>
  <c r="F76" i="6"/>
  <c r="BU76" i="6"/>
  <c r="CG76" i="6"/>
  <c r="BQ76" i="6"/>
  <c r="BQ85" i="6" s="1"/>
  <c r="BA76" i="6"/>
  <c r="BA85" i="6" s="1"/>
  <c r="AK76" i="6"/>
  <c r="AK85" i="6" s="1"/>
  <c r="U76" i="6"/>
  <c r="U85" i="6" s="1"/>
  <c r="E76" i="6"/>
  <c r="E85" i="6" s="1"/>
  <c r="AO76" i="6"/>
  <c r="CF76" i="6"/>
  <c r="CF85" i="6" s="1"/>
  <c r="BP76" i="6"/>
  <c r="BP85" i="6" s="1"/>
  <c r="AZ76" i="6"/>
  <c r="AZ85" i="6" s="1"/>
  <c r="AJ76" i="6"/>
  <c r="AJ85" i="6" s="1"/>
  <c r="T76" i="6"/>
  <c r="T85" i="6" s="1"/>
  <c r="AU85" i="6"/>
  <c r="CC85" i="6"/>
  <c r="BM85" i="6"/>
  <c r="BO85" i="6"/>
  <c r="AY85" i="6"/>
  <c r="AI85" i="6"/>
  <c r="S85" i="6"/>
  <c r="CD85" i="6"/>
  <c r="BN85" i="6"/>
  <c r="V85" i="6"/>
  <c r="AL85" i="6"/>
  <c r="F85" i="6"/>
  <c r="BL85" i="6"/>
  <c r="BU85" i="6"/>
  <c r="BE85" i="6"/>
  <c r="AO85" i="6"/>
  <c r="Y85" i="6"/>
  <c r="I85" i="6"/>
  <c r="J85" i="6"/>
  <c r="BX85" i="6"/>
  <c r="BH85" i="6"/>
  <c r="AR85" i="6"/>
  <c r="AB85" i="6"/>
  <c r="L85" i="6"/>
  <c r="BS85" i="6"/>
  <c r="BC85" i="6"/>
  <c r="AM85" i="6"/>
  <c r="W85" i="6"/>
  <c r="G85" i="6"/>
  <c r="CG85" i="6"/>
  <c r="CB76" i="6"/>
  <c r="CB85" i="6" s="1"/>
  <c r="AV76" i="6"/>
  <c r="AV85" i="6" s="1"/>
  <c r="P76" i="6"/>
  <c r="P85" i="6" s="1"/>
  <c r="BL76" i="6"/>
  <c r="AF76" i="6"/>
  <c r="AF85" i="6" s="1"/>
  <c r="C76" i="6"/>
  <c r="C85" i="6" s="1"/>
</calcChain>
</file>

<file path=xl/sharedStrings.xml><?xml version="1.0" encoding="utf-8"?>
<sst xmlns="http://schemas.openxmlformats.org/spreadsheetml/2006/main" count="1952" uniqueCount="395">
  <si>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</si>
  <si>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</si>
  <si>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</si>
  <si>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</si>
  <si>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</si>
  <si>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</si>
  <si>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</si>
  <si>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</si>
  <si>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</si>
  <si>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</si>
  <si>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</si>
  <si>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</si>
  <si>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</si>
  <si>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</si>
  <si>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</si>
  <si>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</si>
  <si>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</si>
  <si>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</si>
  <si>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</si>
  <si>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</si>
  <si>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</si>
  <si>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</si>
  <si>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</si>
  <si>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</si>
  <si>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</si>
  <si>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</si>
  <si>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</si>
  <si>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</si>
  <si>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</si>
  <si>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</si>
  <si>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</si>
  <si>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</si>
  <si>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</si>
  <si>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</si>
  <si>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</si>
  <si>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</si>
  <si>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</si>
  <si>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</si>
  <si>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</si>
  <si>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</si>
  <si>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</si>
  <si>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</si>
  <si>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</si>
  <si>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</si>
  <si>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</si>
  <si>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</si>
  <si>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</si>
  <si>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</si>
  <si>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</si>
  <si>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</si>
  <si>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</si>
  <si>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</si>
  <si>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</si>
  <si>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</si>
  <si>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</si>
  <si>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</si>
  <si>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</si>
  <si>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</si>
  <si>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</si>
  <si>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</si>
  <si>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</si>
  <si>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</si>
  <si>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</si>
  <si>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</si>
  <si>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</si>
  <si>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</si>
  <si>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</si>
  <si>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</si>
  <si>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</si>
  <si>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</si>
  <si>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</si>
  <si>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</si>
  <si>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T001</t>
  </si>
  <si>
    <t>F010</t>
  </si>
  <si>
    <t>F02S</t>
  </si>
  <si>
    <t>F02E</t>
  </si>
  <si>
    <t>F02N</t>
  </si>
  <si>
    <t>F02R</t>
  </si>
  <si>
    <t>F030</t>
  </si>
  <si>
    <t>F040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</si>
  <si>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</si>
  <si>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</si>
  <si>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</si>
  <si>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</si>
  <si>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</si>
  <si>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</si>
  <si>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</si>
  <si>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</si>
  <si>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</si>
  <si>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</si>
  <si>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</si>
  <si>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</si>
  <si>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</si>
  <si>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</si>
  <si>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</si>
  <si>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</si>
  <si>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</si>
  <si>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</si>
  <si>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</si>
  <si>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</si>
  <si>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</si>
  <si>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</si>
  <si>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</si>
  <si>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</si>
  <si>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</si>
  <si>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</si>
  <si>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</si>
  <si>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</si>
  <si>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</si>
  <si>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</si>
  <si>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</si>
  <si>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</si>
  <si>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</si>
  <si>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</si>
  <si>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</si>
  <si>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</si>
  <si>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</si>
  <si>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</si>
  <si>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</si>
  <si>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</si>
  <si>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</si>
  <si>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</si>
  <si>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</si>
  <si>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</si>
  <si>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</si>
  <si>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</si>
  <si>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</si>
  <si>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</si>
  <si>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</si>
  <si>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</si>
  <si>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</si>
  <si>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</si>
  <si>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</si>
  <si>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</si>
  <si>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</si>
  <si>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</si>
  <si>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</si>
  <si>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</si>
  <si>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</si>
  <si>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</si>
  <si>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</si>
  <si>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</si>
  <si>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</si>
  <si>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</si>
  <si>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</si>
  <si>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</si>
  <si>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</si>
  <si>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</si>
  <si>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</si>
  <si>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</si>
  <si>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</si>
  <si>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</si>
  <si>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</si>
  <si>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</si>
  <si>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</si>
  <si>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</si>
  <si>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</si>
  <si>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</si>
  <si>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</si>
  <si>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</si>
  <si>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</si>
  <si>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</si>
  <si>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</si>
  <si>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</si>
  <si>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</si>
  <si>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</si>
  <si>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Used</t>
  </si>
  <si>
    <t>Scrap, used and secondhand goods</t>
  </si>
  <si>
    <t>Other</t>
  </si>
  <si>
    <t>Noncomparable imports and rest-of-the-world adjustment</t>
  </si>
  <si>
    <t>T005</t>
  </si>
  <si>
    <t>V001</t>
  </si>
  <si>
    <t>Compensation of employees</t>
  </si>
  <si>
    <t>T00OTOP</t>
  </si>
  <si>
    <t>Other taxes on production</t>
  </si>
  <si>
    <t>T00OSUB</t>
  </si>
  <si>
    <t>Less: Other subsidies on production</t>
  </si>
  <si>
    <t>V003</t>
  </si>
  <si>
    <t>Gross operating surplus</t>
  </si>
  <si>
    <t>VABAS</t>
  </si>
  <si>
    <t>Value Added (basic prices)</t>
  </si>
  <si>
    <t>T018</t>
  </si>
  <si>
    <t>Total industry output (basic prices)</t>
  </si>
  <si>
    <t>T00TOP</t>
  </si>
  <si>
    <t>Taxes on products and imports</t>
  </si>
  <si>
    <t>T00SUB</t>
  </si>
  <si>
    <t>Less: Subsidies on products</t>
  </si>
  <si>
    <t>VAPRO</t>
  </si>
  <si>
    <t>Value Added (producer prices)</t>
  </si>
  <si>
    <t>Mean</t>
  </si>
  <si>
    <t>sd</t>
  </si>
  <si>
    <t>Count</t>
  </si>
  <si>
    <t>Descriptive stats of personal expendisuture output</t>
  </si>
  <si>
    <t>p25</t>
  </si>
  <si>
    <t>median</t>
  </si>
  <si>
    <t>p75</t>
  </si>
  <si>
    <t>ADVERTISING &amp; MARKETING</t>
  </si>
  <si>
    <t>AEROSPACE &amp; DEFENSE</t>
  </si>
  <si>
    <t>AGRICULTURAL PRODUCTS</t>
  </si>
  <si>
    <t>AIR FREIGHT &amp; LOGISTICS</t>
  </si>
  <si>
    <t>AIRLINES</t>
  </si>
  <si>
    <t>ALCOHOLIC BEVERAGES</t>
  </si>
  <si>
    <t>APPAREL, ACCESSORIES &amp; FOOTWEAR</t>
  </si>
  <si>
    <t>APPLIANCE MANUFACTURING</t>
  </si>
  <si>
    <t>ASSET MANAGEMENT &amp; CUSTODY</t>
  </si>
  <si>
    <t>AUTO PARTS</t>
  </si>
  <si>
    <t>AUTOMOBILES</t>
  </si>
  <si>
    <t>BIOFUELS</t>
  </si>
  <si>
    <t>BIOTECHNOLOGY &amp; PHARMACEUTICALS</t>
  </si>
  <si>
    <t>BUILDING PRODUCTS &amp; FURNISHINGS</t>
  </si>
  <si>
    <t>CAR RENTAL &amp; LEASING</t>
  </si>
  <si>
    <t>CASINOS &amp; GAMING</t>
  </si>
  <si>
    <t>CHEMICALS</t>
  </si>
  <si>
    <t>COAL OPERATIONS</t>
  </si>
  <si>
    <t>COMMERCIAL BANKS</t>
  </si>
  <si>
    <t>CONSTRUCTION MATERIALS</t>
  </si>
  <si>
    <t>CONSUMER FINANCE</t>
  </si>
  <si>
    <t>CONTAINERS &amp; PACKAGING</t>
  </si>
  <si>
    <t>CRUISE LINES</t>
  </si>
  <si>
    <t>DRUG RETAILERS</t>
  </si>
  <si>
    <t>E-COMMERCE</t>
  </si>
  <si>
    <t>EDUCATION</t>
  </si>
  <si>
    <t>ELECTRIC UTILITIES &amp; POWER</t>
  </si>
  <si>
    <t>ELECTRICAL &amp; ELECTRONIC EQUIPMENT</t>
  </si>
  <si>
    <t>ELECTRONIC MANUFACTURING</t>
  </si>
  <si>
    <t>ENGINEERING &amp; CONSTRUCTION</t>
  </si>
  <si>
    <t>FOOD RETAILERS &amp; DISTRIBUTORS</t>
  </si>
  <si>
    <t>FORESTRY MANAGEMENT</t>
  </si>
  <si>
    <t>FUEL CELLS &amp; INDUSTRIAL BATTERIES</t>
  </si>
  <si>
    <t>GAS UTILITIES &amp; DISTRIBUTORS</t>
  </si>
  <si>
    <t>HARDWARE</t>
  </si>
  <si>
    <t>HEALTH CARE DELIVERY</t>
  </si>
  <si>
    <t>HEALTH CARE DISTRIBUTORS</t>
  </si>
  <si>
    <t>HOME BUILDERS</t>
  </si>
  <si>
    <t>HOTELS &amp; LODGING</t>
  </si>
  <si>
    <t>HOUSEHOLD &amp; PERSONAL PRODUCTS</t>
  </si>
  <si>
    <t>INDUSTRIAL MACHINERY &amp; GOODS</t>
  </si>
  <si>
    <t>INSURANCE</t>
  </si>
  <si>
    <t>INTERNET MEDIA &amp; SERVICES</t>
  </si>
  <si>
    <t>INVESTMENT BANKING &amp; BROKERAGE</t>
  </si>
  <si>
    <t>IRON &amp; STEEL PRODUCERS</t>
  </si>
  <si>
    <t>LEISURE FACILITIES</t>
  </si>
  <si>
    <t>MANAGED CARE</t>
  </si>
  <si>
    <t>MARINE TRANSPORTATION</t>
  </si>
  <si>
    <t>MEAT, POULTRY &amp; DAIRY</t>
  </si>
  <si>
    <t>MEDIA &amp; ENTERTAINMENT</t>
  </si>
  <si>
    <t>MEDICAL EQUIPMENT &amp; SUPPLIES</t>
  </si>
  <si>
    <t>METALS &amp; MINING</t>
  </si>
  <si>
    <t>MORTGAGE FINANCE</t>
  </si>
  <si>
    <t>MULTILINE AND SPECIALTY RETAILERS &amp; DISTRIBUTORS</t>
  </si>
  <si>
    <t>NON-ALCOHOLIC BEVERAGES</t>
  </si>
  <si>
    <t>PROCESSED FOODS</t>
  </si>
  <si>
    <t>PROFESSIONAL &amp; COMMERCIAL</t>
  </si>
  <si>
    <t>PULP &amp; PAPER PRODUCTS</t>
  </si>
  <si>
    <t>RAIL TRANSPORTATION</t>
  </si>
  <si>
    <t>REAL ESTATE</t>
  </si>
  <si>
    <t>REAL ESTATE SERVICES</t>
  </si>
  <si>
    <t>RESTAURANTS</t>
  </si>
  <si>
    <t>ROAD TRANSPORTATION</t>
  </si>
  <si>
    <t>SECURITY &amp; COMMODITY EXCHANGES</t>
  </si>
  <si>
    <t>SEMICONDUCTORS</t>
  </si>
  <si>
    <t>SOFTWARE &amp; IT SERVICES</t>
  </si>
  <si>
    <t>SOLAR TECHNOLOGY &amp; PROJECT DEVELOPERS</t>
  </si>
  <si>
    <t>TELECOMMUNICATION SERVICES</t>
  </si>
  <si>
    <t>TOBACCO</t>
  </si>
  <si>
    <t>TOYS &amp; SPORTING GOODS</t>
  </si>
  <si>
    <t>WASTE MANAGEMENT</t>
  </si>
  <si>
    <t>WATER UTILITIES &amp; SERVICES</t>
  </si>
  <si>
    <t>WIND TECHNOLOGY &amp; PROJECT DEVELOPERS</t>
  </si>
  <si>
    <t>ind_code</t>
  </si>
  <si>
    <t>SV-AD</t>
  </si>
  <si>
    <t>RT-AE</t>
  </si>
  <si>
    <t>FB-AG</t>
  </si>
  <si>
    <t>TR-AF</t>
  </si>
  <si>
    <t>TR-AL</t>
  </si>
  <si>
    <t>FB-AB</t>
  </si>
  <si>
    <t>CG-AA</t>
  </si>
  <si>
    <t>CG-AM</t>
  </si>
  <si>
    <t>FN-AC</t>
  </si>
  <si>
    <t>TR-AP</t>
  </si>
  <si>
    <t>TR-AU</t>
  </si>
  <si>
    <t>RR-BI</t>
  </si>
  <si>
    <t>HC-BP</t>
  </si>
  <si>
    <t>CG-BF</t>
  </si>
  <si>
    <t>TR-CR</t>
  </si>
  <si>
    <t>SV-CA</t>
  </si>
  <si>
    <t>RT-CH</t>
  </si>
  <si>
    <t>EM-CO</t>
  </si>
  <si>
    <t>FN-CB</t>
  </si>
  <si>
    <t>EM-CM</t>
  </si>
  <si>
    <t>FN-CF</t>
  </si>
  <si>
    <t>RT-CP</t>
  </si>
  <si>
    <t>TR-CL</t>
  </si>
  <si>
    <t>HC-DR</t>
  </si>
  <si>
    <t>CG-EC</t>
  </si>
  <si>
    <t>SV-ED</t>
  </si>
  <si>
    <t>IF-EU</t>
  </si>
  <si>
    <t>RT-EE</t>
  </si>
  <si>
    <t>TC-ES</t>
  </si>
  <si>
    <t>IF-EN</t>
  </si>
  <si>
    <t>FB-FR</t>
  </si>
  <si>
    <t>RR-FM</t>
  </si>
  <si>
    <t>RR-FC</t>
  </si>
  <si>
    <t>IF-GU</t>
  </si>
  <si>
    <t>TC-HW</t>
  </si>
  <si>
    <t>HC-DY</t>
  </si>
  <si>
    <t>HC-DI</t>
  </si>
  <si>
    <t>IF-HB</t>
  </si>
  <si>
    <t>SV-HL</t>
  </si>
  <si>
    <t>CG-HP</t>
  </si>
  <si>
    <t>RT-IG</t>
  </si>
  <si>
    <t>FN-IN</t>
  </si>
  <si>
    <t>TC-IM</t>
  </si>
  <si>
    <t>FN-IB</t>
  </si>
  <si>
    <t>EM-IS</t>
  </si>
  <si>
    <t>SV-LF</t>
  </si>
  <si>
    <t>HC-MC</t>
  </si>
  <si>
    <t>TR-MT</t>
  </si>
  <si>
    <t>FB-MP</t>
  </si>
  <si>
    <t>SV-ME</t>
  </si>
  <si>
    <t>HC-MS</t>
  </si>
  <si>
    <t>EM-MM</t>
  </si>
  <si>
    <t>FN-MF</t>
  </si>
  <si>
    <t>CG-MR</t>
  </si>
  <si>
    <t>FB-NB</t>
  </si>
  <si>
    <t>EM-EP</t>
  </si>
  <si>
    <t>EM-MD</t>
  </si>
  <si>
    <t>EM-RM</t>
  </si>
  <si>
    <t>EM-SV</t>
  </si>
  <si>
    <t>FB-PF</t>
  </si>
  <si>
    <t>SV-PS</t>
  </si>
  <si>
    <t>RR-PP</t>
  </si>
  <si>
    <t>TR-RA</t>
  </si>
  <si>
    <t>IF-RE</t>
  </si>
  <si>
    <t>IF-RS</t>
  </si>
  <si>
    <t>FB-RN</t>
  </si>
  <si>
    <t>TR-RO</t>
  </si>
  <si>
    <t>FN-EX</t>
  </si>
  <si>
    <t>TC-SC</t>
  </si>
  <si>
    <t>TC-SI</t>
  </si>
  <si>
    <t>RR-ST</t>
  </si>
  <si>
    <t>TC-TL</t>
  </si>
  <si>
    <t>FB-TB</t>
  </si>
  <si>
    <t>CG-TS</t>
  </si>
  <si>
    <t>IF-WM</t>
  </si>
  <si>
    <t>IF-WU</t>
  </si>
  <si>
    <t>RR-WT</t>
  </si>
  <si>
    <t>OIL &amp; GAS - EXPLORATION &amp; PRODUCTION</t>
  </si>
  <si>
    <t>OIL &amp; GAS - MIDSTREAM</t>
  </si>
  <si>
    <t>OIL &amp; GAS - REFINING &amp; MARKETING</t>
  </si>
  <si>
    <t>OIL &amp; GAS - SERVICES</t>
  </si>
  <si>
    <t>SASB Industry</t>
  </si>
  <si>
    <t>Main Industry</t>
  </si>
  <si>
    <t>Consumer Goods</t>
  </si>
  <si>
    <t>Corresponding IO Industry</t>
  </si>
  <si>
    <t>Food &amp; Beverage</t>
  </si>
  <si>
    <t>Extractives &amp; Minerals</t>
  </si>
  <si>
    <t>Financials</t>
  </si>
  <si>
    <t>Healthcare</t>
  </si>
  <si>
    <t>Infrastructure</t>
  </si>
  <si>
    <t>Renewable resources &amp; Alternative energy</t>
  </si>
  <si>
    <t>Resource Transformation</t>
  </si>
  <si>
    <t>Serviced</t>
  </si>
  <si>
    <t>Technology &amp; Communication</t>
  </si>
  <si>
    <t>Transportation</t>
  </si>
  <si>
    <t>PCE share</t>
  </si>
  <si>
    <t>T007</t>
  </si>
  <si>
    <t>MCIF</t>
  </si>
  <si>
    <t>MADJ</t>
  </si>
  <si>
    <t>T013</t>
  </si>
  <si>
    <t>Trade</t>
  </si>
  <si>
    <t>Trans</t>
  </si>
  <si>
    <t>T014</t>
  </si>
  <si>
    <t>MDTY</t>
  </si>
  <si>
    <t>TOP</t>
  </si>
  <si>
    <t>SUB</t>
  </si>
  <si>
    <t>T015</t>
  </si>
  <si>
    <t>T016</t>
  </si>
  <si>
    <t>Total Commodity Output</t>
  </si>
  <si>
    <t>Imports</t>
  </si>
  <si>
    <t>CIF/FOB Adjustments on Imports</t>
  </si>
  <si>
    <t>Total product supply (basic prices)</t>
  </si>
  <si>
    <t>Trade margins</t>
  </si>
  <si>
    <t>Transport margins</t>
  </si>
  <si>
    <t>Total trade and transportation margins</t>
  </si>
  <si>
    <t>Import duties</t>
  </si>
  <si>
    <t>Tax on products</t>
  </si>
  <si>
    <t>Subsidies</t>
  </si>
  <si>
    <t>Total tax less subsidies on products</t>
  </si>
  <si>
    <t>Total product supply (purchaser prices)</t>
  </si>
  <si>
    <t>T017</t>
  </si>
  <si>
    <t>Total industry supply</t>
  </si>
  <si>
    <t>total use</t>
  </si>
  <si>
    <t>IO code</t>
  </si>
  <si>
    <t>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</si>
</sst>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10" fontId="0" fillId="0" borderId="2" xfId="0" applyNumberFormat="1" applyBorder="1"/>
    <xf numFmtId="3" fontId="0" fillId="2" borderId="0" xfId="0" applyNumberFormat="1" applyFill="1" applyAlignment="1">
      <alignment horizontal="right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FF5B-5941-46A4-8372-EAA24A492DF5}">
  <dimension ref="A1:CG76"/>
  <sheetViews>
    <sheetView topLeftCell="BG1" workbookViewId="0">
      <selection activeCell="C2" sqref="C2:CG2"/>
    </sheetView>
  </sheetViews>
  <sheetFormatPr defaultRowHeight="15" x14ac:dyDescent="0.25"/>
  <cols>
    <col min="2" max="2" width="25.140625" customWidth="1"/>
    <col min="13" max="13" width="14.5703125" customWidth="1"/>
    <col min="79" max="79" width="14.42578125" customWidth="1"/>
    <col min="80" max="80" width="12.85546875" customWidth="1"/>
  </cols>
  <sheetData>
    <row r="1" spans="1:8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366</v>
      </c>
      <c r="BW1" t="s">
        <v>367</v>
      </c>
      <c r="BX1" t="s">
        <v>368</v>
      </c>
      <c r="BY1" t="s">
        <v>369</v>
      </c>
      <c r="BZ1" t="s">
        <v>370</v>
      </c>
      <c r="CA1" t="s">
        <v>371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</row>
    <row r="2" spans="1:85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109</v>
      </c>
      <c r="S2" t="s">
        <v>110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  <c r="Z2" t="s">
        <v>117</v>
      </c>
      <c r="AA2" t="s">
        <v>118</v>
      </c>
      <c r="AB2" t="s">
        <v>119</v>
      </c>
      <c r="AC2" t="s">
        <v>120</v>
      </c>
      <c r="AD2" t="s">
        <v>121</v>
      </c>
      <c r="AE2" t="s">
        <v>122</v>
      </c>
      <c r="AF2" t="s">
        <v>123</v>
      </c>
      <c r="AG2" t="s">
        <v>124</v>
      </c>
      <c r="AH2" t="s">
        <v>125</v>
      </c>
      <c r="AI2" t="s">
        <v>126</v>
      </c>
      <c r="AJ2" t="s">
        <v>127</v>
      </c>
      <c r="AK2" t="s">
        <v>128</v>
      </c>
      <c r="AL2" t="s">
        <v>129</v>
      </c>
      <c r="AM2" t="s">
        <v>130</v>
      </c>
      <c r="AN2" t="s">
        <v>131</v>
      </c>
      <c r="AO2" t="s">
        <v>132</v>
      </c>
      <c r="AP2" t="s">
        <v>133</v>
      </c>
      <c r="AQ2" t="s">
        <v>134</v>
      </c>
      <c r="AR2" t="s">
        <v>135</v>
      </c>
      <c r="AS2" t="s">
        <v>136</v>
      </c>
      <c r="AT2" t="s">
        <v>137</v>
      </c>
      <c r="AU2" t="s">
        <v>138</v>
      </c>
      <c r="AV2" t="s">
        <v>139</v>
      </c>
      <c r="AW2" t="s">
        <v>140</v>
      </c>
      <c r="AX2" t="s">
        <v>141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 t="s">
        <v>156</v>
      </c>
      <c r="BN2" t="s">
        <v>157</v>
      </c>
      <c r="BO2" t="s">
        <v>158</v>
      </c>
      <c r="BP2" t="s">
        <v>159</v>
      </c>
      <c r="BQ2" t="s">
        <v>160</v>
      </c>
      <c r="BR2" t="s">
        <v>161</v>
      </c>
      <c r="BS2" t="s">
        <v>162</v>
      </c>
      <c r="BT2" t="s">
        <v>163</v>
      </c>
      <c r="BU2" t="s">
        <v>164</v>
      </c>
      <c r="BV2" t="s">
        <v>378</v>
      </c>
      <c r="BW2" t="s">
        <v>379</v>
      </c>
      <c r="BX2" t="s">
        <v>380</v>
      </c>
      <c r="BY2" t="s">
        <v>381</v>
      </c>
      <c r="BZ2" t="s">
        <v>382</v>
      </c>
      <c r="CA2" t="s">
        <v>383</v>
      </c>
      <c r="CB2" t="s">
        <v>384</v>
      </c>
      <c r="CC2" t="s">
        <v>385</v>
      </c>
      <c r="CD2" t="s">
        <v>386</v>
      </c>
      <c r="CE2" t="s">
        <v>387</v>
      </c>
      <c r="CF2" t="s">
        <v>388</v>
      </c>
      <c r="CG2" t="s">
        <v>389</v>
      </c>
    </row>
    <row r="3" spans="1:85" x14ac:dyDescent="0.25">
      <c r="A3" t="s">
        <v>1</v>
      </c>
      <c r="B3" t="s">
        <v>94</v>
      </c>
      <c r="C3" s="1">
        <v>562960</v>
      </c>
      <c r="D3" s="1">
        <v>30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300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772</v>
      </c>
      <c r="BU3" s="1">
        <v>0</v>
      </c>
      <c r="BV3" s="1">
        <v>564063</v>
      </c>
      <c r="BW3" s="1">
        <v>60403</v>
      </c>
      <c r="BX3" s="1">
        <v>0</v>
      </c>
      <c r="BY3" s="1">
        <v>624466</v>
      </c>
      <c r="BZ3" s="1">
        <v>175628</v>
      </c>
      <c r="CA3" s="1">
        <v>79143</v>
      </c>
      <c r="CB3" s="1">
        <v>254771</v>
      </c>
      <c r="CC3" s="1">
        <v>181</v>
      </c>
      <c r="CD3" s="1">
        <v>11502</v>
      </c>
      <c r="CE3" s="1">
        <v>-7036</v>
      </c>
      <c r="CF3" s="1">
        <v>4648</v>
      </c>
      <c r="CG3" s="1">
        <v>883884</v>
      </c>
    </row>
    <row r="4" spans="1:85" x14ac:dyDescent="0.25">
      <c r="A4" t="s">
        <v>2</v>
      </c>
      <c r="B4" t="s">
        <v>95</v>
      </c>
      <c r="C4" s="1">
        <v>7051</v>
      </c>
      <c r="D4" s="1">
        <v>66127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103</v>
      </c>
      <c r="AD4" s="1">
        <v>0</v>
      </c>
      <c r="AE4" s="1">
        <v>0</v>
      </c>
      <c r="AF4" s="1">
        <v>0</v>
      </c>
      <c r="AG4" s="1">
        <v>0</v>
      </c>
      <c r="AH4" s="1">
        <v>987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-18</v>
      </c>
      <c r="BS4" s="1">
        <v>0</v>
      </c>
      <c r="BT4" s="1">
        <v>4489</v>
      </c>
      <c r="BU4" s="1">
        <v>0</v>
      </c>
      <c r="BV4" s="1">
        <v>78738</v>
      </c>
      <c r="BW4" s="1">
        <v>19527</v>
      </c>
      <c r="BX4" s="1">
        <v>0</v>
      </c>
      <c r="BY4" s="1">
        <v>98265</v>
      </c>
      <c r="BZ4" s="1">
        <v>13577</v>
      </c>
      <c r="CA4" s="1">
        <v>4933</v>
      </c>
      <c r="CB4" s="1">
        <v>18510</v>
      </c>
      <c r="CC4" s="1">
        <v>195</v>
      </c>
      <c r="CD4" s="1">
        <v>1427</v>
      </c>
      <c r="CE4" s="1">
        <v>0</v>
      </c>
      <c r="CF4" s="1">
        <v>1622</v>
      </c>
      <c r="CG4" s="1">
        <v>118398</v>
      </c>
    </row>
    <row r="5" spans="1:85" x14ac:dyDescent="0.25">
      <c r="A5" t="s">
        <v>3</v>
      </c>
      <c r="B5" t="s">
        <v>96</v>
      </c>
      <c r="C5" s="1">
        <v>0</v>
      </c>
      <c r="D5" s="1">
        <v>0</v>
      </c>
      <c r="E5" s="1">
        <v>373547</v>
      </c>
      <c r="F5" s="1">
        <v>0</v>
      </c>
      <c r="G5" s="1">
        <v>361</v>
      </c>
      <c r="H5" s="1">
        <v>130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352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374390</v>
      </c>
      <c r="BW5" s="1">
        <v>173685</v>
      </c>
      <c r="BX5" s="1">
        <v>0</v>
      </c>
      <c r="BY5" s="1">
        <v>548074</v>
      </c>
      <c r="BZ5" s="1">
        <v>23266</v>
      </c>
      <c r="CA5" s="1">
        <v>71063</v>
      </c>
      <c r="CB5" s="1">
        <v>94328</v>
      </c>
      <c r="CC5" s="1">
        <v>144</v>
      </c>
      <c r="CD5" s="1">
        <v>18412</v>
      </c>
      <c r="CE5" s="1">
        <v>0</v>
      </c>
      <c r="CF5" s="1">
        <v>18556</v>
      </c>
      <c r="CG5" s="1">
        <v>660959</v>
      </c>
    </row>
    <row r="6" spans="1:85" x14ac:dyDescent="0.25">
      <c r="A6" t="s">
        <v>4</v>
      </c>
      <c r="B6" t="s">
        <v>97</v>
      </c>
      <c r="C6" s="1">
        <v>0</v>
      </c>
      <c r="D6" s="1">
        <v>0</v>
      </c>
      <c r="E6" s="1">
        <v>55</v>
      </c>
      <c r="F6" s="1">
        <v>104868</v>
      </c>
      <c r="G6" s="1">
        <v>0</v>
      </c>
      <c r="H6" s="1">
        <v>0</v>
      </c>
      <c r="I6" s="1">
        <v>0</v>
      </c>
      <c r="J6" s="1">
        <v>0</v>
      </c>
      <c r="K6" s="1">
        <v>759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58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941</v>
      </c>
      <c r="BU6" s="1">
        <v>0</v>
      </c>
      <c r="BV6" s="1">
        <v>106680</v>
      </c>
      <c r="BW6" s="1">
        <v>6198</v>
      </c>
      <c r="BX6" s="1">
        <v>0</v>
      </c>
      <c r="BY6" s="1">
        <v>112878</v>
      </c>
      <c r="BZ6" s="1">
        <v>10067</v>
      </c>
      <c r="CA6" s="1">
        <v>33390</v>
      </c>
      <c r="CB6" s="1">
        <v>43457</v>
      </c>
      <c r="CC6" s="1">
        <v>11</v>
      </c>
      <c r="CD6" s="1">
        <v>5076</v>
      </c>
      <c r="CE6" s="1">
        <v>0</v>
      </c>
      <c r="CF6" s="1">
        <v>5087</v>
      </c>
      <c r="CG6" s="1">
        <v>161422</v>
      </c>
    </row>
    <row r="7" spans="1:85" x14ac:dyDescent="0.25">
      <c r="A7" t="s">
        <v>5</v>
      </c>
      <c r="B7" t="s">
        <v>98</v>
      </c>
      <c r="C7" s="1">
        <v>0</v>
      </c>
      <c r="D7" s="1">
        <v>0</v>
      </c>
      <c r="E7" s="1">
        <v>17655</v>
      </c>
      <c r="F7" s="1">
        <v>9699</v>
      </c>
      <c r="G7" s="1">
        <v>101890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7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129251</v>
      </c>
      <c r="BW7" s="1">
        <v>2485</v>
      </c>
      <c r="BX7" s="1">
        <v>0</v>
      </c>
      <c r="BY7" s="1">
        <v>131737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131737</v>
      </c>
    </row>
    <row r="8" spans="1:85" x14ac:dyDescent="0.25">
      <c r="A8" t="s">
        <v>6</v>
      </c>
      <c r="B8" t="s">
        <v>99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585445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237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-9</v>
      </c>
      <c r="BS8" s="1">
        <v>18120</v>
      </c>
      <c r="BT8" s="1">
        <v>1645</v>
      </c>
      <c r="BU8" s="1">
        <v>185989</v>
      </c>
      <c r="BV8" s="1">
        <v>791427</v>
      </c>
      <c r="BW8" s="1">
        <v>2489</v>
      </c>
      <c r="BX8" s="1">
        <v>0</v>
      </c>
      <c r="BY8" s="1">
        <v>793916</v>
      </c>
      <c r="BZ8" s="1">
        <v>0</v>
      </c>
      <c r="CA8" s="1">
        <v>0</v>
      </c>
      <c r="CB8" s="1">
        <v>0</v>
      </c>
      <c r="CC8" s="1">
        <v>0</v>
      </c>
      <c r="CD8" s="1">
        <v>40202</v>
      </c>
      <c r="CE8" s="1">
        <v>0</v>
      </c>
      <c r="CF8" s="1">
        <v>40202</v>
      </c>
      <c r="CG8" s="1">
        <v>834117</v>
      </c>
    </row>
    <row r="9" spans="1:85" x14ac:dyDescent="0.25">
      <c r="A9" t="s">
        <v>7</v>
      </c>
      <c r="B9" t="s">
        <v>100</v>
      </c>
      <c r="C9" s="1">
        <v>0</v>
      </c>
      <c r="D9" s="1">
        <v>1054</v>
      </c>
      <c r="E9" s="1">
        <v>280</v>
      </c>
      <c r="F9" s="1">
        <v>17463</v>
      </c>
      <c r="G9" s="1">
        <v>6877</v>
      </c>
      <c r="H9" s="1">
        <v>3771</v>
      </c>
      <c r="I9" s="1">
        <v>2507925</v>
      </c>
      <c r="J9" s="1">
        <v>2065</v>
      </c>
      <c r="K9" s="1">
        <v>2810</v>
      </c>
      <c r="L9" s="1">
        <v>716</v>
      </c>
      <c r="M9" s="1">
        <v>5516</v>
      </c>
      <c r="N9" s="1">
        <v>1544</v>
      </c>
      <c r="O9" s="1">
        <v>166</v>
      </c>
      <c r="P9" s="1">
        <v>242</v>
      </c>
      <c r="Q9" s="1">
        <v>1609</v>
      </c>
      <c r="R9" s="1">
        <v>2527</v>
      </c>
      <c r="S9" s="1">
        <v>1199</v>
      </c>
      <c r="T9" s="1">
        <v>961</v>
      </c>
      <c r="U9" s="1">
        <v>514</v>
      </c>
      <c r="V9" s="1">
        <v>128</v>
      </c>
      <c r="W9" s="1">
        <v>5</v>
      </c>
      <c r="X9" s="1">
        <v>280</v>
      </c>
      <c r="Y9" s="1">
        <v>49</v>
      </c>
      <c r="Z9" s="1">
        <v>814</v>
      </c>
      <c r="AA9" s="1">
        <v>463</v>
      </c>
      <c r="AB9" s="1">
        <v>375</v>
      </c>
      <c r="AC9" s="1">
        <v>8977</v>
      </c>
      <c r="AD9" s="1">
        <v>11</v>
      </c>
      <c r="AE9" s="1">
        <v>0</v>
      </c>
      <c r="AF9" s="1">
        <v>1982</v>
      </c>
      <c r="AG9" s="1">
        <v>5673</v>
      </c>
      <c r="AH9" s="1">
        <v>38</v>
      </c>
      <c r="AI9" s="1">
        <v>25</v>
      </c>
      <c r="AJ9" s="1">
        <v>0</v>
      </c>
      <c r="AK9" s="1">
        <v>23</v>
      </c>
      <c r="AL9" s="1">
        <v>0</v>
      </c>
      <c r="AM9" s="1">
        <v>106</v>
      </c>
      <c r="AN9" s="1">
        <v>105</v>
      </c>
      <c r="AO9" s="1">
        <v>120</v>
      </c>
      <c r="AP9" s="1">
        <v>25</v>
      </c>
      <c r="AQ9" s="1">
        <v>89</v>
      </c>
      <c r="AR9" s="1">
        <v>1463</v>
      </c>
      <c r="AS9" s="1">
        <v>998</v>
      </c>
      <c r="AT9" s="1">
        <v>4</v>
      </c>
      <c r="AU9" s="1">
        <v>2</v>
      </c>
      <c r="AV9" s="1">
        <v>5</v>
      </c>
      <c r="AW9" s="1">
        <v>0</v>
      </c>
      <c r="AX9" s="1">
        <v>29504</v>
      </c>
      <c r="AY9" s="1">
        <v>351</v>
      </c>
      <c r="AZ9" s="1">
        <v>89</v>
      </c>
      <c r="BA9" s="1">
        <v>2</v>
      </c>
      <c r="BB9" s="1">
        <v>10</v>
      </c>
      <c r="BC9" s="1">
        <v>726</v>
      </c>
      <c r="BD9" s="1">
        <v>96</v>
      </c>
      <c r="BE9" s="1">
        <v>1582</v>
      </c>
      <c r="BF9" s="1">
        <v>4</v>
      </c>
      <c r="BG9" s="1">
        <v>888</v>
      </c>
      <c r="BH9" s="1">
        <v>1057</v>
      </c>
      <c r="BI9" s="1">
        <v>1617</v>
      </c>
      <c r="BJ9" s="1">
        <v>42</v>
      </c>
      <c r="BK9" s="1">
        <v>152</v>
      </c>
      <c r="BL9" s="1">
        <v>748</v>
      </c>
      <c r="BM9" s="1">
        <v>693</v>
      </c>
      <c r="BN9" s="1">
        <v>1332</v>
      </c>
      <c r="BO9" s="1">
        <v>1301</v>
      </c>
      <c r="BP9" s="1">
        <v>673</v>
      </c>
      <c r="BQ9" s="1">
        <v>3</v>
      </c>
      <c r="BR9" s="1">
        <v>365</v>
      </c>
      <c r="BS9" s="1">
        <v>0</v>
      </c>
      <c r="BT9" s="1">
        <v>31257</v>
      </c>
      <c r="BU9" s="1">
        <v>0</v>
      </c>
      <c r="BV9" s="1">
        <v>2651493</v>
      </c>
      <c r="BW9" s="1">
        <v>0</v>
      </c>
      <c r="BX9" s="1">
        <v>0</v>
      </c>
      <c r="BY9" s="1">
        <v>2651493</v>
      </c>
      <c r="BZ9" s="1">
        <v>0</v>
      </c>
      <c r="CA9" s="1">
        <v>0</v>
      </c>
      <c r="CB9" s="1">
        <v>0</v>
      </c>
      <c r="CC9" s="1">
        <v>0</v>
      </c>
      <c r="CD9" s="1">
        <v>3084</v>
      </c>
      <c r="CE9" s="1">
        <v>0</v>
      </c>
      <c r="CF9" s="1">
        <v>3084</v>
      </c>
      <c r="CG9" s="1">
        <v>2654577</v>
      </c>
    </row>
    <row r="10" spans="1:85" x14ac:dyDescent="0.25">
      <c r="A10" t="s">
        <v>8</v>
      </c>
      <c r="B10" t="s">
        <v>101</v>
      </c>
      <c r="C10" s="1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167883</v>
      </c>
      <c r="K10" s="1">
        <v>23</v>
      </c>
      <c r="L10" s="1">
        <v>0</v>
      </c>
      <c r="M10" s="1">
        <v>268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584</v>
      </c>
      <c r="T10" s="1">
        <v>101</v>
      </c>
      <c r="U10" s="1">
        <v>0</v>
      </c>
      <c r="V10" s="1">
        <v>0</v>
      </c>
      <c r="W10" s="1">
        <v>0</v>
      </c>
      <c r="X10" s="1">
        <v>219</v>
      </c>
      <c r="Y10" s="1">
        <v>19</v>
      </c>
      <c r="Z10" s="1">
        <v>0</v>
      </c>
      <c r="AA10" s="1">
        <v>3</v>
      </c>
      <c r="AB10" s="1">
        <v>214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289</v>
      </c>
      <c r="BU10" s="1">
        <v>0</v>
      </c>
      <c r="BV10" s="1">
        <v>169616</v>
      </c>
      <c r="BW10" s="1">
        <v>24472</v>
      </c>
      <c r="BX10" s="1">
        <v>0</v>
      </c>
      <c r="BY10" s="1">
        <v>194088</v>
      </c>
      <c r="BZ10" s="1">
        <v>52913</v>
      </c>
      <c r="CA10" s="1">
        <v>12201</v>
      </c>
      <c r="CB10" s="1">
        <v>65114</v>
      </c>
      <c r="CC10" s="1">
        <v>575</v>
      </c>
      <c r="CD10" s="1">
        <v>6579</v>
      </c>
      <c r="CE10" s="1">
        <v>0</v>
      </c>
      <c r="CF10" s="1">
        <v>7154</v>
      </c>
      <c r="CG10" s="1">
        <v>266356</v>
      </c>
    </row>
    <row r="11" spans="1:85" x14ac:dyDescent="0.25">
      <c r="A11" t="s">
        <v>9</v>
      </c>
      <c r="B11" t="s">
        <v>102</v>
      </c>
      <c r="C11" s="1">
        <v>0</v>
      </c>
      <c r="D11" s="1">
        <v>0</v>
      </c>
      <c r="E11" s="1">
        <v>0</v>
      </c>
      <c r="F11" s="1">
        <v>265</v>
      </c>
      <c r="G11" s="1">
        <v>0</v>
      </c>
      <c r="H11" s="1">
        <v>0</v>
      </c>
      <c r="I11" s="1">
        <v>0</v>
      </c>
      <c r="J11" s="1">
        <v>48</v>
      </c>
      <c r="K11" s="1">
        <v>168062</v>
      </c>
      <c r="L11" s="1">
        <v>134</v>
      </c>
      <c r="M11" s="1">
        <v>250</v>
      </c>
      <c r="N11" s="1">
        <v>206</v>
      </c>
      <c r="O11" s="1">
        <v>12</v>
      </c>
      <c r="P11" s="1">
        <v>88</v>
      </c>
      <c r="Q11" s="1">
        <v>0</v>
      </c>
      <c r="R11" s="1">
        <v>0</v>
      </c>
      <c r="S11" s="1">
        <v>43</v>
      </c>
      <c r="T11" s="1">
        <v>30</v>
      </c>
      <c r="U11" s="1">
        <v>0</v>
      </c>
      <c r="V11" s="1">
        <v>1</v>
      </c>
      <c r="W11" s="1">
        <v>17</v>
      </c>
      <c r="X11" s="1">
        <v>33</v>
      </c>
      <c r="Y11" s="1">
        <v>0</v>
      </c>
      <c r="Z11" s="1">
        <v>225</v>
      </c>
      <c r="AA11" s="1">
        <v>125</v>
      </c>
      <c r="AB11" s="1">
        <v>102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169640</v>
      </c>
      <c r="BW11" s="1">
        <v>32384</v>
      </c>
      <c r="BX11" s="1">
        <v>0</v>
      </c>
      <c r="BY11" s="1">
        <v>202024</v>
      </c>
      <c r="BZ11" s="1">
        <v>60077</v>
      </c>
      <c r="CA11" s="1">
        <v>35416</v>
      </c>
      <c r="CB11" s="1">
        <v>95492</v>
      </c>
      <c r="CC11" s="1">
        <v>1895</v>
      </c>
      <c r="CD11" s="1">
        <v>7209</v>
      </c>
      <c r="CE11" s="1">
        <v>0</v>
      </c>
      <c r="CF11" s="1">
        <v>9104</v>
      </c>
      <c r="CG11" s="1">
        <v>306620</v>
      </c>
    </row>
    <row r="12" spans="1:85" x14ac:dyDescent="0.25">
      <c r="A12" t="s">
        <v>10</v>
      </c>
      <c r="B12" t="s">
        <v>103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295542</v>
      </c>
      <c r="M12" s="1">
        <v>4077</v>
      </c>
      <c r="N12" s="1">
        <v>24</v>
      </c>
      <c r="O12" s="1">
        <v>58</v>
      </c>
      <c r="P12" s="1">
        <v>1056</v>
      </c>
      <c r="Q12" s="1">
        <v>17</v>
      </c>
      <c r="R12" s="1">
        <v>2</v>
      </c>
      <c r="S12" s="1">
        <v>28</v>
      </c>
      <c r="T12" s="1">
        <v>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163</v>
      </c>
      <c r="AA12" s="1">
        <v>4</v>
      </c>
      <c r="AB12" s="1">
        <v>6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300987</v>
      </c>
      <c r="BW12" s="1">
        <v>95092</v>
      </c>
      <c r="BX12" s="1">
        <v>0</v>
      </c>
      <c r="BY12" s="1">
        <v>396078</v>
      </c>
      <c r="BZ12" s="1">
        <v>44963</v>
      </c>
      <c r="CA12" s="1">
        <v>15442</v>
      </c>
      <c r="CB12" s="1">
        <v>60406</v>
      </c>
      <c r="CC12" s="1">
        <v>2509</v>
      </c>
      <c r="CD12" s="1">
        <v>2742</v>
      </c>
      <c r="CE12" s="1">
        <v>0</v>
      </c>
      <c r="CF12" s="1">
        <v>5251</v>
      </c>
      <c r="CG12" s="1">
        <v>461735</v>
      </c>
    </row>
    <row r="13" spans="1:85" x14ac:dyDescent="0.25">
      <c r="A13" t="s">
        <v>11</v>
      </c>
      <c r="B13" t="s">
        <v>104</v>
      </c>
      <c r="C13" s="1">
        <v>0</v>
      </c>
      <c r="D13" s="1">
        <v>0</v>
      </c>
      <c r="E13" s="1">
        <v>0</v>
      </c>
      <c r="F13" s="1">
        <v>0</v>
      </c>
      <c r="G13" s="1">
        <v>486</v>
      </c>
      <c r="H13" s="1">
        <v>0</v>
      </c>
      <c r="I13" s="1">
        <v>0</v>
      </c>
      <c r="J13" s="1">
        <v>646</v>
      </c>
      <c r="K13" s="1">
        <v>34</v>
      </c>
      <c r="L13" s="1">
        <v>1656</v>
      </c>
      <c r="M13" s="1">
        <v>429782</v>
      </c>
      <c r="N13" s="1">
        <v>1847</v>
      </c>
      <c r="O13" s="1">
        <v>115</v>
      </c>
      <c r="P13" s="1">
        <v>179</v>
      </c>
      <c r="Q13" s="1">
        <v>1099</v>
      </c>
      <c r="R13" s="1">
        <v>72</v>
      </c>
      <c r="S13" s="1">
        <v>243</v>
      </c>
      <c r="T13" s="1">
        <v>924</v>
      </c>
      <c r="U13" s="1">
        <v>0</v>
      </c>
      <c r="V13" s="1">
        <v>78</v>
      </c>
      <c r="W13" s="1">
        <v>0</v>
      </c>
      <c r="X13" s="1">
        <v>0</v>
      </c>
      <c r="Y13" s="1">
        <v>128</v>
      </c>
      <c r="Z13" s="1">
        <v>0</v>
      </c>
      <c r="AA13" s="1">
        <v>52</v>
      </c>
      <c r="AB13" s="1">
        <v>556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437898</v>
      </c>
      <c r="BW13" s="1">
        <v>89042</v>
      </c>
      <c r="BX13" s="1">
        <v>0</v>
      </c>
      <c r="BY13" s="1">
        <v>526940</v>
      </c>
      <c r="BZ13" s="1">
        <v>176407</v>
      </c>
      <c r="CA13" s="1">
        <v>15111</v>
      </c>
      <c r="CB13" s="1">
        <v>191517</v>
      </c>
      <c r="CC13" s="1">
        <v>6053</v>
      </c>
      <c r="CD13" s="1">
        <v>20006</v>
      </c>
      <c r="CE13" s="1">
        <v>0</v>
      </c>
      <c r="CF13" s="1">
        <v>26059</v>
      </c>
      <c r="CG13" s="1">
        <v>744516</v>
      </c>
    </row>
    <row r="14" spans="1:85" x14ac:dyDescent="0.25">
      <c r="A14" t="s">
        <v>12</v>
      </c>
      <c r="B14" t="s">
        <v>105</v>
      </c>
      <c r="C14" s="1">
        <v>0</v>
      </c>
      <c r="D14" s="1">
        <v>0</v>
      </c>
      <c r="E14" s="1">
        <v>224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8</v>
      </c>
      <c r="L14" s="1">
        <v>271</v>
      </c>
      <c r="M14" s="1">
        <v>3218</v>
      </c>
      <c r="N14" s="1">
        <v>411309</v>
      </c>
      <c r="O14" s="1">
        <v>587</v>
      </c>
      <c r="P14" s="1">
        <v>458</v>
      </c>
      <c r="Q14" s="1">
        <v>1523</v>
      </c>
      <c r="R14" s="1">
        <v>749</v>
      </c>
      <c r="S14" s="1">
        <v>55</v>
      </c>
      <c r="T14" s="1">
        <v>207</v>
      </c>
      <c r="U14" s="1">
        <v>0</v>
      </c>
      <c r="V14" s="1">
        <v>5</v>
      </c>
      <c r="W14" s="1">
        <v>0</v>
      </c>
      <c r="X14" s="1">
        <v>0</v>
      </c>
      <c r="Y14" s="1">
        <v>90</v>
      </c>
      <c r="Z14" s="1">
        <v>0</v>
      </c>
      <c r="AA14" s="1">
        <v>150</v>
      </c>
      <c r="AB14" s="1">
        <v>342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4</v>
      </c>
      <c r="BR14" s="1">
        <v>0</v>
      </c>
      <c r="BS14" s="1">
        <v>0</v>
      </c>
      <c r="BT14" s="1">
        <v>0</v>
      </c>
      <c r="BU14" s="1">
        <v>0</v>
      </c>
      <c r="BV14" s="1">
        <v>419201</v>
      </c>
      <c r="BW14" s="1">
        <v>231060</v>
      </c>
      <c r="BX14" s="1">
        <v>0</v>
      </c>
      <c r="BY14" s="1">
        <v>650261</v>
      </c>
      <c r="BZ14" s="1">
        <v>261123</v>
      </c>
      <c r="CA14" s="1">
        <v>19582</v>
      </c>
      <c r="CB14" s="1">
        <v>280704</v>
      </c>
      <c r="CC14" s="1">
        <v>7225</v>
      </c>
      <c r="CD14" s="1">
        <v>20441</v>
      </c>
      <c r="CE14" s="1">
        <v>0</v>
      </c>
      <c r="CF14" s="1">
        <v>27666</v>
      </c>
      <c r="CG14" s="1">
        <v>958632</v>
      </c>
    </row>
    <row r="15" spans="1:85" x14ac:dyDescent="0.25">
      <c r="A15" t="s">
        <v>13</v>
      </c>
      <c r="B15" t="s">
        <v>106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471</v>
      </c>
      <c r="N15" s="1">
        <v>555</v>
      </c>
      <c r="O15" s="1">
        <v>330783</v>
      </c>
      <c r="P15" s="1">
        <v>184</v>
      </c>
      <c r="Q15" s="1">
        <v>66</v>
      </c>
      <c r="R15" s="1">
        <v>520</v>
      </c>
      <c r="S15" s="1">
        <v>6</v>
      </c>
      <c r="T15" s="1">
        <v>816</v>
      </c>
      <c r="U15" s="1">
        <v>0</v>
      </c>
      <c r="V15" s="1">
        <v>38</v>
      </c>
      <c r="W15" s="1">
        <v>0</v>
      </c>
      <c r="X15" s="1">
        <v>65</v>
      </c>
      <c r="Y15" s="1">
        <v>11</v>
      </c>
      <c r="Z15" s="1">
        <v>0</v>
      </c>
      <c r="AA15" s="1">
        <v>1461</v>
      </c>
      <c r="AB15" s="1">
        <v>241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9</v>
      </c>
      <c r="AR15" s="1">
        <v>0</v>
      </c>
      <c r="AS15" s="1">
        <v>1107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336335</v>
      </c>
      <c r="BW15" s="1">
        <v>445330</v>
      </c>
      <c r="BX15" s="1">
        <v>0</v>
      </c>
      <c r="BY15" s="1">
        <v>781665</v>
      </c>
      <c r="BZ15" s="1">
        <v>355421</v>
      </c>
      <c r="CA15" s="1">
        <v>13578</v>
      </c>
      <c r="CB15" s="1">
        <v>369000</v>
      </c>
      <c r="CC15" s="1">
        <v>5541</v>
      </c>
      <c r="CD15" s="1">
        <v>23626</v>
      </c>
      <c r="CE15" s="1">
        <v>0</v>
      </c>
      <c r="CF15" s="1">
        <v>29167</v>
      </c>
      <c r="CG15" s="1">
        <v>1179832</v>
      </c>
    </row>
    <row r="16" spans="1:85" x14ac:dyDescent="0.25">
      <c r="A16" t="s">
        <v>14</v>
      </c>
      <c r="B16" t="s">
        <v>107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69</v>
      </c>
      <c r="L16" s="1">
        <v>326</v>
      </c>
      <c r="M16" s="1">
        <v>245</v>
      </c>
      <c r="N16" s="1">
        <v>1250</v>
      </c>
      <c r="O16" s="1">
        <v>577</v>
      </c>
      <c r="P16" s="1">
        <v>183961</v>
      </c>
      <c r="Q16" s="1">
        <v>160</v>
      </c>
      <c r="R16" s="1">
        <v>430</v>
      </c>
      <c r="S16" s="1">
        <v>28</v>
      </c>
      <c r="T16" s="1">
        <v>51</v>
      </c>
      <c r="U16" s="1">
        <v>0</v>
      </c>
      <c r="V16" s="1">
        <v>0</v>
      </c>
      <c r="W16" s="1">
        <v>0</v>
      </c>
      <c r="X16" s="1">
        <v>0</v>
      </c>
      <c r="Y16" s="1">
        <v>12</v>
      </c>
      <c r="Z16" s="1">
        <v>10</v>
      </c>
      <c r="AA16" s="1">
        <v>115</v>
      </c>
      <c r="AB16" s="1">
        <v>374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187609</v>
      </c>
      <c r="BW16" s="1">
        <v>172408</v>
      </c>
      <c r="BX16" s="1">
        <v>0</v>
      </c>
      <c r="BY16" s="1">
        <v>360017</v>
      </c>
      <c r="BZ16" s="1">
        <v>165144</v>
      </c>
      <c r="CA16" s="1">
        <v>13187</v>
      </c>
      <c r="CB16" s="1">
        <v>178331</v>
      </c>
      <c r="CC16" s="1">
        <v>8985</v>
      </c>
      <c r="CD16" s="1">
        <v>11686</v>
      </c>
      <c r="CE16" s="1">
        <v>-608</v>
      </c>
      <c r="CF16" s="1">
        <v>20063</v>
      </c>
      <c r="CG16" s="1">
        <v>558412</v>
      </c>
    </row>
    <row r="17" spans="1:85" x14ac:dyDescent="0.25">
      <c r="A17" t="s">
        <v>15</v>
      </c>
      <c r="B17" t="s">
        <v>108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22</v>
      </c>
      <c r="L17" s="1">
        <v>0</v>
      </c>
      <c r="M17" s="1">
        <v>981</v>
      </c>
      <c r="N17" s="1">
        <v>889</v>
      </c>
      <c r="O17" s="1">
        <v>8</v>
      </c>
      <c r="P17" s="1">
        <v>75</v>
      </c>
      <c r="Q17" s="1">
        <v>740057</v>
      </c>
      <c r="R17" s="1">
        <v>2515</v>
      </c>
      <c r="S17" s="1">
        <v>0</v>
      </c>
      <c r="T17" s="1">
        <v>50</v>
      </c>
      <c r="U17" s="1">
        <v>0</v>
      </c>
      <c r="V17" s="1">
        <v>580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1284</v>
      </c>
      <c r="AC17" s="1">
        <v>88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746550</v>
      </c>
      <c r="BW17" s="1">
        <v>416655</v>
      </c>
      <c r="BX17" s="1">
        <v>0</v>
      </c>
      <c r="BY17" s="1">
        <v>1163204</v>
      </c>
      <c r="BZ17" s="1">
        <v>408984</v>
      </c>
      <c r="CA17" s="1">
        <v>20720</v>
      </c>
      <c r="CB17" s="1">
        <v>429704</v>
      </c>
      <c r="CC17" s="1">
        <v>9134</v>
      </c>
      <c r="CD17" s="1">
        <v>49201</v>
      </c>
      <c r="CE17" s="1">
        <v>0</v>
      </c>
      <c r="CF17" s="1">
        <v>58335</v>
      </c>
      <c r="CG17" s="1">
        <v>1651244</v>
      </c>
    </row>
    <row r="18" spans="1:85" x14ac:dyDescent="0.25">
      <c r="A18" t="s">
        <v>16</v>
      </c>
      <c r="B18" t="s">
        <v>109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221</v>
      </c>
      <c r="N18" s="1">
        <v>355</v>
      </c>
      <c r="O18" s="1">
        <v>516</v>
      </c>
      <c r="P18" s="1">
        <v>1</v>
      </c>
      <c r="Q18" s="1">
        <v>5582</v>
      </c>
      <c r="R18" s="1">
        <v>341807</v>
      </c>
      <c r="S18" s="1">
        <v>0</v>
      </c>
      <c r="T18" s="1">
        <v>52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112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348648</v>
      </c>
      <c r="BW18" s="1">
        <v>60406</v>
      </c>
      <c r="BX18" s="1">
        <v>0</v>
      </c>
      <c r="BY18" s="1">
        <v>409054</v>
      </c>
      <c r="BZ18" s="1">
        <v>39163</v>
      </c>
      <c r="CA18" s="1">
        <v>6073</v>
      </c>
      <c r="CB18" s="1">
        <v>45236</v>
      </c>
      <c r="CC18" s="1">
        <v>835</v>
      </c>
      <c r="CD18" s="1">
        <v>3820</v>
      </c>
      <c r="CE18" s="1">
        <v>0</v>
      </c>
      <c r="CF18" s="1">
        <v>4655</v>
      </c>
      <c r="CG18" s="1">
        <v>458945</v>
      </c>
    </row>
    <row r="19" spans="1:85" x14ac:dyDescent="0.25">
      <c r="A19" t="s">
        <v>17</v>
      </c>
      <c r="B19" t="s">
        <v>110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976</v>
      </c>
      <c r="K19" s="1">
        <v>124</v>
      </c>
      <c r="L19" s="1">
        <v>3</v>
      </c>
      <c r="M19" s="1">
        <v>61</v>
      </c>
      <c r="N19" s="1">
        <v>7</v>
      </c>
      <c r="O19" s="1">
        <v>0</v>
      </c>
      <c r="P19" s="1">
        <v>14</v>
      </c>
      <c r="Q19" s="1">
        <v>0</v>
      </c>
      <c r="R19" s="1">
        <v>0</v>
      </c>
      <c r="S19" s="1">
        <v>80801</v>
      </c>
      <c r="T19" s="1">
        <v>237</v>
      </c>
      <c r="U19" s="1">
        <v>0</v>
      </c>
      <c r="V19" s="1">
        <v>67</v>
      </c>
      <c r="W19" s="1">
        <v>0</v>
      </c>
      <c r="X19" s="1">
        <v>0</v>
      </c>
      <c r="Y19" s="1">
        <v>19</v>
      </c>
      <c r="Z19" s="1">
        <v>0</v>
      </c>
      <c r="AA19" s="1">
        <v>0</v>
      </c>
      <c r="AB19" s="1">
        <v>259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82568</v>
      </c>
      <c r="BW19" s="1">
        <v>49842</v>
      </c>
      <c r="BX19" s="1">
        <v>0</v>
      </c>
      <c r="BY19" s="1">
        <v>132410</v>
      </c>
      <c r="BZ19" s="1">
        <v>96442</v>
      </c>
      <c r="CA19" s="1">
        <v>21908</v>
      </c>
      <c r="CB19" s="1">
        <v>118350</v>
      </c>
      <c r="CC19" s="1">
        <v>2664</v>
      </c>
      <c r="CD19" s="1">
        <v>11209</v>
      </c>
      <c r="CE19" s="1">
        <v>0</v>
      </c>
      <c r="CF19" s="1">
        <v>13873</v>
      </c>
      <c r="CG19" s="1">
        <v>264633</v>
      </c>
    </row>
    <row r="20" spans="1:85" x14ac:dyDescent="0.25">
      <c r="A20" t="s">
        <v>18</v>
      </c>
      <c r="B20" t="s">
        <v>111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30</v>
      </c>
      <c r="K20" s="1">
        <v>25</v>
      </c>
      <c r="L20" s="1">
        <v>0</v>
      </c>
      <c r="M20" s="1">
        <v>529</v>
      </c>
      <c r="N20" s="1">
        <v>68</v>
      </c>
      <c r="O20" s="1">
        <v>1784</v>
      </c>
      <c r="P20" s="1">
        <v>15</v>
      </c>
      <c r="Q20" s="1">
        <v>10</v>
      </c>
      <c r="R20" s="1">
        <v>2</v>
      </c>
      <c r="S20" s="1">
        <v>175</v>
      </c>
      <c r="T20" s="1">
        <v>148381</v>
      </c>
      <c r="U20" s="1">
        <v>4</v>
      </c>
      <c r="V20" s="1">
        <v>25</v>
      </c>
      <c r="W20" s="1">
        <v>7</v>
      </c>
      <c r="X20" s="1">
        <v>519</v>
      </c>
      <c r="Y20" s="1">
        <v>748</v>
      </c>
      <c r="Z20" s="1">
        <v>0</v>
      </c>
      <c r="AA20" s="1">
        <v>1662</v>
      </c>
      <c r="AB20" s="1">
        <v>1583</v>
      </c>
      <c r="AC20" s="1">
        <v>6</v>
      </c>
      <c r="AD20" s="1">
        <v>0</v>
      </c>
      <c r="AE20" s="1">
        <v>0</v>
      </c>
      <c r="AF20" s="1">
        <v>0</v>
      </c>
      <c r="AG20" s="1">
        <v>2568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2</v>
      </c>
      <c r="BR20" s="1">
        <v>-11</v>
      </c>
      <c r="BS20" s="1">
        <v>0</v>
      </c>
      <c r="BT20" s="1">
        <v>1591</v>
      </c>
      <c r="BU20" s="1">
        <v>0</v>
      </c>
      <c r="BV20" s="1">
        <v>159724</v>
      </c>
      <c r="BW20" s="1">
        <v>126264</v>
      </c>
      <c r="BX20" s="1">
        <v>0</v>
      </c>
      <c r="BY20" s="1">
        <v>285988</v>
      </c>
      <c r="BZ20" s="1">
        <v>281118</v>
      </c>
      <c r="CA20" s="1">
        <v>24257</v>
      </c>
      <c r="CB20" s="1">
        <v>305375</v>
      </c>
      <c r="CC20" s="1">
        <v>2742</v>
      </c>
      <c r="CD20" s="1">
        <v>20396</v>
      </c>
      <c r="CE20" s="1">
        <v>0</v>
      </c>
      <c r="CF20" s="1">
        <v>23138</v>
      </c>
      <c r="CG20" s="1">
        <v>614501</v>
      </c>
    </row>
    <row r="21" spans="1:85" x14ac:dyDescent="0.25">
      <c r="A21" t="s">
        <v>19</v>
      </c>
      <c r="B21" t="s">
        <v>112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3</v>
      </c>
      <c r="U21" s="1">
        <v>1219086</v>
      </c>
      <c r="V21" s="1">
        <v>0</v>
      </c>
      <c r="W21" s="1">
        <v>882</v>
      </c>
      <c r="X21" s="1">
        <v>0</v>
      </c>
      <c r="Y21" s="1">
        <v>0</v>
      </c>
      <c r="Z21" s="1">
        <v>0</v>
      </c>
      <c r="AA21" s="1">
        <v>13733</v>
      </c>
      <c r="AB21" s="1">
        <v>0</v>
      </c>
      <c r="AC21" s="1">
        <v>1561</v>
      </c>
      <c r="AD21" s="1">
        <v>0</v>
      </c>
      <c r="AE21" s="1">
        <v>11519</v>
      </c>
      <c r="AF21" s="1">
        <v>2793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4125</v>
      </c>
      <c r="BU21" s="1">
        <v>0</v>
      </c>
      <c r="BV21" s="1">
        <v>1253702</v>
      </c>
      <c r="BW21" s="1">
        <v>156646</v>
      </c>
      <c r="BX21" s="1">
        <v>0</v>
      </c>
      <c r="BY21" s="1">
        <v>1410348</v>
      </c>
      <c r="BZ21" s="1">
        <v>758613</v>
      </c>
      <c r="CA21" s="1">
        <v>33139</v>
      </c>
      <c r="CB21" s="1">
        <v>791752</v>
      </c>
      <c r="CC21" s="1">
        <v>3425</v>
      </c>
      <c r="CD21" s="1">
        <v>101708</v>
      </c>
      <c r="CE21" s="1">
        <v>0</v>
      </c>
      <c r="CF21" s="1">
        <v>105133</v>
      </c>
      <c r="CG21" s="1">
        <v>2307233</v>
      </c>
    </row>
    <row r="22" spans="1:85" x14ac:dyDescent="0.25">
      <c r="A22" t="s">
        <v>20</v>
      </c>
      <c r="B22" t="s">
        <v>113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26</v>
      </c>
      <c r="L22" s="1">
        <v>3</v>
      </c>
      <c r="M22" s="1">
        <v>150</v>
      </c>
      <c r="N22" s="1">
        <v>0</v>
      </c>
      <c r="O22" s="1">
        <v>21</v>
      </c>
      <c r="P22" s="1">
        <v>0</v>
      </c>
      <c r="Q22" s="1">
        <v>564</v>
      </c>
      <c r="R22" s="1">
        <v>0</v>
      </c>
      <c r="S22" s="1">
        <v>61</v>
      </c>
      <c r="T22" s="1">
        <v>104</v>
      </c>
      <c r="U22" s="1">
        <v>0</v>
      </c>
      <c r="V22" s="1">
        <v>41104</v>
      </c>
      <c r="W22" s="1">
        <v>168</v>
      </c>
      <c r="X22" s="1">
        <v>241</v>
      </c>
      <c r="Y22" s="1">
        <v>640</v>
      </c>
      <c r="Z22" s="1">
        <v>0</v>
      </c>
      <c r="AA22" s="1">
        <v>2</v>
      </c>
      <c r="AB22" s="1">
        <v>1413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44498</v>
      </c>
      <c r="BW22" s="1">
        <v>35259</v>
      </c>
      <c r="BX22" s="1">
        <v>0</v>
      </c>
      <c r="BY22" s="1">
        <v>79757</v>
      </c>
      <c r="BZ22" s="1">
        <v>81225</v>
      </c>
      <c r="CA22" s="1">
        <v>4523</v>
      </c>
      <c r="CB22" s="1">
        <v>85748</v>
      </c>
      <c r="CC22" s="1">
        <v>2861</v>
      </c>
      <c r="CD22" s="1">
        <v>7777</v>
      </c>
      <c r="CE22" s="1">
        <v>-20</v>
      </c>
      <c r="CF22" s="1">
        <v>10618</v>
      </c>
      <c r="CG22" s="1">
        <v>176122</v>
      </c>
    </row>
    <row r="23" spans="1:85" x14ac:dyDescent="0.25">
      <c r="A23" t="s">
        <v>21</v>
      </c>
      <c r="B23" t="s">
        <v>114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110</v>
      </c>
      <c r="L23" s="1">
        <v>0</v>
      </c>
      <c r="M23" s="1">
        <v>1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12</v>
      </c>
      <c r="T23" s="1">
        <v>1401</v>
      </c>
      <c r="U23" s="1">
        <v>709</v>
      </c>
      <c r="V23" s="1">
        <v>416</v>
      </c>
      <c r="W23" s="1">
        <v>20125</v>
      </c>
      <c r="X23" s="1">
        <v>0</v>
      </c>
      <c r="Y23" s="1">
        <v>9</v>
      </c>
      <c r="Z23" s="1">
        <v>0</v>
      </c>
      <c r="AA23" s="1">
        <v>227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1698</v>
      </c>
      <c r="BU23" s="1">
        <v>0</v>
      </c>
      <c r="BV23" s="1">
        <v>24710</v>
      </c>
      <c r="BW23" s="1">
        <v>155498</v>
      </c>
      <c r="BX23" s="1">
        <v>0</v>
      </c>
      <c r="BY23" s="1">
        <v>180208</v>
      </c>
      <c r="BZ23" s="1">
        <v>328879</v>
      </c>
      <c r="CA23" s="1">
        <v>10042</v>
      </c>
      <c r="CB23" s="1">
        <v>338920</v>
      </c>
      <c r="CC23" s="1">
        <v>19071</v>
      </c>
      <c r="CD23" s="1">
        <v>31938</v>
      </c>
      <c r="CE23" s="1">
        <v>0</v>
      </c>
      <c r="CF23" s="1">
        <v>51009</v>
      </c>
      <c r="CG23" s="1">
        <v>570137</v>
      </c>
    </row>
    <row r="24" spans="1:85" x14ac:dyDescent="0.25">
      <c r="A24" t="s">
        <v>22</v>
      </c>
      <c r="B24" t="s">
        <v>115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29</v>
      </c>
      <c r="K24" s="1">
        <v>32</v>
      </c>
      <c r="L24" s="1">
        <v>2</v>
      </c>
      <c r="M24" s="1">
        <v>0</v>
      </c>
      <c r="N24" s="1">
        <v>0</v>
      </c>
      <c r="O24" s="1">
        <v>0</v>
      </c>
      <c r="P24" s="1">
        <v>8</v>
      </c>
      <c r="Q24" s="1">
        <v>0</v>
      </c>
      <c r="R24" s="1">
        <v>0</v>
      </c>
      <c r="S24" s="1">
        <v>0</v>
      </c>
      <c r="T24" s="1">
        <v>58</v>
      </c>
      <c r="U24" s="1">
        <v>49</v>
      </c>
      <c r="V24" s="1">
        <v>0</v>
      </c>
      <c r="W24" s="1">
        <v>0</v>
      </c>
      <c r="X24" s="1">
        <v>213563</v>
      </c>
      <c r="Y24" s="1">
        <v>655</v>
      </c>
      <c r="Z24" s="1">
        <v>0</v>
      </c>
      <c r="AA24" s="1">
        <v>101</v>
      </c>
      <c r="AB24" s="1">
        <v>818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868</v>
      </c>
      <c r="BU24" s="1">
        <v>0</v>
      </c>
      <c r="BV24" s="1">
        <v>216183</v>
      </c>
      <c r="BW24" s="1">
        <v>30179</v>
      </c>
      <c r="BX24" s="1">
        <v>0</v>
      </c>
      <c r="BY24" s="1">
        <v>246362</v>
      </c>
      <c r="BZ24" s="1">
        <v>82454</v>
      </c>
      <c r="CA24" s="1">
        <v>15305</v>
      </c>
      <c r="CB24" s="1">
        <v>97759</v>
      </c>
      <c r="CC24" s="1">
        <v>816</v>
      </c>
      <c r="CD24" s="1">
        <v>8732</v>
      </c>
      <c r="CE24" s="1">
        <v>0</v>
      </c>
      <c r="CF24" s="1">
        <v>9548</v>
      </c>
      <c r="CG24" s="1">
        <v>353669</v>
      </c>
    </row>
    <row r="25" spans="1:85" x14ac:dyDescent="0.25">
      <c r="A25" t="s">
        <v>23</v>
      </c>
      <c r="B25" t="s">
        <v>116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66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7</v>
      </c>
      <c r="T25" s="1">
        <v>376</v>
      </c>
      <c r="U25" s="1">
        <v>0</v>
      </c>
      <c r="V25" s="1">
        <v>203</v>
      </c>
      <c r="W25" s="1">
        <v>6</v>
      </c>
      <c r="X25" s="1">
        <v>323</v>
      </c>
      <c r="Y25" s="1">
        <v>64890</v>
      </c>
      <c r="Z25" s="1">
        <v>0</v>
      </c>
      <c r="AA25" s="1">
        <v>0</v>
      </c>
      <c r="AB25" s="1">
        <v>49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1744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12</v>
      </c>
      <c r="BD25" s="1">
        <v>0</v>
      </c>
      <c r="BE25" s="1">
        <v>2076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-1</v>
      </c>
      <c r="BS25" s="1">
        <v>0</v>
      </c>
      <c r="BT25" s="1">
        <v>2361</v>
      </c>
      <c r="BU25" s="1">
        <v>0</v>
      </c>
      <c r="BV25" s="1">
        <v>72110</v>
      </c>
      <c r="BW25" s="1">
        <v>3308</v>
      </c>
      <c r="BX25" s="1">
        <v>0</v>
      </c>
      <c r="BY25" s="1">
        <v>75418</v>
      </c>
      <c r="BZ25" s="1">
        <v>19777</v>
      </c>
      <c r="CA25" s="1">
        <v>3700</v>
      </c>
      <c r="CB25" s="1">
        <v>23477</v>
      </c>
      <c r="CC25" s="1">
        <v>118</v>
      </c>
      <c r="CD25" s="1">
        <v>1505</v>
      </c>
      <c r="CE25" s="1">
        <v>0</v>
      </c>
      <c r="CF25" s="1">
        <v>1623</v>
      </c>
      <c r="CG25" s="1">
        <v>100518</v>
      </c>
    </row>
    <row r="26" spans="1:85" x14ac:dyDescent="0.25">
      <c r="A26" t="s">
        <v>24</v>
      </c>
      <c r="B26" t="s">
        <v>117</v>
      </c>
      <c r="C26" s="1">
        <v>0</v>
      </c>
      <c r="D26" s="1">
        <v>0</v>
      </c>
      <c r="E26" s="1">
        <v>44417</v>
      </c>
      <c r="F26" s="1">
        <v>156</v>
      </c>
      <c r="G26" s="1">
        <v>235</v>
      </c>
      <c r="H26" s="1">
        <v>0</v>
      </c>
      <c r="I26" s="1">
        <v>0</v>
      </c>
      <c r="J26" s="1">
        <v>0</v>
      </c>
      <c r="K26" s="1">
        <v>141</v>
      </c>
      <c r="L26" s="1">
        <v>883</v>
      </c>
      <c r="M26" s="1">
        <v>4</v>
      </c>
      <c r="N26" s="1">
        <v>0</v>
      </c>
      <c r="O26" s="1">
        <v>0</v>
      </c>
      <c r="P26" s="1">
        <v>3</v>
      </c>
      <c r="Q26" s="1">
        <v>0</v>
      </c>
      <c r="R26" s="1">
        <v>0</v>
      </c>
      <c r="S26" s="1">
        <v>0</v>
      </c>
      <c r="T26" s="1">
        <v>0</v>
      </c>
      <c r="U26" s="1">
        <v>45</v>
      </c>
      <c r="V26" s="1">
        <v>0</v>
      </c>
      <c r="W26" s="1">
        <v>0</v>
      </c>
      <c r="X26" s="1">
        <v>0</v>
      </c>
      <c r="Y26" s="1">
        <v>0</v>
      </c>
      <c r="Z26" s="1">
        <v>613207</v>
      </c>
      <c r="AA26" s="1">
        <v>10228</v>
      </c>
      <c r="AB26" s="1">
        <v>2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669321</v>
      </c>
      <c r="BW26" s="1">
        <v>71319</v>
      </c>
      <c r="BX26" s="1">
        <v>0</v>
      </c>
      <c r="BY26" s="1">
        <v>740640</v>
      </c>
      <c r="BZ26" s="1">
        <v>198664</v>
      </c>
      <c r="CA26" s="1">
        <v>38596</v>
      </c>
      <c r="CB26" s="1">
        <v>237261</v>
      </c>
      <c r="CC26" s="1">
        <v>223</v>
      </c>
      <c r="CD26" s="1">
        <v>123278</v>
      </c>
      <c r="CE26" s="1">
        <v>0</v>
      </c>
      <c r="CF26" s="1">
        <v>123501</v>
      </c>
      <c r="CG26" s="1">
        <v>1101402</v>
      </c>
    </row>
    <row r="27" spans="1:85" x14ac:dyDescent="0.25">
      <c r="A27" t="s">
        <v>25</v>
      </c>
      <c r="B27" t="s">
        <v>118</v>
      </c>
      <c r="C27" s="1">
        <v>0</v>
      </c>
      <c r="D27" s="1">
        <v>0</v>
      </c>
      <c r="E27" s="1">
        <v>302</v>
      </c>
      <c r="F27" s="1">
        <v>3108</v>
      </c>
      <c r="G27" s="1">
        <v>0</v>
      </c>
      <c r="H27" s="1">
        <v>0</v>
      </c>
      <c r="I27" s="1">
        <v>0</v>
      </c>
      <c r="J27" s="1">
        <v>23</v>
      </c>
      <c r="K27" s="1">
        <v>212</v>
      </c>
      <c r="L27" s="1">
        <v>157</v>
      </c>
      <c r="M27" s="1">
        <v>39</v>
      </c>
      <c r="N27" s="1">
        <v>84</v>
      </c>
      <c r="O27" s="1">
        <v>258</v>
      </c>
      <c r="P27" s="1">
        <v>0</v>
      </c>
      <c r="Q27" s="1">
        <v>2</v>
      </c>
      <c r="R27" s="1">
        <v>35</v>
      </c>
      <c r="S27" s="1">
        <v>12</v>
      </c>
      <c r="T27" s="1">
        <v>132</v>
      </c>
      <c r="U27" s="1">
        <v>3027</v>
      </c>
      <c r="V27" s="1">
        <v>3012</v>
      </c>
      <c r="W27" s="1">
        <v>53</v>
      </c>
      <c r="X27" s="1">
        <v>22</v>
      </c>
      <c r="Y27" s="1">
        <v>0</v>
      </c>
      <c r="Z27" s="1">
        <v>24567</v>
      </c>
      <c r="AA27" s="1">
        <v>871793</v>
      </c>
      <c r="AB27" s="1">
        <v>1968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-1</v>
      </c>
      <c r="BS27" s="1">
        <v>0</v>
      </c>
      <c r="BT27" s="1">
        <v>146</v>
      </c>
      <c r="BU27" s="1">
        <v>0</v>
      </c>
      <c r="BV27" s="1">
        <v>908950</v>
      </c>
      <c r="BW27" s="1">
        <v>374780</v>
      </c>
      <c r="BX27" s="1">
        <v>0</v>
      </c>
      <c r="BY27" s="1">
        <v>1283730</v>
      </c>
      <c r="BZ27" s="1">
        <v>654815</v>
      </c>
      <c r="CA27" s="1">
        <v>40393</v>
      </c>
      <c r="CB27" s="1">
        <v>695208</v>
      </c>
      <c r="CC27" s="1">
        <v>4186</v>
      </c>
      <c r="CD27" s="1">
        <v>43978</v>
      </c>
      <c r="CE27" s="1">
        <v>-50</v>
      </c>
      <c r="CF27" s="1">
        <v>48115</v>
      </c>
      <c r="CG27" s="1">
        <v>2027053</v>
      </c>
    </row>
    <row r="28" spans="1:85" x14ac:dyDescent="0.25">
      <c r="A28" t="s">
        <v>26</v>
      </c>
      <c r="B28" t="s">
        <v>119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131</v>
      </c>
      <c r="K28" s="1">
        <v>202</v>
      </c>
      <c r="L28" s="1">
        <v>1</v>
      </c>
      <c r="M28" s="1">
        <v>785</v>
      </c>
      <c r="N28" s="1">
        <v>77</v>
      </c>
      <c r="O28" s="1">
        <v>149</v>
      </c>
      <c r="P28" s="1">
        <v>118</v>
      </c>
      <c r="Q28" s="1">
        <v>101</v>
      </c>
      <c r="R28" s="1">
        <v>259</v>
      </c>
      <c r="S28" s="1">
        <v>10</v>
      </c>
      <c r="T28" s="1">
        <v>924</v>
      </c>
      <c r="U28" s="1">
        <v>0</v>
      </c>
      <c r="V28" s="1">
        <v>529</v>
      </c>
      <c r="W28" s="1">
        <v>1</v>
      </c>
      <c r="X28" s="1">
        <v>479</v>
      </c>
      <c r="Y28" s="1">
        <v>215</v>
      </c>
      <c r="Z28" s="1">
        <v>0</v>
      </c>
      <c r="AA28" s="1">
        <v>3098</v>
      </c>
      <c r="AB28" s="1">
        <v>283096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290176</v>
      </c>
      <c r="BW28" s="1">
        <v>73888</v>
      </c>
      <c r="BX28" s="1">
        <v>0</v>
      </c>
      <c r="BY28" s="1">
        <v>364064</v>
      </c>
      <c r="BZ28" s="1">
        <v>153538</v>
      </c>
      <c r="CA28" s="1">
        <v>7270</v>
      </c>
      <c r="CB28" s="1">
        <v>160808</v>
      </c>
      <c r="CC28" s="1">
        <v>4053</v>
      </c>
      <c r="CD28" s="1">
        <v>13412</v>
      </c>
      <c r="CE28" s="1">
        <v>0</v>
      </c>
      <c r="CF28" s="1">
        <v>17465</v>
      </c>
      <c r="CG28" s="1">
        <v>542337</v>
      </c>
    </row>
    <row r="29" spans="1:85" x14ac:dyDescent="0.25">
      <c r="A29" t="s">
        <v>27</v>
      </c>
      <c r="B29" t="s">
        <v>120</v>
      </c>
      <c r="C29" s="1">
        <v>0</v>
      </c>
      <c r="D29" s="1">
        <v>0</v>
      </c>
      <c r="E29" s="1">
        <v>1789</v>
      </c>
      <c r="F29" s="1">
        <v>110</v>
      </c>
      <c r="G29" s="1">
        <v>240</v>
      </c>
      <c r="H29" s="1">
        <v>1856</v>
      </c>
      <c r="I29" s="1">
        <v>0</v>
      </c>
      <c r="J29" s="1">
        <v>1578</v>
      </c>
      <c r="K29" s="1">
        <v>1573</v>
      </c>
      <c r="L29" s="1">
        <v>1026</v>
      </c>
      <c r="M29" s="1">
        <v>3919</v>
      </c>
      <c r="N29" s="1">
        <v>5210</v>
      </c>
      <c r="O29" s="1">
        <v>2196</v>
      </c>
      <c r="P29" s="1">
        <v>2587</v>
      </c>
      <c r="Q29" s="1">
        <v>2628</v>
      </c>
      <c r="R29" s="1">
        <v>1274</v>
      </c>
      <c r="S29" s="1">
        <v>904</v>
      </c>
      <c r="T29" s="1">
        <v>5675</v>
      </c>
      <c r="U29" s="1">
        <v>10952</v>
      </c>
      <c r="V29" s="1">
        <v>385</v>
      </c>
      <c r="W29" s="1">
        <v>380</v>
      </c>
      <c r="X29" s="1">
        <v>1279</v>
      </c>
      <c r="Y29" s="1">
        <v>568</v>
      </c>
      <c r="Z29" s="1">
        <v>9606</v>
      </c>
      <c r="AA29" s="1">
        <v>11688</v>
      </c>
      <c r="AB29" s="1">
        <v>2161</v>
      </c>
      <c r="AC29" s="1">
        <v>2484185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2513</v>
      </c>
      <c r="AQ29" s="1">
        <v>2</v>
      </c>
      <c r="AR29" s="1">
        <v>133</v>
      </c>
      <c r="AS29" s="1">
        <v>6402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146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52</v>
      </c>
      <c r="BP29" s="1">
        <v>688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2563701</v>
      </c>
      <c r="BW29" s="1">
        <v>0</v>
      </c>
      <c r="BX29" s="1">
        <v>0</v>
      </c>
      <c r="BY29" s="1">
        <v>2563701</v>
      </c>
      <c r="BZ29" s="1">
        <v>-2436296</v>
      </c>
      <c r="CA29" s="1">
        <v>0</v>
      </c>
      <c r="CB29" s="1">
        <v>-2436296</v>
      </c>
      <c r="CC29" s="1">
        <v>0</v>
      </c>
      <c r="CD29" s="1">
        <v>345</v>
      </c>
      <c r="CE29" s="1">
        <v>0</v>
      </c>
      <c r="CF29" s="1">
        <v>345</v>
      </c>
      <c r="CG29" s="1">
        <v>127751</v>
      </c>
    </row>
    <row r="30" spans="1:85" x14ac:dyDescent="0.25">
      <c r="A30" t="s">
        <v>28</v>
      </c>
      <c r="B30" t="s">
        <v>121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412283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670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32</v>
      </c>
      <c r="BN30" s="1">
        <v>2</v>
      </c>
      <c r="BO30" s="1">
        <v>0</v>
      </c>
      <c r="BP30" s="1">
        <v>2297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415284</v>
      </c>
      <c r="BW30" s="1">
        <v>0</v>
      </c>
      <c r="BX30" s="1">
        <v>0</v>
      </c>
      <c r="BY30" s="1">
        <v>415284</v>
      </c>
      <c r="BZ30" s="1">
        <v>-415284</v>
      </c>
      <c r="CA30" s="1">
        <v>0</v>
      </c>
      <c r="CB30" s="1">
        <v>-415284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</row>
    <row r="31" spans="1:85" x14ac:dyDescent="0.25">
      <c r="A31" t="s">
        <v>29</v>
      </c>
      <c r="B31" t="s">
        <v>122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291007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15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208</v>
      </c>
      <c r="BO31" s="1">
        <v>1103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8052</v>
      </c>
      <c r="BV31" s="1">
        <v>300385</v>
      </c>
      <c r="BW31" s="1">
        <v>0</v>
      </c>
      <c r="BX31" s="1">
        <v>0</v>
      </c>
      <c r="BY31" s="1">
        <v>300385</v>
      </c>
      <c r="BZ31" s="1">
        <v>-300385</v>
      </c>
      <c r="CA31" s="1">
        <v>0</v>
      </c>
      <c r="CB31" s="1">
        <v>-300385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</row>
    <row r="32" spans="1:85" x14ac:dyDescent="0.25">
      <c r="A32" t="s">
        <v>30</v>
      </c>
      <c r="B32" t="s">
        <v>123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235539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3551</v>
      </c>
      <c r="BA32" s="1">
        <v>0</v>
      </c>
      <c r="BB32" s="1">
        <v>0</v>
      </c>
      <c r="BC32" s="1">
        <v>779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430</v>
      </c>
      <c r="BO32" s="1">
        <v>0</v>
      </c>
      <c r="BP32" s="1">
        <v>295</v>
      </c>
      <c r="BQ32" s="1">
        <v>0</v>
      </c>
      <c r="BR32" s="1">
        <v>0</v>
      </c>
      <c r="BS32" s="1">
        <v>3068</v>
      </c>
      <c r="BT32" s="1">
        <v>0</v>
      </c>
      <c r="BU32" s="1">
        <v>0</v>
      </c>
      <c r="BV32" s="1">
        <v>243662</v>
      </c>
      <c r="BW32" s="1">
        <v>0</v>
      </c>
      <c r="BX32" s="1">
        <v>0</v>
      </c>
      <c r="BY32" s="1">
        <v>243662</v>
      </c>
      <c r="BZ32" s="1">
        <v>-243662</v>
      </c>
      <c r="CA32" s="1">
        <v>0</v>
      </c>
      <c r="CB32" s="1">
        <v>-243662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</row>
    <row r="33" spans="1:85" x14ac:dyDescent="0.25">
      <c r="A33" t="s">
        <v>31</v>
      </c>
      <c r="B33" t="s">
        <v>124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1074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1399751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3728</v>
      </c>
      <c r="AQ33" s="1">
        <v>175</v>
      </c>
      <c r="AR33" s="1">
        <v>4291</v>
      </c>
      <c r="AS33" s="1">
        <v>236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294</v>
      </c>
      <c r="BA33" s="1">
        <v>0</v>
      </c>
      <c r="BB33" s="1">
        <v>2039</v>
      </c>
      <c r="BC33" s="1">
        <v>2974</v>
      </c>
      <c r="BD33" s="1">
        <v>0</v>
      </c>
      <c r="BE33" s="1">
        <v>908</v>
      </c>
      <c r="BF33" s="1">
        <v>91</v>
      </c>
      <c r="BG33" s="1">
        <v>896</v>
      </c>
      <c r="BH33" s="1">
        <v>12266</v>
      </c>
      <c r="BI33" s="1">
        <v>2020</v>
      </c>
      <c r="BJ33" s="1">
        <v>23</v>
      </c>
      <c r="BK33" s="1">
        <v>121</v>
      </c>
      <c r="BL33" s="1">
        <v>1549</v>
      </c>
      <c r="BM33" s="1">
        <v>2974</v>
      </c>
      <c r="BN33" s="1">
        <v>659</v>
      </c>
      <c r="BO33" s="1">
        <v>2498</v>
      </c>
      <c r="BP33" s="1">
        <v>6016</v>
      </c>
      <c r="BQ33" s="1">
        <v>0</v>
      </c>
      <c r="BR33" s="1">
        <v>0</v>
      </c>
      <c r="BS33" s="1">
        <v>59</v>
      </c>
      <c r="BT33" s="1">
        <v>0</v>
      </c>
      <c r="BU33" s="1">
        <v>0</v>
      </c>
      <c r="BV33" s="1">
        <v>1444643</v>
      </c>
      <c r="BW33" s="1">
        <v>0</v>
      </c>
      <c r="BX33" s="1">
        <v>0</v>
      </c>
      <c r="BY33" s="1">
        <v>1444643</v>
      </c>
      <c r="BZ33" s="1">
        <v>-1426499</v>
      </c>
      <c r="CA33" s="1">
        <v>0</v>
      </c>
      <c r="CB33" s="1">
        <v>-1426499</v>
      </c>
      <c r="CC33" s="1">
        <v>0</v>
      </c>
      <c r="CD33" s="1">
        <v>0</v>
      </c>
      <c r="CE33" s="1">
        <v>0</v>
      </c>
      <c r="CF33" s="1">
        <v>0</v>
      </c>
      <c r="CG33" s="1">
        <v>18144</v>
      </c>
    </row>
    <row r="34" spans="1:85" x14ac:dyDescent="0.25">
      <c r="A34" t="s">
        <v>32</v>
      </c>
      <c r="B34" t="s">
        <v>125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293378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34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293412</v>
      </c>
      <c r="BW34" s="1">
        <v>70846</v>
      </c>
      <c r="BX34" s="1">
        <v>-1250</v>
      </c>
      <c r="BY34" s="1">
        <v>363009</v>
      </c>
      <c r="BZ34" s="1">
        <v>0</v>
      </c>
      <c r="CA34" s="1">
        <v>-13516</v>
      </c>
      <c r="CB34" s="1">
        <v>-13516</v>
      </c>
      <c r="CC34" s="1">
        <v>0</v>
      </c>
      <c r="CD34" s="1">
        <v>30081</v>
      </c>
      <c r="CE34" s="1">
        <v>-401</v>
      </c>
      <c r="CF34" s="1">
        <v>29680</v>
      </c>
      <c r="CG34" s="1">
        <v>379173</v>
      </c>
    </row>
    <row r="35" spans="1:85" x14ac:dyDescent="0.25">
      <c r="A35" t="s">
        <v>33</v>
      </c>
      <c r="B35" t="s">
        <v>126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94034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151</v>
      </c>
      <c r="BV35" s="1">
        <v>94186</v>
      </c>
      <c r="BW35" s="1">
        <v>0</v>
      </c>
      <c r="BX35" s="1">
        <v>-531</v>
      </c>
      <c r="BY35" s="1">
        <v>93655</v>
      </c>
      <c r="BZ35" s="1">
        <v>0</v>
      </c>
      <c r="CA35" s="1">
        <v>-79337</v>
      </c>
      <c r="CB35" s="1">
        <v>-79337</v>
      </c>
      <c r="CC35" s="1">
        <v>0</v>
      </c>
      <c r="CD35" s="1">
        <v>800</v>
      </c>
      <c r="CE35" s="1">
        <v>-4450</v>
      </c>
      <c r="CF35" s="1">
        <v>-3650</v>
      </c>
      <c r="CG35" s="1">
        <v>10668</v>
      </c>
    </row>
    <row r="36" spans="1:85" x14ac:dyDescent="0.25">
      <c r="A36" t="s">
        <v>34</v>
      </c>
      <c r="B36" t="s">
        <v>127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72985</v>
      </c>
      <c r="AK36" s="1">
        <v>0</v>
      </c>
      <c r="AL36" s="1">
        <v>0</v>
      </c>
      <c r="AM36" s="1">
        <v>0</v>
      </c>
      <c r="AN36" s="1">
        <v>376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749</v>
      </c>
      <c r="BV36" s="1">
        <v>74110</v>
      </c>
      <c r="BW36" s="1">
        <v>0</v>
      </c>
      <c r="BX36" s="1">
        <v>-16623</v>
      </c>
      <c r="BY36" s="1">
        <v>57488</v>
      </c>
      <c r="BZ36" s="1">
        <v>0</v>
      </c>
      <c r="CA36" s="1">
        <v>-15634</v>
      </c>
      <c r="CB36" s="1">
        <v>-15634</v>
      </c>
      <c r="CC36" s="1">
        <v>0</v>
      </c>
      <c r="CD36" s="1">
        <v>339</v>
      </c>
      <c r="CE36" s="1">
        <v>-5</v>
      </c>
      <c r="CF36" s="1">
        <v>334</v>
      </c>
      <c r="CG36" s="1">
        <v>42188</v>
      </c>
    </row>
    <row r="37" spans="1:85" x14ac:dyDescent="0.25">
      <c r="A37" t="s">
        <v>35</v>
      </c>
      <c r="B37" t="s">
        <v>128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484256</v>
      </c>
      <c r="AL37" s="1">
        <v>0</v>
      </c>
      <c r="AM37" s="1">
        <v>0</v>
      </c>
      <c r="AN37" s="1">
        <v>896</v>
      </c>
      <c r="AO37" s="1">
        <v>482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1650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487284</v>
      </c>
      <c r="BW37" s="1">
        <v>0</v>
      </c>
      <c r="BX37" s="1">
        <v>-7137</v>
      </c>
      <c r="BY37" s="1">
        <v>480147</v>
      </c>
      <c r="BZ37" s="1">
        <v>0</v>
      </c>
      <c r="CA37" s="1">
        <v>-406639</v>
      </c>
      <c r="CB37" s="1">
        <v>-406639</v>
      </c>
      <c r="CC37" s="1">
        <v>0</v>
      </c>
      <c r="CD37" s="1">
        <v>419</v>
      </c>
      <c r="CE37" s="1">
        <v>0</v>
      </c>
      <c r="CF37" s="1">
        <v>419</v>
      </c>
      <c r="CG37" s="1">
        <v>73927</v>
      </c>
    </row>
    <row r="38" spans="1:85" x14ac:dyDescent="0.25">
      <c r="A38" t="s">
        <v>36</v>
      </c>
      <c r="B38" t="s">
        <v>129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176308</v>
      </c>
      <c r="AM38" s="1">
        <v>0</v>
      </c>
      <c r="AN38" s="1">
        <v>566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20489</v>
      </c>
      <c r="BV38" s="1">
        <v>197363</v>
      </c>
      <c r="BW38" s="1">
        <v>0</v>
      </c>
      <c r="BX38" s="1">
        <v>0</v>
      </c>
      <c r="BY38" s="1">
        <v>197363</v>
      </c>
      <c r="BZ38" s="1">
        <v>0</v>
      </c>
      <c r="CA38" s="1">
        <v>0</v>
      </c>
      <c r="CB38" s="1">
        <v>0</v>
      </c>
      <c r="CC38" s="1">
        <v>0</v>
      </c>
      <c r="CD38" s="1">
        <v>1705</v>
      </c>
      <c r="CE38" s="1">
        <v>-5955</v>
      </c>
      <c r="CF38" s="1">
        <v>-4250</v>
      </c>
      <c r="CG38" s="1">
        <v>193113</v>
      </c>
    </row>
    <row r="39" spans="1:85" x14ac:dyDescent="0.25">
      <c r="A39" t="s">
        <v>37</v>
      </c>
      <c r="B39" t="s">
        <v>130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4403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94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72159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76656</v>
      </c>
      <c r="BW39" s="1">
        <v>0</v>
      </c>
      <c r="BX39" s="1">
        <v>0</v>
      </c>
      <c r="BY39" s="1">
        <v>76656</v>
      </c>
      <c r="BZ39" s="1">
        <v>0</v>
      </c>
      <c r="CA39" s="1">
        <v>-76080</v>
      </c>
      <c r="CB39" s="1">
        <v>-76080</v>
      </c>
      <c r="CC39" s="1">
        <v>0</v>
      </c>
      <c r="CD39" s="1">
        <v>88</v>
      </c>
      <c r="CE39" s="1">
        <v>0</v>
      </c>
      <c r="CF39" s="1">
        <v>88</v>
      </c>
      <c r="CG39" s="1">
        <v>664</v>
      </c>
    </row>
    <row r="40" spans="1:85" x14ac:dyDescent="0.25">
      <c r="A40" t="s">
        <v>38</v>
      </c>
      <c r="B40" t="s">
        <v>131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748</v>
      </c>
      <c r="AD40" s="1">
        <v>0</v>
      </c>
      <c r="AE40" s="1">
        <v>0</v>
      </c>
      <c r="AF40" s="1">
        <v>0</v>
      </c>
      <c r="AG40" s="1">
        <v>0</v>
      </c>
      <c r="AH40" s="1">
        <v>1712</v>
      </c>
      <c r="AI40" s="1">
        <v>0</v>
      </c>
      <c r="AJ40" s="1">
        <v>3689</v>
      </c>
      <c r="AK40" s="1">
        <v>26204</v>
      </c>
      <c r="AL40" s="1">
        <v>13</v>
      </c>
      <c r="AM40" s="1">
        <v>0</v>
      </c>
      <c r="AN40" s="1">
        <v>339506</v>
      </c>
      <c r="AO40" s="1">
        <v>2455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715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22899</v>
      </c>
      <c r="BV40" s="1">
        <v>397943</v>
      </c>
      <c r="BW40" s="1">
        <v>30</v>
      </c>
      <c r="BX40" s="1">
        <v>-4269</v>
      </c>
      <c r="BY40" s="1">
        <v>393703</v>
      </c>
      <c r="BZ40" s="1">
        <v>0</v>
      </c>
      <c r="CA40" s="1">
        <v>0</v>
      </c>
      <c r="CB40" s="1">
        <v>0</v>
      </c>
      <c r="CC40" s="1">
        <v>0</v>
      </c>
      <c r="CD40" s="1">
        <v>631</v>
      </c>
      <c r="CE40" s="1">
        <v>0</v>
      </c>
      <c r="CF40" s="1">
        <v>631</v>
      </c>
      <c r="CG40" s="1">
        <v>394333</v>
      </c>
    </row>
    <row r="41" spans="1:85" x14ac:dyDescent="0.25">
      <c r="A41" t="s">
        <v>39</v>
      </c>
      <c r="B41" t="s">
        <v>132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419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8177</v>
      </c>
      <c r="AL41" s="1">
        <v>0</v>
      </c>
      <c r="AM41" s="1">
        <v>0</v>
      </c>
      <c r="AN41" s="1">
        <v>1953</v>
      </c>
      <c r="AO41" s="1">
        <v>183331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193880</v>
      </c>
      <c r="BW41" s="1">
        <v>0</v>
      </c>
      <c r="BX41" s="1">
        <v>0</v>
      </c>
      <c r="BY41" s="1">
        <v>193880</v>
      </c>
      <c r="BZ41" s="1">
        <v>0</v>
      </c>
      <c r="CA41" s="1">
        <v>0</v>
      </c>
      <c r="CB41" s="1">
        <v>0</v>
      </c>
      <c r="CC41" s="1">
        <v>0</v>
      </c>
      <c r="CD41" s="1">
        <v>350</v>
      </c>
      <c r="CE41" s="1">
        <v>0</v>
      </c>
      <c r="CF41" s="1">
        <v>350</v>
      </c>
      <c r="CG41" s="1">
        <v>194230</v>
      </c>
    </row>
    <row r="42" spans="1:85" x14ac:dyDescent="0.25">
      <c r="A42" t="s">
        <v>40</v>
      </c>
      <c r="B42" t="s">
        <v>133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495288</v>
      </c>
      <c r="AQ42" s="1">
        <v>0</v>
      </c>
      <c r="AR42" s="1">
        <v>0</v>
      </c>
      <c r="AS42" s="1">
        <v>27063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17733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-32</v>
      </c>
      <c r="BS42" s="1">
        <v>0</v>
      </c>
      <c r="BT42" s="1">
        <v>749</v>
      </c>
      <c r="BU42" s="1">
        <v>0</v>
      </c>
      <c r="BV42" s="1">
        <v>540802</v>
      </c>
      <c r="BW42" s="1">
        <v>6231</v>
      </c>
      <c r="BX42" s="1">
        <v>0</v>
      </c>
      <c r="BY42" s="1">
        <v>547033</v>
      </c>
      <c r="BZ42" s="1">
        <v>159120</v>
      </c>
      <c r="CA42" s="1">
        <v>9112</v>
      </c>
      <c r="CB42" s="1">
        <v>168233</v>
      </c>
      <c r="CC42" s="1">
        <v>49</v>
      </c>
      <c r="CD42" s="1">
        <v>14464</v>
      </c>
      <c r="CE42" s="1">
        <v>0</v>
      </c>
      <c r="CF42" s="1">
        <v>14513</v>
      </c>
      <c r="CG42" s="1">
        <v>729778</v>
      </c>
    </row>
    <row r="43" spans="1:85" x14ac:dyDescent="0.25">
      <c r="A43" t="s">
        <v>41</v>
      </c>
      <c r="B43" t="s">
        <v>134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1010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200665</v>
      </c>
      <c r="AR43" s="1">
        <v>1293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70</v>
      </c>
      <c r="BR43" s="1">
        <v>0</v>
      </c>
      <c r="BS43" s="1">
        <v>19</v>
      </c>
      <c r="BT43" s="1">
        <v>1</v>
      </c>
      <c r="BU43" s="1">
        <v>0</v>
      </c>
      <c r="BV43" s="1">
        <v>203058</v>
      </c>
      <c r="BW43" s="1">
        <v>11204</v>
      </c>
      <c r="BX43" s="1">
        <v>0</v>
      </c>
      <c r="BY43" s="1">
        <v>214262</v>
      </c>
      <c r="BZ43" s="1">
        <v>10786</v>
      </c>
      <c r="CA43" s="1">
        <v>159</v>
      </c>
      <c r="CB43" s="1">
        <v>10945</v>
      </c>
      <c r="CC43" s="1">
        <v>1</v>
      </c>
      <c r="CD43" s="1">
        <v>2583</v>
      </c>
      <c r="CE43" s="1">
        <v>0</v>
      </c>
      <c r="CF43" s="1">
        <v>2583</v>
      </c>
      <c r="CG43" s="1">
        <v>227790</v>
      </c>
    </row>
    <row r="44" spans="1:85" x14ac:dyDescent="0.25">
      <c r="A44" t="s">
        <v>42</v>
      </c>
      <c r="B44" t="s">
        <v>135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758276</v>
      </c>
      <c r="AS44" s="1">
        <v>4516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218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187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763197</v>
      </c>
      <c r="BW44" s="1">
        <v>136</v>
      </c>
      <c r="BX44" s="1">
        <v>0</v>
      </c>
      <c r="BY44" s="1">
        <v>763333</v>
      </c>
      <c r="BZ44" s="1">
        <v>0</v>
      </c>
      <c r="CA44" s="1">
        <v>0</v>
      </c>
      <c r="CB44" s="1">
        <v>0</v>
      </c>
      <c r="CC44" s="1">
        <v>0</v>
      </c>
      <c r="CD44" s="1">
        <v>29701</v>
      </c>
      <c r="CE44" s="1">
        <v>0</v>
      </c>
      <c r="CF44" s="1">
        <v>29701</v>
      </c>
      <c r="CG44" s="1">
        <v>793034</v>
      </c>
    </row>
    <row r="45" spans="1:85" x14ac:dyDescent="0.25">
      <c r="A45" t="s">
        <v>43</v>
      </c>
      <c r="B45" t="s">
        <v>136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66336</v>
      </c>
      <c r="AQ45" s="1">
        <v>0</v>
      </c>
      <c r="AR45" s="1">
        <v>7</v>
      </c>
      <c r="AS45" s="1">
        <v>482743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28290</v>
      </c>
      <c r="BC45" s="1">
        <v>87026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918</v>
      </c>
      <c r="BQ45" s="1">
        <v>23</v>
      </c>
      <c r="BR45" s="1">
        <v>0</v>
      </c>
      <c r="BS45" s="1">
        <v>0</v>
      </c>
      <c r="BT45" s="1">
        <v>3248</v>
      </c>
      <c r="BU45" s="1">
        <v>0</v>
      </c>
      <c r="BV45" s="1">
        <v>668592</v>
      </c>
      <c r="BW45" s="1">
        <v>2071</v>
      </c>
      <c r="BX45" s="1">
        <v>0</v>
      </c>
      <c r="BY45" s="1">
        <v>670663</v>
      </c>
      <c r="BZ45" s="1">
        <v>0</v>
      </c>
      <c r="CA45" s="1">
        <v>0</v>
      </c>
      <c r="CB45" s="1">
        <v>0</v>
      </c>
      <c r="CC45" s="1">
        <v>0</v>
      </c>
      <c r="CD45" s="1">
        <v>2834</v>
      </c>
      <c r="CE45" s="1">
        <v>0</v>
      </c>
      <c r="CF45" s="1">
        <v>2834</v>
      </c>
      <c r="CG45" s="1">
        <v>673496</v>
      </c>
    </row>
    <row r="46" spans="1:85" x14ac:dyDescent="0.25">
      <c r="A46" t="s">
        <v>44</v>
      </c>
      <c r="B46" t="s">
        <v>137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4829</v>
      </c>
      <c r="AE46" s="1">
        <v>48</v>
      </c>
      <c r="AF46" s="1">
        <v>0</v>
      </c>
      <c r="AG46" s="1">
        <v>413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1325275</v>
      </c>
      <c r="AU46" s="1">
        <v>41030</v>
      </c>
      <c r="AV46" s="1">
        <v>0</v>
      </c>
      <c r="AW46" s="1">
        <v>0</v>
      </c>
      <c r="AX46" s="1">
        <v>0</v>
      </c>
      <c r="AY46" s="1">
        <v>1678</v>
      </c>
      <c r="AZ46" s="1">
        <v>98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25</v>
      </c>
      <c r="BV46" s="1">
        <v>1373397</v>
      </c>
      <c r="BW46" s="1">
        <v>8442</v>
      </c>
      <c r="BX46" s="1">
        <v>0</v>
      </c>
      <c r="BY46" s="1">
        <v>1381840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-263</v>
      </c>
      <c r="CF46" s="1">
        <v>-263</v>
      </c>
      <c r="CG46" s="1">
        <v>1381576</v>
      </c>
    </row>
    <row r="47" spans="1:85" x14ac:dyDescent="0.25">
      <c r="A47" t="s">
        <v>45</v>
      </c>
      <c r="B47" t="s">
        <v>138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31478</v>
      </c>
      <c r="AU47" s="1">
        <v>880093</v>
      </c>
      <c r="AV47" s="1">
        <v>2251</v>
      </c>
      <c r="AW47" s="1">
        <v>0</v>
      </c>
      <c r="AX47" s="1">
        <v>0</v>
      </c>
      <c r="AY47" s="1">
        <v>0</v>
      </c>
      <c r="AZ47" s="1">
        <v>127</v>
      </c>
      <c r="BA47" s="1">
        <v>0</v>
      </c>
      <c r="BB47" s="1">
        <v>0</v>
      </c>
      <c r="BC47" s="1">
        <v>642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914590</v>
      </c>
      <c r="BW47" s="1">
        <v>49</v>
      </c>
      <c r="BX47" s="1">
        <v>0</v>
      </c>
      <c r="BY47" s="1">
        <v>914639</v>
      </c>
      <c r="BZ47" s="1">
        <v>0</v>
      </c>
      <c r="CA47" s="1">
        <v>0</v>
      </c>
      <c r="CB47" s="1">
        <v>0</v>
      </c>
      <c r="CC47" s="1">
        <v>0</v>
      </c>
      <c r="CD47" s="1">
        <v>1787</v>
      </c>
      <c r="CE47" s="1">
        <v>0</v>
      </c>
      <c r="CF47" s="1">
        <v>1787</v>
      </c>
      <c r="CG47" s="1">
        <v>916426</v>
      </c>
    </row>
    <row r="48" spans="1:85" x14ac:dyDescent="0.25">
      <c r="A48" t="s">
        <v>46</v>
      </c>
      <c r="B48" t="s">
        <v>139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6221</v>
      </c>
      <c r="AV48" s="1">
        <v>1484502</v>
      </c>
      <c r="AW48" s="1">
        <v>0</v>
      </c>
      <c r="AX48" s="1">
        <v>0</v>
      </c>
      <c r="AY48" s="1">
        <v>423</v>
      </c>
      <c r="AZ48" s="1">
        <v>810</v>
      </c>
      <c r="BA48" s="1">
        <v>0</v>
      </c>
      <c r="BB48" s="1">
        <v>0</v>
      </c>
      <c r="BC48" s="1">
        <v>0</v>
      </c>
      <c r="BD48" s="1">
        <v>0</v>
      </c>
      <c r="BE48" s="1">
        <v>201</v>
      </c>
      <c r="BF48" s="1">
        <v>0</v>
      </c>
      <c r="BG48" s="1">
        <v>124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11181</v>
      </c>
      <c r="BT48" s="1">
        <v>0</v>
      </c>
      <c r="BU48" s="1">
        <v>543</v>
      </c>
      <c r="BV48" s="1">
        <v>1504005</v>
      </c>
      <c r="BW48" s="1">
        <v>95241</v>
      </c>
      <c r="BX48" s="1">
        <v>-976</v>
      </c>
      <c r="BY48" s="1">
        <v>1598269</v>
      </c>
      <c r="BZ48" s="1">
        <v>0</v>
      </c>
      <c r="CA48" s="1">
        <v>0</v>
      </c>
      <c r="CB48" s="1">
        <v>0</v>
      </c>
      <c r="CC48" s="1">
        <v>0</v>
      </c>
      <c r="CD48" s="1">
        <v>39316</v>
      </c>
      <c r="CE48" s="1">
        <v>-6847</v>
      </c>
      <c r="CF48" s="1">
        <v>32468</v>
      </c>
      <c r="CG48" s="1">
        <v>1630738</v>
      </c>
    </row>
    <row r="49" spans="1:85" x14ac:dyDescent="0.25">
      <c r="A49" t="s">
        <v>47</v>
      </c>
      <c r="B49" t="s">
        <v>140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264594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-14</v>
      </c>
      <c r="BS49" s="1">
        <v>0</v>
      </c>
      <c r="BT49" s="1">
        <v>42472</v>
      </c>
      <c r="BU49" s="1">
        <v>0</v>
      </c>
      <c r="BV49" s="1">
        <v>307052</v>
      </c>
      <c r="BW49" s="1">
        <v>0</v>
      </c>
      <c r="BX49" s="1">
        <v>0</v>
      </c>
      <c r="BY49" s="1">
        <v>307052</v>
      </c>
      <c r="BZ49" s="1">
        <v>0</v>
      </c>
      <c r="CA49" s="1">
        <v>0</v>
      </c>
      <c r="CB49" s="1">
        <v>0</v>
      </c>
      <c r="CC49" s="1">
        <v>0</v>
      </c>
      <c r="CD49" s="1">
        <v>115</v>
      </c>
      <c r="CE49" s="1">
        <v>0</v>
      </c>
      <c r="CF49" s="1">
        <v>115</v>
      </c>
      <c r="CG49" s="1">
        <v>307167</v>
      </c>
    </row>
    <row r="50" spans="1:85" x14ac:dyDescent="0.25">
      <c r="A50" t="s">
        <v>48</v>
      </c>
      <c r="B50" t="s">
        <v>141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3162745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43457</v>
      </c>
      <c r="BV50" s="1">
        <v>3206202</v>
      </c>
      <c r="BW50" s="1">
        <v>0</v>
      </c>
      <c r="BX50" s="1">
        <v>0</v>
      </c>
      <c r="BY50" s="1">
        <v>3206202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-62510</v>
      </c>
      <c r="CF50" s="1">
        <v>-62510</v>
      </c>
      <c r="CG50" s="1">
        <v>3143691</v>
      </c>
    </row>
    <row r="51" spans="1:85" x14ac:dyDescent="0.25">
      <c r="A51" t="s">
        <v>49</v>
      </c>
      <c r="B51" t="s">
        <v>142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128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2042065</v>
      </c>
      <c r="AZ51" s="1">
        <v>1530</v>
      </c>
      <c r="BA51" s="1">
        <v>0</v>
      </c>
      <c r="BB51" s="1">
        <v>0</v>
      </c>
      <c r="BC51" s="1">
        <v>0</v>
      </c>
      <c r="BD51" s="1">
        <v>0</v>
      </c>
      <c r="BE51" s="1">
        <v>378</v>
      </c>
      <c r="BF51" s="1">
        <v>0</v>
      </c>
      <c r="BG51" s="1">
        <v>75</v>
      </c>
      <c r="BH51" s="1">
        <v>0</v>
      </c>
      <c r="BI51" s="1">
        <v>0</v>
      </c>
      <c r="BJ51" s="1">
        <v>208</v>
      </c>
      <c r="BK51" s="1">
        <v>0</v>
      </c>
      <c r="BL51" s="1">
        <v>1505</v>
      </c>
      <c r="BM51" s="1">
        <v>87</v>
      </c>
      <c r="BN51" s="1">
        <v>1383</v>
      </c>
      <c r="BO51" s="1">
        <v>0</v>
      </c>
      <c r="BP51" s="1">
        <v>2305</v>
      </c>
      <c r="BQ51" s="1">
        <v>0</v>
      </c>
      <c r="BR51" s="1">
        <v>0</v>
      </c>
      <c r="BS51" s="1">
        <v>890</v>
      </c>
      <c r="BT51" s="1">
        <v>0</v>
      </c>
      <c r="BU51" s="1">
        <v>46108</v>
      </c>
      <c r="BV51" s="1">
        <v>2096661</v>
      </c>
      <c r="BW51" s="1">
        <v>0</v>
      </c>
      <c r="BX51" s="1">
        <v>0</v>
      </c>
      <c r="BY51" s="1">
        <v>2096661</v>
      </c>
      <c r="BZ51" s="1">
        <v>0</v>
      </c>
      <c r="CA51" s="1">
        <v>0</v>
      </c>
      <c r="CB51" s="1">
        <v>0</v>
      </c>
      <c r="CC51" s="1">
        <v>0</v>
      </c>
      <c r="CD51" s="1">
        <v>1832</v>
      </c>
      <c r="CE51" s="1">
        <v>-1198</v>
      </c>
      <c r="CF51" s="1">
        <v>634</v>
      </c>
      <c r="CG51" s="1">
        <v>2097296</v>
      </c>
    </row>
    <row r="52" spans="1:85" x14ac:dyDescent="0.25">
      <c r="A52" t="s">
        <v>50</v>
      </c>
      <c r="B52" t="s">
        <v>143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15687</v>
      </c>
      <c r="AD52" s="1">
        <v>225</v>
      </c>
      <c r="AE52" s="1">
        <v>2</v>
      </c>
      <c r="AF52" s="1">
        <v>0</v>
      </c>
      <c r="AG52" s="1">
        <v>1385</v>
      </c>
      <c r="AH52" s="1">
        <v>594</v>
      </c>
      <c r="AI52" s="1">
        <v>799</v>
      </c>
      <c r="AJ52" s="1">
        <v>0</v>
      </c>
      <c r="AK52" s="1">
        <v>425</v>
      </c>
      <c r="AL52" s="1">
        <v>0</v>
      </c>
      <c r="AM52" s="1">
        <v>0</v>
      </c>
      <c r="AN52" s="1">
        <v>5</v>
      </c>
      <c r="AO52" s="1">
        <v>0</v>
      </c>
      <c r="AP52" s="1">
        <v>0</v>
      </c>
      <c r="AQ52" s="1">
        <v>74</v>
      </c>
      <c r="AR52" s="1">
        <v>8932</v>
      </c>
      <c r="AS52" s="1">
        <v>39</v>
      </c>
      <c r="AT52" s="1">
        <v>55322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639096</v>
      </c>
      <c r="BA52" s="1">
        <v>0</v>
      </c>
      <c r="BB52" s="1">
        <v>161</v>
      </c>
      <c r="BC52" s="1">
        <v>53</v>
      </c>
      <c r="BD52" s="1">
        <v>0</v>
      </c>
      <c r="BE52" s="1">
        <v>266</v>
      </c>
      <c r="BF52" s="1">
        <v>204</v>
      </c>
      <c r="BG52" s="1">
        <v>0</v>
      </c>
      <c r="BH52" s="1">
        <v>671</v>
      </c>
      <c r="BI52" s="1">
        <v>200</v>
      </c>
      <c r="BJ52" s="1">
        <v>0</v>
      </c>
      <c r="BK52" s="1">
        <v>0</v>
      </c>
      <c r="BL52" s="1">
        <v>2175</v>
      </c>
      <c r="BM52" s="1">
        <v>278</v>
      </c>
      <c r="BN52" s="1">
        <v>1208</v>
      </c>
      <c r="BO52" s="1">
        <v>0</v>
      </c>
      <c r="BP52" s="1">
        <v>501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728316</v>
      </c>
      <c r="BW52" s="1">
        <v>0</v>
      </c>
      <c r="BX52" s="1">
        <v>0</v>
      </c>
      <c r="BY52" s="1">
        <v>728316</v>
      </c>
      <c r="BZ52" s="1">
        <v>0</v>
      </c>
      <c r="CA52" s="1">
        <v>0</v>
      </c>
      <c r="CB52" s="1">
        <v>0</v>
      </c>
      <c r="CC52" s="1">
        <v>0</v>
      </c>
      <c r="CD52" s="1">
        <v>26435</v>
      </c>
      <c r="CE52" s="1">
        <v>0</v>
      </c>
      <c r="CF52" s="1">
        <v>26435</v>
      </c>
      <c r="CG52" s="1">
        <v>754751</v>
      </c>
    </row>
    <row r="53" spans="1:85" x14ac:dyDescent="0.25">
      <c r="A53" t="s">
        <v>51</v>
      </c>
      <c r="B53" t="s">
        <v>144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126</v>
      </c>
      <c r="AW53" s="1">
        <v>0</v>
      </c>
      <c r="AX53" s="1">
        <v>0</v>
      </c>
      <c r="AY53" s="1">
        <v>0</v>
      </c>
      <c r="AZ53" s="1">
        <v>0</v>
      </c>
      <c r="BA53" s="1">
        <v>460519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460646</v>
      </c>
      <c r="BW53" s="1">
        <v>6025</v>
      </c>
      <c r="BX53" s="1">
        <v>0</v>
      </c>
      <c r="BY53" s="1">
        <v>466670</v>
      </c>
      <c r="BZ53" s="1">
        <v>0</v>
      </c>
      <c r="CA53" s="1">
        <v>0</v>
      </c>
      <c r="CB53" s="1">
        <v>0</v>
      </c>
      <c r="CC53" s="1">
        <v>0</v>
      </c>
      <c r="CD53" s="1">
        <v>21446</v>
      </c>
      <c r="CE53" s="1">
        <v>0</v>
      </c>
      <c r="CF53" s="1">
        <v>21446</v>
      </c>
      <c r="CG53" s="1">
        <v>488116</v>
      </c>
    </row>
    <row r="54" spans="1:85" x14ac:dyDescent="0.25">
      <c r="A54" t="s">
        <v>52</v>
      </c>
      <c r="B54" t="s">
        <v>145</v>
      </c>
      <c r="C54" s="1">
        <v>0</v>
      </c>
      <c r="D54" s="1">
        <v>0</v>
      </c>
      <c r="E54" s="1">
        <v>98</v>
      </c>
      <c r="F54" s="1">
        <v>2</v>
      </c>
      <c r="G54" s="1">
        <v>31</v>
      </c>
      <c r="H54" s="1">
        <v>492</v>
      </c>
      <c r="I54" s="1">
        <v>534</v>
      </c>
      <c r="J54" s="1">
        <v>23</v>
      </c>
      <c r="K54" s="1">
        <v>51</v>
      </c>
      <c r="L54" s="1">
        <v>75</v>
      </c>
      <c r="M54" s="1">
        <v>384</v>
      </c>
      <c r="N54" s="1">
        <v>628</v>
      </c>
      <c r="O54" s="1">
        <v>1395</v>
      </c>
      <c r="P54" s="1">
        <v>230</v>
      </c>
      <c r="Q54" s="1">
        <v>488</v>
      </c>
      <c r="R54" s="1">
        <v>749</v>
      </c>
      <c r="S54" s="1">
        <v>68</v>
      </c>
      <c r="T54" s="1">
        <v>417</v>
      </c>
      <c r="U54" s="1">
        <v>220</v>
      </c>
      <c r="V54" s="1">
        <v>12</v>
      </c>
      <c r="W54" s="1">
        <v>19</v>
      </c>
      <c r="X54" s="1">
        <v>90</v>
      </c>
      <c r="Y54" s="1">
        <v>198</v>
      </c>
      <c r="Z54" s="1">
        <v>36</v>
      </c>
      <c r="AA54" s="1">
        <v>478</v>
      </c>
      <c r="AB54" s="1">
        <v>197</v>
      </c>
      <c r="AC54" s="1">
        <v>10114</v>
      </c>
      <c r="AD54" s="1">
        <v>81</v>
      </c>
      <c r="AE54" s="1">
        <v>10</v>
      </c>
      <c r="AF54" s="1">
        <v>0</v>
      </c>
      <c r="AG54" s="1">
        <v>1806</v>
      </c>
      <c r="AH54" s="1">
        <v>317</v>
      </c>
      <c r="AI54" s="1">
        <v>140</v>
      </c>
      <c r="AJ54" s="1">
        <v>38</v>
      </c>
      <c r="AK54" s="1">
        <v>104</v>
      </c>
      <c r="AL54" s="1">
        <v>6</v>
      </c>
      <c r="AM54" s="1">
        <v>19</v>
      </c>
      <c r="AN54" s="1">
        <v>574</v>
      </c>
      <c r="AO54" s="1">
        <v>345</v>
      </c>
      <c r="AP54" s="1">
        <v>23152</v>
      </c>
      <c r="AQ54" s="1">
        <v>562</v>
      </c>
      <c r="AR54" s="1">
        <v>3422</v>
      </c>
      <c r="AS54" s="1">
        <v>29558</v>
      </c>
      <c r="AT54" s="1">
        <v>1986</v>
      </c>
      <c r="AU54" s="1">
        <v>825</v>
      </c>
      <c r="AV54" s="1">
        <v>2897</v>
      </c>
      <c r="AW54" s="1">
        <v>16</v>
      </c>
      <c r="AX54" s="1">
        <v>159</v>
      </c>
      <c r="AY54" s="1">
        <v>486</v>
      </c>
      <c r="AZ54" s="1">
        <v>270</v>
      </c>
      <c r="BA54" s="1">
        <v>494</v>
      </c>
      <c r="BB54" s="1">
        <v>648228</v>
      </c>
      <c r="BC54" s="1">
        <v>18197</v>
      </c>
      <c r="BD54" s="1">
        <v>22382</v>
      </c>
      <c r="BE54" s="1">
        <v>18321</v>
      </c>
      <c r="BF54" s="1">
        <v>32</v>
      </c>
      <c r="BG54" s="1">
        <v>6083</v>
      </c>
      <c r="BH54" s="1">
        <v>1137</v>
      </c>
      <c r="BI54" s="1">
        <v>3729</v>
      </c>
      <c r="BJ54" s="1">
        <v>43</v>
      </c>
      <c r="BK54" s="1">
        <v>166</v>
      </c>
      <c r="BL54" s="1">
        <v>308</v>
      </c>
      <c r="BM54" s="1">
        <v>138</v>
      </c>
      <c r="BN54" s="1">
        <v>75</v>
      </c>
      <c r="BO54" s="1">
        <v>4</v>
      </c>
      <c r="BP54" s="1">
        <v>1406</v>
      </c>
      <c r="BQ54" s="1">
        <v>2452</v>
      </c>
      <c r="BR54" s="1">
        <v>2704</v>
      </c>
      <c r="BS54" s="1">
        <v>625</v>
      </c>
      <c r="BT54" s="1">
        <v>5770</v>
      </c>
      <c r="BU54" s="1">
        <v>0</v>
      </c>
      <c r="BV54" s="1">
        <v>816096</v>
      </c>
      <c r="BW54" s="1">
        <v>62386</v>
      </c>
      <c r="BX54" s="1">
        <v>0</v>
      </c>
      <c r="BY54" s="1">
        <v>878482</v>
      </c>
      <c r="BZ54" s="1">
        <v>0</v>
      </c>
      <c r="CA54" s="1">
        <v>0</v>
      </c>
      <c r="CB54" s="1">
        <v>0</v>
      </c>
      <c r="CC54" s="1">
        <v>0</v>
      </c>
      <c r="CD54" s="1">
        <v>7971</v>
      </c>
      <c r="CE54" s="1">
        <v>0</v>
      </c>
      <c r="CF54" s="1">
        <v>7971</v>
      </c>
      <c r="CG54" s="1">
        <v>886452</v>
      </c>
    </row>
    <row r="55" spans="1:85" x14ac:dyDescent="0.25">
      <c r="A55" t="s">
        <v>53</v>
      </c>
      <c r="B55" t="s">
        <v>146</v>
      </c>
      <c r="C55" s="1">
        <v>0</v>
      </c>
      <c r="D55" s="1">
        <v>0</v>
      </c>
      <c r="E55" s="1">
        <v>459</v>
      </c>
      <c r="F55" s="1">
        <v>51</v>
      </c>
      <c r="G55" s="1">
        <v>169</v>
      </c>
      <c r="H55" s="1">
        <v>329</v>
      </c>
      <c r="I55" s="1">
        <v>38</v>
      </c>
      <c r="J55" s="1">
        <v>150</v>
      </c>
      <c r="K55" s="1">
        <v>796</v>
      </c>
      <c r="L55" s="1">
        <v>494</v>
      </c>
      <c r="M55" s="1">
        <v>3729</v>
      </c>
      <c r="N55" s="1">
        <v>11922</v>
      </c>
      <c r="O55" s="1">
        <v>73328</v>
      </c>
      <c r="P55" s="1">
        <v>3898</v>
      </c>
      <c r="Q55" s="1">
        <v>16276</v>
      </c>
      <c r="R55" s="1">
        <v>25979</v>
      </c>
      <c r="S55" s="1">
        <v>317</v>
      </c>
      <c r="T55" s="1">
        <v>16791</v>
      </c>
      <c r="U55" s="1">
        <v>3855</v>
      </c>
      <c r="V55" s="1">
        <v>242</v>
      </c>
      <c r="W55" s="1">
        <v>199</v>
      </c>
      <c r="X55" s="1">
        <v>997</v>
      </c>
      <c r="Y55" s="1">
        <v>15628</v>
      </c>
      <c r="Z55" s="1">
        <v>570</v>
      </c>
      <c r="AA55" s="1">
        <v>75234</v>
      </c>
      <c r="AB55" s="1">
        <v>1888</v>
      </c>
      <c r="AC55" s="1">
        <v>1529</v>
      </c>
      <c r="AD55" s="1">
        <v>5</v>
      </c>
      <c r="AE55" s="1">
        <v>2</v>
      </c>
      <c r="AF55" s="1">
        <v>0</v>
      </c>
      <c r="AG55" s="1">
        <v>4688</v>
      </c>
      <c r="AH55" s="1">
        <v>2370</v>
      </c>
      <c r="AI55" s="1">
        <v>1000</v>
      </c>
      <c r="AJ55" s="1">
        <v>108</v>
      </c>
      <c r="AK55" s="1">
        <v>795</v>
      </c>
      <c r="AL55" s="1">
        <v>178</v>
      </c>
      <c r="AM55" s="1">
        <v>603</v>
      </c>
      <c r="AN55" s="1">
        <v>9095</v>
      </c>
      <c r="AO55" s="1">
        <v>1579</v>
      </c>
      <c r="AP55" s="1">
        <v>56708</v>
      </c>
      <c r="AQ55" s="1">
        <v>3519</v>
      </c>
      <c r="AR55" s="1">
        <v>121666</v>
      </c>
      <c r="AS55" s="1">
        <v>334070</v>
      </c>
      <c r="AT55" s="1">
        <v>6454</v>
      </c>
      <c r="AU55" s="1">
        <v>2741</v>
      </c>
      <c r="AV55" s="1">
        <v>6928</v>
      </c>
      <c r="AW55" s="1">
        <v>13</v>
      </c>
      <c r="AX55" s="1">
        <v>220</v>
      </c>
      <c r="AY55" s="1">
        <v>995</v>
      </c>
      <c r="AZ55" s="1">
        <v>333</v>
      </c>
      <c r="BA55" s="1">
        <v>424</v>
      </c>
      <c r="BB55" s="1">
        <v>13850</v>
      </c>
      <c r="BC55" s="1">
        <v>2147100</v>
      </c>
      <c r="BD55" s="1">
        <v>7966</v>
      </c>
      <c r="BE55" s="1">
        <v>68878</v>
      </c>
      <c r="BF55" s="1">
        <v>231</v>
      </c>
      <c r="BG55" s="1">
        <v>52313</v>
      </c>
      <c r="BH55" s="1">
        <v>532</v>
      </c>
      <c r="BI55" s="1">
        <v>6847</v>
      </c>
      <c r="BJ55" s="1">
        <v>27</v>
      </c>
      <c r="BK55" s="1">
        <v>36</v>
      </c>
      <c r="BL55" s="1">
        <v>12393</v>
      </c>
      <c r="BM55" s="1">
        <v>113</v>
      </c>
      <c r="BN55" s="1">
        <v>7</v>
      </c>
      <c r="BO55" s="1">
        <v>0</v>
      </c>
      <c r="BP55" s="1">
        <v>1611</v>
      </c>
      <c r="BQ55" s="1">
        <v>31649</v>
      </c>
      <c r="BR55" s="1">
        <v>34044</v>
      </c>
      <c r="BS55" s="1">
        <v>0</v>
      </c>
      <c r="BT55" s="1">
        <v>81377</v>
      </c>
      <c r="BU55" s="1">
        <v>0</v>
      </c>
      <c r="BV55" s="1">
        <v>3268339</v>
      </c>
      <c r="BW55" s="1">
        <v>134831</v>
      </c>
      <c r="BX55" s="1">
        <v>0</v>
      </c>
      <c r="BY55" s="1">
        <v>3403170</v>
      </c>
      <c r="BZ55" s="1">
        <v>0</v>
      </c>
      <c r="CA55" s="1">
        <v>0</v>
      </c>
      <c r="CB55" s="1">
        <v>0</v>
      </c>
      <c r="CC55" s="1">
        <v>5</v>
      </c>
      <c r="CD55" s="1">
        <v>11527</v>
      </c>
      <c r="CE55" s="1">
        <v>0</v>
      </c>
      <c r="CF55" s="1">
        <v>11532</v>
      </c>
      <c r="CG55" s="1">
        <v>3414702</v>
      </c>
    </row>
    <row r="56" spans="1:85" x14ac:dyDescent="0.25">
      <c r="A56" t="s">
        <v>54</v>
      </c>
      <c r="B56" t="s">
        <v>147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825406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825406</v>
      </c>
      <c r="BW56" s="1">
        <v>0</v>
      </c>
      <c r="BX56" s="1">
        <v>0</v>
      </c>
      <c r="BY56" s="1">
        <v>825406</v>
      </c>
      <c r="BZ56" s="1">
        <v>0</v>
      </c>
      <c r="CA56" s="1">
        <v>0</v>
      </c>
      <c r="CB56" s="1">
        <v>0</v>
      </c>
      <c r="CC56" s="1">
        <v>0</v>
      </c>
      <c r="CD56" s="1">
        <v>2113</v>
      </c>
      <c r="CE56" s="1">
        <v>0</v>
      </c>
      <c r="CF56" s="1">
        <v>2113</v>
      </c>
      <c r="CG56" s="1">
        <v>827519</v>
      </c>
    </row>
    <row r="57" spans="1:85" x14ac:dyDescent="0.25">
      <c r="A57" t="s">
        <v>55</v>
      </c>
      <c r="B57" t="s">
        <v>148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294</v>
      </c>
      <c r="Z57" s="1">
        <v>0</v>
      </c>
      <c r="AA57" s="1">
        <v>0</v>
      </c>
      <c r="AB57" s="1">
        <v>0</v>
      </c>
      <c r="AC57" s="1">
        <v>28</v>
      </c>
      <c r="AD57" s="1">
        <v>0</v>
      </c>
      <c r="AE57" s="1">
        <v>2</v>
      </c>
      <c r="AF57" s="1">
        <v>0</v>
      </c>
      <c r="AG57" s="1">
        <v>60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5</v>
      </c>
      <c r="AO57" s="1">
        <v>0</v>
      </c>
      <c r="AP57" s="1">
        <v>182</v>
      </c>
      <c r="AQ57" s="1">
        <v>0</v>
      </c>
      <c r="AR57" s="1">
        <v>0</v>
      </c>
      <c r="AS57" s="1">
        <v>112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8546</v>
      </c>
      <c r="BC57" s="1">
        <v>1675</v>
      </c>
      <c r="BD57" s="1">
        <v>0</v>
      </c>
      <c r="BE57" s="1">
        <v>1234474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12409</v>
      </c>
      <c r="BU57" s="1">
        <v>0</v>
      </c>
      <c r="BV57" s="1">
        <v>1257788</v>
      </c>
      <c r="BW57" s="1">
        <v>4571</v>
      </c>
      <c r="BX57" s="1">
        <v>0</v>
      </c>
      <c r="BY57" s="1">
        <v>1262359</v>
      </c>
      <c r="BZ57" s="1">
        <v>0</v>
      </c>
      <c r="CA57" s="1">
        <v>0</v>
      </c>
      <c r="CB57" s="1">
        <v>0</v>
      </c>
      <c r="CC57" s="1">
        <v>0</v>
      </c>
      <c r="CD57" s="1">
        <v>9606</v>
      </c>
      <c r="CE57" s="1">
        <v>0</v>
      </c>
      <c r="CF57" s="1">
        <v>9606</v>
      </c>
      <c r="CG57" s="1">
        <v>1271965</v>
      </c>
    </row>
    <row r="58" spans="1:85" x14ac:dyDescent="0.25">
      <c r="A58" t="s">
        <v>56</v>
      </c>
      <c r="B58" t="s">
        <v>149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6284</v>
      </c>
      <c r="AL58" s="1">
        <v>0</v>
      </c>
      <c r="AM58" s="1">
        <v>0</v>
      </c>
      <c r="AN58" s="1">
        <v>0</v>
      </c>
      <c r="AO58" s="1">
        <v>0</v>
      </c>
      <c r="AP58" s="1">
        <v>1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690</v>
      </c>
      <c r="BF58" s="1">
        <v>171686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19769</v>
      </c>
      <c r="BU58" s="1">
        <v>0</v>
      </c>
      <c r="BV58" s="1">
        <v>198440</v>
      </c>
      <c r="BW58" s="1">
        <v>557</v>
      </c>
      <c r="BX58" s="1">
        <v>0</v>
      </c>
      <c r="BY58" s="1">
        <v>198997</v>
      </c>
      <c r="BZ58" s="1">
        <v>0</v>
      </c>
      <c r="CA58" s="1">
        <v>0</v>
      </c>
      <c r="CB58" s="1">
        <v>0</v>
      </c>
      <c r="CC58" s="1">
        <v>0</v>
      </c>
      <c r="CD58" s="1">
        <v>2848</v>
      </c>
      <c r="CE58" s="1">
        <v>0</v>
      </c>
      <c r="CF58" s="1">
        <v>2848</v>
      </c>
      <c r="CG58" s="1">
        <v>201845</v>
      </c>
    </row>
    <row r="59" spans="1:85" x14ac:dyDescent="0.25">
      <c r="A59" t="s">
        <v>57</v>
      </c>
      <c r="B59" t="s">
        <v>150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159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564</v>
      </c>
      <c r="AQ59" s="1">
        <v>0</v>
      </c>
      <c r="AR59" s="1">
        <v>0</v>
      </c>
      <c r="AS59" s="1">
        <v>207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4</v>
      </c>
      <c r="BA59" s="1">
        <v>0</v>
      </c>
      <c r="BB59" s="1">
        <v>544</v>
      </c>
      <c r="BC59" s="1">
        <v>0</v>
      </c>
      <c r="BD59" s="1">
        <v>0</v>
      </c>
      <c r="BE59" s="1">
        <v>29</v>
      </c>
      <c r="BF59" s="1">
        <v>0</v>
      </c>
      <c r="BG59" s="1">
        <v>391055</v>
      </c>
      <c r="BH59" s="1">
        <v>0</v>
      </c>
      <c r="BI59" s="1">
        <v>0</v>
      </c>
      <c r="BJ59" s="1">
        <v>0</v>
      </c>
      <c r="BK59" s="1">
        <v>0</v>
      </c>
      <c r="BL59" s="1">
        <v>409</v>
      </c>
      <c r="BM59" s="1">
        <v>4562</v>
      </c>
      <c r="BN59" s="1">
        <v>0</v>
      </c>
      <c r="BO59" s="1">
        <v>0</v>
      </c>
      <c r="BP59" s="1">
        <v>14</v>
      </c>
      <c r="BQ59" s="1">
        <v>390</v>
      </c>
      <c r="BR59" s="1">
        <v>0</v>
      </c>
      <c r="BS59" s="1">
        <v>0</v>
      </c>
      <c r="BT59" s="1">
        <v>111783</v>
      </c>
      <c r="BU59" s="1">
        <v>0</v>
      </c>
      <c r="BV59" s="1">
        <v>509721</v>
      </c>
      <c r="BW59" s="1">
        <v>2719</v>
      </c>
      <c r="BX59" s="1">
        <v>0</v>
      </c>
      <c r="BY59" s="1">
        <v>512440</v>
      </c>
      <c r="BZ59" s="1">
        <v>0</v>
      </c>
      <c r="CA59" s="1">
        <v>0</v>
      </c>
      <c r="CB59" s="1">
        <v>0</v>
      </c>
      <c r="CC59" s="1">
        <v>0</v>
      </c>
      <c r="CD59" s="1">
        <v>898</v>
      </c>
      <c r="CE59" s="1">
        <v>0</v>
      </c>
      <c r="CF59" s="1">
        <v>898</v>
      </c>
      <c r="CG59" s="1">
        <v>513338</v>
      </c>
    </row>
    <row r="60" spans="1:85" x14ac:dyDescent="0.25">
      <c r="A60" t="s">
        <v>58</v>
      </c>
      <c r="B60" t="s">
        <v>151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16</v>
      </c>
      <c r="AH60" s="1">
        <v>92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1607575</v>
      </c>
      <c r="BI60" s="1">
        <v>4943</v>
      </c>
      <c r="BJ60" s="1">
        <v>197</v>
      </c>
      <c r="BK60" s="1">
        <v>374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47289</v>
      </c>
      <c r="BU60" s="1">
        <v>0</v>
      </c>
      <c r="BV60" s="1">
        <v>1660487</v>
      </c>
      <c r="BW60" s="1">
        <v>300</v>
      </c>
      <c r="BX60" s="1">
        <v>0</v>
      </c>
      <c r="BY60" s="1">
        <v>1660786</v>
      </c>
      <c r="BZ60" s="1">
        <v>0</v>
      </c>
      <c r="CA60" s="1">
        <v>0</v>
      </c>
      <c r="CB60" s="1">
        <v>0</v>
      </c>
      <c r="CC60" s="1">
        <v>0</v>
      </c>
      <c r="CD60" s="1">
        <v>675</v>
      </c>
      <c r="CE60" s="1">
        <v>0</v>
      </c>
      <c r="CF60" s="1">
        <v>675</v>
      </c>
      <c r="CG60" s="1">
        <v>1661461</v>
      </c>
    </row>
    <row r="61" spans="1:85" x14ac:dyDescent="0.25">
      <c r="A61" t="s">
        <v>59</v>
      </c>
      <c r="B61" t="s">
        <v>152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1234468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2477</v>
      </c>
      <c r="BR61" s="1">
        <v>-240</v>
      </c>
      <c r="BS61" s="1">
        <v>0</v>
      </c>
      <c r="BT61" s="1">
        <v>310938</v>
      </c>
      <c r="BU61" s="1">
        <v>0</v>
      </c>
      <c r="BV61" s="1">
        <v>1547642</v>
      </c>
      <c r="BW61" s="1">
        <v>10588</v>
      </c>
      <c r="BX61" s="1">
        <v>0</v>
      </c>
      <c r="BY61" s="1">
        <v>1558230</v>
      </c>
      <c r="BZ61" s="1">
        <v>0</v>
      </c>
      <c r="CA61" s="1">
        <v>0</v>
      </c>
      <c r="CB61" s="1">
        <v>0</v>
      </c>
      <c r="CC61" s="1">
        <v>0</v>
      </c>
      <c r="CD61" s="1">
        <v>3950</v>
      </c>
      <c r="CE61" s="1">
        <v>-14</v>
      </c>
      <c r="CF61" s="1">
        <v>3936</v>
      </c>
      <c r="CG61" s="1">
        <v>1562166</v>
      </c>
    </row>
    <row r="62" spans="1:85" x14ac:dyDescent="0.25">
      <c r="A62" t="s">
        <v>60</v>
      </c>
      <c r="B62" t="s">
        <v>153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340484</v>
      </c>
      <c r="BK62" s="1">
        <v>3094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343578</v>
      </c>
      <c r="BW62" s="1">
        <v>86</v>
      </c>
      <c r="BX62" s="1">
        <v>0</v>
      </c>
      <c r="BY62" s="1">
        <v>343664</v>
      </c>
      <c r="BZ62" s="1">
        <v>0</v>
      </c>
      <c r="CA62" s="1">
        <v>0</v>
      </c>
      <c r="CB62" s="1">
        <v>0</v>
      </c>
      <c r="CC62" s="1">
        <v>0</v>
      </c>
      <c r="CD62" s="1">
        <v>4331</v>
      </c>
      <c r="CE62" s="1">
        <v>0</v>
      </c>
      <c r="CF62" s="1">
        <v>4331</v>
      </c>
      <c r="CG62" s="1">
        <v>347995</v>
      </c>
    </row>
    <row r="63" spans="1:85" x14ac:dyDescent="0.25">
      <c r="A63" t="s">
        <v>61</v>
      </c>
      <c r="B63" t="s">
        <v>154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39</v>
      </c>
      <c r="BF63" s="1">
        <v>0</v>
      </c>
      <c r="BG63" s="1">
        <v>0</v>
      </c>
      <c r="BH63" s="1">
        <v>0</v>
      </c>
      <c r="BI63" s="1">
        <v>0</v>
      </c>
      <c r="BJ63" s="1">
        <v>762</v>
      </c>
      <c r="BK63" s="1">
        <v>348447</v>
      </c>
      <c r="BL63" s="1">
        <v>0</v>
      </c>
      <c r="BM63" s="1">
        <v>980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5101</v>
      </c>
      <c r="BU63" s="1">
        <v>0</v>
      </c>
      <c r="BV63" s="1">
        <v>355329</v>
      </c>
      <c r="BW63" s="1">
        <v>0</v>
      </c>
      <c r="BX63" s="1">
        <v>0</v>
      </c>
      <c r="BY63" s="1">
        <v>355329</v>
      </c>
      <c r="BZ63" s="1">
        <v>0</v>
      </c>
      <c r="CA63" s="1">
        <v>0</v>
      </c>
      <c r="CB63" s="1">
        <v>0</v>
      </c>
      <c r="CC63" s="1">
        <v>0</v>
      </c>
      <c r="CD63" s="1">
        <v>1832</v>
      </c>
      <c r="CE63" s="1">
        <v>0</v>
      </c>
      <c r="CF63" s="1">
        <v>1832</v>
      </c>
      <c r="CG63" s="1">
        <v>357161</v>
      </c>
    </row>
    <row r="64" spans="1:85" x14ac:dyDescent="0.25">
      <c r="A64" t="s">
        <v>62</v>
      </c>
      <c r="B64" t="s">
        <v>155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1949</v>
      </c>
      <c r="BH64" s="1">
        <v>0</v>
      </c>
      <c r="BI64" s="1">
        <v>0</v>
      </c>
      <c r="BJ64" s="1">
        <v>0</v>
      </c>
      <c r="BK64" s="1">
        <v>0</v>
      </c>
      <c r="BL64" s="1">
        <v>284960</v>
      </c>
      <c r="BM64" s="1">
        <v>17</v>
      </c>
      <c r="BN64" s="1">
        <v>1211</v>
      </c>
      <c r="BO64" s="1">
        <v>0</v>
      </c>
      <c r="BP64" s="1">
        <v>0</v>
      </c>
      <c r="BQ64" s="1">
        <v>35</v>
      </c>
      <c r="BR64" s="1">
        <v>0</v>
      </c>
      <c r="BS64" s="1">
        <v>0</v>
      </c>
      <c r="BT64" s="1">
        <v>4353</v>
      </c>
      <c r="BU64" s="1">
        <v>195</v>
      </c>
      <c r="BV64" s="1">
        <v>292720</v>
      </c>
      <c r="BW64" s="1">
        <v>636</v>
      </c>
      <c r="BX64" s="1">
        <v>0</v>
      </c>
      <c r="BY64" s="1">
        <v>293356</v>
      </c>
      <c r="BZ64" s="1">
        <v>0</v>
      </c>
      <c r="CA64" s="1">
        <v>0</v>
      </c>
      <c r="CB64" s="1">
        <v>0</v>
      </c>
      <c r="CC64" s="1">
        <v>0</v>
      </c>
      <c r="CD64" s="1">
        <v>6033</v>
      </c>
      <c r="CE64" s="1">
        <v>0</v>
      </c>
      <c r="CF64" s="1">
        <v>6033</v>
      </c>
      <c r="CG64" s="1">
        <v>299388</v>
      </c>
    </row>
    <row r="65" spans="1:85" x14ac:dyDescent="0.25">
      <c r="A65" t="s">
        <v>63</v>
      </c>
      <c r="B65" t="s">
        <v>156</v>
      </c>
      <c r="C65" s="1">
        <v>2718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144</v>
      </c>
      <c r="AE65" s="1">
        <v>1</v>
      </c>
      <c r="AF65" s="1">
        <v>0</v>
      </c>
      <c r="AG65" s="1">
        <v>580</v>
      </c>
      <c r="AH65" s="1">
        <v>0</v>
      </c>
      <c r="AI65" s="1">
        <v>0</v>
      </c>
      <c r="AJ65" s="1">
        <v>373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38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2487</v>
      </c>
      <c r="BM65" s="1">
        <v>200674</v>
      </c>
      <c r="BN65" s="1">
        <v>37814</v>
      </c>
      <c r="BO65" s="1">
        <v>2075</v>
      </c>
      <c r="BP65" s="1">
        <v>0</v>
      </c>
      <c r="BQ65" s="1">
        <v>0</v>
      </c>
      <c r="BR65" s="1">
        <v>0</v>
      </c>
      <c r="BS65" s="1">
        <v>0</v>
      </c>
      <c r="BT65" s="1">
        <v>3714</v>
      </c>
      <c r="BU65" s="1">
        <v>54766</v>
      </c>
      <c r="BV65" s="1">
        <v>305382</v>
      </c>
      <c r="BW65" s="1">
        <v>3</v>
      </c>
      <c r="BX65" s="1">
        <v>0</v>
      </c>
      <c r="BY65" s="1">
        <v>305385</v>
      </c>
      <c r="BZ65" s="1">
        <v>0</v>
      </c>
      <c r="CA65" s="1">
        <v>0</v>
      </c>
      <c r="CB65" s="1">
        <v>0</v>
      </c>
      <c r="CC65" s="1">
        <v>0</v>
      </c>
      <c r="CD65" s="1">
        <v>23017</v>
      </c>
      <c r="CE65" s="1">
        <v>0</v>
      </c>
      <c r="CF65" s="1">
        <v>23017</v>
      </c>
      <c r="CG65" s="1">
        <v>328401</v>
      </c>
    </row>
    <row r="66" spans="1:85" x14ac:dyDescent="0.25">
      <c r="A66" t="s">
        <v>64</v>
      </c>
      <c r="B66" t="s">
        <v>157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68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32459</v>
      </c>
      <c r="BH66" s="1">
        <v>0</v>
      </c>
      <c r="BI66" s="1">
        <v>0</v>
      </c>
      <c r="BJ66" s="1">
        <v>0</v>
      </c>
      <c r="BK66" s="1">
        <v>0</v>
      </c>
      <c r="BL66" s="1">
        <v>11</v>
      </c>
      <c r="BM66" s="1">
        <v>219</v>
      </c>
      <c r="BN66" s="1">
        <v>244473</v>
      </c>
      <c r="BO66" s="1">
        <v>26</v>
      </c>
      <c r="BP66" s="1">
        <v>0</v>
      </c>
      <c r="BQ66" s="1">
        <v>0</v>
      </c>
      <c r="BR66" s="1">
        <v>0</v>
      </c>
      <c r="BS66" s="1">
        <v>0</v>
      </c>
      <c r="BT66" s="1">
        <v>14427</v>
      </c>
      <c r="BU66" s="1">
        <v>0</v>
      </c>
      <c r="BV66" s="1">
        <v>291683</v>
      </c>
      <c r="BW66" s="1">
        <v>0</v>
      </c>
      <c r="BX66" s="1">
        <v>0</v>
      </c>
      <c r="BY66" s="1">
        <v>291683</v>
      </c>
      <c r="BZ66" s="1">
        <v>0</v>
      </c>
      <c r="CA66" s="1">
        <v>0</v>
      </c>
      <c r="CB66" s="1">
        <v>0</v>
      </c>
      <c r="CC66" s="1">
        <v>0</v>
      </c>
      <c r="CD66" s="1">
        <v>28543</v>
      </c>
      <c r="CE66" s="1">
        <v>0</v>
      </c>
      <c r="CF66" s="1">
        <v>28543</v>
      </c>
      <c r="CG66" s="1">
        <v>320226</v>
      </c>
    </row>
    <row r="67" spans="1:85" x14ac:dyDescent="0.25">
      <c r="A67" t="s">
        <v>65</v>
      </c>
      <c r="B67" t="s">
        <v>158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15665</v>
      </c>
      <c r="AF67" s="1">
        <v>11674</v>
      </c>
      <c r="AG67" s="1">
        <v>27671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36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8509</v>
      </c>
      <c r="BH67" s="1">
        <v>64</v>
      </c>
      <c r="BI67" s="1">
        <v>2239</v>
      </c>
      <c r="BJ67" s="1">
        <v>607</v>
      </c>
      <c r="BK67" s="1">
        <v>0</v>
      </c>
      <c r="BL67" s="1">
        <v>5792</v>
      </c>
      <c r="BM67" s="1">
        <v>13691</v>
      </c>
      <c r="BN67" s="1">
        <v>54333</v>
      </c>
      <c r="BO67" s="1">
        <v>1271942</v>
      </c>
      <c r="BP67" s="1">
        <v>4486</v>
      </c>
      <c r="BQ67" s="1">
        <v>0</v>
      </c>
      <c r="BR67" s="1">
        <v>0</v>
      </c>
      <c r="BS67" s="1">
        <v>1563</v>
      </c>
      <c r="BT67" s="1">
        <v>25889</v>
      </c>
      <c r="BU67" s="1">
        <v>0</v>
      </c>
      <c r="BV67" s="1">
        <v>1444162</v>
      </c>
      <c r="BW67" s="1">
        <v>0</v>
      </c>
      <c r="BX67" s="1">
        <v>0</v>
      </c>
      <c r="BY67" s="1">
        <v>1444162</v>
      </c>
      <c r="BZ67" s="1">
        <v>0</v>
      </c>
      <c r="CA67" s="1">
        <v>0</v>
      </c>
      <c r="CB67" s="1">
        <v>0</v>
      </c>
      <c r="CC67" s="1">
        <v>0</v>
      </c>
      <c r="CD67" s="1">
        <v>97046</v>
      </c>
      <c r="CE67" s="1">
        <v>0</v>
      </c>
      <c r="CF67" s="1">
        <v>97046</v>
      </c>
      <c r="CG67" s="1">
        <v>1541208</v>
      </c>
    </row>
    <row r="68" spans="1:85" x14ac:dyDescent="0.25">
      <c r="A68" t="s">
        <v>66</v>
      </c>
      <c r="B68" t="s">
        <v>159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455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105968</v>
      </c>
      <c r="AD68" s="1">
        <v>67925</v>
      </c>
      <c r="AE68" s="1">
        <v>0</v>
      </c>
      <c r="AF68" s="1">
        <v>2359</v>
      </c>
      <c r="AG68" s="1">
        <v>22816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1256</v>
      </c>
      <c r="AO68" s="1">
        <v>0</v>
      </c>
      <c r="AP68" s="1">
        <v>2</v>
      </c>
      <c r="AQ68" s="1">
        <v>0</v>
      </c>
      <c r="AR68" s="1">
        <v>777</v>
      </c>
      <c r="AS68" s="1">
        <v>175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243</v>
      </c>
      <c r="AZ68" s="1">
        <v>1467</v>
      </c>
      <c r="BA68" s="1">
        <v>0</v>
      </c>
      <c r="BB68" s="1">
        <v>5370</v>
      </c>
      <c r="BC68" s="1">
        <v>3150</v>
      </c>
      <c r="BD68" s="1">
        <v>0</v>
      </c>
      <c r="BE68" s="1">
        <v>0</v>
      </c>
      <c r="BF68" s="1">
        <v>0</v>
      </c>
      <c r="BG68" s="1">
        <v>18</v>
      </c>
      <c r="BH68" s="1">
        <v>0</v>
      </c>
      <c r="BI68" s="1">
        <v>0</v>
      </c>
      <c r="BJ68" s="1">
        <v>0</v>
      </c>
      <c r="BK68" s="1">
        <v>0</v>
      </c>
      <c r="BL68" s="1">
        <v>434</v>
      </c>
      <c r="BM68" s="1">
        <v>3466</v>
      </c>
      <c r="BN68" s="1">
        <v>2299</v>
      </c>
      <c r="BO68" s="1">
        <v>0</v>
      </c>
      <c r="BP68" s="1">
        <v>1053009</v>
      </c>
      <c r="BQ68" s="1">
        <v>0</v>
      </c>
      <c r="BR68" s="1">
        <v>0</v>
      </c>
      <c r="BS68" s="1">
        <v>0</v>
      </c>
      <c r="BT68" s="1">
        <v>1566</v>
      </c>
      <c r="BU68" s="1">
        <v>3667</v>
      </c>
      <c r="BV68" s="1">
        <v>1276420</v>
      </c>
      <c r="BW68" s="1">
        <v>0</v>
      </c>
      <c r="BX68" s="1">
        <v>0</v>
      </c>
      <c r="BY68" s="1">
        <v>1276420</v>
      </c>
      <c r="BZ68" s="1">
        <v>0</v>
      </c>
      <c r="CA68" s="1">
        <v>0</v>
      </c>
      <c r="CB68" s="1">
        <v>0</v>
      </c>
      <c r="CC68" s="1">
        <v>0</v>
      </c>
      <c r="CD68" s="1">
        <v>28224</v>
      </c>
      <c r="CE68" s="1">
        <v>0</v>
      </c>
      <c r="CF68" s="1">
        <v>28224</v>
      </c>
      <c r="CG68" s="1">
        <v>1304645</v>
      </c>
    </row>
    <row r="69" spans="1:85" x14ac:dyDescent="0.25">
      <c r="A69" t="s">
        <v>67</v>
      </c>
      <c r="B69" t="s">
        <v>160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854761</v>
      </c>
      <c r="BR69" s="1">
        <v>0</v>
      </c>
      <c r="BS69" s="1">
        <v>0</v>
      </c>
      <c r="BT69" s="1">
        <v>0</v>
      </c>
      <c r="BU69" s="1">
        <v>0</v>
      </c>
      <c r="BV69" s="1">
        <v>854761</v>
      </c>
      <c r="BW69" s="1">
        <v>0</v>
      </c>
      <c r="BX69" s="1">
        <v>0</v>
      </c>
      <c r="BY69" s="1">
        <v>854761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854761</v>
      </c>
    </row>
    <row r="70" spans="1:85" x14ac:dyDescent="0.25">
      <c r="A70" t="s">
        <v>68</v>
      </c>
      <c r="B70" t="s">
        <v>161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586717</v>
      </c>
      <c r="BS70" s="1">
        <v>0</v>
      </c>
      <c r="BT70" s="1">
        <v>0</v>
      </c>
      <c r="BU70" s="1">
        <v>0</v>
      </c>
      <c r="BV70" s="1">
        <v>586717</v>
      </c>
      <c r="BW70" s="1">
        <v>0</v>
      </c>
      <c r="BX70" s="1">
        <v>0</v>
      </c>
      <c r="BY70" s="1">
        <v>586717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586717</v>
      </c>
    </row>
    <row r="71" spans="1:85" x14ac:dyDescent="0.25">
      <c r="A71" t="s">
        <v>69</v>
      </c>
      <c r="B71" t="s">
        <v>162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-80</v>
      </c>
      <c r="BS71" s="1">
        <v>82002</v>
      </c>
      <c r="BT71" s="1">
        <v>0</v>
      </c>
      <c r="BU71" s="1">
        <v>0</v>
      </c>
      <c r="BV71" s="1">
        <v>81922</v>
      </c>
      <c r="BW71" s="1">
        <v>197</v>
      </c>
      <c r="BX71" s="1">
        <v>0</v>
      </c>
      <c r="BY71" s="1">
        <v>82119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82119</v>
      </c>
    </row>
    <row r="72" spans="1:85" x14ac:dyDescent="0.25">
      <c r="A72" t="s">
        <v>70</v>
      </c>
      <c r="B72" t="s">
        <v>163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2550362</v>
      </c>
      <c r="BU72" s="1">
        <v>0</v>
      </c>
      <c r="BV72" s="1">
        <v>2550362</v>
      </c>
      <c r="BW72" s="1">
        <v>0</v>
      </c>
      <c r="BX72" s="1">
        <v>0</v>
      </c>
      <c r="BY72" s="1">
        <v>2550362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2550362</v>
      </c>
    </row>
    <row r="73" spans="1:85" x14ac:dyDescent="0.25">
      <c r="A73" t="s">
        <v>71</v>
      </c>
      <c r="B73" t="s">
        <v>164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6265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149780</v>
      </c>
      <c r="BV73" s="1">
        <v>156044</v>
      </c>
      <c r="BW73" s="1">
        <v>0</v>
      </c>
      <c r="BX73" s="1">
        <v>0</v>
      </c>
      <c r="BY73" s="1">
        <v>156044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156044</v>
      </c>
    </row>
    <row r="74" spans="1:85" x14ac:dyDescent="0.25">
      <c r="A74" t="s">
        <v>166</v>
      </c>
      <c r="B74" t="s">
        <v>167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370</v>
      </c>
      <c r="K74" s="1">
        <v>6</v>
      </c>
      <c r="L74" s="1">
        <v>602</v>
      </c>
      <c r="M74" s="1">
        <v>3652</v>
      </c>
      <c r="N74" s="1">
        <v>400</v>
      </c>
      <c r="O74" s="1">
        <v>0</v>
      </c>
      <c r="P74" s="1">
        <v>0</v>
      </c>
      <c r="Q74" s="1">
        <v>387</v>
      </c>
      <c r="R74" s="1">
        <v>40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576</v>
      </c>
      <c r="Y74" s="1">
        <v>172</v>
      </c>
      <c r="Z74" s="1">
        <v>0</v>
      </c>
      <c r="AA74" s="1">
        <v>0</v>
      </c>
      <c r="AB74" s="1">
        <v>281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1376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13</v>
      </c>
      <c r="BP74" s="1">
        <v>0</v>
      </c>
      <c r="BQ74" s="1">
        <v>0</v>
      </c>
      <c r="BR74" s="1">
        <v>0</v>
      </c>
      <c r="BS74" s="1">
        <v>0</v>
      </c>
      <c r="BT74" s="1">
        <v>5677</v>
      </c>
      <c r="BU74" s="1">
        <v>0</v>
      </c>
      <c r="BV74" s="1">
        <v>13553</v>
      </c>
      <c r="BW74" s="1">
        <v>17360</v>
      </c>
      <c r="BX74" s="1">
        <v>0</v>
      </c>
      <c r="BY74" s="1">
        <v>30913</v>
      </c>
      <c r="BZ74" s="1">
        <v>209961</v>
      </c>
      <c r="CA74" s="1">
        <v>42962</v>
      </c>
      <c r="CB74" s="1">
        <v>252923</v>
      </c>
      <c r="CC74" s="1">
        <v>89</v>
      </c>
      <c r="CD74" s="1">
        <v>23263</v>
      </c>
      <c r="CE74" s="1">
        <v>0</v>
      </c>
      <c r="CF74" s="1">
        <v>23351</v>
      </c>
      <c r="CG74" s="1">
        <v>307187</v>
      </c>
    </row>
    <row r="75" spans="1:85" x14ac:dyDescent="0.25">
      <c r="A75" t="s">
        <v>168</v>
      </c>
      <c r="B75" t="s">
        <v>169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6187</v>
      </c>
      <c r="BS75" s="1">
        <v>0</v>
      </c>
      <c r="BT75" s="1">
        <v>0</v>
      </c>
      <c r="BU75" s="1">
        <v>0</v>
      </c>
      <c r="BV75" s="1">
        <v>6187</v>
      </c>
      <c r="BW75" s="1">
        <v>369200</v>
      </c>
      <c r="BX75" s="1">
        <v>0</v>
      </c>
      <c r="BY75" s="1">
        <v>375387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375387</v>
      </c>
    </row>
    <row r="76" spans="1:85" x14ac:dyDescent="0.25">
      <c r="A76" t="s">
        <v>390</v>
      </c>
      <c r="B76" t="s">
        <v>391</v>
      </c>
      <c r="C76" s="1">
        <v>572741</v>
      </c>
      <c r="D76" s="1">
        <v>67211</v>
      </c>
      <c r="E76" s="1">
        <v>438824</v>
      </c>
      <c r="F76" s="1">
        <v>135721</v>
      </c>
      <c r="G76" s="1">
        <v>110289</v>
      </c>
      <c r="H76" s="1">
        <v>603774</v>
      </c>
      <c r="I76" s="1">
        <v>2508497</v>
      </c>
      <c r="J76" s="1">
        <v>173952</v>
      </c>
      <c r="K76" s="1">
        <v>175089</v>
      </c>
      <c r="L76" s="1">
        <v>301892</v>
      </c>
      <c r="M76" s="1">
        <v>458799</v>
      </c>
      <c r="N76" s="1">
        <v>436395</v>
      </c>
      <c r="O76" s="1">
        <v>411954</v>
      </c>
      <c r="P76" s="1">
        <v>193119</v>
      </c>
      <c r="Q76" s="1">
        <v>770569</v>
      </c>
      <c r="R76" s="1">
        <v>376961</v>
      </c>
      <c r="S76" s="1">
        <v>84552</v>
      </c>
      <c r="T76" s="1">
        <v>177699</v>
      </c>
      <c r="U76" s="1">
        <v>1238463</v>
      </c>
      <c r="V76" s="1">
        <v>46827</v>
      </c>
      <c r="W76" s="1">
        <v>21862</v>
      </c>
      <c r="X76" s="1">
        <v>218686</v>
      </c>
      <c r="Y76" s="1">
        <v>84346</v>
      </c>
      <c r="Z76" s="1">
        <v>649257</v>
      </c>
      <c r="AA76" s="1">
        <v>990617</v>
      </c>
      <c r="AB76" s="1">
        <v>297324</v>
      </c>
      <c r="AC76" s="1">
        <v>2629509</v>
      </c>
      <c r="AD76" s="1">
        <v>485502</v>
      </c>
      <c r="AE76" s="1">
        <v>318257</v>
      </c>
      <c r="AF76" s="1">
        <v>254347</v>
      </c>
      <c r="AG76" s="1">
        <v>1468895</v>
      </c>
      <c r="AH76" s="1">
        <v>299488</v>
      </c>
      <c r="AI76" s="1">
        <v>95998</v>
      </c>
      <c r="AJ76" s="1">
        <v>77194</v>
      </c>
      <c r="AK76" s="1">
        <v>526269</v>
      </c>
      <c r="AL76" s="1">
        <v>176504</v>
      </c>
      <c r="AM76" s="1">
        <v>73123</v>
      </c>
      <c r="AN76" s="1">
        <v>354422</v>
      </c>
      <c r="AO76" s="1">
        <v>188312</v>
      </c>
      <c r="AP76" s="1">
        <v>650245</v>
      </c>
      <c r="AQ76" s="1">
        <v>205261</v>
      </c>
      <c r="AR76" s="1">
        <v>900261</v>
      </c>
      <c r="AS76" s="1">
        <v>887224</v>
      </c>
      <c r="AT76" s="1">
        <v>1420519</v>
      </c>
      <c r="AU76" s="1">
        <v>930911</v>
      </c>
      <c r="AV76" s="1">
        <v>1496709</v>
      </c>
      <c r="AW76" s="1">
        <v>264623</v>
      </c>
      <c r="AX76" s="1">
        <v>3192628</v>
      </c>
      <c r="AY76" s="1">
        <v>2046309</v>
      </c>
      <c r="AZ76" s="1">
        <v>649989</v>
      </c>
      <c r="BA76" s="1">
        <v>461439</v>
      </c>
      <c r="BB76" s="1">
        <v>725136</v>
      </c>
      <c r="BC76" s="1">
        <v>2262334</v>
      </c>
      <c r="BD76" s="1">
        <v>855850</v>
      </c>
      <c r="BE76" s="1">
        <v>1327842</v>
      </c>
      <c r="BF76" s="1">
        <v>174691</v>
      </c>
      <c r="BG76" s="1">
        <v>494369</v>
      </c>
      <c r="BH76" s="1">
        <v>1623303</v>
      </c>
      <c r="BI76" s="1">
        <v>1256063</v>
      </c>
      <c r="BJ76" s="1">
        <v>342393</v>
      </c>
      <c r="BK76" s="1">
        <v>352390</v>
      </c>
      <c r="BL76" s="1">
        <v>312772</v>
      </c>
      <c r="BM76" s="1">
        <v>227924</v>
      </c>
      <c r="BN76" s="1">
        <v>345621</v>
      </c>
      <c r="BO76" s="1">
        <v>1279013</v>
      </c>
      <c r="BP76" s="1">
        <v>1074219</v>
      </c>
      <c r="BQ76" s="1">
        <v>891866</v>
      </c>
      <c r="BR76" s="1">
        <v>629608</v>
      </c>
      <c r="BS76" s="1">
        <v>117526</v>
      </c>
      <c r="BT76" s="1">
        <v>3297076</v>
      </c>
      <c r="BU76" s="1">
        <v>536871</v>
      </c>
      <c r="BV76" s="1">
        <v>49726230</v>
      </c>
      <c r="BW76" s="1">
        <v>3712324</v>
      </c>
      <c r="BX76" s="1">
        <v>-30786</v>
      </c>
      <c r="BY76" s="1">
        <v>53407768</v>
      </c>
      <c r="BZ76" s="1">
        <v>-1</v>
      </c>
      <c r="CA76" s="1">
        <v>0</v>
      </c>
      <c r="CB76" s="1">
        <v>-1</v>
      </c>
      <c r="CC76" s="1">
        <v>83587</v>
      </c>
      <c r="CD76" s="1">
        <v>1016095</v>
      </c>
      <c r="CE76" s="1">
        <v>-89356</v>
      </c>
      <c r="CF76" s="1">
        <v>1010326</v>
      </c>
      <c r="CG76" s="1">
        <v>54418092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967B-50D8-4D3D-97A2-AC07000ED9B5}">
  <dimension ref="A1:CG75"/>
  <sheetViews>
    <sheetView workbookViewId="0">
      <selection activeCell="C2" sqref="C2"/>
    </sheetView>
  </sheetViews>
  <sheetFormatPr defaultRowHeight="15" x14ac:dyDescent="0.25"/>
  <cols>
    <col min="2" max="2" width="18.7109375" customWidth="1"/>
    <col min="3" max="3" width="12.5703125" style="11" customWidth="1"/>
    <col min="4" max="73" width="9.28515625" bestFit="1" customWidth="1"/>
    <col min="74" max="74" width="9.140625" customWidth="1"/>
    <col min="75" max="76" width="9.28515625" bestFit="1" customWidth="1"/>
    <col min="77" max="77" width="9.140625" customWidth="1"/>
    <col min="78" max="78" width="12.5703125" bestFit="1" customWidth="1"/>
    <col min="79" max="79" width="9.28515625" bestFit="1" customWidth="1"/>
    <col min="80" max="80" width="12.5703125" bestFit="1" customWidth="1"/>
    <col min="81" max="84" width="9.28515625" bestFit="1" customWidth="1"/>
    <col min="85" max="85" width="9.140625" customWidth="1"/>
  </cols>
  <sheetData>
    <row r="1" spans="1:85" x14ac:dyDescent="0.25">
      <c r="A1" t="s">
        <v>393</v>
      </c>
      <c r="B1" t="s">
        <v>0</v>
      </c>
      <c r="C1" s="1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366</v>
      </c>
      <c r="BW1" t="s">
        <v>367</v>
      </c>
      <c r="BX1" t="s">
        <v>368</v>
      </c>
      <c r="BY1" t="s">
        <v>369</v>
      </c>
      <c r="BZ1" t="s">
        <v>370</v>
      </c>
      <c r="CA1" t="s">
        <v>371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</row>
    <row r="2" spans="1:85" x14ac:dyDescent="0.25">
      <c r="A2" t="s">
        <v>1</v>
      </c>
      <c r="B2" t="s">
        <v>94</v>
      </c>
      <c r="C2" s="12">
        <f>'Supply 2024'!C3/'Supply 2024'!C$76</f>
        <v>0.98292247281057232</v>
      </c>
      <c r="D2" s="12">
        <f>'Supply 2024'!D3/'Supply 2024'!D$76</f>
        <v>4.4635550728303405E-4</v>
      </c>
      <c r="E2" s="12">
        <f>'Supply 2024'!E3/'Supply 2024'!E$76</f>
        <v>0</v>
      </c>
      <c r="F2" s="12">
        <f>'Supply 2024'!F3/'Supply 2024'!F$76</f>
        <v>0</v>
      </c>
      <c r="G2" s="12">
        <f>'Supply 2024'!G3/'Supply 2024'!G$76</f>
        <v>0</v>
      </c>
      <c r="H2" s="12">
        <f>'Supply 2024'!H3/'Supply 2024'!H$76</f>
        <v>0</v>
      </c>
      <c r="I2" s="12">
        <f>'Supply 2024'!I3/'Supply 2024'!I$76</f>
        <v>0</v>
      </c>
      <c r="J2" s="12">
        <f>'Supply 2024'!J3/'Supply 2024'!J$76</f>
        <v>0</v>
      </c>
      <c r="K2" s="12">
        <f>'Supply 2024'!K3/'Supply 2024'!K$76</f>
        <v>0</v>
      </c>
      <c r="L2" s="12">
        <f>'Supply 2024'!L3/'Supply 2024'!L$76</f>
        <v>0</v>
      </c>
      <c r="M2" s="12">
        <f>'Supply 2024'!M3/'Supply 2024'!M$76</f>
        <v>0</v>
      </c>
      <c r="N2" s="12">
        <f>'Supply 2024'!N3/'Supply 2024'!N$76</f>
        <v>0</v>
      </c>
      <c r="O2" s="12">
        <f>'Supply 2024'!O3/'Supply 2024'!O$76</f>
        <v>0</v>
      </c>
      <c r="P2" s="12">
        <f>'Supply 2024'!P3/'Supply 2024'!P$76</f>
        <v>0</v>
      </c>
      <c r="Q2" s="12">
        <f>'Supply 2024'!Q3/'Supply 2024'!Q$76</f>
        <v>0</v>
      </c>
      <c r="R2" s="12">
        <f>'Supply 2024'!R3/'Supply 2024'!R$76</f>
        <v>0</v>
      </c>
      <c r="S2" s="12">
        <f>'Supply 2024'!S3/'Supply 2024'!S$76</f>
        <v>0</v>
      </c>
      <c r="T2" s="12">
        <f>'Supply 2024'!T3/'Supply 2024'!T$76</f>
        <v>0</v>
      </c>
      <c r="U2" s="12">
        <f>'Supply 2024'!U3/'Supply 2024'!U$76</f>
        <v>0</v>
      </c>
      <c r="V2" s="12">
        <f>'Supply 2024'!V3/'Supply 2024'!V$76</f>
        <v>0</v>
      </c>
      <c r="W2" s="12">
        <f>'Supply 2024'!W3/'Supply 2024'!W$76</f>
        <v>0</v>
      </c>
      <c r="X2" s="12">
        <f>'Supply 2024'!X3/'Supply 2024'!X$76</f>
        <v>0</v>
      </c>
      <c r="Y2" s="12">
        <f>'Supply 2024'!Y3/'Supply 2024'!Y$76</f>
        <v>0</v>
      </c>
      <c r="Z2" s="12">
        <f>'Supply 2024'!Z3/'Supply 2024'!Z$76</f>
        <v>0</v>
      </c>
      <c r="AA2" s="12">
        <f>'Supply 2024'!AA3/'Supply 2024'!AA$76</f>
        <v>0</v>
      </c>
      <c r="AB2" s="12">
        <f>'Supply 2024'!AB3/'Supply 2024'!AB$76</f>
        <v>0</v>
      </c>
      <c r="AC2" s="12">
        <f>'Supply 2024'!AC3/'Supply 2024'!AC$76</f>
        <v>0</v>
      </c>
      <c r="AD2" s="12">
        <f>'Supply 2024'!AD3/'Supply 2024'!AD$76</f>
        <v>0</v>
      </c>
      <c r="AE2" s="12">
        <f>'Supply 2024'!AE3/'Supply 2024'!AE$76</f>
        <v>0</v>
      </c>
      <c r="AF2" s="12">
        <f>'Supply 2024'!AF3/'Supply 2024'!AF$76</f>
        <v>0</v>
      </c>
      <c r="AG2" s="12">
        <f>'Supply 2024'!AG3/'Supply 2024'!AG$76</f>
        <v>2.042351563590318E-4</v>
      </c>
      <c r="AH2" s="12">
        <f>'Supply 2024'!AH3/'Supply 2024'!AH$76</f>
        <v>0</v>
      </c>
      <c r="AI2" s="12">
        <f>'Supply 2024'!AI3/'Supply 2024'!AI$76</f>
        <v>0</v>
      </c>
      <c r="AJ2" s="12">
        <f>'Supply 2024'!AJ3/'Supply 2024'!AJ$76</f>
        <v>0</v>
      </c>
      <c r="AK2" s="12">
        <f>'Supply 2024'!AK3/'Supply 2024'!AK$76</f>
        <v>0</v>
      </c>
      <c r="AL2" s="12">
        <f>'Supply 2024'!AL3/'Supply 2024'!AL$76</f>
        <v>0</v>
      </c>
      <c r="AM2" s="12">
        <f>'Supply 2024'!AM3/'Supply 2024'!AM$76</f>
        <v>0</v>
      </c>
      <c r="AN2" s="12">
        <f>'Supply 2024'!AN3/'Supply 2024'!AN$76</f>
        <v>0</v>
      </c>
      <c r="AO2" s="12">
        <f>'Supply 2024'!AO3/'Supply 2024'!AO$76</f>
        <v>0</v>
      </c>
      <c r="AP2" s="12">
        <f>'Supply 2024'!AP3/'Supply 2024'!AP$76</f>
        <v>0</v>
      </c>
      <c r="AQ2" s="12">
        <f>'Supply 2024'!AQ3/'Supply 2024'!AQ$76</f>
        <v>0</v>
      </c>
      <c r="AR2" s="12">
        <f>'Supply 2024'!AR3/'Supply 2024'!AR$76</f>
        <v>0</v>
      </c>
      <c r="AS2" s="12">
        <f>'Supply 2024'!AS3/'Supply 2024'!AS$76</f>
        <v>0</v>
      </c>
      <c r="AT2" s="12">
        <f>'Supply 2024'!AT3/'Supply 2024'!AT$76</f>
        <v>0</v>
      </c>
      <c r="AU2" s="12">
        <f>'Supply 2024'!AU3/'Supply 2024'!AU$76</f>
        <v>0</v>
      </c>
      <c r="AV2" s="12">
        <f>'Supply 2024'!AV3/'Supply 2024'!AV$76</f>
        <v>0</v>
      </c>
      <c r="AW2" s="12">
        <f>'Supply 2024'!AW3/'Supply 2024'!AW$76</f>
        <v>0</v>
      </c>
      <c r="AX2" s="12">
        <f>'Supply 2024'!AX3/'Supply 2024'!AX$76</f>
        <v>0</v>
      </c>
      <c r="AY2" s="12">
        <f>'Supply 2024'!AY3/'Supply 2024'!AY$76</f>
        <v>0</v>
      </c>
      <c r="AZ2" s="12">
        <f>'Supply 2024'!AZ3/'Supply 2024'!AZ$76</f>
        <v>0</v>
      </c>
      <c r="BA2" s="12">
        <f>'Supply 2024'!BA3/'Supply 2024'!BA$76</f>
        <v>0</v>
      </c>
      <c r="BB2" s="12">
        <f>'Supply 2024'!BB3/'Supply 2024'!BB$76</f>
        <v>0</v>
      </c>
      <c r="BC2" s="12">
        <f>'Supply 2024'!BC3/'Supply 2024'!BC$76</f>
        <v>0</v>
      </c>
      <c r="BD2" s="12">
        <f>'Supply 2024'!BD3/'Supply 2024'!BD$76</f>
        <v>0</v>
      </c>
      <c r="BE2" s="12">
        <f>'Supply 2024'!BE3/'Supply 2024'!BE$76</f>
        <v>0</v>
      </c>
      <c r="BF2" s="12">
        <f>'Supply 2024'!BF3/'Supply 2024'!BF$76</f>
        <v>0</v>
      </c>
      <c r="BG2" s="12">
        <f>'Supply 2024'!BG3/'Supply 2024'!BG$76</f>
        <v>0</v>
      </c>
      <c r="BH2" s="12">
        <f>'Supply 2024'!BH3/'Supply 2024'!BH$76</f>
        <v>0</v>
      </c>
      <c r="BI2" s="12">
        <f>'Supply 2024'!BI3/'Supply 2024'!BI$76</f>
        <v>0</v>
      </c>
      <c r="BJ2" s="12">
        <f>'Supply 2024'!BJ3/'Supply 2024'!BJ$76</f>
        <v>0</v>
      </c>
      <c r="BK2" s="12">
        <f>'Supply 2024'!BK3/'Supply 2024'!BK$76</f>
        <v>0</v>
      </c>
      <c r="BL2" s="12">
        <f>'Supply 2024'!BL3/'Supply 2024'!BL$76</f>
        <v>0</v>
      </c>
      <c r="BM2" s="12">
        <f>'Supply 2024'!BM3/'Supply 2024'!BM$76</f>
        <v>0</v>
      </c>
      <c r="BN2" s="12">
        <f>'Supply 2024'!BN3/'Supply 2024'!BN$76</f>
        <v>0</v>
      </c>
      <c r="BO2" s="12">
        <f>'Supply 2024'!BO3/'Supply 2024'!BO$76</f>
        <v>0</v>
      </c>
      <c r="BP2" s="12">
        <f>'Supply 2024'!BP3/'Supply 2024'!BP$76</f>
        <v>0</v>
      </c>
      <c r="BQ2" s="12">
        <f>'Supply 2024'!BQ3/'Supply 2024'!BQ$76</f>
        <v>0</v>
      </c>
      <c r="BR2" s="12">
        <f>'Supply 2024'!BR3/'Supply 2024'!BR$76</f>
        <v>0</v>
      </c>
      <c r="BS2" s="12">
        <f>'Supply 2024'!BS3/'Supply 2024'!BS$76</f>
        <v>0</v>
      </c>
      <c r="BT2" s="12">
        <f>'Supply 2024'!BT3/'Supply 2024'!BT$76</f>
        <v>2.3414686225006642E-4</v>
      </c>
      <c r="BU2" s="12">
        <f>'Supply 2024'!BU3/'Supply 2024'!BU$76</f>
        <v>0</v>
      </c>
      <c r="BV2" s="12">
        <f>'Supply 2024'!BV3/'Supply 2024'!BV$76</f>
        <v>1.1343369485279701E-2</v>
      </c>
      <c r="BW2" s="12">
        <f>'Supply 2024'!BW3/'Supply 2024'!BW$76</f>
        <v>1.6270939713236236E-2</v>
      </c>
      <c r="BX2" s="12">
        <f>'Supply 2024'!BX3/'Supply 2024'!BX$76</f>
        <v>0</v>
      </c>
      <c r="BY2" s="12">
        <f>'Supply 2024'!BY3/'Supply 2024'!BY$76</f>
        <v>1.1692418975456904E-2</v>
      </c>
      <c r="BZ2" s="12">
        <f>'Supply 2024'!BZ3/'Supply 2024'!BZ$76</f>
        <v>-175628</v>
      </c>
      <c r="CA2" s="12" t="e">
        <f>'Supply 2024'!CA3/'Supply 2024'!CA$76</f>
        <v>#DIV/0!</v>
      </c>
      <c r="CB2" s="12">
        <f>'Supply 2024'!CB3/'Supply 2024'!CB$76</f>
        <v>-254771</v>
      </c>
      <c r="CC2" s="12">
        <f>'Supply 2024'!CC3/'Supply 2024'!CC$76</f>
        <v>2.165408496536543E-3</v>
      </c>
      <c r="CD2" s="12">
        <f>'Supply 2024'!CD3/'Supply 2024'!CD$76</f>
        <v>1.1319807695146615E-2</v>
      </c>
      <c r="CE2" s="12">
        <f>'Supply 2024'!CE3/'Supply 2024'!CE$76</f>
        <v>7.8741214915618418E-2</v>
      </c>
      <c r="CF2" s="12">
        <f>'Supply 2024'!CF3/'Supply 2024'!CF$76</f>
        <v>4.6004952856800677E-3</v>
      </c>
      <c r="CG2" s="12">
        <f>'Supply 2024'!CG3/'Supply 2024'!CG$76</f>
        <v>1.6242465832870437E-2</v>
      </c>
    </row>
    <row r="3" spans="1:85" x14ac:dyDescent="0.25">
      <c r="A3" t="s">
        <v>2</v>
      </c>
      <c r="B3" t="s">
        <v>95</v>
      </c>
      <c r="C3" s="12">
        <f>'Supply 2024'!C4/'Supply 2024'!C$76</f>
        <v>1.2310974768699988E-2</v>
      </c>
      <c r="D3" s="12">
        <f>'Supply 2024'!D4/'Supply 2024'!D$76</f>
        <v>0.98387168767017308</v>
      </c>
      <c r="E3" s="12">
        <f>'Supply 2024'!E4/'Supply 2024'!E$76</f>
        <v>0</v>
      </c>
      <c r="F3" s="12">
        <f>'Supply 2024'!F4/'Supply 2024'!F$76</f>
        <v>0</v>
      </c>
      <c r="G3" s="12">
        <f>'Supply 2024'!G4/'Supply 2024'!G$76</f>
        <v>0</v>
      </c>
      <c r="H3" s="12">
        <f>'Supply 2024'!H4/'Supply 2024'!H$76</f>
        <v>0</v>
      </c>
      <c r="I3" s="12">
        <f>'Supply 2024'!I4/'Supply 2024'!I$76</f>
        <v>0</v>
      </c>
      <c r="J3" s="12">
        <f>'Supply 2024'!J4/'Supply 2024'!J$76</f>
        <v>0</v>
      </c>
      <c r="K3" s="12">
        <f>'Supply 2024'!K4/'Supply 2024'!K$76</f>
        <v>0</v>
      </c>
      <c r="L3" s="12">
        <f>'Supply 2024'!L4/'Supply 2024'!L$76</f>
        <v>0</v>
      </c>
      <c r="M3" s="12">
        <f>'Supply 2024'!M4/'Supply 2024'!M$76</f>
        <v>0</v>
      </c>
      <c r="N3" s="12">
        <f>'Supply 2024'!N4/'Supply 2024'!N$76</f>
        <v>0</v>
      </c>
      <c r="O3" s="12">
        <f>'Supply 2024'!O4/'Supply 2024'!O$76</f>
        <v>0</v>
      </c>
      <c r="P3" s="12">
        <f>'Supply 2024'!P4/'Supply 2024'!P$76</f>
        <v>0</v>
      </c>
      <c r="Q3" s="12">
        <f>'Supply 2024'!Q4/'Supply 2024'!Q$76</f>
        <v>0</v>
      </c>
      <c r="R3" s="12">
        <f>'Supply 2024'!R4/'Supply 2024'!R$76</f>
        <v>0</v>
      </c>
      <c r="S3" s="12">
        <f>'Supply 2024'!S4/'Supply 2024'!S$76</f>
        <v>0</v>
      </c>
      <c r="T3" s="12">
        <f>'Supply 2024'!T4/'Supply 2024'!T$76</f>
        <v>0</v>
      </c>
      <c r="U3" s="12">
        <f>'Supply 2024'!U4/'Supply 2024'!U$76</f>
        <v>0</v>
      </c>
      <c r="V3" s="12">
        <f>'Supply 2024'!V4/'Supply 2024'!V$76</f>
        <v>0</v>
      </c>
      <c r="W3" s="12">
        <f>'Supply 2024'!W4/'Supply 2024'!W$76</f>
        <v>0</v>
      </c>
      <c r="X3" s="12">
        <f>'Supply 2024'!X4/'Supply 2024'!X$76</f>
        <v>0</v>
      </c>
      <c r="Y3" s="12">
        <f>'Supply 2024'!Y4/'Supply 2024'!Y$76</f>
        <v>0</v>
      </c>
      <c r="Z3" s="12">
        <f>'Supply 2024'!Z4/'Supply 2024'!Z$76</f>
        <v>0</v>
      </c>
      <c r="AA3" s="12">
        <f>'Supply 2024'!AA4/'Supply 2024'!AA$76</f>
        <v>0</v>
      </c>
      <c r="AB3" s="12">
        <f>'Supply 2024'!AB4/'Supply 2024'!AB$76</f>
        <v>0</v>
      </c>
      <c r="AC3" s="12">
        <f>'Supply 2024'!AC4/'Supply 2024'!AC$76</f>
        <v>3.9170810976497896E-5</v>
      </c>
      <c r="AD3" s="12">
        <f>'Supply 2024'!AD4/'Supply 2024'!AD$76</f>
        <v>0</v>
      </c>
      <c r="AE3" s="12">
        <f>'Supply 2024'!AE4/'Supply 2024'!AE$76</f>
        <v>0</v>
      </c>
      <c r="AF3" s="12">
        <f>'Supply 2024'!AF4/'Supply 2024'!AF$76</f>
        <v>0</v>
      </c>
      <c r="AG3" s="12">
        <f>'Supply 2024'!AG4/'Supply 2024'!AG$76</f>
        <v>0</v>
      </c>
      <c r="AH3" s="12">
        <f>'Supply 2024'!AH4/'Supply 2024'!AH$76</f>
        <v>3.2956245325355274E-3</v>
      </c>
      <c r="AI3" s="12">
        <f>'Supply 2024'!AI4/'Supply 2024'!AI$76</f>
        <v>0</v>
      </c>
      <c r="AJ3" s="12">
        <f>'Supply 2024'!AJ4/'Supply 2024'!AJ$76</f>
        <v>0</v>
      </c>
      <c r="AK3" s="12">
        <f>'Supply 2024'!AK4/'Supply 2024'!AK$76</f>
        <v>0</v>
      </c>
      <c r="AL3" s="12">
        <f>'Supply 2024'!AL4/'Supply 2024'!AL$76</f>
        <v>0</v>
      </c>
      <c r="AM3" s="12">
        <f>'Supply 2024'!AM4/'Supply 2024'!AM$76</f>
        <v>0</v>
      </c>
      <c r="AN3" s="12">
        <f>'Supply 2024'!AN4/'Supply 2024'!AN$76</f>
        <v>0</v>
      </c>
      <c r="AO3" s="12">
        <f>'Supply 2024'!AO4/'Supply 2024'!AO$76</f>
        <v>0</v>
      </c>
      <c r="AP3" s="12">
        <f>'Supply 2024'!AP4/'Supply 2024'!AP$76</f>
        <v>0</v>
      </c>
      <c r="AQ3" s="12">
        <f>'Supply 2024'!AQ4/'Supply 2024'!AQ$76</f>
        <v>0</v>
      </c>
      <c r="AR3" s="12">
        <f>'Supply 2024'!AR4/'Supply 2024'!AR$76</f>
        <v>0</v>
      </c>
      <c r="AS3" s="12">
        <f>'Supply 2024'!AS4/'Supply 2024'!AS$76</f>
        <v>0</v>
      </c>
      <c r="AT3" s="12">
        <f>'Supply 2024'!AT4/'Supply 2024'!AT$76</f>
        <v>0</v>
      </c>
      <c r="AU3" s="12">
        <f>'Supply 2024'!AU4/'Supply 2024'!AU$76</f>
        <v>0</v>
      </c>
      <c r="AV3" s="12">
        <f>'Supply 2024'!AV4/'Supply 2024'!AV$76</f>
        <v>0</v>
      </c>
      <c r="AW3" s="12">
        <f>'Supply 2024'!AW4/'Supply 2024'!AW$76</f>
        <v>0</v>
      </c>
      <c r="AX3" s="12">
        <f>'Supply 2024'!AX4/'Supply 2024'!AX$76</f>
        <v>0</v>
      </c>
      <c r="AY3" s="12">
        <f>'Supply 2024'!AY4/'Supply 2024'!AY$76</f>
        <v>0</v>
      </c>
      <c r="AZ3" s="12">
        <f>'Supply 2024'!AZ4/'Supply 2024'!AZ$76</f>
        <v>0</v>
      </c>
      <c r="BA3" s="12">
        <f>'Supply 2024'!BA4/'Supply 2024'!BA$76</f>
        <v>0</v>
      </c>
      <c r="BB3" s="12">
        <f>'Supply 2024'!BB4/'Supply 2024'!BB$76</f>
        <v>0</v>
      </c>
      <c r="BC3" s="12">
        <f>'Supply 2024'!BC4/'Supply 2024'!BC$76</f>
        <v>0</v>
      </c>
      <c r="BD3" s="12">
        <f>'Supply 2024'!BD4/'Supply 2024'!BD$76</f>
        <v>0</v>
      </c>
      <c r="BE3" s="12">
        <f>'Supply 2024'!BE4/'Supply 2024'!BE$76</f>
        <v>0</v>
      </c>
      <c r="BF3" s="12">
        <f>'Supply 2024'!BF4/'Supply 2024'!BF$76</f>
        <v>0</v>
      </c>
      <c r="BG3" s="12">
        <f>'Supply 2024'!BG4/'Supply 2024'!BG$76</f>
        <v>0</v>
      </c>
      <c r="BH3" s="12">
        <f>'Supply 2024'!BH4/'Supply 2024'!BH$76</f>
        <v>0</v>
      </c>
      <c r="BI3" s="12">
        <f>'Supply 2024'!BI4/'Supply 2024'!BI$76</f>
        <v>0</v>
      </c>
      <c r="BJ3" s="12">
        <f>'Supply 2024'!BJ4/'Supply 2024'!BJ$76</f>
        <v>0</v>
      </c>
      <c r="BK3" s="12">
        <f>'Supply 2024'!BK4/'Supply 2024'!BK$76</f>
        <v>0</v>
      </c>
      <c r="BL3" s="12">
        <f>'Supply 2024'!BL4/'Supply 2024'!BL$76</f>
        <v>0</v>
      </c>
      <c r="BM3" s="12">
        <f>'Supply 2024'!BM4/'Supply 2024'!BM$76</f>
        <v>0</v>
      </c>
      <c r="BN3" s="12">
        <f>'Supply 2024'!BN4/'Supply 2024'!BN$76</f>
        <v>0</v>
      </c>
      <c r="BO3" s="12">
        <f>'Supply 2024'!BO4/'Supply 2024'!BO$76</f>
        <v>0</v>
      </c>
      <c r="BP3" s="12">
        <f>'Supply 2024'!BP4/'Supply 2024'!BP$76</f>
        <v>0</v>
      </c>
      <c r="BQ3" s="12">
        <f>'Supply 2024'!BQ4/'Supply 2024'!BQ$76</f>
        <v>0</v>
      </c>
      <c r="BR3" s="12">
        <f>'Supply 2024'!BR4/'Supply 2024'!BR$76</f>
        <v>-2.8589217417821882E-5</v>
      </c>
      <c r="BS3" s="12">
        <f>'Supply 2024'!BS4/'Supply 2024'!BS$76</f>
        <v>0</v>
      </c>
      <c r="BT3" s="12">
        <f>'Supply 2024'!BT4/'Supply 2024'!BT$76</f>
        <v>1.3615094101561505E-3</v>
      </c>
      <c r="BU3" s="12">
        <f>'Supply 2024'!BU4/'Supply 2024'!BU$76</f>
        <v>0</v>
      </c>
      <c r="BV3" s="12">
        <f>'Supply 2024'!BV4/'Supply 2024'!BV$76</f>
        <v>1.5834299121409365E-3</v>
      </c>
      <c r="BW3" s="12">
        <f>'Supply 2024'!BW4/'Supply 2024'!BW$76</f>
        <v>5.2600473450054464E-3</v>
      </c>
      <c r="BX3" s="12">
        <f>'Supply 2024'!BX4/'Supply 2024'!BX$76</f>
        <v>0</v>
      </c>
      <c r="BY3" s="12">
        <f>'Supply 2024'!BY4/'Supply 2024'!BY$76</f>
        <v>1.8399008923196342E-3</v>
      </c>
      <c r="BZ3" s="12">
        <f>'Supply 2024'!BZ4/'Supply 2024'!BZ$76</f>
        <v>-13577</v>
      </c>
      <c r="CA3" s="12" t="e">
        <f>'Supply 2024'!CA4/'Supply 2024'!CA$76</f>
        <v>#DIV/0!</v>
      </c>
      <c r="CB3" s="12">
        <f>'Supply 2024'!CB4/'Supply 2024'!CB$76</f>
        <v>-18510</v>
      </c>
      <c r="CC3" s="12">
        <f>'Supply 2024'!CC4/'Supply 2024'!CC$76</f>
        <v>2.3328986564896455E-3</v>
      </c>
      <c r="CD3" s="12">
        <f>'Supply 2024'!CD4/'Supply 2024'!CD$76</f>
        <v>1.4043962424773273E-3</v>
      </c>
      <c r="CE3" s="12">
        <f>'Supply 2024'!CE4/'Supply 2024'!CE$76</f>
        <v>0</v>
      </c>
      <c r="CF3" s="12">
        <f>'Supply 2024'!CF4/'Supply 2024'!CF$76</f>
        <v>1.6054224082127947E-3</v>
      </c>
      <c r="CG3" s="12">
        <f>'Supply 2024'!CG4/'Supply 2024'!CG$76</f>
        <v>2.1757102398959525E-3</v>
      </c>
    </row>
    <row r="4" spans="1:85" x14ac:dyDescent="0.25">
      <c r="A4" t="s">
        <v>3</v>
      </c>
      <c r="B4" t="s">
        <v>96</v>
      </c>
      <c r="C4" s="12">
        <f>'Supply 2024'!C5/'Supply 2024'!C$76</f>
        <v>0</v>
      </c>
      <c r="D4" s="12">
        <f>'Supply 2024'!D5/'Supply 2024'!D$76</f>
        <v>0</v>
      </c>
      <c r="E4" s="12">
        <f>'Supply 2024'!E5/'Supply 2024'!E$76</f>
        <v>0.85124560188139209</v>
      </c>
      <c r="F4" s="12">
        <f>'Supply 2024'!F5/'Supply 2024'!F$76</f>
        <v>0</v>
      </c>
      <c r="G4" s="12">
        <f>'Supply 2024'!G5/'Supply 2024'!G$76</f>
        <v>3.2732185440071085E-3</v>
      </c>
      <c r="H4" s="12">
        <f>'Supply 2024'!H5/'Supply 2024'!H$76</f>
        <v>2.1531235197275802E-4</v>
      </c>
      <c r="I4" s="12">
        <f>'Supply 2024'!I5/'Supply 2024'!I$76</f>
        <v>0</v>
      </c>
      <c r="J4" s="12">
        <f>'Supply 2024'!J5/'Supply 2024'!J$76</f>
        <v>0</v>
      </c>
      <c r="K4" s="12">
        <f>'Supply 2024'!K5/'Supply 2024'!K$76</f>
        <v>0</v>
      </c>
      <c r="L4" s="12">
        <f>'Supply 2024'!L5/'Supply 2024'!L$76</f>
        <v>0</v>
      </c>
      <c r="M4" s="12">
        <f>'Supply 2024'!M5/'Supply 2024'!M$76</f>
        <v>0</v>
      </c>
      <c r="N4" s="12">
        <f>'Supply 2024'!N5/'Supply 2024'!N$76</f>
        <v>0</v>
      </c>
      <c r="O4" s="12">
        <f>'Supply 2024'!O5/'Supply 2024'!O$76</f>
        <v>0</v>
      </c>
      <c r="P4" s="12">
        <f>'Supply 2024'!P5/'Supply 2024'!P$76</f>
        <v>0</v>
      </c>
      <c r="Q4" s="12">
        <f>'Supply 2024'!Q5/'Supply 2024'!Q$76</f>
        <v>0</v>
      </c>
      <c r="R4" s="12">
        <f>'Supply 2024'!R5/'Supply 2024'!R$76</f>
        <v>0</v>
      </c>
      <c r="S4" s="12">
        <f>'Supply 2024'!S5/'Supply 2024'!S$76</f>
        <v>0</v>
      </c>
      <c r="T4" s="12">
        <f>'Supply 2024'!T5/'Supply 2024'!T$76</f>
        <v>0</v>
      </c>
      <c r="U4" s="12">
        <f>'Supply 2024'!U5/'Supply 2024'!U$76</f>
        <v>0</v>
      </c>
      <c r="V4" s="12">
        <f>'Supply 2024'!V5/'Supply 2024'!V$76</f>
        <v>0</v>
      </c>
      <c r="W4" s="12">
        <f>'Supply 2024'!W5/'Supply 2024'!W$76</f>
        <v>0</v>
      </c>
      <c r="X4" s="12">
        <f>'Supply 2024'!X5/'Supply 2024'!X$76</f>
        <v>0</v>
      </c>
      <c r="Y4" s="12">
        <f>'Supply 2024'!Y5/'Supply 2024'!Y$76</f>
        <v>0</v>
      </c>
      <c r="Z4" s="12">
        <f>'Supply 2024'!Z5/'Supply 2024'!Z$76</f>
        <v>1.5402221308357091E-6</v>
      </c>
      <c r="AA4" s="12">
        <f>'Supply 2024'!AA5/'Supply 2024'!AA$76</f>
        <v>0</v>
      </c>
      <c r="AB4" s="12">
        <f>'Supply 2024'!AB5/'Supply 2024'!AB$76</f>
        <v>0</v>
      </c>
      <c r="AC4" s="12">
        <f>'Supply 2024'!AC5/'Supply 2024'!AC$76</f>
        <v>0</v>
      </c>
      <c r="AD4" s="12">
        <f>'Supply 2024'!AD5/'Supply 2024'!AD$76</f>
        <v>0</v>
      </c>
      <c r="AE4" s="12">
        <f>'Supply 2024'!AE5/'Supply 2024'!AE$76</f>
        <v>0</v>
      </c>
      <c r="AF4" s="12">
        <f>'Supply 2024'!AF5/'Supply 2024'!AF$76</f>
        <v>0</v>
      </c>
      <c r="AG4" s="12">
        <f>'Supply 2024'!AG5/'Supply 2024'!AG$76</f>
        <v>0</v>
      </c>
      <c r="AH4" s="12">
        <f>'Supply 2024'!AH5/'Supply 2024'!AH$76</f>
        <v>0</v>
      </c>
      <c r="AI4" s="12">
        <f>'Supply 2024'!AI5/'Supply 2024'!AI$76</f>
        <v>0</v>
      </c>
      <c r="AJ4" s="12">
        <f>'Supply 2024'!AJ5/'Supply 2024'!AJ$76</f>
        <v>0</v>
      </c>
      <c r="AK4" s="12">
        <f>'Supply 2024'!AK5/'Supply 2024'!AK$76</f>
        <v>0</v>
      </c>
      <c r="AL4" s="12">
        <f>'Supply 2024'!AL5/'Supply 2024'!AL$76</f>
        <v>0</v>
      </c>
      <c r="AM4" s="12">
        <f>'Supply 2024'!AM5/'Supply 2024'!AM$76</f>
        <v>0</v>
      </c>
      <c r="AN4" s="12">
        <f>'Supply 2024'!AN5/'Supply 2024'!AN$76</f>
        <v>0</v>
      </c>
      <c r="AO4" s="12">
        <f>'Supply 2024'!AO5/'Supply 2024'!AO$76</f>
        <v>0</v>
      </c>
      <c r="AP4" s="12">
        <f>'Supply 2024'!AP5/'Supply 2024'!AP$76</f>
        <v>0</v>
      </c>
      <c r="AQ4" s="12">
        <f>'Supply 2024'!AQ5/'Supply 2024'!AQ$76</f>
        <v>0</v>
      </c>
      <c r="AR4" s="12">
        <f>'Supply 2024'!AR5/'Supply 2024'!AR$76</f>
        <v>0</v>
      </c>
      <c r="AS4" s="12">
        <f>'Supply 2024'!AS5/'Supply 2024'!AS$76</f>
        <v>0</v>
      </c>
      <c r="AT4" s="12">
        <f>'Supply 2024'!AT5/'Supply 2024'!AT$76</f>
        <v>0</v>
      </c>
      <c r="AU4" s="12">
        <f>'Supply 2024'!AU5/'Supply 2024'!AU$76</f>
        <v>0</v>
      </c>
      <c r="AV4" s="12">
        <f>'Supply 2024'!AV5/'Supply 2024'!AV$76</f>
        <v>0</v>
      </c>
      <c r="AW4" s="12">
        <f>'Supply 2024'!AW5/'Supply 2024'!AW$76</f>
        <v>0</v>
      </c>
      <c r="AX4" s="12">
        <f>'Supply 2024'!AX5/'Supply 2024'!AX$76</f>
        <v>0</v>
      </c>
      <c r="AY4" s="12">
        <f>'Supply 2024'!AY5/'Supply 2024'!AY$76</f>
        <v>0</v>
      </c>
      <c r="AZ4" s="12">
        <f>'Supply 2024'!AZ5/'Supply 2024'!AZ$76</f>
        <v>0</v>
      </c>
      <c r="BA4" s="12">
        <f>'Supply 2024'!BA5/'Supply 2024'!BA$76</f>
        <v>0</v>
      </c>
      <c r="BB4" s="12">
        <f>'Supply 2024'!BB5/'Supply 2024'!BB$76</f>
        <v>0</v>
      </c>
      <c r="BC4" s="12">
        <f>'Supply 2024'!BC5/'Supply 2024'!BC$76</f>
        <v>0</v>
      </c>
      <c r="BD4" s="12">
        <f>'Supply 2024'!BD5/'Supply 2024'!BD$76</f>
        <v>0</v>
      </c>
      <c r="BE4" s="12">
        <f>'Supply 2024'!BE5/'Supply 2024'!BE$76</f>
        <v>0</v>
      </c>
      <c r="BF4" s="12">
        <f>'Supply 2024'!BF5/'Supply 2024'!BF$76</f>
        <v>2.0149864618097097E-3</v>
      </c>
      <c r="BG4" s="12">
        <f>'Supply 2024'!BG5/'Supply 2024'!BG$76</f>
        <v>0</v>
      </c>
      <c r="BH4" s="12">
        <f>'Supply 2024'!BH5/'Supply 2024'!BH$76</f>
        <v>0</v>
      </c>
      <c r="BI4" s="12">
        <f>'Supply 2024'!BI5/'Supply 2024'!BI$76</f>
        <v>0</v>
      </c>
      <c r="BJ4" s="12">
        <f>'Supply 2024'!BJ5/'Supply 2024'!BJ$76</f>
        <v>0</v>
      </c>
      <c r="BK4" s="12">
        <f>'Supply 2024'!BK5/'Supply 2024'!BK$76</f>
        <v>0</v>
      </c>
      <c r="BL4" s="12">
        <f>'Supply 2024'!BL5/'Supply 2024'!BL$76</f>
        <v>0</v>
      </c>
      <c r="BM4" s="12">
        <f>'Supply 2024'!BM5/'Supply 2024'!BM$76</f>
        <v>0</v>
      </c>
      <c r="BN4" s="12">
        <f>'Supply 2024'!BN5/'Supply 2024'!BN$76</f>
        <v>0</v>
      </c>
      <c r="BO4" s="12">
        <f>'Supply 2024'!BO5/'Supply 2024'!BO$76</f>
        <v>0</v>
      </c>
      <c r="BP4" s="12">
        <f>'Supply 2024'!BP5/'Supply 2024'!BP$76</f>
        <v>0</v>
      </c>
      <c r="BQ4" s="12">
        <f>'Supply 2024'!BQ5/'Supply 2024'!BQ$76</f>
        <v>0</v>
      </c>
      <c r="BR4" s="12">
        <f>'Supply 2024'!BR5/'Supply 2024'!BR$76</f>
        <v>0</v>
      </c>
      <c r="BS4" s="12">
        <f>'Supply 2024'!BS5/'Supply 2024'!BS$76</f>
        <v>0</v>
      </c>
      <c r="BT4" s="12">
        <f>'Supply 2024'!BT5/'Supply 2024'!BT$76</f>
        <v>0</v>
      </c>
      <c r="BU4" s="12">
        <f>'Supply 2024'!BU5/'Supply 2024'!BU$76</f>
        <v>0</v>
      </c>
      <c r="BV4" s="12">
        <f>'Supply 2024'!BV5/'Supply 2024'!BV$76</f>
        <v>7.5290244203109705E-3</v>
      </c>
      <c r="BW4" s="12">
        <f>'Supply 2024'!BW5/'Supply 2024'!BW$76</f>
        <v>4.6786056389474626E-2</v>
      </c>
      <c r="BX4" s="12">
        <f>'Supply 2024'!BX5/'Supply 2024'!BX$76</f>
        <v>0</v>
      </c>
      <c r="BY4" s="12">
        <f>'Supply 2024'!BY5/'Supply 2024'!BY$76</f>
        <v>1.0262065248635741E-2</v>
      </c>
      <c r="BZ4" s="12">
        <f>'Supply 2024'!BZ5/'Supply 2024'!BZ$76</f>
        <v>-23266</v>
      </c>
      <c r="CA4" s="12" t="e">
        <f>'Supply 2024'!CA5/'Supply 2024'!CA$76</f>
        <v>#DIV/0!</v>
      </c>
      <c r="CB4" s="12">
        <f>'Supply 2024'!CB5/'Supply 2024'!CB$76</f>
        <v>-94328</v>
      </c>
      <c r="CC4" s="12">
        <f>'Supply 2024'!CC5/'Supply 2024'!CC$76</f>
        <v>1.7227559309461998E-3</v>
      </c>
      <c r="CD4" s="12">
        <f>'Supply 2024'!CD5/'Supply 2024'!CD$76</f>
        <v>1.812035291975652E-2</v>
      </c>
      <c r="CE4" s="12">
        <f>'Supply 2024'!CE5/'Supply 2024'!CE$76</f>
        <v>0</v>
      </c>
      <c r="CF4" s="12">
        <f>'Supply 2024'!CF5/'Supply 2024'!CF$76</f>
        <v>1.8366349079406052E-2</v>
      </c>
      <c r="CG4" s="12">
        <f>'Supply 2024'!CG5/'Supply 2024'!CG$76</f>
        <v>1.2145942198781979E-2</v>
      </c>
    </row>
    <row r="5" spans="1:85" x14ac:dyDescent="0.25">
      <c r="A5" t="s">
        <v>4</v>
      </c>
      <c r="B5" t="s">
        <v>97</v>
      </c>
      <c r="C5" s="12">
        <f>'Supply 2024'!C6/'Supply 2024'!C$76</f>
        <v>0</v>
      </c>
      <c r="D5" s="12">
        <f>'Supply 2024'!D6/'Supply 2024'!D$76</f>
        <v>0</v>
      </c>
      <c r="E5" s="12">
        <f>'Supply 2024'!E6/'Supply 2024'!E$76</f>
        <v>1.2533498623593971E-4</v>
      </c>
      <c r="F5" s="12">
        <f>'Supply 2024'!F6/'Supply 2024'!F$76</f>
        <v>0.77267335194995612</v>
      </c>
      <c r="G5" s="12">
        <f>'Supply 2024'!G6/'Supply 2024'!G$76</f>
        <v>0</v>
      </c>
      <c r="H5" s="12">
        <f>'Supply 2024'!H6/'Supply 2024'!H$76</f>
        <v>0</v>
      </c>
      <c r="I5" s="12">
        <f>'Supply 2024'!I6/'Supply 2024'!I$76</f>
        <v>0</v>
      </c>
      <c r="J5" s="12">
        <f>'Supply 2024'!J6/'Supply 2024'!J$76</f>
        <v>0</v>
      </c>
      <c r="K5" s="12">
        <f>'Supply 2024'!K6/'Supply 2024'!K$76</f>
        <v>4.334938231413738E-3</v>
      </c>
      <c r="L5" s="12">
        <f>'Supply 2024'!L6/'Supply 2024'!L$76</f>
        <v>0</v>
      </c>
      <c r="M5" s="12">
        <f>'Supply 2024'!M6/'Supply 2024'!M$76</f>
        <v>0</v>
      </c>
      <c r="N5" s="12">
        <f>'Supply 2024'!N6/'Supply 2024'!N$76</f>
        <v>0</v>
      </c>
      <c r="O5" s="12">
        <f>'Supply 2024'!O6/'Supply 2024'!O$76</f>
        <v>0</v>
      </c>
      <c r="P5" s="12">
        <f>'Supply 2024'!P6/'Supply 2024'!P$76</f>
        <v>0</v>
      </c>
      <c r="Q5" s="12">
        <f>'Supply 2024'!Q6/'Supply 2024'!Q$76</f>
        <v>0</v>
      </c>
      <c r="R5" s="12">
        <f>'Supply 2024'!R6/'Supply 2024'!R$76</f>
        <v>0</v>
      </c>
      <c r="S5" s="12">
        <f>'Supply 2024'!S6/'Supply 2024'!S$76</f>
        <v>0</v>
      </c>
      <c r="T5" s="12">
        <f>'Supply 2024'!T6/'Supply 2024'!T$76</f>
        <v>0</v>
      </c>
      <c r="U5" s="12">
        <f>'Supply 2024'!U6/'Supply 2024'!U$76</f>
        <v>0</v>
      </c>
      <c r="V5" s="12">
        <f>'Supply 2024'!V6/'Supply 2024'!V$76</f>
        <v>0</v>
      </c>
      <c r="W5" s="12">
        <f>'Supply 2024'!W6/'Supply 2024'!W$76</f>
        <v>0</v>
      </c>
      <c r="X5" s="12">
        <f>'Supply 2024'!X6/'Supply 2024'!X$76</f>
        <v>0</v>
      </c>
      <c r="Y5" s="12">
        <f>'Supply 2024'!Y6/'Supply 2024'!Y$76</f>
        <v>0</v>
      </c>
      <c r="Z5" s="12">
        <f>'Supply 2024'!Z6/'Supply 2024'!Z$76</f>
        <v>8.9332883588471126E-5</v>
      </c>
      <c r="AA5" s="12">
        <f>'Supply 2024'!AA6/'Supply 2024'!AA$76</f>
        <v>0</v>
      </c>
      <c r="AB5" s="12">
        <f>'Supply 2024'!AB6/'Supply 2024'!AB$76</f>
        <v>0</v>
      </c>
      <c r="AC5" s="12">
        <f>'Supply 2024'!AC6/'Supply 2024'!AC$76</f>
        <v>0</v>
      </c>
      <c r="AD5" s="12">
        <f>'Supply 2024'!AD6/'Supply 2024'!AD$76</f>
        <v>0</v>
      </c>
      <c r="AE5" s="12">
        <f>'Supply 2024'!AE6/'Supply 2024'!AE$76</f>
        <v>0</v>
      </c>
      <c r="AF5" s="12">
        <f>'Supply 2024'!AF6/'Supply 2024'!AF$76</f>
        <v>0</v>
      </c>
      <c r="AG5" s="12">
        <f>'Supply 2024'!AG6/'Supply 2024'!AG$76</f>
        <v>0</v>
      </c>
      <c r="AH5" s="12">
        <f>'Supply 2024'!AH6/'Supply 2024'!AH$76</f>
        <v>0</v>
      </c>
      <c r="AI5" s="12">
        <f>'Supply 2024'!AI6/'Supply 2024'!AI$76</f>
        <v>0</v>
      </c>
      <c r="AJ5" s="12">
        <f>'Supply 2024'!AJ6/'Supply 2024'!AJ$76</f>
        <v>0</v>
      </c>
      <c r="AK5" s="12">
        <f>'Supply 2024'!AK6/'Supply 2024'!AK$76</f>
        <v>0</v>
      </c>
      <c r="AL5" s="12">
        <f>'Supply 2024'!AL6/'Supply 2024'!AL$76</f>
        <v>0</v>
      </c>
      <c r="AM5" s="12">
        <f>'Supply 2024'!AM6/'Supply 2024'!AM$76</f>
        <v>0</v>
      </c>
      <c r="AN5" s="12">
        <f>'Supply 2024'!AN6/'Supply 2024'!AN$76</f>
        <v>0</v>
      </c>
      <c r="AO5" s="12">
        <f>'Supply 2024'!AO6/'Supply 2024'!AO$76</f>
        <v>0</v>
      </c>
      <c r="AP5" s="12">
        <f>'Supply 2024'!AP6/'Supply 2024'!AP$76</f>
        <v>0</v>
      </c>
      <c r="AQ5" s="12">
        <f>'Supply 2024'!AQ6/'Supply 2024'!AQ$76</f>
        <v>0</v>
      </c>
      <c r="AR5" s="12">
        <f>'Supply 2024'!AR6/'Supply 2024'!AR$76</f>
        <v>0</v>
      </c>
      <c r="AS5" s="12">
        <f>'Supply 2024'!AS6/'Supply 2024'!AS$76</f>
        <v>0</v>
      </c>
      <c r="AT5" s="12">
        <f>'Supply 2024'!AT6/'Supply 2024'!AT$76</f>
        <v>0</v>
      </c>
      <c r="AU5" s="12">
        <f>'Supply 2024'!AU6/'Supply 2024'!AU$76</f>
        <v>0</v>
      </c>
      <c r="AV5" s="12">
        <f>'Supply 2024'!AV6/'Supply 2024'!AV$76</f>
        <v>0</v>
      </c>
      <c r="AW5" s="12">
        <f>'Supply 2024'!AW6/'Supply 2024'!AW$76</f>
        <v>0</v>
      </c>
      <c r="AX5" s="12">
        <f>'Supply 2024'!AX6/'Supply 2024'!AX$76</f>
        <v>0</v>
      </c>
      <c r="AY5" s="12">
        <f>'Supply 2024'!AY6/'Supply 2024'!AY$76</f>
        <v>0</v>
      </c>
      <c r="AZ5" s="12">
        <f>'Supply 2024'!AZ6/'Supply 2024'!AZ$76</f>
        <v>0</v>
      </c>
      <c r="BA5" s="12">
        <f>'Supply 2024'!BA6/'Supply 2024'!BA$76</f>
        <v>0</v>
      </c>
      <c r="BB5" s="12">
        <f>'Supply 2024'!BB6/'Supply 2024'!BB$76</f>
        <v>0</v>
      </c>
      <c r="BC5" s="12">
        <f>'Supply 2024'!BC6/'Supply 2024'!BC$76</f>
        <v>0</v>
      </c>
      <c r="BD5" s="12">
        <f>'Supply 2024'!BD6/'Supply 2024'!BD$76</f>
        <v>0</v>
      </c>
      <c r="BE5" s="12">
        <f>'Supply 2024'!BE6/'Supply 2024'!BE$76</f>
        <v>0</v>
      </c>
      <c r="BF5" s="12">
        <f>'Supply 2024'!BF6/'Supply 2024'!BF$76</f>
        <v>0</v>
      </c>
      <c r="BG5" s="12">
        <f>'Supply 2024'!BG6/'Supply 2024'!BG$76</f>
        <v>0</v>
      </c>
      <c r="BH5" s="12">
        <f>'Supply 2024'!BH6/'Supply 2024'!BH$76</f>
        <v>0</v>
      </c>
      <c r="BI5" s="12">
        <f>'Supply 2024'!BI6/'Supply 2024'!BI$76</f>
        <v>0</v>
      </c>
      <c r="BJ5" s="12">
        <f>'Supply 2024'!BJ6/'Supply 2024'!BJ$76</f>
        <v>0</v>
      </c>
      <c r="BK5" s="12">
        <f>'Supply 2024'!BK6/'Supply 2024'!BK$76</f>
        <v>0</v>
      </c>
      <c r="BL5" s="12">
        <f>'Supply 2024'!BL6/'Supply 2024'!BL$76</f>
        <v>0</v>
      </c>
      <c r="BM5" s="12">
        <f>'Supply 2024'!BM6/'Supply 2024'!BM$76</f>
        <v>0</v>
      </c>
      <c r="BN5" s="12">
        <f>'Supply 2024'!BN6/'Supply 2024'!BN$76</f>
        <v>0</v>
      </c>
      <c r="BO5" s="12">
        <f>'Supply 2024'!BO6/'Supply 2024'!BO$76</f>
        <v>0</v>
      </c>
      <c r="BP5" s="12">
        <f>'Supply 2024'!BP6/'Supply 2024'!BP$76</f>
        <v>0</v>
      </c>
      <c r="BQ5" s="12">
        <f>'Supply 2024'!BQ6/'Supply 2024'!BQ$76</f>
        <v>0</v>
      </c>
      <c r="BR5" s="12">
        <f>'Supply 2024'!BR6/'Supply 2024'!BR$76</f>
        <v>0</v>
      </c>
      <c r="BS5" s="12">
        <f>'Supply 2024'!BS6/'Supply 2024'!BS$76</f>
        <v>0</v>
      </c>
      <c r="BT5" s="12">
        <f>'Supply 2024'!BT6/'Supply 2024'!BT$76</f>
        <v>2.8540440074781412E-4</v>
      </c>
      <c r="BU5" s="12">
        <f>'Supply 2024'!BU6/'Supply 2024'!BU$76</f>
        <v>0</v>
      </c>
      <c r="BV5" s="12">
        <f>'Supply 2024'!BV6/'Supply 2024'!BV$76</f>
        <v>2.1453466309430658E-3</v>
      </c>
      <c r="BW5" s="12">
        <f>'Supply 2024'!BW6/'Supply 2024'!BW$76</f>
        <v>1.6695740996744896E-3</v>
      </c>
      <c r="BX5" s="12">
        <f>'Supply 2024'!BX6/'Supply 2024'!BX$76</f>
        <v>0</v>
      </c>
      <c r="BY5" s="12">
        <f>'Supply 2024'!BY6/'Supply 2024'!BY$76</f>
        <v>2.1135127758943233E-3</v>
      </c>
      <c r="BZ5" s="12">
        <f>'Supply 2024'!BZ6/'Supply 2024'!BZ$76</f>
        <v>-10067</v>
      </c>
      <c r="CA5" s="12" t="e">
        <f>'Supply 2024'!CA6/'Supply 2024'!CA$76</f>
        <v>#DIV/0!</v>
      </c>
      <c r="CB5" s="12">
        <f>'Supply 2024'!CB6/'Supply 2024'!CB$76</f>
        <v>-43457</v>
      </c>
      <c r="CC5" s="12">
        <f>'Supply 2024'!CC6/'Supply 2024'!CC$76</f>
        <v>1.315994113917236E-4</v>
      </c>
      <c r="CD5" s="12">
        <f>'Supply 2024'!CD6/'Supply 2024'!CD$76</f>
        <v>4.9955958842431069E-3</v>
      </c>
      <c r="CE5" s="12">
        <f>'Supply 2024'!CE6/'Supply 2024'!CE$76</f>
        <v>0</v>
      </c>
      <c r="CF5" s="12">
        <f>'Supply 2024'!CF6/'Supply 2024'!CF$76</f>
        <v>5.035008502206219E-3</v>
      </c>
      <c r="CG5" s="12">
        <f>'Supply 2024'!CG6/'Supply 2024'!CG$76</f>
        <v>2.9663296537482424E-3</v>
      </c>
    </row>
    <row r="6" spans="1:85" x14ac:dyDescent="0.25">
      <c r="A6" t="s">
        <v>5</v>
      </c>
      <c r="B6" t="s">
        <v>98</v>
      </c>
      <c r="C6" s="12">
        <f>'Supply 2024'!C7/'Supply 2024'!C$76</f>
        <v>0</v>
      </c>
      <c r="D6" s="12">
        <f>'Supply 2024'!D7/'Supply 2024'!D$76</f>
        <v>0</v>
      </c>
      <c r="E6" s="12">
        <f>'Supply 2024'!E7/'Supply 2024'!E$76</f>
        <v>4.023253058173664E-2</v>
      </c>
      <c r="F6" s="12">
        <f>'Supply 2024'!F7/'Supply 2024'!F$76</f>
        <v>7.1462780262450176E-2</v>
      </c>
      <c r="G6" s="12">
        <f>'Supply 2024'!G7/'Supply 2024'!G$76</f>
        <v>0.92384553309940243</v>
      </c>
      <c r="H6" s="12">
        <f>'Supply 2024'!H7/'Supply 2024'!H$76</f>
        <v>0</v>
      </c>
      <c r="I6" s="12">
        <f>'Supply 2024'!I7/'Supply 2024'!I$76</f>
        <v>0</v>
      </c>
      <c r="J6" s="12">
        <f>'Supply 2024'!J7/'Supply 2024'!J$76</f>
        <v>0</v>
      </c>
      <c r="K6" s="12">
        <f>'Supply 2024'!K7/'Supply 2024'!K$76</f>
        <v>0</v>
      </c>
      <c r="L6" s="12">
        <f>'Supply 2024'!L7/'Supply 2024'!L$76</f>
        <v>0</v>
      </c>
      <c r="M6" s="12">
        <f>'Supply 2024'!M7/'Supply 2024'!M$76</f>
        <v>0</v>
      </c>
      <c r="N6" s="12">
        <f>'Supply 2024'!N7/'Supply 2024'!N$76</f>
        <v>1.6040513754740545E-5</v>
      </c>
      <c r="O6" s="12">
        <f>'Supply 2024'!O7/'Supply 2024'!O$76</f>
        <v>0</v>
      </c>
      <c r="P6" s="12">
        <f>'Supply 2024'!P7/'Supply 2024'!P$76</f>
        <v>0</v>
      </c>
      <c r="Q6" s="12">
        <f>'Supply 2024'!Q7/'Supply 2024'!Q$76</f>
        <v>0</v>
      </c>
      <c r="R6" s="12">
        <f>'Supply 2024'!R7/'Supply 2024'!R$76</f>
        <v>0</v>
      </c>
      <c r="S6" s="12">
        <f>'Supply 2024'!S7/'Supply 2024'!S$76</f>
        <v>0</v>
      </c>
      <c r="T6" s="12">
        <f>'Supply 2024'!T7/'Supply 2024'!T$76</f>
        <v>0</v>
      </c>
      <c r="U6" s="12">
        <f>'Supply 2024'!U7/'Supply 2024'!U$76</f>
        <v>0</v>
      </c>
      <c r="V6" s="12">
        <f>'Supply 2024'!V7/'Supply 2024'!V$76</f>
        <v>0</v>
      </c>
      <c r="W6" s="12">
        <f>'Supply 2024'!W7/'Supply 2024'!W$76</f>
        <v>0</v>
      </c>
      <c r="X6" s="12">
        <f>'Supply 2024'!X7/'Supply 2024'!X$76</f>
        <v>0</v>
      </c>
      <c r="Y6" s="12">
        <f>'Supply 2024'!Y7/'Supply 2024'!Y$76</f>
        <v>0</v>
      </c>
      <c r="Z6" s="12">
        <f>'Supply 2024'!Z7/'Supply 2024'!Z$76</f>
        <v>0</v>
      </c>
      <c r="AA6" s="12">
        <f>'Supply 2024'!AA7/'Supply 2024'!AA$76</f>
        <v>0</v>
      </c>
      <c r="AB6" s="12">
        <f>'Supply 2024'!AB7/'Supply 2024'!AB$76</f>
        <v>0</v>
      </c>
      <c r="AC6" s="12">
        <f>'Supply 2024'!AC7/'Supply 2024'!AC$76</f>
        <v>0</v>
      </c>
      <c r="AD6" s="12">
        <f>'Supply 2024'!AD7/'Supply 2024'!AD$76</f>
        <v>0</v>
      </c>
      <c r="AE6" s="12">
        <f>'Supply 2024'!AE7/'Supply 2024'!AE$76</f>
        <v>0</v>
      </c>
      <c r="AF6" s="12">
        <f>'Supply 2024'!AF7/'Supply 2024'!AF$76</f>
        <v>0</v>
      </c>
      <c r="AG6" s="12">
        <f>'Supply 2024'!AG7/'Supply 2024'!AG$76</f>
        <v>0</v>
      </c>
      <c r="AH6" s="12">
        <f>'Supply 2024'!AH7/'Supply 2024'!AH$76</f>
        <v>0</v>
      </c>
      <c r="AI6" s="12">
        <f>'Supply 2024'!AI7/'Supply 2024'!AI$76</f>
        <v>0</v>
      </c>
      <c r="AJ6" s="12">
        <f>'Supply 2024'!AJ7/'Supply 2024'!AJ$76</f>
        <v>0</v>
      </c>
      <c r="AK6" s="12">
        <f>'Supply 2024'!AK7/'Supply 2024'!AK$76</f>
        <v>0</v>
      </c>
      <c r="AL6" s="12">
        <f>'Supply 2024'!AL7/'Supply 2024'!AL$76</f>
        <v>0</v>
      </c>
      <c r="AM6" s="12">
        <f>'Supply 2024'!AM7/'Supply 2024'!AM$76</f>
        <v>0</v>
      </c>
      <c r="AN6" s="12">
        <f>'Supply 2024'!AN7/'Supply 2024'!AN$76</f>
        <v>0</v>
      </c>
      <c r="AO6" s="12">
        <f>'Supply 2024'!AO7/'Supply 2024'!AO$76</f>
        <v>0</v>
      </c>
      <c r="AP6" s="12">
        <f>'Supply 2024'!AP7/'Supply 2024'!AP$76</f>
        <v>0</v>
      </c>
      <c r="AQ6" s="12">
        <f>'Supply 2024'!AQ7/'Supply 2024'!AQ$76</f>
        <v>0</v>
      </c>
      <c r="AR6" s="12">
        <f>'Supply 2024'!AR7/'Supply 2024'!AR$76</f>
        <v>0</v>
      </c>
      <c r="AS6" s="12">
        <f>'Supply 2024'!AS7/'Supply 2024'!AS$76</f>
        <v>0</v>
      </c>
      <c r="AT6" s="12">
        <f>'Supply 2024'!AT7/'Supply 2024'!AT$76</f>
        <v>0</v>
      </c>
      <c r="AU6" s="12">
        <f>'Supply 2024'!AU7/'Supply 2024'!AU$76</f>
        <v>0</v>
      </c>
      <c r="AV6" s="12">
        <f>'Supply 2024'!AV7/'Supply 2024'!AV$76</f>
        <v>0</v>
      </c>
      <c r="AW6" s="12">
        <f>'Supply 2024'!AW7/'Supply 2024'!AW$76</f>
        <v>0</v>
      </c>
      <c r="AX6" s="12">
        <f>'Supply 2024'!AX7/'Supply 2024'!AX$76</f>
        <v>0</v>
      </c>
      <c r="AY6" s="12">
        <f>'Supply 2024'!AY7/'Supply 2024'!AY$76</f>
        <v>0</v>
      </c>
      <c r="AZ6" s="12">
        <f>'Supply 2024'!AZ7/'Supply 2024'!AZ$76</f>
        <v>0</v>
      </c>
      <c r="BA6" s="12">
        <f>'Supply 2024'!BA7/'Supply 2024'!BA$76</f>
        <v>0</v>
      </c>
      <c r="BB6" s="12">
        <f>'Supply 2024'!BB7/'Supply 2024'!BB$76</f>
        <v>0</v>
      </c>
      <c r="BC6" s="12">
        <f>'Supply 2024'!BC7/'Supply 2024'!BC$76</f>
        <v>0</v>
      </c>
      <c r="BD6" s="12">
        <f>'Supply 2024'!BD7/'Supply 2024'!BD$76</f>
        <v>0</v>
      </c>
      <c r="BE6" s="12">
        <f>'Supply 2024'!BE7/'Supply 2024'!BE$76</f>
        <v>0</v>
      </c>
      <c r="BF6" s="12">
        <f>'Supply 2024'!BF7/'Supply 2024'!BF$76</f>
        <v>0</v>
      </c>
      <c r="BG6" s="12">
        <f>'Supply 2024'!BG7/'Supply 2024'!BG$76</f>
        <v>0</v>
      </c>
      <c r="BH6" s="12">
        <f>'Supply 2024'!BH7/'Supply 2024'!BH$76</f>
        <v>0</v>
      </c>
      <c r="BI6" s="12">
        <f>'Supply 2024'!BI7/'Supply 2024'!BI$76</f>
        <v>0</v>
      </c>
      <c r="BJ6" s="12">
        <f>'Supply 2024'!BJ7/'Supply 2024'!BJ$76</f>
        <v>0</v>
      </c>
      <c r="BK6" s="12">
        <f>'Supply 2024'!BK7/'Supply 2024'!BK$76</f>
        <v>0</v>
      </c>
      <c r="BL6" s="12">
        <f>'Supply 2024'!BL7/'Supply 2024'!BL$76</f>
        <v>0</v>
      </c>
      <c r="BM6" s="12">
        <f>'Supply 2024'!BM7/'Supply 2024'!BM$76</f>
        <v>0</v>
      </c>
      <c r="BN6" s="12">
        <f>'Supply 2024'!BN7/'Supply 2024'!BN$76</f>
        <v>0</v>
      </c>
      <c r="BO6" s="12">
        <f>'Supply 2024'!BO7/'Supply 2024'!BO$76</f>
        <v>0</v>
      </c>
      <c r="BP6" s="12">
        <f>'Supply 2024'!BP7/'Supply 2024'!BP$76</f>
        <v>0</v>
      </c>
      <c r="BQ6" s="12">
        <f>'Supply 2024'!BQ7/'Supply 2024'!BQ$76</f>
        <v>0</v>
      </c>
      <c r="BR6" s="12">
        <f>'Supply 2024'!BR7/'Supply 2024'!BR$76</f>
        <v>0</v>
      </c>
      <c r="BS6" s="12">
        <f>'Supply 2024'!BS7/'Supply 2024'!BS$76</f>
        <v>0</v>
      </c>
      <c r="BT6" s="12">
        <f>'Supply 2024'!BT7/'Supply 2024'!BT$76</f>
        <v>0</v>
      </c>
      <c r="BU6" s="12">
        <f>'Supply 2024'!BU7/'Supply 2024'!BU$76</f>
        <v>0</v>
      </c>
      <c r="BV6" s="12">
        <f>'Supply 2024'!BV7/'Supply 2024'!BV$76</f>
        <v>2.599251944094696E-3</v>
      </c>
      <c r="BW6" s="12">
        <f>'Supply 2024'!BW7/'Supply 2024'!BW$76</f>
        <v>6.6939200349969456E-4</v>
      </c>
      <c r="BX6" s="12">
        <f>'Supply 2024'!BX7/'Supply 2024'!BX$76</f>
        <v>0</v>
      </c>
      <c r="BY6" s="12">
        <f>'Supply 2024'!BY7/'Supply 2024'!BY$76</f>
        <v>2.466626203139588E-3</v>
      </c>
      <c r="BZ6" s="12">
        <f>'Supply 2024'!BZ7/'Supply 2024'!BZ$76</f>
        <v>0</v>
      </c>
      <c r="CA6" s="12" t="e">
        <f>'Supply 2024'!CA7/'Supply 2024'!CA$76</f>
        <v>#DIV/0!</v>
      </c>
      <c r="CB6" s="12">
        <f>'Supply 2024'!CB7/'Supply 2024'!CB$76</f>
        <v>0</v>
      </c>
      <c r="CC6" s="12">
        <f>'Supply 2024'!CC7/'Supply 2024'!CC$76</f>
        <v>0</v>
      </c>
      <c r="CD6" s="12">
        <f>'Supply 2024'!CD7/'Supply 2024'!CD$76</f>
        <v>0</v>
      </c>
      <c r="CE6" s="12">
        <f>'Supply 2024'!CE7/'Supply 2024'!CE$76</f>
        <v>0</v>
      </c>
      <c r="CF6" s="12">
        <f>'Supply 2024'!CF7/'Supply 2024'!CF$76</f>
        <v>0</v>
      </c>
      <c r="CG6" s="12">
        <f>'Supply 2024'!CG7/'Supply 2024'!CG$76</f>
        <v>2.4208309251268862E-3</v>
      </c>
    </row>
    <row r="7" spans="1:85" x14ac:dyDescent="0.25">
      <c r="A7" t="s">
        <v>6</v>
      </c>
      <c r="B7" t="s">
        <v>99</v>
      </c>
      <c r="C7" s="12">
        <f>'Supply 2024'!C8/'Supply 2024'!C$76</f>
        <v>0</v>
      </c>
      <c r="D7" s="12">
        <f>'Supply 2024'!D8/'Supply 2024'!D$76</f>
        <v>0</v>
      </c>
      <c r="E7" s="12">
        <f>'Supply 2024'!E8/'Supply 2024'!E$76</f>
        <v>0</v>
      </c>
      <c r="F7" s="12">
        <f>'Supply 2024'!F8/'Supply 2024'!F$76</f>
        <v>0</v>
      </c>
      <c r="G7" s="12">
        <f>'Supply 2024'!G8/'Supply 2024'!G$76</f>
        <v>0</v>
      </c>
      <c r="H7" s="12">
        <f>'Supply 2024'!H8/'Supply 2024'!H$76</f>
        <v>0.96964261462070245</v>
      </c>
      <c r="I7" s="12">
        <f>'Supply 2024'!I8/'Supply 2024'!I$76</f>
        <v>0</v>
      </c>
      <c r="J7" s="12">
        <f>'Supply 2024'!J8/'Supply 2024'!J$76</f>
        <v>0</v>
      </c>
      <c r="K7" s="12">
        <f>'Supply 2024'!K8/'Supply 2024'!K$76</f>
        <v>0</v>
      </c>
      <c r="L7" s="12">
        <f>'Supply 2024'!L8/'Supply 2024'!L$76</f>
        <v>0</v>
      </c>
      <c r="M7" s="12">
        <f>'Supply 2024'!M8/'Supply 2024'!M$76</f>
        <v>0</v>
      </c>
      <c r="N7" s="12">
        <f>'Supply 2024'!N8/'Supply 2024'!N$76</f>
        <v>0</v>
      </c>
      <c r="O7" s="12">
        <f>'Supply 2024'!O8/'Supply 2024'!O$76</f>
        <v>0</v>
      </c>
      <c r="P7" s="12">
        <f>'Supply 2024'!P8/'Supply 2024'!P$76</f>
        <v>0</v>
      </c>
      <c r="Q7" s="12">
        <f>'Supply 2024'!Q8/'Supply 2024'!Q$76</f>
        <v>0</v>
      </c>
      <c r="R7" s="12">
        <f>'Supply 2024'!R8/'Supply 2024'!R$76</f>
        <v>0</v>
      </c>
      <c r="S7" s="12">
        <f>'Supply 2024'!S8/'Supply 2024'!S$76</f>
        <v>0</v>
      </c>
      <c r="T7" s="12">
        <f>'Supply 2024'!T8/'Supply 2024'!T$76</f>
        <v>0</v>
      </c>
      <c r="U7" s="12">
        <f>'Supply 2024'!U8/'Supply 2024'!U$76</f>
        <v>0</v>
      </c>
      <c r="V7" s="12">
        <f>'Supply 2024'!V8/'Supply 2024'!V$76</f>
        <v>0</v>
      </c>
      <c r="W7" s="12">
        <f>'Supply 2024'!W8/'Supply 2024'!W$76</f>
        <v>0</v>
      </c>
      <c r="X7" s="12">
        <f>'Supply 2024'!X8/'Supply 2024'!X$76</f>
        <v>0</v>
      </c>
      <c r="Y7" s="12">
        <f>'Supply 2024'!Y8/'Supply 2024'!Y$76</f>
        <v>0</v>
      </c>
      <c r="Z7" s="12">
        <f>'Supply 2024'!Z8/'Supply 2024'!Z$76</f>
        <v>0</v>
      </c>
      <c r="AA7" s="12">
        <f>'Supply 2024'!AA8/'Supply 2024'!AA$76</f>
        <v>0</v>
      </c>
      <c r="AB7" s="12">
        <f>'Supply 2024'!AB8/'Supply 2024'!AB$76</f>
        <v>0</v>
      </c>
      <c r="AC7" s="12">
        <f>'Supply 2024'!AC8/'Supply 2024'!AC$76</f>
        <v>0</v>
      </c>
      <c r="AD7" s="12">
        <f>'Supply 2024'!AD8/'Supply 2024'!AD$76</f>
        <v>0</v>
      </c>
      <c r="AE7" s="12">
        <f>'Supply 2024'!AE8/'Supply 2024'!AE$76</f>
        <v>0</v>
      </c>
      <c r="AF7" s="12">
        <f>'Supply 2024'!AF8/'Supply 2024'!AF$76</f>
        <v>0</v>
      </c>
      <c r="AG7" s="12">
        <f>'Supply 2024'!AG8/'Supply 2024'!AG$76</f>
        <v>0</v>
      </c>
      <c r="AH7" s="12">
        <f>'Supply 2024'!AH8/'Supply 2024'!AH$76</f>
        <v>0</v>
      </c>
      <c r="AI7" s="12">
        <f>'Supply 2024'!AI8/'Supply 2024'!AI$76</f>
        <v>0</v>
      </c>
      <c r="AJ7" s="12">
        <f>'Supply 2024'!AJ8/'Supply 2024'!AJ$76</f>
        <v>0</v>
      </c>
      <c r="AK7" s="12">
        <f>'Supply 2024'!AK8/'Supply 2024'!AK$76</f>
        <v>0</v>
      </c>
      <c r="AL7" s="12">
        <f>'Supply 2024'!AL8/'Supply 2024'!AL$76</f>
        <v>0</v>
      </c>
      <c r="AM7" s="12">
        <f>'Supply 2024'!AM8/'Supply 2024'!AM$76</f>
        <v>3.2411142868864788E-3</v>
      </c>
      <c r="AN7" s="12">
        <f>'Supply 2024'!AN8/'Supply 2024'!AN$76</f>
        <v>0</v>
      </c>
      <c r="AO7" s="12">
        <f>'Supply 2024'!AO8/'Supply 2024'!AO$76</f>
        <v>0</v>
      </c>
      <c r="AP7" s="12">
        <f>'Supply 2024'!AP8/'Supply 2024'!AP$76</f>
        <v>0</v>
      </c>
      <c r="AQ7" s="12">
        <f>'Supply 2024'!AQ8/'Supply 2024'!AQ$76</f>
        <v>0</v>
      </c>
      <c r="AR7" s="12">
        <f>'Supply 2024'!AR8/'Supply 2024'!AR$76</f>
        <v>0</v>
      </c>
      <c r="AS7" s="12">
        <f>'Supply 2024'!AS8/'Supply 2024'!AS$76</f>
        <v>0</v>
      </c>
      <c r="AT7" s="12">
        <f>'Supply 2024'!AT8/'Supply 2024'!AT$76</f>
        <v>0</v>
      </c>
      <c r="AU7" s="12">
        <f>'Supply 2024'!AU8/'Supply 2024'!AU$76</f>
        <v>0</v>
      </c>
      <c r="AV7" s="12">
        <f>'Supply 2024'!AV8/'Supply 2024'!AV$76</f>
        <v>0</v>
      </c>
      <c r="AW7" s="12">
        <f>'Supply 2024'!AW8/'Supply 2024'!AW$76</f>
        <v>0</v>
      </c>
      <c r="AX7" s="12">
        <f>'Supply 2024'!AX8/'Supply 2024'!AX$76</f>
        <v>0</v>
      </c>
      <c r="AY7" s="12">
        <f>'Supply 2024'!AY8/'Supply 2024'!AY$76</f>
        <v>0</v>
      </c>
      <c r="AZ7" s="12">
        <f>'Supply 2024'!AZ8/'Supply 2024'!AZ$76</f>
        <v>0</v>
      </c>
      <c r="BA7" s="12">
        <f>'Supply 2024'!BA8/'Supply 2024'!BA$76</f>
        <v>0</v>
      </c>
      <c r="BB7" s="12">
        <f>'Supply 2024'!BB8/'Supply 2024'!BB$76</f>
        <v>0</v>
      </c>
      <c r="BC7" s="12">
        <f>'Supply 2024'!BC8/'Supply 2024'!BC$76</f>
        <v>0</v>
      </c>
      <c r="BD7" s="12">
        <f>'Supply 2024'!BD8/'Supply 2024'!BD$76</f>
        <v>0</v>
      </c>
      <c r="BE7" s="12">
        <f>'Supply 2024'!BE8/'Supply 2024'!BE$76</f>
        <v>0</v>
      </c>
      <c r="BF7" s="12">
        <f>'Supply 2024'!BF8/'Supply 2024'!BF$76</f>
        <v>0</v>
      </c>
      <c r="BG7" s="12">
        <f>'Supply 2024'!BG8/'Supply 2024'!BG$76</f>
        <v>0</v>
      </c>
      <c r="BH7" s="12">
        <f>'Supply 2024'!BH8/'Supply 2024'!BH$76</f>
        <v>0</v>
      </c>
      <c r="BI7" s="12">
        <f>'Supply 2024'!BI8/'Supply 2024'!BI$76</f>
        <v>0</v>
      </c>
      <c r="BJ7" s="12">
        <f>'Supply 2024'!BJ8/'Supply 2024'!BJ$76</f>
        <v>0</v>
      </c>
      <c r="BK7" s="12">
        <f>'Supply 2024'!BK8/'Supply 2024'!BK$76</f>
        <v>0</v>
      </c>
      <c r="BL7" s="12">
        <f>'Supply 2024'!BL8/'Supply 2024'!BL$76</f>
        <v>0</v>
      </c>
      <c r="BM7" s="12">
        <f>'Supply 2024'!BM8/'Supply 2024'!BM$76</f>
        <v>0</v>
      </c>
      <c r="BN7" s="12">
        <f>'Supply 2024'!BN8/'Supply 2024'!BN$76</f>
        <v>0</v>
      </c>
      <c r="BO7" s="12">
        <f>'Supply 2024'!BO8/'Supply 2024'!BO$76</f>
        <v>0</v>
      </c>
      <c r="BP7" s="12">
        <f>'Supply 2024'!BP8/'Supply 2024'!BP$76</f>
        <v>0</v>
      </c>
      <c r="BQ7" s="12">
        <f>'Supply 2024'!BQ8/'Supply 2024'!BQ$76</f>
        <v>0</v>
      </c>
      <c r="BR7" s="12">
        <f>'Supply 2024'!BR8/'Supply 2024'!BR$76</f>
        <v>-1.4294608708910941E-5</v>
      </c>
      <c r="BS7" s="12">
        <f>'Supply 2024'!BS8/'Supply 2024'!BS$76</f>
        <v>0.15417864983067578</v>
      </c>
      <c r="BT7" s="12">
        <f>'Supply 2024'!BT8/'Supply 2024'!BT$76</f>
        <v>4.9892692798103534E-4</v>
      </c>
      <c r="BU7" s="12">
        <f>'Supply 2024'!BU8/'Supply 2024'!BU$76</f>
        <v>0.34643145187577651</v>
      </c>
      <c r="BV7" s="12">
        <f>'Supply 2024'!BV8/'Supply 2024'!BV$76</f>
        <v>1.5915684740226636E-2</v>
      </c>
      <c r="BW7" s="12">
        <f>'Supply 2024'!BW8/'Supply 2024'!BW$76</f>
        <v>6.7046949565824538E-4</v>
      </c>
      <c r="BX7" s="12">
        <f>'Supply 2024'!BX8/'Supply 2024'!BX$76</f>
        <v>0</v>
      </c>
      <c r="BY7" s="12">
        <f>'Supply 2024'!BY8/'Supply 2024'!BY$76</f>
        <v>1.4865178413746854E-2</v>
      </c>
      <c r="BZ7" s="12">
        <f>'Supply 2024'!BZ8/'Supply 2024'!BZ$76</f>
        <v>0</v>
      </c>
      <c r="CA7" s="12" t="e">
        <f>'Supply 2024'!CA8/'Supply 2024'!CA$76</f>
        <v>#DIV/0!</v>
      </c>
      <c r="CB7" s="12">
        <f>'Supply 2024'!CB8/'Supply 2024'!CB$76</f>
        <v>0</v>
      </c>
      <c r="CC7" s="12">
        <f>'Supply 2024'!CC8/'Supply 2024'!CC$76</f>
        <v>0</v>
      </c>
      <c r="CD7" s="12">
        <f>'Supply 2024'!CD8/'Supply 2024'!CD$76</f>
        <v>3.956519813600106E-2</v>
      </c>
      <c r="CE7" s="12">
        <f>'Supply 2024'!CE8/'Supply 2024'!CE$76</f>
        <v>0</v>
      </c>
      <c r="CF7" s="12">
        <f>'Supply 2024'!CF8/'Supply 2024'!CF$76</f>
        <v>3.9791116926615765E-2</v>
      </c>
      <c r="CG7" s="12">
        <f>'Supply 2024'!CG8/'Supply 2024'!CG$76</f>
        <v>1.5327935422653186E-2</v>
      </c>
    </row>
    <row r="8" spans="1:85" x14ac:dyDescent="0.25">
      <c r="A8" t="s">
        <v>7</v>
      </c>
      <c r="B8" t="s">
        <v>100</v>
      </c>
      <c r="C8" s="12">
        <f>'Supply 2024'!C9/'Supply 2024'!C$76</f>
        <v>0</v>
      </c>
      <c r="D8" s="12">
        <f>'Supply 2024'!D9/'Supply 2024'!D$76</f>
        <v>1.5681956822543929E-2</v>
      </c>
      <c r="E8" s="12">
        <f>'Supply 2024'!E9/'Supply 2024'!E$76</f>
        <v>6.3806902083751119E-4</v>
      </c>
      <c r="F8" s="12">
        <f>'Supply 2024'!F9/'Supply 2024'!F$76</f>
        <v>0.12866837114374341</v>
      </c>
      <c r="G8" s="12">
        <f>'Supply 2024'!G9/'Supply 2024'!G$76</f>
        <v>6.2354359908966442E-2</v>
      </c>
      <c r="H8" s="12">
        <f>'Supply 2024'!H9/'Supply 2024'!H$76</f>
        <v>6.2457144560713112E-3</v>
      </c>
      <c r="I8" s="12">
        <f>'Supply 2024'!I9/'Supply 2024'!I$76</f>
        <v>0.99977197501133153</v>
      </c>
      <c r="J8" s="12">
        <f>'Supply 2024'!J9/'Supply 2024'!J$76</f>
        <v>1.1871090875643855E-2</v>
      </c>
      <c r="K8" s="12">
        <f>'Supply 2024'!K9/'Supply 2024'!K$76</f>
        <v>1.6048980804048228E-2</v>
      </c>
      <c r="L8" s="12">
        <f>'Supply 2024'!L9/'Supply 2024'!L$76</f>
        <v>2.3717090880182316E-3</v>
      </c>
      <c r="M8" s="12">
        <f>'Supply 2024'!M9/'Supply 2024'!M$76</f>
        <v>1.202269403377078E-2</v>
      </c>
      <c r="N8" s="12">
        <f>'Supply 2024'!N9/'Supply 2024'!N$76</f>
        <v>3.5380790339027716E-3</v>
      </c>
      <c r="O8" s="12">
        <f>'Supply 2024'!O9/'Supply 2024'!O$76</f>
        <v>4.0295761177218815E-4</v>
      </c>
      <c r="P8" s="12">
        <f>'Supply 2024'!P9/'Supply 2024'!P$76</f>
        <v>1.2531133653343276E-3</v>
      </c>
      <c r="Q8" s="12">
        <f>'Supply 2024'!Q9/'Supply 2024'!Q$76</f>
        <v>2.0880673891630732E-3</v>
      </c>
      <c r="R8" s="12">
        <f>'Supply 2024'!R9/'Supply 2024'!R$76</f>
        <v>6.7036112489090383E-3</v>
      </c>
      <c r="S8" s="12">
        <f>'Supply 2024'!S9/'Supply 2024'!S$76</f>
        <v>1.4180622575456523E-2</v>
      </c>
      <c r="T8" s="12">
        <f>'Supply 2024'!T9/'Supply 2024'!T$76</f>
        <v>5.4080214294959456E-3</v>
      </c>
      <c r="U8" s="12">
        <f>'Supply 2024'!U9/'Supply 2024'!U$76</f>
        <v>4.1503056611299653E-4</v>
      </c>
      <c r="V8" s="12">
        <f>'Supply 2024'!V9/'Supply 2024'!V$76</f>
        <v>2.7334657355799004E-3</v>
      </c>
      <c r="W8" s="12">
        <f>'Supply 2024'!W9/'Supply 2024'!W$76</f>
        <v>2.2870734607995609E-4</v>
      </c>
      <c r="X8" s="12">
        <f>'Supply 2024'!X9/'Supply 2024'!X$76</f>
        <v>1.2803746010261287E-3</v>
      </c>
      <c r="Y8" s="12">
        <f>'Supply 2024'!Y9/'Supply 2024'!Y$76</f>
        <v>5.8094041211201482E-4</v>
      </c>
      <c r="Z8" s="12">
        <f>'Supply 2024'!Z9/'Supply 2024'!Z$76</f>
        <v>1.2537408145002673E-3</v>
      </c>
      <c r="AA8" s="12">
        <f>'Supply 2024'!AA9/'Supply 2024'!AA$76</f>
        <v>4.673854779395064E-4</v>
      </c>
      <c r="AB8" s="12">
        <f>'Supply 2024'!AB9/'Supply 2024'!AB$76</f>
        <v>1.2612503531500988E-3</v>
      </c>
      <c r="AC8" s="12">
        <f>'Supply 2024'!AC9/'Supply 2024'!AC$76</f>
        <v>3.4139453411264234E-3</v>
      </c>
      <c r="AD8" s="12">
        <f>'Supply 2024'!AD9/'Supply 2024'!AD$76</f>
        <v>2.2656961248357372E-5</v>
      </c>
      <c r="AE8" s="12">
        <f>'Supply 2024'!AE9/'Supply 2024'!AE$76</f>
        <v>0</v>
      </c>
      <c r="AF8" s="12">
        <f>'Supply 2024'!AF9/'Supply 2024'!AF$76</f>
        <v>7.7925039414657926E-3</v>
      </c>
      <c r="AG8" s="12">
        <f>'Supply 2024'!AG9/'Supply 2024'!AG$76</f>
        <v>3.8620868067492913E-3</v>
      </c>
      <c r="AH8" s="12">
        <f>'Supply 2024'!AH9/'Supply 2024'!AH$76</f>
        <v>1.2688321401859172E-4</v>
      </c>
      <c r="AI8" s="12">
        <f>'Supply 2024'!AI9/'Supply 2024'!AI$76</f>
        <v>2.6042209212691933E-4</v>
      </c>
      <c r="AJ8" s="12">
        <f>'Supply 2024'!AJ9/'Supply 2024'!AJ$76</f>
        <v>0</v>
      </c>
      <c r="AK8" s="12">
        <f>'Supply 2024'!AK9/'Supply 2024'!AK$76</f>
        <v>4.3703885275400985E-5</v>
      </c>
      <c r="AL8" s="12">
        <f>'Supply 2024'!AL9/'Supply 2024'!AL$76</f>
        <v>0</v>
      </c>
      <c r="AM8" s="12">
        <f>'Supply 2024'!AM9/'Supply 2024'!AM$76</f>
        <v>1.4496122970884674E-3</v>
      </c>
      <c r="AN8" s="12">
        <f>'Supply 2024'!AN9/'Supply 2024'!AN$76</f>
        <v>2.962570043620317E-4</v>
      </c>
      <c r="AO8" s="12">
        <f>'Supply 2024'!AO9/'Supply 2024'!AO$76</f>
        <v>6.3724032456773864E-4</v>
      </c>
      <c r="AP8" s="12">
        <f>'Supply 2024'!AP9/'Supply 2024'!AP$76</f>
        <v>3.8447046882328972E-5</v>
      </c>
      <c r="AQ8" s="12">
        <f>'Supply 2024'!AQ9/'Supply 2024'!AQ$76</f>
        <v>4.3359430188881471E-4</v>
      </c>
      <c r="AR8" s="12">
        <f>'Supply 2024'!AR9/'Supply 2024'!AR$76</f>
        <v>1.6250842811140324E-3</v>
      </c>
      <c r="AS8" s="12">
        <f>'Supply 2024'!AS9/'Supply 2024'!AS$76</f>
        <v>1.1248568568929605E-3</v>
      </c>
      <c r="AT8" s="12">
        <f>'Supply 2024'!AT9/'Supply 2024'!AT$76</f>
        <v>2.8158722269818283E-6</v>
      </c>
      <c r="AU8" s="12">
        <f>'Supply 2024'!AU9/'Supply 2024'!AU$76</f>
        <v>2.1484330940336937E-6</v>
      </c>
      <c r="AV8" s="12">
        <f>'Supply 2024'!AV9/'Supply 2024'!AV$76</f>
        <v>3.3406627474011312E-6</v>
      </c>
      <c r="AW8" s="12">
        <f>'Supply 2024'!AW9/'Supply 2024'!AW$76</f>
        <v>0</v>
      </c>
      <c r="AX8" s="12">
        <f>'Supply 2024'!AX9/'Supply 2024'!AX$76</f>
        <v>9.2412896209642971E-3</v>
      </c>
      <c r="AY8" s="12">
        <f>'Supply 2024'!AY9/'Supply 2024'!AY$76</f>
        <v>1.7152834689189171E-4</v>
      </c>
      <c r="AZ8" s="12">
        <f>'Supply 2024'!AZ9/'Supply 2024'!AZ$76</f>
        <v>1.3692539412205436E-4</v>
      </c>
      <c r="BA8" s="12">
        <f>'Supply 2024'!BA9/'Supply 2024'!BA$76</f>
        <v>4.3342673679511266E-6</v>
      </c>
      <c r="BB8" s="12">
        <f>'Supply 2024'!BB9/'Supply 2024'!BB$76</f>
        <v>1.3790516537587432E-5</v>
      </c>
      <c r="BC8" s="12">
        <f>'Supply 2024'!BC9/'Supply 2024'!BC$76</f>
        <v>3.2090752293869961E-4</v>
      </c>
      <c r="BD8" s="12">
        <f>'Supply 2024'!BD9/'Supply 2024'!BD$76</f>
        <v>1.1216918852602676E-4</v>
      </c>
      <c r="BE8" s="12">
        <f>'Supply 2024'!BE9/'Supply 2024'!BE$76</f>
        <v>1.1914068089426302E-3</v>
      </c>
      <c r="BF8" s="12">
        <f>'Supply 2024'!BF9/'Supply 2024'!BF$76</f>
        <v>2.2897573429655791E-5</v>
      </c>
      <c r="BG8" s="12">
        <f>'Supply 2024'!BG9/'Supply 2024'!BG$76</f>
        <v>1.7962291324901036E-3</v>
      </c>
      <c r="BH8" s="12">
        <f>'Supply 2024'!BH9/'Supply 2024'!BH$76</f>
        <v>6.5114153057069441E-4</v>
      </c>
      <c r="BI8" s="12">
        <f>'Supply 2024'!BI9/'Supply 2024'!BI$76</f>
        <v>1.2873558093821726E-3</v>
      </c>
      <c r="BJ8" s="12">
        <f>'Supply 2024'!BJ9/'Supply 2024'!BJ$76</f>
        <v>1.2266605917761168E-4</v>
      </c>
      <c r="BK8" s="12">
        <f>'Supply 2024'!BK9/'Supply 2024'!BK$76</f>
        <v>4.313402763983087E-4</v>
      </c>
      <c r="BL8" s="12">
        <f>'Supply 2024'!BL9/'Supply 2024'!BL$76</f>
        <v>2.3915184223651732E-3</v>
      </c>
      <c r="BM8" s="12">
        <f>'Supply 2024'!BM9/'Supply 2024'!BM$76</f>
        <v>3.0404871799371721E-3</v>
      </c>
      <c r="BN8" s="12">
        <f>'Supply 2024'!BN9/'Supply 2024'!BN$76</f>
        <v>3.8539324867412571E-3</v>
      </c>
      <c r="BO8" s="12">
        <f>'Supply 2024'!BO9/'Supply 2024'!BO$76</f>
        <v>1.0171905993136895E-3</v>
      </c>
      <c r="BP8" s="12">
        <f>'Supply 2024'!BP9/'Supply 2024'!BP$76</f>
        <v>6.2650167237779256E-4</v>
      </c>
      <c r="BQ8" s="12">
        <f>'Supply 2024'!BQ9/'Supply 2024'!BQ$76</f>
        <v>3.363734013854099E-6</v>
      </c>
      <c r="BR8" s="12">
        <f>'Supply 2024'!BR9/'Supply 2024'!BR$76</f>
        <v>5.7972579763916599E-4</v>
      </c>
      <c r="BS8" s="12">
        <f>'Supply 2024'!BS9/'Supply 2024'!BS$76</f>
        <v>0</v>
      </c>
      <c r="BT8" s="12">
        <f>'Supply 2024'!BT9/'Supply 2024'!BT$76</f>
        <v>9.4802182297284016E-3</v>
      </c>
      <c r="BU8" s="12">
        <f>'Supply 2024'!BU9/'Supply 2024'!BU$76</f>
        <v>0</v>
      </c>
      <c r="BV8" s="12">
        <f>'Supply 2024'!BV9/'Supply 2024'!BV$76</f>
        <v>5.3321818283831292E-2</v>
      </c>
      <c r="BW8" s="12">
        <f>'Supply 2024'!BW9/'Supply 2024'!BW$76</f>
        <v>0</v>
      </c>
      <c r="BX8" s="12">
        <f>'Supply 2024'!BX9/'Supply 2024'!BX$76</f>
        <v>0</v>
      </c>
      <c r="BY8" s="12">
        <f>'Supply 2024'!BY9/'Supply 2024'!BY$76</f>
        <v>4.9646205023958313E-2</v>
      </c>
      <c r="BZ8" s="12">
        <f>'Supply 2024'!BZ9/'Supply 2024'!BZ$76</f>
        <v>0</v>
      </c>
      <c r="CA8" s="12" t="e">
        <f>'Supply 2024'!CA9/'Supply 2024'!CA$76</f>
        <v>#DIV/0!</v>
      </c>
      <c r="CB8" s="12">
        <f>'Supply 2024'!CB9/'Supply 2024'!CB$76</f>
        <v>0</v>
      </c>
      <c r="CC8" s="12">
        <f>'Supply 2024'!CC9/'Supply 2024'!CC$76</f>
        <v>0</v>
      </c>
      <c r="CD8" s="12">
        <f>'Supply 2024'!CD9/'Supply 2024'!CD$76</f>
        <v>3.0351492724597601E-3</v>
      </c>
      <c r="CE8" s="12">
        <f>'Supply 2024'!CE9/'Supply 2024'!CE$76</f>
        <v>0</v>
      </c>
      <c r="CF8" s="12">
        <f>'Supply 2024'!CF9/'Supply 2024'!CF$76</f>
        <v>3.0524800905846233E-3</v>
      </c>
      <c r="CG8" s="12">
        <f>'Supply 2024'!CG9/'Supply 2024'!CG$76</f>
        <v>4.878114800496864E-2</v>
      </c>
    </row>
    <row r="9" spans="1:85" x14ac:dyDescent="0.25">
      <c r="A9" t="s">
        <v>8</v>
      </c>
      <c r="B9" t="s">
        <v>101</v>
      </c>
      <c r="C9" s="12">
        <f>'Supply 2024'!C10/'Supply 2024'!C$76</f>
        <v>2.0951878772429424E-5</v>
      </c>
      <c r="D9" s="12">
        <f>'Supply 2024'!D10/'Supply 2024'!D$76</f>
        <v>0</v>
      </c>
      <c r="E9" s="12">
        <f>'Supply 2024'!E10/'Supply 2024'!E$76</f>
        <v>0</v>
      </c>
      <c r="F9" s="12">
        <f>'Supply 2024'!F10/'Supply 2024'!F$76</f>
        <v>0</v>
      </c>
      <c r="G9" s="12">
        <f>'Supply 2024'!G10/'Supply 2024'!G$76</f>
        <v>0</v>
      </c>
      <c r="H9" s="12">
        <f>'Supply 2024'!H10/'Supply 2024'!H$76</f>
        <v>0</v>
      </c>
      <c r="I9" s="12">
        <f>'Supply 2024'!I10/'Supply 2024'!I$76</f>
        <v>0</v>
      </c>
      <c r="J9" s="12">
        <f>'Supply 2024'!J10/'Supply 2024'!J$76</f>
        <v>0.96511106512141276</v>
      </c>
      <c r="K9" s="12">
        <f>'Supply 2024'!K10/'Supply 2024'!K$76</f>
        <v>1.3136176458829511E-4</v>
      </c>
      <c r="L9" s="12">
        <f>'Supply 2024'!L10/'Supply 2024'!L$76</f>
        <v>0</v>
      </c>
      <c r="M9" s="12">
        <f>'Supply 2024'!M10/'Supply 2024'!M$76</f>
        <v>5.8413379279379418E-4</v>
      </c>
      <c r="N9" s="12">
        <f>'Supply 2024'!N10/'Supply 2024'!N$76</f>
        <v>0</v>
      </c>
      <c r="O9" s="12">
        <f>'Supply 2024'!O10/'Supply 2024'!O$76</f>
        <v>0</v>
      </c>
      <c r="P9" s="12">
        <f>'Supply 2024'!P10/'Supply 2024'!P$76</f>
        <v>0</v>
      </c>
      <c r="Q9" s="12">
        <f>'Supply 2024'!Q10/'Supply 2024'!Q$76</f>
        <v>0</v>
      </c>
      <c r="R9" s="12">
        <f>'Supply 2024'!R10/'Supply 2024'!R$76</f>
        <v>0</v>
      </c>
      <c r="S9" s="12">
        <f>'Supply 2024'!S10/'Supply 2024'!S$76</f>
        <v>6.906992146844545E-3</v>
      </c>
      <c r="T9" s="12">
        <f>'Supply 2024'!T10/'Supply 2024'!T$76</f>
        <v>5.6837686199697238E-4</v>
      </c>
      <c r="U9" s="12">
        <f>'Supply 2024'!U10/'Supply 2024'!U$76</f>
        <v>0</v>
      </c>
      <c r="V9" s="12">
        <f>'Supply 2024'!V10/'Supply 2024'!V$76</f>
        <v>0</v>
      </c>
      <c r="W9" s="12">
        <f>'Supply 2024'!W10/'Supply 2024'!W$76</f>
        <v>0</v>
      </c>
      <c r="X9" s="12">
        <f>'Supply 2024'!X10/'Supply 2024'!X$76</f>
        <v>1.0014358486597221E-3</v>
      </c>
      <c r="Y9" s="12">
        <f>'Supply 2024'!Y10/'Supply 2024'!Y$76</f>
        <v>2.2526260877812819E-4</v>
      </c>
      <c r="Z9" s="12">
        <f>'Supply 2024'!Z10/'Supply 2024'!Z$76</f>
        <v>0</v>
      </c>
      <c r="AA9" s="12">
        <f>'Supply 2024'!AA10/'Supply 2024'!AA$76</f>
        <v>3.0284156237980974E-6</v>
      </c>
      <c r="AB9" s="12">
        <f>'Supply 2024'!AB10/'Supply 2024'!AB$76</f>
        <v>7.1975353486432314E-4</v>
      </c>
      <c r="AC9" s="12">
        <f>'Supply 2024'!AC10/'Supply 2024'!AC$76</f>
        <v>0</v>
      </c>
      <c r="AD9" s="12">
        <f>'Supply 2024'!AD10/'Supply 2024'!AD$76</f>
        <v>0</v>
      </c>
      <c r="AE9" s="12">
        <f>'Supply 2024'!AE10/'Supply 2024'!AE$76</f>
        <v>0</v>
      </c>
      <c r="AF9" s="12">
        <f>'Supply 2024'!AF10/'Supply 2024'!AF$76</f>
        <v>0</v>
      </c>
      <c r="AG9" s="12">
        <f>'Supply 2024'!AG10/'Supply 2024'!AG$76</f>
        <v>0</v>
      </c>
      <c r="AH9" s="12">
        <f>'Supply 2024'!AH10/'Supply 2024'!AH$76</f>
        <v>0</v>
      </c>
      <c r="AI9" s="12">
        <f>'Supply 2024'!AI10/'Supply 2024'!AI$76</f>
        <v>0</v>
      </c>
      <c r="AJ9" s="12">
        <f>'Supply 2024'!AJ10/'Supply 2024'!AJ$76</f>
        <v>0</v>
      </c>
      <c r="AK9" s="12">
        <f>'Supply 2024'!AK10/'Supply 2024'!AK$76</f>
        <v>0</v>
      </c>
      <c r="AL9" s="12">
        <f>'Supply 2024'!AL10/'Supply 2024'!AL$76</f>
        <v>0</v>
      </c>
      <c r="AM9" s="12">
        <f>'Supply 2024'!AM10/'Supply 2024'!AM$76</f>
        <v>0</v>
      </c>
      <c r="AN9" s="12">
        <f>'Supply 2024'!AN10/'Supply 2024'!AN$76</f>
        <v>0</v>
      </c>
      <c r="AO9" s="12">
        <f>'Supply 2024'!AO10/'Supply 2024'!AO$76</f>
        <v>0</v>
      </c>
      <c r="AP9" s="12">
        <f>'Supply 2024'!AP10/'Supply 2024'!AP$76</f>
        <v>0</v>
      </c>
      <c r="AQ9" s="12">
        <f>'Supply 2024'!AQ10/'Supply 2024'!AQ$76</f>
        <v>0</v>
      </c>
      <c r="AR9" s="12">
        <f>'Supply 2024'!AR10/'Supply 2024'!AR$76</f>
        <v>0</v>
      </c>
      <c r="AS9" s="12">
        <f>'Supply 2024'!AS10/'Supply 2024'!AS$76</f>
        <v>0</v>
      </c>
      <c r="AT9" s="12">
        <f>'Supply 2024'!AT10/'Supply 2024'!AT$76</f>
        <v>0</v>
      </c>
      <c r="AU9" s="12">
        <f>'Supply 2024'!AU10/'Supply 2024'!AU$76</f>
        <v>0</v>
      </c>
      <c r="AV9" s="12">
        <f>'Supply 2024'!AV10/'Supply 2024'!AV$76</f>
        <v>0</v>
      </c>
      <c r="AW9" s="12">
        <f>'Supply 2024'!AW10/'Supply 2024'!AW$76</f>
        <v>0</v>
      </c>
      <c r="AX9" s="12">
        <f>'Supply 2024'!AX10/'Supply 2024'!AX$76</f>
        <v>0</v>
      </c>
      <c r="AY9" s="12">
        <f>'Supply 2024'!AY10/'Supply 2024'!AY$76</f>
        <v>0</v>
      </c>
      <c r="AZ9" s="12">
        <f>'Supply 2024'!AZ10/'Supply 2024'!AZ$76</f>
        <v>0</v>
      </c>
      <c r="BA9" s="12">
        <f>'Supply 2024'!BA10/'Supply 2024'!BA$76</f>
        <v>0</v>
      </c>
      <c r="BB9" s="12">
        <f>'Supply 2024'!BB10/'Supply 2024'!BB$76</f>
        <v>0</v>
      </c>
      <c r="BC9" s="12">
        <f>'Supply 2024'!BC10/'Supply 2024'!BC$76</f>
        <v>0</v>
      </c>
      <c r="BD9" s="12">
        <f>'Supply 2024'!BD10/'Supply 2024'!BD$76</f>
        <v>0</v>
      </c>
      <c r="BE9" s="12">
        <f>'Supply 2024'!BE10/'Supply 2024'!BE$76</f>
        <v>0</v>
      </c>
      <c r="BF9" s="12">
        <f>'Supply 2024'!BF10/'Supply 2024'!BF$76</f>
        <v>0</v>
      </c>
      <c r="BG9" s="12">
        <f>'Supply 2024'!BG10/'Supply 2024'!BG$76</f>
        <v>0</v>
      </c>
      <c r="BH9" s="12">
        <f>'Supply 2024'!BH10/'Supply 2024'!BH$76</f>
        <v>0</v>
      </c>
      <c r="BI9" s="12">
        <f>'Supply 2024'!BI10/'Supply 2024'!BI$76</f>
        <v>0</v>
      </c>
      <c r="BJ9" s="12">
        <f>'Supply 2024'!BJ10/'Supply 2024'!BJ$76</f>
        <v>0</v>
      </c>
      <c r="BK9" s="12">
        <f>'Supply 2024'!BK10/'Supply 2024'!BK$76</f>
        <v>0</v>
      </c>
      <c r="BL9" s="12">
        <f>'Supply 2024'!BL10/'Supply 2024'!BL$76</f>
        <v>0</v>
      </c>
      <c r="BM9" s="12">
        <f>'Supply 2024'!BM10/'Supply 2024'!BM$76</f>
        <v>0</v>
      </c>
      <c r="BN9" s="12">
        <f>'Supply 2024'!BN10/'Supply 2024'!BN$76</f>
        <v>0</v>
      </c>
      <c r="BO9" s="12">
        <f>'Supply 2024'!BO10/'Supply 2024'!BO$76</f>
        <v>0</v>
      </c>
      <c r="BP9" s="12">
        <f>'Supply 2024'!BP10/'Supply 2024'!BP$76</f>
        <v>0</v>
      </c>
      <c r="BQ9" s="12">
        <f>'Supply 2024'!BQ10/'Supply 2024'!BQ$76</f>
        <v>0</v>
      </c>
      <c r="BR9" s="12">
        <f>'Supply 2024'!BR10/'Supply 2024'!BR$76</f>
        <v>0</v>
      </c>
      <c r="BS9" s="12">
        <f>'Supply 2024'!BS10/'Supply 2024'!BS$76</f>
        <v>0</v>
      </c>
      <c r="BT9" s="12">
        <f>'Supply 2024'!BT10/'Supply 2024'!BT$76</f>
        <v>8.7653423821592224E-5</v>
      </c>
      <c r="BU9" s="12">
        <f>'Supply 2024'!BU10/'Supply 2024'!BU$76</f>
        <v>0</v>
      </c>
      <c r="BV9" s="12">
        <f>'Supply 2024'!BV10/'Supply 2024'!BV$76</f>
        <v>3.4109965706227881E-3</v>
      </c>
      <c r="BW9" s="12">
        <f>'Supply 2024'!BW10/'Supply 2024'!BW$76</f>
        <v>6.5920970260138932E-3</v>
      </c>
      <c r="BX9" s="12">
        <f>'Supply 2024'!BX10/'Supply 2024'!BX$76</f>
        <v>0</v>
      </c>
      <c r="BY9" s="12">
        <f>'Supply 2024'!BY10/'Supply 2024'!BY$76</f>
        <v>3.6340780989012685E-3</v>
      </c>
      <c r="BZ9" s="12">
        <f>'Supply 2024'!BZ10/'Supply 2024'!BZ$76</f>
        <v>-52913</v>
      </c>
      <c r="CA9" s="12" t="e">
        <f>'Supply 2024'!CA10/'Supply 2024'!CA$76</f>
        <v>#DIV/0!</v>
      </c>
      <c r="CB9" s="12">
        <f>'Supply 2024'!CB10/'Supply 2024'!CB$76</f>
        <v>-65114</v>
      </c>
      <c r="CC9" s="12">
        <f>'Supply 2024'!CC10/'Supply 2024'!CC$76</f>
        <v>6.8790601409310058E-3</v>
      </c>
      <c r="CD9" s="12">
        <f>'Supply 2024'!CD10/'Supply 2024'!CD$76</f>
        <v>6.4747882825916866E-3</v>
      </c>
      <c r="CE9" s="12">
        <f>'Supply 2024'!CE10/'Supply 2024'!CE$76</f>
        <v>0</v>
      </c>
      <c r="CF9" s="12">
        <f>'Supply 2024'!CF10/'Supply 2024'!CF$76</f>
        <v>7.0808828041642007E-3</v>
      </c>
      <c r="CG9" s="12">
        <f>'Supply 2024'!CG10/'Supply 2024'!CG$76</f>
        <v>4.8946221782270498E-3</v>
      </c>
    </row>
    <row r="10" spans="1:85" x14ac:dyDescent="0.25">
      <c r="A10" t="s">
        <v>9</v>
      </c>
      <c r="B10" t="s">
        <v>102</v>
      </c>
      <c r="C10" s="12">
        <f>'Supply 2024'!C11/'Supply 2024'!C$76</f>
        <v>0</v>
      </c>
      <c r="D10" s="12">
        <f>'Supply 2024'!D11/'Supply 2024'!D$76</f>
        <v>0</v>
      </c>
      <c r="E10" s="12">
        <f>'Supply 2024'!E11/'Supply 2024'!E$76</f>
        <v>0</v>
      </c>
      <c r="F10" s="12">
        <f>'Supply 2024'!F11/'Supply 2024'!F$76</f>
        <v>1.9525349798483653E-3</v>
      </c>
      <c r="G10" s="12">
        <f>'Supply 2024'!G11/'Supply 2024'!G$76</f>
        <v>0</v>
      </c>
      <c r="H10" s="12">
        <f>'Supply 2024'!H11/'Supply 2024'!H$76</f>
        <v>0</v>
      </c>
      <c r="I10" s="12">
        <f>'Supply 2024'!I11/'Supply 2024'!I$76</f>
        <v>0</v>
      </c>
      <c r="J10" s="12">
        <f>'Supply 2024'!J11/'Supply 2024'!J$76</f>
        <v>2.7593818984547461E-4</v>
      </c>
      <c r="K10" s="12">
        <f>'Supply 2024'!K11/'Supply 2024'!K$76</f>
        <v>0.95986612522774128</v>
      </c>
      <c r="L10" s="12">
        <f>'Supply 2024'!L11/'Supply 2024'!L$76</f>
        <v>4.4386734328832829E-4</v>
      </c>
      <c r="M10" s="12">
        <f>'Supply 2024'!M11/'Supply 2024'!M$76</f>
        <v>5.4490092611361404E-4</v>
      </c>
      <c r="N10" s="12">
        <f>'Supply 2024'!N11/'Supply 2024'!N$76</f>
        <v>4.7204940478236458E-4</v>
      </c>
      <c r="O10" s="12">
        <f>'Supply 2024'!O11/'Supply 2024'!O$76</f>
        <v>2.9129465911242517E-5</v>
      </c>
      <c r="P10" s="12">
        <f>'Supply 2024'!P11/'Supply 2024'!P$76</f>
        <v>4.5567758739430093E-4</v>
      </c>
      <c r="Q10" s="12">
        <f>'Supply 2024'!Q11/'Supply 2024'!Q$76</f>
        <v>0</v>
      </c>
      <c r="R10" s="12">
        <f>'Supply 2024'!R11/'Supply 2024'!R$76</f>
        <v>0</v>
      </c>
      <c r="S10" s="12">
        <f>'Supply 2024'!S11/'Supply 2024'!S$76</f>
        <v>5.0856277793547163E-4</v>
      </c>
      <c r="T10" s="12">
        <f>'Supply 2024'!T11/'Supply 2024'!T$76</f>
        <v>1.6882481049415021E-4</v>
      </c>
      <c r="U10" s="12">
        <f>'Supply 2024'!U11/'Supply 2024'!U$76</f>
        <v>0</v>
      </c>
      <c r="V10" s="12">
        <f>'Supply 2024'!V11/'Supply 2024'!V$76</f>
        <v>2.1355201059217972E-5</v>
      </c>
      <c r="W10" s="12">
        <f>'Supply 2024'!W11/'Supply 2024'!W$76</f>
        <v>7.776049766718507E-4</v>
      </c>
      <c r="X10" s="12">
        <f>'Supply 2024'!X11/'Supply 2024'!X$76</f>
        <v>1.5090129226379376E-4</v>
      </c>
      <c r="Y10" s="12">
        <f>'Supply 2024'!Y11/'Supply 2024'!Y$76</f>
        <v>0</v>
      </c>
      <c r="Z10" s="12">
        <f>'Supply 2024'!Z11/'Supply 2024'!Z$76</f>
        <v>3.4654997943803456E-4</v>
      </c>
      <c r="AA10" s="12">
        <f>'Supply 2024'!AA11/'Supply 2024'!AA$76</f>
        <v>1.2618398432492073E-4</v>
      </c>
      <c r="AB10" s="12">
        <f>'Supply 2024'!AB11/'Supply 2024'!AB$76</f>
        <v>3.4306009605682689E-4</v>
      </c>
      <c r="AC10" s="12">
        <f>'Supply 2024'!AC11/'Supply 2024'!AC$76</f>
        <v>0</v>
      </c>
      <c r="AD10" s="12">
        <f>'Supply 2024'!AD11/'Supply 2024'!AD$76</f>
        <v>0</v>
      </c>
      <c r="AE10" s="12">
        <f>'Supply 2024'!AE11/'Supply 2024'!AE$76</f>
        <v>0</v>
      </c>
      <c r="AF10" s="12">
        <f>'Supply 2024'!AF11/'Supply 2024'!AF$76</f>
        <v>0</v>
      </c>
      <c r="AG10" s="12">
        <f>'Supply 2024'!AG11/'Supply 2024'!AG$76</f>
        <v>0</v>
      </c>
      <c r="AH10" s="12">
        <f>'Supply 2024'!AH11/'Supply 2024'!AH$76</f>
        <v>0</v>
      </c>
      <c r="AI10" s="12">
        <f>'Supply 2024'!AI11/'Supply 2024'!AI$76</f>
        <v>0</v>
      </c>
      <c r="AJ10" s="12">
        <f>'Supply 2024'!AJ11/'Supply 2024'!AJ$76</f>
        <v>0</v>
      </c>
      <c r="AK10" s="12">
        <f>'Supply 2024'!AK11/'Supply 2024'!AK$76</f>
        <v>0</v>
      </c>
      <c r="AL10" s="12">
        <f>'Supply 2024'!AL11/'Supply 2024'!AL$76</f>
        <v>0</v>
      </c>
      <c r="AM10" s="12">
        <f>'Supply 2024'!AM11/'Supply 2024'!AM$76</f>
        <v>0</v>
      </c>
      <c r="AN10" s="12">
        <f>'Supply 2024'!AN11/'Supply 2024'!AN$76</f>
        <v>0</v>
      </c>
      <c r="AO10" s="12">
        <f>'Supply 2024'!AO11/'Supply 2024'!AO$76</f>
        <v>0</v>
      </c>
      <c r="AP10" s="12">
        <f>'Supply 2024'!AP11/'Supply 2024'!AP$76</f>
        <v>0</v>
      </c>
      <c r="AQ10" s="12">
        <f>'Supply 2024'!AQ11/'Supply 2024'!AQ$76</f>
        <v>0</v>
      </c>
      <c r="AR10" s="12">
        <f>'Supply 2024'!AR11/'Supply 2024'!AR$76</f>
        <v>0</v>
      </c>
      <c r="AS10" s="12">
        <f>'Supply 2024'!AS11/'Supply 2024'!AS$76</f>
        <v>0</v>
      </c>
      <c r="AT10" s="12">
        <f>'Supply 2024'!AT11/'Supply 2024'!AT$76</f>
        <v>0</v>
      </c>
      <c r="AU10" s="12">
        <f>'Supply 2024'!AU11/'Supply 2024'!AU$76</f>
        <v>0</v>
      </c>
      <c r="AV10" s="12">
        <f>'Supply 2024'!AV11/'Supply 2024'!AV$76</f>
        <v>0</v>
      </c>
      <c r="AW10" s="12">
        <f>'Supply 2024'!AW11/'Supply 2024'!AW$76</f>
        <v>0</v>
      </c>
      <c r="AX10" s="12">
        <f>'Supply 2024'!AX11/'Supply 2024'!AX$76</f>
        <v>0</v>
      </c>
      <c r="AY10" s="12">
        <f>'Supply 2024'!AY11/'Supply 2024'!AY$76</f>
        <v>0</v>
      </c>
      <c r="AZ10" s="12">
        <f>'Supply 2024'!AZ11/'Supply 2024'!AZ$76</f>
        <v>0</v>
      </c>
      <c r="BA10" s="12">
        <f>'Supply 2024'!BA11/'Supply 2024'!BA$76</f>
        <v>0</v>
      </c>
      <c r="BB10" s="12">
        <f>'Supply 2024'!BB11/'Supply 2024'!BB$76</f>
        <v>0</v>
      </c>
      <c r="BC10" s="12">
        <f>'Supply 2024'!BC11/'Supply 2024'!BC$76</f>
        <v>0</v>
      </c>
      <c r="BD10" s="12">
        <f>'Supply 2024'!BD11/'Supply 2024'!BD$76</f>
        <v>0</v>
      </c>
      <c r="BE10" s="12">
        <f>'Supply 2024'!BE11/'Supply 2024'!BE$76</f>
        <v>0</v>
      </c>
      <c r="BF10" s="12">
        <f>'Supply 2024'!BF11/'Supply 2024'!BF$76</f>
        <v>0</v>
      </c>
      <c r="BG10" s="12">
        <f>'Supply 2024'!BG11/'Supply 2024'!BG$76</f>
        <v>0</v>
      </c>
      <c r="BH10" s="12">
        <f>'Supply 2024'!BH11/'Supply 2024'!BH$76</f>
        <v>0</v>
      </c>
      <c r="BI10" s="12">
        <f>'Supply 2024'!BI11/'Supply 2024'!BI$76</f>
        <v>0</v>
      </c>
      <c r="BJ10" s="12">
        <f>'Supply 2024'!BJ11/'Supply 2024'!BJ$76</f>
        <v>0</v>
      </c>
      <c r="BK10" s="12">
        <f>'Supply 2024'!BK11/'Supply 2024'!BK$76</f>
        <v>0</v>
      </c>
      <c r="BL10" s="12">
        <f>'Supply 2024'!BL11/'Supply 2024'!BL$76</f>
        <v>0</v>
      </c>
      <c r="BM10" s="12">
        <f>'Supply 2024'!BM11/'Supply 2024'!BM$76</f>
        <v>0</v>
      </c>
      <c r="BN10" s="12">
        <f>'Supply 2024'!BN11/'Supply 2024'!BN$76</f>
        <v>0</v>
      </c>
      <c r="BO10" s="12">
        <f>'Supply 2024'!BO11/'Supply 2024'!BO$76</f>
        <v>0</v>
      </c>
      <c r="BP10" s="12">
        <f>'Supply 2024'!BP11/'Supply 2024'!BP$76</f>
        <v>0</v>
      </c>
      <c r="BQ10" s="12">
        <f>'Supply 2024'!BQ11/'Supply 2024'!BQ$76</f>
        <v>0</v>
      </c>
      <c r="BR10" s="12">
        <f>'Supply 2024'!BR11/'Supply 2024'!BR$76</f>
        <v>0</v>
      </c>
      <c r="BS10" s="12">
        <f>'Supply 2024'!BS11/'Supply 2024'!BS$76</f>
        <v>0</v>
      </c>
      <c r="BT10" s="12">
        <f>'Supply 2024'!BT11/'Supply 2024'!BT$76</f>
        <v>0</v>
      </c>
      <c r="BU10" s="12">
        <f>'Supply 2024'!BU11/'Supply 2024'!BU$76</f>
        <v>0</v>
      </c>
      <c r="BV10" s="12">
        <f>'Supply 2024'!BV11/'Supply 2024'!BV$76</f>
        <v>3.4114792132844173E-3</v>
      </c>
      <c r="BW10" s="12">
        <f>'Supply 2024'!BW11/'Supply 2024'!BW$76</f>
        <v>8.7233765156274068E-3</v>
      </c>
      <c r="BX10" s="12">
        <f>'Supply 2024'!BX11/'Supply 2024'!BX$76</f>
        <v>0</v>
      </c>
      <c r="BY10" s="12">
        <f>'Supply 2024'!BY11/'Supply 2024'!BY$76</f>
        <v>3.7826707156157508E-3</v>
      </c>
      <c r="BZ10" s="12">
        <f>'Supply 2024'!BZ11/'Supply 2024'!BZ$76</f>
        <v>-60077</v>
      </c>
      <c r="CA10" s="12" t="e">
        <f>'Supply 2024'!CA11/'Supply 2024'!CA$76</f>
        <v>#DIV/0!</v>
      </c>
      <c r="CB10" s="12">
        <f>'Supply 2024'!CB11/'Supply 2024'!CB$76</f>
        <v>-95492</v>
      </c>
      <c r="CC10" s="12">
        <f>'Supply 2024'!CC11/'Supply 2024'!CC$76</f>
        <v>2.2670989507937837E-2</v>
      </c>
      <c r="CD10" s="12">
        <f>'Supply 2024'!CD11/'Supply 2024'!CD$76</f>
        <v>7.0948090483665405E-3</v>
      </c>
      <c r="CE10" s="12">
        <f>'Supply 2024'!CE11/'Supply 2024'!CE$76</f>
        <v>0</v>
      </c>
      <c r="CF10" s="12">
        <f>'Supply 2024'!CF11/'Supply 2024'!CF$76</f>
        <v>9.0109529003509752E-3</v>
      </c>
      <c r="CG10" s="12">
        <f>'Supply 2024'!CG11/'Supply 2024'!CG$76</f>
        <v>5.634523165567804E-3</v>
      </c>
    </row>
    <row r="11" spans="1:85" x14ac:dyDescent="0.25">
      <c r="A11" t="s">
        <v>10</v>
      </c>
      <c r="B11" t="s">
        <v>103</v>
      </c>
      <c r="C11" s="12">
        <f>'Supply 2024'!C12/'Supply 2024'!C$76</f>
        <v>0</v>
      </c>
      <c r="D11" s="12">
        <f>'Supply 2024'!D12/'Supply 2024'!D$76</f>
        <v>0</v>
      </c>
      <c r="E11" s="12">
        <f>'Supply 2024'!E12/'Supply 2024'!E$76</f>
        <v>0</v>
      </c>
      <c r="F11" s="12">
        <f>'Supply 2024'!F12/'Supply 2024'!F$76</f>
        <v>0</v>
      </c>
      <c r="G11" s="12">
        <f>'Supply 2024'!G12/'Supply 2024'!G$76</f>
        <v>0</v>
      </c>
      <c r="H11" s="12">
        <f>'Supply 2024'!H12/'Supply 2024'!H$76</f>
        <v>0</v>
      </c>
      <c r="I11" s="12">
        <f>'Supply 2024'!I12/'Supply 2024'!I$76</f>
        <v>0</v>
      </c>
      <c r="J11" s="12">
        <f>'Supply 2024'!J12/'Supply 2024'!J$76</f>
        <v>0</v>
      </c>
      <c r="K11" s="12">
        <f>'Supply 2024'!K12/'Supply 2024'!K$76</f>
        <v>5.7113810690563081E-6</v>
      </c>
      <c r="L11" s="12">
        <f>'Supply 2024'!L12/'Supply 2024'!L$76</f>
        <v>0.97896598783670985</v>
      </c>
      <c r="M11" s="12">
        <f>'Supply 2024'!M12/'Supply 2024'!M$76</f>
        <v>8.8862443030608175E-3</v>
      </c>
      <c r="N11" s="12">
        <f>'Supply 2024'!N12/'Supply 2024'!N$76</f>
        <v>5.4996047159110438E-5</v>
      </c>
      <c r="O11" s="12">
        <f>'Supply 2024'!O12/'Supply 2024'!O$76</f>
        <v>1.4079241857100551E-4</v>
      </c>
      <c r="P11" s="12">
        <f>'Supply 2024'!P12/'Supply 2024'!P$76</f>
        <v>5.468131048731611E-3</v>
      </c>
      <c r="Q11" s="12">
        <f>'Supply 2024'!Q12/'Supply 2024'!Q$76</f>
        <v>2.2061619400728554E-5</v>
      </c>
      <c r="R11" s="12">
        <f>'Supply 2024'!R12/'Supply 2024'!R$76</f>
        <v>5.305588641795836E-6</v>
      </c>
      <c r="S11" s="12">
        <f>'Supply 2024'!S12/'Supply 2024'!S$76</f>
        <v>3.3115715772542343E-4</v>
      </c>
      <c r="T11" s="12">
        <f>'Supply 2024'!T12/'Supply 2024'!T$76</f>
        <v>5.0647443148245067E-5</v>
      </c>
      <c r="U11" s="12">
        <f>'Supply 2024'!U12/'Supply 2024'!U$76</f>
        <v>0</v>
      </c>
      <c r="V11" s="12">
        <f>'Supply 2024'!V12/'Supply 2024'!V$76</f>
        <v>0</v>
      </c>
      <c r="W11" s="12">
        <f>'Supply 2024'!W12/'Supply 2024'!W$76</f>
        <v>0</v>
      </c>
      <c r="X11" s="12">
        <f>'Supply 2024'!X12/'Supply 2024'!X$76</f>
        <v>0</v>
      </c>
      <c r="Y11" s="12">
        <f>'Supply 2024'!Y12/'Supply 2024'!Y$76</f>
        <v>0</v>
      </c>
      <c r="Z11" s="12">
        <f>'Supply 2024'!Z12/'Supply 2024'!Z$76</f>
        <v>2.5105620732622058E-4</v>
      </c>
      <c r="AA11" s="12">
        <f>'Supply 2024'!AA12/'Supply 2024'!AA$76</f>
        <v>4.0378874983974635E-6</v>
      </c>
      <c r="AB11" s="12">
        <f>'Supply 2024'!AB12/'Supply 2024'!AB$76</f>
        <v>2.0180005650401581E-5</v>
      </c>
      <c r="AC11" s="12">
        <f>'Supply 2024'!AC12/'Supply 2024'!AC$76</f>
        <v>0</v>
      </c>
      <c r="AD11" s="12">
        <f>'Supply 2024'!AD12/'Supply 2024'!AD$76</f>
        <v>0</v>
      </c>
      <c r="AE11" s="12">
        <f>'Supply 2024'!AE12/'Supply 2024'!AE$76</f>
        <v>0</v>
      </c>
      <c r="AF11" s="12">
        <f>'Supply 2024'!AF12/'Supply 2024'!AF$76</f>
        <v>0</v>
      </c>
      <c r="AG11" s="12">
        <f>'Supply 2024'!AG12/'Supply 2024'!AG$76</f>
        <v>0</v>
      </c>
      <c r="AH11" s="12">
        <f>'Supply 2024'!AH12/'Supply 2024'!AH$76</f>
        <v>0</v>
      </c>
      <c r="AI11" s="12">
        <f>'Supply 2024'!AI12/'Supply 2024'!AI$76</f>
        <v>0</v>
      </c>
      <c r="AJ11" s="12">
        <f>'Supply 2024'!AJ12/'Supply 2024'!AJ$76</f>
        <v>0</v>
      </c>
      <c r="AK11" s="12">
        <f>'Supply 2024'!AK12/'Supply 2024'!AK$76</f>
        <v>0</v>
      </c>
      <c r="AL11" s="12">
        <f>'Supply 2024'!AL12/'Supply 2024'!AL$76</f>
        <v>0</v>
      </c>
      <c r="AM11" s="12">
        <f>'Supply 2024'!AM12/'Supply 2024'!AM$76</f>
        <v>0</v>
      </c>
      <c r="AN11" s="12">
        <f>'Supply 2024'!AN12/'Supply 2024'!AN$76</f>
        <v>0</v>
      </c>
      <c r="AO11" s="12">
        <f>'Supply 2024'!AO12/'Supply 2024'!AO$76</f>
        <v>0</v>
      </c>
      <c r="AP11" s="12">
        <f>'Supply 2024'!AP12/'Supply 2024'!AP$76</f>
        <v>0</v>
      </c>
      <c r="AQ11" s="12">
        <f>'Supply 2024'!AQ12/'Supply 2024'!AQ$76</f>
        <v>0</v>
      </c>
      <c r="AR11" s="12">
        <f>'Supply 2024'!AR12/'Supply 2024'!AR$76</f>
        <v>0</v>
      </c>
      <c r="AS11" s="12">
        <f>'Supply 2024'!AS12/'Supply 2024'!AS$76</f>
        <v>0</v>
      </c>
      <c r="AT11" s="12">
        <f>'Supply 2024'!AT12/'Supply 2024'!AT$76</f>
        <v>0</v>
      </c>
      <c r="AU11" s="12">
        <f>'Supply 2024'!AU12/'Supply 2024'!AU$76</f>
        <v>0</v>
      </c>
      <c r="AV11" s="12">
        <f>'Supply 2024'!AV12/'Supply 2024'!AV$76</f>
        <v>0</v>
      </c>
      <c r="AW11" s="12">
        <f>'Supply 2024'!AW12/'Supply 2024'!AW$76</f>
        <v>0</v>
      </c>
      <c r="AX11" s="12">
        <f>'Supply 2024'!AX12/'Supply 2024'!AX$76</f>
        <v>0</v>
      </c>
      <c r="AY11" s="12">
        <f>'Supply 2024'!AY12/'Supply 2024'!AY$76</f>
        <v>0</v>
      </c>
      <c r="AZ11" s="12">
        <f>'Supply 2024'!AZ12/'Supply 2024'!AZ$76</f>
        <v>0</v>
      </c>
      <c r="BA11" s="12">
        <f>'Supply 2024'!BA12/'Supply 2024'!BA$76</f>
        <v>0</v>
      </c>
      <c r="BB11" s="12">
        <f>'Supply 2024'!BB12/'Supply 2024'!BB$76</f>
        <v>0</v>
      </c>
      <c r="BC11" s="12">
        <f>'Supply 2024'!BC12/'Supply 2024'!BC$76</f>
        <v>0</v>
      </c>
      <c r="BD11" s="12">
        <f>'Supply 2024'!BD12/'Supply 2024'!BD$76</f>
        <v>0</v>
      </c>
      <c r="BE11" s="12">
        <f>'Supply 2024'!BE12/'Supply 2024'!BE$76</f>
        <v>0</v>
      </c>
      <c r="BF11" s="12">
        <f>'Supply 2024'!BF12/'Supply 2024'!BF$76</f>
        <v>0</v>
      </c>
      <c r="BG11" s="12">
        <f>'Supply 2024'!BG12/'Supply 2024'!BG$76</f>
        <v>0</v>
      </c>
      <c r="BH11" s="12">
        <f>'Supply 2024'!BH12/'Supply 2024'!BH$76</f>
        <v>0</v>
      </c>
      <c r="BI11" s="12">
        <f>'Supply 2024'!BI12/'Supply 2024'!BI$76</f>
        <v>0</v>
      </c>
      <c r="BJ11" s="12">
        <f>'Supply 2024'!BJ12/'Supply 2024'!BJ$76</f>
        <v>0</v>
      </c>
      <c r="BK11" s="12">
        <f>'Supply 2024'!BK12/'Supply 2024'!BK$76</f>
        <v>0</v>
      </c>
      <c r="BL11" s="12">
        <f>'Supply 2024'!BL12/'Supply 2024'!BL$76</f>
        <v>0</v>
      </c>
      <c r="BM11" s="12">
        <f>'Supply 2024'!BM12/'Supply 2024'!BM$76</f>
        <v>0</v>
      </c>
      <c r="BN11" s="12">
        <f>'Supply 2024'!BN12/'Supply 2024'!BN$76</f>
        <v>0</v>
      </c>
      <c r="BO11" s="12">
        <f>'Supply 2024'!BO12/'Supply 2024'!BO$76</f>
        <v>0</v>
      </c>
      <c r="BP11" s="12">
        <f>'Supply 2024'!BP12/'Supply 2024'!BP$76</f>
        <v>0</v>
      </c>
      <c r="BQ11" s="12">
        <f>'Supply 2024'!BQ12/'Supply 2024'!BQ$76</f>
        <v>0</v>
      </c>
      <c r="BR11" s="12">
        <f>'Supply 2024'!BR12/'Supply 2024'!BR$76</f>
        <v>0</v>
      </c>
      <c r="BS11" s="12">
        <f>'Supply 2024'!BS12/'Supply 2024'!BS$76</f>
        <v>0</v>
      </c>
      <c r="BT11" s="12">
        <f>'Supply 2024'!BT12/'Supply 2024'!BT$76</f>
        <v>0</v>
      </c>
      <c r="BU11" s="12">
        <f>'Supply 2024'!BU12/'Supply 2024'!BU$76</f>
        <v>0</v>
      </c>
      <c r="BV11" s="12">
        <f>'Supply 2024'!BV12/'Supply 2024'!BV$76</f>
        <v>6.052881949828089E-3</v>
      </c>
      <c r="BW11" s="12">
        <f>'Supply 2024'!BW12/'Supply 2024'!BW$76</f>
        <v>2.5615221085228554E-2</v>
      </c>
      <c r="BX11" s="12">
        <f>'Supply 2024'!BX12/'Supply 2024'!BX$76</f>
        <v>0</v>
      </c>
      <c r="BY11" s="12">
        <f>'Supply 2024'!BY12/'Supply 2024'!BY$76</f>
        <v>7.4161122030038775E-3</v>
      </c>
      <c r="BZ11" s="12">
        <f>'Supply 2024'!BZ12/'Supply 2024'!BZ$76</f>
        <v>-44963</v>
      </c>
      <c r="CA11" s="12" t="e">
        <f>'Supply 2024'!CA12/'Supply 2024'!CA$76</f>
        <v>#DIV/0!</v>
      </c>
      <c r="CB11" s="12">
        <f>'Supply 2024'!CB12/'Supply 2024'!CB$76</f>
        <v>-60406</v>
      </c>
      <c r="CC11" s="12">
        <f>'Supply 2024'!CC12/'Supply 2024'!CC$76</f>
        <v>3.0016629380166773E-2</v>
      </c>
      <c r="CD11" s="12">
        <f>'Supply 2024'!CD12/'Supply 2024'!CD$76</f>
        <v>2.6985665710391252E-3</v>
      </c>
      <c r="CE11" s="12">
        <f>'Supply 2024'!CE12/'Supply 2024'!CE$76</f>
        <v>0</v>
      </c>
      <c r="CF11" s="12">
        <f>'Supply 2024'!CF12/'Supply 2024'!CF$76</f>
        <v>5.1973323461932093E-3</v>
      </c>
      <c r="CG11" s="12">
        <f>'Supply 2024'!CG12/'Supply 2024'!CG$76</f>
        <v>8.4849538642405905E-3</v>
      </c>
    </row>
    <row r="12" spans="1:85" x14ac:dyDescent="0.25">
      <c r="A12" t="s">
        <v>11</v>
      </c>
      <c r="B12" t="s">
        <v>104</v>
      </c>
      <c r="C12" s="12">
        <f>'Supply 2024'!C13/'Supply 2024'!C$76</f>
        <v>0</v>
      </c>
      <c r="D12" s="12">
        <f>'Supply 2024'!D13/'Supply 2024'!D$76</f>
        <v>0</v>
      </c>
      <c r="E12" s="12">
        <f>'Supply 2024'!E13/'Supply 2024'!E$76</f>
        <v>0</v>
      </c>
      <c r="F12" s="12">
        <f>'Supply 2024'!F13/'Supply 2024'!F$76</f>
        <v>0</v>
      </c>
      <c r="G12" s="12">
        <f>'Supply 2024'!G13/'Supply 2024'!G$76</f>
        <v>4.4066044664472434E-3</v>
      </c>
      <c r="H12" s="12">
        <f>'Supply 2024'!H13/'Supply 2024'!H$76</f>
        <v>0</v>
      </c>
      <c r="I12" s="12">
        <f>'Supply 2024'!I13/'Supply 2024'!I$76</f>
        <v>0</v>
      </c>
      <c r="J12" s="12">
        <f>'Supply 2024'!J13/'Supply 2024'!J$76</f>
        <v>3.7136681383370127E-3</v>
      </c>
      <c r="K12" s="12">
        <f>'Supply 2024'!K13/'Supply 2024'!K$76</f>
        <v>1.9418695634791449E-4</v>
      </c>
      <c r="L12" s="12">
        <f>'Supply 2024'!L13/'Supply 2024'!L$76</f>
        <v>5.4854053767572509E-3</v>
      </c>
      <c r="M12" s="12">
        <f>'Supply 2024'!M13/'Supply 2024'!M$76</f>
        <v>0.93675443930784508</v>
      </c>
      <c r="N12" s="12">
        <f>'Supply 2024'!N13/'Supply 2024'!N$76</f>
        <v>4.232404129286541E-3</v>
      </c>
      <c r="O12" s="12">
        <f>'Supply 2024'!O13/'Supply 2024'!O$76</f>
        <v>2.7915738164940748E-4</v>
      </c>
      <c r="P12" s="12">
        <f>'Supply 2024'!P13/'Supply 2024'!P$76</f>
        <v>9.2688963799522574E-4</v>
      </c>
      <c r="Q12" s="12">
        <f>'Supply 2024'!Q13/'Supply 2024'!Q$76</f>
        <v>1.4262188071412164E-3</v>
      </c>
      <c r="R12" s="12">
        <f>'Supply 2024'!R13/'Supply 2024'!R$76</f>
        <v>1.9100119110465009E-4</v>
      </c>
      <c r="S12" s="12">
        <f>'Supply 2024'!S13/'Supply 2024'!S$76</f>
        <v>2.8739710474027817E-3</v>
      </c>
      <c r="T12" s="12">
        <f>'Supply 2024'!T13/'Supply 2024'!T$76</f>
        <v>5.1998041632198271E-3</v>
      </c>
      <c r="U12" s="12">
        <f>'Supply 2024'!U13/'Supply 2024'!U$76</f>
        <v>0</v>
      </c>
      <c r="V12" s="12">
        <f>'Supply 2024'!V13/'Supply 2024'!V$76</f>
        <v>1.6657056826190019E-3</v>
      </c>
      <c r="W12" s="12">
        <f>'Supply 2024'!W13/'Supply 2024'!W$76</f>
        <v>0</v>
      </c>
      <c r="X12" s="12">
        <f>'Supply 2024'!X13/'Supply 2024'!X$76</f>
        <v>0</v>
      </c>
      <c r="Y12" s="12">
        <f>'Supply 2024'!Y13/'Supply 2024'!Y$76</f>
        <v>1.5175586275579162E-3</v>
      </c>
      <c r="Z12" s="12">
        <f>'Supply 2024'!Z13/'Supply 2024'!Z$76</f>
        <v>0</v>
      </c>
      <c r="AA12" s="12">
        <f>'Supply 2024'!AA13/'Supply 2024'!AA$76</f>
        <v>5.2492537479167027E-5</v>
      </c>
      <c r="AB12" s="12">
        <f>'Supply 2024'!AB13/'Supply 2024'!AB$76</f>
        <v>1.8700138569372133E-3</v>
      </c>
      <c r="AC12" s="12">
        <f>'Supply 2024'!AC13/'Supply 2024'!AC$76</f>
        <v>0</v>
      </c>
      <c r="AD12" s="12">
        <f>'Supply 2024'!AD13/'Supply 2024'!AD$76</f>
        <v>0</v>
      </c>
      <c r="AE12" s="12">
        <f>'Supply 2024'!AE13/'Supply 2024'!AE$76</f>
        <v>0</v>
      </c>
      <c r="AF12" s="12">
        <f>'Supply 2024'!AF13/'Supply 2024'!AF$76</f>
        <v>0</v>
      </c>
      <c r="AG12" s="12">
        <f>'Supply 2024'!AG13/'Supply 2024'!AG$76</f>
        <v>0</v>
      </c>
      <c r="AH12" s="12">
        <f>'Supply 2024'!AH13/'Supply 2024'!AH$76</f>
        <v>0</v>
      </c>
      <c r="AI12" s="12">
        <f>'Supply 2024'!AI13/'Supply 2024'!AI$76</f>
        <v>0</v>
      </c>
      <c r="AJ12" s="12">
        <f>'Supply 2024'!AJ13/'Supply 2024'!AJ$76</f>
        <v>0</v>
      </c>
      <c r="AK12" s="12">
        <f>'Supply 2024'!AK13/'Supply 2024'!AK$76</f>
        <v>0</v>
      </c>
      <c r="AL12" s="12">
        <f>'Supply 2024'!AL13/'Supply 2024'!AL$76</f>
        <v>0</v>
      </c>
      <c r="AM12" s="12">
        <f>'Supply 2024'!AM13/'Supply 2024'!AM$76</f>
        <v>0</v>
      </c>
      <c r="AN12" s="12">
        <f>'Supply 2024'!AN13/'Supply 2024'!AN$76</f>
        <v>0</v>
      </c>
      <c r="AO12" s="12">
        <f>'Supply 2024'!AO13/'Supply 2024'!AO$76</f>
        <v>0</v>
      </c>
      <c r="AP12" s="12">
        <f>'Supply 2024'!AP13/'Supply 2024'!AP$76</f>
        <v>0</v>
      </c>
      <c r="AQ12" s="12">
        <f>'Supply 2024'!AQ13/'Supply 2024'!AQ$76</f>
        <v>0</v>
      </c>
      <c r="AR12" s="12">
        <f>'Supply 2024'!AR13/'Supply 2024'!AR$76</f>
        <v>0</v>
      </c>
      <c r="AS12" s="12">
        <f>'Supply 2024'!AS13/'Supply 2024'!AS$76</f>
        <v>0</v>
      </c>
      <c r="AT12" s="12">
        <f>'Supply 2024'!AT13/'Supply 2024'!AT$76</f>
        <v>0</v>
      </c>
      <c r="AU12" s="12">
        <f>'Supply 2024'!AU13/'Supply 2024'!AU$76</f>
        <v>0</v>
      </c>
      <c r="AV12" s="12">
        <f>'Supply 2024'!AV13/'Supply 2024'!AV$76</f>
        <v>0</v>
      </c>
      <c r="AW12" s="12">
        <f>'Supply 2024'!AW13/'Supply 2024'!AW$76</f>
        <v>0</v>
      </c>
      <c r="AX12" s="12">
        <f>'Supply 2024'!AX13/'Supply 2024'!AX$76</f>
        <v>0</v>
      </c>
      <c r="AY12" s="12">
        <f>'Supply 2024'!AY13/'Supply 2024'!AY$76</f>
        <v>0</v>
      </c>
      <c r="AZ12" s="12">
        <f>'Supply 2024'!AZ13/'Supply 2024'!AZ$76</f>
        <v>0</v>
      </c>
      <c r="BA12" s="12">
        <f>'Supply 2024'!BA13/'Supply 2024'!BA$76</f>
        <v>0</v>
      </c>
      <c r="BB12" s="12">
        <f>'Supply 2024'!BB13/'Supply 2024'!BB$76</f>
        <v>0</v>
      </c>
      <c r="BC12" s="12">
        <f>'Supply 2024'!BC13/'Supply 2024'!BC$76</f>
        <v>0</v>
      </c>
      <c r="BD12" s="12">
        <f>'Supply 2024'!BD13/'Supply 2024'!BD$76</f>
        <v>0</v>
      </c>
      <c r="BE12" s="12">
        <f>'Supply 2024'!BE13/'Supply 2024'!BE$76</f>
        <v>0</v>
      </c>
      <c r="BF12" s="12">
        <f>'Supply 2024'!BF13/'Supply 2024'!BF$76</f>
        <v>0</v>
      </c>
      <c r="BG12" s="12">
        <f>'Supply 2024'!BG13/'Supply 2024'!BG$76</f>
        <v>0</v>
      </c>
      <c r="BH12" s="12">
        <f>'Supply 2024'!BH13/'Supply 2024'!BH$76</f>
        <v>0</v>
      </c>
      <c r="BI12" s="12">
        <f>'Supply 2024'!BI13/'Supply 2024'!BI$76</f>
        <v>0</v>
      </c>
      <c r="BJ12" s="12">
        <f>'Supply 2024'!BJ13/'Supply 2024'!BJ$76</f>
        <v>0</v>
      </c>
      <c r="BK12" s="12">
        <f>'Supply 2024'!BK13/'Supply 2024'!BK$76</f>
        <v>0</v>
      </c>
      <c r="BL12" s="12">
        <f>'Supply 2024'!BL13/'Supply 2024'!BL$76</f>
        <v>0</v>
      </c>
      <c r="BM12" s="12">
        <f>'Supply 2024'!BM13/'Supply 2024'!BM$76</f>
        <v>0</v>
      </c>
      <c r="BN12" s="12">
        <f>'Supply 2024'!BN13/'Supply 2024'!BN$76</f>
        <v>0</v>
      </c>
      <c r="BO12" s="12">
        <f>'Supply 2024'!BO13/'Supply 2024'!BO$76</f>
        <v>0</v>
      </c>
      <c r="BP12" s="12">
        <f>'Supply 2024'!BP13/'Supply 2024'!BP$76</f>
        <v>0</v>
      </c>
      <c r="BQ12" s="12">
        <f>'Supply 2024'!BQ13/'Supply 2024'!BQ$76</f>
        <v>0</v>
      </c>
      <c r="BR12" s="12">
        <f>'Supply 2024'!BR13/'Supply 2024'!BR$76</f>
        <v>0</v>
      </c>
      <c r="BS12" s="12">
        <f>'Supply 2024'!BS13/'Supply 2024'!BS$76</f>
        <v>0</v>
      </c>
      <c r="BT12" s="12">
        <f>'Supply 2024'!BT13/'Supply 2024'!BT$76</f>
        <v>0</v>
      </c>
      <c r="BU12" s="12">
        <f>'Supply 2024'!BU13/'Supply 2024'!BU$76</f>
        <v>0</v>
      </c>
      <c r="BV12" s="12">
        <f>'Supply 2024'!BV13/'Supply 2024'!BV$76</f>
        <v>8.8061773434261956E-3</v>
      </c>
      <c r="BW12" s="12">
        <f>'Supply 2024'!BW13/'Supply 2024'!BW$76</f>
        <v>2.3985514195420443E-2</v>
      </c>
      <c r="BX12" s="12">
        <f>'Supply 2024'!BX13/'Supply 2024'!BX$76</f>
        <v>0</v>
      </c>
      <c r="BY12" s="12">
        <f>'Supply 2024'!BY13/'Supply 2024'!BY$76</f>
        <v>9.8663550216140841E-3</v>
      </c>
      <c r="BZ12" s="12">
        <f>'Supply 2024'!BZ13/'Supply 2024'!BZ$76</f>
        <v>-176407</v>
      </c>
      <c r="CA12" s="12" t="e">
        <f>'Supply 2024'!CA13/'Supply 2024'!CA$76</f>
        <v>#DIV/0!</v>
      </c>
      <c r="CB12" s="12">
        <f>'Supply 2024'!CB13/'Supply 2024'!CB$76</f>
        <v>-191517</v>
      </c>
      <c r="CC12" s="12">
        <f>'Supply 2024'!CC13/'Supply 2024'!CC$76</f>
        <v>7.2415567014009349E-2</v>
      </c>
      <c r="CD12" s="12">
        <f>'Supply 2024'!CD13/'Supply 2024'!CD$76</f>
        <v>1.9689103873161466E-2</v>
      </c>
      <c r="CE12" s="12">
        <f>'Supply 2024'!CE13/'Supply 2024'!CE$76</f>
        <v>0</v>
      </c>
      <c r="CF12" s="12">
        <f>'Supply 2024'!CF13/'Supply 2024'!CF$76</f>
        <v>2.5792664941810862E-2</v>
      </c>
      <c r="CG12" s="12">
        <f>'Supply 2024'!CG13/'Supply 2024'!CG$76</f>
        <v>1.3681405808935749E-2</v>
      </c>
    </row>
    <row r="13" spans="1:85" x14ac:dyDescent="0.25">
      <c r="A13" t="s">
        <v>12</v>
      </c>
      <c r="B13" t="s">
        <v>105</v>
      </c>
      <c r="C13" s="12">
        <f>'Supply 2024'!C14/'Supply 2024'!C$76</f>
        <v>0</v>
      </c>
      <c r="D13" s="12">
        <f>'Supply 2024'!D14/'Supply 2024'!D$76</f>
        <v>0</v>
      </c>
      <c r="E13" s="12">
        <f>'Supply 2024'!E14/'Supply 2024'!E$76</f>
        <v>5.1045521667000891E-4</v>
      </c>
      <c r="F13" s="12">
        <f>'Supply 2024'!F14/'Supply 2024'!F$76</f>
        <v>0</v>
      </c>
      <c r="G13" s="12">
        <f>'Supply 2024'!G14/'Supply 2024'!G$76</f>
        <v>0</v>
      </c>
      <c r="H13" s="12">
        <f>'Supply 2024'!H14/'Supply 2024'!H$76</f>
        <v>0</v>
      </c>
      <c r="I13" s="12">
        <f>'Supply 2024'!I14/'Supply 2024'!I$76</f>
        <v>0</v>
      </c>
      <c r="J13" s="12">
        <f>'Supply 2024'!J14/'Supply 2024'!J$76</f>
        <v>0</v>
      </c>
      <c r="K13" s="12">
        <f>'Supply 2024'!K14/'Supply 2024'!K$76</f>
        <v>4.5691048552450465E-5</v>
      </c>
      <c r="L13" s="12">
        <f>'Supply 2024'!L14/'Supply 2024'!L$76</f>
        <v>8.9767201515773853E-4</v>
      </c>
      <c r="M13" s="12">
        <f>'Supply 2024'!M14/'Supply 2024'!M$76</f>
        <v>7.0139647209344399E-3</v>
      </c>
      <c r="N13" s="12">
        <f>'Supply 2024'!N14/'Supply 2024'!N$76</f>
        <v>0.94251538170693983</v>
      </c>
      <c r="O13" s="12">
        <f>'Supply 2024'!O14/'Supply 2024'!O$76</f>
        <v>1.4249163741582799E-3</v>
      </c>
      <c r="P13" s="12">
        <f>'Supply 2024'!P14/'Supply 2024'!P$76</f>
        <v>2.3715947162112482E-3</v>
      </c>
      <c r="Q13" s="12">
        <f>'Supply 2024'!Q14/'Supply 2024'!Q$76</f>
        <v>1.9764615498417404E-3</v>
      </c>
      <c r="R13" s="12">
        <f>'Supply 2024'!R14/'Supply 2024'!R$76</f>
        <v>1.9869429463525404E-3</v>
      </c>
      <c r="S13" s="12">
        <f>'Supply 2024'!S14/'Supply 2024'!S$76</f>
        <v>6.5048727410351023E-4</v>
      </c>
      <c r="T13" s="12">
        <f>'Supply 2024'!T14/'Supply 2024'!T$76</f>
        <v>1.1648911924096365E-3</v>
      </c>
      <c r="U13" s="12">
        <f>'Supply 2024'!U14/'Supply 2024'!U$76</f>
        <v>0</v>
      </c>
      <c r="V13" s="12">
        <f>'Supply 2024'!V14/'Supply 2024'!V$76</f>
        <v>1.0677600529608986E-4</v>
      </c>
      <c r="W13" s="12">
        <f>'Supply 2024'!W14/'Supply 2024'!W$76</f>
        <v>0</v>
      </c>
      <c r="X13" s="12">
        <f>'Supply 2024'!X14/'Supply 2024'!X$76</f>
        <v>0</v>
      </c>
      <c r="Y13" s="12">
        <f>'Supply 2024'!Y14/'Supply 2024'!Y$76</f>
        <v>1.0670334100016598E-3</v>
      </c>
      <c r="Z13" s="12">
        <f>'Supply 2024'!Z14/'Supply 2024'!Z$76</f>
        <v>0</v>
      </c>
      <c r="AA13" s="12">
        <f>'Supply 2024'!AA14/'Supply 2024'!AA$76</f>
        <v>1.5142078118990487E-4</v>
      </c>
      <c r="AB13" s="12">
        <f>'Supply 2024'!AB14/'Supply 2024'!AB$76</f>
        <v>1.1502603220728902E-3</v>
      </c>
      <c r="AC13" s="12">
        <f>'Supply 2024'!AC14/'Supply 2024'!AC$76</f>
        <v>3.8029913569415432E-7</v>
      </c>
      <c r="AD13" s="12">
        <f>'Supply 2024'!AD14/'Supply 2024'!AD$76</f>
        <v>0</v>
      </c>
      <c r="AE13" s="12">
        <f>'Supply 2024'!AE14/'Supply 2024'!AE$76</f>
        <v>0</v>
      </c>
      <c r="AF13" s="12">
        <f>'Supply 2024'!AF14/'Supply 2024'!AF$76</f>
        <v>0</v>
      </c>
      <c r="AG13" s="12">
        <f>'Supply 2024'!AG14/'Supply 2024'!AG$76</f>
        <v>0</v>
      </c>
      <c r="AH13" s="12">
        <f>'Supply 2024'!AH14/'Supply 2024'!AH$76</f>
        <v>0</v>
      </c>
      <c r="AI13" s="12">
        <f>'Supply 2024'!AI14/'Supply 2024'!AI$76</f>
        <v>0</v>
      </c>
      <c r="AJ13" s="12">
        <f>'Supply 2024'!AJ14/'Supply 2024'!AJ$76</f>
        <v>0</v>
      </c>
      <c r="AK13" s="12">
        <f>'Supply 2024'!AK14/'Supply 2024'!AK$76</f>
        <v>0</v>
      </c>
      <c r="AL13" s="12">
        <f>'Supply 2024'!AL14/'Supply 2024'!AL$76</f>
        <v>0</v>
      </c>
      <c r="AM13" s="12">
        <f>'Supply 2024'!AM14/'Supply 2024'!AM$76</f>
        <v>0</v>
      </c>
      <c r="AN13" s="12">
        <f>'Supply 2024'!AN14/'Supply 2024'!AN$76</f>
        <v>0</v>
      </c>
      <c r="AO13" s="12">
        <f>'Supply 2024'!AO14/'Supply 2024'!AO$76</f>
        <v>0</v>
      </c>
      <c r="AP13" s="12">
        <f>'Supply 2024'!AP14/'Supply 2024'!AP$76</f>
        <v>0</v>
      </c>
      <c r="AQ13" s="12">
        <f>'Supply 2024'!AQ14/'Supply 2024'!AQ$76</f>
        <v>0</v>
      </c>
      <c r="AR13" s="12">
        <f>'Supply 2024'!AR14/'Supply 2024'!AR$76</f>
        <v>0</v>
      </c>
      <c r="AS13" s="12">
        <f>'Supply 2024'!AS14/'Supply 2024'!AS$76</f>
        <v>0</v>
      </c>
      <c r="AT13" s="12">
        <f>'Supply 2024'!AT14/'Supply 2024'!AT$76</f>
        <v>0</v>
      </c>
      <c r="AU13" s="12">
        <f>'Supply 2024'!AU14/'Supply 2024'!AU$76</f>
        <v>0</v>
      </c>
      <c r="AV13" s="12">
        <f>'Supply 2024'!AV14/'Supply 2024'!AV$76</f>
        <v>0</v>
      </c>
      <c r="AW13" s="12">
        <f>'Supply 2024'!AW14/'Supply 2024'!AW$76</f>
        <v>0</v>
      </c>
      <c r="AX13" s="12">
        <f>'Supply 2024'!AX14/'Supply 2024'!AX$76</f>
        <v>0</v>
      </c>
      <c r="AY13" s="12">
        <f>'Supply 2024'!AY14/'Supply 2024'!AY$76</f>
        <v>0</v>
      </c>
      <c r="AZ13" s="12">
        <f>'Supply 2024'!AZ14/'Supply 2024'!AZ$76</f>
        <v>0</v>
      </c>
      <c r="BA13" s="12">
        <f>'Supply 2024'!BA14/'Supply 2024'!BA$76</f>
        <v>0</v>
      </c>
      <c r="BB13" s="12">
        <f>'Supply 2024'!BB14/'Supply 2024'!BB$76</f>
        <v>0</v>
      </c>
      <c r="BC13" s="12">
        <f>'Supply 2024'!BC14/'Supply 2024'!BC$76</f>
        <v>0</v>
      </c>
      <c r="BD13" s="12">
        <f>'Supply 2024'!BD14/'Supply 2024'!BD$76</f>
        <v>0</v>
      </c>
      <c r="BE13" s="12">
        <f>'Supply 2024'!BE14/'Supply 2024'!BE$76</f>
        <v>0</v>
      </c>
      <c r="BF13" s="12">
        <f>'Supply 2024'!BF14/'Supply 2024'!BF$76</f>
        <v>0</v>
      </c>
      <c r="BG13" s="12">
        <f>'Supply 2024'!BG14/'Supply 2024'!BG$76</f>
        <v>0</v>
      </c>
      <c r="BH13" s="12">
        <f>'Supply 2024'!BH14/'Supply 2024'!BH$76</f>
        <v>0</v>
      </c>
      <c r="BI13" s="12">
        <f>'Supply 2024'!BI14/'Supply 2024'!BI$76</f>
        <v>0</v>
      </c>
      <c r="BJ13" s="12">
        <f>'Supply 2024'!BJ14/'Supply 2024'!BJ$76</f>
        <v>0</v>
      </c>
      <c r="BK13" s="12">
        <f>'Supply 2024'!BK14/'Supply 2024'!BK$76</f>
        <v>0</v>
      </c>
      <c r="BL13" s="12">
        <f>'Supply 2024'!BL14/'Supply 2024'!BL$76</f>
        <v>0</v>
      </c>
      <c r="BM13" s="12">
        <f>'Supply 2024'!BM14/'Supply 2024'!BM$76</f>
        <v>0</v>
      </c>
      <c r="BN13" s="12">
        <f>'Supply 2024'!BN14/'Supply 2024'!BN$76</f>
        <v>0</v>
      </c>
      <c r="BO13" s="12">
        <f>'Supply 2024'!BO14/'Supply 2024'!BO$76</f>
        <v>0</v>
      </c>
      <c r="BP13" s="12">
        <f>'Supply 2024'!BP14/'Supply 2024'!BP$76</f>
        <v>0</v>
      </c>
      <c r="BQ13" s="12">
        <f>'Supply 2024'!BQ14/'Supply 2024'!BQ$76</f>
        <v>4.484978685138799E-6</v>
      </c>
      <c r="BR13" s="12">
        <f>'Supply 2024'!BR14/'Supply 2024'!BR$76</f>
        <v>0</v>
      </c>
      <c r="BS13" s="12">
        <f>'Supply 2024'!BS14/'Supply 2024'!BS$76</f>
        <v>0</v>
      </c>
      <c r="BT13" s="12">
        <f>'Supply 2024'!BT14/'Supply 2024'!BT$76</f>
        <v>0</v>
      </c>
      <c r="BU13" s="12">
        <f>'Supply 2024'!BU14/'Supply 2024'!BU$76</f>
        <v>0</v>
      </c>
      <c r="BV13" s="12">
        <f>'Supply 2024'!BV14/'Supply 2024'!BV$76</f>
        <v>8.4301785999059253E-3</v>
      </c>
      <c r="BW13" s="12">
        <f>'Supply 2024'!BW14/'Supply 2024'!BW$76</f>
        <v>6.2241334538687895E-2</v>
      </c>
      <c r="BX13" s="12">
        <f>'Supply 2024'!BX14/'Supply 2024'!BX$76</f>
        <v>0</v>
      </c>
      <c r="BY13" s="12">
        <f>'Supply 2024'!BY14/'Supply 2024'!BY$76</f>
        <v>1.2175401151383072E-2</v>
      </c>
      <c r="BZ13" s="12">
        <f>'Supply 2024'!BZ14/'Supply 2024'!BZ$76</f>
        <v>-261123</v>
      </c>
      <c r="CA13" s="12" t="e">
        <f>'Supply 2024'!CA14/'Supply 2024'!CA$76</f>
        <v>#DIV/0!</v>
      </c>
      <c r="CB13" s="12">
        <f>'Supply 2024'!CB14/'Supply 2024'!CB$76</f>
        <v>-280704</v>
      </c>
      <c r="CC13" s="12">
        <f>'Supply 2024'!CC14/'Supply 2024'!CC$76</f>
        <v>8.6436886118654813E-2</v>
      </c>
      <c r="CD13" s="12">
        <f>'Supply 2024'!CD14/'Supply 2024'!CD$76</f>
        <v>2.0117213449529818E-2</v>
      </c>
      <c r="CE13" s="12">
        <f>'Supply 2024'!CE14/'Supply 2024'!CE$76</f>
        <v>0</v>
      </c>
      <c r="CF13" s="12">
        <f>'Supply 2024'!CF14/'Supply 2024'!CF$76</f>
        <v>2.7383240656976063E-2</v>
      </c>
      <c r="CG13" s="12">
        <f>'Supply 2024'!CG14/'Supply 2024'!CG$76</f>
        <v>1.7616053131741555E-2</v>
      </c>
    </row>
    <row r="14" spans="1:85" x14ac:dyDescent="0.25">
      <c r="A14" t="s">
        <v>13</v>
      </c>
      <c r="B14" t="s">
        <v>106</v>
      </c>
      <c r="C14" s="12">
        <f>'Supply 2024'!C15/'Supply 2024'!C$76</f>
        <v>0</v>
      </c>
      <c r="D14" s="12">
        <f>'Supply 2024'!D15/'Supply 2024'!D$76</f>
        <v>0</v>
      </c>
      <c r="E14" s="12">
        <f>'Supply 2024'!E15/'Supply 2024'!E$76</f>
        <v>0</v>
      </c>
      <c r="F14" s="12">
        <f>'Supply 2024'!F15/'Supply 2024'!F$76</f>
        <v>0</v>
      </c>
      <c r="G14" s="12">
        <f>'Supply 2024'!G15/'Supply 2024'!G$76</f>
        <v>0</v>
      </c>
      <c r="H14" s="12">
        <f>'Supply 2024'!H15/'Supply 2024'!H$76</f>
        <v>0</v>
      </c>
      <c r="I14" s="12">
        <f>'Supply 2024'!I15/'Supply 2024'!I$76</f>
        <v>0</v>
      </c>
      <c r="J14" s="12">
        <f>'Supply 2024'!J15/'Supply 2024'!J$76</f>
        <v>0</v>
      </c>
      <c r="K14" s="12">
        <f>'Supply 2024'!K15/'Supply 2024'!K$76</f>
        <v>0</v>
      </c>
      <c r="L14" s="12">
        <f>'Supply 2024'!L15/'Supply 2024'!L$76</f>
        <v>3.3124428603606589E-6</v>
      </c>
      <c r="M14" s="12">
        <f>'Supply 2024'!M15/'Supply 2024'!M$76</f>
        <v>1.0265933447980487E-3</v>
      </c>
      <c r="N14" s="12">
        <f>'Supply 2024'!N15/'Supply 2024'!N$76</f>
        <v>1.271783590554429E-3</v>
      </c>
      <c r="O14" s="12">
        <f>'Supply 2024'!O15/'Supply 2024'!O$76</f>
        <v>0.80296101020987776</v>
      </c>
      <c r="P14" s="12">
        <f>'Supply 2024'!P15/'Supply 2024'!P$76</f>
        <v>9.5278041000626556E-4</v>
      </c>
      <c r="Q14" s="12">
        <f>'Supply 2024'!Q15/'Supply 2024'!Q$76</f>
        <v>8.5650992967534377E-5</v>
      </c>
      <c r="R14" s="12">
        <f>'Supply 2024'!R15/'Supply 2024'!R$76</f>
        <v>1.3794530468669174E-3</v>
      </c>
      <c r="S14" s="12">
        <f>'Supply 2024'!S15/'Supply 2024'!S$76</f>
        <v>7.09622480840193E-5</v>
      </c>
      <c r="T14" s="12">
        <f>'Supply 2024'!T15/'Supply 2024'!T$76</f>
        <v>4.5920348454408857E-3</v>
      </c>
      <c r="U14" s="12">
        <f>'Supply 2024'!U15/'Supply 2024'!U$76</f>
        <v>0</v>
      </c>
      <c r="V14" s="12">
        <f>'Supply 2024'!V15/'Supply 2024'!V$76</f>
        <v>8.1149764025028291E-4</v>
      </c>
      <c r="W14" s="12">
        <f>'Supply 2024'!W15/'Supply 2024'!W$76</f>
        <v>0</v>
      </c>
      <c r="X14" s="12">
        <f>'Supply 2024'!X15/'Supply 2024'!X$76</f>
        <v>2.9722981809535132E-4</v>
      </c>
      <c r="Y14" s="12">
        <f>'Supply 2024'!Y15/'Supply 2024'!Y$76</f>
        <v>1.3041519455575843E-4</v>
      </c>
      <c r="Z14" s="12">
        <f>'Supply 2024'!Z15/'Supply 2024'!Z$76</f>
        <v>0</v>
      </c>
      <c r="AA14" s="12">
        <f>'Supply 2024'!AA15/'Supply 2024'!AA$76</f>
        <v>1.4748384087896736E-3</v>
      </c>
      <c r="AB14" s="12">
        <f>'Supply 2024'!AB15/'Supply 2024'!AB$76</f>
        <v>8.1056356029113026E-4</v>
      </c>
      <c r="AC14" s="12">
        <f>'Supply 2024'!AC15/'Supply 2024'!AC$76</f>
        <v>0</v>
      </c>
      <c r="AD14" s="12">
        <f>'Supply 2024'!AD15/'Supply 2024'!AD$76</f>
        <v>0</v>
      </c>
      <c r="AE14" s="12">
        <f>'Supply 2024'!AE15/'Supply 2024'!AE$76</f>
        <v>0</v>
      </c>
      <c r="AF14" s="12">
        <f>'Supply 2024'!AF15/'Supply 2024'!AF$76</f>
        <v>0</v>
      </c>
      <c r="AG14" s="12">
        <f>'Supply 2024'!AG15/'Supply 2024'!AG$76</f>
        <v>0</v>
      </c>
      <c r="AH14" s="12">
        <f>'Supply 2024'!AH15/'Supply 2024'!AH$76</f>
        <v>0</v>
      </c>
      <c r="AI14" s="12">
        <f>'Supply 2024'!AI15/'Supply 2024'!AI$76</f>
        <v>0</v>
      </c>
      <c r="AJ14" s="12">
        <f>'Supply 2024'!AJ15/'Supply 2024'!AJ$76</f>
        <v>0</v>
      </c>
      <c r="AK14" s="12">
        <f>'Supply 2024'!AK15/'Supply 2024'!AK$76</f>
        <v>0</v>
      </c>
      <c r="AL14" s="12">
        <f>'Supply 2024'!AL15/'Supply 2024'!AL$76</f>
        <v>0</v>
      </c>
      <c r="AM14" s="12">
        <f>'Supply 2024'!AM15/'Supply 2024'!AM$76</f>
        <v>0</v>
      </c>
      <c r="AN14" s="12">
        <f>'Supply 2024'!AN15/'Supply 2024'!AN$76</f>
        <v>0</v>
      </c>
      <c r="AO14" s="12">
        <f>'Supply 2024'!AO15/'Supply 2024'!AO$76</f>
        <v>0</v>
      </c>
      <c r="AP14" s="12">
        <f>'Supply 2024'!AP15/'Supply 2024'!AP$76</f>
        <v>0</v>
      </c>
      <c r="AQ14" s="12">
        <f>'Supply 2024'!AQ15/'Supply 2024'!AQ$76</f>
        <v>4.3846614797745313E-5</v>
      </c>
      <c r="AR14" s="12">
        <f>'Supply 2024'!AR15/'Supply 2024'!AR$76</f>
        <v>0</v>
      </c>
      <c r="AS14" s="12">
        <f>'Supply 2024'!AS15/'Supply 2024'!AS$76</f>
        <v>1.2477119645095264E-3</v>
      </c>
      <c r="AT14" s="12">
        <f>'Supply 2024'!AT15/'Supply 2024'!AT$76</f>
        <v>0</v>
      </c>
      <c r="AU14" s="12">
        <f>'Supply 2024'!AU15/'Supply 2024'!AU$76</f>
        <v>0</v>
      </c>
      <c r="AV14" s="12">
        <f>'Supply 2024'!AV15/'Supply 2024'!AV$76</f>
        <v>0</v>
      </c>
      <c r="AW14" s="12">
        <f>'Supply 2024'!AW15/'Supply 2024'!AW$76</f>
        <v>0</v>
      </c>
      <c r="AX14" s="12">
        <f>'Supply 2024'!AX15/'Supply 2024'!AX$76</f>
        <v>0</v>
      </c>
      <c r="AY14" s="12">
        <f>'Supply 2024'!AY15/'Supply 2024'!AY$76</f>
        <v>0</v>
      </c>
      <c r="AZ14" s="12">
        <f>'Supply 2024'!AZ15/'Supply 2024'!AZ$76</f>
        <v>0</v>
      </c>
      <c r="BA14" s="12">
        <f>'Supply 2024'!BA15/'Supply 2024'!BA$76</f>
        <v>0</v>
      </c>
      <c r="BB14" s="12">
        <f>'Supply 2024'!BB15/'Supply 2024'!BB$76</f>
        <v>0</v>
      </c>
      <c r="BC14" s="12">
        <f>'Supply 2024'!BC15/'Supply 2024'!BC$76</f>
        <v>0</v>
      </c>
      <c r="BD14" s="12">
        <f>'Supply 2024'!BD15/'Supply 2024'!BD$76</f>
        <v>0</v>
      </c>
      <c r="BE14" s="12">
        <f>'Supply 2024'!BE15/'Supply 2024'!BE$76</f>
        <v>0</v>
      </c>
      <c r="BF14" s="12">
        <f>'Supply 2024'!BF15/'Supply 2024'!BF$76</f>
        <v>0</v>
      </c>
      <c r="BG14" s="12">
        <f>'Supply 2024'!BG15/'Supply 2024'!BG$76</f>
        <v>0</v>
      </c>
      <c r="BH14" s="12">
        <f>'Supply 2024'!BH15/'Supply 2024'!BH$76</f>
        <v>0</v>
      </c>
      <c r="BI14" s="12">
        <f>'Supply 2024'!BI15/'Supply 2024'!BI$76</f>
        <v>0</v>
      </c>
      <c r="BJ14" s="12">
        <f>'Supply 2024'!BJ15/'Supply 2024'!BJ$76</f>
        <v>0</v>
      </c>
      <c r="BK14" s="12">
        <f>'Supply 2024'!BK15/'Supply 2024'!BK$76</f>
        <v>0</v>
      </c>
      <c r="BL14" s="12">
        <f>'Supply 2024'!BL15/'Supply 2024'!BL$76</f>
        <v>0</v>
      </c>
      <c r="BM14" s="12">
        <f>'Supply 2024'!BM15/'Supply 2024'!BM$76</f>
        <v>0</v>
      </c>
      <c r="BN14" s="12">
        <f>'Supply 2024'!BN15/'Supply 2024'!BN$76</f>
        <v>0</v>
      </c>
      <c r="BO14" s="12">
        <f>'Supply 2024'!BO15/'Supply 2024'!BO$76</f>
        <v>0</v>
      </c>
      <c r="BP14" s="12">
        <f>'Supply 2024'!BP15/'Supply 2024'!BP$76</f>
        <v>0</v>
      </c>
      <c r="BQ14" s="12">
        <f>'Supply 2024'!BQ15/'Supply 2024'!BQ$76</f>
        <v>0</v>
      </c>
      <c r="BR14" s="12">
        <f>'Supply 2024'!BR15/'Supply 2024'!BR$76</f>
        <v>0</v>
      </c>
      <c r="BS14" s="12">
        <f>'Supply 2024'!BS15/'Supply 2024'!BS$76</f>
        <v>0</v>
      </c>
      <c r="BT14" s="12">
        <f>'Supply 2024'!BT15/'Supply 2024'!BT$76</f>
        <v>0</v>
      </c>
      <c r="BU14" s="12">
        <f>'Supply 2024'!BU15/'Supply 2024'!BU$76</f>
        <v>0</v>
      </c>
      <c r="BV14" s="12">
        <f>'Supply 2024'!BV15/'Supply 2024'!BV$76</f>
        <v>6.7637341499647164E-3</v>
      </c>
      <c r="BW14" s="12">
        <f>'Supply 2024'!BW15/'Supply 2024'!BW$76</f>
        <v>0.11995989574185874</v>
      </c>
      <c r="BX14" s="12">
        <f>'Supply 2024'!BX15/'Supply 2024'!BX$76</f>
        <v>0</v>
      </c>
      <c r="BY14" s="12">
        <f>'Supply 2024'!BY15/'Supply 2024'!BY$76</f>
        <v>1.4635792306467478E-2</v>
      </c>
      <c r="BZ14" s="12">
        <f>'Supply 2024'!BZ15/'Supply 2024'!BZ$76</f>
        <v>-355421</v>
      </c>
      <c r="CA14" s="12" t="e">
        <f>'Supply 2024'!CA15/'Supply 2024'!CA$76</f>
        <v>#DIV/0!</v>
      </c>
      <c r="CB14" s="12">
        <f>'Supply 2024'!CB15/'Supply 2024'!CB$76</f>
        <v>-369000</v>
      </c>
      <c r="CC14" s="12">
        <f>'Supply 2024'!CC15/'Supply 2024'!CC$76</f>
        <v>6.6290212592867312E-2</v>
      </c>
      <c r="CD14" s="12">
        <f>'Supply 2024'!CD15/'Supply 2024'!CD$76</f>
        <v>2.3251762876502689E-2</v>
      </c>
      <c r="CE14" s="12">
        <f>'Supply 2024'!CE15/'Supply 2024'!CE$76</f>
        <v>0</v>
      </c>
      <c r="CF14" s="12">
        <f>'Supply 2024'!CF15/'Supply 2024'!CF$76</f>
        <v>2.8868899741271631E-2</v>
      </c>
      <c r="CG14" s="12">
        <f>'Supply 2024'!CG15/'Supply 2024'!CG$76</f>
        <v>2.1680877749260301E-2</v>
      </c>
    </row>
    <row r="15" spans="1:85" x14ac:dyDescent="0.25">
      <c r="A15" t="s">
        <v>14</v>
      </c>
      <c r="B15" t="s">
        <v>107</v>
      </c>
      <c r="C15" s="12">
        <f>'Supply 2024'!C16/'Supply 2024'!C$76</f>
        <v>0</v>
      </c>
      <c r="D15" s="12">
        <f>'Supply 2024'!D16/'Supply 2024'!D$76</f>
        <v>0</v>
      </c>
      <c r="E15" s="12">
        <f>'Supply 2024'!E16/'Supply 2024'!E$76</f>
        <v>0</v>
      </c>
      <c r="F15" s="12">
        <f>'Supply 2024'!F16/'Supply 2024'!F$76</f>
        <v>0</v>
      </c>
      <c r="G15" s="12">
        <f>'Supply 2024'!G16/'Supply 2024'!G$76</f>
        <v>0</v>
      </c>
      <c r="H15" s="12">
        <f>'Supply 2024'!H16/'Supply 2024'!H$76</f>
        <v>0</v>
      </c>
      <c r="I15" s="12">
        <f>'Supply 2024'!I16/'Supply 2024'!I$76</f>
        <v>0</v>
      </c>
      <c r="J15" s="12">
        <f>'Supply 2024'!J16/'Supply 2024'!J$76</f>
        <v>0</v>
      </c>
      <c r="K15" s="12">
        <f>'Supply 2024'!K16/'Supply 2024'!K$76</f>
        <v>3.9408529376488527E-4</v>
      </c>
      <c r="L15" s="12">
        <f>'Supply 2024'!L16/'Supply 2024'!L$76</f>
        <v>1.0798563724775747E-3</v>
      </c>
      <c r="M15" s="12">
        <f>'Supply 2024'!M16/'Supply 2024'!M$76</f>
        <v>5.3400290759134171E-4</v>
      </c>
      <c r="N15" s="12">
        <f>'Supply 2024'!N16/'Supply 2024'!N$76</f>
        <v>2.8643774562036686E-3</v>
      </c>
      <c r="O15" s="12">
        <f>'Supply 2024'!O16/'Supply 2024'!O$76</f>
        <v>1.4006418192322443E-3</v>
      </c>
      <c r="P15" s="12">
        <f>'Supply 2024'!P16/'Supply 2024'!P$76</f>
        <v>0.95257846198457941</v>
      </c>
      <c r="Q15" s="12">
        <f>'Supply 2024'!Q16/'Supply 2024'!Q$76</f>
        <v>2.0763877083038637E-4</v>
      </c>
      <c r="R15" s="12">
        <f>'Supply 2024'!R16/'Supply 2024'!R$76</f>
        <v>1.1407015579861046E-3</v>
      </c>
      <c r="S15" s="12">
        <f>'Supply 2024'!S16/'Supply 2024'!S$76</f>
        <v>3.3115715772542343E-4</v>
      </c>
      <c r="T15" s="12">
        <f>'Supply 2024'!T16/'Supply 2024'!T$76</f>
        <v>2.8700217784005536E-4</v>
      </c>
      <c r="U15" s="12">
        <f>'Supply 2024'!U16/'Supply 2024'!U$76</f>
        <v>0</v>
      </c>
      <c r="V15" s="12">
        <f>'Supply 2024'!V16/'Supply 2024'!V$76</f>
        <v>0</v>
      </c>
      <c r="W15" s="12">
        <f>'Supply 2024'!W16/'Supply 2024'!W$76</f>
        <v>0</v>
      </c>
      <c r="X15" s="12">
        <f>'Supply 2024'!X16/'Supply 2024'!X$76</f>
        <v>0</v>
      </c>
      <c r="Y15" s="12">
        <f>'Supply 2024'!Y16/'Supply 2024'!Y$76</f>
        <v>1.4227112133355463E-4</v>
      </c>
      <c r="Z15" s="12">
        <f>'Supply 2024'!Z16/'Supply 2024'!Z$76</f>
        <v>1.540222130835709E-5</v>
      </c>
      <c r="AA15" s="12">
        <f>'Supply 2024'!AA16/'Supply 2024'!AA$76</f>
        <v>1.1608926557892707E-4</v>
      </c>
      <c r="AB15" s="12">
        <f>'Supply 2024'!AB16/'Supply 2024'!AB$76</f>
        <v>1.257887018875032E-3</v>
      </c>
      <c r="AC15" s="12">
        <f>'Supply 2024'!AC16/'Supply 2024'!AC$76</f>
        <v>0</v>
      </c>
      <c r="AD15" s="12">
        <f>'Supply 2024'!AD16/'Supply 2024'!AD$76</f>
        <v>0</v>
      </c>
      <c r="AE15" s="12">
        <f>'Supply 2024'!AE16/'Supply 2024'!AE$76</f>
        <v>0</v>
      </c>
      <c r="AF15" s="12">
        <f>'Supply 2024'!AF16/'Supply 2024'!AF$76</f>
        <v>0</v>
      </c>
      <c r="AG15" s="12">
        <f>'Supply 2024'!AG16/'Supply 2024'!AG$76</f>
        <v>0</v>
      </c>
      <c r="AH15" s="12">
        <f>'Supply 2024'!AH16/'Supply 2024'!AH$76</f>
        <v>0</v>
      </c>
      <c r="AI15" s="12">
        <f>'Supply 2024'!AI16/'Supply 2024'!AI$76</f>
        <v>0</v>
      </c>
      <c r="AJ15" s="12">
        <f>'Supply 2024'!AJ16/'Supply 2024'!AJ$76</f>
        <v>0</v>
      </c>
      <c r="AK15" s="12">
        <f>'Supply 2024'!AK16/'Supply 2024'!AK$76</f>
        <v>0</v>
      </c>
      <c r="AL15" s="12">
        <f>'Supply 2024'!AL16/'Supply 2024'!AL$76</f>
        <v>0</v>
      </c>
      <c r="AM15" s="12">
        <f>'Supply 2024'!AM16/'Supply 2024'!AM$76</f>
        <v>0</v>
      </c>
      <c r="AN15" s="12">
        <f>'Supply 2024'!AN16/'Supply 2024'!AN$76</f>
        <v>0</v>
      </c>
      <c r="AO15" s="12">
        <f>'Supply 2024'!AO16/'Supply 2024'!AO$76</f>
        <v>0</v>
      </c>
      <c r="AP15" s="12">
        <f>'Supply 2024'!AP16/'Supply 2024'!AP$76</f>
        <v>0</v>
      </c>
      <c r="AQ15" s="12">
        <f>'Supply 2024'!AQ16/'Supply 2024'!AQ$76</f>
        <v>0</v>
      </c>
      <c r="AR15" s="12">
        <f>'Supply 2024'!AR16/'Supply 2024'!AR$76</f>
        <v>0</v>
      </c>
      <c r="AS15" s="12">
        <f>'Supply 2024'!AS16/'Supply 2024'!AS$76</f>
        <v>0</v>
      </c>
      <c r="AT15" s="12">
        <f>'Supply 2024'!AT16/'Supply 2024'!AT$76</f>
        <v>0</v>
      </c>
      <c r="AU15" s="12">
        <f>'Supply 2024'!AU16/'Supply 2024'!AU$76</f>
        <v>0</v>
      </c>
      <c r="AV15" s="12">
        <f>'Supply 2024'!AV16/'Supply 2024'!AV$76</f>
        <v>0</v>
      </c>
      <c r="AW15" s="12">
        <f>'Supply 2024'!AW16/'Supply 2024'!AW$76</f>
        <v>0</v>
      </c>
      <c r="AX15" s="12">
        <f>'Supply 2024'!AX16/'Supply 2024'!AX$76</f>
        <v>0</v>
      </c>
      <c r="AY15" s="12">
        <f>'Supply 2024'!AY16/'Supply 2024'!AY$76</f>
        <v>0</v>
      </c>
      <c r="AZ15" s="12">
        <f>'Supply 2024'!AZ16/'Supply 2024'!AZ$76</f>
        <v>0</v>
      </c>
      <c r="BA15" s="12">
        <f>'Supply 2024'!BA16/'Supply 2024'!BA$76</f>
        <v>0</v>
      </c>
      <c r="BB15" s="12">
        <f>'Supply 2024'!BB16/'Supply 2024'!BB$76</f>
        <v>0</v>
      </c>
      <c r="BC15" s="12">
        <f>'Supply 2024'!BC16/'Supply 2024'!BC$76</f>
        <v>0</v>
      </c>
      <c r="BD15" s="12">
        <f>'Supply 2024'!BD16/'Supply 2024'!BD$76</f>
        <v>0</v>
      </c>
      <c r="BE15" s="12">
        <f>'Supply 2024'!BE16/'Supply 2024'!BE$76</f>
        <v>0</v>
      </c>
      <c r="BF15" s="12">
        <f>'Supply 2024'!BF16/'Supply 2024'!BF$76</f>
        <v>0</v>
      </c>
      <c r="BG15" s="12">
        <f>'Supply 2024'!BG16/'Supply 2024'!BG$76</f>
        <v>0</v>
      </c>
      <c r="BH15" s="12">
        <f>'Supply 2024'!BH16/'Supply 2024'!BH$76</f>
        <v>0</v>
      </c>
      <c r="BI15" s="12">
        <f>'Supply 2024'!BI16/'Supply 2024'!BI$76</f>
        <v>0</v>
      </c>
      <c r="BJ15" s="12">
        <f>'Supply 2024'!BJ16/'Supply 2024'!BJ$76</f>
        <v>0</v>
      </c>
      <c r="BK15" s="12">
        <f>'Supply 2024'!BK16/'Supply 2024'!BK$76</f>
        <v>0</v>
      </c>
      <c r="BL15" s="12">
        <f>'Supply 2024'!BL16/'Supply 2024'!BL$76</f>
        <v>0</v>
      </c>
      <c r="BM15" s="12">
        <f>'Supply 2024'!BM16/'Supply 2024'!BM$76</f>
        <v>0</v>
      </c>
      <c r="BN15" s="12">
        <f>'Supply 2024'!BN16/'Supply 2024'!BN$76</f>
        <v>0</v>
      </c>
      <c r="BO15" s="12">
        <f>'Supply 2024'!BO16/'Supply 2024'!BO$76</f>
        <v>0</v>
      </c>
      <c r="BP15" s="12">
        <f>'Supply 2024'!BP16/'Supply 2024'!BP$76</f>
        <v>0</v>
      </c>
      <c r="BQ15" s="12">
        <f>'Supply 2024'!BQ16/'Supply 2024'!BQ$76</f>
        <v>0</v>
      </c>
      <c r="BR15" s="12">
        <f>'Supply 2024'!BR16/'Supply 2024'!BR$76</f>
        <v>0</v>
      </c>
      <c r="BS15" s="12">
        <f>'Supply 2024'!BS16/'Supply 2024'!BS$76</f>
        <v>0</v>
      </c>
      <c r="BT15" s="12">
        <f>'Supply 2024'!BT16/'Supply 2024'!BT$76</f>
        <v>0</v>
      </c>
      <c r="BU15" s="12">
        <f>'Supply 2024'!BU16/'Supply 2024'!BU$76</f>
        <v>0</v>
      </c>
      <c r="BV15" s="12">
        <f>'Supply 2024'!BV16/'Supply 2024'!BV$76</f>
        <v>3.7728377960685941E-3</v>
      </c>
      <c r="BW15" s="12">
        <f>'Supply 2024'!BW16/'Supply 2024'!BW$76</f>
        <v>4.6442067017857275E-2</v>
      </c>
      <c r="BX15" s="12">
        <f>'Supply 2024'!BX16/'Supply 2024'!BX$76</f>
        <v>0</v>
      </c>
      <c r="BY15" s="12">
        <f>'Supply 2024'!BY16/'Supply 2024'!BY$76</f>
        <v>6.7409107978449873E-3</v>
      </c>
      <c r="BZ15" s="12">
        <f>'Supply 2024'!BZ16/'Supply 2024'!BZ$76</f>
        <v>-165144</v>
      </c>
      <c r="CA15" s="12" t="e">
        <f>'Supply 2024'!CA16/'Supply 2024'!CA$76</f>
        <v>#DIV/0!</v>
      </c>
      <c r="CB15" s="12">
        <f>'Supply 2024'!CB16/'Supply 2024'!CB$76</f>
        <v>-178331</v>
      </c>
      <c r="CC15" s="12">
        <f>'Supply 2024'!CC16/'Supply 2024'!CC$76</f>
        <v>0.10749279194133059</v>
      </c>
      <c r="CD15" s="12">
        <f>'Supply 2024'!CD16/'Supply 2024'!CD$76</f>
        <v>1.1500893125150699E-2</v>
      </c>
      <c r="CE15" s="12">
        <f>'Supply 2024'!CE16/'Supply 2024'!CE$76</f>
        <v>6.804243699359864E-3</v>
      </c>
      <c r="CF15" s="12">
        <f>'Supply 2024'!CF16/'Supply 2024'!CF$76</f>
        <v>1.9857946840920654E-2</v>
      </c>
      <c r="CG15" s="12">
        <f>'Supply 2024'!CG16/'Supply 2024'!CG$76</f>
        <v>1.0261513762739054E-2</v>
      </c>
    </row>
    <row r="16" spans="1:85" x14ac:dyDescent="0.25">
      <c r="A16" t="s">
        <v>15</v>
      </c>
      <c r="B16" t="s">
        <v>108</v>
      </c>
      <c r="C16" s="12">
        <f>'Supply 2024'!C17/'Supply 2024'!C$76</f>
        <v>0</v>
      </c>
      <c r="D16" s="12">
        <f>'Supply 2024'!D17/'Supply 2024'!D$76</f>
        <v>0</v>
      </c>
      <c r="E16" s="12">
        <f>'Supply 2024'!E17/'Supply 2024'!E$76</f>
        <v>0</v>
      </c>
      <c r="F16" s="12">
        <f>'Supply 2024'!F17/'Supply 2024'!F$76</f>
        <v>0</v>
      </c>
      <c r="G16" s="12">
        <f>'Supply 2024'!G17/'Supply 2024'!G$76</f>
        <v>0</v>
      </c>
      <c r="H16" s="12">
        <f>'Supply 2024'!H17/'Supply 2024'!H$76</f>
        <v>0</v>
      </c>
      <c r="I16" s="12">
        <f>'Supply 2024'!I17/'Supply 2024'!I$76</f>
        <v>0</v>
      </c>
      <c r="J16" s="12">
        <f>'Supply 2024'!J17/'Supply 2024'!J$76</f>
        <v>0</v>
      </c>
      <c r="K16" s="12">
        <f>'Supply 2024'!K17/'Supply 2024'!K$76</f>
        <v>1.2565038351923879E-4</v>
      </c>
      <c r="L16" s="12">
        <f>'Supply 2024'!L17/'Supply 2024'!L$76</f>
        <v>0</v>
      </c>
      <c r="M16" s="12">
        <f>'Supply 2024'!M17/'Supply 2024'!M$76</f>
        <v>2.1381912340698215E-3</v>
      </c>
      <c r="N16" s="12">
        <f>'Supply 2024'!N17/'Supply 2024'!N$76</f>
        <v>2.037145246852049E-3</v>
      </c>
      <c r="O16" s="12">
        <f>'Supply 2024'!O17/'Supply 2024'!O$76</f>
        <v>1.9419643940828345E-5</v>
      </c>
      <c r="P16" s="12">
        <f>'Supply 2024'!P17/'Supply 2024'!P$76</f>
        <v>3.8836158016559736E-4</v>
      </c>
      <c r="Q16" s="12">
        <f>'Supply 2024'!Q17/'Supply 2024'!Q$76</f>
        <v>0.96040328640264527</v>
      </c>
      <c r="R16" s="12">
        <f>'Supply 2024'!R17/'Supply 2024'!R$76</f>
        <v>6.6717777170582637E-3</v>
      </c>
      <c r="S16" s="12">
        <f>'Supply 2024'!S17/'Supply 2024'!S$76</f>
        <v>0</v>
      </c>
      <c r="T16" s="12">
        <f>'Supply 2024'!T17/'Supply 2024'!T$76</f>
        <v>2.8137468415691703E-4</v>
      </c>
      <c r="U16" s="12">
        <f>'Supply 2024'!U17/'Supply 2024'!U$76</f>
        <v>0</v>
      </c>
      <c r="V16" s="12">
        <f>'Supply 2024'!V17/'Supply 2024'!V$76</f>
        <v>1.2386016614346424E-2</v>
      </c>
      <c r="W16" s="12">
        <f>'Supply 2024'!W17/'Supply 2024'!W$76</f>
        <v>0</v>
      </c>
      <c r="X16" s="12">
        <f>'Supply 2024'!X17/'Supply 2024'!X$76</f>
        <v>0</v>
      </c>
      <c r="Y16" s="12">
        <f>'Supply 2024'!Y17/'Supply 2024'!Y$76</f>
        <v>0</v>
      </c>
      <c r="Z16" s="12">
        <f>'Supply 2024'!Z17/'Supply 2024'!Z$76</f>
        <v>0</v>
      </c>
      <c r="AA16" s="12">
        <f>'Supply 2024'!AA17/'Supply 2024'!AA$76</f>
        <v>1.0094718745993659E-6</v>
      </c>
      <c r="AB16" s="12">
        <f>'Supply 2024'!AB17/'Supply 2024'!AB$76</f>
        <v>4.3185212091859382E-3</v>
      </c>
      <c r="AC16" s="12">
        <f>'Supply 2024'!AC17/'Supply 2024'!AC$76</f>
        <v>3.346632394108558E-5</v>
      </c>
      <c r="AD16" s="12">
        <f>'Supply 2024'!AD17/'Supply 2024'!AD$76</f>
        <v>0</v>
      </c>
      <c r="AE16" s="12">
        <f>'Supply 2024'!AE17/'Supply 2024'!AE$76</f>
        <v>0</v>
      </c>
      <c r="AF16" s="12">
        <f>'Supply 2024'!AF17/'Supply 2024'!AF$76</f>
        <v>0</v>
      </c>
      <c r="AG16" s="12">
        <f>'Supply 2024'!AG17/'Supply 2024'!AG$76</f>
        <v>0</v>
      </c>
      <c r="AH16" s="12">
        <f>'Supply 2024'!AH17/'Supply 2024'!AH$76</f>
        <v>0</v>
      </c>
      <c r="AI16" s="12">
        <f>'Supply 2024'!AI17/'Supply 2024'!AI$76</f>
        <v>0</v>
      </c>
      <c r="AJ16" s="12">
        <f>'Supply 2024'!AJ17/'Supply 2024'!AJ$76</f>
        <v>0</v>
      </c>
      <c r="AK16" s="12">
        <f>'Supply 2024'!AK17/'Supply 2024'!AK$76</f>
        <v>0</v>
      </c>
      <c r="AL16" s="12">
        <f>'Supply 2024'!AL17/'Supply 2024'!AL$76</f>
        <v>0</v>
      </c>
      <c r="AM16" s="12">
        <f>'Supply 2024'!AM17/'Supply 2024'!AM$76</f>
        <v>0</v>
      </c>
      <c r="AN16" s="12">
        <f>'Supply 2024'!AN17/'Supply 2024'!AN$76</f>
        <v>0</v>
      </c>
      <c r="AO16" s="12">
        <f>'Supply 2024'!AO17/'Supply 2024'!AO$76</f>
        <v>0</v>
      </c>
      <c r="AP16" s="12">
        <f>'Supply 2024'!AP17/'Supply 2024'!AP$76</f>
        <v>0</v>
      </c>
      <c r="AQ16" s="12">
        <f>'Supply 2024'!AQ17/'Supply 2024'!AQ$76</f>
        <v>0</v>
      </c>
      <c r="AR16" s="12">
        <f>'Supply 2024'!AR17/'Supply 2024'!AR$76</f>
        <v>0</v>
      </c>
      <c r="AS16" s="12">
        <f>'Supply 2024'!AS17/'Supply 2024'!AS$76</f>
        <v>0</v>
      </c>
      <c r="AT16" s="12">
        <f>'Supply 2024'!AT17/'Supply 2024'!AT$76</f>
        <v>0</v>
      </c>
      <c r="AU16" s="12">
        <f>'Supply 2024'!AU17/'Supply 2024'!AU$76</f>
        <v>0</v>
      </c>
      <c r="AV16" s="12">
        <f>'Supply 2024'!AV17/'Supply 2024'!AV$76</f>
        <v>0</v>
      </c>
      <c r="AW16" s="12">
        <f>'Supply 2024'!AW17/'Supply 2024'!AW$76</f>
        <v>0</v>
      </c>
      <c r="AX16" s="12">
        <f>'Supply 2024'!AX17/'Supply 2024'!AX$76</f>
        <v>0</v>
      </c>
      <c r="AY16" s="12">
        <f>'Supply 2024'!AY17/'Supply 2024'!AY$76</f>
        <v>0</v>
      </c>
      <c r="AZ16" s="12">
        <f>'Supply 2024'!AZ17/'Supply 2024'!AZ$76</f>
        <v>0</v>
      </c>
      <c r="BA16" s="12">
        <f>'Supply 2024'!BA17/'Supply 2024'!BA$76</f>
        <v>0</v>
      </c>
      <c r="BB16" s="12">
        <f>'Supply 2024'!BB17/'Supply 2024'!BB$76</f>
        <v>0</v>
      </c>
      <c r="BC16" s="12">
        <f>'Supply 2024'!BC17/'Supply 2024'!BC$76</f>
        <v>0</v>
      </c>
      <c r="BD16" s="12">
        <f>'Supply 2024'!BD17/'Supply 2024'!BD$76</f>
        <v>0</v>
      </c>
      <c r="BE16" s="12">
        <f>'Supply 2024'!BE17/'Supply 2024'!BE$76</f>
        <v>0</v>
      </c>
      <c r="BF16" s="12">
        <f>'Supply 2024'!BF17/'Supply 2024'!BF$76</f>
        <v>0</v>
      </c>
      <c r="BG16" s="12">
        <f>'Supply 2024'!BG17/'Supply 2024'!BG$76</f>
        <v>0</v>
      </c>
      <c r="BH16" s="12">
        <f>'Supply 2024'!BH17/'Supply 2024'!BH$76</f>
        <v>0</v>
      </c>
      <c r="BI16" s="12">
        <f>'Supply 2024'!BI17/'Supply 2024'!BI$76</f>
        <v>0</v>
      </c>
      <c r="BJ16" s="12">
        <f>'Supply 2024'!BJ17/'Supply 2024'!BJ$76</f>
        <v>0</v>
      </c>
      <c r="BK16" s="12">
        <f>'Supply 2024'!BK17/'Supply 2024'!BK$76</f>
        <v>0</v>
      </c>
      <c r="BL16" s="12">
        <f>'Supply 2024'!BL17/'Supply 2024'!BL$76</f>
        <v>0</v>
      </c>
      <c r="BM16" s="12">
        <f>'Supply 2024'!BM17/'Supply 2024'!BM$76</f>
        <v>0</v>
      </c>
      <c r="BN16" s="12">
        <f>'Supply 2024'!BN17/'Supply 2024'!BN$76</f>
        <v>0</v>
      </c>
      <c r="BO16" s="12">
        <f>'Supply 2024'!BO17/'Supply 2024'!BO$76</f>
        <v>0</v>
      </c>
      <c r="BP16" s="12">
        <f>'Supply 2024'!BP17/'Supply 2024'!BP$76</f>
        <v>0</v>
      </c>
      <c r="BQ16" s="12">
        <f>'Supply 2024'!BQ17/'Supply 2024'!BQ$76</f>
        <v>0</v>
      </c>
      <c r="BR16" s="12">
        <f>'Supply 2024'!BR17/'Supply 2024'!BR$76</f>
        <v>0</v>
      </c>
      <c r="BS16" s="12">
        <f>'Supply 2024'!BS17/'Supply 2024'!BS$76</f>
        <v>0</v>
      </c>
      <c r="BT16" s="12">
        <f>'Supply 2024'!BT17/'Supply 2024'!BT$76</f>
        <v>0</v>
      </c>
      <c r="BU16" s="12">
        <f>'Supply 2024'!BU17/'Supply 2024'!BU$76</f>
        <v>0</v>
      </c>
      <c r="BV16" s="12">
        <f>'Supply 2024'!BV17/'Supply 2024'!BV$76</f>
        <v>1.5013203293312202E-2</v>
      </c>
      <c r="BW16" s="12">
        <f>'Supply 2024'!BW17/'Supply 2024'!BW$76</f>
        <v>0.11223562383024757</v>
      </c>
      <c r="BX16" s="12">
        <f>'Supply 2024'!BX17/'Supply 2024'!BX$76</f>
        <v>0</v>
      </c>
      <c r="BY16" s="12">
        <f>'Supply 2024'!BY17/'Supply 2024'!BY$76</f>
        <v>2.1779678192131151E-2</v>
      </c>
      <c r="BZ16" s="12">
        <f>'Supply 2024'!BZ17/'Supply 2024'!BZ$76</f>
        <v>-408984</v>
      </c>
      <c r="CA16" s="12" t="e">
        <f>'Supply 2024'!CA17/'Supply 2024'!CA$76</f>
        <v>#DIV/0!</v>
      </c>
      <c r="CB16" s="12">
        <f>'Supply 2024'!CB17/'Supply 2024'!CB$76</f>
        <v>-429704</v>
      </c>
      <c r="CC16" s="12">
        <f>'Supply 2024'!CC17/'Supply 2024'!CC$76</f>
        <v>0.10927536578654576</v>
      </c>
      <c r="CD16" s="12">
        <f>'Supply 2024'!CD17/'Supply 2024'!CD$76</f>
        <v>4.8421653487124725E-2</v>
      </c>
      <c r="CE16" s="12">
        <f>'Supply 2024'!CE17/'Supply 2024'!CE$76</f>
        <v>0</v>
      </c>
      <c r="CF16" s="12">
        <f>'Supply 2024'!CF17/'Supply 2024'!CF$76</f>
        <v>5.7738789262079766E-2</v>
      </c>
      <c r="CG16" s="12">
        <f>'Supply 2024'!CG17/'Supply 2024'!CG$76</f>
        <v>3.0343658502396592E-2</v>
      </c>
    </row>
    <row r="17" spans="1:85" x14ac:dyDescent="0.25">
      <c r="A17" t="s">
        <v>16</v>
      </c>
      <c r="B17" t="s">
        <v>109</v>
      </c>
      <c r="C17" s="12">
        <f>'Supply 2024'!C18/'Supply 2024'!C$76</f>
        <v>0</v>
      </c>
      <c r="D17" s="12">
        <f>'Supply 2024'!D18/'Supply 2024'!D$76</f>
        <v>0</v>
      </c>
      <c r="E17" s="12">
        <f>'Supply 2024'!E18/'Supply 2024'!E$76</f>
        <v>0</v>
      </c>
      <c r="F17" s="12">
        <f>'Supply 2024'!F18/'Supply 2024'!F$76</f>
        <v>0</v>
      </c>
      <c r="G17" s="12">
        <f>'Supply 2024'!G18/'Supply 2024'!G$76</f>
        <v>0</v>
      </c>
      <c r="H17" s="12">
        <f>'Supply 2024'!H18/'Supply 2024'!H$76</f>
        <v>0</v>
      </c>
      <c r="I17" s="12">
        <f>'Supply 2024'!I18/'Supply 2024'!I$76</f>
        <v>0</v>
      </c>
      <c r="J17" s="12">
        <f>'Supply 2024'!J18/'Supply 2024'!J$76</f>
        <v>0</v>
      </c>
      <c r="K17" s="12">
        <f>'Supply 2024'!K18/'Supply 2024'!K$76</f>
        <v>5.7113810690563081E-6</v>
      </c>
      <c r="L17" s="12">
        <f>'Supply 2024'!L18/'Supply 2024'!L$76</f>
        <v>0</v>
      </c>
      <c r="M17" s="12">
        <f>'Supply 2024'!M18/'Supply 2024'!M$76</f>
        <v>4.8169241868443481E-4</v>
      </c>
      <c r="N17" s="12">
        <f>'Supply 2024'!N18/'Supply 2024'!N$76</f>
        <v>8.1348319756184193E-4</v>
      </c>
      <c r="O17" s="12">
        <f>'Supply 2024'!O18/'Supply 2024'!O$76</f>
        <v>1.2525670341834282E-3</v>
      </c>
      <c r="P17" s="12">
        <f>'Supply 2024'!P18/'Supply 2024'!P$76</f>
        <v>5.1781544022079654E-6</v>
      </c>
      <c r="Q17" s="12">
        <f>'Supply 2024'!Q18/'Supply 2024'!Q$76</f>
        <v>7.243997617345105E-3</v>
      </c>
      <c r="R17" s="12">
        <f>'Supply 2024'!R18/'Supply 2024'!R$76</f>
        <v>0.90674366844315457</v>
      </c>
      <c r="S17" s="12">
        <f>'Supply 2024'!S18/'Supply 2024'!S$76</f>
        <v>0</v>
      </c>
      <c r="T17" s="12">
        <f>'Supply 2024'!T18/'Supply 2024'!T$76</f>
        <v>2.9262967152319369E-4</v>
      </c>
      <c r="U17" s="12">
        <f>'Supply 2024'!U18/'Supply 2024'!U$76</f>
        <v>0</v>
      </c>
      <c r="V17" s="12">
        <f>'Supply 2024'!V18/'Supply 2024'!V$76</f>
        <v>0</v>
      </c>
      <c r="W17" s="12">
        <f>'Supply 2024'!W18/'Supply 2024'!W$76</f>
        <v>0</v>
      </c>
      <c r="X17" s="12">
        <f>'Supply 2024'!X18/'Supply 2024'!X$76</f>
        <v>0</v>
      </c>
      <c r="Y17" s="12">
        <f>'Supply 2024'!Y18/'Supply 2024'!Y$76</f>
        <v>0</v>
      </c>
      <c r="Z17" s="12">
        <f>'Supply 2024'!Z18/'Supply 2024'!Z$76</f>
        <v>0</v>
      </c>
      <c r="AA17" s="12">
        <f>'Supply 2024'!AA18/'Supply 2024'!AA$76</f>
        <v>0</v>
      </c>
      <c r="AB17" s="12">
        <f>'Supply 2024'!AB18/'Supply 2024'!AB$76</f>
        <v>3.7669343880749619E-4</v>
      </c>
      <c r="AC17" s="12">
        <f>'Supply 2024'!AC18/'Supply 2024'!AC$76</f>
        <v>0</v>
      </c>
      <c r="AD17" s="12">
        <f>'Supply 2024'!AD18/'Supply 2024'!AD$76</f>
        <v>0</v>
      </c>
      <c r="AE17" s="12">
        <f>'Supply 2024'!AE18/'Supply 2024'!AE$76</f>
        <v>0</v>
      </c>
      <c r="AF17" s="12">
        <f>'Supply 2024'!AF18/'Supply 2024'!AF$76</f>
        <v>0</v>
      </c>
      <c r="AG17" s="12">
        <f>'Supply 2024'!AG18/'Supply 2024'!AG$76</f>
        <v>0</v>
      </c>
      <c r="AH17" s="12">
        <f>'Supply 2024'!AH18/'Supply 2024'!AH$76</f>
        <v>0</v>
      </c>
      <c r="AI17" s="12">
        <f>'Supply 2024'!AI18/'Supply 2024'!AI$76</f>
        <v>0</v>
      </c>
      <c r="AJ17" s="12">
        <f>'Supply 2024'!AJ18/'Supply 2024'!AJ$76</f>
        <v>0</v>
      </c>
      <c r="AK17" s="12">
        <f>'Supply 2024'!AK18/'Supply 2024'!AK$76</f>
        <v>0</v>
      </c>
      <c r="AL17" s="12">
        <f>'Supply 2024'!AL18/'Supply 2024'!AL$76</f>
        <v>0</v>
      </c>
      <c r="AM17" s="12">
        <f>'Supply 2024'!AM18/'Supply 2024'!AM$76</f>
        <v>0</v>
      </c>
      <c r="AN17" s="12">
        <f>'Supply 2024'!AN18/'Supply 2024'!AN$76</f>
        <v>0</v>
      </c>
      <c r="AO17" s="12">
        <f>'Supply 2024'!AO18/'Supply 2024'!AO$76</f>
        <v>0</v>
      </c>
      <c r="AP17" s="12">
        <f>'Supply 2024'!AP18/'Supply 2024'!AP$76</f>
        <v>0</v>
      </c>
      <c r="AQ17" s="12">
        <f>'Supply 2024'!AQ18/'Supply 2024'!AQ$76</f>
        <v>0</v>
      </c>
      <c r="AR17" s="12">
        <f>'Supply 2024'!AR18/'Supply 2024'!AR$76</f>
        <v>0</v>
      </c>
      <c r="AS17" s="12">
        <f>'Supply 2024'!AS18/'Supply 2024'!AS$76</f>
        <v>0</v>
      </c>
      <c r="AT17" s="12">
        <f>'Supply 2024'!AT18/'Supply 2024'!AT$76</f>
        <v>0</v>
      </c>
      <c r="AU17" s="12">
        <f>'Supply 2024'!AU18/'Supply 2024'!AU$76</f>
        <v>0</v>
      </c>
      <c r="AV17" s="12">
        <f>'Supply 2024'!AV18/'Supply 2024'!AV$76</f>
        <v>0</v>
      </c>
      <c r="AW17" s="12">
        <f>'Supply 2024'!AW18/'Supply 2024'!AW$76</f>
        <v>0</v>
      </c>
      <c r="AX17" s="12">
        <f>'Supply 2024'!AX18/'Supply 2024'!AX$76</f>
        <v>0</v>
      </c>
      <c r="AY17" s="12">
        <f>'Supply 2024'!AY18/'Supply 2024'!AY$76</f>
        <v>0</v>
      </c>
      <c r="AZ17" s="12">
        <f>'Supply 2024'!AZ18/'Supply 2024'!AZ$76</f>
        <v>0</v>
      </c>
      <c r="BA17" s="12">
        <f>'Supply 2024'!BA18/'Supply 2024'!BA$76</f>
        <v>0</v>
      </c>
      <c r="BB17" s="12">
        <f>'Supply 2024'!BB18/'Supply 2024'!BB$76</f>
        <v>0</v>
      </c>
      <c r="BC17" s="12">
        <f>'Supply 2024'!BC18/'Supply 2024'!BC$76</f>
        <v>0</v>
      </c>
      <c r="BD17" s="12">
        <f>'Supply 2024'!BD18/'Supply 2024'!BD$76</f>
        <v>0</v>
      </c>
      <c r="BE17" s="12">
        <f>'Supply 2024'!BE18/'Supply 2024'!BE$76</f>
        <v>0</v>
      </c>
      <c r="BF17" s="12">
        <f>'Supply 2024'!BF18/'Supply 2024'!BF$76</f>
        <v>0</v>
      </c>
      <c r="BG17" s="12">
        <f>'Supply 2024'!BG18/'Supply 2024'!BG$76</f>
        <v>0</v>
      </c>
      <c r="BH17" s="12">
        <f>'Supply 2024'!BH18/'Supply 2024'!BH$76</f>
        <v>0</v>
      </c>
      <c r="BI17" s="12">
        <f>'Supply 2024'!BI18/'Supply 2024'!BI$76</f>
        <v>0</v>
      </c>
      <c r="BJ17" s="12">
        <f>'Supply 2024'!BJ18/'Supply 2024'!BJ$76</f>
        <v>0</v>
      </c>
      <c r="BK17" s="12">
        <f>'Supply 2024'!BK18/'Supply 2024'!BK$76</f>
        <v>0</v>
      </c>
      <c r="BL17" s="12">
        <f>'Supply 2024'!BL18/'Supply 2024'!BL$76</f>
        <v>0</v>
      </c>
      <c r="BM17" s="12">
        <f>'Supply 2024'!BM18/'Supply 2024'!BM$76</f>
        <v>0</v>
      </c>
      <c r="BN17" s="12">
        <f>'Supply 2024'!BN18/'Supply 2024'!BN$76</f>
        <v>0</v>
      </c>
      <c r="BO17" s="12">
        <f>'Supply 2024'!BO18/'Supply 2024'!BO$76</f>
        <v>0</v>
      </c>
      <c r="BP17" s="12">
        <f>'Supply 2024'!BP18/'Supply 2024'!BP$76</f>
        <v>0</v>
      </c>
      <c r="BQ17" s="12">
        <f>'Supply 2024'!BQ18/'Supply 2024'!BQ$76</f>
        <v>0</v>
      </c>
      <c r="BR17" s="12">
        <f>'Supply 2024'!BR18/'Supply 2024'!BR$76</f>
        <v>0</v>
      </c>
      <c r="BS17" s="12">
        <f>'Supply 2024'!BS18/'Supply 2024'!BS$76</f>
        <v>0</v>
      </c>
      <c r="BT17" s="12">
        <f>'Supply 2024'!BT18/'Supply 2024'!BT$76</f>
        <v>0</v>
      </c>
      <c r="BU17" s="12">
        <f>'Supply 2024'!BU18/'Supply 2024'!BU$76</f>
        <v>0</v>
      </c>
      <c r="BV17" s="12">
        <f>'Supply 2024'!BV18/'Supply 2024'!BV$76</f>
        <v>7.0113499454915445E-3</v>
      </c>
      <c r="BW17" s="12">
        <f>'Supply 2024'!BW18/'Supply 2024'!BW$76</f>
        <v>1.627174783235515E-2</v>
      </c>
      <c r="BX17" s="12">
        <f>'Supply 2024'!BX18/'Supply 2024'!BX$76</f>
        <v>0</v>
      </c>
      <c r="BY17" s="12">
        <f>'Supply 2024'!BY18/'Supply 2024'!BY$76</f>
        <v>7.6590731146075983E-3</v>
      </c>
      <c r="BZ17" s="12">
        <f>'Supply 2024'!BZ18/'Supply 2024'!BZ$76</f>
        <v>-39163</v>
      </c>
      <c r="CA17" s="12" t="e">
        <f>'Supply 2024'!CA18/'Supply 2024'!CA$76</f>
        <v>#DIV/0!</v>
      </c>
      <c r="CB17" s="12">
        <f>'Supply 2024'!CB18/'Supply 2024'!CB$76</f>
        <v>-45236</v>
      </c>
      <c r="CC17" s="12">
        <f>'Supply 2024'!CC18/'Supply 2024'!CC$76</f>
        <v>9.9895916829171993E-3</v>
      </c>
      <c r="CD17" s="12">
        <f>'Supply 2024'!CD18/'Supply 2024'!CD$76</f>
        <v>3.7594909924760973E-3</v>
      </c>
      <c r="CE17" s="12">
        <f>'Supply 2024'!CE18/'Supply 2024'!CE$76</f>
        <v>0</v>
      </c>
      <c r="CF17" s="12">
        <f>'Supply 2024'!CF18/'Supply 2024'!CF$76</f>
        <v>4.6074237424356098E-3</v>
      </c>
      <c r="CG17" s="12">
        <f>'Supply 2024'!CG18/'Supply 2024'!CG$76</f>
        <v>8.4336841504843649E-3</v>
      </c>
    </row>
    <row r="18" spans="1:85" x14ac:dyDescent="0.25">
      <c r="A18" t="s">
        <v>17</v>
      </c>
      <c r="B18" t="s">
        <v>110</v>
      </c>
      <c r="C18" s="12">
        <f>'Supply 2024'!C19/'Supply 2024'!C$76</f>
        <v>0</v>
      </c>
      <c r="D18" s="12">
        <f>'Supply 2024'!D19/'Supply 2024'!D$76</f>
        <v>0</v>
      </c>
      <c r="E18" s="12">
        <f>'Supply 2024'!E19/'Supply 2024'!E$76</f>
        <v>0</v>
      </c>
      <c r="F18" s="12">
        <f>'Supply 2024'!F19/'Supply 2024'!F$76</f>
        <v>0</v>
      </c>
      <c r="G18" s="12">
        <f>'Supply 2024'!G19/'Supply 2024'!G$76</f>
        <v>0</v>
      </c>
      <c r="H18" s="12">
        <f>'Supply 2024'!H19/'Supply 2024'!H$76</f>
        <v>0</v>
      </c>
      <c r="I18" s="12">
        <f>'Supply 2024'!I19/'Supply 2024'!I$76</f>
        <v>0</v>
      </c>
      <c r="J18" s="12">
        <f>'Supply 2024'!J19/'Supply 2024'!J$76</f>
        <v>5.6107431935246508E-3</v>
      </c>
      <c r="K18" s="12">
        <f>'Supply 2024'!K19/'Supply 2024'!K$76</f>
        <v>7.0821125256298229E-4</v>
      </c>
      <c r="L18" s="12">
        <f>'Supply 2024'!L19/'Supply 2024'!L$76</f>
        <v>9.9373285810819766E-6</v>
      </c>
      <c r="M18" s="12">
        <f>'Supply 2024'!M19/'Supply 2024'!M$76</f>
        <v>1.3295582597172182E-4</v>
      </c>
      <c r="N18" s="12">
        <f>'Supply 2024'!N19/'Supply 2024'!N$76</f>
        <v>1.6040513754740545E-5</v>
      </c>
      <c r="O18" s="12">
        <f>'Supply 2024'!O19/'Supply 2024'!O$76</f>
        <v>0</v>
      </c>
      <c r="P18" s="12">
        <f>'Supply 2024'!P19/'Supply 2024'!P$76</f>
        <v>7.2494161630911509E-5</v>
      </c>
      <c r="Q18" s="12">
        <f>'Supply 2024'!Q19/'Supply 2024'!Q$76</f>
        <v>0</v>
      </c>
      <c r="R18" s="12">
        <f>'Supply 2024'!R19/'Supply 2024'!R$76</f>
        <v>0</v>
      </c>
      <c r="S18" s="12">
        <f>'Supply 2024'!S19/'Supply 2024'!S$76</f>
        <v>0.95563676790614061</v>
      </c>
      <c r="T18" s="12">
        <f>'Supply 2024'!T19/'Supply 2024'!T$76</f>
        <v>1.3337160029037868E-3</v>
      </c>
      <c r="U18" s="12">
        <f>'Supply 2024'!U19/'Supply 2024'!U$76</f>
        <v>0</v>
      </c>
      <c r="V18" s="12">
        <f>'Supply 2024'!V19/'Supply 2024'!V$76</f>
        <v>1.4307984709676042E-3</v>
      </c>
      <c r="W18" s="12">
        <f>'Supply 2024'!W19/'Supply 2024'!W$76</f>
        <v>0</v>
      </c>
      <c r="X18" s="12">
        <f>'Supply 2024'!X19/'Supply 2024'!X$76</f>
        <v>0</v>
      </c>
      <c r="Y18" s="12">
        <f>'Supply 2024'!Y19/'Supply 2024'!Y$76</f>
        <v>2.2526260877812819E-4</v>
      </c>
      <c r="Z18" s="12">
        <f>'Supply 2024'!Z19/'Supply 2024'!Z$76</f>
        <v>0</v>
      </c>
      <c r="AA18" s="12">
        <f>'Supply 2024'!AA19/'Supply 2024'!AA$76</f>
        <v>0</v>
      </c>
      <c r="AB18" s="12">
        <f>'Supply 2024'!AB19/'Supply 2024'!AB$76</f>
        <v>8.7110357724233501E-4</v>
      </c>
      <c r="AC18" s="12">
        <f>'Supply 2024'!AC19/'Supply 2024'!AC$76</f>
        <v>0</v>
      </c>
      <c r="AD18" s="12">
        <f>'Supply 2024'!AD19/'Supply 2024'!AD$76</f>
        <v>0</v>
      </c>
      <c r="AE18" s="12">
        <f>'Supply 2024'!AE19/'Supply 2024'!AE$76</f>
        <v>0</v>
      </c>
      <c r="AF18" s="12">
        <f>'Supply 2024'!AF19/'Supply 2024'!AF$76</f>
        <v>0</v>
      </c>
      <c r="AG18" s="12">
        <f>'Supply 2024'!AG19/'Supply 2024'!AG$76</f>
        <v>0</v>
      </c>
      <c r="AH18" s="12">
        <f>'Supply 2024'!AH19/'Supply 2024'!AH$76</f>
        <v>0</v>
      </c>
      <c r="AI18" s="12">
        <f>'Supply 2024'!AI19/'Supply 2024'!AI$76</f>
        <v>0</v>
      </c>
      <c r="AJ18" s="12">
        <f>'Supply 2024'!AJ19/'Supply 2024'!AJ$76</f>
        <v>0</v>
      </c>
      <c r="AK18" s="12">
        <f>'Supply 2024'!AK19/'Supply 2024'!AK$76</f>
        <v>0</v>
      </c>
      <c r="AL18" s="12">
        <f>'Supply 2024'!AL19/'Supply 2024'!AL$76</f>
        <v>0</v>
      </c>
      <c r="AM18" s="12">
        <f>'Supply 2024'!AM19/'Supply 2024'!AM$76</f>
        <v>0</v>
      </c>
      <c r="AN18" s="12">
        <f>'Supply 2024'!AN19/'Supply 2024'!AN$76</f>
        <v>0</v>
      </c>
      <c r="AO18" s="12">
        <f>'Supply 2024'!AO19/'Supply 2024'!AO$76</f>
        <v>0</v>
      </c>
      <c r="AP18" s="12">
        <f>'Supply 2024'!AP19/'Supply 2024'!AP$76</f>
        <v>0</v>
      </c>
      <c r="AQ18" s="12">
        <f>'Supply 2024'!AQ19/'Supply 2024'!AQ$76</f>
        <v>0</v>
      </c>
      <c r="AR18" s="12">
        <f>'Supply 2024'!AR19/'Supply 2024'!AR$76</f>
        <v>0</v>
      </c>
      <c r="AS18" s="12">
        <f>'Supply 2024'!AS19/'Supply 2024'!AS$76</f>
        <v>0</v>
      </c>
      <c r="AT18" s="12">
        <f>'Supply 2024'!AT19/'Supply 2024'!AT$76</f>
        <v>0</v>
      </c>
      <c r="AU18" s="12">
        <f>'Supply 2024'!AU19/'Supply 2024'!AU$76</f>
        <v>0</v>
      </c>
      <c r="AV18" s="12">
        <f>'Supply 2024'!AV19/'Supply 2024'!AV$76</f>
        <v>0</v>
      </c>
      <c r="AW18" s="12">
        <f>'Supply 2024'!AW19/'Supply 2024'!AW$76</f>
        <v>0</v>
      </c>
      <c r="AX18" s="12">
        <f>'Supply 2024'!AX19/'Supply 2024'!AX$76</f>
        <v>0</v>
      </c>
      <c r="AY18" s="12">
        <f>'Supply 2024'!AY19/'Supply 2024'!AY$76</f>
        <v>0</v>
      </c>
      <c r="AZ18" s="12">
        <f>'Supply 2024'!AZ19/'Supply 2024'!AZ$76</f>
        <v>0</v>
      </c>
      <c r="BA18" s="12">
        <f>'Supply 2024'!BA19/'Supply 2024'!BA$76</f>
        <v>0</v>
      </c>
      <c r="BB18" s="12">
        <f>'Supply 2024'!BB19/'Supply 2024'!BB$76</f>
        <v>0</v>
      </c>
      <c r="BC18" s="12">
        <f>'Supply 2024'!BC19/'Supply 2024'!BC$76</f>
        <v>0</v>
      </c>
      <c r="BD18" s="12">
        <f>'Supply 2024'!BD19/'Supply 2024'!BD$76</f>
        <v>0</v>
      </c>
      <c r="BE18" s="12">
        <f>'Supply 2024'!BE19/'Supply 2024'!BE$76</f>
        <v>0</v>
      </c>
      <c r="BF18" s="12">
        <f>'Supply 2024'!BF19/'Supply 2024'!BF$76</f>
        <v>0</v>
      </c>
      <c r="BG18" s="12">
        <f>'Supply 2024'!BG19/'Supply 2024'!BG$76</f>
        <v>0</v>
      </c>
      <c r="BH18" s="12">
        <f>'Supply 2024'!BH19/'Supply 2024'!BH$76</f>
        <v>0</v>
      </c>
      <c r="BI18" s="12">
        <f>'Supply 2024'!BI19/'Supply 2024'!BI$76</f>
        <v>0</v>
      </c>
      <c r="BJ18" s="12">
        <f>'Supply 2024'!BJ19/'Supply 2024'!BJ$76</f>
        <v>0</v>
      </c>
      <c r="BK18" s="12">
        <f>'Supply 2024'!BK19/'Supply 2024'!BK$76</f>
        <v>0</v>
      </c>
      <c r="BL18" s="12">
        <f>'Supply 2024'!BL19/'Supply 2024'!BL$76</f>
        <v>0</v>
      </c>
      <c r="BM18" s="12">
        <f>'Supply 2024'!BM19/'Supply 2024'!BM$76</f>
        <v>0</v>
      </c>
      <c r="BN18" s="12">
        <f>'Supply 2024'!BN19/'Supply 2024'!BN$76</f>
        <v>0</v>
      </c>
      <c r="BO18" s="12">
        <f>'Supply 2024'!BO19/'Supply 2024'!BO$76</f>
        <v>0</v>
      </c>
      <c r="BP18" s="12">
        <f>'Supply 2024'!BP19/'Supply 2024'!BP$76</f>
        <v>0</v>
      </c>
      <c r="BQ18" s="12">
        <f>'Supply 2024'!BQ19/'Supply 2024'!BQ$76</f>
        <v>0</v>
      </c>
      <c r="BR18" s="12">
        <f>'Supply 2024'!BR19/'Supply 2024'!BR$76</f>
        <v>0</v>
      </c>
      <c r="BS18" s="12">
        <f>'Supply 2024'!BS19/'Supply 2024'!BS$76</f>
        <v>0</v>
      </c>
      <c r="BT18" s="12">
        <f>'Supply 2024'!BT19/'Supply 2024'!BT$76</f>
        <v>0</v>
      </c>
      <c r="BU18" s="12">
        <f>'Supply 2024'!BU19/'Supply 2024'!BU$76</f>
        <v>0</v>
      </c>
      <c r="BV18" s="12">
        <f>'Supply 2024'!BV19/'Supply 2024'!BV$76</f>
        <v>1.660451636892642E-3</v>
      </c>
      <c r="BW18" s="12">
        <f>'Supply 2024'!BW19/'Supply 2024'!BW$76</f>
        <v>1.3426091041622444E-2</v>
      </c>
      <c r="BX18" s="12">
        <f>'Supply 2024'!BX19/'Supply 2024'!BX$76</f>
        <v>0</v>
      </c>
      <c r="BY18" s="12">
        <f>'Supply 2024'!BY19/'Supply 2024'!BY$76</f>
        <v>2.4792273663261869E-3</v>
      </c>
      <c r="BZ18" s="12">
        <f>'Supply 2024'!BZ19/'Supply 2024'!BZ$76</f>
        <v>-96442</v>
      </c>
      <c r="CA18" s="12" t="e">
        <f>'Supply 2024'!CA19/'Supply 2024'!CA$76</f>
        <v>#DIV/0!</v>
      </c>
      <c r="CB18" s="12">
        <f>'Supply 2024'!CB19/'Supply 2024'!CB$76</f>
        <v>-118350</v>
      </c>
      <c r="CC18" s="12">
        <f>'Supply 2024'!CC19/'Supply 2024'!CC$76</f>
        <v>3.1870984722504693E-2</v>
      </c>
      <c r="CD18" s="12">
        <f>'Supply 2024'!CD19/'Supply 2024'!CD$76</f>
        <v>1.1031448831064024E-2</v>
      </c>
      <c r="CE18" s="12">
        <f>'Supply 2024'!CE19/'Supply 2024'!CE$76</f>
        <v>0</v>
      </c>
      <c r="CF18" s="12">
        <f>'Supply 2024'!CF19/'Supply 2024'!CF$76</f>
        <v>1.3731211509948275E-2</v>
      </c>
      <c r="CG18" s="12">
        <f>'Supply 2024'!CG19/'Supply 2024'!CG$76</f>
        <v>4.862959914140319E-3</v>
      </c>
    </row>
    <row r="19" spans="1:85" x14ac:dyDescent="0.25">
      <c r="A19" t="s">
        <v>18</v>
      </c>
      <c r="B19" t="s">
        <v>111</v>
      </c>
      <c r="C19" s="12">
        <f>'Supply 2024'!C20/'Supply 2024'!C$76</f>
        <v>0</v>
      </c>
      <c r="D19" s="12">
        <f>'Supply 2024'!D20/'Supply 2024'!D$76</f>
        <v>0</v>
      </c>
      <c r="E19" s="12">
        <f>'Supply 2024'!E20/'Supply 2024'!E$76</f>
        <v>0</v>
      </c>
      <c r="F19" s="12">
        <f>'Supply 2024'!F20/'Supply 2024'!F$76</f>
        <v>0</v>
      </c>
      <c r="G19" s="12">
        <f>'Supply 2024'!G20/'Supply 2024'!G$76</f>
        <v>0</v>
      </c>
      <c r="H19" s="12">
        <f>'Supply 2024'!H20/'Supply 2024'!H$76</f>
        <v>0</v>
      </c>
      <c r="I19" s="12">
        <f>'Supply 2024'!I20/'Supply 2024'!I$76</f>
        <v>0</v>
      </c>
      <c r="J19" s="12">
        <f>'Supply 2024'!J20/'Supply 2024'!J$76</f>
        <v>1.7246136865342165E-4</v>
      </c>
      <c r="K19" s="12">
        <f>'Supply 2024'!K20/'Supply 2024'!K$76</f>
        <v>1.4278452672640771E-4</v>
      </c>
      <c r="L19" s="12">
        <f>'Supply 2024'!L20/'Supply 2024'!L$76</f>
        <v>0</v>
      </c>
      <c r="M19" s="12">
        <f>'Supply 2024'!M20/'Supply 2024'!M$76</f>
        <v>1.1530103596564072E-3</v>
      </c>
      <c r="N19" s="12">
        <f>'Supply 2024'!N20/'Supply 2024'!N$76</f>
        <v>1.5582213361747959E-4</v>
      </c>
      <c r="O19" s="12">
        <f>'Supply 2024'!O20/'Supply 2024'!O$76</f>
        <v>4.3305805988047208E-3</v>
      </c>
      <c r="P19" s="12">
        <f>'Supply 2024'!P20/'Supply 2024'!P$76</f>
        <v>7.7672316033119472E-5</v>
      </c>
      <c r="Q19" s="12">
        <f>'Supply 2024'!Q20/'Supply 2024'!Q$76</f>
        <v>1.2977423176899148E-5</v>
      </c>
      <c r="R19" s="12">
        <f>'Supply 2024'!R20/'Supply 2024'!R$76</f>
        <v>5.305588641795836E-6</v>
      </c>
      <c r="S19" s="12">
        <f>'Supply 2024'!S20/'Supply 2024'!S$76</f>
        <v>2.0697322357838962E-3</v>
      </c>
      <c r="T19" s="12">
        <f>'Supply 2024'!T20/'Supply 2024'!T$76</f>
        <v>0.83501314019775008</v>
      </c>
      <c r="U19" s="12">
        <f>'Supply 2024'!U20/'Supply 2024'!U$76</f>
        <v>3.229809853019428E-6</v>
      </c>
      <c r="V19" s="12">
        <f>'Supply 2024'!V20/'Supply 2024'!V$76</f>
        <v>5.3388002648044927E-4</v>
      </c>
      <c r="W19" s="12">
        <f>'Supply 2024'!W20/'Supply 2024'!W$76</f>
        <v>3.2019028451193851E-4</v>
      </c>
      <c r="X19" s="12">
        <f>'Supply 2024'!X20/'Supply 2024'!X$76</f>
        <v>2.3732657783305743E-3</v>
      </c>
      <c r="Y19" s="12">
        <f>'Supply 2024'!Y20/'Supply 2024'!Y$76</f>
        <v>8.8682332297915726E-3</v>
      </c>
      <c r="Z19" s="12">
        <f>'Supply 2024'!Z20/'Supply 2024'!Z$76</f>
        <v>0</v>
      </c>
      <c r="AA19" s="12">
        <f>'Supply 2024'!AA20/'Supply 2024'!AA$76</f>
        <v>1.6777422555841459E-3</v>
      </c>
      <c r="AB19" s="12">
        <f>'Supply 2024'!AB20/'Supply 2024'!AB$76</f>
        <v>5.3241581574309509E-3</v>
      </c>
      <c r="AC19" s="12">
        <f>'Supply 2024'!AC20/'Supply 2024'!AC$76</f>
        <v>2.2817948141649257E-6</v>
      </c>
      <c r="AD19" s="12">
        <f>'Supply 2024'!AD20/'Supply 2024'!AD$76</f>
        <v>0</v>
      </c>
      <c r="AE19" s="12">
        <f>'Supply 2024'!AE20/'Supply 2024'!AE$76</f>
        <v>0</v>
      </c>
      <c r="AF19" s="12">
        <f>'Supply 2024'!AF20/'Supply 2024'!AF$76</f>
        <v>0</v>
      </c>
      <c r="AG19" s="12">
        <f>'Supply 2024'!AG20/'Supply 2024'!AG$76</f>
        <v>1.748252938433312E-3</v>
      </c>
      <c r="AH19" s="12">
        <f>'Supply 2024'!AH20/'Supply 2024'!AH$76</f>
        <v>0</v>
      </c>
      <c r="AI19" s="12">
        <f>'Supply 2024'!AI20/'Supply 2024'!AI$76</f>
        <v>0</v>
      </c>
      <c r="AJ19" s="12">
        <f>'Supply 2024'!AJ20/'Supply 2024'!AJ$76</f>
        <v>0</v>
      </c>
      <c r="AK19" s="12">
        <f>'Supply 2024'!AK20/'Supply 2024'!AK$76</f>
        <v>0</v>
      </c>
      <c r="AL19" s="12">
        <f>'Supply 2024'!AL20/'Supply 2024'!AL$76</f>
        <v>0</v>
      </c>
      <c r="AM19" s="12">
        <f>'Supply 2024'!AM20/'Supply 2024'!AM$76</f>
        <v>0</v>
      </c>
      <c r="AN19" s="12">
        <f>'Supply 2024'!AN20/'Supply 2024'!AN$76</f>
        <v>0</v>
      </c>
      <c r="AO19" s="12">
        <f>'Supply 2024'!AO20/'Supply 2024'!AO$76</f>
        <v>0</v>
      </c>
      <c r="AP19" s="12">
        <f>'Supply 2024'!AP20/'Supply 2024'!AP$76</f>
        <v>0</v>
      </c>
      <c r="AQ19" s="12">
        <f>'Supply 2024'!AQ20/'Supply 2024'!AQ$76</f>
        <v>0</v>
      </c>
      <c r="AR19" s="12">
        <f>'Supply 2024'!AR20/'Supply 2024'!AR$76</f>
        <v>0</v>
      </c>
      <c r="AS19" s="12">
        <f>'Supply 2024'!AS20/'Supply 2024'!AS$76</f>
        <v>0</v>
      </c>
      <c r="AT19" s="12">
        <f>'Supply 2024'!AT20/'Supply 2024'!AT$76</f>
        <v>0</v>
      </c>
      <c r="AU19" s="12">
        <f>'Supply 2024'!AU20/'Supply 2024'!AU$76</f>
        <v>0</v>
      </c>
      <c r="AV19" s="12">
        <f>'Supply 2024'!AV20/'Supply 2024'!AV$76</f>
        <v>0</v>
      </c>
      <c r="AW19" s="12">
        <f>'Supply 2024'!AW20/'Supply 2024'!AW$76</f>
        <v>0</v>
      </c>
      <c r="AX19" s="12">
        <f>'Supply 2024'!AX20/'Supply 2024'!AX$76</f>
        <v>0</v>
      </c>
      <c r="AY19" s="12">
        <f>'Supply 2024'!AY20/'Supply 2024'!AY$76</f>
        <v>0</v>
      </c>
      <c r="AZ19" s="12">
        <f>'Supply 2024'!AZ20/'Supply 2024'!AZ$76</f>
        <v>0</v>
      </c>
      <c r="BA19" s="12">
        <f>'Supply 2024'!BA20/'Supply 2024'!BA$76</f>
        <v>0</v>
      </c>
      <c r="BB19" s="12">
        <f>'Supply 2024'!BB20/'Supply 2024'!BB$76</f>
        <v>0</v>
      </c>
      <c r="BC19" s="12">
        <f>'Supply 2024'!BC20/'Supply 2024'!BC$76</f>
        <v>0</v>
      </c>
      <c r="BD19" s="12">
        <f>'Supply 2024'!BD20/'Supply 2024'!BD$76</f>
        <v>0</v>
      </c>
      <c r="BE19" s="12">
        <f>'Supply 2024'!BE20/'Supply 2024'!BE$76</f>
        <v>0</v>
      </c>
      <c r="BF19" s="12">
        <f>'Supply 2024'!BF20/'Supply 2024'!BF$76</f>
        <v>0</v>
      </c>
      <c r="BG19" s="12">
        <f>'Supply 2024'!BG20/'Supply 2024'!BG$76</f>
        <v>0</v>
      </c>
      <c r="BH19" s="12">
        <f>'Supply 2024'!BH20/'Supply 2024'!BH$76</f>
        <v>0</v>
      </c>
      <c r="BI19" s="12">
        <f>'Supply 2024'!BI20/'Supply 2024'!BI$76</f>
        <v>0</v>
      </c>
      <c r="BJ19" s="12">
        <f>'Supply 2024'!BJ20/'Supply 2024'!BJ$76</f>
        <v>0</v>
      </c>
      <c r="BK19" s="12">
        <f>'Supply 2024'!BK20/'Supply 2024'!BK$76</f>
        <v>0</v>
      </c>
      <c r="BL19" s="12">
        <f>'Supply 2024'!BL20/'Supply 2024'!BL$76</f>
        <v>0</v>
      </c>
      <c r="BM19" s="12">
        <f>'Supply 2024'!BM20/'Supply 2024'!BM$76</f>
        <v>0</v>
      </c>
      <c r="BN19" s="12">
        <f>'Supply 2024'!BN20/'Supply 2024'!BN$76</f>
        <v>0</v>
      </c>
      <c r="BO19" s="12">
        <f>'Supply 2024'!BO20/'Supply 2024'!BO$76</f>
        <v>0</v>
      </c>
      <c r="BP19" s="12">
        <f>'Supply 2024'!BP20/'Supply 2024'!BP$76</f>
        <v>0</v>
      </c>
      <c r="BQ19" s="12">
        <f>'Supply 2024'!BQ20/'Supply 2024'!BQ$76</f>
        <v>2.2424893425693995E-6</v>
      </c>
      <c r="BR19" s="12">
        <f>'Supply 2024'!BR20/'Supply 2024'!BR$76</f>
        <v>-1.747118842200226E-5</v>
      </c>
      <c r="BS19" s="12">
        <f>'Supply 2024'!BS20/'Supply 2024'!BS$76</f>
        <v>0</v>
      </c>
      <c r="BT19" s="12">
        <f>'Supply 2024'!BT20/'Supply 2024'!BT$76</f>
        <v>4.8254877958530529E-4</v>
      </c>
      <c r="BU19" s="12">
        <f>'Supply 2024'!BU20/'Supply 2024'!BU$76</f>
        <v>0</v>
      </c>
      <c r="BV19" s="12">
        <f>'Supply 2024'!BV20/'Supply 2024'!BV$76</f>
        <v>3.2120673535878347E-3</v>
      </c>
      <c r="BW19" s="12">
        <f>'Supply 2024'!BW20/'Supply 2024'!BW$76</f>
        <v>3.4012117476815061E-2</v>
      </c>
      <c r="BX19" s="12">
        <f>'Supply 2024'!BX20/'Supply 2024'!BX$76</f>
        <v>0</v>
      </c>
      <c r="BY19" s="12">
        <f>'Supply 2024'!BY20/'Supply 2024'!BY$76</f>
        <v>5.3548015711871724E-3</v>
      </c>
      <c r="BZ19" s="12">
        <f>'Supply 2024'!BZ20/'Supply 2024'!BZ$76</f>
        <v>-281118</v>
      </c>
      <c r="CA19" s="12" t="e">
        <f>'Supply 2024'!CA20/'Supply 2024'!CA$76</f>
        <v>#DIV/0!</v>
      </c>
      <c r="CB19" s="12">
        <f>'Supply 2024'!CB20/'Supply 2024'!CB$76</f>
        <v>-305375</v>
      </c>
      <c r="CC19" s="12">
        <f>'Supply 2024'!CC20/'Supply 2024'!CC$76</f>
        <v>3.2804144185100553E-2</v>
      </c>
      <c r="CD19" s="12">
        <f>'Supply 2024'!CD20/'Supply 2024'!CD$76</f>
        <v>2.007292625197447E-2</v>
      </c>
      <c r="CE19" s="12">
        <f>'Supply 2024'!CE20/'Supply 2024'!CE$76</f>
        <v>0</v>
      </c>
      <c r="CF19" s="12">
        <f>'Supply 2024'!CF20/'Supply 2024'!CF$76</f>
        <v>2.2901518915676721E-2</v>
      </c>
      <c r="CG19" s="12">
        <f>'Supply 2024'!CG20/'Supply 2024'!CG$76</f>
        <v>1.1292218771654103E-2</v>
      </c>
    </row>
    <row r="20" spans="1:85" x14ac:dyDescent="0.25">
      <c r="A20" t="s">
        <v>19</v>
      </c>
      <c r="B20" t="s">
        <v>112</v>
      </c>
      <c r="C20" s="12">
        <f>'Supply 2024'!C21/'Supply 2024'!C$76</f>
        <v>0</v>
      </c>
      <c r="D20" s="12">
        <f>'Supply 2024'!D21/'Supply 2024'!D$76</f>
        <v>0</v>
      </c>
      <c r="E20" s="12">
        <f>'Supply 2024'!E21/'Supply 2024'!E$76</f>
        <v>0</v>
      </c>
      <c r="F20" s="12">
        <f>'Supply 2024'!F21/'Supply 2024'!F$76</f>
        <v>0</v>
      </c>
      <c r="G20" s="12">
        <f>'Supply 2024'!G21/'Supply 2024'!G$76</f>
        <v>0</v>
      </c>
      <c r="H20" s="12">
        <f>'Supply 2024'!H21/'Supply 2024'!H$76</f>
        <v>0</v>
      </c>
      <c r="I20" s="12">
        <f>'Supply 2024'!I21/'Supply 2024'!I$76</f>
        <v>0</v>
      </c>
      <c r="J20" s="12">
        <f>'Supply 2024'!J21/'Supply 2024'!J$76</f>
        <v>0</v>
      </c>
      <c r="K20" s="12">
        <f>'Supply 2024'!K21/'Supply 2024'!K$76</f>
        <v>0</v>
      </c>
      <c r="L20" s="12">
        <f>'Supply 2024'!L21/'Supply 2024'!L$76</f>
        <v>0</v>
      </c>
      <c r="M20" s="12">
        <f>'Supply 2024'!M21/'Supply 2024'!M$76</f>
        <v>0</v>
      </c>
      <c r="N20" s="12">
        <f>'Supply 2024'!N21/'Supply 2024'!N$76</f>
        <v>0</v>
      </c>
      <c r="O20" s="12">
        <f>'Supply 2024'!O21/'Supply 2024'!O$76</f>
        <v>0</v>
      </c>
      <c r="P20" s="12">
        <f>'Supply 2024'!P21/'Supply 2024'!P$76</f>
        <v>0</v>
      </c>
      <c r="Q20" s="12">
        <f>'Supply 2024'!Q21/'Supply 2024'!Q$76</f>
        <v>0</v>
      </c>
      <c r="R20" s="12">
        <f>'Supply 2024'!R21/'Supply 2024'!R$76</f>
        <v>0</v>
      </c>
      <c r="S20" s="12">
        <f>'Supply 2024'!S21/'Supply 2024'!S$76</f>
        <v>0</v>
      </c>
      <c r="T20" s="12">
        <f>'Supply 2024'!T21/'Supply 2024'!T$76</f>
        <v>1.6882481049415022E-5</v>
      </c>
      <c r="U20" s="12">
        <f>'Supply 2024'!U21/'Supply 2024'!U$76</f>
        <v>0.98435399361951059</v>
      </c>
      <c r="V20" s="12">
        <f>'Supply 2024'!V21/'Supply 2024'!V$76</f>
        <v>0</v>
      </c>
      <c r="W20" s="12">
        <f>'Supply 2024'!W21/'Supply 2024'!W$76</f>
        <v>4.0343975848504257E-2</v>
      </c>
      <c r="X20" s="12">
        <f>'Supply 2024'!X21/'Supply 2024'!X$76</f>
        <v>0</v>
      </c>
      <c r="Y20" s="12">
        <f>'Supply 2024'!Y21/'Supply 2024'!Y$76</f>
        <v>0</v>
      </c>
      <c r="Z20" s="12">
        <f>'Supply 2024'!Z21/'Supply 2024'!Z$76</f>
        <v>0</v>
      </c>
      <c r="AA20" s="12">
        <f>'Supply 2024'!AA21/'Supply 2024'!AA$76</f>
        <v>1.3863077253873091E-2</v>
      </c>
      <c r="AB20" s="12">
        <f>'Supply 2024'!AB21/'Supply 2024'!AB$76</f>
        <v>0</v>
      </c>
      <c r="AC20" s="12">
        <f>'Supply 2024'!AC21/'Supply 2024'!AC$76</f>
        <v>5.9364695081857489E-4</v>
      </c>
      <c r="AD20" s="12">
        <f>'Supply 2024'!AD21/'Supply 2024'!AD$76</f>
        <v>0</v>
      </c>
      <c r="AE20" s="12">
        <f>'Supply 2024'!AE21/'Supply 2024'!AE$76</f>
        <v>3.6194019298868521E-2</v>
      </c>
      <c r="AF20" s="12">
        <f>'Supply 2024'!AF21/'Supply 2024'!AF$76</f>
        <v>1.098106130601108E-2</v>
      </c>
      <c r="AG20" s="12">
        <f>'Supply 2024'!AG21/'Supply 2024'!AG$76</f>
        <v>0</v>
      </c>
      <c r="AH20" s="12">
        <f>'Supply 2024'!AH21/'Supply 2024'!AH$76</f>
        <v>0</v>
      </c>
      <c r="AI20" s="12">
        <f>'Supply 2024'!AI21/'Supply 2024'!AI$76</f>
        <v>0</v>
      </c>
      <c r="AJ20" s="12">
        <f>'Supply 2024'!AJ21/'Supply 2024'!AJ$76</f>
        <v>0</v>
      </c>
      <c r="AK20" s="12">
        <f>'Supply 2024'!AK21/'Supply 2024'!AK$76</f>
        <v>0</v>
      </c>
      <c r="AL20" s="12">
        <f>'Supply 2024'!AL21/'Supply 2024'!AL$76</f>
        <v>0</v>
      </c>
      <c r="AM20" s="12">
        <f>'Supply 2024'!AM21/'Supply 2024'!AM$76</f>
        <v>0</v>
      </c>
      <c r="AN20" s="12">
        <f>'Supply 2024'!AN21/'Supply 2024'!AN$76</f>
        <v>0</v>
      </c>
      <c r="AO20" s="12">
        <f>'Supply 2024'!AO21/'Supply 2024'!AO$76</f>
        <v>0</v>
      </c>
      <c r="AP20" s="12">
        <f>'Supply 2024'!AP21/'Supply 2024'!AP$76</f>
        <v>0</v>
      </c>
      <c r="AQ20" s="12">
        <f>'Supply 2024'!AQ21/'Supply 2024'!AQ$76</f>
        <v>0</v>
      </c>
      <c r="AR20" s="12">
        <f>'Supply 2024'!AR21/'Supply 2024'!AR$76</f>
        <v>0</v>
      </c>
      <c r="AS20" s="12">
        <f>'Supply 2024'!AS21/'Supply 2024'!AS$76</f>
        <v>0</v>
      </c>
      <c r="AT20" s="12">
        <f>'Supply 2024'!AT21/'Supply 2024'!AT$76</f>
        <v>0</v>
      </c>
      <c r="AU20" s="12">
        <f>'Supply 2024'!AU21/'Supply 2024'!AU$76</f>
        <v>0</v>
      </c>
      <c r="AV20" s="12">
        <f>'Supply 2024'!AV21/'Supply 2024'!AV$76</f>
        <v>0</v>
      </c>
      <c r="AW20" s="12">
        <f>'Supply 2024'!AW21/'Supply 2024'!AW$76</f>
        <v>0</v>
      </c>
      <c r="AX20" s="12">
        <f>'Supply 2024'!AX21/'Supply 2024'!AX$76</f>
        <v>0</v>
      </c>
      <c r="AY20" s="12">
        <f>'Supply 2024'!AY21/'Supply 2024'!AY$76</f>
        <v>0</v>
      </c>
      <c r="AZ20" s="12">
        <f>'Supply 2024'!AZ21/'Supply 2024'!AZ$76</f>
        <v>0</v>
      </c>
      <c r="BA20" s="12">
        <f>'Supply 2024'!BA21/'Supply 2024'!BA$76</f>
        <v>0</v>
      </c>
      <c r="BB20" s="12">
        <f>'Supply 2024'!BB21/'Supply 2024'!BB$76</f>
        <v>0</v>
      </c>
      <c r="BC20" s="12">
        <f>'Supply 2024'!BC21/'Supply 2024'!BC$76</f>
        <v>0</v>
      </c>
      <c r="BD20" s="12">
        <f>'Supply 2024'!BD21/'Supply 2024'!BD$76</f>
        <v>0</v>
      </c>
      <c r="BE20" s="12">
        <f>'Supply 2024'!BE21/'Supply 2024'!BE$76</f>
        <v>0</v>
      </c>
      <c r="BF20" s="12">
        <f>'Supply 2024'!BF21/'Supply 2024'!BF$76</f>
        <v>0</v>
      </c>
      <c r="BG20" s="12">
        <f>'Supply 2024'!BG21/'Supply 2024'!BG$76</f>
        <v>0</v>
      </c>
      <c r="BH20" s="12">
        <f>'Supply 2024'!BH21/'Supply 2024'!BH$76</f>
        <v>0</v>
      </c>
      <c r="BI20" s="12">
        <f>'Supply 2024'!BI21/'Supply 2024'!BI$76</f>
        <v>0</v>
      </c>
      <c r="BJ20" s="12">
        <f>'Supply 2024'!BJ21/'Supply 2024'!BJ$76</f>
        <v>0</v>
      </c>
      <c r="BK20" s="12">
        <f>'Supply 2024'!BK21/'Supply 2024'!BK$76</f>
        <v>0</v>
      </c>
      <c r="BL20" s="12">
        <f>'Supply 2024'!BL21/'Supply 2024'!BL$76</f>
        <v>0</v>
      </c>
      <c r="BM20" s="12">
        <f>'Supply 2024'!BM21/'Supply 2024'!BM$76</f>
        <v>0</v>
      </c>
      <c r="BN20" s="12">
        <f>'Supply 2024'!BN21/'Supply 2024'!BN$76</f>
        <v>0</v>
      </c>
      <c r="BO20" s="12">
        <f>'Supply 2024'!BO21/'Supply 2024'!BO$76</f>
        <v>0</v>
      </c>
      <c r="BP20" s="12">
        <f>'Supply 2024'!BP21/'Supply 2024'!BP$76</f>
        <v>0</v>
      </c>
      <c r="BQ20" s="12">
        <f>'Supply 2024'!BQ21/'Supply 2024'!BQ$76</f>
        <v>0</v>
      </c>
      <c r="BR20" s="12">
        <f>'Supply 2024'!BR21/'Supply 2024'!BR$76</f>
        <v>0</v>
      </c>
      <c r="BS20" s="12">
        <f>'Supply 2024'!BS21/'Supply 2024'!BS$76</f>
        <v>0</v>
      </c>
      <c r="BT20" s="12">
        <f>'Supply 2024'!BT21/'Supply 2024'!BT$76</f>
        <v>1.2511085580071554E-3</v>
      </c>
      <c r="BU20" s="12">
        <f>'Supply 2024'!BU21/'Supply 2024'!BU$76</f>
        <v>0</v>
      </c>
      <c r="BV20" s="12">
        <f>'Supply 2024'!BV21/'Supply 2024'!BV$76</f>
        <v>2.5212086257092082E-2</v>
      </c>
      <c r="BW20" s="12">
        <f>'Supply 2024'!BW21/'Supply 2024'!BW$76</f>
        <v>4.2196209167087786E-2</v>
      </c>
      <c r="BX20" s="12">
        <f>'Supply 2024'!BX21/'Supply 2024'!BX$76</f>
        <v>0</v>
      </c>
      <c r="BY20" s="12">
        <f>'Supply 2024'!BY21/'Supply 2024'!BY$76</f>
        <v>2.6407169833421985E-2</v>
      </c>
      <c r="BZ20" s="12">
        <f>'Supply 2024'!BZ21/'Supply 2024'!BZ$76</f>
        <v>-758613</v>
      </c>
      <c r="CA20" s="12" t="e">
        <f>'Supply 2024'!CA21/'Supply 2024'!CA$76</f>
        <v>#DIV/0!</v>
      </c>
      <c r="CB20" s="12">
        <f>'Supply 2024'!CB21/'Supply 2024'!CB$76</f>
        <v>-791752</v>
      </c>
      <c r="CC20" s="12">
        <f>'Supply 2024'!CC21/'Supply 2024'!CC$76</f>
        <v>4.0975271274241207E-2</v>
      </c>
      <c r="CD20" s="12">
        <f>'Supply 2024'!CD21/'Supply 2024'!CD$76</f>
        <v>0.10009693975464892</v>
      </c>
      <c r="CE20" s="12">
        <f>'Supply 2024'!CE21/'Supply 2024'!CE$76</f>
        <v>0</v>
      </c>
      <c r="CF20" s="12">
        <f>'Supply 2024'!CF21/'Supply 2024'!CF$76</f>
        <v>0.10405849201148937</v>
      </c>
      <c r="CG20" s="12">
        <f>'Supply 2024'!CG21/'Supply 2024'!CG$76</f>
        <v>4.2398270780974828E-2</v>
      </c>
    </row>
    <row r="21" spans="1:85" x14ac:dyDescent="0.25">
      <c r="A21" t="s">
        <v>20</v>
      </c>
      <c r="B21" t="s">
        <v>113</v>
      </c>
      <c r="C21" s="12">
        <f>'Supply 2024'!C22/'Supply 2024'!C$76</f>
        <v>0</v>
      </c>
      <c r="D21" s="12">
        <f>'Supply 2024'!D22/'Supply 2024'!D$76</f>
        <v>0</v>
      </c>
      <c r="E21" s="12">
        <f>'Supply 2024'!E22/'Supply 2024'!E$76</f>
        <v>0</v>
      </c>
      <c r="F21" s="12">
        <f>'Supply 2024'!F22/'Supply 2024'!F$76</f>
        <v>0</v>
      </c>
      <c r="G21" s="12">
        <f>'Supply 2024'!G22/'Supply 2024'!G$76</f>
        <v>0</v>
      </c>
      <c r="H21" s="12">
        <f>'Supply 2024'!H22/'Supply 2024'!H$76</f>
        <v>0</v>
      </c>
      <c r="I21" s="12">
        <f>'Supply 2024'!I22/'Supply 2024'!I$76</f>
        <v>0</v>
      </c>
      <c r="J21" s="12">
        <f>'Supply 2024'!J22/'Supply 2024'!J$76</f>
        <v>0</v>
      </c>
      <c r="K21" s="12">
        <f>'Supply 2024'!K22/'Supply 2024'!K$76</f>
        <v>1.4849590779546402E-4</v>
      </c>
      <c r="L21" s="12">
        <f>'Supply 2024'!L22/'Supply 2024'!L$76</f>
        <v>9.9373285810819766E-6</v>
      </c>
      <c r="M21" s="12">
        <f>'Supply 2024'!M22/'Supply 2024'!M$76</f>
        <v>3.2694055566816839E-4</v>
      </c>
      <c r="N21" s="12">
        <f>'Supply 2024'!N22/'Supply 2024'!N$76</f>
        <v>0</v>
      </c>
      <c r="O21" s="12">
        <f>'Supply 2024'!O22/'Supply 2024'!O$76</f>
        <v>5.0976565344674403E-5</v>
      </c>
      <c r="P21" s="12">
        <f>'Supply 2024'!P22/'Supply 2024'!P$76</f>
        <v>0</v>
      </c>
      <c r="Q21" s="12">
        <f>'Supply 2024'!Q22/'Supply 2024'!Q$76</f>
        <v>7.3192666717711199E-4</v>
      </c>
      <c r="R21" s="12">
        <f>'Supply 2024'!R22/'Supply 2024'!R$76</f>
        <v>0</v>
      </c>
      <c r="S21" s="12">
        <f>'Supply 2024'!S22/'Supply 2024'!S$76</f>
        <v>7.2144952218752953E-4</v>
      </c>
      <c r="T21" s="12">
        <f>'Supply 2024'!T22/'Supply 2024'!T$76</f>
        <v>5.8525934304638739E-4</v>
      </c>
      <c r="U21" s="12">
        <f>'Supply 2024'!U22/'Supply 2024'!U$76</f>
        <v>0</v>
      </c>
      <c r="V21" s="12">
        <f>'Supply 2024'!V22/'Supply 2024'!V$76</f>
        <v>0.87778418433809557</v>
      </c>
      <c r="W21" s="12">
        <f>'Supply 2024'!W22/'Supply 2024'!W$76</f>
        <v>7.6845668282865248E-3</v>
      </c>
      <c r="X21" s="12">
        <f>'Supply 2024'!X22/'Supply 2024'!X$76</f>
        <v>1.1020367101689181E-3</v>
      </c>
      <c r="Y21" s="12">
        <f>'Supply 2024'!Y22/'Supply 2024'!Y$76</f>
        <v>7.5877931377895808E-3</v>
      </c>
      <c r="Z21" s="12">
        <f>'Supply 2024'!Z22/'Supply 2024'!Z$76</f>
        <v>0</v>
      </c>
      <c r="AA21" s="12">
        <f>'Supply 2024'!AA22/'Supply 2024'!AA$76</f>
        <v>2.0189437491987318E-6</v>
      </c>
      <c r="AB21" s="12">
        <f>'Supply 2024'!AB22/'Supply 2024'!AB$76</f>
        <v>4.7523913306695724E-3</v>
      </c>
      <c r="AC21" s="12">
        <f>'Supply 2024'!AC22/'Supply 2024'!AC$76</f>
        <v>0</v>
      </c>
      <c r="AD21" s="12">
        <f>'Supply 2024'!AD22/'Supply 2024'!AD$76</f>
        <v>0</v>
      </c>
      <c r="AE21" s="12">
        <f>'Supply 2024'!AE22/'Supply 2024'!AE$76</f>
        <v>0</v>
      </c>
      <c r="AF21" s="12">
        <f>'Supply 2024'!AF22/'Supply 2024'!AF$76</f>
        <v>0</v>
      </c>
      <c r="AG21" s="12">
        <f>'Supply 2024'!AG22/'Supply 2024'!AG$76</f>
        <v>0</v>
      </c>
      <c r="AH21" s="12">
        <f>'Supply 2024'!AH22/'Supply 2024'!AH$76</f>
        <v>0</v>
      </c>
      <c r="AI21" s="12">
        <f>'Supply 2024'!AI22/'Supply 2024'!AI$76</f>
        <v>0</v>
      </c>
      <c r="AJ21" s="12">
        <f>'Supply 2024'!AJ22/'Supply 2024'!AJ$76</f>
        <v>0</v>
      </c>
      <c r="AK21" s="12">
        <f>'Supply 2024'!AK22/'Supply 2024'!AK$76</f>
        <v>0</v>
      </c>
      <c r="AL21" s="12">
        <f>'Supply 2024'!AL22/'Supply 2024'!AL$76</f>
        <v>0</v>
      </c>
      <c r="AM21" s="12">
        <f>'Supply 2024'!AM22/'Supply 2024'!AM$76</f>
        <v>0</v>
      </c>
      <c r="AN21" s="12">
        <f>'Supply 2024'!AN22/'Supply 2024'!AN$76</f>
        <v>0</v>
      </c>
      <c r="AO21" s="12">
        <f>'Supply 2024'!AO22/'Supply 2024'!AO$76</f>
        <v>0</v>
      </c>
      <c r="AP21" s="12">
        <f>'Supply 2024'!AP22/'Supply 2024'!AP$76</f>
        <v>0</v>
      </c>
      <c r="AQ21" s="12">
        <f>'Supply 2024'!AQ22/'Supply 2024'!AQ$76</f>
        <v>0</v>
      </c>
      <c r="AR21" s="12">
        <f>'Supply 2024'!AR22/'Supply 2024'!AR$76</f>
        <v>0</v>
      </c>
      <c r="AS21" s="12">
        <f>'Supply 2024'!AS22/'Supply 2024'!AS$76</f>
        <v>0</v>
      </c>
      <c r="AT21" s="12">
        <f>'Supply 2024'!AT22/'Supply 2024'!AT$76</f>
        <v>0</v>
      </c>
      <c r="AU21" s="12">
        <f>'Supply 2024'!AU22/'Supply 2024'!AU$76</f>
        <v>0</v>
      </c>
      <c r="AV21" s="12">
        <f>'Supply 2024'!AV22/'Supply 2024'!AV$76</f>
        <v>0</v>
      </c>
      <c r="AW21" s="12">
        <f>'Supply 2024'!AW22/'Supply 2024'!AW$76</f>
        <v>0</v>
      </c>
      <c r="AX21" s="12">
        <f>'Supply 2024'!AX22/'Supply 2024'!AX$76</f>
        <v>0</v>
      </c>
      <c r="AY21" s="12">
        <f>'Supply 2024'!AY22/'Supply 2024'!AY$76</f>
        <v>0</v>
      </c>
      <c r="AZ21" s="12">
        <f>'Supply 2024'!AZ22/'Supply 2024'!AZ$76</f>
        <v>0</v>
      </c>
      <c r="BA21" s="12">
        <f>'Supply 2024'!BA22/'Supply 2024'!BA$76</f>
        <v>0</v>
      </c>
      <c r="BB21" s="12">
        <f>'Supply 2024'!BB22/'Supply 2024'!BB$76</f>
        <v>0</v>
      </c>
      <c r="BC21" s="12">
        <f>'Supply 2024'!BC22/'Supply 2024'!BC$76</f>
        <v>0</v>
      </c>
      <c r="BD21" s="12">
        <f>'Supply 2024'!BD22/'Supply 2024'!BD$76</f>
        <v>0</v>
      </c>
      <c r="BE21" s="12">
        <f>'Supply 2024'!BE22/'Supply 2024'!BE$76</f>
        <v>0</v>
      </c>
      <c r="BF21" s="12">
        <f>'Supply 2024'!BF22/'Supply 2024'!BF$76</f>
        <v>0</v>
      </c>
      <c r="BG21" s="12">
        <f>'Supply 2024'!BG22/'Supply 2024'!BG$76</f>
        <v>0</v>
      </c>
      <c r="BH21" s="12">
        <f>'Supply 2024'!BH22/'Supply 2024'!BH$76</f>
        <v>0</v>
      </c>
      <c r="BI21" s="12">
        <f>'Supply 2024'!BI22/'Supply 2024'!BI$76</f>
        <v>0</v>
      </c>
      <c r="BJ21" s="12">
        <f>'Supply 2024'!BJ22/'Supply 2024'!BJ$76</f>
        <v>0</v>
      </c>
      <c r="BK21" s="12">
        <f>'Supply 2024'!BK22/'Supply 2024'!BK$76</f>
        <v>0</v>
      </c>
      <c r="BL21" s="12">
        <f>'Supply 2024'!BL22/'Supply 2024'!BL$76</f>
        <v>0</v>
      </c>
      <c r="BM21" s="12">
        <f>'Supply 2024'!BM22/'Supply 2024'!BM$76</f>
        <v>0</v>
      </c>
      <c r="BN21" s="12">
        <f>'Supply 2024'!BN22/'Supply 2024'!BN$76</f>
        <v>0</v>
      </c>
      <c r="BO21" s="12">
        <f>'Supply 2024'!BO22/'Supply 2024'!BO$76</f>
        <v>0</v>
      </c>
      <c r="BP21" s="12">
        <f>'Supply 2024'!BP22/'Supply 2024'!BP$76</f>
        <v>0</v>
      </c>
      <c r="BQ21" s="12">
        <f>'Supply 2024'!BQ22/'Supply 2024'!BQ$76</f>
        <v>0</v>
      </c>
      <c r="BR21" s="12">
        <f>'Supply 2024'!BR22/'Supply 2024'!BR$76</f>
        <v>0</v>
      </c>
      <c r="BS21" s="12">
        <f>'Supply 2024'!BS22/'Supply 2024'!BS$76</f>
        <v>0</v>
      </c>
      <c r="BT21" s="12">
        <f>'Supply 2024'!BT22/'Supply 2024'!BT$76</f>
        <v>0</v>
      </c>
      <c r="BU21" s="12">
        <f>'Supply 2024'!BU22/'Supply 2024'!BU$76</f>
        <v>0</v>
      </c>
      <c r="BV21" s="12">
        <f>'Supply 2024'!BV22/'Supply 2024'!BV$76</f>
        <v>8.9485971488286972E-4</v>
      </c>
      <c r="BW21" s="12">
        <f>'Supply 2024'!BW22/'Supply 2024'!BW$76</f>
        <v>9.4978240045858059E-3</v>
      </c>
      <c r="BX21" s="12">
        <f>'Supply 2024'!BX22/'Supply 2024'!BX$76</f>
        <v>0</v>
      </c>
      <c r="BY21" s="12">
        <f>'Supply 2024'!BY22/'Supply 2024'!BY$76</f>
        <v>1.4933595427541551E-3</v>
      </c>
      <c r="BZ21" s="12">
        <f>'Supply 2024'!BZ22/'Supply 2024'!BZ$76</f>
        <v>-81225</v>
      </c>
      <c r="CA21" s="12" t="e">
        <f>'Supply 2024'!CA22/'Supply 2024'!CA$76</f>
        <v>#DIV/0!</v>
      </c>
      <c r="CB21" s="12">
        <f>'Supply 2024'!CB22/'Supply 2024'!CB$76</f>
        <v>-85748</v>
      </c>
      <c r="CC21" s="12">
        <f>'Supply 2024'!CC22/'Supply 2024'!CC$76</f>
        <v>3.4227810544701927E-2</v>
      </c>
      <c r="CD21" s="12">
        <f>'Supply 2024'!CD22/'Supply 2024'!CD$76</f>
        <v>7.6538118975095831E-3</v>
      </c>
      <c r="CE21" s="12">
        <f>'Supply 2024'!CE22/'Supply 2024'!CE$76</f>
        <v>2.2382380589999553E-4</v>
      </c>
      <c r="CF21" s="12">
        <f>'Supply 2024'!CF22/'Supply 2024'!CF$76</f>
        <v>1.0509479118621119E-2</v>
      </c>
      <c r="CG21" s="12">
        <f>'Supply 2024'!CG22/'Supply 2024'!CG$76</f>
        <v>3.23646040364664E-3</v>
      </c>
    </row>
    <row r="22" spans="1:85" x14ac:dyDescent="0.25">
      <c r="A22" t="s">
        <v>21</v>
      </c>
      <c r="B22" t="s">
        <v>114</v>
      </c>
      <c r="C22" s="12">
        <f>'Supply 2024'!C23/'Supply 2024'!C$76</f>
        <v>0</v>
      </c>
      <c r="D22" s="12">
        <f>'Supply 2024'!D23/'Supply 2024'!D$76</f>
        <v>0</v>
      </c>
      <c r="E22" s="12">
        <f>'Supply 2024'!E23/'Supply 2024'!E$76</f>
        <v>0</v>
      </c>
      <c r="F22" s="12">
        <f>'Supply 2024'!F23/'Supply 2024'!F$76</f>
        <v>0</v>
      </c>
      <c r="G22" s="12">
        <f>'Supply 2024'!G23/'Supply 2024'!G$76</f>
        <v>0</v>
      </c>
      <c r="H22" s="12">
        <f>'Supply 2024'!H23/'Supply 2024'!H$76</f>
        <v>0</v>
      </c>
      <c r="I22" s="12">
        <f>'Supply 2024'!I23/'Supply 2024'!I$76</f>
        <v>0</v>
      </c>
      <c r="J22" s="12">
        <f>'Supply 2024'!J23/'Supply 2024'!J$76</f>
        <v>0</v>
      </c>
      <c r="K22" s="12">
        <f>'Supply 2024'!K23/'Supply 2024'!K$76</f>
        <v>6.2825191759619393E-4</v>
      </c>
      <c r="L22" s="12">
        <f>'Supply 2024'!L23/'Supply 2024'!L$76</f>
        <v>0</v>
      </c>
      <c r="M22" s="12">
        <f>'Supply 2024'!M23/'Supply 2024'!M$76</f>
        <v>2.1796037044544562E-6</v>
      </c>
      <c r="N22" s="12">
        <f>'Supply 2024'!N23/'Supply 2024'!N$76</f>
        <v>2.2915019649629349E-6</v>
      </c>
      <c r="O22" s="12">
        <f>'Supply 2024'!O23/'Supply 2024'!O$76</f>
        <v>0</v>
      </c>
      <c r="P22" s="12">
        <f>'Supply 2024'!P23/'Supply 2024'!P$76</f>
        <v>0</v>
      </c>
      <c r="Q22" s="12">
        <f>'Supply 2024'!Q23/'Supply 2024'!Q$76</f>
        <v>0</v>
      </c>
      <c r="R22" s="12">
        <f>'Supply 2024'!R23/'Supply 2024'!R$76</f>
        <v>0</v>
      </c>
      <c r="S22" s="12">
        <f>'Supply 2024'!S23/'Supply 2024'!S$76</f>
        <v>1.419244961680386E-4</v>
      </c>
      <c r="T22" s="12">
        <f>'Supply 2024'!T23/'Supply 2024'!T$76</f>
        <v>7.884118650076816E-3</v>
      </c>
      <c r="U22" s="12">
        <f>'Supply 2024'!U23/'Supply 2024'!U$76</f>
        <v>5.7248379644769364E-4</v>
      </c>
      <c r="V22" s="12">
        <f>'Supply 2024'!V23/'Supply 2024'!V$76</f>
        <v>8.8837636406346766E-3</v>
      </c>
      <c r="W22" s="12">
        <f>'Supply 2024'!W23/'Supply 2024'!W$76</f>
        <v>0.92054706797182329</v>
      </c>
      <c r="X22" s="12">
        <f>'Supply 2024'!X23/'Supply 2024'!X$76</f>
        <v>0</v>
      </c>
      <c r="Y22" s="12">
        <f>'Supply 2024'!Y23/'Supply 2024'!Y$76</f>
        <v>1.0670334100016598E-4</v>
      </c>
      <c r="Z22" s="12">
        <f>'Supply 2024'!Z23/'Supply 2024'!Z$76</f>
        <v>0</v>
      </c>
      <c r="AA22" s="12">
        <f>'Supply 2024'!AA23/'Supply 2024'!AA$76</f>
        <v>2.2915011553405605E-4</v>
      </c>
      <c r="AB22" s="12">
        <f>'Supply 2024'!AB23/'Supply 2024'!AB$76</f>
        <v>0</v>
      </c>
      <c r="AC22" s="12">
        <f>'Supply 2024'!AC23/'Supply 2024'!AC$76</f>
        <v>0</v>
      </c>
      <c r="AD22" s="12">
        <f>'Supply 2024'!AD23/'Supply 2024'!AD$76</f>
        <v>0</v>
      </c>
      <c r="AE22" s="12">
        <f>'Supply 2024'!AE23/'Supply 2024'!AE$76</f>
        <v>0</v>
      </c>
      <c r="AF22" s="12">
        <f>'Supply 2024'!AF23/'Supply 2024'!AF$76</f>
        <v>0</v>
      </c>
      <c r="AG22" s="12">
        <f>'Supply 2024'!AG23/'Supply 2024'!AG$76</f>
        <v>0</v>
      </c>
      <c r="AH22" s="12">
        <f>'Supply 2024'!AH23/'Supply 2024'!AH$76</f>
        <v>0</v>
      </c>
      <c r="AI22" s="12">
        <f>'Supply 2024'!AI23/'Supply 2024'!AI$76</f>
        <v>0</v>
      </c>
      <c r="AJ22" s="12">
        <f>'Supply 2024'!AJ23/'Supply 2024'!AJ$76</f>
        <v>0</v>
      </c>
      <c r="AK22" s="12">
        <f>'Supply 2024'!AK23/'Supply 2024'!AK$76</f>
        <v>0</v>
      </c>
      <c r="AL22" s="12">
        <f>'Supply 2024'!AL23/'Supply 2024'!AL$76</f>
        <v>0</v>
      </c>
      <c r="AM22" s="12">
        <f>'Supply 2024'!AM23/'Supply 2024'!AM$76</f>
        <v>0</v>
      </c>
      <c r="AN22" s="12">
        <f>'Supply 2024'!AN23/'Supply 2024'!AN$76</f>
        <v>0</v>
      </c>
      <c r="AO22" s="12">
        <f>'Supply 2024'!AO23/'Supply 2024'!AO$76</f>
        <v>0</v>
      </c>
      <c r="AP22" s="12">
        <f>'Supply 2024'!AP23/'Supply 2024'!AP$76</f>
        <v>0</v>
      </c>
      <c r="AQ22" s="12">
        <f>'Supply 2024'!AQ23/'Supply 2024'!AQ$76</f>
        <v>0</v>
      </c>
      <c r="AR22" s="12">
        <f>'Supply 2024'!AR23/'Supply 2024'!AR$76</f>
        <v>0</v>
      </c>
      <c r="AS22" s="12">
        <f>'Supply 2024'!AS23/'Supply 2024'!AS$76</f>
        <v>0</v>
      </c>
      <c r="AT22" s="12">
        <f>'Supply 2024'!AT23/'Supply 2024'!AT$76</f>
        <v>0</v>
      </c>
      <c r="AU22" s="12">
        <f>'Supply 2024'!AU23/'Supply 2024'!AU$76</f>
        <v>0</v>
      </c>
      <c r="AV22" s="12">
        <f>'Supply 2024'!AV23/'Supply 2024'!AV$76</f>
        <v>0</v>
      </c>
      <c r="AW22" s="12">
        <f>'Supply 2024'!AW23/'Supply 2024'!AW$76</f>
        <v>0</v>
      </c>
      <c r="AX22" s="12">
        <f>'Supply 2024'!AX23/'Supply 2024'!AX$76</f>
        <v>0</v>
      </c>
      <c r="AY22" s="12">
        <f>'Supply 2024'!AY23/'Supply 2024'!AY$76</f>
        <v>0</v>
      </c>
      <c r="AZ22" s="12">
        <f>'Supply 2024'!AZ23/'Supply 2024'!AZ$76</f>
        <v>0</v>
      </c>
      <c r="BA22" s="12">
        <f>'Supply 2024'!BA23/'Supply 2024'!BA$76</f>
        <v>0</v>
      </c>
      <c r="BB22" s="12">
        <f>'Supply 2024'!BB23/'Supply 2024'!BB$76</f>
        <v>0</v>
      </c>
      <c r="BC22" s="12">
        <f>'Supply 2024'!BC23/'Supply 2024'!BC$76</f>
        <v>0</v>
      </c>
      <c r="BD22" s="12">
        <f>'Supply 2024'!BD23/'Supply 2024'!BD$76</f>
        <v>0</v>
      </c>
      <c r="BE22" s="12">
        <f>'Supply 2024'!BE23/'Supply 2024'!BE$76</f>
        <v>0</v>
      </c>
      <c r="BF22" s="12">
        <f>'Supply 2024'!BF23/'Supply 2024'!BF$76</f>
        <v>0</v>
      </c>
      <c r="BG22" s="12">
        <f>'Supply 2024'!BG23/'Supply 2024'!BG$76</f>
        <v>0</v>
      </c>
      <c r="BH22" s="12">
        <f>'Supply 2024'!BH23/'Supply 2024'!BH$76</f>
        <v>0</v>
      </c>
      <c r="BI22" s="12">
        <f>'Supply 2024'!BI23/'Supply 2024'!BI$76</f>
        <v>0</v>
      </c>
      <c r="BJ22" s="12">
        <f>'Supply 2024'!BJ23/'Supply 2024'!BJ$76</f>
        <v>0</v>
      </c>
      <c r="BK22" s="12">
        <f>'Supply 2024'!BK23/'Supply 2024'!BK$76</f>
        <v>0</v>
      </c>
      <c r="BL22" s="12">
        <f>'Supply 2024'!BL23/'Supply 2024'!BL$76</f>
        <v>0</v>
      </c>
      <c r="BM22" s="12">
        <f>'Supply 2024'!BM23/'Supply 2024'!BM$76</f>
        <v>0</v>
      </c>
      <c r="BN22" s="12">
        <f>'Supply 2024'!BN23/'Supply 2024'!BN$76</f>
        <v>0</v>
      </c>
      <c r="BO22" s="12">
        <f>'Supply 2024'!BO23/'Supply 2024'!BO$76</f>
        <v>0</v>
      </c>
      <c r="BP22" s="12">
        <f>'Supply 2024'!BP23/'Supply 2024'!BP$76</f>
        <v>0</v>
      </c>
      <c r="BQ22" s="12">
        <f>'Supply 2024'!BQ23/'Supply 2024'!BQ$76</f>
        <v>0</v>
      </c>
      <c r="BR22" s="12">
        <f>'Supply 2024'!BR23/'Supply 2024'!BR$76</f>
        <v>0</v>
      </c>
      <c r="BS22" s="12">
        <f>'Supply 2024'!BS23/'Supply 2024'!BS$76</f>
        <v>0</v>
      </c>
      <c r="BT22" s="12">
        <f>'Supply 2024'!BT23/'Supply 2024'!BT$76</f>
        <v>5.1500177733240001E-4</v>
      </c>
      <c r="BU22" s="12">
        <f>'Supply 2024'!BU23/'Supply 2024'!BU$76</f>
        <v>0</v>
      </c>
      <c r="BV22" s="12">
        <f>'Supply 2024'!BV23/'Supply 2024'!BV$76</f>
        <v>4.9692084036935839E-4</v>
      </c>
      <c r="BW22" s="12">
        <f>'Supply 2024'!BW23/'Supply 2024'!BW$76</f>
        <v>4.18869689175837E-2</v>
      </c>
      <c r="BX22" s="12">
        <f>'Supply 2024'!BX23/'Supply 2024'!BX$76</f>
        <v>0</v>
      </c>
      <c r="BY22" s="12">
        <f>'Supply 2024'!BY23/'Supply 2024'!BY$76</f>
        <v>3.374190810595193E-3</v>
      </c>
      <c r="BZ22" s="12">
        <f>'Supply 2024'!BZ23/'Supply 2024'!BZ$76</f>
        <v>-328879</v>
      </c>
      <c r="CA22" s="12" t="e">
        <f>'Supply 2024'!CA23/'Supply 2024'!CA$76</f>
        <v>#DIV/0!</v>
      </c>
      <c r="CB22" s="12">
        <f>'Supply 2024'!CB23/'Supply 2024'!CB$76</f>
        <v>-338920</v>
      </c>
      <c r="CC22" s="12">
        <f>'Supply 2024'!CC23/'Supply 2024'!CC$76</f>
        <v>0.22815748860468732</v>
      </c>
      <c r="CD22" s="12">
        <f>'Supply 2024'!CD23/'Supply 2024'!CD$76</f>
        <v>3.1432100344948061E-2</v>
      </c>
      <c r="CE22" s="12">
        <f>'Supply 2024'!CE23/'Supply 2024'!CE$76</f>
        <v>0</v>
      </c>
      <c r="CF22" s="12">
        <f>'Supply 2024'!CF23/'Supply 2024'!CF$76</f>
        <v>5.0487664377636528E-2</v>
      </c>
      <c r="CG22" s="12">
        <f>'Supply 2024'!CG23/'Supply 2024'!CG$76</f>
        <v>1.0476975194205634E-2</v>
      </c>
    </row>
    <row r="23" spans="1:85" x14ac:dyDescent="0.25">
      <c r="A23" t="s">
        <v>22</v>
      </c>
      <c r="B23" t="s">
        <v>115</v>
      </c>
      <c r="C23" s="12">
        <f>'Supply 2024'!C24/'Supply 2024'!C$76</f>
        <v>0</v>
      </c>
      <c r="D23" s="12">
        <f>'Supply 2024'!D24/'Supply 2024'!D$76</f>
        <v>0</v>
      </c>
      <c r="E23" s="12">
        <f>'Supply 2024'!E24/'Supply 2024'!E$76</f>
        <v>0</v>
      </c>
      <c r="F23" s="12">
        <f>'Supply 2024'!F24/'Supply 2024'!F$76</f>
        <v>0</v>
      </c>
      <c r="G23" s="12">
        <f>'Supply 2024'!G24/'Supply 2024'!G$76</f>
        <v>0</v>
      </c>
      <c r="H23" s="12">
        <f>'Supply 2024'!H24/'Supply 2024'!H$76</f>
        <v>0</v>
      </c>
      <c r="I23" s="12">
        <f>'Supply 2024'!I24/'Supply 2024'!I$76</f>
        <v>0</v>
      </c>
      <c r="J23" s="12">
        <f>'Supply 2024'!J24/'Supply 2024'!J$76</f>
        <v>1.6671265636497424E-4</v>
      </c>
      <c r="K23" s="12">
        <f>'Supply 2024'!K24/'Supply 2024'!K$76</f>
        <v>1.8276419420980186E-4</v>
      </c>
      <c r="L23" s="12">
        <f>'Supply 2024'!L24/'Supply 2024'!L$76</f>
        <v>6.6248857207213178E-6</v>
      </c>
      <c r="M23" s="12">
        <f>'Supply 2024'!M24/'Supply 2024'!M$76</f>
        <v>0</v>
      </c>
      <c r="N23" s="12">
        <f>'Supply 2024'!N24/'Supply 2024'!N$76</f>
        <v>0</v>
      </c>
      <c r="O23" s="12">
        <f>'Supply 2024'!O24/'Supply 2024'!O$76</f>
        <v>0</v>
      </c>
      <c r="P23" s="12">
        <f>'Supply 2024'!P24/'Supply 2024'!P$76</f>
        <v>4.1425235217663724E-5</v>
      </c>
      <c r="Q23" s="12">
        <f>'Supply 2024'!Q24/'Supply 2024'!Q$76</f>
        <v>0</v>
      </c>
      <c r="R23" s="12">
        <f>'Supply 2024'!R24/'Supply 2024'!R$76</f>
        <v>0</v>
      </c>
      <c r="S23" s="12">
        <f>'Supply 2024'!S24/'Supply 2024'!S$76</f>
        <v>0</v>
      </c>
      <c r="T23" s="12">
        <f>'Supply 2024'!T24/'Supply 2024'!T$76</f>
        <v>3.2639463362202375E-4</v>
      </c>
      <c r="U23" s="12">
        <f>'Supply 2024'!U24/'Supply 2024'!U$76</f>
        <v>3.9565170699487997E-5</v>
      </c>
      <c r="V23" s="12">
        <f>'Supply 2024'!V24/'Supply 2024'!V$76</f>
        <v>0</v>
      </c>
      <c r="W23" s="12">
        <f>'Supply 2024'!W24/'Supply 2024'!W$76</f>
        <v>0</v>
      </c>
      <c r="X23" s="12">
        <f>'Supply 2024'!X24/'Supply 2024'!X$76</f>
        <v>0.9765737175676541</v>
      </c>
      <c r="Y23" s="12">
        <f>'Supply 2024'!Y24/'Supply 2024'!Y$76</f>
        <v>7.7656320394565246E-3</v>
      </c>
      <c r="Z23" s="12">
        <f>'Supply 2024'!Z24/'Supply 2024'!Z$76</f>
        <v>0</v>
      </c>
      <c r="AA23" s="12">
        <f>'Supply 2024'!AA24/'Supply 2024'!AA$76</f>
        <v>1.0195665933453595E-4</v>
      </c>
      <c r="AB23" s="12">
        <f>'Supply 2024'!AB24/'Supply 2024'!AB$76</f>
        <v>2.7512074370047491E-3</v>
      </c>
      <c r="AC23" s="12">
        <f>'Supply 2024'!AC24/'Supply 2024'!AC$76</f>
        <v>0</v>
      </c>
      <c r="AD23" s="12">
        <f>'Supply 2024'!AD24/'Supply 2024'!AD$76</f>
        <v>0</v>
      </c>
      <c r="AE23" s="12">
        <f>'Supply 2024'!AE24/'Supply 2024'!AE$76</f>
        <v>0</v>
      </c>
      <c r="AF23" s="12">
        <f>'Supply 2024'!AF24/'Supply 2024'!AF$76</f>
        <v>0</v>
      </c>
      <c r="AG23" s="12">
        <f>'Supply 2024'!AG24/'Supply 2024'!AG$76</f>
        <v>0</v>
      </c>
      <c r="AH23" s="12">
        <f>'Supply 2024'!AH24/'Supply 2024'!AH$76</f>
        <v>0</v>
      </c>
      <c r="AI23" s="12">
        <f>'Supply 2024'!AI24/'Supply 2024'!AI$76</f>
        <v>0</v>
      </c>
      <c r="AJ23" s="12">
        <f>'Supply 2024'!AJ24/'Supply 2024'!AJ$76</f>
        <v>0</v>
      </c>
      <c r="AK23" s="12">
        <f>'Supply 2024'!AK24/'Supply 2024'!AK$76</f>
        <v>0</v>
      </c>
      <c r="AL23" s="12">
        <f>'Supply 2024'!AL24/'Supply 2024'!AL$76</f>
        <v>0</v>
      </c>
      <c r="AM23" s="12">
        <f>'Supply 2024'!AM24/'Supply 2024'!AM$76</f>
        <v>0</v>
      </c>
      <c r="AN23" s="12">
        <f>'Supply 2024'!AN24/'Supply 2024'!AN$76</f>
        <v>0</v>
      </c>
      <c r="AO23" s="12">
        <f>'Supply 2024'!AO24/'Supply 2024'!AO$76</f>
        <v>0</v>
      </c>
      <c r="AP23" s="12">
        <f>'Supply 2024'!AP24/'Supply 2024'!AP$76</f>
        <v>0</v>
      </c>
      <c r="AQ23" s="12">
        <f>'Supply 2024'!AQ24/'Supply 2024'!AQ$76</f>
        <v>0</v>
      </c>
      <c r="AR23" s="12">
        <f>'Supply 2024'!AR24/'Supply 2024'!AR$76</f>
        <v>0</v>
      </c>
      <c r="AS23" s="12">
        <f>'Supply 2024'!AS24/'Supply 2024'!AS$76</f>
        <v>0</v>
      </c>
      <c r="AT23" s="12">
        <f>'Supply 2024'!AT24/'Supply 2024'!AT$76</f>
        <v>0</v>
      </c>
      <c r="AU23" s="12">
        <f>'Supply 2024'!AU24/'Supply 2024'!AU$76</f>
        <v>0</v>
      </c>
      <c r="AV23" s="12">
        <f>'Supply 2024'!AV24/'Supply 2024'!AV$76</f>
        <v>0</v>
      </c>
      <c r="AW23" s="12">
        <f>'Supply 2024'!AW24/'Supply 2024'!AW$76</f>
        <v>0</v>
      </c>
      <c r="AX23" s="12">
        <f>'Supply 2024'!AX24/'Supply 2024'!AX$76</f>
        <v>0</v>
      </c>
      <c r="AY23" s="12">
        <f>'Supply 2024'!AY24/'Supply 2024'!AY$76</f>
        <v>0</v>
      </c>
      <c r="AZ23" s="12">
        <f>'Supply 2024'!AZ24/'Supply 2024'!AZ$76</f>
        <v>0</v>
      </c>
      <c r="BA23" s="12">
        <f>'Supply 2024'!BA24/'Supply 2024'!BA$76</f>
        <v>0</v>
      </c>
      <c r="BB23" s="12">
        <f>'Supply 2024'!BB24/'Supply 2024'!BB$76</f>
        <v>0</v>
      </c>
      <c r="BC23" s="12">
        <f>'Supply 2024'!BC24/'Supply 2024'!BC$76</f>
        <v>0</v>
      </c>
      <c r="BD23" s="12">
        <f>'Supply 2024'!BD24/'Supply 2024'!BD$76</f>
        <v>0</v>
      </c>
      <c r="BE23" s="12">
        <f>'Supply 2024'!BE24/'Supply 2024'!BE$76</f>
        <v>0</v>
      </c>
      <c r="BF23" s="12">
        <f>'Supply 2024'!BF24/'Supply 2024'!BF$76</f>
        <v>0</v>
      </c>
      <c r="BG23" s="12">
        <f>'Supply 2024'!BG24/'Supply 2024'!BG$76</f>
        <v>0</v>
      </c>
      <c r="BH23" s="12">
        <f>'Supply 2024'!BH24/'Supply 2024'!BH$76</f>
        <v>0</v>
      </c>
      <c r="BI23" s="12">
        <f>'Supply 2024'!BI24/'Supply 2024'!BI$76</f>
        <v>0</v>
      </c>
      <c r="BJ23" s="12">
        <f>'Supply 2024'!BJ24/'Supply 2024'!BJ$76</f>
        <v>0</v>
      </c>
      <c r="BK23" s="12">
        <f>'Supply 2024'!BK24/'Supply 2024'!BK$76</f>
        <v>0</v>
      </c>
      <c r="BL23" s="12">
        <f>'Supply 2024'!BL24/'Supply 2024'!BL$76</f>
        <v>0</v>
      </c>
      <c r="BM23" s="12">
        <f>'Supply 2024'!BM24/'Supply 2024'!BM$76</f>
        <v>0</v>
      </c>
      <c r="BN23" s="12">
        <f>'Supply 2024'!BN24/'Supply 2024'!BN$76</f>
        <v>0</v>
      </c>
      <c r="BO23" s="12">
        <f>'Supply 2024'!BO24/'Supply 2024'!BO$76</f>
        <v>0</v>
      </c>
      <c r="BP23" s="12">
        <f>'Supply 2024'!BP24/'Supply 2024'!BP$76</f>
        <v>0</v>
      </c>
      <c r="BQ23" s="12">
        <f>'Supply 2024'!BQ24/'Supply 2024'!BQ$76</f>
        <v>0</v>
      </c>
      <c r="BR23" s="12">
        <f>'Supply 2024'!BR24/'Supply 2024'!BR$76</f>
        <v>0</v>
      </c>
      <c r="BS23" s="12">
        <f>'Supply 2024'!BS24/'Supply 2024'!BS$76</f>
        <v>0</v>
      </c>
      <c r="BT23" s="12">
        <f>'Supply 2024'!BT24/'Supply 2024'!BT$76</f>
        <v>2.6326357050914206E-4</v>
      </c>
      <c r="BU23" s="12">
        <f>'Supply 2024'!BU24/'Supply 2024'!BU$76</f>
        <v>0</v>
      </c>
      <c r="BV23" s="12">
        <f>'Supply 2024'!BV24/'Supply 2024'!BV$76</f>
        <v>4.3474641049602997E-3</v>
      </c>
      <c r="BW23" s="12">
        <f>'Supply 2024'!BW24/'Supply 2024'!BW$76</f>
        <v>8.1294089632262707E-3</v>
      </c>
      <c r="BX23" s="12">
        <f>'Supply 2024'!BX24/'Supply 2024'!BX$76</f>
        <v>0</v>
      </c>
      <c r="BY23" s="12">
        <f>'Supply 2024'!BY24/'Supply 2024'!BY$76</f>
        <v>4.6128495764885735E-3</v>
      </c>
      <c r="BZ23" s="12">
        <f>'Supply 2024'!BZ24/'Supply 2024'!BZ$76</f>
        <v>-82454</v>
      </c>
      <c r="CA23" s="12" t="e">
        <f>'Supply 2024'!CA24/'Supply 2024'!CA$76</f>
        <v>#DIV/0!</v>
      </c>
      <c r="CB23" s="12">
        <f>'Supply 2024'!CB24/'Supply 2024'!CB$76</f>
        <v>-97759</v>
      </c>
      <c r="CC23" s="12">
        <f>'Supply 2024'!CC24/'Supply 2024'!CC$76</f>
        <v>9.7622836086951326E-3</v>
      </c>
      <c r="CD23" s="12">
        <f>'Supply 2024'!CD24/'Supply 2024'!CD$76</f>
        <v>8.5936846456286069E-3</v>
      </c>
      <c r="CE23" s="12">
        <f>'Supply 2024'!CE24/'Supply 2024'!CE$76</f>
        <v>0</v>
      </c>
      <c r="CF23" s="12">
        <f>'Supply 2024'!CF24/'Supply 2024'!CF$76</f>
        <v>9.4504150145596575E-3</v>
      </c>
      <c r="CG23" s="12">
        <f>'Supply 2024'!CG24/'Supply 2024'!CG$76</f>
        <v>6.4991069514160841E-3</v>
      </c>
    </row>
    <row r="24" spans="1:85" x14ac:dyDescent="0.25">
      <c r="A24" t="s">
        <v>23</v>
      </c>
      <c r="B24" t="s">
        <v>116</v>
      </c>
      <c r="C24" s="12">
        <f>'Supply 2024'!C25/'Supply 2024'!C$76</f>
        <v>0</v>
      </c>
      <c r="D24" s="12">
        <f>'Supply 2024'!D25/'Supply 2024'!D$76</f>
        <v>0</v>
      </c>
      <c r="E24" s="12">
        <f>'Supply 2024'!E25/'Supply 2024'!E$76</f>
        <v>0</v>
      </c>
      <c r="F24" s="12">
        <f>'Supply 2024'!F25/'Supply 2024'!F$76</f>
        <v>0</v>
      </c>
      <c r="G24" s="12">
        <f>'Supply 2024'!G25/'Supply 2024'!G$76</f>
        <v>0</v>
      </c>
      <c r="H24" s="12">
        <f>'Supply 2024'!H25/'Supply 2024'!H$76</f>
        <v>0</v>
      </c>
      <c r="I24" s="12">
        <f>'Supply 2024'!I25/'Supply 2024'!I$76</f>
        <v>0</v>
      </c>
      <c r="J24" s="12">
        <f>'Supply 2024'!J25/'Supply 2024'!J$76</f>
        <v>0</v>
      </c>
      <c r="K24" s="12">
        <f>'Supply 2024'!K25/'Supply 2024'!K$76</f>
        <v>0</v>
      </c>
      <c r="L24" s="12">
        <f>'Supply 2024'!L25/'Supply 2024'!L$76</f>
        <v>0</v>
      </c>
      <c r="M24" s="12">
        <f>'Supply 2024'!M25/'Supply 2024'!M$76</f>
        <v>1.438538444939941E-4</v>
      </c>
      <c r="N24" s="12">
        <f>'Supply 2024'!N25/'Supply 2024'!N$76</f>
        <v>0</v>
      </c>
      <c r="O24" s="12">
        <f>'Supply 2024'!O25/'Supply 2024'!O$76</f>
        <v>0</v>
      </c>
      <c r="P24" s="12">
        <f>'Supply 2024'!P25/'Supply 2024'!P$76</f>
        <v>0</v>
      </c>
      <c r="Q24" s="12">
        <f>'Supply 2024'!Q25/'Supply 2024'!Q$76</f>
        <v>0</v>
      </c>
      <c r="R24" s="12">
        <f>'Supply 2024'!R25/'Supply 2024'!R$76</f>
        <v>0</v>
      </c>
      <c r="S24" s="12">
        <f>'Supply 2024'!S25/'Supply 2024'!S$76</f>
        <v>8.2789289431355859E-5</v>
      </c>
      <c r="T24" s="12">
        <f>'Supply 2024'!T25/'Supply 2024'!T$76</f>
        <v>2.1159376248600162E-3</v>
      </c>
      <c r="U24" s="12">
        <f>'Supply 2024'!U25/'Supply 2024'!U$76</f>
        <v>0</v>
      </c>
      <c r="V24" s="12">
        <f>'Supply 2024'!V25/'Supply 2024'!V$76</f>
        <v>4.3351058150212481E-3</v>
      </c>
      <c r="W24" s="12">
        <f>'Supply 2024'!W25/'Supply 2024'!W$76</f>
        <v>2.7444881529594729E-4</v>
      </c>
      <c r="X24" s="12">
        <f>'Supply 2024'!X25/'Supply 2024'!X$76</f>
        <v>1.4770035576122842E-3</v>
      </c>
      <c r="Y24" s="12">
        <f>'Supply 2024'!Y25/'Supply 2024'!Y$76</f>
        <v>0.7693310886111967</v>
      </c>
      <c r="Z24" s="12">
        <f>'Supply 2024'!Z25/'Supply 2024'!Z$76</f>
        <v>0</v>
      </c>
      <c r="AA24" s="12">
        <f>'Supply 2024'!AA25/'Supply 2024'!AA$76</f>
        <v>0</v>
      </c>
      <c r="AB24" s="12">
        <f>'Supply 2024'!AB25/'Supply 2024'!AB$76</f>
        <v>1.648033794782796E-4</v>
      </c>
      <c r="AC24" s="12">
        <f>'Supply 2024'!AC25/'Supply 2024'!AC$76</f>
        <v>0</v>
      </c>
      <c r="AD24" s="12">
        <f>'Supply 2024'!AD25/'Supply 2024'!AD$76</f>
        <v>0</v>
      </c>
      <c r="AE24" s="12">
        <f>'Supply 2024'!AE25/'Supply 2024'!AE$76</f>
        <v>0</v>
      </c>
      <c r="AF24" s="12">
        <f>'Supply 2024'!AF25/'Supply 2024'!AF$76</f>
        <v>0</v>
      </c>
      <c r="AG24" s="12">
        <f>'Supply 2024'!AG25/'Supply 2024'!AG$76</f>
        <v>0</v>
      </c>
      <c r="AH24" s="12">
        <f>'Supply 2024'!AH25/'Supply 2024'!AH$76</f>
        <v>0</v>
      </c>
      <c r="AI24" s="12">
        <f>'Supply 2024'!AI25/'Supply 2024'!AI$76</f>
        <v>0</v>
      </c>
      <c r="AJ24" s="12">
        <f>'Supply 2024'!AJ25/'Supply 2024'!AJ$76</f>
        <v>0</v>
      </c>
      <c r="AK24" s="12">
        <f>'Supply 2024'!AK25/'Supply 2024'!AK$76</f>
        <v>0</v>
      </c>
      <c r="AL24" s="12">
        <f>'Supply 2024'!AL25/'Supply 2024'!AL$76</f>
        <v>0</v>
      </c>
      <c r="AM24" s="12">
        <f>'Supply 2024'!AM25/'Supply 2024'!AM$76</f>
        <v>0</v>
      </c>
      <c r="AN24" s="12">
        <f>'Supply 2024'!AN25/'Supply 2024'!AN$76</f>
        <v>0</v>
      </c>
      <c r="AO24" s="12">
        <f>'Supply 2024'!AO25/'Supply 2024'!AO$76</f>
        <v>0</v>
      </c>
      <c r="AP24" s="12">
        <f>'Supply 2024'!AP25/'Supply 2024'!AP$76</f>
        <v>2.6820659905112689E-3</v>
      </c>
      <c r="AQ24" s="12">
        <f>'Supply 2024'!AQ25/'Supply 2024'!AQ$76</f>
        <v>0</v>
      </c>
      <c r="AR24" s="12">
        <f>'Supply 2024'!AR25/'Supply 2024'!AR$76</f>
        <v>0</v>
      </c>
      <c r="AS24" s="12">
        <f>'Supply 2024'!AS25/'Supply 2024'!AS$76</f>
        <v>0</v>
      </c>
      <c r="AT24" s="12">
        <f>'Supply 2024'!AT25/'Supply 2024'!AT$76</f>
        <v>0</v>
      </c>
      <c r="AU24" s="12">
        <f>'Supply 2024'!AU25/'Supply 2024'!AU$76</f>
        <v>0</v>
      </c>
      <c r="AV24" s="12">
        <f>'Supply 2024'!AV25/'Supply 2024'!AV$76</f>
        <v>0</v>
      </c>
      <c r="AW24" s="12">
        <f>'Supply 2024'!AW25/'Supply 2024'!AW$76</f>
        <v>0</v>
      </c>
      <c r="AX24" s="12">
        <f>'Supply 2024'!AX25/'Supply 2024'!AX$76</f>
        <v>0</v>
      </c>
      <c r="AY24" s="12">
        <f>'Supply 2024'!AY25/'Supply 2024'!AY$76</f>
        <v>0</v>
      </c>
      <c r="AZ24" s="12">
        <f>'Supply 2024'!AZ25/'Supply 2024'!AZ$76</f>
        <v>0</v>
      </c>
      <c r="BA24" s="12">
        <f>'Supply 2024'!BA25/'Supply 2024'!BA$76</f>
        <v>0</v>
      </c>
      <c r="BB24" s="12">
        <f>'Supply 2024'!BB25/'Supply 2024'!BB$76</f>
        <v>0</v>
      </c>
      <c r="BC24" s="12">
        <f>'Supply 2024'!BC25/'Supply 2024'!BC$76</f>
        <v>5.3042565774991664E-6</v>
      </c>
      <c r="BD24" s="12">
        <f>'Supply 2024'!BD25/'Supply 2024'!BD$76</f>
        <v>0</v>
      </c>
      <c r="BE24" s="12">
        <f>'Supply 2024'!BE25/'Supply 2024'!BE$76</f>
        <v>1.5634390236187738E-3</v>
      </c>
      <c r="BF24" s="12">
        <f>'Supply 2024'!BF25/'Supply 2024'!BF$76</f>
        <v>0</v>
      </c>
      <c r="BG24" s="12">
        <f>'Supply 2024'!BG25/'Supply 2024'!BG$76</f>
        <v>0</v>
      </c>
      <c r="BH24" s="12">
        <f>'Supply 2024'!BH25/'Supply 2024'!BH$76</f>
        <v>0</v>
      </c>
      <c r="BI24" s="12">
        <f>'Supply 2024'!BI25/'Supply 2024'!BI$76</f>
        <v>0</v>
      </c>
      <c r="BJ24" s="12">
        <f>'Supply 2024'!BJ25/'Supply 2024'!BJ$76</f>
        <v>0</v>
      </c>
      <c r="BK24" s="12">
        <f>'Supply 2024'!BK25/'Supply 2024'!BK$76</f>
        <v>0</v>
      </c>
      <c r="BL24" s="12">
        <f>'Supply 2024'!BL25/'Supply 2024'!BL$76</f>
        <v>0</v>
      </c>
      <c r="BM24" s="12">
        <f>'Supply 2024'!BM25/'Supply 2024'!BM$76</f>
        <v>0</v>
      </c>
      <c r="BN24" s="12">
        <f>'Supply 2024'!BN25/'Supply 2024'!BN$76</f>
        <v>0</v>
      </c>
      <c r="BO24" s="12">
        <f>'Supply 2024'!BO25/'Supply 2024'!BO$76</f>
        <v>0</v>
      </c>
      <c r="BP24" s="12">
        <f>'Supply 2024'!BP25/'Supply 2024'!BP$76</f>
        <v>0</v>
      </c>
      <c r="BQ24" s="12">
        <f>'Supply 2024'!BQ25/'Supply 2024'!BQ$76</f>
        <v>0</v>
      </c>
      <c r="BR24" s="12">
        <f>'Supply 2024'!BR25/'Supply 2024'!BR$76</f>
        <v>-1.5882898565456601E-6</v>
      </c>
      <c r="BS24" s="12">
        <f>'Supply 2024'!BS25/'Supply 2024'!BS$76</f>
        <v>0</v>
      </c>
      <c r="BT24" s="12">
        <f>'Supply 2024'!BT25/'Supply 2024'!BT$76</f>
        <v>7.1608904374664102E-4</v>
      </c>
      <c r="BU24" s="12">
        <f>'Supply 2024'!BU25/'Supply 2024'!BU$76</f>
        <v>0</v>
      </c>
      <c r="BV24" s="12">
        <f>'Supply 2024'!BV25/'Supply 2024'!BV$76</f>
        <v>1.4501400970875933E-3</v>
      </c>
      <c r="BW24" s="12">
        <f>'Supply 2024'!BW25/'Supply 2024'!BW$76</f>
        <v>8.9108601512152494E-4</v>
      </c>
      <c r="BX24" s="12">
        <f>'Supply 2024'!BX25/'Supply 2024'!BX$76</f>
        <v>0</v>
      </c>
      <c r="BY24" s="12">
        <f>'Supply 2024'!BY25/'Supply 2024'!BY$76</f>
        <v>1.4121166793564562E-3</v>
      </c>
      <c r="BZ24" s="12">
        <f>'Supply 2024'!BZ25/'Supply 2024'!BZ$76</f>
        <v>-19777</v>
      </c>
      <c r="CA24" s="12" t="e">
        <f>'Supply 2024'!CA25/'Supply 2024'!CA$76</f>
        <v>#DIV/0!</v>
      </c>
      <c r="CB24" s="12">
        <f>'Supply 2024'!CB25/'Supply 2024'!CB$76</f>
        <v>-23477</v>
      </c>
      <c r="CC24" s="12">
        <f>'Supply 2024'!CC25/'Supply 2024'!CC$76</f>
        <v>1.4117027767475805E-3</v>
      </c>
      <c r="CD24" s="12">
        <f>'Supply 2024'!CD25/'Supply 2024'!CD$76</f>
        <v>1.4811607182399283E-3</v>
      </c>
      <c r="CE24" s="12">
        <f>'Supply 2024'!CE25/'Supply 2024'!CE$76</f>
        <v>0</v>
      </c>
      <c r="CF24" s="12">
        <f>'Supply 2024'!CF25/'Supply 2024'!CF$76</f>
        <v>1.6064121877493007E-3</v>
      </c>
      <c r="CG24" s="12">
        <f>'Supply 2024'!CG25/'Supply 2024'!CG$76</f>
        <v>1.8471430420603501E-3</v>
      </c>
    </row>
    <row r="25" spans="1:85" x14ac:dyDescent="0.25">
      <c r="A25" t="s">
        <v>24</v>
      </c>
      <c r="B25" t="s">
        <v>117</v>
      </c>
      <c r="C25" s="12">
        <f>'Supply 2024'!C26/'Supply 2024'!C$76</f>
        <v>0</v>
      </c>
      <c r="D25" s="12">
        <f>'Supply 2024'!D26/'Supply 2024'!D$76</f>
        <v>0</v>
      </c>
      <c r="E25" s="12">
        <f>'Supply 2024'!E26/'Supply 2024'!E$76</f>
        <v>0.10121825606621333</v>
      </c>
      <c r="F25" s="12">
        <f>'Supply 2024'!F26/'Supply 2024'!F$76</f>
        <v>1.1494168183258302E-3</v>
      </c>
      <c r="G25" s="12">
        <f>'Supply 2024'!G26/'Supply 2024'!G$76</f>
        <v>2.1307655341874531E-3</v>
      </c>
      <c r="H25" s="12">
        <f>'Supply 2024'!H26/'Supply 2024'!H$76</f>
        <v>0</v>
      </c>
      <c r="I25" s="12">
        <f>'Supply 2024'!I26/'Supply 2024'!I$76</f>
        <v>0</v>
      </c>
      <c r="J25" s="12">
        <f>'Supply 2024'!J26/'Supply 2024'!J$76</f>
        <v>0</v>
      </c>
      <c r="K25" s="12">
        <f>'Supply 2024'!K26/'Supply 2024'!K$76</f>
        <v>8.0530473073693945E-4</v>
      </c>
      <c r="L25" s="12">
        <f>'Supply 2024'!L26/'Supply 2024'!L$76</f>
        <v>2.9248870456984617E-3</v>
      </c>
      <c r="M25" s="12">
        <f>'Supply 2024'!M26/'Supply 2024'!M$76</f>
        <v>8.7184148178178248E-6</v>
      </c>
      <c r="N25" s="12">
        <f>'Supply 2024'!N26/'Supply 2024'!N$76</f>
        <v>0</v>
      </c>
      <c r="O25" s="12">
        <f>'Supply 2024'!O26/'Supply 2024'!O$76</f>
        <v>0</v>
      </c>
      <c r="P25" s="12">
        <f>'Supply 2024'!P26/'Supply 2024'!P$76</f>
        <v>1.5534463206623896E-5</v>
      </c>
      <c r="Q25" s="12">
        <f>'Supply 2024'!Q26/'Supply 2024'!Q$76</f>
        <v>0</v>
      </c>
      <c r="R25" s="12">
        <f>'Supply 2024'!R26/'Supply 2024'!R$76</f>
        <v>0</v>
      </c>
      <c r="S25" s="12">
        <f>'Supply 2024'!S26/'Supply 2024'!S$76</f>
        <v>0</v>
      </c>
      <c r="T25" s="12">
        <f>'Supply 2024'!T26/'Supply 2024'!T$76</f>
        <v>0</v>
      </c>
      <c r="U25" s="12">
        <f>'Supply 2024'!U26/'Supply 2024'!U$76</f>
        <v>3.6335360846468568E-5</v>
      </c>
      <c r="V25" s="12">
        <f>'Supply 2024'!V26/'Supply 2024'!V$76</f>
        <v>0</v>
      </c>
      <c r="W25" s="12">
        <f>'Supply 2024'!W26/'Supply 2024'!W$76</f>
        <v>0</v>
      </c>
      <c r="X25" s="12">
        <f>'Supply 2024'!X26/'Supply 2024'!X$76</f>
        <v>0</v>
      </c>
      <c r="Y25" s="12">
        <f>'Supply 2024'!Y26/'Supply 2024'!Y$76</f>
        <v>0</v>
      </c>
      <c r="Z25" s="12">
        <f>'Supply 2024'!Z26/'Supply 2024'!Z$76</f>
        <v>0.94447499218337272</v>
      </c>
      <c r="AA25" s="12">
        <f>'Supply 2024'!AA26/'Supply 2024'!AA$76</f>
        <v>1.0324878333402314E-2</v>
      </c>
      <c r="AB25" s="12">
        <f>'Supply 2024'!AB26/'Supply 2024'!AB$76</f>
        <v>6.7266685501338608E-6</v>
      </c>
      <c r="AC25" s="12">
        <f>'Supply 2024'!AC26/'Supply 2024'!AC$76</f>
        <v>0</v>
      </c>
      <c r="AD25" s="12">
        <f>'Supply 2024'!AD26/'Supply 2024'!AD$76</f>
        <v>0</v>
      </c>
      <c r="AE25" s="12">
        <f>'Supply 2024'!AE26/'Supply 2024'!AE$76</f>
        <v>0</v>
      </c>
      <c r="AF25" s="12">
        <f>'Supply 2024'!AF26/'Supply 2024'!AF$76</f>
        <v>0</v>
      </c>
      <c r="AG25" s="12">
        <f>'Supply 2024'!AG26/'Supply 2024'!AG$76</f>
        <v>0</v>
      </c>
      <c r="AH25" s="12">
        <f>'Supply 2024'!AH26/'Supply 2024'!AH$76</f>
        <v>0</v>
      </c>
      <c r="AI25" s="12">
        <f>'Supply 2024'!AI26/'Supply 2024'!AI$76</f>
        <v>0</v>
      </c>
      <c r="AJ25" s="12">
        <f>'Supply 2024'!AJ26/'Supply 2024'!AJ$76</f>
        <v>0</v>
      </c>
      <c r="AK25" s="12">
        <f>'Supply 2024'!AK26/'Supply 2024'!AK$76</f>
        <v>0</v>
      </c>
      <c r="AL25" s="12">
        <f>'Supply 2024'!AL26/'Supply 2024'!AL$76</f>
        <v>0</v>
      </c>
      <c r="AM25" s="12">
        <f>'Supply 2024'!AM26/'Supply 2024'!AM$76</f>
        <v>0</v>
      </c>
      <c r="AN25" s="12">
        <f>'Supply 2024'!AN26/'Supply 2024'!AN$76</f>
        <v>0</v>
      </c>
      <c r="AO25" s="12">
        <f>'Supply 2024'!AO26/'Supply 2024'!AO$76</f>
        <v>0</v>
      </c>
      <c r="AP25" s="12">
        <f>'Supply 2024'!AP26/'Supply 2024'!AP$76</f>
        <v>0</v>
      </c>
      <c r="AQ25" s="12">
        <f>'Supply 2024'!AQ26/'Supply 2024'!AQ$76</f>
        <v>0</v>
      </c>
      <c r="AR25" s="12">
        <f>'Supply 2024'!AR26/'Supply 2024'!AR$76</f>
        <v>0</v>
      </c>
      <c r="AS25" s="12">
        <f>'Supply 2024'!AS26/'Supply 2024'!AS$76</f>
        <v>0</v>
      </c>
      <c r="AT25" s="12">
        <f>'Supply 2024'!AT26/'Supply 2024'!AT$76</f>
        <v>0</v>
      </c>
      <c r="AU25" s="12">
        <f>'Supply 2024'!AU26/'Supply 2024'!AU$76</f>
        <v>0</v>
      </c>
      <c r="AV25" s="12">
        <f>'Supply 2024'!AV26/'Supply 2024'!AV$76</f>
        <v>0</v>
      </c>
      <c r="AW25" s="12">
        <f>'Supply 2024'!AW26/'Supply 2024'!AW$76</f>
        <v>0</v>
      </c>
      <c r="AX25" s="12">
        <f>'Supply 2024'!AX26/'Supply 2024'!AX$76</f>
        <v>0</v>
      </c>
      <c r="AY25" s="12">
        <f>'Supply 2024'!AY26/'Supply 2024'!AY$76</f>
        <v>0</v>
      </c>
      <c r="AZ25" s="12">
        <f>'Supply 2024'!AZ26/'Supply 2024'!AZ$76</f>
        <v>0</v>
      </c>
      <c r="BA25" s="12">
        <f>'Supply 2024'!BA26/'Supply 2024'!BA$76</f>
        <v>0</v>
      </c>
      <c r="BB25" s="12">
        <f>'Supply 2024'!BB26/'Supply 2024'!BB$76</f>
        <v>0</v>
      </c>
      <c r="BC25" s="12">
        <f>'Supply 2024'!BC26/'Supply 2024'!BC$76</f>
        <v>0</v>
      </c>
      <c r="BD25" s="12">
        <f>'Supply 2024'!BD26/'Supply 2024'!BD$76</f>
        <v>0</v>
      </c>
      <c r="BE25" s="12">
        <f>'Supply 2024'!BE26/'Supply 2024'!BE$76</f>
        <v>0</v>
      </c>
      <c r="BF25" s="12">
        <f>'Supply 2024'!BF26/'Supply 2024'!BF$76</f>
        <v>0</v>
      </c>
      <c r="BG25" s="12">
        <f>'Supply 2024'!BG26/'Supply 2024'!BG$76</f>
        <v>0</v>
      </c>
      <c r="BH25" s="12">
        <f>'Supply 2024'!BH26/'Supply 2024'!BH$76</f>
        <v>0</v>
      </c>
      <c r="BI25" s="12">
        <f>'Supply 2024'!BI26/'Supply 2024'!BI$76</f>
        <v>0</v>
      </c>
      <c r="BJ25" s="12">
        <f>'Supply 2024'!BJ26/'Supply 2024'!BJ$76</f>
        <v>0</v>
      </c>
      <c r="BK25" s="12">
        <f>'Supply 2024'!BK26/'Supply 2024'!BK$76</f>
        <v>0</v>
      </c>
      <c r="BL25" s="12">
        <f>'Supply 2024'!BL26/'Supply 2024'!BL$76</f>
        <v>0</v>
      </c>
      <c r="BM25" s="12">
        <f>'Supply 2024'!BM26/'Supply 2024'!BM$76</f>
        <v>0</v>
      </c>
      <c r="BN25" s="12">
        <f>'Supply 2024'!BN26/'Supply 2024'!BN$76</f>
        <v>0</v>
      </c>
      <c r="BO25" s="12">
        <f>'Supply 2024'!BO26/'Supply 2024'!BO$76</f>
        <v>0</v>
      </c>
      <c r="BP25" s="12">
        <f>'Supply 2024'!BP26/'Supply 2024'!BP$76</f>
        <v>0</v>
      </c>
      <c r="BQ25" s="12">
        <f>'Supply 2024'!BQ26/'Supply 2024'!BQ$76</f>
        <v>0</v>
      </c>
      <c r="BR25" s="12">
        <f>'Supply 2024'!BR26/'Supply 2024'!BR$76</f>
        <v>0</v>
      </c>
      <c r="BS25" s="12">
        <f>'Supply 2024'!BS26/'Supply 2024'!BS$76</f>
        <v>0</v>
      </c>
      <c r="BT25" s="12">
        <f>'Supply 2024'!BT26/'Supply 2024'!BT$76</f>
        <v>0</v>
      </c>
      <c r="BU25" s="12">
        <f>'Supply 2024'!BU26/'Supply 2024'!BU$76</f>
        <v>0</v>
      </c>
      <c r="BV25" s="12">
        <f>'Supply 2024'!BV26/'Supply 2024'!BV$76</f>
        <v>1.3460119538521218E-2</v>
      </c>
      <c r="BW25" s="12">
        <f>'Supply 2024'!BW26/'Supply 2024'!BW$76</f>
        <v>1.9211415813921415E-2</v>
      </c>
      <c r="BX25" s="12">
        <f>'Supply 2024'!BX26/'Supply 2024'!BX$76</f>
        <v>0</v>
      </c>
      <c r="BY25" s="12">
        <f>'Supply 2024'!BY26/'Supply 2024'!BY$76</f>
        <v>1.3867645620389902E-2</v>
      </c>
      <c r="BZ25" s="12">
        <f>'Supply 2024'!BZ26/'Supply 2024'!BZ$76</f>
        <v>-198664</v>
      </c>
      <c r="CA25" s="12" t="e">
        <f>'Supply 2024'!CA26/'Supply 2024'!CA$76</f>
        <v>#DIV/0!</v>
      </c>
      <c r="CB25" s="12">
        <f>'Supply 2024'!CB26/'Supply 2024'!CB$76</f>
        <v>-237261</v>
      </c>
      <c r="CC25" s="12">
        <f>'Supply 2024'!CC26/'Supply 2024'!CC$76</f>
        <v>2.6678789763958512E-3</v>
      </c>
      <c r="CD25" s="12">
        <f>'Supply 2024'!CD26/'Supply 2024'!CD$76</f>
        <v>0.12132526978284511</v>
      </c>
      <c r="CE25" s="12">
        <f>'Supply 2024'!CE26/'Supply 2024'!CE$76</f>
        <v>0</v>
      </c>
      <c r="CF25" s="12">
        <f>'Supply 2024'!CF26/'Supply 2024'!CF$76</f>
        <v>0.12223876253803227</v>
      </c>
      <c r="CG25" s="12">
        <f>'Supply 2024'!CG26/'Supply 2024'!CG$76</f>
        <v>2.0239629129224154E-2</v>
      </c>
    </row>
    <row r="26" spans="1:85" x14ac:dyDescent="0.25">
      <c r="A26" t="s">
        <v>25</v>
      </c>
      <c r="B26" t="s">
        <v>118</v>
      </c>
      <c r="C26" s="12">
        <f>'Supply 2024'!C27/'Supply 2024'!C$76</f>
        <v>0</v>
      </c>
      <c r="D26" s="12">
        <f>'Supply 2024'!D27/'Supply 2024'!D$76</f>
        <v>0</v>
      </c>
      <c r="E26" s="12">
        <f>'Supply 2024'!E27/'Supply 2024'!E$76</f>
        <v>6.882030153318871E-4</v>
      </c>
      <c r="F26" s="12">
        <f>'Supply 2024'!F27/'Supply 2024'!F$76</f>
        <v>2.2899919688183848E-2</v>
      </c>
      <c r="G26" s="12">
        <f>'Supply 2024'!G27/'Supply 2024'!G$76</f>
        <v>0</v>
      </c>
      <c r="H26" s="12">
        <f>'Supply 2024'!H27/'Supply 2024'!H$76</f>
        <v>0</v>
      </c>
      <c r="I26" s="12">
        <f>'Supply 2024'!I27/'Supply 2024'!I$76</f>
        <v>0</v>
      </c>
      <c r="J26" s="12">
        <f>'Supply 2024'!J27/'Supply 2024'!J$76</f>
        <v>1.3222038263428993E-4</v>
      </c>
      <c r="K26" s="12">
        <f>'Supply 2024'!K27/'Supply 2024'!K$76</f>
        <v>1.2108127866399373E-3</v>
      </c>
      <c r="L26" s="12">
        <f>'Supply 2024'!L27/'Supply 2024'!L$76</f>
        <v>5.2005352907662347E-4</v>
      </c>
      <c r="M26" s="12">
        <f>'Supply 2024'!M27/'Supply 2024'!M$76</f>
        <v>8.5004544473723785E-5</v>
      </c>
      <c r="N26" s="12">
        <f>'Supply 2024'!N27/'Supply 2024'!N$76</f>
        <v>1.9248616505688655E-4</v>
      </c>
      <c r="O26" s="12">
        <f>'Supply 2024'!O27/'Supply 2024'!O$76</f>
        <v>6.2628351709171411E-4</v>
      </c>
      <c r="P26" s="12">
        <f>'Supply 2024'!P27/'Supply 2024'!P$76</f>
        <v>0</v>
      </c>
      <c r="Q26" s="12">
        <f>'Supply 2024'!Q27/'Supply 2024'!Q$76</f>
        <v>2.5954846353798297E-6</v>
      </c>
      <c r="R26" s="12">
        <f>'Supply 2024'!R27/'Supply 2024'!R$76</f>
        <v>9.2847801231427126E-5</v>
      </c>
      <c r="S26" s="12">
        <f>'Supply 2024'!S27/'Supply 2024'!S$76</f>
        <v>1.419244961680386E-4</v>
      </c>
      <c r="T26" s="12">
        <f>'Supply 2024'!T27/'Supply 2024'!T$76</f>
        <v>7.4282916617426096E-4</v>
      </c>
      <c r="U26" s="12">
        <f>'Supply 2024'!U27/'Supply 2024'!U$76</f>
        <v>2.444158606272452E-3</v>
      </c>
      <c r="V26" s="12">
        <f>'Supply 2024'!V27/'Supply 2024'!V$76</f>
        <v>6.4321865590364527E-2</v>
      </c>
      <c r="W26" s="12">
        <f>'Supply 2024'!W27/'Supply 2024'!W$76</f>
        <v>2.4242978684475345E-3</v>
      </c>
      <c r="X26" s="12">
        <f>'Supply 2024'!X27/'Supply 2024'!X$76</f>
        <v>1.0060086150919583E-4</v>
      </c>
      <c r="Y26" s="12">
        <f>'Supply 2024'!Y27/'Supply 2024'!Y$76</f>
        <v>0</v>
      </c>
      <c r="Z26" s="12">
        <f>'Supply 2024'!Z27/'Supply 2024'!Z$76</f>
        <v>3.7838637088240867E-2</v>
      </c>
      <c r="AA26" s="12">
        <f>'Supply 2024'!AA27/'Supply 2024'!AA$76</f>
        <v>0.88005051397260492</v>
      </c>
      <c r="AB26" s="12">
        <f>'Supply 2024'!AB27/'Supply 2024'!AB$76</f>
        <v>6.6190418533317186E-3</v>
      </c>
      <c r="AC26" s="12">
        <f>'Supply 2024'!AC27/'Supply 2024'!AC$76</f>
        <v>0</v>
      </c>
      <c r="AD26" s="12">
        <f>'Supply 2024'!AD27/'Supply 2024'!AD$76</f>
        <v>0</v>
      </c>
      <c r="AE26" s="12">
        <f>'Supply 2024'!AE27/'Supply 2024'!AE$76</f>
        <v>0</v>
      </c>
      <c r="AF26" s="12">
        <f>'Supply 2024'!AF27/'Supply 2024'!AF$76</f>
        <v>0</v>
      </c>
      <c r="AG26" s="12">
        <f>'Supply 2024'!AG27/'Supply 2024'!AG$76</f>
        <v>0</v>
      </c>
      <c r="AH26" s="12">
        <f>'Supply 2024'!AH27/'Supply 2024'!AH$76</f>
        <v>0</v>
      </c>
      <c r="AI26" s="12">
        <f>'Supply 2024'!AI27/'Supply 2024'!AI$76</f>
        <v>0</v>
      </c>
      <c r="AJ26" s="12">
        <f>'Supply 2024'!AJ27/'Supply 2024'!AJ$76</f>
        <v>0</v>
      </c>
      <c r="AK26" s="12">
        <f>'Supply 2024'!AK27/'Supply 2024'!AK$76</f>
        <v>0</v>
      </c>
      <c r="AL26" s="12">
        <f>'Supply 2024'!AL27/'Supply 2024'!AL$76</f>
        <v>0</v>
      </c>
      <c r="AM26" s="12">
        <f>'Supply 2024'!AM27/'Supply 2024'!AM$76</f>
        <v>0</v>
      </c>
      <c r="AN26" s="12">
        <f>'Supply 2024'!AN27/'Supply 2024'!AN$76</f>
        <v>0</v>
      </c>
      <c r="AO26" s="12">
        <f>'Supply 2024'!AO27/'Supply 2024'!AO$76</f>
        <v>0</v>
      </c>
      <c r="AP26" s="12">
        <f>'Supply 2024'!AP27/'Supply 2024'!AP$76</f>
        <v>0</v>
      </c>
      <c r="AQ26" s="12">
        <f>'Supply 2024'!AQ27/'Supply 2024'!AQ$76</f>
        <v>0</v>
      </c>
      <c r="AR26" s="12">
        <f>'Supply 2024'!AR27/'Supply 2024'!AR$76</f>
        <v>0</v>
      </c>
      <c r="AS26" s="12">
        <f>'Supply 2024'!AS27/'Supply 2024'!AS$76</f>
        <v>0</v>
      </c>
      <c r="AT26" s="12">
        <f>'Supply 2024'!AT27/'Supply 2024'!AT$76</f>
        <v>0</v>
      </c>
      <c r="AU26" s="12">
        <f>'Supply 2024'!AU27/'Supply 2024'!AU$76</f>
        <v>0</v>
      </c>
      <c r="AV26" s="12">
        <f>'Supply 2024'!AV27/'Supply 2024'!AV$76</f>
        <v>0</v>
      </c>
      <c r="AW26" s="12">
        <f>'Supply 2024'!AW27/'Supply 2024'!AW$76</f>
        <v>0</v>
      </c>
      <c r="AX26" s="12">
        <f>'Supply 2024'!AX27/'Supply 2024'!AX$76</f>
        <v>0</v>
      </c>
      <c r="AY26" s="12">
        <f>'Supply 2024'!AY27/'Supply 2024'!AY$76</f>
        <v>0</v>
      </c>
      <c r="AZ26" s="12">
        <f>'Supply 2024'!AZ27/'Supply 2024'!AZ$76</f>
        <v>0</v>
      </c>
      <c r="BA26" s="12">
        <f>'Supply 2024'!BA27/'Supply 2024'!BA$76</f>
        <v>0</v>
      </c>
      <c r="BB26" s="12">
        <f>'Supply 2024'!BB27/'Supply 2024'!BB$76</f>
        <v>0</v>
      </c>
      <c r="BC26" s="12">
        <f>'Supply 2024'!BC27/'Supply 2024'!BC$76</f>
        <v>0</v>
      </c>
      <c r="BD26" s="12">
        <f>'Supply 2024'!BD27/'Supply 2024'!BD$76</f>
        <v>0</v>
      </c>
      <c r="BE26" s="12">
        <f>'Supply 2024'!BE27/'Supply 2024'!BE$76</f>
        <v>0</v>
      </c>
      <c r="BF26" s="12">
        <f>'Supply 2024'!BF27/'Supply 2024'!BF$76</f>
        <v>0</v>
      </c>
      <c r="BG26" s="12">
        <f>'Supply 2024'!BG27/'Supply 2024'!BG$76</f>
        <v>0</v>
      </c>
      <c r="BH26" s="12">
        <f>'Supply 2024'!BH27/'Supply 2024'!BH$76</f>
        <v>0</v>
      </c>
      <c r="BI26" s="12">
        <f>'Supply 2024'!BI27/'Supply 2024'!BI$76</f>
        <v>0</v>
      </c>
      <c r="BJ26" s="12">
        <f>'Supply 2024'!BJ27/'Supply 2024'!BJ$76</f>
        <v>0</v>
      </c>
      <c r="BK26" s="12">
        <f>'Supply 2024'!BK27/'Supply 2024'!BK$76</f>
        <v>0</v>
      </c>
      <c r="BL26" s="12">
        <f>'Supply 2024'!BL27/'Supply 2024'!BL$76</f>
        <v>0</v>
      </c>
      <c r="BM26" s="12">
        <f>'Supply 2024'!BM27/'Supply 2024'!BM$76</f>
        <v>0</v>
      </c>
      <c r="BN26" s="12">
        <f>'Supply 2024'!BN27/'Supply 2024'!BN$76</f>
        <v>0</v>
      </c>
      <c r="BO26" s="12">
        <f>'Supply 2024'!BO27/'Supply 2024'!BO$76</f>
        <v>0</v>
      </c>
      <c r="BP26" s="12">
        <f>'Supply 2024'!BP27/'Supply 2024'!BP$76</f>
        <v>0</v>
      </c>
      <c r="BQ26" s="12">
        <f>'Supply 2024'!BQ27/'Supply 2024'!BQ$76</f>
        <v>0</v>
      </c>
      <c r="BR26" s="12">
        <f>'Supply 2024'!BR27/'Supply 2024'!BR$76</f>
        <v>-1.5882898565456601E-6</v>
      </c>
      <c r="BS26" s="12">
        <f>'Supply 2024'!BS27/'Supply 2024'!BS$76</f>
        <v>0</v>
      </c>
      <c r="BT26" s="12">
        <f>'Supply 2024'!BT27/'Supply 2024'!BT$76</f>
        <v>4.4281660477344168E-5</v>
      </c>
      <c r="BU26" s="12">
        <f>'Supply 2024'!BU27/'Supply 2024'!BU$76</f>
        <v>0</v>
      </c>
      <c r="BV26" s="12">
        <f>'Supply 2024'!BV27/'Supply 2024'!BV$76</f>
        <v>1.8279085303671724E-2</v>
      </c>
      <c r="BW26" s="12">
        <f>'Supply 2024'!BW27/'Supply 2024'!BW$76</f>
        <v>0.10095562779541872</v>
      </c>
      <c r="BX26" s="12">
        <f>'Supply 2024'!BX27/'Supply 2024'!BX$76</f>
        <v>0</v>
      </c>
      <c r="BY26" s="12">
        <f>'Supply 2024'!BY27/'Supply 2024'!BY$76</f>
        <v>2.4036391110746288E-2</v>
      </c>
      <c r="BZ26" s="12">
        <f>'Supply 2024'!BZ27/'Supply 2024'!BZ$76</f>
        <v>-654815</v>
      </c>
      <c r="CA26" s="12" t="e">
        <f>'Supply 2024'!CA27/'Supply 2024'!CA$76</f>
        <v>#DIV/0!</v>
      </c>
      <c r="CB26" s="12">
        <f>'Supply 2024'!CB27/'Supply 2024'!CB$76</f>
        <v>-695208</v>
      </c>
      <c r="CC26" s="12">
        <f>'Supply 2024'!CC27/'Supply 2024'!CC$76</f>
        <v>5.007955782597772E-2</v>
      </c>
      <c r="CD26" s="12">
        <f>'Supply 2024'!CD27/'Supply 2024'!CD$76</f>
        <v>4.3281386090867485E-2</v>
      </c>
      <c r="CE26" s="12">
        <f>'Supply 2024'!CE27/'Supply 2024'!CE$76</f>
        <v>5.5955951474998878E-4</v>
      </c>
      <c r="CF26" s="12">
        <f>'Supply 2024'!CF27/'Supply 2024'!CF$76</f>
        <v>4.7623242398988047E-2</v>
      </c>
      <c r="CG26" s="12">
        <f>'Supply 2024'!CG27/'Supply 2024'!CG$76</f>
        <v>3.7249615440394346E-2</v>
      </c>
    </row>
    <row r="27" spans="1:85" x14ac:dyDescent="0.25">
      <c r="A27" t="s">
        <v>26</v>
      </c>
      <c r="B27" t="s">
        <v>119</v>
      </c>
      <c r="C27" s="12">
        <f>'Supply 2024'!C28/'Supply 2024'!C$76</f>
        <v>0</v>
      </c>
      <c r="D27" s="12">
        <f>'Supply 2024'!D28/'Supply 2024'!D$76</f>
        <v>0</v>
      </c>
      <c r="E27" s="12">
        <f>'Supply 2024'!E28/'Supply 2024'!E$76</f>
        <v>0</v>
      </c>
      <c r="F27" s="12">
        <f>'Supply 2024'!F28/'Supply 2024'!F$76</f>
        <v>0</v>
      </c>
      <c r="G27" s="12">
        <f>'Supply 2024'!G28/'Supply 2024'!G$76</f>
        <v>0</v>
      </c>
      <c r="H27" s="12">
        <f>'Supply 2024'!H28/'Supply 2024'!H$76</f>
        <v>0</v>
      </c>
      <c r="I27" s="12">
        <f>'Supply 2024'!I28/'Supply 2024'!I$76</f>
        <v>0</v>
      </c>
      <c r="J27" s="12">
        <f>'Supply 2024'!J28/'Supply 2024'!J$76</f>
        <v>7.5308130978660778E-4</v>
      </c>
      <c r="K27" s="12">
        <f>'Supply 2024'!K28/'Supply 2024'!K$76</f>
        <v>1.1536989759493744E-3</v>
      </c>
      <c r="L27" s="12">
        <f>'Supply 2024'!L28/'Supply 2024'!L$76</f>
        <v>3.3124428603606589E-6</v>
      </c>
      <c r="M27" s="12">
        <f>'Supply 2024'!M28/'Supply 2024'!M$76</f>
        <v>1.710988907996748E-3</v>
      </c>
      <c r="N27" s="12">
        <f>'Supply 2024'!N28/'Supply 2024'!N$76</f>
        <v>1.7644565130214599E-4</v>
      </c>
      <c r="O27" s="12">
        <f>'Supply 2024'!O28/'Supply 2024'!O$76</f>
        <v>3.6169086839792791E-4</v>
      </c>
      <c r="P27" s="12">
        <f>'Supply 2024'!P28/'Supply 2024'!P$76</f>
        <v>6.1102221946053982E-4</v>
      </c>
      <c r="Q27" s="12">
        <f>'Supply 2024'!Q28/'Supply 2024'!Q$76</f>
        <v>1.310719740866814E-4</v>
      </c>
      <c r="R27" s="12">
        <f>'Supply 2024'!R28/'Supply 2024'!R$76</f>
        <v>6.8707372911256076E-4</v>
      </c>
      <c r="S27" s="12">
        <f>'Supply 2024'!S28/'Supply 2024'!S$76</f>
        <v>1.1827041347336551E-4</v>
      </c>
      <c r="T27" s="12">
        <f>'Supply 2024'!T28/'Supply 2024'!T$76</f>
        <v>5.1998041632198271E-3</v>
      </c>
      <c r="U27" s="12">
        <f>'Supply 2024'!U28/'Supply 2024'!U$76</f>
        <v>0</v>
      </c>
      <c r="V27" s="12">
        <f>'Supply 2024'!V28/'Supply 2024'!V$76</f>
        <v>1.1296901360326307E-2</v>
      </c>
      <c r="W27" s="12">
        <f>'Supply 2024'!W28/'Supply 2024'!W$76</f>
        <v>4.5741469215991217E-5</v>
      </c>
      <c r="X27" s="12">
        <f>'Supply 2024'!X28/'Supply 2024'!X$76</f>
        <v>2.1903551210411274E-3</v>
      </c>
      <c r="Y27" s="12">
        <f>'Supply 2024'!Y28/'Supply 2024'!Y$76</f>
        <v>2.5490242572261874E-3</v>
      </c>
      <c r="Z27" s="12">
        <f>'Supply 2024'!Z28/'Supply 2024'!Z$76</f>
        <v>0</v>
      </c>
      <c r="AA27" s="12">
        <f>'Supply 2024'!AA28/'Supply 2024'!AA$76</f>
        <v>3.1273438675088355E-3</v>
      </c>
      <c r="AB27" s="12">
        <f>'Supply 2024'!AB28/'Supply 2024'!AB$76</f>
        <v>0.95214647993434776</v>
      </c>
      <c r="AC27" s="12">
        <f>'Supply 2024'!AC28/'Supply 2024'!AC$76</f>
        <v>0</v>
      </c>
      <c r="AD27" s="12">
        <f>'Supply 2024'!AD28/'Supply 2024'!AD$76</f>
        <v>0</v>
      </c>
      <c r="AE27" s="12">
        <f>'Supply 2024'!AE28/'Supply 2024'!AE$76</f>
        <v>0</v>
      </c>
      <c r="AF27" s="12">
        <f>'Supply 2024'!AF28/'Supply 2024'!AF$76</f>
        <v>0</v>
      </c>
      <c r="AG27" s="12">
        <f>'Supply 2024'!AG28/'Supply 2024'!AG$76</f>
        <v>0</v>
      </c>
      <c r="AH27" s="12">
        <f>'Supply 2024'!AH28/'Supply 2024'!AH$76</f>
        <v>0</v>
      </c>
      <c r="AI27" s="12">
        <f>'Supply 2024'!AI28/'Supply 2024'!AI$76</f>
        <v>0</v>
      </c>
      <c r="AJ27" s="12">
        <f>'Supply 2024'!AJ28/'Supply 2024'!AJ$76</f>
        <v>0</v>
      </c>
      <c r="AK27" s="12">
        <f>'Supply 2024'!AK28/'Supply 2024'!AK$76</f>
        <v>0</v>
      </c>
      <c r="AL27" s="12">
        <f>'Supply 2024'!AL28/'Supply 2024'!AL$76</f>
        <v>0</v>
      </c>
      <c r="AM27" s="12">
        <f>'Supply 2024'!AM28/'Supply 2024'!AM$76</f>
        <v>0</v>
      </c>
      <c r="AN27" s="12">
        <f>'Supply 2024'!AN28/'Supply 2024'!AN$76</f>
        <v>0</v>
      </c>
      <c r="AO27" s="12">
        <f>'Supply 2024'!AO28/'Supply 2024'!AO$76</f>
        <v>0</v>
      </c>
      <c r="AP27" s="12">
        <f>'Supply 2024'!AP28/'Supply 2024'!AP$76</f>
        <v>0</v>
      </c>
      <c r="AQ27" s="12">
        <f>'Supply 2024'!AQ28/'Supply 2024'!AQ$76</f>
        <v>0</v>
      </c>
      <c r="AR27" s="12">
        <f>'Supply 2024'!AR28/'Supply 2024'!AR$76</f>
        <v>0</v>
      </c>
      <c r="AS27" s="12">
        <f>'Supply 2024'!AS28/'Supply 2024'!AS$76</f>
        <v>0</v>
      </c>
      <c r="AT27" s="12">
        <f>'Supply 2024'!AT28/'Supply 2024'!AT$76</f>
        <v>0</v>
      </c>
      <c r="AU27" s="12">
        <f>'Supply 2024'!AU28/'Supply 2024'!AU$76</f>
        <v>0</v>
      </c>
      <c r="AV27" s="12">
        <f>'Supply 2024'!AV28/'Supply 2024'!AV$76</f>
        <v>0</v>
      </c>
      <c r="AW27" s="12">
        <f>'Supply 2024'!AW28/'Supply 2024'!AW$76</f>
        <v>0</v>
      </c>
      <c r="AX27" s="12">
        <f>'Supply 2024'!AX28/'Supply 2024'!AX$76</f>
        <v>0</v>
      </c>
      <c r="AY27" s="12">
        <f>'Supply 2024'!AY28/'Supply 2024'!AY$76</f>
        <v>0</v>
      </c>
      <c r="AZ27" s="12">
        <f>'Supply 2024'!AZ28/'Supply 2024'!AZ$76</f>
        <v>0</v>
      </c>
      <c r="BA27" s="12">
        <f>'Supply 2024'!BA28/'Supply 2024'!BA$76</f>
        <v>0</v>
      </c>
      <c r="BB27" s="12">
        <f>'Supply 2024'!BB28/'Supply 2024'!BB$76</f>
        <v>0</v>
      </c>
      <c r="BC27" s="12">
        <f>'Supply 2024'!BC28/'Supply 2024'!BC$76</f>
        <v>0</v>
      </c>
      <c r="BD27" s="12">
        <f>'Supply 2024'!BD28/'Supply 2024'!BD$76</f>
        <v>0</v>
      </c>
      <c r="BE27" s="12">
        <f>'Supply 2024'!BE28/'Supply 2024'!BE$76</f>
        <v>0</v>
      </c>
      <c r="BF27" s="12">
        <f>'Supply 2024'!BF28/'Supply 2024'!BF$76</f>
        <v>0</v>
      </c>
      <c r="BG27" s="12">
        <f>'Supply 2024'!BG28/'Supply 2024'!BG$76</f>
        <v>0</v>
      </c>
      <c r="BH27" s="12">
        <f>'Supply 2024'!BH28/'Supply 2024'!BH$76</f>
        <v>0</v>
      </c>
      <c r="BI27" s="12">
        <f>'Supply 2024'!BI28/'Supply 2024'!BI$76</f>
        <v>0</v>
      </c>
      <c r="BJ27" s="12">
        <f>'Supply 2024'!BJ28/'Supply 2024'!BJ$76</f>
        <v>0</v>
      </c>
      <c r="BK27" s="12">
        <f>'Supply 2024'!BK28/'Supply 2024'!BK$76</f>
        <v>0</v>
      </c>
      <c r="BL27" s="12">
        <f>'Supply 2024'!BL28/'Supply 2024'!BL$76</f>
        <v>0</v>
      </c>
      <c r="BM27" s="12">
        <f>'Supply 2024'!BM28/'Supply 2024'!BM$76</f>
        <v>0</v>
      </c>
      <c r="BN27" s="12">
        <f>'Supply 2024'!BN28/'Supply 2024'!BN$76</f>
        <v>0</v>
      </c>
      <c r="BO27" s="12">
        <f>'Supply 2024'!BO28/'Supply 2024'!BO$76</f>
        <v>0</v>
      </c>
      <c r="BP27" s="12">
        <f>'Supply 2024'!BP28/'Supply 2024'!BP$76</f>
        <v>0</v>
      </c>
      <c r="BQ27" s="12">
        <f>'Supply 2024'!BQ28/'Supply 2024'!BQ$76</f>
        <v>0</v>
      </c>
      <c r="BR27" s="12">
        <f>'Supply 2024'!BR28/'Supply 2024'!BR$76</f>
        <v>0</v>
      </c>
      <c r="BS27" s="12">
        <f>'Supply 2024'!BS28/'Supply 2024'!BS$76</f>
        <v>0</v>
      </c>
      <c r="BT27" s="12">
        <f>'Supply 2024'!BT28/'Supply 2024'!BT$76</f>
        <v>0</v>
      </c>
      <c r="BU27" s="12">
        <f>'Supply 2024'!BU28/'Supply 2024'!BU$76</f>
        <v>0</v>
      </c>
      <c r="BV27" s="12">
        <f>'Supply 2024'!BV28/'Supply 2024'!BV$76</f>
        <v>5.8354715408749066E-3</v>
      </c>
      <c r="BW27" s="12">
        <f>'Supply 2024'!BW28/'Supply 2024'!BW$76</f>
        <v>1.9903435152750677E-2</v>
      </c>
      <c r="BX27" s="12">
        <f>'Supply 2024'!BX28/'Supply 2024'!BX$76</f>
        <v>0</v>
      </c>
      <c r="BY27" s="12">
        <f>'Supply 2024'!BY28/'Supply 2024'!BY$76</f>
        <v>6.8166862917768819E-3</v>
      </c>
      <c r="BZ27" s="12">
        <f>'Supply 2024'!BZ28/'Supply 2024'!BZ$76</f>
        <v>-153538</v>
      </c>
      <c r="CA27" s="12" t="e">
        <f>'Supply 2024'!CA28/'Supply 2024'!CA$76</f>
        <v>#DIV/0!</v>
      </c>
      <c r="CB27" s="12">
        <f>'Supply 2024'!CB28/'Supply 2024'!CB$76</f>
        <v>-160808</v>
      </c>
      <c r="CC27" s="12">
        <f>'Supply 2024'!CC28/'Supply 2024'!CC$76</f>
        <v>4.8488401306423248E-2</v>
      </c>
      <c r="CD27" s="12">
        <f>'Supply 2024'!CD28/'Supply 2024'!CD$76</f>
        <v>1.3199553191384664E-2</v>
      </c>
      <c r="CE27" s="12">
        <f>'Supply 2024'!CE28/'Supply 2024'!CE$76</f>
        <v>0</v>
      </c>
      <c r="CF27" s="12">
        <f>'Supply 2024'!CF28/'Supply 2024'!CF$76</f>
        <v>1.7286499605077964E-2</v>
      </c>
      <c r="CG27" s="12">
        <f>'Supply 2024'!CG28/'Supply 2024'!CG$76</f>
        <v>9.9661156807923368E-3</v>
      </c>
    </row>
    <row r="28" spans="1:85" x14ac:dyDescent="0.25">
      <c r="A28" t="s">
        <v>27</v>
      </c>
      <c r="B28" t="s">
        <v>120</v>
      </c>
      <c r="C28" s="12">
        <f>'Supply 2024'!C29/'Supply 2024'!C$76</f>
        <v>0</v>
      </c>
      <c r="D28" s="12">
        <f>'Supply 2024'!D29/'Supply 2024'!D$76</f>
        <v>0</v>
      </c>
      <c r="E28" s="12">
        <f>'Supply 2024'!E29/'Supply 2024'!E$76</f>
        <v>4.076805279565384E-3</v>
      </c>
      <c r="F28" s="12">
        <f>'Supply 2024'!F29/'Supply 2024'!F$76</f>
        <v>8.1048621805026493E-4</v>
      </c>
      <c r="G28" s="12">
        <f>'Supply 2024'!G29/'Supply 2024'!G$76</f>
        <v>2.1761009710850585E-3</v>
      </c>
      <c r="H28" s="12">
        <f>'Supply 2024'!H29/'Supply 2024'!H$76</f>
        <v>3.073997886626453E-3</v>
      </c>
      <c r="I28" s="12">
        <f>'Supply 2024'!I29/'Supply 2024'!I$76</f>
        <v>0</v>
      </c>
      <c r="J28" s="12">
        <f>'Supply 2024'!J29/'Supply 2024'!J$76</f>
        <v>9.0714679911699774E-3</v>
      </c>
      <c r="K28" s="12">
        <f>'Supply 2024'!K29/'Supply 2024'!K$76</f>
        <v>8.9840024216255726E-3</v>
      </c>
      <c r="L28" s="12">
        <f>'Supply 2024'!L29/'Supply 2024'!L$76</f>
        <v>3.3985663747300361E-3</v>
      </c>
      <c r="M28" s="12">
        <f>'Supply 2024'!M29/'Supply 2024'!M$76</f>
        <v>8.5418669177570131E-3</v>
      </c>
      <c r="N28" s="12">
        <f>'Supply 2024'!N29/'Supply 2024'!N$76</f>
        <v>1.1938725237456892E-2</v>
      </c>
      <c r="O28" s="12">
        <f>'Supply 2024'!O29/'Supply 2024'!O$76</f>
        <v>5.3306922617573803E-3</v>
      </c>
      <c r="P28" s="12">
        <f>'Supply 2024'!P29/'Supply 2024'!P$76</f>
        <v>1.3395885438512006E-2</v>
      </c>
      <c r="Q28" s="12">
        <f>'Supply 2024'!Q29/'Supply 2024'!Q$76</f>
        <v>3.4104668108890963E-3</v>
      </c>
      <c r="R28" s="12">
        <f>'Supply 2024'!R29/'Supply 2024'!R$76</f>
        <v>3.3796599648239474E-3</v>
      </c>
      <c r="S28" s="12">
        <f>'Supply 2024'!S29/'Supply 2024'!S$76</f>
        <v>1.0691645377992241E-2</v>
      </c>
      <c r="T28" s="12">
        <f>'Supply 2024'!T29/'Supply 2024'!T$76</f>
        <v>3.1936026651810084E-2</v>
      </c>
      <c r="U28" s="12">
        <f>'Supply 2024'!U29/'Supply 2024'!U$76</f>
        <v>8.8432193775671939E-3</v>
      </c>
      <c r="V28" s="12">
        <f>'Supply 2024'!V29/'Supply 2024'!V$76</f>
        <v>8.2217524077989202E-3</v>
      </c>
      <c r="W28" s="12">
        <f>'Supply 2024'!W29/'Supply 2024'!W$76</f>
        <v>1.7381758302076663E-2</v>
      </c>
      <c r="X28" s="12">
        <f>'Supply 2024'!X29/'Supply 2024'!X$76</f>
        <v>5.8485682668300669E-3</v>
      </c>
      <c r="Y28" s="12">
        <f>'Supply 2024'!Y29/'Supply 2024'!Y$76</f>
        <v>6.7341664097882534E-3</v>
      </c>
      <c r="Z28" s="12">
        <f>'Supply 2024'!Z29/'Supply 2024'!Z$76</f>
        <v>1.4795373788807822E-2</v>
      </c>
      <c r="AA28" s="12">
        <f>'Supply 2024'!AA29/'Supply 2024'!AA$76</f>
        <v>1.1798707270317389E-2</v>
      </c>
      <c r="AB28" s="12">
        <f>'Supply 2024'!AB29/'Supply 2024'!AB$76</f>
        <v>7.2681653684196369E-3</v>
      </c>
      <c r="AC28" s="12">
        <f>'Supply 2024'!AC29/'Supply 2024'!AC$76</f>
        <v>0.94473340840438269</v>
      </c>
      <c r="AD28" s="12">
        <f>'Supply 2024'!AD29/'Supply 2024'!AD$76</f>
        <v>0</v>
      </c>
      <c r="AE28" s="12">
        <f>'Supply 2024'!AE29/'Supply 2024'!AE$76</f>
        <v>0</v>
      </c>
      <c r="AF28" s="12">
        <f>'Supply 2024'!AF29/'Supply 2024'!AF$76</f>
        <v>0</v>
      </c>
      <c r="AG28" s="12">
        <f>'Supply 2024'!AG29/'Supply 2024'!AG$76</f>
        <v>0</v>
      </c>
      <c r="AH28" s="12">
        <f>'Supply 2024'!AH29/'Supply 2024'!AH$76</f>
        <v>0</v>
      </c>
      <c r="AI28" s="12">
        <f>'Supply 2024'!AI29/'Supply 2024'!AI$76</f>
        <v>0</v>
      </c>
      <c r="AJ28" s="12">
        <f>'Supply 2024'!AJ29/'Supply 2024'!AJ$76</f>
        <v>0</v>
      </c>
      <c r="AK28" s="12">
        <f>'Supply 2024'!AK29/'Supply 2024'!AK$76</f>
        <v>0</v>
      </c>
      <c r="AL28" s="12">
        <f>'Supply 2024'!AL29/'Supply 2024'!AL$76</f>
        <v>0</v>
      </c>
      <c r="AM28" s="12">
        <f>'Supply 2024'!AM29/'Supply 2024'!AM$76</f>
        <v>0</v>
      </c>
      <c r="AN28" s="12">
        <f>'Supply 2024'!AN29/'Supply 2024'!AN$76</f>
        <v>0</v>
      </c>
      <c r="AO28" s="12">
        <f>'Supply 2024'!AO29/'Supply 2024'!AO$76</f>
        <v>0</v>
      </c>
      <c r="AP28" s="12">
        <f>'Supply 2024'!AP29/'Supply 2024'!AP$76</f>
        <v>3.8646971526117078E-3</v>
      </c>
      <c r="AQ28" s="12">
        <f>'Supply 2024'!AQ29/'Supply 2024'!AQ$76</f>
        <v>9.7436921772767361E-6</v>
      </c>
      <c r="AR28" s="12">
        <f>'Supply 2024'!AR29/'Supply 2024'!AR$76</f>
        <v>1.4773493464673021E-4</v>
      </c>
      <c r="AS28" s="12">
        <f>'Supply 2024'!AS29/'Supply 2024'!AS$76</f>
        <v>7.2157651280849028E-3</v>
      </c>
      <c r="AT28" s="12">
        <f>'Supply 2024'!AT29/'Supply 2024'!AT$76</f>
        <v>0</v>
      </c>
      <c r="AU28" s="12">
        <f>'Supply 2024'!AU29/'Supply 2024'!AU$76</f>
        <v>0</v>
      </c>
      <c r="AV28" s="12">
        <f>'Supply 2024'!AV29/'Supply 2024'!AV$76</f>
        <v>0</v>
      </c>
      <c r="AW28" s="12">
        <f>'Supply 2024'!AW29/'Supply 2024'!AW$76</f>
        <v>0</v>
      </c>
      <c r="AX28" s="12">
        <f>'Supply 2024'!AX29/'Supply 2024'!AX$76</f>
        <v>0</v>
      </c>
      <c r="AY28" s="12">
        <f>'Supply 2024'!AY29/'Supply 2024'!AY$76</f>
        <v>0</v>
      </c>
      <c r="AZ28" s="12">
        <f>'Supply 2024'!AZ29/'Supply 2024'!AZ$76</f>
        <v>0</v>
      </c>
      <c r="BA28" s="12">
        <f>'Supply 2024'!BA29/'Supply 2024'!BA$76</f>
        <v>0</v>
      </c>
      <c r="BB28" s="12">
        <f>'Supply 2024'!BB29/'Supply 2024'!BB$76</f>
        <v>2.013415414487765E-4</v>
      </c>
      <c r="BC28" s="12">
        <f>'Supply 2024'!BC29/'Supply 2024'!BC$76</f>
        <v>0</v>
      </c>
      <c r="BD28" s="12">
        <f>'Supply 2024'!BD29/'Supply 2024'!BD$76</f>
        <v>0</v>
      </c>
      <c r="BE28" s="12">
        <f>'Supply 2024'!BE29/'Supply 2024'!BE$76</f>
        <v>0</v>
      </c>
      <c r="BF28" s="12">
        <f>'Supply 2024'!BF29/'Supply 2024'!BF$76</f>
        <v>0</v>
      </c>
      <c r="BG28" s="12">
        <f>'Supply 2024'!BG29/'Supply 2024'!BG$76</f>
        <v>0</v>
      </c>
      <c r="BH28" s="12">
        <f>'Supply 2024'!BH29/'Supply 2024'!BH$76</f>
        <v>0</v>
      </c>
      <c r="BI28" s="12">
        <f>'Supply 2024'!BI29/'Supply 2024'!BI$76</f>
        <v>0</v>
      </c>
      <c r="BJ28" s="12">
        <f>'Supply 2024'!BJ29/'Supply 2024'!BJ$76</f>
        <v>0</v>
      </c>
      <c r="BK28" s="12">
        <f>'Supply 2024'!BK29/'Supply 2024'!BK$76</f>
        <v>0</v>
      </c>
      <c r="BL28" s="12">
        <f>'Supply 2024'!BL29/'Supply 2024'!BL$76</f>
        <v>0</v>
      </c>
      <c r="BM28" s="12">
        <f>'Supply 2024'!BM29/'Supply 2024'!BM$76</f>
        <v>0</v>
      </c>
      <c r="BN28" s="12">
        <f>'Supply 2024'!BN29/'Supply 2024'!BN$76</f>
        <v>0</v>
      </c>
      <c r="BO28" s="12">
        <f>'Supply 2024'!BO29/'Supply 2024'!BO$76</f>
        <v>4.0656349857272755E-5</v>
      </c>
      <c r="BP28" s="12">
        <f>'Supply 2024'!BP29/'Supply 2024'!BP$76</f>
        <v>6.4046530549171071E-4</v>
      </c>
      <c r="BQ28" s="12">
        <f>'Supply 2024'!BQ29/'Supply 2024'!BQ$76</f>
        <v>0</v>
      </c>
      <c r="BR28" s="12">
        <f>'Supply 2024'!BR29/'Supply 2024'!BR$76</f>
        <v>0</v>
      </c>
      <c r="BS28" s="12">
        <f>'Supply 2024'!BS29/'Supply 2024'!BS$76</f>
        <v>0</v>
      </c>
      <c r="BT28" s="12">
        <f>'Supply 2024'!BT29/'Supply 2024'!BT$76</f>
        <v>0</v>
      </c>
      <c r="BU28" s="12">
        <f>'Supply 2024'!BU29/'Supply 2024'!BU$76</f>
        <v>0</v>
      </c>
      <c r="BV28" s="12">
        <f>'Supply 2024'!BV29/'Supply 2024'!BV$76</f>
        <v>5.155631142759063E-2</v>
      </c>
      <c r="BW28" s="12">
        <f>'Supply 2024'!BW29/'Supply 2024'!BW$76</f>
        <v>0</v>
      </c>
      <c r="BX28" s="12">
        <f>'Supply 2024'!BX29/'Supply 2024'!BX$76</f>
        <v>0</v>
      </c>
      <c r="BY28" s="12">
        <f>'Supply 2024'!BY29/'Supply 2024'!BY$76</f>
        <v>4.8002399201554351E-2</v>
      </c>
      <c r="BZ28" s="12">
        <f>'Supply 2024'!BZ29/'Supply 2024'!BZ$76</f>
        <v>2436296</v>
      </c>
      <c r="CA28" s="12" t="e">
        <f>'Supply 2024'!CA29/'Supply 2024'!CA$76</f>
        <v>#DIV/0!</v>
      </c>
      <c r="CB28" s="12">
        <f>'Supply 2024'!CB29/'Supply 2024'!CB$76</f>
        <v>2436296</v>
      </c>
      <c r="CC28" s="12">
        <f>'Supply 2024'!CC29/'Supply 2024'!CC$76</f>
        <v>0</v>
      </c>
      <c r="CD28" s="12">
        <f>'Supply 2024'!CD29/'Supply 2024'!CD$76</f>
        <v>3.3953518125765799E-4</v>
      </c>
      <c r="CE28" s="12">
        <f>'Supply 2024'!CE29/'Supply 2024'!CE$76</f>
        <v>0</v>
      </c>
      <c r="CF28" s="12">
        <f>'Supply 2024'!CF29/'Supply 2024'!CF$76</f>
        <v>3.4147394009458336E-4</v>
      </c>
      <c r="CG28" s="12">
        <f>'Supply 2024'!CG29/'Supply 2024'!CG$76</f>
        <v>2.3475832265489938E-3</v>
      </c>
    </row>
    <row r="29" spans="1:85" x14ac:dyDescent="0.25">
      <c r="A29" t="s">
        <v>28</v>
      </c>
      <c r="B29" t="s">
        <v>121</v>
      </c>
      <c r="C29" s="12">
        <f>'Supply 2024'!C30/'Supply 2024'!C$76</f>
        <v>0</v>
      </c>
      <c r="D29" s="12">
        <f>'Supply 2024'!D30/'Supply 2024'!D$76</f>
        <v>0</v>
      </c>
      <c r="E29" s="12">
        <f>'Supply 2024'!E30/'Supply 2024'!E$76</f>
        <v>0</v>
      </c>
      <c r="F29" s="12">
        <f>'Supply 2024'!F30/'Supply 2024'!F$76</f>
        <v>0</v>
      </c>
      <c r="G29" s="12">
        <f>'Supply 2024'!G30/'Supply 2024'!G$76</f>
        <v>0</v>
      </c>
      <c r="H29" s="12">
        <f>'Supply 2024'!H30/'Supply 2024'!H$76</f>
        <v>0</v>
      </c>
      <c r="I29" s="12">
        <f>'Supply 2024'!I30/'Supply 2024'!I$76</f>
        <v>0</v>
      </c>
      <c r="J29" s="12">
        <f>'Supply 2024'!J30/'Supply 2024'!J$76</f>
        <v>0</v>
      </c>
      <c r="K29" s="12">
        <f>'Supply 2024'!K30/'Supply 2024'!K$76</f>
        <v>0</v>
      </c>
      <c r="L29" s="12">
        <f>'Supply 2024'!L30/'Supply 2024'!L$76</f>
        <v>0</v>
      </c>
      <c r="M29" s="12">
        <f>'Supply 2024'!M30/'Supply 2024'!M$76</f>
        <v>0</v>
      </c>
      <c r="N29" s="12">
        <f>'Supply 2024'!N30/'Supply 2024'!N$76</f>
        <v>0</v>
      </c>
      <c r="O29" s="12">
        <f>'Supply 2024'!O30/'Supply 2024'!O$76</f>
        <v>0</v>
      </c>
      <c r="P29" s="12">
        <f>'Supply 2024'!P30/'Supply 2024'!P$76</f>
        <v>0</v>
      </c>
      <c r="Q29" s="12">
        <f>'Supply 2024'!Q30/'Supply 2024'!Q$76</f>
        <v>0</v>
      </c>
      <c r="R29" s="12">
        <f>'Supply 2024'!R30/'Supply 2024'!R$76</f>
        <v>0</v>
      </c>
      <c r="S29" s="12">
        <f>'Supply 2024'!S30/'Supply 2024'!S$76</f>
        <v>0</v>
      </c>
      <c r="T29" s="12">
        <f>'Supply 2024'!T30/'Supply 2024'!T$76</f>
        <v>0</v>
      </c>
      <c r="U29" s="12">
        <f>'Supply 2024'!U30/'Supply 2024'!U$76</f>
        <v>0</v>
      </c>
      <c r="V29" s="12">
        <f>'Supply 2024'!V30/'Supply 2024'!V$76</f>
        <v>0</v>
      </c>
      <c r="W29" s="12">
        <f>'Supply 2024'!W30/'Supply 2024'!W$76</f>
        <v>0</v>
      </c>
      <c r="X29" s="12">
        <f>'Supply 2024'!X30/'Supply 2024'!X$76</f>
        <v>0</v>
      </c>
      <c r="Y29" s="12">
        <f>'Supply 2024'!Y30/'Supply 2024'!Y$76</f>
        <v>0</v>
      </c>
      <c r="Z29" s="12">
        <f>'Supply 2024'!Z30/'Supply 2024'!Z$76</f>
        <v>0</v>
      </c>
      <c r="AA29" s="12">
        <f>'Supply 2024'!AA30/'Supply 2024'!AA$76</f>
        <v>0</v>
      </c>
      <c r="AB29" s="12">
        <f>'Supply 2024'!AB30/'Supply 2024'!AB$76</f>
        <v>0</v>
      </c>
      <c r="AC29" s="12">
        <f>'Supply 2024'!AC30/'Supply 2024'!AC$76</f>
        <v>0</v>
      </c>
      <c r="AD29" s="12">
        <f>'Supply 2024'!AD30/'Supply 2024'!AD$76</f>
        <v>0.84918908675968374</v>
      </c>
      <c r="AE29" s="12">
        <f>'Supply 2024'!AE30/'Supply 2024'!AE$76</f>
        <v>0</v>
      </c>
      <c r="AF29" s="12">
        <f>'Supply 2024'!AF30/'Supply 2024'!AF$76</f>
        <v>0</v>
      </c>
      <c r="AG29" s="12">
        <f>'Supply 2024'!AG30/'Supply 2024'!AG$76</f>
        <v>0</v>
      </c>
      <c r="AH29" s="12">
        <f>'Supply 2024'!AH30/'Supply 2024'!AH$76</f>
        <v>0</v>
      </c>
      <c r="AI29" s="12">
        <f>'Supply 2024'!AI30/'Supply 2024'!AI$76</f>
        <v>0</v>
      </c>
      <c r="AJ29" s="12">
        <f>'Supply 2024'!AJ30/'Supply 2024'!AJ$76</f>
        <v>0</v>
      </c>
      <c r="AK29" s="12">
        <f>'Supply 2024'!AK30/'Supply 2024'!AK$76</f>
        <v>0</v>
      </c>
      <c r="AL29" s="12">
        <f>'Supply 2024'!AL30/'Supply 2024'!AL$76</f>
        <v>0</v>
      </c>
      <c r="AM29" s="12">
        <f>'Supply 2024'!AM30/'Supply 2024'!AM$76</f>
        <v>0</v>
      </c>
      <c r="AN29" s="12">
        <f>'Supply 2024'!AN30/'Supply 2024'!AN$76</f>
        <v>0</v>
      </c>
      <c r="AO29" s="12">
        <f>'Supply 2024'!AO30/'Supply 2024'!AO$76</f>
        <v>0</v>
      </c>
      <c r="AP29" s="12">
        <f>'Supply 2024'!AP30/'Supply 2024'!AP$76</f>
        <v>0</v>
      </c>
      <c r="AQ29" s="12">
        <f>'Supply 2024'!AQ30/'Supply 2024'!AQ$76</f>
        <v>0</v>
      </c>
      <c r="AR29" s="12">
        <f>'Supply 2024'!AR30/'Supply 2024'!AR$76</f>
        <v>0</v>
      </c>
      <c r="AS29" s="12">
        <f>'Supply 2024'!AS30/'Supply 2024'!AS$76</f>
        <v>0</v>
      </c>
      <c r="AT29" s="12">
        <f>'Supply 2024'!AT30/'Supply 2024'!AT$76</f>
        <v>0</v>
      </c>
      <c r="AU29" s="12">
        <f>'Supply 2024'!AU30/'Supply 2024'!AU$76</f>
        <v>0</v>
      </c>
      <c r="AV29" s="12">
        <f>'Supply 2024'!AV30/'Supply 2024'!AV$76</f>
        <v>0</v>
      </c>
      <c r="AW29" s="12">
        <f>'Supply 2024'!AW30/'Supply 2024'!AW$76</f>
        <v>0</v>
      </c>
      <c r="AX29" s="12">
        <f>'Supply 2024'!AX30/'Supply 2024'!AX$76</f>
        <v>0</v>
      </c>
      <c r="AY29" s="12">
        <f>'Supply 2024'!AY30/'Supply 2024'!AY$76</f>
        <v>0</v>
      </c>
      <c r="AZ29" s="12">
        <f>'Supply 2024'!AZ30/'Supply 2024'!AZ$76</f>
        <v>1.0307866748514205E-3</v>
      </c>
      <c r="BA29" s="12">
        <f>'Supply 2024'!BA30/'Supply 2024'!BA$76</f>
        <v>0</v>
      </c>
      <c r="BB29" s="12">
        <f>'Supply 2024'!BB30/'Supply 2024'!BB$76</f>
        <v>0</v>
      </c>
      <c r="BC29" s="12">
        <f>'Supply 2024'!BC30/'Supply 2024'!BC$76</f>
        <v>0</v>
      </c>
      <c r="BD29" s="12">
        <f>'Supply 2024'!BD30/'Supply 2024'!BD$76</f>
        <v>0</v>
      </c>
      <c r="BE29" s="12">
        <f>'Supply 2024'!BE30/'Supply 2024'!BE$76</f>
        <v>0</v>
      </c>
      <c r="BF29" s="12">
        <f>'Supply 2024'!BF30/'Supply 2024'!BF$76</f>
        <v>0</v>
      </c>
      <c r="BG29" s="12">
        <f>'Supply 2024'!BG30/'Supply 2024'!BG$76</f>
        <v>0</v>
      </c>
      <c r="BH29" s="12">
        <f>'Supply 2024'!BH30/'Supply 2024'!BH$76</f>
        <v>0</v>
      </c>
      <c r="BI29" s="12">
        <f>'Supply 2024'!BI30/'Supply 2024'!BI$76</f>
        <v>0</v>
      </c>
      <c r="BJ29" s="12">
        <f>'Supply 2024'!BJ30/'Supply 2024'!BJ$76</f>
        <v>0</v>
      </c>
      <c r="BK29" s="12">
        <f>'Supply 2024'!BK30/'Supply 2024'!BK$76</f>
        <v>0</v>
      </c>
      <c r="BL29" s="12">
        <f>'Supply 2024'!BL30/'Supply 2024'!BL$76</f>
        <v>0</v>
      </c>
      <c r="BM29" s="12">
        <f>'Supply 2024'!BM30/'Supply 2024'!BM$76</f>
        <v>1.4039767641845527E-4</v>
      </c>
      <c r="BN29" s="12">
        <f>'Supply 2024'!BN30/'Supply 2024'!BN$76</f>
        <v>5.7866854155274128E-6</v>
      </c>
      <c r="BO29" s="12">
        <f>'Supply 2024'!BO30/'Supply 2024'!BO$76</f>
        <v>0</v>
      </c>
      <c r="BP29" s="12">
        <f>'Supply 2024'!BP30/'Supply 2024'!BP$76</f>
        <v>2.1382976841779937E-3</v>
      </c>
      <c r="BQ29" s="12">
        <f>'Supply 2024'!BQ30/'Supply 2024'!BQ$76</f>
        <v>0</v>
      </c>
      <c r="BR29" s="12">
        <f>'Supply 2024'!BR30/'Supply 2024'!BR$76</f>
        <v>0</v>
      </c>
      <c r="BS29" s="12">
        <f>'Supply 2024'!BS30/'Supply 2024'!BS$76</f>
        <v>0</v>
      </c>
      <c r="BT29" s="12">
        <f>'Supply 2024'!BT30/'Supply 2024'!BT$76</f>
        <v>0</v>
      </c>
      <c r="BU29" s="12">
        <f>'Supply 2024'!BU30/'Supply 2024'!BU$76</f>
        <v>0</v>
      </c>
      <c r="BV29" s="12">
        <f>'Supply 2024'!BV30/'Supply 2024'!BV$76</f>
        <v>8.3514072955058125E-3</v>
      </c>
      <c r="BW29" s="12">
        <f>'Supply 2024'!BW30/'Supply 2024'!BW$76</f>
        <v>0</v>
      </c>
      <c r="BX29" s="12">
        <f>'Supply 2024'!BX30/'Supply 2024'!BX$76</f>
        <v>0</v>
      </c>
      <c r="BY29" s="12">
        <f>'Supply 2024'!BY30/'Supply 2024'!BY$76</f>
        <v>7.7757228124567951E-3</v>
      </c>
      <c r="BZ29" s="12">
        <f>'Supply 2024'!BZ30/'Supply 2024'!BZ$76</f>
        <v>415284</v>
      </c>
      <c r="CA29" s="12" t="e">
        <f>'Supply 2024'!CA30/'Supply 2024'!CA$76</f>
        <v>#DIV/0!</v>
      </c>
      <c r="CB29" s="12">
        <f>'Supply 2024'!CB30/'Supply 2024'!CB$76</f>
        <v>415284</v>
      </c>
      <c r="CC29" s="12">
        <f>'Supply 2024'!CC30/'Supply 2024'!CC$76</f>
        <v>0</v>
      </c>
      <c r="CD29" s="12">
        <f>'Supply 2024'!CD30/'Supply 2024'!CD$76</f>
        <v>0</v>
      </c>
      <c r="CE29" s="12">
        <f>'Supply 2024'!CE30/'Supply 2024'!CE$76</f>
        <v>0</v>
      </c>
      <c r="CF29" s="12">
        <f>'Supply 2024'!CF30/'Supply 2024'!CF$76</f>
        <v>0</v>
      </c>
      <c r="CG29" s="12">
        <f>'Supply 2024'!CG30/'Supply 2024'!CG$76</f>
        <v>0</v>
      </c>
    </row>
    <row r="30" spans="1:85" x14ac:dyDescent="0.25">
      <c r="A30" t="s">
        <v>29</v>
      </c>
      <c r="B30" t="s">
        <v>122</v>
      </c>
      <c r="C30" s="12">
        <f>'Supply 2024'!C31/'Supply 2024'!C$76</f>
        <v>0</v>
      </c>
      <c r="D30" s="12">
        <f>'Supply 2024'!D31/'Supply 2024'!D$76</f>
        <v>0</v>
      </c>
      <c r="E30" s="12">
        <f>'Supply 2024'!E31/'Supply 2024'!E$76</f>
        <v>0</v>
      </c>
      <c r="F30" s="12">
        <f>'Supply 2024'!F31/'Supply 2024'!F$76</f>
        <v>0</v>
      </c>
      <c r="G30" s="12">
        <f>'Supply 2024'!G31/'Supply 2024'!G$76</f>
        <v>0</v>
      </c>
      <c r="H30" s="12">
        <f>'Supply 2024'!H31/'Supply 2024'!H$76</f>
        <v>0</v>
      </c>
      <c r="I30" s="12">
        <f>'Supply 2024'!I31/'Supply 2024'!I$76</f>
        <v>0</v>
      </c>
      <c r="J30" s="12">
        <f>'Supply 2024'!J31/'Supply 2024'!J$76</f>
        <v>0</v>
      </c>
      <c r="K30" s="12">
        <f>'Supply 2024'!K31/'Supply 2024'!K$76</f>
        <v>0</v>
      </c>
      <c r="L30" s="12">
        <f>'Supply 2024'!L31/'Supply 2024'!L$76</f>
        <v>0</v>
      </c>
      <c r="M30" s="12">
        <f>'Supply 2024'!M31/'Supply 2024'!M$76</f>
        <v>0</v>
      </c>
      <c r="N30" s="12">
        <f>'Supply 2024'!N31/'Supply 2024'!N$76</f>
        <v>0</v>
      </c>
      <c r="O30" s="12">
        <f>'Supply 2024'!O31/'Supply 2024'!O$76</f>
        <v>0</v>
      </c>
      <c r="P30" s="12">
        <f>'Supply 2024'!P31/'Supply 2024'!P$76</f>
        <v>0</v>
      </c>
      <c r="Q30" s="12">
        <f>'Supply 2024'!Q31/'Supply 2024'!Q$76</f>
        <v>0</v>
      </c>
      <c r="R30" s="12">
        <f>'Supply 2024'!R31/'Supply 2024'!R$76</f>
        <v>0</v>
      </c>
      <c r="S30" s="12">
        <f>'Supply 2024'!S31/'Supply 2024'!S$76</f>
        <v>0</v>
      </c>
      <c r="T30" s="12">
        <f>'Supply 2024'!T31/'Supply 2024'!T$76</f>
        <v>0</v>
      </c>
      <c r="U30" s="12">
        <f>'Supply 2024'!U31/'Supply 2024'!U$76</f>
        <v>0</v>
      </c>
      <c r="V30" s="12">
        <f>'Supply 2024'!V31/'Supply 2024'!V$76</f>
        <v>0</v>
      </c>
      <c r="W30" s="12">
        <f>'Supply 2024'!W31/'Supply 2024'!W$76</f>
        <v>0</v>
      </c>
      <c r="X30" s="12">
        <f>'Supply 2024'!X31/'Supply 2024'!X$76</f>
        <v>0</v>
      </c>
      <c r="Y30" s="12">
        <f>'Supply 2024'!Y31/'Supply 2024'!Y$76</f>
        <v>0</v>
      </c>
      <c r="Z30" s="12">
        <f>'Supply 2024'!Z31/'Supply 2024'!Z$76</f>
        <v>0</v>
      </c>
      <c r="AA30" s="12">
        <f>'Supply 2024'!AA31/'Supply 2024'!AA$76</f>
        <v>0</v>
      </c>
      <c r="AB30" s="12">
        <f>'Supply 2024'!AB31/'Supply 2024'!AB$76</f>
        <v>0</v>
      </c>
      <c r="AC30" s="12">
        <f>'Supply 2024'!AC31/'Supply 2024'!AC$76</f>
        <v>0</v>
      </c>
      <c r="AD30" s="12">
        <f>'Supply 2024'!AD31/'Supply 2024'!AD$76</f>
        <v>0</v>
      </c>
      <c r="AE30" s="12">
        <f>'Supply 2024'!AE31/'Supply 2024'!AE$76</f>
        <v>0.91437737426042476</v>
      </c>
      <c r="AF30" s="12">
        <f>'Supply 2024'!AF31/'Supply 2024'!AF$76</f>
        <v>0</v>
      </c>
      <c r="AG30" s="12">
        <f>'Supply 2024'!AG31/'Supply 2024'!AG$76</f>
        <v>0</v>
      </c>
      <c r="AH30" s="12">
        <f>'Supply 2024'!AH31/'Supply 2024'!AH$76</f>
        <v>0</v>
      </c>
      <c r="AI30" s="12">
        <f>'Supply 2024'!AI31/'Supply 2024'!AI$76</f>
        <v>0</v>
      </c>
      <c r="AJ30" s="12">
        <f>'Supply 2024'!AJ31/'Supply 2024'!AJ$76</f>
        <v>0</v>
      </c>
      <c r="AK30" s="12">
        <f>'Supply 2024'!AK31/'Supply 2024'!AK$76</f>
        <v>0</v>
      </c>
      <c r="AL30" s="12">
        <f>'Supply 2024'!AL31/'Supply 2024'!AL$76</f>
        <v>0</v>
      </c>
      <c r="AM30" s="12">
        <f>'Supply 2024'!AM31/'Supply 2024'!AM$76</f>
        <v>0</v>
      </c>
      <c r="AN30" s="12">
        <f>'Supply 2024'!AN31/'Supply 2024'!AN$76</f>
        <v>4.2322429194575956E-5</v>
      </c>
      <c r="AO30" s="12">
        <f>'Supply 2024'!AO31/'Supply 2024'!AO$76</f>
        <v>0</v>
      </c>
      <c r="AP30" s="12">
        <f>'Supply 2024'!AP31/'Supply 2024'!AP$76</f>
        <v>0</v>
      </c>
      <c r="AQ30" s="12">
        <f>'Supply 2024'!AQ31/'Supply 2024'!AQ$76</f>
        <v>0</v>
      </c>
      <c r="AR30" s="12">
        <f>'Supply 2024'!AR31/'Supply 2024'!AR$76</f>
        <v>0</v>
      </c>
      <c r="AS30" s="12">
        <f>'Supply 2024'!AS31/'Supply 2024'!AS$76</f>
        <v>0</v>
      </c>
      <c r="AT30" s="12">
        <f>'Supply 2024'!AT31/'Supply 2024'!AT$76</f>
        <v>0</v>
      </c>
      <c r="AU30" s="12">
        <f>'Supply 2024'!AU31/'Supply 2024'!AU$76</f>
        <v>0</v>
      </c>
      <c r="AV30" s="12">
        <f>'Supply 2024'!AV31/'Supply 2024'!AV$76</f>
        <v>0</v>
      </c>
      <c r="AW30" s="12">
        <f>'Supply 2024'!AW31/'Supply 2024'!AW$76</f>
        <v>0</v>
      </c>
      <c r="AX30" s="12">
        <f>'Supply 2024'!AX31/'Supply 2024'!AX$76</f>
        <v>0</v>
      </c>
      <c r="AY30" s="12">
        <f>'Supply 2024'!AY31/'Supply 2024'!AY$76</f>
        <v>0</v>
      </c>
      <c r="AZ30" s="12">
        <f>'Supply 2024'!AZ31/'Supply 2024'!AZ$76</f>
        <v>0</v>
      </c>
      <c r="BA30" s="12">
        <f>'Supply 2024'!BA31/'Supply 2024'!BA$76</f>
        <v>0</v>
      </c>
      <c r="BB30" s="12">
        <f>'Supply 2024'!BB31/'Supply 2024'!BB$76</f>
        <v>0</v>
      </c>
      <c r="BC30" s="12">
        <f>'Supply 2024'!BC31/'Supply 2024'!BC$76</f>
        <v>0</v>
      </c>
      <c r="BD30" s="12">
        <f>'Supply 2024'!BD31/'Supply 2024'!BD$76</f>
        <v>0</v>
      </c>
      <c r="BE30" s="12">
        <f>'Supply 2024'!BE31/'Supply 2024'!BE$76</f>
        <v>0</v>
      </c>
      <c r="BF30" s="12">
        <f>'Supply 2024'!BF31/'Supply 2024'!BF$76</f>
        <v>0</v>
      </c>
      <c r="BG30" s="12">
        <f>'Supply 2024'!BG31/'Supply 2024'!BG$76</f>
        <v>0</v>
      </c>
      <c r="BH30" s="12">
        <f>'Supply 2024'!BH31/'Supply 2024'!BH$76</f>
        <v>0</v>
      </c>
      <c r="BI30" s="12">
        <f>'Supply 2024'!BI31/'Supply 2024'!BI$76</f>
        <v>0</v>
      </c>
      <c r="BJ30" s="12">
        <f>'Supply 2024'!BJ31/'Supply 2024'!BJ$76</f>
        <v>0</v>
      </c>
      <c r="BK30" s="12">
        <f>'Supply 2024'!BK31/'Supply 2024'!BK$76</f>
        <v>0</v>
      </c>
      <c r="BL30" s="12">
        <f>'Supply 2024'!BL31/'Supply 2024'!BL$76</f>
        <v>0</v>
      </c>
      <c r="BM30" s="12">
        <f>'Supply 2024'!BM31/'Supply 2024'!BM$76</f>
        <v>0</v>
      </c>
      <c r="BN30" s="12">
        <f>'Supply 2024'!BN31/'Supply 2024'!BN$76</f>
        <v>6.01815283214851E-4</v>
      </c>
      <c r="BO30" s="12">
        <f>'Supply 2024'!BO31/'Supply 2024'!BO$76</f>
        <v>8.6238372870330482E-4</v>
      </c>
      <c r="BP30" s="12">
        <f>'Supply 2024'!BP31/'Supply 2024'!BP$76</f>
        <v>0</v>
      </c>
      <c r="BQ30" s="12">
        <f>'Supply 2024'!BQ31/'Supply 2024'!BQ$76</f>
        <v>0</v>
      </c>
      <c r="BR30" s="12">
        <f>'Supply 2024'!BR31/'Supply 2024'!BR$76</f>
        <v>0</v>
      </c>
      <c r="BS30" s="12">
        <f>'Supply 2024'!BS31/'Supply 2024'!BS$76</f>
        <v>0</v>
      </c>
      <c r="BT30" s="12">
        <f>'Supply 2024'!BT31/'Supply 2024'!BT$76</f>
        <v>0</v>
      </c>
      <c r="BU30" s="12">
        <f>'Supply 2024'!BU31/'Supply 2024'!BU$76</f>
        <v>1.4998016283241225E-2</v>
      </c>
      <c r="BV30" s="12">
        <f>'Supply 2024'!BV31/'Supply 2024'!BV$76</f>
        <v>6.0407756630655495E-3</v>
      </c>
      <c r="BW30" s="12">
        <f>'Supply 2024'!BW31/'Supply 2024'!BW$76</f>
        <v>0</v>
      </c>
      <c r="BX30" s="12">
        <f>'Supply 2024'!BX31/'Supply 2024'!BX$76</f>
        <v>0</v>
      </c>
      <c r="BY30" s="12">
        <f>'Supply 2024'!BY31/'Supply 2024'!BY$76</f>
        <v>5.6243690992666085E-3</v>
      </c>
      <c r="BZ30" s="12">
        <f>'Supply 2024'!BZ31/'Supply 2024'!BZ$76</f>
        <v>300385</v>
      </c>
      <c r="CA30" s="12" t="e">
        <f>'Supply 2024'!CA31/'Supply 2024'!CA$76</f>
        <v>#DIV/0!</v>
      </c>
      <c r="CB30" s="12">
        <f>'Supply 2024'!CB31/'Supply 2024'!CB$76</f>
        <v>300385</v>
      </c>
      <c r="CC30" s="12">
        <f>'Supply 2024'!CC31/'Supply 2024'!CC$76</f>
        <v>0</v>
      </c>
      <c r="CD30" s="12">
        <f>'Supply 2024'!CD31/'Supply 2024'!CD$76</f>
        <v>0</v>
      </c>
      <c r="CE30" s="12">
        <f>'Supply 2024'!CE31/'Supply 2024'!CE$76</f>
        <v>0</v>
      </c>
      <c r="CF30" s="12">
        <f>'Supply 2024'!CF31/'Supply 2024'!CF$76</f>
        <v>0</v>
      </c>
      <c r="CG30" s="12">
        <f>'Supply 2024'!CG31/'Supply 2024'!CG$76</f>
        <v>0</v>
      </c>
    </row>
    <row r="31" spans="1:85" x14ac:dyDescent="0.25">
      <c r="A31" t="s">
        <v>30</v>
      </c>
      <c r="B31" t="s">
        <v>123</v>
      </c>
      <c r="C31" s="12">
        <f>'Supply 2024'!C32/'Supply 2024'!C$76</f>
        <v>0</v>
      </c>
      <c r="D31" s="12">
        <f>'Supply 2024'!D32/'Supply 2024'!D$76</f>
        <v>0</v>
      </c>
      <c r="E31" s="12">
        <f>'Supply 2024'!E32/'Supply 2024'!E$76</f>
        <v>0</v>
      </c>
      <c r="F31" s="12">
        <f>'Supply 2024'!F32/'Supply 2024'!F$76</f>
        <v>0</v>
      </c>
      <c r="G31" s="12">
        <f>'Supply 2024'!G32/'Supply 2024'!G$76</f>
        <v>0</v>
      </c>
      <c r="H31" s="12">
        <f>'Supply 2024'!H32/'Supply 2024'!H$76</f>
        <v>0</v>
      </c>
      <c r="I31" s="12">
        <f>'Supply 2024'!I32/'Supply 2024'!I$76</f>
        <v>0</v>
      </c>
      <c r="J31" s="12">
        <f>'Supply 2024'!J32/'Supply 2024'!J$76</f>
        <v>0</v>
      </c>
      <c r="K31" s="12">
        <f>'Supply 2024'!K32/'Supply 2024'!K$76</f>
        <v>0</v>
      </c>
      <c r="L31" s="12">
        <f>'Supply 2024'!L32/'Supply 2024'!L$76</f>
        <v>0</v>
      </c>
      <c r="M31" s="12">
        <f>'Supply 2024'!M32/'Supply 2024'!M$76</f>
        <v>0</v>
      </c>
      <c r="N31" s="12">
        <f>'Supply 2024'!N32/'Supply 2024'!N$76</f>
        <v>0</v>
      </c>
      <c r="O31" s="12">
        <f>'Supply 2024'!O32/'Supply 2024'!O$76</f>
        <v>0</v>
      </c>
      <c r="P31" s="12">
        <f>'Supply 2024'!P32/'Supply 2024'!P$76</f>
        <v>0</v>
      </c>
      <c r="Q31" s="12">
        <f>'Supply 2024'!Q32/'Supply 2024'!Q$76</f>
        <v>0</v>
      </c>
      <c r="R31" s="12">
        <f>'Supply 2024'!R32/'Supply 2024'!R$76</f>
        <v>0</v>
      </c>
      <c r="S31" s="12">
        <f>'Supply 2024'!S32/'Supply 2024'!S$76</f>
        <v>0</v>
      </c>
      <c r="T31" s="12">
        <f>'Supply 2024'!T32/'Supply 2024'!T$76</f>
        <v>0</v>
      </c>
      <c r="U31" s="12">
        <f>'Supply 2024'!U32/'Supply 2024'!U$76</f>
        <v>0</v>
      </c>
      <c r="V31" s="12">
        <f>'Supply 2024'!V32/'Supply 2024'!V$76</f>
        <v>0</v>
      </c>
      <c r="W31" s="12">
        <f>'Supply 2024'!W32/'Supply 2024'!W$76</f>
        <v>0</v>
      </c>
      <c r="X31" s="12">
        <f>'Supply 2024'!X32/'Supply 2024'!X$76</f>
        <v>0</v>
      </c>
      <c r="Y31" s="12">
        <f>'Supply 2024'!Y32/'Supply 2024'!Y$76</f>
        <v>0</v>
      </c>
      <c r="Z31" s="12">
        <f>'Supply 2024'!Z32/'Supply 2024'!Z$76</f>
        <v>0</v>
      </c>
      <c r="AA31" s="12">
        <f>'Supply 2024'!AA32/'Supply 2024'!AA$76</f>
        <v>0</v>
      </c>
      <c r="AB31" s="12">
        <f>'Supply 2024'!AB32/'Supply 2024'!AB$76</f>
        <v>0</v>
      </c>
      <c r="AC31" s="12">
        <f>'Supply 2024'!AC32/'Supply 2024'!AC$76</f>
        <v>0</v>
      </c>
      <c r="AD31" s="12">
        <f>'Supply 2024'!AD32/'Supply 2024'!AD$76</f>
        <v>0</v>
      </c>
      <c r="AE31" s="12">
        <f>'Supply 2024'!AE32/'Supply 2024'!AE$76</f>
        <v>0</v>
      </c>
      <c r="AF31" s="12">
        <f>'Supply 2024'!AF32/'Supply 2024'!AF$76</f>
        <v>0.9260537769267968</v>
      </c>
      <c r="AG31" s="12">
        <f>'Supply 2024'!AG32/'Supply 2024'!AG$76</f>
        <v>0</v>
      </c>
      <c r="AH31" s="12">
        <f>'Supply 2024'!AH32/'Supply 2024'!AH$76</f>
        <v>0</v>
      </c>
      <c r="AI31" s="12">
        <f>'Supply 2024'!AI32/'Supply 2024'!AI$76</f>
        <v>0</v>
      </c>
      <c r="AJ31" s="12">
        <f>'Supply 2024'!AJ32/'Supply 2024'!AJ$76</f>
        <v>0</v>
      </c>
      <c r="AK31" s="12">
        <f>'Supply 2024'!AK32/'Supply 2024'!AK$76</f>
        <v>0</v>
      </c>
      <c r="AL31" s="12">
        <f>'Supply 2024'!AL32/'Supply 2024'!AL$76</f>
        <v>0</v>
      </c>
      <c r="AM31" s="12">
        <f>'Supply 2024'!AM32/'Supply 2024'!AM$76</f>
        <v>0</v>
      </c>
      <c r="AN31" s="12">
        <f>'Supply 2024'!AN32/'Supply 2024'!AN$76</f>
        <v>0</v>
      </c>
      <c r="AO31" s="12">
        <f>'Supply 2024'!AO32/'Supply 2024'!AO$76</f>
        <v>0</v>
      </c>
      <c r="AP31" s="12">
        <f>'Supply 2024'!AP32/'Supply 2024'!AP$76</f>
        <v>0</v>
      </c>
      <c r="AQ31" s="12">
        <f>'Supply 2024'!AQ32/'Supply 2024'!AQ$76</f>
        <v>0</v>
      </c>
      <c r="AR31" s="12">
        <f>'Supply 2024'!AR32/'Supply 2024'!AR$76</f>
        <v>0</v>
      </c>
      <c r="AS31" s="12">
        <f>'Supply 2024'!AS32/'Supply 2024'!AS$76</f>
        <v>0</v>
      </c>
      <c r="AT31" s="12">
        <f>'Supply 2024'!AT32/'Supply 2024'!AT$76</f>
        <v>0</v>
      </c>
      <c r="AU31" s="12">
        <f>'Supply 2024'!AU32/'Supply 2024'!AU$76</f>
        <v>0</v>
      </c>
      <c r="AV31" s="12">
        <f>'Supply 2024'!AV32/'Supply 2024'!AV$76</f>
        <v>0</v>
      </c>
      <c r="AW31" s="12">
        <f>'Supply 2024'!AW32/'Supply 2024'!AW$76</f>
        <v>0</v>
      </c>
      <c r="AX31" s="12">
        <f>'Supply 2024'!AX32/'Supply 2024'!AX$76</f>
        <v>0</v>
      </c>
      <c r="AY31" s="12">
        <f>'Supply 2024'!AY32/'Supply 2024'!AY$76</f>
        <v>0</v>
      </c>
      <c r="AZ31" s="12">
        <f>'Supply 2024'!AZ32/'Supply 2024'!AZ$76</f>
        <v>5.4631693767125287E-3</v>
      </c>
      <c r="BA31" s="12">
        <f>'Supply 2024'!BA32/'Supply 2024'!BA$76</f>
        <v>0</v>
      </c>
      <c r="BB31" s="12">
        <f>'Supply 2024'!BB32/'Supply 2024'!BB$76</f>
        <v>0</v>
      </c>
      <c r="BC31" s="12">
        <f>'Supply 2024'!BC32/'Supply 2024'!BC$76</f>
        <v>3.4433465615598758E-4</v>
      </c>
      <c r="BD31" s="12">
        <f>'Supply 2024'!BD32/'Supply 2024'!BD$76</f>
        <v>0</v>
      </c>
      <c r="BE31" s="12">
        <f>'Supply 2024'!BE32/'Supply 2024'!BE$76</f>
        <v>0</v>
      </c>
      <c r="BF31" s="12">
        <f>'Supply 2024'!BF32/'Supply 2024'!BF$76</f>
        <v>0</v>
      </c>
      <c r="BG31" s="12">
        <f>'Supply 2024'!BG32/'Supply 2024'!BG$76</f>
        <v>0</v>
      </c>
      <c r="BH31" s="12">
        <f>'Supply 2024'!BH32/'Supply 2024'!BH$76</f>
        <v>0</v>
      </c>
      <c r="BI31" s="12">
        <f>'Supply 2024'!BI32/'Supply 2024'!BI$76</f>
        <v>0</v>
      </c>
      <c r="BJ31" s="12">
        <f>'Supply 2024'!BJ32/'Supply 2024'!BJ$76</f>
        <v>0</v>
      </c>
      <c r="BK31" s="12">
        <f>'Supply 2024'!BK32/'Supply 2024'!BK$76</f>
        <v>0</v>
      </c>
      <c r="BL31" s="12">
        <f>'Supply 2024'!BL32/'Supply 2024'!BL$76</f>
        <v>0</v>
      </c>
      <c r="BM31" s="12">
        <f>'Supply 2024'!BM32/'Supply 2024'!BM$76</f>
        <v>0</v>
      </c>
      <c r="BN31" s="12">
        <f>'Supply 2024'!BN32/'Supply 2024'!BN$76</f>
        <v>1.2441373643383939E-3</v>
      </c>
      <c r="BO31" s="12">
        <f>'Supply 2024'!BO32/'Supply 2024'!BO$76</f>
        <v>0</v>
      </c>
      <c r="BP31" s="12">
        <f>'Supply 2024'!BP32/'Supply 2024'!BP$76</f>
        <v>2.7461811790705621E-4</v>
      </c>
      <c r="BQ31" s="12">
        <f>'Supply 2024'!BQ32/'Supply 2024'!BQ$76</f>
        <v>0</v>
      </c>
      <c r="BR31" s="12">
        <f>'Supply 2024'!BR32/'Supply 2024'!BR$76</f>
        <v>0</v>
      </c>
      <c r="BS31" s="12">
        <f>'Supply 2024'!BS32/'Supply 2024'!BS$76</f>
        <v>2.6104861902898083E-2</v>
      </c>
      <c r="BT31" s="12">
        <f>'Supply 2024'!BT32/'Supply 2024'!BT$76</f>
        <v>0</v>
      </c>
      <c r="BU31" s="12">
        <f>'Supply 2024'!BU32/'Supply 2024'!BU$76</f>
        <v>0</v>
      </c>
      <c r="BV31" s="12">
        <f>'Supply 2024'!BV32/'Supply 2024'!BV$76</f>
        <v>4.9000698424151602E-3</v>
      </c>
      <c r="BW31" s="12">
        <f>'Supply 2024'!BW32/'Supply 2024'!BW$76</f>
        <v>0</v>
      </c>
      <c r="BX31" s="12">
        <f>'Supply 2024'!BX32/'Supply 2024'!BX$76</f>
        <v>0</v>
      </c>
      <c r="BY31" s="12">
        <f>'Supply 2024'!BY32/'Supply 2024'!BY$76</f>
        <v>4.5622951327979108E-3</v>
      </c>
      <c r="BZ31" s="12">
        <f>'Supply 2024'!BZ32/'Supply 2024'!BZ$76</f>
        <v>243662</v>
      </c>
      <c r="CA31" s="12" t="e">
        <f>'Supply 2024'!CA32/'Supply 2024'!CA$76</f>
        <v>#DIV/0!</v>
      </c>
      <c r="CB31" s="12">
        <f>'Supply 2024'!CB32/'Supply 2024'!CB$76</f>
        <v>243662</v>
      </c>
      <c r="CC31" s="12">
        <f>'Supply 2024'!CC32/'Supply 2024'!CC$76</f>
        <v>0</v>
      </c>
      <c r="CD31" s="12">
        <f>'Supply 2024'!CD32/'Supply 2024'!CD$76</f>
        <v>0</v>
      </c>
      <c r="CE31" s="12">
        <f>'Supply 2024'!CE32/'Supply 2024'!CE$76</f>
        <v>0</v>
      </c>
      <c r="CF31" s="12">
        <f>'Supply 2024'!CF32/'Supply 2024'!CF$76</f>
        <v>0</v>
      </c>
      <c r="CG31" s="12">
        <f>'Supply 2024'!CG32/'Supply 2024'!CG$76</f>
        <v>0</v>
      </c>
    </row>
    <row r="32" spans="1:85" x14ac:dyDescent="0.25">
      <c r="A32" t="s">
        <v>31</v>
      </c>
      <c r="B32" t="s">
        <v>124</v>
      </c>
      <c r="C32" s="12">
        <f>'Supply 2024'!C33/'Supply 2024'!C$76</f>
        <v>0</v>
      </c>
      <c r="D32" s="12">
        <f>'Supply 2024'!D33/'Supply 2024'!D$76</f>
        <v>0</v>
      </c>
      <c r="E32" s="12">
        <f>'Supply 2024'!E33/'Supply 2024'!E$76</f>
        <v>0</v>
      </c>
      <c r="F32" s="12">
        <f>'Supply 2024'!F33/'Supply 2024'!F$76</f>
        <v>0</v>
      </c>
      <c r="G32" s="12">
        <f>'Supply 2024'!G33/'Supply 2024'!G$76</f>
        <v>0</v>
      </c>
      <c r="H32" s="12">
        <f>'Supply 2024'!H33/'Supply 2024'!H$76</f>
        <v>1.7788112770672471E-3</v>
      </c>
      <c r="I32" s="12">
        <f>'Supply 2024'!I33/'Supply 2024'!I$76</f>
        <v>0</v>
      </c>
      <c r="J32" s="12">
        <f>'Supply 2024'!J33/'Supply 2024'!J$76</f>
        <v>0</v>
      </c>
      <c r="K32" s="12">
        <f>'Supply 2024'!K33/'Supply 2024'!K$76</f>
        <v>0</v>
      </c>
      <c r="L32" s="12">
        <f>'Supply 2024'!L33/'Supply 2024'!L$76</f>
        <v>0</v>
      </c>
      <c r="M32" s="12">
        <f>'Supply 2024'!M33/'Supply 2024'!M$76</f>
        <v>0</v>
      </c>
      <c r="N32" s="12">
        <f>'Supply 2024'!N33/'Supply 2024'!N$76</f>
        <v>0</v>
      </c>
      <c r="O32" s="12">
        <f>'Supply 2024'!O33/'Supply 2024'!O$76</f>
        <v>0</v>
      </c>
      <c r="P32" s="12">
        <f>'Supply 2024'!P33/'Supply 2024'!P$76</f>
        <v>0</v>
      </c>
      <c r="Q32" s="12">
        <f>'Supply 2024'!Q33/'Supply 2024'!Q$76</f>
        <v>0</v>
      </c>
      <c r="R32" s="12">
        <f>'Supply 2024'!R33/'Supply 2024'!R$76</f>
        <v>0</v>
      </c>
      <c r="S32" s="12">
        <f>'Supply 2024'!S33/'Supply 2024'!S$76</f>
        <v>0</v>
      </c>
      <c r="T32" s="12">
        <f>'Supply 2024'!T33/'Supply 2024'!T$76</f>
        <v>0</v>
      </c>
      <c r="U32" s="12">
        <f>'Supply 2024'!U33/'Supply 2024'!U$76</f>
        <v>0</v>
      </c>
      <c r="V32" s="12">
        <f>'Supply 2024'!V33/'Supply 2024'!V$76</f>
        <v>0</v>
      </c>
      <c r="W32" s="12">
        <f>'Supply 2024'!W33/'Supply 2024'!W$76</f>
        <v>0</v>
      </c>
      <c r="X32" s="12">
        <f>'Supply 2024'!X33/'Supply 2024'!X$76</f>
        <v>0</v>
      </c>
      <c r="Y32" s="12">
        <f>'Supply 2024'!Y33/'Supply 2024'!Y$76</f>
        <v>0</v>
      </c>
      <c r="Z32" s="12">
        <f>'Supply 2024'!Z33/'Supply 2024'!Z$76</f>
        <v>0</v>
      </c>
      <c r="AA32" s="12">
        <f>'Supply 2024'!AA33/'Supply 2024'!AA$76</f>
        <v>0</v>
      </c>
      <c r="AB32" s="12">
        <f>'Supply 2024'!AB33/'Supply 2024'!AB$76</f>
        <v>0</v>
      </c>
      <c r="AC32" s="12">
        <f>'Supply 2024'!AC33/'Supply 2024'!AC$76</f>
        <v>0</v>
      </c>
      <c r="AD32" s="12">
        <f>'Supply 2024'!AD33/'Supply 2024'!AD$76</f>
        <v>0</v>
      </c>
      <c r="AE32" s="12">
        <f>'Supply 2024'!AE33/'Supply 2024'!AE$76</f>
        <v>0</v>
      </c>
      <c r="AF32" s="12">
        <f>'Supply 2024'!AF33/'Supply 2024'!AF$76</f>
        <v>0</v>
      </c>
      <c r="AG32" s="12">
        <f>'Supply 2024'!AG33/'Supply 2024'!AG$76</f>
        <v>0.95292788116237037</v>
      </c>
      <c r="AH32" s="12">
        <f>'Supply 2024'!AH33/'Supply 2024'!AH$76</f>
        <v>0</v>
      </c>
      <c r="AI32" s="12">
        <f>'Supply 2024'!AI33/'Supply 2024'!AI$76</f>
        <v>0</v>
      </c>
      <c r="AJ32" s="12">
        <f>'Supply 2024'!AJ33/'Supply 2024'!AJ$76</f>
        <v>0</v>
      </c>
      <c r="AK32" s="12">
        <f>'Supply 2024'!AK33/'Supply 2024'!AK$76</f>
        <v>0</v>
      </c>
      <c r="AL32" s="12">
        <f>'Supply 2024'!AL33/'Supply 2024'!AL$76</f>
        <v>0</v>
      </c>
      <c r="AM32" s="12">
        <f>'Supply 2024'!AM33/'Supply 2024'!AM$76</f>
        <v>0</v>
      </c>
      <c r="AN32" s="12">
        <f>'Supply 2024'!AN33/'Supply 2024'!AN$76</f>
        <v>0</v>
      </c>
      <c r="AO32" s="12">
        <f>'Supply 2024'!AO33/'Supply 2024'!AO$76</f>
        <v>0</v>
      </c>
      <c r="AP32" s="12">
        <f>'Supply 2024'!AP33/'Supply 2024'!AP$76</f>
        <v>5.7332236310928958E-3</v>
      </c>
      <c r="AQ32" s="12">
        <f>'Supply 2024'!AQ33/'Supply 2024'!AQ$76</f>
        <v>8.5257306551171435E-4</v>
      </c>
      <c r="AR32" s="12">
        <f>'Supply 2024'!AR33/'Supply 2024'!AR$76</f>
        <v>4.7663955230760856E-3</v>
      </c>
      <c r="AS32" s="12">
        <f>'Supply 2024'!AS33/'Supply 2024'!AS$76</f>
        <v>2.6599821465605078E-4</v>
      </c>
      <c r="AT32" s="12">
        <f>'Supply 2024'!AT33/'Supply 2024'!AT$76</f>
        <v>0</v>
      </c>
      <c r="AU32" s="12">
        <f>'Supply 2024'!AU33/'Supply 2024'!AU$76</f>
        <v>0</v>
      </c>
      <c r="AV32" s="12">
        <f>'Supply 2024'!AV33/'Supply 2024'!AV$76</f>
        <v>0</v>
      </c>
      <c r="AW32" s="12">
        <f>'Supply 2024'!AW33/'Supply 2024'!AW$76</f>
        <v>0</v>
      </c>
      <c r="AX32" s="12">
        <f>'Supply 2024'!AX33/'Supply 2024'!AX$76</f>
        <v>0</v>
      </c>
      <c r="AY32" s="12">
        <f>'Supply 2024'!AY33/'Supply 2024'!AY$76</f>
        <v>0</v>
      </c>
      <c r="AZ32" s="12">
        <f>'Supply 2024'!AZ33/'Supply 2024'!AZ$76</f>
        <v>4.5231534687510097E-4</v>
      </c>
      <c r="BA32" s="12">
        <f>'Supply 2024'!BA33/'Supply 2024'!BA$76</f>
        <v>0</v>
      </c>
      <c r="BB32" s="12">
        <f>'Supply 2024'!BB33/'Supply 2024'!BB$76</f>
        <v>2.8118863220140773E-3</v>
      </c>
      <c r="BC32" s="12">
        <f>'Supply 2024'!BC33/'Supply 2024'!BC$76</f>
        <v>1.3145715884568768E-3</v>
      </c>
      <c r="BD32" s="12">
        <f>'Supply 2024'!BD33/'Supply 2024'!BD$76</f>
        <v>0</v>
      </c>
      <c r="BE32" s="12">
        <f>'Supply 2024'!BE33/'Supply 2024'!BE$76</f>
        <v>6.8381629742092812E-4</v>
      </c>
      <c r="BF32" s="12">
        <f>'Supply 2024'!BF33/'Supply 2024'!BF$76</f>
        <v>5.2091979552466926E-4</v>
      </c>
      <c r="BG32" s="12">
        <f>'Supply 2024'!BG33/'Supply 2024'!BG$76</f>
        <v>1.8124113769269513E-3</v>
      </c>
      <c r="BH32" s="12">
        <f>'Supply 2024'!BH33/'Supply 2024'!BH$76</f>
        <v>7.5561986887229312E-3</v>
      </c>
      <c r="BI32" s="12">
        <f>'Supply 2024'!BI33/'Supply 2024'!BI$76</f>
        <v>1.6081995887148972E-3</v>
      </c>
      <c r="BJ32" s="12">
        <f>'Supply 2024'!BJ33/'Supply 2024'!BJ$76</f>
        <v>6.7174270502025446E-5</v>
      </c>
      <c r="BK32" s="12">
        <f>'Supply 2024'!BK33/'Supply 2024'!BK$76</f>
        <v>3.4336956213286418E-4</v>
      </c>
      <c r="BL32" s="12">
        <f>'Supply 2024'!BL33/'Supply 2024'!BL$76</f>
        <v>4.9524893532669166E-3</v>
      </c>
      <c r="BM32" s="12">
        <f>'Supply 2024'!BM33/'Supply 2024'!BM$76</f>
        <v>1.3048209052140188E-2</v>
      </c>
      <c r="BN32" s="12">
        <f>'Supply 2024'!BN33/'Supply 2024'!BN$76</f>
        <v>1.9067128444162826E-3</v>
      </c>
      <c r="BO32" s="12">
        <f>'Supply 2024'!BO33/'Supply 2024'!BO$76</f>
        <v>1.9530684989128337E-3</v>
      </c>
      <c r="BP32" s="12">
        <f>'Supply 2024'!BP33/'Supply 2024'!BP$76</f>
        <v>5.600347787555424E-3</v>
      </c>
      <c r="BQ32" s="12">
        <f>'Supply 2024'!BQ33/'Supply 2024'!BQ$76</f>
        <v>0</v>
      </c>
      <c r="BR32" s="12">
        <f>'Supply 2024'!BR33/'Supply 2024'!BR$76</f>
        <v>0</v>
      </c>
      <c r="BS32" s="12">
        <f>'Supply 2024'!BS33/'Supply 2024'!BS$76</f>
        <v>5.020165750557324E-4</v>
      </c>
      <c r="BT32" s="12">
        <f>'Supply 2024'!BT33/'Supply 2024'!BT$76</f>
        <v>0</v>
      </c>
      <c r="BU32" s="12">
        <f>'Supply 2024'!BU33/'Supply 2024'!BU$76</f>
        <v>0</v>
      </c>
      <c r="BV32" s="12">
        <f>'Supply 2024'!BV33/'Supply 2024'!BV$76</f>
        <v>2.905193094268357E-2</v>
      </c>
      <c r="BW32" s="12">
        <f>'Supply 2024'!BW33/'Supply 2024'!BW$76</f>
        <v>0</v>
      </c>
      <c r="BX32" s="12">
        <f>'Supply 2024'!BX33/'Supply 2024'!BX$76</f>
        <v>0</v>
      </c>
      <c r="BY32" s="12">
        <f>'Supply 2024'!BY33/'Supply 2024'!BY$76</f>
        <v>2.7049304887633574E-2</v>
      </c>
      <c r="BZ32" s="12">
        <f>'Supply 2024'!BZ33/'Supply 2024'!BZ$76</f>
        <v>1426499</v>
      </c>
      <c r="CA32" s="12" t="e">
        <f>'Supply 2024'!CA33/'Supply 2024'!CA$76</f>
        <v>#DIV/0!</v>
      </c>
      <c r="CB32" s="12">
        <f>'Supply 2024'!CB33/'Supply 2024'!CB$76</f>
        <v>1426499</v>
      </c>
      <c r="CC32" s="12">
        <f>'Supply 2024'!CC33/'Supply 2024'!CC$76</f>
        <v>0</v>
      </c>
      <c r="CD32" s="12">
        <f>'Supply 2024'!CD33/'Supply 2024'!CD$76</f>
        <v>0</v>
      </c>
      <c r="CE32" s="12">
        <f>'Supply 2024'!CE33/'Supply 2024'!CE$76</f>
        <v>0</v>
      </c>
      <c r="CF32" s="12">
        <f>'Supply 2024'!CF33/'Supply 2024'!CF$76</f>
        <v>0</v>
      </c>
      <c r="CG32" s="12">
        <f>'Supply 2024'!CG33/'Supply 2024'!CG$76</f>
        <v>3.3341852558887953E-4</v>
      </c>
    </row>
    <row r="33" spans="1:85" x14ac:dyDescent="0.25">
      <c r="A33" t="s">
        <v>32</v>
      </c>
      <c r="B33" t="s">
        <v>125</v>
      </c>
      <c r="C33" s="12">
        <f>'Supply 2024'!C34/'Supply 2024'!C$76</f>
        <v>0</v>
      </c>
      <c r="D33" s="12">
        <f>'Supply 2024'!D34/'Supply 2024'!D$76</f>
        <v>0</v>
      </c>
      <c r="E33" s="12">
        <f>'Supply 2024'!E34/'Supply 2024'!E$76</f>
        <v>0</v>
      </c>
      <c r="F33" s="12">
        <f>'Supply 2024'!F34/'Supply 2024'!F$76</f>
        <v>0</v>
      </c>
      <c r="G33" s="12">
        <f>'Supply 2024'!G34/'Supply 2024'!G$76</f>
        <v>0</v>
      </c>
      <c r="H33" s="12">
        <f>'Supply 2024'!H34/'Supply 2024'!H$76</f>
        <v>0</v>
      </c>
      <c r="I33" s="12">
        <f>'Supply 2024'!I34/'Supply 2024'!I$76</f>
        <v>0</v>
      </c>
      <c r="J33" s="12">
        <f>'Supply 2024'!J34/'Supply 2024'!J$76</f>
        <v>0</v>
      </c>
      <c r="K33" s="12">
        <f>'Supply 2024'!K34/'Supply 2024'!K$76</f>
        <v>0</v>
      </c>
      <c r="L33" s="12">
        <f>'Supply 2024'!L34/'Supply 2024'!L$76</f>
        <v>0</v>
      </c>
      <c r="M33" s="12">
        <f>'Supply 2024'!M34/'Supply 2024'!M$76</f>
        <v>0</v>
      </c>
      <c r="N33" s="12">
        <f>'Supply 2024'!N34/'Supply 2024'!N$76</f>
        <v>0</v>
      </c>
      <c r="O33" s="12">
        <f>'Supply 2024'!O34/'Supply 2024'!O$76</f>
        <v>0</v>
      </c>
      <c r="P33" s="12">
        <f>'Supply 2024'!P34/'Supply 2024'!P$76</f>
        <v>0</v>
      </c>
      <c r="Q33" s="12">
        <f>'Supply 2024'!Q34/'Supply 2024'!Q$76</f>
        <v>0</v>
      </c>
      <c r="R33" s="12">
        <f>'Supply 2024'!R34/'Supply 2024'!R$76</f>
        <v>0</v>
      </c>
      <c r="S33" s="12">
        <f>'Supply 2024'!S34/'Supply 2024'!S$76</f>
        <v>0</v>
      </c>
      <c r="T33" s="12">
        <f>'Supply 2024'!T34/'Supply 2024'!T$76</f>
        <v>0</v>
      </c>
      <c r="U33" s="12">
        <f>'Supply 2024'!U34/'Supply 2024'!U$76</f>
        <v>0</v>
      </c>
      <c r="V33" s="12">
        <f>'Supply 2024'!V34/'Supply 2024'!V$76</f>
        <v>0</v>
      </c>
      <c r="W33" s="12">
        <f>'Supply 2024'!W34/'Supply 2024'!W$76</f>
        <v>0</v>
      </c>
      <c r="X33" s="12">
        <f>'Supply 2024'!X34/'Supply 2024'!X$76</f>
        <v>0</v>
      </c>
      <c r="Y33" s="12">
        <f>'Supply 2024'!Y34/'Supply 2024'!Y$76</f>
        <v>0</v>
      </c>
      <c r="Z33" s="12">
        <f>'Supply 2024'!Z34/'Supply 2024'!Z$76</f>
        <v>0</v>
      </c>
      <c r="AA33" s="12">
        <f>'Supply 2024'!AA34/'Supply 2024'!AA$76</f>
        <v>0</v>
      </c>
      <c r="AB33" s="12">
        <f>'Supply 2024'!AB34/'Supply 2024'!AB$76</f>
        <v>0</v>
      </c>
      <c r="AC33" s="12">
        <f>'Supply 2024'!AC34/'Supply 2024'!AC$76</f>
        <v>0</v>
      </c>
      <c r="AD33" s="12">
        <f>'Supply 2024'!AD34/'Supply 2024'!AD$76</f>
        <v>0</v>
      </c>
      <c r="AE33" s="12">
        <f>'Supply 2024'!AE34/'Supply 2024'!AE$76</f>
        <v>0</v>
      </c>
      <c r="AF33" s="12">
        <f>'Supply 2024'!AF34/'Supply 2024'!AF$76</f>
        <v>0</v>
      </c>
      <c r="AG33" s="12">
        <f>'Supply 2024'!AG34/'Supply 2024'!AG$76</f>
        <v>0</v>
      </c>
      <c r="AH33" s="12">
        <f>'Supply 2024'!AH34/'Supply 2024'!AH$76</f>
        <v>0.97959851479858961</v>
      </c>
      <c r="AI33" s="12">
        <f>'Supply 2024'!AI34/'Supply 2024'!AI$76</f>
        <v>0</v>
      </c>
      <c r="AJ33" s="12">
        <f>'Supply 2024'!AJ34/'Supply 2024'!AJ$76</f>
        <v>0</v>
      </c>
      <c r="AK33" s="12">
        <f>'Supply 2024'!AK34/'Supply 2024'!AK$76</f>
        <v>0</v>
      </c>
      <c r="AL33" s="12">
        <f>'Supply 2024'!AL34/'Supply 2024'!AL$76</f>
        <v>0</v>
      </c>
      <c r="AM33" s="12">
        <f>'Supply 2024'!AM34/'Supply 2024'!AM$76</f>
        <v>0</v>
      </c>
      <c r="AN33" s="12">
        <f>'Supply 2024'!AN34/'Supply 2024'!AN$76</f>
        <v>9.5930839507705497E-5</v>
      </c>
      <c r="AO33" s="12">
        <f>'Supply 2024'!AO34/'Supply 2024'!AO$76</f>
        <v>0</v>
      </c>
      <c r="AP33" s="12">
        <f>'Supply 2024'!AP34/'Supply 2024'!AP$76</f>
        <v>0</v>
      </c>
      <c r="AQ33" s="12">
        <f>'Supply 2024'!AQ34/'Supply 2024'!AQ$76</f>
        <v>0</v>
      </c>
      <c r="AR33" s="12">
        <f>'Supply 2024'!AR34/'Supply 2024'!AR$76</f>
        <v>0</v>
      </c>
      <c r="AS33" s="12">
        <f>'Supply 2024'!AS34/'Supply 2024'!AS$76</f>
        <v>0</v>
      </c>
      <c r="AT33" s="12">
        <f>'Supply 2024'!AT34/'Supply 2024'!AT$76</f>
        <v>0</v>
      </c>
      <c r="AU33" s="12">
        <f>'Supply 2024'!AU34/'Supply 2024'!AU$76</f>
        <v>0</v>
      </c>
      <c r="AV33" s="12">
        <f>'Supply 2024'!AV34/'Supply 2024'!AV$76</f>
        <v>0</v>
      </c>
      <c r="AW33" s="12">
        <f>'Supply 2024'!AW34/'Supply 2024'!AW$76</f>
        <v>0</v>
      </c>
      <c r="AX33" s="12">
        <f>'Supply 2024'!AX34/'Supply 2024'!AX$76</f>
        <v>0</v>
      </c>
      <c r="AY33" s="12">
        <f>'Supply 2024'!AY34/'Supply 2024'!AY$76</f>
        <v>0</v>
      </c>
      <c r="AZ33" s="12">
        <f>'Supply 2024'!AZ34/'Supply 2024'!AZ$76</f>
        <v>0</v>
      </c>
      <c r="BA33" s="12">
        <f>'Supply 2024'!BA34/'Supply 2024'!BA$76</f>
        <v>0</v>
      </c>
      <c r="BB33" s="12">
        <f>'Supply 2024'!BB34/'Supply 2024'!BB$76</f>
        <v>0</v>
      </c>
      <c r="BC33" s="12">
        <f>'Supply 2024'!BC34/'Supply 2024'!BC$76</f>
        <v>0</v>
      </c>
      <c r="BD33" s="12">
        <f>'Supply 2024'!BD34/'Supply 2024'!BD$76</f>
        <v>0</v>
      </c>
      <c r="BE33" s="12">
        <f>'Supply 2024'!BE34/'Supply 2024'!BE$76</f>
        <v>0</v>
      </c>
      <c r="BF33" s="12">
        <f>'Supply 2024'!BF34/'Supply 2024'!BF$76</f>
        <v>0</v>
      </c>
      <c r="BG33" s="12">
        <f>'Supply 2024'!BG34/'Supply 2024'!BG$76</f>
        <v>0</v>
      </c>
      <c r="BH33" s="12">
        <f>'Supply 2024'!BH34/'Supply 2024'!BH$76</f>
        <v>0</v>
      </c>
      <c r="BI33" s="12">
        <f>'Supply 2024'!BI34/'Supply 2024'!BI$76</f>
        <v>0</v>
      </c>
      <c r="BJ33" s="12">
        <f>'Supply 2024'!BJ34/'Supply 2024'!BJ$76</f>
        <v>0</v>
      </c>
      <c r="BK33" s="12">
        <f>'Supply 2024'!BK34/'Supply 2024'!BK$76</f>
        <v>0</v>
      </c>
      <c r="BL33" s="12">
        <f>'Supply 2024'!BL34/'Supply 2024'!BL$76</f>
        <v>0</v>
      </c>
      <c r="BM33" s="12">
        <f>'Supply 2024'!BM34/'Supply 2024'!BM$76</f>
        <v>0</v>
      </c>
      <c r="BN33" s="12">
        <f>'Supply 2024'!BN34/'Supply 2024'!BN$76</f>
        <v>0</v>
      </c>
      <c r="BO33" s="12">
        <f>'Supply 2024'!BO34/'Supply 2024'!BO$76</f>
        <v>0</v>
      </c>
      <c r="BP33" s="12">
        <f>'Supply 2024'!BP34/'Supply 2024'!BP$76</f>
        <v>0</v>
      </c>
      <c r="BQ33" s="12">
        <f>'Supply 2024'!BQ34/'Supply 2024'!BQ$76</f>
        <v>0</v>
      </c>
      <c r="BR33" s="12">
        <f>'Supply 2024'!BR34/'Supply 2024'!BR$76</f>
        <v>0</v>
      </c>
      <c r="BS33" s="12">
        <f>'Supply 2024'!BS34/'Supply 2024'!BS$76</f>
        <v>0</v>
      </c>
      <c r="BT33" s="12">
        <f>'Supply 2024'!BT34/'Supply 2024'!BT$76</f>
        <v>0</v>
      </c>
      <c r="BU33" s="12">
        <f>'Supply 2024'!BU34/'Supply 2024'!BU$76</f>
        <v>0</v>
      </c>
      <c r="BV33" s="12">
        <f>'Supply 2024'!BV34/'Supply 2024'!BV$76</f>
        <v>5.9005478597512822E-3</v>
      </c>
      <c r="BW33" s="12">
        <f>'Supply 2024'!BW34/'Supply 2024'!BW$76</f>
        <v>1.9084002366172779E-2</v>
      </c>
      <c r="BX33" s="12">
        <f>'Supply 2024'!BX34/'Supply 2024'!BX$76</f>
        <v>4.060287143506789E-2</v>
      </c>
      <c r="BY33" s="12">
        <f>'Supply 2024'!BY34/'Supply 2024'!BY$76</f>
        <v>6.7969326110014555E-3</v>
      </c>
      <c r="BZ33" s="12">
        <f>'Supply 2024'!BZ34/'Supply 2024'!BZ$76</f>
        <v>0</v>
      </c>
      <c r="CA33" s="12" t="e">
        <f>'Supply 2024'!CA34/'Supply 2024'!CA$76</f>
        <v>#DIV/0!</v>
      </c>
      <c r="CB33" s="12">
        <f>'Supply 2024'!CB34/'Supply 2024'!CB$76</f>
        <v>13516</v>
      </c>
      <c r="CC33" s="12">
        <f>'Supply 2024'!CC34/'Supply 2024'!CC$76</f>
        <v>0</v>
      </c>
      <c r="CD33" s="12">
        <f>'Supply 2024'!CD34/'Supply 2024'!CD$76</f>
        <v>2.9604515325830753E-2</v>
      </c>
      <c r="CE33" s="12">
        <f>'Supply 2024'!CE34/'Supply 2024'!CE$76</f>
        <v>4.4876673082949103E-3</v>
      </c>
      <c r="CF33" s="12">
        <f>'Supply 2024'!CF34/'Supply 2024'!CF$76</f>
        <v>2.9376656643499227E-2</v>
      </c>
      <c r="CG33" s="12">
        <f>'Supply 2024'!CG34/'Supply 2024'!CG$76</f>
        <v>6.9677746143690595E-3</v>
      </c>
    </row>
    <row r="34" spans="1:85" x14ac:dyDescent="0.25">
      <c r="A34" t="s">
        <v>33</v>
      </c>
      <c r="B34" t="s">
        <v>126</v>
      </c>
      <c r="C34" s="12">
        <f>'Supply 2024'!C35/'Supply 2024'!C$76</f>
        <v>0</v>
      </c>
      <c r="D34" s="12">
        <f>'Supply 2024'!D35/'Supply 2024'!D$76</f>
        <v>0</v>
      </c>
      <c r="E34" s="12">
        <f>'Supply 2024'!E35/'Supply 2024'!E$76</f>
        <v>0</v>
      </c>
      <c r="F34" s="12">
        <f>'Supply 2024'!F35/'Supply 2024'!F$76</f>
        <v>0</v>
      </c>
      <c r="G34" s="12">
        <f>'Supply 2024'!G35/'Supply 2024'!G$76</f>
        <v>0</v>
      </c>
      <c r="H34" s="12">
        <f>'Supply 2024'!H35/'Supply 2024'!H$76</f>
        <v>0</v>
      </c>
      <c r="I34" s="12">
        <f>'Supply 2024'!I35/'Supply 2024'!I$76</f>
        <v>0</v>
      </c>
      <c r="J34" s="12">
        <f>'Supply 2024'!J35/'Supply 2024'!J$76</f>
        <v>0</v>
      </c>
      <c r="K34" s="12">
        <f>'Supply 2024'!K35/'Supply 2024'!K$76</f>
        <v>0</v>
      </c>
      <c r="L34" s="12">
        <f>'Supply 2024'!L35/'Supply 2024'!L$76</f>
        <v>0</v>
      </c>
      <c r="M34" s="12">
        <f>'Supply 2024'!M35/'Supply 2024'!M$76</f>
        <v>0</v>
      </c>
      <c r="N34" s="12">
        <f>'Supply 2024'!N35/'Supply 2024'!N$76</f>
        <v>0</v>
      </c>
      <c r="O34" s="12">
        <f>'Supply 2024'!O35/'Supply 2024'!O$76</f>
        <v>0</v>
      </c>
      <c r="P34" s="12">
        <f>'Supply 2024'!P35/'Supply 2024'!P$76</f>
        <v>0</v>
      </c>
      <c r="Q34" s="12">
        <f>'Supply 2024'!Q35/'Supply 2024'!Q$76</f>
        <v>0</v>
      </c>
      <c r="R34" s="12">
        <f>'Supply 2024'!R35/'Supply 2024'!R$76</f>
        <v>0</v>
      </c>
      <c r="S34" s="12">
        <f>'Supply 2024'!S35/'Supply 2024'!S$76</f>
        <v>0</v>
      </c>
      <c r="T34" s="12">
        <f>'Supply 2024'!T35/'Supply 2024'!T$76</f>
        <v>0</v>
      </c>
      <c r="U34" s="12">
        <f>'Supply 2024'!U35/'Supply 2024'!U$76</f>
        <v>0</v>
      </c>
      <c r="V34" s="12">
        <f>'Supply 2024'!V35/'Supply 2024'!V$76</f>
        <v>0</v>
      </c>
      <c r="W34" s="12">
        <f>'Supply 2024'!W35/'Supply 2024'!W$76</f>
        <v>0</v>
      </c>
      <c r="X34" s="12">
        <f>'Supply 2024'!X35/'Supply 2024'!X$76</f>
        <v>0</v>
      </c>
      <c r="Y34" s="12">
        <f>'Supply 2024'!Y35/'Supply 2024'!Y$76</f>
        <v>0</v>
      </c>
      <c r="Z34" s="12">
        <f>'Supply 2024'!Z35/'Supply 2024'!Z$76</f>
        <v>0</v>
      </c>
      <c r="AA34" s="12">
        <f>'Supply 2024'!AA35/'Supply 2024'!AA$76</f>
        <v>0</v>
      </c>
      <c r="AB34" s="12">
        <f>'Supply 2024'!AB35/'Supply 2024'!AB$76</f>
        <v>0</v>
      </c>
      <c r="AC34" s="12">
        <f>'Supply 2024'!AC35/'Supply 2024'!AC$76</f>
        <v>0</v>
      </c>
      <c r="AD34" s="12">
        <f>'Supply 2024'!AD35/'Supply 2024'!AD$76</f>
        <v>0</v>
      </c>
      <c r="AE34" s="12">
        <f>'Supply 2024'!AE35/'Supply 2024'!AE$76</f>
        <v>0</v>
      </c>
      <c r="AF34" s="12">
        <f>'Supply 2024'!AF35/'Supply 2024'!AF$76</f>
        <v>0</v>
      </c>
      <c r="AG34" s="12">
        <f>'Supply 2024'!AG35/'Supply 2024'!AG$76</f>
        <v>0</v>
      </c>
      <c r="AH34" s="12">
        <f>'Supply 2024'!AH35/'Supply 2024'!AH$76</f>
        <v>0</v>
      </c>
      <c r="AI34" s="12">
        <f>'Supply 2024'!AI35/'Supply 2024'!AI$76</f>
        <v>0.97954124044250923</v>
      </c>
      <c r="AJ34" s="12">
        <f>'Supply 2024'!AJ35/'Supply 2024'!AJ$76</f>
        <v>0</v>
      </c>
      <c r="AK34" s="12">
        <f>'Supply 2024'!AK35/'Supply 2024'!AK$76</f>
        <v>0</v>
      </c>
      <c r="AL34" s="12">
        <f>'Supply 2024'!AL35/'Supply 2024'!AL$76</f>
        <v>0</v>
      </c>
      <c r="AM34" s="12">
        <f>'Supply 2024'!AM35/'Supply 2024'!AM$76</f>
        <v>0</v>
      </c>
      <c r="AN34" s="12">
        <f>'Supply 2024'!AN35/'Supply 2024'!AN$76</f>
        <v>0</v>
      </c>
      <c r="AO34" s="12">
        <f>'Supply 2024'!AO35/'Supply 2024'!AO$76</f>
        <v>0</v>
      </c>
      <c r="AP34" s="12">
        <f>'Supply 2024'!AP35/'Supply 2024'!AP$76</f>
        <v>0</v>
      </c>
      <c r="AQ34" s="12">
        <f>'Supply 2024'!AQ35/'Supply 2024'!AQ$76</f>
        <v>0</v>
      </c>
      <c r="AR34" s="12">
        <f>'Supply 2024'!AR35/'Supply 2024'!AR$76</f>
        <v>0</v>
      </c>
      <c r="AS34" s="12">
        <f>'Supply 2024'!AS35/'Supply 2024'!AS$76</f>
        <v>0</v>
      </c>
      <c r="AT34" s="12">
        <f>'Supply 2024'!AT35/'Supply 2024'!AT$76</f>
        <v>0</v>
      </c>
      <c r="AU34" s="12">
        <f>'Supply 2024'!AU35/'Supply 2024'!AU$76</f>
        <v>0</v>
      </c>
      <c r="AV34" s="12">
        <f>'Supply 2024'!AV35/'Supply 2024'!AV$76</f>
        <v>0</v>
      </c>
      <c r="AW34" s="12">
        <f>'Supply 2024'!AW35/'Supply 2024'!AW$76</f>
        <v>0</v>
      </c>
      <c r="AX34" s="12">
        <f>'Supply 2024'!AX35/'Supply 2024'!AX$76</f>
        <v>0</v>
      </c>
      <c r="AY34" s="12">
        <f>'Supply 2024'!AY35/'Supply 2024'!AY$76</f>
        <v>0</v>
      </c>
      <c r="AZ34" s="12">
        <f>'Supply 2024'!AZ35/'Supply 2024'!AZ$76</f>
        <v>0</v>
      </c>
      <c r="BA34" s="12">
        <f>'Supply 2024'!BA35/'Supply 2024'!BA$76</f>
        <v>0</v>
      </c>
      <c r="BB34" s="12">
        <f>'Supply 2024'!BB35/'Supply 2024'!BB$76</f>
        <v>0</v>
      </c>
      <c r="BC34" s="12">
        <f>'Supply 2024'!BC35/'Supply 2024'!BC$76</f>
        <v>0</v>
      </c>
      <c r="BD34" s="12">
        <f>'Supply 2024'!BD35/'Supply 2024'!BD$76</f>
        <v>0</v>
      </c>
      <c r="BE34" s="12">
        <f>'Supply 2024'!BE35/'Supply 2024'!BE$76</f>
        <v>0</v>
      </c>
      <c r="BF34" s="12">
        <f>'Supply 2024'!BF35/'Supply 2024'!BF$76</f>
        <v>0</v>
      </c>
      <c r="BG34" s="12">
        <f>'Supply 2024'!BG35/'Supply 2024'!BG$76</f>
        <v>0</v>
      </c>
      <c r="BH34" s="12">
        <f>'Supply 2024'!BH35/'Supply 2024'!BH$76</f>
        <v>0</v>
      </c>
      <c r="BI34" s="12">
        <f>'Supply 2024'!BI35/'Supply 2024'!BI$76</f>
        <v>0</v>
      </c>
      <c r="BJ34" s="12">
        <f>'Supply 2024'!BJ35/'Supply 2024'!BJ$76</f>
        <v>0</v>
      </c>
      <c r="BK34" s="12">
        <f>'Supply 2024'!BK35/'Supply 2024'!BK$76</f>
        <v>0</v>
      </c>
      <c r="BL34" s="12">
        <f>'Supply 2024'!BL35/'Supply 2024'!BL$76</f>
        <v>0</v>
      </c>
      <c r="BM34" s="12">
        <f>'Supply 2024'!BM35/'Supply 2024'!BM$76</f>
        <v>0</v>
      </c>
      <c r="BN34" s="12">
        <f>'Supply 2024'!BN35/'Supply 2024'!BN$76</f>
        <v>0</v>
      </c>
      <c r="BO34" s="12">
        <f>'Supply 2024'!BO35/'Supply 2024'!BO$76</f>
        <v>0</v>
      </c>
      <c r="BP34" s="12">
        <f>'Supply 2024'!BP35/'Supply 2024'!BP$76</f>
        <v>0</v>
      </c>
      <c r="BQ34" s="12">
        <f>'Supply 2024'!BQ35/'Supply 2024'!BQ$76</f>
        <v>0</v>
      </c>
      <c r="BR34" s="12">
        <f>'Supply 2024'!BR35/'Supply 2024'!BR$76</f>
        <v>0</v>
      </c>
      <c r="BS34" s="12">
        <f>'Supply 2024'!BS35/'Supply 2024'!BS$76</f>
        <v>0</v>
      </c>
      <c r="BT34" s="12">
        <f>'Supply 2024'!BT35/'Supply 2024'!BT$76</f>
        <v>0</v>
      </c>
      <c r="BU34" s="12">
        <f>'Supply 2024'!BU35/'Supply 2024'!BU$76</f>
        <v>2.8125937143187095E-4</v>
      </c>
      <c r="BV34" s="12">
        <f>'Supply 2024'!BV35/'Supply 2024'!BV$76</f>
        <v>1.8940909053431158E-3</v>
      </c>
      <c r="BW34" s="12">
        <f>'Supply 2024'!BW35/'Supply 2024'!BW$76</f>
        <v>0</v>
      </c>
      <c r="BX34" s="12">
        <f>'Supply 2024'!BX35/'Supply 2024'!BX$76</f>
        <v>1.7248099785616838E-2</v>
      </c>
      <c r="BY34" s="12">
        <f>'Supply 2024'!BY35/'Supply 2024'!BY$76</f>
        <v>1.7535838606848352E-3</v>
      </c>
      <c r="BZ34" s="12">
        <f>'Supply 2024'!BZ35/'Supply 2024'!BZ$76</f>
        <v>0</v>
      </c>
      <c r="CA34" s="12" t="e">
        <f>'Supply 2024'!CA35/'Supply 2024'!CA$76</f>
        <v>#DIV/0!</v>
      </c>
      <c r="CB34" s="12">
        <f>'Supply 2024'!CB35/'Supply 2024'!CB$76</f>
        <v>79337</v>
      </c>
      <c r="CC34" s="12">
        <f>'Supply 2024'!CC35/'Supply 2024'!CC$76</f>
        <v>0</v>
      </c>
      <c r="CD34" s="12">
        <f>'Supply 2024'!CD35/'Supply 2024'!CD$76</f>
        <v>7.873279565394968E-4</v>
      </c>
      <c r="CE34" s="12">
        <f>'Supply 2024'!CE35/'Supply 2024'!CE$76</f>
        <v>4.9800796812749001E-2</v>
      </c>
      <c r="CF34" s="12">
        <f>'Supply 2024'!CF35/'Supply 2024'!CF$76</f>
        <v>-3.6126953082470411E-3</v>
      </c>
      <c r="CG34" s="12">
        <f>'Supply 2024'!CG35/'Supply 2024'!CG$76</f>
        <v>1.9603774421198008E-4</v>
      </c>
    </row>
    <row r="35" spans="1:85" x14ac:dyDescent="0.25">
      <c r="A35" t="s">
        <v>34</v>
      </c>
      <c r="B35" t="s">
        <v>127</v>
      </c>
      <c r="C35" s="12">
        <f>'Supply 2024'!C36/'Supply 2024'!C$76</f>
        <v>0</v>
      </c>
      <c r="D35" s="12">
        <f>'Supply 2024'!D36/'Supply 2024'!D$76</f>
        <v>0</v>
      </c>
      <c r="E35" s="12">
        <f>'Supply 2024'!E36/'Supply 2024'!E$76</f>
        <v>0</v>
      </c>
      <c r="F35" s="12">
        <f>'Supply 2024'!F36/'Supply 2024'!F$76</f>
        <v>0</v>
      </c>
      <c r="G35" s="12">
        <f>'Supply 2024'!G36/'Supply 2024'!G$76</f>
        <v>0</v>
      </c>
      <c r="H35" s="12">
        <f>'Supply 2024'!H36/'Supply 2024'!H$76</f>
        <v>0</v>
      </c>
      <c r="I35" s="12">
        <f>'Supply 2024'!I36/'Supply 2024'!I$76</f>
        <v>0</v>
      </c>
      <c r="J35" s="12">
        <f>'Supply 2024'!J36/'Supply 2024'!J$76</f>
        <v>0</v>
      </c>
      <c r="K35" s="12">
        <f>'Supply 2024'!K36/'Supply 2024'!K$76</f>
        <v>0</v>
      </c>
      <c r="L35" s="12">
        <f>'Supply 2024'!L36/'Supply 2024'!L$76</f>
        <v>0</v>
      </c>
      <c r="M35" s="12">
        <f>'Supply 2024'!M36/'Supply 2024'!M$76</f>
        <v>0</v>
      </c>
      <c r="N35" s="12">
        <f>'Supply 2024'!N36/'Supply 2024'!N$76</f>
        <v>0</v>
      </c>
      <c r="O35" s="12">
        <f>'Supply 2024'!O36/'Supply 2024'!O$76</f>
        <v>0</v>
      </c>
      <c r="P35" s="12">
        <f>'Supply 2024'!P36/'Supply 2024'!P$76</f>
        <v>0</v>
      </c>
      <c r="Q35" s="12">
        <f>'Supply 2024'!Q36/'Supply 2024'!Q$76</f>
        <v>0</v>
      </c>
      <c r="R35" s="12">
        <f>'Supply 2024'!R36/'Supply 2024'!R$76</f>
        <v>0</v>
      </c>
      <c r="S35" s="12">
        <f>'Supply 2024'!S36/'Supply 2024'!S$76</f>
        <v>0</v>
      </c>
      <c r="T35" s="12">
        <f>'Supply 2024'!T36/'Supply 2024'!T$76</f>
        <v>0</v>
      </c>
      <c r="U35" s="12">
        <f>'Supply 2024'!U36/'Supply 2024'!U$76</f>
        <v>0</v>
      </c>
      <c r="V35" s="12">
        <f>'Supply 2024'!V36/'Supply 2024'!V$76</f>
        <v>0</v>
      </c>
      <c r="W35" s="12">
        <f>'Supply 2024'!W36/'Supply 2024'!W$76</f>
        <v>0</v>
      </c>
      <c r="X35" s="12">
        <f>'Supply 2024'!X36/'Supply 2024'!X$76</f>
        <v>0</v>
      </c>
      <c r="Y35" s="12">
        <f>'Supply 2024'!Y36/'Supply 2024'!Y$76</f>
        <v>0</v>
      </c>
      <c r="Z35" s="12">
        <f>'Supply 2024'!Z36/'Supply 2024'!Z$76</f>
        <v>0</v>
      </c>
      <c r="AA35" s="12">
        <f>'Supply 2024'!AA36/'Supply 2024'!AA$76</f>
        <v>0</v>
      </c>
      <c r="AB35" s="12">
        <f>'Supply 2024'!AB36/'Supply 2024'!AB$76</f>
        <v>0</v>
      </c>
      <c r="AC35" s="12">
        <f>'Supply 2024'!AC36/'Supply 2024'!AC$76</f>
        <v>0</v>
      </c>
      <c r="AD35" s="12">
        <f>'Supply 2024'!AD36/'Supply 2024'!AD$76</f>
        <v>0</v>
      </c>
      <c r="AE35" s="12">
        <f>'Supply 2024'!AE36/'Supply 2024'!AE$76</f>
        <v>0</v>
      </c>
      <c r="AF35" s="12">
        <f>'Supply 2024'!AF36/'Supply 2024'!AF$76</f>
        <v>0</v>
      </c>
      <c r="AG35" s="12">
        <f>'Supply 2024'!AG36/'Supply 2024'!AG$76</f>
        <v>0</v>
      </c>
      <c r="AH35" s="12">
        <f>'Supply 2024'!AH36/'Supply 2024'!AH$76</f>
        <v>0</v>
      </c>
      <c r="AI35" s="12">
        <f>'Supply 2024'!AI36/'Supply 2024'!AI$76</f>
        <v>0</v>
      </c>
      <c r="AJ35" s="12">
        <f>'Supply 2024'!AJ36/'Supply 2024'!AJ$76</f>
        <v>0.94547503691996793</v>
      </c>
      <c r="AK35" s="12">
        <f>'Supply 2024'!AK36/'Supply 2024'!AK$76</f>
        <v>0</v>
      </c>
      <c r="AL35" s="12">
        <f>'Supply 2024'!AL36/'Supply 2024'!AL$76</f>
        <v>0</v>
      </c>
      <c r="AM35" s="12">
        <f>'Supply 2024'!AM36/'Supply 2024'!AM$76</f>
        <v>0</v>
      </c>
      <c r="AN35" s="12">
        <f>'Supply 2024'!AN36/'Supply 2024'!AN$76</f>
        <v>1.0608822251440373E-3</v>
      </c>
      <c r="AO35" s="12">
        <f>'Supply 2024'!AO36/'Supply 2024'!AO$76</f>
        <v>0</v>
      </c>
      <c r="AP35" s="12">
        <f>'Supply 2024'!AP36/'Supply 2024'!AP$76</f>
        <v>0</v>
      </c>
      <c r="AQ35" s="12">
        <f>'Supply 2024'!AQ36/'Supply 2024'!AQ$76</f>
        <v>0</v>
      </c>
      <c r="AR35" s="12">
        <f>'Supply 2024'!AR36/'Supply 2024'!AR$76</f>
        <v>0</v>
      </c>
      <c r="AS35" s="12">
        <f>'Supply 2024'!AS36/'Supply 2024'!AS$76</f>
        <v>0</v>
      </c>
      <c r="AT35" s="12">
        <f>'Supply 2024'!AT36/'Supply 2024'!AT$76</f>
        <v>0</v>
      </c>
      <c r="AU35" s="12">
        <f>'Supply 2024'!AU36/'Supply 2024'!AU$76</f>
        <v>0</v>
      </c>
      <c r="AV35" s="12">
        <f>'Supply 2024'!AV36/'Supply 2024'!AV$76</f>
        <v>0</v>
      </c>
      <c r="AW35" s="12">
        <f>'Supply 2024'!AW36/'Supply 2024'!AW$76</f>
        <v>0</v>
      </c>
      <c r="AX35" s="12">
        <f>'Supply 2024'!AX36/'Supply 2024'!AX$76</f>
        <v>0</v>
      </c>
      <c r="AY35" s="12">
        <f>'Supply 2024'!AY36/'Supply 2024'!AY$76</f>
        <v>0</v>
      </c>
      <c r="AZ35" s="12">
        <f>'Supply 2024'!AZ36/'Supply 2024'!AZ$76</f>
        <v>0</v>
      </c>
      <c r="BA35" s="12">
        <f>'Supply 2024'!BA36/'Supply 2024'!BA$76</f>
        <v>0</v>
      </c>
      <c r="BB35" s="12">
        <f>'Supply 2024'!BB36/'Supply 2024'!BB$76</f>
        <v>0</v>
      </c>
      <c r="BC35" s="12">
        <f>'Supply 2024'!BC36/'Supply 2024'!BC$76</f>
        <v>0</v>
      </c>
      <c r="BD35" s="12">
        <f>'Supply 2024'!BD36/'Supply 2024'!BD$76</f>
        <v>0</v>
      </c>
      <c r="BE35" s="12">
        <f>'Supply 2024'!BE36/'Supply 2024'!BE$76</f>
        <v>0</v>
      </c>
      <c r="BF35" s="12">
        <f>'Supply 2024'!BF36/'Supply 2024'!BF$76</f>
        <v>0</v>
      </c>
      <c r="BG35" s="12">
        <f>'Supply 2024'!BG36/'Supply 2024'!BG$76</f>
        <v>0</v>
      </c>
      <c r="BH35" s="12">
        <f>'Supply 2024'!BH36/'Supply 2024'!BH$76</f>
        <v>0</v>
      </c>
      <c r="BI35" s="12">
        <f>'Supply 2024'!BI36/'Supply 2024'!BI$76</f>
        <v>0</v>
      </c>
      <c r="BJ35" s="12">
        <f>'Supply 2024'!BJ36/'Supply 2024'!BJ$76</f>
        <v>0</v>
      </c>
      <c r="BK35" s="12">
        <f>'Supply 2024'!BK36/'Supply 2024'!BK$76</f>
        <v>0</v>
      </c>
      <c r="BL35" s="12">
        <f>'Supply 2024'!BL36/'Supply 2024'!BL$76</f>
        <v>0</v>
      </c>
      <c r="BM35" s="12">
        <f>'Supply 2024'!BM36/'Supply 2024'!BM$76</f>
        <v>0</v>
      </c>
      <c r="BN35" s="12">
        <f>'Supply 2024'!BN36/'Supply 2024'!BN$76</f>
        <v>0</v>
      </c>
      <c r="BO35" s="12">
        <f>'Supply 2024'!BO36/'Supply 2024'!BO$76</f>
        <v>0</v>
      </c>
      <c r="BP35" s="12">
        <f>'Supply 2024'!BP36/'Supply 2024'!BP$76</f>
        <v>0</v>
      </c>
      <c r="BQ35" s="12">
        <f>'Supply 2024'!BQ36/'Supply 2024'!BQ$76</f>
        <v>0</v>
      </c>
      <c r="BR35" s="12">
        <f>'Supply 2024'!BR36/'Supply 2024'!BR$76</f>
        <v>0</v>
      </c>
      <c r="BS35" s="12">
        <f>'Supply 2024'!BS36/'Supply 2024'!BS$76</f>
        <v>0</v>
      </c>
      <c r="BT35" s="12">
        <f>'Supply 2024'!BT36/'Supply 2024'!BT$76</f>
        <v>0</v>
      </c>
      <c r="BU35" s="12">
        <f>'Supply 2024'!BU36/'Supply 2024'!BU$76</f>
        <v>1.3951209880958368E-3</v>
      </c>
      <c r="BV35" s="12">
        <f>'Supply 2024'!BV36/'Supply 2024'!BV$76</f>
        <v>1.4903603188900507E-3</v>
      </c>
      <c r="BW35" s="12">
        <f>'Supply 2024'!BW36/'Supply 2024'!BW$76</f>
        <v>0</v>
      </c>
      <c r="BX35" s="12">
        <f>'Supply 2024'!BX36/'Supply 2024'!BX$76</f>
        <v>0.53995322549210678</v>
      </c>
      <c r="BY35" s="12">
        <f>'Supply 2024'!BY36/'Supply 2024'!BY$76</f>
        <v>1.0763977255143858E-3</v>
      </c>
      <c r="BZ35" s="12">
        <f>'Supply 2024'!BZ36/'Supply 2024'!BZ$76</f>
        <v>0</v>
      </c>
      <c r="CA35" s="12" t="e">
        <f>'Supply 2024'!CA36/'Supply 2024'!CA$76</f>
        <v>#DIV/0!</v>
      </c>
      <c r="CB35" s="12">
        <f>'Supply 2024'!CB36/'Supply 2024'!CB$76</f>
        <v>15634</v>
      </c>
      <c r="CC35" s="12">
        <f>'Supply 2024'!CC36/'Supply 2024'!CC$76</f>
        <v>0</v>
      </c>
      <c r="CD35" s="12">
        <f>'Supply 2024'!CD36/'Supply 2024'!CD$76</f>
        <v>3.3363022158361177E-4</v>
      </c>
      <c r="CE35" s="12">
        <f>'Supply 2024'!CE36/'Supply 2024'!CE$76</f>
        <v>5.5955951474998882E-5</v>
      </c>
      <c r="CF35" s="12">
        <f>'Supply 2024'!CF36/'Supply 2024'!CF$76</f>
        <v>3.305863651930169E-4</v>
      </c>
      <c r="CG35" s="12">
        <f>'Supply 2024'!CG36/'Supply 2024'!CG$76</f>
        <v>7.7525687596691185E-4</v>
      </c>
    </row>
    <row r="36" spans="1:85" x14ac:dyDescent="0.25">
      <c r="A36" t="s">
        <v>35</v>
      </c>
      <c r="B36" t="s">
        <v>128</v>
      </c>
      <c r="C36" s="12">
        <f>'Supply 2024'!C37/'Supply 2024'!C$76</f>
        <v>0</v>
      </c>
      <c r="D36" s="12">
        <f>'Supply 2024'!D37/'Supply 2024'!D$76</f>
        <v>0</v>
      </c>
      <c r="E36" s="12">
        <f>'Supply 2024'!E37/'Supply 2024'!E$76</f>
        <v>0</v>
      </c>
      <c r="F36" s="12">
        <f>'Supply 2024'!F37/'Supply 2024'!F$76</f>
        <v>0</v>
      </c>
      <c r="G36" s="12">
        <f>'Supply 2024'!G37/'Supply 2024'!G$76</f>
        <v>0</v>
      </c>
      <c r="H36" s="12">
        <f>'Supply 2024'!H37/'Supply 2024'!H$76</f>
        <v>0</v>
      </c>
      <c r="I36" s="12">
        <f>'Supply 2024'!I37/'Supply 2024'!I$76</f>
        <v>0</v>
      </c>
      <c r="J36" s="12">
        <f>'Supply 2024'!J37/'Supply 2024'!J$76</f>
        <v>0</v>
      </c>
      <c r="K36" s="12">
        <f>'Supply 2024'!K37/'Supply 2024'!K$76</f>
        <v>0</v>
      </c>
      <c r="L36" s="12">
        <f>'Supply 2024'!L37/'Supply 2024'!L$76</f>
        <v>0</v>
      </c>
      <c r="M36" s="12">
        <f>'Supply 2024'!M37/'Supply 2024'!M$76</f>
        <v>0</v>
      </c>
      <c r="N36" s="12">
        <f>'Supply 2024'!N37/'Supply 2024'!N$76</f>
        <v>0</v>
      </c>
      <c r="O36" s="12">
        <f>'Supply 2024'!O37/'Supply 2024'!O$76</f>
        <v>0</v>
      </c>
      <c r="P36" s="12">
        <f>'Supply 2024'!P37/'Supply 2024'!P$76</f>
        <v>0</v>
      </c>
      <c r="Q36" s="12">
        <f>'Supply 2024'!Q37/'Supply 2024'!Q$76</f>
        <v>0</v>
      </c>
      <c r="R36" s="12">
        <f>'Supply 2024'!R37/'Supply 2024'!R$76</f>
        <v>0</v>
      </c>
      <c r="S36" s="12">
        <f>'Supply 2024'!S37/'Supply 2024'!S$76</f>
        <v>0</v>
      </c>
      <c r="T36" s="12">
        <f>'Supply 2024'!T37/'Supply 2024'!T$76</f>
        <v>0</v>
      </c>
      <c r="U36" s="12">
        <f>'Supply 2024'!U37/'Supply 2024'!U$76</f>
        <v>0</v>
      </c>
      <c r="V36" s="12">
        <f>'Supply 2024'!V37/'Supply 2024'!V$76</f>
        <v>0</v>
      </c>
      <c r="W36" s="12">
        <f>'Supply 2024'!W37/'Supply 2024'!W$76</f>
        <v>0</v>
      </c>
      <c r="X36" s="12">
        <f>'Supply 2024'!X37/'Supply 2024'!X$76</f>
        <v>0</v>
      </c>
      <c r="Y36" s="12">
        <f>'Supply 2024'!Y37/'Supply 2024'!Y$76</f>
        <v>0</v>
      </c>
      <c r="Z36" s="12">
        <f>'Supply 2024'!Z37/'Supply 2024'!Z$76</f>
        <v>0</v>
      </c>
      <c r="AA36" s="12">
        <f>'Supply 2024'!AA37/'Supply 2024'!AA$76</f>
        <v>0</v>
      </c>
      <c r="AB36" s="12">
        <f>'Supply 2024'!AB37/'Supply 2024'!AB$76</f>
        <v>0</v>
      </c>
      <c r="AC36" s="12">
        <f>'Supply 2024'!AC37/'Supply 2024'!AC$76</f>
        <v>0</v>
      </c>
      <c r="AD36" s="12">
        <f>'Supply 2024'!AD37/'Supply 2024'!AD$76</f>
        <v>0</v>
      </c>
      <c r="AE36" s="12">
        <f>'Supply 2024'!AE37/'Supply 2024'!AE$76</f>
        <v>0</v>
      </c>
      <c r="AF36" s="12">
        <f>'Supply 2024'!AF37/'Supply 2024'!AF$76</f>
        <v>0</v>
      </c>
      <c r="AG36" s="12">
        <f>'Supply 2024'!AG37/'Supply 2024'!AG$76</f>
        <v>0</v>
      </c>
      <c r="AH36" s="12">
        <f>'Supply 2024'!AH37/'Supply 2024'!AH$76</f>
        <v>0</v>
      </c>
      <c r="AI36" s="12">
        <f>'Supply 2024'!AI37/'Supply 2024'!AI$76</f>
        <v>0</v>
      </c>
      <c r="AJ36" s="12">
        <f>'Supply 2024'!AJ37/'Supply 2024'!AJ$76</f>
        <v>0</v>
      </c>
      <c r="AK36" s="12">
        <f>'Supply 2024'!AK37/'Supply 2024'!AK$76</f>
        <v>0.92016820295324253</v>
      </c>
      <c r="AL36" s="12">
        <f>'Supply 2024'!AL37/'Supply 2024'!AL$76</f>
        <v>0</v>
      </c>
      <c r="AM36" s="12">
        <f>'Supply 2024'!AM37/'Supply 2024'!AM$76</f>
        <v>0</v>
      </c>
      <c r="AN36" s="12">
        <f>'Supply 2024'!AN37/'Supply 2024'!AN$76</f>
        <v>2.528059770556004E-3</v>
      </c>
      <c r="AO36" s="12">
        <f>'Supply 2024'!AO37/'Supply 2024'!AO$76</f>
        <v>2.5595819703470835E-3</v>
      </c>
      <c r="AP36" s="12">
        <f>'Supply 2024'!AP37/'Supply 2024'!AP$76</f>
        <v>0</v>
      </c>
      <c r="AQ36" s="12">
        <f>'Supply 2024'!AQ37/'Supply 2024'!AQ$76</f>
        <v>0</v>
      </c>
      <c r="AR36" s="12">
        <f>'Supply 2024'!AR37/'Supply 2024'!AR$76</f>
        <v>0</v>
      </c>
      <c r="AS36" s="12">
        <f>'Supply 2024'!AS37/'Supply 2024'!AS$76</f>
        <v>0</v>
      </c>
      <c r="AT36" s="12">
        <f>'Supply 2024'!AT37/'Supply 2024'!AT$76</f>
        <v>0</v>
      </c>
      <c r="AU36" s="12">
        <f>'Supply 2024'!AU37/'Supply 2024'!AU$76</f>
        <v>0</v>
      </c>
      <c r="AV36" s="12">
        <f>'Supply 2024'!AV37/'Supply 2024'!AV$76</f>
        <v>0</v>
      </c>
      <c r="AW36" s="12">
        <f>'Supply 2024'!AW37/'Supply 2024'!AW$76</f>
        <v>0</v>
      </c>
      <c r="AX36" s="12">
        <f>'Supply 2024'!AX37/'Supply 2024'!AX$76</f>
        <v>0</v>
      </c>
      <c r="AY36" s="12">
        <f>'Supply 2024'!AY37/'Supply 2024'!AY$76</f>
        <v>0</v>
      </c>
      <c r="AZ36" s="12">
        <f>'Supply 2024'!AZ37/'Supply 2024'!AZ$76</f>
        <v>2.5385044977684237E-3</v>
      </c>
      <c r="BA36" s="12">
        <f>'Supply 2024'!BA37/'Supply 2024'!BA$76</f>
        <v>0</v>
      </c>
      <c r="BB36" s="12">
        <f>'Supply 2024'!BB37/'Supply 2024'!BB$76</f>
        <v>0</v>
      </c>
      <c r="BC36" s="12">
        <f>'Supply 2024'!BC37/'Supply 2024'!BC$76</f>
        <v>0</v>
      </c>
      <c r="BD36" s="12">
        <f>'Supply 2024'!BD37/'Supply 2024'!BD$76</f>
        <v>0</v>
      </c>
      <c r="BE36" s="12">
        <f>'Supply 2024'!BE37/'Supply 2024'!BE$76</f>
        <v>0</v>
      </c>
      <c r="BF36" s="12">
        <f>'Supply 2024'!BF37/'Supply 2024'!BF$76</f>
        <v>0</v>
      </c>
      <c r="BG36" s="12">
        <f>'Supply 2024'!BG37/'Supply 2024'!BG$76</f>
        <v>0</v>
      </c>
      <c r="BH36" s="12">
        <f>'Supply 2024'!BH37/'Supply 2024'!BH$76</f>
        <v>0</v>
      </c>
      <c r="BI36" s="12">
        <f>'Supply 2024'!BI37/'Supply 2024'!BI$76</f>
        <v>0</v>
      </c>
      <c r="BJ36" s="12">
        <f>'Supply 2024'!BJ37/'Supply 2024'!BJ$76</f>
        <v>0</v>
      </c>
      <c r="BK36" s="12">
        <f>'Supply 2024'!BK37/'Supply 2024'!BK$76</f>
        <v>0</v>
      </c>
      <c r="BL36" s="12">
        <f>'Supply 2024'!BL37/'Supply 2024'!BL$76</f>
        <v>0</v>
      </c>
      <c r="BM36" s="12">
        <f>'Supply 2024'!BM37/'Supply 2024'!BM$76</f>
        <v>0</v>
      </c>
      <c r="BN36" s="12">
        <f>'Supply 2024'!BN37/'Supply 2024'!BN$76</f>
        <v>0</v>
      </c>
      <c r="BO36" s="12">
        <f>'Supply 2024'!BO37/'Supply 2024'!BO$76</f>
        <v>0</v>
      </c>
      <c r="BP36" s="12">
        <f>'Supply 2024'!BP37/'Supply 2024'!BP$76</f>
        <v>0</v>
      </c>
      <c r="BQ36" s="12">
        <f>'Supply 2024'!BQ37/'Supply 2024'!BQ$76</f>
        <v>0</v>
      </c>
      <c r="BR36" s="12">
        <f>'Supply 2024'!BR37/'Supply 2024'!BR$76</f>
        <v>0</v>
      </c>
      <c r="BS36" s="12">
        <f>'Supply 2024'!BS37/'Supply 2024'!BS$76</f>
        <v>0</v>
      </c>
      <c r="BT36" s="12">
        <f>'Supply 2024'!BT37/'Supply 2024'!BT$76</f>
        <v>0</v>
      </c>
      <c r="BU36" s="12">
        <f>'Supply 2024'!BU37/'Supply 2024'!BU$76</f>
        <v>0</v>
      </c>
      <c r="BV36" s="12">
        <f>'Supply 2024'!BV37/'Supply 2024'!BV$76</f>
        <v>9.7993352803942713E-3</v>
      </c>
      <c r="BW36" s="12">
        <f>'Supply 2024'!BW37/'Supply 2024'!BW$76</f>
        <v>0</v>
      </c>
      <c r="BX36" s="12">
        <f>'Supply 2024'!BX37/'Supply 2024'!BX$76</f>
        <v>0.23182615474566362</v>
      </c>
      <c r="BY36" s="12">
        <f>'Supply 2024'!BY37/'Supply 2024'!BY$76</f>
        <v>8.9902090647188248E-3</v>
      </c>
      <c r="BZ36" s="12">
        <f>'Supply 2024'!BZ37/'Supply 2024'!BZ$76</f>
        <v>0</v>
      </c>
      <c r="CA36" s="12" t="e">
        <f>'Supply 2024'!CA37/'Supply 2024'!CA$76</f>
        <v>#DIV/0!</v>
      </c>
      <c r="CB36" s="12">
        <f>'Supply 2024'!CB37/'Supply 2024'!CB$76</f>
        <v>406639</v>
      </c>
      <c r="CC36" s="12">
        <f>'Supply 2024'!CC37/'Supply 2024'!CC$76</f>
        <v>0</v>
      </c>
      <c r="CD36" s="12">
        <f>'Supply 2024'!CD37/'Supply 2024'!CD$76</f>
        <v>4.1236301723756143E-4</v>
      </c>
      <c r="CE36" s="12">
        <f>'Supply 2024'!CE37/'Supply 2024'!CE$76</f>
        <v>0</v>
      </c>
      <c r="CF36" s="12">
        <f>'Supply 2024'!CF37/'Supply 2024'!CF$76</f>
        <v>4.1471762579603017E-4</v>
      </c>
      <c r="CG36" s="12">
        <f>'Supply 2024'!CG37/'Supply 2024'!CG$76</f>
        <v>1.3585004046080852E-3</v>
      </c>
    </row>
    <row r="37" spans="1:85" x14ac:dyDescent="0.25">
      <c r="A37" t="s">
        <v>36</v>
      </c>
      <c r="B37" t="s">
        <v>129</v>
      </c>
      <c r="C37" s="12">
        <f>'Supply 2024'!C38/'Supply 2024'!C$76</f>
        <v>0</v>
      </c>
      <c r="D37" s="12">
        <f>'Supply 2024'!D38/'Supply 2024'!D$76</f>
        <v>0</v>
      </c>
      <c r="E37" s="12">
        <f>'Supply 2024'!E38/'Supply 2024'!E$76</f>
        <v>0</v>
      </c>
      <c r="F37" s="12">
        <f>'Supply 2024'!F38/'Supply 2024'!F$76</f>
        <v>0</v>
      </c>
      <c r="G37" s="12">
        <f>'Supply 2024'!G38/'Supply 2024'!G$76</f>
        <v>0</v>
      </c>
      <c r="H37" s="12">
        <f>'Supply 2024'!H38/'Supply 2024'!H$76</f>
        <v>0</v>
      </c>
      <c r="I37" s="12">
        <f>'Supply 2024'!I38/'Supply 2024'!I$76</f>
        <v>0</v>
      </c>
      <c r="J37" s="12">
        <f>'Supply 2024'!J38/'Supply 2024'!J$76</f>
        <v>0</v>
      </c>
      <c r="K37" s="12">
        <f>'Supply 2024'!K38/'Supply 2024'!K$76</f>
        <v>0</v>
      </c>
      <c r="L37" s="12">
        <f>'Supply 2024'!L38/'Supply 2024'!L$76</f>
        <v>0</v>
      </c>
      <c r="M37" s="12">
        <f>'Supply 2024'!M38/'Supply 2024'!M$76</f>
        <v>0</v>
      </c>
      <c r="N37" s="12">
        <f>'Supply 2024'!N38/'Supply 2024'!N$76</f>
        <v>0</v>
      </c>
      <c r="O37" s="12">
        <f>'Supply 2024'!O38/'Supply 2024'!O$76</f>
        <v>0</v>
      </c>
      <c r="P37" s="12">
        <f>'Supply 2024'!P38/'Supply 2024'!P$76</f>
        <v>0</v>
      </c>
      <c r="Q37" s="12">
        <f>'Supply 2024'!Q38/'Supply 2024'!Q$76</f>
        <v>0</v>
      </c>
      <c r="R37" s="12">
        <f>'Supply 2024'!R38/'Supply 2024'!R$76</f>
        <v>0</v>
      </c>
      <c r="S37" s="12">
        <f>'Supply 2024'!S38/'Supply 2024'!S$76</f>
        <v>0</v>
      </c>
      <c r="T37" s="12">
        <f>'Supply 2024'!T38/'Supply 2024'!T$76</f>
        <v>0</v>
      </c>
      <c r="U37" s="12">
        <f>'Supply 2024'!U38/'Supply 2024'!U$76</f>
        <v>0</v>
      </c>
      <c r="V37" s="12">
        <f>'Supply 2024'!V38/'Supply 2024'!V$76</f>
        <v>0</v>
      </c>
      <c r="W37" s="12">
        <f>'Supply 2024'!W38/'Supply 2024'!W$76</f>
        <v>0</v>
      </c>
      <c r="X37" s="12">
        <f>'Supply 2024'!X38/'Supply 2024'!X$76</f>
        <v>0</v>
      </c>
      <c r="Y37" s="12">
        <f>'Supply 2024'!Y38/'Supply 2024'!Y$76</f>
        <v>0</v>
      </c>
      <c r="Z37" s="12">
        <f>'Supply 2024'!Z38/'Supply 2024'!Z$76</f>
        <v>0</v>
      </c>
      <c r="AA37" s="12">
        <f>'Supply 2024'!AA38/'Supply 2024'!AA$76</f>
        <v>0</v>
      </c>
      <c r="AB37" s="12">
        <f>'Supply 2024'!AB38/'Supply 2024'!AB$76</f>
        <v>0</v>
      </c>
      <c r="AC37" s="12">
        <f>'Supply 2024'!AC38/'Supply 2024'!AC$76</f>
        <v>0</v>
      </c>
      <c r="AD37" s="12">
        <f>'Supply 2024'!AD38/'Supply 2024'!AD$76</f>
        <v>0</v>
      </c>
      <c r="AE37" s="12">
        <f>'Supply 2024'!AE38/'Supply 2024'!AE$76</f>
        <v>0</v>
      </c>
      <c r="AF37" s="12">
        <f>'Supply 2024'!AF38/'Supply 2024'!AF$76</f>
        <v>0</v>
      </c>
      <c r="AG37" s="12">
        <f>'Supply 2024'!AG38/'Supply 2024'!AG$76</f>
        <v>0</v>
      </c>
      <c r="AH37" s="12">
        <f>'Supply 2024'!AH38/'Supply 2024'!AH$76</f>
        <v>0</v>
      </c>
      <c r="AI37" s="12">
        <f>'Supply 2024'!AI38/'Supply 2024'!AI$76</f>
        <v>0</v>
      </c>
      <c r="AJ37" s="12">
        <f>'Supply 2024'!AJ38/'Supply 2024'!AJ$76</f>
        <v>0</v>
      </c>
      <c r="AK37" s="12">
        <f>'Supply 2024'!AK38/'Supply 2024'!AK$76</f>
        <v>0</v>
      </c>
      <c r="AL37" s="12">
        <f>'Supply 2024'!AL38/'Supply 2024'!AL$76</f>
        <v>0.99888954357974891</v>
      </c>
      <c r="AM37" s="12">
        <f>'Supply 2024'!AM38/'Supply 2024'!AM$76</f>
        <v>0</v>
      </c>
      <c r="AN37" s="12">
        <f>'Supply 2024'!AN38/'Supply 2024'!AN$76</f>
        <v>1.5969663282753327E-3</v>
      </c>
      <c r="AO37" s="12">
        <f>'Supply 2024'!AO38/'Supply 2024'!AO$76</f>
        <v>0</v>
      </c>
      <c r="AP37" s="12">
        <f>'Supply 2024'!AP38/'Supply 2024'!AP$76</f>
        <v>0</v>
      </c>
      <c r="AQ37" s="12">
        <f>'Supply 2024'!AQ38/'Supply 2024'!AQ$76</f>
        <v>0</v>
      </c>
      <c r="AR37" s="12">
        <f>'Supply 2024'!AR38/'Supply 2024'!AR$76</f>
        <v>0</v>
      </c>
      <c r="AS37" s="12">
        <f>'Supply 2024'!AS38/'Supply 2024'!AS$76</f>
        <v>0</v>
      </c>
      <c r="AT37" s="12">
        <f>'Supply 2024'!AT38/'Supply 2024'!AT$76</f>
        <v>0</v>
      </c>
      <c r="AU37" s="12">
        <f>'Supply 2024'!AU38/'Supply 2024'!AU$76</f>
        <v>0</v>
      </c>
      <c r="AV37" s="12">
        <f>'Supply 2024'!AV38/'Supply 2024'!AV$76</f>
        <v>0</v>
      </c>
      <c r="AW37" s="12">
        <f>'Supply 2024'!AW38/'Supply 2024'!AW$76</f>
        <v>0</v>
      </c>
      <c r="AX37" s="12">
        <f>'Supply 2024'!AX38/'Supply 2024'!AX$76</f>
        <v>0</v>
      </c>
      <c r="AY37" s="12">
        <f>'Supply 2024'!AY38/'Supply 2024'!AY$76</f>
        <v>0</v>
      </c>
      <c r="AZ37" s="12">
        <f>'Supply 2024'!AZ38/'Supply 2024'!AZ$76</f>
        <v>0</v>
      </c>
      <c r="BA37" s="12">
        <f>'Supply 2024'!BA38/'Supply 2024'!BA$76</f>
        <v>0</v>
      </c>
      <c r="BB37" s="12">
        <f>'Supply 2024'!BB38/'Supply 2024'!BB$76</f>
        <v>0</v>
      </c>
      <c r="BC37" s="12">
        <f>'Supply 2024'!BC38/'Supply 2024'!BC$76</f>
        <v>0</v>
      </c>
      <c r="BD37" s="12">
        <f>'Supply 2024'!BD38/'Supply 2024'!BD$76</f>
        <v>0</v>
      </c>
      <c r="BE37" s="12">
        <f>'Supply 2024'!BE38/'Supply 2024'!BE$76</f>
        <v>0</v>
      </c>
      <c r="BF37" s="12">
        <f>'Supply 2024'!BF38/'Supply 2024'!BF$76</f>
        <v>0</v>
      </c>
      <c r="BG37" s="12">
        <f>'Supply 2024'!BG38/'Supply 2024'!BG$76</f>
        <v>0</v>
      </c>
      <c r="BH37" s="12">
        <f>'Supply 2024'!BH38/'Supply 2024'!BH$76</f>
        <v>0</v>
      </c>
      <c r="BI37" s="12">
        <f>'Supply 2024'!BI38/'Supply 2024'!BI$76</f>
        <v>0</v>
      </c>
      <c r="BJ37" s="12">
        <f>'Supply 2024'!BJ38/'Supply 2024'!BJ$76</f>
        <v>0</v>
      </c>
      <c r="BK37" s="12">
        <f>'Supply 2024'!BK38/'Supply 2024'!BK$76</f>
        <v>0</v>
      </c>
      <c r="BL37" s="12">
        <f>'Supply 2024'!BL38/'Supply 2024'!BL$76</f>
        <v>0</v>
      </c>
      <c r="BM37" s="12">
        <f>'Supply 2024'!BM38/'Supply 2024'!BM$76</f>
        <v>0</v>
      </c>
      <c r="BN37" s="12">
        <f>'Supply 2024'!BN38/'Supply 2024'!BN$76</f>
        <v>0</v>
      </c>
      <c r="BO37" s="12">
        <f>'Supply 2024'!BO38/'Supply 2024'!BO$76</f>
        <v>0</v>
      </c>
      <c r="BP37" s="12">
        <f>'Supply 2024'!BP38/'Supply 2024'!BP$76</f>
        <v>0</v>
      </c>
      <c r="BQ37" s="12">
        <f>'Supply 2024'!BQ38/'Supply 2024'!BQ$76</f>
        <v>0</v>
      </c>
      <c r="BR37" s="12">
        <f>'Supply 2024'!BR38/'Supply 2024'!BR$76</f>
        <v>0</v>
      </c>
      <c r="BS37" s="12">
        <f>'Supply 2024'!BS38/'Supply 2024'!BS$76</f>
        <v>0</v>
      </c>
      <c r="BT37" s="12">
        <f>'Supply 2024'!BT38/'Supply 2024'!BT$76</f>
        <v>0</v>
      </c>
      <c r="BU37" s="12">
        <f>'Supply 2024'!BU38/'Supply 2024'!BU$76</f>
        <v>3.8163730207070229E-2</v>
      </c>
      <c r="BV37" s="12">
        <f>'Supply 2024'!BV38/'Supply 2024'!BV$76</f>
        <v>3.968991817799178E-3</v>
      </c>
      <c r="BW37" s="12">
        <f>'Supply 2024'!BW38/'Supply 2024'!BW$76</f>
        <v>0</v>
      </c>
      <c r="BX37" s="12">
        <f>'Supply 2024'!BX38/'Supply 2024'!BX$76</f>
        <v>0</v>
      </c>
      <c r="BY37" s="12">
        <f>'Supply 2024'!BY38/'Supply 2024'!BY$76</f>
        <v>3.6953987667112395E-3</v>
      </c>
      <c r="BZ37" s="12">
        <f>'Supply 2024'!BZ38/'Supply 2024'!BZ$76</f>
        <v>0</v>
      </c>
      <c r="CA37" s="12" t="e">
        <f>'Supply 2024'!CA38/'Supply 2024'!CA$76</f>
        <v>#DIV/0!</v>
      </c>
      <c r="CB37" s="12">
        <f>'Supply 2024'!CB38/'Supply 2024'!CB$76</f>
        <v>0</v>
      </c>
      <c r="CC37" s="12">
        <f>'Supply 2024'!CC38/'Supply 2024'!CC$76</f>
        <v>0</v>
      </c>
      <c r="CD37" s="12">
        <f>'Supply 2024'!CD38/'Supply 2024'!CD$76</f>
        <v>1.6779927073748025E-3</v>
      </c>
      <c r="CE37" s="12">
        <f>'Supply 2024'!CE38/'Supply 2024'!CE$76</f>
        <v>6.6643538206723668E-2</v>
      </c>
      <c r="CF37" s="12">
        <f>'Supply 2024'!CF38/'Supply 2024'!CF$76</f>
        <v>-4.2065630301506641E-3</v>
      </c>
      <c r="CG37" s="12">
        <f>'Supply 2024'!CG38/'Supply 2024'!CG$76</f>
        <v>3.5486911227979108E-3</v>
      </c>
    </row>
    <row r="38" spans="1:85" x14ac:dyDescent="0.25">
      <c r="A38" t="s">
        <v>37</v>
      </c>
      <c r="B38" t="s">
        <v>130</v>
      </c>
      <c r="C38" s="12">
        <f>'Supply 2024'!C39/'Supply 2024'!C$76</f>
        <v>0</v>
      </c>
      <c r="D38" s="12">
        <f>'Supply 2024'!D39/'Supply 2024'!D$76</f>
        <v>0</v>
      </c>
      <c r="E38" s="12">
        <f>'Supply 2024'!E39/'Supply 2024'!E$76</f>
        <v>0</v>
      </c>
      <c r="F38" s="12">
        <f>'Supply 2024'!F39/'Supply 2024'!F$76</f>
        <v>0</v>
      </c>
      <c r="G38" s="12">
        <f>'Supply 2024'!G39/'Supply 2024'!G$76</f>
        <v>0</v>
      </c>
      <c r="H38" s="12">
        <f>'Supply 2024'!H39/'Supply 2024'!H$76</f>
        <v>7.2924637364311816E-3</v>
      </c>
      <c r="I38" s="12">
        <f>'Supply 2024'!I39/'Supply 2024'!I$76</f>
        <v>0</v>
      </c>
      <c r="J38" s="12">
        <f>'Supply 2024'!J39/'Supply 2024'!J$76</f>
        <v>0</v>
      </c>
      <c r="K38" s="12">
        <f>'Supply 2024'!K39/'Supply 2024'!K$76</f>
        <v>0</v>
      </c>
      <c r="L38" s="12">
        <f>'Supply 2024'!L39/'Supply 2024'!L$76</f>
        <v>0</v>
      </c>
      <c r="M38" s="12">
        <f>'Supply 2024'!M39/'Supply 2024'!M$76</f>
        <v>0</v>
      </c>
      <c r="N38" s="12">
        <f>'Supply 2024'!N39/'Supply 2024'!N$76</f>
        <v>0</v>
      </c>
      <c r="O38" s="12">
        <f>'Supply 2024'!O39/'Supply 2024'!O$76</f>
        <v>0</v>
      </c>
      <c r="P38" s="12">
        <f>'Supply 2024'!P39/'Supply 2024'!P$76</f>
        <v>0</v>
      </c>
      <c r="Q38" s="12">
        <f>'Supply 2024'!Q39/'Supply 2024'!Q$76</f>
        <v>0</v>
      </c>
      <c r="R38" s="12">
        <f>'Supply 2024'!R39/'Supply 2024'!R$76</f>
        <v>0</v>
      </c>
      <c r="S38" s="12">
        <f>'Supply 2024'!S39/'Supply 2024'!S$76</f>
        <v>0</v>
      </c>
      <c r="T38" s="12">
        <f>'Supply 2024'!T39/'Supply 2024'!T$76</f>
        <v>0</v>
      </c>
      <c r="U38" s="12">
        <f>'Supply 2024'!U39/'Supply 2024'!U$76</f>
        <v>0</v>
      </c>
      <c r="V38" s="12">
        <f>'Supply 2024'!V39/'Supply 2024'!V$76</f>
        <v>0</v>
      </c>
      <c r="W38" s="12">
        <f>'Supply 2024'!W39/'Supply 2024'!W$76</f>
        <v>0</v>
      </c>
      <c r="X38" s="12">
        <f>'Supply 2024'!X39/'Supply 2024'!X$76</f>
        <v>0</v>
      </c>
      <c r="Y38" s="12">
        <f>'Supply 2024'!Y39/'Supply 2024'!Y$76</f>
        <v>0</v>
      </c>
      <c r="Z38" s="12">
        <f>'Supply 2024'!Z39/'Supply 2024'!Z$76</f>
        <v>0</v>
      </c>
      <c r="AA38" s="12">
        <f>'Supply 2024'!AA39/'Supply 2024'!AA$76</f>
        <v>0</v>
      </c>
      <c r="AB38" s="12">
        <f>'Supply 2024'!AB39/'Supply 2024'!AB$76</f>
        <v>0</v>
      </c>
      <c r="AC38" s="12">
        <f>'Supply 2024'!AC39/'Supply 2024'!AC$76</f>
        <v>3.5748118755250504E-5</v>
      </c>
      <c r="AD38" s="12">
        <f>'Supply 2024'!AD39/'Supply 2024'!AD$76</f>
        <v>0</v>
      </c>
      <c r="AE38" s="12">
        <f>'Supply 2024'!AE39/'Supply 2024'!AE$76</f>
        <v>0</v>
      </c>
      <c r="AF38" s="12">
        <f>'Supply 2024'!AF39/'Supply 2024'!AF$76</f>
        <v>0</v>
      </c>
      <c r="AG38" s="12">
        <f>'Supply 2024'!AG39/'Supply 2024'!AG$76</f>
        <v>0</v>
      </c>
      <c r="AH38" s="12">
        <f>'Supply 2024'!AH39/'Supply 2024'!AH$76</f>
        <v>0</v>
      </c>
      <c r="AI38" s="12">
        <f>'Supply 2024'!AI39/'Supply 2024'!AI$76</f>
        <v>0</v>
      </c>
      <c r="AJ38" s="12">
        <f>'Supply 2024'!AJ39/'Supply 2024'!AJ$76</f>
        <v>0</v>
      </c>
      <c r="AK38" s="12">
        <f>'Supply 2024'!AK39/'Supply 2024'!AK$76</f>
        <v>0</v>
      </c>
      <c r="AL38" s="12">
        <f>'Supply 2024'!AL39/'Supply 2024'!AL$76</f>
        <v>0</v>
      </c>
      <c r="AM38" s="12">
        <f>'Supply 2024'!AM39/'Supply 2024'!AM$76</f>
        <v>0.98681673344912002</v>
      </c>
      <c r="AN38" s="12">
        <f>'Supply 2024'!AN39/'Supply 2024'!AN$76</f>
        <v>0</v>
      </c>
      <c r="AO38" s="12">
        <f>'Supply 2024'!AO39/'Supply 2024'!AO$76</f>
        <v>0</v>
      </c>
      <c r="AP38" s="12">
        <f>'Supply 2024'!AP39/'Supply 2024'!AP$76</f>
        <v>0</v>
      </c>
      <c r="AQ38" s="12">
        <f>'Supply 2024'!AQ39/'Supply 2024'!AQ$76</f>
        <v>0</v>
      </c>
      <c r="AR38" s="12">
        <f>'Supply 2024'!AR39/'Supply 2024'!AR$76</f>
        <v>0</v>
      </c>
      <c r="AS38" s="12">
        <f>'Supply 2024'!AS39/'Supply 2024'!AS$76</f>
        <v>0</v>
      </c>
      <c r="AT38" s="12">
        <f>'Supply 2024'!AT39/'Supply 2024'!AT$76</f>
        <v>0</v>
      </c>
      <c r="AU38" s="12">
        <f>'Supply 2024'!AU39/'Supply 2024'!AU$76</f>
        <v>0</v>
      </c>
      <c r="AV38" s="12">
        <f>'Supply 2024'!AV39/'Supply 2024'!AV$76</f>
        <v>0</v>
      </c>
      <c r="AW38" s="12">
        <f>'Supply 2024'!AW39/'Supply 2024'!AW$76</f>
        <v>0</v>
      </c>
      <c r="AX38" s="12">
        <f>'Supply 2024'!AX39/'Supply 2024'!AX$76</f>
        <v>0</v>
      </c>
      <c r="AY38" s="12">
        <f>'Supply 2024'!AY39/'Supply 2024'!AY$76</f>
        <v>0</v>
      </c>
      <c r="AZ38" s="12">
        <f>'Supply 2024'!AZ39/'Supply 2024'!AZ$76</f>
        <v>0</v>
      </c>
      <c r="BA38" s="12">
        <f>'Supply 2024'!BA39/'Supply 2024'!BA$76</f>
        <v>0</v>
      </c>
      <c r="BB38" s="12">
        <f>'Supply 2024'!BB39/'Supply 2024'!BB$76</f>
        <v>0</v>
      </c>
      <c r="BC38" s="12">
        <f>'Supply 2024'!BC39/'Supply 2024'!BC$76</f>
        <v>0</v>
      </c>
      <c r="BD38" s="12">
        <f>'Supply 2024'!BD39/'Supply 2024'!BD$76</f>
        <v>0</v>
      </c>
      <c r="BE38" s="12">
        <f>'Supply 2024'!BE39/'Supply 2024'!BE$76</f>
        <v>0</v>
      </c>
      <c r="BF38" s="12">
        <f>'Supply 2024'!BF39/'Supply 2024'!BF$76</f>
        <v>0</v>
      </c>
      <c r="BG38" s="12">
        <f>'Supply 2024'!BG39/'Supply 2024'!BG$76</f>
        <v>0</v>
      </c>
      <c r="BH38" s="12">
        <f>'Supply 2024'!BH39/'Supply 2024'!BH$76</f>
        <v>0</v>
      </c>
      <c r="BI38" s="12">
        <f>'Supply 2024'!BI39/'Supply 2024'!BI$76</f>
        <v>0</v>
      </c>
      <c r="BJ38" s="12">
        <f>'Supply 2024'!BJ39/'Supply 2024'!BJ$76</f>
        <v>0</v>
      </c>
      <c r="BK38" s="12">
        <f>'Supply 2024'!BK39/'Supply 2024'!BK$76</f>
        <v>0</v>
      </c>
      <c r="BL38" s="12">
        <f>'Supply 2024'!BL39/'Supply 2024'!BL$76</f>
        <v>0</v>
      </c>
      <c r="BM38" s="12">
        <f>'Supply 2024'!BM39/'Supply 2024'!BM$76</f>
        <v>0</v>
      </c>
      <c r="BN38" s="12">
        <f>'Supply 2024'!BN39/'Supply 2024'!BN$76</f>
        <v>0</v>
      </c>
      <c r="BO38" s="12">
        <f>'Supply 2024'!BO39/'Supply 2024'!BO$76</f>
        <v>0</v>
      </c>
      <c r="BP38" s="12">
        <f>'Supply 2024'!BP39/'Supply 2024'!BP$76</f>
        <v>0</v>
      </c>
      <c r="BQ38" s="12">
        <f>'Supply 2024'!BQ39/'Supply 2024'!BQ$76</f>
        <v>0</v>
      </c>
      <c r="BR38" s="12">
        <f>'Supply 2024'!BR39/'Supply 2024'!BR$76</f>
        <v>0</v>
      </c>
      <c r="BS38" s="12">
        <f>'Supply 2024'!BS39/'Supply 2024'!BS$76</f>
        <v>0</v>
      </c>
      <c r="BT38" s="12">
        <f>'Supply 2024'!BT39/'Supply 2024'!BT$76</f>
        <v>0</v>
      </c>
      <c r="BU38" s="12">
        <f>'Supply 2024'!BU39/'Supply 2024'!BU$76</f>
        <v>0</v>
      </c>
      <c r="BV38" s="12">
        <f>'Supply 2024'!BV39/'Supply 2024'!BV$76</f>
        <v>1.5415606612445786E-3</v>
      </c>
      <c r="BW38" s="12">
        <f>'Supply 2024'!BW39/'Supply 2024'!BW$76</f>
        <v>0</v>
      </c>
      <c r="BX38" s="12">
        <f>'Supply 2024'!BX39/'Supply 2024'!BX$76</f>
        <v>0</v>
      </c>
      <c r="BY38" s="12">
        <f>'Supply 2024'!BY39/'Supply 2024'!BY$76</f>
        <v>1.4352968279820269E-3</v>
      </c>
      <c r="BZ38" s="12">
        <f>'Supply 2024'!BZ39/'Supply 2024'!BZ$76</f>
        <v>0</v>
      </c>
      <c r="CA38" s="12" t="e">
        <f>'Supply 2024'!CA39/'Supply 2024'!CA$76</f>
        <v>#DIV/0!</v>
      </c>
      <c r="CB38" s="12">
        <f>'Supply 2024'!CB39/'Supply 2024'!CB$76</f>
        <v>76080</v>
      </c>
      <c r="CC38" s="12">
        <f>'Supply 2024'!CC39/'Supply 2024'!CC$76</f>
        <v>0</v>
      </c>
      <c r="CD38" s="12">
        <f>'Supply 2024'!CD39/'Supply 2024'!CD$76</f>
        <v>8.6606075219344646E-5</v>
      </c>
      <c r="CE38" s="12">
        <f>'Supply 2024'!CE39/'Supply 2024'!CE$76</f>
        <v>0</v>
      </c>
      <c r="CF38" s="12">
        <f>'Supply 2024'!CF39/'Supply 2024'!CF$76</f>
        <v>8.7100599212531403E-5</v>
      </c>
      <c r="CG38" s="12">
        <f>'Supply 2024'!CG39/'Supply 2024'!CG$76</f>
        <v>1.2201824349152117E-5</v>
      </c>
    </row>
    <row r="39" spans="1:85" x14ac:dyDescent="0.25">
      <c r="A39" t="s">
        <v>38</v>
      </c>
      <c r="B39" t="s">
        <v>131</v>
      </c>
      <c r="C39" s="12">
        <f>'Supply 2024'!C40/'Supply 2024'!C$76</f>
        <v>0</v>
      </c>
      <c r="D39" s="12">
        <f>'Supply 2024'!D40/'Supply 2024'!D$76</f>
        <v>0</v>
      </c>
      <c r="E39" s="12">
        <f>'Supply 2024'!E40/'Supply 2024'!E$76</f>
        <v>0</v>
      </c>
      <c r="F39" s="12">
        <f>'Supply 2024'!F40/'Supply 2024'!F$76</f>
        <v>0</v>
      </c>
      <c r="G39" s="12">
        <f>'Supply 2024'!G40/'Supply 2024'!G$76</f>
        <v>0</v>
      </c>
      <c r="H39" s="12">
        <f>'Supply 2024'!H40/'Supply 2024'!H$76</f>
        <v>0</v>
      </c>
      <c r="I39" s="12">
        <f>'Supply 2024'!I40/'Supply 2024'!I$76</f>
        <v>0</v>
      </c>
      <c r="J39" s="12">
        <f>'Supply 2024'!J40/'Supply 2024'!J$76</f>
        <v>0</v>
      </c>
      <c r="K39" s="12">
        <f>'Supply 2024'!K40/'Supply 2024'!K$76</f>
        <v>0</v>
      </c>
      <c r="L39" s="12">
        <f>'Supply 2024'!L40/'Supply 2024'!L$76</f>
        <v>0</v>
      </c>
      <c r="M39" s="12">
        <f>'Supply 2024'!M40/'Supply 2024'!M$76</f>
        <v>0</v>
      </c>
      <c r="N39" s="12">
        <f>'Supply 2024'!N40/'Supply 2024'!N$76</f>
        <v>0</v>
      </c>
      <c r="O39" s="12">
        <f>'Supply 2024'!O40/'Supply 2024'!O$76</f>
        <v>0</v>
      </c>
      <c r="P39" s="12">
        <f>'Supply 2024'!P40/'Supply 2024'!P$76</f>
        <v>0</v>
      </c>
      <c r="Q39" s="12">
        <f>'Supply 2024'!Q40/'Supply 2024'!Q$76</f>
        <v>0</v>
      </c>
      <c r="R39" s="12">
        <f>'Supply 2024'!R40/'Supply 2024'!R$76</f>
        <v>0</v>
      </c>
      <c r="S39" s="12">
        <f>'Supply 2024'!S40/'Supply 2024'!S$76</f>
        <v>0</v>
      </c>
      <c r="T39" s="12">
        <f>'Supply 2024'!T40/'Supply 2024'!T$76</f>
        <v>0</v>
      </c>
      <c r="U39" s="12">
        <f>'Supply 2024'!U40/'Supply 2024'!U$76</f>
        <v>0</v>
      </c>
      <c r="V39" s="12">
        <f>'Supply 2024'!V40/'Supply 2024'!V$76</f>
        <v>0</v>
      </c>
      <c r="W39" s="12">
        <f>'Supply 2024'!W40/'Supply 2024'!W$76</f>
        <v>0</v>
      </c>
      <c r="X39" s="12">
        <f>'Supply 2024'!X40/'Supply 2024'!X$76</f>
        <v>0</v>
      </c>
      <c r="Y39" s="12">
        <f>'Supply 2024'!Y40/'Supply 2024'!Y$76</f>
        <v>0</v>
      </c>
      <c r="Z39" s="12">
        <f>'Supply 2024'!Z40/'Supply 2024'!Z$76</f>
        <v>0</v>
      </c>
      <c r="AA39" s="12">
        <f>'Supply 2024'!AA40/'Supply 2024'!AA$76</f>
        <v>0</v>
      </c>
      <c r="AB39" s="12">
        <f>'Supply 2024'!AB40/'Supply 2024'!AB$76</f>
        <v>0</v>
      </c>
      <c r="AC39" s="12">
        <f>'Supply 2024'!AC40/'Supply 2024'!AC$76</f>
        <v>2.8446375349922741E-4</v>
      </c>
      <c r="AD39" s="12">
        <f>'Supply 2024'!AD40/'Supply 2024'!AD$76</f>
        <v>0</v>
      </c>
      <c r="AE39" s="12">
        <f>'Supply 2024'!AE40/'Supply 2024'!AE$76</f>
        <v>0</v>
      </c>
      <c r="AF39" s="12">
        <f>'Supply 2024'!AF40/'Supply 2024'!AF$76</f>
        <v>0</v>
      </c>
      <c r="AG39" s="12">
        <f>'Supply 2024'!AG40/'Supply 2024'!AG$76</f>
        <v>0</v>
      </c>
      <c r="AH39" s="12">
        <f>'Supply 2024'!AH40/'Supply 2024'!AH$76</f>
        <v>5.7164226947323434E-3</v>
      </c>
      <c r="AI39" s="12">
        <f>'Supply 2024'!AI40/'Supply 2024'!AI$76</f>
        <v>0</v>
      </c>
      <c r="AJ39" s="12">
        <f>'Supply 2024'!AJ40/'Supply 2024'!AJ$76</f>
        <v>4.7788688240018654E-2</v>
      </c>
      <c r="AK39" s="12">
        <f>'Supply 2024'!AK40/'Supply 2024'!AK$76</f>
        <v>4.9792026511156842E-2</v>
      </c>
      <c r="AL39" s="12">
        <f>'Supply 2024'!AL40/'Supply 2024'!AL$76</f>
        <v>7.3652721751348417E-5</v>
      </c>
      <c r="AM39" s="12">
        <f>'Supply 2024'!AM40/'Supply 2024'!AM$76</f>
        <v>0</v>
      </c>
      <c r="AN39" s="12">
        <f>'Supply 2024'!AN40/'Supply 2024'!AN$76</f>
        <v>0.95791457640891364</v>
      </c>
      <c r="AO39" s="12">
        <f>'Supply 2024'!AO40/'Supply 2024'!AO$76</f>
        <v>1.3036874973448321E-2</v>
      </c>
      <c r="AP39" s="12">
        <f>'Supply 2024'!AP40/'Supply 2024'!AP$76</f>
        <v>0</v>
      </c>
      <c r="AQ39" s="12">
        <f>'Supply 2024'!AQ40/'Supply 2024'!AQ$76</f>
        <v>0</v>
      </c>
      <c r="AR39" s="12">
        <f>'Supply 2024'!AR40/'Supply 2024'!AR$76</f>
        <v>0</v>
      </c>
      <c r="AS39" s="12">
        <f>'Supply 2024'!AS40/'Supply 2024'!AS$76</f>
        <v>0</v>
      </c>
      <c r="AT39" s="12">
        <f>'Supply 2024'!AT40/'Supply 2024'!AT$76</f>
        <v>0</v>
      </c>
      <c r="AU39" s="12">
        <f>'Supply 2024'!AU40/'Supply 2024'!AU$76</f>
        <v>0</v>
      </c>
      <c r="AV39" s="12">
        <f>'Supply 2024'!AV40/'Supply 2024'!AV$76</f>
        <v>0</v>
      </c>
      <c r="AW39" s="12">
        <f>'Supply 2024'!AW40/'Supply 2024'!AW$76</f>
        <v>0</v>
      </c>
      <c r="AX39" s="12">
        <f>'Supply 2024'!AX40/'Supply 2024'!AX$76</f>
        <v>0</v>
      </c>
      <c r="AY39" s="12">
        <f>'Supply 2024'!AY40/'Supply 2024'!AY$76</f>
        <v>0</v>
      </c>
      <c r="AZ39" s="12">
        <f>'Supply 2024'!AZ40/'Supply 2024'!AZ$76</f>
        <v>0</v>
      </c>
      <c r="BA39" s="12">
        <f>'Supply 2024'!BA40/'Supply 2024'!BA$76</f>
        <v>0</v>
      </c>
      <c r="BB39" s="12">
        <f>'Supply 2024'!BB40/'Supply 2024'!BB$76</f>
        <v>0</v>
      </c>
      <c r="BC39" s="12">
        <f>'Supply 2024'!BC40/'Supply 2024'!BC$76</f>
        <v>0</v>
      </c>
      <c r="BD39" s="12">
        <f>'Supply 2024'!BD40/'Supply 2024'!BD$76</f>
        <v>0</v>
      </c>
      <c r="BE39" s="12">
        <f>'Supply 2024'!BE40/'Supply 2024'!BE$76</f>
        <v>0</v>
      </c>
      <c r="BF39" s="12">
        <f>'Supply 2024'!BF40/'Supply 2024'!BF$76</f>
        <v>4.0929412505509724E-3</v>
      </c>
      <c r="BG39" s="12">
        <f>'Supply 2024'!BG40/'Supply 2024'!BG$76</f>
        <v>0</v>
      </c>
      <c r="BH39" s="12">
        <f>'Supply 2024'!BH40/'Supply 2024'!BH$76</f>
        <v>0</v>
      </c>
      <c r="BI39" s="12">
        <f>'Supply 2024'!BI40/'Supply 2024'!BI$76</f>
        <v>0</v>
      </c>
      <c r="BJ39" s="12">
        <f>'Supply 2024'!BJ40/'Supply 2024'!BJ$76</f>
        <v>0</v>
      </c>
      <c r="BK39" s="12">
        <f>'Supply 2024'!BK40/'Supply 2024'!BK$76</f>
        <v>0</v>
      </c>
      <c r="BL39" s="12">
        <f>'Supply 2024'!BL40/'Supply 2024'!BL$76</f>
        <v>0</v>
      </c>
      <c r="BM39" s="12">
        <f>'Supply 2024'!BM40/'Supply 2024'!BM$76</f>
        <v>0</v>
      </c>
      <c r="BN39" s="12">
        <f>'Supply 2024'!BN40/'Supply 2024'!BN$76</f>
        <v>0</v>
      </c>
      <c r="BO39" s="12">
        <f>'Supply 2024'!BO40/'Supply 2024'!BO$76</f>
        <v>0</v>
      </c>
      <c r="BP39" s="12">
        <f>'Supply 2024'!BP40/'Supply 2024'!BP$76</f>
        <v>0</v>
      </c>
      <c r="BQ39" s="12">
        <f>'Supply 2024'!BQ40/'Supply 2024'!BQ$76</f>
        <v>0</v>
      </c>
      <c r="BR39" s="12">
        <f>'Supply 2024'!BR40/'Supply 2024'!BR$76</f>
        <v>0</v>
      </c>
      <c r="BS39" s="12">
        <f>'Supply 2024'!BS40/'Supply 2024'!BS$76</f>
        <v>0</v>
      </c>
      <c r="BT39" s="12">
        <f>'Supply 2024'!BT40/'Supply 2024'!BT$76</f>
        <v>0</v>
      </c>
      <c r="BU39" s="12">
        <f>'Supply 2024'!BU40/'Supply 2024'!BU$76</f>
        <v>4.2652704280916644E-2</v>
      </c>
      <c r="BV39" s="12">
        <f>'Supply 2024'!BV40/'Supply 2024'!BV$76</f>
        <v>8.0026778623676076E-3</v>
      </c>
      <c r="BW39" s="12">
        <f>'Supply 2024'!BW40/'Supply 2024'!BW$76</f>
        <v>8.0811911891311206E-6</v>
      </c>
      <c r="BX39" s="12">
        <f>'Supply 2024'!BX40/'Supply 2024'!BX$76</f>
        <v>0.13866692652504384</v>
      </c>
      <c r="BY39" s="12">
        <f>'Supply 2024'!BY40/'Supply 2024'!BY$76</f>
        <v>7.3716430164241275E-3</v>
      </c>
      <c r="BZ39" s="12">
        <f>'Supply 2024'!BZ40/'Supply 2024'!BZ$76</f>
        <v>0</v>
      </c>
      <c r="CA39" s="12" t="e">
        <f>'Supply 2024'!CA40/'Supply 2024'!CA$76</f>
        <v>#DIV/0!</v>
      </c>
      <c r="CB39" s="12">
        <f>'Supply 2024'!CB40/'Supply 2024'!CB$76</f>
        <v>0</v>
      </c>
      <c r="CC39" s="12">
        <f>'Supply 2024'!CC40/'Supply 2024'!CC$76</f>
        <v>0</v>
      </c>
      <c r="CD39" s="12">
        <f>'Supply 2024'!CD40/'Supply 2024'!CD$76</f>
        <v>6.210049257205281E-4</v>
      </c>
      <c r="CE39" s="12">
        <f>'Supply 2024'!CE40/'Supply 2024'!CE$76</f>
        <v>0</v>
      </c>
      <c r="CF39" s="12">
        <f>'Supply 2024'!CF40/'Supply 2024'!CF$76</f>
        <v>6.2455088753531041E-4</v>
      </c>
      <c r="CG39" s="12">
        <f>'Supply 2024'!CG40/'Supply 2024'!CG$76</f>
        <v>7.2463584353527136E-3</v>
      </c>
    </row>
    <row r="40" spans="1:85" x14ac:dyDescent="0.25">
      <c r="A40" t="s">
        <v>39</v>
      </c>
      <c r="B40" t="s">
        <v>132</v>
      </c>
      <c r="C40" s="12">
        <f>'Supply 2024'!C41/'Supply 2024'!C$76</f>
        <v>0</v>
      </c>
      <c r="D40" s="12">
        <f>'Supply 2024'!D41/'Supply 2024'!D$76</f>
        <v>0</v>
      </c>
      <c r="E40" s="12">
        <f>'Supply 2024'!E41/'Supply 2024'!E$76</f>
        <v>0</v>
      </c>
      <c r="F40" s="12">
        <f>'Supply 2024'!F41/'Supply 2024'!F$76</f>
        <v>0</v>
      </c>
      <c r="G40" s="12">
        <f>'Supply 2024'!G41/'Supply 2024'!G$76</f>
        <v>0</v>
      </c>
      <c r="H40" s="12">
        <f>'Supply 2024'!H41/'Supply 2024'!H$76</f>
        <v>0</v>
      </c>
      <c r="I40" s="12">
        <f>'Supply 2024'!I41/'Supply 2024'!I$76</f>
        <v>0</v>
      </c>
      <c r="J40" s="12">
        <f>'Supply 2024'!J41/'Supply 2024'!J$76</f>
        <v>0</v>
      </c>
      <c r="K40" s="12">
        <f>'Supply 2024'!K41/'Supply 2024'!K$76</f>
        <v>0</v>
      </c>
      <c r="L40" s="12">
        <f>'Supply 2024'!L41/'Supply 2024'!L$76</f>
        <v>0</v>
      </c>
      <c r="M40" s="12">
        <f>'Supply 2024'!M41/'Supply 2024'!M$76</f>
        <v>0</v>
      </c>
      <c r="N40" s="12">
        <f>'Supply 2024'!N41/'Supply 2024'!N$76</f>
        <v>0</v>
      </c>
      <c r="O40" s="12">
        <f>'Supply 2024'!O41/'Supply 2024'!O$76</f>
        <v>0</v>
      </c>
      <c r="P40" s="12">
        <f>'Supply 2024'!P41/'Supply 2024'!P$76</f>
        <v>0</v>
      </c>
      <c r="Q40" s="12">
        <f>'Supply 2024'!Q41/'Supply 2024'!Q$76</f>
        <v>0</v>
      </c>
      <c r="R40" s="12">
        <f>'Supply 2024'!R41/'Supply 2024'!R$76</f>
        <v>0</v>
      </c>
      <c r="S40" s="12">
        <f>'Supply 2024'!S41/'Supply 2024'!S$76</f>
        <v>0</v>
      </c>
      <c r="T40" s="12">
        <f>'Supply 2024'!T41/'Supply 2024'!T$76</f>
        <v>0</v>
      </c>
      <c r="U40" s="12">
        <f>'Supply 2024'!U41/'Supply 2024'!U$76</f>
        <v>0</v>
      </c>
      <c r="V40" s="12">
        <f>'Supply 2024'!V41/'Supply 2024'!V$76</f>
        <v>0</v>
      </c>
      <c r="W40" s="12">
        <f>'Supply 2024'!W41/'Supply 2024'!W$76</f>
        <v>0</v>
      </c>
      <c r="X40" s="12">
        <f>'Supply 2024'!X41/'Supply 2024'!X$76</f>
        <v>0</v>
      </c>
      <c r="Y40" s="12">
        <f>'Supply 2024'!Y41/'Supply 2024'!Y$76</f>
        <v>0</v>
      </c>
      <c r="Z40" s="12">
        <f>'Supply 2024'!Z41/'Supply 2024'!Z$76</f>
        <v>0</v>
      </c>
      <c r="AA40" s="12">
        <f>'Supply 2024'!AA41/'Supply 2024'!AA$76</f>
        <v>0</v>
      </c>
      <c r="AB40" s="12">
        <f>'Supply 2024'!AB41/'Supply 2024'!AB$76</f>
        <v>0</v>
      </c>
      <c r="AC40" s="12">
        <f>'Supply 2024'!AC41/'Supply 2024'!AC$76</f>
        <v>1.5934533785585066E-4</v>
      </c>
      <c r="AD40" s="12">
        <f>'Supply 2024'!AD41/'Supply 2024'!AD$76</f>
        <v>0</v>
      </c>
      <c r="AE40" s="12">
        <f>'Supply 2024'!AE41/'Supply 2024'!AE$76</f>
        <v>0</v>
      </c>
      <c r="AF40" s="12">
        <f>'Supply 2024'!AF41/'Supply 2024'!AF$76</f>
        <v>0</v>
      </c>
      <c r="AG40" s="12">
        <f>'Supply 2024'!AG41/'Supply 2024'!AG$76</f>
        <v>0</v>
      </c>
      <c r="AH40" s="12">
        <f>'Supply 2024'!AH41/'Supply 2024'!AH$76</f>
        <v>0</v>
      </c>
      <c r="AI40" s="12">
        <f>'Supply 2024'!AI41/'Supply 2024'!AI$76</f>
        <v>0</v>
      </c>
      <c r="AJ40" s="12">
        <f>'Supply 2024'!AJ41/'Supply 2024'!AJ$76</f>
        <v>0</v>
      </c>
      <c r="AK40" s="12">
        <f>'Supply 2024'!AK41/'Supply 2024'!AK$76</f>
        <v>1.5537681299867559E-2</v>
      </c>
      <c r="AL40" s="12">
        <f>'Supply 2024'!AL41/'Supply 2024'!AL$76</f>
        <v>0</v>
      </c>
      <c r="AM40" s="12">
        <f>'Supply 2024'!AM41/'Supply 2024'!AM$76</f>
        <v>0</v>
      </c>
      <c r="AN40" s="12">
        <f>'Supply 2024'!AN41/'Supply 2024'!AN$76</f>
        <v>5.5103802811337895E-3</v>
      </c>
      <c r="AO40" s="12">
        <f>'Supply 2024'!AO41/'Supply 2024'!AO$76</f>
        <v>0.97354921619440082</v>
      </c>
      <c r="AP40" s="12">
        <f>'Supply 2024'!AP41/'Supply 2024'!AP$76</f>
        <v>0</v>
      </c>
      <c r="AQ40" s="12">
        <f>'Supply 2024'!AQ41/'Supply 2024'!AQ$76</f>
        <v>0</v>
      </c>
      <c r="AR40" s="12">
        <f>'Supply 2024'!AR41/'Supply 2024'!AR$76</f>
        <v>0</v>
      </c>
      <c r="AS40" s="12">
        <f>'Supply 2024'!AS41/'Supply 2024'!AS$76</f>
        <v>0</v>
      </c>
      <c r="AT40" s="12">
        <f>'Supply 2024'!AT41/'Supply 2024'!AT$76</f>
        <v>0</v>
      </c>
      <c r="AU40" s="12">
        <f>'Supply 2024'!AU41/'Supply 2024'!AU$76</f>
        <v>0</v>
      </c>
      <c r="AV40" s="12">
        <f>'Supply 2024'!AV41/'Supply 2024'!AV$76</f>
        <v>0</v>
      </c>
      <c r="AW40" s="12">
        <f>'Supply 2024'!AW41/'Supply 2024'!AW$76</f>
        <v>0</v>
      </c>
      <c r="AX40" s="12">
        <f>'Supply 2024'!AX41/'Supply 2024'!AX$76</f>
        <v>0</v>
      </c>
      <c r="AY40" s="12">
        <f>'Supply 2024'!AY41/'Supply 2024'!AY$76</f>
        <v>0</v>
      </c>
      <c r="AZ40" s="12">
        <f>'Supply 2024'!AZ41/'Supply 2024'!AZ$76</f>
        <v>0</v>
      </c>
      <c r="BA40" s="12">
        <f>'Supply 2024'!BA41/'Supply 2024'!BA$76</f>
        <v>0</v>
      </c>
      <c r="BB40" s="12">
        <f>'Supply 2024'!BB41/'Supply 2024'!BB$76</f>
        <v>0</v>
      </c>
      <c r="BC40" s="12">
        <f>'Supply 2024'!BC41/'Supply 2024'!BC$76</f>
        <v>0</v>
      </c>
      <c r="BD40" s="12">
        <f>'Supply 2024'!BD41/'Supply 2024'!BD$76</f>
        <v>0</v>
      </c>
      <c r="BE40" s="12">
        <f>'Supply 2024'!BE41/'Supply 2024'!BE$76</f>
        <v>0</v>
      </c>
      <c r="BF40" s="12">
        <f>'Supply 2024'!BF41/'Supply 2024'!BF$76</f>
        <v>0</v>
      </c>
      <c r="BG40" s="12">
        <f>'Supply 2024'!BG41/'Supply 2024'!BG$76</f>
        <v>0</v>
      </c>
      <c r="BH40" s="12">
        <f>'Supply 2024'!BH41/'Supply 2024'!BH$76</f>
        <v>0</v>
      </c>
      <c r="BI40" s="12">
        <f>'Supply 2024'!BI41/'Supply 2024'!BI$76</f>
        <v>0</v>
      </c>
      <c r="BJ40" s="12">
        <f>'Supply 2024'!BJ41/'Supply 2024'!BJ$76</f>
        <v>0</v>
      </c>
      <c r="BK40" s="12">
        <f>'Supply 2024'!BK41/'Supply 2024'!BK$76</f>
        <v>0</v>
      </c>
      <c r="BL40" s="12">
        <f>'Supply 2024'!BL41/'Supply 2024'!BL$76</f>
        <v>0</v>
      </c>
      <c r="BM40" s="12">
        <f>'Supply 2024'!BM41/'Supply 2024'!BM$76</f>
        <v>0</v>
      </c>
      <c r="BN40" s="12">
        <f>'Supply 2024'!BN41/'Supply 2024'!BN$76</f>
        <v>0</v>
      </c>
      <c r="BO40" s="12">
        <f>'Supply 2024'!BO41/'Supply 2024'!BO$76</f>
        <v>0</v>
      </c>
      <c r="BP40" s="12">
        <f>'Supply 2024'!BP41/'Supply 2024'!BP$76</f>
        <v>0</v>
      </c>
      <c r="BQ40" s="12">
        <f>'Supply 2024'!BQ41/'Supply 2024'!BQ$76</f>
        <v>0</v>
      </c>
      <c r="BR40" s="12">
        <f>'Supply 2024'!BR41/'Supply 2024'!BR$76</f>
        <v>0</v>
      </c>
      <c r="BS40" s="12">
        <f>'Supply 2024'!BS41/'Supply 2024'!BS$76</f>
        <v>0</v>
      </c>
      <c r="BT40" s="12">
        <f>'Supply 2024'!BT41/'Supply 2024'!BT$76</f>
        <v>0</v>
      </c>
      <c r="BU40" s="12">
        <f>'Supply 2024'!BU41/'Supply 2024'!BU$76</f>
        <v>0</v>
      </c>
      <c r="BV40" s="12">
        <f>'Supply 2024'!BV41/'Supply 2024'!BV$76</f>
        <v>3.8989483015301985E-3</v>
      </c>
      <c r="BW40" s="12">
        <f>'Supply 2024'!BW41/'Supply 2024'!BW$76</f>
        <v>0</v>
      </c>
      <c r="BX40" s="12">
        <f>'Supply 2024'!BX41/'Supply 2024'!BX$76</f>
        <v>0</v>
      </c>
      <c r="BY40" s="12">
        <f>'Supply 2024'!BY41/'Supply 2024'!BY$76</f>
        <v>3.630183534350284E-3</v>
      </c>
      <c r="BZ40" s="12">
        <f>'Supply 2024'!BZ41/'Supply 2024'!BZ$76</f>
        <v>0</v>
      </c>
      <c r="CA40" s="12" t="e">
        <f>'Supply 2024'!CA41/'Supply 2024'!CA$76</f>
        <v>#DIV/0!</v>
      </c>
      <c r="CB40" s="12">
        <f>'Supply 2024'!CB41/'Supply 2024'!CB$76</f>
        <v>0</v>
      </c>
      <c r="CC40" s="12">
        <f>'Supply 2024'!CC41/'Supply 2024'!CC$76</f>
        <v>0</v>
      </c>
      <c r="CD40" s="12">
        <f>'Supply 2024'!CD41/'Supply 2024'!CD$76</f>
        <v>3.4445598098602984E-4</v>
      </c>
      <c r="CE40" s="12">
        <f>'Supply 2024'!CE41/'Supply 2024'!CE$76</f>
        <v>0</v>
      </c>
      <c r="CF40" s="12">
        <f>'Supply 2024'!CF41/'Supply 2024'!CF$76</f>
        <v>3.4642283777711351E-4</v>
      </c>
      <c r="CG40" s="12">
        <f>'Supply 2024'!CG41/'Supply 2024'!CG$76</f>
        <v>3.5692173845418909E-3</v>
      </c>
    </row>
    <row r="41" spans="1:85" x14ac:dyDescent="0.25">
      <c r="A41" t="s">
        <v>40</v>
      </c>
      <c r="B41" t="s">
        <v>133</v>
      </c>
      <c r="C41" s="12">
        <f>'Supply 2024'!C42/'Supply 2024'!C$76</f>
        <v>0</v>
      </c>
      <c r="D41" s="12">
        <f>'Supply 2024'!D42/'Supply 2024'!D$76</f>
        <v>0</v>
      </c>
      <c r="E41" s="12">
        <f>'Supply 2024'!E42/'Supply 2024'!E$76</f>
        <v>0</v>
      </c>
      <c r="F41" s="12">
        <f>'Supply 2024'!F42/'Supply 2024'!F$76</f>
        <v>0</v>
      </c>
      <c r="G41" s="12">
        <f>'Supply 2024'!G42/'Supply 2024'!G$76</f>
        <v>0</v>
      </c>
      <c r="H41" s="12">
        <f>'Supply 2024'!H42/'Supply 2024'!H$76</f>
        <v>0</v>
      </c>
      <c r="I41" s="12">
        <f>'Supply 2024'!I42/'Supply 2024'!I$76</f>
        <v>0</v>
      </c>
      <c r="J41" s="12">
        <f>'Supply 2024'!J42/'Supply 2024'!J$76</f>
        <v>0</v>
      </c>
      <c r="K41" s="12">
        <f>'Supply 2024'!K42/'Supply 2024'!K$76</f>
        <v>0</v>
      </c>
      <c r="L41" s="12">
        <f>'Supply 2024'!L42/'Supply 2024'!L$76</f>
        <v>0</v>
      </c>
      <c r="M41" s="12">
        <f>'Supply 2024'!M42/'Supply 2024'!M$76</f>
        <v>0</v>
      </c>
      <c r="N41" s="12">
        <f>'Supply 2024'!N42/'Supply 2024'!N$76</f>
        <v>0</v>
      </c>
      <c r="O41" s="12">
        <f>'Supply 2024'!O42/'Supply 2024'!O$76</f>
        <v>0</v>
      </c>
      <c r="P41" s="12">
        <f>'Supply 2024'!P42/'Supply 2024'!P$76</f>
        <v>0</v>
      </c>
      <c r="Q41" s="12">
        <f>'Supply 2024'!Q42/'Supply 2024'!Q$76</f>
        <v>0</v>
      </c>
      <c r="R41" s="12">
        <f>'Supply 2024'!R42/'Supply 2024'!R$76</f>
        <v>0</v>
      </c>
      <c r="S41" s="12">
        <f>'Supply 2024'!S42/'Supply 2024'!S$76</f>
        <v>0</v>
      </c>
      <c r="T41" s="12">
        <f>'Supply 2024'!T42/'Supply 2024'!T$76</f>
        <v>0</v>
      </c>
      <c r="U41" s="12">
        <f>'Supply 2024'!U42/'Supply 2024'!U$76</f>
        <v>0</v>
      </c>
      <c r="V41" s="12">
        <f>'Supply 2024'!V42/'Supply 2024'!V$76</f>
        <v>0</v>
      </c>
      <c r="W41" s="12">
        <f>'Supply 2024'!W42/'Supply 2024'!W$76</f>
        <v>0</v>
      </c>
      <c r="X41" s="12">
        <f>'Supply 2024'!X42/'Supply 2024'!X$76</f>
        <v>0</v>
      </c>
      <c r="Y41" s="12">
        <f>'Supply 2024'!Y42/'Supply 2024'!Y$76</f>
        <v>0</v>
      </c>
      <c r="Z41" s="12">
        <f>'Supply 2024'!Z42/'Supply 2024'!Z$76</f>
        <v>0</v>
      </c>
      <c r="AA41" s="12">
        <f>'Supply 2024'!AA42/'Supply 2024'!AA$76</f>
        <v>0</v>
      </c>
      <c r="AB41" s="12">
        <f>'Supply 2024'!AB42/'Supply 2024'!AB$76</f>
        <v>0</v>
      </c>
      <c r="AC41" s="12">
        <f>'Supply 2024'!AC42/'Supply 2024'!AC$76</f>
        <v>0</v>
      </c>
      <c r="AD41" s="12">
        <f>'Supply 2024'!AD42/'Supply 2024'!AD$76</f>
        <v>0</v>
      </c>
      <c r="AE41" s="12">
        <f>'Supply 2024'!AE42/'Supply 2024'!AE$76</f>
        <v>0</v>
      </c>
      <c r="AF41" s="12">
        <f>'Supply 2024'!AF42/'Supply 2024'!AF$76</f>
        <v>0</v>
      </c>
      <c r="AG41" s="12">
        <f>'Supply 2024'!AG42/'Supply 2024'!AG$76</f>
        <v>0</v>
      </c>
      <c r="AH41" s="12">
        <f>'Supply 2024'!AH42/'Supply 2024'!AH$76</f>
        <v>0</v>
      </c>
      <c r="AI41" s="12">
        <f>'Supply 2024'!AI42/'Supply 2024'!AI$76</f>
        <v>0</v>
      </c>
      <c r="AJ41" s="12">
        <f>'Supply 2024'!AJ42/'Supply 2024'!AJ$76</f>
        <v>0</v>
      </c>
      <c r="AK41" s="12">
        <f>'Supply 2024'!AK42/'Supply 2024'!AK$76</f>
        <v>0</v>
      </c>
      <c r="AL41" s="12">
        <f>'Supply 2024'!AL42/'Supply 2024'!AL$76</f>
        <v>0</v>
      </c>
      <c r="AM41" s="12">
        <f>'Supply 2024'!AM42/'Supply 2024'!AM$76</f>
        <v>0</v>
      </c>
      <c r="AN41" s="12">
        <f>'Supply 2024'!AN42/'Supply 2024'!AN$76</f>
        <v>0</v>
      </c>
      <c r="AO41" s="12">
        <f>'Supply 2024'!AO42/'Supply 2024'!AO$76</f>
        <v>0</v>
      </c>
      <c r="AP41" s="12">
        <f>'Supply 2024'!AP42/'Supply 2024'!AP$76</f>
        <v>0.761694438250198</v>
      </c>
      <c r="AQ41" s="12">
        <f>'Supply 2024'!AQ42/'Supply 2024'!AQ$76</f>
        <v>0</v>
      </c>
      <c r="AR41" s="12">
        <f>'Supply 2024'!AR42/'Supply 2024'!AR$76</f>
        <v>0</v>
      </c>
      <c r="AS41" s="12">
        <f>'Supply 2024'!AS42/'Supply 2024'!AS$76</f>
        <v>3.0503007132358907E-2</v>
      </c>
      <c r="AT41" s="12">
        <f>'Supply 2024'!AT42/'Supply 2024'!AT$76</f>
        <v>0</v>
      </c>
      <c r="AU41" s="12">
        <f>'Supply 2024'!AU42/'Supply 2024'!AU$76</f>
        <v>0</v>
      </c>
      <c r="AV41" s="12">
        <f>'Supply 2024'!AV42/'Supply 2024'!AV$76</f>
        <v>0</v>
      </c>
      <c r="AW41" s="12">
        <f>'Supply 2024'!AW42/'Supply 2024'!AW$76</f>
        <v>0</v>
      </c>
      <c r="AX41" s="12">
        <f>'Supply 2024'!AX42/'Supply 2024'!AX$76</f>
        <v>0</v>
      </c>
      <c r="AY41" s="12">
        <f>'Supply 2024'!AY42/'Supply 2024'!AY$76</f>
        <v>0</v>
      </c>
      <c r="AZ41" s="12">
        <f>'Supply 2024'!AZ42/'Supply 2024'!AZ$76</f>
        <v>0</v>
      </c>
      <c r="BA41" s="12">
        <f>'Supply 2024'!BA42/'Supply 2024'!BA$76</f>
        <v>0</v>
      </c>
      <c r="BB41" s="12">
        <f>'Supply 2024'!BB42/'Supply 2024'!BB$76</f>
        <v>2.4454722976103793E-2</v>
      </c>
      <c r="BC41" s="12">
        <f>'Supply 2024'!BC42/'Supply 2024'!BC$76</f>
        <v>0</v>
      </c>
      <c r="BD41" s="12">
        <f>'Supply 2024'!BD42/'Supply 2024'!BD$76</f>
        <v>0</v>
      </c>
      <c r="BE41" s="12">
        <f>'Supply 2024'!BE42/'Supply 2024'!BE$76</f>
        <v>0</v>
      </c>
      <c r="BF41" s="12">
        <f>'Supply 2024'!BF42/'Supply 2024'!BF$76</f>
        <v>0</v>
      </c>
      <c r="BG41" s="12">
        <f>'Supply 2024'!BG42/'Supply 2024'!BG$76</f>
        <v>0</v>
      </c>
      <c r="BH41" s="12">
        <f>'Supply 2024'!BH42/'Supply 2024'!BH$76</f>
        <v>0</v>
      </c>
      <c r="BI41" s="12">
        <f>'Supply 2024'!BI42/'Supply 2024'!BI$76</f>
        <v>0</v>
      </c>
      <c r="BJ41" s="12">
        <f>'Supply 2024'!BJ42/'Supply 2024'!BJ$76</f>
        <v>0</v>
      </c>
      <c r="BK41" s="12">
        <f>'Supply 2024'!BK42/'Supply 2024'!BK$76</f>
        <v>0</v>
      </c>
      <c r="BL41" s="12">
        <f>'Supply 2024'!BL42/'Supply 2024'!BL$76</f>
        <v>0</v>
      </c>
      <c r="BM41" s="12">
        <f>'Supply 2024'!BM42/'Supply 2024'!BM$76</f>
        <v>0</v>
      </c>
      <c r="BN41" s="12">
        <f>'Supply 2024'!BN42/'Supply 2024'!BN$76</f>
        <v>0</v>
      </c>
      <c r="BO41" s="12">
        <f>'Supply 2024'!BO42/'Supply 2024'!BO$76</f>
        <v>0</v>
      </c>
      <c r="BP41" s="12">
        <f>'Supply 2024'!BP42/'Supply 2024'!BP$76</f>
        <v>0</v>
      </c>
      <c r="BQ41" s="12">
        <f>'Supply 2024'!BQ42/'Supply 2024'!BQ$76</f>
        <v>0</v>
      </c>
      <c r="BR41" s="12">
        <f>'Supply 2024'!BR42/'Supply 2024'!BR$76</f>
        <v>-5.0825275409461122E-5</v>
      </c>
      <c r="BS41" s="12">
        <f>'Supply 2024'!BS42/'Supply 2024'!BS$76</f>
        <v>0</v>
      </c>
      <c r="BT41" s="12">
        <f>'Supply 2024'!BT42/'Supply 2024'!BT$76</f>
        <v>2.2717098422966289E-4</v>
      </c>
      <c r="BU41" s="12">
        <f>'Supply 2024'!BU42/'Supply 2024'!BU$76</f>
        <v>0</v>
      </c>
      <c r="BV41" s="12">
        <f>'Supply 2024'!BV42/'Supply 2024'!BV$76</f>
        <v>1.0875588195606222E-2</v>
      </c>
      <c r="BW41" s="12">
        <f>'Supply 2024'!BW42/'Supply 2024'!BW$76</f>
        <v>1.6784634099825339E-3</v>
      </c>
      <c r="BX41" s="12">
        <f>'Supply 2024'!BX42/'Supply 2024'!BX$76</f>
        <v>0</v>
      </c>
      <c r="BY41" s="12">
        <f>'Supply 2024'!BY42/'Supply 2024'!BY$76</f>
        <v>1.0242573702012786E-2</v>
      </c>
      <c r="BZ41" s="12">
        <f>'Supply 2024'!BZ42/'Supply 2024'!BZ$76</f>
        <v>-159120</v>
      </c>
      <c r="CA41" s="12" t="e">
        <f>'Supply 2024'!CA42/'Supply 2024'!CA$76</f>
        <v>#DIV/0!</v>
      </c>
      <c r="CB41" s="12">
        <f>'Supply 2024'!CB42/'Supply 2024'!CB$76</f>
        <v>-168233</v>
      </c>
      <c r="CC41" s="12">
        <f>'Supply 2024'!CC42/'Supply 2024'!CC$76</f>
        <v>5.8621555983585959E-4</v>
      </c>
      <c r="CD41" s="12">
        <f>'Supply 2024'!CD42/'Supply 2024'!CD$76</f>
        <v>1.4234889454234102E-2</v>
      </c>
      <c r="CE41" s="12">
        <f>'Supply 2024'!CE42/'Supply 2024'!CE$76</f>
        <v>0</v>
      </c>
      <c r="CF41" s="12">
        <f>'Supply 2024'!CF42/'Supply 2024'!CF$76</f>
        <v>1.4364670413312139E-2</v>
      </c>
      <c r="CG41" s="12">
        <f>'Supply 2024'!CG42/'Supply 2024'!CG$76</f>
        <v>1.3410576761860743E-2</v>
      </c>
    </row>
    <row r="42" spans="1:85" x14ac:dyDescent="0.25">
      <c r="A42" t="s">
        <v>41</v>
      </c>
      <c r="B42" t="s">
        <v>134</v>
      </c>
      <c r="C42" s="12">
        <f>'Supply 2024'!C43/'Supply 2024'!C$76</f>
        <v>0</v>
      </c>
      <c r="D42" s="12">
        <f>'Supply 2024'!D43/'Supply 2024'!D$76</f>
        <v>0</v>
      </c>
      <c r="E42" s="12">
        <f>'Supply 2024'!E43/'Supply 2024'!E$76</f>
        <v>0</v>
      </c>
      <c r="F42" s="12">
        <f>'Supply 2024'!F43/'Supply 2024'!F$76</f>
        <v>0</v>
      </c>
      <c r="G42" s="12">
        <f>'Supply 2024'!G43/'Supply 2024'!G$76</f>
        <v>0</v>
      </c>
      <c r="H42" s="12">
        <f>'Supply 2024'!H43/'Supply 2024'!H$76</f>
        <v>0</v>
      </c>
      <c r="I42" s="12">
        <f>'Supply 2024'!I43/'Supply 2024'!I$76</f>
        <v>0</v>
      </c>
      <c r="J42" s="12">
        <f>'Supply 2024'!J43/'Supply 2024'!J$76</f>
        <v>0</v>
      </c>
      <c r="K42" s="12">
        <f>'Supply 2024'!K43/'Supply 2024'!K$76</f>
        <v>0</v>
      </c>
      <c r="L42" s="12">
        <f>'Supply 2024'!L43/'Supply 2024'!L$76</f>
        <v>0</v>
      </c>
      <c r="M42" s="12">
        <f>'Supply 2024'!M43/'Supply 2024'!M$76</f>
        <v>0</v>
      </c>
      <c r="N42" s="12">
        <f>'Supply 2024'!N43/'Supply 2024'!N$76</f>
        <v>0</v>
      </c>
      <c r="O42" s="12">
        <f>'Supply 2024'!O43/'Supply 2024'!O$76</f>
        <v>0</v>
      </c>
      <c r="P42" s="12">
        <f>'Supply 2024'!P43/'Supply 2024'!P$76</f>
        <v>0</v>
      </c>
      <c r="Q42" s="12">
        <f>'Supply 2024'!Q43/'Supply 2024'!Q$76</f>
        <v>0</v>
      </c>
      <c r="R42" s="12">
        <f>'Supply 2024'!R43/'Supply 2024'!R$76</f>
        <v>0</v>
      </c>
      <c r="S42" s="12">
        <f>'Supply 2024'!S43/'Supply 2024'!S$76</f>
        <v>0</v>
      </c>
      <c r="T42" s="12">
        <f>'Supply 2024'!T43/'Supply 2024'!T$76</f>
        <v>0</v>
      </c>
      <c r="U42" s="12">
        <f>'Supply 2024'!U43/'Supply 2024'!U$76</f>
        <v>0</v>
      </c>
      <c r="V42" s="12">
        <f>'Supply 2024'!V43/'Supply 2024'!V$76</f>
        <v>0</v>
      </c>
      <c r="W42" s="12">
        <f>'Supply 2024'!W43/'Supply 2024'!W$76</f>
        <v>0</v>
      </c>
      <c r="X42" s="12">
        <f>'Supply 2024'!X43/'Supply 2024'!X$76</f>
        <v>0</v>
      </c>
      <c r="Y42" s="12">
        <f>'Supply 2024'!Y43/'Supply 2024'!Y$76</f>
        <v>0</v>
      </c>
      <c r="Z42" s="12">
        <f>'Supply 2024'!Z43/'Supply 2024'!Z$76</f>
        <v>0</v>
      </c>
      <c r="AA42" s="12">
        <f>'Supply 2024'!AA43/'Supply 2024'!AA$76</f>
        <v>0</v>
      </c>
      <c r="AB42" s="12">
        <f>'Supply 2024'!AB43/'Supply 2024'!AB$76</f>
        <v>0</v>
      </c>
      <c r="AC42" s="12">
        <f>'Supply 2024'!AC43/'Supply 2024'!AC$76</f>
        <v>0</v>
      </c>
      <c r="AD42" s="12">
        <f>'Supply 2024'!AD43/'Supply 2024'!AD$76</f>
        <v>0</v>
      </c>
      <c r="AE42" s="12">
        <f>'Supply 2024'!AE43/'Supply 2024'!AE$76</f>
        <v>0</v>
      </c>
      <c r="AF42" s="12">
        <f>'Supply 2024'!AF43/'Supply 2024'!AF$76</f>
        <v>0</v>
      </c>
      <c r="AG42" s="12">
        <f>'Supply 2024'!AG43/'Supply 2024'!AG$76</f>
        <v>6.8759169307540705E-4</v>
      </c>
      <c r="AH42" s="12">
        <f>'Supply 2024'!AH43/'Supply 2024'!AH$76</f>
        <v>0</v>
      </c>
      <c r="AI42" s="12">
        <f>'Supply 2024'!AI43/'Supply 2024'!AI$76</f>
        <v>0</v>
      </c>
      <c r="AJ42" s="12">
        <f>'Supply 2024'!AJ43/'Supply 2024'!AJ$76</f>
        <v>0</v>
      </c>
      <c r="AK42" s="12">
        <f>'Supply 2024'!AK43/'Supply 2024'!AK$76</f>
        <v>0</v>
      </c>
      <c r="AL42" s="12">
        <f>'Supply 2024'!AL43/'Supply 2024'!AL$76</f>
        <v>0</v>
      </c>
      <c r="AM42" s="12">
        <f>'Supply 2024'!AM43/'Supply 2024'!AM$76</f>
        <v>0</v>
      </c>
      <c r="AN42" s="12">
        <f>'Supply 2024'!AN43/'Supply 2024'!AN$76</f>
        <v>0</v>
      </c>
      <c r="AO42" s="12">
        <f>'Supply 2024'!AO43/'Supply 2024'!AO$76</f>
        <v>0</v>
      </c>
      <c r="AP42" s="12">
        <f>'Supply 2024'!AP43/'Supply 2024'!AP$76</f>
        <v>0</v>
      </c>
      <c r="AQ42" s="12">
        <f>'Supply 2024'!AQ43/'Supply 2024'!AQ$76</f>
        <v>0.97760899537661805</v>
      </c>
      <c r="AR42" s="12">
        <f>'Supply 2024'!AR43/'Supply 2024'!AR$76</f>
        <v>1.4362501541219713E-3</v>
      </c>
      <c r="AS42" s="12">
        <f>'Supply 2024'!AS43/'Supply 2024'!AS$76</f>
        <v>0</v>
      </c>
      <c r="AT42" s="12">
        <f>'Supply 2024'!AT43/'Supply 2024'!AT$76</f>
        <v>0</v>
      </c>
      <c r="AU42" s="12">
        <f>'Supply 2024'!AU43/'Supply 2024'!AU$76</f>
        <v>0</v>
      </c>
      <c r="AV42" s="12">
        <f>'Supply 2024'!AV43/'Supply 2024'!AV$76</f>
        <v>0</v>
      </c>
      <c r="AW42" s="12">
        <f>'Supply 2024'!AW43/'Supply 2024'!AW$76</f>
        <v>0</v>
      </c>
      <c r="AX42" s="12">
        <f>'Supply 2024'!AX43/'Supply 2024'!AX$76</f>
        <v>0</v>
      </c>
      <c r="AY42" s="12">
        <f>'Supply 2024'!AY43/'Supply 2024'!AY$76</f>
        <v>0</v>
      </c>
      <c r="AZ42" s="12">
        <f>'Supply 2024'!AZ43/'Supply 2024'!AZ$76</f>
        <v>0</v>
      </c>
      <c r="BA42" s="12">
        <f>'Supply 2024'!BA43/'Supply 2024'!BA$76</f>
        <v>0</v>
      </c>
      <c r="BB42" s="12">
        <f>'Supply 2024'!BB43/'Supply 2024'!BB$76</f>
        <v>0</v>
      </c>
      <c r="BC42" s="12">
        <f>'Supply 2024'!BC43/'Supply 2024'!BC$76</f>
        <v>0</v>
      </c>
      <c r="BD42" s="12">
        <f>'Supply 2024'!BD43/'Supply 2024'!BD$76</f>
        <v>0</v>
      </c>
      <c r="BE42" s="12">
        <f>'Supply 2024'!BE43/'Supply 2024'!BE$76</f>
        <v>0</v>
      </c>
      <c r="BF42" s="12">
        <f>'Supply 2024'!BF43/'Supply 2024'!BF$76</f>
        <v>0</v>
      </c>
      <c r="BG42" s="12">
        <f>'Supply 2024'!BG43/'Supply 2024'!BG$76</f>
        <v>0</v>
      </c>
      <c r="BH42" s="12">
        <f>'Supply 2024'!BH43/'Supply 2024'!BH$76</f>
        <v>0</v>
      </c>
      <c r="BI42" s="12">
        <f>'Supply 2024'!BI43/'Supply 2024'!BI$76</f>
        <v>0</v>
      </c>
      <c r="BJ42" s="12">
        <f>'Supply 2024'!BJ43/'Supply 2024'!BJ$76</f>
        <v>0</v>
      </c>
      <c r="BK42" s="12">
        <f>'Supply 2024'!BK43/'Supply 2024'!BK$76</f>
        <v>0</v>
      </c>
      <c r="BL42" s="12">
        <f>'Supply 2024'!BL43/'Supply 2024'!BL$76</f>
        <v>0</v>
      </c>
      <c r="BM42" s="12">
        <f>'Supply 2024'!BM43/'Supply 2024'!BM$76</f>
        <v>0</v>
      </c>
      <c r="BN42" s="12">
        <f>'Supply 2024'!BN43/'Supply 2024'!BN$76</f>
        <v>0</v>
      </c>
      <c r="BO42" s="12">
        <f>'Supply 2024'!BO43/'Supply 2024'!BO$76</f>
        <v>0</v>
      </c>
      <c r="BP42" s="12">
        <f>'Supply 2024'!BP43/'Supply 2024'!BP$76</f>
        <v>0</v>
      </c>
      <c r="BQ42" s="12">
        <f>'Supply 2024'!BQ43/'Supply 2024'!BQ$76</f>
        <v>7.8487126989928985E-5</v>
      </c>
      <c r="BR42" s="12">
        <f>'Supply 2024'!BR43/'Supply 2024'!BR$76</f>
        <v>0</v>
      </c>
      <c r="BS42" s="12">
        <f>'Supply 2024'!BS43/'Supply 2024'!BS$76</f>
        <v>1.6166635467896464E-4</v>
      </c>
      <c r="BT42" s="12">
        <f>'Supply 2024'!BT43/'Supply 2024'!BT$76</f>
        <v>3.0329904436537099E-7</v>
      </c>
      <c r="BU42" s="12">
        <f>'Supply 2024'!BU43/'Supply 2024'!BU$76</f>
        <v>0</v>
      </c>
      <c r="BV42" s="12">
        <f>'Supply 2024'!BV43/'Supply 2024'!BV$76</f>
        <v>4.0835188993816746E-3</v>
      </c>
      <c r="BW42" s="12">
        <f>'Supply 2024'!BW43/'Supply 2024'!BW$76</f>
        <v>3.018055536100836E-3</v>
      </c>
      <c r="BX42" s="12">
        <f>'Supply 2024'!BX43/'Supply 2024'!BX$76</f>
        <v>0</v>
      </c>
      <c r="BY42" s="12">
        <f>'Supply 2024'!BY43/'Supply 2024'!BY$76</f>
        <v>4.0118134126106899E-3</v>
      </c>
      <c r="BZ42" s="12">
        <f>'Supply 2024'!BZ43/'Supply 2024'!BZ$76</f>
        <v>-10786</v>
      </c>
      <c r="CA42" s="12" t="e">
        <f>'Supply 2024'!CA43/'Supply 2024'!CA$76</f>
        <v>#DIV/0!</v>
      </c>
      <c r="CB42" s="12">
        <f>'Supply 2024'!CB43/'Supply 2024'!CB$76</f>
        <v>-10945</v>
      </c>
      <c r="CC42" s="12">
        <f>'Supply 2024'!CC43/'Supply 2024'!CC$76</f>
        <v>1.1963582853793054E-5</v>
      </c>
      <c r="CD42" s="12">
        <f>'Supply 2024'!CD43/'Supply 2024'!CD$76</f>
        <v>2.5420851396769002E-3</v>
      </c>
      <c r="CE42" s="12">
        <f>'Supply 2024'!CE43/'Supply 2024'!CE$76</f>
        <v>0</v>
      </c>
      <c r="CF42" s="12">
        <f>'Supply 2024'!CF43/'Supply 2024'!CF$76</f>
        <v>2.5566005427950979E-3</v>
      </c>
      <c r="CG42" s="12">
        <f>'Supply 2024'!CG43/'Supply 2024'!CG$76</f>
        <v>4.185924048935784E-3</v>
      </c>
    </row>
    <row r="43" spans="1:85" x14ac:dyDescent="0.25">
      <c r="A43" t="s">
        <v>42</v>
      </c>
      <c r="B43" t="s">
        <v>135</v>
      </c>
      <c r="C43" s="12">
        <f>'Supply 2024'!C44/'Supply 2024'!C$76</f>
        <v>0</v>
      </c>
      <c r="D43" s="12">
        <f>'Supply 2024'!D44/'Supply 2024'!D$76</f>
        <v>0</v>
      </c>
      <c r="E43" s="12">
        <f>'Supply 2024'!E44/'Supply 2024'!E$76</f>
        <v>0</v>
      </c>
      <c r="F43" s="12">
        <f>'Supply 2024'!F44/'Supply 2024'!F$76</f>
        <v>0</v>
      </c>
      <c r="G43" s="12">
        <f>'Supply 2024'!G44/'Supply 2024'!G$76</f>
        <v>0</v>
      </c>
      <c r="H43" s="12">
        <f>'Supply 2024'!H44/'Supply 2024'!H$76</f>
        <v>0</v>
      </c>
      <c r="I43" s="12">
        <f>'Supply 2024'!I44/'Supply 2024'!I$76</f>
        <v>0</v>
      </c>
      <c r="J43" s="12">
        <f>'Supply 2024'!J44/'Supply 2024'!J$76</f>
        <v>0</v>
      </c>
      <c r="K43" s="12">
        <f>'Supply 2024'!K44/'Supply 2024'!K$76</f>
        <v>0</v>
      </c>
      <c r="L43" s="12">
        <f>'Supply 2024'!L44/'Supply 2024'!L$76</f>
        <v>0</v>
      </c>
      <c r="M43" s="12">
        <f>'Supply 2024'!M44/'Supply 2024'!M$76</f>
        <v>0</v>
      </c>
      <c r="N43" s="12">
        <f>'Supply 2024'!N44/'Supply 2024'!N$76</f>
        <v>0</v>
      </c>
      <c r="O43" s="12">
        <f>'Supply 2024'!O44/'Supply 2024'!O$76</f>
        <v>0</v>
      </c>
      <c r="P43" s="12">
        <f>'Supply 2024'!P44/'Supply 2024'!P$76</f>
        <v>0</v>
      </c>
      <c r="Q43" s="12">
        <f>'Supply 2024'!Q44/'Supply 2024'!Q$76</f>
        <v>0</v>
      </c>
      <c r="R43" s="12">
        <f>'Supply 2024'!R44/'Supply 2024'!R$76</f>
        <v>0</v>
      </c>
      <c r="S43" s="12">
        <f>'Supply 2024'!S44/'Supply 2024'!S$76</f>
        <v>0</v>
      </c>
      <c r="T43" s="12">
        <f>'Supply 2024'!T44/'Supply 2024'!T$76</f>
        <v>0</v>
      </c>
      <c r="U43" s="12">
        <f>'Supply 2024'!U44/'Supply 2024'!U$76</f>
        <v>0</v>
      </c>
      <c r="V43" s="12">
        <f>'Supply 2024'!V44/'Supply 2024'!V$76</f>
        <v>0</v>
      </c>
      <c r="W43" s="12">
        <f>'Supply 2024'!W44/'Supply 2024'!W$76</f>
        <v>0</v>
      </c>
      <c r="X43" s="12">
        <f>'Supply 2024'!X44/'Supply 2024'!X$76</f>
        <v>0</v>
      </c>
      <c r="Y43" s="12">
        <f>'Supply 2024'!Y44/'Supply 2024'!Y$76</f>
        <v>0</v>
      </c>
      <c r="Z43" s="12">
        <f>'Supply 2024'!Z44/'Supply 2024'!Z$76</f>
        <v>0</v>
      </c>
      <c r="AA43" s="12">
        <f>'Supply 2024'!AA44/'Supply 2024'!AA$76</f>
        <v>0</v>
      </c>
      <c r="AB43" s="12">
        <f>'Supply 2024'!AB44/'Supply 2024'!AB$76</f>
        <v>0</v>
      </c>
      <c r="AC43" s="12">
        <f>'Supply 2024'!AC44/'Supply 2024'!AC$76</f>
        <v>0</v>
      </c>
      <c r="AD43" s="12">
        <f>'Supply 2024'!AD44/'Supply 2024'!AD$76</f>
        <v>0</v>
      </c>
      <c r="AE43" s="12">
        <f>'Supply 2024'!AE44/'Supply 2024'!AE$76</f>
        <v>0</v>
      </c>
      <c r="AF43" s="12">
        <f>'Supply 2024'!AF44/'Supply 2024'!AF$76</f>
        <v>0</v>
      </c>
      <c r="AG43" s="12">
        <f>'Supply 2024'!AG44/'Supply 2024'!AG$76</f>
        <v>0</v>
      </c>
      <c r="AH43" s="12">
        <f>'Supply 2024'!AH44/'Supply 2024'!AH$76</f>
        <v>0</v>
      </c>
      <c r="AI43" s="12">
        <f>'Supply 2024'!AI44/'Supply 2024'!AI$76</f>
        <v>0</v>
      </c>
      <c r="AJ43" s="12">
        <f>'Supply 2024'!AJ44/'Supply 2024'!AJ$76</f>
        <v>0</v>
      </c>
      <c r="AK43" s="12">
        <f>'Supply 2024'!AK44/'Supply 2024'!AK$76</f>
        <v>0</v>
      </c>
      <c r="AL43" s="12">
        <f>'Supply 2024'!AL44/'Supply 2024'!AL$76</f>
        <v>0</v>
      </c>
      <c r="AM43" s="12">
        <f>'Supply 2024'!AM44/'Supply 2024'!AM$76</f>
        <v>0</v>
      </c>
      <c r="AN43" s="12">
        <f>'Supply 2024'!AN44/'Supply 2024'!AN$76</f>
        <v>0</v>
      </c>
      <c r="AO43" s="12">
        <f>'Supply 2024'!AO44/'Supply 2024'!AO$76</f>
        <v>0</v>
      </c>
      <c r="AP43" s="12">
        <f>'Supply 2024'!AP44/'Supply 2024'!AP$76</f>
        <v>0</v>
      </c>
      <c r="AQ43" s="12">
        <f>'Supply 2024'!AQ44/'Supply 2024'!AQ$76</f>
        <v>0</v>
      </c>
      <c r="AR43" s="12">
        <f>'Supply 2024'!AR44/'Supply 2024'!AR$76</f>
        <v>0.84228462634724821</v>
      </c>
      <c r="AS43" s="12">
        <f>'Supply 2024'!AS44/'Supply 2024'!AS$76</f>
        <v>5.0900336329945985E-3</v>
      </c>
      <c r="AT43" s="12">
        <f>'Supply 2024'!AT44/'Supply 2024'!AT$76</f>
        <v>0</v>
      </c>
      <c r="AU43" s="12">
        <f>'Supply 2024'!AU44/'Supply 2024'!AU$76</f>
        <v>0</v>
      </c>
      <c r="AV43" s="12">
        <f>'Supply 2024'!AV44/'Supply 2024'!AV$76</f>
        <v>0</v>
      </c>
      <c r="AW43" s="12">
        <f>'Supply 2024'!AW44/'Supply 2024'!AW$76</f>
        <v>0</v>
      </c>
      <c r="AX43" s="12">
        <f>'Supply 2024'!AX44/'Supply 2024'!AX$76</f>
        <v>0</v>
      </c>
      <c r="AY43" s="12">
        <f>'Supply 2024'!AY44/'Supply 2024'!AY$76</f>
        <v>0</v>
      </c>
      <c r="AZ43" s="12">
        <f>'Supply 2024'!AZ44/'Supply 2024'!AZ$76</f>
        <v>0</v>
      </c>
      <c r="BA43" s="12">
        <f>'Supply 2024'!BA44/'Supply 2024'!BA$76</f>
        <v>0</v>
      </c>
      <c r="BB43" s="12">
        <f>'Supply 2024'!BB44/'Supply 2024'!BB$76</f>
        <v>3.0063326051940604E-4</v>
      </c>
      <c r="BC43" s="12">
        <f>'Supply 2024'!BC44/'Supply 2024'!BC$76</f>
        <v>0</v>
      </c>
      <c r="BD43" s="12">
        <f>'Supply 2024'!BD44/'Supply 2024'!BD$76</f>
        <v>0</v>
      </c>
      <c r="BE43" s="12">
        <f>'Supply 2024'!BE44/'Supply 2024'!BE$76</f>
        <v>0</v>
      </c>
      <c r="BF43" s="12">
        <f>'Supply 2024'!BF44/'Supply 2024'!BF$76</f>
        <v>0</v>
      </c>
      <c r="BG43" s="12">
        <f>'Supply 2024'!BG44/'Supply 2024'!BG$76</f>
        <v>0</v>
      </c>
      <c r="BH43" s="12">
        <f>'Supply 2024'!BH44/'Supply 2024'!BH$76</f>
        <v>0</v>
      </c>
      <c r="BI43" s="12">
        <f>'Supply 2024'!BI44/'Supply 2024'!BI$76</f>
        <v>0</v>
      </c>
      <c r="BJ43" s="12">
        <f>'Supply 2024'!BJ44/'Supply 2024'!BJ$76</f>
        <v>0</v>
      </c>
      <c r="BK43" s="12">
        <f>'Supply 2024'!BK44/'Supply 2024'!BK$76</f>
        <v>0</v>
      </c>
      <c r="BL43" s="12">
        <f>'Supply 2024'!BL44/'Supply 2024'!BL$76</f>
        <v>0</v>
      </c>
      <c r="BM43" s="12">
        <f>'Supply 2024'!BM44/'Supply 2024'!BM$76</f>
        <v>0</v>
      </c>
      <c r="BN43" s="12">
        <f>'Supply 2024'!BN44/'Supply 2024'!BN$76</f>
        <v>5.410550863518131E-4</v>
      </c>
      <c r="BO43" s="12">
        <f>'Supply 2024'!BO44/'Supply 2024'!BO$76</f>
        <v>0</v>
      </c>
      <c r="BP43" s="12">
        <f>'Supply 2024'!BP44/'Supply 2024'!BP$76</f>
        <v>0</v>
      </c>
      <c r="BQ43" s="12">
        <f>'Supply 2024'!BQ44/'Supply 2024'!BQ$76</f>
        <v>0</v>
      </c>
      <c r="BR43" s="12">
        <f>'Supply 2024'!BR44/'Supply 2024'!BR$76</f>
        <v>0</v>
      </c>
      <c r="BS43" s="12">
        <f>'Supply 2024'!BS44/'Supply 2024'!BS$76</f>
        <v>0</v>
      </c>
      <c r="BT43" s="12">
        <f>'Supply 2024'!BT44/'Supply 2024'!BT$76</f>
        <v>0</v>
      </c>
      <c r="BU43" s="12">
        <f>'Supply 2024'!BU44/'Supply 2024'!BU$76</f>
        <v>0</v>
      </c>
      <c r="BV43" s="12">
        <f>'Supply 2024'!BV44/'Supply 2024'!BV$76</f>
        <v>1.5347976309484954E-2</v>
      </c>
      <c r="BW43" s="12">
        <f>'Supply 2024'!BW44/'Supply 2024'!BW$76</f>
        <v>3.6634733390727747E-5</v>
      </c>
      <c r="BX43" s="12">
        <f>'Supply 2024'!BX44/'Supply 2024'!BX$76</f>
        <v>0</v>
      </c>
      <c r="BY43" s="12">
        <f>'Supply 2024'!BY44/'Supply 2024'!BY$76</f>
        <v>1.4292546357675909E-2</v>
      </c>
      <c r="BZ43" s="12">
        <f>'Supply 2024'!BZ44/'Supply 2024'!BZ$76</f>
        <v>0</v>
      </c>
      <c r="CA43" s="12" t="e">
        <f>'Supply 2024'!CA44/'Supply 2024'!CA$76</f>
        <v>#DIV/0!</v>
      </c>
      <c r="CB43" s="12">
        <f>'Supply 2024'!CB44/'Supply 2024'!CB$76</f>
        <v>0</v>
      </c>
      <c r="CC43" s="12">
        <f>'Supply 2024'!CC44/'Supply 2024'!CC$76</f>
        <v>0</v>
      </c>
      <c r="CD43" s="12">
        <f>'Supply 2024'!CD44/'Supply 2024'!CD$76</f>
        <v>2.9230534546474493E-2</v>
      </c>
      <c r="CE43" s="12">
        <f>'Supply 2024'!CE44/'Supply 2024'!CE$76</f>
        <v>0</v>
      </c>
      <c r="CF43" s="12">
        <f>'Supply 2024'!CF44/'Supply 2024'!CF$76</f>
        <v>2.9397442013765852E-2</v>
      </c>
      <c r="CG43" s="12">
        <f>'Supply 2024'!CG44/'Supply 2024'!CG$76</f>
        <v>1.457298429353238E-2</v>
      </c>
    </row>
    <row r="44" spans="1:85" x14ac:dyDescent="0.25">
      <c r="A44" t="s">
        <v>43</v>
      </c>
      <c r="B44" t="s">
        <v>136</v>
      </c>
      <c r="C44" s="12">
        <f>'Supply 2024'!C45/'Supply 2024'!C$76</f>
        <v>0</v>
      </c>
      <c r="D44" s="12">
        <f>'Supply 2024'!D45/'Supply 2024'!D$76</f>
        <v>0</v>
      </c>
      <c r="E44" s="12">
        <f>'Supply 2024'!E45/'Supply 2024'!E$76</f>
        <v>0</v>
      </c>
      <c r="F44" s="12">
        <f>'Supply 2024'!F45/'Supply 2024'!F$76</f>
        <v>0</v>
      </c>
      <c r="G44" s="12">
        <f>'Supply 2024'!G45/'Supply 2024'!G$76</f>
        <v>0</v>
      </c>
      <c r="H44" s="12">
        <f>'Supply 2024'!H45/'Supply 2024'!H$76</f>
        <v>0</v>
      </c>
      <c r="I44" s="12">
        <f>'Supply 2024'!I45/'Supply 2024'!I$76</f>
        <v>0</v>
      </c>
      <c r="J44" s="12">
        <f>'Supply 2024'!J45/'Supply 2024'!J$76</f>
        <v>0</v>
      </c>
      <c r="K44" s="12">
        <f>'Supply 2024'!K45/'Supply 2024'!K$76</f>
        <v>0</v>
      </c>
      <c r="L44" s="12">
        <f>'Supply 2024'!L45/'Supply 2024'!L$76</f>
        <v>0</v>
      </c>
      <c r="M44" s="12">
        <f>'Supply 2024'!M45/'Supply 2024'!M$76</f>
        <v>0</v>
      </c>
      <c r="N44" s="12">
        <f>'Supply 2024'!N45/'Supply 2024'!N$76</f>
        <v>0</v>
      </c>
      <c r="O44" s="12">
        <f>'Supply 2024'!O45/'Supply 2024'!O$76</f>
        <v>0</v>
      </c>
      <c r="P44" s="12">
        <f>'Supply 2024'!P45/'Supply 2024'!P$76</f>
        <v>0</v>
      </c>
      <c r="Q44" s="12">
        <f>'Supply 2024'!Q45/'Supply 2024'!Q$76</f>
        <v>0</v>
      </c>
      <c r="R44" s="12">
        <f>'Supply 2024'!R45/'Supply 2024'!R$76</f>
        <v>0</v>
      </c>
      <c r="S44" s="12">
        <f>'Supply 2024'!S45/'Supply 2024'!S$76</f>
        <v>0</v>
      </c>
      <c r="T44" s="12">
        <f>'Supply 2024'!T45/'Supply 2024'!T$76</f>
        <v>0</v>
      </c>
      <c r="U44" s="12">
        <f>'Supply 2024'!U45/'Supply 2024'!U$76</f>
        <v>0</v>
      </c>
      <c r="V44" s="12">
        <f>'Supply 2024'!V45/'Supply 2024'!V$76</f>
        <v>0</v>
      </c>
      <c r="W44" s="12">
        <f>'Supply 2024'!W45/'Supply 2024'!W$76</f>
        <v>0</v>
      </c>
      <c r="X44" s="12">
        <f>'Supply 2024'!X45/'Supply 2024'!X$76</f>
        <v>0</v>
      </c>
      <c r="Y44" s="12">
        <f>'Supply 2024'!Y45/'Supply 2024'!Y$76</f>
        <v>0</v>
      </c>
      <c r="Z44" s="12">
        <f>'Supply 2024'!Z45/'Supply 2024'!Z$76</f>
        <v>0</v>
      </c>
      <c r="AA44" s="12">
        <f>'Supply 2024'!AA45/'Supply 2024'!AA$76</f>
        <v>0</v>
      </c>
      <c r="AB44" s="12">
        <f>'Supply 2024'!AB45/'Supply 2024'!AB$76</f>
        <v>0</v>
      </c>
      <c r="AC44" s="12">
        <f>'Supply 2024'!AC45/'Supply 2024'!AC$76</f>
        <v>0</v>
      </c>
      <c r="AD44" s="12">
        <f>'Supply 2024'!AD45/'Supply 2024'!AD$76</f>
        <v>0</v>
      </c>
      <c r="AE44" s="12">
        <f>'Supply 2024'!AE45/'Supply 2024'!AE$76</f>
        <v>0</v>
      </c>
      <c r="AF44" s="12">
        <f>'Supply 2024'!AF45/'Supply 2024'!AF$76</f>
        <v>0</v>
      </c>
      <c r="AG44" s="12">
        <f>'Supply 2024'!AG45/'Supply 2024'!AG$76</f>
        <v>0</v>
      </c>
      <c r="AH44" s="12">
        <f>'Supply 2024'!AH45/'Supply 2024'!AH$76</f>
        <v>0</v>
      </c>
      <c r="AI44" s="12">
        <f>'Supply 2024'!AI45/'Supply 2024'!AI$76</f>
        <v>0</v>
      </c>
      <c r="AJ44" s="12">
        <f>'Supply 2024'!AJ45/'Supply 2024'!AJ$76</f>
        <v>0</v>
      </c>
      <c r="AK44" s="12">
        <f>'Supply 2024'!AK45/'Supply 2024'!AK$76</f>
        <v>0</v>
      </c>
      <c r="AL44" s="12">
        <f>'Supply 2024'!AL45/'Supply 2024'!AL$76</f>
        <v>0</v>
      </c>
      <c r="AM44" s="12">
        <f>'Supply 2024'!AM45/'Supply 2024'!AM$76</f>
        <v>0</v>
      </c>
      <c r="AN44" s="12">
        <f>'Supply 2024'!AN45/'Supply 2024'!AN$76</f>
        <v>0</v>
      </c>
      <c r="AO44" s="12">
        <f>'Supply 2024'!AO45/'Supply 2024'!AO$76</f>
        <v>0</v>
      </c>
      <c r="AP44" s="12">
        <f>'Supply 2024'!AP45/'Supply 2024'!AP$76</f>
        <v>0.10201693207944698</v>
      </c>
      <c r="AQ44" s="12">
        <f>'Supply 2024'!AQ45/'Supply 2024'!AQ$76</f>
        <v>0</v>
      </c>
      <c r="AR44" s="12">
        <f>'Supply 2024'!AR45/'Supply 2024'!AR$76</f>
        <v>7.7755228761436965E-6</v>
      </c>
      <c r="AS44" s="12">
        <f>'Supply 2024'!AS45/'Supply 2024'!AS$76</f>
        <v>0.54410498363434712</v>
      </c>
      <c r="AT44" s="12">
        <f>'Supply 2024'!AT45/'Supply 2024'!AT$76</f>
        <v>0</v>
      </c>
      <c r="AU44" s="12">
        <f>'Supply 2024'!AU45/'Supply 2024'!AU$76</f>
        <v>0</v>
      </c>
      <c r="AV44" s="12">
        <f>'Supply 2024'!AV45/'Supply 2024'!AV$76</f>
        <v>0</v>
      </c>
      <c r="AW44" s="12">
        <f>'Supply 2024'!AW45/'Supply 2024'!AW$76</f>
        <v>0</v>
      </c>
      <c r="AX44" s="12">
        <f>'Supply 2024'!AX45/'Supply 2024'!AX$76</f>
        <v>0</v>
      </c>
      <c r="AY44" s="12">
        <f>'Supply 2024'!AY45/'Supply 2024'!AY$76</f>
        <v>0</v>
      </c>
      <c r="AZ44" s="12">
        <f>'Supply 2024'!AZ45/'Supply 2024'!AZ$76</f>
        <v>0</v>
      </c>
      <c r="BA44" s="12">
        <f>'Supply 2024'!BA45/'Supply 2024'!BA$76</f>
        <v>0</v>
      </c>
      <c r="BB44" s="12">
        <f>'Supply 2024'!BB45/'Supply 2024'!BB$76</f>
        <v>3.9013371284834848E-2</v>
      </c>
      <c r="BC44" s="12">
        <f>'Supply 2024'!BC45/'Supply 2024'!BC$76</f>
        <v>3.8467352742786877E-2</v>
      </c>
      <c r="BD44" s="12">
        <f>'Supply 2024'!BD45/'Supply 2024'!BD$76</f>
        <v>0</v>
      </c>
      <c r="BE44" s="12">
        <f>'Supply 2024'!BE45/'Supply 2024'!BE$76</f>
        <v>0</v>
      </c>
      <c r="BF44" s="12">
        <f>'Supply 2024'!BF45/'Supply 2024'!BF$76</f>
        <v>0</v>
      </c>
      <c r="BG44" s="12">
        <f>'Supply 2024'!BG45/'Supply 2024'!BG$76</f>
        <v>0</v>
      </c>
      <c r="BH44" s="12">
        <f>'Supply 2024'!BH45/'Supply 2024'!BH$76</f>
        <v>0</v>
      </c>
      <c r="BI44" s="12">
        <f>'Supply 2024'!BI45/'Supply 2024'!BI$76</f>
        <v>0</v>
      </c>
      <c r="BJ44" s="12">
        <f>'Supply 2024'!BJ45/'Supply 2024'!BJ$76</f>
        <v>0</v>
      </c>
      <c r="BK44" s="12">
        <f>'Supply 2024'!BK45/'Supply 2024'!BK$76</f>
        <v>0</v>
      </c>
      <c r="BL44" s="12">
        <f>'Supply 2024'!BL45/'Supply 2024'!BL$76</f>
        <v>0</v>
      </c>
      <c r="BM44" s="12">
        <f>'Supply 2024'!BM45/'Supply 2024'!BM$76</f>
        <v>0</v>
      </c>
      <c r="BN44" s="12">
        <f>'Supply 2024'!BN45/'Supply 2024'!BN$76</f>
        <v>0</v>
      </c>
      <c r="BO44" s="12">
        <f>'Supply 2024'!BO45/'Supply 2024'!BO$76</f>
        <v>0</v>
      </c>
      <c r="BP44" s="12">
        <f>'Supply 2024'!BP45/'Supply 2024'!BP$76</f>
        <v>8.5457434657178839E-4</v>
      </c>
      <c r="BQ44" s="12">
        <f>'Supply 2024'!BQ45/'Supply 2024'!BQ$76</f>
        <v>2.5788627439548093E-5</v>
      </c>
      <c r="BR44" s="12">
        <f>'Supply 2024'!BR45/'Supply 2024'!BR$76</f>
        <v>0</v>
      </c>
      <c r="BS44" s="12">
        <f>'Supply 2024'!BS45/'Supply 2024'!BS$76</f>
        <v>0</v>
      </c>
      <c r="BT44" s="12">
        <f>'Supply 2024'!BT45/'Supply 2024'!BT$76</f>
        <v>9.8511529609872513E-4</v>
      </c>
      <c r="BU44" s="12">
        <f>'Supply 2024'!BU45/'Supply 2024'!BU$76</f>
        <v>0</v>
      </c>
      <c r="BV44" s="12">
        <f>'Supply 2024'!BV45/'Supply 2024'!BV$76</f>
        <v>1.3445459267674223E-2</v>
      </c>
      <c r="BW44" s="12">
        <f>'Supply 2024'!BW45/'Supply 2024'!BW$76</f>
        <v>5.5787156508968505E-4</v>
      </c>
      <c r="BX44" s="12">
        <f>'Supply 2024'!BX45/'Supply 2024'!BX$76</f>
        <v>0</v>
      </c>
      <c r="BY44" s="12">
        <f>'Supply 2024'!BY45/'Supply 2024'!BY$76</f>
        <v>1.2557405507004149E-2</v>
      </c>
      <c r="BZ44" s="12">
        <f>'Supply 2024'!BZ45/'Supply 2024'!BZ$76</f>
        <v>0</v>
      </c>
      <c r="CA44" s="12" t="e">
        <f>'Supply 2024'!CA45/'Supply 2024'!CA$76</f>
        <v>#DIV/0!</v>
      </c>
      <c r="CB44" s="12">
        <f>'Supply 2024'!CB45/'Supply 2024'!CB$76</f>
        <v>0</v>
      </c>
      <c r="CC44" s="12">
        <f>'Supply 2024'!CC45/'Supply 2024'!CC$76</f>
        <v>0</v>
      </c>
      <c r="CD44" s="12">
        <f>'Supply 2024'!CD45/'Supply 2024'!CD$76</f>
        <v>2.7891092860411674E-3</v>
      </c>
      <c r="CE44" s="12">
        <f>'Supply 2024'!CE45/'Supply 2024'!CE$76</f>
        <v>0</v>
      </c>
      <c r="CF44" s="12">
        <f>'Supply 2024'!CF45/'Supply 2024'!CF$76</f>
        <v>2.8050352064581136E-3</v>
      </c>
      <c r="CG44" s="12">
        <f>'Supply 2024'!CG45/'Supply 2024'!CG$76</f>
        <v>1.2376325138338183E-2</v>
      </c>
    </row>
    <row r="45" spans="1:85" x14ac:dyDescent="0.25">
      <c r="A45" t="s">
        <v>44</v>
      </c>
      <c r="B45" t="s">
        <v>137</v>
      </c>
      <c r="C45" s="12">
        <f>'Supply 2024'!C46/'Supply 2024'!C$76</f>
        <v>0</v>
      </c>
      <c r="D45" s="12">
        <f>'Supply 2024'!D46/'Supply 2024'!D$76</f>
        <v>0</v>
      </c>
      <c r="E45" s="12">
        <f>'Supply 2024'!E46/'Supply 2024'!E$76</f>
        <v>0</v>
      </c>
      <c r="F45" s="12">
        <f>'Supply 2024'!F46/'Supply 2024'!F$76</f>
        <v>0</v>
      </c>
      <c r="G45" s="12">
        <f>'Supply 2024'!G46/'Supply 2024'!G$76</f>
        <v>0</v>
      </c>
      <c r="H45" s="12">
        <f>'Supply 2024'!H46/'Supply 2024'!H$76</f>
        <v>0</v>
      </c>
      <c r="I45" s="12">
        <f>'Supply 2024'!I46/'Supply 2024'!I$76</f>
        <v>0</v>
      </c>
      <c r="J45" s="12">
        <f>'Supply 2024'!J46/'Supply 2024'!J$76</f>
        <v>0</v>
      </c>
      <c r="K45" s="12">
        <f>'Supply 2024'!K46/'Supply 2024'!K$76</f>
        <v>0</v>
      </c>
      <c r="L45" s="12">
        <f>'Supply 2024'!L46/'Supply 2024'!L$76</f>
        <v>0</v>
      </c>
      <c r="M45" s="12">
        <f>'Supply 2024'!M46/'Supply 2024'!M$76</f>
        <v>0</v>
      </c>
      <c r="N45" s="12">
        <f>'Supply 2024'!N46/'Supply 2024'!N$76</f>
        <v>0</v>
      </c>
      <c r="O45" s="12">
        <f>'Supply 2024'!O46/'Supply 2024'!O$76</f>
        <v>0</v>
      </c>
      <c r="P45" s="12">
        <f>'Supply 2024'!P46/'Supply 2024'!P$76</f>
        <v>0</v>
      </c>
      <c r="Q45" s="12">
        <f>'Supply 2024'!Q46/'Supply 2024'!Q$76</f>
        <v>0</v>
      </c>
      <c r="R45" s="12">
        <f>'Supply 2024'!R46/'Supply 2024'!R$76</f>
        <v>0</v>
      </c>
      <c r="S45" s="12">
        <f>'Supply 2024'!S46/'Supply 2024'!S$76</f>
        <v>0</v>
      </c>
      <c r="T45" s="12">
        <f>'Supply 2024'!T46/'Supply 2024'!T$76</f>
        <v>0</v>
      </c>
      <c r="U45" s="12">
        <f>'Supply 2024'!U46/'Supply 2024'!U$76</f>
        <v>0</v>
      </c>
      <c r="V45" s="12">
        <f>'Supply 2024'!V46/'Supply 2024'!V$76</f>
        <v>0</v>
      </c>
      <c r="W45" s="12">
        <f>'Supply 2024'!W46/'Supply 2024'!W$76</f>
        <v>0</v>
      </c>
      <c r="X45" s="12">
        <f>'Supply 2024'!X46/'Supply 2024'!X$76</f>
        <v>0</v>
      </c>
      <c r="Y45" s="12">
        <f>'Supply 2024'!Y46/'Supply 2024'!Y$76</f>
        <v>0</v>
      </c>
      <c r="Z45" s="12">
        <f>'Supply 2024'!Z46/'Supply 2024'!Z$76</f>
        <v>0</v>
      </c>
      <c r="AA45" s="12">
        <f>'Supply 2024'!AA46/'Supply 2024'!AA$76</f>
        <v>0</v>
      </c>
      <c r="AB45" s="12">
        <f>'Supply 2024'!AB46/'Supply 2024'!AB$76</f>
        <v>0</v>
      </c>
      <c r="AC45" s="12">
        <f>'Supply 2024'!AC46/'Supply 2024'!AC$76</f>
        <v>0</v>
      </c>
      <c r="AD45" s="12">
        <f>'Supply 2024'!AD46/'Supply 2024'!AD$76</f>
        <v>9.9464059880288863E-3</v>
      </c>
      <c r="AE45" s="12">
        <f>'Supply 2024'!AE46/'Supply 2024'!AE$76</f>
        <v>1.5082150588989401E-4</v>
      </c>
      <c r="AF45" s="12">
        <f>'Supply 2024'!AF46/'Supply 2024'!AF$76</f>
        <v>0</v>
      </c>
      <c r="AG45" s="12">
        <f>'Supply 2024'!AG46/'Supply 2024'!AG$76</f>
        <v>2.8116373192093376E-4</v>
      </c>
      <c r="AH45" s="12">
        <f>'Supply 2024'!AH46/'Supply 2024'!AH$76</f>
        <v>0</v>
      </c>
      <c r="AI45" s="12">
        <f>'Supply 2024'!AI46/'Supply 2024'!AI$76</f>
        <v>0</v>
      </c>
      <c r="AJ45" s="12">
        <f>'Supply 2024'!AJ46/'Supply 2024'!AJ$76</f>
        <v>0</v>
      </c>
      <c r="AK45" s="12">
        <f>'Supply 2024'!AK46/'Supply 2024'!AK$76</f>
        <v>0</v>
      </c>
      <c r="AL45" s="12">
        <f>'Supply 2024'!AL46/'Supply 2024'!AL$76</f>
        <v>0</v>
      </c>
      <c r="AM45" s="12">
        <f>'Supply 2024'!AM46/'Supply 2024'!AM$76</f>
        <v>0</v>
      </c>
      <c r="AN45" s="12">
        <f>'Supply 2024'!AN46/'Supply 2024'!AN$76</f>
        <v>0</v>
      </c>
      <c r="AO45" s="12">
        <f>'Supply 2024'!AO46/'Supply 2024'!AO$76</f>
        <v>0</v>
      </c>
      <c r="AP45" s="12">
        <f>'Supply 2024'!AP46/'Supply 2024'!AP$76</f>
        <v>0</v>
      </c>
      <c r="AQ45" s="12">
        <f>'Supply 2024'!AQ46/'Supply 2024'!AQ$76</f>
        <v>0</v>
      </c>
      <c r="AR45" s="12">
        <f>'Supply 2024'!AR46/'Supply 2024'!AR$76</f>
        <v>0</v>
      </c>
      <c r="AS45" s="12">
        <f>'Supply 2024'!AS46/'Supply 2024'!AS$76</f>
        <v>0</v>
      </c>
      <c r="AT45" s="12">
        <f>'Supply 2024'!AT46/'Supply 2024'!AT$76</f>
        <v>0.9329512664033357</v>
      </c>
      <c r="AU45" s="12">
        <f>'Supply 2024'!AU46/'Supply 2024'!AU$76</f>
        <v>4.407510492410123E-2</v>
      </c>
      <c r="AV45" s="12">
        <f>'Supply 2024'!AV46/'Supply 2024'!AV$76</f>
        <v>0</v>
      </c>
      <c r="AW45" s="12">
        <f>'Supply 2024'!AW46/'Supply 2024'!AW$76</f>
        <v>0</v>
      </c>
      <c r="AX45" s="12">
        <f>'Supply 2024'!AX46/'Supply 2024'!AX$76</f>
        <v>0</v>
      </c>
      <c r="AY45" s="12">
        <f>'Supply 2024'!AY46/'Supply 2024'!AY$76</f>
        <v>8.2001300878801781E-4</v>
      </c>
      <c r="AZ45" s="12">
        <f>'Supply 2024'!AZ46/'Supply 2024'!AZ$76</f>
        <v>1.5077178229170031E-4</v>
      </c>
      <c r="BA45" s="12">
        <f>'Supply 2024'!BA46/'Supply 2024'!BA$76</f>
        <v>0</v>
      </c>
      <c r="BB45" s="12">
        <f>'Supply 2024'!BB46/'Supply 2024'!BB$76</f>
        <v>0</v>
      </c>
      <c r="BC45" s="12">
        <f>'Supply 2024'!BC46/'Supply 2024'!BC$76</f>
        <v>0</v>
      </c>
      <c r="BD45" s="12">
        <f>'Supply 2024'!BD46/'Supply 2024'!BD$76</f>
        <v>0</v>
      </c>
      <c r="BE45" s="12">
        <f>'Supply 2024'!BE46/'Supply 2024'!BE$76</f>
        <v>0</v>
      </c>
      <c r="BF45" s="12">
        <f>'Supply 2024'!BF46/'Supply 2024'!BF$76</f>
        <v>0</v>
      </c>
      <c r="BG45" s="12">
        <f>'Supply 2024'!BG46/'Supply 2024'!BG$76</f>
        <v>0</v>
      </c>
      <c r="BH45" s="12">
        <f>'Supply 2024'!BH46/'Supply 2024'!BH$76</f>
        <v>0</v>
      </c>
      <c r="BI45" s="12">
        <f>'Supply 2024'!BI46/'Supply 2024'!BI$76</f>
        <v>0</v>
      </c>
      <c r="BJ45" s="12">
        <f>'Supply 2024'!BJ46/'Supply 2024'!BJ$76</f>
        <v>0</v>
      </c>
      <c r="BK45" s="12">
        <f>'Supply 2024'!BK46/'Supply 2024'!BK$76</f>
        <v>0</v>
      </c>
      <c r="BL45" s="12">
        <f>'Supply 2024'!BL46/'Supply 2024'!BL$76</f>
        <v>0</v>
      </c>
      <c r="BM45" s="12">
        <f>'Supply 2024'!BM46/'Supply 2024'!BM$76</f>
        <v>0</v>
      </c>
      <c r="BN45" s="12">
        <f>'Supply 2024'!BN46/'Supply 2024'!BN$76</f>
        <v>0</v>
      </c>
      <c r="BO45" s="12">
        <f>'Supply 2024'!BO46/'Supply 2024'!BO$76</f>
        <v>0</v>
      </c>
      <c r="BP45" s="12">
        <f>'Supply 2024'!BP46/'Supply 2024'!BP$76</f>
        <v>0</v>
      </c>
      <c r="BQ45" s="12">
        <f>'Supply 2024'!BQ46/'Supply 2024'!BQ$76</f>
        <v>0</v>
      </c>
      <c r="BR45" s="12">
        <f>'Supply 2024'!BR46/'Supply 2024'!BR$76</f>
        <v>0</v>
      </c>
      <c r="BS45" s="12">
        <f>'Supply 2024'!BS46/'Supply 2024'!BS$76</f>
        <v>0</v>
      </c>
      <c r="BT45" s="12">
        <f>'Supply 2024'!BT46/'Supply 2024'!BT$76</f>
        <v>0</v>
      </c>
      <c r="BU45" s="12">
        <f>'Supply 2024'!BU46/'Supply 2024'!BU$76</f>
        <v>4.6566121097991885E-5</v>
      </c>
      <c r="BV45" s="12">
        <f>'Supply 2024'!BV46/'Supply 2024'!BV$76</f>
        <v>2.7619165981414638E-2</v>
      </c>
      <c r="BW45" s="12">
        <f>'Supply 2024'!BW46/'Supply 2024'!BW$76</f>
        <v>2.2740472006214977E-3</v>
      </c>
      <c r="BX45" s="12">
        <f>'Supply 2024'!BX46/'Supply 2024'!BX$76</f>
        <v>0</v>
      </c>
      <c r="BY45" s="12">
        <f>'Supply 2024'!BY46/'Supply 2024'!BY$76</f>
        <v>2.5873389803520715E-2</v>
      </c>
      <c r="BZ45" s="12">
        <f>'Supply 2024'!BZ46/'Supply 2024'!BZ$76</f>
        <v>0</v>
      </c>
      <c r="CA45" s="12" t="e">
        <f>'Supply 2024'!CA46/'Supply 2024'!CA$76</f>
        <v>#DIV/0!</v>
      </c>
      <c r="CB45" s="12">
        <f>'Supply 2024'!CB46/'Supply 2024'!CB$76</f>
        <v>0</v>
      </c>
      <c r="CC45" s="12">
        <f>'Supply 2024'!CC46/'Supply 2024'!CC$76</f>
        <v>0</v>
      </c>
      <c r="CD45" s="12">
        <f>'Supply 2024'!CD46/'Supply 2024'!CD$76</f>
        <v>0</v>
      </c>
      <c r="CE45" s="12">
        <f>'Supply 2024'!CE46/'Supply 2024'!CE$76</f>
        <v>2.9432830475849413E-3</v>
      </c>
      <c r="CF45" s="12">
        <f>'Supply 2024'!CF46/'Supply 2024'!CF$76</f>
        <v>-2.6031201810108818E-4</v>
      </c>
      <c r="CG45" s="12">
        <f>'Supply 2024'!CG46/'Supply 2024'!CG$76</f>
        <v>2.5388174212355698E-2</v>
      </c>
    </row>
    <row r="46" spans="1:85" x14ac:dyDescent="0.25">
      <c r="A46" t="s">
        <v>45</v>
      </c>
      <c r="B46" t="s">
        <v>138</v>
      </c>
      <c r="C46" s="12">
        <f>'Supply 2024'!C47/'Supply 2024'!C$76</f>
        <v>0</v>
      </c>
      <c r="D46" s="12">
        <f>'Supply 2024'!D47/'Supply 2024'!D$76</f>
        <v>0</v>
      </c>
      <c r="E46" s="12">
        <f>'Supply 2024'!E47/'Supply 2024'!E$76</f>
        <v>0</v>
      </c>
      <c r="F46" s="12">
        <f>'Supply 2024'!F47/'Supply 2024'!F$76</f>
        <v>0</v>
      </c>
      <c r="G46" s="12">
        <f>'Supply 2024'!G47/'Supply 2024'!G$76</f>
        <v>0</v>
      </c>
      <c r="H46" s="12">
        <f>'Supply 2024'!H47/'Supply 2024'!H$76</f>
        <v>0</v>
      </c>
      <c r="I46" s="12">
        <f>'Supply 2024'!I47/'Supply 2024'!I$76</f>
        <v>0</v>
      </c>
      <c r="J46" s="12">
        <f>'Supply 2024'!J47/'Supply 2024'!J$76</f>
        <v>0</v>
      </c>
      <c r="K46" s="12">
        <f>'Supply 2024'!K47/'Supply 2024'!K$76</f>
        <v>0</v>
      </c>
      <c r="L46" s="12">
        <f>'Supply 2024'!L47/'Supply 2024'!L$76</f>
        <v>0</v>
      </c>
      <c r="M46" s="12">
        <f>'Supply 2024'!M47/'Supply 2024'!M$76</f>
        <v>0</v>
      </c>
      <c r="N46" s="12">
        <f>'Supply 2024'!N47/'Supply 2024'!N$76</f>
        <v>0</v>
      </c>
      <c r="O46" s="12">
        <f>'Supply 2024'!O47/'Supply 2024'!O$76</f>
        <v>0</v>
      </c>
      <c r="P46" s="12">
        <f>'Supply 2024'!P47/'Supply 2024'!P$76</f>
        <v>0</v>
      </c>
      <c r="Q46" s="12">
        <f>'Supply 2024'!Q47/'Supply 2024'!Q$76</f>
        <v>0</v>
      </c>
      <c r="R46" s="12">
        <f>'Supply 2024'!R47/'Supply 2024'!R$76</f>
        <v>0</v>
      </c>
      <c r="S46" s="12">
        <f>'Supply 2024'!S47/'Supply 2024'!S$76</f>
        <v>0</v>
      </c>
      <c r="T46" s="12">
        <f>'Supply 2024'!T47/'Supply 2024'!T$76</f>
        <v>0</v>
      </c>
      <c r="U46" s="12">
        <f>'Supply 2024'!U47/'Supply 2024'!U$76</f>
        <v>0</v>
      </c>
      <c r="V46" s="12">
        <f>'Supply 2024'!V47/'Supply 2024'!V$76</f>
        <v>0</v>
      </c>
      <c r="W46" s="12">
        <f>'Supply 2024'!W47/'Supply 2024'!W$76</f>
        <v>0</v>
      </c>
      <c r="X46" s="12">
        <f>'Supply 2024'!X47/'Supply 2024'!X$76</f>
        <v>0</v>
      </c>
      <c r="Y46" s="12">
        <f>'Supply 2024'!Y47/'Supply 2024'!Y$76</f>
        <v>0</v>
      </c>
      <c r="Z46" s="12">
        <f>'Supply 2024'!Z47/'Supply 2024'!Z$76</f>
        <v>0</v>
      </c>
      <c r="AA46" s="12">
        <f>'Supply 2024'!AA47/'Supply 2024'!AA$76</f>
        <v>0</v>
      </c>
      <c r="AB46" s="12">
        <f>'Supply 2024'!AB47/'Supply 2024'!AB$76</f>
        <v>0</v>
      </c>
      <c r="AC46" s="12">
        <f>'Supply 2024'!AC47/'Supply 2024'!AC$76</f>
        <v>0</v>
      </c>
      <c r="AD46" s="12">
        <f>'Supply 2024'!AD47/'Supply 2024'!AD$76</f>
        <v>0</v>
      </c>
      <c r="AE46" s="12">
        <f>'Supply 2024'!AE47/'Supply 2024'!AE$76</f>
        <v>0</v>
      </c>
      <c r="AF46" s="12">
        <f>'Supply 2024'!AF47/'Supply 2024'!AF$76</f>
        <v>0</v>
      </c>
      <c r="AG46" s="12">
        <f>'Supply 2024'!AG47/'Supply 2024'!AG$76</f>
        <v>0</v>
      </c>
      <c r="AH46" s="12">
        <f>'Supply 2024'!AH47/'Supply 2024'!AH$76</f>
        <v>0</v>
      </c>
      <c r="AI46" s="12">
        <f>'Supply 2024'!AI47/'Supply 2024'!AI$76</f>
        <v>0</v>
      </c>
      <c r="AJ46" s="12">
        <f>'Supply 2024'!AJ47/'Supply 2024'!AJ$76</f>
        <v>0</v>
      </c>
      <c r="AK46" s="12">
        <f>'Supply 2024'!AK47/'Supply 2024'!AK$76</f>
        <v>0</v>
      </c>
      <c r="AL46" s="12">
        <f>'Supply 2024'!AL47/'Supply 2024'!AL$76</f>
        <v>0</v>
      </c>
      <c r="AM46" s="12">
        <f>'Supply 2024'!AM47/'Supply 2024'!AM$76</f>
        <v>0</v>
      </c>
      <c r="AN46" s="12">
        <f>'Supply 2024'!AN47/'Supply 2024'!AN$76</f>
        <v>0</v>
      </c>
      <c r="AO46" s="12">
        <f>'Supply 2024'!AO47/'Supply 2024'!AO$76</f>
        <v>0</v>
      </c>
      <c r="AP46" s="12">
        <f>'Supply 2024'!AP47/'Supply 2024'!AP$76</f>
        <v>0</v>
      </c>
      <c r="AQ46" s="12">
        <f>'Supply 2024'!AQ47/'Supply 2024'!AQ$76</f>
        <v>0</v>
      </c>
      <c r="AR46" s="12">
        <f>'Supply 2024'!AR47/'Supply 2024'!AR$76</f>
        <v>0</v>
      </c>
      <c r="AS46" s="12">
        <f>'Supply 2024'!AS47/'Supply 2024'!AS$76</f>
        <v>0</v>
      </c>
      <c r="AT46" s="12">
        <f>'Supply 2024'!AT47/'Supply 2024'!AT$76</f>
        <v>2.2159506490233499E-2</v>
      </c>
      <c r="AU46" s="12">
        <f>'Supply 2024'!AU47/'Supply 2024'!AU$76</f>
        <v>0.94541046351369784</v>
      </c>
      <c r="AV46" s="12">
        <f>'Supply 2024'!AV47/'Supply 2024'!AV$76</f>
        <v>1.5039663688799893E-3</v>
      </c>
      <c r="AW46" s="12">
        <f>'Supply 2024'!AW47/'Supply 2024'!AW$76</f>
        <v>0</v>
      </c>
      <c r="AX46" s="12">
        <f>'Supply 2024'!AX47/'Supply 2024'!AX$76</f>
        <v>0</v>
      </c>
      <c r="AY46" s="12">
        <f>'Supply 2024'!AY47/'Supply 2024'!AY$76</f>
        <v>0</v>
      </c>
      <c r="AZ46" s="12">
        <f>'Supply 2024'!AZ47/'Supply 2024'!AZ$76</f>
        <v>1.9538792194944836E-4</v>
      </c>
      <c r="BA46" s="12">
        <f>'Supply 2024'!BA47/'Supply 2024'!BA$76</f>
        <v>0</v>
      </c>
      <c r="BB46" s="12">
        <f>'Supply 2024'!BB47/'Supply 2024'!BB$76</f>
        <v>0</v>
      </c>
      <c r="BC46" s="12">
        <f>'Supply 2024'!BC47/'Supply 2024'!BC$76</f>
        <v>2.8377772689620542E-4</v>
      </c>
      <c r="BD46" s="12">
        <f>'Supply 2024'!BD47/'Supply 2024'!BD$76</f>
        <v>0</v>
      </c>
      <c r="BE46" s="12">
        <f>'Supply 2024'!BE47/'Supply 2024'!BE$76</f>
        <v>0</v>
      </c>
      <c r="BF46" s="12">
        <f>'Supply 2024'!BF47/'Supply 2024'!BF$76</f>
        <v>0</v>
      </c>
      <c r="BG46" s="12">
        <f>'Supply 2024'!BG47/'Supply 2024'!BG$76</f>
        <v>0</v>
      </c>
      <c r="BH46" s="12">
        <f>'Supply 2024'!BH47/'Supply 2024'!BH$76</f>
        <v>0</v>
      </c>
      <c r="BI46" s="12">
        <f>'Supply 2024'!BI47/'Supply 2024'!BI$76</f>
        <v>0</v>
      </c>
      <c r="BJ46" s="12">
        <f>'Supply 2024'!BJ47/'Supply 2024'!BJ$76</f>
        <v>0</v>
      </c>
      <c r="BK46" s="12">
        <f>'Supply 2024'!BK47/'Supply 2024'!BK$76</f>
        <v>0</v>
      </c>
      <c r="BL46" s="12">
        <f>'Supply 2024'!BL47/'Supply 2024'!BL$76</f>
        <v>0</v>
      </c>
      <c r="BM46" s="12">
        <f>'Supply 2024'!BM47/'Supply 2024'!BM$76</f>
        <v>0</v>
      </c>
      <c r="BN46" s="12">
        <f>'Supply 2024'!BN47/'Supply 2024'!BN$76</f>
        <v>0</v>
      </c>
      <c r="BO46" s="12">
        <f>'Supply 2024'!BO47/'Supply 2024'!BO$76</f>
        <v>0</v>
      </c>
      <c r="BP46" s="12">
        <f>'Supply 2024'!BP47/'Supply 2024'!BP$76</f>
        <v>0</v>
      </c>
      <c r="BQ46" s="12">
        <f>'Supply 2024'!BQ47/'Supply 2024'!BQ$76</f>
        <v>0</v>
      </c>
      <c r="BR46" s="12">
        <f>'Supply 2024'!BR47/'Supply 2024'!BR$76</f>
        <v>0</v>
      </c>
      <c r="BS46" s="12">
        <f>'Supply 2024'!BS47/'Supply 2024'!BS$76</f>
        <v>0</v>
      </c>
      <c r="BT46" s="12">
        <f>'Supply 2024'!BT47/'Supply 2024'!BT$76</f>
        <v>0</v>
      </c>
      <c r="BU46" s="12">
        <f>'Supply 2024'!BU47/'Supply 2024'!BU$76</f>
        <v>0</v>
      </c>
      <c r="BV46" s="12">
        <f>'Supply 2024'!BV47/'Supply 2024'!BV$76</f>
        <v>1.8392506329154654E-2</v>
      </c>
      <c r="BW46" s="12">
        <f>'Supply 2024'!BW47/'Supply 2024'!BW$76</f>
        <v>1.3199278942247498E-5</v>
      </c>
      <c r="BX46" s="12">
        <f>'Supply 2024'!BX47/'Supply 2024'!BX$76</f>
        <v>0</v>
      </c>
      <c r="BY46" s="12">
        <f>'Supply 2024'!BY47/'Supply 2024'!BY$76</f>
        <v>1.7125579934364605E-2</v>
      </c>
      <c r="BZ46" s="12">
        <f>'Supply 2024'!BZ47/'Supply 2024'!BZ$76</f>
        <v>0</v>
      </c>
      <c r="CA46" s="12" t="e">
        <f>'Supply 2024'!CA47/'Supply 2024'!CA$76</f>
        <v>#DIV/0!</v>
      </c>
      <c r="CB46" s="12">
        <f>'Supply 2024'!CB47/'Supply 2024'!CB$76</f>
        <v>0</v>
      </c>
      <c r="CC46" s="12">
        <f>'Supply 2024'!CC47/'Supply 2024'!CC$76</f>
        <v>0</v>
      </c>
      <c r="CD46" s="12">
        <f>'Supply 2024'!CD47/'Supply 2024'!CD$76</f>
        <v>1.758693822920101E-3</v>
      </c>
      <c r="CE46" s="12">
        <f>'Supply 2024'!CE47/'Supply 2024'!CE$76</f>
        <v>0</v>
      </c>
      <c r="CF46" s="12">
        <f>'Supply 2024'!CF47/'Supply 2024'!CF$76</f>
        <v>1.768736031736291E-3</v>
      </c>
      <c r="CG46" s="12">
        <f>'Supply 2024'!CG47/'Supply 2024'!CG$76</f>
        <v>1.6840465483427828E-2</v>
      </c>
    </row>
    <row r="47" spans="1:85" x14ac:dyDescent="0.25">
      <c r="A47" t="s">
        <v>46</v>
      </c>
      <c r="B47" t="s">
        <v>139</v>
      </c>
      <c r="C47" s="12">
        <f>'Supply 2024'!C48/'Supply 2024'!C$76</f>
        <v>0</v>
      </c>
      <c r="D47" s="12">
        <f>'Supply 2024'!D48/'Supply 2024'!D$76</f>
        <v>0</v>
      </c>
      <c r="E47" s="12">
        <f>'Supply 2024'!E48/'Supply 2024'!E$76</f>
        <v>0</v>
      </c>
      <c r="F47" s="12">
        <f>'Supply 2024'!F48/'Supply 2024'!F$76</f>
        <v>0</v>
      </c>
      <c r="G47" s="12">
        <f>'Supply 2024'!G48/'Supply 2024'!G$76</f>
        <v>0</v>
      </c>
      <c r="H47" s="12">
        <f>'Supply 2024'!H48/'Supply 2024'!H$76</f>
        <v>0</v>
      </c>
      <c r="I47" s="12">
        <f>'Supply 2024'!I48/'Supply 2024'!I$76</f>
        <v>0</v>
      </c>
      <c r="J47" s="12">
        <f>'Supply 2024'!J48/'Supply 2024'!J$76</f>
        <v>0</v>
      </c>
      <c r="K47" s="12">
        <f>'Supply 2024'!K48/'Supply 2024'!K$76</f>
        <v>0</v>
      </c>
      <c r="L47" s="12">
        <f>'Supply 2024'!L48/'Supply 2024'!L$76</f>
        <v>0</v>
      </c>
      <c r="M47" s="12">
        <f>'Supply 2024'!M48/'Supply 2024'!M$76</f>
        <v>0</v>
      </c>
      <c r="N47" s="12">
        <f>'Supply 2024'!N48/'Supply 2024'!N$76</f>
        <v>0</v>
      </c>
      <c r="O47" s="12">
        <f>'Supply 2024'!O48/'Supply 2024'!O$76</f>
        <v>0</v>
      </c>
      <c r="P47" s="12">
        <f>'Supply 2024'!P48/'Supply 2024'!P$76</f>
        <v>0</v>
      </c>
      <c r="Q47" s="12">
        <f>'Supply 2024'!Q48/'Supply 2024'!Q$76</f>
        <v>0</v>
      </c>
      <c r="R47" s="12">
        <f>'Supply 2024'!R48/'Supply 2024'!R$76</f>
        <v>0</v>
      </c>
      <c r="S47" s="12">
        <f>'Supply 2024'!S48/'Supply 2024'!S$76</f>
        <v>0</v>
      </c>
      <c r="T47" s="12">
        <f>'Supply 2024'!T48/'Supply 2024'!T$76</f>
        <v>0</v>
      </c>
      <c r="U47" s="12">
        <f>'Supply 2024'!U48/'Supply 2024'!U$76</f>
        <v>0</v>
      </c>
      <c r="V47" s="12">
        <f>'Supply 2024'!V48/'Supply 2024'!V$76</f>
        <v>0</v>
      </c>
      <c r="W47" s="12">
        <f>'Supply 2024'!W48/'Supply 2024'!W$76</f>
        <v>0</v>
      </c>
      <c r="X47" s="12">
        <f>'Supply 2024'!X48/'Supply 2024'!X$76</f>
        <v>0</v>
      </c>
      <c r="Y47" s="12">
        <f>'Supply 2024'!Y48/'Supply 2024'!Y$76</f>
        <v>0</v>
      </c>
      <c r="Z47" s="12">
        <f>'Supply 2024'!Z48/'Supply 2024'!Z$76</f>
        <v>0</v>
      </c>
      <c r="AA47" s="12">
        <f>'Supply 2024'!AA48/'Supply 2024'!AA$76</f>
        <v>0</v>
      </c>
      <c r="AB47" s="12">
        <f>'Supply 2024'!AB48/'Supply 2024'!AB$76</f>
        <v>0</v>
      </c>
      <c r="AC47" s="12">
        <f>'Supply 2024'!AC48/'Supply 2024'!AC$76</f>
        <v>0</v>
      </c>
      <c r="AD47" s="12">
        <f>'Supply 2024'!AD48/'Supply 2024'!AD$76</f>
        <v>0</v>
      </c>
      <c r="AE47" s="12">
        <f>'Supply 2024'!AE48/'Supply 2024'!AE$76</f>
        <v>0</v>
      </c>
      <c r="AF47" s="12">
        <f>'Supply 2024'!AF48/'Supply 2024'!AF$76</f>
        <v>0</v>
      </c>
      <c r="AG47" s="12">
        <f>'Supply 2024'!AG48/'Supply 2024'!AG$76</f>
        <v>0</v>
      </c>
      <c r="AH47" s="12">
        <f>'Supply 2024'!AH48/'Supply 2024'!AH$76</f>
        <v>0</v>
      </c>
      <c r="AI47" s="12">
        <f>'Supply 2024'!AI48/'Supply 2024'!AI$76</f>
        <v>0</v>
      </c>
      <c r="AJ47" s="12">
        <f>'Supply 2024'!AJ48/'Supply 2024'!AJ$76</f>
        <v>0</v>
      </c>
      <c r="AK47" s="12">
        <f>'Supply 2024'!AK48/'Supply 2024'!AK$76</f>
        <v>0</v>
      </c>
      <c r="AL47" s="12">
        <f>'Supply 2024'!AL48/'Supply 2024'!AL$76</f>
        <v>0</v>
      </c>
      <c r="AM47" s="12">
        <f>'Supply 2024'!AM48/'Supply 2024'!AM$76</f>
        <v>0</v>
      </c>
      <c r="AN47" s="12">
        <f>'Supply 2024'!AN48/'Supply 2024'!AN$76</f>
        <v>0</v>
      </c>
      <c r="AO47" s="12">
        <f>'Supply 2024'!AO48/'Supply 2024'!AO$76</f>
        <v>0</v>
      </c>
      <c r="AP47" s="12">
        <f>'Supply 2024'!AP48/'Supply 2024'!AP$76</f>
        <v>0</v>
      </c>
      <c r="AQ47" s="12">
        <f>'Supply 2024'!AQ48/'Supply 2024'!AQ$76</f>
        <v>0</v>
      </c>
      <c r="AR47" s="12">
        <f>'Supply 2024'!AR48/'Supply 2024'!AR$76</f>
        <v>0</v>
      </c>
      <c r="AS47" s="12">
        <f>'Supply 2024'!AS48/'Supply 2024'!AS$76</f>
        <v>0</v>
      </c>
      <c r="AT47" s="12">
        <f>'Supply 2024'!AT48/'Supply 2024'!AT$76</f>
        <v>0</v>
      </c>
      <c r="AU47" s="12">
        <f>'Supply 2024'!AU48/'Supply 2024'!AU$76</f>
        <v>6.6827011389918051E-3</v>
      </c>
      <c r="AV47" s="12">
        <f>'Supply 2024'!AV48/'Supply 2024'!AV$76</f>
        <v>0.99184410596849493</v>
      </c>
      <c r="AW47" s="12">
        <f>'Supply 2024'!AW48/'Supply 2024'!AW$76</f>
        <v>0</v>
      </c>
      <c r="AX47" s="12">
        <f>'Supply 2024'!AX48/'Supply 2024'!AX$76</f>
        <v>0</v>
      </c>
      <c r="AY47" s="12">
        <f>'Supply 2024'!AY48/'Supply 2024'!AY$76</f>
        <v>2.0671364881843357E-4</v>
      </c>
      <c r="AZ47" s="12">
        <f>'Supply 2024'!AZ48/'Supply 2024'!AZ$76</f>
        <v>1.2461749352681354E-3</v>
      </c>
      <c r="BA47" s="12">
        <f>'Supply 2024'!BA48/'Supply 2024'!BA$76</f>
        <v>0</v>
      </c>
      <c r="BB47" s="12">
        <f>'Supply 2024'!BB48/'Supply 2024'!BB$76</f>
        <v>0</v>
      </c>
      <c r="BC47" s="12">
        <f>'Supply 2024'!BC48/'Supply 2024'!BC$76</f>
        <v>0</v>
      </c>
      <c r="BD47" s="12">
        <f>'Supply 2024'!BD48/'Supply 2024'!BD$76</f>
        <v>0</v>
      </c>
      <c r="BE47" s="12">
        <f>'Supply 2024'!BE48/'Supply 2024'!BE$76</f>
        <v>1.5137343147754025E-4</v>
      </c>
      <c r="BF47" s="12">
        <f>'Supply 2024'!BF48/'Supply 2024'!BF$76</f>
        <v>0</v>
      </c>
      <c r="BG47" s="12">
        <f>'Supply 2024'!BG48/'Supply 2024'!BG$76</f>
        <v>2.508247887711406E-4</v>
      </c>
      <c r="BH47" s="12">
        <f>'Supply 2024'!BH48/'Supply 2024'!BH$76</f>
        <v>0</v>
      </c>
      <c r="BI47" s="12">
        <f>'Supply 2024'!BI48/'Supply 2024'!BI$76</f>
        <v>0</v>
      </c>
      <c r="BJ47" s="12">
        <f>'Supply 2024'!BJ48/'Supply 2024'!BJ$76</f>
        <v>0</v>
      </c>
      <c r="BK47" s="12">
        <f>'Supply 2024'!BK48/'Supply 2024'!BK$76</f>
        <v>0</v>
      </c>
      <c r="BL47" s="12">
        <f>'Supply 2024'!BL48/'Supply 2024'!BL$76</f>
        <v>0</v>
      </c>
      <c r="BM47" s="12">
        <f>'Supply 2024'!BM48/'Supply 2024'!BM$76</f>
        <v>0</v>
      </c>
      <c r="BN47" s="12">
        <f>'Supply 2024'!BN48/'Supply 2024'!BN$76</f>
        <v>0</v>
      </c>
      <c r="BO47" s="12">
        <f>'Supply 2024'!BO48/'Supply 2024'!BO$76</f>
        <v>0</v>
      </c>
      <c r="BP47" s="12">
        <f>'Supply 2024'!BP48/'Supply 2024'!BP$76</f>
        <v>0</v>
      </c>
      <c r="BQ47" s="12">
        <f>'Supply 2024'!BQ48/'Supply 2024'!BQ$76</f>
        <v>0</v>
      </c>
      <c r="BR47" s="12">
        <f>'Supply 2024'!BR48/'Supply 2024'!BR$76</f>
        <v>0</v>
      </c>
      <c r="BS47" s="12">
        <f>'Supply 2024'!BS48/'Supply 2024'!BS$76</f>
        <v>9.5136395350815986E-2</v>
      </c>
      <c r="BT47" s="12">
        <f>'Supply 2024'!BT48/'Supply 2024'!BT$76</f>
        <v>0</v>
      </c>
      <c r="BU47" s="12">
        <f>'Supply 2024'!BU48/'Supply 2024'!BU$76</f>
        <v>1.0114161502483836E-3</v>
      </c>
      <c r="BV47" s="12">
        <f>'Supply 2024'!BV48/'Supply 2024'!BV$76</f>
        <v>3.02457073460023E-2</v>
      </c>
      <c r="BW47" s="12">
        <f>'Supply 2024'!BW48/'Supply 2024'!BW$76</f>
        <v>2.5655357668134569E-2</v>
      </c>
      <c r="BX47" s="12">
        <f>'Supply 2024'!BX48/'Supply 2024'!BX$76</f>
        <v>3.1702722016501005E-2</v>
      </c>
      <c r="BY47" s="12">
        <f>'Supply 2024'!BY48/'Supply 2024'!BY$76</f>
        <v>2.992577783816017E-2</v>
      </c>
      <c r="BZ47" s="12">
        <f>'Supply 2024'!BZ48/'Supply 2024'!BZ$76</f>
        <v>0</v>
      </c>
      <c r="CA47" s="12" t="e">
        <f>'Supply 2024'!CA48/'Supply 2024'!CA$76</f>
        <v>#DIV/0!</v>
      </c>
      <c r="CB47" s="12">
        <f>'Supply 2024'!CB48/'Supply 2024'!CB$76</f>
        <v>0</v>
      </c>
      <c r="CC47" s="12">
        <f>'Supply 2024'!CC48/'Supply 2024'!CC$76</f>
        <v>0</v>
      </c>
      <c r="CD47" s="12">
        <f>'Supply 2024'!CD48/'Supply 2024'!CD$76</f>
        <v>3.869323242413357E-2</v>
      </c>
      <c r="CE47" s="12">
        <f>'Supply 2024'!CE48/'Supply 2024'!CE$76</f>
        <v>7.6626079949863465E-2</v>
      </c>
      <c r="CF47" s="12">
        <f>'Supply 2024'!CF48/'Supply 2024'!CF$76</f>
        <v>3.2136161991278063E-2</v>
      </c>
      <c r="CG47" s="12">
        <f>'Supply 2024'!CG48/'Supply 2024'!CG$76</f>
        <v>2.9966835294409074E-2</v>
      </c>
    </row>
    <row r="48" spans="1:85" x14ac:dyDescent="0.25">
      <c r="A48" t="s">
        <v>47</v>
      </c>
      <c r="B48" t="s">
        <v>140</v>
      </c>
      <c r="C48" s="12">
        <f>'Supply 2024'!C49/'Supply 2024'!C$76</f>
        <v>0</v>
      </c>
      <c r="D48" s="12">
        <f>'Supply 2024'!D49/'Supply 2024'!D$76</f>
        <v>0</v>
      </c>
      <c r="E48" s="12">
        <f>'Supply 2024'!E49/'Supply 2024'!E$76</f>
        <v>0</v>
      </c>
      <c r="F48" s="12">
        <f>'Supply 2024'!F49/'Supply 2024'!F$76</f>
        <v>0</v>
      </c>
      <c r="G48" s="12">
        <f>'Supply 2024'!G49/'Supply 2024'!G$76</f>
        <v>0</v>
      </c>
      <c r="H48" s="12">
        <f>'Supply 2024'!H49/'Supply 2024'!H$76</f>
        <v>0</v>
      </c>
      <c r="I48" s="12">
        <f>'Supply 2024'!I49/'Supply 2024'!I$76</f>
        <v>0</v>
      </c>
      <c r="J48" s="12">
        <f>'Supply 2024'!J49/'Supply 2024'!J$76</f>
        <v>0</v>
      </c>
      <c r="K48" s="12">
        <f>'Supply 2024'!K49/'Supply 2024'!K$76</f>
        <v>0</v>
      </c>
      <c r="L48" s="12">
        <f>'Supply 2024'!L49/'Supply 2024'!L$76</f>
        <v>0</v>
      </c>
      <c r="M48" s="12">
        <f>'Supply 2024'!M49/'Supply 2024'!M$76</f>
        <v>0</v>
      </c>
      <c r="N48" s="12">
        <f>'Supply 2024'!N49/'Supply 2024'!N$76</f>
        <v>0</v>
      </c>
      <c r="O48" s="12">
        <f>'Supply 2024'!O49/'Supply 2024'!O$76</f>
        <v>0</v>
      </c>
      <c r="P48" s="12">
        <f>'Supply 2024'!P49/'Supply 2024'!P$76</f>
        <v>0</v>
      </c>
      <c r="Q48" s="12">
        <f>'Supply 2024'!Q49/'Supply 2024'!Q$76</f>
        <v>0</v>
      </c>
      <c r="R48" s="12">
        <f>'Supply 2024'!R49/'Supply 2024'!R$76</f>
        <v>0</v>
      </c>
      <c r="S48" s="12">
        <f>'Supply 2024'!S49/'Supply 2024'!S$76</f>
        <v>0</v>
      </c>
      <c r="T48" s="12">
        <f>'Supply 2024'!T49/'Supply 2024'!T$76</f>
        <v>0</v>
      </c>
      <c r="U48" s="12">
        <f>'Supply 2024'!U49/'Supply 2024'!U$76</f>
        <v>0</v>
      </c>
      <c r="V48" s="12">
        <f>'Supply 2024'!V49/'Supply 2024'!V$76</f>
        <v>0</v>
      </c>
      <c r="W48" s="12">
        <f>'Supply 2024'!W49/'Supply 2024'!W$76</f>
        <v>0</v>
      </c>
      <c r="X48" s="12">
        <f>'Supply 2024'!X49/'Supply 2024'!X$76</f>
        <v>0</v>
      </c>
      <c r="Y48" s="12">
        <f>'Supply 2024'!Y49/'Supply 2024'!Y$76</f>
        <v>0</v>
      </c>
      <c r="Z48" s="12">
        <f>'Supply 2024'!Z49/'Supply 2024'!Z$76</f>
        <v>0</v>
      </c>
      <c r="AA48" s="12">
        <f>'Supply 2024'!AA49/'Supply 2024'!AA$76</f>
        <v>0</v>
      </c>
      <c r="AB48" s="12">
        <f>'Supply 2024'!AB49/'Supply 2024'!AB$76</f>
        <v>0</v>
      </c>
      <c r="AC48" s="12">
        <f>'Supply 2024'!AC49/'Supply 2024'!AC$76</f>
        <v>0</v>
      </c>
      <c r="AD48" s="12">
        <f>'Supply 2024'!AD49/'Supply 2024'!AD$76</f>
        <v>0</v>
      </c>
      <c r="AE48" s="12">
        <f>'Supply 2024'!AE49/'Supply 2024'!AE$76</f>
        <v>0</v>
      </c>
      <c r="AF48" s="12">
        <f>'Supply 2024'!AF49/'Supply 2024'!AF$76</f>
        <v>0</v>
      </c>
      <c r="AG48" s="12">
        <f>'Supply 2024'!AG49/'Supply 2024'!AG$76</f>
        <v>0</v>
      </c>
      <c r="AH48" s="12">
        <f>'Supply 2024'!AH49/'Supply 2024'!AH$76</f>
        <v>0</v>
      </c>
      <c r="AI48" s="12">
        <f>'Supply 2024'!AI49/'Supply 2024'!AI$76</f>
        <v>0</v>
      </c>
      <c r="AJ48" s="12">
        <f>'Supply 2024'!AJ49/'Supply 2024'!AJ$76</f>
        <v>0</v>
      </c>
      <c r="AK48" s="12">
        <f>'Supply 2024'!AK49/'Supply 2024'!AK$76</f>
        <v>0</v>
      </c>
      <c r="AL48" s="12">
        <f>'Supply 2024'!AL49/'Supply 2024'!AL$76</f>
        <v>0</v>
      </c>
      <c r="AM48" s="12">
        <f>'Supply 2024'!AM49/'Supply 2024'!AM$76</f>
        <v>0</v>
      </c>
      <c r="AN48" s="12">
        <f>'Supply 2024'!AN49/'Supply 2024'!AN$76</f>
        <v>0</v>
      </c>
      <c r="AO48" s="12">
        <f>'Supply 2024'!AO49/'Supply 2024'!AO$76</f>
        <v>0</v>
      </c>
      <c r="AP48" s="12">
        <f>'Supply 2024'!AP49/'Supply 2024'!AP$76</f>
        <v>0</v>
      </c>
      <c r="AQ48" s="12">
        <f>'Supply 2024'!AQ49/'Supply 2024'!AQ$76</f>
        <v>0</v>
      </c>
      <c r="AR48" s="12">
        <f>'Supply 2024'!AR49/'Supply 2024'!AR$76</f>
        <v>0</v>
      </c>
      <c r="AS48" s="12">
        <f>'Supply 2024'!AS49/'Supply 2024'!AS$76</f>
        <v>0</v>
      </c>
      <c r="AT48" s="12">
        <f>'Supply 2024'!AT49/'Supply 2024'!AT$76</f>
        <v>0</v>
      </c>
      <c r="AU48" s="12">
        <f>'Supply 2024'!AU49/'Supply 2024'!AU$76</f>
        <v>0</v>
      </c>
      <c r="AV48" s="12">
        <f>'Supply 2024'!AV49/'Supply 2024'!AV$76</f>
        <v>0</v>
      </c>
      <c r="AW48" s="12">
        <f>'Supply 2024'!AW49/'Supply 2024'!AW$76</f>
        <v>0.99989041013063873</v>
      </c>
      <c r="AX48" s="12">
        <f>'Supply 2024'!AX49/'Supply 2024'!AX$76</f>
        <v>0</v>
      </c>
      <c r="AY48" s="12">
        <f>'Supply 2024'!AY49/'Supply 2024'!AY$76</f>
        <v>0</v>
      </c>
      <c r="AZ48" s="12">
        <f>'Supply 2024'!AZ49/'Supply 2024'!AZ$76</f>
        <v>0</v>
      </c>
      <c r="BA48" s="12">
        <f>'Supply 2024'!BA49/'Supply 2024'!BA$76</f>
        <v>0</v>
      </c>
      <c r="BB48" s="12">
        <f>'Supply 2024'!BB49/'Supply 2024'!BB$76</f>
        <v>0</v>
      </c>
      <c r="BC48" s="12">
        <f>'Supply 2024'!BC49/'Supply 2024'!BC$76</f>
        <v>0</v>
      </c>
      <c r="BD48" s="12">
        <f>'Supply 2024'!BD49/'Supply 2024'!BD$76</f>
        <v>0</v>
      </c>
      <c r="BE48" s="12">
        <f>'Supply 2024'!BE49/'Supply 2024'!BE$76</f>
        <v>0</v>
      </c>
      <c r="BF48" s="12">
        <f>'Supply 2024'!BF49/'Supply 2024'!BF$76</f>
        <v>0</v>
      </c>
      <c r="BG48" s="12">
        <f>'Supply 2024'!BG49/'Supply 2024'!BG$76</f>
        <v>0</v>
      </c>
      <c r="BH48" s="12">
        <f>'Supply 2024'!BH49/'Supply 2024'!BH$76</f>
        <v>0</v>
      </c>
      <c r="BI48" s="12">
        <f>'Supply 2024'!BI49/'Supply 2024'!BI$76</f>
        <v>0</v>
      </c>
      <c r="BJ48" s="12">
        <f>'Supply 2024'!BJ49/'Supply 2024'!BJ$76</f>
        <v>0</v>
      </c>
      <c r="BK48" s="12">
        <f>'Supply 2024'!BK49/'Supply 2024'!BK$76</f>
        <v>0</v>
      </c>
      <c r="BL48" s="12">
        <f>'Supply 2024'!BL49/'Supply 2024'!BL$76</f>
        <v>0</v>
      </c>
      <c r="BM48" s="12">
        <f>'Supply 2024'!BM49/'Supply 2024'!BM$76</f>
        <v>0</v>
      </c>
      <c r="BN48" s="12">
        <f>'Supply 2024'!BN49/'Supply 2024'!BN$76</f>
        <v>0</v>
      </c>
      <c r="BO48" s="12">
        <f>'Supply 2024'!BO49/'Supply 2024'!BO$76</f>
        <v>0</v>
      </c>
      <c r="BP48" s="12">
        <f>'Supply 2024'!BP49/'Supply 2024'!BP$76</f>
        <v>0</v>
      </c>
      <c r="BQ48" s="12">
        <f>'Supply 2024'!BQ49/'Supply 2024'!BQ$76</f>
        <v>0</v>
      </c>
      <c r="BR48" s="12">
        <f>'Supply 2024'!BR49/'Supply 2024'!BR$76</f>
        <v>-2.2236057991639243E-5</v>
      </c>
      <c r="BS48" s="12">
        <f>'Supply 2024'!BS49/'Supply 2024'!BS$76</f>
        <v>0</v>
      </c>
      <c r="BT48" s="12">
        <f>'Supply 2024'!BT49/'Supply 2024'!BT$76</f>
        <v>1.2881717012286038E-2</v>
      </c>
      <c r="BU48" s="12">
        <f>'Supply 2024'!BU49/'Supply 2024'!BU$76</f>
        <v>0</v>
      </c>
      <c r="BV48" s="12">
        <f>'Supply 2024'!BV49/'Supply 2024'!BV$76</f>
        <v>6.1748497724440398E-3</v>
      </c>
      <c r="BW48" s="12">
        <f>'Supply 2024'!BW49/'Supply 2024'!BW$76</f>
        <v>0</v>
      </c>
      <c r="BX48" s="12">
        <f>'Supply 2024'!BX49/'Supply 2024'!BX$76</f>
        <v>0</v>
      </c>
      <c r="BY48" s="12">
        <f>'Supply 2024'!BY49/'Supply 2024'!BY$76</f>
        <v>5.7492011274464794E-3</v>
      </c>
      <c r="BZ48" s="12">
        <f>'Supply 2024'!BZ49/'Supply 2024'!BZ$76</f>
        <v>0</v>
      </c>
      <c r="CA48" s="12" t="e">
        <f>'Supply 2024'!CA49/'Supply 2024'!CA$76</f>
        <v>#DIV/0!</v>
      </c>
      <c r="CB48" s="12">
        <f>'Supply 2024'!CB49/'Supply 2024'!CB$76</f>
        <v>0</v>
      </c>
      <c r="CC48" s="12">
        <f>'Supply 2024'!CC49/'Supply 2024'!CC$76</f>
        <v>0</v>
      </c>
      <c r="CD48" s="12">
        <f>'Supply 2024'!CD49/'Supply 2024'!CD$76</f>
        <v>1.1317839375255266E-4</v>
      </c>
      <c r="CE48" s="12">
        <f>'Supply 2024'!CE49/'Supply 2024'!CE$76</f>
        <v>0</v>
      </c>
      <c r="CF48" s="12">
        <f>'Supply 2024'!CF49/'Supply 2024'!CF$76</f>
        <v>1.1382464669819444E-4</v>
      </c>
      <c r="CG48" s="12">
        <f>'Supply 2024'!CG49/'Supply 2024'!CG$76</f>
        <v>5.644574969662663E-3</v>
      </c>
    </row>
    <row r="49" spans="1:85" x14ac:dyDescent="0.25">
      <c r="A49" t="s">
        <v>48</v>
      </c>
      <c r="B49" t="s">
        <v>141</v>
      </c>
      <c r="C49" s="12">
        <f>'Supply 2024'!C50/'Supply 2024'!C$76</f>
        <v>0</v>
      </c>
      <c r="D49" s="12">
        <f>'Supply 2024'!D50/'Supply 2024'!D$76</f>
        <v>0</v>
      </c>
      <c r="E49" s="12">
        <f>'Supply 2024'!E50/'Supply 2024'!E$76</f>
        <v>0</v>
      </c>
      <c r="F49" s="12">
        <f>'Supply 2024'!F50/'Supply 2024'!F$76</f>
        <v>0</v>
      </c>
      <c r="G49" s="12">
        <f>'Supply 2024'!G50/'Supply 2024'!G$76</f>
        <v>0</v>
      </c>
      <c r="H49" s="12">
        <f>'Supply 2024'!H50/'Supply 2024'!H$76</f>
        <v>0</v>
      </c>
      <c r="I49" s="12">
        <f>'Supply 2024'!I50/'Supply 2024'!I$76</f>
        <v>0</v>
      </c>
      <c r="J49" s="12">
        <f>'Supply 2024'!J50/'Supply 2024'!J$76</f>
        <v>0</v>
      </c>
      <c r="K49" s="12">
        <f>'Supply 2024'!K50/'Supply 2024'!K$76</f>
        <v>0</v>
      </c>
      <c r="L49" s="12">
        <f>'Supply 2024'!L50/'Supply 2024'!L$76</f>
        <v>0</v>
      </c>
      <c r="M49" s="12">
        <f>'Supply 2024'!M50/'Supply 2024'!M$76</f>
        <v>0</v>
      </c>
      <c r="N49" s="12">
        <f>'Supply 2024'!N50/'Supply 2024'!N$76</f>
        <v>0</v>
      </c>
      <c r="O49" s="12">
        <f>'Supply 2024'!O50/'Supply 2024'!O$76</f>
        <v>0</v>
      </c>
      <c r="P49" s="12">
        <f>'Supply 2024'!P50/'Supply 2024'!P$76</f>
        <v>0</v>
      </c>
      <c r="Q49" s="12">
        <f>'Supply 2024'!Q50/'Supply 2024'!Q$76</f>
        <v>0</v>
      </c>
      <c r="R49" s="12">
        <f>'Supply 2024'!R50/'Supply 2024'!R$76</f>
        <v>0</v>
      </c>
      <c r="S49" s="12">
        <f>'Supply 2024'!S50/'Supply 2024'!S$76</f>
        <v>0</v>
      </c>
      <c r="T49" s="12">
        <f>'Supply 2024'!T50/'Supply 2024'!T$76</f>
        <v>0</v>
      </c>
      <c r="U49" s="12">
        <f>'Supply 2024'!U50/'Supply 2024'!U$76</f>
        <v>0</v>
      </c>
      <c r="V49" s="12">
        <f>'Supply 2024'!V50/'Supply 2024'!V$76</f>
        <v>0</v>
      </c>
      <c r="W49" s="12">
        <f>'Supply 2024'!W50/'Supply 2024'!W$76</f>
        <v>0</v>
      </c>
      <c r="X49" s="12">
        <f>'Supply 2024'!X50/'Supply 2024'!X$76</f>
        <v>0</v>
      </c>
      <c r="Y49" s="12">
        <f>'Supply 2024'!Y50/'Supply 2024'!Y$76</f>
        <v>0</v>
      </c>
      <c r="Z49" s="12">
        <f>'Supply 2024'!Z50/'Supply 2024'!Z$76</f>
        <v>0</v>
      </c>
      <c r="AA49" s="12">
        <f>'Supply 2024'!AA50/'Supply 2024'!AA$76</f>
        <v>0</v>
      </c>
      <c r="AB49" s="12">
        <f>'Supply 2024'!AB50/'Supply 2024'!AB$76</f>
        <v>0</v>
      </c>
      <c r="AC49" s="12">
        <f>'Supply 2024'!AC50/'Supply 2024'!AC$76</f>
        <v>0</v>
      </c>
      <c r="AD49" s="12">
        <f>'Supply 2024'!AD50/'Supply 2024'!AD$76</f>
        <v>0</v>
      </c>
      <c r="AE49" s="12">
        <f>'Supply 2024'!AE50/'Supply 2024'!AE$76</f>
        <v>0</v>
      </c>
      <c r="AF49" s="12">
        <f>'Supply 2024'!AF50/'Supply 2024'!AF$76</f>
        <v>0</v>
      </c>
      <c r="AG49" s="12">
        <f>'Supply 2024'!AG50/'Supply 2024'!AG$76</f>
        <v>0</v>
      </c>
      <c r="AH49" s="12">
        <f>'Supply 2024'!AH50/'Supply 2024'!AH$76</f>
        <v>0</v>
      </c>
      <c r="AI49" s="12">
        <f>'Supply 2024'!AI50/'Supply 2024'!AI$76</f>
        <v>0</v>
      </c>
      <c r="AJ49" s="12">
        <f>'Supply 2024'!AJ50/'Supply 2024'!AJ$76</f>
        <v>0</v>
      </c>
      <c r="AK49" s="12">
        <f>'Supply 2024'!AK50/'Supply 2024'!AK$76</f>
        <v>0</v>
      </c>
      <c r="AL49" s="12">
        <f>'Supply 2024'!AL50/'Supply 2024'!AL$76</f>
        <v>0</v>
      </c>
      <c r="AM49" s="12">
        <f>'Supply 2024'!AM50/'Supply 2024'!AM$76</f>
        <v>0</v>
      </c>
      <c r="AN49" s="12">
        <f>'Supply 2024'!AN50/'Supply 2024'!AN$76</f>
        <v>0</v>
      </c>
      <c r="AO49" s="12">
        <f>'Supply 2024'!AO50/'Supply 2024'!AO$76</f>
        <v>0</v>
      </c>
      <c r="AP49" s="12">
        <f>'Supply 2024'!AP50/'Supply 2024'!AP$76</f>
        <v>0</v>
      </c>
      <c r="AQ49" s="12">
        <f>'Supply 2024'!AQ50/'Supply 2024'!AQ$76</f>
        <v>0</v>
      </c>
      <c r="AR49" s="12">
        <f>'Supply 2024'!AR50/'Supply 2024'!AR$76</f>
        <v>0</v>
      </c>
      <c r="AS49" s="12">
        <f>'Supply 2024'!AS50/'Supply 2024'!AS$76</f>
        <v>0</v>
      </c>
      <c r="AT49" s="12">
        <f>'Supply 2024'!AT50/'Supply 2024'!AT$76</f>
        <v>0</v>
      </c>
      <c r="AU49" s="12">
        <f>'Supply 2024'!AU50/'Supply 2024'!AU$76</f>
        <v>0</v>
      </c>
      <c r="AV49" s="12">
        <f>'Supply 2024'!AV50/'Supply 2024'!AV$76</f>
        <v>0</v>
      </c>
      <c r="AW49" s="12">
        <f>'Supply 2024'!AW50/'Supply 2024'!AW$76</f>
        <v>0</v>
      </c>
      <c r="AX49" s="12">
        <f>'Supply 2024'!AX50/'Supply 2024'!AX$76</f>
        <v>0.99063999939861458</v>
      </c>
      <c r="AY49" s="12">
        <f>'Supply 2024'!AY50/'Supply 2024'!AY$76</f>
        <v>0</v>
      </c>
      <c r="AZ49" s="12">
        <f>'Supply 2024'!AZ50/'Supply 2024'!AZ$76</f>
        <v>0</v>
      </c>
      <c r="BA49" s="12">
        <f>'Supply 2024'!BA50/'Supply 2024'!BA$76</f>
        <v>0</v>
      </c>
      <c r="BB49" s="12">
        <f>'Supply 2024'!BB50/'Supply 2024'!BB$76</f>
        <v>0</v>
      </c>
      <c r="BC49" s="12">
        <f>'Supply 2024'!BC50/'Supply 2024'!BC$76</f>
        <v>0</v>
      </c>
      <c r="BD49" s="12">
        <f>'Supply 2024'!BD50/'Supply 2024'!BD$76</f>
        <v>0</v>
      </c>
      <c r="BE49" s="12">
        <f>'Supply 2024'!BE50/'Supply 2024'!BE$76</f>
        <v>0</v>
      </c>
      <c r="BF49" s="12">
        <f>'Supply 2024'!BF50/'Supply 2024'!BF$76</f>
        <v>0</v>
      </c>
      <c r="BG49" s="12">
        <f>'Supply 2024'!BG50/'Supply 2024'!BG$76</f>
        <v>0</v>
      </c>
      <c r="BH49" s="12">
        <f>'Supply 2024'!BH50/'Supply 2024'!BH$76</f>
        <v>0</v>
      </c>
      <c r="BI49" s="12">
        <f>'Supply 2024'!BI50/'Supply 2024'!BI$76</f>
        <v>0</v>
      </c>
      <c r="BJ49" s="12">
        <f>'Supply 2024'!BJ50/'Supply 2024'!BJ$76</f>
        <v>0</v>
      </c>
      <c r="BK49" s="12">
        <f>'Supply 2024'!BK50/'Supply 2024'!BK$76</f>
        <v>0</v>
      </c>
      <c r="BL49" s="12">
        <f>'Supply 2024'!BL50/'Supply 2024'!BL$76</f>
        <v>0</v>
      </c>
      <c r="BM49" s="12">
        <f>'Supply 2024'!BM50/'Supply 2024'!BM$76</f>
        <v>0</v>
      </c>
      <c r="BN49" s="12">
        <f>'Supply 2024'!BN50/'Supply 2024'!BN$76</f>
        <v>0</v>
      </c>
      <c r="BO49" s="12">
        <f>'Supply 2024'!BO50/'Supply 2024'!BO$76</f>
        <v>0</v>
      </c>
      <c r="BP49" s="12">
        <f>'Supply 2024'!BP50/'Supply 2024'!BP$76</f>
        <v>0</v>
      </c>
      <c r="BQ49" s="12">
        <f>'Supply 2024'!BQ50/'Supply 2024'!BQ$76</f>
        <v>0</v>
      </c>
      <c r="BR49" s="12">
        <f>'Supply 2024'!BR50/'Supply 2024'!BR$76</f>
        <v>0</v>
      </c>
      <c r="BS49" s="12">
        <f>'Supply 2024'!BS50/'Supply 2024'!BS$76</f>
        <v>0</v>
      </c>
      <c r="BT49" s="12">
        <f>'Supply 2024'!BT50/'Supply 2024'!BT$76</f>
        <v>0</v>
      </c>
      <c r="BU49" s="12">
        <f>'Supply 2024'!BU50/'Supply 2024'!BU$76</f>
        <v>8.0944956982217334E-2</v>
      </c>
      <c r="BV49" s="12">
        <f>'Supply 2024'!BV50/'Supply 2024'!BV$76</f>
        <v>6.4477077791740903E-2</v>
      </c>
      <c r="BW49" s="12">
        <f>'Supply 2024'!BW50/'Supply 2024'!BW$76</f>
        <v>0</v>
      </c>
      <c r="BX49" s="12">
        <f>'Supply 2024'!BX50/'Supply 2024'!BX$76</f>
        <v>0</v>
      </c>
      <c r="BY49" s="12">
        <f>'Supply 2024'!BY50/'Supply 2024'!BY$76</f>
        <v>6.0032503136996852E-2</v>
      </c>
      <c r="BZ49" s="12">
        <f>'Supply 2024'!BZ50/'Supply 2024'!BZ$76</f>
        <v>0</v>
      </c>
      <c r="CA49" s="12" t="e">
        <f>'Supply 2024'!CA50/'Supply 2024'!CA$76</f>
        <v>#DIV/0!</v>
      </c>
      <c r="CB49" s="12">
        <f>'Supply 2024'!CB50/'Supply 2024'!CB$76</f>
        <v>0</v>
      </c>
      <c r="CC49" s="12">
        <f>'Supply 2024'!CC50/'Supply 2024'!CC$76</f>
        <v>0</v>
      </c>
      <c r="CD49" s="12">
        <f>'Supply 2024'!CD50/'Supply 2024'!CD$76</f>
        <v>0</v>
      </c>
      <c r="CE49" s="12">
        <f>'Supply 2024'!CE50/'Supply 2024'!CE$76</f>
        <v>0.69956130534043603</v>
      </c>
      <c r="CF49" s="12">
        <f>'Supply 2024'!CF50/'Supply 2024'!CF$76</f>
        <v>-6.1871118826992477E-2</v>
      </c>
      <c r="CG49" s="12">
        <f>'Supply 2024'!CG50/'Supply 2024'!CG$76</f>
        <v>5.7769224984955368E-2</v>
      </c>
    </row>
    <row r="50" spans="1:85" x14ac:dyDescent="0.25">
      <c r="A50" t="s">
        <v>49</v>
      </c>
      <c r="B50" t="s">
        <v>142</v>
      </c>
      <c r="C50" s="12">
        <f>'Supply 2024'!C51/'Supply 2024'!C$76</f>
        <v>0</v>
      </c>
      <c r="D50" s="12">
        <f>'Supply 2024'!D51/'Supply 2024'!D$76</f>
        <v>0</v>
      </c>
      <c r="E50" s="12">
        <f>'Supply 2024'!E51/'Supply 2024'!E$76</f>
        <v>0</v>
      </c>
      <c r="F50" s="12">
        <f>'Supply 2024'!F51/'Supply 2024'!F$76</f>
        <v>0</v>
      </c>
      <c r="G50" s="12">
        <f>'Supply 2024'!G51/'Supply 2024'!G$76</f>
        <v>0</v>
      </c>
      <c r="H50" s="12">
        <f>'Supply 2024'!H51/'Supply 2024'!H$76</f>
        <v>0</v>
      </c>
      <c r="I50" s="12">
        <f>'Supply 2024'!I51/'Supply 2024'!I$76</f>
        <v>0</v>
      </c>
      <c r="J50" s="12">
        <f>'Supply 2024'!J51/'Supply 2024'!J$76</f>
        <v>0</v>
      </c>
      <c r="K50" s="12">
        <f>'Supply 2024'!K51/'Supply 2024'!K$76</f>
        <v>0</v>
      </c>
      <c r="L50" s="12">
        <f>'Supply 2024'!L51/'Supply 2024'!L$76</f>
        <v>0</v>
      </c>
      <c r="M50" s="12">
        <f>'Supply 2024'!M51/'Supply 2024'!M$76</f>
        <v>0</v>
      </c>
      <c r="N50" s="12">
        <f>'Supply 2024'!N51/'Supply 2024'!N$76</f>
        <v>0</v>
      </c>
      <c r="O50" s="12">
        <f>'Supply 2024'!O51/'Supply 2024'!O$76</f>
        <v>0</v>
      </c>
      <c r="P50" s="12">
        <f>'Supply 2024'!P51/'Supply 2024'!P$76</f>
        <v>0</v>
      </c>
      <c r="Q50" s="12">
        <f>'Supply 2024'!Q51/'Supply 2024'!Q$76</f>
        <v>0</v>
      </c>
      <c r="R50" s="12">
        <f>'Supply 2024'!R51/'Supply 2024'!R$76</f>
        <v>0</v>
      </c>
      <c r="S50" s="12">
        <f>'Supply 2024'!S51/'Supply 2024'!S$76</f>
        <v>0</v>
      </c>
      <c r="T50" s="12">
        <f>'Supply 2024'!T51/'Supply 2024'!T$76</f>
        <v>0</v>
      </c>
      <c r="U50" s="12">
        <f>'Supply 2024'!U51/'Supply 2024'!U$76</f>
        <v>0</v>
      </c>
      <c r="V50" s="12">
        <f>'Supply 2024'!V51/'Supply 2024'!V$76</f>
        <v>0</v>
      </c>
      <c r="W50" s="12">
        <f>'Supply 2024'!W51/'Supply 2024'!W$76</f>
        <v>0</v>
      </c>
      <c r="X50" s="12">
        <f>'Supply 2024'!X51/'Supply 2024'!X$76</f>
        <v>0</v>
      </c>
      <c r="Y50" s="12">
        <f>'Supply 2024'!Y51/'Supply 2024'!Y$76</f>
        <v>0</v>
      </c>
      <c r="Z50" s="12">
        <f>'Supply 2024'!Z51/'Supply 2024'!Z$76</f>
        <v>0</v>
      </c>
      <c r="AA50" s="12">
        <f>'Supply 2024'!AA51/'Supply 2024'!AA$76</f>
        <v>0</v>
      </c>
      <c r="AB50" s="12">
        <f>'Supply 2024'!AB51/'Supply 2024'!AB$76</f>
        <v>0</v>
      </c>
      <c r="AC50" s="12">
        <f>'Supply 2024'!AC51/'Supply 2024'!AC$76</f>
        <v>0</v>
      </c>
      <c r="AD50" s="12">
        <f>'Supply 2024'!AD51/'Supply 2024'!AD$76</f>
        <v>0</v>
      </c>
      <c r="AE50" s="12">
        <f>'Supply 2024'!AE51/'Supply 2024'!AE$76</f>
        <v>0</v>
      </c>
      <c r="AF50" s="12">
        <f>'Supply 2024'!AF51/'Supply 2024'!AF$76</f>
        <v>0</v>
      </c>
      <c r="AG50" s="12">
        <f>'Supply 2024'!AG51/'Supply 2024'!AG$76</f>
        <v>0</v>
      </c>
      <c r="AH50" s="12">
        <f>'Supply 2024'!AH51/'Supply 2024'!AH$76</f>
        <v>0</v>
      </c>
      <c r="AI50" s="12">
        <f>'Supply 2024'!AI51/'Supply 2024'!AI$76</f>
        <v>0</v>
      </c>
      <c r="AJ50" s="12">
        <f>'Supply 2024'!AJ51/'Supply 2024'!AJ$76</f>
        <v>0</v>
      </c>
      <c r="AK50" s="12">
        <f>'Supply 2024'!AK51/'Supply 2024'!AK$76</f>
        <v>0</v>
      </c>
      <c r="AL50" s="12">
        <f>'Supply 2024'!AL51/'Supply 2024'!AL$76</f>
        <v>0</v>
      </c>
      <c r="AM50" s="12">
        <f>'Supply 2024'!AM51/'Supply 2024'!AM$76</f>
        <v>0</v>
      </c>
      <c r="AN50" s="12">
        <f>'Supply 2024'!AN51/'Supply 2024'!AN$76</f>
        <v>0</v>
      </c>
      <c r="AO50" s="12">
        <f>'Supply 2024'!AO51/'Supply 2024'!AO$76</f>
        <v>0</v>
      </c>
      <c r="AP50" s="12">
        <f>'Supply 2024'!AP51/'Supply 2024'!AP$76</f>
        <v>0</v>
      </c>
      <c r="AQ50" s="12">
        <f>'Supply 2024'!AQ51/'Supply 2024'!AQ$76</f>
        <v>6.2359629934571111E-4</v>
      </c>
      <c r="AR50" s="12">
        <f>'Supply 2024'!AR51/'Supply 2024'!AR$76</f>
        <v>0</v>
      </c>
      <c r="AS50" s="12">
        <f>'Supply 2024'!AS51/'Supply 2024'!AS$76</f>
        <v>0</v>
      </c>
      <c r="AT50" s="12">
        <f>'Supply 2024'!AT51/'Supply 2024'!AT$76</f>
        <v>0</v>
      </c>
      <c r="AU50" s="12">
        <f>'Supply 2024'!AU51/'Supply 2024'!AU$76</f>
        <v>0</v>
      </c>
      <c r="AV50" s="12">
        <f>'Supply 2024'!AV51/'Supply 2024'!AV$76</f>
        <v>0</v>
      </c>
      <c r="AW50" s="12">
        <f>'Supply 2024'!AW51/'Supply 2024'!AW$76</f>
        <v>0</v>
      </c>
      <c r="AX50" s="12">
        <f>'Supply 2024'!AX51/'Supply 2024'!AX$76</f>
        <v>0</v>
      </c>
      <c r="AY50" s="12">
        <f>'Supply 2024'!AY51/'Supply 2024'!AY$76</f>
        <v>0.99792602192532998</v>
      </c>
      <c r="AZ50" s="12">
        <f>'Supply 2024'!AZ51/'Supply 2024'!AZ$76</f>
        <v>2.3538859888398113E-3</v>
      </c>
      <c r="BA50" s="12">
        <f>'Supply 2024'!BA51/'Supply 2024'!BA$76</f>
        <v>0</v>
      </c>
      <c r="BB50" s="12">
        <f>'Supply 2024'!BB51/'Supply 2024'!BB$76</f>
        <v>0</v>
      </c>
      <c r="BC50" s="12">
        <f>'Supply 2024'!BC51/'Supply 2024'!BC$76</f>
        <v>0</v>
      </c>
      <c r="BD50" s="12">
        <f>'Supply 2024'!BD51/'Supply 2024'!BD$76</f>
        <v>0</v>
      </c>
      <c r="BE50" s="12">
        <f>'Supply 2024'!BE51/'Supply 2024'!BE$76</f>
        <v>2.8467242337567271E-4</v>
      </c>
      <c r="BF50" s="12">
        <f>'Supply 2024'!BF51/'Supply 2024'!BF$76</f>
        <v>0</v>
      </c>
      <c r="BG50" s="12">
        <f>'Supply 2024'!BG51/'Supply 2024'!BG$76</f>
        <v>1.5170854159544792E-4</v>
      </c>
      <c r="BH50" s="12">
        <f>'Supply 2024'!BH51/'Supply 2024'!BH$76</f>
        <v>0</v>
      </c>
      <c r="BI50" s="12">
        <f>'Supply 2024'!BI51/'Supply 2024'!BI$76</f>
        <v>0</v>
      </c>
      <c r="BJ50" s="12">
        <f>'Supply 2024'!BJ51/'Supply 2024'!BJ$76</f>
        <v>6.0748905497483882E-4</v>
      </c>
      <c r="BK50" s="12">
        <f>'Supply 2024'!BK51/'Supply 2024'!BK$76</f>
        <v>0</v>
      </c>
      <c r="BL50" s="12">
        <f>'Supply 2024'!BL51/'Supply 2024'!BL$76</f>
        <v>4.8118117990101419E-3</v>
      </c>
      <c r="BM50" s="12">
        <f>'Supply 2024'!BM51/'Supply 2024'!BM$76</f>
        <v>3.8170618276267527E-4</v>
      </c>
      <c r="BN50" s="12">
        <f>'Supply 2024'!BN51/'Supply 2024'!BN$76</f>
        <v>4.0014929648372064E-3</v>
      </c>
      <c r="BO50" s="12">
        <f>'Supply 2024'!BO51/'Supply 2024'!BO$76</f>
        <v>0</v>
      </c>
      <c r="BP50" s="12">
        <f>'Supply 2024'!BP51/'Supply 2024'!BP$76</f>
        <v>2.1457449551720831E-3</v>
      </c>
      <c r="BQ50" s="12">
        <f>'Supply 2024'!BQ51/'Supply 2024'!BQ$76</f>
        <v>0</v>
      </c>
      <c r="BR50" s="12">
        <f>'Supply 2024'!BR51/'Supply 2024'!BR$76</f>
        <v>0</v>
      </c>
      <c r="BS50" s="12">
        <f>'Supply 2024'!BS51/'Supply 2024'!BS$76</f>
        <v>7.5727924033830813E-3</v>
      </c>
      <c r="BT50" s="12">
        <f>'Supply 2024'!BT51/'Supply 2024'!BT$76</f>
        <v>0</v>
      </c>
      <c r="BU50" s="12">
        <f>'Supply 2024'!BU51/'Supply 2024'!BU$76</f>
        <v>8.5882828463448385E-2</v>
      </c>
      <c r="BV50" s="12">
        <f>'Supply 2024'!BV51/'Supply 2024'!BV$76</f>
        <v>4.216408523228083E-2</v>
      </c>
      <c r="BW50" s="12">
        <f>'Supply 2024'!BW51/'Supply 2024'!BW$76</f>
        <v>0</v>
      </c>
      <c r="BX50" s="12">
        <f>'Supply 2024'!BX51/'Supply 2024'!BX$76</f>
        <v>0</v>
      </c>
      <c r="BY50" s="12">
        <f>'Supply 2024'!BY51/'Supply 2024'!BY$76</f>
        <v>3.9257603875151648E-2</v>
      </c>
      <c r="BZ50" s="12">
        <f>'Supply 2024'!BZ51/'Supply 2024'!BZ$76</f>
        <v>0</v>
      </c>
      <c r="CA50" s="12" t="e">
        <f>'Supply 2024'!CA51/'Supply 2024'!CA$76</f>
        <v>#DIV/0!</v>
      </c>
      <c r="CB50" s="12">
        <f>'Supply 2024'!CB51/'Supply 2024'!CB$76</f>
        <v>0</v>
      </c>
      <c r="CC50" s="12">
        <f>'Supply 2024'!CC51/'Supply 2024'!CC$76</f>
        <v>0</v>
      </c>
      <c r="CD50" s="12">
        <f>'Supply 2024'!CD51/'Supply 2024'!CD$76</f>
        <v>1.8029810204754477E-3</v>
      </c>
      <c r="CE50" s="12">
        <f>'Supply 2024'!CE51/'Supply 2024'!CE$76</f>
        <v>1.3407045973409732E-2</v>
      </c>
      <c r="CF50" s="12">
        <f>'Supply 2024'!CF51/'Supply 2024'!CF$76</f>
        <v>6.2752022614482846E-4</v>
      </c>
      <c r="CG50" s="12">
        <f>'Supply 2024'!CG51/'Supply 2024'!CG$76</f>
        <v>3.8540417771354425E-2</v>
      </c>
    </row>
    <row r="51" spans="1:85" x14ac:dyDescent="0.25">
      <c r="A51" t="s">
        <v>50</v>
      </c>
      <c r="B51" t="s">
        <v>143</v>
      </c>
      <c r="C51" s="12">
        <f>'Supply 2024'!C52/'Supply 2024'!C$76</f>
        <v>0</v>
      </c>
      <c r="D51" s="12">
        <f>'Supply 2024'!D52/'Supply 2024'!D$76</f>
        <v>0</v>
      </c>
      <c r="E51" s="12">
        <f>'Supply 2024'!E52/'Supply 2024'!E$76</f>
        <v>0</v>
      </c>
      <c r="F51" s="12">
        <f>'Supply 2024'!F52/'Supply 2024'!F$76</f>
        <v>0</v>
      </c>
      <c r="G51" s="12">
        <f>'Supply 2024'!G52/'Supply 2024'!G$76</f>
        <v>0</v>
      </c>
      <c r="H51" s="12">
        <f>'Supply 2024'!H52/'Supply 2024'!H$76</f>
        <v>0</v>
      </c>
      <c r="I51" s="12">
        <f>'Supply 2024'!I52/'Supply 2024'!I$76</f>
        <v>0</v>
      </c>
      <c r="J51" s="12">
        <f>'Supply 2024'!J52/'Supply 2024'!J$76</f>
        <v>0</v>
      </c>
      <c r="K51" s="12">
        <f>'Supply 2024'!K52/'Supply 2024'!K$76</f>
        <v>0</v>
      </c>
      <c r="L51" s="12">
        <f>'Supply 2024'!L52/'Supply 2024'!L$76</f>
        <v>0</v>
      </c>
      <c r="M51" s="12">
        <f>'Supply 2024'!M52/'Supply 2024'!M$76</f>
        <v>0</v>
      </c>
      <c r="N51" s="12">
        <f>'Supply 2024'!N52/'Supply 2024'!N$76</f>
        <v>2.5206521614592284E-5</v>
      </c>
      <c r="O51" s="12">
        <f>'Supply 2024'!O52/'Supply 2024'!O$76</f>
        <v>0</v>
      </c>
      <c r="P51" s="12">
        <f>'Supply 2024'!P52/'Supply 2024'!P$76</f>
        <v>0</v>
      </c>
      <c r="Q51" s="12">
        <f>'Supply 2024'!Q52/'Supply 2024'!Q$76</f>
        <v>0</v>
      </c>
      <c r="R51" s="12">
        <f>'Supply 2024'!R52/'Supply 2024'!R$76</f>
        <v>0</v>
      </c>
      <c r="S51" s="12">
        <f>'Supply 2024'!S52/'Supply 2024'!S$76</f>
        <v>0</v>
      </c>
      <c r="T51" s="12">
        <f>'Supply 2024'!T52/'Supply 2024'!T$76</f>
        <v>0</v>
      </c>
      <c r="U51" s="12">
        <f>'Supply 2024'!U52/'Supply 2024'!U$76</f>
        <v>0</v>
      </c>
      <c r="V51" s="12">
        <f>'Supply 2024'!V52/'Supply 2024'!V$76</f>
        <v>0</v>
      </c>
      <c r="W51" s="12">
        <f>'Supply 2024'!W52/'Supply 2024'!W$76</f>
        <v>0</v>
      </c>
      <c r="X51" s="12">
        <f>'Supply 2024'!X52/'Supply 2024'!X$76</f>
        <v>0</v>
      </c>
      <c r="Y51" s="12">
        <f>'Supply 2024'!Y52/'Supply 2024'!Y$76</f>
        <v>0</v>
      </c>
      <c r="Z51" s="12">
        <f>'Supply 2024'!Z52/'Supply 2024'!Z$76</f>
        <v>0</v>
      </c>
      <c r="AA51" s="12">
        <f>'Supply 2024'!AA52/'Supply 2024'!AA$76</f>
        <v>0</v>
      </c>
      <c r="AB51" s="12">
        <f>'Supply 2024'!AB52/'Supply 2024'!AB$76</f>
        <v>0</v>
      </c>
      <c r="AC51" s="12">
        <f>'Supply 2024'!AC52/'Supply 2024'!AC$76</f>
        <v>5.9657525416341988E-3</v>
      </c>
      <c r="AD51" s="12">
        <f>'Supply 2024'!AD52/'Supply 2024'!AD$76</f>
        <v>4.6343784371640076E-4</v>
      </c>
      <c r="AE51" s="12">
        <f>'Supply 2024'!AE52/'Supply 2024'!AE$76</f>
        <v>6.2842294120789175E-6</v>
      </c>
      <c r="AF51" s="12">
        <f>'Supply 2024'!AF52/'Supply 2024'!AF$76</f>
        <v>0</v>
      </c>
      <c r="AG51" s="12">
        <f>'Supply 2024'!AG52/'Supply 2024'!AG$76</f>
        <v>9.4288563852419681E-4</v>
      </c>
      <c r="AH51" s="12">
        <f>'Supply 2024'!AH52/'Supply 2024'!AH$76</f>
        <v>1.9833849770274602E-3</v>
      </c>
      <c r="AI51" s="12">
        <f>'Supply 2024'!AI52/'Supply 2024'!AI$76</f>
        <v>8.3230900643763411E-3</v>
      </c>
      <c r="AJ51" s="12">
        <f>'Supply 2024'!AJ52/'Supply 2024'!AJ$76</f>
        <v>0</v>
      </c>
      <c r="AK51" s="12">
        <f>'Supply 2024'!AK52/'Supply 2024'!AK$76</f>
        <v>8.0757179313240945E-4</v>
      </c>
      <c r="AL51" s="12">
        <f>'Supply 2024'!AL52/'Supply 2024'!AL$76</f>
        <v>0</v>
      </c>
      <c r="AM51" s="12">
        <f>'Supply 2024'!AM52/'Supply 2024'!AM$76</f>
        <v>0</v>
      </c>
      <c r="AN51" s="12">
        <f>'Supply 2024'!AN52/'Supply 2024'!AN$76</f>
        <v>1.4107476398191985E-5</v>
      </c>
      <c r="AO51" s="12">
        <f>'Supply 2024'!AO52/'Supply 2024'!AO$76</f>
        <v>0</v>
      </c>
      <c r="AP51" s="12">
        <f>'Supply 2024'!AP52/'Supply 2024'!AP$76</f>
        <v>0</v>
      </c>
      <c r="AQ51" s="12">
        <f>'Supply 2024'!AQ52/'Supply 2024'!AQ$76</f>
        <v>3.605166105592392E-4</v>
      </c>
      <c r="AR51" s="12">
        <f>'Supply 2024'!AR52/'Supply 2024'!AR$76</f>
        <v>9.9215671899593565E-3</v>
      </c>
      <c r="AS51" s="12">
        <f>'Supply 2024'!AS52/'Supply 2024'!AS$76</f>
        <v>4.3957332082991442E-5</v>
      </c>
      <c r="AT51" s="12">
        <f>'Supply 2024'!AT52/'Supply 2024'!AT$76</f>
        <v>3.8944920835272179E-2</v>
      </c>
      <c r="AU51" s="12">
        <f>'Supply 2024'!AU52/'Supply 2024'!AU$76</f>
        <v>0</v>
      </c>
      <c r="AV51" s="12">
        <f>'Supply 2024'!AV52/'Supply 2024'!AV$76</f>
        <v>0</v>
      </c>
      <c r="AW51" s="12">
        <f>'Supply 2024'!AW52/'Supply 2024'!AW$76</f>
        <v>0</v>
      </c>
      <c r="AX51" s="12">
        <f>'Supply 2024'!AX52/'Supply 2024'!AX$76</f>
        <v>0</v>
      </c>
      <c r="AY51" s="12">
        <f>'Supply 2024'!AY52/'Supply 2024'!AY$76</f>
        <v>0</v>
      </c>
      <c r="AZ51" s="12">
        <f>'Supply 2024'!AZ52/'Supply 2024'!AZ$76</f>
        <v>0.9832412548520052</v>
      </c>
      <c r="BA51" s="12">
        <f>'Supply 2024'!BA52/'Supply 2024'!BA$76</f>
        <v>0</v>
      </c>
      <c r="BB51" s="12">
        <f>'Supply 2024'!BB52/'Supply 2024'!BB$76</f>
        <v>2.2202731625515766E-4</v>
      </c>
      <c r="BC51" s="12">
        <f>'Supply 2024'!BC52/'Supply 2024'!BC$76</f>
        <v>2.3427133217287988E-5</v>
      </c>
      <c r="BD51" s="12">
        <f>'Supply 2024'!BD52/'Supply 2024'!BD$76</f>
        <v>0</v>
      </c>
      <c r="BE51" s="12">
        <f>'Supply 2024'!BE52/'Supply 2024'!BE$76</f>
        <v>2.0032503867176968E-4</v>
      </c>
      <c r="BF51" s="12">
        <f>'Supply 2024'!BF52/'Supply 2024'!BF$76</f>
        <v>1.1677762449124455E-3</v>
      </c>
      <c r="BG51" s="12">
        <f>'Supply 2024'!BG52/'Supply 2024'!BG$76</f>
        <v>0</v>
      </c>
      <c r="BH51" s="12">
        <f>'Supply 2024'!BH52/'Supply 2024'!BH$76</f>
        <v>4.1335474646446164E-4</v>
      </c>
      <c r="BI51" s="12">
        <f>'Supply 2024'!BI52/'Supply 2024'!BI$76</f>
        <v>1.5922768205097992E-4</v>
      </c>
      <c r="BJ51" s="12">
        <f>'Supply 2024'!BJ52/'Supply 2024'!BJ$76</f>
        <v>0</v>
      </c>
      <c r="BK51" s="12">
        <f>'Supply 2024'!BK52/'Supply 2024'!BK$76</f>
        <v>0</v>
      </c>
      <c r="BL51" s="12">
        <f>'Supply 2024'!BL52/'Supply 2024'!BL$76</f>
        <v>6.9539472842837591E-3</v>
      </c>
      <c r="BM51" s="12">
        <f>'Supply 2024'!BM52/'Supply 2024'!BM$76</f>
        <v>1.2197048138853303E-3</v>
      </c>
      <c r="BN51" s="12">
        <f>'Supply 2024'!BN52/'Supply 2024'!BN$76</f>
        <v>3.4951579909785575E-3</v>
      </c>
      <c r="BO51" s="12">
        <f>'Supply 2024'!BO52/'Supply 2024'!BO$76</f>
        <v>0</v>
      </c>
      <c r="BP51" s="12">
        <f>'Supply 2024'!BP52/'Supply 2024'!BP$76</f>
        <v>4.6638534600486494E-4</v>
      </c>
      <c r="BQ51" s="12">
        <f>'Supply 2024'!BQ52/'Supply 2024'!BQ$76</f>
        <v>0</v>
      </c>
      <c r="BR51" s="12">
        <f>'Supply 2024'!BR52/'Supply 2024'!BR$76</f>
        <v>0</v>
      </c>
      <c r="BS51" s="12">
        <f>'Supply 2024'!BS52/'Supply 2024'!BS$76</f>
        <v>0</v>
      </c>
      <c r="BT51" s="12">
        <f>'Supply 2024'!BT52/'Supply 2024'!BT$76</f>
        <v>0</v>
      </c>
      <c r="BU51" s="12">
        <f>'Supply 2024'!BU52/'Supply 2024'!BU$76</f>
        <v>0</v>
      </c>
      <c r="BV51" s="12">
        <f>'Supply 2024'!BV52/'Supply 2024'!BV$76</f>
        <v>1.4646515531139199E-2</v>
      </c>
      <c r="BW51" s="12">
        <f>'Supply 2024'!BW52/'Supply 2024'!BW$76</f>
        <v>0</v>
      </c>
      <c r="BX51" s="12">
        <f>'Supply 2024'!BX52/'Supply 2024'!BX$76</f>
        <v>0</v>
      </c>
      <c r="BY51" s="12">
        <f>'Supply 2024'!BY52/'Supply 2024'!BY$76</f>
        <v>1.3636892670744076E-2</v>
      </c>
      <c r="BZ51" s="12">
        <f>'Supply 2024'!BZ52/'Supply 2024'!BZ$76</f>
        <v>0</v>
      </c>
      <c r="CA51" s="12" t="e">
        <f>'Supply 2024'!CA52/'Supply 2024'!CA$76</f>
        <v>#DIV/0!</v>
      </c>
      <c r="CB51" s="12">
        <f>'Supply 2024'!CB52/'Supply 2024'!CB$76</f>
        <v>0</v>
      </c>
      <c r="CC51" s="12">
        <f>'Supply 2024'!CC52/'Supply 2024'!CC$76</f>
        <v>0</v>
      </c>
      <c r="CD51" s="12">
        <f>'Supply 2024'!CD52/'Supply 2024'!CD$76</f>
        <v>2.6016268163901998E-2</v>
      </c>
      <c r="CE51" s="12">
        <f>'Supply 2024'!CE52/'Supply 2024'!CE$76</f>
        <v>0</v>
      </c>
      <c r="CF51" s="12">
        <f>'Supply 2024'!CF52/'Supply 2024'!CF$76</f>
        <v>2.6164822047537131E-2</v>
      </c>
      <c r="CG51" s="12">
        <f>'Supply 2024'!CG52/'Supply 2024'!CG$76</f>
        <v>1.3869486640582695E-2</v>
      </c>
    </row>
    <row r="52" spans="1:85" x14ac:dyDescent="0.25">
      <c r="A52" t="s">
        <v>51</v>
      </c>
      <c r="B52" t="s">
        <v>144</v>
      </c>
      <c r="C52" s="12">
        <f>'Supply 2024'!C53/'Supply 2024'!C$76</f>
        <v>0</v>
      </c>
      <c r="D52" s="12">
        <f>'Supply 2024'!D53/'Supply 2024'!D$76</f>
        <v>0</v>
      </c>
      <c r="E52" s="12">
        <f>'Supply 2024'!E53/'Supply 2024'!E$76</f>
        <v>0</v>
      </c>
      <c r="F52" s="12">
        <f>'Supply 2024'!F53/'Supply 2024'!F$76</f>
        <v>0</v>
      </c>
      <c r="G52" s="12">
        <f>'Supply 2024'!G53/'Supply 2024'!G$76</f>
        <v>0</v>
      </c>
      <c r="H52" s="12">
        <f>'Supply 2024'!H53/'Supply 2024'!H$76</f>
        <v>0</v>
      </c>
      <c r="I52" s="12">
        <f>'Supply 2024'!I53/'Supply 2024'!I$76</f>
        <v>0</v>
      </c>
      <c r="J52" s="12">
        <f>'Supply 2024'!J53/'Supply 2024'!J$76</f>
        <v>0</v>
      </c>
      <c r="K52" s="12">
        <f>'Supply 2024'!K53/'Supply 2024'!K$76</f>
        <v>0</v>
      </c>
      <c r="L52" s="12">
        <f>'Supply 2024'!L53/'Supply 2024'!L$76</f>
        <v>0</v>
      </c>
      <c r="M52" s="12">
        <f>'Supply 2024'!M53/'Supply 2024'!M$76</f>
        <v>0</v>
      </c>
      <c r="N52" s="12">
        <f>'Supply 2024'!N53/'Supply 2024'!N$76</f>
        <v>0</v>
      </c>
      <c r="O52" s="12">
        <f>'Supply 2024'!O53/'Supply 2024'!O$76</f>
        <v>0</v>
      </c>
      <c r="P52" s="12">
        <f>'Supply 2024'!P53/'Supply 2024'!P$76</f>
        <v>0</v>
      </c>
      <c r="Q52" s="12">
        <f>'Supply 2024'!Q53/'Supply 2024'!Q$76</f>
        <v>0</v>
      </c>
      <c r="R52" s="12">
        <f>'Supply 2024'!R53/'Supply 2024'!R$76</f>
        <v>0</v>
      </c>
      <c r="S52" s="12">
        <f>'Supply 2024'!S53/'Supply 2024'!S$76</f>
        <v>0</v>
      </c>
      <c r="T52" s="12">
        <f>'Supply 2024'!T53/'Supply 2024'!T$76</f>
        <v>0</v>
      </c>
      <c r="U52" s="12">
        <f>'Supply 2024'!U53/'Supply 2024'!U$76</f>
        <v>0</v>
      </c>
      <c r="V52" s="12">
        <f>'Supply 2024'!V53/'Supply 2024'!V$76</f>
        <v>0</v>
      </c>
      <c r="W52" s="12">
        <f>'Supply 2024'!W53/'Supply 2024'!W$76</f>
        <v>0</v>
      </c>
      <c r="X52" s="12">
        <f>'Supply 2024'!X53/'Supply 2024'!X$76</f>
        <v>0</v>
      </c>
      <c r="Y52" s="12">
        <f>'Supply 2024'!Y53/'Supply 2024'!Y$76</f>
        <v>0</v>
      </c>
      <c r="Z52" s="12">
        <f>'Supply 2024'!Z53/'Supply 2024'!Z$76</f>
        <v>0</v>
      </c>
      <c r="AA52" s="12">
        <f>'Supply 2024'!AA53/'Supply 2024'!AA$76</f>
        <v>0</v>
      </c>
      <c r="AB52" s="12">
        <f>'Supply 2024'!AB53/'Supply 2024'!AB$76</f>
        <v>0</v>
      </c>
      <c r="AC52" s="12">
        <f>'Supply 2024'!AC53/'Supply 2024'!AC$76</f>
        <v>0</v>
      </c>
      <c r="AD52" s="12">
        <f>'Supply 2024'!AD53/'Supply 2024'!AD$76</f>
        <v>0</v>
      </c>
      <c r="AE52" s="12">
        <f>'Supply 2024'!AE53/'Supply 2024'!AE$76</f>
        <v>0</v>
      </c>
      <c r="AF52" s="12">
        <f>'Supply 2024'!AF53/'Supply 2024'!AF$76</f>
        <v>0</v>
      </c>
      <c r="AG52" s="12">
        <f>'Supply 2024'!AG53/'Supply 2024'!AG$76</f>
        <v>0</v>
      </c>
      <c r="AH52" s="12">
        <f>'Supply 2024'!AH53/'Supply 2024'!AH$76</f>
        <v>0</v>
      </c>
      <c r="AI52" s="12">
        <f>'Supply 2024'!AI53/'Supply 2024'!AI$76</f>
        <v>0</v>
      </c>
      <c r="AJ52" s="12">
        <f>'Supply 2024'!AJ53/'Supply 2024'!AJ$76</f>
        <v>0</v>
      </c>
      <c r="AK52" s="12">
        <f>'Supply 2024'!AK53/'Supply 2024'!AK$76</f>
        <v>0</v>
      </c>
      <c r="AL52" s="12">
        <f>'Supply 2024'!AL53/'Supply 2024'!AL$76</f>
        <v>0</v>
      </c>
      <c r="AM52" s="12">
        <f>'Supply 2024'!AM53/'Supply 2024'!AM$76</f>
        <v>0</v>
      </c>
      <c r="AN52" s="12">
        <f>'Supply 2024'!AN53/'Supply 2024'!AN$76</f>
        <v>0</v>
      </c>
      <c r="AO52" s="12">
        <f>'Supply 2024'!AO53/'Supply 2024'!AO$76</f>
        <v>0</v>
      </c>
      <c r="AP52" s="12">
        <f>'Supply 2024'!AP53/'Supply 2024'!AP$76</f>
        <v>0</v>
      </c>
      <c r="AQ52" s="12">
        <f>'Supply 2024'!AQ53/'Supply 2024'!AQ$76</f>
        <v>0</v>
      </c>
      <c r="AR52" s="12">
        <f>'Supply 2024'!AR53/'Supply 2024'!AR$76</f>
        <v>0</v>
      </c>
      <c r="AS52" s="12">
        <f>'Supply 2024'!AS53/'Supply 2024'!AS$76</f>
        <v>0</v>
      </c>
      <c r="AT52" s="12">
        <f>'Supply 2024'!AT53/'Supply 2024'!AT$76</f>
        <v>0</v>
      </c>
      <c r="AU52" s="12">
        <f>'Supply 2024'!AU53/'Supply 2024'!AU$76</f>
        <v>0</v>
      </c>
      <c r="AV52" s="12">
        <f>'Supply 2024'!AV53/'Supply 2024'!AV$76</f>
        <v>8.4184701234508508E-5</v>
      </c>
      <c r="AW52" s="12">
        <f>'Supply 2024'!AW53/'Supply 2024'!AW$76</f>
        <v>0</v>
      </c>
      <c r="AX52" s="12">
        <f>'Supply 2024'!AX53/'Supply 2024'!AX$76</f>
        <v>0</v>
      </c>
      <c r="AY52" s="12">
        <f>'Supply 2024'!AY53/'Supply 2024'!AY$76</f>
        <v>0</v>
      </c>
      <c r="AZ52" s="12">
        <f>'Supply 2024'!AZ53/'Supply 2024'!AZ$76</f>
        <v>0</v>
      </c>
      <c r="BA52" s="12">
        <f>'Supply 2024'!BA53/'Supply 2024'!BA$76</f>
        <v>0.99800623701074254</v>
      </c>
      <c r="BB52" s="12">
        <f>'Supply 2024'!BB53/'Supply 2024'!BB$76</f>
        <v>0</v>
      </c>
      <c r="BC52" s="12">
        <f>'Supply 2024'!BC53/'Supply 2024'!BC$76</f>
        <v>0</v>
      </c>
      <c r="BD52" s="12">
        <f>'Supply 2024'!BD53/'Supply 2024'!BD$76</f>
        <v>0</v>
      </c>
      <c r="BE52" s="12">
        <f>'Supply 2024'!BE53/'Supply 2024'!BE$76</f>
        <v>0</v>
      </c>
      <c r="BF52" s="12">
        <f>'Supply 2024'!BF53/'Supply 2024'!BF$76</f>
        <v>0</v>
      </c>
      <c r="BG52" s="12">
        <f>'Supply 2024'!BG53/'Supply 2024'!BG$76</f>
        <v>0</v>
      </c>
      <c r="BH52" s="12">
        <f>'Supply 2024'!BH53/'Supply 2024'!BH$76</f>
        <v>0</v>
      </c>
      <c r="BI52" s="12">
        <f>'Supply 2024'!BI53/'Supply 2024'!BI$76</f>
        <v>0</v>
      </c>
      <c r="BJ52" s="12">
        <f>'Supply 2024'!BJ53/'Supply 2024'!BJ$76</f>
        <v>0</v>
      </c>
      <c r="BK52" s="12">
        <f>'Supply 2024'!BK53/'Supply 2024'!BK$76</f>
        <v>0</v>
      </c>
      <c r="BL52" s="12">
        <f>'Supply 2024'!BL53/'Supply 2024'!BL$76</f>
        <v>0</v>
      </c>
      <c r="BM52" s="12">
        <f>'Supply 2024'!BM53/'Supply 2024'!BM$76</f>
        <v>0</v>
      </c>
      <c r="BN52" s="12">
        <f>'Supply 2024'!BN53/'Supply 2024'!BN$76</f>
        <v>0</v>
      </c>
      <c r="BO52" s="12">
        <f>'Supply 2024'!BO53/'Supply 2024'!BO$76</f>
        <v>0</v>
      </c>
      <c r="BP52" s="12">
        <f>'Supply 2024'!BP53/'Supply 2024'!BP$76</f>
        <v>0</v>
      </c>
      <c r="BQ52" s="12">
        <f>'Supply 2024'!BQ53/'Supply 2024'!BQ$76</f>
        <v>0</v>
      </c>
      <c r="BR52" s="12">
        <f>'Supply 2024'!BR53/'Supply 2024'!BR$76</f>
        <v>0</v>
      </c>
      <c r="BS52" s="12">
        <f>'Supply 2024'!BS53/'Supply 2024'!BS$76</f>
        <v>0</v>
      </c>
      <c r="BT52" s="12">
        <f>'Supply 2024'!BT53/'Supply 2024'!BT$76</f>
        <v>0</v>
      </c>
      <c r="BU52" s="12">
        <f>'Supply 2024'!BU53/'Supply 2024'!BU$76</f>
        <v>0</v>
      </c>
      <c r="BV52" s="12">
        <f>'Supply 2024'!BV53/'Supply 2024'!BV$76</f>
        <v>9.2636421462073439E-3</v>
      </c>
      <c r="BW52" s="12">
        <f>'Supply 2024'!BW53/'Supply 2024'!BW$76</f>
        <v>1.6229725638171669E-3</v>
      </c>
      <c r="BX52" s="12">
        <f>'Supply 2024'!BX53/'Supply 2024'!BX$76</f>
        <v>0</v>
      </c>
      <c r="BY52" s="12">
        <f>'Supply 2024'!BY53/'Supply 2024'!BY$76</f>
        <v>8.737867495230282E-3</v>
      </c>
      <c r="BZ52" s="12">
        <f>'Supply 2024'!BZ53/'Supply 2024'!BZ$76</f>
        <v>0</v>
      </c>
      <c r="CA52" s="12" t="e">
        <f>'Supply 2024'!CA53/'Supply 2024'!CA$76</f>
        <v>#DIV/0!</v>
      </c>
      <c r="CB52" s="12">
        <f>'Supply 2024'!CB53/'Supply 2024'!CB$76</f>
        <v>0</v>
      </c>
      <c r="CC52" s="12">
        <f>'Supply 2024'!CC53/'Supply 2024'!CC$76</f>
        <v>0</v>
      </c>
      <c r="CD52" s="12">
        <f>'Supply 2024'!CD53/'Supply 2024'!CD$76</f>
        <v>2.1106294194932561E-2</v>
      </c>
      <c r="CE52" s="12">
        <f>'Supply 2024'!CE53/'Supply 2024'!CE$76</f>
        <v>0</v>
      </c>
      <c r="CF52" s="12">
        <f>'Supply 2024'!CF53/'Supply 2024'!CF$76</f>
        <v>2.1226811939908503E-2</v>
      </c>
      <c r="CG52" s="12">
        <f>'Supply 2024'!CG53/'Supply 2024'!CG$76</f>
        <v>8.9697374909800225E-3</v>
      </c>
    </row>
    <row r="53" spans="1:85" x14ac:dyDescent="0.25">
      <c r="A53" t="s">
        <v>52</v>
      </c>
      <c r="B53" t="s">
        <v>145</v>
      </c>
      <c r="C53" s="12">
        <f>'Supply 2024'!C54/'Supply 2024'!C$76</f>
        <v>0</v>
      </c>
      <c r="D53" s="12">
        <f>'Supply 2024'!D54/'Supply 2024'!D$76</f>
        <v>0</v>
      </c>
      <c r="E53" s="12">
        <f>'Supply 2024'!E54/'Supply 2024'!E$76</f>
        <v>2.2332415729312891E-4</v>
      </c>
      <c r="F53" s="12">
        <f>'Supply 2024'!F54/'Supply 2024'!F$76</f>
        <v>1.4736113055459362E-5</v>
      </c>
      <c r="G53" s="12">
        <f>'Supply 2024'!G54/'Supply 2024'!G$76</f>
        <v>2.8107970876515339E-4</v>
      </c>
      <c r="H53" s="12">
        <f>'Supply 2024'!H54/'Supply 2024'!H$76</f>
        <v>8.1487443977382266E-4</v>
      </c>
      <c r="I53" s="12">
        <f>'Supply 2024'!I54/'Supply 2024'!I$76</f>
        <v>2.1287647543529053E-4</v>
      </c>
      <c r="J53" s="12">
        <f>'Supply 2024'!J54/'Supply 2024'!J$76</f>
        <v>1.3222038263428993E-4</v>
      </c>
      <c r="K53" s="12">
        <f>'Supply 2024'!K54/'Supply 2024'!K$76</f>
        <v>2.9128043452187171E-4</v>
      </c>
      <c r="L53" s="12">
        <f>'Supply 2024'!L54/'Supply 2024'!L$76</f>
        <v>2.4843321452704939E-4</v>
      </c>
      <c r="M53" s="12">
        <f>'Supply 2024'!M54/'Supply 2024'!M$76</f>
        <v>8.3696782251051118E-4</v>
      </c>
      <c r="N53" s="12">
        <f>'Supply 2024'!N54/'Supply 2024'!N$76</f>
        <v>1.4390632339967232E-3</v>
      </c>
      <c r="O53" s="12">
        <f>'Supply 2024'!O54/'Supply 2024'!O$76</f>
        <v>3.3863004121819427E-3</v>
      </c>
      <c r="P53" s="12">
        <f>'Supply 2024'!P54/'Supply 2024'!P$76</f>
        <v>1.1909755125078319E-3</v>
      </c>
      <c r="Q53" s="12">
        <f>'Supply 2024'!Q54/'Supply 2024'!Q$76</f>
        <v>6.332982510326785E-4</v>
      </c>
      <c r="R53" s="12">
        <f>'Supply 2024'!R54/'Supply 2024'!R$76</f>
        <v>1.9869429463525404E-3</v>
      </c>
      <c r="S53" s="12">
        <f>'Supply 2024'!S54/'Supply 2024'!S$76</f>
        <v>8.0423881161888547E-4</v>
      </c>
      <c r="T53" s="12">
        <f>'Supply 2024'!T54/'Supply 2024'!T$76</f>
        <v>2.346664865868688E-3</v>
      </c>
      <c r="U53" s="12">
        <f>'Supply 2024'!U54/'Supply 2024'!U$76</f>
        <v>1.7763954191606855E-4</v>
      </c>
      <c r="V53" s="12">
        <f>'Supply 2024'!V54/'Supply 2024'!V$76</f>
        <v>2.5626241271061568E-4</v>
      </c>
      <c r="W53" s="12">
        <f>'Supply 2024'!W54/'Supply 2024'!W$76</f>
        <v>8.6908791510383315E-4</v>
      </c>
      <c r="X53" s="12">
        <f>'Supply 2024'!X54/'Supply 2024'!X$76</f>
        <v>4.1154897890125571E-4</v>
      </c>
      <c r="Y53" s="12">
        <f>'Supply 2024'!Y54/'Supply 2024'!Y$76</f>
        <v>2.3474735020036514E-3</v>
      </c>
      <c r="Z53" s="12">
        <f>'Supply 2024'!Z54/'Supply 2024'!Z$76</f>
        <v>5.5447996710085532E-5</v>
      </c>
      <c r="AA53" s="12">
        <f>'Supply 2024'!AA54/'Supply 2024'!AA$76</f>
        <v>4.8252755605849689E-4</v>
      </c>
      <c r="AB53" s="12">
        <f>'Supply 2024'!AB54/'Supply 2024'!AB$76</f>
        <v>6.6257685218818526E-4</v>
      </c>
      <c r="AC53" s="12">
        <f>'Supply 2024'!AC54/'Supply 2024'!AC$76</f>
        <v>3.8463454584106768E-3</v>
      </c>
      <c r="AD53" s="12">
        <f>'Supply 2024'!AD54/'Supply 2024'!AD$76</f>
        <v>1.6683762373790426E-4</v>
      </c>
      <c r="AE53" s="12">
        <f>'Supply 2024'!AE54/'Supply 2024'!AE$76</f>
        <v>3.1421147060394586E-5</v>
      </c>
      <c r="AF53" s="12">
        <f>'Supply 2024'!AF54/'Supply 2024'!AF$76</f>
        <v>0</v>
      </c>
      <c r="AG53" s="12">
        <f>'Supply 2024'!AG54/'Supply 2024'!AG$76</f>
        <v>1.2294956412813715E-3</v>
      </c>
      <c r="AH53" s="12">
        <f>'Supply 2024'!AH54/'Supply 2024'!AH$76</f>
        <v>1.0584731274708836E-3</v>
      </c>
      <c r="AI53" s="12">
        <f>'Supply 2024'!AI54/'Supply 2024'!AI$76</f>
        <v>1.4583637159107481E-3</v>
      </c>
      <c r="AJ53" s="12">
        <f>'Supply 2024'!AJ54/'Supply 2024'!AJ$76</f>
        <v>4.9226623830867682E-4</v>
      </c>
      <c r="AK53" s="12">
        <f>'Supply 2024'!AK54/'Supply 2024'!AK$76</f>
        <v>1.9761756820181313E-4</v>
      </c>
      <c r="AL53" s="12">
        <f>'Supply 2024'!AL54/'Supply 2024'!AL$76</f>
        <v>3.3993563885237729E-5</v>
      </c>
      <c r="AM53" s="12">
        <f>'Supply 2024'!AM54/'Supply 2024'!AM$76</f>
        <v>2.598361664592536E-4</v>
      </c>
      <c r="AN53" s="12">
        <f>'Supply 2024'!AN54/'Supply 2024'!AN$76</f>
        <v>1.6195382905124401E-3</v>
      </c>
      <c r="AO53" s="12">
        <f>'Supply 2024'!AO54/'Supply 2024'!AO$76</f>
        <v>1.8320659331322487E-3</v>
      </c>
      <c r="AP53" s="12">
        <f>'Supply 2024'!AP54/'Supply 2024'!AP$76</f>
        <v>3.5605041176787214E-2</v>
      </c>
      <c r="AQ53" s="12">
        <f>'Supply 2024'!AQ54/'Supply 2024'!AQ$76</f>
        <v>2.7379775018147629E-3</v>
      </c>
      <c r="AR53" s="12">
        <f>'Supply 2024'!AR54/'Supply 2024'!AR$76</f>
        <v>3.8011198974519612E-3</v>
      </c>
      <c r="AS53" s="12">
        <f>'Supply 2024'!AS54/'Supply 2024'!AS$76</f>
        <v>3.331514927459131E-2</v>
      </c>
      <c r="AT53" s="12">
        <f>'Supply 2024'!AT54/'Supply 2024'!AT$76</f>
        <v>1.3980805606964779E-3</v>
      </c>
      <c r="AU53" s="12">
        <f>'Supply 2024'!AU54/'Supply 2024'!AU$76</f>
        <v>8.8622865128889876E-4</v>
      </c>
      <c r="AV53" s="12">
        <f>'Supply 2024'!AV54/'Supply 2024'!AV$76</f>
        <v>1.9355799958442155E-3</v>
      </c>
      <c r="AW53" s="12">
        <f>'Supply 2024'!AW54/'Supply 2024'!AW$76</f>
        <v>6.0463376199347749E-5</v>
      </c>
      <c r="AX53" s="12">
        <f>'Supply 2024'!AX54/'Supply 2024'!AX$76</f>
        <v>4.9802231891720549E-5</v>
      </c>
      <c r="AY53" s="12">
        <f>'Supply 2024'!AY54/'Supply 2024'!AY$76</f>
        <v>2.3750078800415772E-4</v>
      </c>
      <c r="AZ53" s="12">
        <f>'Supply 2024'!AZ54/'Supply 2024'!AZ$76</f>
        <v>4.1539164508937843E-4</v>
      </c>
      <c r="BA53" s="12">
        <f>'Supply 2024'!BA54/'Supply 2024'!BA$76</f>
        <v>1.0705640398839284E-3</v>
      </c>
      <c r="BB53" s="12">
        <f>'Supply 2024'!BB54/'Supply 2024'!BB$76</f>
        <v>0.89393989541272256</v>
      </c>
      <c r="BC53" s="12">
        <f>'Supply 2024'!BC54/'Supply 2024'!BC$76</f>
        <v>8.0434630783960282E-3</v>
      </c>
      <c r="BD53" s="12">
        <f>'Supply 2024'!BD54/'Supply 2024'!BD$76</f>
        <v>2.615177893322428E-2</v>
      </c>
      <c r="BE53" s="12">
        <f>'Supply 2024'!BE54/'Supply 2024'!BE$76</f>
        <v>1.3797575313930423E-2</v>
      </c>
      <c r="BF53" s="12">
        <f>'Supply 2024'!BF54/'Supply 2024'!BF$76</f>
        <v>1.8318058743724633E-4</v>
      </c>
      <c r="BG53" s="12">
        <f>'Supply 2024'!BG54/'Supply 2024'!BG$76</f>
        <v>1.2304574113668131E-2</v>
      </c>
      <c r="BH53" s="12">
        <f>'Supply 2024'!BH54/'Supply 2024'!BH$76</f>
        <v>7.0042376561861835E-4</v>
      </c>
      <c r="BI53" s="12">
        <f>'Supply 2024'!BI54/'Supply 2024'!BI$76</f>
        <v>2.9688001318405209E-3</v>
      </c>
      <c r="BJ53" s="12">
        <f>'Supply 2024'!BJ54/'Supply 2024'!BJ$76</f>
        <v>1.255866796342215E-4</v>
      </c>
      <c r="BK53" s="12">
        <f>'Supply 2024'!BK54/'Supply 2024'!BK$76</f>
        <v>4.7106898606657398E-4</v>
      </c>
      <c r="BL53" s="12">
        <f>'Supply 2024'!BL54/'Supply 2024'!BL$76</f>
        <v>9.8474287979742441E-4</v>
      </c>
      <c r="BM53" s="12">
        <f>'Supply 2024'!BM54/'Supply 2024'!BM$76</f>
        <v>6.0546497955458838E-4</v>
      </c>
      <c r="BN53" s="12">
        <f>'Supply 2024'!BN54/'Supply 2024'!BN$76</f>
        <v>2.1700070308227799E-4</v>
      </c>
      <c r="BO53" s="12">
        <f>'Supply 2024'!BO54/'Supply 2024'!BO$76</f>
        <v>3.1274115274825198E-6</v>
      </c>
      <c r="BP53" s="12">
        <f>'Supply 2024'!BP54/'Supply 2024'!BP$76</f>
        <v>1.3088578772112577E-3</v>
      </c>
      <c r="BQ53" s="12">
        <f>'Supply 2024'!BQ54/'Supply 2024'!BQ$76</f>
        <v>2.7492919339900837E-3</v>
      </c>
      <c r="BR53" s="12">
        <f>'Supply 2024'!BR54/'Supply 2024'!BR$76</f>
        <v>4.2947357720994651E-3</v>
      </c>
      <c r="BS53" s="12">
        <f>'Supply 2024'!BS54/'Supply 2024'!BS$76</f>
        <v>5.3179721933869955E-3</v>
      </c>
      <c r="BT53" s="12">
        <f>'Supply 2024'!BT54/'Supply 2024'!BT$76</f>
        <v>1.7500354859881907E-3</v>
      </c>
      <c r="BU53" s="12">
        <f>'Supply 2024'!BU54/'Supply 2024'!BU$76</f>
        <v>0</v>
      </c>
      <c r="BV53" s="12">
        <f>'Supply 2024'!BV54/'Supply 2024'!BV$76</f>
        <v>1.6411781066049045E-2</v>
      </c>
      <c r="BW53" s="12">
        <f>'Supply 2024'!BW54/'Supply 2024'!BW$76</f>
        <v>1.6805106450837805E-2</v>
      </c>
      <c r="BX53" s="12">
        <f>'Supply 2024'!BX54/'Supply 2024'!BX$76</f>
        <v>0</v>
      </c>
      <c r="BY53" s="12">
        <f>'Supply 2024'!BY54/'Supply 2024'!BY$76</f>
        <v>1.6448581037874492E-2</v>
      </c>
      <c r="BZ53" s="12">
        <f>'Supply 2024'!BZ54/'Supply 2024'!BZ$76</f>
        <v>0</v>
      </c>
      <c r="CA53" s="12" t="e">
        <f>'Supply 2024'!CA54/'Supply 2024'!CA$76</f>
        <v>#DIV/0!</v>
      </c>
      <c r="CB53" s="12">
        <f>'Supply 2024'!CB54/'Supply 2024'!CB$76</f>
        <v>0</v>
      </c>
      <c r="CC53" s="12">
        <f>'Supply 2024'!CC54/'Supply 2024'!CC$76</f>
        <v>0</v>
      </c>
      <c r="CD53" s="12">
        <f>'Supply 2024'!CD54/'Supply 2024'!CD$76</f>
        <v>7.8447389269704106E-3</v>
      </c>
      <c r="CE53" s="12">
        <f>'Supply 2024'!CE54/'Supply 2024'!CE$76</f>
        <v>0</v>
      </c>
      <c r="CF53" s="12">
        <f>'Supply 2024'!CF54/'Supply 2024'!CF$76</f>
        <v>7.8895326854896333E-3</v>
      </c>
      <c r="CG53" s="12">
        <f>'Supply 2024'!CG54/'Supply 2024'!CG$76</f>
        <v>1.6289656021015952E-2</v>
      </c>
    </row>
    <row r="54" spans="1:85" x14ac:dyDescent="0.25">
      <c r="A54" t="s">
        <v>53</v>
      </c>
      <c r="B54" t="s">
        <v>146</v>
      </c>
      <c r="C54" s="12">
        <f>'Supply 2024'!C55/'Supply 2024'!C$76</f>
        <v>0</v>
      </c>
      <c r="D54" s="12">
        <f>'Supply 2024'!D55/'Supply 2024'!D$76</f>
        <v>0</v>
      </c>
      <c r="E54" s="12">
        <f>'Supply 2024'!E55/'Supply 2024'!E$76</f>
        <v>1.0459774305872059E-3</v>
      </c>
      <c r="F54" s="12">
        <f>'Supply 2024'!F55/'Supply 2024'!F$76</f>
        <v>3.7577088291421373E-4</v>
      </c>
      <c r="G54" s="12">
        <f>'Supply 2024'!G55/'Supply 2024'!G$76</f>
        <v>1.5323377671390618E-3</v>
      </c>
      <c r="H54" s="12">
        <f>'Supply 2024'!H55/'Supply 2024'!H$76</f>
        <v>5.4490587537721065E-4</v>
      </c>
      <c r="I54" s="12">
        <f>'Supply 2024'!I55/'Supply 2024'!I$76</f>
        <v>1.5148513233222922E-5</v>
      </c>
      <c r="J54" s="12">
        <f>'Supply 2024'!J55/'Supply 2024'!J$76</f>
        <v>8.6230684326710813E-4</v>
      </c>
      <c r="K54" s="12">
        <f>'Supply 2024'!K55/'Supply 2024'!K$76</f>
        <v>4.5462593309688213E-3</v>
      </c>
      <c r="L54" s="12">
        <f>'Supply 2024'!L55/'Supply 2024'!L$76</f>
        <v>1.6363467730181654E-3</v>
      </c>
      <c r="M54" s="12">
        <f>'Supply 2024'!M55/'Supply 2024'!M$76</f>
        <v>8.1277422139106673E-3</v>
      </c>
      <c r="N54" s="12">
        <f>'Supply 2024'!N55/'Supply 2024'!N$76</f>
        <v>2.7319286426288111E-2</v>
      </c>
      <c r="O54" s="12">
        <f>'Supply 2024'!O55/'Supply 2024'!O$76</f>
        <v>0.17800045636163261</v>
      </c>
      <c r="P54" s="12">
        <f>'Supply 2024'!P55/'Supply 2024'!P$76</f>
        <v>2.0184445859806648E-2</v>
      </c>
      <c r="Q54" s="12">
        <f>'Supply 2024'!Q55/'Supply 2024'!Q$76</f>
        <v>2.1122053962721054E-2</v>
      </c>
      <c r="R54" s="12">
        <f>'Supply 2024'!R55/'Supply 2024'!R$76</f>
        <v>6.8916943662607005E-2</v>
      </c>
      <c r="S54" s="12">
        <f>'Supply 2024'!S55/'Supply 2024'!S$76</f>
        <v>3.7491721071056866E-3</v>
      </c>
      <c r="T54" s="12">
        <f>'Supply 2024'!T55/'Supply 2024'!T$76</f>
        <v>9.4491246433575884E-2</v>
      </c>
      <c r="U54" s="12">
        <f>'Supply 2024'!U55/'Supply 2024'!U$76</f>
        <v>3.1127292458474737E-3</v>
      </c>
      <c r="V54" s="12">
        <f>'Supply 2024'!V55/'Supply 2024'!V$76</f>
        <v>5.1679586563307496E-3</v>
      </c>
      <c r="W54" s="12">
        <f>'Supply 2024'!W55/'Supply 2024'!W$76</f>
        <v>9.102552373982253E-3</v>
      </c>
      <c r="X54" s="12">
        <f>'Supply 2024'!X55/'Supply 2024'!X$76</f>
        <v>4.5590481329394654E-3</v>
      </c>
      <c r="Y54" s="12">
        <f>'Supply 2024'!Y55/'Supply 2024'!Y$76</f>
        <v>0.18528442368339934</v>
      </c>
      <c r="Z54" s="12">
        <f>'Supply 2024'!Z55/'Supply 2024'!Z$76</f>
        <v>8.7792661457635423E-4</v>
      </c>
      <c r="AA54" s="12">
        <f>'Supply 2024'!AA55/'Supply 2024'!AA$76</f>
        <v>7.5946607013608697E-2</v>
      </c>
      <c r="AB54" s="12">
        <f>'Supply 2024'!AB55/'Supply 2024'!AB$76</f>
        <v>6.3499751113263647E-3</v>
      </c>
      <c r="AC54" s="12">
        <f>'Supply 2024'!AC55/'Supply 2024'!AC$76</f>
        <v>5.8147737847636196E-4</v>
      </c>
      <c r="AD54" s="12">
        <f>'Supply 2024'!AD55/'Supply 2024'!AD$76</f>
        <v>1.029861874925335E-5</v>
      </c>
      <c r="AE54" s="12">
        <f>'Supply 2024'!AE55/'Supply 2024'!AE$76</f>
        <v>6.2842294120789175E-6</v>
      </c>
      <c r="AF54" s="12">
        <f>'Supply 2024'!AF55/'Supply 2024'!AF$76</f>
        <v>0</v>
      </c>
      <c r="AG54" s="12">
        <f>'Supply 2024'!AG55/'Supply 2024'!AG$76</f>
        <v>3.1915147100371366E-3</v>
      </c>
      <c r="AH54" s="12">
        <f>'Supply 2024'!AH55/'Supply 2024'!AH$76</f>
        <v>7.913505716422695E-3</v>
      </c>
      <c r="AI54" s="12">
        <f>'Supply 2024'!AI55/'Supply 2024'!AI$76</f>
        <v>1.0416883685076773E-2</v>
      </c>
      <c r="AJ54" s="12">
        <f>'Supply 2024'!AJ55/'Supply 2024'!AJ$76</f>
        <v>1.3990724667720289E-3</v>
      </c>
      <c r="AK54" s="12">
        <f>'Supply 2024'!AK55/'Supply 2024'!AK$76</f>
        <v>1.5106342953888601E-3</v>
      </c>
      <c r="AL54" s="12">
        <f>'Supply 2024'!AL55/'Supply 2024'!AL$76</f>
        <v>1.0084757285953858E-3</v>
      </c>
      <c r="AM54" s="12">
        <f>'Supply 2024'!AM55/'Supply 2024'!AM$76</f>
        <v>8.2463793881542066E-3</v>
      </c>
      <c r="AN54" s="12">
        <f>'Supply 2024'!AN55/'Supply 2024'!AN$76</f>
        <v>2.5661499568311222E-2</v>
      </c>
      <c r="AO54" s="12">
        <f>'Supply 2024'!AO55/'Supply 2024'!AO$76</f>
        <v>8.3850206041038277E-3</v>
      </c>
      <c r="AP54" s="12">
        <f>'Supply 2024'!AP55/'Supply 2024'!AP$76</f>
        <v>8.721020538412444E-2</v>
      </c>
      <c r="AQ54" s="12">
        <f>'Supply 2024'!AQ55/'Supply 2024'!AQ$76</f>
        <v>1.7144026385918415E-2</v>
      </c>
      <c r="AR54" s="12">
        <f>'Supply 2024'!AR55/'Supply 2024'!AR$76</f>
        <v>0.13514525232127128</v>
      </c>
      <c r="AS54" s="12">
        <f>'Supply 2024'!AS55/'Supply 2024'!AS$76</f>
        <v>0.37653399817858851</v>
      </c>
      <c r="AT54" s="12">
        <f>'Supply 2024'!AT55/'Supply 2024'!AT$76</f>
        <v>4.54340983823518E-3</v>
      </c>
      <c r="AU54" s="12">
        <f>'Supply 2024'!AU55/'Supply 2024'!AU$76</f>
        <v>2.9444275553731775E-3</v>
      </c>
      <c r="AV54" s="12">
        <f>'Supply 2024'!AV55/'Supply 2024'!AV$76</f>
        <v>4.6288223027990075E-3</v>
      </c>
      <c r="AW54" s="12">
        <f>'Supply 2024'!AW55/'Supply 2024'!AW$76</f>
        <v>4.9126493161970046E-5</v>
      </c>
      <c r="AX54" s="12">
        <f>'Supply 2024'!AX55/'Supply 2024'!AX$76</f>
        <v>6.8908748529424667E-5</v>
      </c>
      <c r="AY54" s="12">
        <f>'Supply 2024'!AY55/'Supply 2024'!AY$76</f>
        <v>4.8624132523484968E-4</v>
      </c>
      <c r="AZ54" s="12">
        <f>'Supply 2024'!AZ55/'Supply 2024'!AZ$76</f>
        <v>5.1231636227690007E-4</v>
      </c>
      <c r="BA54" s="12">
        <f>'Supply 2024'!BA55/'Supply 2024'!BA$76</f>
        <v>9.1886468200563884E-4</v>
      </c>
      <c r="BB54" s="12">
        <f>'Supply 2024'!BB55/'Supply 2024'!BB$76</f>
        <v>1.9099865404558592E-2</v>
      </c>
      <c r="BC54" s="12">
        <f>'Supply 2024'!BC55/'Supply 2024'!BC$76</f>
        <v>0.94906410812903841</v>
      </c>
      <c r="BD54" s="12">
        <f>'Supply 2024'!BD55/'Supply 2024'!BD$76</f>
        <v>9.3077057895659294E-3</v>
      </c>
      <c r="BE54" s="12">
        <f>'Supply 2024'!BE55/'Supply 2024'!BE$76</f>
        <v>5.187213538960208E-2</v>
      </c>
      <c r="BF54" s="12">
        <f>'Supply 2024'!BF55/'Supply 2024'!BF$76</f>
        <v>1.3223348655626221E-3</v>
      </c>
      <c r="BG54" s="12">
        <f>'Supply 2024'!BG55/'Supply 2024'!BG$76</f>
        <v>0.10581771915310224</v>
      </c>
      <c r="BH54" s="12">
        <f>'Supply 2024'!BH55/'Supply 2024'!BH$76</f>
        <v>3.277268630686939E-4</v>
      </c>
      <c r="BI54" s="12">
        <f>'Supply 2024'!BI55/'Supply 2024'!BI$76</f>
        <v>5.4511596950152976E-3</v>
      </c>
      <c r="BJ54" s="12">
        <f>'Supply 2024'!BJ55/'Supply 2024'!BJ$76</f>
        <v>7.8856752328464654E-5</v>
      </c>
      <c r="BK54" s="12">
        <f>'Supply 2024'!BK55/'Supply 2024'!BK$76</f>
        <v>1.0215953914696784E-4</v>
      </c>
      <c r="BL54" s="12">
        <f>'Supply 2024'!BL55/'Supply 2024'!BL$76</f>
        <v>3.9623112043277529E-2</v>
      </c>
      <c r="BM54" s="12">
        <f>'Supply 2024'!BM55/'Supply 2024'!BM$76</f>
        <v>4.9577929485267018E-4</v>
      </c>
      <c r="BN54" s="12">
        <f>'Supply 2024'!BN55/'Supply 2024'!BN$76</f>
        <v>2.0253398954345946E-5</v>
      </c>
      <c r="BO54" s="12">
        <f>'Supply 2024'!BO55/'Supply 2024'!BO$76</f>
        <v>0</v>
      </c>
      <c r="BP54" s="12">
        <f>'Supply 2024'!BP55/'Supply 2024'!BP$76</f>
        <v>1.4996941964348053E-3</v>
      </c>
      <c r="BQ54" s="12">
        <f>'Supply 2024'!BQ55/'Supply 2024'!BQ$76</f>
        <v>3.5486272601489462E-2</v>
      </c>
      <c r="BR54" s="12">
        <f>'Supply 2024'!BR55/'Supply 2024'!BR$76</f>
        <v>5.4071739876240456E-2</v>
      </c>
      <c r="BS54" s="12">
        <f>'Supply 2024'!BS55/'Supply 2024'!BS$76</f>
        <v>0</v>
      </c>
      <c r="BT54" s="12">
        <f>'Supply 2024'!BT55/'Supply 2024'!BT$76</f>
        <v>2.4681566333320797E-2</v>
      </c>
      <c r="BU54" s="12">
        <f>'Supply 2024'!BU55/'Supply 2024'!BU$76</f>
        <v>0</v>
      </c>
      <c r="BV54" s="12">
        <f>'Supply 2024'!BV55/'Supply 2024'!BV$76</f>
        <v>6.5726659752810543E-2</v>
      </c>
      <c r="BW54" s="12">
        <f>'Supply 2024'!BW55/'Supply 2024'!BW$76</f>
        <v>3.6319836307391273E-2</v>
      </c>
      <c r="BX54" s="12">
        <f>'Supply 2024'!BX55/'Supply 2024'!BX$76</f>
        <v>0</v>
      </c>
      <c r="BY54" s="12">
        <f>'Supply 2024'!BY55/'Supply 2024'!BY$76</f>
        <v>6.3720505975834826E-2</v>
      </c>
      <c r="BZ54" s="12">
        <f>'Supply 2024'!BZ55/'Supply 2024'!BZ$76</f>
        <v>0</v>
      </c>
      <c r="CA54" s="12" t="e">
        <f>'Supply 2024'!CA55/'Supply 2024'!CA$76</f>
        <v>#DIV/0!</v>
      </c>
      <c r="CB54" s="12">
        <f>'Supply 2024'!CB55/'Supply 2024'!CB$76</f>
        <v>0</v>
      </c>
      <c r="CC54" s="12">
        <f>'Supply 2024'!CC55/'Supply 2024'!CC$76</f>
        <v>5.981791426896527E-5</v>
      </c>
      <c r="CD54" s="12">
        <f>'Supply 2024'!CD55/'Supply 2024'!CD$76</f>
        <v>1.1344411693788475E-2</v>
      </c>
      <c r="CE54" s="12">
        <f>'Supply 2024'!CE55/'Supply 2024'!CE$76</f>
        <v>0</v>
      </c>
      <c r="CF54" s="12">
        <f>'Supply 2024'!CF55/'Supply 2024'!CF$76</f>
        <v>1.1414137614987638E-2</v>
      </c>
      <c r="CG54" s="12">
        <f>'Supply 2024'!CG55/'Supply 2024'!CG$76</f>
        <v>6.2749388567316919E-2</v>
      </c>
    </row>
    <row r="55" spans="1:85" x14ac:dyDescent="0.25">
      <c r="A55" t="s">
        <v>54</v>
      </c>
      <c r="B55" t="s">
        <v>147</v>
      </c>
      <c r="C55" s="12">
        <f>'Supply 2024'!C56/'Supply 2024'!C$76</f>
        <v>0</v>
      </c>
      <c r="D55" s="12">
        <f>'Supply 2024'!D56/'Supply 2024'!D$76</f>
        <v>0</v>
      </c>
      <c r="E55" s="12">
        <f>'Supply 2024'!E56/'Supply 2024'!E$76</f>
        <v>0</v>
      </c>
      <c r="F55" s="12">
        <f>'Supply 2024'!F56/'Supply 2024'!F$76</f>
        <v>0</v>
      </c>
      <c r="G55" s="12">
        <f>'Supply 2024'!G56/'Supply 2024'!G$76</f>
        <v>0</v>
      </c>
      <c r="H55" s="12">
        <f>'Supply 2024'!H56/'Supply 2024'!H$76</f>
        <v>0</v>
      </c>
      <c r="I55" s="12">
        <f>'Supply 2024'!I56/'Supply 2024'!I$76</f>
        <v>0</v>
      </c>
      <c r="J55" s="12">
        <f>'Supply 2024'!J56/'Supply 2024'!J$76</f>
        <v>0</v>
      </c>
      <c r="K55" s="12">
        <f>'Supply 2024'!K56/'Supply 2024'!K$76</f>
        <v>0</v>
      </c>
      <c r="L55" s="12">
        <f>'Supply 2024'!L56/'Supply 2024'!L$76</f>
        <v>0</v>
      </c>
      <c r="M55" s="12">
        <f>'Supply 2024'!M56/'Supply 2024'!M$76</f>
        <v>0</v>
      </c>
      <c r="N55" s="12">
        <f>'Supply 2024'!N56/'Supply 2024'!N$76</f>
        <v>0</v>
      </c>
      <c r="O55" s="12">
        <f>'Supply 2024'!O56/'Supply 2024'!O$76</f>
        <v>0</v>
      </c>
      <c r="P55" s="12">
        <f>'Supply 2024'!P56/'Supply 2024'!P$76</f>
        <v>0</v>
      </c>
      <c r="Q55" s="12">
        <f>'Supply 2024'!Q56/'Supply 2024'!Q$76</f>
        <v>0</v>
      </c>
      <c r="R55" s="12">
        <f>'Supply 2024'!R56/'Supply 2024'!R$76</f>
        <v>0</v>
      </c>
      <c r="S55" s="12">
        <f>'Supply 2024'!S56/'Supply 2024'!S$76</f>
        <v>0</v>
      </c>
      <c r="T55" s="12">
        <f>'Supply 2024'!T56/'Supply 2024'!T$76</f>
        <v>0</v>
      </c>
      <c r="U55" s="12">
        <f>'Supply 2024'!U56/'Supply 2024'!U$76</f>
        <v>0</v>
      </c>
      <c r="V55" s="12">
        <f>'Supply 2024'!V56/'Supply 2024'!V$76</f>
        <v>0</v>
      </c>
      <c r="W55" s="12">
        <f>'Supply 2024'!W56/'Supply 2024'!W$76</f>
        <v>0</v>
      </c>
      <c r="X55" s="12">
        <f>'Supply 2024'!X56/'Supply 2024'!X$76</f>
        <v>0</v>
      </c>
      <c r="Y55" s="12">
        <f>'Supply 2024'!Y56/'Supply 2024'!Y$76</f>
        <v>0</v>
      </c>
      <c r="Z55" s="12">
        <f>'Supply 2024'!Z56/'Supply 2024'!Z$76</f>
        <v>0</v>
      </c>
      <c r="AA55" s="12">
        <f>'Supply 2024'!AA56/'Supply 2024'!AA$76</f>
        <v>0</v>
      </c>
      <c r="AB55" s="12">
        <f>'Supply 2024'!AB56/'Supply 2024'!AB$76</f>
        <v>0</v>
      </c>
      <c r="AC55" s="12">
        <f>'Supply 2024'!AC56/'Supply 2024'!AC$76</f>
        <v>0</v>
      </c>
      <c r="AD55" s="12">
        <f>'Supply 2024'!AD56/'Supply 2024'!AD$76</f>
        <v>0</v>
      </c>
      <c r="AE55" s="12">
        <f>'Supply 2024'!AE56/'Supply 2024'!AE$76</f>
        <v>0</v>
      </c>
      <c r="AF55" s="12">
        <f>'Supply 2024'!AF56/'Supply 2024'!AF$76</f>
        <v>0</v>
      </c>
      <c r="AG55" s="12">
        <f>'Supply 2024'!AG56/'Supply 2024'!AG$76</f>
        <v>0</v>
      </c>
      <c r="AH55" s="12">
        <f>'Supply 2024'!AH56/'Supply 2024'!AH$76</f>
        <v>0</v>
      </c>
      <c r="AI55" s="12">
        <f>'Supply 2024'!AI56/'Supply 2024'!AI$76</f>
        <v>0</v>
      </c>
      <c r="AJ55" s="12">
        <f>'Supply 2024'!AJ56/'Supply 2024'!AJ$76</f>
        <v>0</v>
      </c>
      <c r="AK55" s="12">
        <f>'Supply 2024'!AK56/'Supply 2024'!AK$76</f>
        <v>0</v>
      </c>
      <c r="AL55" s="12">
        <f>'Supply 2024'!AL56/'Supply 2024'!AL$76</f>
        <v>0</v>
      </c>
      <c r="AM55" s="12">
        <f>'Supply 2024'!AM56/'Supply 2024'!AM$76</f>
        <v>0</v>
      </c>
      <c r="AN55" s="12">
        <f>'Supply 2024'!AN56/'Supply 2024'!AN$76</f>
        <v>0</v>
      </c>
      <c r="AO55" s="12">
        <f>'Supply 2024'!AO56/'Supply 2024'!AO$76</f>
        <v>0</v>
      </c>
      <c r="AP55" s="12">
        <f>'Supply 2024'!AP56/'Supply 2024'!AP$76</f>
        <v>0</v>
      </c>
      <c r="AQ55" s="12">
        <f>'Supply 2024'!AQ56/'Supply 2024'!AQ$76</f>
        <v>0</v>
      </c>
      <c r="AR55" s="12">
        <f>'Supply 2024'!AR56/'Supply 2024'!AR$76</f>
        <v>0</v>
      </c>
      <c r="AS55" s="12">
        <f>'Supply 2024'!AS56/'Supply 2024'!AS$76</f>
        <v>0</v>
      </c>
      <c r="AT55" s="12">
        <f>'Supply 2024'!AT56/'Supply 2024'!AT$76</f>
        <v>0</v>
      </c>
      <c r="AU55" s="12">
        <f>'Supply 2024'!AU56/'Supply 2024'!AU$76</f>
        <v>0</v>
      </c>
      <c r="AV55" s="12">
        <f>'Supply 2024'!AV56/'Supply 2024'!AV$76</f>
        <v>0</v>
      </c>
      <c r="AW55" s="12">
        <f>'Supply 2024'!AW56/'Supply 2024'!AW$76</f>
        <v>0</v>
      </c>
      <c r="AX55" s="12">
        <f>'Supply 2024'!AX56/'Supply 2024'!AX$76</f>
        <v>0</v>
      </c>
      <c r="AY55" s="12">
        <f>'Supply 2024'!AY56/'Supply 2024'!AY$76</f>
        <v>0</v>
      </c>
      <c r="AZ55" s="12">
        <f>'Supply 2024'!AZ56/'Supply 2024'!AZ$76</f>
        <v>0</v>
      </c>
      <c r="BA55" s="12">
        <f>'Supply 2024'!BA56/'Supply 2024'!BA$76</f>
        <v>0</v>
      </c>
      <c r="BB55" s="12">
        <f>'Supply 2024'!BB56/'Supply 2024'!BB$76</f>
        <v>0</v>
      </c>
      <c r="BC55" s="12">
        <f>'Supply 2024'!BC56/'Supply 2024'!BC$76</f>
        <v>0</v>
      </c>
      <c r="BD55" s="12">
        <f>'Supply 2024'!BD56/'Supply 2024'!BD$76</f>
        <v>0.96442834608868377</v>
      </c>
      <c r="BE55" s="12">
        <f>'Supply 2024'!BE56/'Supply 2024'!BE$76</f>
        <v>0</v>
      </c>
      <c r="BF55" s="12">
        <f>'Supply 2024'!BF56/'Supply 2024'!BF$76</f>
        <v>0</v>
      </c>
      <c r="BG55" s="12">
        <f>'Supply 2024'!BG56/'Supply 2024'!BG$76</f>
        <v>0</v>
      </c>
      <c r="BH55" s="12">
        <f>'Supply 2024'!BH56/'Supply 2024'!BH$76</f>
        <v>0</v>
      </c>
      <c r="BI55" s="12">
        <f>'Supply 2024'!BI56/'Supply 2024'!BI$76</f>
        <v>0</v>
      </c>
      <c r="BJ55" s="12">
        <f>'Supply 2024'!BJ56/'Supply 2024'!BJ$76</f>
        <v>0</v>
      </c>
      <c r="BK55" s="12">
        <f>'Supply 2024'!BK56/'Supply 2024'!BK$76</f>
        <v>0</v>
      </c>
      <c r="BL55" s="12">
        <f>'Supply 2024'!BL56/'Supply 2024'!BL$76</f>
        <v>0</v>
      </c>
      <c r="BM55" s="12">
        <f>'Supply 2024'!BM56/'Supply 2024'!BM$76</f>
        <v>0</v>
      </c>
      <c r="BN55" s="12">
        <f>'Supply 2024'!BN56/'Supply 2024'!BN$76</f>
        <v>0</v>
      </c>
      <c r="BO55" s="12">
        <f>'Supply 2024'!BO56/'Supply 2024'!BO$76</f>
        <v>0</v>
      </c>
      <c r="BP55" s="12">
        <f>'Supply 2024'!BP56/'Supply 2024'!BP$76</f>
        <v>0</v>
      </c>
      <c r="BQ55" s="12">
        <f>'Supply 2024'!BQ56/'Supply 2024'!BQ$76</f>
        <v>0</v>
      </c>
      <c r="BR55" s="12">
        <f>'Supply 2024'!BR56/'Supply 2024'!BR$76</f>
        <v>0</v>
      </c>
      <c r="BS55" s="12">
        <f>'Supply 2024'!BS56/'Supply 2024'!BS$76</f>
        <v>0</v>
      </c>
      <c r="BT55" s="12">
        <f>'Supply 2024'!BT56/'Supply 2024'!BT$76</f>
        <v>0</v>
      </c>
      <c r="BU55" s="12">
        <f>'Supply 2024'!BU56/'Supply 2024'!BU$76</f>
        <v>0</v>
      </c>
      <c r="BV55" s="12">
        <f>'Supply 2024'!BV56/'Supply 2024'!BV$76</f>
        <v>1.6599006198539483E-2</v>
      </c>
      <c r="BW55" s="12">
        <f>'Supply 2024'!BW56/'Supply 2024'!BW$76</f>
        <v>0</v>
      </c>
      <c r="BX55" s="12">
        <f>'Supply 2024'!BX56/'Supply 2024'!BX$76</f>
        <v>0</v>
      </c>
      <c r="BY55" s="12">
        <f>'Supply 2024'!BY56/'Supply 2024'!BY$76</f>
        <v>1.5454793018124255E-2</v>
      </c>
      <c r="BZ55" s="12">
        <f>'Supply 2024'!BZ56/'Supply 2024'!BZ$76</f>
        <v>0</v>
      </c>
      <c r="CA55" s="12" t="e">
        <f>'Supply 2024'!CA56/'Supply 2024'!CA$76</f>
        <v>#DIV/0!</v>
      </c>
      <c r="CB55" s="12">
        <f>'Supply 2024'!CB56/'Supply 2024'!CB$76</f>
        <v>0</v>
      </c>
      <c r="CC55" s="12">
        <f>'Supply 2024'!CC56/'Supply 2024'!CC$76</f>
        <v>0</v>
      </c>
      <c r="CD55" s="12">
        <f>'Supply 2024'!CD56/'Supply 2024'!CD$76</f>
        <v>2.0795299652099459E-3</v>
      </c>
      <c r="CE55" s="12">
        <f>'Supply 2024'!CE56/'Supply 2024'!CE$76</f>
        <v>0</v>
      </c>
      <c r="CF55" s="12">
        <f>'Supply 2024'!CF56/'Supply 2024'!CF$76</f>
        <v>2.0914041606372598E-3</v>
      </c>
      <c r="CG55" s="12">
        <f>'Supply 2024'!CG56/'Supply 2024'!CG$76</f>
        <v>1.5206688981304232E-2</v>
      </c>
    </row>
    <row r="56" spans="1:85" x14ac:dyDescent="0.25">
      <c r="A56" t="s">
        <v>55</v>
      </c>
      <c r="B56" t="s">
        <v>148</v>
      </c>
      <c r="C56" s="12">
        <f>'Supply 2024'!C57/'Supply 2024'!C$76</f>
        <v>0</v>
      </c>
      <c r="D56" s="12">
        <f>'Supply 2024'!D57/'Supply 2024'!D$76</f>
        <v>0</v>
      </c>
      <c r="E56" s="12">
        <f>'Supply 2024'!E57/'Supply 2024'!E$76</f>
        <v>0</v>
      </c>
      <c r="F56" s="12">
        <f>'Supply 2024'!F57/'Supply 2024'!F$76</f>
        <v>0</v>
      </c>
      <c r="G56" s="12">
        <f>'Supply 2024'!G57/'Supply 2024'!G$76</f>
        <v>0</v>
      </c>
      <c r="H56" s="12">
        <f>'Supply 2024'!H57/'Supply 2024'!H$76</f>
        <v>0</v>
      </c>
      <c r="I56" s="12">
        <f>'Supply 2024'!I57/'Supply 2024'!I$76</f>
        <v>0</v>
      </c>
      <c r="J56" s="12">
        <f>'Supply 2024'!J57/'Supply 2024'!J$76</f>
        <v>0</v>
      </c>
      <c r="K56" s="12">
        <f>'Supply 2024'!K57/'Supply 2024'!K$76</f>
        <v>0</v>
      </c>
      <c r="L56" s="12">
        <f>'Supply 2024'!L57/'Supply 2024'!L$76</f>
        <v>0</v>
      </c>
      <c r="M56" s="12">
        <f>'Supply 2024'!M57/'Supply 2024'!M$76</f>
        <v>0</v>
      </c>
      <c r="N56" s="12">
        <f>'Supply 2024'!N57/'Supply 2024'!N$76</f>
        <v>0</v>
      </c>
      <c r="O56" s="12">
        <f>'Supply 2024'!O57/'Supply 2024'!O$76</f>
        <v>0</v>
      </c>
      <c r="P56" s="12">
        <f>'Supply 2024'!P57/'Supply 2024'!P$76</f>
        <v>0</v>
      </c>
      <c r="Q56" s="12">
        <f>'Supply 2024'!Q57/'Supply 2024'!Q$76</f>
        <v>0</v>
      </c>
      <c r="R56" s="12">
        <f>'Supply 2024'!R57/'Supply 2024'!R$76</f>
        <v>0</v>
      </c>
      <c r="S56" s="12">
        <f>'Supply 2024'!S57/'Supply 2024'!S$76</f>
        <v>0</v>
      </c>
      <c r="T56" s="12">
        <f>'Supply 2024'!T57/'Supply 2024'!T$76</f>
        <v>0</v>
      </c>
      <c r="U56" s="12">
        <f>'Supply 2024'!U57/'Supply 2024'!U$76</f>
        <v>0</v>
      </c>
      <c r="V56" s="12">
        <f>'Supply 2024'!V57/'Supply 2024'!V$76</f>
        <v>0</v>
      </c>
      <c r="W56" s="12">
        <f>'Supply 2024'!W57/'Supply 2024'!W$76</f>
        <v>0</v>
      </c>
      <c r="X56" s="12">
        <f>'Supply 2024'!X57/'Supply 2024'!X$76</f>
        <v>0</v>
      </c>
      <c r="Y56" s="12">
        <f>'Supply 2024'!Y57/'Supply 2024'!Y$76</f>
        <v>3.4856424726720887E-3</v>
      </c>
      <c r="Z56" s="12">
        <f>'Supply 2024'!Z57/'Supply 2024'!Z$76</f>
        <v>0</v>
      </c>
      <c r="AA56" s="12">
        <f>'Supply 2024'!AA57/'Supply 2024'!AA$76</f>
        <v>0</v>
      </c>
      <c r="AB56" s="12">
        <f>'Supply 2024'!AB57/'Supply 2024'!AB$76</f>
        <v>0</v>
      </c>
      <c r="AC56" s="12">
        <f>'Supply 2024'!AC57/'Supply 2024'!AC$76</f>
        <v>1.0648375799436321E-5</v>
      </c>
      <c r="AD56" s="12">
        <f>'Supply 2024'!AD57/'Supply 2024'!AD$76</f>
        <v>0</v>
      </c>
      <c r="AE56" s="12">
        <f>'Supply 2024'!AE57/'Supply 2024'!AE$76</f>
        <v>6.2842294120789175E-6</v>
      </c>
      <c r="AF56" s="12">
        <f>'Supply 2024'!AF57/'Supply 2024'!AF$76</f>
        <v>0</v>
      </c>
      <c r="AG56" s="12">
        <f>'Supply 2024'!AG57/'Supply 2024'!AG$76</f>
        <v>4.0847031271806356E-5</v>
      </c>
      <c r="AH56" s="12">
        <f>'Supply 2024'!AH57/'Supply 2024'!AH$76</f>
        <v>0</v>
      </c>
      <c r="AI56" s="12">
        <f>'Supply 2024'!AI57/'Supply 2024'!AI$76</f>
        <v>0</v>
      </c>
      <c r="AJ56" s="12">
        <f>'Supply 2024'!AJ57/'Supply 2024'!AJ$76</f>
        <v>0</v>
      </c>
      <c r="AK56" s="12">
        <f>'Supply 2024'!AK57/'Supply 2024'!AK$76</f>
        <v>0</v>
      </c>
      <c r="AL56" s="12">
        <f>'Supply 2024'!AL57/'Supply 2024'!AL$76</f>
        <v>0</v>
      </c>
      <c r="AM56" s="12">
        <f>'Supply 2024'!AM57/'Supply 2024'!AM$76</f>
        <v>0</v>
      </c>
      <c r="AN56" s="12">
        <f>'Supply 2024'!AN57/'Supply 2024'!AN$76</f>
        <v>1.4107476398191985E-5</v>
      </c>
      <c r="AO56" s="12">
        <f>'Supply 2024'!AO57/'Supply 2024'!AO$76</f>
        <v>0</v>
      </c>
      <c r="AP56" s="12">
        <f>'Supply 2024'!AP57/'Supply 2024'!AP$76</f>
        <v>2.7989450130335488E-4</v>
      </c>
      <c r="AQ56" s="12">
        <f>'Supply 2024'!AQ57/'Supply 2024'!AQ$76</f>
        <v>0</v>
      </c>
      <c r="AR56" s="12">
        <f>'Supply 2024'!AR57/'Supply 2024'!AR$76</f>
        <v>0</v>
      </c>
      <c r="AS56" s="12">
        <f>'Supply 2024'!AS57/'Supply 2024'!AS$76</f>
        <v>1.2623644085371901E-4</v>
      </c>
      <c r="AT56" s="12">
        <f>'Supply 2024'!AT57/'Supply 2024'!AT$76</f>
        <v>0</v>
      </c>
      <c r="AU56" s="12">
        <f>'Supply 2024'!AU57/'Supply 2024'!AU$76</f>
        <v>0</v>
      </c>
      <c r="AV56" s="12">
        <f>'Supply 2024'!AV57/'Supply 2024'!AV$76</f>
        <v>0</v>
      </c>
      <c r="AW56" s="12">
        <f>'Supply 2024'!AW57/'Supply 2024'!AW$76</f>
        <v>0</v>
      </c>
      <c r="AX56" s="12">
        <f>'Supply 2024'!AX57/'Supply 2024'!AX$76</f>
        <v>0</v>
      </c>
      <c r="AY56" s="12">
        <f>'Supply 2024'!AY57/'Supply 2024'!AY$76</f>
        <v>0</v>
      </c>
      <c r="AZ56" s="12">
        <f>'Supply 2024'!AZ57/'Supply 2024'!AZ$76</f>
        <v>0</v>
      </c>
      <c r="BA56" s="12">
        <f>'Supply 2024'!BA57/'Supply 2024'!BA$76</f>
        <v>0</v>
      </c>
      <c r="BB56" s="12">
        <f>'Supply 2024'!BB57/'Supply 2024'!BB$76</f>
        <v>1.1785375433022219E-2</v>
      </c>
      <c r="BC56" s="12">
        <f>'Supply 2024'!BC57/'Supply 2024'!BC$76</f>
        <v>7.4038581394259202E-4</v>
      </c>
      <c r="BD56" s="12">
        <f>'Supply 2024'!BD57/'Supply 2024'!BD$76</f>
        <v>0</v>
      </c>
      <c r="BE56" s="12">
        <f>'Supply 2024'!BE57/'Supply 2024'!BE$76</f>
        <v>0.92968440522291051</v>
      </c>
      <c r="BF56" s="12">
        <f>'Supply 2024'!BF57/'Supply 2024'!BF$76</f>
        <v>0</v>
      </c>
      <c r="BG56" s="12">
        <f>'Supply 2024'!BG57/'Supply 2024'!BG$76</f>
        <v>0</v>
      </c>
      <c r="BH56" s="12">
        <f>'Supply 2024'!BH57/'Supply 2024'!BH$76</f>
        <v>0</v>
      </c>
      <c r="BI56" s="12">
        <f>'Supply 2024'!BI57/'Supply 2024'!BI$76</f>
        <v>0</v>
      </c>
      <c r="BJ56" s="12">
        <f>'Supply 2024'!BJ57/'Supply 2024'!BJ$76</f>
        <v>0</v>
      </c>
      <c r="BK56" s="12">
        <f>'Supply 2024'!BK57/'Supply 2024'!BK$76</f>
        <v>0</v>
      </c>
      <c r="BL56" s="12">
        <f>'Supply 2024'!BL57/'Supply 2024'!BL$76</f>
        <v>0</v>
      </c>
      <c r="BM56" s="12">
        <f>'Supply 2024'!BM57/'Supply 2024'!BM$76</f>
        <v>0</v>
      </c>
      <c r="BN56" s="12">
        <f>'Supply 2024'!BN57/'Supply 2024'!BN$76</f>
        <v>0</v>
      </c>
      <c r="BO56" s="12">
        <f>'Supply 2024'!BO57/'Supply 2024'!BO$76</f>
        <v>0</v>
      </c>
      <c r="BP56" s="12">
        <f>'Supply 2024'!BP57/'Supply 2024'!BP$76</f>
        <v>0</v>
      </c>
      <c r="BQ56" s="12">
        <f>'Supply 2024'!BQ57/'Supply 2024'!BQ$76</f>
        <v>0</v>
      </c>
      <c r="BR56" s="12">
        <f>'Supply 2024'!BR57/'Supply 2024'!BR$76</f>
        <v>0</v>
      </c>
      <c r="BS56" s="12">
        <f>'Supply 2024'!BS57/'Supply 2024'!BS$76</f>
        <v>0</v>
      </c>
      <c r="BT56" s="12">
        <f>'Supply 2024'!BT57/'Supply 2024'!BT$76</f>
        <v>3.763637841529889E-3</v>
      </c>
      <c r="BU56" s="12">
        <f>'Supply 2024'!BU57/'Supply 2024'!BU$76</f>
        <v>0</v>
      </c>
      <c r="BV56" s="12">
        <f>'Supply 2024'!BV57/'Supply 2024'!BV$76</f>
        <v>2.5294256170234501E-2</v>
      </c>
      <c r="BW56" s="12">
        <f>'Supply 2024'!BW57/'Supply 2024'!BW$76</f>
        <v>1.2313041641839452E-3</v>
      </c>
      <c r="BX56" s="12">
        <f>'Supply 2024'!BX57/'Supply 2024'!BX$76</f>
        <v>0</v>
      </c>
      <c r="BY56" s="12">
        <f>'Supply 2024'!BY57/'Supply 2024'!BY$76</f>
        <v>2.3636243327000671E-2</v>
      </c>
      <c r="BZ56" s="12">
        <f>'Supply 2024'!BZ57/'Supply 2024'!BZ$76</f>
        <v>0</v>
      </c>
      <c r="CA56" s="12" t="e">
        <f>'Supply 2024'!CA57/'Supply 2024'!CA$76</f>
        <v>#DIV/0!</v>
      </c>
      <c r="CB56" s="12">
        <f>'Supply 2024'!CB57/'Supply 2024'!CB$76</f>
        <v>0</v>
      </c>
      <c r="CC56" s="12">
        <f>'Supply 2024'!CC57/'Supply 2024'!CC$76</f>
        <v>0</v>
      </c>
      <c r="CD56" s="12">
        <f>'Supply 2024'!CD57/'Supply 2024'!CD$76</f>
        <v>9.4538404381480073E-3</v>
      </c>
      <c r="CE56" s="12">
        <f>'Supply 2024'!CE57/'Supply 2024'!CE$76</f>
        <v>0</v>
      </c>
      <c r="CF56" s="12">
        <f>'Supply 2024'!CF57/'Supply 2024'!CF$76</f>
        <v>9.5078222276770066E-3</v>
      </c>
      <c r="CG56" s="12">
        <f>'Supply 2024'!CG57/'Supply 2024'!CG$76</f>
        <v>2.3373936006429626E-2</v>
      </c>
    </row>
    <row r="57" spans="1:85" x14ac:dyDescent="0.25">
      <c r="A57" t="s">
        <v>56</v>
      </c>
      <c r="B57" t="s">
        <v>149</v>
      </c>
      <c r="C57" s="12">
        <f>'Supply 2024'!C58/'Supply 2024'!C$76</f>
        <v>0</v>
      </c>
      <c r="D57" s="12">
        <f>'Supply 2024'!D58/'Supply 2024'!D$76</f>
        <v>0</v>
      </c>
      <c r="E57" s="12">
        <f>'Supply 2024'!E58/'Supply 2024'!E$76</f>
        <v>0</v>
      </c>
      <c r="F57" s="12">
        <f>'Supply 2024'!F58/'Supply 2024'!F$76</f>
        <v>0</v>
      </c>
      <c r="G57" s="12">
        <f>'Supply 2024'!G58/'Supply 2024'!G$76</f>
        <v>0</v>
      </c>
      <c r="H57" s="12">
        <f>'Supply 2024'!H58/'Supply 2024'!H$76</f>
        <v>1.490623975196017E-5</v>
      </c>
      <c r="I57" s="12">
        <f>'Supply 2024'!I58/'Supply 2024'!I$76</f>
        <v>0</v>
      </c>
      <c r="J57" s="12">
        <f>'Supply 2024'!J58/'Supply 2024'!J$76</f>
        <v>0</v>
      </c>
      <c r="K57" s="12">
        <f>'Supply 2024'!K58/'Supply 2024'!K$76</f>
        <v>0</v>
      </c>
      <c r="L57" s="12">
        <f>'Supply 2024'!L58/'Supply 2024'!L$76</f>
        <v>0</v>
      </c>
      <c r="M57" s="12">
        <f>'Supply 2024'!M58/'Supply 2024'!M$76</f>
        <v>0</v>
      </c>
      <c r="N57" s="12">
        <f>'Supply 2024'!N58/'Supply 2024'!N$76</f>
        <v>0</v>
      </c>
      <c r="O57" s="12">
        <f>'Supply 2024'!O58/'Supply 2024'!O$76</f>
        <v>0</v>
      </c>
      <c r="P57" s="12">
        <f>'Supply 2024'!P58/'Supply 2024'!P$76</f>
        <v>0</v>
      </c>
      <c r="Q57" s="12">
        <f>'Supply 2024'!Q58/'Supply 2024'!Q$76</f>
        <v>0</v>
      </c>
      <c r="R57" s="12">
        <f>'Supply 2024'!R58/'Supply 2024'!R$76</f>
        <v>0</v>
      </c>
      <c r="S57" s="12">
        <f>'Supply 2024'!S58/'Supply 2024'!S$76</f>
        <v>0</v>
      </c>
      <c r="T57" s="12">
        <f>'Supply 2024'!T58/'Supply 2024'!T$76</f>
        <v>0</v>
      </c>
      <c r="U57" s="12">
        <f>'Supply 2024'!U58/'Supply 2024'!U$76</f>
        <v>0</v>
      </c>
      <c r="V57" s="12">
        <f>'Supply 2024'!V58/'Supply 2024'!V$76</f>
        <v>0</v>
      </c>
      <c r="W57" s="12">
        <f>'Supply 2024'!W58/'Supply 2024'!W$76</f>
        <v>0</v>
      </c>
      <c r="X57" s="12">
        <f>'Supply 2024'!X58/'Supply 2024'!X$76</f>
        <v>0</v>
      </c>
      <c r="Y57" s="12">
        <f>'Supply 2024'!Y58/'Supply 2024'!Y$76</f>
        <v>0</v>
      </c>
      <c r="Z57" s="12">
        <f>'Supply 2024'!Z58/'Supply 2024'!Z$76</f>
        <v>0</v>
      </c>
      <c r="AA57" s="12">
        <f>'Supply 2024'!AA58/'Supply 2024'!AA$76</f>
        <v>0</v>
      </c>
      <c r="AB57" s="12">
        <f>'Supply 2024'!AB58/'Supply 2024'!AB$76</f>
        <v>0</v>
      </c>
      <c r="AC57" s="12">
        <f>'Supply 2024'!AC58/'Supply 2024'!AC$76</f>
        <v>0</v>
      </c>
      <c r="AD57" s="12">
        <f>'Supply 2024'!AD58/'Supply 2024'!AD$76</f>
        <v>0</v>
      </c>
      <c r="AE57" s="12">
        <f>'Supply 2024'!AE58/'Supply 2024'!AE$76</f>
        <v>0</v>
      </c>
      <c r="AF57" s="12">
        <f>'Supply 2024'!AF58/'Supply 2024'!AF$76</f>
        <v>0</v>
      </c>
      <c r="AG57" s="12">
        <f>'Supply 2024'!AG58/'Supply 2024'!AG$76</f>
        <v>0</v>
      </c>
      <c r="AH57" s="12">
        <f>'Supply 2024'!AH58/'Supply 2024'!AH$76</f>
        <v>0</v>
      </c>
      <c r="AI57" s="12">
        <f>'Supply 2024'!AI58/'Supply 2024'!AI$76</f>
        <v>0</v>
      </c>
      <c r="AJ57" s="12">
        <f>'Supply 2024'!AJ58/'Supply 2024'!AJ$76</f>
        <v>0</v>
      </c>
      <c r="AK57" s="12">
        <f>'Supply 2024'!AK58/'Supply 2024'!AK$76</f>
        <v>1.1940661524809555E-2</v>
      </c>
      <c r="AL57" s="12">
        <f>'Supply 2024'!AL58/'Supply 2024'!AL$76</f>
        <v>0</v>
      </c>
      <c r="AM57" s="12">
        <f>'Supply 2024'!AM58/'Supply 2024'!AM$76</f>
        <v>0</v>
      </c>
      <c r="AN57" s="12">
        <f>'Supply 2024'!AN58/'Supply 2024'!AN$76</f>
        <v>0</v>
      </c>
      <c r="AO57" s="12">
        <f>'Supply 2024'!AO58/'Supply 2024'!AO$76</f>
        <v>0</v>
      </c>
      <c r="AP57" s="12">
        <f>'Supply 2024'!AP58/'Supply 2024'!AP$76</f>
        <v>1.5378818752931587E-6</v>
      </c>
      <c r="AQ57" s="12">
        <f>'Supply 2024'!AQ58/'Supply 2024'!AQ$76</f>
        <v>0</v>
      </c>
      <c r="AR57" s="12">
        <f>'Supply 2024'!AR58/'Supply 2024'!AR$76</f>
        <v>0</v>
      </c>
      <c r="AS57" s="12">
        <f>'Supply 2024'!AS58/'Supply 2024'!AS$76</f>
        <v>0</v>
      </c>
      <c r="AT57" s="12">
        <f>'Supply 2024'!AT58/'Supply 2024'!AT$76</f>
        <v>0</v>
      </c>
      <c r="AU57" s="12">
        <f>'Supply 2024'!AU58/'Supply 2024'!AU$76</f>
        <v>0</v>
      </c>
      <c r="AV57" s="12">
        <f>'Supply 2024'!AV58/'Supply 2024'!AV$76</f>
        <v>0</v>
      </c>
      <c r="AW57" s="12">
        <f>'Supply 2024'!AW58/'Supply 2024'!AW$76</f>
        <v>0</v>
      </c>
      <c r="AX57" s="12">
        <f>'Supply 2024'!AX58/'Supply 2024'!AX$76</f>
        <v>0</v>
      </c>
      <c r="AY57" s="12">
        <f>'Supply 2024'!AY58/'Supply 2024'!AY$76</f>
        <v>0</v>
      </c>
      <c r="AZ57" s="12">
        <f>'Supply 2024'!AZ58/'Supply 2024'!AZ$76</f>
        <v>0</v>
      </c>
      <c r="BA57" s="12">
        <f>'Supply 2024'!BA58/'Supply 2024'!BA$76</f>
        <v>0</v>
      </c>
      <c r="BB57" s="12">
        <f>'Supply 2024'!BB58/'Supply 2024'!BB$76</f>
        <v>0</v>
      </c>
      <c r="BC57" s="12">
        <f>'Supply 2024'!BC58/'Supply 2024'!BC$76</f>
        <v>0</v>
      </c>
      <c r="BD57" s="12">
        <f>'Supply 2024'!BD58/'Supply 2024'!BD$76</f>
        <v>0</v>
      </c>
      <c r="BE57" s="12">
        <f>'Supply 2024'!BE58/'Supply 2024'!BE$76</f>
        <v>5.1964013790797403E-4</v>
      </c>
      <c r="BF57" s="12">
        <f>'Supply 2024'!BF58/'Supply 2024'!BF$76</f>
        <v>0.98279819796097112</v>
      </c>
      <c r="BG57" s="12">
        <f>'Supply 2024'!BG58/'Supply 2024'!BG$76</f>
        <v>0</v>
      </c>
      <c r="BH57" s="12">
        <f>'Supply 2024'!BH58/'Supply 2024'!BH$76</f>
        <v>0</v>
      </c>
      <c r="BI57" s="12">
        <f>'Supply 2024'!BI58/'Supply 2024'!BI$76</f>
        <v>0</v>
      </c>
      <c r="BJ57" s="12">
        <f>'Supply 2024'!BJ58/'Supply 2024'!BJ$76</f>
        <v>0</v>
      </c>
      <c r="BK57" s="12">
        <f>'Supply 2024'!BK58/'Supply 2024'!BK$76</f>
        <v>0</v>
      </c>
      <c r="BL57" s="12">
        <f>'Supply 2024'!BL58/'Supply 2024'!BL$76</f>
        <v>0</v>
      </c>
      <c r="BM57" s="12">
        <f>'Supply 2024'!BM58/'Supply 2024'!BM$76</f>
        <v>0</v>
      </c>
      <c r="BN57" s="12">
        <f>'Supply 2024'!BN58/'Supply 2024'!BN$76</f>
        <v>0</v>
      </c>
      <c r="BO57" s="12">
        <f>'Supply 2024'!BO58/'Supply 2024'!BO$76</f>
        <v>0</v>
      </c>
      <c r="BP57" s="12">
        <f>'Supply 2024'!BP58/'Supply 2024'!BP$76</f>
        <v>0</v>
      </c>
      <c r="BQ57" s="12">
        <f>'Supply 2024'!BQ58/'Supply 2024'!BQ$76</f>
        <v>0</v>
      </c>
      <c r="BR57" s="12">
        <f>'Supply 2024'!BR58/'Supply 2024'!BR$76</f>
        <v>0</v>
      </c>
      <c r="BS57" s="12">
        <f>'Supply 2024'!BS58/'Supply 2024'!BS$76</f>
        <v>0</v>
      </c>
      <c r="BT57" s="12">
        <f>'Supply 2024'!BT58/'Supply 2024'!BT$76</f>
        <v>5.9959188080590193E-3</v>
      </c>
      <c r="BU57" s="12">
        <f>'Supply 2024'!BU58/'Supply 2024'!BU$76</f>
        <v>0</v>
      </c>
      <c r="BV57" s="12">
        <f>'Supply 2024'!BV58/'Supply 2024'!BV$76</f>
        <v>3.990650407239801E-3</v>
      </c>
      <c r="BW57" s="12">
        <f>'Supply 2024'!BW58/'Supply 2024'!BW$76</f>
        <v>1.5004078307820115E-4</v>
      </c>
      <c r="BX57" s="12">
        <f>'Supply 2024'!BX58/'Supply 2024'!BX$76</f>
        <v>0</v>
      </c>
      <c r="BY57" s="12">
        <f>'Supply 2024'!BY58/'Supply 2024'!BY$76</f>
        <v>3.7259935670781075E-3</v>
      </c>
      <c r="BZ57" s="12">
        <f>'Supply 2024'!BZ58/'Supply 2024'!BZ$76</f>
        <v>0</v>
      </c>
      <c r="CA57" s="12" t="e">
        <f>'Supply 2024'!CA58/'Supply 2024'!CA$76</f>
        <v>#DIV/0!</v>
      </c>
      <c r="CB57" s="12">
        <f>'Supply 2024'!CB58/'Supply 2024'!CB$76</f>
        <v>0</v>
      </c>
      <c r="CC57" s="12">
        <f>'Supply 2024'!CC58/'Supply 2024'!CC$76</f>
        <v>0</v>
      </c>
      <c r="CD57" s="12">
        <f>'Supply 2024'!CD58/'Supply 2024'!CD$76</f>
        <v>2.8028875252806085E-3</v>
      </c>
      <c r="CE57" s="12">
        <f>'Supply 2024'!CE58/'Supply 2024'!CE$76</f>
        <v>0</v>
      </c>
      <c r="CF57" s="12">
        <f>'Supply 2024'!CF58/'Supply 2024'!CF$76</f>
        <v>2.8188921199691981E-3</v>
      </c>
      <c r="CG57" s="12">
        <f>'Supply 2024'!CG58/'Supply 2024'!CG$76</f>
        <v>3.7091524634858567E-3</v>
      </c>
    </row>
    <row r="58" spans="1:85" x14ac:dyDescent="0.25">
      <c r="A58" t="s">
        <v>57</v>
      </c>
      <c r="B58" t="s">
        <v>150</v>
      </c>
      <c r="C58" s="12">
        <f>'Supply 2024'!C59/'Supply 2024'!C$76</f>
        <v>0</v>
      </c>
      <c r="D58" s="12">
        <f>'Supply 2024'!D59/'Supply 2024'!D$76</f>
        <v>0</v>
      </c>
      <c r="E58" s="12">
        <f>'Supply 2024'!E59/'Supply 2024'!E$76</f>
        <v>0</v>
      </c>
      <c r="F58" s="12">
        <f>'Supply 2024'!F59/'Supply 2024'!F$76</f>
        <v>0</v>
      </c>
      <c r="G58" s="12">
        <f>'Supply 2024'!G59/'Supply 2024'!G$76</f>
        <v>0</v>
      </c>
      <c r="H58" s="12">
        <f>'Supply 2024'!H59/'Supply 2024'!H$76</f>
        <v>0</v>
      </c>
      <c r="I58" s="12">
        <f>'Supply 2024'!I59/'Supply 2024'!I$76</f>
        <v>0</v>
      </c>
      <c r="J58" s="12">
        <f>'Supply 2024'!J59/'Supply 2024'!J$76</f>
        <v>0</v>
      </c>
      <c r="K58" s="12">
        <f>'Supply 2024'!K59/'Supply 2024'!K$76</f>
        <v>0</v>
      </c>
      <c r="L58" s="12">
        <f>'Supply 2024'!L59/'Supply 2024'!L$76</f>
        <v>0</v>
      </c>
      <c r="M58" s="12">
        <f>'Supply 2024'!M59/'Supply 2024'!M$76</f>
        <v>0</v>
      </c>
      <c r="N58" s="12">
        <f>'Supply 2024'!N59/'Supply 2024'!N$76</f>
        <v>0</v>
      </c>
      <c r="O58" s="12">
        <f>'Supply 2024'!O59/'Supply 2024'!O$76</f>
        <v>0</v>
      </c>
      <c r="P58" s="12">
        <f>'Supply 2024'!P59/'Supply 2024'!P$76</f>
        <v>0</v>
      </c>
      <c r="Q58" s="12">
        <f>'Supply 2024'!Q59/'Supply 2024'!Q$76</f>
        <v>0</v>
      </c>
      <c r="R58" s="12">
        <f>'Supply 2024'!R59/'Supply 2024'!R$76</f>
        <v>0</v>
      </c>
      <c r="S58" s="12">
        <f>'Supply 2024'!S59/'Supply 2024'!S$76</f>
        <v>0</v>
      </c>
      <c r="T58" s="12">
        <f>'Supply 2024'!T59/'Supply 2024'!T$76</f>
        <v>0</v>
      </c>
      <c r="U58" s="12">
        <f>'Supply 2024'!U59/'Supply 2024'!U$76</f>
        <v>0</v>
      </c>
      <c r="V58" s="12">
        <f>'Supply 2024'!V59/'Supply 2024'!V$76</f>
        <v>0</v>
      </c>
      <c r="W58" s="12">
        <f>'Supply 2024'!W59/'Supply 2024'!W$76</f>
        <v>0</v>
      </c>
      <c r="X58" s="12">
        <f>'Supply 2024'!X59/'Supply 2024'!X$76</f>
        <v>0</v>
      </c>
      <c r="Y58" s="12">
        <f>'Supply 2024'!Y59/'Supply 2024'!Y$76</f>
        <v>0</v>
      </c>
      <c r="Z58" s="12">
        <f>'Supply 2024'!Z59/'Supply 2024'!Z$76</f>
        <v>0</v>
      </c>
      <c r="AA58" s="12">
        <f>'Supply 2024'!AA59/'Supply 2024'!AA$76</f>
        <v>0</v>
      </c>
      <c r="AB58" s="12">
        <f>'Supply 2024'!AB59/'Supply 2024'!AB$76</f>
        <v>0</v>
      </c>
      <c r="AC58" s="12">
        <f>'Supply 2024'!AC59/'Supply 2024'!AC$76</f>
        <v>0</v>
      </c>
      <c r="AD58" s="12">
        <f>'Supply 2024'!AD59/'Supply 2024'!AD$76</f>
        <v>0</v>
      </c>
      <c r="AE58" s="12">
        <f>'Supply 2024'!AE59/'Supply 2024'!AE$76</f>
        <v>0</v>
      </c>
      <c r="AF58" s="12">
        <f>'Supply 2024'!AF59/'Supply 2024'!AF$76</f>
        <v>0</v>
      </c>
      <c r="AG58" s="12">
        <f>'Supply 2024'!AG59/'Supply 2024'!AG$76</f>
        <v>1.0824463287028685E-4</v>
      </c>
      <c r="AH58" s="12">
        <f>'Supply 2024'!AH59/'Supply 2024'!AH$76</f>
        <v>0</v>
      </c>
      <c r="AI58" s="12">
        <f>'Supply 2024'!AI59/'Supply 2024'!AI$76</f>
        <v>0</v>
      </c>
      <c r="AJ58" s="12">
        <f>'Supply 2024'!AJ59/'Supply 2024'!AJ$76</f>
        <v>0</v>
      </c>
      <c r="AK58" s="12">
        <f>'Supply 2024'!AK59/'Supply 2024'!AK$76</f>
        <v>0</v>
      </c>
      <c r="AL58" s="12">
        <f>'Supply 2024'!AL59/'Supply 2024'!AL$76</f>
        <v>0</v>
      </c>
      <c r="AM58" s="12">
        <f>'Supply 2024'!AM59/'Supply 2024'!AM$76</f>
        <v>0</v>
      </c>
      <c r="AN58" s="12">
        <f>'Supply 2024'!AN59/'Supply 2024'!AN$76</f>
        <v>0</v>
      </c>
      <c r="AO58" s="12">
        <f>'Supply 2024'!AO59/'Supply 2024'!AO$76</f>
        <v>0</v>
      </c>
      <c r="AP58" s="12">
        <f>'Supply 2024'!AP59/'Supply 2024'!AP$76</f>
        <v>8.6736537766534153E-4</v>
      </c>
      <c r="AQ58" s="12">
        <f>'Supply 2024'!AQ59/'Supply 2024'!AQ$76</f>
        <v>0</v>
      </c>
      <c r="AR58" s="12">
        <f>'Supply 2024'!AR59/'Supply 2024'!AR$76</f>
        <v>0</v>
      </c>
      <c r="AS58" s="12">
        <f>'Supply 2024'!AS59/'Supply 2024'!AS$76</f>
        <v>2.3331199336356997E-4</v>
      </c>
      <c r="AT58" s="12">
        <f>'Supply 2024'!AT59/'Supply 2024'!AT$76</f>
        <v>0</v>
      </c>
      <c r="AU58" s="12">
        <f>'Supply 2024'!AU59/'Supply 2024'!AU$76</f>
        <v>0</v>
      </c>
      <c r="AV58" s="12">
        <f>'Supply 2024'!AV59/'Supply 2024'!AV$76</f>
        <v>0</v>
      </c>
      <c r="AW58" s="12">
        <f>'Supply 2024'!AW59/'Supply 2024'!AW$76</f>
        <v>0</v>
      </c>
      <c r="AX58" s="12">
        <f>'Supply 2024'!AX59/'Supply 2024'!AX$76</f>
        <v>0</v>
      </c>
      <c r="AY58" s="12">
        <f>'Supply 2024'!AY59/'Supply 2024'!AY$76</f>
        <v>0</v>
      </c>
      <c r="AZ58" s="12">
        <f>'Supply 2024'!AZ59/'Supply 2024'!AZ$76</f>
        <v>6.1539502976204214E-6</v>
      </c>
      <c r="BA58" s="12">
        <f>'Supply 2024'!BA59/'Supply 2024'!BA$76</f>
        <v>0</v>
      </c>
      <c r="BB58" s="12">
        <f>'Supply 2024'!BB59/'Supply 2024'!BB$76</f>
        <v>7.5020409964475629E-4</v>
      </c>
      <c r="BC58" s="12">
        <f>'Supply 2024'!BC59/'Supply 2024'!BC$76</f>
        <v>0</v>
      </c>
      <c r="BD58" s="12">
        <f>'Supply 2024'!BD59/'Supply 2024'!BD$76</f>
        <v>0</v>
      </c>
      <c r="BE58" s="12">
        <f>'Supply 2024'!BE59/'Supply 2024'!BE$76</f>
        <v>2.1839947825117748E-5</v>
      </c>
      <c r="BF58" s="12">
        <f>'Supply 2024'!BF59/'Supply 2024'!BF$76</f>
        <v>0</v>
      </c>
      <c r="BG58" s="12">
        <f>'Supply 2024'!BG59/'Supply 2024'!BG$76</f>
        <v>0.79101844978143854</v>
      </c>
      <c r="BH58" s="12">
        <f>'Supply 2024'!BH59/'Supply 2024'!BH$76</f>
        <v>0</v>
      </c>
      <c r="BI58" s="12">
        <f>'Supply 2024'!BI59/'Supply 2024'!BI$76</f>
        <v>0</v>
      </c>
      <c r="BJ58" s="12">
        <f>'Supply 2024'!BJ59/'Supply 2024'!BJ$76</f>
        <v>0</v>
      </c>
      <c r="BK58" s="12">
        <f>'Supply 2024'!BK59/'Supply 2024'!BK$76</f>
        <v>0</v>
      </c>
      <c r="BL58" s="12">
        <f>'Supply 2024'!BL59/'Supply 2024'!BL$76</f>
        <v>1.3076618111595667E-3</v>
      </c>
      <c r="BM58" s="12">
        <f>'Supply 2024'!BM59/'Supply 2024'!BM$76</f>
        <v>2.0015443744406031E-2</v>
      </c>
      <c r="BN58" s="12">
        <f>'Supply 2024'!BN59/'Supply 2024'!BN$76</f>
        <v>0</v>
      </c>
      <c r="BO58" s="12">
        <f>'Supply 2024'!BO59/'Supply 2024'!BO$76</f>
        <v>0</v>
      </c>
      <c r="BP58" s="12">
        <f>'Supply 2024'!BP59/'Supply 2024'!BP$76</f>
        <v>1.3032724239656904E-5</v>
      </c>
      <c r="BQ58" s="12">
        <f>'Supply 2024'!BQ59/'Supply 2024'!BQ$76</f>
        <v>4.3728542180103289E-4</v>
      </c>
      <c r="BR58" s="12">
        <f>'Supply 2024'!BR59/'Supply 2024'!BR$76</f>
        <v>0</v>
      </c>
      <c r="BS58" s="12">
        <f>'Supply 2024'!BS59/'Supply 2024'!BS$76</f>
        <v>0</v>
      </c>
      <c r="BT58" s="12">
        <f>'Supply 2024'!BT59/'Supply 2024'!BT$76</f>
        <v>3.390367707629427E-2</v>
      </c>
      <c r="BU58" s="12">
        <f>'Supply 2024'!BU59/'Supply 2024'!BU$76</f>
        <v>0</v>
      </c>
      <c r="BV58" s="12">
        <f>'Supply 2024'!BV59/'Supply 2024'!BV$76</f>
        <v>1.0250545838685137E-2</v>
      </c>
      <c r="BW58" s="12">
        <f>'Supply 2024'!BW59/'Supply 2024'!BW$76</f>
        <v>7.3242529477491724E-4</v>
      </c>
      <c r="BX58" s="12">
        <f>'Supply 2024'!BX59/'Supply 2024'!BX$76</f>
        <v>0</v>
      </c>
      <c r="BY58" s="12">
        <f>'Supply 2024'!BY59/'Supply 2024'!BY$76</f>
        <v>9.5948589351271905E-3</v>
      </c>
      <c r="BZ58" s="12">
        <f>'Supply 2024'!BZ59/'Supply 2024'!BZ$76</f>
        <v>0</v>
      </c>
      <c r="CA58" s="12" t="e">
        <f>'Supply 2024'!CA59/'Supply 2024'!CA$76</f>
        <v>#DIV/0!</v>
      </c>
      <c r="CB58" s="12">
        <f>'Supply 2024'!CB59/'Supply 2024'!CB$76</f>
        <v>0</v>
      </c>
      <c r="CC58" s="12">
        <f>'Supply 2024'!CC59/'Supply 2024'!CC$76</f>
        <v>0</v>
      </c>
      <c r="CD58" s="12">
        <f>'Supply 2024'!CD59/'Supply 2024'!CD$76</f>
        <v>8.8377563121558517E-4</v>
      </c>
      <c r="CE58" s="12">
        <f>'Supply 2024'!CE59/'Supply 2024'!CE$76</f>
        <v>0</v>
      </c>
      <c r="CF58" s="12">
        <f>'Supply 2024'!CF59/'Supply 2024'!CF$76</f>
        <v>8.888220237824227E-4</v>
      </c>
      <c r="CG58" s="12">
        <f>'Supply 2024'!CG59/'Supply 2024'!CG$76</f>
        <v>9.4332230538329061E-3</v>
      </c>
    </row>
    <row r="59" spans="1:85" x14ac:dyDescent="0.25">
      <c r="A59" t="s">
        <v>58</v>
      </c>
      <c r="B59" t="s">
        <v>151</v>
      </c>
      <c r="C59" s="12">
        <f>'Supply 2024'!C60/'Supply 2024'!C$76</f>
        <v>0</v>
      </c>
      <c r="D59" s="12">
        <f>'Supply 2024'!D60/'Supply 2024'!D$76</f>
        <v>0</v>
      </c>
      <c r="E59" s="12">
        <f>'Supply 2024'!E60/'Supply 2024'!E$76</f>
        <v>0</v>
      </c>
      <c r="F59" s="12">
        <f>'Supply 2024'!F60/'Supply 2024'!F$76</f>
        <v>0</v>
      </c>
      <c r="G59" s="12">
        <f>'Supply 2024'!G60/'Supply 2024'!G$76</f>
        <v>0</v>
      </c>
      <c r="H59" s="12">
        <f>'Supply 2024'!H60/'Supply 2024'!H$76</f>
        <v>0</v>
      </c>
      <c r="I59" s="12">
        <f>'Supply 2024'!I60/'Supply 2024'!I$76</f>
        <v>0</v>
      </c>
      <c r="J59" s="12">
        <f>'Supply 2024'!J60/'Supply 2024'!J$76</f>
        <v>0</v>
      </c>
      <c r="K59" s="12">
        <f>'Supply 2024'!K60/'Supply 2024'!K$76</f>
        <v>0</v>
      </c>
      <c r="L59" s="12">
        <f>'Supply 2024'!L60/'Supply 2024'!L$76</f>
        <v>0</v>
      </c>
      <c r="M59" s="12">
        <f>'Supply 2024'!M60/'Supply 2024'!M$76</f>
        <v>0</v>
      </c>
      <c r="N59" s="12">
        <f>'Supply 2024'!N60/'Supply 2024'!N$76</f>
        <v>0</v>
      </c>
      <c r="O59" s="12">
        <f>'Supply 2024'!O60/'Supply 2024'!O$76</f>
        <v>0</v>
      </c>
      <c r="P59" s="12">
        <f>'Supply 2024'!P60/'Supply 2024'!P$76</f>
        <v>0</v>
      </c>
      <c r="Q59" s="12">
        <f>'Supply 2024'!Q60/'Supply 2024'!Q$76</f>
        <v>0</v>
      </c>
      <c r="R59" s="12">
        <f>'Supply 2024'!R60/'Supply 2024'!R$76</f>
        <v>0</v>
      </c>
      <c r="S59" s="12">
        <f>'Supply 2024'!S60/'Supply 2024'!S$76</f>
        <v>0</v>
      </c>
      <c r="T59" s="12">
        <f>'Supply 2024'!T60/'Supply 2024'!T$76</f>
        <v>0</v>
      </c>
      <c r="U59" s="12">
        <f>'Supply 2024'!U60/'Supply 2024'!U$76</f>
        <v>0</v>
      </c>
      <c r="V59" s="12">
        <f>'Supply 2024'!V60/'Supply 2024'!V$76</f>
        <v>0</v>
      </c>
      <c r="W59" s="12">
        <f>'Supply 2024'!W60/'Supply 2024'!W$76</f>
        <v>0</v>
      </c>
      <c r="X59" s="12">
        <f>'Supply 2024'!X60/'Supply 2024'!X$76</f>
        <v>0</v>
      </c>
      <c r="Y59" s="12">
        <f>'Supply 2024'!Y60/'Supply 2024'!Y$76</f>
        <v>0</v>
      </c>
      <c r="Z59" s="12">
        <f>'Supply 2024'!Z60/'Supply 2024'!Z$76</f>
        <v>0</v>
      </c>
      <c r="AA59" s="12">
        <f>'Supply 2024'!AA60/'Supply 2024'!AA$76</f>
        <v>0</v>
      </c>
      <c r="AB59" s="12">
        <f>'Supply 2024'!AB60/'Supply 2024'!AB$76</f>
        <v>0</v>
      </c>
      <c r="AC59" s="12">
        <f>'Supply 2024'!AC60/'Supply 2024'!AC$76</f>
        <v>0</v>
      </c>
      <c r="AD59" s="12">
        <f>'Supply 2024'!AD60/'Supply 2024'!AD$76</f>
        <v>0</v>
      </c>
      <c r="AE59" s="12">
        <f>'Supply 2024'!AE60/'Supply 2024'!AE$76</f>
        <v>0</v>
      </c>
      <c r="AF59" s="12">
        <f>'Supply 2024'!AF60/'Supply 2024'!AF$76</f>
        <v>0</v>
      </c>
      <c r="AG59" s="12">
        <f>'Supply 2024'!AG60/'Supply 2024'!AG$76</f>
        <v>1.0892541672481695E-5</v>
      </c>
      <c r="AH59" s="12">
        <f>'Supply 2024'!AH60/'Supply 2024'!AH$76</f>
        <v>3.071909392029063E-4</v>
      </c>
      <c r="AI59" s="12">
        <f>'Supply 2024'!AI60/'Supply 2024'!AI$76</f>
        <v>0</v>
      </c>
      <c r="AJ59" s="12">
        <f>'Supply 2024'!AJ60/'Supply 2024'!AJ$76</f>
        <v>0</v>
      </c>
      <c r="AK59" s="12">
        <f>'Supply 2024'!AK60/'Supply 2024'!AK$76</f>
        <v>0</v>
      </c>
      <c r="AL59" s="12">
        <f>'Supply 2024'!AL60/'Supply 2024'!AL$76</f>
        <v>0</v>
      </c>
      <c r="AM59" s="12">
        <f>'Supply 2024'!AM60/'Supply 2024'!AM$76</f>
        <v>0</v>
      </c>
      <c r="AN59" s="12">
        <f>'Supply 2024'!AN60/'Supply 2024'!AN$76</f>
        <v>0</v>
      </c>
      <c r="AO59" s="12">
        <f>'Supply 2024'!AO60/'Supply 2024'!AO$76</f>
        <v>0</v>
      </c>
      <c r="AP59" s="12">
        <f>'Supply 2024'!AP60/'Supply 2024'!AP$76</f>
        <v>0</v>
      </c>
      <c r="AQ59" s="12">
        <f>'Supply 2024'!AQ60/'Supply 2024'!AQ$76</f>
        <v>0</v>
      </c>
      <c r="AR59" s="12">
        <f>'Supply 2024'!AR60/'Supply 2024'!AR$76</f>
        <v>0</v>
      </c>
      <c r="AS59" s="12">
        <f>'Supply 2024'!AS60/'Supply 2024'!AS$76</f>
        <v>0</v>
      </c>
      <c r="AT59" s="12">
        <f>'Supply 2024'!AT60/'Supply 2024'!AT$76</f>
        <v>0</v>
      </c>
      <c r="AU59" s="12">
        <f>'Supply 2024'!AU60/'Supply 2024'!AU$76</f>
        <v>0</v>
      </c>
      <c r="AV59" s="12">
        <f>'Supply 2024'!AV60/'Supply 2024'!AV$76</f>
        <v>0</v>
      </c>
      <c r="AW59" s="12">
        <f>'Supply 2024'!AW60/'Supply 2024'!AW$76</f>
        <v>0</v>
      </c>
      <c r="AX59" s="12">
        <f>'Supply 2024'!AX60/'Supply 2024'!AX$76</f>
        <v>0</v>
      </c>
      <c r="AY59" s="12">
        <f>'Supply 2024'!AY60/'Supply 2024'!AY$76</f>
        <v>0</v>
      </c>
      <c r="AZ59" s="12">
        <f>'Supply 2024'!AZ60/'Supply 2024'!AZ$76</f>
        <v>0</v>
      </c>
      <c r="BA59" s="12">
        <f>'Supply 2024'!BA60/'Supply 2024'!BA$76</f>
        <v>0</v>
      </c>
      <c r="BB59" s="12">
        <f>'Supply 2024'!BB60/'Supply 2024'!BB$76</f>
        <v>0</v>
      </c>
      <c r="BC59" s="12">
        <f>'Supply 2024'!BC60/'Supply 2024'!BC$76</f>
        <v>0</v>
      </c>
      <c r="BD59" s="12">
        <f>'Supply 2024'!BD60/'Supply 2024'!BD$76</f>
        <v>0</v>
      </c>
      <c r="BE59" s="12">
        <f>'Supply 2024'!BE60/'Supply 2024'!BE$76</f>
        <v>0</v>
      </c>
      <c r="BF59" s="12">
        <f>'Supply 2024'!BF60/'Supply 2024'!BF$76</f>
        <v>0</v>
      </c>
      <c r="BG59" s="12">
        <f>'Supply 2024'!BG60/'Supply 2024'!BG$76</f>
        <v>0</v>
      </c>
      <c r="BH59" s="12">
        <f>'Supply 2024'!BH60/'Supply 2024'!BH$76</f>
        <v>0.99031111258957816</v>
      </c>
      <c r="BI59" s="12">
        <f>'Supply 2024'!BI60/'Supply 2024'!BI$76</f>
        <v>3.9353121618899692E-3</v>
      </c>
      <c r="BJ59" s="12">
        <f>'Supply 2024'!BJ60/'Supply 2024'!BJ$76</f>
        <v>5.7536222995213107E-4</v>
      </c>
      <c r="BK59" s="12">
        <f>'Supply 2024'!BK60/'Supply 2024'!BK$76</f>
        <v>1.0613241011379437E-3</v>
      </c>
      <c r="BL59" s="12">
        <f>'Supply 2024'!BL60/'Supply 2024'!BL$76</f>
        <v>0</v>
      </c>
      <c r="BM59" s="12">
        <f>'Supply 2024'!BM60/'Supply 2024'!BM$76</f>
        <v>0</v>
      </c>
      <c r="BN59" s="12">
        <f>'Supply 2024'!BN60/'Supply 2024'!BN$76</f>
        <v>0</v>
      </c>
      <c r="BO59" s="12">
        <f>'Supply 2024'!BO60/'Supply 2024'!BO$76</f>
        <v>0</v>
      </c>
      <c r="BP59" s="12">
        <f>'Supply 2024'!BP60/'Supply 2024'!BP$76</f>
        <v>0</v>
      </c>
      <c r="BQ59" s="12">
        <f>'Supply 2024'!BQ60/'Supply 2024'!BQ$76</f>
        <v>0</v>
      </c>
      <c r="BR59" s="12">
        <f>'Supply 2024'!BR60/'Supply 2024'!BR$76</f>
        <v>0</v>
      </c>
      <c r="BS59" s="12">
        <f>'Supply 2024'!BS60/'Supply 2024'!BS$76</f>
        <v>0</v>
      </c>
      <c r="BT59" s="12">
        <f>'Supply 2024'!BT60/'Supply 2024'!BT$76</f>
        <v>1.434270850899403E-2</v>
      </c>
      <c r="BU59" s="12">
        <f>'Supply 2024'!BU60/'Supply 2024'!BU$76</f>
        <v>0</v>
      </c>
      <c r="BV59" s="12">
        <f>'Supply 2024'!BV60/'Supply 2024'!BV$76</f>
        <v>3.3392577720048354E-2</v>
      </c>
      <c r="BW59" s="12">
        <f>'Supply 2024'!BW60/'Supply 2024'!BW$76</f>
        <v>8.081191189131121E-5</v>
      </c>
      <c r="BX59" s="12">
        <f>'Supply 2024'!BX60/'Supply 2024'!BX$76</f>
        <v>0</v>
      </c>
      <c r="BY59" s="12">
        <f>'Supply 2024'!BY60/'Supply 2024'!BY$76</f>
        <v>3.1096337896015427E-2</v>
      </c>
      <c r="BZ59" s="12">
        <f>'Supply 2024'!BZ60/'Supply 2024'!BZ$76</f>
        <v>0</v>
      </c>
      <c r="CA59" s="12" t="e">
        <f>'Supply 2024'!CA60/'Supply 2024'!CA$76</f>
        <v>#DIV/0!</v>
      </c>
      <c r="CB59" s="12">
        <f>'Supply 2024'!CB60/'Supply 2024'!CB$76</f>
        <v>0</v>
      </c>
      <c r="CC59" s="12">
        <f>'Supply 2024'!CC60/'Supply 2024'!CC$76</f>
        <v>0</v>
      </c>
      <c r="CD59" s="12">
        <f>'Supply 2024'!CD60/'Supply 2024'!CD$76</f>
        <v>6.6430796333020038E-4</v>
      </c>
      <c r="CE59" s="12">
        <f>'Supply 2024'!CE60/'Supply 2024'!CE$76</f>
        <v>0</v>
      </c>
      <c r="CF59" s="12">
        <f>'Supply 2024'!CF60/'Supply 2024'!CF$76</f>
        <v>6.6810118714157605E-4</v>
      </c>
      <c r="CG59" s="12">
        <f>'Supply 2024'!CG60/'Supply 2024'!CG$76</f>
        <v>3.0531408561696723E-2</v>
      </c>
    </row>
    <row r="60" spans="1:85" x14ac:dyDescent="0.25">
      <c r="A60" t="s">
        <v>59</v>
      </c>
      <c r="B60" t="s">
        <v>152</v>
      </c>
      <c r="C60" s="12">
        <f>'Supply 2024'!C61/'Supply 2024'!C$76</f>
        <v>0</v>
      </c>
      <c r="D60" s="12">
        <f>'Supply 2024'!D61/'Supply 2024'!D$76</f>
        <v>0</v>
      </c>
      <c r="E60" s="12">
        <f>'Supply 2024'!E61/'Supply 2024'!E$76</f>
        <v>0</v>
      </c>
      <c r="F60" s="12">
        <f>'Supply 2024'!F61/'Supply 2024'!F$76</f>
        <v>0</v>
      </c>
      <c r="G60" s="12">
        <f>'Supply 2024'!G61/'Supply 2024'!G$76</f>
        <v>0</v>
      </c>
      <c r="H60" s="12">
        <f>'Supply 2024'!H61/'Supply 2024'!H$76</f>
        <v>0</v>
      </c>
      <c r="I60" s="12">
        <f>'Supply 2024'!I61/'Supply 2024'!I$76</f>
        <v>0</v>
      </c>
      <c r="J60" s="12">
        <f>'Supply 2024'!J61/'Supply 2024'!J$76</f>
        <v>0</v>
      </c>
      <c r="K60" s="12">
        <f>'Supply 2024'!K61/'Supply 2024'!K$76</f>
        <v>0</v>
      </c>
      <c r="L60" s="12">
        <f>'Supply 2024'!L61/'Supply 2024'!L$76</f>
        <v>0</v>
      </c>
      <c r="M60" s="12">
        <f>'Supply 2024'!M61/'Supply 2024'!M$76</f>
        <v>0</v>
      </c>
      <c r="N60" s="12">
        <f>'Supply 2024'!N61/'Supply 2024'!N$76</f>
        <v>0</v>
      </c>
      <c r="O60" s="12">
        <f>'Supply 2024'!O61/'Supply 2024'!O$76</f>
        <v>0</v>
      </c>
      <c r="P60" s="12">
        <f>'Supply 2024'!P61/'Supply 2024'!P$76</f>
        <v>0</v>
      </c>
      <c r="Q60" s="12">
        <f>'Supply 2024'!Q61/'Supply 2024'!Q$76</f>
        <v>0</v>
      </c>
      <c r="R60" s="12">
        <f>'Supply 2024'!R61/'Supply 2024'!R$76</f>
        <v>0</v>
      </c>
      <c r="S60" s="12">
        <f>'Supply 2024'!S61/'Supply 2024'!S$76</f>
        <v>0</v>
      </c>
      <c r="T60" s="12">
        <f>'Supply 2024'!T61/'Supply 2024'!T$76</f>
        <v>0</v>
      </c>
      <c r="U60" s="12">
        <f>'Supply 2024'!U61/'Supply 2024'!U$76</f>
        <v>0</v>
      </c>
      <c r="V60" s="12">
        <f>'Supply 2024'!V61/'Supply 2024'!V$76</f>
        <v>0</v>
      </c>
      <c r="W60" s="12">
        <f>'Supply 2024'!W61/'Supply 2024'!W$76</f>
        <v>0</v>
      </c>
      <c r="X60" s="12">
        <f>'Supply 2024'!X61/'Supply 2024'!X$76</f>
        <v>0</v>
      </c>
      <c r="Y60" s="12">
        <f>'Supply 2024'!Y61/'Supply 2024'!Y$76</f>
        <v>0</v>
      </c>
      <c r="Z60" s="12">
        <f>'Supply 2024'!Z61/'Supply 2024'!Z$76</f>
        <v>0</v>
      </c>
      <c r="AA60" s="12">
        <f>'Supply 2024'!AA61/'Supply 2024'!AA$76</f>
        <v>0</v>
      </c>
      <c r="AB60" s="12">
        <f>'Supply 2024'!AB61/'Supply 2024'!AB$76</f>
        <v>0</v>
      </c>
      <c r="AC60" s="12">
        <f>'Supply 2024'!AC61/'Supply 2024'!AC$76</f>
        <v>0</v>
      </c>
      <c r="AD60" s="12">
        <f>'Supply 2024'!AD61/'Supply 2024'!AD$76</f>
        <v>0</v>
      </c>
      <c r="AE60" s="12">
        <f>'Supply 2024'!AE61/'Supply 2024'!AE$76</f>
        <v>0</v>
      </c>
      <c r="AF60" s="12">
        <f>'Supply 2024'!AF61/'Supply 2024'!AF$76</f>
        <v>0</v>
      </c>
      <c r="AG60" s="12">
        <f>'Supply 2024'!AG61/'Supply 2024'!AG$76</f>
        <v>0</v>
      </c>
      <c r="AH60" s="12">
        <f>'Supply 2024'!AH61/'Supply 2024'!AH$76</f>
        <v>0</v>
      </c>
      <c r="AI60" s="12">
        <f>'Supply 2024'!AI61/'Supply 2024'!AI$76</f>
        <v>0</v>
      </c>
      <c r="AJ60" s="12">
        <f>'Supply 2024'!AJ61/'Supply 2024'!AJ$76</f>
        <v>0</v>
      </c>
      <c r="AK60" s="12">
        <f>'Supply 2024'!AK61/'Supply 2024'!AK$76</f>
        <v>0</v>
      </c>
      <c r="AL60" s="12">
        <f>'Supply 2024'!AL61/'Supply 2024'!AL$76</f>
        <v>0</v>
      </c>
      <c r="AM60" s="12">
        <f>'Supply 2024'!AM61/'Supply 2024'!AM$76</f>
        <v>0</v>
      </c>
      <c r="AN60" s="12">
        <f>'Supply 2024'!AN61/'Supply 2024'!AN$76</f>
        <v>0</v>
      </c>
      <c r="AO60" s="12">
        <f>'Supply 2024'!AO61/'Supply 2024'!AO$76</f>
        <v>0</v>
      </c>
      <c r="AP60" s="12">
        <f>'Supply 2024'!AP61/'Supply 2024'!AP$76</f>
        <v>0</v>
      </c>
      <c r="AQ60" s="12">
        <f>'Supply 2024'!AQ61/'Supply 2024'!AQ$76</f>
        <v>0</v>
      </c>
      <c r="AR60" s="12">
        <f>'Supply 2024'!AR61/'Supply 2024'!AR$76</f>
        <v>0</v>
      </c>
      <c r="AS60" s="12">
        <f>'Supply 2024'!AS61/'Supply 2024'!AS$76</f>
        <v>0</v>
      </c>
      <c r="AT60" s="12">
        <f>'Supply 2024'!AT61/'Supply 2024'!AT$76</f>
        <v>0</v>
      </c>
      <c r="AU60" s="12">
        <f>'Supply 2024'!AU61/'Supply 2024'!AU$76</f>
        <v>0</v>
      </c>
      <c r="AV60" s="12">
        <f>'Supply 2024'!AV61/'Supply 2024'!AV$76</f>
        <v>0</v>
      </c>
      <c r="AW60" s="12">
        <f>'Supply 2024'!AW61/'Supply 2024'!AW$76</f>
        <v>0</v>
      </c>
      <c r="AX60" s="12">
        <f>'Supply 2024'!AX61/'Supply 2024'!AX$76</f>
        <v>0</v>
      </c>
      <c r="AY60" s="12">
        <f>'Supply 2024'!AY61/'Supply 2024'!AY$76</f>
        <v>0</v>
      </c>
      <c r="AZ60" s="12">
        <f>'Supply 2024'!AZ61/'Supply 2024'!AZ$76</f>
        <v>0</v>
      </c>
      <c r="BA60" s="12">
        <f>'Supply 2024'!BA61/'Supply 2024'!BA$76</f>
        <v>0</v>
      </c>
      <c r="BB60" s="12">
        <f>'Supply 2024'!BB61/'Supply 2024'!BB$76</f>
        <v>0</v>
      </c>
      <c r="BC60" s="12">
        <f>'Supply 2024'!BC61/'Supply 2024'!BC$76</f>
        <v>0</v>
      </c>
      <c r="BD60" s="12">
        <f>'Supply 2024'!BD61/'Supply 2024'!BD$76</f>
        <v>0</v>
      </c>
      <c r="BE60" s="12">
        <f>'Supply 2024'!BE61/'Supply 2024'!BE$76</f>
        <v>0</v>
      </c>
      <c r="BF60" s="12">
        <f>'Supply 2024'!BF61/'Supply 2024'!BF$76</f>
        <v>0</v>
      </c>
      <c r="BG60" s="12">
        <f>'Supply 2024'!BG61/'Supply 2024'!BG$76</f>
        <v>0</v>
      </c>
      <c r="BH60" s="12">
        <f>'Supply 2024'!BH61/'Supply 2024'!BH$76</f>
        <v>0</v>
      </c>
      <c r="BI60" s="12">
        <f>'Supply 2024'!BI61/'Supply 2024'!BI$76</f>
        <v>0.98280739103054549</v>
      </c>
      <c r="BJ60" s="12">
        <f>'Supply 2024'!BJ61/'Supply 2024'!BJ$76</f>
        <v>0</v>
      </c>
      <c r="BK60" s="12">
        <f>'Supply 2024'!BK61/'Supply 2024'!BK$76</f>
        <v>0</v>
      </c>
      <c r="BL60" s="12">
        <f>'Supply 2024'!BL61/'Supply 2024'!BL$76</f>
        <v>0</v>
      </c>
      <c r="BM60" s="12">
        <f>'Supply 2024'!BM61/'Supply 2024'!BM$76</f>
        <v>0</v>
      </c>
      <c r="BN60" s="12">
        <f>'Supply 2024'!BN61/'Supply 2024'!BN$76</f>
        <v>0</v>
      </c>
      <c r="BO60" s="12">
        <f>'Supply 2024'!BO61/'Supply 2024'!BO$76</f>
        <v>0</v>
      </c>
      <c r="BP60" s="12">
        <f>'Supply 2024'!BP61/'Supply 2024'!BP$76</f>
        <v>0</v>
      </c>
      <c r="BQ60" s="12">
        <f>'Supply 2024'!BQ61/'Supply 2024'!BQ$76</f>
        <v>2.7773230507722011E-3</v>
      </c>
      <c r="BR60" s="12">
        <f>'Supply 2024'!BR61/'Supply 2024'!BR$76</f>
        <v>-3.8118956557095843E-4</v>
      </c>
      <c r="BS60" s="12">
        <f>'Supply 2024'!BS61/'Supply 2024'!BS$76</f>
        <v>0</v>
      </c>
      <c r="BT60" s="12">
        <f>'Supply 2024'!BT61/'Supply 2024'!BT$76</f>
        <v>9.4307198256879735E-2</v>
      </c>
      <c r="BU60" s="12">
        <f>'Supply 2024'!BU61/'Supply 2024'!BU$76</f>
        <v>0</v>
      </c>
      <c r="BV60" s="12">
        <f>'Supply 2024'!BV61/'Supply 2024'!BV$76</f>
        <v>3.1123252255399213E-2</v>
      </c>
      <c r="BW60" s="12">
        <f>'Supply 2024'!BW61/'Supply 2024'!BW$76</f>
        <v>2.8521217436840102E-3</v>
      </c>
      <c r="BX60" s="12">
        <f>'Supply 2024'!BX61/'Supply 2024'!BX$76</f>
        <v>0</v>
      </c>
      <c r="BY60" s="12">
        <f>'Supply 2024'!BY61/'Supply 2024'!BY$76</f>
        <v>2.9176092885963706E-2</v>
      </c>
      <c r="BZ60" s="12">
        <f>'Supply 2024'!BZ61/'Supply 2024'!BZ$76</f>
        <v>0</v>
      </c>
      <c r="CA60" s="12" t="e">
        <f>'Supply 2024'!CA61/'Supply 2024'!CA$76</f>
        <v>#DIV/0!</v>
      </c>
      <c r="CB60" s="12">
        <f>'Supply 2024'!CB61/'Supply 2024'!CB$76</f>
        <v>0</v>
      </c>
      <c r="CC60" s="12">
        <f>'Supply 2024'!CC61/'Supply 2024'!CC$76</f>
        <v>0</v>
      </c>
      <c r="CD60" s="12">
        <f>'Supply 2024'!CD61/'Supply 2024'!CD$76</f>
        <v>3.8874317854137655E-3</v>
      </c>
      <c r="CE60" s="12">
        <f>'Supply 2024'!CE61/'Supply 2024'!CE$76</f>
        <v>1.5667666412999686E-4</v>
      </c>
      <c r="CF60" s="12">
        <f>'Supply 2024'!CF61/'Supply 2024'!CF$76</f>
        <v>3.8957722556877683E-3</v>
      </c>
      <c r="CG60" s="12">
        <f>'Supply 2024'!CG61/'Supply 2024'!CG$76</f>
        <v>2.8706739662978261E-2</v>
      </c>
    </row>
    <row r="61" spans="1:85" x14ac:dyDescent="0.25">
      <c r="A61" t="s">
        <v>60</v>
      </c>
      <c r="B61" t="s">
        <v>153</v>
      </c>
      <c r="C61" s="12">
        <f>'Supply 2024'!C62/'Supply 2024'!C$76</f>
        <v>0</v>
      </c>
      <c r="D61" s="12">
        <f>'Supply 2024'!D62/'Supply 2024'!D$76</f>
        <v>0</v>
      </c>
      <c r="E61" s="12">
        <f>'Supply 2024'!E62/'Supply 2024'!E$76</f>
        <v>0</v>
      </c>
      <c r="F61" s="12">
        <f>'Supply 2024'!F62/'Supply 2024'!F$76</f>
        <v>0</v>
      </c>
      <c r="G61" s="12">
        <f>'Supply 2024'!G62/'Supply 2024'!G$76</f>
        <v>0</v>
      </c>
      <c r="H61" s="12">
        <f>'Supply 2024'!H62/'Supply 2024'!H$76</f>
        <v>0</v>
      </c>
      <c r="I61" s="12">
        <f>'Supply 2024'!I62/'Supply 2024'!I$76</f>
        <v>0</v>
      </c>
      <c r="J61" s="12">
        <f>'Supply 2024'!J62/'Supply 2024'!J$76</f>
        <v>0</v>
      </c>
      <c r="K61" s="12">
        <f>'Supply 2024'!K62/'Supply 2024'!K$76</f>
        <v>0</v>
      </c>
      <c r="L61" s="12">
        <f>'Supply 2024'!L62/'Supply 2024'!L$76</f>
        <v>0</v>
      </c>
      <c r="M61" s="12">
        <f>'Supply 2024'!M62/'Supply 2024'!M$76</f>
        <v>0</v>
      </c>
      <c r="N61" s="12">
        <f>'Supply 2024'!N62/'Supply 2024'!N$76</f>
        <v>0</v>
      </c>
      <c r="O61" s="12">
        <f>'Supply 2024'!O62/'Supply 2024'!O$76</f>
        <v>0</v>
      </c>
      <c r="P61" s="12">
        <f>'Supply 2024'!P62/'Supply 2024'!P$76</f>
        <v>0</v>
      </c>
      <c r="Q61" s="12">
        <f>'Supply 2024'!Q62/'Supply 2024'!Q$76</f>
        <v>0</v>
      </c>
      <c r="R61" s="12">
        <f>'Supply 2024'!R62/'Supply 2024'!R$76</f>
        <v>0</v>
      </c>
      <c r="S61" s="12">
        <f>'Supply 2024'!S62/'Supply 2024'!S$76</f>
        <v>0</v>
      </c>
      <c r="T61" s="12">
        <f>'Supply 2024'!T62/'Supply 2024'!T$76</f>
        <v>0</v>
      </c>
      <c r="U61" s="12">
        <f>'Supply 2024'!U62/'Supply 2024'!U$76</f>
        <v>0</v>
      </c>
      <c r="V61" s="12">
        <f>'Supply 2024'!V62/'Supply 2024'!V$76</f>
        <v>0</v>
      </c>
      <c r="W61" s="12">
        <f>'Supply 2024'!W62/'Supply 2024'!W$76</f>
        <v>0</v>
      </c>
      <c r="X61" s="12">
        <f>'Supply 2024'!X62/'Supply 2024'!X$76</f>
        <v>0</v>
      </c>
      <c r="Y61" s="12">
        <f>'Supply 2024'!Y62/'Supply 2024'!Y$76</f>
        <v>0</v>
      </c>
      <c r="Z61" s="12">
        <f>'Supply 2024'!Z62/'Supply 2024'!Z$76</f>
        <v>0</v>
      </c>
      <c r="AA61" s="12">
        <f>'Supply 2024'!AA62/'Supply 2024'!AA$76</f>
        <v>0</v>
      </c>
      <c r="AB61" s="12">
        <f>'Supply 2024'!AB62/'Supply 2024'!AB$76</f>
        <v>0</v>
      </c>
      <c r="AC61" s="12">
        <f>'Supply 2024'!AC62/'Supply 2024'!AC$76</f>
        <v>0</v>
      </c>
      <c r="AD61" s="12">
        <f>'Supply 2024'!AD62/'Supply 2024'!AD$76</f>
        <v>0</v>
      </c>
      <c r="AE61" s="12">
        <f>'Supply 2024'!AE62/'Supply 2024'!AE$76</f>
        <v>0</v>
      </c>
      <c r="AF61" s="12">
        <f>'Supply 2024'!AF62/'Supply 2024'!AF$76</f>
        <v>0</v>
      </c>
      <c r="AG61" s="12">
        <f>'Supply 2024'!AG62/'Supply 2024'!AG$76</f>
        <v>0</v>
      </c>
      <c r="AH61" s="12">
        <f>'Supply 2024'!AH62/'Supply 2024'!AH$76</f>
        <v>0</v>
      </c>
      <c r="AI61" s="12">
        <f>'Supply 2024'!AI62/'Supply 2024'!AI$76</f>
        <v>0</v>
      </c>
      <c r="AJ61" s="12">
        <f>'Supply 2024'!AJ62/'Supply 2024'!AJ$76</f>
        <v>0</v>
      </c>
      <c r="AK61" s="12">
        <f>'Supply 2024'!AK62/'Supply 2024'!AK$76</f>
        <v>0</v>
      </c>
      <c r="AL61" s="12">
        <f>'Supply 2024'!AL62/'Supply 2024'!AL$76</f>
        <v>0</v>
      </c>
      <c r="AM61" s="12">
        <f>'Supply 2024'!AM62/'Supply 2024'!AM$76</f>
        <v>0</v>
      </c>
      <c r="AN61" s="12">
        <f>'Supply 2024'!AN62/'Supply 2024'!AN$76</f>
        <v>0</v>
      </c>
      <c r="AO61" s="12">
        <f>'Supply 2024'!AO62/'Supply 2024'!AO$76</f>
        <v>0</v>
      </c>
      <c r="AP61" s="12">
        <f>'Supply 2024'!AP62/'Supply 2024'!AP$76</f>
        <v>0</v>
      </c>
      <c r="AQ61" s="12">
        <f>'Supply 2024'!AQ62/'Supply 2024'!AQ$76</f>
        <v>0</v>
      </c>
      <c r="AR61" s="12">
        <f>'Supply 2024'!AR62/'Supply 2024'!AR$76</f>
        <v>0</v>
      </c>
      <c r="AS61" s="12">
        <f>'Supply 2024'!AS62/'Supply 2024'!AS$76</f>
        <v>0</v>
      </c>
      <c r="AT61" s="12">
        <f>'Supply 2024'!AT62/'Supply 2024'!AT$76</f>
        <v>0</v>
      </c>
      <c r="AU61" s="12">
        <f>'Supply 2024'!AU62/'Supply 2024'!AU$76</f>
        <v>0</v>
      </c>
      <c r="AV61" s="12">
        <f>'Supply 2024'!AV62/'Supply 2024'!AV$76</f>
        <v>0</v>
      </c>
      <c r="AW61" s="12">
        <f>'Supply 2024'!AW62/'Supply 2024'!AW$76</f>
        <v>0</v>
      </c>
      <c r="AX61" s="12">
        <f>'Supply 2024'!AX62/'Supply 2024'!AX$76</f>
        <v>0</v>
      </c>
      <c r="AY61" s="12">
        <f>'Supply 2024'!AY62/'Supply 2024'!AY$76</f>
        <v>0</v>
      </c>
      <c r="AZ61" s="12">
        <f>'Supply 2024'!AZ62/'Supply 2024'!AZ$76</f>
        <v>0</v>
      </c>
      <c r="BA61" s="12">
        <f>'Supply 2024'!BA62/'Supply 2024'!BA$76</f>
        <v>0</v>
      </c>
      <c r="BB61" s="12">
        <f>'Supply 2024'!BB62/'Supply 2024'!BB$76</f>
        <v>0</v>
      </c>
      <c r="BC61" s="12">
        <f>'Supply 2024'!BC62/'Supply 2024'!BC$76</f>
        <v>0</v>
      </c>
      <c r="BD61" s="12">
        <f>'Supply 2024'!BD62/'Supply 2024'!BD$76</f>
        <v>0</v>
      </c>
      <c r="BE61" s="12">
        <f>'Supply 2024'!BE62/'Supply 2024'!BE$76</f>
        <v>0</v>
      </c>
      <c r="BF61" s="12">
        <f>'Supply 2024'!BF62/'Supply 2024'!BF$76</f>
        <v>0</v>
      </c>
      <c r="BG61" s="12">
        <f>'Supply 2024'!BG62/'Supply 2024'!BG$76</f>
        <v>0</v>
      </c>
      <c r="BH61" s="12">
        <f>'Supply 2024'!BH62/'Supply 2024'!BH$76</f>
        <v>0</v>
      </c>
      <c r="BI61" s="12">
        <f>'Supply 2024'!BI62/'Supply 2024'!BI$76</f>
        <v>0</v>
      </c>
      <c r="BJ61" s="12">
        <f>'Supply 2024'!BJ62/'Supply 2024'!BJ$76</f>
        <v>0.99442453554833188</v>
      </c>
      <c r="BK61" s="12">
        <f>'Supply 2024'!BK62/'Supply 2024'!BK$76</f>
        <v>8.7800448366866252E-3</v>
      </c>
      <c r="BL61" s="12">
        <f>'Supply 2024'!BL62/'Supply 2024'!BL$76</f>
        <v>0</v>
      </c>
      <c r="BM61" s="12">
        <f>'Supply 2024'!BM62/'Supply 2024'!BM$76</f>
        <v>0</v>
      </c>
      <c r="BN61" s="12">
        <f>'Supply 2024'!BN62/'Supply 2024'!BN$76</f>
        <v>0</v>
      </c>
      <c r="BO61" s="12">
        <f>'Supply 2024'!BO62/'Supply 2024'!BO$76</f>
        <v>0</v>
      </c>
      <c r="BP61" s="12">
        <f>'Supply 2024'!BP62/'Supply 2024'!BP$76</f>
        <v>0</v>
      </c>
      <c r="BQ61" s="12">
        <f>'Supply 2024'!BQ62/'Supply 2024'!BQ$76</f>
        <v>0</v>
      </c>
      <c r="BR61" s="12">
        <f>'Supply 2024'!BR62/'Supply 2024'!BR$76</f>
        <v>0</v>
      </c>
      <c r="BS61" s="12">
        <f>'Supply 2024'!BS62/'Supply 2024'!BS$76</f>
        <v>0</v>
      </c>
      <c r="BT61" s="12">
        <f>'Supply 2024'!BT62/'Supply 2024'!BT$76</f>
        <v>0</v>
      </c>
      <c r="BU61" s="12">
        <f>'Supply 2024'!BU62/'Supply 2024'!BU$76</f>
        <v>0</v>
      </c>
      <c r="BV61" s="12">
        <f>'Supply 2024'!BV62/'Supply 2024'!BV$76</f>
        <v>6.9093916832223155E-3</v>
      </c>
      <c r="BW61" s="12">
        <f>'Supply 2024'!BW62/'Supply 2024'!BW$76</f>
        <v>2.3166081408842546E-5</v>
      </c>
      <c r="BX61" s="12">
        <f>'Supply 2024'!BX62/'Supply 2024'!BX$76</f>
        <v>0</v>
      </c>
      <c r="BY61" s="12">
        <f>'Supply 2024'!BY62/'Supply 2024'!BY$76</f>
        <v>6.4347193838918716E-3</v>
      </c>
      <c r="BZ61" s="12">
        <f>'Supply 2024'!BZ62/'Supply 2024'!BZ$76</f>
        <v>0</v>
      </c>
      <c r="CA61" s="12" t="e">
        <f>'Supply 2024'!CA62/'Supply 2024'!CA$76</f>
        <v>#DIV/0!</v>
      </c>
      <c r="CB61" s="12">
        <f>'Supply 2024'!CB62/'Supply 2024'!CB$76</f>
        <v>0</v>
      </c>
      <c r="CC61" s="12">
        <f>'Supply 2024'!CC62/'Supply 2024'!CC$76</f>
        <v>0</v>
      </c>
      <c r="CD61" s="12">
        <f>'Supply 2024'!CD62/'Supply 2024'!CD$76</f>
        <v>4.2623967247157005E-3</v>
      </c>
      <c r="CE61" s="12">
        <f>'Supply 2024'!CE62/'Supply 2024'!CE$76</f>
        <v>0</v>
      </c>
      <c r="CF61" s="12">
        <f>'Supply 2024'!CF62/'Supply 2024'!CF$76</f>
        <v>4.2867351726076537E-3</v>
      </c>
      <c r="CG61" s="12">
        <f>'Supply 2024'!CG62/'Supply 2024'!CG$76</f>
        <v>6.3948401572036006E-3</v>
      </c>
    </row>
    <row r="62" spans="1:85" x14ac:dyDescent="0.25">
      <c r="A62" t="s">
        <v>61</v>
      </c>
      <c r="B62" t="s">
        <v>154</v>
      </c>
      <c r="C62" s="12">
        <f>'Supply 2024'!C63/'Supply 2024'!C$76</f>
        <v>0</v>
      </c>
      <c r="D62" s="12">
        <f>'Supply 2024'!D63/'Supply 2024'!D$76</f>
        <v>0</v>
      </c>
      <c r="E62" s="12">
        <f>'Supply 2024'!E63/'Supply 2024'!E$76</f>
        <v>0</v>
      </c>
      <c r="F62" s="12">
        <f>'Supply 2024'!F63/'Supply 2024'!F$76</f>
        <v>0</v>
      </c>
      <c r="G62" s="12">
        <f>'Supply 2024'!G63/'Supply 2024'!G$76</f>
        <v>0</v>
      </c>
      <c r="H62" s="12">
        <f>'Supply 2024'!H63/'Supply 2024'!H$76</f>
        <v>0</v>
      </c>
      <c r="I62" s="12">
        <f>'Supply 2024'!I63/'Supply 2024'!I$76</f>
        <v>0</v>
      </c>
      <c r="J62" s="12">
        <f>'Supply 2024'!J63/'Supply 2024'!J$76</f>
        <v>0</v>
      </c>
      <c r="K62" s="12">
        <f>'Supply 2024'!K63/'Supply 2024'!K$76</f>
        <v>0</v>
      </c>
      <c r="L62" s="12">
        <f>'Supply 2024'!L63/'Supply 2024'!L$76</f>
        <v>0</v>
      </c>
      <c r="M62" s="12">
        <f>'Supply 2024'!M63/'Supply 2024'!M$76</f>
        <v>0</v>
      </c>
      <c r="N62" s="12">
        <f>'Supply 2024'!N63/'Supply 2024'!N$76</f>
        <v>0</v>
      </c>
      <c r="O62" s="12">
        <f>'Supply 2024'!O63/'Supply 2024'!O$76</f>
        <v>0</v>
      </c>
      <c r="P62" s="12">
        <f>'Supply 2024'!P63/'Supply 2024'!P$76</f>
        <v>0</v>
      </c>
      <c r="Q62" s="12">
        <f>'Supply 2024'!Q63/'Supply 2024'!Q$76</f>
        <v>0</v>
      </c>
      <c r="R62" s="12">
        <f>'Supply 2024'!R63/'Supply 2024'!R$76</f>
        <v>0</v>
      </c>
      <c r="S62" s="12">
        <f>'Supply 2024'!S63/'Supply 2024'!S$76</f>
        <v>0</v>
      </c>
      <c r="T62" s="12">
        <f>'Supply 2024'!T63/'Supply 2024'!T$76</f>
        <v>0</v>
      </c>
      <c r="U62" s="12">
        <f>'Supply 2024'!U63/'Supply 2024'!U$76</f>
        <v>0</v>
      </c>
      <c r="V62" s="12">
        <f>'Supply 2024'!V63/'Supply 2024'!V$76</f>
        <v>0</v>
      </c>
      <c r="W62" s="12">
        <f>'Supply 2024'!W63/'Supply 2024'!W$76</f>
        <v>0</v>
      </c>
      <c r="X62" s="12">
        <f>'Supply 2024'!X63/'Supply 2024'!X$76</f>
        <v>0</v>
      </c>
      <c r="Y62" s="12">
        <f>'Supply 2024'!Y63/'Supply 2024'!Y$76</f>
        <v>0</v>
      </c>
      <c r="Z62" s="12">
        <f>'Supply 2024'!Z63/'Supply 2024'!Z$76</f>
        <v>0</v>
      </c>
      <c r="AA62" s="12">
        <f>'Supply 2024'!AA63/'Supply 2024'!AA$76</f>
        <v>0</v>
      </c>
      <c r="AB62" s="12">
        <f>'Supply 2024'!AB63/'Supply 2024'!AB$76</f>
        <v>0</v>
      </c>
      <c r="AC62" s="12">
        <f>'Supply 2024'!AC63/'Supply 2024'!AC$76</f>
        <v>0</v>
      </c>
      <c r="AD62" s="12">
        <f>'Supply 2024'!AD63/'Supply 2024'!AD$76</f>
        <v>0</v>
      </c>
      <c r="AE62" s="12">
        <f>'Supply 2024'!AE63/'Supply 2024'!AE$76</f>
        <v>0</v>
      </c>
      <c r="AF62" s="12">
        <f>'Supply 2024'!AF63/'Supply 2024'!AF$76</f>
        <v>0</v>
      </c>
      <c r="AG62" s="12">
        <f>'Supply 2024'!AG63/'Supply 2024'!AG$76</f>
        <v>0</v>
      </c>
      <c r="AH62" s="12">
        <f>'Supply 2024'!AH63/'Supply 2024'!AH$76</f>
        <v>0</v>
      </c>
      <c r="AI62" s="12">
        <f>'Supply 2024'!AI63/'Supply 2024'!AI$76</f>
        <v>0</v>
      </c>
      <c r="AJ62" s="12">
        <f>'Supply 2024'!AJ63/'Supply 2024'!AJ$76</f>
        <v>0</v>
      </c>
      <c r="AK62" s="12">
        <f>'Supply 2024'!AK63/'Supply 2024'!AK$76</f>
        <v>0</v>
      </c>
      <c r="AL62" s="12">
        <f>'Supply 2024'!AL63/'Supply 2024'!AL$76</f>
        <v>0</v>
      </c>
      <c r="AM62" s="12">
        <f>'Supply 2024'!AM63/'Supply 2024'!AM$76</f>
        <v>0</v>
      </c>
      <c r="AN62" s="12">
        <f>'Supply 2024'!AN63/'Supply 2024'!AN$76</f>
        <v>0</v>
      </c>
      <c r="AO62" s="12">
        <f>'Supply 2024'!AO63/'Supply 2024'!AO$76</f>
        <v>0</v>
      </c>
      <c r="AP62" s="12">
        <f>'Supply 2024'!AP63/'Supply 2024'!AP$76</f>
        <v>0</v>
      </c>
      <c r="AQ62" s="12">
        <f>'Supply 2024'!AQ63/'Supply 2024'!AQ$76</f>
        <v>0</v>
      </c>
      <c r="AR62" s="12">
        <f>'Supply 2024'!AR63/'Supply 2024'!AR$76</f>
        <v>0</v>
      </c>
      <c r="AS62" s="12">
        <f>'Supply 2024'!AS63/'Supply 2024'!AS$76</f>
        <v>0</v>
      </c>
      <c r="AT62" s="12">
        <f>'Supply 2024'!AT63/'Supply 2024'!AT$76</f>
        <v>0</v>
      </c>
      <c r="AU62" s="12">
        <f>'Supply 2024'!AU63/'Supply 2024'!AU$76</f>
        <v>0</v>
      </c>
      <c r="AV62" s="12">
        <f>'Supply 2024'!AV63/'Supply 2024'!AV$76</f>
        <v>0</v>
      </c>
      <c r="AW62" s="12">
        <f>'Supply 2024'!AW63/'Supply 2024'!AW$76</f>
        <v>0</v>
      </c>
      <c r="AX62" s="12">
        <f>'Supply 2024'!AX63/'Supply 2024'!AX$76</f>
        <v>0</v>
      </c>
      <c r="AY62" s="12">
        <f>'Supply 2024'!AY63/'Supply 2024'!AY$76</f>
        <v>0</v>
      </c>
      <c r="AZ62" s="12">
        <f>'Supply 2024'!AZ63/'Supply 2024'!AZ$76</f>
        <v>0</v>
      </c>
      <c r="BA62" s="12">
        <f>'Supply 2024'!BA63/'Supply 2024'!BA$76</f>
        <v>0</v>
      </c>
      <c r="BB62" s="12">
        <f>'Supply 2024'!BB63/'Supply 2024'!BB$76</f>
        <v>0</v>
      </c>
      <c r="BC62" s="12">
        <f>'Supply 2024'!BC63/'Supply 2024'!BC$76</f>
        <v>0</v>
      </c>
      <c r="BD62" s="12">
        <f>'Supply 2024'!BD63/'Supply 2024'!BD$76</f>
        <v>0</v>
      </c>
      <c r="BE62" s="12">
        <f>'Supply 2024'!BE63/'Supply 2024'!BE$76</f>
        <v>2.9370964316537661E-5</v>
      </c>
      <c r="BF62" s="12">
        <f>'Supply 2024'!BF63/'Supply 2024'!BF$76</f>
        <v>0</v>
      </c>
      <c r="BG62" s="12">
        <f>'Supply 2024'!BG63/'Supply 2024'!BG$76</f>
        <v>0</v>
      </c>
      <c r="BH62" s="12">
        <f>'Supply 2024'!BH63/'Supply 2024'!BH$76</f>
        <v>0</v>
      </c>
      <c r="BI62" s="12">
        <f>'Supply 2024'!BI63/'Supply 2024'!BI$76</f>
        <v>0</v>
      </c>
      <c r="BJ62" s="12">
        <f>'Supply 2024'!BJ63/'Supply 2024'!BJ$76</f>
        <v>2.2255127879366693E-3</v>
      </c>
      <c r="BK62" s="12">
        <f>'Supply 2024'!BK63/'Supply 2024'!BK$76</f>
        <v>0.98881069269843069</v>
      </c>
      <c r="BL62" s="12">
        <f>'Supply 2024'!BL63/'Supply 2024'!BL$76</f>
        <v>0</v>
      </c>
      <c r="BM62" s="12">
        <f>'Supply 2024'!BM63/'Supply 2024'!BM$76</f>
        <v>4.2996788403151928E-3</v>
      </c>
      <c r="BN62" s="12">
        <f>'Supply 2024'!BN63/'Supply 2024'!BN$76</f>
        <v>0</v>
      </c>
      <c r="BO62" s="12">
        <f>'Supply 2024'!BO63/'Supply 2024'!BO$76</f>
        <v>0</v>
      </c>
      <c r="BP62" s="12">
        <f>'Supply 2024'!BP63/'Supply 2024'!BP$76</f>
        <v>0</v>
      </c>
      <c r="BQ62" s="12">
        <f>'Supply 2024'!BQ63/'Supply 2024'!BQ$76</f>
        <v>0</v>
      </c>
      <c r="BR62" s="12">
        <f>'Supply 2024'!BR63/'Supply 2024'!BR$76</f>
        <v>0</v>
      </c>
      <c r="BS62" s="12">
        <f>'Supply 2024'!BS63/'Supply 2024'!BS$76</f>
        <v>0</v>
      </c>
      <c r="BT62" s="12">
        <f>'Supply 2024'!BT63/'Supply 2024'!BT$76</f>
        <v>1.5471284253077576E-3</v>
      </c>
      <c r="BU62" s="12">
        <f>'Supply 2024'!BU63/'Supply 2024'!BU$76</f>
        <v>0</v>
      </c>
      <c r="BV62" s="12">
        <f>'Supply 2024'!BV63/'Supply 2024'!BV$76</f>
        <v>7.1457055964226522E-3</v>
      </c>
      <c r="BW62" s="12">
        <f>'Supply 2024'!BW63/'Supply 2024'!BW$76</f>
        <v>0</v>
      </c>
      <c r="BX62" s="12">
        <f>'Supply 2024'!BX63/'Supply 2024'!BX$76</f>
        <v>0</v>
      </c>
      <c r="BY62" s="12">
        <f>'Supply 2024'!BY63/'Supply 2024'!BY$76</f>
        <v>6.6531333045035694E-3</v>
      </c>
      <c r="BZ62" s="12">
        <f>'Supply 2024'!BZ63/'Supply 2024'!BZ$76</f>
        <v>0</v>
      </c>
      <c r="CA62" s="12" t="e">
        <f>'Supply 2024'!CA63/'Supply 2024'!CA$76</f>
        <v>#DIV/0!</v>
      </c>
      <c r="CB62" s="12">
        <f>'Supply 2024'!CB63/'Supply 2024'!CB$76</f>
        <v>0</v>
      </c>
      <c r="CC62" s="12">
        <f>'Supply 2024'!CC63/'Supply 2024'!CC$76</f>
        <v>0</v>
      </c>
      <c r="CD62" s="12">
        <f>'Supply 2024'!CD63/'Supply 2024'!CD$76</f>
        <v>1.8029810204754477E-3</v>
      </c>
      <c r="CE62" s="12">
        <f>'Supply 2024'!CE63/'Supply 2024'!CE$76</f>
        <v>0</v>
      </c>
      <c r="CF62" s="12">
        <f>'Supply 2024'!CF63/'Supply 2024'!CF$76</f>
        <v>1.8132761108790628E-3</v>
      </c>
      <c r="CG62" s="12">
        <f>'Supply 2024'!CG63/'Supply 2024'!CG$76</f>
        <v>6.5632767866980711E-3</v>
      </c>
    </row>
    <row r="63" spans="1:85" x14ac:dyDescent="0.25">
      <c r="A63" t="s">
        <v>62</v>
      </c>
      <c r="B63" t="s">
        <v>155</v>
      </c>
      <c r="C63" s="12">
        <f>'Supply 2024'!C64/'Supply 2024'!C$76</f>
        <v>0</v>
      </c>
      <c r="D63" s="12">
        <f>'Supply 2024'!D64/'Supply 2024'!D$76</f>
        <v>0</v>
      </c>
      <c r="E63" s="12">
        <f>'Supply 2024'!E64/'Supply 2024'!E$76</f>
        <v>0</v>
      </c>
      <c r="F63" s="12">
        <f>'Supply 2024'!F64/'Supply 2024'!F$76</f>
        <v>0</v>
      </c>
      <c r="G63" s="12">
        <f>'Supply 2024'!G64/'Supply 2024'!G$76</f>
        <v>0</v>
      </c>
      <c r="H63" s="12">
        <f>'Supply 2024'!H64/'Supply 2024'!H$76</f>
        <v>0</v>
      </c>
      <c r="I63" s="12">
        <f>'Supply 2024'!I64/'Supply 2024'!I$76</f>
        <v>0</v>
      </c>
      <c r="J63" s="12">
        <f>'Supply 2024'!J64/'Supply 2024'!J$76</f>
        <v>0</v>
      </c>
      <c r="K63" s="12">
        <f>'Supply 2024'!K64/'Supply 2024'!K$76</f>
        <v>0</v>
      </c>
      <c r="L63" s="12">
        <f>'Supply 2024'!L64/'Supply 2024'!L$76</f>
        <v>0</v>
      </c>
      <c r="M63" s="12">
        <f>'Supply 2024'!M64/'Supply 2024'!M$76</f>
        <v>0</v>
      </c>
      <c r="N63" s="12">
        <f>'Supply 2024'!N64/'Supply 2024'!N$76</f>
        <v>0</v>
      </c>
      <c r="O63" s="12">
        <f>'Supply 2024'!O64/'Supply 2024'!O$76</f>
        <v>0</v>
      </c>
      <c r="P63" s="12">
        <f>'Supply 2024'!P64/'Supply 2024'!P$76</f>
        <v>0</v>
      </c>
      <c r="Q63" s="12">
        <f>'Supply 2024'!Q64/'Supply 2024'!Q$76</f>
        <v>0</v>
      </c>
      <c r="R63" s="12">
        <f>'Supply 2024'!R64/'Supply 2024'!R$76</f>
        <v>0</v>
      </c>
      <c r="S63" s="12">
        <f>'Supply 2024'!S64/'Supply 2024'!S$76</f>
        <v>0</v>
      </c>
      <c r="T63" s="12">
        <f>'Supply 2024'!T64/'Supply 2024'!T$76</f>
        <v>0</v>
      </c>
      <c r="U63" s="12">
        <f>'Supply 2024'!U64/'Supply 2024'!U$76</f>
        <v>0</v>
      </c>
      <c r="V63" s="12">
        <f>'Supply 2024'!V64/'Supply 2024'!V$76</f>
        <v>0</v>
      </c>
      <c r="W63" s="12">
        <f>'Supply 2024'!W64/'Supply 2024'!W$76</f>
        <v>0</v>
      </c>
      <c r="X63" s="12">
        <f>'Supply 2024'!X64/'Supply 2024'!X$76</f>
        <v>0</v>
      </c>
      <c r="Y63" s="12">
        <f>'Supply 2024'!Y64/'Supply 2024'!Y$76</f>
        <v>0</v>
      </c>
      <c r="Z63" s="12">
        <f>'Supply 2024'!Z64/'Supply 2024'!Z$76</f>
        <v>0</v>
      </c>
      <c r="AA63" s="12">
        <f>'Supply 2024'!AA64/'Supply 2024'!AA$76</f>
        <v>0</v>
      </c>
      <c r="AB63" s="12">
        <f>'Supply 2024'!AB64/'Supply 2024'!AB$76</f>
        <v>0</v>
      </c>
      <c r="AC63" s="12">
        <f>'Supply 2024'!AC64/'Supply 2024'!AC$76</f>
        <v>0</v>
      </c>
      <c r="AD63" s="12">
        <f>'Supply 2024'!AD64/'Supply 2024'!AD$76</f>
        <v>0</v>
      </c>
      <c r="AE63" s="12">
        <f>'Supply 2024'!AE64/'Supply 2024'!AE$76</f>
        <v>0</v>
      </c>
      <c r="AF63" s="12">
        <f>'Supply 2024'!AF64/'Supply 2024'!AF$76</f>
        <v>0</v>
      </c>
      <c r="AG63" s="12">
        <f>'Supply 2024'!AG64/'Supply 2024'!AG$76</f>
        <v>0</v>
      </c>
      <c r="AH63" s="12">
        <f>'Supply 2024'!AH64/'Supply 2024'!AH$76</f>
        <v>0</v>
      </c>
      <c r="AI63" s="12">
        <f>'Supply 2024'!AI64/'Supply 2024'!AI$76</f>
        <v>0</v>
      </c>
      <c r="AJ63" s="12">
        <f>'Supply 2024'!AJ64/'Supply 2024'!AJ$76</f>
        <v>0</v>
      </c>
      <c r="AK63" s="12">
        <f>'Supply 2024'!AK64/'Supply 2024'!AK$76</f>
        <v>0</v>
      </c>
      <c r="AL63" s="12">
        <f>'Supply 2024'!AL64/'Supply 2024'!AL$76</f>
        <v>0</v>
      </c>
      <c r="AM63" s="12">
        <f>'Supply 2024'!AM64/'Supply 2024'!AM$76</f>
        <v>0</v>
      </c>
      <c r="AN63" s="12">
        <f>'Supply 2024'!AN64/'Supply 2024'!AN$76</f>
        <v>0</v>
      </c>
      <c r="AO63" s="12">
        <f>'Supply 2024'!AO64/'Supply 2024'!AO$76</f>
        <v>0</v>
      </c>
      <c r="AP63" s="12">
        <f>'Supply 2024'!AP64/'Supply 2024'!AP$76</f>
        <v>0</v>
      </c>
      <c r="AQ63" s="12">
        <f>'Supply 2024'!AQ64/'Supply 2024'!AQ$76</f>
        <v>0</v>
      </c>
      <c r="AR63" s="12">
        <f>'Supply 2024'!AR64/'Supply 2024'!AR$76</f>
        <v>0</v>
      </c>
      <c r="AS63" s="12">
        <f>'Supply 2024'!AS64/'Supply 2024'!AS$76</f>
        <v>0</v>
      </c>
      <c r="AT63" s="12">
        <f>'Supply 2024'!AT64/'Supply 2024'!AT$76</f>
        <v>0</v>
      </c>
      <c r="AU63" s="12">
        <f>'Supply 2024'!AU64/'Supply 2024'!AU$76</f>
        <v>0</v>
      </c>
      <c r="AV63" s="12">
        <f>'Supply 2024'!AV64/'Supply 2024'!AV$76</f>
        <v>0</v>
      </c>
      <c r="AW63" s="12">
        <f>'Supply 2024'!AW64/'Supply 2024'!AW$76</f>
        <v>0</v>
      </c>
      <c r="AX63" s="12">
        <f>'Supply 2024'!AX64/'Supply 2024'!AX$76</f>
        <v>0</v>
      </c>
      <c r="AY63" s="12">
        <f>'Supply 2024'!AY64/'Supply 2024'!AY$76</f>
        <v>0</v>
      </c>
      <c r="AZ63" s="12">
        <f>'Supply 2024'!AZ64/'Supply 2024'!AZ$76</f>
        <v>0</v>
      </c>
      <c r="BA63" s="12">
        <f>'Supply 2024'!BA64/'Supply 2024'!BA$76</f>
        <v>0</v>
      </c>
      <c r="BB63" s="12">
        <f>'Supply 2024'!BB64/'Supply 2024'!BB$76</f>
        <v>0</v>
      </c>
      <c r="BC63" s="12">
        <f>'Supply 2024'!BC64/'Supply 2024'!BC$76</f>
        <v>0</v>
      </c>
      <c r="BD63" s="12">
        <f>'Supply 2024'!BD64/'Supply 2024'!BD$76</f>
        <v>0</v>
      </c>
      <c r="BE63" s="12">
        <f>'Supply 2024'!BE64/'Supply 2024'!BE$76</f>
        <v>0</v>
      </c>
      <c r="BF63" s="12">
        <f>'Supply 2024'!BF64/'Supply 2024'!BF$76</f>
        <v>0</v>
      </c>
      <c r="BG63" s="12">
        <f>'Supply 2024'!BG64/'Supply 2024'!BG$76</f>
        <v>3.9423993009270403E-3</v>
      </c>
      <c r="BH63" s="12">
        <f>'Supply 2024'!BH64/'Supply 2024'!BH$76</f>
        <v>0</v>
      </c>
      <c r="BI63" s="12">
        <f>'Supply 2024'!BI64/'Supply 2024'!BI$76</f>
        <v>0</v>
      </c>
      <c r="BJ63" s="12">
        <f>'Supply 2024'!BJ64/'Supply 2024'!BJ$76</f>
        <v>0</v>
      </c>
      <c r="BK63" s="12">
        <f>'Supply 2024'!BK64/'Supply 2024'!BK$76</f>
        <v>0</v>
      </c>
      <c r="BL63" s="12">
        <f>'Supply 2024'!BL64/'Supply 2024'!BL$76</f>
        <v>0.91107899684114946</v>
      </c>
      <c r="BM63" s="12">
        <f>'Supply 2024'!BM64/'Supply 2024'!BM$76</f>
        <v>7.458626559730437E-5</v>
      </c>
      <c r="BN63" s="12">
        <f>'Supply 2024'!BN64/'Supply 2024'!BN$76</f>
        <v>3.5038380191018486E-3</v>
      </c>
      <c r="BO63" s="12">
        <f>'Supply 2024'!BO64/'Supply 2024'!BO$76</f>
        <v>0</v>
      </c>
      <c r="BP63" s="12">
        <f>'Supply 2024'!BP64/'Supply 2024'!BP$76</f>
        <v>0</v>
      </c>
      <c r="BQ63" s="12">
        <f>'Supply 2024'!BQ64/'Supply 2024'!BQ$76</f>
        <v>3.9243563494964492E-5</v>
      </c>
      <c r="BR63" s="12">
        <f>'Supply 2024'!BR64/'Supply 2024'!BR$76</f>
        <v>0</v>
      </c>
      <c r="BS63" s="12">
        <f>'Supply 2024'!BS64/'Supply 2024'!BS$76</f>
        <v>0</v>
      </c>
      <c r="BT63" s="12">
        <f>'Supply 2024'!BT64/'Supply 2024'!BT$76</f>
        <v>1.32026074012246E-3</v>
      </c>
      <c r="BU63" s="12">
        <f>'Supply 2024'!BU64/'Supply 2024'!BU$76</f>
        <v>3.6321574456433668E-4</v>
      </c>
      <c r="BV63" s="12">
        <f>'Supply 2024'!BV64/'Supply 2024'!BV$76</f>
        <v>5.8866316630076321E-3</v>
      </c>
      <c r="BW63" s="12">
        <f>'Supply 2024'!BW64/'Supply 2024'!BW$76</f>
        <v>1.7132125320957976E-4</v>
      </c>
      <c r="BX63" s="12">
        <f>'Supply 2024'!BX64/'Supply 2024'!BX$76</f>
        <v>0</v>
      </c>
      <c r="BY63" s="12">
        <f>'Supply 2024'!BY64/'Supply 2024'!BY$76</f>
        <v>5.492759030858582E-3</v>
      </c>
      <c r="BZ63" s="12">
        <f>'Supply 2024'!BZ64/'Supply 2024'!BZ$76</f>
        <v>0</v>
      </c>
      <c r="CA63" s="12" t="e">
        <f>'Supply 2024'!CA64/'Supply 2024'!CA$76</f>
        <v>#DIV/0!</v>
      </c>
      <c r="CB63" s="12">
        <f>'Supply 2024'!CB64/'Supply 2024'!CB$76</f>
        <v>0</v>
      </c>
      <c r="CC63" s="12">
        <f>'Supply 2024'!CC64/'Supply 2024'!CC$76</f>
        <v>0</v>
      </c>
      <c r="CD63" s="12">
        <f>'Supply 2024'!CD64/'Supply 2024'!CD$76</f>
        <v>5.93743695225348E-3</v>
      </c>
      <c r="CE63" s="12">
        <f>'Supply 2024'!CE64/'Supply 2024'!CE$76</f>
        <v>0</v>
      </c>
      <c r="CF63" s="12">
        <f>'Supply 2024'!CF64/'Supply 2024'!CF$76</f>
        <v>5.9713399437409309E-3</v>
      </c>
      <c r="CG63" s="12">
        <f>'Supply 2024'!CG64/'Supply 2024'!CG$76</f>
        <v>5.5016261871143881E-3</v>
      </c>
    </row>
    <row r="64" spans="1:85" x14ac:dyDescent="0.25">
      <c r="A64" t="s">
        <v>63</v>
      </c>
      <c r="B64" t="s">
        <v>156</v>
      </c>
      <c r="C64" s="12">
        <f>'Supply 2024'!C65/'Supply 2024'!C$76</f>
        <v>4.7456005419552645E-3</v>
      </c>
      <c r="D64" s="12">
        <f>'Supply 2024'!D65/'Supply 2024'!D$76</f>
        <v>0</v>
      </c>
      <c r="E64" s="12">
        <f>'Supply 2024'!E65/'Supply 2024'!E$76</f>
        <v>0</v>
      </c>
      <c r="F64" s="12">
        <f>'Supply 2024'!F65/'Supply 2024'!F$76</f>
        <v>0</v>
      </c>
      <c r="G64" s="12">
        <f>'Supply 2024'!G65/'Supply 2024'!G$76</f>
        <v>0</v>
      </c>
      <c r="H64" s="12">
        <f>'Supply 2024'!H65/'Supply 2024'!H$76</f>
        <v>0</v>
      </c>
      <c r="I64" s="12">
        <f>'Supply 2024'!I65/'Supply 2024'!I$76</f>
        <v>0</v>
      </c>
      <c r="J64" s="12">
        <f>'Supply 2024'!J65/'Supply 2024'!J$76</f>
        <v>0</v>
      </c>
      <c r="K64" s="12">
        <f>'Supply 2024'!K65/'Supply 2024'!K$76</f>
        <v>0</v>
      </c>
      <c r="L64" s="12">
        <f>'Supply 2024'!L65/'Supply 2024'!L$76</f>
        <v>0</v>
      </c>
      <c r="M64" s="12">
        <f>'Supply 2024'!M65/'Supply 2024'!M$76</f>
        <v>0</v>
      </c>
      <c r="N64" s="12">
        <f>'Supply 2024'!N65/'Supply 2024'!N$76</f>
        <v>0</v>
      </c>
      <c r="O64" s="12">
        <f>'Supply 2024'!O65/'Supply 2024'!O$76</f>
        <v>0</v>
      </c>
      <c r="P64" s="12">
        <f>'Supply 2024'!P65/'Supply 2024'!P$76</f>
        <v>0</v>
      </c>
      <c r="Q64" s="12">
        <f>'Supply 2024'!Q65/'Supply 2024'!Q$76</f>
        <v>0</v>
      </c>
      <c r="R64" s="12">
        <f>'Supply 2024'!R65/'Supply 2024'!R$76</f>
        <v>0</v>
      </c>
      <c r="S64" s="12">
        <f>'Supply 2024'!S65/'Supply 2024'!S$76</f>
        <v>0</v>
      </c>
      <c r="T64" s="12">
        <f>'Supply 2024'!T65/'Supply 2024'!T$76</f>
        <v>0</v>
      </c>
      <c r="U64" s="12">
        <f>'Supply 2024'!U65/'Supply 2024'!U$76</f>
        <v>0</v>
      </c>
      <c r="V64" s="12">
        <f>'Supply 2024'!V65/'Supply 2024'!V$76</f>
        <v>0</v>
      </c>
      <c r="W64" s="12">
        <f>'Supply 2024'!W65/'Supply 2024'!W$76</f>
        <v>0</v>
      </c>
      <c r="X64" s="12">
        <f>'Supply 2024'!X65/'Supply 2024'!X$76</f>
        <v>0</v>
      </c>
      <c r="Y64" s="12">
        <f>'Supply 2024'!Y65/'Supply 2024'!Y$76</f>
        <v>0</v>
      </c>
      <c r="Z64" s="12">
        <f>'Supply 2024'!Z65/'Supply 2024'!Z$76</f>
        <v>0</v>
      </c>
      <c r="AA64" s="12">
        <f>'Supply 2024'!AA65/'Supply 2024'!AA$76</f>
        <v>0</v>
      </c>
      <c r="AB64" s="12">
        <f>'Supply 2024'!AB65/'Supply 2024'!AB$76</f>
        <v>0</v>
      </c>
      <c r="AC64" s="12">
        <f>'Supply 2024'!AC65/'Supply 2024'!AC$76</f>
        <v>0</v>
      </c>
      <c r="AD64" s="12">
        <f>'Supply 2024'!AD65/'Supply 2024'!AD$76</f>
        <v>2.9660021997849646E-4</v>
      </c>
      <c r="AE64" s="12">
        <f>'Supply 2024'!AE65/'Supply 2024'!AE$76</f>
        <v>3.1421147060394588E-6</v>
      </c>
      <c r="AF64" s="12">
        <f>'Supply 2024'!AF65/'Supply 2024'!AF$76</f>
        <v>0</v>
      </c>
      <c r="AG64" s="12">
        <f>'Supply 2024'!AG65/'Supply 2024'!AG$76</f>
        <v>3.9485463562746146E-4</v>
      </c>
      <c r="AH64" s="12">
        <f>'Supply 2024'!AH65/'Supply 2024'!AH$76</f>
        <v>0</v>
      </c>
      <c r="AI64" s="12">
        <f>'Supply 2024'!AI65/'Supply 2024'!AI$76</f>
        <v>0</v>
      </c>
      <c r="AJ64" s="12">
        <f>'Supply 2024'!AJ65/'Supply 2024'!AJ$76</f>
        <v>4.8319817602404331E-3</v>
      </c>
      <c r="AK64" s="12">
        <f>'Supply 2024'!AK65/'Supply 2024'!AK$76</f>
        <v>0</v>
      </c>
      <c r="AL64" s="12">
        <f>'Supply 2024'!AL65/'Supply 2024'!AL$76</f>
        <v>0</v>
      </c>
      <c r="AM64" s="12">
        <f>'Supply 2024'!AM65/'Supply 2024'!AM$76</f>
        <v>0</v>
      </c>
      <c r="AN64" s="12">
        <f>'Supply 2024'!AN65/'Supply 2024'!AN$76</f>
        <v>0</v>
      </c>
      <c r="AO64" s="12">
        <f>'Supply 2024'!AO65/'Supply 2024'!AO$76</f>
        <v>0</v>
      </c>
      <c r="AP64" s="12">
        <f>'Supply 2024'!AP65/'Supply 2024'!AP$76</f>
        <v>0</v>
      </c>
      <c r="AQ64" s="12">
        <f>'Supply 2024'!AQ65/'Supply 2024'!AQ$76</f>
        <v>1.8513015136825797E-4</v>
      </c>
      <c r="AR64" s="12">
        <f>'Supply 2024'!AR65/'Supply 2024'!AR$76</f>
        <v>0</v>
      </c>
      <c r="AS64" s="12">
        <f>'Supply 2024'!AS65/'Supply 2024'!AS$76</f>
        <v>0</v>
      </c>
      <c r="AT64" s="12">
        <f>'Supply 2024'!AT65/'Supply 2024'!AT$76</f>
        <v>0</v>
      </c>
      <c r="AU64" s="12">
        <f>'Supply 2024'!AU65/'Supply 2024'!AU$76</f>
        <v>0</v>
      </c>
      <c r="AV64" s="12">
        <f>'Supply 2024'!AV65/'Supply 2024'!AV$76</f>
        <v>0</v>
      </c>
      <c r="AW64" s="12">
        <f>'Supply 2024'!AW65/'Supply 2024'!AW$76</f>
        <v>0</v>
      </c>
      <c r="AX64" s="12">
        <f>'Supply 2024'!AX65/'Supply 2024'!AX$76</f>
        <v>0</v>
      </c>
      <c r="AY64" s="12">
        <f>'Supply 2024'!AY65/'Supply 2024'!AY$76</f>
        <v>0</v>
      </c>
      <c r="AZ64" s="12">
        <f>'Supply 2024'!AZ65/'Supply 2024'!AZ$76</f>
        <v>0</v>
      </c>
      <c r="BA64" s="12">
        <f>'Supply 2024'!BA65/'Supply 2024'!BA$76</f>
        <v>0</v>
      </c>
      <c r="BB64" s="12">
        <f>'Supply 2024'!BB65/'Supply 2024'!BB$76</f>
        <v>0</v>
      </c>
      <c r="BC64" s="12">
        <f>'Supply 2024'!BC65/'Supply 2024'!BC$76</f>
        <v>0</v>
      </c>
      <c r="BD64" s="12">
        <f>'Supply 2024'!BD65/'Supply 2024'!BD$76</f>
        <v>0</v>
      </c>
      <c r="BE64" s="12">
        <f>'Supply 2024'!BE65/'Supply 2024'!BE$76</f>
        <v>0</v>
      </c>
      <c r="BF64" s="12">
        <f>'Supply 2024'!BF65/'Supply 2024'!BF$76</f>
        <v>0</v>
      </c>
      <c r="BG64" s="12">
        <f>'Supply 2024'!BG65/'Supply 2024'!BG$76</f>
        <v>0</v>
      </c>
      <c r="BH64" s="12">
        <f>'Supply 2024'!BH65/'Supply 2024'!BH$76</f>
        <v>0</v>
      </c>
      <c r="BI64" s="12">
        <f>'Supply 2024'!BI65/'Supply 2024'!BI$76</f>
        <v>0</v>
      </c>
      <c r="BJ64" s="12">
        <f>'Supply 2024'!BJ65/'Supply 2024'!BJ$76</f>
        <v>0</v>
      </c>
      <c r="BK64" s="12">
        <f>'Supply 2024'!BK65/'Supply 2024'!BK$76</f>
        <v>0</v>
      </c>
      <c r="BL64" s="12">
        <f>'Supply 2024'!BL65/'Supply 2024'!BL$76</f>
        <v>7.9514790326499808E-3</v>
      </c>
      <c r="BM64" s="12">
        <f>'Supply 2024'!BM65/'Supply 2024'!BM$76</f>
        <v>0.88044260367490923</v>
      </c>
      <c r="BN64" s="12">
        <f>'Supply 2024'!BN65/'Supply 2024'!BN$76</f>
        <v>0.1094088611513768</v>
      </c>
      <c r="BO64" s="12">
        <f>'Supply 2024'!BO65/'Supply 2024'!BO$76</f>
        <v>1.6223447298815571E-3</v>
      </c>
      <c r="BP64" s="12">
        <f>'Supply 2024'!BP65/'Supply 2024'!BP$76</f>
        <v>0</v>
      </c>
      <c r="BQ64" s="12">
        <f>'Supply 2024'!BQ65/'Supply 2024'!BQ$76</f>
        <v>0</v>
      </c>
      <c r="BR64" s="12">
        <f>'Supply 2024'!BR65/'Supply 2024'!BR$76</f>
        <v>0</v>
      </c>
      <c r="BS64" s="12">
        <f>'Supply 2024'!BS65/'Supply 2024'!BS$76</f>
        <v>0</v>
      </c>
      <c r="BT64" s="12">
        <f>'Supply 2024'!BT65/'Supply 2024'!BT$76</f>
        <v>1.126452650772988E-3</v>
      </c>
      <c r="BU64" s="12">
        <f>'Supply 2024'!BU65/'Supply 2024'!BU$76</f>
        <v>0.10200960752210493</v>
      </c>
      <c r="BV64" s="12">
        <f>'Supply 2024'!BV65/'Supply 2024'!BV$76</f>
        <v>6.1412658872389879E-3</v>
      </c>
      <c r="BW64" s="12">
        <f>'Supply 2024'!BW65/'Supply 2024'!BW$76</f>
        <v>8.0811911891311215E-7</v>
      </c>
      <c r="BX64" s="12">
        <f>'Supply 2024'!BX65/'Supply 2024'!BX$76</f>
        <v>0</v>
      </c>
      <c r="BY64" s="12">
        <f>'Supply 2024'!BY65/'Supply 2024'!BY$76</f>
        <v>5.7179884394345029E-3</v>
      </c>
      <c r="BZ64" s="12">
        <f>'Supply 2024'!BZ65/'Supply 2024'!BZ$76</f>
        <v>0</v>
      </c>
      <c r="CA64" s="12" t="e">
        <f>'Supply 2024'!CA65/'Supply 2024'!CA$76</f>
        <v>#DIV/0!</v>
      </c>
      <c r="CB64" s="12">
        <f>'Supply 2024'!CB65/'Supply 2024'!CB$76</f>
        <v>0</v>
      </c>
      <c r="CC64" s="12">
        <f>'Supply 2024'!CC65/'Supply 2024'!CC$76</f>
        <v>0</v>
      </c>
      <c r="CD64" s="12">
        <f>'Supply 2024'!CD65/'Supply 2024'!CD$76</f>
        <v>2.2652409469586996E-2</v>
      </c>
      <c r="CE64" s="12">
        <f>'Supply 2024'!CE65/'Supply 2024'!CE$76</f>
        <v>0</v>
      </c>
      <c r="CF64" s="12">
        <f>'Supply 2024'!CF65/'Supply 2024'!CF$76</f>
        <v>2.2781755591759493E-2</v>
      </c>
      <c r="CG64" s="12">
        <f>'Supply 2024'!CG65/'Supply 2024'!CG$76</f>
        <v>6.034776081454675E-3</v>
      </c>
    </row>
    <row r="65" spans="1:85" x14ac:dyDescent="0.25">
      <c r="A65" t="s">
        <v>64</v>
      </c>
      <c r="B65" t="s">
        <v>157</v>
      </c>
      <c r="C65" s="12">
        <f>'Supply 2024'!C66/'Supply 2024'!C$76</f>
        <v>0</v>
      </c>
      <c r="D65" s="12">
        <f>'Supply 2024'!D66/'Supply 2024'!D$76</f>
        <v>0</v>
      </c>
      <c r="E65" s="12">
        <f>'Supply 2024'!E66/'Supply 2024'!E$76</f>
        <v>0</v>
      </c>
      <c r="F65" s="12">
        <f>'Supply 2024'!F66/'Supply 2024'!F$76</f>
        <v>0</v>
      </c>
      <c r="G65" s="12">
        <f>'Supply 2024'!G66/'Supply 2024'!G$76</f>
        <v>0</v>
      </c>
      <c r="H65" s="12">
        <f>'Supply 2024'!H66/'Supply 2024'!H$76</f>
        <v>0</v>
      </c>
      <c r="I65" s="12">
        <f>'Supply 2024'!I66/'Supply 2024'!I$76</f>
        <v>0</v>
      </c>
      <c r="J65" s="12">
        <f>'Supply 2024'!J66/'Supply 2024'!J$76</f>
        <v>0</v>
      </c>
      <c r="K65" s="12">
        <f>'Supply 2024'!K66/'Supply 2024'!K$76</f>
        <v>0</v>
      </c>
      <c r="L65" s="12">
        <f>'Supply 2024'!L66/'Supply 2024'!L$76</f>
        <v>0</v>
      </c>
      <c r="M65" s="12">
        <f>'Supply 2024'!M66/'Supply 2024'!M$76</f>
        <v>0</v>
      </c>
      <c r="N65" s="12">
        <f>'Supply 2024'!N66/'Supply 2024'!N$76</f>
        <v>0</v>
      </c>
      <c r="O65" s="12">
        <f>'Supply 2024'!O66/'Supply 2024'!O$76</f>
        <v>0</v>
      </c>
      <c r="P65" s="12">
        <f>'Supply 2024'!P66/'Supply 2024'!P$76</f>
        <v>0</v>
      </c>
      <c r="Q65" s="12">
        <f>'Supply 2024'!Q66/'Supply 2024'!Q$76</f>
        <v>0</v>
      </c>
      <c r="R65" s="12">
        <f>'Supply 2024'!R66/'Supply 2024'!R$76</f>
        <v>0</v>
      </c>
      <c r="S65" s="12">
        <f>'Supply 2024'!S66/'Supply 2024'!S$76</f>
        <v>0</v>
      </c>
      <c r="T65" s="12">
        <f>'Supply 2024'!T66/'Supply 2024'!T$76</f>
        <v>0</v>
      </c>
      <c r="U65" s="12">
        <f>'Supply 2024'!U66/'Supply 2024'!U$76</f>
        <v>0</v>
      </c>
      <c r="V65" s="12">
        <f>'Supply 2024'!V66/'Supply 2024'!V$76</f>
        <v>0</v>
      </c>
      <c r="W65" s="12">
        <f>'Supply 2024'!W66/'Supply 2024'!W$76</f>
        <v>0</v>
      </c>
      <c r="X65" s="12">
        <f>'Supply 2024'!X66/'Supply 2024'!X$76</f>
        <v>0</v>
      </c>
      <c r="Y65" s="12">
        <f>'Supply 2024'!Y66/'Supply 2024'!Y$76</f>
        <v>0</v>
      </c>
      <c r="Z65" s="12">
        <f>'Supply 2024'!Z66/'Supply 2024'!Z$76</f>
        <v>0</v>
      </c>
      <c r="AA65" s="12">
        <f>'Supply 2024'!AA66/'Supply 2024'!AA$76</f>
        <v>0</v>
      </c>
      <c r="AB65" s="12">
        <f>'Supply 2024'!AB66/'Supply 2024'!AB$76</f>
        <v>0</v>
      </c>
      <c r="AC65" s="12">
        <f>'Supply 2024'!AC66/'Supply 2024'!AC$76</f>
        <v>0</v>
      </c>
      <c r="AD65" s="12">
        <f>'Supply 2024'!AD66/'Supply 2024'!AD$76</f>
        <v>0</v>
      </c>
      <c r="AE65" s="12">
        <f>'Supply 2024'!AE66/'Supply 2024'!AE$76</f>
        <v>0</v>
      </c>
      <c r="AF65" s="12">
        <f>'Supply 2024'!AF66/'Supply 2024'!AF$76</f>
        <v>0</v>
      </c>
      <c r="AG65" s="12">
        <f>'Supply 2024'!AG66/'Supply 2024'!AG$76</f>
        <v>0</v>
      </c>
      <c r="AH65" s="12">
        <f>'Supply 2024'!AH66/'Supply 2024'!AH$76</f>
        <v>0</v>
      </c>
      <c r="AI65" s="12">
        <f>'Supply 2024'!AI66/'Supply 2024'!AI$76</f>
        <v>0</v>
      </c>
      <c r="AJ65" s="12">
        <f>'Supply 2024'!AJ66/'Supply 2024'!AJ$76</f>
        <v>0</v>
      </c>
      <c r="AK65" s="12">
        <f>'Supply 2024'!AK66/'Supply 2024'!AK$76</f>
        <v>0</v>
      </c>
      <c r="AL65" s="12">
        <f>'Supply 2024'!AL66/'Supply 2024'!AL$76</f>
        <v>0</v>
      </c>
      <c r="AM65" s="12">
        <f>'Supply 2024'!AM66/'Supply 2024'!AM$76</f>
        <v>0</v>
      </c>
      <c r="AN65" s="12">
        <f>'Supply 2024'!AN66/'Supply 2024'!AN$76</f>
        <v>0</v>
      </c>
      <c r="AO65" s="12">
        <f>'Supply 2024'!AO66/'Supply 2024'!AO$76</f>
        <v>0</v>
      </c>
      <c r="AP65" s="12">
        <f>'Supply 2024'!AP66/'Supply 2024'!AP$76</f>
        <v>0</v>
      </c>
      <c r="AQ65" s="12">
        <f>'Supply 2024'!AQ66/'Supply 2024'!AQ$76</f>
        <v>0</v>
      </c>
      <c r="AR65" s="12">
        <f>'Supply 2024'!AR66/'Supply 2024'!AR$76</f>
        <v>0</v>
      </c>
      <c r="AS65" s="12">
        <f>'Supply 2024'!AS66/'Supply 2024'!AS$76</f>
        <v>0</v>
      </c>
      <c r="AT65" s="12">
        <f>'Supply 2024'!AT66/'Supply 2024'!AT$76</f>
        <v>0</v>
      </c>
      <c r="AU65" s="12">
        <f>'Supply 2024'!AU66/'Supply 2024'!AU$76</f>
        <v>0</v>
      </c>
      <c r="AV65" s="12">
        <f>'Supply 2024'!AV66/'Supply 2024'!AV$76</f>
        <v>0</v>
      </c>
      <c r="AW65" s="12">
        <f>'Supply 2024'!AW66/'Supply 2024'!AW$76</f>
        <v>0</v>
      </c>
      <c r="AX65" s="12">
        <f>'Supply 2024'!AX66/'Supply 2024'!AX$76</f>
        <v>0</v>
      </c>
      <c r="AY65" s="12">
        <f>'Supply 2024'!AY66/'Supply 2024'!AY$76</f>
        <v>3.3230562930622891E-5</v>
      </c>
      <c r="AZ65" s="12">
        <f>'Supply 2024'!AZ66/'Supply 2024'!AZ$76</f>
        <v>0</v>
      </c>
      <c r="BA65" s="12">
        <f>'Supply 2024'!BA66/'Supply 2024'!BA$76</f>
        <v>0</v>
      </c>
      <c r="BB65" s="12">
        <f>'Supply 2024'!BB66/'Supply 2024'!BB$76</f>
        <v>0</v>
      </c>
      <c r="BC65" s="12">
        <f>'Supply 2024'!BC66/'Supply 2024'!BC$76</f>
        <v>0</v>
      </c>
      <c r="BD65" s="12">
        <f>'Supply 2024'!BD66/'Supply 2024'!BD$76</f>
        <v>0</v>
      </c>
      <c r="BE65" s="12">
        <f>'Supply 2024'!BE66/'Supply 2024'!BE$76</f>
        <v>0</v>
      </c>
      <c r="BF65" s="12">
        <f>'Supply 2024'!BF66/'Supply 2024'!BF$76</f>
        <v>0</v>
      </c>
      <c r="BG65" s="12">
        <f>'Supply 2024'!BG66/'Supply 2024'!BG$76</f>
        <v>6.5657434021955258E-2</v>
      </c>
      <c r="BH65" s="12">
        <f>'Supply 2024'!BH66/'Supply 2024'!BH$76</f>
        <v>0</v>
      </c>
      <c r="BI65" s="12">
        <f>'Supply 2024'!BI66/'Supply 2024'!BI$76</f>
        <v>0</v>
      </c>
      <c r="BJ65" s="12">
        <f>'Supply 2024'!BJ66/'Supply 2024'!BJ$76</f>
        <v>0</v>
      </c>
      <c r="BK65" s="12">
        <f>'Supply 2024'!BK66/'Supply 2024'!BK$76</f>
        <v>0</v>
      </c>
      <c r="BL65" s="12">
        <f>'Supply 2024'!BL66/'Supply 2024'!BL$76</f>
        <v>3.5169388564193728E-5</v>
      </c>
      <c r="BM65" s="12">
        <f>'Supply 2024'!BM66/'Supply 2024'!BM$76</f>
        <v>9.6084659798880323E-4</v>
      </c>
      <c r="BN65" s="12">
        <f>'Supply 2024'!BN66/'Supply 2024'!BN$76</f>
        <v>0.70734417179511666</v>
      </c>
      <c r="BO65" s="12">
        <f>'Supply 2024'!BO66/'Supply 2024'!BO$76</f>
        <v>2.0328174928636378E-5</v>
      </c>
      <c r="BP65" s="12">
        <f>'Supply 2024'!BP66/'Supply 2024'!BP$76</f>
        <v>0</v>
      </c>
      <c r="BQ65" s="12">
        <f>'Supply 2024'!BQ66/'Supply 2024'!BQ$76</f>
        <v>0</v>
      </c>
      <c r="BR65" s="12">
        <f>'Supply 2024'!BR66/'Supply 2024'!BR$76</f>
        <v>0</v>
      </c>
      <c r="BS65" s="12">
        <f>'Supply 2024'!BS66/'Supply 2024'!BS$76</f>
        <v>0</v>
      </c>
      <c r="BT65" s="12">
        <f>'Supply 2024'!BT66/'Supply 2024'!BT$76</f>
        <v>4.3756953130592077E-3</v>
      </c>
      <c r="BU65" s="12">
        <f>'Supply 2024'!BU66/'Supply 2024'!BU$76</f>
        <v>0</v>
      </c>
      <c r="BV65" s="12">
        <f>'Supply 2024'!BV66/'Supply 2024'!BV$76</f>
        <v>5.8657774780030581E-3</v>
      </c>
      <c r="BW65" s="12">
        <f>'Supply 2024'!BW66/'Supply 2024'!BW$76</f>
        <v>0</v>
      </c>
      <c r="BX65" s="12">
        <f>'Supply 2024'!BX66/'Supply 2024'!BX$76</f>
        <v>0</v>
      </c>
      <c r="BY65" s="12">
        <f>'Supply 2024'!BY66/'Supply 2024'!BY$76</f>
        <v>5.461433999638405E-3</v>
      </c>
      <c r="BZ65" s="12">
        <f>'Supply 2024'!BZ66/'Supply 2024'!BZ$76</f>
        <v>0</v>
      </c>
      <c r="CA65" s="12" t="e">
        <f>'Supply 2024'!CA66/'Supply 2024'!CA$76</f>
        <v>#DIV/0!</v>
      </c>
      <c r="CB65" s="12">
        <f>'Supply 2024'!CB66/'Supply 2024'!CB$76</f>
        <v>0</v>
      </c>
      <c r="CC65" s="12">
        <f>'Supply 2024'!CC66/'Supply 2024'!CC$76</f>
        <v>0</v>
      </c>
      <c r="CD65" s="12">
        <f>'Supply 2024'!CD66/'Supply 2024'!CD$76</f>
        <v>2.8090877329383573E-2</v>
      </c>
      <c r="CE65" s="12">
        <f>'Supply 2024'!CE66/'Supply 2024'!CE$76</f>
        <v>0</v>
      </c>
      <c r="CF65" s="12">
        <f>'Supply 2024'!CF66/'Supply 2024'!CF$76</f>
        <v>2.825127731049186E-2</v>
      </c>
      <c r="CG65" s="12">
        <f>'Supply 2024'!CG66/'Supply 2024'!CG$76</f>
        <v>5.8845503072764843E-3</v>
      </c>
    </row>
    <row r="66" spans="1:85" x14ac:dyDescent="0.25">
      <c r="A66" t="s">
        <v>65</v>
      </c>
      <c r="B66" t="s">
        <v>158</v>
      </c>
      <c r="C66" s="12">
        <f>'Supply 2024'!C67/'Supply 2024'!C$76</f>
        <v>0</v>
      </c>
      <c r="D66" s="12">
        <f>'Supply 2024'!D67/'Supply 2024'!D$76</f>
        <v>0</v>
      </c>
      <c r="E66" s="12">
        <f>'Supply 2024'!E67/'Supply 2024'!E$76</f>
        <v>0</v>
      </c>
      <c r="F66" s="12">
        <f>'Supply 2024'!F67/'Supply 2024'!F$76</f>
        <v>0</v>
      </c>
      <c r="G66" s="12">
        <f>'Supply 2024'!G67/'Supply 2024'!G$76</f>
        <v>0</v>
      </c>
      <c r="H66" s="12">
        <f>'Supply 2024'!H67/'Supply 2024'!H$76</f>
        <v>0</v>
      </c>
      <c r="I66" s="12">
        <f>'Supply 2024'!I67/'Supply 2024'!I$76</f>
        <v>0</v>
      </c>
      <c r="J66" s="12">
        <f>'Supply 2024'!J67/'Supply 2024'!J$76</f>
        <v>0</v>
      </c>
      <c r="K66" s="12">
        <f>'Supply 2024'!K67/'Supply 2024'!K$76</f>
        <v>0</v>
      </c>
      <c r="L66" s="12">
        <f>'Supply 2024'!L67/'Supply 2024'!L$76</f>
        <v>0</v>
      </c>
      <c r="M66" s="12">
        <f>'Supply 2024'!M67/'Supply 2024'!M$76</f>
        <v>0</v>
      </c>
      <c r="N66" s="12">
        <f>'Supply 2024'!N67/'Supply 2024'!N$76</f>
        <v>0</v>
      </c>
      <c r="O66" s="12">
        <f>'Supply 2024'!O67/'Supply 2024'!O$76</f>
        <v>0</v>
      </c>
      <c r="P66" s="12">
        <f>'Supply 2024'!P67/'Supply 2024'!P$76</f>
        <v>0</v>
      </c>
      <c r="Q66" s="12">
        <f>'Supply 2024'!Q67/'Supply 2024'!Q$76</f>
        <v>0</v>
      </c>
      <c r="R66" s="12">
        <f>'Supply 2024'!R67/'Supply 2024'!R$76</f>
        <v>0</v>
      </c>
      <c r="S66" s="12">
        <f>'Supply 2024'!S67/'Supply 2024'!S$76</f>
        <v>0</v>
      </c>
      <c r="T66" s="12">
        <f>'Supply 2024'!T67/'Supply 2024'!T$76</f>
        <v>0</v>
      </c>
      <c r="U66" s="12">
        <f>'Supply 2024'!U67/'Supply 2024'!U$76</f>
        <v>0</v>
      </c>
      <c r="V66" s="12">
        <f>'Supply 2024'!V67/'Supply 2024'!V$76</f>
        <v>0</v>
      </c>
      <c r="W66" s="12">
        <f>'Supply 2024'!W67/'Supply 2024'!W$76</f>
        <v>0</v>
      </c>
      <c r="X66" s="12">
        <f>'Supply 2024'!X67/'Supply 2024'!X$76</f>
        <v>0</v>
      </c>
      <c r="Y66" s="12">
        <f>'Supply 2024'!Y67/'Supply 2024'!Y$76</f>
        <v>0</v>
      </c>
      <c r="Z66" s="12">
        <f>'Supply 2024'!Z67/'Supply 2024'!Z$76</f>
        <v>0</v>
      </c>
      <c r="AA66" s="12">
        <f>'Supply 2024'!AA67/'Supply 2024'!AA$76</f>
        <v>0</v>
      </c>
      <c r="AB66" s="12">
        <f>'Supply 2024'!AB67/'Supply 2024'!AB$76</f>
        <v>0</v>
      </c>
      <c r="AC66" s="12">
        <f>'Supply 2024'!AC67/'Supply 2024'!AC$76</f>
        <v>0</v>
      </c>
      <c r="AD66" s="12">
        <f>'Supply 2024'!AD67/'Supply 2024'!AD$76</f>
        <v>0</v>
      </c>
      <c r="AE66" s="12">
        <f>'Supply 2024'!AE67/'Supply 2024'!AE$76</f>
        <v>4.9221226870108117E-2</v>
      </c>
      <c r="AF66" s="12">
        <f>'Supply 2024'!AF67/'Supply 2024'!AF$76</f>
        <v>4.5897926847967542E-2</v>
      </c>
      <c r="AG66" s="12">
        <f>'Supply 2024'!AG67/'Supply 2024'!AG$76</f>
        <v>1.8837970038702561E-2</v>
      </c>
      <c r="AH66" s="12">
        <f>'Supply 2024'!AH67/'Supply 2024'!AH$76</f>
        <v>0</v>
      </c>
      <c r="AI66" s="12">
        <f>'Supply 2024'!AI67/'Supply 2024'!AI$76</f>
        <v>0</v>
      </c>
      <c r="AJ66" s="12">
        <f>'Supply 2024'!AJ67/'Supply 2024'!AJ$76</f>
        <v>0</v>
      </c>
      <c r="AK66" s="12">
        <f>'Supply 2024'!AK67/'Supply 2024'!AK$76</f>
        <v>0</v>
      </c>
      <c r="AL66" s="12">
        <f>'Supply 2024'!AL67/'Supply 2024'!AL$76</f>
        <v>0</v>
      </c>
      <c r="AM66" s="12">
        <f>'Supply 2024'!AM67/'Supply 2024'!AM$76</f>
        <v>0</v>
      </c>
      <c r="AN66" s="12">
        <f>'Supply 2024'!AN67/'Supply 2024'!AN$76</f>
        <v>1.015738300669823E-4</v>
      </c>
      <c r="AO66" s="12">
        <f>'Supply 2024'!AO67/'Supply 2024'!AO$76</f>
        <v>0</v>
      </c>
      <c r="AP66" s="12">
        <f>'Supply 2024'!AP67/'Supply 2024'!AP$76</f>
        <v>0</v>
      </c>
      <c r="AQ66" s="12">
        <f>'Supply 2024'!AQ67/'Supply 2024'!AQ$76</f>
        <v>0</v>
      </c>
      <c r="AR66" s="12">
        <f>'Supply 2024'!AR67/'Supply 2024'!AR$76</f>
        <v>0</v>
      </c>
      <c r="AS66" s="12">
        <f>'Supply 2024'!AS67/'Supply 2024'!AS$76</f>
        <v>0</v>
      </c>
      <c r="AT66" s="12">
        <f>'Supply 2024'!AT67/'Supply 2024'!AT$76</f>
        <v>0</v>
      </c>
      <c r="AU66" s="12">
        <f>'Supply 2024'!AU67/'Supply 2024'!AU$76</f>
        <v>0</v>
      </c>
      <c r="AV66" s="12">
        <f>'Supply 2024'!AV67/'Supply 2024'!AV$76</f>
        <v>0</v>
      </c>
      <c r="AW66" s="12">
        <f>'Supply 2024'!AW67/'Supply 2024'!AW$76</f>
        <v>0</v>
      </c>
      <c r="AX66" s="12">
        <f>'Supply 2024'!AX67/'Supply 2024'!AX$76</f>
        <v>0</v>
      </c>
      <c r="AY66" s="12">
        <f>'Supply 2024'!AY67/'Supply 2024'!AY$76</f>
        <v>0</v>
      </c>
      <c r="AZ66" s="12">
        <f>'Supply 2024'!AZ67/'Supply 2024'!AZ$76</f>
        <v>0</v>
      </c>
      <c r="BA66" s="12">
        <f>'Supply 2024'!BA67/'Supply 2024'!BA$76</f>
        <v>0</v>
      </c>
      <c r="BB66" s="12">
        <f>'Supply 2024'!BB67/'Supply 2024'!BB$76</f>
        <v>0</v>
      </c>
      <c r="BC66" s="12">
        <f>'Supply 2024'!BC67/'Supply 2024'!BC$76</f>
        <v>0</v>
      </c>
      <c r="BD66" s="12">
        <f>'Supply 2024'!BD67/'Supply 2024'!BD$76</f>
        <v>0</v>
      </c>
      <c r="BE66" s="12">
        <f>'Supply 2024'!BE67/'Supply 2024'!BE$76</f>
        <v>0</v>
      </c>
      <c r="BF66" s="12">
        <f>'Supply 2024'!BF67/'Supply 2024'!BF$76</f>
        <v>0</v>
      </c>
      <c r="BG66" s="12">
        <f>'Supply 2024'!BG67/'Supply 2024'!BG$76</f>
        <v>1.7211839739142219E-2</v>
      </c>
      <c r="BH66" s="12">
        <f>'Supply 2024'!BH67/'Supply 2024'!BH$76</f>
        <v>3.9425788038339115E-5</v>
      </c>
      <c r="BI66" s="12">
        <f>'Supply 2024'!BI67/'Supply 2024'!BI$76</f>
        <v>1.7825539005607203E-3</v>
      </c>
      <c r="BJ66" s="12">
        <f>'Supply 2024'!BJ67/'Supply 2024'!BJ$76</f>
        <v>1.7728166171621499E-3</v>
      </c>
      <c r="BK66" s="12">
        <f>'Supply 2024'!BK67/'Supply 2024'!BK$76</f>
        <v>0</v>
      </c>
      <c r="BL66" s="12">
        <f>'Supply 2024'!BL67/'Supply 2024'!BL$76</f>
        <v>1.8518281687619095E-2</v>
      </c>
      <c r="BM66" s="12">
        <f>'Supply 2024'!BM67/'Supply 2024'!BM$76</f>
        <v>6.0068268370158474E-2</v>
      </c>
      <c r="BN66" s="12">
        <f>'Supply 2024'!BN67/'Supply 2024'!BN$76</f>
        <v>0.15720398934092547</v>
      </c>
      <c r="BO66" s="12">
        <f>'Supply 2024'!BO67/'Supply 2024'!BO$76</f>
        <v>0.99447151827229274</v>
      </c>
      <c r="BP66" s="12">
        <f>'Supply 2024'!BP67/'Supply 2024'!BP$76</f>
        <v>4.1760572099357766E-3</v>
      </c>
      <c r="BQ66" s="12">
        <f>'Supply 2024'!BQ67/'Supply 2024'!BQ$76</f>
        <v>0</v>
      </c>
      <c r="BR66" s="12">
        <f>'Supply 2024'!BR67/'Supply 2024'!BR$76</f>
        <v>0</v>
      </c>
      <c r="BS66" s="12">
        <f>'Supply 2024'!BS67/'Supply 2024'!BS$76</f>
        <v>1.3299184861222198E-2</v>
      </c>
      <c r="BT66" s="12">
        <f>'Supply 2024'!BT67/'Supply 2024'!BT$76</f>
        <v>7.8521089595750895E-3</v>
      </c>
      <c r="BU66" s="12">
        <f>'Supply 2024'!BU67/'Supply 2024'!BU$76</f>
        <v>0</v>
      </c>
      <c r="BV66" s="12">
        <f>'Supply 2024'!BV67/'Supply 2024'!BV$76</f>
        <v>2.904225797934008E-2</v>
      </c>
      <c r="BW66" s="12">
        <f>'Supply 2024'!BW67/'Supply 2024'!BW$76</f>
        <v>0</v>
      </c>
      <c r="BX66" s="12">
        <f>'Supply 2024'!BX67/'Supply 2024'!BX$76</f>
        <v>0</v>
      </c>
      <c r="BY66" s="12">
        <f>'Supply 2024'!BY67/'Supply 2024'!BY$76</f>
        <v>2.7040298707109424E-2</v>
      </c>
      <c r="BZ66" s="12">
        <f>'Supply 2024'!BZ67/'Supply 2024'!BZ$76</f>
        <v>0</v>
      </c>
      <c r="CA66" s="12" t="e">
        <f>'Supply 2024'!CA67/'Supply 2024'!CA$76</f>
        <v>#DIV/0!</v>
      </c>
      <c r="CB66" s="12">
        <f>'Supply 2024'!CB67/'Supply 2024'!CB$76</f>
        <v>0</v>
      </c>
      <c r="CC66" s="12">
        <f>'Supply 2024'!CC67/'Supply 2024'!CC$76</f>
        <v>0</v>
      </c>
      <c r="CD66" s="12">
        <f>'Supply 2024'!CD67/'Supply 2024'!CD$76</f>
        <v>9.5508786087915007E-2</v>
      </c>
      <c r="CE66" s="12">
        <f>'Supply 2024'!CE67/'Supply 2024'!CE$76</f>
        <v>0</v>
      </c>
      <c r="CF66" s="12">
        <f>'Supply 2024'!CF67/'Supply 2024'!CF$76</f>
        <v>9.605414489976502E-2</v>
      </c>
      <c r="CG66" s="12">
        <f>'Supply 2024'!CG67/'Supply 2024'!CG$76</f>
        <v>2.8321610393837401E-2</v>
      </c>
    </row>
    <row r="67" spans="1:85" x14ac:dyDescent="0.25">
      <c r="A67" t="s">
        <v>66</v>
      </c>
      <c r="B67" t="s">
        <v>159</v>
      </c>
      <c r="C67" s="12">
        <f>'Supply 2024'!C68/'Supply 2024'!C$76</f>
        <v>0</v>
      </c>
      <c r="D67" s="12">
        <f>'Supply 2024'!D68/'Supply 2024'!D$76</f>
        <v>0</v>
      </c>
      <c r="E67" s="12">
        <f>'Supply 2024'!E68/'Supply 2024'!E$76</f>
        <v>0</v>
      </c>
      <c r="F67" s="12">
        <f>'Supply 2024'!F68/'Supply 2024'!F$76</f>
        <v>0</v>
      </c>
      <c r="G67" s="12">
        <f>'Supply 2024'!G68/'Supply 2024'!G$76</f>
        <v>0</v>
      </c>
      <c r="H67" s="12">
        <f>'Supply 2024'!H68/'Supply 2024'!H$76</f>
        <v>0</v>
      </c>
      <c r="I67" s="12">
        <f>'Supply 2024'!I68/'Supply 2024'!I$76</f>
        <v>0</v>
      </c>
      <c r="J67" s="12">
        <f>'Supply 2024'!J68/'Supply 2024'!J$76</f>
        <v>0</v>
      </c>
      <c r="K67" s="12">
        <f>'Supply 2024'!K68/'Supply 2024'!K$76</f>
        <v>0</v>
      </c>
      <c r="L67" s="12">
        <f>'Supply 2024'!L68/'Supply 2024'!L$76</f>
        <v>0</v>
      </c>
      <c r="M67" s="12">
        <f>'Supply 2024'!M68/'Supply 2024'!M$76</f>
        <v>9.9171968552677755E-4</v>
      </c>
      <c r="N67" s="12">
        <f>'Supply 2024'!N68/'Supply 2024'!N$76</f>
        <v>0</v>
      </c>
      <c r="O67" s="12">
        <f>'Supply 2024'!O68/'Supply 2024'!O$76</f>
        <v>0</v>
      </c>
      <c r="P67" s="12">
        <f>'Supply 2024'!P68/'Supply 2024'!P$76</f>
        <v>0</v>
      </c>
      <c r="Q67" s="12">
        <f>'Supply 2024'!Q68/'Supply 2024'!Q$76</f>
        <v>0</v>
      </c>
      <c r="R67" s="12">
        <f>'Supply 2024'!R68/'Supply 2024'!R$76</f>
        <v>0</v>
      </c>
      <c r="S67" s="12">
        <f>'Supply 2024'!S68/'Supply 2024'!S$76</f>
        <v>0</v>
      </c>
      <c r="T67" s="12">
        <f>'Supply 2024'!T68/'Supply 2024'!T$76</f>
        <v>0</v>
      </c>
      <c r="U67" s="12">
        <f>'Supply 2024'!U68/'Supply 2024'!U$76</f>
        <v>0</v>
      </c>
      <c r="V67" s="12">
        <f>'Supply 2024'!V68/'Supply 2024'!V$76</f>
        <v>0</v>
      </c>
      <c r="W67" s="12">
        <f>'Supply 2024'!W68/'Supply 2024'!W$76</f>
        <v>0</v>
      </c>
      <c r="X67" s="12">
        <f>'Supply 2024'!X68/'Supply 2024'!X$76</f>
        <v>0</v>
      </c>
      <c r="Y67" s="12">
        <f>'Supply 2024'!Y68/'Supply 2024'!Y$76</f>
        <v>0</v>
      </c>
      <c r="Z67" s="12">
        <f>'Supply 2024'!Z68/'Supply 2024'!Z$76</f>
        <v>0</v>
      </c>
      <c r="AA67" s="12">
        <f>'Supply 2024'!AA68/'Supply 2024'!AA$76</f>
        <v>0</v>
      </c>
      <c r="AB67" s="12">
        <f>'Supply 2024'!AB68/'Supply 2024'!AB$76</f>
        <v>0</v>
      </c>
      <c r="AC67" s="12">
        <f>'Supply 2024'!AC68/'Supply 2024'!AC$76</f>
        <v>4.0299538811238142E-2</v>
      </c>
      <c r="AD67" s="12">
        <f>'Supply 2024'!AD68/'Supply 2024'!AD$76</f>
        <v>0.13990673570860676</v>
      </c>
      <c r="AE67" s="12">
        <f>'Supply 2024'!AE68/'Supply 2024'!AE$76</f>
        <v>0</v>
      </c>
      <c r="AF67" s="12">
        <f>'Supply 2024'!AF68/'Supply 2024'!AF$76</f>
        <v>9.2747309777587317E-3</v>
      </c>
      <c r="AG67" s="12">
        <f>'Supply 2024'!AG68/'Supply 2024'!AG$76</f>
        <v>1.5532764424958897E-2</v>
      </c>
      <c r="AH67" s="12">
        <f>'Supply 2024'!AH68/'Supply 2024'!AH$76</f>
        <v>0</v>
      </c>
      <c r="AI67" s="12">
        <f>'Supply 2024'!AI68/'Supply 2024'!AI$76</f>
        <v>0</v>
      </c>
      <c r="AJ67" s="12">
        <f>'Supply 2024'!AJ68/'Supply 2024'!AJ$76</f>
        <v>0</v>
      </c>
      <c r="AK67" s="12">
        <f>'Supply 2024'!AK68/'Supply 2024'!AK$76</f>
        <v>0</v>
      </c>
      <c r="AL67" s="12">
        <f>'Supply 2024'!AL68/'Supply 2024'!AL$76</f>
        <v>0</v>
      </c>
      <c r="AM67" s="12">
        <f>'Supply 2024'!AM68/'Supply 2024'!AM$76</f>
        <v>0</v>
      </c>
      <c r="AN67" s="12">
        <f>'Supply 2024'!AN68/'Supply 2024'!AN$76</f>
        <v>3.5437980712258268E-3</v>
      </c>
      <c r="AO67" s="12">
        <f>'Supply 2024'!AO68/'Supply 2024'!AO$76</f>
        <v>0</v>
      </c>
      <c r="AP67" s="12">
        <f>'Supply 2024'!AP68/'Supply 2024'!AP$76</f>
        <v>3.0757637505863173E-6</v>
      </c>
      <c r="AQ67" s="12">
        <f>'Supply 2024'!AQ68/'Supply 2024'!AQ$76</f>
        <v>0</v>
      </c>
      <c r="AR67" s="12">
        <f>'Supply 2024'!AR68/'Supply 2024'!AR$76</f>
        <v>8.6308303925195027E-4</v>
      </c>
      <c r="AS67" s="12">
        <f>'Supply 2024'!AS68/'Supply 2024'!AS$76</f>
        <v>1.9724443883393597E-4</v>
      </c>
      <c r="AT67" s="12">
        <f>'Supply 2024'!AT68/'Supply 2024'!AT$76</f>
        <v>0</v>
      </c>
      <c r="AU67" s="12">
        <f>'Supply 2024'!AU68/'Supply 2024'!AU$76</f>
        <v>0</v>
      </c>
      <c r="AV67" s="12">
        <f>'Supply 2024'!AV68/'Supply 2024'!AV$76</f>
        <v>0</v>
      </c>
      <c r="AW67" s="12">
        <f>'Supply 2024'!AW68/'Supply 2024'!AW$76</f>
        <v>0</v>
      </c>
      <c r="AX67" s="12">
        <f>'Supply 2024'!AX68/'Supply 2024'!AX$76</f>
        <v>0</v>
      </c>
      <c r="AY67" s="12">
        <f>'Supply 2024'!AY68/'Supply 2024'!AY$76</f>
        <v>1.1875039400207886E-4</v>
      </c>
      <c r="AZ67" s="12">
        <f>'Supply 2024'!AZ68/'Supply 2024'!AZ$76</f>
        <v>2.2569612716522897E-3</v>
      </c>
      <c r="BA67" s="12">
        <f>'Supply 2024'!BA68/'Supply 2024'!BA$76</f>
        <v>0</v>
      </c>
      <c r="BB67" s="12">
        <f>'Supply 2024'!BB68/'Supply 2024'!BB$76</f>
        <v>7.4055073806844505E-3</v>
      </c>
      <c r="BC67" s="12">
        <f>'Supply 2024'!BC68/'Supply 2024'!BC$76</f>
        <v>1.3923673515935312E-3</v>
      </c>
      <c r="BD67" s="12">
        <f>'Supply 2024'!BD68/'Supply 2024'!BD$76</f>
        <v>0</v>
      </c>
      <c r="BE67" s="12">
        <f>'Supply 2024'!BE68/'Supply 2024'!BE$76</f>
        <v>0</v>
      </c>
      <c r="BF67" s="12">
        <f>'Supply 2024'!BF68/'Supply 2024'!BF$76</f>
        <v>0</v>
      </c>
      <c r="BG67" s="12">
        <f>'Supply 2024'!BG68/'Supply 2024'!BG$76</f>
        <v>3.6410049982907507E-5</v>
      </c>
      <c r="BH67" s="12">
        <f>'Supply 2024'!BH68/'Supply 2024'!BH$76</f>
        <v>0</v>
      </c>
      <c r="BI67" s="12">
        <f>'Supply 2024'!BI68/'Supply 2024'!BI$76</f>
        <v>0</v>
      </c>
      <c r="BJ67" s="12">
        <f>'Supply 2024'!BJ68/'Supply 2024'!BJ$76</f>
        <v>0</v>
      </c>
      <c r="BK67" s="12">
        <f>'Supply 2024'!BK68/'Supply 2024'!BK$76</f>
        <v>0</v>
      </c>
      <c r="BL67" s="12">
        <f>'Supply 2024'!BL68/'Supply 2024'!BL$76</f>
        <v>1.3875922397145525E-3</v>
      </c>
      <c r="BM67" s="12">
        <f>'Supply 2024'!BM68/'Supply 2024'!BM$76</f>
        <v>1.5206823327073937E-2</v>
      </c>
      <c r="BN67" s="12">
        <f>'Supply 2024'!BN68/'Supply 2024'!BN$76</f>
        <v>6.6517948851487615E-3</v>
      </c>
      <c r="BO67" s="12">
        <f>'Supply 2024'!BO68/'Supply 2024'!BO$76</f>
        <v>0</v>
      </c>
      <c r="BP67" s="12">
        <f>'Supply 2024'!BP68/'Supply 2024'!BP$76</f>
        <v>0.98025542277691979</v>
      </c>
      <c r="BQ67" s="12">
        <f>'Supply 2024'!BQ68/'Supply 2024'!BQ$76</f>
        <v>0</v>
      </c>
      <c r="BR67" s="12">
        <f>'Supply 2024'!BR68/'Supply 2024'!BR$76</f>
        <v>0</v>
      </c>
      <c r="BS67" s="12">
        <f>'Supply 2024'!BS68/'Supply 2024'!BS$76</f>
        <v>0</v>
      </c>
      <c r="BT67" s="12">
        <f>'Supply 2024'!BT68/'Supply 2024'!BT$76</f>
        <v>4.7496630347617101E-4</v>
      </c>
      <c r="BU67" s="12">
        <f>'Supply 2024'!BU68/'Supply 2024'!BU$76</f>
        <v>6.8303186426534497E-3</v>
      </c>
      <c r="BV67" s="12">
        <f>'Supply 2024'!BV68/'Supply 2024'!BV$76</f>
        <v>2.5668947756546195E-2</v>
      </c>
      <c r="BW67" s="12">
        <f>'Supply 2024'!BW68/'Supply 2024'!BW$76</f>
        <v>0</v>
      </c>
      <c r="BX67" s="12">
        <f>'Supply 2024'!BX68/'Supply 2024'!BX$76</f>
        <v>0</v>
      </c>
      <c r="BY67" s="12">
        <f>'Supply 2024'!BY68/'Supply 2024'!BY$76</f>
        <v>2.3899519635420825E-2</v>
      </c>
      <c r="BZ67" s="12">
        <f>'Supply 2024'!BZ68/'Supply 2024'!BZ$76</f>
        <v>0</v>
      </c>
      <c r="CA67" s="12" t="e">
        <f>'Supply 2024'!CA68/'Supply 2024'!CA$76</f>
        <v>#DIV/0!</v>
      </c>
      <c r="CB67" s="12">
        <f>'Supply 2024'!CB68/'Supply 2024'!CB$76</f>
        <v>0</v>
      </c>
      <c r="CC67" s="12">
        <f>'Supply 2024'!CC68/'Supply 2024'!CC$76</f>
        <v>0</v>
      </c>
      <c r="CD67" s="12">
        <f>'Supply 2024'!CD68/'Supply 2024'!CD$76</f>
        <v>2.7776930306713448E-2</v>
      </c>
      <c r="CE67" s="12">
        <f>'Supply 2024'!CE68/'Supply 2024'!CE$76</f>
        <v>0</v>
      </c>
      <c r="CF67" s="12">
        <f>'Supply 2024'!CF68/'Supply 2024'!CF$76</f>
        <v>2.7935537638346435E-2</v>
      </c>
      <c r="CG67" s="12">
        <f>'Supply 2024'!CG68/'Supply 2024'!CG$76</f>
        <v>2.3974471578312596E-2</v>
      </c>
    </row>
    <row r="68" spans="1:85" x14ac:dyDescent="0.25">
      <c r="A68" t="s">
        <v>67</v>
      </c>
      <c r="B68" t="s">
        <v>160</v>
      </c>
      <c r="C68" s="12">
        <f>'Supply 2024'!C69/'Supply 2024'!C$76</f>
        <v>0</v>
      </c>
      <c r="D68" s="12">
        <f>'Supply 2024'!D69/'Supply 2024'!D$76</f>
        <v>0</v>
      </c>
      <c r="E68" s="12">
        <f>'Supply 2024'!E69/'Supply 2024'!E$76</f>
        <v>0</v>
      </c>
      <c r="F68" s="12">
        <f>'Supply 2024'!F69/'Supply 2024'!F$76</f>
        <v>0</v>
      </c>
      <c r="G68" s="12">
        <f>'Supply 2024'!G69/'Supply 2024'!G$76</f>
        <v>0</v>
      </c>
      <c r="H68" s="12">
        <f>'Supply 2024'!H69/'Supply 2024'!H$76</f>
        <v>0</v>
      </c>
      <c r="I68" s="12">
        <f>'Supply 2024'!I69/'Supply 2024'!I$76</f>
        <v>0</v>
      </c>
      <c r="J68" s="12">
        <f>'Supply 2024'!J69/'Supply 2024'!J$76</f>
        <v>0</v>
      </c>
      <c r="K68" s="12">
        <f>'Supply 2024'!K69/'Supply 2024'!K$76</f>
        <v>0</v>
      </c>
      <c r="L68" s="12">
        <f>'Supply 2024'!L69/'Supply 2024'!L$76</f>
        <v>0</v>
      </c>
      <c r="M68" s="12">
        <f>'Supply 2024'!M69/'Supply 2024'!M$76</f>
        <v>0</v>
      </c>
      <c r="N68" s="12">
        <f>'Supply 2024'!N69/'Supply 2024'!N$76</f>
        <v>0</v>
      </c>
      <c r="O68" s="12">
        <f>'Supply 2024'!O69/'Supply 2024'!O$76</f>
        <v>0</v>
      </c>
      <c r="P68" s="12">
        <f>'Supply 2024'!P69/'Supply 2024'!P$76</f>
        <v>0</v>
      </c>
      <c r="Q68" s="12">
        <f>'Supply 2024'!Q69/'Supply 2024'!Q$76</f>
        <v>0</v>
      </c>
      <c r="R68" s="12">
        <f>'Supply 2024'!R69/'Supply 2024'!R$76</f>
        <v>0</v>
      </c>
      <c r="S68" s="12">
        <f>'Supply 2024'!S69/'Supply 2024'!S$76</f>
        <v>0</v>
      </c>
      <c r="T68" s="12">
        <f>'Supply 2024'!T69/'Supply 2024'!T$76</f>
        <v>0</v>
      </c>
      <c r="U68" s="12">
        <f>'Supply 2024'!U69/'Supply 2024'!U$76</f>
        <v>0</v>
      </c>
      <c r="V68" s="12">
        <f>'Supply 2024'!V69/'Supply 2024'!V$76</f>
        <v>0</v>
      </c>
      <c r="W68" s="12">
        <f>'Supply 2024'!W69/'Supply 2024'!W$76</f>
        <v>0</v>
      </c>
      <c r="X68" s="12">
        <f>'Supply 2024'!X69/'Supply 2024'!X$76</f>
        <v>0</v>
      </c>
      <c r="Y68" s="12">
        <f>'Supply 2024'!Y69/'Supply 2024'!Y$76</f>
        <v>0</v>
      </c>
      <c r="Z68" s="12">
        <f>'Supply 2024'!Z69/'Supply 2024'!Z$76</f>
        <v>0</v>
      </c>
      <c r="AA68" s="12">
        <f>'Supply 2024'!AA69/'Supply 2024'!AA$76</f>
        <v>0</v>
      </c>
      <c r="AB68" s="12">
        <f>'Supply 2024'!AB69/'Supply 2024'!AB$76</f>
        <v>0</v>
      </c>
      <c r="AC68" s="12">
        <f>'Supply 2024'!AC69/'Supply 2024'!AC$76</f>
        <v>0</v>
      </c>
      <c r="AD68" s="12">
        <f>'Supply 2024'!AD69/'Supply 2024'!AD$76</f>
        <v>0</v>
      </c>
      <c r="AE68" s="12">
        <f>'Supply 2024'!AE69/'Supply 2024'!AE$76</f>
        <v>0</v>
      </c>
      <c r="AF68" s="12">
        <f>'Supply 2024'!AF69/'Supply 2024'!AF$76</f>
        <v>0</v>
      </c>
      <c r="AG68" s="12">
        <f>'Supply 2024'!AG69/'Supply 2024'!AG$76</f>
        <v>0</v>
      </c>
      <c r="AH68" s="12">
        <f>'Supply 2024'!AH69/'Supply 2024'!AH$76</f>
        <v>0</v>
      </c>
      <c r="AI68" s="12">
        <f>'Supply 2024'!AI69/'Supply 2024'!AI$76</f>
        <v>0</v>
      </c>
      <c r="AJ68" s="12">
        <f>'Supply 2024'!AJ69/'Supply 2024'!AJ$76</f>
        <v>0</v>
      </c>
      <c r="AK68" s="12">
        <f>'Supply 2024'!AK69/'Supply 2024'!AK$76</f>
        <v>0</v>
      </c>
      <c r="AL68" s="12">
        <f>'Supply 2024'!AL69/'Supply 2024'!AL$76</f>
        <v>0</v>
      </c>
      <c r="AM68" s="12">
        <f>'Supply 2024'!AM69/'Supply 2024'!AM$76</f>
        <v>0</v>
      </c>
      <c r="AN68" s="12">
        <f>'Supply 2024'!AN69/'Supply 2024'!AN$76</f>
        <v>0</v>
      </c>
      <c r="AO68" s="12">
        <f>'Supply 2024'!AO69/'Supply 2024'!AO$76</f>
        <v>0</v>
      </c>
      <c r="AP68" s="12">
        <f>'Supply 2024'!AP69/'Supply 2024'!AP$76</f>
        <v>0</v>
      </c>
      <c r="AQ68" s="12">
        <f>'Supply 2024'!AQ69/'Supply 2024'!AQ$76</f>
        <v>0</v>
      </c>
      <c r="AR68" s="12">
        <f>'Supply 2024'!AR69/'Supply 2024'!AR$76</f>
        <v>0</v>
      </c>
      <c r="AS68" s="12">
        <f>'Supply 2024'!AS69/'Supply 2024'!AS$76</f>
        <v>0</v>
      </c>
      <c r="AT68" s="12">
        <f>'Supply 2024'!AT69/'Supply 2024'!AT$76</f>
        <v>0</v>
      </c>
      <c r="AU68" s="12">
        <f>'Supply 2024'!AU69/'Supply 2024'!AU$76</f>
        <v>0</v>
      </c>
      <c r="AV68" s="12">
        <f>'Supply 2024'!AV69/'Supply 2024'!AV$76</f>
        <v>0</v>
      </c>
      <c r="AW68" s="12">
        <f>'Supply 2024'!AW69/'Supply 2024'!AW$76</f>
        <v>0</v>
      </c>
      <c r="AX68" s="12">
        <f>'Supply 2024'!AX69/'Supply 2024'!AX$76</f>
        <v>0</v>
      </c>
      <c r="AY68" s="12">
        <f>'Supply 2024'!AY69/'Supply 2024'!AY$76</f>
        <v>0</v>
      </c>
      <c r="AZ68" s="12">
        <f>'Supply 2024'!AZ69/'Supply 2024'!AZ$76</f>
        <v>0</v>
      </c>
      <c r="BA68" s="12">
        <f>'Supply 2024'!BA69/'Supply 2024'!BA$76</f>
        <v>0</v>
      </c>
      <c r="BB68" s="12">
        <f>'Supply 2024'!BB69/'Supply 2024'!BB$76</f>
        <v>0</v>
      </c>
      <c r="BC68" s="12">
        <f>'Supply 2024'!BC69/'Supply 2024'!BC$76</f>
        <v>0</v>
      </c>
      <c r="BD68" s="12">
        <f>'Supply 2024'!BD69/'Supply 2024'!BD$76</f>
        <v>0</v>
      </c>
      <c r="BE68" s="12">
        <f>'Supply 2024'!BE69/'Supply 2024'!BE$76</f>
        <v>0</v>
      </c>
      <c r="BF68" s="12">
        <f>'Supply 2024'!BF69/'Supply 2024'!BF$76</f>
        <v>0</v>
      </c>
      <c r="BG68" s="12">
        <f>'Supply 2024'!BG69/'Supply 2024'!BG$76</f>
        <v>0</v>
      </c>
      <c r="BH68" s="12">
        <f>'Supply 2024'!BH69/'Supply 2024'!BH$76</f>
        <v>0</v>
      </c>
      <c r="BI68" s="12">
        <f>'Supply 2024'!BI69/'Supply 2024'!BI$76</f>
        <v>0</v>
      </c>
      <c r="BJ68" s="12">
        <f>'Supply 2024'!BJ69/'Supply 2024'!BJ$76</f>
        <v>0</v>
      </c>
      <c r="BK68" s="12">
        <f>'Supply 2024'!BK69/'Supply 2024'!BK$76</f>
        <v>0</v>
      </c>
      <c r="BL68" s="12">
        <f>'Supply 2024'!BL69/'Supply 2024'!BL$76</f>
        <v>0</v>
      </c>
      <c r="BM68" s="12">
        <f>'Supply 2024'!BM69/'Supply 2024'!BM$76</f>
        <v>0</v>
      </c>
      <c r="BN68" s="12">
        <f>'Supply 2024'!BN69/'Supply 2024'!BN$76</f>
        <v>0</v>
      </c>
      <c r="BO68" s="12">
        <f>'Supply 2024'!BO69/'Supply 2024'!BO$76</f>
        <v>0</v>
      </c>
      <c r="BP68" s="12">
        <f>'Supply 2024'!BP69/'Supply 2024'!BP$76</f>
        <v>0</v>
      </c>
      <c r="BQ68" s="12">
        <f>'Supply 2024'!BQ69/'Supply 2024'!BQ$76</f>
        <v>0.95839621647198125</v>
      </c>
      <c r="BR68" s="12">
        <f>'Supply 2024'!BR69/'Supply 2024'!BR$76</f>
        <v>0</v>
      </c>
      <c r="BS68" s="12">
        <f>'Supply 2024'!BS69/'Supply 2024'!BS$76</f>
        <v>0</v>
      </c>
      <c r="BT68" s="12">
        <f>'Supply 2024'!BT69/'Supply 2024'!BT$76</f>
        <v>0</v>
      </c>
      <c r="BU68" s="12">
        <f>'Supply 2024'!BU69/'Supply 2024'!BU$76</f>
        <v>0</v>
      </c>
      <c r="BV68" s="12">
        <f>'Supply 2024'!BV69/'Supply 2024'!BV$76</f>
        <v>1.7189338504045047E-2</v>
      </c>
      <c r="BW68" s="12">
        <f>'Supply 2024'!BW69/'Supply 2024'!BW$76</f>
        <v>0</v>
      </c>
      <c r="BX68" s="12">
        <f>'Supply 2024'!BX69/'Supply 2024'!BX$76</f>
        <v>0</v>
      </c>
      <c r="BY68" s="12">
        <f>'Supply 2024'!BY69/'Supply 2024'!BY$76</f>
        <v>1.6004432164249963E-2</v>
      </c>
      <c r="BZ68" s="12">
        <f>'Supply 2024'!BZ69/'Supply 2024'!BZ$76</f>
        <v>0</v>
      </c>
      <c r="CA68" s="12" t="e">
        <f>'Supply 2024'!CA69/'Supply 2024'!CA$76</f>
        <v>#DIV/0!</v>
      </c>
      <c r="CB68" s="12">
        <f>'Supply 2024'!CB69/'Supply 2024'!CB$76</f>
        <v>0</v>
      </c>
      <c r="CC68" s="12">
        <f>'Supply 2024'!CC69/'Supply 2024'!CC$76</f>
        <v>0</v>
      </c>
      <c r="CD68" s="12">
        <f>'Supply 2024'!CD69/'Supply 2024'!CD$76</f>
        <v>0</v>
      </c>
      <c r="CE68" s="12">
        <f>'Supply 2024'!CE69/'Supply 2024'!CE$76</f>
        <v>0</v>
      </c>
      <c r="CF68" s="12">
        <f>'Supply 2024'!CF69/'Supply 2024'!CF$76</f>
        <v>0</v>
      </c>
      <c r="CG68" s="12">
        <f>'Supply 2024'!CG69/'Supply 2024'!CG$76</f>
        <v>1.5707294551966285E-2</v>
      </c>
    </row>
    <row r="69" spans="1:85" x14ac:dyDescent="0.25">
      <c r="A69" t="s">
        <v>68</v>
      </c>
      <c r="B69" t="s">
        <v>161</v>
      </c>
      <c r="C69" s="12">
        <f>'Supply 2024'!C70/'Supply 2024'!C$76</f>
        <v>0</v>
      </c>
      <c r="D69" s="12">
        <f>'Supply 2024'!D70/'Supply 2024'!D$76</f>
        <v>0</v>
      </c>
      <c r="E69" s="12">
        <f>'Supply 2024'!E70/'Supply 2024'!E$76</f>
        <v>0</v>
      </c>
      <c r="F69" s="12">
        <f>'Supply 2024'!F70/'Supply 2024'!F$76</f>
        <v>0</v>
      </c>
      <c r="G69" s="12">
        <f>'Supply 2024'!G70/'Supply 2024'!G$76</f>
        <v>0</v>
      </c>
      <c r="H69" s="12">
        <f>'Supply 2024'!H70/'Supply 2024'!H$76</f>
        <v>0</v>
      </c>
      <c r="I69" s="12">
        <f>'Supply 2024'!I70/'Supply 2024'!I$76</f>
        <v>0</v>
      </c>
      <c r="J69" s="12">
        <f>'Supply 2024'!J70/'Supply 2024'!J$76</f>
        <v>0</v>
      </c>
      <c r="K69" s="12">
        <f>'Supply 2024'!K70/'Supply 2024'!K$76</f>
        <v>0</v>
      </c>
      <c r="L69" s="12">
        <f>'Supply 2024'!L70/'Supply 2024'!L$76</f>
        <v>0</v>
      </c>
      <c r="M69" s="12">
        <f>'Supply 2024'!M70/'Supply 2024'!M$76</f>
        <v>0</v>
      </c>
      <c r="N69" s="12">
        <f>'Supply 2024'!N70/'Supply 2024'!N$76</f>
        <v>0</v>
      </c>
      <c r="O69" s="12">
        <f>'Supply 2024'!O70/'Supply 2024'!O$76</f>
        <v>0</v>
      </c>
      <c r="P69" s="12">
        <f>'Supply 2024'!P70/'Supply 2024'!P$76</f>
        <v>0</v>
      </c>
      <c r="Q69" s="12">
        <f>'Supply 2024'!Q70/'Supply 2024'!Q$76</f>
        <v>0</v>
      </c>
      <c r="R69" s="12">
        <f>'Supply 2024'!R70/'Supply 2024'!R$76</f>
        <v>0</v>
      </c>
      <c r="S69" s="12">
        <f>'Supply 2024'!S70/'Supply 2024'!S$76</f>
        <v>0</v>
      </c>
      <c r="T69" s="12">
        <f>'Supply 2024'!T70/'Supply 2024'!T$76</f>
        <v>0</v>
      </c>
      <c r="U69" s="12">
        <f>'Supply 2024'!U70/'Supply 2024'!U$76</f>
        <v>0</v>
      </c>
      <c r="V69" s="12">
        <f>'Supply 2024'!V70/'Supply 2024'!V$76</f>
        <v>0</v>
      </c>
      <c r="W69" s="12">
        <f>'Supply 2024'!W70/'Supply 2024'!W$76</f>
        <v>0</v>
      </c>
      <c r="X69" s="12">
        <f>'Supply 2024'!X70/'Supply 2024'!X$76</f>
        <v>0</v>
      </c>
      <c r="Y69" s="12">
        <f>'Supply 2024'!Y70/'Supply 2024'!Y$76</f>
        <v>0</v>
      </c>
      <c r="Z69" s="12">
        <f>'Supply 2024'!Z70/'Supply 2024'!Z$76</f>
        <v>0</v>
      </c>
      <c r="AA69" s="12">
        <f>'Supply 2024'!AA70/'Supply 2024'!AA$76</f>
        <v>0</v>
      </c>
      <c r="AB69" s="12">
        <f>'Supply 2024'!AB70/'Supply 2024'!AB$76</f>
        <v>0</v>
      </c>
      <c r="AC69" s="12">
        <f>'Supply 2024'!AC70/'Supply 2024'!AC$76</f>
        <v>0</v>
      </c>
      <c r="AD69" s="12">
        <f>'Supply 2024'!AD70/'Supply 2024'!AD$76</f>
        <v>0</v>
      </c>
      <c r="AE69" s="12">
        <f>'Supply 2024'!AE70/'Supply 2024'!AE$76</f>
        <v>0</v>
      </c>
      <c r="AF69" s="12">
        <f>'Supply 2024'!AF70/'Supply 2024'!AF$76</f>
        <v>0</v>
      </c>
      <c r="AG69" s="12">
        <f>'Supply 2024'!AG70/'Supply 2024'!AG$76</f>
        <v>0</v>
      </c>
      <c r="AH69" s="12">
        <f>'Supply 2024'!AH70/'Supply 2024'!AH$76</f>
        <v>0</v>
      </c>
      <c r="AI69" s="12">
        <f>'Supply 2024'!AI70/'Supply 2024'!AI$76</f>
        <v>0</v>
      </c>
      <c r="AJ69" s="12">
        <f>'Supply 2024'!AJ70/'Supply 2024'!AJ$76</f>
        <v>0</v>
      </c>
      <c r="AK69" s="12">
        <f>'Supply 2024'!AK70/'Supply 2024'!AK$76</f>
        <v>0</v>
      </c>
      <c r="AL69" s="12">
        <f>'Supply 2024'!AL70/'Supply 2024'!AL$76</f>
        <v>0</v>
      </c>
      <c r="AM69" s="12">
        <f>'Supply 2024'!AM70/'Supply 2024'!AM$76</f>
        <v>0</v>
      </c>
      <c r="AN69" s="12">
        <f>'Supply 2024'!AN70/'Supply 2024'!AN$76</f>
        <v>0</v>
      </c>
      <c r="AO69" s="12">
        <f>'Supply 2024'!AO70/'Supply 2024'!AO$76</f>
        <v>0</v>
      </c>
      <c r="AP69" s="12">
        <f>'Supply 2024'!AP70/'Supply 2024'!AP$76</f>
        <v>0</v>
      </c>
      <c r="AQ69" s="12">
        <f>'Supply 2024'!AQ70/'Supply 2024'!AQ$76</f>
        <v>0</v>
      </c>
      <c r="AR69" s="12">
        <f>'Supply 2024'!AR70/'Supply 2024'!AR$76</f>
        <v>0</v>
      </c>
      <c r="AS69" s="12">
        <f>'Supply 2024'!AS70/'Supply 2024'!AS$76</f>
        <v>0</v>
      </c>
      <c r="AT69" s="12">
        <f>'Supply 2024'!AT70/'Supply 2024'!AT$76</f>
        <v>0</v>
      </c>
      <c r="AU69" s="12">
        <f>'Supply 2024'!AU70/'Supply 2024'!AU$76</f>
        <v>0</v>
      </c>
      <c r="AV69" s="12">
        <f>'Supply 2024'!AV70/'Supply 2024'!AV$76</f>
        <v>0</v>
      </c>
      <c r="AW69" s="12">
        <f>'Supply 2024'!AW70/'Supply 2024'!AW$76</f>
        <v>0</v>
      </c>
      <c r="AX69" s="12">
        <f>'Supply 2024'!AX70/'Supply 2024'!AX$76</f>
        <v>0</v>
      </c>
      <c r="AY69" s="12">
        <f>'Supply 2024'!AY70/'Supply 2024'!AY$76</f>
        <v>0</v>
      </c>
      <c r="AZ69" s="12">
        <f>'Supply 2024'!AZ70/'Supply 2024'!AZ$76</f>
        <v>0</v>
      </c>
      <c r="BA69" s="12">
        <f>'Supply 2024'!BA70/'Supply 2024'!BA$76</f>
        <v>0</v>
      </c>
      <c r="BB69" s="12">
        <f>'Supply 2024'!BB70/'Supply 2024'!BB$76</f>
        <v>0</v>
      </c>
      <c r="BC69" s="12">
        <f>'Supply 2024'!BC70/'Supply 2024'!BC$76</f>
        <v>0</v>
      </c>
      <c r="BD69" s="12">
        <f>'Supply 2024'!BD70/'Supply 2024'!BD$76</f>
        <v>0</v>
      </c>
      <c r="BE69" s="12">
        <f>'Supply 2024'!BE70/'Supply 2024'!BE$76</f>
        <v>0</v>
      </c>
      <c r="BF69" s="12">
        <f>'Supply 2024'!BF70/'Supply 2024'!BF$76</f>
        <v>0</v>
      </c>
      <c r="BG69" s="12">
        <f>'Supply 2024'!BG70/'Supply 2024'!BG$76</f>
        <v>0</v>
      </c>
      <c r="BH69" s="12">
        <f>'Supply 2024'!BH70/'Supply 2024'!BH$76</f>
        <v>0</v>
      </c>
      <c r="BI69" s="12">
        <f>'Supply 2024'!BI70/'Supply 2024'!BI$76</f>
        <v>0</v>
      </c>
      <c r="BJ69" s="12">
        <f>'Supply 2024'!BJ70/'Supply 2024'!BJ$76</f>
        <v>0</v>
      </c>
      <c r="BK69" s="12">
        <f>'Supply 2024'!BK70/'Supply 2024'!BK$76</f>
        <v>0</v>
      </c>
      <c r="BL69" s="12">
        <f>'Supply 2024'!BL70/'Supply 2024'!BL$76</f>
        <v>0</v>
      </c>
      <c r="BM69" s="12">
        <f>'Supply 2024'!BM70/'Supply 2024'!BM$76</f>
        <v>0</v>
      </c>
      <c r="BN69" s="12">
        <f>'Supply 2024'!BN70/'Supply 2024'!BN$76</f>
        <v>0</v>
      </c>
      <c r="BO69" s="12">
        <f>'Supply 2024'!BO70/'Supply 2024'!BO$76</f>
        <v>0</v>
      </c>
      <c r="BP69" s="12">
        <f>'Supply 2024'!BP70/'Supply 2024'!BP$76</f>
        <v>0</v>
      </c>
      <c r="BQ69" s="12">
        <f>'Supply 2024'!BQ70/'Supply 2024'!BQ$76</f>
        <v>0</v>
      </c>
      <c r="BR69" s="12">
        <f>'Supply 2024'!BR70/'Supply 2024'!BR$76</f>
        <v>0.93187665976290013</v>
      </c>
      <c r="BS69" s="12">
        <f>'Supply 2024'!BS70/'Supply 2024'!BS$76</f>
        <v>0</v>
      </c>
      <c r="BT69" s="12">
        <f>'Supply 2024'!BT70/'Supply 2024'!BT$76</f>
        <v>0</v>
      </c>
      <c r="BU69" s="12">
        <f>'Supply 2024'!BU70/'Supply 2024'!BU$76</f>
        <v>0</v>
      </c>
      <c r="BV69" s="12">
        <f>'Supply 2024'!BV70/'Supply 2024'!BV$76</f>
        <v>1.1798943937636133E-2</v>
      </c>
      <c r="BW69" s="12">
        <f>'Supply 2024'!BW70/'Supply 2024'!BW$76</f>
        <v>0</v>
      </c>
      <c r="BX69" s="12">
        <f>'Supply 2024'!BX70/'Supply 2024'!BX$76</f>
        <v>0</v>
      </c>
      <c r="BY69" s="12">
        <f>'Supply 2024'!BY70/'Supply 2024'!BY$76</f>
        <v>1.0985611681057333E-2</v>
      </c>
      <c r="BZ69" s="12">
        <f>'Supply 2024'!BZ70/'Supply 2024'!BZ$76</f>
        <v>0</v>
      </c>
      <c r="CA69" s="12" t="e">
        <f>'Supply 2024'!CA70/'Supply 2024'!CA$76</f>
        <v>#DIV/0!</v>
      </c>
      <c r="CB69" s="12">
        <f>'Supply 2024'!CB70/'Supply 2024'!CB$76</f>
        <v>0</v>
      </c>
      <c r="CC69" s="12">
        <f>'Supply 2024'!CC70/'Supply 2024'!CC$76</f>
        <v>0</v>
      </c>
      <c r="CD69" s="12">
        <f>'Supply 2024'!CD70/'Supply 2024'!CD$76</f>
        <v>0</v>
      </c>
      <c r="CE69" s="12">
        <f>'Supply 2024'!CE70/'Supply 2024'!CE$76</f>
        <v>0</v>
      </c>
      <c r="CF69" s="12">
        <f>'Supply 2024'!CF70/'Supply 2024'!CF$76</f>
        <v>0</v>
      </c>
      <c r="CG69" s="12">
        <f>'Supply 2024'!CG70/'Supply 2024'!CG$76</f>
        <v>1.0781653278104642E-2</v>
      </c>
    </row>
    <row r="70" spans="1:85" x14ac:dyDescent="0.25">
      <c r="A70" t="s">
        <v>69</v>
      </c>
      <c r="B70" t="s">
        <v>162</v>
      </c>
      <c r="C70" s="12">
        <f>'Supply 2024'!C71/'Supply 2024'!C$76</f>
        <v>0</v>
      </c>
      <c r="D70" s="12">
        <f>'Supply 2024'!D71/'Supply 2024'!D$76</f>
        <v>0</v>
      </c>
      <c r="E70" s="12">
        <f>'Supply 2024'!E71/'Supply 2024'!E$76</f>
        <v>0</v>
      </c>
      <c r="F70" s="12">
        <f>'Supply 2024'!F71/'Supply 2024'!F$76</f>
        <v>0</v>
      </c>
      <c r="G70" s="12">
        <f>'Supply 2024'!G71/'Supply 2024'!G$76</f>
        <v>0</v>
      </c>
      <c r="H70" s="12">
        <f>'Supply 2024'!H71/'Supply 2024'!H$76</f>
        <v>0</v>
      </c>
      <c r="I70" s="12">
        <f>'Supply 2024'!I71/'Supply 2024'!I$76</f>
        <v>0</v>
      </c>
      <c r="J70" s="12">
        <f>'Supply 2024'!J71/'Supply 2024'!J$76</f>
        <v>0</v>
      </c>
      <c r="K70" s="12">
        <f>'Supply 2024'!K71/'Supply 2024'!K$76</f>
        <v>0</v>
      </c>
      <c r="L70" s="12">
        <f>'Supply 2024'!L71/'Supply 2024'!L$76</f>
        <v>0</v>
      </c>
      <c r="M70" s="12">
        <f>'Supply 2024'!M71/'Supply 2024'!M$76</f>
        <v>0</v>
      </c>
      <c r="N70" s="12">
        <f>'Supply 2024'!N71/'Supply 2024'!N$76</f>
        <v>0</v>
      </c>
      <c r="O70" s="12">
        <f>'Supply 2024'!O71/'Supply 2024'!O$76</f>
        <v>0</v>
      </c>
      <c r="P70" s="12">
        <f>'Supply 2024'!P71/'Supply 2024'!P$76</f>
        <v>0</v>
      </c>
      <c r="Q70" s="12">
        <f>'Supply 2024'!Q71/'Supply 2024'!Q$76</f>
        <v>0</v>
      </c>
      <c r="R70" s="12">
        <f>'Supply 2024'!R71/'Supply 2024'!R$76</f>
        <v>0</v>
      </c>
      <c r="S70" s="12">
        <f>'Supply 2024'!S71/'Supply 2024'!S$76</f>
        <v>0</v>
      </c>
      <c r="T70" s="12">
        <f>'Supply 2024'!T71/'Supply 2024'!T$76</f>
        <v>0</v>
      </c>
      <c r="U70" s="12">
        <f>'Supply 2024'!U71/'Supply 2024'!U$76</f>
        <v>0</v>
      </c>
      <c r="V70" s="12">
        <f>'Supply 2024'!V71/'Supply 2024'!V$76</f>
        <v>0</v>
      </c>
      <c r="W70" s="12">
        <f>'Supply 2024'!W71/'Supply 2024'!W$76</f>
        <v>0</v>
      </c>
      <c r="X70" s="12">
        <f>'Supply 2024'!X71/'Supply 2024'!X$76</f>
        <v>0</v>
      </c>
      <c r="Y70" s="12">
        <f>'Supply 2024'!Y71/'Supply 2024'!Y$76</f>
        <v>0</v>
      </c>
      <c r="Z70" s="12">
        <f>'Supply 2024'!Z71/'Supply 2024'!Z$76</f>
        <v>0</v>
      </c>
      <c r="AA70" s="12">
        <f>'Supply 2024'!AA71/'Supply 2024'!AA$76</f>
        <v>0</v>
      </c>
      <c r="AB70" s="12">
        <f>'Supply 2024'!AB71/'Supply 2024'!AB$76</f>
        <v>0</v>
      </c>
      <c r="AC70" s="12">
        <f>'Supply 2024'!AC71/'Supply 2024'!AC$76</f>
        <v>0</v>
      </c>
      <c r="AD70" s="12">
        <f>'Supply 2024'!AD71/'Supply 2024'!AD$76</f>
        <v>0</v>
      </c>
      <c r="AE70" s="12">
        <f>'Supply 2024'!AE71/'Supply 2024'!AE$76</f>
        <v>0</v>
      </c>
      <c r="AF70" s="12">
        <f>'Supply 2024'!AF71/'Supply 2024'!AF$76</f>
        <v>0</v>
      </c>
      <c r="AG70" s="12">
        <f>'Supply 2024'!AG71/'Supply 2024'!AG$76</f>
        <v>0</v>
      </c>
      <c r="AH70" s="12">
        <f>'Supply 2024'!AH71/'Supply 2024'!AH$76</f>
        <v>0</v>
      </c>
      <c r="AI70" s="12">
        <f>'Supply 2024'!AI71/'Supply 2024'!AI$76</f>
        <v>0</v>
      </c>
      <c r="AJ70" s="12">
        <f>'Supply 2024'!AJ71/'Supply 2024'!AJ$76</f>
        <v>0</v>
      </c>
      <c r="AK70" s="12">
        <f>'Supply 2024'!AK71/'Supply 2024'!AK$76</f>
        <v>0</v>
      </c>
      <c r="AL70" s="12">
        <f>'Supply 2024'!AL71/'Supply 2024'!AL$76</f>
        <v>0</v>
      </c>
      <c r="AM70" s="12">
        <f>'Supply 2024'!AM71/'Supply 2024'!AM$76</f>
        <v>0</v>
      </c>
      <c r="AN70" s="12">
        <f>'Supply 2024'!AN71/'Supply 2024'!AN$76</f>
        <v>0</v>
      </c>
      <c r="AO70" s="12">
        <f>'Supply 2024'!AO71/'Supply 2024'!AO$76</f>
        <v>0</v>
      </c>
      <c r="AP70" s="12">
        <f>'Supply 2024'!AP71/'Supply 2024'!AP$76</f>
        <v>0</v>
      </c>
      <c r="AQ70" s="12">
        <f>'Supply 2024'!AQ71/'Supply 2024'!AQ$76</f>
        <v>0</v>
      </c>
      <c r="AR70" s="12">
        <f>'Supply 2024'!AR71/'Supply 2024'!AR$76</f>
        <v>0</v>
      </c>
      <c r="AS70" s="12">
        <f>'Supply 2024'!AS71/'Supply 2024'!AS$76</f>
        <v>0</v>
      </c>
      <c r="AT70" s="12">
        <f>'Supply 2024'!AT71/'Supply 2024'!AT$76</f>
        <v>0</v>
      </c>
      <c r="AU70" s="12">
        <f>'Supply 2024'!AU71/'Supply 2024'!AU$76</f>
        <v>0</v>
      </c>
      <c r="AV70" s="12">
        <f>'Supply 2024'!AV71/'Supply 2024'!AV$76</f>
        <v>0</v>
      </c>
      <c r="AW70" s="12">
        <f>'Supply 2024'!AW71/'Supply 2024'!AW$76</f>
        <v>0</v>
      </c>
      <c r="AX70" s="12">
        <f>'Supply 2024'!AX71/'Supply 2024'!AX$76</f>
        <v>0</v>
      </c>
      <c r="AY70" s="12">
        <f>'Supply 2024'!AY71/'Supply 2024'!AY$76</f>
        <v>0</v>
      </c>
      <c r="AZ70" s="12">
        <f>'Supply 2024'!AZ71/'Supply 2024'!AZ$76</f>
        <v>0</v>
      </c>
      <c r="BA70" s="12">
        <f>'Supply 2024'!BA71/'Supply 2024'!BA$76</f>
        <v>0</v>
      </c>
      <c r="BB70" s="12">
        <f>'Supply 2024'!BB71/'Supply 2024'!BB$76</f>
        <v>0</v>
      </c>
      <c r="BC70" s="12">
        <f>'Supply 2024'!BC71/'Supply 2024'!BC$76</f>
        <v>0</v>
      </c>
      <c r="BD70" s="12">
        <f>'Supply 2024'!BD71/'Supply 2024'!BD$76</f>
        <v>0</v>
      </c>
      <c r="BE70" s="12">
        <f>'Supply 2024'!BE71/'Supply 2024'!BE$76</f>
        <v>0</v>
      </c>
      <c r="BF70" s="12">
        <f>'Supply 2024'!BF71/'Supply 2024'!BF$76</f>
        <v>0</v>
      </c>
      <c r="BG70" s="12">
        <f>'Supply 2024'!BG71/'Supply 2024'!BG$76</f>
        <v>0</v>
      </c>
      <c r="BH70" s="12">
        <f>'Supply 2024'!BH71/'Supply 2024'!BH$76</f>
        <v>0</v>
      </c>
      <c r="BI70" s="12">
        <f>'Supply 2024'!BI71/'Supply 2024'!BI$76</f>
        <v>0</v>
      </c>
      <c r="BJ70" s="12">
        <f>'Supply 2024'!BJ71/'Supply 2024'!BJ$76</f>
        <v>0</v>
      </c>
      <c r="BK70" s="12">
        <f>'Supply 2024'!BK71/'Supply 2024'!BK$76</f>
        <v>0</v>
      </c>
      <c r="BL70" s="12">
        <f>'Supply 2024'!BL71/'Supply 2024'!BL$76</f>
        <v>0</v>
      </c>
      <c r="BM70" s="12">
        <f>'Supply 2024'!BM71/'Supply 2024'!BM$76</f>
        <v>0</v>
      </c>
      <c r="BN70" s="12">
        <f>'Supply 2024'!BN71/'Supply 2024'!BN$76</f>
        <v>0</v>
      </c>
      <c r="BO70" s="12">
        <f>'Supply 2024'!BO71/'Supply 2024'!BO$76</f>
        <v>0</v>
      </c>
      <c r="BP70" s="12">
        <f>'Supply 2024'!BP71/'Supply 2024'!BP$76</f>
        <v>0</v>
      </c>
      <c r="BQ70" s="12">
        <f>'Supply 2024'!BQ71/'Supply 2024'!BQ$76</f>
        <v>0</v>
      </c>
      <c r="BR70" s="12">
        <f>'Supply 2024'!BR71/'Supply 2024'!BR$76</f>
        <v>-1.2706318852365281E-4</v>
      </c>
      <c r="BS70" s="12">
        <f>'Supply 2024'!BS71/'Supply 2024'!BS$76</f>
        <v>0.69773496928339263</v>
      </c>
      <c r="BT70" s="12">
        <f>'Supply 2024'!BT71/'Supply 2024'!BT$76</f>
        <v>0</v>
      </c>
      <c r="BU70" s="12">
        <f>'Supply 2024'!BU71/'Supply 2024'!BU$76</f>
        <v>0</v>
      </c>
      <c r="BV70" s="12">
        <f>'Supply 2024'!BV71/'Supply 2024'!BV$76</f>
        <v>1.6474605052504484E-3</v>
      </c>
      <c r="BW70" s="12">
        <f>'Supply 2024'!BW71/'Supply 2024'!BW$76</f>
        <v>5.3066488808627692E-5</v>
      </c>
      <c r="BX70" s="12">
        <f>'Supply 2024'!BX71/'Supply 2024'!BX$76</f>
        <v>0</v>
      </c>
      <c r="BY70" s="12">
        <f>'Supply 2024'!BY71/'Supply 2024'!BY$76</f>
        <v>1.5375853190494687E-3</v>
      </c>
      <c r="BZ70" s="12">
        <f>'Supply 2024'!BZ71/'Supply 2024'!BZ$76</f>
        <v>0</v>
      </c>
      <c r="CA70" s="12" t="e">
        <f>'Supply 2024'!CA71/'Supply 2024'!CA$76</f>
        <v>#DIV/0!</v>
      </c>
      <c r="CB70" s="12">
        <f>'Supply 2024'!CB71/'Supply 2024'!CB$76</f>
        <v>0</v>
      </c>
      <c r="CC70" s="12">
        <f>'Supply 2024'!CC71/'Supply 2024'!CC$76</f>
        <v>0</v>
      </c>
      <c r="CD70" s="12">
        <f>'Supply 2024'!CD71/'Supply 2024'!CD$76</f>
        <v>0</v>
      </c>
      <c r="CE70" s="12">
        <f>'Supply 2024'!CE71/'Supply 2024'!CE$76</f>
        <v>0</v>
      </c>
      <c r="CF70" s="12">
        <f>'Supply 2024'!CF71/'Supply 2024'!CF$76</f>
        <v>0</v>
      </c>
      <c r="CG70" s="12">
        <f>'Supply 2024'!CG71/'Supply 2024'!CG$76</f>
        <v>1.5090385748916003E-3</v>
      </c>
    </row>
    <row r="71" spans="1:85" x14ac:dyDescent="0.25">
      <c r="A71" t="s">
        <v>70</v>
      </c>
      <c r="B71" t="s">
        <v>163</v>
      </c>
      <c r="C71" s="12">
        <f>'Supply 2024'!C72/'Supply 2024'!C$76</f>
        <v>0</v>
      </c>
      <c r="D71" s="12">
        <f>'Supply 2024'!D72/'Supply 2024'!D$76</f>
        <v>0</v>
      </c>
      <c r="E71" s="12">
        <f>'Supply 2024'!E72/'Supply 2024'!E$76</f>
        <v>0</v>
      </c>
      <c r="F71" s="12">
        <f>'Supply 2024'!F72/'Supply 2024'!F$76</f>
        <v>0</v>
      </c>
      <c r="G71" s="12">
        <f>'Supply 2024'!G72/'Supply 2024'!G$76</f>
        <v>0</v>
      </c>
      <c r="H71" s="12">
        <f>'Supply 2024'!H72/'Supply 2024'!H$76</f>
        <v>0</v>
      </c>
      <c r="I71" s="12">
        <f>'Supply 2024'!I72/'Supply 2024'!I$76</f>
        <v>0</v>
      </c>
      <c r="J71" s="12">
        <f>'Supply 2024'!J72/'Supply 2024'!J$76</f>
        <v>0</v>
      </c>
      <c r="K71" s="12">
        <f>'Supply 2024'!K72/'Supply 2024'!K$76</f>
        <v>0</v>
      </c>
      <c r="L71" s="12">
        <f>'Supply 2024'!L72/'Supply 2024'!L$76</f>
        <v>0</v>
      </c>
      <c r="M71" s="12">
        <f>'Supply 2024'!M72/'Supply 2024'!M$76</f>
        <v>0</v>
      </c>
      <c r="N71" s="12">
        <f>'Supply 2024'!N72/'Supply 2024'!N$76</f>
        <v>0</v>
      </c>
      <c r="O71" s="12">
        <f>'Supply 2024'!O72/'Supply 2024'!O$76</f>
        <v>0</v>
      </c>
      <c r="P71" s="12">
        <f>'Supply 2024'!P72/'Supply 2024'!P$76</f>
        <v>0</v>
      </c>
      <c r="Q71" s="12">
        <f>'Supply 2024'!Q72/'Supply 2024'!Q$76</f>
        <v>0</v>
      </c>
      <c r="R71" s="12">
        <f>'Supply 2024'!R72/'Supply 2024'!R$76</f>
        <v>0</v>
      </c>
      <c r="S71" s="12">
        <f>'Supply 2024'!S72/'Supply 2024'!S$76</f>
        <v>0</v>
      </c>
      <c r="T71" s="12">
        <f>'Supply 2024'!T72/'Supply 2024'!T$76</f>
        <v>0</v>
      </c>
      <c r="U71" s="12">
        <f>'Supply 2024'!U72/'Supply 2024'!U$76</f>
        <v>0</v>
      </c>
      <c r="V71" s="12">
        <f>'Supply 2024'!V72/'Supply 2024'!V$76</f>
        <v>0</v>
      </c>
      <c r="W71" s="12">
        <f>'Supply 2024'!W72/'Supply 2024'!W$76</f>
        <v>0</v>
      </c>
      <c r="X71" s="12">
        <f>'Supply 2024'!X72/'Supply 2024'!X$76</f>
        <v>0</v>
      </c>
      <c r="Y71" s="12">
        <f>'Supply 2024'!Y72/'Supply 2024'!Y$76</f>
        <v>0</v>
      </c>
      <c r="Z71" s="12">
        <f>'Supply 2024'!Z72/'Supply 2024'!Z$76</f>
        <v>0</v>
      </c>
      <c r="AA71" s="12">
        <f>'Supply 2024'!AA72/'Supply 2024'!AA$76</f>
        <v>0</v>
      </c>
      <c r="AB71" s="12">
        <f>'Supply 2024'!AB72/'Supply 2024'!AB$76</f>
        <v>0</v>
      </c>
      <c r="AC71" s="12">
        <f>'Supply 2024'!AC72/'Supply 2024'!AC$76</f>
        <v>0</v>
      </c>
      <c r="AD71" s="12">
        <f>'Supply 2024'!AD72/'Supply 2024'!AD$76</f>
        <v>0</v>
      </c>
      <c r="AE71" s="12">
        <f>'Supply 2024'!AE72/'Supply 2024'!AE$76</f>
        <v>0</v>
      </c>
      <c r="AF71" s="12">
        <f>'Supply 2024'!AF72/'Supply 2024'!AF$76</f>
        <v>0</v>
      </c>
      <c r="AG71" s="12">
        <f>'Supply 2024'!AG72/'Supply 2024'!AG$76</f>
        <v>0</v>
      </c>
      <c r="AH71" s="12">
        <f>'Supply 2024'!AH72/'Supply 2024'!AH$76</f>
        <v>0</v>
      </c>
      <c r="AI71" s="12">
        <f>'Supply 2024'!AI72/'Supply 2024'!AI$76</f>
        <v>0</v>
      </c>
      <c r="AJ71" s="12">
        <f>'Supply 2024'!AJ72/'Supply 2024'!AJ$76</f>
        <v>0</v>
      </c>
      <c r="AK71" s="12">
        <f>'Supply 2024'!AK72/'Supply 2024'!AK$76</f>
        <v>0</v>
      </c>
      <c r="AL71" s="12">
        <f>'Supply 2024'!AL72/'Supply 2024'!AL$76</f>
        <v>0</v>
      </c>
      <c r="AM71" s="12">
        <f>'Supply 2024'!AM72/'Supply 2024'!AM$76</f>
        <v>0</v>
      </c>
      <c r="AN71" s="12">
        <f>'Supply 2024'!AN72/'Supply 2024'!AN$76</f>
        <v>0</v>
      </c>
      <c r="AO71" s="12">
        <f>'Supply 2024'!AO72/'Supply 2024'!AO$76</f>
        <v>0</v>
      </c>
      <c r="AP71" s="12">
        <f>'Supply 2024'!AP72/'Supply 2024'!AP$76</f>
        <v>0</v>
      </c>
      <c r="AQ71" s="12">
        <f>'Supply 2024'!AQ72/'Supply 2024'!AQ$76</f>
        <v>0</v>
      </c>
      <c r="AR71" s="12">
        <f>'Supply 2024'!AR72/'Supply 2024'!AR$76</f>
        <v>0</v>
      </c>
      <c r="AS71" s="12">
        <f>'Supply 2024'!AS72/'Supply 2024'!AS$76</f>
        <v>0</v>
      </c>
      <c r="AT71" s="12">
        <f>'Supply 2024'!AT72/'Supply 2024'!AT$76</f>
        <v>0</v>
      </c>
      <c r="AU71" s="12">
        <f>'Supply 2024'!AU72/'Supply 2024'!AU$76</f>
        <v>0</v>
      </c>
      <c r="AV71" s="12">
        <f>'Supply 2024'!AV72/'Supply 2024'!AV$76</f>
        <v>0</v>
      </c>
      <c r="AW71" s="12">
        <f>'Supply 2024'!AW72/'Supply 2024'!AW$76</f>
        <v>0</v>
      </c>
      <c r="AX71" s="12">
        <f>'Supply 2024'!AX72/'Supply 2024'!AX$76</f>
        <v>0</v>
      </c>
      <c r="AY71" s="12">
        <f>'Supply 2024'!AY72/'Supply 2024'!AY$76</f>
        <v>0</v>
      </c>
      <c r="AZ71" s="12">
        <f>'Supply 2024'!AZ72/'Supply 2024'!AZ$76</f>
        <v>0</v>
      </c>
      <c r="BA71" s="12">
        <f>'Supply 2024'!BA72/'Supply 2024'!BA$76</f>
        <v>0</v>
      </c>
      <c r="BB71" s="12">
        <f>'Supply 2024'!BB72/'Supply 2024'!BB$76</f>
        <v>0</v>
      </c>
      <c r="BC71" s="12">
        <f>'Supply 2024'!BC72/'Supply 2024'!BC$76</f>
        <v>0</v>
      </c>
      <c r="BD71" s="12">
        <f>'Supply 2024'!BD72/'Supply 2024'!BD$76</f>
        <v>0</v>
      </c>
      <c r="BE71" s="12">
        <f>'Supply 2024'!BE72/'Supply 2024'!BE$76</f>
        <v>0</v>
      </c>
      <c r="BF71" s="12">
        <f>'Supply 2024'!BF72/'Supply 2024'!BF$76</f>
        <v>0</v>
      </c>
      <c r="BG71" s="12">
        <f>'Supply 2024'!BG72/'Supply 2024'!BG$76</f>
        <v>0</v>
      </c>
      <c r="BH71" s="12">
        <f>'Supply 2024'!BH72/'Supply 2024'!BH$76</f>
        <v>0</v>
      </c>
      <c r="BI71" s="12">
        <f>'Supply 2024'!BI72/'Supply 2024'!BI$76</f>
        <v>0</v>
      </c>
      <c r="BJ71" s="12">
        <f>'Supply 2024'!BJ72/'Supply 2024'!BJ$76</f>
        <v>0</v>
      </c>
      <c r="BK71" s="12">
        <f>'Supply 2024'!BK72/'Supply 2024'!BK$76</f>
        <v>0</v>
      </c>
      <c r="BL71" s="12">
        <f>'Supply 2024'!BL72/'Supply 2024'!BL$76</f>
        <v>0</v>
      </c>
      <c r="BM71" s="12">
        <f>'Supply 2024'!BM72/'Supply 2024'!BM$76</f>
        <v>0</v>
      </c>
      <c r="BN71" s="12">
        <f>'Supply 2024'!BN72/'Supply 2024'!BN$76</f>
        <v>0</v>
      </c>
      <c r="BO71" s="12">
        <f>'Supply 2024'!BO72/'Supply 2024'!BO$76</f>
        <v>0</v>
      </c>
      <c r="BP71" s="12">
        <f>'Supply 2024'!BP72/'Supply 2024'!BP$76</f>
        <v>0</v>
      </c>
      <c r="BQ71" s="12">
        <f>'Supply 2024'!BQ72/'Supply 2024'!BQ$76</f>
        <v>0</v>
      </c>
      <c r="BR71" s="12">
        <f>'Supply 2024'!BR72/'Supply 2024'!BR$76</f>
        <v>0</v>
      </c>
      <c r="BS71" s="12">
        <f>'Supply 2024'!BS72/'Supply 2024'!BS$76</f>
        <v>0</v>
      </c>
      <c r="BT71" s="12">
        <f>'Supply 2024'!BT72/'Supply 2024'!BT$76</f>
        <v>0.77352235738575637</v>
      </c>
      <c r="BU71" s="12">
        <f>'Supply 2024'!BU72/'Supply 2024'!BU$76</f>
        <v>0</v>
      </c>
      <c r="BV71" s="12">
        <f>'Supply 2024'!BV72/'Supply 2024'!BV$76</f>
        <v>5.1288062658279142E-2</v>
      </c>
      <c r="BW71" s="12">
        <f>'Supply 2024'!BW72/'Supply 2024'!BW$76</f>
        <v>0</v>
      </c>
      <c r="BX71" s="12">
        <f>'Supply 2024'!BX72/'Supply 2024'!BX$76</f>
        <v>0</v>
      </c>
      <c r="BY71" s="12">
        <f>'Supply 2024'!BY72/'Supply 2024'!BY$76</f>
        <v>4.7752641525854442E-2</v>
      </c>
      <c r="BZ71" s="12">
        <f>'Supply 2024'!BZ72/'Supply 2024'!BZ$76</f>
        <v>0</v>
      </c>
      <c r="CA71" s="12" t="e">
        <f>'Supply 2024'!CA72/'Supply 2024'!CA$76</f>
        <v>#DIV/0!</v>
      </c>
      <c r="CB71" s="12">
        <f>'Supply 2024'!CB72/'Supply 2024'!CB$76</f>
        <v>0</v>
      </c>
      <c r="CC71" s="12">
        <f>'Supply 2024'!CC72/'Supply 2024'!CC$76</f>
        <v>0</v>
      </c>
      <c r="CD71" s="12">
        <f>'Supply 2024'!CD72/'Supply 2024'!CD$76</f>
        <v>0</v>
      </c>
      <c r="CE71" s="12">
        <f>'Supply 2024'!CE72/'Supply 2024'!CE$76</f>
        <v>0</v>
      </c>
      <c r="CF71" s="12">
        <f>'Supply 2024'!CF72/'Supply 2024'!CF$76</f>
        <v>0</v>
      </c>
      <c r="CG71" s="12">
        <f>'Supply 2024'!CG72/'Supply 2024'!CG$76</f>
        <v>4.6866067998120917E-2</v>
      </c>
    </row>
    <row r="72" spans="1:85" x14ac:dyDescent="0.25">
      <c r="A72" t="s">
        <v>71</v>
      </c>
      <c r="B72" t="s">
        <v>164</v>
      </c>
      <c r="C72" s="12">
        <f>'Supply 2024'!C73/'Supply 2024'!C$76</f>
        <v>0</v>
      </c>
      <c r="D72" s="12">
        <f>'Supply 2024'!D73/'Supply 2024'!D$76</f>
        <v>0</v>
      </c>
      <c r="E72" s="12">
        <f>'Supply 2024'!E73/'Supply 2024'!E$76</f>
        <v>0</v>
      </c>
      <c r="F72" s="12">
        <f>'Supply 2024'!F73/'Supply 2024'!F$76</f>
        <v>0</v>
      </c>
      <c r="G72" s="12">
        <f>'Supply 2024'!G73/'Supply 2024'!G$76</f>
        <v>0</v>
      </c>
      <c r="H72" s="12">
        <f>'Supply 2024'!H73/'Supply 2024'!H$76</f>
        <v>1.0376399116225607E-2</v>
      </c>
      <c r="I72" s="12">
        <f>'Supply 2024'!I73/'Supply 2024'!I$76</f>
        <v>0</v>
      </c>
      <c r="J72" s="12">
        <f>'Supply 2024'!J73/'Supply 2024'!J$76</f>
        <v>0</v>
      </c>
      <c r="K72" s="12">
        <f>'Supply 2024'!K73/'Supply 2024'!K$76</f>
        <v>0</v>
      </c>
      <c r="L72" s="12">
        <f>'Supply 2024'!L73/'Supply 2024'!L$76</f>
        <v>0</v>
      </c>
      <c r="M72" s="12">
        <f>'Supply 2024'!M73/'Supply 2024'!M$76</f>
        <v>0</v>
      </c>
      <c r="N72" s="12">
        <f>'Supply 2024'!N73/'Supply 2024'!N$76</f>
        <v>0</v>
      </c>
      <c r="O72" s="12">
        <f>'Supply 2024'!O73/'Supply 2024'!O$76</f>
        <v>0</v>
      </c>
      <c r="P72" s="12">
        <f>'Supply 2024'!P73/'Supply 2024'!P$76</f>
        <v>0</v>
      </c>
      <c r="Q72" s="12">
        <f>'Supply 2024'!Q73/'Supply 2024'!Q$76</f>
        <v>0</v>
      </c>
      <c r="R72" s="12">
        <f>'Supply 2024'!R73/'Supply 2024'!R$76</f>
        <v>0</v>
      </c>
      <c r="S72" s="12">
        <f>'Supply 2024'!S73/'Supply 2024'!S$76</f>
        <v>0</v>
      </c>
      <c r="T72" s="12">
        <f>'Supply 2024'!T73/'Supply 2024'!T$76</f>
        <v>0</v>
      </c>
      <c r="U72" s="12">
        <f>'Supply 2024'!U73/'Supply 2024'!U$76</f>
        <v>0</v>
      </c>
      <c r="V72" s="12">
        <f>'Supply 2024'!V73/'Supply 2024'!V$76</f>
        <v>0</v>
      </c>
      <c r="W72" s="12">
        <f>'Supply 2024'!W73/'Supply 2024'!W$76</f>
        <v>0</v>
      </c>
      <c r="X72" s="12">
        <f>'Supply 2024'!X73/'Supply 2024'!X$76</f>
        <v>0</v>
      </c>
      <c r="Y72" s="12">
        <f>'Supply 2024'!Y73/'Supply 2024'!Y$76</f>
        <v>0</v>
      </c>
      <c r="Z72" s="12">
        <f>'Supply 2024'!Z73/'Supply 2024'!Z$76</f>
        <v>0</v>
      </c>
      <c r="AA72" s="12">
        <f>'Supply 2024'!AA73/'Supply 2024'!AA$76</f>
        <v>0</v>
      </c>
      <c r="AB72" s="12">
        <f>'Supply 2024'!AB73/'Supply 2024'!AB$76</f>
        <v>0</v>
      </c>
      <c r="AC72" s="12">
        <f>'Supply 2024'!AC73/'Supply 2024'!AC$76</f>
        <v>0</v>
      </c>
      <c r="AD72" s="12">
        <f>'Supply 2024'!AD73/'Supply 2024'!AD$76</f>
        <v>0</v>
      </c>
      <c r="AE72" s="12">
        <f>'Supply 2024'!AE73/'Supply 2024'!AE$76</f>
        <v>0</v>
      </c>
      <c r="AF72" s="12">
        <f>'Supply 2024'!AF73/'Supply 2024'!AF$76</f>
        <v>0</v>
      </c>
      <c r="AG72" s="12">
        <f>'Supply 2024'!AG73/'Supply 2024'!AG$76</f>
        <v>0</v>
      </c>
      <c r="AH72" s="12">
        <f>'Supply 2024'!AH73/'Supply 2024'!AH$76</f>
        <v>0</v>
      </c>
      <c r="AI72" s="12">
        <f>'Supply 2024'!AI73/'Supply 2024'!AI$76</f>
        <v>0</v>
      </c>
      <c r="AJ72" s="12">
        <f>'Supply 2024'!AJ73/'Supply 2024'!AJ$76</f>
        <v>0</v>
      </c>
      <c r="AK72" s="12">
        <f>'Supply 2024'!AK73/'Supply 2024'!AK$76</f>
        <v>0</v>
      </c>
      <c r="AL72" s="12">
        <f>'Supply 2024'!AL73/'Supply 2024'!AL$76</f>
        <v>0</v>
      </c>
      <c r="AM72" s="12">
        <f>'Supply 2024'!AM73/'Supply 2024'!AM$76</f>
        <v>0</v>
      </c>
      <c r="AN72" s="12">
        <f>'Supply 2024'!AN73/'Supply 2024'!AN$76</f>
        <v>0</v>
      </c>
      <c r="AO72" s="12">
        <f>'Supply 2024'!AO73/'Supply 2024'!AO$76</f>
        <v>0</v>
      </c>
      <c r="AP72" s="12">
        <f>'Supply 2024'!AP73/'Supply 2024'!AP$76</f>
        <v>0</v>
      </c>
      <c r="AQ72" s="12">
        <f>'Supply 2024'!AQ73/'Supply 2024'!AQ$76</f>
        <v>0</v>
      </c>
      <c r="AR72" s="12">
        <f>'Supply 2024'!AR73/'Supply 2024'!AR$76</f>
        <v>0</v>
      </c>
      <c r="AS72" s="12">
        <f>'Supply 2024'!AS73/'Supply 2024'!AS$76</f>
        <v>0</v>
      </c>
      <c r="AT72" s="12">
        <f>'Supply 2024'!AT73/'Supply 2024'!AT$76</f>
        <v>0</v>
      </c>
      <c r="AU72" s="12">
        <f>'Supply 2024'!AU73/'Supply 2024'!AU$76</f>
        <v>0</v>
      </c>
      <c r="AV72" s="12">
        <f>'Supply 2024'!AV73/'Supply 2024'!AV$76</f>
        <v>0</v>
      </c>
      <c r="AW72" s="12">
        <f>'Supply 2024'!AW73/'Supply 2024'!AW$76</f>
        <v>0</v>
      </c>
      <c r="AX72" s="12">
        <f>'Supply 2024'!AX73/'Supply 2024'!AX$76</f>
        <v>0</v>
      </c>
      <c r="AY72" s="12">
        <f>'Supply 2024'!AY73/'Supply 2024'!AY$76</f>
        <v>0</v>
      </c>
      <c r="AZ72" s="12">
        <f>'Supply 2024'!AZ73/'Supply 2024'!AZ$76</f>
        <v>0</v>
      </c>
      <c r="BA72" s="12">
        <f>'Supply 2024'!BA73/'Supply 2024'!BA$76</f>
        <v>0</v>
      </c>
      <c r="BB72" s="12">
        <f>'Supply 2024'!BB73/'Supply 2024'!BB$76</f>
        <v>0</v>
      </c>
      <c r="BC72" s="12">
        <f>'Supply 2024'!BC73/'Supply 2024'!BC$76</f>
        <v>0</v>
      </c>
      <c r="BD72" s="12">
        <f>'Supply 2024'!BD73/'Supply 2024'!BD$76</f>
        <v>0</v>
      </c>
      <c r="BE72" s="12">
        <f>'Supply 2024'!BE73/'Supply 2024'!BE$76</f>
        <v>0</v>
      </c>
      <c r="BF72" s="12">
        <f>'Supply 2024'!BF73/'Supply 2024'!BF$76</f>
        <v>0</v>
      </c>
      <c r="BG72" s="12">
        <f>'Supply 2024'!BG73/'Supply 2024'!BG$76</f>
        <v>0</v>
      </c>
      <c r="BH72" s="12">
        <f>'Supply 2024'!BH73/'Supply 2024'!BH$76</f>
        <v>0</v>
      </c>
      <c r="BI72" s="12">
        <f>'Supply 2024'!BI73/'Supply 2024'!BI$76</f>
        <v>0</v>
      </c>
      <c r="BJ72" s="12">
        <f>'Supply 2024'!BJ73/'Supply 2024'!BJ$76</f>
        <v>0</v>
      </c>
      <c r="BK72" s="12">
        <f>'Supply 2024'!BK73/'Supply 2024'!BK$76</f>
        <v>0</v>
      </c>
      <c r="BL72" s="12">
        <f>'Supply 2024'!BL73/'Supply 2024'!BL$76</f>
        <v>0</v>
      </c>
      <c r="BM72" s="12">
        <f>'Supply 2024'!BM73/'Supply 2024'!BM$76</f>
        <v>0</v>
      </c>
      <c r="BN72" s="12">
        <f>'Supply 2024'!BN73/'Supply 2024'!BN$76</f>
        <v>0</v>
      </c>
      <c r="BO72" s="12">
        <f>'Supply 2024'!BO73/'Supply 2024'!BO$76</f>
        <v>0</v>
      </c>
      <c r="BP72" s="12">
        <f>'Supply 2024'!BP73/'Supply 2024'!BP$76</f>
        <v>0</v>
      </c>
      <c r="BQ72" s="12">
        <f>'Supply 2024'!BQ73/'Supply 2024'!BQ$76</f>
        <v>0</v>
      </c>
      <c r="BR72" s="12">
        <f>'Supply 2024'!BR73/'Supply 2024'!BR$76</f>
        <v>0</v>
      </c>
      <c r="BS72" s="12">
        <f>'Supply 2024'!BS73/'Supply 2024'!BS$76</f>
        <v>0</v>
      </c>
      <c r="BT72" s="12">
        <f>'Supply 2024'!BT73/'Supply 2024'!BT$76</f>
        <v>0</v>
      </c>
      <c r="BU72" s="12">
        <f>'Supply 2024'!BU73/'Supply 2024'!BU$76</f>
        <v>0.27898694472228897</v>
      </c>
      <c r="BV72" s="12">
        <f>'Supply 2024'!BV73/'Supply 2024'!BV$76</f>
        <v>3.1380621454713134E-3</v>
      </c>
      <c r="BW72" s="12">
        <f>'Supply 2024'!BW73/'Supply 2024'!BW$76</f>
        <v>0</v>
      </c>
      <c r="BX72" s="12">
        <f>'Supply 2024'!BX73/'Supply 2024'!BX$76</f>
        <v>0</v>
      </c>
      <c r="BY72" s="12">
        <f>'Supply 2024'!BY73/'Supply 2024'!BY$76</f>
        <v>2.9217472634317913E-3</v>
      </c>
      <c r="BZ72" s="12">
        <f>'Supply 2024'!BZ73/'Supply 2024'!BZ$76</f>
        <v>0</v>
      </c>
      <c r="CA72" s="12" t="e">
        <f>'Supply 2024'!CA73/'Supply 2024'!CA$76</f>
        <v>#DIV/0!</v>
      </c>
      <c r="CB72" s="12">
        <f>'Supply 2024'!CB73/'Supply 2024'!CB$76</f>
        <v>0</v>
      </c>
      <c r="CC72" s="12">
        <f>'Supply 2024'!CC73/'Supply 2024'!CC$76</f>
        <v>0</v>
      </c>
      <c r="CD72" s="12">
        <f>'Supply 2024'!CD73/'Supply 2024'!CD$76</f>
        <v>0</v>
      </c>
      <c r="CE72" s="12">
        <f>'Supply 2024'!CE73/'Supply 2024'!CE$76</f>
        <v>0</v>
      </c>
      <c r="CF72" s="12">
        <f>'Supply 2024'!CF73/'Supply 2024'!CF$76</f>
        <v>0</v>
      </c>
      <c r="CG72" s="12">
        <f>'Supply 2024'!CG73/'Supply 2024'!CG$76</f>
        <v>2.8675022270167063E-3</v>
      </c>
    </row>
    <row r="73" spans="1:85" x14ac:dyDescent="0.25">
      <c r="A73" t="s">
        <v>166</v>
      </c>
      <c r="B73" t="s">
        <v>167</v>
      </c>
      <c r="C73" s="12">
        <f>'Supply 2024'!C74/'Supply 2024'!C$76</f>
        <v>0</v>
      </c>
      <c r="D73" s="12">
        <f>'Supply 2024'!D74/'Supply 2024'!D$76</f>
        <v>0</v>
      </c>
      <c r="E73" s="12">
        <f>'Supply 2024'!E74/'Supply 2024'!E$76</f>
        <v>0</v>
      </c>
      <c r="F73" s="12">
        <f>'Supply 2024'!F74/'Supply 2024'!F$76</f>
        <v>0</v>
      </c>
      <c r="G73" s="12">
        <f>'Supply 2024'!G74/'Supply 2024'!G$76</f>
        <v>0</v>
      </c>
      <c r="H73" s="12">
        <f>'Supply 2024'!H74/'Supply 2024'!H$76</f>
        <v>0</v>
      </c>
      <c r="I73" s="12">
        <f>'Supply 2024'!I74/'Supply 2024'!I$76</f>
        <v>0</v>
      </c>
      <c r="J73" s="12">
        <f>'Supply 2024'!J74/'Supply 2024'!J$76</f>
        <v>2.1270235467255334E-3</v>
      </c>
      <c r="K73" s="12">
        <f>'Supply 2024'!K74/'Supply 2024'!K$76</f>
        <v>3.4268286414337849E-5</v>
      </c>
      <c r="L73" s="12">
        <f>'Supply 2024'!L74/'Supply 2024'!L$76</f>
        <v>1.9940906019371165E-3</v>
      </c>
      <c r="M73" s="12">
        <f>'Supply 2024'!M74/'Supply 2024'!M$76</f>
        <v>7.9599127286676744E-3</v>
      </c>
      <c r="N73" s="12">
        <f>'Supply 2024'!N74/'Supply 2024'!N$76</f>
        <v>9.1660078598517403E-4</v>
      </c>
      <c r="O73" s="12">
        <f>'Supply 2024'!O74/'Supply 2024'!O$76</f>
        <v>0</v>
      </c>
      <c r="P73" s="12">
        <f>'Supply 2024'!P74/'Supply 2024'!P$76</f>
        <v>0</v>
      </c>
      <c r="Q73" s="12">
        <f>'Supply 2024'!Q74/'Supply 2024'!Q$76</f>
        <v>5.022262769459971E-4</v>
      </c>
      <c r="R73" s="12">
        <f>'Supply 2024'!R74/'Supply 2024'!R$76</f>
        <v>1.0611177283591671E-4</v>
      </c>
      <c r="S73" s="12">
        <f>'Supply 2024'!S74/'Supply 2024'!S$76</f>
        <v>0</v>
      </c>
      <c r="T73" s="12">
        <f>'Supply 2024'!T74/'Supply 2024'!T$76</f>
        <v>0</v>
      </c>
      <c r="U73" s="12">
        <f>'Supply 2024'!U74/'Supply 2024'!U$76</f>
        <v>8.07452463254857E-7</v>
      </c>
      <c r="V73" s="12">
        <f>'Supply 2024'!V74/'Supply 2024'!V$76</f>
        <v>0</v>
      </c>
      <c r="W73" s="12">
        <f>'Supply 2024'!W74/'Supply 2024'!W$76</f>
        <v>0</v>
      </c>
      <c r="X73" s="12">
        <f>'Supply 2024'!X74/'Supply 2024'!X$76</f>
        <v>2.6339134649680362E-3</v>
      </c>
      <c r="Y73" s="12">
        <f>'Supply 2024'!Y74/'Supply 2024'!Y$76</f>
        <v>2.0392194057809497E-3</v>
      </c>
      <c r="Z73" s="12">
        <f>'Supply 2024'!Z74/'Supply 2024'!Z$76</f>
        <v>0</v>
      </c>
      <c r="AA73" s="12">
        <f>'Supply 2024'!AA74/'Supply 2024'!AA$76</f>
        <v>0</v>
      </c>
      <c r="AB73" s="12">
        <f>'Supply 2024'!AB74/'Supply 2024'!AB$76</f>
        <v>9.4509693129380746E-4</v>
      </c>
      <c r="AC73" s="12">
        <f>'Supply 2024'!AC74/'Supply 2024'!AC$76</f>
        <v>0</v>
      </c>
      <c r="AD73" s="12">
        <f>'Supply 2024'!AD74/'Supply 2024'!AD$76</f>
        <v>0</v>
      </c>
      <c r="AE73" s="12">
        <f>'Supply 2024'!AE74/'Supply 2024'!AE$76</f>
        <v>0</v>
      </c>
      <c r="AF73" s="12">
        <f>'Supply 2024'!AF74/'Supply 2024'!AF$76</f>
        <v>0</v>
      </c>
      <c r="AG73" s="12">
        <f>'Supply 2024'!AG74/'Supply 2024'!AG$76</f>
        <v>0</v>
      </c>
      <c r="AH73" s="12">
        <f>'Supply 2024'!AH74/'Supply 2024'!AH$76</f>
        <v>0</v>
      </c>
      <c r="AI73" s="12">
        <f>'Supply 2024'!AI74/'Supply 2024'!AI$76</f>
        <v>0</v>
      </c>
      <c r="AJ73" s="12">
        <f>'Supply 2024'!AJ74/'Supply 2024'!AJ$76</f>
        <v>0</v>
      </c>
      <c r="AK73" s="12">
        <f>'Supply 2024'!AK74/'Supply 2024'!AK$76</f>
        <v>0</v>
      </c>
      <c r="AL73" s="12">
        <f>'Supply 2024'!AL74/'Supply 2024'!AL$76</f>
        <v>0</v>
      </c>
      <c r="AM73" s="12">
        <f>'Supply 2024'!AM74/'Supply 2024'!AM$76</f>
        <v>0</v>
      </c>
      <c r="AN73" s="12">
        <f>'Supply 2024'!AN74/'Supply 2024'!AN$76</f>
        <v>0</v>
      </c>
      <c r="AO73" s="12">
        <f>'Supply 2024'!AO74/'Supply 2024'!AO$76</f>
        <v>0</v>
      </c>
      <c r="AP73" s="12">
        <f>'Supply 2024'!AP74/'Supply 2024'!AP$76</f>
        <v>0</v>
      </c>
      <c r="AQ73" s="12">
        <f>'Supply 2024'!AQ74/'Supply 2024'!AQ$76</f>
        <v>0</v>
      </c>
      <c r="AR73" s="12">
        <f>'Supply 2024'!AR74/'Supply 2024'!AR$76</f>
        <v>0</v>
      </c>
      <c r="AS73" s="12">
        <f>'Supply 2024'!AS74/'Supply 2024'!AS$76</f>
        <v>0</v>
      </c>
      <c r="AT73" s="12">
        <f>'Supply 2024'!AT74/'Supply 2024'!AT$76</f>
        <v>0</v>
      </c>
      <c r="AU73" s="12">
        <f>'Supply 2024'!AU74/'Supply 2024'!AU$76</f>
        <v>0</v>
      </c>
      <c r="AV73" s="12">
        <f>'Supply 2024'!AV74/'Supply 2024'!AV$76</f>
        <v>0</v>
      </c>
      <c r="AW73" s="12">
        <f>'Supply 2024'!AW74/'Supply 2024'!AW$76</f>
        <v>0</v>
      </c>
      <c r="AX73" s="12">
        <f>'Supply 2024'!AX74/'Supply 2024'!AX$76</f>
        <v>0</v>
      </c>
      <c r="AY73" s="12">
        <f>'Supply 2024'!AY74/'Supply 2024'!AY$76</f>
        <v>0</v>
      </c>
      <c r="AZ73" s="12">
        <f>'Supply 2024'!AZ74/'Supply 2024'!AZ$76</f>
        <v>0</v>
      </c>
      <c r="BA73" s="12">
        <f>'Supply 2024'!BA74/'Supply 2024'!BA$76</f>
        <v>0</v>
      </c>
      <c r="BB73" s="12">
        <f>'Supply 2024'!BB74/'Supply 2024'!BB$76</f>
        <v>0</v>
      </c>
      <c r="BC73" s="12">
        <f>'Supply 2024'!BC74/'Supply 2024'!BC$76</f>
        <v>0</v>
      </c>
      <c r="BD73" s="12">
        <f>'Supply 2024'!BD74/'Supply 2024'!BD$76</f>
        <v>0</v>
      </c>
      <c r="BE73" s="12">
        <f>'Supply 2024'!BE74/'Supply 2024'!BE$76</f>
        <v>0</v>
      </c>
      <c r="BF73" s="12">
        <f>'Supply 2024'!BF74/'Supply 2024'!BF$76</f>
        <v>7.8767652598015925E-3</v>
      </c>
      <c r="BG73" s="12">
        <f>'Supply 2024'!BG74/'Supply 2024'!BG$76</f>
        <v>0</v>
      </c>
      <c r="BH73" s="12">
        <f>'Supply 2024'!BH74/'Supply 2024'!BH$76</f>
        <v>0</v>
      </c>
      <c r="BI73" s="12">
        <f>'Supply 2024'!BI74/'Supply 2024'!BI$76</f>
        <v>0</v>
      </c>
      <c r="BJ73" s="12">
        <f>'Supply 2024'!BJ74/'Supply 2024'!BJ$76</f>
        <v>0</v>
      </c>
      <c r="BK73" s="12">
        <f>'Supply 2024'!BK74/'Supply 2024'!BK$76</f>
        <v>0</v>
      </c>
      <c r="BL73" s="12">
        <f>'Supply 2024'!BL74/'Supply 2024'!BL$76</f>
        <v>0</v>
      </c>
      <c r="BM73" s="12">
        <f>'Supply 2024'!BM74/'Supply 2024'!BM$76</f>
        <v>0</v>
      </c>
      <c r="BN73" s="12">
        <f>'Supply 2024'!BN74/'Supply 2024'!BN$76</f>
        <v>0</v>
      </c>
      <c r="BO73" s="12">
        <f>'Supply 2024'!BO74/'Supply 2024'!BO$76</f>
        <v>1.0164087464318189E-5</v>
      </c>
      <c r="BP73" s="12">
        <f>'Supply 2024'!BP74/'Supply 2024'!BP$76</f>
        <v>0</v>
      </c>
      <c r="BQ73" s="12">
        <f>'Supply 2024'!BQ74/'Supply 2024'!BQ$76</f>
        <v>0</v>
      </c>
      <c r="BR73" s="12">
        <f>'Supply 2024'!BR74/'Supply 2024'!BR$76</f>
        <v>0</v>
      </c>
      <c r="BS73" s="12">
        <f>'Supply 2024'!BS74/'Supply 2024'!BS$76</f>
        <v>0</v>
      </c>
      <c r="BT73" s="12">
        <f>'Supply 2024'!BT74/'Supply 2024'!BT$76</f>
        <v>1.7218286748622112E-3</v>
      </c>
      <c r="BU73" s="12">
        <f>'Supply 2024'!BU74/'Supply 2024'!BU$76</f>
        <v>0</v>
      </c>
      <c r="BV73" s="12">
        <f>'Supply 2024'!BV74/'Supply 2024'!BV$76</f>
        <v>2.7255233304435106E-4</v>
      </c>
      <c r="BW73" s="12">
        <f>'Supply 2024'!BW74/'Supply 2024'!BW$76</f>
        <v>4.6763159681105417E-3</v>
      </c>
      <c r="BX73" s="12">
        <f>'Supply 2024'!BX74/'Supply 2024'!BX$76</f>
        <v>0</v>
      </c>
      <c r="BY73" s="12">
        <f>'Supply 2024'!BY74/'Supply 2024'!BY$76</f>
        <v>5.7881093252202566E-4</v>
      </c>
      <c r="BZ73" s="12">
        <f>'Supply 2024'!BZ74/'Supply 2024'!BZ$76</f>
        <v>-209961</v>
      </c>
      <c r="CA73" s="12" t="e">
        <f>'Supply 2024'!CA74/'Supply 2024'!CA$76</f>
        <v>#DIV/0!</v>
      </c>
      <c r="CB73" s="12">
        <f>'Supply 2024'!CB74/'Supply 2024'!CB$76</f>
        <v>-252923</v>
      </c>
      <c r="CC73" s="12">
        <f>'Supply 2024'!CC74/'Supply 2024'!CC$76</f>
        <v>1.0647588739875818E-3</v>
      </c>
      <c r="CD73" s="12">
        <f>'Supply 2024'!CD74/'Supply 2024'!CD$76</f>
        <v>2.2894512816222894E-2</v>
      </c>
      <c r="CE73" s="12">
        <f>'Supply 2024'!CE74/'Supply 2024'!CE$76</f>
        <v>0</v>
      </c>
      <c r="CF73" s="12">
        <f>'Supply 2024'!CF74/'Supply 2024'!CF$76</f>
        <v>2.3112341956952508E-2</v>
      </c>
      <c r="CG73" s="12">
        <f>'Supply 2024'!CG74/'Supply 2024'!CG$76</f>
        <v>5.6449424944924565E-3</v>
      </c>
    </row>
    <row r="74" spans="1:85" x14ac:dyDescent="0.25">
      <c r="A74" t="s">
        <v>168</v>
      </c>
      <c r="B74" t="s">
        <v>169</v>
      </c>
      <c r="C74" s="12">
        <f>'Supply 2024'!C75/'Supply 2024'!C$76</f>
        <v>0</v>
      </c>
      <c r="D74" s="12">
        <f>'Supply 2024'!D75/'Supply 2024'!D$76</f>
        <v>0</v>
      </c>
      <c r="E74" s="12">
        <f>'Supply 2024'!E75/'Supply 2024'!E$76</f>
        <v>0</v>
      </c>
      <c r="F74" s="12">
        <f>'Supply 2024'!F75/'Supply 2024'!F$76</f>
        <v>0</v>
      </c>
      <c r="G74" s="12">
        <f>'Supply 2024'!G75/'Supply 2024'!G$76</f>
        <v>0</v>
      </c>
      <c r="H74" s="12">
        <f>'Supply 2024'!H75/'Supply 2024'!H$76</f>
        <v>0</v>
      </c>
      <c r="I74" s="12">
        <f>'Supply 2024'!I75/'Supply 2024'!I$76</f>
        <v>0</v>
      </c>
      <c r="J74" s="12">
        <f>'Supply 2024'!J75/'Supply 2024'!J$76</f>
        <v>0</v>
      </c>
      <c r="K74" s="12">
        <f>'Supply 2024'!K75/'Supply 2024'!K$76</f>
        <v>0</v>
      </c>
      <c r="L74" s="12">
        <f>'Supply 2024'!L75/'Supply 2024'!L$76</f>
        <v>0</v>
      </c>
      <c r="M74" s="12">
        <f>'Supply 2024'!M75/'Supply 2024'!M$76</f>
        <v>0</v>
      </c>
      <c r="N74" s="12">
        <f>'Supply 2024'!N75/'Supply 2024'!N$76</f>
        <v>0</v>
      </c>
      <c r="O74" s="12">
        <f>'Supply 2024'!O75/'Supply 2024'!O$76</f>
        <v>0</v>
      </c>
      <c r="P74" s="12">
        <f>'Supply 2024'!P75/'Supply 2024'!P$76</f>
        <v>0</v>
      </c>
      <c r="Q74" s="12">
        <f>'Supply 2024'!Q75/'Supply 2024'!Q$76</f>
        <v>0</v>
      </c>
      <c r="R74" s="12">
        <f>'Supply 2024'!R75/'Supply 2024'!R$76</f>
        <v>0</v>
      </c>
      <c r="S74" s="12">
        <f>'Supply 2024'!S75/'Supply 2024'!S$76</f>
        <v>0</v>
      </c>
      <c r="T74" s="12">
        <f>'Supply 2024'!T75/'Supply 2024'!T$76</f>
        <v>0</v>
      </c>
      <c r="U74" s="12">
        <f>'Supply 2024'!U75/'Supply 2024'!U$76</f>
        <v>0</v>
      </c>
      <c r="V74" s="12">
        <f>'Supply 2024'!V75/'Supply 2024'!V$76</f>
        <v>0</v>
      </c>
      <c r="W74" s="12">
        <f>'Supply 2024'!W75/'Supply 2024'!W$76</f>
        <v>0</v>
      </c>
      <c r="X74" s="12">
        <f>'Supply 2024'!X75/'Supply 2024'!X$76</f>
        <v>0</v>
      </c>
      <c r="Y74" s="12">
        <f>'Supply 2024'!Y75/'Supply 2024'!Y$76</f>
        <v>0</v>
      </c>
      <c r="Z74" s="12">
        <f>'Supply 2024'!Z75/'Supply 2024'!Z$76</f>
        <v>0</v>
      </c>
      <c r="AA74" s="12">
        <f>'Supply 2024'!AA75/'Supply 2024'!AA$76</f>
        <v>0</v>
      </c>
      <c r="AB74" s="12">
        <f>'Supply 2024'!AB75/'Supply 2024'!AB$76</f>
        <v>0</v>
      </c>
      <c r="AC74" s="12">
        <f>'Supply 2024'!AC75/'Supply 2024'!AC$76</f>
        <v>0</v>
      </c>
      <c r="AD74" s="12">
        <f>'Supply 2024'!AD75/'Supply 2024'!AD$76</f>
        <v>0</v>
      </c>
      <c r="AE74" s="12">
        <f>'Supply 2024'!AE75/'Supply 2024'!AE$76</f>
        <v>0</v>
      </c>
      <c r="AF74" s="12">
        <f>'Supply 2024'!AF75/'Supply 2024'!AF$76</f>
        <v>0</v>
      </c>
      <c r="AG74" s="12">
        <f>'Supply 2024'!AG75/'Supply 2024'!AG$76</f>
        <v>0</v>
      </c>
      <c r="AH74" s="12">
        <f>'Supply 2024'!AH75/'Supply 2024'!AH$76</f>
        <v>0</v>
      </c>
      <c r="AI74" s="12">
        <f>'Supply 2024'!AI75/'Supply 2024'!AI$76</f>
        <v>0</v>
      </c>
      <c r="AJ74" s="12">
        <f>'Supply 2024'!AJ75/'Supply 2024'!AJ$76</f>
        <v>0</v>
      </c>
      <c r="AK74" s="12">
        <f>'Supply 2024'!AK75/'Supply 2024'!AK$76</f>
        <v>0</v>
      </c>
      <c r="AL74" s="12">
        <f>'Supply 2024'!AL75/'Supply 2024'!AL$76</f>
        <v>0</v>
      </c>
      <c r="AM74" s="12">
        <f>'Supply 2024'!AM75/'Supply 2024'!AM$76</f>
        <v>0</v>
      </c>
      <c r="AN74" s="12">
        <f>'Supply 2024'!AN75/'Supply 2024'!AN$76</f>
        <v>0</v>
      </c>
      <c r="AO74" s="12">
        <f>'Supply 2024'!AO75/'Supply 2024'!AO$76</f>
        <v>0</v>
      </c>
      <c r="AP74" s="12">
        <f>'Supply 2024'!AP75/'Supply 2024'!AP$76</f>
        <v>0</v>
      </c>
      <c r="AQ74" s="12">
        <f>'Supply 2024'!AQ75/'Supply 2024'!AQ$76</f>
        <v>0</v>
      </c>
      <c r="AR74" s="12">
        <f>'Supply 2024'!AR75/'Supply 2024'!AR$76</f>
        <v>0</v>
      </c>
      <c r="AS74" s="12">
        <f>'Supply 2024'!AS75/'Supply 2024'!AS$76</f>
        <v>0</v>
      </c>
      <c r="AT74" s="12">
        <f>'Supply 2024'!AT75/'Supply 2024'!AT$76</f>
        <v>0</v>
      </c>
      <c r="AU74" s="12">
        <f>'Supply 2024'!AU75/'Supply 2024'!AU$76</f>
        <v>0</v>
      </c>
      <c r="AV74" s="12">
        <f>'Supply 2024'!AV75/'Supply 2024'!AV$76</f>
        <v>0</v>
      </c>
      <c r="AW74" s="12">
        <f>'Supply 2024'!AW75/'Supply 2024'!AW$76</f>
        <v>0</v>
      </c>
      <c r="AX74" s="12">
        <f>'Supply 2024'!AX75/'Supply 2024'!AX$76</f>
        <v>0</v>
      </c>
      <c r="AY74" s="12">
        <f>'Supply 2024'!AY75/'Supply 2024'!AY$76</f>
        <v>0</v>
      </c>
      <c r="AZ74" s="12">
        <f>'Supply 2024'!AZ75/'Supply 2024'!AZ$76</f>
        <v>0</v>
      </c>
      <c r="BA74" s="12">
        <f>'Supply 2024'!BA75/'Supply 2024'!BA$76</f>
        <v>0</v>
      </c>
      <c r="BB74" s="12">
        <f>'Supply 2024'!BB75/'Supply 2024'!BB$76</f>
        <v>0</v>
      </c>
      <c r="BC74" s="12">
        <f>'Supply 2024'!BC75/'Supply 2024'!BC$76</f>
        <v>0</v>
      </c>
      <c r="BD74" s="12">
        <f>'Supply 2024'!BD75/'Supply 2024'!BD$76</f>
        <v>0</v>
      </c>
      <c r="BE74" s="12">
        <f>'Supply 2024'!BE75/'Supply 2024'!BE$76</f>
        <v>0</v>
      </c>
      <c r="BF74" s="12">
        <f>'Supply 2024'!BF75/'Supply 2024'!BF$76</f>
        <v>0</v>
      </c>
      <c r="BG74" s="12">
        <f>'Supply 2024'!BG75/'Supply 2024'!BG$76</f>
        <v>0</v>
      </c>
      <c r="BH74" s="12">
        <f>'Supply 2024'!BH75/'Supply 2024'!BH$76</f>
        <v>0</v>
      </c>
      <c r="BI74" s="12">
        <f>'Supply 2024'!BI75/'Supply 2024'!BI$76</f>
        <v>0</v>
      </c>
      <c r="BJ74" s="12">
        <f>'Supply 2024'!BJ75/'Supply 2024'!BJ$76</f>
        <v>0</v>
      </c>
      <c r="BK74" s="12">
        <f>'Supply 2024'!BK75/'Supply 2024'!BK$76</f>
        <v>0</v>
      </c>
      <c r="BL74" s="12">
        <f>'Supply 2024'!BL75/'Supply 2024'!BL$76</f>
        <v>0</v>
      </c>
      <c r="BM74" s="12">
        <f>'Supply 2024'!BM75/'Supply 2024'!BM$76</f>
        <v>0</v>
      </c>
      <c r="BN74" s="12">
        <f>'Supply 2024'!BN75/'Supply 2024'!BN$76</f>
        <v>0</v>
      </c>
      <c r="BO74" s="12">
        <f>'Supply 2024'!BO75/'Supply 2024'!BO$76</f>
        <v>0</v>
      </c>
      <c r="BP74" s="12">
        <f>'Supply 2024'!BP75/'Supply 2024'!BP$76</f>
        <v>0</v>
      </c>
      <c r="BQ74" s="12">
        <f>'Supply 2024'!BQ75/'Supply 2024'!BQ$76</f>
        <v>0</v>
      </c>
      <c r="BR74" s="12">
        <f>'Supply 2024'!BR75/'Supply 2024'!BR$76</f>
        <v>9.8267493424479997E-3</v>
      </c>
      <c r="BS74" s="12">
        <f>'Supply 2024'!BS75/'Supply 2024'!BS$76</f>
        <v>0</v>
      </c>
      <c r="BT74" s="12">
        <f>'Supply 2024'!BT75/'Supply 2024'!BT$76</f>
        <v>0</v>
      </c>
      <c r="BU74" s="12">
        <f>'Supply 2024'!BU75/'Supply 2024'!BU$76</f>
        <v>0</v>
      </c>
      <c r="BV74" s="12">
        <f>'Supply 2024'!BV75/'Supply 2024'!BV$76</f>
        <v>1.2442125614590128E-4</v>
      </c>
      <c r="BW74" s="12">
        <f>'Supply 2024'!BW75/'Supply 2024'!BW$76</f>
        <v>9.9452526234240335E-2</v>
      </c>
      <c r="BX74" s="12">
        <f>'Supply 2024'!BX75/'Supply 2024'!BX$76</f>
        <v>0</v>
      </c>
      <c r="BY74" s="12">
        <f>'Supply 2024'!BY75/'Supply 2024'!BY$76</f>
        <v>7.0286966495210958E-3</v>
      </c>
      <c r="BZ74" s="12">
        <f>'Supply 2024'!BZ75/'Supply 2024'!BZ$76</f>
        <v>0</v>
      </c>
      <c r="CA74" s="12" t="e">
        <f>'Supply 2024'!CA75/'Supply 2024'!CA$76</f>
        <v>#DIV/0!</v>
      </c>
      <c r="CB74" s="12">
        <f>'Supply 2024'!CB75/'Supply 2024'!CB$76</f>
        <v>0</v>
      </c>
      <c r="CC74" s="12">
        <f>'Supply 2024'!CC75/'Supply 2024'!CC$76</f>
        <v>0</v>
      </c>
      <c r="CD74" s="12">
        <f>'Supply 2024'!CD75/'Supply 2024'!CD$76</f>
        <v>0</v>
      </c>
      <c r="CE74" s="12">
        <f>'Supply 2024'!CE75/'Supply 2024'!CE$76</f>
        <v>0</v>
      </c>
      <c r="CF74" s="12">
        <f>'Supply 2024'!CF75/'Supply 2024'!CF$76</f>
        <v>0</v>
      </c>
      <c r="CG74" s="12">
        <f>'Supply 2024'!CG75/'Supply 2024'!CG$76</f>
        <v>6.8982021640891051E-3</v>
      </c>
    </row>
    <row r="75" spans="1:85" x14ac:dyDescent="0.25">
      <c r="A75" t="s">
        <v>390</v>
      </c>
      <c r="B75" t="s">
        <v>391</v>
      </c>
      <c r="C75" s="12">
        <f>'Supply 2024'!C76/'Supply 2024'!C$76</f>
        <v>1</v>
      </c>
      <c r="D75" s="12">
        <f>'Supply 2024'!D76/'Supply 2024'!D$76</f>
        <v>1</v>
      </c>
      <c r="E75" s="12">
        <f>'Supply 2024'!E76/'Supply 2024'!E$76</f>
        <v>1</v>
      </c>
      <c r="F75" s="12">
        <f>'Supply 2024'!F76/'Supply 2024'!F$76</f>
        <v>1</v>
      </c>
      <c r="G75" s="12">
        <f>'Supply 2024'!G76/'Supply 2024'!G$76</f>
        <v>1</v>
      </c>
      <c r="H75" s="12">
        <f>'Supply 2024'!H76/'Supply 2024'!H$76</f>
        <v>1</v>
      </c>
      <c r="I75" s="12">
        <f>'Supply 2024'!I76/'Supply 2024'!I$76</f>
        <v>1</v>
      </c>
      <c r="J75" s="12">
        <f>'Supply 2024'!J76/'Supply 2024'!J$76</f>
        <v>1</v>
      </c>
      <c r="K75" s="12">
        <f>'Supply 2024'!K76/'Supply 2024'!K$76</f>
        <v>1</v>
      </c>
      <c r="L75" s="12">
        <f>'Supply 2024'!L76/'Supply 2024'!L$76</f>
        <v>1</v>
      </c>
      <c r="M75" s="12">
        <f>'Supply 2024'!M76/'Supply 2024'!M$76</f>
        <v>1</v>
      </c>
      <c r="N75" s="12">
        <f>'Supply 2024'!N76/'Supply 2024'!N$76</f>
        <v>1</v>
      </c>
      <c r="O75" s="12">
        <f>'Supply 2024'!O76/'Supply 2024'!O$76</f>
        <v>1</v>
      </c>
      <c r="P75" s="12">
        <f>'Supply 2024'!P76/'Supply 2024'!P$76</f>
        <v>1</v>
      </c>
      <c r="Q75" s="12">
        <f>'Supply 2024'!Q76/'Supply 2024'!Q$76</f>
        <v>1</v>
      </c>
      <c r="R75" s="12">
        <f>'Supply 2024'!R76/'Supply 2024'!R$76</f>
        <v>1</v>
      </c>
      <c r="S75" s="12">
        <f>'Supply 2024'!S76/'Supply 2024'!S$76</f>
        <v>1</v>
      </c>
      <c r="T75" s="12">
        <f>'Supply 2024'!T76/'Supply 2024'!T$76</f>
        <v>1</v>
      </c>
      <c r="U75" s="12">
        <f>'Supply 2024'!U76/'Supply 2024'!U$76</f>
        <v>1</v>
      </c>
      <c r="V75" s="12">
        <f>'Supply 2024'!V76/'Supply 2024'!V$76</f>
        <v>1</v>
      </c>
      <c r="W75" s="12">
        <f>'Supply 2024'!W76/'Supply 2024'!W$76</f>
        <v>1</v>
      </c>
      <c r="X75" s="12">
        <f>'Supply 2024'!X76/'Supply 2024'!X$76</f>
        <v>1</v>
      </c>
      <c r="Y75" s="12">
        <f>'Supply 2024'!Y76/'Supply 2024'!Y$76</f>
        <v>1</v>
      </c>
      <c r="Z75" s="12">
        <f>'Supply 2024'!Z76/'Supply 2024'!Z$76</f>
        <v>1</v>
      </c>
      <c r="AA75" s="12">
        <f>'Supply 2024'!AA76/'Supply 2024'!AA$76</f>
        <v>1</v>
      </c>
      <c r="AB75" s="12">
        <f>'Supply 2024'!AB76/'Supply 2024'!AB$76</f>
        <v>1</v>
      </c>
      <c r="AC75" s="12">
        <f>'Supply 2024'!AC76/'Supply 2024'!AC$76</f>
        <v>1</v>
      </c>
      <c r="AD75" s="12">
        <f>'Supply 2024'!AD76/'Supply 2024'!AD$76</f>
        <v>1</v>
      </c>
      <c r="AE75" s="12">
        <f>'Supply 2024'!AE76/'Supply 2024'!AE$76</f>
        <v>1</v>
      </c>
      <c r="AF75" s="12">
        <f>'Supply 2024'!AF76/'Supply 2024'!AF$76</f>
        <v>1</v>
      </c>
      <c r="AG75" s="12">
        <f>'Supply 2024'!AG76/'Supply 2024'!AG$76</f>
        <v>1</v>
      </c>
      <c r="AH75" s="12">
        <f>'Supply 2024'!AH76/'Supply 2024'!AH$76</f>
        <v>1</v>
      </c>
      <c r="AI75" s="12">
        <f>'Supply 2024'!AI76/'Supply 2024'!AI$76</f>
        <v>1</v>
      </c>
      <c r="AJ75" s="12">
        <f>'Supply 2024'!AJ76/'Supply 2024'!AJ$76</f>
        <v>1</v>
      </c>
      <c r="AK75" s="12">
        <f>'Supply 2024'!AK76/'Supply 2024'!AK$76</f>
        <v>1</v>
      </c>
      <c r="AL75" s="12">
        <f>'Supply 2024'!AL76/'Supply 2024'!AL$76</f>
        <v>1</v>
      </c>
      <c r="AM75" s="12">
        <f>'Supply 2024'!AM76/'Supply 2024'!AM$76</f>
        <v>1</v>
      </c>
      <c r="AN75" s="12">
        <f>'Supply 2024'!AN76/'Supply 2024'!AN$76</f>
        <v>1</v>
      </c>
      <c r="AO75" s="12">
        <f>'Supply 2024'!AO76/'Supply 2024'!AO$76</f>
        <v>1</v>
      </c>
      <c r="AP75" s="12">
        <f>'Supply 2024'!AP76/'Supply 2024'!AP$76</f>
        <v>1</v>
      </c>
      <c r="AQ75" s="12">
        <f>'Supply 2024'!AQ76/'Supply 2024'!AQ$76</f>
        <v>1</v>
      </c>
      <c r="AR75" s="12">
        <f>'Supply 2024'!AR76/'Supply 2024'!AR$76</f>
        <v>1</v>
      </c>
      <c r="AS75" s="12">
        <f>'Supply 2024'!AS76/'Supply 2024'!AS$76</f>
        <v>1</v>
      </c>
      <c r="AT75" s="12">
        <f>'Supply 2024'!AT76/'Supply 2024'!AT$76</f>
        <v>1</v>
      </c>
      <c r="AU75" s="12">
        <f>'Supply 2024'!AU76/'Supply 2024'!AU$76</f>
        <v>1</v>
      </c>
      <c r="AV75" s="12">
        <f>'Supply 2024'!AV76/'Supply 2024'!AV$76</f>
        <v>1</v>
      </c>
      <c r="AW75" s="12">
        <f>'Supply 2024'!AW76/'Supply 2024'!AW$76</f>
        <v>1</v>
      </c>
      <c r="AX75" s="12">
        <f>'Supply 2024'!AX76/'Supply 2024'!AX$76</f>
        <v>1</v>
      </c>
      <c r="AY75" s="12">
        <f>'Supply 2024'!AY76/'Supply 2024'!AY$76</f>
        <v>1</v>
      </c>
      <c r="AZ75" s="12">
        <f>'Supply 2024'!AZ76/'Supply 2024'!AZ$76</f>
        <v>1</v>
      </c>
      <c r="BA75" s="12">
        <f>'Supply 2024'!BA76/'Supply 2024'!BA$76</f>
        <v>1</v>
      </c>
      <c r="BB75" s="12">
        <f>'Supply 2024'!BB76/'Supply 2024'!BB$76</f>
        <v>1</v>
      </c>
      <c r="BC75" s="12">
        <f>'Supply 2024'!BC76/'Supply 2024'!BC$76</f>
        <v>1</v>
      </c>
      <c r="BD75" s="12">
        <f>'Supply 2024'!BD76/'Supply 2024'!BD$76</f>
        <v>1</v>
      </c>
      <c r="BE75" s="12">
        <f>'Supply 2024'!BE76/'Supply 2024'!BE$76</f>
        <v>1</v>
      </c>
      <c r="BF75" s="12">
        <f>'Supply 2024'!BF76/'Supply 2024'!BF$76</f>
        <v>1</v>
      </c>
      <c r="BG75" s="12">
        <f>'Supply 2024'!BG76/'Supply 2024'!BG$76</f>
        <v>1</v>
      </c>
      <c r="BH75" s="12">
        <f>'Supply 2024'!BH76/'Supply 2024'!BH$76</f>
        <v>1</v>
      </c>
      <c r="BI75" s="12">
        <f>'Supply 2024'!BI76/'Supply 2024'!BI$76</f>
        <v>1</v>
      </c>
      <c r="BJ75" s="12">
        <f>'Supply 2024'!BJ76/'Supply 2024'!BJ$76</f>
        <v>1</v>
      </c>
      <c r="BK75" s="12">
        <f>'Supply 2024'!BK76/'Supply 2024'!BK$76</f>
        <v>1</v>
      </c>
      <c r="BL75" s="12">
        <f>'Supply 2024'!BL76/'Supply 2024'!BL$76</f>
        <v>1</v>
      </c>
      <c r="BM75" s="12">
        <f>'Supply 2024'!BM76/'Supply 2024'!BM$76</f>
        <v>1</v>
      </c>
      <c r="BN75" s="12">
        <f>'Supply 2024'!BN76/'Supply 2024'!BN$76</f>
        <v>1</v>
      </c>
      <c r="BO75" s="12">
        <f>'Supply 2024'!BO76/'Supply 2024'!BO$76</f>
        <v>1</v>
      </c>
      <c r="BP75" s="12">
        <f>'Supply 2024'!BP76/'Supply 2024'!BP$76</f>
        <v>1</v>
      </c>
      <c r="BQ75" s="12">
        <f>'Supply 2024'!BQ76/'Supply 2024'!BQ$76</f>
        <v>1</v>
      </c>
      <c r="BR75" s="12">
        <f>'Supply 2024'!BR76/'Supply 2024'!BR$76</f>
        <v>1</v>
      </c>
      <c r="BS75" s="12">
        <f>'Supply 2024'!BS76/'Supply 2024'!BS$76</f>
        <v>1</v>
      </c>
      <c r="BT75" s="12">
        <f>'Supply 2024'!BT76/'Supply 2024'!BT$76</f>
        <v>1</v>
      </c>
      <c r="BU75" s="12">
        <f>'Supply 2024'!BU76/'Supply 2024'!BU$76</f>
        <v>1</v>
      </c>
      <c r="BV75" s="12">
        <f>'Supply 2024'!BV76/'Supply 2024'!BV$76</f>
        <v>1</v>
      </c>
      <c r="BW75" s="12">
        <f>'Supply 2024'!BW76/'Supply 2024'!BW$76</f>
        <v>1</v>
      </c>
      <c r="BX75" s="12">
        <f>'Supply 2024'!BX76/'Supply 2024'!BX$76</f>
        <v>1</v>
      </c>
      <c r="BY75" s="12">
        <f>'Supply 2024'!BY76/'Supply 2024'!BY$76</f>
        <v>1</v>
      </c>
      <c r="BZ75" s="12">
        <f>'Supply 2024'!BZ76/'Supply 2024'!BZ$76</f>
        <v>1</v>
      </c>
      <c r="CA75" s="12" t="e">
        <f>'Supply 2024'!CA76/'Supply 2024'!CA$76</f>
        <v>#DIV/0!</v>
      </c>
      <c r="CB75" s="12">
        <f>'Supply 2024'!CB76/'Supply 2024'!CB$76</f>
        <v>1</v>
      </c>
      <c r="CC75" s="12">
        <f>'Supply 2024'!CC76/'Supply 2024'!CC$76</f>
        <v>1</v>
      </c>
      <c r="CD75" s="12">
        <f>'Supply 2024'!CD76/'Supply 2024'!CD$76</f>
        <v>1</v>
      </c>
      <c r="CE75" s="12">
        <f>'Supply 2024'!CE76/'Supply 2024'!CE$76</f>
        <v>1</v>
      </c>
      <c r="CF75" s="12">
        <f>'Supply 2024'!CF76/'Supply 2024'!CF$76</f>
        <v>1</v>
      </c>
      <c r="CG75" s="12">
        <f>'Supply 2024'!CG76/'Supply 2024'!CG$76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4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20" sqref="C20"/>
    </sheetView>
  </sheetViews>
  <sheetFormatPr defaultRowHeight="15" x14ac:dyDescent="0.25"/>
  <cols>
    <col min="1" max="1" width="11.140625" customWidth="1"/>
    <col min="2" max="2" width="44.85546875" customWidth="1"/>
    <col min="3" max="3" width="14.28515625" customWidth="1"/>
    <col min="4" max="4" width="15.85546875" customWidth="1"/>
    <col min="76" max="76" width="19.28515625" customWidth="1"/>
    <col min="77" max="77" width="16.7109375" style="2" customWidth="1"/>
  </cols>
  <sheetData>
    <row r="1" spans="1:95" x14ac:dyDescent="0.25">
      <c r="A1" t="s">
        <v>92</v>
      </c>
      <c r="B1" t="s">
        <v>0</v>
      </c>
      <c r="C1" t="s">
        <v>365</v>
      </c>
      <c r="D1" t="s">
        <v>392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s="2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</row>
    <row r="2" spans="1:95" x14ac:dyDescent="0.25">
      <c r="A2" t="s">
        <v>1</v>
      </c>
      <c r="B2" t="s">
        <v>94</v>
      </c>
      <c r="C2">
        <f>IFERROR(BY2/D2, 0)</f>
        <v>0.3039247402428869</v>
      </c>
      <c r="D2" s="10">
        <f>BX2+BY2</f>
        <v>812971</v>
      </c>
      <c r="E2" s="1">
        <v>144746</v>
      </c>
      <c r="F2" s="1">
        <v>163</v>
      </c>
      <c r="G2" s="1">
        <v>0</v>
      </c>
      <c r="H2" s="1">
        <v>38</v>
      </c>
      <c r="I2" s="1">
        <v>18</v>
      </c>
      <c r="J2" s="1">
        <v>0</v>
      </c>
      <c r="K2" s="1">
        <v>3493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125</v>
      </c>
      <c r="W2" s="1">
        <v>377534</v>
      </c>
      <c r="X2" s="1">
        <v>1082</v>
      </c>
      <c r="Y2" s="1">
        <v>0</v>
      </c>
      <c r="Z2" s="1">
        <v>0</v>
      </c>
      <c r="AA2" s="1">
        <v>0</v>
      </c>
      <c r="AB2" s="1">
        <v>0</v>
      </c>
      <c r="AC2" s="1">
        <v>16315</v>
      </c>
      <c r="AD2" s="1">
        <v>0</v>
      </c>
      <c r="AE2" s="1">
        <v>1174</v>
      </c>
      <c r="AF2" s="1">
        <v>410</v>
      </c>
      <c r="AG2" s="1">
        <v>1121</v>
      </c>
      <c r="AH2" s="1">
        <v>242</v>
      </c>
      <c r="AI2" s="1">
        <v>206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62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2</v>
      </c>
      <c r="BB2" s="1">
        <v>0</v>
      </c>
      <c r="BC2" s="1">
        <v>1</v>
      </c>
      <c r="BD2" s="1">
        <v>0</v>
      </c>
      <c r="BE2" s="1">
        <v>1174</v>
      </c>
      <c r="BF2" s="1">
        <v>45</v>
      </c>
      <c r="BG2" s="1">
        <v>1560</v>
      </c>
      <c r="BH2" s="1">
        <v>0</v>
      </c>
      <c r="BI2" s="1">
        <v>331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483</v>
      </c>
      <c r="BP2" s="1">
        <v>80</v>
      </c>
      <c r="BQ2" s="1">
        <v>8441</v>
      </c>
      <c r="BR2" s="1">
        <v>14</v>
      </c>
      <c r="BS2" s="1">
        <v>69</v>
      </c>
      <c r="BT2" s="1">
        <v>110</v>
      </c>
      <c r="BU2" s="1">
        <v>0</v>
      </c>
      <c r="BV2" s="1">
        <v>6851</v>
      </c>
      <c r="BW2" s="1">
        <v>0</v>
      </c>
      <c r="BX2" s="1">
        <v>565889</v>
      </c>
      <c r="BY2" s="9">
        <v>247082</v>
      </c>
      <c r="BZ2" s="1">
        <v>0</v>
      </c>
      <c r="CA2" s="1">
        <v>0</v>
      </c>
      <c r="CB2" s="1">
        <v>0</v>
      </c>
      <c r="CC2" s="1">
        <v>0</v>
      </c>
      <c r="CD2" s="1">
        <v>281</v>
      </c>
      <c r="CE2" s="1">
        <v>70632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</row>
    <row r="3" spans="1:95" x14ac:dyDescent="0.25">
      <c r="A3" t="s">
        <v>2</v>
      </c>
      <c r="B3" t="s">
        <v>95</v>
      </c>
      <c r="C3">
        <f t="shared" ref="C3:C66" si="0">IFERROR(BY3/D3, 0)</f>
        <v>0.12448957565073483</v>
      </c>
      <c r="D3" s="10">
        <f t="shared" ref="D3:D66" si="1">BX3+BY3</f>
        <v>111182</v>
      </c>
      <c r="E3" s="1">
        <v>31647</v>
      </c>
      <c r="F3" s="1">
        <v>9457</v>
      </c>
      <c r="G3" s="1">
        <v>0</v>
      </c>
      <c r="H3" s="1">
        <v>139</v>
      </c>
      <c r="I3" s="1">
        <v>0</v>
      </c>
      <c r="J3" s="1">
        <v>0</v>
      </c>
      <c r="K3" s="1">
        <v>0</v>
      </c>
      <c r="L3" s="1">
        <v>23738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137</v>
      </c>
      <c r="V3" s="1">
        <v>339</v>
      </c>
      <c r="W3" s="1">
        <v>8379</v>
      </c>
      <c r="X3" s="1">
        <v>0</v>
      </c>
      <c r="Y3" s="1">
        <v>118</v>
      </c>
      <c r="Z3" s="1">
        <v>4922</v>
      </c>
      <c r="AA3" s="1">
        <v>37</v>
      </c>
      <c r="AB3" s="1">
        <v>0</v>
      </c>
      <c r="AC3" s="1">
        <v>512</v>
      </c>
      <c r="AD3" s="1">
        <v>2313</v>
      </c>
      <c r="AE3" s="1">
        <v>0</v>
      </c>
      <c r="AF3" s="1">
        <v>0</v>
      </c>
      <c r="AG3" s="1">
        <v>566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246</v>
      </c>
      <c r="BF3" s="1">
        <v>27</v>
      </c>
      <c r="BG3" s="1">
        <v>6</v>
      </c>
      <c r="BH3" s="1">
        <v>0</v>
      </c>
      <c r="BI3" s="1">
        <v>45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376</v>
      </c>
      <c r="BP3" s="1">
        <v>357</v>
      </c>
      <c r="BQ3" s="1">
        <v>7388</v>
      </c>
      <c r="BR3" s="1">
        <v>100</v>
      </c>
      <c r="BS3" s="1">
        <v>0</v>
      </c>
      <c r="BT3" s="1">
        <v>19</v>
      </c>
      <c r="BU3" s="1">
        <v>15</v>
      </c>
      <c r="BV3" s="1">
        <v>6456</v>
      </c>
      <c r="BW3" s="1">
        <v>0</v>
      </c>
      <c r="BX3" s="1">
        <v>97341</v>
      </c>
      <c r="BY3" s="9">
        <v>13841</v>
      </c>
      <c r="BZ3" s="1">
        <v>0</v>
      </c>
      <c r="CA3" s="1">
        <v>0</v>
      </c>
      <c r="CB3" s="1">
        <v>0</v>
      </c>
      <c r="CC3" s="1">
        <v>0</v>
      </c>
      <c r="CD3" s="1">
        <v>464</v>
      </c>
      <c r="CE3" s="1">
        <v>6751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</row>
    <row r="4" spans="1:95" x14ac:dyDescent="0.25">
      <c r="A4" t="s">
        <v>3</v>
      </c>
      <c r="B4" t="s">
        <v>96</v>
      </c>
      <c r="C4">
        <f t="shared" si="0"/>
        <v>0</v>
      </c>
      <c r="D4" s="10">
        <f t="shared" si="1"/>
        <v>516161</v>
      </c>
      <c r="E4" s="1">
        <v>0</v>
      </c>
      <c r="F4" s="1">
        <v>0</v>
      </c>
      <c r="G4" s="1">
        <v>38396</v>
      </c>
      <c r="H4" s="1">
        <v>19</v>
      </c>
      <c r="I4" s="1">
        <v>71</v>
      </c>
      <c r="J4" s="1">
        <v>31670</v>
      </c>
      <c r="K4" s="1">
        <v>0</v>
      </c>
      <c r="L4" s="1">
        <v>28</v>
      </c>
      <c r="M4" s="1">
        <v>9</v>
      </c>
      <c r="N4" s="1">
        <v>14</v>
      </c>
      <c r="O4" s="1">
        <v>8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25</v>
      </c>
      <c r="X4" s="1">
        <v>0</v>
      </c>
      <c r="Y4" s="1">
        <v>0</v>
      </c>
      <c r="Z4" s="1">
        <v>15</v>
      </c>
      <c r="AA4" s="1">
        <v>5</v>
      </c>
      <c r="AB4" s="1">
        <v>397943</v>
      </c>
      <c r="AC4" s="1">
        <v>14632</v>
      </c>
      <c r="AD4" s="1">
        <v>26</v>
      </c>
      <c r="AE4" s="1">
        <v>78</v>
      </c>
      <c r="AF4" s="1">
        <v>47</v>
      </c>
      <c r="AG4" s="1">
        <v>13</v>
      </c>
      <c r="AH4" s="1">
        <v>11</v>
      </c>
      <c r="AI4" s="1">
        <v>127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74</v>
      </c>
      <c r="AP4" s="1">
        <v>0</v>
      </c>
      <c r="AQ4" s="1">
        <v>604</v>
      </c>
      <c r="AR4" s="1">
        <v>407</v>
      </c>
      <c r="AS4" s="1">
        <v>32</v>
      </c>
      <c r="AT4" s="1">
        <v>42</v>
      </c>
      <c r="AU4" s="1">
        <v>205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187</v>
      </c>
      <c r="BB4" s="1">
        <v>0</v>
      </c>
      <c r="BC4" s="1">
        <v>0</v>
      </c>
      <c r="BD4" s="1">
        <v>7</v>
      </c>
      <c r="BE4" s="1">
        <v>106</v>
      </c>
      <c r="BF4" s="1">
        <v>19</v>
      </c>
      <c r="BG4" s="1">
        <v>24</v>
      </c>
      <c r="BH4" s="1">
        <v>88</v>
      </c>
      <c r="BI4" s="1">
        <v>1654</v>
      </c>
      <c r="BJ4" s="1">
        <v>705</v>
      </c>
      <c r="BK4" s="1">
        <v>15</v>
      </c>
      <c r="BL4" s="1">
        <v>30</v>
      </c>
      <c r="BM4" s="1">
        <v>41</v>
      </c>
      <c r="BN4" s="1">
        <v>35</v>
      </c>
      <c r="BO4" s="1">
        <v>252</v>
      </c>
      <c r="BP4" s="1">
        <v>44</v>
      </c>
      <c r="BQ4" s="1">
        <v>30</v>
      </c>
      <c r="BR4" s="1">
        <v>196</v>
      </c>
      <c r="BS4" s="1">
        <v>0</v>
      </c>
      <c r="BT4" s="1">
        <v>0</v>
      </c>
      <c r="BU4" s="1">
        <v>1172</v>
      </c>
      <c r="BV4" s="1">
        <v>0</v>
      </c>
      <c r="BW4" s="1">
        <v>27057</v>
      </c>
      <c r="BX4" s="1">
        <v>516161</v>
      </c>
      <c r="BY4" s="9">
        <v>0</v>
      </c>
      <c r="BZ4" s="1">
        <v>0</v>
      </c>
      <c r="CA4" s="1">
        <v>0</v>
      </c>
      <c r="CB4" s="1">
        <v>0</v>
      </c>
      <c r="CC4" s="1">
        <v>0</v>
      </c>
      <c r="CD4" s="1">
        <v>-951</v>
      </c>
      <c r="CE4" s="1">
        <v>145749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</row>
    <row r="5" spans="1:95" x14ac:dyDescent="0.25">
      <c r="A5" t="s">
        <v>4</v>
      </c>
      <c r="B5" t="s">
        <v>97</v>
      </c>
      <c r="C5">
        <f t="shared" si="0"/>
        <v>2.9328394875089763E-3</v>
      </c>
      <c r="D5" s="10">
        <f t="shared" si="1"/>
        <v>132295</v>
      </c>
      <c r="E5" s="1">
        <v>1984</v>
      </c>
      <c r="F5" s="1">
        <v>0</v>
      </c>
      <c r="G5" s="1">
        <v>90</v>
      </c>
      <c r="H5" s="1">
        <v>11728</v>
      </c>
      <c r="I5" s="1">
        <v>154</v>
      </c>
      <c r="J5" s="1">
        <v>7755</v>
      </c>
      <c r="K5" s="1">
        <v>34975</v>
      </c>
      <c r="L5" s="1">
        <v>11</v>
      </c>
      <c r="M5" s="1">
        <v>17329</v>
      </c>
      <c r="N5" s="1">
        <v>16593</v>
      </c>
      <c r="O5" s="1">
        <v>582</v>
      </c>
      <c r="P5" s="1">
        <v>104</v>
      </c>
      <c r="Q5" s="1">
        <v>5</v>
      </c>
      <c r="R5" s="1">
        <v>93</v>
      </c>
      <c r="S5" s="1">
        <v>92</v>
      </c>
      <c r="T5" s="1">
        <v>109</v>
      </c>
      <c r="U5" s="1">
        <v>17</v>
      </c>
      <c r="V5" s="1">
        <v>155</v>
      </c>
      <c r="W5" s="1">
        <v>1530</v>
      </c>
      <c r="X5" s="1">
        <v>33</v>
      </c>
      <c r="Y5" s="1">
        <v>0</v>
      </c>
      <c r="Z5" s="1">
        <v>1586</v>
      </c>
      <c r="AA5" s="1">
        <v>0</v>
      </c>
      <c r="AB5" s="1">
        <v>2818</v>
      </c>
      <c r="AC5" s="1">
        <v>6299</v>
      </c>
      <c r="AD5" s="1">
        <v>140</v>
      </c>
      <c r="AE5" s="1">
        <v>27</v>
      </c>
      <c r="AF5" s="1">
        <v>0</v>
      </c>
      <c r="AG5" s="1">
        <v>0</v>
      </c>
      <c r="AH5" s="1">
        <v>0</v>
      </c>
      <c r="AI5" s="1">
        <v>3</v>
      </c>
      <c r="AJ5" s="1">
        <v>0</v>
      </c>
      <c r="AK5" s="1">
        <v>127</v>
      </c>
      <c r="AL5" s="1">
        <v>0</v>
      </c>
      <c r="AM5" s="1">
        <v>8</v>
      </c>
      <c r="AN5" s="1">
        <v>0</v>
      </c>
      <c r="AO5" s="1">
        <v>0</v>
      </c>
      <c r="AP5" s="1">
        <v>1</v>
      </c>
      <c r="AQ5" s="1">
        <v>2</v>
      </c>
      <c r="AR5" s="1">
        <v>21</v>
      </c>
      <c r="AS5" s="1">
        <v>18</v>
      </c>
      <c r="AT5" s="1">
        <v>203</v>
      </c>
      <c r="AU5" s="1">
        <v>1833</v>
      </c>
      <c r="AV5" s="1">
        <v>0</v>
      </c>
      <c r="AW5" s="1">
        <v>0</v>
      </c>
      <c r="AX5" s="1">
        <v>0</v>
      </c>
      <c r="AY5" s="1">
        <v>0</v>
      </c>
      <c r="AZ5" s="1">
        <v>8</v>
      </c>
      <c r="BA5" s="1">
        <v>0</v>
      </c>
      <c r="BB5" s="1">
        <v>0</v>
      </c>
      <c r="BC5" s="1">
        <v>0</v>
      </c>
      <c r="BD5" s="1">
        <v>0</v>
      </c>
      <c r="BE5" s="1">
        <v>1800</v>
      </c>
      <c r="BF5" s="1">
        <v>41</v>
      </c>
      <c r="BG5" s="1">
        <v>1311</v>
      </c>
      <c r="BH5" s="1">
        <v>78</v>
      </c>
      <c r="BI5" s="1">
        <v>831</v>
      </c>
      <c r="BJ5" s="1">
        <v>0</v>
      </c>
      <c r="BK5" s="1">
        <v>33</v>
      </c>
      <c r="BL5" s="1">
        <v>51</v>
      </c>
      <c r="BM5" s="1">
        <v>293</v>
      </c>
      <c r="BN5" s="1">
        <v>539</v>
      </c>
      <c r="BO5" s="1">
        <v>1075</v>
      </c>
      <c r="BP5" s="1">
        <v>180</v>
      </c>
      <c r="BQ5" s="1">
        <v>1225</v>
      </c>
      <c r="BR5" s="1">
        <v>1703</v>
      </c>
      <c r="BS5" s="1">
        <v>0</v>
      </c>
      <c r="BT5" s="1">
        <v>4660</v>
      </c>
      <c r="BU5" s="1">
        <v>0</v>
      </c>
      <c r="BV5" s="1">
        <v>3221</v>
      </c>
      <c r="BW5" s="1">
        <v>8432</v>
      </c>
      <c r="BX5" s="1">
        <v>131907</v>
      </c>
      <c r="BY5" s="9">
        <v>388</v>
      </c>
      <c r="BZ5" s="1">
        <v>0</v>
      </c>
      <c r="CA5" s="1">
        <v>379</v>
      </c>
      <c r="CB5" s="1">
        <v>0</v>
      </c>
      <c r="CC5" s="1">
        <v>0</v>
      </c>
      <c r="CD5" s="1">
        <v>-340</v>
      </c>
      <c r="CE5" s="1">
        <v>29088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</row>
    <row r="6" spans="1:95" x14ac:dyDescent="0.25">
      <c r="A6" t="s">
        <v>5</v>
      </c>
      <c r="B6" t="s">
        <v>98</v>
      </c>
      <c r="C6">
        <f t="shared" si="0"/>
        <v>0</v>
      </c>
      <c r="D6" s="10">
        <f t="shared" si="1"/>
        <v>29371</v>
      </c>
      <c r="E6" s="1">
        <v>0</v>
      </c>
      <c r="F6" s="1">
        <v>0</v>
      </c>
      <c r="G6" s="1">
        <v>24547</v>
      </c>
      <c r="H6" s="1">
        <v>2335</v>
      </c>
      <c r="I6" s="1">
        <v>2454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31</v>
      </c>
      <c r="BF6" s="1">
        <v>4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29371</v>
      </c>
      <c r="BY6" s="9">
        <v>0</v>
      </c>
      <c r="BZ6" s="1">
        <v>96938</v>
      </c>
      <c r="CA6" s="1">
        <v>3314</v>
      </c>
      <c r="CB6" s="1">
        <v>0</v>
      </c>
      <c r="CC6" s="1">
        <v>0</v>
      </c>
      <c r="CD6" s="1">
        <v>-15</v>
      </c>
      <c r="CE6" s="1">
        <v>2129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</row>
    <row r="7" spans="1:95" x14ac:dyDescent="0.25">
      <c r="A7" t="s">
        <v>6</v>
      </c>
      <c r="B7" t="s">
        <v>99</v>
      </c>
      <c r="C7">
        <f t="shared" si="0"/>
        <v>0.44669651558866386</v>
      </c>
      <c r="D7" s="10">
        <f t="shared" si="1"/>
        <v>829064</v>
      </c>
      <c r="E7" s="1">
        <v>12109</v>
      </c>
      <c r="F7" s="1">
        <v>61</v>
      </c>
      <c r="G7" s="1">
        <v>8400</v>
      </c>
      <c r="H7" s="1">
        <v>3724</v>
      </c>
      <c r="I7" s="1">
        <v>357</v>
      </c>
      <c r="J7" s="1">
        <v>33647</v>
      </c>
      <c r="K7" s="1">
        <v>14763</v>
      </c>
      <c r="L7" s="1">
        <v>2150</v>
      </c>
      <c r="M7" s="1">
        <v>5399</v>
      </c>
      <c r="N7" s="1">
        <v>6601</v>
      </c>
      <c r="O7" s="1">
        <v>5448</v>
      </c>
      <c r="P7" s="1">
        <v>2341</v>
      </c>
      <c r="Q7" s="1">
        <v>1278</v>
      </c>
      <c r="R7" s="1">
        <v>1515</v>
      </c>
      <c r="S7" s="1">
        <v>3374</v>
      </c>
      <c r="T7" s="1">
        <v>2973</v>
      </c>
      <c r="U7" s="1">
        <v>714</v>
      </c>
      <c r="V7" s="1">
        <v>784</v>
      </c>
      <c r="W7" s="1">
        <v>11575</v>
      </c>
      <c r="X7" s="1">
        <v>737</v>
      </c>
      <c r="Y7" s="1">
        <v>229</v>
      </c>
      <c r="Z7" s="1">
        <v>6628</v>
      </c>
      <c r="AA7" s="1">
        <v>1210</v>
      </c>
      <c r="AB7" s="1">
        <v>2494</v>
      </c>
      <c r="AC7" s="1">
        <v>14190</v>
      </c>
      <c r="AD7" s="1">
        <v>5389</v>
      </c>
      <c r="AE7" s="1">
        <v>15680</v>
      </c>
      <c r="AF7" s="1">
        <v>6294</v>
      </c>
      <c r="AG7" s="1">
        <v>8884</v>
      </c>
      <c r="AH7" s="1">
        <v>5778</v>
      </c>
      <c r="AI7" s="1">
        <v>17209</v>
      </c>
      <c r="AJ7" s="1">
        <v>2596</v>
      </c>
      <c r="AK7" s="1">
        <v>80</v>
      </c>
      <c r="AL7" s="1">
        <v>199</v>
      </c>
      <c r="AM7" s="1">
        <v>6664</v>
      </c>
      <c r="AN7" s="1">
        <v>842</v>
      </c>
      <c r="AO7" s="1">
        <v>2310</v>
      </c>
      <c r="AP7" s="1">
        <v>1412</v>
      </c>
      <c r="AQ7" s="1">
        <v>3100</v>
      </c>
      <c r="AR7" s="1">
        <v>1234</v>
      </c>
      <c r="AS7" s="1">
        <v>636</v>
      </c>
      <c r="AT7" s="1">
        <v>9490</v>
      </c>
      <c r="AU7" s="1">
        <v>7643</v>
      </c>
      <c r="AV7" s="1">
        <v>5129</v>
      </c>
      <c r="AW7" s="1">
        <v>2209</v>
      </c>
      <c r="AX7" s="1">
        <v>823</v>
      </c>
      <c r="AY7" s="1">
        <v>3179</v>
      </c>
      <c r="AZ7" s="1">
        <v>149</v>
      </c>
      <c r="BA7" s="1">
        <v>43660</v>
      </c>
      <c r="BB7" s="1">
        <v>2430</v>
      </c>
      <c r="BC7" s="1">
        <v>776</v>
      </c>
      <c r="BD7" s="1">
        <v>1346</v>
      </c>
      <c r="BE7" s="1">
        <v>7734</v>
      </c>
      <c r="BF7" s="1">
        <v>5089</v>
      </c>
      <c r="BG7" s="1">
        <v>4848</v>
      </c>
      <c r="BH7" s="1">
        <v>2493</v>
      </c>
      <c r="BI7" s="1">
        <v>7941</v>
      </c>
      <c r="BJ7" s="1">
        <v>6756</v>
      </c>
      <c r="BK7" s="1">
        <v>10533</v>
      </c>
      <c r="BL7" s="1">
        <v>4786</v>
      </c>
      <c r="BM7" s="1">
        <v>2016</v>
      </c>
      <c r="BN7" s="1">
        <v>1871</v>
      </c>
      <c r="BO7" s="1">
        <v>4866</v>
      </c>
      <c r="BP7" s="1">
        <v>6427</v>
      </c>
      <c r="BQ7" s="1">
        <v>28689</v>
      </c>
      <c r="BR7" s="1">
        <v>10635</v>
      </c>
      <c r="BS7" s="1">
        <v>6047</v>
      </c>
      <c r="BT7" s="1">
        <v>1253</v>
      </c>
      <c r="BU7" s="1">
        <v>2926</v>
      </c>
      <c r="BV7" s="1">
        <v>39495</v>
      </c>
      <c r="BW7" s="1">
        <v>6477</v>
      </c>
      <c r="BX7" s="1">
        <v>458724</v>
      </c>
      <c r="BY7" s="9">
        <v>370340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5053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</row>
    <row r="8" spans="1:95" x14ac:dyDescent="0.25">
      <c r="A8" t="s">
        <v>7</v>
      </c>
      <c r="B8" t="s">
        <v>100</v>
      </c>
      <c r="C8">
        <f t="shared" si="0"/>
        <v>0</v>
      </c>
      <c r="D8" s="10">
        <f t="shared" si="1"/>
        <v>396989</v>
      </c>
      <c r="E8" s="1">
        <v>2130</v>
      </c>
      <c r="F8" s="1">
        <v>30</v>
      </c>
      <c r="G8" s="1">
        <v>381</v>
      </c>
      <c r="H8" s="1">
        <v>3874</v>
      </c>
      <c r="I8" s="1">
        <v>1708</v>
      </c>
      <c r="J8" s="1">
        <v>4965</v>
      </c>
      <c r="K8" s="1">
        <v>620</v>
      </c>
      <c r="L8" s="1">
        <v>496</v>
      </c>
      <c r="M8" s="1">
        <v>1340</v>
      </c>
      <c r="N8" s="1">
        <v>1577</v>
      </c>
      <c r="O8" s="1">
        <v>1721</v>
      </c>
      <c r="P8" s="1">
        <v>878</v>
      </c>
      <c r="Q8" s="1">
        <v>474</v>
      </c>
      <c r="R8" s="1">
        <v>328</v>
      </c>
      <c r="S8" s="1">
        <v>917</v>
      </c>
      <c r="T8" s="1">
        <v>497</v>
      </c>
      <c r="U8" s="1">
        <v>165</v>
      </c>
      <c r="V8" s="1">
        <v>318</v>
      </c>
      <c r="W8" s="1">
        <v>2883</v>
      </c>
      <c r="X8" s="1">
        <v>106</v>
      </c>
      <c r="Y8" s="1">
        <v>4</v>
      </c>
      <c r="Z8" s="1">
        <v>1348</v>
      </c>
      <c r="AA8" s="1">
        <v>331</v>
      </c>
      <c r="AB8" s="1">
        <v>5369</v>
      </c>
      <c r="AC8" s="1">
        <v>2142</v>
      </c>
      <c r="AD8" s="1">
        <v>994</v>
      </c>
      <c r="AE8" s="1">
        <v>5562</v>
      </c>
      <c r="AF8" s="1">
        <v>2578</v>
      </c>
      <c r="AG8" s="1">
        <v>1321</v>
      </c>
      <c r="AH8" s="1">
        <v>2032</v>
      </c>
      <c r="AI8" s="1">
        <v>5189</v>
      </c>
      <c r="AJ8" s="1">
        <v>445</v>
      </c>
      <c r="AK8" s="1">
        <v>2990</v>
      </c>
      <c r="AL8" s="1">
        <v>63</v>
      </c>
      <c r="AM8" s="1">
        <v>683</v>
      </c>
      <c r="AN8" s="1">
        <v>815</v>
      </c>
      <c r="AO8" s="1">
        <v>2718</v>
      </c>
      <c r="AP8" s="1">
        <v>1070</v>
      </c>
      <c r="AQ8" s="1">
        <v>927</v>
      </c>
      <c r="AR8" s="1">
        <v>597</v>
      </c>
      <c r="AS8" s="1">
        <v>119</v>
      </c>
      <c r="AT8" s="1">
        <v>3261</v>
      </c>
      <c r="AU8" s="1">
        <v>2272</v>
      </c>
      <c r="AV8" s="1">
        <v>7530</v>
      </c>
      <c r="AW8" s="1">
        <v>2735</v>
      </c>
      <c r="AX8" s="1">
        <v>1319</v>
      </c>
      <c r="AY8" s="1">
        <v>218</v>
      </c>
      <c r="AZ8" s="1">
        <v>85174</v>
      </c>
      <c r="BA8" s="1">
        <v>58125</v>
      </c>
      <c r="BB8" s="1">
        <v>1870</v>
      </c>
      <c r="BC8" s="1">
        <v>227</v>
      </c>
      <c r="BD8" s="1">
        <v>116</v>
      </c>
      <c r="BE8" s="1">
        <v>3399</v>
      </c>
      <c r="BF8" s="1">
        <v>1104</v>
      </c>
      <c r="BG8" s="1">
        <v>1221</v>
      </c>
      <c r="BH8" s="1">
        <v>253</v>
      </c>
      <c r="BI8" s="1">
        <v>2327</v>
      </c>
      <c r="BJ8" s="1">
        <v>1158</v>
      </c>
      <c r="BK8" s="1">
        <v>3442</v>
      </c>
      <c r="BL8" s="1">
        <v>866</v>
      </c>
      <c r="BM8" s="1">
        <v>1007</v>
      </c>
      <c r="BN8" s="1">
        <v>417</v>
      </c>
      <c r="BO8" s="1">
        <v>969</v>
      </c>
      <c r="BP8" s="1">
        <v>3067</v>
      </c>
      <c r="BQ8" s="1">
        <v>4426</v>
      </c>
      <c r="BR8" s="1">
        <v>7576</v>
      </c>
      <c r="BS8" s="1">
        <v>13203</v>
      </c>
      <c r="BT8" s="1">
        <v>838</v>
      </c>
      <c r="BU8" s="1">
        <v>628</v>
      </c>
      <c r="BV8" s="1">
        <v>48481</v>
      </c>
      <c r="BW8" s="1">
        <v>77058</v>
      </c>
      <c r="BX8" s="1">
        <v>396989</v>
      </c>
      <c r="BY8" s="9">
        <v>0</v>
      </c>
      <c r="BZ8" s="1">
        <v>797005</v>
      </c>
      <c r="CA8" s="1">
        <v>0</v>
      </c>
      <c r="CB8" s="1">
        <v>0</v>
      </c>
      <c r="CC8" s="1">
        <v>965104</v>
      </c>
      <c r="CD8" s="1">
        <v>0</v>
      </c>
      <c r="CE8" s="1">
        <v>127</v>
      </c>
      <c r="CF8" s="1">
        <v>0</v>
      </c>
      <c r="CG8" s="1">
        <v>17092</v>
      </c>
      <c r="CH8" s="1">
        <v>0</v>
      </c>
      <c r="CI8" s="1">
        <v>0</v>
      </c>
      <c r="CJ8" s="1">
        <v>0</v>
      </c>
      <c r="CK8" s="1">
        <v>20235</v>
      </c>
      <c r="CL8" s="1">
        <v>0</v>
      </c>
      <c r="CM8" s="1">
        <v>0</v>
      </c>
      <c r="CN8" s="1">
        <v>0</v>
      </c>
      <c r="CO8" s="1">
        <v>458026</v>
      </c>
      <c r="CP8" s="1">
        <v>0</v>
      </c>
      <c r="CQ8" s="1">
        <v>0</v>
      </c>
    </row>
    <row r="9" spans="1:95" x14ac:dyDescent="0.25">
      <c r="A9" t="s">
        <v>8</v>
      </c>
      <c r="B9" t="s">
        <v>101</v>
      </c>
      <c r="C9">
        <f t="shared" si="0"/>
        <v>3.8913058923339898E-2</v>
      </c>
      <c r="D9" s="10">
        <f t="shared" si="1"/>
        <v>239277</v>
      </c>
      <c r="E9" s="1">
        <v>1220</v>
      </c>
      <c r="F9" s="1">
        <v>70</v>
      </c>
      <c r="G9" s="1">
        <v>0</v>
      </c>
      <c r="H9" s="1">
        <v>425</v>
      </c>
      <c r="I9" s="1">
        <v>216</v>
      </c>
      <c r="J9" s="1">
        <v>9</v>
      </c>
      <c r="K9" s="1">
        <v>105452</v>
      </c>
      <c r="L9" s="1">
        <v>42622</v>
      </c>
      <c r="M9" s="1">
        <v>368</v>
      </c>
      <c r="N9" s="1">
        <v>628</v>
      </c>
      <c r="O9" s="1">
        <v>266</v>
      </c>
      <c r="P9" s="1">
        <v>988</v>
      </c>
      <c r="Q9" s="1">
        <v>517</v>
      </c>
      <c r="R9" s="1">
        <v>1056</v>
      </c>
      <c r="S9" s="1">
        <v>3979</v>
      </c>
      <c r="T9" s="1">
        <v>242</v>
      </c>
      <c r="U9" s="1">
        <v>8831</v>
      </c>
      <c r="V9" s="1">
        <v>1412</v>
      </c>
      <c r="W9" s="1">
        <v>579</v>
      </c>
      <c r="X9" s="1">
        <v>68</v>
      </c>
      <c r="Y9" s="1">
        <v>1</v>
      </c>
      <c r="Z9" s="1">
        <v>5636</v>
      </c>
      <c r="AA9" s="1">
        <v>2</v>
      </c>
      <c r="AB9" s="1">
        <v>0</v>
      </c>
      <c r="AC9" s="1">
        <v>337</v>
      </c>
      <c r="AD9" s="1">
        <v>2583</v>
      </c>
      <c r="AE9" s="1">
        <v>11733</v>
      </c>
      <c r="AF9" s="1">
        <v>366</v>
      </c>
      <c r="AG9" s="1">
        <v>1034</v>
      </c>
      <c r="AH9" s="1">
        <v>211</v>
      </c>
      <c r="AI9" s="1">
        <v>2172</v>
      </c>
      <c r="AJ9" s="1">
        <v>0</v>
      </c>
      <c r="AK9" s="1">
        <v>4992</v>
      </c>
      <c r="AL9" s="1">
        <v>0</v>
      </c>
      <c r="AM9" s="1">
        <v>357</v>
      </c>
      <c r="AN9" s="1">
        <v>0</v>
      </c>
      <c r="AO9" s="1">
        <v>6</v>
      </c>
      <c r="AP9" s="1">
        <v>93</v>
      </c>
      <c r="AQ9" s="1">
        <v>138</v>
      </c>
      <c r="AR9" s="1">
        <v>56</v>
      </c>
      <c r="AS9" s="1">
        <v>91</v>
      </c>
      <c r="AT9" s="1">
        <v>870</v>
      </c>
      <c r="AU9" s="1">
        <v>2059</v>
      </c>
      <c r="AV9" s="1">
        <v>219</v>
      </c>
      <c r="AW9" s="1">
        <v>9</v>
      </c>
      <c r="AX9" s="1">
        <v>0</v>
      </c>
      <c r="AY9" s="1">
        <v>0</v>
      </c>
      <c r="AZ9" s="1">
        <v>41</v>
      </c>
      <c r="BA9" s="1">
        <v>10183</v>
      </c>
      <c r="BB9" s="1">
        <v>1153</v>
      </c>
      <c r="BC9" s="1">
        <v>14</v>
      </c>
      <c r="BD9" s="1">
        <v>38</v>
      </c>
      <c r="BE9" s="1">
        <v>1145</v>
      </c>
      <c r="BF9" s="1">
        <v>7</v>
      </c>
      <c r="BG9" s="1">
        <v>1395</v>
      </c>
      <c r="BH9" s="1">
        <v>46</v>
      </c>
      <c r="BI9" s="1">
        <v>85</v>
      </c>
      <c r="BJ9" s="1">
        <v>780</v>
      </c>
      <c r="BK9" s="1">
        <v>785</v>
      </c>
      <c r="BL9" s="1">
        <v>7</v>
      </c>
      <c r="BM9" s="1">
        <v>1070</v>
      </c>
      <c r="BN9" s="1">
        <v>14</v>
      </c>
      <c r="BO9" s="1">
        <v>382</v>
      </c>
      <c r="BP9" s="1">
        <v>1499</v>
      </c>
      <c r="BQ9" s="1">
        <v>1810</v>
      </c>
      <c r="BR9" s="1">
        <v>661</v>
      </c>
      <c r="BS9" s="1">
        <v>59</v>
      </c>
      <c r="BT9" s="1">
        <v>112</v>
      </c>
      <c r="BU9" s="1">
        <v>2</v>
      </c>
      <c r="BV9" s="1">
        <v>6187</v>
      </c>
      <c r="BW9" s="1">
        <v>579</v>
      </c>
      <c r="BX9" s="1">
        <v>229966</v>
      </c>
      <c r="BY9" s="9">
        <v>9311</v>
      </c>
      <c r="BZ9" s="1">
        <v>608</v>
      </c>
      <c r="CA9" s="1">
        <v>0</v>
      </c>
      <c r="CB9" s="1">
        <v>0</v>
      </c>
      <c r="CC9" s="1">
        <v>18762</v>
      </c>
      <c r="CD9" s="1">
        <v>1460</v>
      </c>
      <c r="CE9" s="1">
        <v>6228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19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</row>
    <row r="10" spans="1:95" x14ac:dyDescent="0.25">
      <c r="A10" t="s">
        <v>9</v>
      </c>
      <c r="B10" t="s">
        <v>102</v>
      </c>
      <c r="C10">
        <f t="shared" si="0"/>
        <v>0.10096296422545294</v>
      </c>
      <c r="D10" s="10">
        <f t="shared" si="1"/>
        <v>293365</v>
      </c>
      <c r="E10" s="1">
        <v>26</v>
      </c>
      <c r="F10" s="1">
        <v>109</v>
      </c>
      <c r="G10" s="1">
        <v>2289</v>
      </c>
      <c r="H10" s="1">
        <v>743</v>
      </c>
      <c r="I10" s="1">
        <v>984</v>
      </c>
      <c r="J10" s="1">
        <v>42</v>
      </c>
      <c r="K10" s="1">
        <v>155061</v>
      </c>
      <c r="L10" s="1">
        <v>1295</v>
      </c>
      <c r="M10" s="1">
        <v>27523</v>
      </c>
      <c r="N10" s="1">
        <v>4072</v>
      </c>
      <c r="O10" s="1">
        <v>2045</v>
      </c>
      <c r="P10" s="1">
        <v>1769</v>
      </c>
      <c r="Q10" s="1">
        <v>313</v>
      </c>
      <c r="R10" s="1">
        <v>2343</v>
      </c>
      <c r="S10" s="1">
        <v>9081</v>
      </c>
      <c r="T10" s="1">
        <v>360</v>
      </c>
      <c r="U10" s="1">
        <v>381</v>
      </c>
      <c r="V10" s="1">
        <v>951</v>
      </c>
      <c r="W10" s="1">
        <v>5001</v>
      </c>
      <c r="X10" s="1">
        <v>46</v>
      </c>
      <c r="Y10" s="1">
        <v>0</v>
      </c>
      <c r="Z10" s="1">
        <v>540</v>
      </c>
      <c r="AA10" s="1">
        <v>1</v>
      </c>
      <c r="AB10" s="1">
        <v>1299</v>
      </c>
      <c r="AC10" s="1">
        <v>2064</v>
      </c>
      <c r="AD10" s="1">
        <v>2647</v>
      </c>
      <c r="AE10" s="1">
        <v>132</v>
      </c>
      <c r="AF10" s="1">
        <v>396</v>
      </c>
      <c r="AG10" s="1">
        <v>53</v>
      </c>
      <c r="AH10" s="1">
        <v>466</v>
      </c>
      <c r="AI10" s="1">
        <v>1020</v>
      </c>
      <c r="AJ10" s="1">
        <v>0</v>
      </c>
      <c r="AK10" s="1">
        <v>20</v>
      </c>
      <c r="AL10" s="1">
        <v>0</v>
      </c>
      <c r="AM10" s="1">
        <v>180</v>
      </c>
      <c r="AN10" s="1">
        <v>0</v>
      </c>
      <c r="AO10" s="1">
        <v>0</v>
      </c>
      <c r="AP10" s="1">
        <v>16</v>
      </c>
      <c r="AQ10" s="1">
        <v>71</v>
      </c>
      <c r="AR10" s="1">
        <v>3</v>
      </c>
      <c r="AS10" s="1">
        <v>2</v>
      </c>
      <c r="AT10" s="1">
        <v>2340</v>
      </c>
      <c r="AU10" s="1">
        <v>1005</v>
      </c>
      <c r="AV10" s="1">
        <v>35</v>
      </c>
      <c r="AW10" s="1">
        <v>60</v>
      </c>
      <c r="AX10" s="1">
        <v>80</v>
      </c>
      <c r="AY10" s="1">
        <v>0</v>
      </c>
      <c r="AZ10" s="1">
        <v>147</v>
      </c>
      <c r="BA10" s="1">
        <v>68</v>
      </c>
      <c r="BB10" s="1">
        <v>1474</v>
      </c>
      <c r="BC10" s="1">
        <v>0</v>
      </c>
      <c r="BD10" s="1">
        <v>262</v>
      </c>
      <c r="BE10" s="1">
        <v>6960</v>
      </c>
      <c r="BF10" s="1">
        <v>36</v>
      </c>
      <c r="BG10" s="1">
        <v>1280</v>
      </c>
      <c r="BH10" s="1">
        <v>376</v>
      </c>
      <c r="BI10" s="1">
        <v>135</v>
      </c>
      <c r="BJ10" s="1">
        <v>4064</v>
      </c>
      <c r="BK10" s="1">
        <v>4078</v>
      </c>
      <c r="BL10" s="1">
        <v>218</v>
      </c>
      <c r="BM10" s="1">
        <v>905</v>
      </c>
      <c r="BN10" s="1">
        <v>16</v>
      </c>
      <c r="BO10" s="1">
        <v>238</v>
      </c>
      <c r="BP10" s="1">
        <v>128</v>
      </c>
      <c r="BQ10" s="1">
        <v>3953</v>
      </c>
      <c r="BR10" s="1">
        <v>2671</v>
      </c>
      <c r="BS10" s="1">
        <v>162</v>
      </c>
      <c r="BT10" s="1">
        <v>990</v>
      </c>
      <c r="BU10" s="1">
        <v>0</v>
      </c>
      <c r="BV10" s="1">
        <v>3038</v>
      </c>
      <c r="BW10" s="1">
        <v>5684</v>
      </c>
      <c r="BX10" s="1">
        <v>263746</v>
      </c>
      <c r="BY10" s="9">
        <v>29619</v>
      </c>
      <c r="BZ10" s="1">
        <v>0</v>
      </c>
      <c r="CA10" s="1">
        <v>0</v>
      </c>
      <c r="CB10" s="1">
        <v>0</v>
      </c>
      <c r="CC10" s="1">
        <v>0</v>
      </c>
      <c r="CD10" s="1">
        <v>1227</v>
      </c>
      <c r="CE10" s="1">
        <v>12028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</row>
    <row r="11" spans="1:95" s="2" customFormat="1" x14ac:dyDescent="0.25">
      <c r="A11" s="2" t="s">
        <v>10</v>
      </c>
      <c r="B11" s="2" t="s">
        <v>103</v>
      </c>
      <c r="C11">
        <f t="shared" si="0"/>
        <v>9.3469231169987545E-3</v>
      </c>
      <c r="D11" s="10">
        <f t="shared" si="1"/>
        <v>422278</v>
      </c>
      <c r="E11" s="9">
        <v>99</v>
      </c>
      <c r="F11" s="9">
        <v>0</v>
      </c>
      <c r="G11" s="9">
        <v>10134</v>
      </c>
      <c r="H11" s="9">
        <v>771</v>
      </c>
      <c r="I11" s="9">
        <v>286</v>
      </c>
      <c r="J11" s="9">
        <v>4</v>
      </c>
      <c r="K11" s="9">
        <v>10333</v>
      </c>
      <c r="L11" s="9">
        <v>369</v>
      </c>
      <c r="M11" s="9">
        <v>2828</v>
      </c>
      <c r="N11" s="9">
        <v>97471</v>
      </c>
      <c r="O11" s="9">
        <v>113570</v>
      </c>
      <c r="P11" s="9">
        <v>44259</v>
      </c>
      <c r="Q11" s="9">
        <v>4191</v>
      </c>
      <c r="R11" s="9">
        <v>30765</v>
      </c>
      <c r="S11" s="9">
        <v>60399</v>
      </c>
      <c r="T11" s="9">
        <v>7615</v>
      </c>
      <c r="U11" s="9">
        <v>4552</v>
      </c>
      <c r="V11" s="9">
        <v>5814</v>
      </c>
      <c r="W11" s="9">
        <v>2571</v>
      </c>
      <c r="X11" s="9">
        <v>138</v>
      </c>
      <c r="Y11" s="9">
        <v>0</v>
      </c>
      <c r="Z11" s="9">
        <v>1566</v>
      </c>
      <c r="AA11" s="9">
        <v>25</v>
      </c>
      <c r="AB11" s="9">
        <v>14</v>
      </c>
      <c r="AC11" s="9">
        <v>38</v>
      </c>
      <c r="AD11" s="9">
        <v>2278</v>
      </c>
      <c r="AE11" s="9">
        <v>749</v>
      </c>
      <c r="AF11" s="9">
        <v>9</v>
      </c>
      <c r="AG11" s="9">
        <v>0</v>
      </c>
      <c r="AH11" s="9">
        <v>0</v>
      </c>
      <c r="AI11" s="9">
        <v>723</v>
      </c>
      <c r="AJ11" s="9">
        <v>0</v>
      </c>
      <c r="AK11" s="9">
        <v>813</v>
      </c>
      <c r="AL11" s="9">
        <v>0</v>
      </c>
      <c r="AM11" s="9">
        <v>0</v>
      </c>
      <c r="AN11" s="9">
        <v>0</v>
      </c>
      <c r="AO11" s="9">
        <v>0</v>
      </c>
      <c r="AP11" s="9">
        <v>124</v>
      </c>
      <c r="AQ11" s="9">
        <v>0</v>
      </c>
      <c r="AR11" s="9">
        <v>14</v>
      </c>
      <c r="AS11" s="9">
        <v>9</v>
      </c>
      <c r="AT11" s="9">
        <v>397</v>
      </c>
      <c r="AU11" s="9">
        <v>1397</v>
      </c>
      <c r="AV11" s="9">
        <v>0</v>
      </c>
      <c r="AW11" s="9">
        <v>0</v>
      </c>
      <c r="AX11" s="9">
        <v>0</v>
      </c>
      <c r="AY11" s="9">
        <v>0</v>
      </c>
      <c r="AZ11" s="9">
        <v>2</v>
      </c>
      <c r="BA11" s="9">
        <v>3955</v>
      </c>
      <c r="BB11" s="9">
        <v>194</v>
      </c>
      <c r="BC11" s="9">
        <v>0</v>
      </c>
      <c r="BD11" s="9">
        <v>0</v>
      </c>
      <c r="BE11" s="9">
        <v>1987</v>
      </c>
      <c r="BF11" s="9">
        <v>45</v>
      </c>
      <c r="BG11" s="9">
        <v>904</v>
      </c>
      <c r="BH11" s="9">
        <v>362</v>
      </c>
      <c r="BI11" s="9">
        <v>409</v>
      </c>
      <c r="BJ11" s="9">
        <v>252</v>
      </c>
      <c r="BK11" s="9">
        <v>47</v>
      </c>
      <c r="BL11" s="9">
        <v>23</v>
      </c>
      <c r="BM11" s="9">
        <v>460</v>
      </c>
      <c r="BN11" s="9">
        <v>38</v>
      </c>
      <c r="BO11" s="9">
        <v>594</v>
      </c>
      <c r="BP11" s="9">
        <v>43</v>
      </c>
      <c r="BQ11" s="9">
        <v>275</v>
      </c>
      <c r="BR11" s="9">
        <v>1005</v>
      </c>
      <c r="BS11" s="9">
        <v>707</v>
      </c>
      <c r="BT11" s="9">
        <v>1363</v>
      </c>
      <c r="BU11" s="9">
        <v>0</v>
      </c>
      <c r="BV11" s="9">
        <v>164</v>
      </c>
      <c r="BW11" s="9">
        <v>1174</v>
      </c>
      <c r="BX11" s="9">
        <v>418331</v>
      </c>
      <c r="BY11" s="9">
        <v>3947</v>
      </c>
      <c r="BZ11" s="9">
        <v>0</v>
      </c>
      <c r="CA11" s="9">
        <v>0</v>
      </c>
      <c r="CB11" s="9">
        <v>0</v>
      </c>
      <c r="CC11" s="9">
        <v>0</v>
      </c>
      <c r="CD11" s="9">
        <v>-502</v>
      </c>
      <c r="CE11" s="9">
        <v>39960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</row>
    <row r="12" spans="1:95" x14ac:dyDescent="0.25">
      <c r="A12" t="s">
        <v>11</v>
      </c>
      <c r="B12" t="s">
        <v>104</v>
      </c>
      <c r="C12">
        <f t="shared" si="0"/>
        <v>0.14844529400239012</v>
      </c>
      <c r="D12" s="10">
        <f t="shared" si="1"/>
        <v>668583</v>
      </c>
      <c r="E12" s="1">
        <v>1995</v>
      </c>
      <c r="F12" s="1">
        <v>217</v>
      </c>
      <c r="G12" s="1">
        <v>14854</v>
      </c>
      <c r="H12" s="1">
        <v>1339</v>
      </c>
      <c r="I12" s="1">
        <v>758</v>
      </c>
      <c r="J12" s="1">
        <v>1293</v>
      </c>
      <c r="K12" s="1">
        <v>194169</v>
      </c>
      <c r="L12" s="1">
        <v>4740</v>
      </c>
      <c r="M12" s="1">
        <v>3221</v>
      </c>
      <c r="N12" s="1">
        <v>7005</v>
      </c>
      <c r="O12" s="1">
        <v>52490</v>
      </c>
      <c r="P12" s="1">
        <v>27516</v>
      </c>
      <c r="Q12" s="1">
        <v>7912</v>
      </c>
      <c r="R12" s="1">
        <v>18392</v>
      </c>
      <c r="S12" s="1">
        <v>32491</v>
      </c>
      <c r="T12" s="1">
        <v>15350</v>
      </c>
      <c r="U12" s="1">
        <v>5993</v>
      </c>
      <c r="V12" s="1">
        <v>4609</v>
      </c>
      <c r="W12" s="1">
        <v>22978</v>
      </c>
      <c r="X12" s="1">
        <v>509</v>
      </c>
      <c r="Y12" s="1">
        <v>62</v>
      </c>
      <c r="Z12" s="1">
        <v>6535</v>
      </c>
      <c r="AA12" s="1">
        <v>1049</v>
      </c>
      <c r="AB12" s="1">
        <v>569</v>
      </c>
      <c r="AC12" s="1">
        <v>9646</v>
      </c>
      <c r="AD12" s="1">
        <v>9692</v>
      </c>
      <c r="AE12" s="1">
        <v>4484</v>
      </c>
      <c r="AF12" s="1">
        <v>645</v>
      </c>
      <c r="AG12" s="1">
        <v>365</v>
      </c>
      <c r="AH12" s="1">
        <v>231</v>
      </c>
      <c r="AI12" s="1">
        <v>3069</v>
      </c>
      <c r="AJ12" s="1">
        <v>339</v>
      </c>
      <c r="AK12" s="1">
        <v>401</v>
      </c>
      <c r="AL12" s="1">
        <v>1804</v>
      </c>
      <c r="AM12" s="1">
        <v>2221</v>
      </c>
      <c r="AN12" s="1">
        <v>816</v>
      </c>
      <c r="AO12" s="1">
        <v>2334</v>
      </c>
      <c r="AP12" s="1">
        <v>470</v>
      </c>
      <c r="AQ12" s="1">
        <v>1094</v>
      </c>
      <c r="AR12" s="1">
        <v>881</v>
      </c>
      <c r="AS12" s="1">
        <v>48</v>
      </c>
      <c r="AT12" s="1">
        <v>11513</v>
      </c>
      <c r="AU12" s="1">
        <v>3739</v>
      </c>
      <c r="AV12" s="1">
        <v>459</v>
      </c>
      <c r="AW12" s="1">
        <v>369</v>
      </c>
      <c r="AX12" s="1">
        <v>0</v>
      </c>
      <c r="AY12" s="1">
        <v>37</v>
      </c>
      <c r="AZ12" s="1">
        <v>38</v>
      </c>
      <c r="BA12" s="1">
        <v>1975</v>
      </c>
      <c r="BB12" s="1">
        <v>3762</v>
      </c>
      <c r="BC12" s="1">
        <v>33</v>
      </c>
      <c r="BD12" s="1">
        <v>3697</v>
      </c>
      <c r="BE12" s="1">
        <v>8837</v>
      </c>
      <c r="BF12" s="1">
        <v>679</v>
      </c>
      <c r="BG12" s="1">
        <v>4255</v>
      </c>
      <c r="BH12" s="1">
        <v>4791</v>
      </c>
      <c r="BI12" s="1">
        <v>635</v>
      </c>
      <c r="BJ12" s="1">
        <v>638</v>
      </c>
      <c r="BK12" s="1">
        <v>2865</v>
      </c>
      <c r="BL12" s="1">
        <v>48</v>
      </c>
      <c r="BM12" s="1">
        <v>4390</v>
      </c>
      <c r="BN12" s="1">
        <v>94</v>
      </c>
      <c r="BO12" s="1">
        <v>1122</v>
      </c>
      <c r="BP12" s="1">
        <v>2720</v>
      </c>
      <c r="BQ12" s="1">
        <v>6062</v>
      </c>
      <c r="BR12" s="1">
        <v>7823</v>
      </c>
      <c r="BS12" s="1">
        <v>13122</v>
      </c>
      <c r="BT12" s="1">
        <v>2207</v>
      </c>
      <c r="BU12" s="1">
        <v>216</v>
      </c>
      <c r="BV12" s="1">
        <v>6848</v>
      </c>
      <c r="BW12" s="1">
        <v>11776</v>
      </c>
      <c r="BX12" s="1">
        <v>569335</v>
      </c>
      <c r="BY12" s="9">
        <v>99248</v>
      </c>
      <c r="BZ12" s="1">
        <v>0</v>
      </c>
      <c r="CA12" s="1">
        <v>19742</v>
      </c>
      <c r="CB12" s="1">
        <v>0</v>
      </c>
      <c r="CC12" s="1">
        <v>0</v>
      </c>
      <c r="CD12" s="1">
        <v>2641</v>
      </c>
      <c r="CE12" s="1">
        <v>53268</v>
      </c>
      <c r="CF12" s="1">
        <v>0</v>
      </c>
      <c r="CG12" s="1">
        <v>0</v>
      </c>
      <c r="CH12" s="1">
        <v>93</v>
      </c>
      <c r="CI12" s="1">
        <v>0</v>
      </c>
      <c r="CJ12" s="1">
        <v>0</v>
      </c>
      <c r="CK12" s="1">
        <v>0</v>
      </c>
      <c r="CL12" s="1">
        <v>76</v>
      </c>
      <c r="CM12" s="1">
        <v>0</v>
      </c>
      <c r="CN12" s="1">
        <v>0</v>
      </c>
      <c r="CO12" s="1">
        <v>0</v>
      </c>
      <c r="CP12" s="1">
        <v>113</v>
      </c>
      <c r="CQ12" s="1">
        <v>0</v>
      </c>
    </row>
    <row r="13" spans="1:95" x14ac:dyDescent="0.25">
      <c r="A13" t="s">
        <v>12</v>
      </c>
      <c r="B13" t="s">
        <v>105</v>
      </c>
      <c r="C13">
        <f t="shared" si="0"/>
        <v>0.13890233412345215</v>
      </c>
      <c r="D13" s="10">
        <f t="shared" si="1"/>
        <v>361549</v>
      </c>
      <c r="E13" s="1">
        <v>4018</v>
      </c>
      <c r="F13" s="1">
        <v>37</v>
      </c>
      <c r="G13" s="1">
        <v>16801</v>
      </c>
      <c r="H13" s="1">
        <v>5816</v>
      </c>
      <c r="I13" s="1">
        <v>4335</v>
      </c>
      <c r="J13" s="1">
        <v>933</v>
      </c>
      <c r="K13" s="1">
        <v>73186</v>
      </c>
      <c r="L13" s="1">
        <v>801</v>
      </c>
      <c r="M13" s="1">
        <v>244</v>
      </c>
      <c r="N13" s="1">
        <v>2278</v>
      </c>
      <c r="O13" s="1">
        <v>6981</v>
      </c>
      <c r="P13" s="1">
        <v>43504</v>
      </c>
      <c r="Q13" s="1">
        <v>401</v>
      </c>
      <c r="R13" s="1">
        <v>3428</v>
      </c>
      <c r="S13" s="1">
        <v>44654</v>
      </c>
      <c r="T13" s="1">
        <v>3938</v>
      </c>
      <c r="U13" s="1">
        <v>207</v>
      </c>
      <c r="V13" s="1">
        <v>657</v>
      </c>
      <c r="W13" s="1">
        <v>7957</v>
      </c>
      <c r="X13" s="1">
        <v>39</v>
      </c>
      <c r="Y13" s="1">
        <v>2</v>
      </c>
      <c r="Z13" s="1">
        <v>1243</v>
      </c>
      <c r="AA13" s="1">
        <v>1815</v>
      </c>
      <c r="AB13" s="1">
        <v>72</v>
      </c>
      <c r="AC13" s="1">
        <v>7115</v>
      </c>
      <c r="AD13" s="1">
        <v>3943</v>
      </c>
      <c r="AE13" s="1">
        <v>3234</v>
      </c>
      <c r="AF13" s="1">
        <v>385</v>
      </c>
      <c r="AG13" s="1">
        <v>161</v>
      </c>
      <c r="AH13" s="1">
        <v>107</v>
      </c>
      <c r="AI13" s="1">
        <v>967</v>
      </c>
      <c r="AJ13" s="1">
        <v>22</v>
      </c>
      <c r="AK13" s="1">
        <v>77</v>
      </c>
      <c r="AL13" s="1">
        <v>54</v>
      </c>
      <c r="AM13" s="1">
        <v>638</v>
      </c>
      <c r="AN13" s="1">
        <v>96</v>
      </c>
      <c r="AO13" s="1">
        <v>85</v>
      </c>
      <c r="AP13" s="1">
        <v>4004</v>
      </c>
      <c r="AQ13" s="1">
        <v>1769</v>
      </c>
      <c r="AR13" s="1">
        <v>80</v>
      </c>
      <c r="AS13" s="1">
        <v>32</v>
      </c>
      <c r="AT13" s="1">
        <v>1314</v>
      </c>
      <c r="AU13" s="1">
        <v>1961</v>
      </c>
      <c r="AV13" s="1">
        <v>7</v>
      </c>
      <c r="AW13" s="1">
        <v>54</v>
      </c>
      <c r="AX13" s="1">
        <v>483</v>
      </c>
      <c r="AY13" s="1">
        <v>0</v>
      </c>
      <c r="AZ13" s="1">
        <v>89</v>
      </c>
      <c r="BA13" s="1">
        <v>332</v>
      </c>
      <c r="BB13" s="1">
        <v>2220</v>
      </c>
      <c r="BC13" s="1">
        <v>21</v>
      </c>
      <c r="BD13" s="1">
        <v>3153</v>
      </c>
      <c r="BE13" s="1">
        <v>4101</v>
      </c>
      <c r="BF13" s="1">
        <v>525</v>
      </c>
      <c r="BG13" s="1">
        <v>7828</v>
      </c>
      <c r="BH13" s="1">
        <v>6349</v>
      </c>
      <c r="BI13" s="1">
        <v>2881</v>
      </c>
      <c r="BJ13" s="1">
        <v>1892</v>
      </c>
      <c r="BK13" s="1">
        <v>1181</v>
      </c>
      <c r="BL13" s="1">
        <v>219</v>
      </c>
      <c r="BM13" s="1">
        <v>344</v>
      </c>
      <c r="BN13" s="1">
        <v>31</v>
      </c>
      <c r="BO13" s="1">
        <v>452</v>
      </c>
      <c r="BP13" s="1">
        <v>105</v>
      </c>
      <c r="BQ13" s="1">
        <v>1288</v>
      </c>
      <c r="BR13" s="1">
        <v>10730</v>
      </c>
      <c r="BS13" s="1">
        <v>3303</v>
      </c>
      <c r="BT13" s="1">
        <v>777</v>
      </c>
      <c r="BU13" s="1">
        <v>44</v>
      </c>
      <c r="BV13" s="1">
        <v>8710</v>
      </c>
      <c r="BW13" s="1">
        <v>4822</v>
      </c>
      <c r="BX13" s="1">
        <v>311329</v>
      </c>
      <c r="BY13" s="9">
        <v>50220</v>
      </c>
      <c r="BZ13" s="1">
        <v>0</v>
      </c>
      <c r="CA13" s="1">
        <v>433823</v>
      </c>
      <c r="CB13" s="1">
        <v>0</v>
      </c>
      <c r="CC13" s="1">
        <v>0</v>
      </c>
      <c r="CD13" s="1">
        <v>1499</v>
      </c>
      <c r="CE13" s="1">
        <v>146544</v>
      </c>
      <c r="CF13" s="1">
        <v>0</v>
      </c>
      <c r="CG13" s="1">
        <v>0</v>
      </c>
      <c r="CH13" s="1">
        <v>2504</v>
      </c>
      <c r="CI13" s="1">
        <v>0</v>
      </c>
      <c r="CJ13" s="1">
        <v>0</v>
      </c>
      <c r="CK13" s="1">
        <v>0</v>
      </c>
      <c r="CL13" s="1">
        <v>67</v>
      </c>
      <c r="CM13" s="1">
        <v>0</v>
      </c>
      <c r="CN13" s="1">
        <v>0</v>
      </c>
      <c r="CO13" s="1">
        <v>0</v>
      </c>
      <c r="CP13" s="1">
        <v>12648</v>
      </c>
      <c r="CQ13" s="1">
        <v>0</v>
      </c>
    </row>
    <row r="14" spans="1:95" x14ac:dyDescent="0.25">
      <c r="A14" t="s">
        <v>13</v>
      </c>
      <c r="B14" t="s">
        <v>106</v>
      </c>
      <c r="C14">
        <f t="shared" si="0"/>
        <v>0.35107067406383347</v>
      </c>
      <c r="D14" s="10">
        <f t="shared" si="1"/>
        <v>668364</v>
      </c>
      <c r="E14" s="1">
        <v>41</v>
      </c>
      <c r="F14" s="1">
        <v>1</v>
      </c>
      <c r="G14" s="1">
        <v>109</v>
      </c>
      <c r="H14" s="1">
        <v>33</v>
      </c>
      <c r="I14" s="1">
        <v>97</v>
      </c>
      <c r="J14" s="1">
        <v>125</v>
      </c>
      <c r="K14" s="1">
        <v>12961</v>
      </c>
      <c r="L14" s="1">
        <v>1802</v>
      </c>
      <c r="M14" s="1">
        <v>1004</v>
      </c>
      <c r="N14" s="1">
        <v>2232</v>
      </c>
      <c r="O14" s="1">
        <v>7804</v>
      </c>
      <c r="P14" s="1">
        <v>7866</v>
      </c>
      <c r="Q14" s="1">
        <v>46573</v>
      </c>
      <c r="R14" s="1">
        <v>5818</v>
      </c>
      <c r="S14" s="1">
        <v>30150</v>
      </c>
      <c r="T14" s="1">
        <v>23853</v>
      </c>
      <c r="U14" s="1">
        <v>1216</v>
      </c>
      <c r="V14" s="1">
        <v>2126</v>
      </c>
      <c r="W14" s="1">
        <v>4032</v>
      </c>
      <c r="X14" s="1">
        <v>419</v>
      </c>
      <c r="Y14" s="1">
        <v>13</v>
      </c>
      <c r="Z14" s="1">
        <v>1063</v>
      </c>
      <c r="AA14" s="1">
        <v>1309</v>
      </c>
      <c r="AB14" s="1">
        <v>207</v>
      </c>
      <c r="AC14" s="1">
        <v>5910</v>
      </c>
      <c r="AD14" s="1">
        <v>2990</v>
      </c>
      <c r="AE14" s="1">
        <v>65653</v>
      </c>
      <c r="AF14" s="1">
        <v>2107</v>
      </c>
      <c r="AG14" s="1">
        <v>602</v>
      </c>
      <c r="AH14" s="1">
        <v>535</v>
      </c>
      <c r="AI14" s="1">
        <v>3085</v>
      </c>
      <c r="AJ14" s="1">
        <v>8</v>
      </c>
      <c r="AK14" s="1">
        <v>65</v>
      </c>
      <c r="AL14" s="1">
        <v>1</v>
      </c>
      <c r="AM14" s="1">
        <v>333</v>
      </c>
      <c r="AN14" s="1">
        <v>2</v>
      </c>
      <c r="AO14" s="1">
        <v>8</v>
      </c>
      <c r="AP14" s="1">
        <v>87</v>
      </c>
      <c r="AQ14" s="1">
        <v>160</v>
      </c>
      <c r="AR14" s="1">
        <v>3571</v>
      </c>
      <c r="AS14" s="1">
        <v>691</v>
      </c>
      <c r="AT14" s="1">
        <v>37994</v>
      </c>
      <c r="AU14" s="1">
        <v>11504</v>
      </c>
      <c r="AV14" s="1">
        <v>1928</v>
      </c>
      <c r="AW14" s="1">
        <v>3505</v>
      </c>
      <c r="AX14" s="1">
        <v>27</v>
      </c>
      <c r="AY14" s="1">
        <v>1883</v>
      </c>
      <c r="AZ14" s="1">
        <v>1</v>
      </c>
      <c r="BA14" s="1">
        <v>686</v>
      </c>
      <c r="BB14" s="1">
        <v>379</v>
      </c>
      <c r="BC14" s="1">
        <v>2711</v>
      </c>
      <c r="BD14" s="1">
        <v>8326</v>
      </c>
      <c r="BE14" s="1">
        <v>16370</v>
      </c>
      <c r="BF14" s="1">
        <v>27799</v>
      </c>
      <c r="BG14" s="1">
        <v>8015</v>
      </c>
      <c r="BH14" s="1">
        <v>1097</v>
      </c>
      <c r="BI14" s="1">
        <v>1620</v>
      </c>
      <c r="BJ14" s="1">
        <v>14250</v>
      </c>
      <c r="BK14" s="1">
        <v>1936</v>
      </c>
      <c r="BL14" s="1">
        <v>275</v>
      </c>
      <c r="BM14" s="1">
        <v>826</v>
      </c>
      <c r="BN14" s="1">
        <v>45</v>
      </c>
      <c r="BO14" s="1">
        <v>320</v>
      </c>
      <c r="BP14" s="1">
        <v>462</v>
      </c>
      <c r="BQ14" s="1">
        <v>356</v>
      </c>
      <c r="BR14" s="1">
        <v>5120</v>
      </c>
      <c r="BS14" s="1">
        <v>32765</v>
      </c>
      <c r="BT14" s="1">
        <v>9464</v>
      </c>
      <c r="BU14" s="1">
        <v>0</v>
      </c>
      <c r="BV14" s="1">
        <v>4395</v>
      </c>
      <c r="BW14" s="1">
        <v>3002</v>
      </c>
      <c r="BX14" s="1">
        <v>433721</v>
      </c>
      <c r="BY14" s="9">
        <v>234643</v>
      </c>
      <c r="BZ14" s="1">
        <v>0</v>
      </c>
      <c r="CA14" s="1">
        <v>336423</v>
      </c>
      <c r="CB14" s="1">
        <v>0</v>
      </c>
      <c r="CC14" s="1">
        <v>491</v>
      </c>
      <c r="CD14" s="1">
        <v>1609</v>
      </c>
      <c r="CE14" s="1">
        <v>145433</v>
      </c>
      <c r="CF14" s="1">
        <v>0</v>
      </c>
      <c r="CG14" s="1">
        <v>0</v>
      </c>
      <c r="CH14" s="1">
        <v>21772</v>
      </c>
      <c r="CI14" s="1">
        <v>0</v>
      </c>
      <c r="CJ14" s="1">
        <v>0</v>
      </c>
      <c r="CK14" s="1">
        <v>0</v>
      </c>
      <c r="CL14" s="1">
        <v>1508</v>
      </c>
      <c r="CM14" s="1">
        <v>0</v>
      </c>
      <c r="CN14" s="1">
        <v>0</v>
      </c>
      <c r="CO14" s="1">
        <v>0</v>
      </c>
      <c r="CP14" s="1">
        <v>4231</v>
      </c>
      <c r="CQ14" s="1">
        <v>0</v>
      </c>
    </row>
    <row r="15" spans="1:95" x14ac:dyDescent="0.25">
      <c r="A15" t="s">
        <v>14</v>
      </c>
      <c r="B15" t="s">
        <v>107</v>
      </c>
      <c r="C15">
        <f t="shared" si="0"/>
        <v>0.41382012321509443</v>
      </c>
      <c r="D15" s="10">
        <f t="shared" si="1"/>
        <v>417319</v>
      </c>
      <c r="E15" s="1">
        <v>5671</v>
      </c>
      <c r="F15" s="1">
        <v>53</v>
      </c>
      <c r="G15" s="1">
        <v>236</v>
      </c>
      <c r="H15" s="1">
        <v>49</v>
      </c>
      <c r="I15" s="1">
        <v>540</v>
      </c>
      <c r="J15" s="1">
        <v>23</v>
      </c>
      <c r="K15" s="1">
        <v>88844</v>
      </c>
      <c r="L15" s="1">
        <v>679</v>
      </c>
      <c r="M15" s="1">
        <v>198</v>
      </c>
      <c r="N15" s="1">
        <v>2268</v>
      </c>
      <c r="O15" s="1">
        <v>4938</v>
      </c>
      <c r="P15" s="1">
        <v>21811</v>
      </c>
      <c r="Q15" s="1">
        <v>2991</v>
      </c>
      <c r="R15" s="1">
        <v>16701</v>
      </c>
      <c r="S15" s="1">
        <v>16377</v>
      </c>
      <c r="T15" s="1">
        <v>1730</v>
      </c>
      <c r="U15" s="1">
        <v>156</v>
      </c>
      <c r="V15" s="1">
        <v>961</v>
      </c>
      <c r="W15" s="1">
        <v>2405</v>
      </c>
      <c r="X15" s="1">
        <v>65</v>
      </c>
      <c r="Y15" s="1">
        <v>4</v>
      </c>
      <c r="Z15" s="1">
        <v>784</v>
      </c>
      <c r="AA15" s="1">
        <v>136</v>
      </c>
      <c r="AB15" s="1">
        <v>92</v>
      </c>
      <c r="AC15" s="1">
        <v>1560</v>
      </c>
      <c r="AD15" s="1">
        <v>1254</v>
      </c>
      <c r="AE15" s="1">
        <v>7850</v>
      </c>
      <c r="AF15" s="1">
        <v>739</v>
      </c>
      <c r="AG15" s="1">
        <v>148</v>
      </c>
      <c r="AH15" s="1">
        <v>598</v>
      </c>
      <c r="AI15" s="1">
        <v>512</v>
      </c>
      <c r="AJ15" s="1">
        <v>3</v>
      </c>
      <c r="AK15" s="1">
        <v>296</v>
      </c>
      <c r="AL15" s="1">
        <v>31</v>
      </c>
      <c r="AM15" s="1">
        <v>204</v>
      </c>
      <c r="AN15" s="1">
        <v>231</v>
      </c>
      <c r="AO15" s="1">
        <v>5</v>
      </c>
      <c r="AP15" s="1">
        <v>51</v>
      </c>
      <c r="AQ15" s="1">
        <v>224</v>
      </c>
      <c r="AR15" s="1">
        <v>9</v>
      </c>
      <c r="AS15" s="1">
        <v>0</v>
      </c>
      <c r="AT15" s="1">
        <v>4843</v>
      </c>
      <c r="AU15" s="1">
        <v>512</v>
      </c>
      <c r="AV15" s="1">
        <v>218</v>
      </c>
      <c r="AW15" s="1">
        <v>148</v>
      </c>
      <c r="AX15" s="1">
        <v>115</v>
      </c>
      <c r="AY15" s="1">
        <v>0</v>
      </c>
      <c r="AZ15" s="1">
        <v>10</v>
      </c>
      <c r="BA15" s="1">
        <v>1249</v>
      </c>
      <c r="BB15" s="1">
        <v>872</v>
      </c>
      <c r="BC15" s="1">
        <v>0</v>
      </c>
      <c r="BD15" s="1">
        <v>4137</v>
      </c>
      <c r="BE15" s="1">
        <v>8374</v>
      </c>
      <c r="BF15" s="1">
        <v>182</v>
      </c>
      <c r="BG15" s="1">
        <v>2797</v>
      </c>
      <c r="BH15" s="1">
        <v>1939</v>
      </c>
      <c r="BI15" s="1">
        <v>498</v>
      </c>
      <c r="BJ15" s="1">
        <v>39</v>
      </c>
      <c r="BK15" s="1">
        <v>1359</v>
      </c>
      <c r="BL15" s="1">
        <v>866</v>
      </c>
      <c r="BM15" s="1">
        <v>1661</v>
      </c>
      <c r="BN15" s="1">
        <v>57</v>
      </c>
      <c r="BO15" s="1">
        <v>1194</v>
      </c>
      <c r="BP15" s="1">
        <v>926</v>
      </c>
      <c r="BQ15" s="1">
        <v>1154</v>
      </c>
      <c r="BR15" s="1">
        <v>7323</v>
      </c>
      <c r="BS15" s="1">
        <v>5930</v>
      </c>
      <c r="BT15" s="1">
        <v>7027</v>
      </c>
      <c r="BU15" s="1">
        <v>99</v>
      </c>
      <c r="BV15" s="1">
        <v>2604</v>
      </c>
      <c r="BW15" s="1">
        <v>7063</v>
      </c>
      <c r="BX15" s="1">
        <v>244624</v>
      </c>
      <c r="BY15" s="9">
        <v>172695</v>
      </c>
      <c r="BZ15" s="1">
        <v>0</v>
      </c>
      <c r="CA15" s="1">
        <v>72063</v>
      </c>
      <c r="CB15" s="1">
        <v>0</v>
      </c>
      <c r="CC15" s="1">
        <v>16069</v>
      </c>
      <c r="CD15" s="1">
        <v>402</v>
      </c>
      <c r="CE15" s="1">
        <v>50869</v>
      </c>
      <c r="CF15" s="1">
        <v>0</v>
      </c>
      <c r="CG15" s="1">
        <v>0</v>
      </c>
      <c r="CH15" s="1">
        <v>836</v>
      </c>
      <c r="CI15" s="1">
        <v>0</v>
      </c>
      <c r="CJ15" s="1">
        <v>0</v>
      </c>
      <c r="CK15" s="1">
        <v>0</v>
      </c>
      <c r="CL15" s="1">
        <v>74</v>
      </c>
      <c r="CM15" s="1">
        <v>0</v>
      </c>
      <c r="CN15" s="1">
        <v>0</v>
      </c>
      <c r="CO15" s="1">
        <v>0</v>
      </c>
      <c r="CP15" s="1">
        <v>780</v>
      </c>
      <c r="CQ15" s="1">
        <v>0</v>
      </c>
    </row>
    <row r="16" spans="1:95" x14ac:dyDescent="0.25">
      <c r="A16" t="s">
        <v>15</v>
      </c>
      <c r="B16" t="s">
        <v>108</v>
      </c>
      <c r="C16">
        <f t="shared" si="0"/>
        <v>0.4980869358001333</v>
      </c>
      <c r="D16" s="10">
        <f t="shared" si="1"/>
        <v>973569</v>
      </c>
      <c r="E16" s="1">
        <v>1487</v>
      </c>
      <c r="F16" s="1">
        <v>77</v>
      </c>
      <c r="G16" s="1">
        <v>1897</v>
      </c>
      <c r="H16" s="1">
        <v>1190</v>
      </c>
      <c r="I16" s="1">
        <v>489</v>
      </c>
      <c r="J16" s="1">
        <v>49</v>
      </c>
      <c r="K16" s="1">
        <v>4685</v>
      </c>
      <c r="L16" s="1">
        <v>3524</v>
      </c>
      <c r="M16" s="1">
        <v>1057</v>
      </c>
      <c r="N16" s="1">
        <v>1403</v>
      </c>
      <c r="O16" s="1">
        <v>2466</v>
      </c>
      <c r="P16" s="1">
        <v>15807</v>
      </c>
      <c r="Q16" s="1">
        <v>1337</v>
      </c>
      <c r="R16" s="1">
        <v>1182</v>
      </c>
      <c r="S16" s="1">
        <v>265581</v>
      </c>
      <c r="T16" s="1">
        <v>4316</v>
      </c>
      <c r="U16" s="1">
        <v>710</v>
      </c>
      <c r="V16" s="1">
        <v>1025</v>
      </c>
      <c r="W16" s="1">
        <v>7796</v>
      </c>
      <c r="X16" s="1">
        <v>100</v>
      </c>
      <c r="Y16" s="1">
        <v>3</v>
      </c>
      <c r="Z16" s="1">
        <v>2151</v>
      </c>
      <c r="AA16" s="1">
        <v>249</v>
      </c>
      <c r="AB16" s="1">
        <v>133</v>
      </c>
      <c r="AC16" s="1">
        <v>1971</v>
      </c>
      <c r="AD16" s="1">
        <v>995</v>
      </c>
      <c r="AE16" s="1">
        <v>11836</v>
      </c>
      <c r="AF16" s="1">
        <v>9822</v>
      </c>
      <c r="AG16" s="1">
        <v>2984</v>
      </c>
      <c r="AH16" s="1">
        <v>565</v>
      </c>
      <c r="AI16" s="1">
        <v>9091</v>
      </c>
      <c r="AJ16" s="1">
        <v>0</v>
      </c>
      <c r="AK16" s="1">
        <v>88</v>
      </c>
      <c r="AL16" s="1">
        <v>0</v>
      </c>
      <c r="AM16" s="1">
        <v>10708</v>
      </c>
      <c r="AN16" s="1">
        <v>1239</v>
      </c>
      <c r="AO16" s="1">
        <v>1</v>
      </c>
      <c r="AP16" s="1">
        <v>182</v>
      </c>
      <c r="AQ16" s="1">
        <v>1872</v>
      </c>
      <c r="AR16" s="1">
        <v>321</v>
      </c>
      <c r="AS16" s="1">
        <v>135</v>
      </c>
      <c r="AT16" s="1">
        <v>1261</v>
      </c>
      <c r="AU16" s="1">
        <v>1005</v>
      </c>
      <c r="AV16" s="1">
        <v>193</v>
      </c>
      <c r="AW16" s="1">
        <v>46</v>
      </c>
      <c r="AX16" s="1">
        <v>0</v>
      </c>
      <c r="AY16" s="1">
        <v>0</v>
      </c>
      <c r="AZ16" s="1">
        <v>0</v>
      </c>
      <c r="BA16" s="1">
        <v>0</v>
      </c>
      <c r="BB16" s="1">
        <v>5846</v>
      </c>
      <c r="BC16" s="1">
        <v>0</v>
      </c>
      <c r="BD16" s="1">
        <v>173</v>
      </c>
      <c r="BE16" s="1">
        <v>5405</v>
      </c>
      <c r="BF16" s="1">
        <v>809</v>
      </c>
      <c r="BG16" s="1">
        <v>26016</v>
      </c>
      <c r="BH16" s="1">
        <v>2350</v>
      </c>
      <c r="BI16" s="1">
        <v>2147</v>
      </c>
      <c r="BJ16" s="1">
        <v>1340</v>
      </c>
      <c r="BK16" s="1">
        <v>3196</v>
      </c>
      <c r="BL16" s="1">
        <v>243</v>
      </c>
      <c r="BM16" s="1">
        <v>3581</v>
      </c>
      <c r="BN16" s="1">
        <v>249</v>
      </c>
      <c r="BO16" s="1">
        <v>299</v>
      </c>
      <c r="BP16" s="1">
        <v>301</v>
      </c>
      <c r="BQ16" s="1">
        <v>2527</v>
      </c>
      <c r="BR16" s="1">
        <v>23319</v>
      </c>
      <c r="BS16" s="1">
        <v>14790</v>
      </c>
      <c r="BT16" s="1">
        <v>345</v>
      </c>
      <c r="BU16" s="1">
        <v>3753</v>
      </c>
      <c r="BV16" s="1">
        <v>15942</v>
      </c>
      <c r="BW16" s="1">
        <v>2987</v>
      </c>
      <c r="BX16" s="1">
        <v>488647</v>
      </c>
      <c r="BY16" s="9">
        <v>484922</v>
      </c>
      <c r="BZ16" s="1">
        <v>0</v>
      </c>
      <c r="CA16" s="1">
        <v>405803</v>
      </c>
      <c r="CB16" s="1">
        <v>0</v>
      </c>
      <c r="CC16" s="1">
        <v>0</v>
      </c>
      <c r="CD16" s="1">
        <v>17643</v>
      </c>
      <c r="CE16" s="1">
        <v>128178</v>
      </c>
      <c r="CF16" s="1">
        <v>0</v>
      </c>
      <c r="CG16" s="1">
        <v>0</v>
      </c>
      <c r="CH16" s="1">
        <v>42349</v>
      </c>
      <c r="CI16" s="1">
        <v>0</v>
      </c>
      <c r="CJ16" s="1">
        <v>0</v>
      </c>
      <c r="CK16" s="1">
        <v>0</v>
      </c>
      <c r="CL16" s="1">
        <v>20292</v>
      </c>
      <c r="CM16" s="1">
        <v>0</v>
      </c>
      <c r="CN16" s="1">
        <v>0</v>
      </c>
      <c r="CO16" s="1">
        <v>0</v>
      </c>
      <c r="CP16" s="1">
        <v>63409</v>
      </c>
      <c r="CQ16" s="1">
        <v>0</v>
      </c>
    </row>
    <row r="17" spans="1:95" x14ac:dyDescent="0.25">
      <c r="A17" t="s">
        <v>16</v>
      </c>
      <c r="B17" t="s">
        <v>109</v>
      </c>
      <c r="C17">
        <f t="shared" si="0"/>
        <v>0.28670752818977213</v>
      </c>
      <c r="D17" s="10">
        <f t="shared" si="1"/>
        <v>213730</v>
      </c>
      <c r="E17" s="1">
        <v>0</v>
      </c>
      <c r="F17" s="1">
        <v>1</v>
      </c>
      <c r="G17" s="1">
        <v>0</v>
      </c>
      <c r="H17" s="1">
        <v>1</v>
      </c>
      <c r="I17" s="1">
        <v>0</v>
      </c>
      <c r="J17" s="1">
        <v>0</v>
      </c>
      <c r="K17" s="1">
        <v>8</v>
      </c>
      <c r="L17" s="1">
        <v>22</v>
      </c>
      <c r="M17" s="1">
        <v>0</v>
      </c>
      <c r="N17" s="1">
        <v>0</v>
      </c>
      <c r="O17" s="1">
        <v>90</v>
      </c>
      <c r="P17" s="1">
        <v>392</v>
      </c>
      <c r="Q17" s="1">
        <v>0</v>
      </c>
      <c r="R17" s="1">
        <v>0</v>
      </c>
      <c r="S17" s="1">
        <v>946</v>
      </c>
      <c r="T17" s="1">
        <v>87166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1679</v>
      </c>
      <c r="AK17" s="1">
        <v>1445</v>
      </c>
      <c r="AL17" s="1">
        <v>1390</v>
      </c>
      <c r="AM17" s="1">
        <v>28</v>
      </c>
      <c r="AN17" s="1">
        <v>219</v>
      </c>
      <c r="AO17" s="1">
        <v>0</v>
      </c>
      <c r="AP17" s="1">
        <v>2641</v>
      </c>
      <c r="AQ17" s="1">
        <v>0</v>
      </c>
      <c r="AR17" s="1">
        <v>0</v>
      </c>
      <c r="AS17" s="1">
        <v>0</v>
      </c>
      <c r="AT17" s="1">
        <v>7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2101</v>
      </c>
      <c r="BF17" s="1">
        <v>57</v>
      </c>
      <c r="BG17" s="1">
        <v>99</v>
      </c>
      <c r="BH17" s="1">
        <v>109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128</v>
      </c>
      <c r="BP17" s="1">
        <v>0</v>
      </c>
      <c r="BQ17" s="1">
        <v>0</v>
      </c>
      <c r="BR17" s="1">
        <v>0</v>
      </c>
      <c r="BS17" s="1">
        <v>52232</v>
      </c>
      <c r="BT17" s="1">
        <v>1493</v>
      </c>
      <c r="BU17" s="1">
        <v>6</v>
      </c>
      <c r="BV17" s="1">
        <v>0</v>
      </c>
      <c r="BW17" s="1">
        <v>193</v>
      </c>
      <c r="BX17" s="1">
        <v>152452</v>
      </c>
      <c r="BY17" s="9">
        <v>61278</v>
      </c>
      <c r="BZ17" s="1">
        <v>0</v>
      </c>
      <c r="CA17" s="1">
        <v>74783</v>
      </c>
      <c r="CB17" s="1">
        <v>0</v>
      </c>
      <c r="CC17" s="1">
        <v>0</v>
      </c>
      <c r="CD17" s="1">
        <v>6353</v>
      </c>
      <c r="CE17" s="1">
        <v>120816</v>
      </c>
      <c r="CF17" s="1">
        <v>0</v>
      </c>
      <c r="CG17" s="1">
        <v>0</v>
      </c>
      <c r="CH17" s="1">
        <v>39904</v>
      </c>
      <c r="CI17" s="1">
        <v>0</v>
      </c>
      <c r="CJ17" s="1">
        <v>0</v>
      </c>
      <c r="CK17" s="1">
        <v>0</v>
      </c>
      <c r="CL17" s="1">
        <v>3085</v>
      </c>
      <c r="CM17" s="1">
        <v>0</v>
      </c>
      <c r="CN17" s="1">
        <v>0</v>
      </c>
      <c r="CO17" s="1">
        <v>0</v>
      </c>
      <c r="CP17" s="1">
        <v>275</v>
      </c>
      <c r="CQ17" s="1">
        <v>0</v>
      </c>
    </row>
    <row r="18" spans="1:95" x14ac:dyDescent="0.25">
      <c r="A18" t="s">
        <v>17</v>
      </c>
      <c r="B18" t="s">
        <v>110</v>
      </c>
      <c r="C18">
        <f t="shared" si="0"/>
        <v>0.7183622534436046</v>
      </c>
      <c r="D18" s="10">
        <f t="shared" si="1"/>
        <v>210753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35163</v>
      </c>
      <c r="L18" s="1">
        <v>365</v>
      </c>
      <c r="M18" s="1">
        <v>0</v>
      </c>
      <c r="N18" s="1">
        <v>0</v>
      </c>
      <c r="O18" s="1">
        <v>0</v>
      </c>
      <c r="P18" s="1">
        <v>226</v>
      </c>
      <c r="Q18" s="1">
        <v>156</v>
      </c>
      <c r="R18" s="1">
        <v>2</v>
      </c>
      <c r="S18" s="1">
        <v>24</v>
      </c>
      <c r="T18" s="1">
        <v>13</v>
      </c>
      <c r="U18" s="1">
        <v>4224</v>
      </c>
      <c r="V18" s="1">
        <v>256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312</v>
      </c>
      <c r="AE18" s="1">
        <v>911</v>
      </c>
      <c r="AF18" s="1">
        <v>223</v>
      </c>
      <c r="AG18" s="1">
        <v>0</v>
      </c>
      <c r="AH18" s="1">
        <v>15</v>
      </c>
      <c r="AI18" s="1">
        <v>1836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96</v>
      </c>
      <c r="AU18" s="1">
        <v>431</v>
      </c>
      <c r="AV18" s="1">
        <v>0</v>
      </c>
      <c r="AW18" s="1">
        <v>0</v>
      </c>
      <c r="AX18" s="1">
        <v>0</v>
      </c>
      <c r="AY18" s="1">
        <v>0</v>
      </c>
      <c r="AZ18" s="1">
        <v>7938</v>
      </c>
      <c r="BA18" s="1">
        <v>68</v>
      </c>
      <c r="BB18" s="1">
        <v>0</v>
      </c>
      <c r="BC18" s="1">
        <v>8</v>
      </c>
      <c r="BD18" s="1">
        <v>3</v>
      </c>
      <c r="BE18" s="1">
        <v>634</v>
      </c>
      <c r="BF18" s="1">
        <v>7</v>
      </c>
      <c r="BG18" s="1">
        <v>4</v>
      </c>
      <c r="BH18" s="1">
        <v>0</v>
      </c>
      <c r="BI18" s="1">
        <v>0</v>
      </c>
      <c r="BJ18" s="1">
        <v>463</v>
      </c>
      <c r="BK18" s="1">
        <v>161</v>
      </c>
      <c r="BL18" s="1">
        <v>1</v>
      </c>
      <c r="BM18" s="1">
        <v>323</v>
      </c>
      <c r="BN18" s="1">
        <v>1226</v>
      </c>
      <c r="BO18" s="1">
        <v>757</v>
      </c>
      <c r="BP18" s="1">
        <v>3</v>
      </c>
      <c r="BQ18" s="1">
        <v>439</v>
      </c>
      <c r="BR18" s="1">
        <v>600</v>
      </c>
      <c r="BS18" s="1">
        <v>0</v>
      </c>
      <c r="BT18" s="1">
        <v>0</v>
      </c>
      <c r="BU18" s="1">
        <v>44</v>
      </c>
      <c r="BV18" s="1">
        <v>25</v>
      </c>
      <c r="BW18" s="1">
        <v>2398</v>
      </c>
      <c r="BX18" s="1">
        <v>59356</v>
      </c>
      <c r="BY18" s="9">
        <v>151397</v>
      </c>
      <c r="BZ18" s="1">
        <v>0</v>
      </c>
      <c r="CA18" s="1">
        <v>46256</v>
      </c>
      <c r="CB18" s="1">
        <v>0</v>
      </c>
      <c r="CC18" s="1">
        <v>1239</v>
      </c>
      <c r="CD18" s="1">
        <v>165</v>
      </c>
      <c r="CE18" s="1">
        <v>5404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</v>
      </c>
      <c r="CM18" s="1">
        <v>0</v>
      </c>
      <c r="CN18" s="1">
        <v>0</v>
      </c>
      <c r="CO18" s="1">
        <v>0</v>
      </c>
      <c r="CP18" s="1">
        <v>814</v>
      </c>
      <c r="CQ18" s="1">
        <v>0</v>
      </c>
    </row>
    <row r="19" spans="1:95" x14ac:dyDescent="0.25">
      <c r="A19" t="s">
        <v>18</v>
      </c>
      <c r="B19" t="s">
        <v>111</v>
      </c>
      <c r="C19">
        <f t="shared" si="0"/>
        <v>0.74968226083715628</v>
      </c>
      <c r="D19" s="10">
        <f t="shared" si="1"/>
        <v>477593</v>
      </c>
      <c r="E19" s="1">
        <v>114</v>
      </c>
      <c r="F19" s="1">
        <v>1</v>
      </c>
      <c r="G19" s="1">
        <v>74</v>
      </c>
      <c r="H19" s="1">
        <v>43</v>
      </c>
      <c r="I19" s="1">
        <v>18</v>
      </c>
      <c r="J19" s="1">
        <v>0</v>
      </c>
      <c r="K19" s="1">
        <v>2341</v>
      </c>
      <c r="L19" s="1">
        <v>32</v>
      </c>
      <c r="M19" s="1">
        <v>77</v>
      </c>
      <c r="N19" s="1">
        <v>38</v>
      </c>
      <c r="O19" s="1">
        <v>95</v>
      </c>
      <c r="P19" s="1">
        <v>2491</v>
      </c>
      <c r="Q19" s="1">
        <v>1</v>
      </c>
      <c r="R19" s="1">
        <v>711</v>
      </c>
      <c r="S19" s="1">
        <v>3226</v>
      </c>
      <c r="T19" s="1">
        <v>12</v>
      </c>
      <c r="U19" s="1">
        <v>6</v>
      </c>
      <c r="V19" s="1">
        <v>5830</v>
      </c>
      <c r="W19" s="1">
        <v>57</v>
      </c>
      <c r="X19" s="1">
        <v>8</v>
      </c>
      <c r="Y19" s="1">
        <v>156</v>
      </c>
      <c r="Z19" s="1">
        <v>0</v>
      </c>
      <c r="AA19" s="1">
        <v>5</v>
      </c>
      <c r="AB19" s="1">
        <v>1</v>
      </c>
      <c r="AC19" s="1">
        <v>454</v>
      </c>
      <c r="AD19" s="1">
        <v>218</v>
      </c>
      <c r="AE19" s="1">
        <v>1227</v>
      </c>
      <c r="AF19" s="1">
        <v>533</v>
      </c>
      <c r="AG19" s="1">
        <v>184</v>
      </c>
      <c r="AH19" s="1">
        <v>5</v>
      </c>
      <c r="AI19" s="1">
        <v>1281</v>
      </c>
      <c r="AJ19" s="1">
        <v>0</v>
      </c>
      <c r="AK19" s="1">
        <v>2</v>
      </c>
      <c r="AL19" s="1">
        <v>0</v>
      </c>
      <c r="AM19" s="1">
        <v>13</v>
      </c>
      <c r="AN19" s="1">
        <v>26</v>
      </c>
      <c r="AO19" s="1">
        <v>0</v>
      </c>
      <c r="AP19" s="1">
        <v>126</v>
      </c>
      <c r="AQ19" s="1">
        <v>152</v>
      </c>
      <c r="AR19" s="1">
        <v>5</v>
      </c>
      <c r="AS19" s="1">
        <v>4</v>
      </c>
      <c r="AT19" s="1">
        <v>86</v>
      </c>
      <c r="AU19" s="1">
        <v>113</v>
      </c>
      <c r="AV19" s="1">
        <v>86</v>
      </c>
      <c r="AW19" s="1">
        <v>55</v>
      </c>
      <c r="AX19" s="1">
        <v>22</v>
      </c>
      <c r="AY19" s="1">
        <v>0</v>
      </c>
      <c r="AZ19" s="1">
        <v>0</v>
      </c>
      <c r="BA19" s="1">
        <v>329</v>
      </c>
      <c r="BB19" s="1">
        <v>99</v>
      </c>
      <c r="BC19" s="1">
        <v>10</v>
      </c>
      <c r="BD19" s="1">
        <v>20</v>
      </c>
      <c r="BE19" s="1">
        <v>3050</v>
      </c>
      <c r="BF19" s="1">
        <v>8</v>
      </c>
      <c r="BG19" s="1">
        <v>3052</v>
      </c>
      <c r="BH19" s="1">
        <v>477</v>
      </c>
      <c r="BI19" s="1">
        <v>364</v>
      </c>
      <c r="BJ19" s="1">
        <v>29990</v>
      </c>
      <c r="BK19" s="1">
        <v>40713</v>
      </c>
      <c r="BL19" s="1">
        <v>674</v>
      </c>
      <c r="BM19" s="1">
        <v>1516</v>
      </c>
      <c r="BN19" s="1">
        <v>353</v>
      </c>
      <c r="BO19" s="1">
        <v>258</v>
      </c>
      <c r="BP19" s="1">
        <v>45</v>
      </c>
      <c r="BQ19" s="1">
        <v>1397</v>
      </c>
      <c r="BR19" s="1">
        <v>4439</v>
      </c>
      <c r="BS19" s="1">
        <v>3015</v>
      </c>
      <c r="BT19" s="1">
        <v>580</v>
      </c>
      <c r="BU19" s="1">
        <v>0</v>
      </c>
      <c r="BV19" s="1">
        <v>9117</v>
      </c>
      <c r="BW19" s="1">
        <v>113</v>
      </c>
      <c r="BX19" s="1">
        <v>119550</v>
      </c>
      <c r="BY19" s="9">
        <v>358043</v>
      </c>
      <c r="BZ19" s="1">
        <v>0</v>
      </c>
      <c r="CA19" s="1">
        <v>81109</v>
      </c>
      <c r="CB19" s="1">
        <v>0</v>
      </c>
      <c r="CC19" s="1">
        <v>0</v>
      </c>
      <c r="CD19" s="1">
        <v>1232</v>
      </c>
      <c r="CE19" s="1">
        <v>53466</v>
      </c>
      <c r="CF19" s="1">
        <v>0</v>
      </c>
      <c r="CG19" s="1">
        <v>0</v>
      </c>
      <c r="CH19" s="1">
        <v>64</v>
      </c>
      <c r="CI19" s="1">
        <v>0</v>
      </c>
      <c r="CJ19" s="1">
        <v>0</v>
      </c>
      <c r="CK19" s="1">
        <v>0</v>
      </c>
      <c r="CL19" s="1">
        <v>7</v>
      </c>
      <c r="CM19" s="1">
        <v>0</v>
      </c>
      <c r="CN19" s="1">
        <v>0</v>
      </c>
      <c r="CO19" s="1">
        <v>0</v>
      </c>
      <c r="CP19" s="1">
        <v>1032</v>
      </c>
      <c r="CQ19" s="1">
        <v>0</v>
      </c>
    </row>
    <row r="20" spans="1:95" s="2" customFormat="1" x14ac:dyDescent="0.25">
      <c r="A20" s="2" t="s">
        <v>19</v>
      </c>
      <c r="B20" s="2" t="s">
        <v>112</v>
      </c>
      <c r="C20">
        <f t="shared" si="0"/>
        <v>0.69191604393077499</v>
      </c>
      <c r="D20" s="10">
        <f t="shared" si="1"/>
        <v>2209203</v>
      </c>
      <c r="E20" s="9">
        <v>60561</v>
      </c>
      <c r="F20" s="9">
        <v>174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29</v>
      </c>
      <c r="M20" s="9">
        <v>1160</v>
      </c>
      <c r="N20" s="9">
        <v>7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27</v>
      </c>
      <c r="W20" s="9">
        <v>257557</v>
      </c>
      <c r="X20" s="9">
        <v>13</v>
      </c>
      <c r="Y20" s="9">
        <v>510</v>
      </c>
      <c r="Z20" s="9">
        <v>392</v>
      </c>
      <c r="AA20" s="9">
        <v>735</v>
      </c>
      <c r="AB20" s="9">
        <v>333</v>
      </c>
      <c r="AC20" s="9">
        <v>9200</v>
      </c>
      <c r="AD20" s="9">
        <v>257</v>
      </c>
      <c r="AE20" s="9">
        <v>4303</v>
      </c>
      <c r="AF20" s="9">
        <v>0</v>
      </c>
      <c r="AG20" s="9">
        <v>3713</v>
      </c>
      <c r="AH20" s="9">
        <v>1270</v>
      </c>
      <c r="AI20" s="9">
        <v>2725</v>
      </c>
      <c r="AJ20" s="9">
        <v>559</v>
      </c>
      <c r="AK20" s="9">
        <v>1</v>
      </c>
      <c r="AL20" s="9">
        <v>383</v>
      </c>
      <c r="AM20" s="9">
        <v>24</v>
      </c>
      <c r="AN20" s="9">
        <v>0</v>
      </c>
      <c r="AO20" s="9">
        <v>0</v>
      </c>
      <c r="AP20" s="9">
        <v>12</v>
      </c>
      <c r="AQ20" s="9">
        <v>0</v>
      </c>
      <c r="AR20" s="9">
        <v>46</v>
      </c>
      <c r="AS20" s="9">
        <v>4</v>
      </c>
      <c r="AT20" s="9">
        <v>0</v>
      </c>
      <c r="AU20" s="9">
        <v>499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6395</v>
      </c>
      <c r="BF20" s="9">
        <v>167</v>
      </c>
      <c r="BG20" s="9">
        <v>1</v>
      </c>
      <c r="BH20" s="9">
        <v>0</v>
      </c>
      <c r="BI20" s="9">
        <v>7566</v>
      </c>
      <c r="BJ20" s="9">
        <v>10</v>
      </c>
      <c r="BK20" s="9">
        <v>8372</v>
      </c>
      <c r="BL20" s="9">
        <v>6342</v>
      </c>
      <c r="BM20" s="9">
        <v>20824</v>
      </c>
      <c r="BN20" s="9">
        <v>2124</v>
      </c>
      <c r="BO20" s="9">
        <v>8796</v>
      </c>
      <c r="BP20" s="9">
        <v>8236</v>
      </c>
      <c r="BQ20" s="9">
        <v>122903</v>
      </c>
      <c r="BR20" s="9">
        <v>1810</v>
      </c>
      <c r="BS20" s="9">
        <v>7491</v>
      </c>
      <c r="BT20" s="9">
        <v>163</v>
      </c>
      <c r="BU20" s="9">
        <v>628</v>
      </c>
      <c r="BV20" s="9">
        <v>134298</v>
      </c>
      <c r="BW20" s="9">
        <v>0</v>
      </c>
      <c r="BX20" s="9">
        <v>680620</v>
      </c>
      <c r="BY20" s="9">
        <v>1528583</v>
      </c>
      <c r="BZ20" s="9">
        <v>0</v>
      </c>
      <c r="CA20" s="9">
        <v>0</v>
      </c>
      <c r="CB20" s="9">
        <v>0</v>
      </c>
      <c r="CC20" s="9">
        <v>0</v>
      </c>
      <c r="CD20" s="9">
        <v>36</v>
      </c>
      <c r="CE20" s="9">
        <v>97994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</row>
    <row r="21" spans="1:95" x14ac:dyDescent="0.25">
      <c r="A21" t="s">
        <v>20</v>
      </c>
      <c r="B21" t="s">
        <v>113</v>
      </c>
      <c r="C21">
        <f t="shared" si="0"/>
        <v>0.66862870760404935</v>
      </c>
      <c r="D21" s="10">
        <f t="shared" si="1"/>
        <v>160717</v>
      </c>
      <c r="E21" s="1">
        <v>13</v>
      </c>
      <c r="F21" s="1">
        <v>6</v>
      </c>
      <c r="G21" s="1">
        <v>0</v>
      </c>
      <c r="H21" s="1">
        <v>1</v>
      </c>
      <c r="I21" s="1">
        <v>0</v>
      </c>
      <c r="J21" s="1">
        <v>0</v>
      </c>
      <c r="K21" s="1">
        <v>3272</v>
      </c>
      <c r="L21" s="1">
        <v>696</v>
      </c>
      <c r="M21" s="1">
        <v>369</v>
      </c>
      <c r="N21" s="1">
        <v>0</v>
      </c>
      <c r="O21" s="1">
        <v>2</v>
      </c>
      <c r="P21" s="1">
        <v>898</v>
      </c>
      <c r="Q21" s="1">
        <v>0</v>
      </c>
      <c r="R21" s="1">
        <v>0</v>
      </c>
      <c r="S21" s="1">
        <v>2264</v>
      </c>
      <c r="T21" s="1">
        <v>956</v>
      </c>
      <c r="U21" s="1">
        <v>3747</v>
      </c>
      <c r="V21" s="1">
        <v>1454</v>
      </c>
      <c r="W21" s="1">
        <v>122</v>
      </c>
      <c r="X21" s="1">
        <v>9146</v>
      </c>
      <c r="Y21" s="1">
        <v>2102</v>
      </c>
      <c r="Z21" s="1">
        <v>4176</v>
      </c>
      <c r="AA21" s="1">
        <v>324</v>
      </c>
      <c r="AB21" s="1">
        <v>36</v>
      </c>
      <c r="AC21" s="1">
        <v>3</v>
      </c>
      <c r="AD21" s="1">
        <v>3056</v>
      </c>
      <c r="AE21" s="1">
        <v>2027</v>
      </c>
      <c r="AF21" s="1">
        <v>50</v>
      </c>
      <c r="AG21" s="1">
        <v>86</v>
      </c>
      <c r="AH21" s="1">
        <v>5076</v>
      </c>
      <c r="AI21" s="1">
        <v>1523</v>
      </c>
      <c r="AJ21" s="1">
        <v>0</v>
      </c>
      <c r="AK21" s="1">
        <v>0</v>
      </c>
      <c r="AL21" s="1">
        <v>34</v>
      </c>
      <c r="AM21" s="1">
        <v>26</v>
      </c>
      <c r="AN21" s="1">
        <v>0</v>
      </c>
      <c r="AO21" s="1">
        <v>0</v>
      </c>
      <c r="AP21" s="1">
        <v>17</v>
      </c>
      <c r="AQ21" s="1">
        <v>2</v>
      </c>
      <c r="AR21" s="1">
        <v>1</v>
      </c>
      <c r="AS21" s="1">
        <v>245</v>
      </c>
      <c r="AT21" s="1">
        <v>5</v>
      </c>
      <c r="AU21" s="1">
        <v>6</v>
      </c>
      <c r="AV21" s="1">
        <v>0</v>
      </c>
      <c r="AW21" s="1">
        <v>0</v>
      </c>
      <c r="AX21" s="1">
        <v>0</v>
      </c>
      <c r="AY21" s="1">
        <v>0</v>
      </c>
      <c r="AZ21" s="1">
        <v>1</v>
      </c>
      <c r="BA21" s="1">
        <v>84</v>
      </c>
      <c r="BB21" s="1">
        <v>374</v>
      </c>
      <c r="BC21" s="1">
        <v>0</v>
      </c>
      <c r="BD21" s="1">
        <v>0</v>
      </c>
      <c r="BE21" s="1">
        <v>478</v>
      </c>
      <c r="BF21" s="1">
        <v>22</v>
      </c>
      <c r="BG21" s="1">
        <v>353</v>
      </c>
      <c r="BH21" s="1">
        <v>363</v>
      </c>
      <c r="BI21" s="1">
        <v>14</v>
      </c>
      <c r="BJ21" s="1">
        <v>108</v>
      </c>
      <c r="BK21" s="1">
        <v>392</v>
      </c>
      <c r="BL21" s="1">
        <v>2001</v>
      </c>
      <c r="BM21" s="1">
        <v>1211</v>
      </c>
      <c r="BN21" s="1">
        <v>0</v>
      </c>
      <c r="BO21" s="1">
        <v>129</v>
      </c>
      <c r="BP21" s="1">
        <v>1195</v>
      </c>
      <c r="BQ21" s="1">
        <v>468</v>
      </c>
      <c r="BR21" s="1">
        <v>712</v>
      </c>
      <c r="BS21" s="1">
        <v>596</v>
      </c>
      <c r="BT21" s="1">
        <v>430</v>
      </c>
      <c r="BU21" s="1">
        <v>2</v>
      </c>
      <c r="BV21" s="1">
        <v>2518</v>
      </c>
      <c r="BW21" s="1">
        <v>65</v>
      </c>
      <c r="BX21" s="1">
        <v>53257</v>
      </c>
      <c r="BY21" s="9">
        <v>107460</v>
      </c>
      <c r="BZ21" s="1">
        <v>0</v>
      </c>
      <c r="CA21" s="1">
        <v>1996</v>
      </c>
      <c r="CB21" s="1">
        <v>0</v>
      </c>
      <c r="CC21" s="1">
        <v>3100</v>
      </c>
      <c r="CD21" s="1">
        <v>445</v>
      </c>
      <c r="CE21" s="1">
        <v>9861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3</v>
      </c>
      <c r="CM21" s="1">
        <v>0</v>
      </c>
      <c r="CN21" s="1">
        <v>0</v>
      </c>
      <c r="CO21" s="1">
        <v>0</v>
      </c>
      <c r="CP21" s="1">
        <v>1</v>
      </c>
      <c r="CQ21" s="1">
        <v>0</v>
      </c>
    </row>
    <row r="22" spans="1:95" x14ac:dyDescent="0.25">
      <c r="A22" t="s">
        <v>21</v>
      </c>
      <c r="B22" t="s">
        <v>114</v>
      </c>
      <c r="C22">
        <f t="shared" si="0"/>
        <v>0.98573500193706842</v>
      </c>
      <c r="D22" s="10">
        <f t="shared" si="1"/>
        <v>562706</v>
      </c>
      <c r="E22" s="1">
        <v>58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2279</v>
      </c>
      <c r="T22" s="1">
        <v>0</v>
      </c>
      <c r="U22" s="1">
        <v>0</v>
      </c>
      <c r="V22" s="1">
        <v>186</v>
      </c>
      <c r="W22" s="1">
        <v>21</v>
      </c>
      <c r="X22" s="1">
        <v>25</v>
      </c>
      <c r="Y22" s="1">
        <v>858</v>
      </c>
      <c r="Z22" s="1">
        <v>0</v>
      </c>
      <c r="AA22" s="1">
        <v>48</v>
      </c>
      <c r="AB22" s="1">
        <v>0</v>
      </c>
      <c r="AC22" s="1">
        <v>0</v>
      </c>
      <c r="AD22" s="1">
        <v>0</v>
      </c>
      <c r="AE22" s="1">
        <v>311</v>
      </c>
      <c r="AF22" s="1">
        <v>34</v>
      </c>
      <c r="AG22" s="1">
        <v>0</v>
      </c>
      <c r="AH22" s="1">
        <v>99</v>
      </c>
      <c r="AI22" s="1">
        <v>258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</v>
      </c>
      <c r="AS22" s="1">
        <v>1</v>
      </c>
      <c r="AT22" s="1">
        <v>7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17</v>
      </c>
      <c r="BC22" s="1">
        <v>0</v>
      </c>
      <c r="BD22" s="1">
        <v>0</v>
      </c>
      <c r="BE22" s="1">
        <v>7</v>
      </c>
      <c r="BF22" s="1">
        <v>1</v>
      </c>
      <c r="BG22" s="1">
        <v>77</v>
      </c>
      <c r="BH22" s="1">
        <v>66</v>
      </c>
      <c r="BI22" s="1">
        <v>5</v>
      </c>
      <c r="BJ22" s="1">
        <v>1</v>
      </c>
      <c r="BK22" s="1">
        <v>5</v>
      </c>
      <c r="BL22" s="1">
        <v>0</v>
      </c>
      <c r="BM22" s="1">
        <v>7</v>
      </c>
      <c r="BN22" s="1">
        <v>40</v>
      </c>
      <c r="BO22" s="1">
        <v>53</v>
      </c>
      <c r="BP22" s="1">
        <v>10</v>
      </c>
      <c r="BQ22" s="1">
        <v>4</v>
      </c>
      <c r="BR22" s="1">
        <v>1207</v>
      </c>
      <c r="BS22" s="1">
        <v>226</v>
      </c>
      <c r="BT22" s="1">
        <v>32</v>
      </c>
      <c r="BU22" s="1">
        <v>320</v>
      </c>
      <c r="BV22" s="1">
        <v>1732</v>
      </c>
      <c r="BW22" s="1">
        <v>34</v>
      </c>
      <c r="BX22" s="1">
        <v>8027</v>
      </c>
      <c r="BY22" s="9">
        <v>554679</v>
      </c>
      <c r="BZ22" s="1">
        <v>0</v>
      </c>
      <c r="CA22" s="1">
        <v>0</v>
      </c>
      <c r="CB22" s="1">
        <v>0</v>
      </c>
      <c r="CC22" s="1">
        <v>0</v>
      </c>
      <c r="CD22" s="1">
        <v>1281</v>
      </c>
      <c r="CE22" s="1">
        <v>6150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</row>
    <row r="23" spans="1:95" x14ac:dyDescent="0.25">
      <c r="A23" t="s">
        <v>22</v>
      </c>
      <c r="B23" t="s">
        <v>115</v>
      </c>
      <c r="C23">
        <f t="shared" si="0"/>
        <v>0.23774508308263106</v>
      </c>
      <c r="D23" s="10">
        <f t="shared" si="1"/>
        <v>327746</v>
      </c>
      <c r="E23" s="1">
        <v>779</v>
      </c>
      <c r="F23" s="1">
        <v>0</v>
      </c>
      <c r="G23" s="1">
        <v>149</v>
      </c>
      <c r="H23" s="1">
        <v>188</v>
      </c>
      <c r="I23" s="1">
        <v>49</v>
      </c>
      <c r="J23" s="1">
        <v>31</v>
      </c>
      <c r="K23" s="1">
        <v>7089</v>
      </c>
      <c r="L23" s="1">
        <v>2001</v>
      </c>
      <c r="M23" s="1">
        <v>3311</v>
      </c>
      <c r="N23" s="1">
        <v>2579</v>
      </c>
      <c r="O23" s="1">
        <v>3316</v>
      </c>
      <c r="P23" s="1">
        <v>2141</v>
      </c>
      <c r="Q23" s="1">
        <v>722</v>
      </c>
      <c r="R23" s="1">
        <v>2864</v>
      </c>
      <c r="S23" s="1">
        <v>7469</v>
      </c>
      <c r="T23" s="1">
        <v>664</v>
      </c>
      <c r="U23" s="1">
        <v>2150</v>
      </c>
      <c r="V23" s="1">
        <v>2307</v>
      </c>
      <c r="W23" s="1">
        <v>34873</v>
      </c>
      <c r="X23" s="1">
        <v>494</v>
      </c>
      <c r="Y23" s="1">
        <v>15</v>
      </c>
      <c r="Z23" s="1">
        <v>61074</v>
      </c>
      <c r="AA23" s="1">
        <v>10980</v>
      </c>
      <c r="AB23" s="1">
        <v>207</v>
      </c>
      <c r="AC23" s="1">
        <v>6869</v>
      </c>
      <c r="AD23" s="1">
        <v>6715</v>
      </c>
      <c r="AE23" s="1">
        <v>10208</v>
      </c>
      <c r="AF23" s="1">
        <v>330</v>
      </c>
      <c r="AG23" s="1">
        <v>1789</v>
      </c>
      <c r="AH23" s="1">
        <v>510</v>
      </c>
      <c r="AI23" s="1">
        <v>2450</v>
      </c>
      <c r="AJ23" s="1">
        <v>53</v>
      </c>
      <c r="AK23" s="1">
        <v>55</v>
      </c>
      <c r="AL23" s="1">
        <v>3</v>
      </c>
      <c r="AM23" s="1">
        <v>336</v>
      </c>
      <c r="AN23" s="1">
        <v>1841</v>
      </c>
      <c r="AO23" s="1">
        <v>42</v>
      </c>
      <c r="AP23" s="1">
        <v>1491</v>
      </c>
      <c r="AQ23" s="1">
        <v>259</v>
      </c>
      <c r="AR23" s="1">
        <v>1279</v>
      </c>
      <c r="AS23" s="1">
        <v>85</v>
      </c>
      <c r="AT23" s="1">
        <v>425</v>
      </c>
      <c r="AU23" s="1">
        <v>409</v>
      </c>
      <c r="AV23" s="1">
        <v>1170</v>
      </c>
      <c r="AW23" s="1">
        <v>963</v>
      </c>
      <c r="AX23" s="1">
        <v>2407</v>
      </c>
      <c r="AY23" s="1">
        <v>2</v>
      </c>
      <c r="AZ23" s="1">
        <v>1</v>
      </c>
      <c r="BA23" s="1">
        <v>1135</v>
      </c>
      <c r="BB23" s="1">
        <v>1579</v>
      </c>
      <c r="BC23" s="1">
        <v>459</v>
      </c>
      <c r="BD23" s="1">
        <v>780</v>
      </c>
      <c r="BE23" s="1">
        <v>5013</v>
      </c>
      <c r="BF23" s="1">
        <v>710</v>
      </c>
      <c r="BG23" s="1">
        <v>8377</v>
      </c>
      <c r="BH23" s="1">
        <v>542</v>
      </c>
      <c r="BI23" s="1">
        <v>667</v>
      </c>
      <c r="BJ23" s="1">
        <v>1942</v>
      </c>
      <c r="BK23" s="1">
        <v>1720</v>
      </c>
      <c r="BL23" s="1">
        <v>905</v>
      </c>
      <c r="BM23" s="1">
        <v>1482</v>
      </c>
      <c r="BN23" s="1">
        <v>165</v>
      </c>
      <c r="BO23" s="1">
        <v>353</v>
      </c>
      <c r="BP23" s="1">
        <v>4802</v>
      </c>
      <c r="BQ23" s="1">
        <v>7538</v>
      </c>
      <c r="BR23" s="1">
        <v>1616</v>
      </c>
      <c r="BS23" s="1">
        <v>656</v>
      </c>
      <c r="BT23" s="1">
        <v>3366</v>
      </c>
      <c r="BU23" s="1">
        <v>209</v>
      </c>
      <c r="BV23" s="1">
        <v>20567</v>
      </c>
      <c r="BW23" s="1">
        <v>98</v>
      </c>
      <c r="BX23" s="1">
        <v>249826</v>
      </c>
      <c r="BY23" s="9">
        <v>77920</v>
      </c>
      <c r="BZ23" s="1">
        <v>0</v>
      </c>
      <c r="CA23" s="1">
        <v>0</v>
      </c>
      <c r="CB23" s="1">
        <v>0</v>
      </c>
      <c r="CC23" s="1">
        <v>0</v>
      </c>
      <c r="CD23" s="1">
        <v>478</v>
      </c>
      <c r="CE23" s="1">
        <v>25445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</row>
    <row r="24" spans="1:95" x14ac:dyDescent="0.25">
      <c r="A24" t="s">
        <v>23</v>
      </c>
      <c r="B24" t="s">
        <v>116</v>
      </c>
      <c r="C24">
        <f t="shared" si="0"/>
        <v>0.14772540815489377</v>
      </c>
      <c r="D24" s="10">
        <f t="shared" si="1"/>
        <v>97512</v>
      </c>
      <c r="E24" s="1">
        <v>13</v>
      </c>
      <c r="F24" s="1">
        <v>0</v>
      </c>
      <c r="G24" s="1">
        <v>10</v>
      </c>
      <c r="H24" s="1">
        <v>1</v>
      </c>
      <c r="I24" s="1">
        <v>0</v>
      </c>
      <c r="J24" s="1">
        <v>9</v>
      </c>
      <c r="K24" s="1">
        <v>75</v>
      </c>
      <c r="L24" s="1">
        <v>2</v>
      </c>
      <c r="M24" s="1">
        <v>0</v>
      </c>
      <c r="N24" s="1">
        <v>0</v>
      </c>
      <c r="O24" s="1">
        <v>12</v>
      </c>
      <c r="P24" s="1">
        <v>3</v>
      </c>
      <c r="Q24" s="1">
        <v>0</v>
      </c>
      <c r="R24" s="1">
        <v>2</v>
      </c>
      <c r="S24" s="1">
        <v>4</v>
      </c>
      <c r="T24" s="1">
        <v>0</v>
      </c>
      <c r="U24" s="1">
        <v>0</v>
      </c>
      <c r="V24" s="1">
        <v>0</v>
      </c>
      <c r="W24" s="1">
        <v>70</v>
      </c>
      <c r="X24" s="1">
        <v>0</v>
      </c>
      <c r="Y24" s="1">
        <v>0</v>
      </c>
      <c r="Z24" s="1">
        <v>0</v>
      </c>
      <c r="AA24" s="1">
        <v>1059</v>
      </c>
      <c r="AB24" s="1">
        <v>1</v>
      </c>
      <c r="AC24" s="1">
        <v>73</v>
      </c>
      <c r="AD24" s="1">
        <v>0</v>
      </c>
      <c r="AE24" s="1">
        <v>11253</v>
      </c>
      <c r="AF24" s="1">
        <v>285</v>
      </c>
      <c r="AG24" s="1">
        <v>165</v>
      </c>
      <c r="AH24" s="1">
        <v>131</v>
      </c>
      <c r="AI24" s="1">
        <v>8482</v>
      </c>
      <c r="AJ24" s="1">
        <v>9</v>
      </c>
      <c r="AK24" s="1">
        <v>9</v>
      </c>
      <c r="AL24" s="1">
        <v>0</v>
      </c>
      <c r="AM24" s="1">
        <v>179</v>
      </c>
      <c r="AN24" s="1">
        <v>183</v>
      </c>
      <c r="AO24" s="1">
        <v>5</v>
      </c>
      <c r="AP24" s="1">
        <v>290</v>
      </c>
      <c r="AQ24" s="1">
        <v>13</v>
      </c>
      <c r="AR24" s="1">
        <v>3585</v>
      </c>
      <c r="AS24" s="1">
        <v>533</v>
      </c>
      <c r="AT24" s="1">
        <v>322</v>
      </c>
      <c r="AU24" s="1">
        <v>4960</v>
      </c>
      <c r="AV24" s="1">
        <v>953</v>
      </c>
      <c r="AW24" s="1">
        <v>1834</v>
      </c>
      <c r="AX24" s="1">
        <v>3849</v>
      </c>
      <c r="AY24" s="1">
        <v>0</v>
      </c>
      <c r="AZ24" s="1">
        <v>0</v>
      </c>
      <c r="BA24" s="1">
        <v>183</v>
      </c>
      <c r="BB24" s="1">
        <v>675</v>
      </c>
      <c r="BC24" s="1">
        <v>639</v>
      </c>
      <c r="BD24" s="1">
        <v>401</v>
      </c>
      <c r="BE24" s="1">
        <v>5690</v>
      </c>
      <c r="BF24" s="1">
        <v>864</v>
      </c>
      <c r="BG24" s="1">
        <v>3386</v>
      </c>
      <c r="BH24" s="1">
        <v>19</v>
      </c>
      <c r="BI24" s="1">
        <v>717</v>
      </c>
      <c r="BJ24" s="1">
        <v>2190</v>
      </c>
      <c r="BK24" s="1">
        <v>4408</v>
      </c>
      <c r="BL24" s="1">
        <v>162</v>
      </c>
      <c r="BM24" s="1">
        <v>1975</v>
      </c>
      <c r="BN24" s="1">
        <v>990</v>
      </c>
      <c r="BO24" s="1">
        <v>364</v>
      </c>
      <c r="BP24" s="1">
        <v>1061</v>
      </c>
      <c r="BQ24" s="1">
        <v>1551</v>
      </c>
      <c r="BR24" s="1">
        <v>1733</v>
      </c>
      <c r="BS24" s="1">
        <v>1431</v>
      </c>
      <c r="BT24" s="1">
        <v>2173</v>
      </c>
      <c r="BU24" s="1">
        <v>42</v>
      </c>
      <c r="BV24" s="1">
        <v>13525</v>
      </c>
      <c r="BW24" s="1">
        <v>549</v>
      </c>
      <c r="BX24" s="1">
        <v>83107</v>
      </c>
      <c r="BY24" s="9">
        <v>14405</v>
      </c>
      <c r="BZ24" s="1">
        <v>0</v>
      </c>
      <c r="CA24" s="1">
        <v>0</v>
      </c>
      <c r="CB24" s="1">
        <v>0</v>
      </c>
      <c r="CC24" s="1">
        <v>0</v>
      </c>
      <c r="CD24" s="1">
        <v>163</v>
      </c>
      <c r="CE24" s="1">
        <v>2844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</row>
    <row r="25" spans="1:95" x14ac:dyDescent="0.25">
      <c r="A25" t="s">
        <v>24</v>
      </c>
      <c r="B25" t="s">
        <v>117</v>
      </c>
      <c r="C25">
        <f t="shared" si="0"/>
        <v>0.48374066064023685</v>
      </c>
      <c r="D25" s="10">
        <f t="shared" si="1"/>
        <v>923377</v>
      </c>
      <c r="E25" s="1">
        <v>10977</v>
      </c>
      <c r="F25" s="1">
        <v>228</v>
      </c>
      <c r="G25" s="1">
        <v>4738</v>
      </c>
      <c r="H25" s="1">
        <v>2547</v>
      </c>
      <c r="I25" s="1">
        <v>1270</v>
      </c>
      <c r="J25" s="1">
        <v>21373</v>
      </c>
      <c r="K25" s="1">
        <v>67968</v>
      </c>
      <c r="L25" s="1">
        <v>750</v>
      </c>
      <c r="M25" s="1">
        <v>699</v>
      </c>
      <c r="N25" s="1">
        <v>3022</v>
      </c>
      <c r="O25" s="1">
        <v>828</v>
      </c>
      <c r="P25" s="1">
        <v>1201</v>
      </c>
      <c r="Q25" s="1">
        <v>233</v>
      </c>
      <c r="R25" s="1">
        <v>1374</v>
      </c>
      <c r="S25" s="1">
        <v>397</v>
      </c>
      <c r="T25" s="1">
        <v>106</v>
      </c>
      <c r="U25" s="1">
        <v>240</v>
      </c>
      <c r="V25" s="1">
        <v>776</v>
      </c>
      <c r="W25" s="1">
        <v>3162</v>
      </c>
      <c r="X25" s="1">
        <v>44</v>
      </c>
      <c r="Y25" s="1">
        <v>1</v>
      </c>
      <c r="Z25" s="1">
        <v>1366</v>
      </c>
      <c r="AA25" s="1">
        <v>679</v>
      </c>
      <c r="AB25" s="1">
        <v>14279</v>
      </c>
      <c r="AC25" s="1">
        <v>10250</v>
      </c>
      <c r="AD25" s="1">
        <v>750</v>
      </c>
      <c r="AE25" s="1">
        <v>4099</v>
      </c>
      <c r="AF25" s="1">
        <v>1212</v>
      </c>
      <c r="AG25" s="1">
        <v>399</v>
      </c>
      <c r="AH25" s="1">
        <v>174</v>
      </c>
      <c r="AI25" s="1">
        <v>1763</v>
      </c>
      <c r="AJ25" s="1">
        <v>31870</v>
      </c>
      <c r="AK25" s="1">
        <v>3732</v>
      </c>
      <c r="AL25" s="1">
        <v>7628</v>
      </c>
      <c r="AM25" s="1">
        <v>47234</v>
      </c>
      <c r="AN25" s="1">
        <v>7339</v>
      </c>
      <c r="AO25" s="1">
        <v>343</v>
      </c>
      <c r="AP25" s="1">
        <v>13046</v>
      </c>
      <c r="AQ25" s="1">
        <v>3107</v>
      </c>
      <c r="AR25" s="1">
        <v>257</v>
      </c>
      <c r="AS25" s="1">
        <v>75</v>
      </c>
      <c r="AT25" s="1">
        <v>563</v>
      </c>
      <c r="AU25" s="1">
        <v>764</v>
      </c>
      <c r="AV25" s="1">
        <v>5425</v>
      </c>
      <c r="AW25" s="1">
        <v>6482</v>
      </c>
      <c r="AX25" s="1">
        <v>128</v>
      </c>
      <c r="AY25" s="1">
        <v>752</v>
      </c>
      <c r="AZ25" s="1">
        <v>42</v>
      </c>
      <c r="BA25" s="1">
        <v>6047</v>
      </c>
      <c r="BB25" s="1">
        <v>3085</v>
      </c>
      <c r="BC25" s="1">
        <v>47</v>
      </c>
      <c r="BD25" s="1">
        <v>1472</v>
      </c>
      <c r="BE25" s="1">
        <v>2621</v>
      </c>
      <c r="BF25" s="1">
        <v>560</v>
      </c>
      <c r="BG25" s="1">
        <v>8727</v>
      </c>
      <c r="BH25" s="1">
        <v>2448</v>
      </c>
      <c r="BI25" s="1">
        <v>2270</v>
      </c>
      <c r="BJ25" s="1">
        <v>2499</v>
      </c>
      <c r="BK25" s="1">
        <v>1591</v>
      </c>
      <c r="BL25" s="1">
        <v>868</v>
      </c>
      <c r="BM25" s="1">
        <v>996</v>
      </c>
      <c r="BN25" s="1">
        <v>285</v>
      </c>
      <c r="BO25" s="1">
        <v>1198</v>
      </c>
      <c r="BP25" s="1">
        <v>801</v>
      </c>
      <c r="BQ25" s="1">
        <v>5435</v>
      </c>
      <c r="BR25" s="1">
        <v>2231</v>
      </c>
      <c r="BS25" s="1">
        <v>9939</v>
      </c>
      <c r="BT25" s="1">
        <v>964</v>
      </c>
      <c r="BU25" s="1">
        <v>1259</v>
      </c>
      <c r="BV25" s="1">
        <v>106502</v>
      </c>
      <c r="BW25" s="1">
        <v>29167</v>
      </c>
      <c r="BX25" s="1">
        <v>476702</v>
      </c>
      <c r="BY25" s="9">
        <v>446675</v>
      </c>
      <c r="BZ25" s="1">
        <v>0</v>
      </c>
      <c r="CA25" s="1">
        <v>0</v>
      </c>
      <c r="CB25" s="1">
        <v>0</v>
      </c>
      <c r="CC25" s="1">
        <v>0</v>
      </c>
      <c r="CD25" s="1">
        <v>4246</v>
      </c>
      <c r="CE25" s="1">
        <v>173780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</row>
    <row r="26" spans="1:95" x14ac:dyDescent="0.25">
      <c r="A26" t="s">
        <v>25</v>
      </c>
      <c r="B26" t="s">
        <v>118</v>
      </c>
      <c r="C26">
        <f t="shared" si="0"/>
        <v>0.47478038398840788</v>
      </c>
      <c r="D26" s="10">
        <f t="shared" si="1"/>
        <v>1766720</v>
      </c>
      <c r="E26" s="1">
        <v>40598</v>
      </c>
      <c r="F26" s="1">
        <v>1405</v>
      </c>
      <c r="G26" s="1">
        <v>11044</v>
      </c>
      <c r="H26" s="1">
        <v>2343</v>
      </c>
      <c r="I26" s="1">
        <v>1479</v>
      </c>
      <c r="J26" s="1">
        <v>1718</v>
      </c>
      <c r="K26" s="1">
        <v>31111</v>
      </c>
      <c r="L26" s="1">
        <v>10634</v>
      </c>
      <c r="M26" s="1">
        <v>6053</v>
      </c>
      <c r="N26" s="1">
        <v>2072</v>
      </c>
      <c r="O26" s="1">
        <v>10150</v>
      </c>
      <c r="P26" s="1">
        <v>2865</v>
      </c>
      <c r="Q26" s="1">
        <v>2257</v>
      </c>
      <c r="R26" s="1">
        <v>4625</v>
      </c>
      <c r="S26" s="1">
        <v>15513</v>
      </c>
      <c r="T26" s="1">
        <v>1676</v>
      </c>
      <c r="U26" s="1">
        <v>2493</v>
      </c>
      <c r="V26" s="1">
        <v>6502</v>
      </c>
      <c r="W26" s="1">
        <v>12164</v>
      </c>
      <c r="X26" s="1">
        <v>12019</v>
      </c>
      <c r="Y26" s="1">
        <v>134</v>
      </c>
      <c r="Z26" s="1">
        <v>10583</v>
      </c>
      <c r="AA26" s="1">
        <v>5917</v>
      </c>
      <c r="AB26" s="1">
        <v>19257</v>
      </c>
      <c r="AC26" s="1">
        <v>253609</v>
      </c>
      <c r="AD26" s="1">
        <v>91442</v>
      </c>
      <c r="AE26" s="1">
        <v>3148</v>
      </c>
      <c r="AF26" s="1">
        <v>186</v>
      </c>
      <c r="AG26" s="1">
        <v>75</v>
      </c>
      <c r="AH26" s="1">
        <v>39</v>
      </c>
      <c r="AI26" s="1">
        <v>952</v>
      </c>
      <c r="AJ26" s="1">
        <v>2</v>
      </c>
      <c r="AK26" s="1">
        <v>186</v>
      </c>
      <c r="AL26" s="1">
        <v>4</v>
      </c>
      <c r="AM26" s="1">
        <v>378</v>
      </c>
      <c r="AN26" s="1">
        <v>41</v>
      </c>
      <c r="AO26" s="1">
        <v>2</v>
      </c>
      <c r="AP26" s="1">
        <v>55</v>
      </c>
      <c r="AQ26" s="1">
        <v>483</v>
      </c>
      <c r="AR26" s="1">
        <v>645</v>
      </c>
      <c r="AS26" s="1">
        <v>388</v>
      </c>
      <c r="AT26" s="1">
        <v>646</v>
      </c>
      <c r="AU26" s="1">
        <v>2288</v>
      </c>
      <c r="AV26" s="1">
        <v>78</v>
      </c>
      <c r="AW26" s="1">
        <v>267</v>
      </c>
      <c r="AX26" s="1">
        <v>219</v>
      </c>
      <c r="AY26" s="1">
        <v>0</v>
      </c>
      <c r="AZ26" s="1">
        <v>796</v>
      </c>
      <c r="BA26" s="1">
        <v>14435</v>
      </c>
      <c r="BB26" s="1">
        <v>238</v>
      </c>
      <c r="BC26" s="1">
        <v>180</v>
      </c>
      <c r="BD26" s="1">
        <v>378</v>
      </c>
      <c r="BE26" s="1">
        <v>102028</v>
      </c>
      <c r="BF26" s="1">
        <v>6499</v>
      </c>
      <c r="BG26" s="1">
        <v>15999</v>
      </c>
      <c r="BH26" s="1">
        <v>2511</v>
      </c>
      <c r="BI26" s="1">
        <v>1334</v>
      </c>
      <c r="BJ26" s="1">
        <v>78306</v>
      </c>
      <c r="BK26" s="1">
        <v>29378</v>
      </c>
      <c r="BL26" s="1">
        <v>4145</v>
      </c>
      <c r="BM26" s="1">
        <v>832</v>
      </c>
      <c r="BN26" s="1">
        <v>411</v>
      </c>
      <c r="BO26" s="1">
        <v>1187</v>
      </c>
      <c r="BP26" s="1">
        <v>92</v>
      </c>
      <c r="BQ26" s="1">
        <v>2202</v>
      </c>
      <c r="BR26" s="1">
        <v>4842</v>
      </c>
      <c r="BS26" s="1">
        <v>4499</v>
      </c>
      <c r="BT26" s="1">
        <v>5082</v>
      </c>
      <c r="BU26" s="1">
        <v>85</v>
      </c>
      <c r="BV26" s="1">
        <v>73256</v>
      </c>
      <c r="BW26" s="1">
        <v>9462</v>
      </c>
      <c r="BX26" s="1">
        <v>927916</v>
      </c>
      <c r="BY26" s="9">
        <v>838804</v>
      </c>
      <c r="BZ26" s="1">
        <v>0</v>
      </c>
      <c r="CA26" s="1">
        <v>3364</v>
      </c>
      <c r="CB26" s="1">
        <v>0</v>
      </c>
      <c r="CC26" s="1">
        <v>0</v>
      </c>
      <c r="CD26" s="1">
        <v>2872</v>
      </c>
      <c r="CE26" s="1">
        <v>254098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</row>
    <row r="27" spans="1:95" x14ac:dyDescent="0.25">
      <c r="A27" t="s">
        <v>26</v>
      </c>
      <c r="B27" t="s">
        <v>119</v>
      </c>
      <c r="C27">
        <f t="shared" si="0"/>
        <v>0.23736542869333122</v>
      </c>
      <c r="D27" s="10">
        <f t="shared" si="1"/>
        <v>503915</v>
      </c>
      <c r="E27" s="1">
        <v>2593</v>
      </c>
      <c r="F27" s="1">
        <v>91</v>
      </c>
      <c r="G27" s="1">
        <v>153</v>
      </c>
      <c r="H27" s="1">
        <v>1473</v>
      </c>
      <c r="I27" s="1">
        <v>534</v>
      </c>
      <c r="J27" s="1">
        <v>28</v>
      </c>
      <c r="K27" s="1">
        <v>68290</v>
      </c>
      <c r="L27" s="1">
        <v>2373</v>
      </c>
      <c r="M27" s="1">
        <v>1629</v>
      </c>
      <c r="N27" s="1">
        <v>1001</v>
      </c>
      <c r="O27" s="1">
        <v>3381</v>
      </c>
      <c r="P27" s="1">
        <v>11132</v>
      </c>
      <c r="Q27" s="1">
        <v>2663</v>
      </c>
      <c r="R27" s="1">
        <v>4227</v>
      </c>
      <c r="S27" s="1">
        <v>28893</v>
      </c>
      <c r="T27" s="1">
        <v>3119</v>
      </c>
      <c r="U27" s="1">
        <v>4122</v>
      </c>
      <c r="V27" s="1">
        <v>4699</v>
      </c>
      <c r="W27" s="1">
        <v>31403</v>
      </c>
      <c r="X27" s="1">
        <v>434</v>
      </c>
      <c r="Y27" s="1">
        <v>38</v>
      </c>
      <c r="Z27" s="1">
        <v>3555</v>
      </c>
      <c r="AA27" s="1">
        <v>3762</v>
      </c>
      <c r="AB27" s="1">
        <v>264</v>
      </c>
      <c r="AC27" s="1">
        <v>11888</v>
      </c>
      <c r="AD27" s="1">
        <v>25050</v>
      </c>
      <c r="AE27" s="1">
        <v>28353</v>
      </c>
      <c r="AF27" s="1">
        <v>2236</v>
      </c>
      <c r="AG27" s="1">
        <v>2208</v>
      </c>
      <c r="AH27" s="1">
        <v>493</v>
      </c>
      <c r="AI27" s="1">
        <v>6333</v>
      </c>
      <c r="AJ27" s="1">
        <v>416</v>
      </c>
      <c r="AK27" s="1">
        <v>5</v>
      </c>
      <c r="AL27" s="1">
        <v>0</v>
      </c>
      <c r="AM27" s="1">
        <v>1144</v>
      </c>
      <c r="AN27" s="1">
        <v>310</v>
      </c>
      <c r="AO27" s="1">
        <v>68</v>
      </c>
      <c r="AP27" s="1">
        <v>2359</v>
      </c>
      <c r="AQ27" s="1">
        <v>325</v>
      </c>
      <c r="AR27" s="1">
        <v>311</v>
      </c>
      <c r="AS27" s="1">
        <v>123</v>
      </c>
      <c r="AT27" s="1">
        <v>5189</v>
      </c>
      <c r="AU27" s="1">
        <v>1535</v>
      </c>
      <c r="AV27" s="1">
        <v>66</v>
      </c>
      <c r="AW27" s="1">
        <v>183</v>
      </c>
      <c r="AX27" s="1">
        <v>2472</v>
      </c>
      <c r="AY27" s="1">
        <v>0</v>
      </c>
      <c r="AZ27" s="1">
        <v>19</v>
      </c>
      <c r="BA27" s="1">
        <v>2438</v>
      </c>
      <c r="BB27" s="1">
        <v>3990</v>
      </c>
      <c r="BC27" s="1">
        <v>32</v>
      </c>
      <c r="BD27" s="1">
        <v>2278</v>
      </c>
      <c r="BE27" s="1">
        <v>11107</v>
      </c>
      <c r="BF27" s="1">
        <v>140</v>
      </c>
      <c r="BG27" s="1">
        <v>5096</v>
      </c>
      <c r="BH27" s="1">
        <v>672</v>
      </c>
      <c r="BI27" s="1">
        <v>853</v>
      </c>
      <c r="BJ27" s="1">
        <v>16022</v>
      </c>
      <c r="BK27" s="1">
        <v>7484</v>
      </c>
      <c r="BL27" s="1">
        <v>2952</v>
      </c>
      <c r="BM27" s="1">
        <v>2756</v>
      </c>
      <c r="BN27" s="1">
        <v>88</v>
      </c>
      <c r="BO27" s="1">
        <v>511</v>
      </c>
      <c r="BP27" s="1">
        <v>221</v>
      </c>
      <c r="BQ27" s="1">
        <v>13957</v>
      </c>
      <c r="BR27" s="1">
        <v>5370</v>
      </c>
      <c r="BS27" s="1">
        <v>6043</v>
      </c>
      <c r="BT27" s="1">
        <v>1966</v>
      </c>
      <c r="BU27" s="1">
        <v>18</v>
      </c>
      <c r="BV27" s="1">
        <v>22209</v>
      </c>
      <c r="BW27" s="1">
        <v>7157</v>
      </c>
      <c r="BX27" s="1">
        <v>384303</v>
      </c>
      <c r="BY27" s="9">
        <v>119612</v>
      </c>
      <c r="BZ27" s="1">
        <v>0</v>
      </c>
      <c r="CA27" s="1">
        <v>595</v>
      </c>
      <c r="CB27" s="1">
        <v>0</v>
      </c>
      <c r="CC27" s="1">
        <v>540</v>
      </c>
      <c r="CD27" s="1">
        <v>1019</v>
      </c>
      <c r="CE27" s="1">
        <v>36261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8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</row>
    <row r="28" spans="1:95" x14ac:dyDescent="0.25">
      <c r="A28" t="s">
        <v>27</v>
      </c>
      <c r="B28" t="s">
        <v>120</v>
      </c>
      <c r="C28">
        <f t="shared" si="0"/>
        <v>0</v>
      </c>
      <c r="D28" s="10">
        <f t="shared" si="1"/>
        <v>124064</v>
      </c>
      <c r="E28" s="1">
        <v>1312</v>
      </c>
      <c r="F28" s="1">
        <v>7</v>
      </c>
      <c r="G28" s="1">
        <v>699</v>
      </c>
      <c r="H28" s="1">
        <v>63</v>
      </c>
      <c r="I28" s="1">
        <v>0</v>
      </c>
      <c r="J28" s="1">
        <v>1439</v>
      </c>
      <c r="K28" s="1">
        <v>160</v>
      </c>
      <c r="L28" s="1">
        <v>370</v>
      </c>
      <c r="M28" s="1">
        <v>449</v>
      </c>
      <c r="N28" s="1">
        <v>1052</v>
      </c>
      <c r="O28" s="1">
        <v>1046</v>
      </c>
      <c r="P28" s="1">
        <v>1853</v>
      </c>
      <c r="Q28" s="1">
        <v>812</v>
      </c>
      <c r="R28" s="1">
        <v>2100</v>
      </c>
      <c r="S28" s="1">
        <v>4732</v>
      </c>
      <c r="T28" s="1">
        <v>28</v>
      </c>
      <c r="U28" s="1">
        <v>269</v>
      </c>
      <c r="V28" s="1">
        <v>1364</v>
      </c>
      <c r="W28" s="1">
        <v>4483</v>
      </c>
      <c r="X28" s="1">
        <v>69</v>
      </c>
      <c r="Y28" s="1">
        <v>28</v>
      </c>
      <c r="Z28" s="1">
        <v>1388</v>
      </c>
      <c r="AA28" s="1">
        <v>109</v>
      </c>
      <c r="AB28" s="1">
        <v>90</v>
      </c>
      <c r="AC28" s="1">
        <v>3527</v>
      </c>
      <c r="AD28" s="1">
        <v>4232</v>
      </c>
      <c r="AE28" s="1">
        <v>49422</v>
      </c>
      <c r="AF28" s="1">
        <v>4014</v>
      </c>
      <c r="AG28" s="1">
        <v>816</v>
      </c>
      <c r="AH28" s="1">
        <v>25</v>
      </c>
      <c r="AI28" s="1">
        <v>17829</v>
      </c>
      <c r="AJ28" s="1">
        <v>245</v>
      </c>
      <c r="AK28" s="1">
        <v>0</v>
      </c>
      <c r="AL28" s="1">
        <v>0</v>
      </c>
      <c r="AM28" s="1">
        <v>160</v>
      </c>
      <c r="AN28" s="1">
        <v>0</v>
      </c>
      <c r="AO28" s="1">
        <v>5</v>
      </c>
      <c r="AP28" s="1">
        <v>0</v>
      </c>
      <c r="AQ28" s="1">
        <v>0</v>
      </c>
      <c r="AR28" s="1">
        <v>638</v>
      </c>
      <c r="AS28" s="1">
        <v>18</v>
      </c>
      <c r="AT28" s="1">
        <v>2196</v>
      </c>
      <c r="AU28" s="1">
        <v>103</v>
      </c>
      <c r="AV28" s="1">
        <v>15</v>
      </c>
      <c r="AW28" s="1">
        <v>37</v>
      </c>
      <c r="AX28" s="1">
        <v>23</v>
      </c>
      <c r="AY28" s="1">
        <v>6</v>
      </c>
      <c r="AZ28" s="1">
        <v>0</v>
      </c>
      <c r="BA28" s="1">
        <v>0</v>
      </c>
      <c r="BB28" s="1">
        <v>15750</v>
      </c>
      <c r="BC28" s="1">
        <v>0</v>
      </c>
      <c r="BD28" s="1">
        <v>413</v>
      </c>
      <c r="BE28" s="1">
        <v>0</v>
      </c>
      <c r="BF28" s="1">
        <v>0</v>
      </c>
      <c r="BG28" s="1">
        <v>105</v>
      </c>
      <c r="BH28" s="1">
        <v>50</v>
      </c>
      <c r="BI28" s="1">
        <v>21</v>
      </c>
      <c r="BJ28" s="1">
        <v>135</v>
      </c>
      <c r="BK28" s="1">
        <v>39</v>
      </c>
      <c r="BL28" s="1">
        <v>0</v>
      </c>
      <c r="BM28" s="1">
        <v>0</v>
      </c>
      <c r="BN28" s="1">
        <v>0</v>
      </c>
      <c r="BO28" s="1">
        <v>55</v>
      </c>
      <c r="BP28" s="1">
        <v>0</v>
      </c>
      <c r="BQ28" s="1">
        <v>131</v>
      </c>
      <c r="BR28" s="1">
        <v>91</v>
      </c>
      <c r="BS28" s="1">
        <v>0</v>
      </c>
      <c r="BT28" s="1">
        <v>0</v>
      </c>
      <c r="BU28" s="1">
        <v>3</v>
      </c>
      <c r="BV28" s="1">
        <v>38</v>
      </c>
      <c r="BW28" s="1">
        <v>0</v>
      </c>
      <c r="BX28" s="1">
        <v>124064</v>
      </c>
      <c r="BY28" s="9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3687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</row>
    <row r="29" spans="1:95" x14ac:dyDescent="0.25">
      <c r="A29" t="s">
        <v>28</v>
      </c>
      <c r="B29" t="s">
        <v>121</v>
      </c>
      <c r="C29">
        <f t="shared" si="0"/>
        <v>0</v>
      </c>
      <c r="D29" s="10">
        <f t="shared" si="1"/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9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</row>
    <row r="30" spans="1:95" x14ac:dyDescent="0.25">
      <c r="A30" t="s">
        <v>29</v>
      </c>
      <c r="B30" t="s">
        <v>122</v>
      </c>
      <c r="C30">
        <f t="shared" si="0"/>
        <v>0</v>
      </c>
      <c r="D30" s="10">
        <f t="shared" si="1"/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9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</row>
    <row r="31" spans="1:95" x14ac:dyDescent="0.25">
      <c r="A31" t="s">
        <v>30</v>
      </c>
      <c r="B31" t="s">
        <v>123</v>
      </c>
      <c r="C31">
        <f t="shared" si="0"/>
        <v>0</v>
      </c>
      <c r="D31" s="10">
        <f t="shared" si="1"/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9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</row>
    <row r="32" spans="1:95" x14ac:dyDescent="0.25">
      <c r="A32" t="s">
        <v>31</v>
      </c>
      <c r="B32" t="s">
        <v>124</v>
      </c>
      <c r="C32">
        <f t="shared" si="0"/>
        <v>0.88735188757233396</v>
      </c>
      <c r="D32" s="10">
        <f t="shared" si="1"/>
        <v>18145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928</v>
      </c>
      <c r="AG32" s="1">
        <v>0</v>
      </c>
      <c r="AH32" s="1">
        <v>567</v>
      </c>
      <c r="AI32" s="1">
        <v>548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1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2044</v>
      </c>
      <c r="BY32" s="9">
        <v>16101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</row>
    <row r="33" spans="1:95" x14ac:dyDescent="0.25">
      <c r="A33" t="s">
        <v>32</v>
      </c>
      <c r="B33" t="s">
        <v>125</v>
      </c>
      <c r="C33">
        <f t="shared" si="0"/>
        <v>0.79559984446634779</v>
      </c>
      <c r="D33" s="10">
        <f t="shared" si="1"/>
        <v>331761</v>
      </c>
      <c r="E33" s="1">
        <v>0</v>
      </c>
      <c r="F33" s="1">
        <v>0</v>
      </c>
      <c r="G33" s="1">
        <v>1</v>
      </c>
      <c r="H33" s="1">
        <v>7</v>
      </c>
      <c r="I33" s="1">
        <v>101</v>
      </c>
      <c r="J33" s="1">
        <v>445</v>
      </c>
      <c r="K33" s="1">
        <v>304</v>
      </c>
      <c r="L33" s="1">
        <v>120</v>
      </c>
      <c r="M33" s="1">
        <v>153</v>
      </c>
      <c r="N33" s="1">
        <v>124</v>
      </c>
      <c r="O33" s="1">
        <v>225</v>
      </c>
      <c r="P33" s="1">
        <v>125</v>
      </c>
      <c r="Q33" s="1">
        <v>15</v>
      </c>
      <c r="R33" s="1">
        <v>19</v>
      </c>
      <c r="S33" s="1">
        <v>138</v>
      </c>
      <c r="T33" s="1">
        <v>29</v>
      </c>
      <c r="U33" s="1">
        <v>59</v>
      </c>
      <c r="V33" s="1">
        <v>61</v>
      </c>
      <c r="W33" s="1">
        <v>275</v>
      </c>
      <c r="X33" s="1">
        <v>7</v>
      </c>
      <c r="Y33" s="1">
        <v>1</v>
      </c>
      <c r="Z33" s="1">
        <v>117</v>
      </c>
      <c r="AA33" s="1">
        <v>93</v>
      </c>
      <c r="AB33" s="1">
        <v>24</v>
      </c>
      <c r="AC33" s="1">
        <v>93</v>
      </c>
      <c r="AD33" s="1">
        <v>195</v>
      </c>
      <c r="AE33" s="1">
        <v>6298</v>
      </c>
      <c r="AF33" s="1">
        <v>199</v>
      </c>
      <c r="AG33" s="1">
        <v>52</v>
      </c>
      <c r="AH33" s="1">
        <v>40</v>
      </c>
      <c r="AI33" s="1">
        <v>467</v>
      </c>
      <c r="AJ33" s="1">
        <v>430</v>
      </c>
      <c r="AK33" s="1">
        <v>17</v>
      </c>
      <c r="AL33" s="1">
        <v>211</v>
      </c>
      <c r="AM33" s="1">
        <v>3255</v>
      </c>
      <c r="AN33" s="1">
        <v>94</v>
      </c>
      <c r="AO33" s="1">
        <v>11</v>
      </c>
      <c r="AP33" s="1">
        <v>1697</v>
      </c>
      <c r="AQ33" s="1">
        <v>383</v>
      </c>
      <c r="AR33" s="1">
        <v>270</v>
      </c>
      <c r="AS33" s="1">
        <v>151</v>
      </c>
      <c r="AT33" s="1">
        <v>313</v>
      </c>
      <c r="AU33" s="1">
        <v>1564</v>
      </c>
      <c r="AV33" s="1">
        <v>3347</v>
      </c>
      <c r="AW33" s="1">
        <v>2424</v>
      </c>
      <c r="AX33" s="1">
        <v>109</v>
      </c>
      <c r="AY33" s="1">
        <v>340</v>
      </c>
      <c r="AZ33" s="1">
        <v>2</v>
      </c>
      <c r="BA33" s="1">
        <v>8877</v>
      </c>
      <c r="BB33" s="1">
        <v>1570</v>
      </c>
      <c r="BC33" s="1">
        <v>558</v>
      </c>
      <c r="BD33" s="1">
        <v>2751</v>
      </c>
      <c r="BE33" s="1">
        <v>3221</v>
      </c>
      <c r="BF33" s="1">
        <v>284</v>
      </c>
      <c r="BG33" s="1">
        <v>3065</v>
      </c>
      <c r="BH33" s="1">
        <v>378</v>
      </c>
      <c r="BI33" s="1">
        <v>682</v>
      </c>
      <c r="BJ33" s="1">
        <v>2745</v>
      </c>
      <c r="BK33" s="1">
        <v>323</v>
      </c>
      <c r="BL33" s="1">
        <v>267</v>
      </c>
      <c r="BM33" s="1">
        <v>533</v>
      </c>
      <c r="BN33" s="1">
        <v>117</v>
      </c>
      <c r="BO33" s="1">
        <v>276</v>
      </c>
      <c r="BP33" s="1">
        <v>136</v>
      </c>
      <c r="BQ33" s="1">
        <v>2098</v>
      </c>
      <c r="BR33" s="1">
        <v>554</v>
      </c>
      <c r="BS33" s="1">
        <v>6657</v>
      </c>
      <c r="BT33" s="1">
        <v>4687</v>
      </c>
      <c r="BU33" s="1">
        <v>499</v>
      </c>
      <c r="BV33" s="1">
        <v>3044</v>
      </c>
      <c r="BW33" s="1">
        <v>80</v>
      </c>
      <c r="BX33" s="1">
        <v>67812</v>
      </c>
      <c r="BY33" s="9">
        <v>263949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47412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</row>
    <row r="34" spans="1:95" x14ac:dyDescent="0.25">
      <c r="A34" t="s">
        <v>33</v>
      </c>
      <c r="B34" t="s">
        <v>126</v>
      </c>
      <c r="C34">
        <f t="shared" si="0"/>
        <v>0.17044228694714131</v>
      </c>
      <c r="D34" s="10">
        <f t="shared" si="1"/>
        <v>9270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135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119</v>
      </c>
      <c r="AF34" s="1">
        <v>8</v>
      </c>
      <c r="AG34" s="1">
        <v>7</v>
      </c>
      <c r="AH34" s="1">
        <v>0</v>
      </c>
      <c r="AI34" s="1">
        <v>49</v>
      </c>
      <c r="AJ34" s="1">
        <v>0</v>
      </c>
      <c r="AK34" s="1">
        <v>27</v>
      </c>
      <c r="AL34" s="1">
        <v>0</v>
      </c>
      <c r="AM34" s="1">
        <v>4965</v>
      </c>
      <c r="AN34" s="1">
        <v>0</v>
      </c>
      <c r="AO34" s="1">
        <v>7</v>
      </c>
      <c r="AP34" s="1">
        <v>196</v>
      </c>
      <c r="AQ34" s="1">
        <v>7</v>
      </c>
      <c r="AR34" s="1">
        <v>0</v>
      </c>
      <c r="AS34" s="1">
        <v>0</v>
      </c>
      <c r="AT34" s="1">
        <v>146</v>
      </c>
      <c r="AU34" s="1">
        <v>2</v>
      </c>
      <c r="AV34" s="1">
        <v>6</v>
      </c>
      <c r="AW34" s="1">
        <v>5</v>
      </c>
      <c r="AX34" s="1">
        <v>9</v>
      </c>
      <c r="AY34" s="1">
        <v>0</v>
      </c>
      <c r="AZ34" s="1">
        <v>0</v>
      </c>
      <c r="BA34" s="1">
        <v>0</v>
      </c>
      <c r="BB34" s="1">
        <v>21</v>
      </c>
      <c r="BC34" s="1">
        <v>26</v>
      </c>
      <c r="BD34" s="1">
        <v>18</v>
      </c>
      <c r="BE34" s="1">
        <v>259</v>
      </c>
      <c r="BF34" s="1">
        <v>2</v>
      </c>
      <c r="BG34" s="1">
        <v>121</v>
      </c>
      <c r="BH34" s="1">
        <v>0</v>
      </c>
      <c r="BI34" s="1">
        <v>0</v>
      </c>
      <c r="BJ34" s="1">
        <v>9</v>
      </c>
      <c r="BK34" s="1">
        <v>41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15</v>
      </c>
      <c r="BS34" s="1">
        <v>197</v>
      </c>
      <c r="BT34" s="1">
        <v>158</v>
      </c>
      <c r="BU34" s="1">
        <v>791</v>
      </c>
      <c r="BV34" s="1">
        <v>344</v>
      </c>
      <c r="BW34" s="1">
        <v>0</v>
      </c>
      <c r="BX34" s="1">
        <v>7690</v>
      </c>
      <c r="BY34" s="9">
        <v>1580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1397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</row>
    <row r="35" spans="1:95" x14ac:dyDescent="0.25">
      <c r="A35" t="s">
        <v>34</v>
      </c>
      <c r="B35" t="s">
        <v>127</v>
      </c>
      <c r="C35">
        <f t="shared" si="0"/>
        <v>0.8605945916296418</v>
      </c>
      <c r="D35" s="10">
        <f t="shared" si="1"/>
        <v>36462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9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279</v>
      </c>
      <c r="BF35" s="1">
        <v>38</v>
      </c>
      <c r="BG35" s="1">
        <v>0</v>
      </c>
      <c r="BH35" s="1">
        <v>0</v>
      </c>
      <c r="BI35" s="1">
        <v>93</v>
      </c>
      <c r="BJ35" s="1">
        <v>0</v>
      </c>
      <c r="BK35" s="1">
        <v>11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2690</v>
      </c>
      <c r="BT35" s="1">
        <v>190</v>
      </c>
      <c r="BU35" s="1">
        <v>1407</v>
      </c>
      <c r="BV35" s="1">
        <v>366</v>
      </c>
      <c r="BW35" s="1">
        <v>0</v>
      </c>
      <c r="BX35" s="1">
        <v>5083</v>
      </c>
      <c r="BY35" s="9">
        <v>31379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5726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</row>
    <row r="36" spans="1:95" x14ac:dyDescent="0.25">
      <c r="A36" t="s">
        <v>35</v>
      </c>
      <c r="B36" t="s">
        <v>128</v>
      </c>
      <c r="C36">
        <f t="shared" si="0"/>
        <v>0.18752945089669318</v>
      </c>
      <c r="D36" s="10">
        <f t="shared" si="1"/>
        <v>72154</v>
      </c>
      <c r="E36" s="1">
        <v>189</v>
      </c>
      <c r="F36" s="1">
        <v>0</v>
      </c>
      <c r="G36" s="1">
        <v>0</v>
      </c>
      <c r="H36" s="1">
        <v>0</v>
      </c>
      <c r="I36" s="1">
        <v>87</v>
      </c>
      <c r="J36" s="1">
        <v>0</v>
      </c>
      <c r="K36" s="1">
        <v>0</v>
      </c>
      <c r="L36" s="1">
        <v>99</v>
      </c>
      <c r="M36" s="1">
        <v>90</v>
      </c>
      <c r="N36" s="1">
        <v>157</v>
      </c>
      <c r="O36" s="1">
        <v>313</v>
      </c>
      <c r="P36" s="1">
        <v>123</v>
      </c>
      <c r="Q36" s="1">
        <v>43</v>
      </c>
      <c r="R36" s="1">
        <v>58</v>
      </c>
      <c r="S36" s="1">
        <v>124</v>
      </c>
      <c r="T36" s="1">
        <v>62</v>
      </c>
      <c r="U36" s="1">
        <v>74</v>
      </c>
      <c r="V36" s="1">
        <v>162</v>
      </c>
      <c r="W36" s="1">
        <v>166</v>
      </c>
      <c r="X36" s="1">
        <v>42</v>
      </c>
      <c r="Y36" s="1">
        <v>15</v>
      </c>
      <c r="Z36" s="1">
        <v>208</v>
      </c>
      <c r="AA36" s="1">
        <v>58</v>
      </c>
      <c r="AB36" s="1">
        <v>60</v>
      </c>
      <c r="AC36" s="1">
        <v>99</v>
      </c>
      <c r="AD36" s="1">
        <v>226</v>
      </c>
      <c r="AE36" s="1">
        <v>6048</v>
      </c>
      <c r="AF36" s="1">
        <v>3496</v>
      </c>
      <c r="AG36" s="1">
        <v>1361</v>
      </c>
      <c r="AH36" s="1">
        <v>647</v>
      </c>
      <c r="AI36" s="1">
        <v>7293</v>
      </c>
      <c r="AJ36" s="1">
        <v>1705</v>
      </c>
      <c r="AK36" s="1">
        <v>160</v>
      </c>
      <c r="AL36" s="1">
        <v>115</v>
      </c>
      <c r="AM36" s="1">
        <v>15781</v>
      </c>
      <c r="AN36" s="1">
        <v>293</v>
      </c>
      <c r="AO36" s="1">
        <v>47</v>
      </c>
      <c r="AP36" s="1">
        <v>5449</v>
      </c>
      <c r="AQ36" s="1">
        <v>1305</v>
      </c>
      <c r="AR36" s="1">
        <v>68</v>
      </c>
      <c r="AS36" s="1">
        <v>56</v>
      </c>
      <c r="AT36" s="1">
        <v>2</v>
      </c>
      <c r="AU36" s="1">
        <v>394</v>
      </c>
      <c r="AV36" s="1">
        <v>0</v>
      </c>
      <c r="AW36" s="1">
        <v>0</v>
      </c>
      <c r="AX36" s="1">
        <v>11</v>
      </c>
      <c r="AY36" s="1">
        <v>5</v>
      </c>
      <c r="AZ36" s="1">
        <v>0</v>
      </c>
      <c r="BA36" s="1">
        <v>0</v>
      </c>
      <c r="BB36" s="1">
        <v>644</v>
      </c>
      <c r="BC36" s="1">
        <v>81</v>
      </c>
      <c r="BD36" s="1">
        <v>118</v>
      </c>
      <c r="BE36" s="1">
        <v>1338</v>
      </c>
      <c r="BF36" s="1">
        <v>7</v>
      </c>
      <c r="BG36" s="1">
        <v>342</v>
      </c>
      <c r="BH36" s="1">
        <v>66</v>
      </c>
      <c r="BI36" s="1">
        <v>25</v>
      </c>
      <c r="BJ36" s="1">
        <v>271</v>
      </c>
      <c r="BK36" s="1">
        <v>485</v>
      </c>
      <c r="BL36" s="1">
        <v>34</v>
      </c>
      <c r="BM36" s="1">
        <v>79</v>
      </c>
      <c r="BN36" s="1">
        <v>44</v>
      </c>
      <c r="BO36" s="1">
        <v>10</v>
      </c>
      <c r="BP36" s="1">
        <v>15</v>
      </c>
      <c r="BQ36" s="1">
        <v>256</v>
      </c>
      <c r="BR36" s="1">
        <v>217</v>
      </c>
      <c r="BS36" s="1">
        <v>6227</v>
      </c>
      <c r="BT36" s="1">
        <v>77</v>
      </c>
      <c r="BU36" s="1">
        <v>1115</v>
      </c>
      <c r="BV36" s="1">
        <v>456</v>
      </c>
      <c r="BW36" s="1">
        <v>24</v>
      </c>
      <c r="BX36" s="1">
        <v>58623</v>
      </c>
      <c r="BY36" s="9">
        <v>13531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1773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</row>
    <row r="37" spans="1:95" x14ac:dyDescent="0.25">
      <c r="A37" t="s">
        <v>36</v>
      </c>
      <c r="B37" t="s">
        <v>129</v>
      </c>
      <c r="C37">
        <f t="shared" si="0"/>
        <v>0.43622127976884001</v>
      </c>
      <c r="D37" s="10">
        <f t="shared" si="1"/>
        <v>193113</v>
      </c>
      <c r="E37" s="1">
        <v>0</v>
      </c>
      <c r="F37" s="1">
        <v>1</v>
      </c>
      <c r="G37" s="1">
        <v>2</v>
      </c>
      <c r="H37" s="1">
        <v>7</v>
      </c>
      <c r="I37" s="1">
        <v>122</v>
      </c>
      <c r="J37" s="1">
        <v>924</v>
      </c>
      <c r="K37" s="1">
        <v>1698</v>
      </c>
      <c r="L37" s="1">
        <v>153</v>
      </c>
      <c r="M37" s="1">
        <v>194</v>
      </c>
      <c r="N37" s="1">
        <v>161</v>
      </c>
      <c r="O37" s="1">
        <v>285</v>
      </c>
      <c r="P37" s="1">
        <v>164</v>
      </c>
      <c r="Q37" s="1">
        <v>19</v>
      </c>
      <c r="R37" s="1">
        <v>21</v>
      </c>
      <c r="S37" s="1">
        <v>172</v>
      </c>
      <c r="T37" s="1">
        <v>36</v>
      </c>
      <c r="U37" s="1">
        <v>73</v>
      </c>
      <c r="V37" s="1">
        <v>89</v>
      </c>
      <c r="W37" s="1">
        <v>361</v>
      </c>
      <c r="X37" s="1">
        <v>8</v>
      </c>
      <c r="Y37" s="1">
        <v>2</v>
      </c>
      <c r="Z37" s="1">
        <v>152</v>
      </c>
      <c r="AA37" s="1">
        <v>112</v>
      </c>
      <c r="AB37" s="1">
        <v>30</v>
      </c>
      <c r="AC37" s="1">
        <v>122</v>
      </c>
      <c r="AD37" s="1">
        <v>238</v>
      </c>
      <c r="AE37" s="1">
        <v>2909</v>
      </c>
      <c r="AF37" s="1">
        <v>267</v>
      </c>
      <c r="AG37" s="1">
        <v>10</v>
      </c>
      <c r="AH37" s="1">
        <v>38</v>
      </c>
      <c r="AI37" s="1">
        <v>304</v>
      </c>
      <c r="AJ37" s="1">
        <v>3</v>
      </c>
      <c r="AK37" s="1">
        <v>365</v>
      </c>
      <c r="AL37" s="1">
        <v>0</v>
      </c>
      <c r="AM37" s="1">
        <v>0</v>
      </c>
      <c r="AN37" s="1">
        <v>0</v>
      </c>
      <c r="AO37" s="1">
        <v>7</v>
      </c>
      <c r="AP37" s="1">
        <v>302</v>
      </c>
      <c r="AQ37" s="1">
        <v>9</v>
      </c>
      <c r="AR37" s="1">
        <v>391</v>
      </c>
      <c r="AS37" s="1">
        <v>177</v>
      </c>
      <c r="AT37" s="1">
        <v>717</v>
      </c>
      <c r="AU37" s="1">
        <v>2569</v>
      </c>
      <c r="AV37" s="1">
        <v>5739</v>
      </c>
      <c r="AW37" s="1">
        <v>3430</v>
      </c>
      <c r="AX37" s="1">
        <v>1428</v>
      </c>
      <c r="AY37" s="1">
        <v>486</v>
      </c>
      <c r="AZ37" s="1">
        <v>9</v>
      </c>
      <c r="BA37" s="1">
        <v>13887</v>
      </c>
      <c r="BB37" s="1">
        <v>2362</v>
      </c>
      <c r="BC37" s="1">
        <v>1054</v>
      </c>
      <c r="BD37" s="1">
        <v>4678</v>
      </c>
      <c r="BE37" s="1">
        <v>6534</v>
      </c>
      <c r="BF37" s="1">
        <v>446</v>
      </c>
      <c r="BG37" s="1">
        <v>4678</v>
      </c>
      <c r="BH37" s="1">
        <v>480</v>
      </c>
      <c r="BI37" s="1">
        <v>1257</v>
      </c>
      <c r="BJ37" s="1">
        <v>5363</v>
      </c>
      <c r="BK37" s="1">
        <v>6423</v>
      </c>
      <c r="BL37" s="1">
        <v>1194</v>
      </c>
      <c r="BM37" s="1">
        <v>641</v>
      </c>
      <c r="BN37" s="1">
        <v>4215</v>
      </c>
      <c r="BO37" s="1">
        <v>263</v>
      </c>
      <c r="BP37" s="1">
        <v>221</v>
      </c>
      <c r="BQ37" s="1">
        <v>3388</v>
      </c>
      <c r="BR37" s="1">
        <v>773</v>
      </c>
      <c r="BS37" s="1">
        <v>104</v>
      </c>
      <c r="BT37" s="1">
        <v>22</v>
      </c>
      <c r="BU37" s="1">
        <v>26</v>
      </c>
      <c r="BV37" s="1">
        <v>24758</v>
      </c>
      <c r="BW37" s="1">
        <v>1802</v>
      </c>
      <c r="BX37" s="1">
        <v>108873</v>
      </c>
      <c r="BY37" s="9">
        <v>84240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</row>
    <row r="38" spans="1:95" x14ac:dyDescent="0.25">
      <c r="A38" t="s">
        <v>37</v>
      </c>
      <c r="B38" t="s">
        <v>130</v>
      </c>
      <c r="C38">
        <f t="shared" si="0"/>
        <v>0</v>
      </c>
      <c r="D38" s="10">
        <f t="shared" si="1"/>
        <v>398</v>
      </c>
      <c r="E38" s="1">
        <v>0</v>
      </c>
      <c r="F38" s="1">
        <v>0</v>
      </c>
      <c r="G38" s="1">
        <v>398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398</v>
      </c>
      <c r="BY38" s="9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266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</row>
    <row r="39" spans="1:95" x14ac:dyDescent="0.25">
      <c r="A39" t="s">
        <v>38</v>
      </c>
      <c r="B39" t="s">
        <v>131</v>
      </c>
      <c r="C39">
        <f t="shared" si="0"/>
        <v>6.8575802602548516E-2</v>
      </c>
      <c r="D39" s="10">
        <f t="shared" si="1"/>
        <v>377553</v>
      </c>
      <c r="E39" s="1">
        <v>0</v>
      </c>
      <c r="F39" s="1">
        <v>61</v>
      </c>
      <c r="G39" s="1">
        <v>27</v>
      </c>
      <c r="H39" s="1">
        <v>528</v>
      </c>
      <c r="I39" s="1">
        <v>5</v>
      </c>
      <c r="J39" s="1">
        <v>6475</v>
      </c>
      <c r="K39" s="1">
        <v>0</v>
      </c>
      <c r="L39" s="1">
        <v>927</v>
      </c>
      <c r="M39" s="1">
        <v>1056</v>
      </c>
      <c r="N39" s="1">
        <v>147</v>
      </c>
      <c r="O39" s="1">
        <v>68</v>
      </c>
      <c r="P39" s="1">
        <v>13</v>
      </c>
      <c r="Q39" s="1">
        <v>0</v>
      </c>
      <c r="R39" s="1">
        <v>3</v>
      </c>
      <c r="S39" s="1">
        <v>11</v>
      </c>
      <c r="T39" s="1">
        <v>0</v>
      </c>
      <c r="U39" s="1">
        <v>217</v>
      </c>
      <c r="V39" s="1">
        <v>109</v>
      </c>
      <c r="W39" s="1">
        <v>481</v>
      </c>
      <c r="X39" s="1">
        <v>49</v>
      </c>
      <c r="Y39" s="1">
        <v>0</v>
      </c>
      <c r="Z39" s="1">
        <v>727</v>
      </c>
      <c r="AA39" s="1">
        <v>329</v>
      </c>
      <c r="AB39" s="1">
        <v>349</v>
      </c>
      <c r="AC39" s="1">
        <v>139</v>
      </c>
      <c r="AD39" s="1">
        <v>543</v>
      </c>
      <c r="AE39" s="1">
        <v>85941</v>
      </c>
      <c r="AF39" s="1">
        <v>3661</v>
      </c>
      <c r="AG39" s="1">
        <v>2046</v>
      </c>
      <c r="AH39" s="1">
        <v>532</v>
      </c>
      <c r="AI39" s="1">
        <v>21838</v>
      </c>
      <c r="AJ39" s="1">
        <v>33208</v>
      </c>
      <c r="AK39" s="1">
        <v>1200</v>
      </c>
      <c r="AL39" s="1">
        <v>5304</v>
      </c>
      <c r="AM39" s="1">
        <v>63845</v>
      </c>
      <c r="AN39" s="1">
        <v>2470</v>
      </c>
      <c r="AO39" s="1">
        <v>1201</v>
      </c>
      <c r="AP39" s="1">
        <v>42266</v>
      </c>
      <c r="AQ39" s="1">
        <v>6764</v>
      </c>
      <c r="AR39" s="1">
        <v>1030</v>
      </c>
      <c r="AS39" s="1">
        <v>878</v>
      </c>
      <c r="AT39" s="1">
        <v>135</v>
      </c>
      <c r="AU39" s="1">
        <v>5962</v>
      </c>
      <c r="AV39" s="1">
        <v>996</v>
      </c>
      <c r="AW39" s="1">
        <v>6204</v>
      </c>
      <c r="AX39" s="1">
        <v>126</v>
      </c>
      <c r="AY39" s="1">
        <v>0</v>
      </c>
      <c r="AZ39" s="1">
        <v>0</v>
      </c>
      <c r="BA39" s="1">
        <v>0</v>
      </c>
      <c r="BB39" s="1">
        <v>9381</v>
      </c>
      <c r="BC39" s="1">
        <v>814</v>
      </c>
      <c r="BD39" s="1">
        <v>1467</v>
      </c>
      <c r="BE39" s="1">
        <v>9029</v>
      </c>
      <c r="BF39" s="1">
        <v>588</v>
      </c>
      <c r="BG39" s="1">
        <v>3560</v>
      </c>
      <c r="BH39" s="1">
        <v>2120</v>
      </c>
      <c r="BI39" s="1">
        <v>441</v>
      </c>
      <c r="BJ39" s="1">
        <v>3764</v>
      </c>
      <c r="BK39" s="1">
        <v>7354</v>
      </c>
      <c r="BL39" s="1">
        <v>567</v>
      </c>
      <c r="BM39" s="1">
        <v>1746</v>
      </c>
      <c r="BN39" s="1">
        <v>976</v>
      </c>
      <c r="BO39" s="1">
        <v>1110</v>
      </c>
      <c r="BP39" s="1">
        <v>153</v>
      </c>
      <c r="BQ39" s="1">
        <v>1908</v>
      </c>
      <c r="BR39" s="1">
        <v>1790</v>
      </c>
      <c r="BS39" s="1">
        <v>5</v>
      </c>
      <c r="BT39" s="1">
        <v>245</v>
      </c>
      <c r="BU39" s="1">
        <v>1167</v>
      </c>
      <c r="BV39" s="1">
        <v>1349</v>
      </c>
      <c r="BW39" s="1">
        <v>4253</v>
      </c>
      <c r="BX39" s="1">
        <v>351662</v>
      </c>
      <c r="BY39" s="9">
        <v>25891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16780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</row>
    <row r="40" spans="1:95" x14ac:dyDescent="0.25">
      <c r="A40" t="s">
        <v>39</v>
      </c>
      <c r="B40" t="s">
        <v>132</v>
      </c>
      <c r="C40">
        <f t="shared" si="0"/>
        <v>1.2471526782861443E-3</v>
      </c>
      <c r="D40" s="10">
        <f t="shared" si="1"/>
        <v>194042</v>
      </c>
      <c r="E40" s="1">
        <v>1123</v>
      </c>
      <c r="F40" s="1">
        <v>0</v>
      </c>
      <c r="G40" s="1">
        <v>8</v>
      </c>
      <c r="H40" s="1">
        <v>158</v>
      </c>
      <c r="I40" s="1">
        <v>0</v>
      </c>
      <c r="J40" s="1">
        <v>617</v>
      </c>
      <c r="K40" s="1">
        <v>0</v>
      </c>
      <c r="L40" s="1">
        <v>1573</v>
      </c>
      <c r="M40" s="1">
        <v>2270</v>
      </c>
      <c r="N40" s="1">
        <v>119</v>
      </c>
      <c r="O40" s="1">
        <v>668</v>
      </c>
      <c r="P40" s="1">
        <v>403</v>
      </c>
      <c r="Q40" s="1">
        <v>368</v>
      </c>
      <c r="R40" s="1">
        <v>117</v>
      </c>
      <c r="S40" s="1">
        <v>136</v>
      </c>
      <c r="T40" s="1">
        <v>110</v>
      </c>
      <c r="U40" s="1">
        <v>119</v>
      </c>
      <c r="V40" s="1">
        <v>396</v>
      </c>
      <c r="W40" s="1">
        <v>4332</v>
      </c>
      <c r="X40" s="1">
        <v>1063</v>
      </c>
      <c r="Y40" s="1">
        <v>236</v>
      </c>
      <c r="Z40" s="1">
        <v>3123</v>
      </c>
      <c r="AA40" s="1">
        <v>997</v>
      </c>
      <c r="AB40" s="1">
        <v>284</v>
      </c>
      <c r="AC40" s="1">
        <v>2084</v>
      </c>
      <c r="AD40" s="1">
        <v>3691</v>
      </c>
      <c r="AE40" s="1">
        <v>44009</v>
      </c>
      <c r="AF40" s="1">
        <v>15453</v>
      </c>
      <c r="AG40" s="1">
        <v>8925</v>
      </c>
      <c r="AH40" s="1">
        <v>4423</v>
      </c>
      <c r="AI40" s="1">
        <v>40406</v>
      </c>
      <c r="AJ40" s="1">
        <v>108</v>
      </c>
      <c r="AK40" s="1">
        <v>2</v>
      </c>
      <c r="AL40" s="1">
        <v>1083</v>
      </c>
      <c r="AM40" s="1">
        <v>6616</v>
      </c>
      <c r="AN40" s="1">
        <v>551</v>
      </c>
      <c r="AO40" s="1">
        <v>493</v>
      </c>
      <c r="AP40" s="1">
        <v>1411</v>
      </c>
      <c r="AQ40" s="1">
        <v>6983</v>
      </c>
      <c r="AR40" s="1">
        <v>479</v>
      </c>
      <c r="AS40" s="1">
        <v>256</v>
      </c>
      <c r="AT40" s="1">
        <v>460</v>
      </c>
      <c r="AU40" s="1">
        <v>2146</v>
      </c>
      <c r="AV40" s="1">
        <v>0</v>
      </c>
      <c r="AW40" s="1">
        <v>0</v>
      </c>
      <c r="AX40" s="1">
        <v>41</v>
      </c>
      <c r="AY40" s="1">
        <v>0</v>
      </c>
      <c r="AZ40" s="1">
        <v>4</v>
      </c>
      <c r="BA40" s="1">
        <v>1265</v>
      </c>
      <c r="BB40" s="1">
        <v>1805</v>
      </c>
      <c r="BC40" s="1">
        <v>230</v>
      </c>
      <c r="BD40" s="1">
        <v>396</v>
      </c>
      <c r="BE40" s="1">
        <v>1562</v>
      </c>
      <c r="BF40" s="1">
        <v>15</v>
      </c>
      <c r="BG40" s="1">
        <v>9624</v>
      </c>
      <c r="BH40" s="1">
        <v>441</v>
      </c>
      <c r="BI40" s="1">
        <v>167</v>
      </c>
      <c r="BJ40" s="1">
        <v>1242</v>
      </c>
      <c r="BK40" s="1">
        <v>2364</v>
      </c>
      <c r="BL40" s="1">
        <v>253</v>
      </c>
      <c r="BM40" s="1">
        <v>343</v>
      </c>
      <c r="BN40" s="1">
        <v>336</v>
      </c>
      <c r="BO40" s="1">
        <v>192</v>
      </c>
      <c r="BP40" s="1">
        <v>723</v>
      </c>
      <c r="BQ40" s="1">
        <v>1874</v>
      </c>
      <c r="BR40" s="1">
        <v>1058</v>
      </c>
      <c r="BS40" s="1">
        <v>566</v>
      </c>
      <c r="BT40" s="1">
        <v>1471</v>
      </c>
      <c r="BU40" s="1">
        <v>0</v>
      </c>
      <c r="BV40" s="1">
        <v>9794</v>
      </c>
      <c r="BW40" s="1">
        <v>236</v>
      </c>
      <c r="BX40" s="1">
        <v>193800</v>
      </c>
      <c r="BY40" s="9">
        <v>242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189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</row>
    <row r="41" spans="1:95" x14ac:dyDescent="0.25">
      <c r="A41" t="s">
        <v>40</v>
      </c>
      <c r="B41" t="s">
        <v>133</v>
      </c>
      <c r="C41">
        <f t="shared" si="0"/>
        <v>0.64681630193499207</v>
      </c>
      <c r="D41" s="10">
        <f t="shared" si="1"/>
        <v>388322</v>
      </c>
      <c r="E41" s="1">
        <v>108</v>
      </c>
      <c r="F41" s="1">
        <v>1</v>
      </c>
      <c r="G41" s="1">
        <v>40</v>
      </c>
      <c r="H41" s="1">
        <v>1</v>
      </c>
      <c r="I41" s="1">
        <v>7</v>
      </c>
      <c r="J41" s="1">
        <v>345</v>
      </c>
      <c r="K41" s="1">
        <v>2128</v>
      </c>
      <c r="L41" s="1">
        <v>46</v>
      </c>
      <c r="M41" s="1">
        <v>1</v>
      </c>
      <c r="N41" s="1">
        <v>23</v>
      </c>
      <c r="O41" s="1">
        <v>101</v>
      </c>
      <c r="P41" s="1">
        <v>44</v>
      </c>
      <c r="Q41" s="1">
        <v>55</v>
      </c>
      <c r="R41" s="1">
        <v>1</v>
      </c>
      <c r="S41" s="1">
        <v>28</v>
      </c>
      <c r="T41" s="1">
        <v>163</v>
      </c>
      <c r="U41" s="1">
        <v>11</v>
      </c>
      <c r="V41" s="1">
        <v>30</v>
      </c>
      <c r="W41" s="1">
        <v>12</v>
      </c>
      <c r="X41" s="1">
        <v>0</v>
      </c>
      <c r="Y41" s="1">
        <v>0</v>
      </c>
      <c r="Z41" s="1">
        <v>9</v>
      </c>
      <c r="AA41" s="1">
        <v>48</v>
      </c>
      <c r="AB41" s="1">
        <v>2</v>
      </c>
      <c r="AC41" s="1">
        <v>21</v>
      </c>
      <c r="AD41" s="1">
        <v>10</v>
      </c>
      <c r="AE41" s="1">
        <v>5640</v>
      </c>
      <c r="AF41" s="1">
        <v>922</v>
      </c>
      <c r="AG41" s="1">
        <v>82</v>
      </c>
      <c r="AH41" s="1">
        <v>266</v>
      </c>
      <c r="AI41" s="1">
        <v>1302</v>
      </c>
      <c r="AJ41" s="1">
        <v>22</v>
      </c>
      <c r="AK41" s="1">
        <v>88</v>
      </c>
      <c r="AL41" s="1">
        <v>0</v>
      </c>
      <c r="AM41" s="1">
        <v>36</v>
      </c>
      <c r="AN41" s="1">
        <v>23</v>
      </c>
      <c r="AO41" s="1">
        <v>0</v>
      </c>
      <c r="AP41" s="1">
        <v>632</v>
      </c>
      <c r="AQ41" s="1">
        <v>145</v>
      </c>
      <c r="AR41" s="1">
        <v>69771</v>
      </c>
      <c r="AS41" s="1">
        <v>60</v>
      </c>
      <c r="AT41" s="1">
        <v>789</v>
      </c>
      <c r="AU41" s="1">
        <v>4534</v>
      </c>
      <c r="AV41" s="1">
        <v>749</v>
      </c>
      <c r="AW41" s="1">
        <v>2434</v>
      </c>
      <c r="AX41" s="1">
        <v>807</v>
      </c>
      <c r="AY41" s="1">
        <v>131</v>
      </c>
      <c r="AZ41" s="1">
        <v>0</v>
      </c>
      <c r="BA41" s="1">
        <v>1577</v>
      </c>
      <c r="BB41" s="1">
        <v>992</v>
      </c>
      <c r="BC41" s="1">
        <v>1570</v>
      </c>
      <c r="BD41" s="1">
        <v>2786</v>
      </c>
      <c r="BE41" s="1">
        <v>7884</v>
      </c>
      <c r="BF41" s="1">
        <v>583</v>
      </c>
      <c r="BG41" s="1">
        <v>3473</v>
      </c>
      <c r="BH41" s="1">
        <v>48</v>
      </c>
      <c r="BI41" s="1">
        <v>755</v>
      </c>
      <c r="BJ41" s="1">
        <v>1915</v>
      </c>
      <c r="BK41" s="1">
        <v>3281</v>
      </c>
      <c r="BL41" s="1">
        <v>208</v>
      </c>
      <c r="BM41" s="1">
        <v>1105</v>
      </c>
      <c r="BN41" s="1">
        <v>87</v>
      </c>
      <c r="BO41" s="1">
        <v>124</v>
      </c>
      <c r="BP41" s="1">
        <v>169</v>
      </c>
      <c r="BQ41" s="1">
        <v>240</v>
      </c>
      <c r="BR41" s="1">
        <v>932</v>
      </c>
      <c r="BS41" s="1">
        <v>155</v>
      </c>
      <c r="BT41" s="1">
        <v>2117</v>
      </c>
      <c r="BU41" s="1">
        <v>21</v>
      </c>
      <c r="BV41" s="1">
        <v>14726</v>
      </c>
      <c r="BW41" s="1">
        <v>732</v>
      </c>
      <c r="BX41" s="1">
        <v>137149</v>
      </c>
      <c r="BY41" s="9">
        <v>251173</v>
      </c>
      <c r="BZ41" s="1">
        <v>0</v>
      </c>
      <c r="CA41" s="1">
        <v>0</v>
      </c>
      <c r="CB41" s="1">
        <v>249160</v>
      </c>
      <c r="CC41" s="1">
        <v>0</v>
      </c>
      <c r="CD41" s="1">
        <v>-450</v>
      </c>
      <c r="CE41" s="1">
        <v>53586</v>
      </c>
      <c r="CF41" s="1">
        <v>0</v>
      </c>
      <c r="CG41" s="1">
        <v>0</v>
      </c>
      <c r="CH41" s="1">
        <v>0</v>
      </c>
      <c r="CI41" s="1">
        <v>8169</v>
      </c>
      <c r="CJ41" s="1">
        <v>0</v>
      </c>
      <c r="CK41" s="1">
        <v>0</v>
      </c>
      <c r="CL41" s="1">
        <v>0</v>
      </c>
      <c r="CM41" s="1">
        <v>9614</v>
      </c>
      <c r="CN41" s="1">
        <v>0</v>
      </c>
      <c r="CO41" s="1">
        <v>0</v>
      </c>
      <c r="CP41" s="1">
        <v>0</v>
      </c>
      <c r="CQ41" s="1">
        <v>21379</v>
      </c>
    </row>
    <row r="42" spans="1:95" x14ac:dyDescent="0.25">
      <c r="A42" t="s">
        <v>41</v>
      </c>
      <c r="B42" t="s">
        <v>134</v>
      </c>
      <c r="C42">
        <f t="shared" si="0"/>
        <v>0.20549217038804798</v>
      </c>
      <c r="D42" s="10">
        <f t="shared" si="1"/>
        <v>152945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113</v>
      </c>
      <c r="AF42" s="1">
        <v>800</v>
      </c>
      <c r="AG42" s="1">
        <v>394</v>
      </c>
      <c r="AH42" s="1">
        <v>0</v>
      </c>
      <c r="AI42" s="1">
        <v>172</v>
      </c>
      <c r="AJ42" s="1">
        <v>10</v>
      </c>
      <c r="AK42" s="1">
        <v>0</v>
      </c>
      <c r="AL42" s="1">
        <v>0</v>
      </c>
      <c r="AM42" s="1">
        <v>5</v>
      </c>
      <c r="AN42" s="1">
        <v>0</v>
      </c>
      <c r="AO42" s="1">
        <v>75</v>
      </c>
      <c r="AP42" s="1">
        <v>30</v>
      </c>
      <c r="AQ42" s="1">
        <v>0</v>
      </c>
      <c r="AR42" s="1">
        <v>319</v>
      </c>
      <c r="AS42" s="1">
        <v>41680</v>
      </c>
      <c r="AT42" s="1">
        <v>53106</v>
      </c>
      <c r="AU42" s="1">
        <v>505</v>
      </c>
      <c r="AV42" s="1">
        <v>63</v>
      </c>
      <c r="AW42" s="1">
        <v>73</v>
      </c>
      <c r="AX42" s="1">
        <v>0</v>
      </c>
      <c r="AY42" s="1">
        <v>0</v>
      </c>
      <c r="AZ42" s="1">
        <v>0</v>
      </c>
      <c r="BA42" s="1">
        <v>243</v>
      </c>
      <c r="BB42" s="1">
        <v>235</v>
      </c>
      <c r="BC42" s="1">
        <v>16</v>
      </c>
      <c r="BD42" s="1">
        <v>103</v>
      </c>
      <c r="BE42" s="1">
        <v>4806</v>
      </c>
      <c r="BF42" s="1">
        <v>510</v>
      </c>
      <c r="BG42" s="1">
        <v>170</v>
      </c>
      <c r="BH42" s="1">
        <v>0</v>
      </c>
      <c r="BI42" s="1">
        <v>792</v>
      </c>
      <c r="BJ42" s="1">
        <v>144</v>
      </c>
      <c r="BK42" s="1">
        <v>36</v>
      </c>
      <c r="BL42" s="1">
        <v>1583</v>
      </c>
      <c r="BM42" s="1">
        <v>2556</v>
      </c>
      <c r="BN42" s="1">
        <v>776</v>
      </c>
      <c r="BO42" s="1">
        <v>126</v>
      </c>
      <c r="BP42" s="1">
        <v>845</v>
      </c>
      <c r="BQ42" s="1">
        <v>7389</v>
      </c>
      <c r="BR42" s="1">
        <v>600</v>
      </c>
      <c r="BS42" s="1">
        <v>115</v>
      </c>
      <c r="BT42" s="1">
        <v>2085</v>
      </c>
      <c r="BU42" s="1">
        <v>62</v>
      </c>
      <c r="BV42" s="1">
        <v>978</v>
      </c>
      <c r="BW42" s="1">
        <v>0</v>
      </c>
      <c r="BX42" s="1">
        <v>121516</v>
      </c>
      <c r="BY42" s="9">
        <v>31429</v>
      </c>
      <c r="BZ42" s="1">
        <v>0</v>
      </c>
      <c r="CA42" s="1">
        <v>0</v>
      </c>
      <c r="CB42" s="1">
        <v>54914</v>
      </c>
      <c r="CC42" s="1">
        <v>0</v>
      </c>
      <c r="CD42" s="1">
        <v>297</v>
      </c>
      <c r="CE42" s="1">
        <v>19635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</row>
    <row r="43" spans="1:95" x14ac:dyDescent="0.25">
      <c r="A43" t="s">
        <v>42</v>
      </c>
      <c r="B43" t="s">
        <v>135</v>
      </c>
      <c r="C43">
        <f t="shared" si="0"/>
        <v>0.52812505915727592</v>
      </c>
      <c r="D43" s="10">
        <f t="shared" si="1"/>
        <v>739554</v>
      </c>
      <c r="E43" s="1">
        <v>427</v>
      </c>
      <c r="F43" s="1">
        <v>4</v>
      </c>
      <c r="G43" s="1">
        <v>388</v>
      </c>
      <c r="H43" s="1">
        <v>78</v>
      </c>
      <c r="I43" s="1">
        <v>162</v>
      </c>
      <c r="J43" s="1">
        <v>710</v>
      </c>
      <c r="K43" s="1">
        <v>6677</v>
      </c>
      <c r="L43" s="1">
        <v>254</v>
      </c>
      <c r="M43" s="1">
        <v>507</v>
      </c>
      <c r="N43" s="1">
        <v>228</v>
      </c>
      <c r="O43" s="1">
        <v>892</v>
      </c>
      <c r="P43" s="1">
        <v>525</v>
      </c>
      <c r="Q43" s="1">
        <v>170</v>
      </c>
      <c r="R43" s="1">
        <v>145</v>
      </c>
      <c r="S43" s="1">
        <v>330</v>
      </c>
      <c r="T43" s="1">
        <v>423</v>
      </c>
      <c r="U43" s="1">
        <v>138</v>
      </c>
      <c r="V43" s="1">
        <v>284</v>
      </c>
      <c r="W43" s="1">
        <v>967</v>
      </c>
      <c r="X43" s="1">
        <v>50</v>
      </c>
      <c r="Y43" s="1">
        <v>24</v>
      </c>
      <c r="Z43" s="1">
        <v>279</v>
      </c>
      <c r="AA43" s="1">
        <v>296</v>
      </c>
      <c r="AB43" s="1">
        <v>32</v>
      </c>
      <c r="AC43" s="1">
        <v>333</v>
      </c>
      <c r="AD43" s="1">
        <v>358</v>
      </c>
      <c r="AE43" s="1">
        <v>9455</v>
      </c>
      <c r="AF43" s="1">
        <v>2120</v>
      </c>
      <c r="AG43" s="1">
        <v>566</v>
      </c>
      <c r="AH43" s="1">
        <v>219</v>
      </c>
      <c r="AI43" s="1">
        <v>4831</v>
      </c>
      <c r="AJ43" s="1">
        <v>1627</v>
      </c>
      <c r="AK43" s="1">
        <v>56</v>
      </c>
      <c r="AL43" s="1">
        <v>57</v>
      </c>
      <c r="AM43" s="1">
        <v>1400</v>
      </c>
      <c r="AN43" s="1">
        <v>913</v>
      </c>
      <c r="AO43" s="1">
        <v>1169</v>
      </c>
      <c r="AP43" s="1">
        <v>1500</v>
      </c>
      <c r="AQ43" s="1">
        <v>24</v>
      </c>
      <c r="AR43" s="1">
        <v>4080</v>
      </c>
      <c r="AS43" s="1">
        <v>616</v>
      </c>
      <c r="AT43" s="1">
        <v>86882</v>
      </c>
      <c r="AU43" s="1">
        <v>22568</v>
      </c>
      <c r="AV43" s="1">
        <v>8945</v>
      </c>
      <c r="AW43" s="1">
        <v>8162</v>
      </c>
      <c r="AX43" s="1">
        <v>3890</v>
      </c>
      <c r="AY43" s="1">
        <v>1446</v>
      </c>
      <c r="AZ43" s="1">
        <v>5</v>
      </c>
      <c r="BA43" s="1">
        <v>19958</v>
      </c>
      <c r="BB43" s="1">
        <v>2675</v>
      </c>
      <c r="BC43" s="1">
        <v>3575</v>
      </c>
      <c r="BD43" s="1">
        <v>3406</v>
      </c>
      <c r="BE43" s="1">
        <v>14236</v>
      </c>
      <c r="BF43" s="1">
        <v>1370</v>
      </c>
      <c r="BG43" s="1">
        <v>13035</v>
      </c>
      <c r="BH43" s="1">
        <v>1072</v>
      </c>
      <c r="BI43" s="1">
        <v>2213</v>
      </c>
      <c r="BJ43" s="1">
        <v>5729</v>
      </c>
      <c r="BK43" s="1">
        <v>2703</v>
      </c>
      <c r="BL43" s="1">
        <v>1286</v>
      </c>
      <c r="BM43" s="1">
        <v>714</v>
      </c>
      <c r="BN43" s="1">
        <v>785</v>
      </c>
      <c r="BO43" s="1">
        <v>1411</v>
      </c>
      <c r="BP43" s="1">
        <v>5033</v>
      </c>
      <c r="BQ43" s="1">
        <v>8420</v>
      </c>
      <c r="BR43" s="1">
        <v>5599</v>
      </c>
      <c r="BS43" s="1">
        <v>7563</v>
      </c>
      <c r="BT43" s="1">
        <v>5303</v>
      </c>
      <c r="BU43" s="1">
        <v>788</v>
      </c>
      <c r="BV43" s="1">
        <v>65459</v>
      </c>
      <c r="BW43" s="1">
        <v>1430</v>
      </c>
      <c r="BX43" s="1">
        <v>348977</v>
      </c>
      <c r="BY43" s="9">
        <v>390577</v>
      </c>
      <c r="BZ43" s="1">
        <v>0</v>
      </c>
      <c r="CA43" s="1">
        <v>7833</v>
      </c>
      <c r="CB43" s="1">
        <v>35220</v>
      </c>
      <c r="CC43" s="1">
        <v>0</v>
      </c>
      <c r="CD43" s="1">
        <v>0</v>
      </c>
      <c r="CE43" s="1">
        <v>10427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</row>
    <row r="44" spans="1:95" x14ac:dyDescent="0.25">
      <c r="A44" t="s">
        <v>43</v>
      </c>
      <c r="B44" t="s">
        <v>136</v>
      </c>
      <c r="C44">
        <f t="shared" si="0"/>
        <v>0.28429770999092457</v>
      </c>
      <c r="D44" s="10">
        <f t="shared" si="1"/>
        <v>567465</v>
      </c>
      <c r="E44" s="1">
        <v>0</v>
      </c>
      <c r="F44" s="1">
        <v>0</v>
      </c>
      <c r="G44" s="1">
        <v>83</v>
      </c>
      <c r="H44" s="1">
        <v>14</v>
      </c>
      <c r="I44" s="1">
        <v>16</v>
      </c>
      <c r="J44" s="1">
        <v>4987</v>
      </c>
      <c r="K44" s="1">
        <v>4963</v>
      </c>
      <c r="L44" s="1">
        <v>1311</v>
      </c>
      <c r="M44" s="1">
        <v>1704</v>
      </c>
      <c r="N44" s="1">
        <v>1280</v>
      </c>
      <c r="O44" s="1">
        <v>2628</v>
      </c>
      <c r="P44" s="1">
        <v>2015</v>
      </c>
      <c r="Q44" s="1">
        <v>218</v>
      </c>
      <c r="R44" s="1">
        <v>769</v>
      </c>
      <c r="S44" s="1">
        <v>784</v>
      </c>
      <c r="T44" s="1">
        <v>1417</v>
      </c>
      <c r="U44" s="1">
        <v>718</v>
      </c>
      <c r="V44" s="1">
        <v>821</v>
      </c>
      <c r="W44" s="1">
        <v>2715</v>
      </c>
      <c r="X44" s="1">
        <v>143</v>
      </c>
      <c r="Y44" s="1">
        <v>38</v>
      </c>
      <c r="Z44" s="1">
        <v>1543</v>
      </c>
      <c r="AA44" s="1">
        <v>439</v>
      </c>
      <c r="AB44" s="1">
        <v>158</v>
      </c>
      <c r="AC44" s="1">
        <v>526</v>
      </c>
      <c r="AD44" s="1">
        <v>772</v>
      </c>
      <c r="AE44" s="1">
        <v>7486</v>
      </c>
      <c r="AF44" s="1">
        <v>10123</v>
      </c>
      <c r="AG44" s="1">
        <v>2306</v>
      </c>
      <c r="AH44" s="1">
        <v>1400</v>
      </c>
      <c r="AI44" s="1">
        <v>18119</v>
      </c>
      <c r="AJ44" s="1">
        <v>918</v>
      </c>
      <c r="AK44" s="1">
        <v>1</v>
      </c>
      <c r="AL44" s="1">
        <v>0</v>
      </c>
      <c r="AM44" s="1">
        <v>265</v>
      </c>
      <c r="AN44" s="1">
        <v>232</v>
      </c>
      <c r="AO44" s="1">
        <v>141</v>
      </c>
      <c r="AP44" s="1">
        <v>1409</v>
      </c>
      <c r="AQ44" s="1">
        <v>152</v>
      </c>
      <c r="AR44" s="1">
        <v>6475</v>
      </c>
      <c r="AS44" s="1">
        <v>223</v>
      </c>
      <c r="AT44" s="1">
        <v>5200</v>
      </c>
      <c r="AU44" s="1">
        <v>31566</v>
      </c>
      <c r="AV44" s="1">
        <v>23416</v>
      </c>
      <c r="AW44" s="1">
        <v>13098</v>
      </c>
      <c r="AX44" s="1">
        <v>2887</v>
      </c>
      <c r="AY44" s="1">
        <v>4965</v>
      </c>
      <c r="AZ44" s="1">
        <v>1</v>
      </c>
      <c r="BA44" s="1">
        <v>2473</v>
      </c>
      <c r="BB44" s="1">
        <v>2080</v>
      </c>
      <c r="BC44" s="1">
        <v>5985</v>
      </c>
      <c r="BD44" s="1">
        <v>10187</v>
      </c>
      <c r="BE44" s="1">
        <v>26361</v>
      </c>
      <c r="BF44" s="1">
        <v>2177</v>
      </c>
      <c r="BG44" s="1">
        <v>47660</v>
      </c>
      <c r="BH44" s="1">
        <v>2936</v>
      </c>
      <c r="BI44" s="1">
        <v>5930</v>
      </c>
      <c r="BJ44" s="1">
        <v>3175</v>
      </c>
      <c r="BK44" s="1">
        <v>6075</v>
      </c>
      <c r="BL44" s="1">
        <v>581</v>
      </c>
      <c r="BM44" s="1">
        <v>1423</v>
      </c>
      <c r="BN44" s="1">
        <v>1798</v>
      </c>
      <c r="BO44" s="1">
        <v>2320</v>
      </c>
      <c r="BP44" s="1">
        <v>1417</v>
      </c>
      <c r="BQ44" s="1">
        <v>24100</v>
      </c>
      <c r="BR44" s="1">
        <v>14943</v>
      </c>
      <c r="BS44" s="1">
        <v>3353</v>
      </c>
      <c r="BT44" s="1">
        <v>10033</v>
      </c>
      <c r="BU44" s="1">
        <v>649</v>
      </c>
      <c r="BV44" s="1">
        <v>63551</v>
      </c>
      <c r="BW44" s="1">
        <v>6486</v>
      </c>
      <c r="BX44" s="1">
        <v>406136</v>
      </c>
      <c r="BY44" s="9">
        <v>161329</v>
      </c>
      <c r="BZ44" s="1">
        <v>0</v>
      </c>
      <c r="CA44" s="1">
        <v>0</v>
      </c>
      <c r="CB44" s="1">
        <v>80749</v>
      </c>
      <c r="CC44" s="1">
        <v>0</v>
      </c>
      <c r="CD44" s="1">
        <v>0</v>
      </c>
      <c r="CE44" s="1">
        <v>8007</v>
      </c>
      <c r="CF44" s="1">
        <v>0</v>
      </c>
      <c r="CG44" s="1">
        <v>0</v>
      </c>
      <c r="CH44" s="1">
        <v>0</v>
      </c>
      <c r="CI44" s="1">
        <v>3655</v>
      </c>
      <c r="CJ44" s="1">
        <v>0</v>
      </c>
      <c r="CK44" s="1">
        <v>0</v>
      </c>
      <c r="CL44" s="1">
        <v>0</v>
      </c>
      <c r="CM44" s="1">
        <v>4302</v>
      </c>
      <c r="CN44" s="1">
        <v>0</v>
      </c>
      <c r="CO44" s="1">
        <v>0</v>
      </c>
      <c r="CP44" s="1">
        <v>0</v>
      </c>
      <c r="CQ44" s="1">
        <v>9317</v>
      </c>
    </row>
    <row r="45" spans="1:95" x14ac:dyDescent="0.25">
      <c r="A45" t="s">
        <v>44</v>
      </c>
      <c r="B45" t="s">
        <v>137</v>
      </c>
      <c r="C45">
        <f t="shared" si="0"/>
        <v>0.32400498338221684</v>
      </c>
      <c r="D45" s="10">
        <f t="shared" si="1"/>
        <v>1280255</v>
      </c>
      <c r="E45" s="1">
        <v>5739</v>
      </c>
      <c r="F45" s="1">
        <v>638</v>
      </c>
      <c r="G45" s="1">
        <v>2936</v>
      </c>
      <c r="H45" s="1">
        <v>966</v>
      </c>
      <c r="I45" s="1">
        <v>678</v>
      </c>
      <c r="J45" s="1">
        <v>8449</v>
      </c>
      <c r="K45" s="1">
        <v>15529</v>
      </c>
      <c r="L45" s="1">
        <v>1286</v>
      </c>
      <c r="M45" s="1">
        <v>1261</v>
      </c>
      <c r="N45" s="1">
        <v>1817</v>
      </c>
      <c r="O45" s="1">
        <v>2447</v>
      </c>
      <c r="P45" s="1">
        <v>2046</v>
      </c>
      <c r="Q45" s="1">
        <v>4057</v>
      </c>
      <c r="R45" s="1">
        <v>1616</v>
      </c>
      <c r="S45" s="1">
        <v>4443</v>
      </c>
      <c r="T45" s="1">
        <v>1021</v>
      </c>
      <c r="U45" s="1">
        <v>843</v>
      </c>
      <c r="V45" s="1">
        <v>2355</v>
      </c>
      <c r="W45" s="1">
        <v>4554</v>
      </c>
      <c r="X45" s="1">
        <v>323</v>
      </c>
      <c r="Y45" s="1">
        <v>558</v>
      </c>
      <c r="Z45" s="1">
        <v>1373</v>
      </c>
      <c r="AA45" s="1">
        <v>783</v>
      </c>
      <c r="AB45" s="1">
        <v>633</v>
      </c>
      <c r="AC45" s="1">
        <v>5449</v>
      </c>
      <c r="AD45" s="1">
        <v>2351</v>
      </c>
      <c r="AE45" s="1">
        <v>44680</v>
      </c>
      <c r="AF45" s="1">
        <v>6637</v>
      </c>
      <c r="AG45" s="1">
        <v>2930</v>
      </c>
      <c r="AH45" s="1">
        <v>2426</v>
      </c>
      <c r="AI45" s="1">
        <v>12988</v>
      </c>
      <c r="AJ45" s="1">
        <v>2367</v>
      </c>
      <c r="AK45" s="1">
        <v>6058</v>
      </c>
      <c r="AL45" s="1">
        <v>709</v>
      </c>
      <c r="AM45" s="1">
        <v>2568</v>
      </c>
      <c r="AN45" s="1">
        <v>7114</v>
      </c>
      <c r="AO45" s="1">
        <v>2991</v>
      </c>
      <c r="AP45" s="1">
        <v>3821</v>
      </c>
      <c r="AQ45" s="1">
        <v>334</v>
      </c>
      <c r="AR45" s="1">
        <v>8343</v>
      </c>
      <c r="AS45" s="1">
        <v>3501</v>
      </c>
      <c r="AT45" s="1">
        <v>18365</v>
      </c>
      <c r="AU45" s="1">
        <v>10631</v>
      </c>
      <c r="AV45" s="1">
        <v>87109</v>
      </c>
      <c r="AW45" s="1">
        <v>89994</v>
      </c>
      <c r="AX45" s="1">
        <v>822</v>
      </c>
      <c r="AY45" s="1">
        <v>5219</v>
      </c>
      <c r="AZ45" s="1">
        <v>149873</v>
      </c>
      <c r="BA45" s="1">
        <v>108482</v>
      </c>
      <c r="BB45" s="1">
        <v>22691</v>
      </c>
      <c r="BC45" s="1">
        <v>2601</v>
      </c>
      <c r="BD45" s="1">
        <v>5145</v>
      </c>
      <c r="BE45" s="1">
        <v>21884</v>
      </c>
      <c r="BF45" s="1">
        <v>32043</v>
      </c>
      <c r="BG45" s="1">
        <v>10432</v>
      </c>
      <c r="BH45" s="1">
        <v>1216</v>
      </c>
      <c r="BI45" s="1">
        <v>2038</v>
      </c>
      <c r="BJ45" s="1">
        <v>8500</v>
      </c>
      <c r="BK45" s="1">
        <v>7522</v>
      </c>
      <c r="BL45" s="1">
        <v>1328</v>
      </c>
      <c r="BM45" s="1">
        <v>1285</v>
      </c>
      <c r="BN45" s="1">
        <v>1570</v>
      </c>
      <c r="BO45" s="1">
        <v>2993</v>
      </c>
      <c r="BP45" s="1">
        <v>7606</v>
      </c>
      <c r="BQ45" s="1">
        <v>13377</v>
      </c>
      <c r="BR45" s="1">
        <v>14620</v>
      </c>
      <c r="BS45" s="1">
        <v>0</v>
      </c>
      <c r="BT45" s="1">
        <v>19894</v>
      </c>
      <c r="BU45" s="1">
        <v>1284</v>
      </c>
      <c r="BV45" s="1">
        <v>29162</v>
      </c>
      <c r="BW45" s="1">
        <v>6143</v>
      </c>
      <c r="BX45" s="1">
        <v>865446</v>
      </c>
      <c r="BY45" s="9">
        <v>414809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101321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</row>
    <row r="46" spans="1:95" x14ac:dyDescent="0.25">
      <c r="A46" t="s">
        <v>45</v>
      </c>
      <c r="B46" t="s">
        <v>138</v>
      </c>
      <c r="C46">
        <f t="shared" si="0"/>
        <v>0.41430791343131623</v>
      </c>
      <c r="D46" s="10">
        <f t="shared" si="1"/>
        <v>823069</v>
      </c>
      <c r="E46" s="1">
        <v>465</v>
      </c>
      <c r="F46" s="1">
        <v>12</v>
      </c>
      <c r="G46" s="1">
        <v>2355</v>
      </c>
      <c r="H46" s="1">
        <v>2981</v>
      </c>
      <c r="I46" s="1">
        <v>8050</v>
      </c>
      <c r="J46" s="1">
        <v>762</v>
      </c>
      <c r="K46" s="1">
        <v>3188</v>
      </c>
      <c r="L46" s="1">
        <v>50</v>
      </c>
      <c r="M46" s="1">
        <v>92</v>
      </c>
      <c r="N46" s="1">
        <v>2850</v>
      </c>
      <c r="O46" s="1">
        <v>3107</v>
      </c>
      <c r="P46" s="1">
        <v>2089</v>
      </c>
      <c r="Q46" s="1">
        <v>123</v>
      </c>
      <c r="R46" s="1">
        <v>727</v>
      </c>
      <c r="S46" s="1">
        <v>2618</v>
      </c>
      <c r="T46" s="1">
        <v>542</v>
      </c>
      <c r="U46" s="1">
        <v>788</v>
      </c>
      <c r="V46" s="1">
        <v>889</v>
      </c>
      <c r="W46" s="1">
        <v>156</v>
      </c>
      <c r="X46" s="1">
        <v>5</v>
      </c>
      <c r="Y46" s="1">
        <v>1</v>
      </c>
      <c r="Z46" s="1">
        <v>37</v>
      </c>
      <c r="AA46" s="1">
        <v>34</v>
      </c>
      <c r="AB46" s="1">
        <v>20</v>
      </c>
      <c r="AC46" s="1">
        <v>25</v>
      </c>
      <c r="AD46" s="1">
        <v>103</v>
      </c>
      <c r="AE46" s="1">
        <v>4861</v>
      </c>
      <c r="AF46" s="1">
        <v>209</v>
      </c>
      <c r="AG46" s="1">
        <v>437</v>
      </c>
      <c r="AH46" s="1">
        <v>1116</v>
      </c>
      <c r="AI46" s="1">
        <v>1041</v>
      </c>
      <c r="AJ46" s="1">
        <v>3849</v>
      </c>
      <c r="AK46" s="1">
        <v>579</v>
      </c>
      <c r="AL46" s="1">
        <v>1662</v>
      </c>
      <c r="AM46" s="1">
        <v>473</v>
      </c>
      <c r="AN46" s="1">
        <v>5921</v>
      </c>
      <c r="AO46" s="1">
        <v>392</v>
      </c>
      <c r="AP46" s="1">
        <v>2286</v>
      </c>
      <c r="AQ46" s="1">
        <v>61</v>
      </c>
      <c r="AR46" s="1">
        <v>344</v>
      </c>
      <c r="AS46" s="1">
        <v>928</v>
      </c>
      <c r="AT46" s="1">
        <v>199</v>
      </c>
      <c r="AU46" s="1">
        <v>211</v>
      </c>
      <c r="AV46" s="1">
        <v>58015</v>
      </c>
      <c r="AW46" s="1">
        <v>68075</v>
      </c>
      <c r="AX46" s="1">
        <v>3210</v>
      </c>
      <c r="AY46" s="1">
        <v>173147</v>
      </c>
      <c r="AZ46" s="1">
        <v>4</v>
      </c>
      <c r="BA46" s="1">
        <v>13933</v>
      </c>
      <c r="BB46" s="1">
        <v>8858</v>
      </c>
      <c r="BC46" s="1">
        <v>746</v>
      </c>
      <c r="BD46" s="1">
        <v>962</v>
      </c>
      <c r="BE46" s="1">
        <v>3597</v>
      </c>
      <c r="BF46" s="1">
        <v>16144</v>
      </c>
      <c r="BG46" s="1">
        <v>2299</v>
      </c>
      <c r="BH46" s="1">
        <v>68</v>
      </c>
      <c r="BI46" s="1">
        <v>804</v>
      </c>
      <c r="BJ46" s="1">
        <v>2773</v>
      </c>
      <c r="BK46" s="1">
        <v>20395</v>
      </c>
      <c r="BL46" s="1">
        <v>650</v>
      </c>
      <c r="BM46" s="1">
        <v>3613</v>
      </c>
      <c r="BN46" s="1">
        <v>2061</v>
      </c>
      <c r="BO46" s="1">
        <v>200</v>
      </c>
      <c r="BP46" s="1">
        <v>8436</v>
      </c>
      <c r="BQ46" s="1">
        <v>11873</v>
      </c>
      <c r="BR46" s="1">
        <v>5418</v>
      </c>
      <c r="BS46" s="1">
        <v>0</v>
      </c>
      <c r="BT46" s="1">
        <v>16</v>
      </c>
      <c r="BU46" s="1">
        <v>22</v>
      </c>
      <c r="BV46" s="1">
        <v>11915</v>
      </c>
      <c r="BW46" s="1">
        <v>8191</v>
      </c>
      <c r="BX46" s="1">
        <v>482065</v>
      </c>
      <c r="BY46" s="9">
        <v>341004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93357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</row>
    <row r="47" spans="1:95" x14ac:dyDescent="0.25">
      <c r="A47" t="s">
        <v>46</v>
      </c>
      <c r="B47" t="s">
        <v>139</v>
      </c>
      <c r="C47">
        <f t="shared" si="0"/>
        <v>0.32471148202058331</v>
      </c>
      <c r="D47" s="10">
        <f t="shared" si="1"/>
        <v>1597994</v>
      </c>
      <c r="E47" s="1">
        <v>4423</v>
      </c>
      <c r="F47" s="1">
        <v>410</v>
      </c>
      <c r="G47" s="1">
        <v>4094</v>
      </c>
      <c r="H47" s="1">
        <v>880</v>
      </c>
      <c r="I47" s="1">
        <v>2007</v>
      </c>
      <c r="J47" s="1">
        <v>1904</v>
      </c>
      <c r="K47" s="1">
        <v>854</v>
      </c>
      <c r="L47" s="1">
        <v>394</v>
      </c>
      <c r="M47" s="1">
        <v>1488</v>
      </c>
      <c r="N47" s="1">
        <v>867</v>
      </c>
      <c r="O47" s="1">
        <v>1369</v>
      </c>
      <c r="P47" s="1">
        <v>1520</v>
      </c>
      <c r="Q47" s="1">
        <v>241</v>
      </c>
      <c r="R47" s="1">
        <v>1291</v>
      </c>
      <c r="S47" s="1">
        <v>4364</v>
      </c>
      <c r="T47" s="1">
        <v>944</v>
      </c>
      <c r="U47" s="1">
        <v>508</v>
      </c>
      <c r="V47" s="1">
        <v>562</v>
      </c>
      <c r="W47" s="1">
        <v>5257</v>
      </c>
      <c r="X47" s="1">
        <v>253</v>
      </c>
      <c r="Y47" s="1">
        <v>58</v>
      </c>
      <c r="Z47" s="1">
        <v>550</v>
      </c>
      <c r="AA47" s="1">
        <v>85</v>
      </c>
      <c r="AB47" s="1">
        <v>252</v>
      </c>
      <c r="AC47" s="1">
        <v>2145</v>
      </c>
      <c r="AD47" s="1">
        <v>923</v>
      </c>
      <c r="AE47" s="1">
        <v>55103</v>
      </c>
      <c r="AF47" s="1">
        <v>6085</v>
      </c>
      <c r="AG47" s="1">
        <v>1759</v>
      </c>
      <c r="AH47" s="1">
        <v>1487</v>
      </c>
      <c r="AI47" s="1">
        <v>11211</v>
      </c>
      <c r="AJ47" s="1">
        <v>1464</v>
      </c>
      <c r="AK47" s="1">
        <v>47</v>
      </c>
      <c r="AL47" s="1">
        <v>1315</v>
      </c>
      <c r="AM47" s="1">
        <v>20729</v>
      </c>
      <c r="AN47" s="1">
        <v>25483</v>
      </c>
      <c r="AO47" s="1">
        <v>677</v>
      </c>
      <c r="AP47" s="1">
        <v>5153</v>
      </c>
      <c r="AQ47" s="1">
        <v>2892</v>
      </c>
      <c r="AR47" s="1">
        <v>450</v>
      </c>
      <c r="AS47" s="1">
        <v>1592</v>
      </c>
      <c r="AT47" s="1">
        <v>1973</v>
      </c>
      <c r="AU47" s="1">
        <v>1618</v>
      </c>
      <c r="AV47" s="1">
        <v>8535</v>
      </c>
      <c r="AW47" s="1">
        <v>21630</v>
      </c>
      <c r="AX47" s="1">
        <v>570525</v>
      </c>
      <c r="AY47" s="1">
        <v>14287</v>
      </c>
      <c r="AZ47" s="1">
        <v>16103</v>
      </c>
      <c r="BA47" s="1">
        <v>87941</v>
      </c>
      <c r="BB47" s="1">
        <v>20772</v>
      </c>
      <c r="BC47" s="1">
        <v>3333</v>
      </c>
      <c r="BD47" s="1">
        <v>3644</v>
      </c>
      <c r="BE47" s="1">
        <v>13733</v>
      </c>
      <c r="BF47" s="1">
        <v>629</v>
      </c>
      <c r="BG47" s="1">
        <v>11719</v>
      </c>
      <c r="BH47" s="1">
        <v>1957</v>
      </c>
      <c r="BI47" s="1">
        <v>2830</v>
      </c>
      <c r="BJ47" s="1">
        <v>21483</v>
      </c>
      <c r="BK47" s="1">
        <v>24935</v>
      </c>
      <c r="BL47" s="1">
        <v>5474</v>
      </c>
      <c r="BM47" s="1">
        <v>12419</v>
      </c>
      <c r="BN47" s="1">
        <v>4259</v>
      </c>
      <c r="BO47" s="1">
        <v>3519</v>
      </c>
      <c r="BP47" s="1">
        <v>1912</v>
      </c>
      <c r="BQ47" s="1">
        <v>13869</v>
      </c>
      <c r="BR47" s="1">
        <v>4951</v>
      </c>
      <c r="BS47" s="1">
        <v>0</v>
      </c>
      <c r="BT47" s="1">
        <v>1330</v>
      </c>
      <c r="BU47" s="1">
        <v>7654</v>
      </c>
      <c r="BV47" s="1">
        <v>4975</v>
      </c>
      <c r="BW47" s="1">
        <v>18007</v>
      </c>
      <c r="BX47" s="1">
        <v>1079107</v>
      </c>
      <c r="BY47" s="9">
        <v>518887</v>
      </c>
      <c r="BZ47" s="1">
        <v>0</v>
      </c>
      <c r="CA47" s="1">
        <v>0</v>
      </c>
      <c r="CB47" s="1">
        <v>0</v>
      </c>
      <c r="CC47" s="1">
        <v>3924</v>
      </c>
      <c r="CD47" s="1">
        <v>0</v>
      </c>
      <c r="CE47" s="1">
        <v>28820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</row>
    <row r="48" spans="1:95" x14ac:dyDescent="0.25">
      <c r="A48" t="s">
        <v>47</v>
      </c>
      <c r="B48" t="s">
        <v>140</v>
      </c>
      <c r="C48">
        <f t="shared" si="0"/>
        <v>0.92953344597564191</v>
      </c>
      <c r="D48" s="10">
        <f t="shared" si="1"/>
        <v>307167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6759</v>
      </c>
      <c r="AY48" s="1">
        <v>12567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85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195</v>
      </c>
      <c r="BU48" s="1">
        <v>0</v>
      </c>
      <c r="BV48" s="1">
        <v>2040</v>
      </c>
      <c r="BW48" s="1">
        <v>0</v>
      </c>
      <c r="BX48" s="1">
        <v>21645</v>
      </c>
      <c r="BY48" s="9">
        <v>285522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</row>
    <row r="49" spans="1:95" x14ac:dyDescent="0.25">
      <c r="A49" t="s">
        <v>48</v>
      </c>
      <c r="B49" t="s">
        <v>141</v>
      </c>
      <c r="C49">
        <f t="shared" si="0"/>
        <v>1</v>
      </c>
      <c r="D49" s="10">
        <f t="shared" si="1"/>
        <v>3143691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9">
        <v>3143691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</row>
    <row r="50" spans="1:95" x14ac:dyDescent="0.25">
      <c r="A50" t="s">
        <v>49</v>
      </c>
      <c r="B50" t="s">
        <v>142</v>
      </c>
      <c r="C50">
        <f t="shared" si="0"/>
        <v>4.2822406054180339E-3</v>
      </c>
      <c r="D50" s="10">
        <f t="shared" si="1"/>
        <v>1890132</v>
      </c>
      <c r="E50" s="1">
        <v>3039</v>
      </c>
      <c r="F50" s="1">
        <v>32</v>
      </c>
      <c r="G50" s="1">
        <v>2988</v>
      </c>
      <c r="H50" s="1">
        <v>273</v>
      </c>
      <c r="I50" s="1">
        <v>655</v>
      </c>
      <c r="J50" s="1">
        <v>7398</v>
      </c>
      <c r="K50" s="1">
        <v>37412</v>
      </c>
      <c r="L50" s="1">
        <v>1022</v>
      </c>
      <c r="M50" s="1">
        <v>1536</v>
      </c>
      <c r="N50" s="1">
        <v>704</v>
      </c>
      <c r="O50" s="1">
        <v>7318</v>
      </c>
      <c r="P50" s="1">
        <v>2555</v>
      </c>
      <c r="Q50" s="1">
        <v>7386</v>
      </c>
      <c r="R50" s="1">
        <v>1459</v>
      </c>
      <c r="S50" s="1">
        <v>2320</v>
      </c>
      <c r="T50" s="1">
        <v>1924</v>
      </c>
      <c r="U50" s="1">
        <v>1612</v>
      </c>
      <c r="V50" s="1">
        <v>2141</v>
      </c>
      <c r="W50" s="1">
        <v>6657</v>
      </c>
      <c r="X50" s="1">
        <v>549</v>
      </c>
      <c r="Y50" s="1">
        <v>188</v>
      </c>
      <c r="Z50" s="1">
        <v>2397</v>
      </c>
      <c r="AA50" s="1">
        <v>2455</v>
      </c>
      <c r="AB50" s="1">
        <v>161</v>
      </c>
      <c r="AC50" s="1">
        <v>6614</v>
      </c>
      <c r="AD50" s="1">
        <v>3863</v>
      </c>
      <c r="AE50" s="1">
        <v>135358</v>
      </c>
      <c r="AF50" s="1">
        <v>39533</v>
      </c>
      <c r="AG50" s="1">
        <v>35625</v>
      </c>
      <c r="AH50" s="1">
        <v>20000</v>
      </c>
      <c r="AI50" s="1">
        <v>160241</v>
      </c>
      <c r="AJ50" s="1">
        <v>617</v>
      </c>
      <c r="AK50" s="1">
        <v>263</v>
      </c>
      <c r="AL50" s="1">
        <v>1503</v>
      </c>
      <c r="AM50" s="1">
        <v>11712</v>
      </c>
      <c r="AN50" s="1">
        <v>6612</v>
      </c>
      <c r="AO50" s="1">
        <v>680</v>
      </c>
      <c r="AP50" s="1">
        <v>8372</v>
      </c>
      <c r="AQ50" s="1">
        <v>12073</v>
      </c>
      <c r="AR50" s="1">
        <v>14479</v>
      </c>
      <c r="AS50" s="1">
        <v>5524</v>
      </c>
      <c r="AT50" s="1">
        <v>43945</v>
      </c>
      <c r="AU50" s="1">
        <v>22819</v>
      </c>
      <c r="AV50" s="1">
        <v>34270</v>
      </c>
      <c r="AW50" s="1">
        <v>56809</v>
      </c>
      <c r="AX50" s="1">
        <v>31230</v>
      </c>
      <c r="AY50" s="1">
        <v>1416</v>
      </c>
      <c r="AZ50" s="1">
        <v>6219</v>
      </c>
      <c r="BA50" s="1">
        <v>234838</v>
      </c>
      <c r="BB50" s="1">
        <v>23800</v>
      </c>
      <c r="BC50" s="1">
        <v>23739</v>
      </c>
      <c r="BD50" s="1">
        <v>12363</v>
      </c>
      <c r="BE50" s="1">
        <v>92448</v>
      </c>
      <c r="BF50" s="1">
        <v>52655</v>
      </c>
      <c r="BG50" s="1">
        <v>37278</v>
      </c>
      <c r="BH50" s="1">
        <v>5340</v>
      </c>
      <c r="BI50" s="1">
        <v>51588</v>
      </c>
      <c r="BJ50" s="1">
        <v>82871</v>
      </c>
      <c r="BK50" s="1">
        <v>116729</v>
      </c>
      <c r="BL50" s="1">
        <v>41034</v>
      </c>
      <c r="BM50" s="1">
        <v>20741</v>
      </c>
      <c r="BN50" s="1">
        <v>20295</v>
      </c>
      <c r="BO50" s="1">
        <v>33626</v>
      </c>
      <c r="BP50" s="1">
        <v>4658</v>
      </c>
      <c r="BQ50" s="1">
        <v>101263</v>
      </c>
      <c r="BR50" s="1">
        <v>121891</v>
      </c>
      <c r="BS50" s="1">
        <v>820</v>
      </c>
      <c r="BT50" s="1">
        <v>17356</v>
      </c>
      <c r="BU50" s="1">
        <v>1006</v>
      </c>
      <c r="BV50" s="1">
        <v>27975</v>
      </c>
      <c r="BW50" s="1">
        <v>3766</v>
      </c>
      <c r="BX50" s="1">
        <v>1882038</v>
      </c>
      <c r="BY50" s="9">
        <v>8094</v>
      </c>
      <c r="BZ50" s="1">
        <v>43917</v>
      </c>
      <c r="CA50" s="1">
        <v>0</v>
      </c>
      <c r="CB50" s="1">
        <v>0</v>
      </c>
      <c r="CC50" s="1">
        <v>159902</v>
      </c>
      <c r="CD50" s="1">
        <v>0</v>
      </c>
      <c r="CE50" s="1">
        <v>3344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</row>
    <row r="51" spans="1:95" x14ac:dyDescent="0.25">
      <c r="A51" t="s">
        <v>50</v>
      </c>
      <c r="B51" t="s">
        <v>143</v>
      </c>
      <c r="C51">
        <f t="shared" si="0"/>
        <v>0.16888905044655769</v>
      </c>
      <c r="D51" s="10">
        <f t="shared" si="1"/>
        <v>632729</v>
      </c>
      <c r="E51" s="1">
        <v>3056</v>
      </c>
      <c r="F51" s="1">
        <v>83</v>
      </c>
      <c r="G51" s="1">
        <v>4939</v>
      </c>
      <c r="H51" s="1">
        <v>2689</v>
      </c>
      <c r="I51" s="1">
        <v>3162</v>
      </c>
      <c r="J51" s="1">
        <v>2583</v>
      </c>
      <c r="K51" s="1">
        <v>41692</v>
      </c>
      <c r="L51" s="1">
        <v>408</v>
      </c>
      <c r="M51" s="1">
        <v>1304</v>
      </c>
      <c r="N51" s="1">
        <v>1161</v>
      </c>
      <c r="O51" s="1">
        <v>3099</v>
      </c>
      <c r="P51" s="1">
        <v>1856</v>
      </c>
      <c r="Q51" s="1">
        <v>616</v>
      </c>
      <c r="R51" s="1">
        <v>1021</v>
      </c>
      <c r="S51" s="1">
        <v>9128</v>
      </c>
      <c r="T51" s="1">
        <v>1089</v>
      </c>
      <c r="U51" s="1">
        <v>331</v>
      </c>
      <c r="V51" s="1">
        <v>1062</v>
      </c>
      <c r="W51" s="1">
        <v>5610</v>
      </c>
      <c r="X51" s="1">
        <v>81</v>
      </c>
      <c r="Y51" s="1">
        <v>2616</v>
      </c>
      <c r="Z51" s="1">
        <v>1691</v>
      </c>
      <c r="AA51" s="1">
        <v>613</v>
      </c>
      <c r="AB51" s="1">
        <v>670</v>
      </c>
      <c r="AC51" s="1">
        <v>4907</v>
      </c>
      <c r="AD51" s="1">
        <v>1550</v>
      </c>
      <c r="AE51" s="1">
        <v>49607</v>
      </c>
      <c r="AF51" s="1">
        <v>1915</v>
      </c>
      <c r="AG51" s="1">
        <v>2190</v>
      </c>
      <c r="AH51" s="1">
        <v>5113</v>
      </c>
      <c r="AI51" s="1">
        <v>12945</v>
      </c>
      <c r="AJ51" s="1">
        <v>18226</v>
      </c>
      <c r="AK51" s="1">
        <v>8822</v>
      </c>
      <c r="AL51" s="1">
        <v>11634</v>
      </c>
      <c r="AM51" s="1">
        <v>30069</v>
      </c>
      <c r="AN51" s="1">
        <v>2435</v>
      </c>
      <c r="AO51" s="1">
        <v>67</v>
      </c>
      <c r="AP51" s="1">
        <v>2687</v>
      </c>
      <c r="AQ51" s="1">
        <v>1166</v>
      </c>
      <c r="AR51" s="1">
        <v>3343</v>
      </c>
      <c r="AS51" s="1">
        <v>1166</v>
      </c>
      <c r="AT51" s="1">
        <v>11279</v>
      </c>
      <c r="AU51" s="1">
        <v>19370</v>
      </c>
      <c r="AV51" s="1">
        <v>5338</v>
      </c>
      <c r="AW51" s="1">
        <v>15567</v>
      </c>
      <c r="AX51" s="1">
        <v>3059</v>
      </c>
      <c r="AY51" s="1">
        <v>37</v>
      </c>
      <c r="AZ51" s="1">
        <v>6579</v>
      </c>
      <c r="BA51" s="1">
        <v>5084</v>
      </c>
      <c r="BB51" s="1">
        <v>26839</v>
      </c>
      <c r="BC51" s="1">
        <v>2936</v>
      </c>
      <c r="BD51" s="1">
        <v>6828</v>
      </c>
      <c r="BE51" s="1">
        <v>29450</v>
      </c>
      <c r="BF51" s="1">
        <v>39553</v>
      </c>
      <c r="BG51" s="1">
        <v>12397</v>
      </c>
      <c r="BH51" s="1">
        <v>3692</v>
      </c>
      <c r="BI51" s="1">
        <v>2408</v>
      </c>
      <c r="BJ51" s="1">
        <v>8274</v>
      </c>
      <c r="BK51" s="1">
        <v>5201</v>
      </c>
      <c r="BL51" s="1">
        <v>628</v>
      </c>
      <c r="BM51" s="1">
        <v>872</v>
      </c>
      <c r="BN51" s="1">
        <v>4475</v>
      </c>
      <c r="BO51" s="1">
        <v>3951</v>
      </c>
      <c r="BP51" s="1">
        <v>4362</v>
      </c>
      <c r="BQ51" s="1">
        <v>37825</v>
      </c>
      <c r="BR51" s="1">
        <v>3426</v>
      </c>
      <c r="BS51" s="1">
        <v>730</v>
      </c>
      <c r="BT51" s="1">
        <v>688</v>
      </c>
      <c r="BU51" s="1">
        <v>179</v>
      </c>
      <c r="BV51" s="1">
        <v>14797</v>
      </c>
      <c r="BW51" s="1">
        <v>1645</v>
      </c>
      <c r="BX51" s="1">
        <v>525868</v>
      </c>
      <c r="BY51" s="9">
        <v>106861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122021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</row>
    <row r="52" spans="1:95" x14ac:dyDescent="0.25">
      <c r="A52" t="s">
        <v>51</v>
      </c>
      <c r="B52" t="s">
        <v>144</v>
      </c>
      <c r="C52">
        <f t="shared" si="0"/>
        <v>0.31117672997229234</v>
      </c>
      <c r="D52" s="10">
        <f t="shared" si="1"/>
        <v>455831</v>
      </c>
      <c r="E52" s="1">
        <v>528</v>
      </c>
      <c r="F52" s="1">
        <v>68</v>
      </c>
      <c r="G52" s="1">
        <v>1022</v>
      </c>
      <c r="H52" s="1">
        <v>559</v>
      </c>
      <c r="I52" s="1">
        <v>212</v>
      </c>
      <c r="J52" s="1">
        <v>5632</v>
      </c>
      <c r="K52" s="1">
        <v>12156</v>
      </c>
      <c r="L52" s="1">
        <v>683</v>
      </c>
      <c r="M52" s="1">
        <v>660</v>
      </c>
      <c r="N52" s="1">
        <v>988</v>
      </c>
      <c r="O52" s="1">
        <v>2441</v>
      </c>
      <c r="P52" s="1">
        <v>1747</v>
      </c>
      <c r="Q52" s="1">
        <v>6414</v>
      </c>
      <c r="R52" s="1">
        <v>390</v>
      </c>
      <c r="S52" s="1">
        <v>2991</v>
      </c>
      <c r="T52" s="1">
        <v>1782</v>
      </c>
      <c r="U52" s="1">
        <v>346</v>
      </c>
      <c r="V52" s="1">
        <v>1792</v>
      </c>
      <c r="W52" s="1">
        <v>1664</v>
      </c>
      <c r="X52" s="1">
        <v>154</v>
      </c>
      <c r="Y52" s="1">
        <v>121</v>
      </c>
      <c r="Z52" s="1">
        <v>1028</v>
      </c>
      <c r="AA52" s="1">
        <v>504</v>
      </c>
      <c r="AB52" s="1">
        <v>223</v>
      </c>
      <c r="AC52" s="1">
        <v>5534</v>
      </c>
      <c r="AD52" s="1">
        <v>1517</v>
      </c>
      <c r="AE52" s="1">
        <v>23084</v>
      </c>
      <c r="AF52" s="1">
        <v>1135</v>
      </c>
      <c r="AG52" s="1">
        <v>826</v>
      </c>
      <c r="AH52" s="1">
        <v>640</v>
      </c>
      <c r="AI52" s="1">
        <v>6874</v>
      </c>
      <c r="AJ52" s="1">
        <v>339</v>
      </c>
      <c r="AK52" s="1">
        <v>1085</v>
      </c>
      <c r="AL52" s="1">
        <v>286</v>
      </c>
      <c r="AM52" s="1">
        <v>344</v>
      </c>
      <c r="AN52" s="1">
        <v>515</v>
      </c>
      <c r="AO52" s="1">
        <v>108</v>
      </c>
      <c r="AP52" s="1">
        <v>712</v>
      </c>
      <c r="AQ52" s="1">
        <v>470</v>
      </c>
      <c r="AR52" s="1">
        <v>6759</v>
      </c>
      <c r="AS52" s="1">
        <v>1381</v>
      </c>
      <c r="AT52" s="1">
        <v>3760</v>
      </c>
      <c r="AU52" s="1">
        <v>13291</v>
      </c>
      <c r="AV52" s="1">
        <v>7939</v>
      </c>
      <c r="AW52" s="1">
        <v>18727</v>
      </c>
      <c r="AX52" s="1">
        <v>16021</v>
      </c>
      <c r="AY52" s="1">
        <v>3180</v>
      </c>
      <c r="AZ52" s="1">
        <v>2634</v>
      </c>
      <c r="BA52" s="1">
        <v>15434</v>
      </c>
      <c r="BB52" s="1">
        <v>1667</v>
      </c>
      <c r="BC52" s="1">
        <v>3416</v>
      </c>
      <c r="BD52" s="1">
        <v>5404</v>
      </c>
      <c r="BE52" s="1">
        <v>23184</v>
      </c>
      <c r="BF52" s="1">
        <v>13106</v>
      </c>
      <c r="BG52" s="1">
        <v>9055</v>
      </c>
      <c r="BH52" s="1">
        <v>701</v>
      </c>
      <c r="BI52" s="1">
        <v>531</v>
      </c>
      <c r="BJ52" s="1">
        <v>6987</v>
      </c>
      <c r="BK52" s="1">
        <v>23741</v>
      </c>
      <c r="BL52" s="1">
        <v>2187</v>
      </c>
      <c r="BM52" s="1">
        <v>1167</v>
      </c>
      <c r="BN52" s="1">
        <v>3699</v>
      </c>
      <c r="BO52" s="1">
        <v>3322</v>
      </c>
      <c r="BP52" s="1">
        <v>1451</v>
      </c>
      <c r="BQ52" s="1">
        <v>3759</v>
      </c>
      <c r="BR52" s="1">
        <v>8917</v>
      </c>
      <c r="BS52" s="1">
        <v>0</v>
      </c>
      <c r="BT52" s="1">
        <v>211</v>
      </c>
      <c r="BU52" s="1">
        <v>78</v>
      </c>
      <c r="BV52" s="1">
        <v>22202</v>
      </c>
      <c r="BW52" s="1">
        <v>2501</v>
      </c>
      <c r="BX52" s="1">
        <v>313987</v>
      </c>
      <c r="BY52" s="9">
        <v>141844</v>
      </c>
      <c r="BZ52" s="1">
        <v>0</v>
      </c>
      <c r="CA52" s="1">
        <v>0</v>
      </c>
      <c r="CB52" s="1">
        <v>0</v>
      </c>
      <c r="CC52" s="1">
        <v>12638</v>
      </c>
      <c r="CD52" s="1">
        <v>0</v>
      </c>
      <c r="CE52" s="1">
        <v>19648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</row>
    <row r="53" spans="1:95" x14ac:dyDescent="0.25">
      <c r="A53" t="s">
        <v>52</v>
      </c>
      <c r="B53" t="s">
        <v>145</v>
      </c>
      <c r="C53">
        <f t="shared" si="0"/>
        <v>0</v>
      </c>
      <c r="D53" s="10">
        <f t="shared" si="1"/>
        <v>307211</v>
      </c>
      <c r="E53" s="1">
        <v>538</v>
      </c>
      <c r="F53" s="1">
        <v>22</v>
      </c>
      <c r="G53" s="1">
        <v>6850</v>
      </c>
      <c r="H53" s="1">
        <v>597</v>
      </c>
      <c r="I53" s="1">
        <v>62</v>
      </c>
      <c r="J53" s="1">
        <v>2115</v>
      </c>
      <c r="K53" s="1">
        <v>9646</v>
      </c>
      <c r="L53" s="1">
        <v>382</v>
      </c>
      <c r="M53" s="1">
        <v>412</v>
      </c>
      <c r="N53" s="1">
        <v>357</v>
      </c>
      <c r="O53" s="1">
        <v>1906</v>
      </c>
      <c r="P53" s="1">
        <v>1804</v>
      </c>
      <c r="Q53" s="1">
        <v>335</v>
      </c>
      <c r="R53" s="1">
        <v>161</v>
      </c>
      <c r="S53" s="1">
        <v>611</v>
      </c>
      <c r="T53" s="1">
        <v>1646</v>
      </c>
      <c r="U53" s="1">
        <v>231</v>
      </c>
      <c r="V53" s="1">
        <v>368</v>
      </c>
      <c r="W53" s="1">
        <v>1480</v>
      </c>
      <c r="X53" s="1">
        <v>64</v>
      </c>
      <c r="Y53" s="1">
        <v>18</v>
      </c>
      <c r="Z53" s="1">
        <v>363</v>
      </c>
      <c r="AA53" s="1">
        <v>384</v>
      </c>
      <c r="AB53" s="1">
        <v>278</v>
      </c>
      <c r="AC53" s="1">
        <v>318</v>
      </c>
      <c r="AD53" s="1">
        <v>526</v>
      </c>
      <c r="AE53" s="1">
        <v>23885</v>
      </c>
      <c r="AF53" s="1">
        <v>6206</v>
      </c>
      <c r="AG53" s="1">
        <v>910</v>
      </c>
      <c r="AH53" s="1">
        <v>1380</v>
      </c>
      <c r="AI53" s="1">
        <v>7490</v>
      </c>
      <c r="AJ53" s="1">
        <v>388</v>
      </c>
      <c r="AK53" s="1">
        <v>1195</v>
      </c>
      <c r="AL53" s="1">
        <v>40</v>
      </c>
      <c r="AM53" s="1">
        <v>765</v>
      </c>
      <c r="AN53" s="1">
        <v>279</v>
      </c>
      <c r="AO53" s="1">
        <v>18</v>
      </c>
      <c r="AP53" s="1">
        <v>363</v>
      </c>
      <c r="AQ53" s="1">
        <v>157</v>
      </c>
      <c r="AR53" s="1">
        <v>7977</v>
      </c>
      <c r="AS53" s="1">
        <v>545</v>
      </c>
      <c r="AT53" s="1">
        <v>3973</v>
      </c>
      <c r="AU53" s="1">
        <v>18152</v>
      </c>
      <c r="AV53" s="1">
        <v>7786</v>
      </c>
      <c r="AW53" s="1">
        <v>16889</v>
      </c>
      <c r="AX53" s="1">
        <v>7693</v>
      </c>
      <c r="AY53" s="1">
        <v>1688</v>
      </c>
      <c r="AZ53" s="1">
        <v>1057</v>
      </c>
      <c r="BA53" s="1">
        <v>7200</v>
      </c>
      <c r="BB53" s="1">
        <v>875</v>
      </c>
      <c r="BC53" s="1">
        <v>4375</v>
      </c>
      <c r="BD53" s="1">
        <v>12075</v>
      </c>
      <c r="BE53" s="1">
        <v>15896</v>
      </c>
      <c r="BF53" s="1">
        <v>2352</v>
      </c>
      <c r="BG53" s="1">
        <v>17776</v>
      </c>
      <c r="BH53" s="1">
        <v>690</v>
      </c>
      <c r="BI53" s="1">
        <v>2567</v>
      </c>
      <c r="BJ53" s="1">
        <v>5083</v>
      </c>
      <c r="BK53" s="1">
        <v>6706</v>
      </c>
      <c r="BL53" s="1">
        <v>1344</v>
      </c>
      <c r="BM53" s="1">
        <v>2108</v>
      </c>
      <c r="BN53" s="1">
        <v>586</v>
      </c>
      <c r="BO53" s="1">
        <v>1470</v>
      </c>
      <c r="BP53" s="1">
        <v>1042</v>
      </c>
      <c r="BQ53" s="1">
        <v>7642</v>
      </c>
      <c r="BR53" s="1">
        <v>5283</v>
      </c>
      <c r="BS53" s="1">
        <v>7577</v>
      </c>
      <c r="BT53" s="1">
        <v>17891</v>
      </c>
      <c r="BU53" s="1">
        <v>115</v>
      </c>
      <c r="BV53" s="1">
        <v>38185</v>
      </c>
      <c r="BW53" s="1">
        <v>8063</v>
      </c>
      <c r="BX53" s="1">
        <v>307211</v>
      </c>
      <c r="BY53" s="9">
        <v>0</v>
      </c>
      <c r="BZ53" s="1">
        <v>0</v>
      </c>
      <c r="CA53" s="1">
        <v>80848</v>
      </c>
      <c r="CB53" s="1">
        <v>358405</v>
      </c>
      <c r="CC53" s="1">
        <v>0</v>
      </c>
      <c r="CD53" s="1">
        <v>0</v>
      </c>
      <c r="CE53" s="1">
        <v>73151</v>
      </c>
      <c r="CF53" s="1">
        <v>0</v>
      </c>
      <c r="CG53" s="1">
        <v>0</v>
      </c>
      <c r="CH53" s="1">
        <v>1058</v>
      </c>
      <c r="CI53" s="1">
        <v>14005</v>
      </c>
      <c r="CJ53" s="1">
        <v>0</v>
      </c>
      <c r="CK53" s="1">
        <v>0</v>
      </c>
      <c r="CL53" s="1">
        <v>0</v>
      </c>
      <c r="CM53" s="1">
        <v>38159</v>
      </c>
      <c r="CN53" s="1">
        <v>0</v>
      </c>
      <c r="CO53" s="1">
        <v>0</v>
      </c>
      <c r="CP53" s="1">
        <v>194</v>
      </c>
      <c r="CQ53" s="1">
        <v>13421</v>
      </c>
    </row>
    <row r="54" spans="1:95" x14ac:dyDescent="0.25">
      <c r="A54" t="s">
        <v>53</v>
      </c>
      <c r="B54" t="s">
        <v>146</v>
      </c>
      <c r="C54">
        <f t="shared" si="0"/>
        <v>5.9625116067020908E-2</v>
      </c>
      <c r="D54" s="10">
        <f t="shared" si="1"/>
        <v>2092541</v>
      </c>
      <c r="E54" s="1">
        <v>3108</v>
      </c>
      <c r="F54" s="1">
        <v>398</v>
      </c>
      <c r="G54" s="1">
        <v>4919</v>
      </c>
      <c r="H54" s="1">
        <v>1863</v>
      </c>
      <c r="I54" s="1">
        <v>1437</v>
      </c>
      <c r="J54" s="1">
        <v>16822</v>
      </c>
      <c r="K54" s="1">
        <v>94629</v>
      </c>
      <c r="L54" s="1">
        <v>2619</v>
      </c>
      <c r="M54" s="1">
        <v>3436</v>
      </c>
      <c r="N54" s="1">
        <v>4119</v>
      </c>
      <c r="O54" s="1">
        <v>6631</v>
      </c>
      <c r="P54" s="1">
        <v>4625</v>
      </c>
      <c r="Q54" s="1">
        <v>8584</v>
      </c>
      <c r="R54" s="1">
        <v>2366</v>
      </c>
      <c r="S54" s="1">
        <v>6085</v>
      </c>
      <c r="T54" s="1">
        <v>3818</v>
      </c>
      <c r="U54" s="1">
        <v>2230</v>
      </c>
      <c r="V54" s="1">
        <v>3895</v>
      </c>
      <c r="W54" s="1">
        <v>15222</v>
      </c>
      <c r="X54" s="1">
        <v>678</v>
      </c>
      <c r="Y54" s="1">
        <v>199</v>
      </c>
      <c r="Z54" s="1">
        <v>3360</v>
      </c>
      <c r="AA54" s="1">
        <v>1675</v>
      </c>
      <c r="AB54" s="1">
        <v>931</v>
      </c>
      <c r="AC54" s="1">
        <v>9845</v>
      </c>
      <c r="AD54" s="1">
        <v>5560</v>
      </c>
      <c r="AE54" s="1">
        <v>176670</v>
      </c>
      <c r="AF54" s="1">
        <v>41125</v>
      </c>
      <c r="AG54" s="1">
        <v>12100</v>
      </c>
      <c r="AH54" s="1">
        <v>4921</v>
      </c>
      <c r="AI54" s="1">
        <v>103006</v>
      </c>
      <c r="AJ54" s="1">
        <v>2376</v>
      </c>
      <c r="AK54" s="1">
        <v>2347</v>
      </c>
      <c r="AL54" s="1">
        <v>2323</v>
      </c>
      <c r="AM54" s="1">
        <v>5436</v>
      </c>
      <c r="AN54" s="1">
        <v>4220</v>
      </c>
      <c r="AO54" s="1">
        <v>3536</v>
      </c>
      <c r="AP54" s="1">
        <v>2899</v>
      </c>
      <c r="AQ54" s="1">
        <v>3774</v>
      </c>
      <c r="AR54" s="1">
        <v>33969</v>
      </c>
      <c r="AS54" s="1">
        <v>8301</v>
      </c>
      <c r="AT54" s="1">
        <v>42583</v>
      </c>
      <c r="AU54" s="1">
        <v>94525</v>
      </c>
      <c r="AV54" s="1">
        <v>65370</v>
      </c>
      <c r="AW54" s="1">
        <v>70227</v>
      </c>
      <c r="AX54" s="1">
        <v>49358</v>
      </c>
      <c r="AY54" s="1">
        <v>4856</v>
      </c>
      <c r="AZ54" s="1">
        <v>3964</v>
      </c>
      <c r="BA54" s="1">
        <v>86866</v>
      </c>
      <c r="BB54" s="1">
        <v>22449</v>
      </c>
      <c r="BC54" s="1">
        <v>13179</v>
      </c>
      <c r="BD54" s="1">
        <v>42971</v>
      </c>
      <c r="BE54" s="1">
        <v>192437</v>
      </c>
      <c r="BF54" s="1">
        <v>59451</v>
      </c>
      <c r="BG54" s="1">
        <v>66039</v>
      </c>
      <c r="BH54" s="1">
        <v>4203</v>
      </c>
      <c r="BI54" s="1">
        <v>14749</v>
      </c>
      <c r="BJ54" s="1">
        <v>41551</v>
      </c>
      <c r="BK54" s="1">
        <v>57222</v>
      </c>
      <c r="BL54" s="1">
        <v>11392</v>
      </c>
      <c r="BM54" s="1">
        <v>9899</v>
      </c>
      <c r="BN54" s="1">
        <v>13394</v>
      </c>
      <c r="BO54" s="1">
        <v>14471</v>
      </c>
      <c r="BP54" s="1">
        <v>8607</v>
      </c>
      <c r="BQ54" s="1">
        <v>40359</v>
      </c>
      <c r="BR54" s="1">
        <v>54284</v>
      </c>
      <c r="BS54" s="1">
        <v>94091</v>
      </c>
      <c r="BT54" s="1">
        <v>17904</v>
      </c>
      <c r="BU54" s="1">
        <v>1890</v>
      </c>
      <c r="BV54" s="1">
        <v>112364</v>
      </c>
      <c r="BW54" s="1">
        <v>41058</v>
      </c>
      <c r="BX54" s="1">
        <v>1967773</v>
      </c>
      <c r="BY54" s="9">
        <v>124768</v>
      </c>
      <c r="BZ54" s="1">
        <v>0</v>
      </c>
      <c r="CA54" s="1">
        <v>55213</v>
      </c>
      <c r="CB54" s="1">
        <v>798514</v>
      </c>
      <c r="CC54" s="1">
        <v>1657</v>
      </c>
      <c r="CD54" s="1">
        <v>0</v>
      </c>
      <c r="CE54" s="1">
        <v>233971</v>
      </c>
      <c r="CF54" s="1">
        <v>0</v>
      </c>
      <c r="CG54" s="1">
        <v>0</v>
      </c>
      <c r="CH54" s="1">
        <v>0</v>
      </c>
      <c r="CI54" s="1">
        <v>76463</v>
      </c>
      <c r="CJ54" s="1">
        <v>0</v>
      </c>
      <c r="CK54" s="1">
        <v>0</v>
      </c>
      <c r="CL54" s="1">
        <v>0</v>
      </c>
      <c r="CM54" s="1">
        <v>126524</v>
      </c>
      <c r="CN54" s="1">
        <v>0</v>
      </c>
      <c r="CO54" s="1">
        <v>0</v>
      </c>
      <c r="CP54" s="1">
        <v>0</v>
      </c>
      <c r="CQ54" s="1">
        <v>29819</v>
      </c>
    </row>
    <row r="55" spans="1:95" x14ac:dyDescent="0.25">
      <c r="A55" t="s">
        <v>54</v>
      </c>
      <c r="B55" t="s">
        <v>147</v>
      </c>
      <c r="C55">
        <f t="shared" si="0"/>
        <v>0</v>
      </c>
      <c r="D55" s="10">
        <f t="shared" si="1"/>
        <v>822609</v>
      </c>
      <c r="E55" s="1">
        <v>0</v>
      </c>
      <c r="F55" s="1">
        <v>0</v>
      </c>
      <c r="G55" s="1">
        <v>35072</v>
      </c>
      <c r="H55" s="1">
        <v>7803</v>
      </c>
      <c r="I55" s="1">
        <v>3585</v>
      </c>
      <c r="J55" s="1">
        <v>96</v>
      </c>
      <c r="K55" s="1">
        <v>24545</v>
      </c>
      <c r="L55" s="1">
        <v>542</v>
      </c>
      <c r="M55" s="1">
        <v>2854</v>
      </c>
      <c r="N55" s="1">
        <v>1561</v>
      </c>
      <c r="O55" s="1">
        <v>4982</v>
      </c>
      <c r="P55" s="1">
        <v>11332</v>
      </c>
      <c r="Q55" s="1">
        <v>5185</v>
      </c>
      <c r="R55" s="1">
        <v>3069</v>
      </c>
      <c r="S55" s="1">
        <v>11084</v>
      </c>
      <c r="T55" s="1">
        <v>4336</v>
      </c>
      <c r="U55" s="1">
        <v>523</v>
      </c>
      <c r="V55" s="1">
        <v>3865</v>
      </c>
      <c r="W55" s="1">
        <v>30698</v>
      </c>
      <c r="X55" s="1">
        <v>935</v>
      </c>
      <c r="Y55" s="1">
        <v>495</v>
      </c>
      <c r="Z55" s="1">
        <v>2550</v>
      </c>
      <c r="AA55" s="1">
        <v>566</v>
      </c>
      <c r="AB55" s="1">
        <v>2081</v>
      </c>
      <c r="AC55" s="1">
        <v>14025</v>
      </c>
      <c r="AD55" s="1">
        <v>2184</v>
      </c>
      <c r="AE55" s="1">
        <v>146052</v>
      </c>
      <c r="AF55" s="1">
        <v>3566</v>
      </c>
      <c r="AG55" s="1">
        <v>6178</v>
      </c>
      <c r="AH55" s="1">
        <v>12680</v>
      </c>
      <c r="AI55" s="1">
        <v>37879</v>
      </c>
      <c r="AJ55" s="1">
        <v>4371</v>
      </c>
      <c r="AK55" s="1">
        <v>13</v>
      </c>
      <c r="AL55" s="1">
        <v>1671</v>
      </c>
      <c r="AM55" s="1">
        <v>4850</v>
      </c>
      <c r="AN55" s="1">
        <v>568</v>
      </c>
      <c r="AO55" s="1">
        <v>4</v>
      </c>
      <c r="AP55" s="1">
        <v>7259</v>
      </c>
      <c r="AQ55" s="1">
        <v>1706</v>
      </c>
      <c r="AR55" s="1">
        <v>6270</v>
      </c>
      <c r="AS55" s="1">
        <v>597</v>
      </c>
      <c r="AT55" s="1">
        <v>5297</v>
      </c>
      <c r="AU55" s="1">
        <v>5805</v>
      </c>
      <c r="AV55" s="1">
        <v>7930</v>
      </c>
      <c r="AW55" s="1">
        <v>23544</v>
      </c>
      <c r="AX55" s="1">
        <v>6709</v>
      </c>
      <c r="AY55" s="1">
        <v>2711</v>
      </c>
      <c r="AZ55" s="1">
        <v>149</v>
      </c>
      <c r="BA55" s="1">
        <v>59898</v>
      </c>
      <c r="BB55" s="1">
        <v>23936</v>
      </c>
      <c r="BC55" s="1">
        <v>4195</v>
      </c>
      <c r="BD55" s="1">
        <v>5348</v>
      </c>
      <c r="BE55" s="1">
        <v>21800</v>
      </c>
      <c r="BF55" s="1">
        <v>36</v>
      </c>
      <c r="BG55" s="1">
        <v>23239</v>
      </c>
      <c r="BH55" s="1">
        <v>5878</v>
      </c>
      <c r="BI55" s="1">
        <v>10827</v>
      </c>
      <c r="BJ55" s="1">
        <v>61449</v>
      </c>
      <c r="BK55" s="1">
        <v>13636</v>
      </c>
      <c r="BL55" s="1">
        <v>7609</v>
      </c>
      <c r="BM55" s="1">
        <v>2491</v>
      </c>
      <c r="BN55" s="1">
        <v>3300</v>
      </c>
      <c r="BO55" s="1">
        <v>3828</v>
      </c>
      <c r="BP55" s="1">
        <v>21957</v>
      </c>
      <c r="BQ55" s="1">
        <v>80253</v>
      </c>
      <c r="BR55" s="1">
        <v>13004</v>
      </c>
      <c r="BS55" s="1">
        <v>0</v>
      </c>
      <c r="BT55" s="1">
        <v>0</v>
      </c>
      <c r="BU55" s="1">
        <v>146</v>
      </c>
      <c r="BV55" s="1">
        <v>0</v>
      </c>
      <c r="BW55" s="1">
        <v>0</v>
      </c>
      <c r="BX55" s="1">
        <v>822609</v>
      </c>
      <c r="BY55" s="9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4910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</row>
    <row r="56" spans="1:95" x14ac:dyDescent="0.25">
      <c r="A56" t="s">
        <v>55</v>
      </c>
      <c r="B56" t="s">
        <v>148</v>
      </c>
      <c r="C56">
        <f t="shared" si="0"/>
        <v>7.9605070658663693E-2</v>
      </c>
      <c r="D56" s="10">
        <f t="shared" si="1"/>
        <v>1264530</v>
      </c>
      <c r="E56" s="1">
        <v>475</v>
      </c>
      <c r="F56" s="1">
        <v>21</v>
      </c>
      <c r="G56" s="1">
        <v>461</v>
      </c>
      <c r="H56" s="1">
        <v>468</v>
      </c>
      <c r="I56" s="1">
        <v>972</v>
      </c>
      <c r="J56" s="1">
        <v>7437</v>
      </c>
      <c r="K56" s="1">
        <v>11605</v>
      </c>
      <c r="L56" s="1">
        <v>949</v>
      </c>
      <c r="M56" s="1">
        <v>1335</v>
      </c>
      <c r="N56" s="1">
        <v>3974</v>
      </c>
      <c r="O56" s="1">
        <v>9125</v>
      </c>
      <c r="P56" s="1">
        <v>1897</v>
      </c>
      <c r="Q56" s="1">
        <v>2654</v>
      </c>
      <c r="R56" s="1">
        <v>632</v>
      </c>
      <c r="S56" s="1">
        <v>2988</v>
      </c>
      <c r="T56" s="1">
        <v>4476</v>
      </c>
      <c r="U56" s="1">
        <v>335</v>
      </c>
      <c r="V56" s="1">
        <v>1537</v>
      </c>
      <c r="W56" s="1">
        <v>3634</v>
      </c>
      <c r="X56" s="1">
        <v>146</v>
      </c>
      <c r="Y56" s="1">
        <v>533</v>
      </c>
      <c r="Z56" s="1">
        <v>1394</v>
      </c>
      <c r="AA56" s="1">
        <v>2594</v>
      </c>
      <c r="AB56" s="1">
        <v>595</v>
      </c>
      <c r="AC56" s="1">
        <v>4045</v>
      </c>
      <c r="AD56" s="1">
        <v>1697</v>
      </c>
      <c r="AE56" s="1">
        <v>73786</v>
      </c>
      <c r="AF56" s="1">
        <v>8095</v>
      </c>
      <c r="AG56" s="1">
        <v>2641</v>
      </c>
      <c r="AH56" s="1">
        <v>3516</v>
      </c>
      <c r="AI56" s="1">
        <v>22215</v>
      </c>
      <c r="AJ56" s="1">
        <v>6373</v>
      </c>
      <c r="AK56" s="1">
        <v>1039</v>
      </c>
      <c r="AL56" s="1">
        <v>8326</v>
      </c>
      <c r="AM56" s="1">
        <v>9347</v>
      </c>
      <c r="AN56" s="1">
        <v>16628</v>
      </c>
      <c r="AO56" s="1">
        <v>3336</v>
      </c>
      <c r="AP56" s="1">
        <v>10307</v>
      </c>
      <c r="AQ56" s="1">
        <v>5397</v>
      </c>
      <c r="AR56" s="1">
        <v>25754</v>
      </c>
      <c r="AS56" s="1">
        <v>1862</v>
      </c>
      <c r="AT56" s="1">
        <v>28161</v>
      </c>
      <c r="AU56" s="1">
        <v>41953</v>
      </c>
      <c r="AV56" s="1">
        <v>22569</v>
      </c>
      <c r="AW56" s="1">
        <v>20291</v>
      </c>
      <c r="AX56" s="1">
        <v>13899</v>
      </c>
      <c r="AY56" s="1">
        <v>212</v>
      </c>
      <c r="AZ56" s="1">
        <v>3022</v>
      </c>
      <c r="BA56" s="1">
        <v>234173</v>
      </c>
      <c r="BB56" s="1">
        <v>48347</v>
      </c>
      <c r="BC56" s="1">
        <v>9891</v>
      </c>
      <c r="BD56" s="1">
        <v>37605</v>
      </c>
      <c r="BE56" s="1">
        <v>69359</v>
      </c>
      <c r="BF56" s="1">
        <v>18517</v>
      </c>
      <c r="BG56" s="1">
        <v>76333</v>
      </c>
      <c r="BH56" s="1">
        <v>5456</v>
      </c>
      <c r="BI56" s="1">
        <v>8939</v>
      </c>
      <c r="BJ56" s="1">
        <v>36570</v>
      </c>
      <c r="BK56" s="1">
        <v>64622</v>
      </c>
      <c r="BL56" s="1">
        <v>13715</v>
      </c>
      <c r="BM56" s="1">
        <v>4369</v>
      </c>
      <c r="BN56" s="1">
        <v>6604</v>
      </c>
      <c r="BO56" s="1">
        <v>4566</v>
      </c>
      <c r="BP56" s="1">
        <v>5884</v>
      </c>
      <c r="BQ56" s="1">
        <v>15357</v>
      </c>
      <c r="BR56" s="1">
        <v>19897</v>
      </c>
      <c r="BS56" s="1">
        <v>7705</v>
      </c>
      <c r="BT56" s="1">
        <v>13595</v>
      </c>
      <c r="BU56" s="1">
        <v>551</v>
      </c>
      <c r="BV56" s="1">
        <v>54682</v>
      </c>
      <c r="BW56" s="1">
        <v>12420</v>
      </c>
      <c r="BX56" s="1">
        <v>1163867</v>
      </c>
      <c r="BY56" s="9">
        <v>100663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7434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</row>
    <row r="57" spans="1:95" x14ac:dyDescent="0.25">
      <c r="A57" t="s">
        <v>56</v>
      </c>
      <c r="B57" t="s">
        <v>149</v>
      </c>
      <c r="C57">
        <f t="shared" si="0"/>
        <v>0.20272413981729664</v>
      </c>
      <c r="D57" s="10">
        <f t="shared" si="1"/>
        <v>201091</v>
      </c>
      <c r="E57" s="1">
        <v>169</v>
      </c>
      <c r="F57" s="1">
        <v>1</v>
      </c>
      <c r="G57" s="1">
        <v>575</v>
      </c>
      <c r="H57" s="1">
        <v>92</v>
      </c>
      <c r="I57" s="1">
        <v>75</v>
      </c>
      <c r="J57" s="1">
        <v>540</v>
      </c>
      <c r="K57" s="1">
        <v>2859</v>
      </c>
      <c r="L57" s="1">
        <v>141</v>
      </c>
      <c r="M57" s="1">
        <v>269</v>
      </c>
      <c r="N57" s="1">
        <v>306</v>
      </c>
      <c r="O57" s="1">
        <v>348</v>
      </c>
      <c r="P57" s="1">
        <v>208</v>
      </c>
      <c r="Q57" s="1">
        <v>67</v>
      </c>
      <c r="R57" s="1">
        <v>82</v>
      </c>
      <c r="S57" s="1">
        <v>172</v>
      </c>
      <c r="T57" s="1">
        <v>124</v>
      </c>
      <c r="U57" s="1">
        <v>88</v>
      </c>
      <c r="V57" s="1">
        <v>91</v>
      </c>
      <c r="W57" s="1">
        <v>1369</v>
      </c>
      <c r="X57" s="1">
        <v>42</v>
      </c>
      <c r="Y57" s="1">
        <v>4</v>
      </c>
      <c r="Z57" s="1">
        <v>292</v>
      </c>
      <c r="AA57" s="1">
        <v>85</v>
      </c>
      <c r="AB57" s="1">
        <v>135</v>
      </c>
      <c r="AC57" s="1">
        <v>1310</v>
      </c>
      <c r="AD57" s="1">
        <v>273</v>
      </c>
      <c r="AE57" s="1">
        <v>2363</v>
      </c>
      <c r="AF57" s="1">
        <v>974</v>
      </c>
      <c r="AG57" s="1">
        <v>310</v>
      </c>
      <c r="AH57" s="1">
        <v>148</v>
      </c>
      <c r="AI57" s="1">
        <v>998</v>
      </c>
      <c r="AJ57" s="1">
        <v>116</v>
      </c>
      <c r="AK57" s="1">
        <v>163</v>
      </c>
      <c r="AL57" s="1">
        <v>6</v>
      </c>
      <c r="AM57" s="1">
        <v>775</v>
      </c>
      <c r="AN57" s="1">
        <v>84</v>
      </c>
      <c r="AO57" s="1">
        <v>279</v>
      </c>
      <c r="AP57" s="1">
        <v>192</v>
      </c>
      <c r="AQ57" s="1">
        <v>205</v>
      </c>
      <c r="AR57" s="1">
        <v>57</v>
      </c>
      <c r="AS57" s="1">
        <v>57</v>
      </c>
      <c r="AT57" s="1">
        <v>94</v>
      </c>
      <c r="AU57" s="1">
        <v>138</v>
      </c>
      <c r="AV57" s="1">
        <v>459</v>
      </c>
      <c r="AW57" s="1">
        <v>207</v>
      </c>
      <c r="AX57" s="1">
        <v>1519</v>
      </c>
      <c r="AY57" s="1">
        <v>375</v>
      </c>
      <c r="AZ57" s="1">
        <v>3</v>
      </c>
      <c r="BA57" s="1">
        <v>67524</v>
      </c>
      <c r="BB57" s="1">
        <v>1379</v>
      </c>
      <c r="BC57" s="1">
        <v>327</v>
      </c>
      <c r="BD57" s="1">
        <v>352</v>
      </c>
      <c r="BE57" s="1">
        <v>2058</v>
      </c>
      <c r="BF57" s="1">
        <v>609</v>
      </c>
      <c r="BG57" s="1">
        <v>3473</v>
      </c>
      <c r="BH57" s="1">
        <v>14431</v>
      </c>
      <c r="BI57" s="1">
        <v>408</v>
      </c>
      <c r="BJ57" s="1">
        <v>2165</v>
      </c>
      <c r="BK57" s="1">
        <v>2380</v>
      </c>
      <c r="BL57" s="1">
        <v>916</v>
      </c>
      <c r="BM57" s="1">
        <v>516</v>
      </c>
      <c r="BN57" s="1">
        <v>183</v>
      </c>
      <c r="BO57" s="1">
        <v>721</v>
      </c>
      <c r="BP57" s="1">
        <v>963</v>
      </c>
      <c r="BQ57" s="1">
        <v>2414</v>
      </c>
      <c r="BR57" s="1">
        <v>1663</v>
      </c>
      <c r="BS57" s="1">
        <v>158</v>
      </c>
      <c r="BT57" s="1">
        <v>851</v>
      </c>
      <c r="BU57" s="1">
        <v>215</v>
      </c>
      <c r="BV57" s="1">
        <v>31019</v>
      </c>
      <c r="BW57" s="1">
        <v>6357</v>
      </c>
      <c r="BX57" s="1">
        <v>160325</v>
      </c>
      <c r="BY57" s="9">
        <v>40766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753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</row>
    <row r="58" spans="1:95" x14ac:dyDescent="0.25">
      <c r="A58" t="s">
        <v>57</v>
      </c>
      <c r="B58" t="s">
        <v>150</v>
      </c>
      <c r="C58">
        <f t="shared" si="0"/>
        <v>0.93280438828484669</v>
      </c>
      <c r="D58" s="10">
        <f t="shared" si="1"/>
        <v>510450</v>
      </c>
      <c r="E58" s="1">
        <v>2</v>
      </c>
      <c r="F58" s="1">
        <v>0</v>
      </c>
      <c r="G58" s="1">
        <v>0</v>
      </c>
      <c r="H58" s="1">
        <v>0</v>
      </c>
      <c r="I58" s="1">
        <v>0</v>
      </c>
      <c r="J58" s="1">
        <v>2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0</v>
      </c>
      <c r="AC58" s="1">
        <v>0</v>
      </c>
      <c r="AD58" s="1">
        <v>0</v>
      </c>
      <c r="AE58" s="1">
        <v>1742</v>
      </c>
      <c r="AF58" s="1">
        <v>304</v>
      </c>
      <c r="AG58" s="1">
        <v>547</v>
      </c>
      <c r="AH58" s="1">
        <v>0</v>
      </c>
      <c r="AI58" s="1">
        <v>2514</v>
      </c>
      <c r="AJ58" s="1">
        <v>129</v>
      </c>
      <c r="AK58" s="1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4</v>
      </c>
      <c r="AU58" s="1">
        <v>0</v>
      </c>
      <c r="AV58" s="1">
        <v>35</v>
      </c>
      <c r="AW58" s="1">
        <v>14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332</v>
      </c>
      <c r="BH58" s="1">
        <v>0</v>
      </c>
      <c r="BI58" s="1">
        <v>2688</v>
      </c>
      <c r="BJ58" s="1">
        <v>0</v>
      </c>
      <c r="BK58" s="1">
        <v>6</v>
      </c>
      <c r="BL58" s="1">
        <v>0</v>
      </c>
      <c r="BM58" s="1">
        <v>0</v>
      </c>
      <c r="BN58" s="1">
        <v>6155</v>
      </c>
      <c r="BO58" s="1">
        <v>939</v>
      </c>
      <c r="BP58" s="1">
        <v>0</v>
      </c>
      <c r="BQ58" s="1">
        <v>0</v>
      </c>
      <c r="BR58" s="1">
        <v>4596</v>
      </c>
      <c r="BS58" s="1">
        <v>0</v>
      </c>
      <c r="BT58" s="1">
        <v>41</v>
      </c>
      <c r="BU58" s="1">
        <v>156</v>
      </c>
      <c r="BV58" s="1">
        <v>14081</v>
      </c>
      <c r="BW58" s="1">
        <v>11</v>
      </c>
      <c r="BX58" s="1">
        <v>34300</v>
      </c>
      <c r="BY58" s="9">
        <v>476150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2887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</row>
    <row r="59" spans="1:95" x14ac:dyDescent="0.25">
      <c r="A59" t="s">
        <v>58</v>
      </c>
      <c r="B59" t="s">
        <v>151</v>
      </c>
      <c r="C59">
        <f t="shared" si="0"/>
        <v>0.9616203484045307</v>
      </c>
      <c r="D59" s="10">
        <f t="shared" si="1"/>
        <v>1660828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150</v>
      </c>
      <c r="BF59" s="1">
        <v>0</v>
      </c>
      <c r="BG59" s="1">
        <v>108</v>
      </c>
      <c r="BH59" s="1">
        <v>0</v>
      </c>
      <c r="BI59" s="1">
        <v>0</v>
      </c>
      <c r="BJ59" s="1">
        <v>19826</v>
      </c>
      <c r="BK59" s="1">
        <v>18965</v>
      </c>
      <c r="BL59" s="1">
        <v>147</v>
      </c>
      <c r="BM59" s="1">
        <v>1</v>
      </c>
      <c r="BN59" s="1">
        <v>209</v>
      </c>
      <c r="BO59" s="1">
        <v>7</v>
      </c>
      <c r="BP59" s="1">
        <v>0</v>
      </c>
      <c r="BQ59" s="1">
        <v>0</v>
      </c>
      <c r="BR59" s="1">
        <v>84</v>
      </c>
      <c r="BS59" s="1">
        <v>0</v>
      </c>
      <c r="BT59" s="1">
        <v>2395</v>
      </c>
      <c r="BU59" s="1">
        <v>0</v>
      </c>
      <c r="BV59" s="1">
        <v>21850</v>
      </c>
      <c r="BW59" s="1">
        <v>0</v>
      </c>
      <c r="BX59" s="1">
        <v>63742</v>
      </c>
      <c r="BY59" s="9">
        <v>1597086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633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</row>
    <row r="60" spans="1:95" x14ac:dyDescent="0.25">
      <c r="A60" t="s">
        <v>59</v>
      </c>
      <c r="B60" t="s">
        <v>152</v>
      </c>
      <c r="C60">
        <f t="shared" si="0"/>
        <v>0.99935408569861772</v>
      </c>
      <c r="D60" s="10">
        <f t="shared" si="1"/>
        <v>1548193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1000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1000</v>
      </c>
      <c r="BY60" s="9">
        <v>1547193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13973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</row>
    <row r="61" spans="1:95" x14ac:dyDescent="0.25">
      <c r="A61" t="s">
        <v>60</v>
      </c>
      <c r="B61" t="s">
        <v>153</v>
      </c>
      <c r="C61">
        <f t="shared" si="0"/>
        <v>0.97695845910593648</v>
      </c>
      <c r="D61" s="10">
        <f t="shared" si="1"/>
        <v>347850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5221</v>
      </c>
      <c r="BU61" s="1">
        <v>0</v>
      </c>
      <c r="BV61" s="1">
        <v>2794</v>
      </c>
      <c r="BW61" s="1">
        <v>0</v>
      </c>
      <c r="BX61" s="1">
        <v>8015</v>
      </c>
      <c r="BY61" s="9">
        <v>339835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145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</row>
    <row r="62" spans="1:95" x14ac:dyDescent="0.25">
      <c r="A62" t="s">
        <v>61</v>
      </c>
      <c r="B62" t="s">
        <v>154</v>
      </c>
      <c r="C62">
        <f t="shared" si="0"/>
        <v>0.99993280341358659</v>
      </c>
      <c r="D62" s="10">
        <f t="shared" si="1"/>
        <v>357161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24</v>
      </c>
      <c r="BW62" s="1">
        <v>0</v>
      </c>
      <c r="BX62" s="1">
        <v>24</v>
      </c>
      <c r="BY62" s="9">
        <v>357137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</row>
    <row r="63" spans="1:95" x14ac:dyDescent="0.25">
      <c r="A63" t="s">
        <v>62</v>
      </c>
      <c r="B63" t="s">
        <v>155</v>
      </c>
      <c r="C63">
        <f t="shared" si="0"/>
        <v>0.44071015833667931</v>
      </c>
      <c r="D63" s="10">
        <f t="shared" si="1"/>
        <v>286415</v>
      </c>
      <c r="E63" s="1">
        <v>134</v>
      </c>
      <c r="F63" s="1">
        <v>0</v>
      </c>
      <c r="G63" s="1">
        <v>1</v>
      </c>
      <c r="H63" s="1">
        <v>0</v>
      </c>
      <c r="I63" s="1">
        <v>22</v>
      </c>
      <c r="J63" s="1">
        <v>110</v>
      </c>
      <c r="K63" s="1">
        <v>441</v>
      </c>
      <c r="L63" s="1">
        <v>57</v>
      </c>
      <c r="M63" s="1">
        <v>59</v>
      </c>
      <c r="N63" s="1">
        <v>87</v>
      </c>
      <c r="O63" s="1">
        <v>104</v>
      </c>
      <c r="P63" s="1">
        <v>61</v>
      </c>
      <c r="Q63" s="1">
        <v>5</v>
      </c>
      <c r="R63" s="1">
        <v>8</v>
      </c>
      <c r="S63" s="1">
        <v>49</v>
      </c>
      <c r="T63" s="1">
        <v>13</v>
      </c>
      <c r="U63" s="1">
        <v>21</v>
      </c>
      <c r="V63" s="1">
        <v>28</v>
      </c>
      <c r="W63" s="1">
        <v>177</v>
      </c>
      <c r="X63" s="1">
        <v>5</v>
      </c>
      <c r="Y63" s="1">
        <v>1</v>
      </c>
      <c r="Z63" s="1">
        <v>78</v>
      </c>
      <c r="AA63" s="1">
        <v>46</v>
      </c>
      <c r="AB63" s="1">
        <v>21</v>
      </c>
      <c r="AC63" s="1">
        <v>37</v>
      </c>
      <c r="AD63" s="1">
        <v>132</v>
      </c>
      <c r="AE63" s="1">
        <v>6164</v>
      </c>
      <c r="AF63" s="1">
        <v>901</v>
      </c>
      <c r="AG63" s="1">
        <v>539</v>
      </c>
      <c r="AH63" s="1">
        <v>101</v>
      </c>
      <c r="AI63" s="1">
        <v>1300</v>
      </c>
      <c r="AJ63" s="1">
        <v>0</v>
      </c>
      <c r="AK63" s="1">
        <v>153</v>
      </c>
      <c r="AL63" s="1">
        <v>0</v>
      </c>
      <c r="AM63" s="1">
        <v>87</v>
      </c>
      <c r="AN63" s="1">
        <v>65</v>
      </c>
      <c r="AO63" s="1">
        <v>0</v>
      </c>
      <c r="AP63" s="1">
        <v>361</v>
      </c>
      <c r="AQ63" s="1">
        <v>10</v>
      </c>
      <c r="AR63" s="1">
        <v>254</v>
      </c>
      <c r="AS63" s="1">
        <v>13078</v>
      </c>
      <c r="AT63" s="1">
        <v>33783</v>
      </c>
      <c r="AU63" s="1">
        <v>844</v>
      </c>
      <c r="AV63" s="1">
        <v>3591</v>
      </c>
      <c r="AW63" s="1">
        <v>1455</v>
      </c>
      <c r="AX63" s="1">
        <v>329</v>
      </c>
      <c r="AY63" s="1">
        <v>601</v>
      </c>
      <c r="AZ63" s="1">
        <v>1</v>
      </c>
      <c r="BA63" s="1">
        <v>10055</v>
      </c>
      <c r="BB63" s="1">
        <v>669</v>
      </c>
      <c r="BC63" s="1">
        <v>830</v>
      </c>
      <c r="BD63" s="1">
        <v>1717</v>
      </c>
      <c r="BE63" s="1">
        <v>7629</v>
      </c>
      <c r="BF63" s="1">
        <v>5668</v>
      </c>
      <c r="BG63" s="1">
        <v>3207</v>
      </c>
      <c r="BH63" s="1">
        <v>201</v>
      </c>
      <c r="BI63" s="1">
        <v>1893</v>
      </c>
      <c r="BJ63" s="1">
        <v>2237</v>
      </c>
      <c r="BK63" s="1">
        <v>2771</v>
      </c>
      <c r="BL63" s="1">
        <v>429</v>
      </c>
      <c r="BM63" s="1">
        <v>1789</v>
      </c>
      <c r="BN63" s="1">
        <v>40370</v>
      </c>
      <c r="BO63" s="1">
        <v>1617</v>
      </c>
      <c r="BP63" s="1">
        <v>474</v>
      </c>
      <c r="BQ63" s="1">
        <v>6642</v>
      </c>
      <c r="BR63" s="1">
        <v>3195</v>
      </c>
      <c r="BS63" s="1">
        <v>0</v>
      </c>
      <c r="BT63" s="1">
        <v>44</v>
      </c>
      <c r="BU63" s="1">
        <v>36</v>
      </c>
      <c r="BV63" s="1">
        <v>3308</v>
      </c>
      <c r="BW63" s="1">
        <v>92</v>
      </c>
      <c r="BX63" s="1">
        <v>160189</v>
      </c>
      <c r="BY63" s="9">
        <v>126226</v>
      </c>
      <c r="BZ63" s="1">
        <v>0</v>
      </c>
      <c r="CA63" s="1">
        <v>0</v>
      </c>
      <c r="CB63" s="1">
        <v>11517</v>
      </c>
      <c r="CC63" s="1">
        <v>0</v>
      </c>
      <c r="CD63" s="1">
        <v>0</v>
      </c>
      <c r="CE63" s="1">
        <v>1456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</row>
    <row r="64" spans="1:95" x14ac:dyDescent="0.25">
      <c r="A64" t="s">
        <v>63</v>
      </c>
      <c r="B64" t="s">
        <v>156</v>
      </c>
      <c r="C64">
        <f t="shared" si="0"/>
        <v>0.88280790862390801</v>
      </c>
      <c r="D64" s="10">
        <f t="shared" si="1"/>
        <v>328401</v>
      </c>
      <c r="E64" s="1">
        <v>135</v>
      </c>
      <c r="F64" s="1">
        <v>1</v>
      </c>
      <c r="G64" s="1">
        <v>0</v>
      </c>
      <c r="H64" s="1">
        <v>2</v>
      </c>
      <c r="I64" s="1">
        <v>47</v>
      </c>
      <c r="J64" s="1">
        <v>206</v>
      </c>
      <c r="K64" s="1">
        <v>969</v>
      </c>
      <c r="L64" s="1">
        <v>52</v>
      </c>
      <c r="M64" s="1">
        <v>83</v>
      </c>
      <c r="N64" s="1">
        <v>54</v>
      </c>
      <c r="O64" s="1">
        <v>99</v>
      </c>
      <c r="P64" s="1">
        <v>53</v>
      </c>
      <c r="Q64" s="1">
        <v>6</v>
      </c>
      <c r="R64" s="1">
        <v>5</v>
      </c>
      <c r="S64" s="1">
        <v>45</v>
      </c>
      <c r="T64" s="1">
        <v>13</v>
      </c>
      <c r="U64" s="1">
        <v>26</v>
      </c>
      <c r="V64" s="1">
        <v>29</v>
      </c>
      <c r="W64" s="1">
        <v>123</v>
      </c>
      <c r="X64" s="1">
        <v>1</v>
      </c>
      <c r="Y64" s="1">
        <v>0</v>
      </c>
      <c r="Z64" s="1">
        <v>52</v>
      </c>
      <c r="AA64" s="1">
        <v>41</v>
      </c>
      <c r="AB64" s="1">
        <v>10</v>
      </c>
      <c r="AC64" s="1">
        <v>40</v>
      </c>
      <c r="AD64" s="1">
        <v>85</v>
      </c>
      <c r="AE64" s="1">
        <v>3007</v>
      </c>
      <c r="AF64" s="1">
        <v>56</v>
      </c>
      <c r="AG64" s="1">
        <v>181</v>
      </c>
      <c r="AH64" s="1">
        <v>7</v>
      </c>
      <c r="AI64" s="1">
        <v>1503</v>
      </c>
      <c r="AJ64" s="1">
        <v>1</v>
      </c>
      <c r="AK64" s="1">
        <v>1</v>
      </c>
      <c r="AL64" s="1">
        <v>0</v>
      </c>
      <c r="AM64" s="1">
        <v>0</v>
      </c>
      <c r="AN64" s="1">
        <v>0</v>
      </c>
      <c r="AO64" s="1">
        <v>0</v>
      </c>
      <c r="AP64" s="1">
        <v>51</v>
      </c>
      <c r="AQ64" s="1">
        <v>4</v>
      </c>
      <c r="AR64" s="1">
        <v>146</v>
      </c>
      <c r="AS64" s="1">
        <v>64</v>
      </c>
      <c r="AT64" s="1">
        <v>184</v>
      </c>
      <c r="AU64" s="1">
        <v>953</v>
      </c>
      <c r="AV64" s="1">
        <v>2105</v>
      </c>
      <c r="AW64" s="1">
        <v>1244</v>
      </c>
      <c r="AX64" s="1">
        <v>179</v>
      </c>
      <c r="AY64" s="1">
        <v>179</v>
      </c>
      <c r="AZ64" s="1">
        <v>1</v>
      </c>
      <c r="BA64" s="1">
        <v>0</v>
      </c>
      <c r="BB64" s="1">
        <v>650</v>
      </c>
      <c r="BC64" s="1">
        <v>457</v>
      </c>
      <c r="BD64" s="1">
        <v>1764</v>
      </c>
      <c r="BE64" s="1">
        <v>2279</v>
      </c>
      <c r="BF64" s="1">
        <v>3004</v>
      </c>
      <c r="BG64" s="1">
        <v>2188</v>
      </c>
      <c r="BH64" s="1">
        <v>183</v>
      </c>
      <c r="BI64" s="1">
        <v>305</v>
      </c>
      <c r="BJ64" s="1">
        <v>2432</v>
      </c>
      <c r="BK64" s="1">
        <v>90</v>
      </c>
      <c r="BL64" s="1">
        <v>212</v>
      </c>
      <c r="BM64" s="1">
        <v>415</v>
      </c>
      <c r="BN64" s="1">
        <v>243</v>
      </c>
      <c r="BO64" s="1">
        <v>418</v>
      </c>
      <c r="BP64" s="1">
        <v>488</v>
      </c>
      <c r="BQ64" s="1">
        <v>2461</v>
      </c>
      <c r="BR64" s="1">
        <v>333</v>
      </c>
      <c r="BS64" s="1">
        <v>2941</v>
      </c>
      <c r="BT64" s="1">
        <v>34</v>
      </c>
      <c r="BU64" s="1">
        <v>4</v>
      </c>
      <c r="BV64" s="1">
        <v>5376</v>
      </c>
      <c r="BW64" s="1">
        <v>162</v>
      </c>
      <c r="BX64" s="1">
        <v>38486</v>
      </c>
      <c r="BY64" s="9">
        <v>289915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</row>
    <row r="65" spans="1:95" x14ac:dyDescent="0.25">
      <c r="A65" t="s">
        <v>64</v>
      </c>
      <c r="B65" t="s">
        <v>157</v>
      </c>
      <c r="C65">
        <f t="shared" si="0"/>
        <v>0.66296510266219066</v>
      </c>
      <c r="D65" s="10">
        <f t="shared" si="1"/>
        <v>320225</v>
      </c>
      <c r="E65" s="1">
        <v>2</v>
      </c>
      <c r="F65" s="1">
        <v>0</v>
      </c>
      <c r="G65" s="1">
        <v>2</v>
      </c>
      <c r="H65" s="1">
        <v>10</v>
      </c>
      <c r="I65" s="1">
        <v>148</v>
      </c>
      <c r="J65" s="1">
        <v>974</v>
      </c>
      <c r="K65" s="1">
        <v>757</v>
      </c>
      <c r="L65" s="1">
        <v>166</v>
      </c>
      <c r="M65" s="1">
        <v>231</v>
      </c>
      <c r="N65" s="1">
        <v>192</v>
      </c>
      <c r="O65" s="1">
        <v>346</v>
      </c>
      <c r="P65" s="1">
        <v>201</v>
      </c>
      <c r="Q65" s="1">
        <v>23</v>
      </c>
      <c r="R65" s="1">
        <v>38</v>
      </c>
      <c r="S65" s="1">
        <v>223</v>
      </c>
      <c r="T65" s="1">
        <v>44</v>
      </c>
      <c r="U65" s="1">
        <v>87</v>
      </c>
      <c r="V65" s="1">
        <v>109</v>
      </c>
      <c r="W65" s="1">
        <v>428</v>
      </c>
      <c r="X65" s="1">
        <v>12</v>
      </c>
      <c r="Y65" s="1">
        <v>2</v>
      </c>
      <c r="Z65" s="1">
        <v>181</v>
      </c>
      <c r="AA65" s="1">
        <v>188</v>
      </c>
      <c r="AB65" s="1">
        <v>36</v>
      </c>
      <c r="AC65" s="1">
        <v>154</v>
      </c>
      <c r="AD65" s="1">
        <v>318</v>
      </c>
      <c r="AE65" s="1">
        <v>4890</v>
      </c>
      <c r="AF65" s="1">
        <v>67</v>
      </c>
      <c r="AG65" s="1">
        <v>78</v>
      </c>
      <c r="AH65" s="1">
        <v>47</v>
      </c>
      <c r="AI65" s="1">
        <v>372</v>
      </c>
      <c r="AJ65" s="1">
        <v>0</v>
      </c>
      <c r="AK65" s="1">
        <v>17</v>
      </c>
      <c r="AL65" s="1">
        <v>0</v>
      </c>
      <c r="AM65" s="1">
        <v>0</v>
      </c>
      <c r="AN65" s="1">
        <v>0</v>
      </c>
      <c r="AO65" s="1">
        <v>18</v>
      </c>
      <c r="AP65" s="1">
        <v>431</v>
      </c>
      <c r="AQ65" s="1">
        <v>16</v>
      </c>
      <c r="AR65" s="1">
        <v>567</v>
      </c>
      <c r="AS65" s="1">
        <v>300</v>
      </c>
      <c r="AT65" s="1">
        <v>719</v>
      </c>
      <c r="AU65" s="1">
        <v>3718</v>
      </c>
      <c r="AV65" s="1">
        <v>8184</v>
      </c>
      <c r="AW65" s="1">
        <v>4867</v>
      </c>
      <c r="AX65" s="1">
        <v>634</v>
      </c>
      <c r="AY65" s="1">
        <v>677</v>
      </c>
      <c r="AZ65" s="1">
        <v>6</v>
      </c>
      <c r="BA65" s="1">
        <v>19164</v>
      </c>
      <c r="BB65" s="1">
        <v>2851</v>
      </c>
      <c r="BC65" s="1">
        <v>1380</v>
      </c>
      <c r="BD65" s="1">
        <v>6998</v>
      </c>
      <c r="BE65" s="1">
        <v>8118</v>
      </c>
      <c r="BF65" s="1">
        <v>1195</v>
      </c>
      <c r="BG65" s="1">
        <v>6102</v>
      </c>
      <c r="BH65" s="1">
        <v>835</v>
      </c>
      <c r="BI65" s="1">
        <v>1278</v>
      </c>
      <c r="BJ65" s="1">
        <v>6206</v>
      </c>
      <c r="BK65" s="1">
        <v>365</v>
      </c>
      <c r="BL65" s="1">
        <v>481</v>
      </c>
      <c r="BM65" s="1">
        <v>637</v>
      </c>
      <c r="BN65" s="1">
        <v>204</v>
      </c>
      <c r="BO65" s="1">
        <v>489</v>
      </c>
      <c r="BP65" s="1">
        <v>768</v>
      </c>
      <c r="BQ65" s="1">
        <v>5026</v>
      </c>
      <c r="BR65" s="1">
        <v>1065</v>
      </c>
      <c r="BS65" s="1">
        <v>5309</v>
      </c>
      <c r="BT65" s="1">
        <v>2763</v>
      </c>
      <c r="BU65" s="1">
        <v>46</v>
      </c>
      <c r="BV65" s="1">
        <v>5804</v>
      </c>
      <c r="BW65" s="1">
        <v>362</v>
      </c>
      <c r="BX65" s="1">
        <v>107927</v>
      </c>
      <c r="BY65" s="9">
        <v>212298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</row>
    <row r="66" spans="1:95" x14ac:dyDescent="0.25">
      <c r="A66" t="s">
        <v>65</v>
      </c>
      <c r="B66" t="s">
        <v>158</v>
      </c>
      <c r="C66">
        <f t="shared" si="0"/>
        <v>0.77293567543459296</v>
      </c>
      <c r="D66" s="10">
        <f t="shared" si="1"/>
        <v>1538106</v>
      </c>
      <c r="E66" s="1">
        <v>547</v>
      </c>
      <c r="F66" s="1">
        <v>9</v>
      </c>
      <c r="G66" s="1">
        <v>24</v>
      </c>
      <c r="H66" s="1">
        <v>38</v>
      </c>
      <c r="I66" s="1">
        <v>321</v>
      </c>
      <c r="J66" s="1">
        <v>2061</v>
      </c>
      <c r="K66" s="1">
        <v>958</v>
      </c>
      <c r="L66" s="1">
        <v>248</v>
      </c>
      <c r="M66" s="1">
        <v>299</v>
      </c>
      <c r="N66" s="1">
        <v>296</v>
      </c>
      <c r="O66" s="1">
        <v>429</v>
      </c>
      <c r="P66" s="1">
        <v>265</v>
      </c>
      <c r="Q66" s="1">
        <v>27</v>
      </c>
      <c r="R66" s="1">
        <v>75</v>
      </c>
      <c r="S66" s="1">
        <v>262</v>
      </c>
      <c r="T66" s="1">
        <v>69</v>
      </c>
      <c r="U66" s="1">
        <v>100</v>
      </c>
      <c r="V66" s="1">
        <v>131</v>
      </c>
      <c r="W66" s="1">
        <v>690</v>
      </c>
      <c r="X66" s="1">
        <v>33</v>
      </c>
      <c r="Y66" s="1">
        <v>9</v>
      </c>
      <c r="Z66" s="1">
        <v>286</v>
      </c>
      <c r="AA66" s="1">
        <v>184</v>
      </c>
      <c r="AB66" s="1">
        <v>82</v>
      </c>
      <c r="AC66" s="1">
        <v>193</v>
      </c>
      <c r="AD66" s="1">
        <v>416</v>
      </c>
      <c r="AE66" s="1">
        <v>12087</v>
      </c>
      <c r="AF66" s="1">
        <v>1561</v>
      </c>
      <c r="AG66" s="1">
        <v>1022</v>
      </c>
      <c r="AH66" s="1">
        <v>981</v>
      </c>
      <c r="AI66" s="1">
        <v>5302</v>
      </c>
      <c r="AJ66" s="1">
        <v>11824</v>
      </c>
      <c r="AK66" s="1">
        <v>4</v>
      </c>
      <c r="AL66" s="1">
        <v>26</v>
      </c>
      <c r="AM66" s="1">
        <v>991</v>
      </c>
      <c r="AN66" s="1">
        <v>354</v>
      </c>
      <c r="AO66" s="1">
        <v>106</v>
      </c>
      <c r="AP66" s="1">
        <v>2271</v>
      </c>
      <c r="AQ66" s="1">
        <v>321</v>
      </c>
      <c r="AR66" s="1">
        <v>521</v>
      </c>
      <c r="AS66" s="1">
        <v>388</v>
      </c>
      <c r="AT66" s="1">
        <v>700</v>
      </c>
      <c r="AU66" s="1">
        <v>3346</v>
      </c>
      <c r="AV66" s="1">
        <v>12720</v>
      </c>
      <c r="AW66" s="1">
        <v>5029</v>
      </c>
      <c r="AX66" s="1">
        <v>3254</v>
      </c>
      <c r="AY66" s="1">
        <v>1683</v>
      </c>
      <c r="AZ66" s="1">
        <v>5</v>
      </c>
      <c r="BA66" s="1">
        <v>59181</v>
      </c>
      <c r="BB66" s="1">
        <v>7891</v>
      </c>
      <c r="BC66" s="1">
        <v>2634</v>
      </c>
      <c r="BD66" s="1">
        <v>9510</v>
      </c>
      <c r="BE66" s="1">
        <v>21142</v>
      </c>
      <c r="BF66" s="1">
        <v>6336</v>
      </c>
      <c r="BG66" s="1">
        <v>13557</v>
      </c>
      <c r="BH66" s="1">
        <v>798</v>
      </c>
      <c r="BI66" s="1">
        <v>2345</v>
      </c>
      <c r="BJ66" s="1">
        <v>40240</v>
      </c>
      <c r="BK66" s="1">
        <v>29971</v>
      </c>
      <c r="BL66" s="1">
        <v>11963</v>
      </c>
      <c r="BM66" s="1">
        <v>5657</v>
      </c>
      <c r="BN66" s="1">
        <v>809</v>
      </c>
      <c r="BO66" s="1">
        <v>2759</v>
      </c>
      <c r="BP66" s="1">
        <v>12290</v>
      </c>
      <c r="BQ66" s="1">
        <v>13186</v>
      </c>
      <c r="BR66" s="1">
        <v>2748</v>
      </c>
      <c r="BS66" s="1">
        <v>1996</v>
      </c>
      <c r="BT66" s="1">
        <v>907</v>
      </c>
      <c r="BU66" s="1">
        <v>349</v>
      </c>
      <c r="BV66" s="1">
        <v>29281</v>
      </c>
      <c r="BW66" s="1">
        <v>1156</v>
      </c>
      <c r="BX66" s="1">
        <v>349249</v>
      </c>
      <c r="BY66" s="9">
        <v>1188857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3101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</row>
    <row r="67" spans="1:95" x14ac:dyDescent="0.25">
      <c r="A67" t="s">
        <v>66</v>
      </c>
      <c r="B67" t="s">
        <v>159</v>
      </c>
      <c r="C67">
        <f t="shared" ref="C67:C84" si="2">IFERROR(BY67/D67, 0)</f>
        <v>0.717092514119963</v>
      </c>
      <c r="D67" s="10">
        <f t="shared" ref="D67:D84" si="3">BX67+BY67</f>
        <v>1304536</v>
      </c>
      <c r="E67" s="1">
        <v>399</v>
      </c>
      <c r="F67" s="1">
        <v>54</v>
      </c>
      <c r="G67" s="1">
        <v>129</v>
      </c>
      <c r="H67" s="1">
        <v>134</v>
      </c>
      <c r="I67" s="1">
        <v>255</v>
      </c>
      <c r="J67" s="1">
        <v>899</v>
      </c>
      <c r="K67" s="1">
        <v>12179</v>
      </c>
      <c r="L67" s="1">
        <v>545</v>
      </c>
      <c r="M67" s="1">
        <v>1388</v>
      </c>
      <c r="N67" s="1">
        <v>1648</v>
      </c>
      <c r="O67" s="1">
        <v>1912</v>
      </c>
      <c r="P67" s="1">
        <v>910</v>
      </c>
      <c r="Q67" s="1">
        <v>457</v>
      </c>
      <c r="R67" s="1">
        <v>298</v>
      </c>
      <c r="S67" s="1">
        <v>938</v>
      </c>
      <c r="T67" s="1">
        <v>492</v>
      </c>
      <c r="U67" s="1">
        <v>175</v>
      </c>
      <c r="V67" s="1">
        <v>402</v>
      </c>
      <c r="W67" s="1">
        <v>2807</v>
      </c>
      <c r="X67" s="1">
        <v>104</v>
      </c>
      <c r="Y67" s="1">
        <v>10</v>
      </c>
      <c r="Z67" s="1">
        <v>1368</v>
      </c>
      <c r="AA67" s="1">
        <v>358</v>
      </c>
      <c r="AB67" s="1">
        <v>439</v>
      </c>
      <c r="AC67" s="1">
        <v>2051</v>
      </c>
      <c r="AD67" s="1">
        <v>1076</v>
      </c>
      <c r="AE67" s="1">
        <v>25577</v>
      </c>
      <c r="AF67" s="1">
        <v>3609</v>
      </c>
      <c r="AG67" s="1">
        <v>2580</v>
      </c>
      <c r="AH67" s="1">
        <v>1927</v>
      </c>
      <c r="AI67" s="1">
        <v>8092</v>
      </c>
      <c r="AJ67" s="1">
        <v>623</v>
      </c>
      <c r="AK67" s="1">
        <v>109</v>
      </c>
      <c r="AL67" s="1">
        <v>710</v>
      </c>
      <c r="AM67" s="1">
        <v>9392</v>
      </c>
      <c r="AN67" s="1">
        <v>4878</v>
      </c>
      <c r="AO67" s="1">
        <v>775</v>
      </c>
      <c r="AP67" s="1">
        <v>2369</v>
      </c>
      <c r="AQ67" s="1">
        <v>946</v>
      </c>
      <c r="AR67" s="1">
        <v>1724</v>
      </c>
      <c r="AS67" s="1">
        <v>245</v>
      </c>
      <c r="AT67" s="1">
        <v>5470</v>
      </c>
      <c r="AU67" s="1">
        <v>2759</v>
      </c>
      <c r="AV67" s="1">
        <v>6825</v>
      </c>
      <c r="AW67" s="1">
        <v>7039</v>
      </c>
      <c r="AX67" s="1">
        <v>5260</v>
      </c>
      <c r="AY67" s="1">
        <v>329</v>
      </c>
      <c r="AZ67" s="1">
        <v>25628</v>
      </c>
      <c r="BA67" s="1">
        <v>7639</v>
      </c>
      <c r="BB67" s="1">
        <v>11873</v>
      </c>
      <c r="BC67" s="1">
        <v>1101</v>
      </c>
      <c r="BD67" s="1">
        <v>2870</v>
      </c>
      <c r="BE67" s="1">
        <v>12456</v>
      </c>
      <c r="BF67" s="1">
        <v>7744</v>
      </c>
      <c r="BG67" s="1">
        <v>21888</v>
      </c>
      <c r="BH67" s="1">
        <v>6812</v>
      </c>
      <c r="BI67" s="1">
        <v>4124</v>
      </c>
      <c r="BJ67" s="1">
        <v>7715</v>
      </c>
      <c r="BK67" s="1">
        <v>15096</v>
      </c>
      <c r="BL67" s="1">
        <v>2004</v>
      </c>
      <c r="BM67" s="1">
        <v>1277</v>
      </c>
      <c r="BN67" s="1">
        <v>1430</v>
      </c>
      <c r="BO67" s="1">
        <v>2517</v>
      </c>
      <c r="BP67" s="1">
        <v>2041</v>
      </c>
      <c r="BQ67" s="1">
        <v>14273</v>
      </c>
      <c r="BR67" s="1">
        <v>9802</v>
      </c>
      <c r="BS67" s="1">
        <v>6009</v>
      </c>
      <c r="BT67" s="1">
        <v>16600</v>
      </c>
      <c r="BU67" s="1">
        <v>578</v>
      </c>
      <c r="BV67" s="1">
        <v>58467</v>
      </c>
      <c r="BW67" s="1">
        <v>6450</v>
      </c>
      <c r="BX67" s="1">
        <v>369063</v>
      </c>
      <c r="BY67" s="9">
        <v>935473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109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</row>
    <row r="68" spans="1:95" x14ac:dyDescent="0.25">
      <c r="A68" t="s">
        <v>67</v>
      </c>
      <c r="B68" t="s">
        <v>160</v>
      </c>
      <c r="C68">
        <f t="shared" si="2"/>
        <v>0</v>
      </c>
      <c r="D68" s="10">
        <f t="shared" si="3"/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9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854761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</row>
    <row r="69" spans="1:95" x14ac:dyDescent="0.25">
      <c r="A69" t="s">
        <v>68</v>
      </c>
      <c r="B69" t="s">
        <v>161</v>
      </c>
      <c r="C69">
        <f t="shared" si="2"/>
        <v>0</v>
      </c>
      <c r="D69" s="10">
        <f t="shared" si="3"/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9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586717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</row>
    <row r="70" spans="1:95" x14ac:dyDescent="0.25">
      <c r="A70" t="s">
        <v>69</v>
      </c>
      <c r="B70" t="s">
        <v>162</v>
      </c>
      <c r="C70">
        <f t="shared" si="2"/>
        <v>8.1501820276780129E-2</v>
      </c>
      <c r="D70" s="10">
        <f t="shared" si="3"/>
        <v>81581</v>
      </c>
      <c r="E70" s="1">
        <v>10</v>
      </c>
      <c r="F70" s="1">
        <v>2</v>
      </c>
      <c r="G70" s="1">
        <v>0</v>
      </c>
      <c r="H70" s="1">
        <v>4</v>
      </c>
      <c r="I70" s="1">
        <v>0</v>
      </c>
      <c r="J70" s="1">
        <v>238</v>
      </c>
      <c r="K70" s="1">
        <v>12</v>
      </c>
      <c r="L70" s="1">
        <v>0</v>
      </c>
      <c r="M70" s="1">
        <v>0</v>
      </c>
      <c r="N70" s="1">
        <v>38</v>
      </c>
      <c r="O70" s="1">
        <v>115</v>
      </c>
      <c r="P70" s="1">
        <v>193</v>
      </c>
      <c r="Q70" s="1">
        <v>34</v>
      </c>
      <c r="R70" s="1">
        <v>134</v>
      </c>
      <c r="S70" s="1">
        <v>0</v>
      </c>
      <c r="T70" s="1">
        <v>0</v>
      </c>
      <c r="U70" s="1">
        <v>0</v>
      </c>
      <c r="V70" s="1">
        <v>11</v>
      </c>
      <c r="W70" s="1">
        <v>0</v>
      </c>
      <c r="X70" s="1">
        <v>1</v>
      </c>
      <c r="Y70" s="1">
        <v>0</v>
      </c>
      <c r="Z70" s="1">
        <v>0</v>
      </c>
      <c r="AA70" s="1">
        <v>44</v>
      </c>
      <c r="AB70" s="1">
        <v>13</v>
      </c>
      <c r="AC70" s="1">
        <v>39</v>
      </c>
      <c r="AD70" s="1">
        <v>0</v>
      </c>
      <c r="AE70" s="1">
        <v>22072</v>
      </c>
      <c r="AF70" s="1">
        <v>1231</v>
      </c>
      <c r="AG70" s="1">
        <v>622</v>
      </c>
      <c r="AH70" s="1">
        <v>264</v>
      </c>
      <c r="AI70" s="1">
        <v>5924</v>
      </c>
      <c r="AJ70" s="1">
        <v>3</v>
      </c>
      <c r="AK70" s="1">
        <v>0</v>
      </c>
      <c r="AL70" s="1">
        <v>2639</v>
      </c>
      <c r="AM70" s="1">
        <v>1978</v>
      </c>
      <c r="AN70" s="1">
        <v>590</v>
      </c>
      <c r="AO70" s="1">
        <v>163</v>
      </c>
      <c r="AP70" s="1">
        <v>971</v>
      </c>
      <c r="AQ70" s="1">
        <v>579</v>
      </c>
      <c r="AR70" s="1">
        <v>257</v>
      </c>
      <c r="AS70" s="1">
        <v>238</v>
      </c>
      <c r="AT70" s="1">
        <v>153</v>
      </c>
      <c r="AU70" s="1">
        <v>1630</v>
      </c>
      <c r="AV70" s="1">
        <v>1279</v>
      </c>
      <c r="AW70" s="1">
        <v>3123</v>
      </c>
      <c r="AX70" s="1">
        <v>102</v>
      </c>
      <c r="AY70" s="1">
        <v>0</v>
      </c>
      <c r="AZ70" s="1">
        <v>0</v>
      </c>
      <c r="BA70" s="1">
        <v>817</v>
      </c>
      <c r="BB70" s="1">
        <v>2777</v>
      </c>
      <c r="BC70" s="1">
        <v>282</v>
      </c>
      <c r="BD70" s="1">
        <v>549</v>
      </c>
      <c r="BE70" s="1">
        <v>2236</v>
      </c>
      <c r="BF70" s="1">
        <v>243</v>
      </c>
      <c r="BG70" s="1">
        <v>1203</v>
      </c>
      <c r="BH70" s="1">
        <v>161</v>
      </c>
      <c r="BI70" s="1">
        <v>523</v>
      </c>
      <c r="BJ70" s="1">
        <v>1566</v>
      </c>
      <c r="BK70" s="1">
        <v>3957</v>
      </c>
      <c r="BL70" s="1">
        <v>329</v>
      </c>
      <c r="BM70" s="1">
        <v>570</v>
      </c>
      <c r="BN70" s="1">
        <v>212</v>
      </c>
      <c r="BO70" s="1">
        <v>172</v>
      </c>
      <c r="BP70" s="1">
        <v>817</v>
      </c>
      <c r="BQ70" s="1">
        <v>9889</v>
      </c>
      <c r="BR70" s="1">
        <v>599</v>
      </c>
      <c r="BS70" s="1">
        <v>1</v>
      </c>
      <c r="BT70" s="1">
        <v>149</v>
      </c>
      <c r="BU70" s="1">
        <v>93</v>
      </c>
      <c r="BV70" s="1">
        <v>2931</v>
      </c>
      <c r="BW70" s="1">
        <v>150</v>
      </c>
      <c r="BX70" s="1">
        <v>74932</v>
      </c>
      <c r="BY70" s="9">
        <v>6649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538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</row>
    <row r="71" spans="1:95" x14ac:dyDescent="0.25">
      <c r="A71" t="s">
        <v>70</v>
      </c>
      <c r="B71" t="s">
        <v>163</v>
      </c>
      <c r="C71">
        <f t="shared" si="2"/>
        <v>0</v>
      </c>
      <c r="D71" s="10">
        <f t="shared" si="3"/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9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2550362</v>
      </c>
      <c r="CO71" s="1">
        <v>0</v>
      </c>
      <c r="CP71" s="1">
        <v>0</v>
      </c>
      <c r="CQ71" s="1">
        <v>0</v>
      </c>
    </row>
    <row r="72" spans="1:95" x14ac:dyDescent="0.25">
      <c r="A72" t="s">
        <v>71</v>
      </c>
      <c r="B72" t="s">
        <v>164</v>
      </c>
      <c r="C72">
        <f t="shared" si="2"/>
        <v>0.68790853861731305</v>
      </c>
      <c r="D72" s="10">
        <f t="shared" si="3"/>
        <v>156044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732</v>
      </c>
      <c r="K72" s="1">
        <v>0</v>
      </c>
      <c r="L72" s="1">
        <v>83</v>
      </c>
      <c r="M72" s="1">
        <v>224</v>
      </c>
      <c r="N72" s="1">
        <v>257</v>
      </c>
      <c r="O72" s="1">
        <v>294</v>
      </c>
      <c r="P72" s="1">
        <v>204</v>
      </c>
      <c r="Q72" s="1">
        <v>51</v>
      </c>
      <c r="R72" s="1">
        <v>66</v>
      </c>
      <c r="S72" s="1">
        <v>162</v>
      </c>
      <c r="T72" s="1">
        <v>119</v>
      </c>
      <c r="U72" s="1">
        <v>54</v>
      </c>
      <c r="V72" s="1">
        <v>85</v>
      </c>
      <c r="W72" s="1">
        <v>1267</v>
      </c>
      <c r="X72" s="1">
        <v>45</v>
      </c>
      <c r="Y72" s="1">
        <v>1</v>
      </c>
      <c r="Z72" s="1">
        <v>254</v>
      </c>
      <c r="AA72" s="1">
        <v>68</v>
      </c>
      <c r="AB72" s="1">
        <v>121</v>
      </c>
      <c r="AC72" s="1">
        <v>1254</v>
      </c>
      <c r="AD72" s="1">
        <v>211</v>
      </c>
      <c r="AE72" s="1">
        <v>1760</v>
      </c>
      <c r="AF72" s="1">
        <v>694</v>
      </c>
      <c r="AG72" s="1">
        <v>302</v>
      </c>
      <c r="AH72" s="1">
        <v>125</v>
      </c>
      <c r="AI72" s="1">
        <v>857</v>
      </c>
      <c r="AJ72" s="1">
        <v>6</v>
      </c>
      <c r="AK72" s="1">
        <v>0</v>
      </c>
      <c r="AL72" s="1">
        <v>0</v>
      </c>
      <c r="AM72" s="1">
        <v>422</v>
      </c>
      <c r="AN72" s="1">
        <v>10</v>
      </c>
      <c r="AO72" s="1">
        <v>136</v>
      </c>
      <c r="AP72" s="1">
        <v>78</v>
      </c>
      <c r="AQ72" s="1">
        <v>176</v>
      </c>
      <c r="AR72" s="1">
        <v>73</v>
      </c>
      <c r="AS72" s="1">
        <v>78</v>
      </c>
      <c r="AT72" s="1">
        <v>100</v>
      </c>
      <c r="AU72" s="1">
        <v>190</v>
      </c>
      <c r="AV72" s="1">
        <v>586</v>
      </c>
      <c r="AW72" s="1">
        <v>351</v>
      </c>
      <c r="AX72" s="1">
        <v>83</v>
      </c>
      <c r="AY72" s="1">
        <v>0</v>
      </c>
      <c r="AZ72" s="1">
        <v>0</v>
      </c>
      <c r="BA72" s="1">
        <v>4269</v>
      </c>
      <c r="BB72" s="1">
        <v>2556</v>
      </c>
      <c r="BC72" s="1">
        <v>536</v>
      </c>
      <c r="BD72" s="1">
        <v>305</v>
      </c>
      <c r="BE72" s="1">
        <v>1456</v>
      </c>
      <c r="BF72" s="1">
        <v>527</v>
      </c>
      <c r="BG72" s="1">
        <v>1882</v>
      </c>
      <c r="BH72" s="1">
        <v>1205</v>
      </c>
      <c r="BI72" s="1">
        <v>272</v>
      </c>
      <c r="BJ72" s="1">
        <v>1172</v>
      </c>
      <c r="BK72" s="1">
        <v>1171</v>
      </c>
      <c r="BL72" s="1">
        <v>707</v>
      </c>
      <c r="BM72" s="1">
        <v>319</v>
      </c>
      <c r="BN72" s="1">
        <v>185</v>
      </c>
      <c r="BO72" s="1">
        <v>374</v>
      </c>
      <c r="BP72" s="1">
        <v>910</v>
      </c>
      <c r="BQ72" s="1">
        <v>2203</v>
      </c>
      <c r="BR72" s="1">
        <v>1617</v>
      </c>
      <c r="BS72" s="1">
        <v>1920</v>
      </c>
      <c r="BT72" s="1">
        <v>641</v>
      </c>
      <c r="BU72" s="1">
        <v>198</v>
      </c>
      <c r="BV72" s="1">
        <v>9506</v>
      </c>
      <c r="BW72" s="1">
        <v>3193</v>
      </c>
      <c r="BX72" s="1">
        <v>48700</v>
      </c>
      <c r="BY72" s="9">
        <v>107344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</row>
    <row r="73" spans="1:95" x14ac:dyDescent="0.25">
      <c r="A73" t="s">
        <v>166</v>
      </c>
      <c r="B73" t="s">
        <v>167</v>
      </c>
      <c r="C73">
        <f t="shared" si="2"/>
        <v>0.67316786173929033</v>
      </c>
      <c r="D73" s="10">
        <f t="shared" si="3"/>
        <v>407925</v>
      </c>
      <c r="E73" s="1">
        <v>-18</v>
      </c>
      <c r="F73" s="1">
        <v>245</v>
      </c>
      <c r="G73" s="1">
        <v>0</v>
      </c>
      <c r="H73" s="1">
        <v>0</v>
      </c>
      <c r="I73" s="1">
        <v>1502</v>
      </c>
      <c r="J73" s="1">
        <v>9134</v>
      </c>
      <c r="K73" s="1">
        <v>3958</v>
      </c>
      <c r="L73" s="1">
        <v>0</v>
      </c>
      <c r="M73" s="1">
        <v>242</v>
      </c>
      <c r="N73" s="1">
        <v>49361</v>
      </c>
      <c r="O73" s="1">
        <v>711</v>
      </c>
      <c r="P73" s="1">
        <v>7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41</v>
      </c>
      <c r="Y73" s="1">
        <v>0</v>
      </c>
      <c r="Z73" s="1">
        <v>3727</v>
      </c>
      <c r="AA73" s="1">
        <v>0</v>
      </c>
      <c r="AB73" s="1">
        <v>0</v>
      </c>
      <c r="AC73" s="1">
        <v>86</v>
      </c>
      <c r="AD73" s="1">
        <v>100</v>
      </c>
      <c r="AE73" s="1">
        <v>0</v>
      </c>
      <c r="AF73" s="1">
        <v>43</v>
      </c>
      <c r="AG73" s="1">
        <v>0</v>
      </c>
      <c r="AH73" s="1">
        <v>0</v>
      </c>
      <c r="AI73" s="1">
        <v>292</v>
      </c>
      <c r="AJ73" s="1">
        <v>-90</v>
      </c>
      <c r="AK73" s="1">
        <v>0</v>
      </c>
      <c r="AL73" s="1">
        <v>-183</v>
      </c>
      <c r="AM73" s="1">
        <v>1118</v>
      </c>
      <c r="AN73" s="1">
        <v>10</v>
      </c>
      <c r="AO73" s="1">
        <v>100</v>
      </c>
      <c r="AP73" s="1">
        <v>4837</v>
      </c>
      <c r="AQ73" s="1">
        <v>0</v>
      </c>
      <c r="AR73" s="1">
        <v>0</v>
      </c>
      <c r="AS73" s="1">
        <v>1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39</v>
      </c>
      <c r="BC73" s="1">
        <v>0</v>
      </c>
      <c r="BD73" s="1">
        <v>0</v>
      </c>
      <c r="BE73" s="1">
        <v>0</v>
      </c>
      <c r="BF73" s="1">
        <v>86</v>
      </c>
      <c r="BG73" s="1">
        <v>0</v>
      </c>
      <c r="BH73" s="1">
        <v>0</v>
      </c>
      <c r="BI73" s="1">
        <v>1673</v>
      </c>
      <c r="BJ73" s="1">
        <v>0</v>
      </c>
      <c r="BK73" s="1">
        <v>0</v>
      </c>
      <c r="BL73" s="1">
        <v>0</v>
      </c>
      <c r="BM73" s="1">
        <v>0</v>
      </c>
      <c r="BN73" s="1">
        <v>-155</v>
      </c>
      <c r="BO73" s="1">
        <v>465</v>
      </c>
      <c r="BP73" s="1">
        <v>0</v>
      </c>
      <c r="BQ73" s="1">
        <v>0</v>
      </c>
      <c r="BR73" s="1">
        <v>56048</v>
      </c>
      <c r="BS73" s="1">
        <v>-60</v>
      </c>
      <c r="BT73" s="1">
        <v>0</v>
      </c>
      <c r="BU73" s="1">
        <v>0</v>
      </c>
      <c r="BV73" s="1">
        <v>0</v>
      </c>
      <c r="BW73" s="1">
        <v>0</v>
      </c>
      <c r="BX73" s="1">
        <v>133323</v>
      </c>
      <c r="BY73" s="9">
        <v>274602</v>
      </c>
      <c r="BZ73" s="1">
        <v>-3668</v>
      </c>
      <c r="CA73" s="1">
        <v>-139289</v>
      </c>
      <c r="CB73" s="1">
        <v>0</v>
      </c>
      <c r="CC73" s="1">
        <v>-588</v>
      </c>
      <c r="CD73" s="1">
        <v>9992</v>
      </c>
      <c r="CE73" s="1">
        <v>50907</v>
      </c>
      <c r="CF73" s="1">
        <v>0</v>
      </c>
      <c r="CG73" s="1">
        <v>-4</v>
      </c>
      <c r="CH73" s="1">
        <v>0</v>
      </c>
      <c r="CI73" s="1">
        <v>0</v>
      </c>
      <c r="CJ73" s="1">
        <v>0</v>
      </c>
      <c r="CK73" s="1">
        <v>-1048</v>
      </c>
      <c r="CL73" s="1">
        <v>39</v>
      </c>
      <c r="CM73" s="1">
        <v>0</v>
      </c>
      <c r="CN73" s="1">
        <v>0</v>
      </c>
      <c r="CO73" s="1">
        <v>5892</v>
      </c>
      <c r="CP73" s="1">
        <v>-22969</v>
      </c>
      <c r="CQ73" s="1">
        <v>0</v>
      </c>
    </row>
    <row r="74" spans="1:95" x14ac:dyDescent="0.25">
      <c r="A74" t="s">
        <v>168</v>
      </c>
      <c r="B74" t="s">
        <v>169</v>
      </c>
      <c r="C74">
        <f t="shared" si="2"/>
        <v>-0.26535070037455927</v>
      </c>
      <c r="D74" s="10">
        <f t="shared" si="3"/>
        <v>136427</v>
      </c>
      <c r="E74" s="1">
        <v>1088</v>
      </c>
      <c r="F74" s="1">
        <v>31</v>
      </c>
      <c r="G74" s="1">
        <v>1073</v>
      </c>
      <c r="H74" s="1">
        <v>14</v>
      </c>
      <c r="I74" s="1">
        <v>214</v>
      </c>
      <c r="J74" s="1">
        <v>1071</v>
      </c>
      <c r="K74" s="1">
        <v>2926</v>
      </c>
      <c r="L74" s="1">
        <v>348</v>
      </c>
      <c r="M74" s="1">
        <v>357</v>
      </c>
      <c r="N74" s="1">
        <v>796</v>
      </c>
      <c r="O74" s="1">
        <v>760</v>
      </c>
      <c r="P74" s="1">
        <v>1072</v>
      </c>
      <c r="Q74" s="1">
        <v>2820</v>
      </c>
      <c r="R74" s="1">
        <v>424</v>
      </c>
      <c r="S74" s="1">
        <v>2062</v>
      </c>
      <c r="T74" s="1">
        <v>398</v>
      </c>
      <c r="U74" s="1">
        <v>125</v>
      </c>
      <c r="V74" s="1">
        <v>295</v>
      </c>
      <c r="W74" s="1">
        <v>2431</v>
      </c>
      <c r="X74" s="1">
        <v>82</v>
      </c>
      <c r="Y74" s="1">
        <v>21</v>
      </c>
      <c r="Z74" s="1">
        <v>709</v>
      </c>
      <c r="AA74" s="1">
        <v>243</v>
      </c>
      <c r="AB74" s="1">
        <v>1801</v>
      </c>
      <c r="AC74" s="1">
        <v>1711</v>
      </c>
      <c r="AD74" s="1">
        <v>707</v>
      </c>
      <c r="AE74" s="1">
        <v>8994</v>
      </c>
      <c r="AF74" s="1">
        <v>126</v>
      </c>
      <c r="AG74" s="1">
        <v>516</v>
      </c>
      <c r="AH74" s="1">
        <v>755</v>
      </c>
      <c r="AI74" s="1">
        <v>3722</v>
      </c>
      <c r="AJ74" s="1">
        <v>24306</v>
      </c>
      <c r="AK74" s="1">
        <v>98</v>
      </c>
      <c r="AL74" s="1">
        <v>2195</v>
      </c>
      <c r="AM74" s="1">
        <v>849</v>
      </c>
      <c r="AN74" s="1">
        <v>24</v>
      </c>
      <c r="AO74" s="1">
        <v>161</v>
      </c>
      <c r="AP74" s="1">
        <v>755</v>
      </c>
      <c r="AQ74" s="1">
        <v>108</v>
      </c>
      <c r="AR74" s="1">
        <v>778</v>
      </c>
      <c r="AS74" s="1">
        <v>366</v>
      </c>
      <c r="AT74" s="1">
        <v>5455</v>
      </c>
      <c r="AU74" s="1">
        <v>989</v>
      </c>
      <c r="AV74" s="1">
        <v>3193</v>
      </c>
      <c r="AW74" s="1">
        <v>56709</v>
      </c>
      <c r="AX74" s="1">
        <v>2272</v>
      </c>
      <c r="AY74" s="1">
        <v>144</v>
      </c>
      <c r="AZ74" s="1">
        <v>21</v>
      </c>
      <c r="BA74" s="1">
        <v>786</v>
      </c>
      <c r="BB74" s="1">
        <v>3485</v>
      </c>
      <c r="BC74" s="1">
        <v>141</v>
      </c>
      <c r="BD74" s="1">
        <v>2672</v>
      </c>
      <c r="BE74" s="1">
        <v>3653</v>
      </c>
      <c r="BF74" s="1">
        <v>2185</v>
      </c>
      <c r="BG74" s="1">
        <v>1536</v>
      </c>
      <c r="BH74" s="1">
        <v>89</v>
      </c>
      <c r="BI74" s="1">
        <v>476</v>
      </c>
      <c r="BJ74" s="1">
        <v>0</v>
      </c>
      <c r="BK74" s="1">
        <v>0</v>
      </c>
      <c r="BL74" s="1">
        <v>499</v>
      </c>
      <c r="BM74" s="1">
        <v>0</v>
      </c>
      <c r="BN74" s="1">
        <v>530</v>
      </c>
      <c r="BO74" s="1">
        <v>550</v>
      </c>
      <c r="BP74" s="1">
        <v>968</v>
      </c>
      <c r="BQ74" s="1">
        <v>3873</v>
      </c>
      <c r="BR74" s="1">
        <v>4015</v>
      </c>
      <c r="BS74" s="1">
        <v>9347</v>
      </c>
      <c r="BT74" s="1">
        <v>1708</v>
      </c>
      <c r="BU74" s="1">
        <v>4</v>
      </c>
      <c r="BV74" s="1">
        <v>0</v>
      </c>
      <c r="BW74" s="1">
        <v>0</v>
      </c>
      <c r="BX74" s="1">
        <v>172628</v>
      </c>
      <c r="BY74" s="9">
        <v>-36201</v>
      </c>
      <c r="BZ74" s="1">
        <v>0</v>
      </c>
      <c r="CA74" s="1">
        <v>0</v>
      </c>
      <c r="CB74" s="1">
        <v>15403</v>
      </c>
      <c r="CC74" s="1">
        <v>0</v>
      </c>
      <c r="CD74" s="1">
        <v>0</v>
      </c>
      <c r="CE74" s="1">
        <v>223557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</row>
    <row r="75" spans="1:95" x14ac:dyDescent="0.25">
      <c r="A75" t="s">
        <v>170</v>
      </c>
      <c r="B75" t="s">
        <v>165</v>
      </c>
      <c r="C75">
        <f t="shared" si="2"/>
        <v>0.48134087630466821</v>
      </c>
      <c r="D75" s="10">
        <f t="shared" si="3"/>
        <v>41334551</v>
      </c>
      <c r="E75" s="1">
        <v>349875</v>
      </c>
      <c r="F75" s="1">
        <v>14283</v>
      </c>
      <c r="G75" s="1">
        <v>203385</v>
      </c>
      <c r="H75" s="1">
        <v>59052</v>
      </c>
      <c r="I75" s="1">
        <v>39720</v>
      </c>
      <c r="J75" s="1">
        <v>188914</v>
      </c>
      <c r="K75" s="1">
        <v>1206105</v>
      </c>
      <c r="L75" s="1">
        <v>113984</v>
      </c>
      <c r="M75" s="1">
        <v>97773</v>
      </c>
      <c r="N75" s="1">
        <v>225585</v>
      </c>
      <c r="O75" s="1">
        <v>269962</v>
      </c>
      <c r="P75" s="1">
        <v>228106</v>
      </c>
      <c r="Q75" s="1">
        <v>112808</v>
      </c>
      <c r="R75" s="1">
        <v>112524</v>
      </c>
      <c r="S75" s="1">
        <v>585113</v>
      </c>
      <c r="T75" s="1">
        <v>179811</v>
      </c>
      <c r="U75" s="1">
        <v>50161</v>
      </c>
      <c r="V75" s="1">
        <v>64278</v>
      </c>
      <c r="W75" s="1">
        <v>892698</v>
      </c>
      <c r="X75" s="1">
        <v>30510</v>
      </c>
      <c r="Y75" s="1">
        <v>9428</v>
      </c>
      <c r="Z75" s="1">
        <v>144401</v>
      </c>
      <c r="AA75" s="1">
        <v>43111</v>
      </c>
      <c r="AB75" s="1">
        <v>454919</v>
      </c>
      <c r="AC75" s="1">
        <v>441803</v>
      </c>
      <c r="AD75" s="1">
        <v>196906</v>
      </c>
      <c r="AE75" s="1">
        <v>1233216</v>
      </c>
      <c r="AF75" s="1">
        <v>194953</v>
      </c>
      <c r="AG75" s="1">
        <v>114731</v>
      </c>
      <c r="AH75" s="1">
        <v>84380</v>
      </c>
      <c r="AI75" s="1">
        <v>590901</v>
      </c>
      <c r="AJ75" s="1">
        <v>153564</v>
      </c>
      <c r="AK75" s="1">
        <v>39290</v>
      </c>
      <c r="AL75" s="1">
        <v>53224</v>
      </c>
      <c r="AM75" s="1">
        <v>269591</v>
      </c>
      <c r="AN75" s="1">
        <v>94363</v>
      </c>
      <c r="AO75" s="1">
        <v>24710</v>
      </c>
      <c r="AP75" s="1">
        <v>138679</v>
      </c>
      <c r="AQ75" s="1">
        <v>60471</v>
      </c>
      <c r="AR75" s="1">
        <v>208911</v>
      </c>
      <c r="AS75" s="1">
        <v>87599</v>
      </c>
      <c r="AT75" s="1">
        <v>437018</v>
      </c>
      <c r="AU75" s="1">
        <v>360997</v>
      </c>
      <c r="AV75" s="1">
        <v>410610</v>
      </c>
      <c r="AW75" s="1">
        <v>536574</v>
      </c>
      <c r="AX75" s="1">
        <v>744193</v>
      </c>
      <c r="AY75" s="1">
        <v>236757</v>
      </c>
      <c r="AZ75" s="1">
        <v>309747</v>
      </c>
      <c r="BA75" s="1">
        <v>1216705</v>
      </c>
      <c r="BB75" s="1">
        <v>302174</v>
      </c>
      <c r="BC75" s="1">
        <v>95166</v>
      </c>
      <c r="BD75" s="1">
        <v>211991</v>
      </c>
      <c r="BE75" s="1">
        <v>827271</v>
      </c>
      <c r="BF75" s="1">
        <v>313630</v>
      </c>
      <c r="BG75" s="1">
        <v>514502</v>
      </c>
      <c r="BH75" s="1">
        <v>88937</v>
      </c>
      <c r="BI75" s="1">
        <v>160971</v>
      </c>
      <c r="BJ75" s="1">
        <v>546997</v>
      </c>
      <c r="BK75" s="1">
        <v>569312</v>
      </c>
      <c r="BL75" s="1">
        <v>134703</v>
      </c>
      <c r="BM75" s="1">
        <v>127799</v>
      </c>
      <c r="BN75" s="1">
        <v>128841</v>
      </c>
      <c r="BO75" s="1">
        <v>115215</v>
      </c>
      <c r="BP75" s="1">
        <v>127151</v>
      </c>
      <c r="BQ75" s="1">
        <v>658864</v>
      </c>
      <c r="BR75" s="1">
        <v>467463</v>
      </c>
      <c r="BS75" s="1">
        <v>342461</v>
      </c>
      <c r="BT75" s="1">
        <v>192235</v>
      </c>
      <c r="BU75" s="1">
        <v>32600</v>
      </c>
      <c r="BV75" s="1">
        <v>1223743</v>
      </c>
      <c r="BW75" s="1">
        <v>340116</v>
      </c>
      <c r="BX75" s="1">
        <v>21438542</v>
      </c>
      <c r="BY75" s="9">
        <v>19896009</v>
      </c>
      <c r="BZ75" s="1">
        <v>934799</v>
      </c>
      <c r="CA75" s="1">
        <v>1484254</v>
      </c>
      <c r="CB75" s="1">
        <v>1603882</v>
      </c>
      <c r="CC75" s="1">
        <v>1182839</v>
      </c>
      <c r="CD75" s="1">
        <v>53546</v>
      </c>
      <c r="CE75" s="1">
        <v>2783078</v>
      </c>
      <c r="CF75" s="1">
        <v>854761</v>
      </c>
      <c r="CG75" s="1">
        <v>17088</v>
      </c>
      <c r="CH75" s="1">
        <v>108580</v>
      </c>
      <c r="CI75" s="1">
        <v>102292</v>
      </c>
      <c r="CJ75" s="1">
        <v>586717</v>
      </c>
      <c r="CK75" s="1">
        <v>19187</v>
      </c>
      <c r="CL75" s="1">
        <v>25177</v>
      </c>
      <c r="CM75" s="1">
        <v>178599</v>
      </c>
      <c r="CN75" s="1">
        <v>2550362</v>
      </c>
      <c r="CO75" s="1">
        <v>463918</v>
      </c>
      <c r="CP75" s="1">
        <v>60527</v>
      </c>
      <c r="CQ75" s="1">
        <v>73936</v>
      </c>
    </row>
    <row r="76" spans="1:95" x14ac:dyDescent="0.25">
      <c r="A76" t="s">
        <v>171</v>
      </c>
      <c r="B76" t="s">
        <v>172</v>
      </c>
      <c r="C76">
        <f t="shared" si="2"/>
        <v>0</v>
      </c>
      <c r="D76" s="10">
        <f t="shared" si="3"/>
        <v>15049121</v>
      </c>
      <c r="E76" s="1">
        <v>44527</v>
      </c>
      <c r="F76" s="1">
        <v>35555</v>
      </c>
      <c r="G76" s="1">
        <v>31824</v>
      </c>
      <c r="H76" s="1">
        <v>23658</v>
      </c>
      <c r="I76" s="1">
        <v>36984</v>
      </c>
      <c r="J76" s="1">
        <v>103431</v>
      </c>
      <c r="K76" s="1">
        <v>799308</v>
      </c>
      <c r="L76" s="1">
        <v>32297</v>
      </c>
      <c r="M76" s="1">
        <v>38942</v>
      </c>
      <c r="N76" s="1">
        <v>41277</v>
      </c>
      <c r="O76" s="1">
        <v>128099</v>
      </c>
      <c r="P76" s="1">
        <v>120012</v>
      </c>
      <c r="Q76" s="1">
        <v>187376</v>
      </c>
      <c r="R76" s="1">
        <v>47290</v>
      </c>
      <c r="S76" s="1">
        <v>96593</v>
      </c>
      <c r="T76" s="1">
        <v>106326</v>
      </c>
      <c r="U76" s="1">
        <v>25178</v>
      </c>
      <c r="V76" s="1">
        <v>69647</v>
      </c>
      <c r="W76" s="1">
        <v>160356</v>
      </c>
      <c r="X76" s="1">
        <v>12641</v>
      </c>
      <c r="Y76" s="1">
        <v>7740</v>
      </c>
      <c r="Z76" s="1">
        <v>36515</v>
      </c>
      <c r="AA76" s="1">
        <v>26845</v>
      </c>
      <c r="AB76" s="1">
        <v>22688</v>
      </c>
      <c r="AC76" s="1">
        <v>136974</v>
      </c>
      <c r="AD76" s="1">
        <v>62338</v>
      </c>
      <c r="AE76" s="1">
        <v>733047</v>
      </c>
      <c r="AF76" s="1">
        <v>172609</v>
      </c>
      <c r="AG76" s="1">
        <v>138881</v>
      </c>
      <c r="AH76" s="1">
        <v>126489</v>
      </c>
      <c r="AI76" s="1">
        <v>408112</v>
      </c>
      <c r="AJ76" s="1">
        <v>88114</v>
      </c>
      <c r="AK76" s="1">
        <v>26365</v>
      </c>
      <c r="AL76" s="1">
        <v>9882</v>
      </c>
      <c r="AM76" s="1">
        <v>135191</v>
      </c>
      <c r="AN76" s="1">
        <v>37736</v>
      </c>
      <c r="AO76" s="1">
        <v>10719</v>
      </c>
      <c r="AP76" s="1">
        <v>147652</v>
      </c>
      <c r="AQ76" s="1">
        <v>121581</v>
      </c>
      <c r="AR76" s="1">
        <v>184170</v>
      </c>
      <c r="AS76" s="1">
        <v>42580</v>
      </c>
      <c r="AT76" s="1">
        <v>129892</v>
      </c>
      <c r="AU76" s="1">
        <v>236515</v>
      </c>
      <c r="AV76" s="1">
        <v>354009</v>
      </c>
      <c r="AW76" s="1">
        <v>364518</v>
      </c>
      <c r="AX76" s="1">
        <v>390088</v>
      </c>
      <c r="AY76" s="1">
        <v>6758</v>
      </c>
      <c r="AZ76" s="1">
        <v>28487</v>
      </c>
      <c r="BA76" s="1">
        <v>143587</v>
      </c>
      <c r="BB76" s="1">
        <v>51506</v>
      </c>
      <c r="BC76" s="1">
        <v>188351</v>
      </c>
      <c r="BD76" s="1">
        <v>445176</v>
      </c>
      <c r="BE76" s="1">
        <v>972752</v>
      </c>
      <c r="BF76" s="1">
        <v>482843</v>
      </c>
      <c r="BG76" s="1">
        <v>587967</v>
      </c>
      <c r="BH76" s="1">
        <v>49486</v>
      </c>
      <c r="BI76" s="1">
        <v>268002</v>
      </c>
      <c r="BJ76" s="1">
        <v>816417</v>
      </c>
      <c r="BK76" s="1">
        <v>561566</v>
      </c>
      <c r="BL76" s="1">
        <v>188682</v>
      </c>
      <c r="BM76" s="1">
        <v>204772</v>
      </c>
      <c r="BN76" s="1">
        <v>88859</v>
      </c>
      <c r="BO76" s="1">
        <v>81316</v>
      </c>
      <c r="BP76" s="1">
        <v>108160</v>
      </c>
      <c r="BQ76" s="1">
        <v>458750</v>
      </c>
      <c r="BR76" s="1">
        <v>437654</v>
      </c>
      <c r="BS76" s="1">
        <v>339732</v>
      </c>
      <c r="BT76" s="1">
        <v>267716</v>
      </c>
      <c r="BU76" s="1">
        <v>72723</v>
      </c>
      <c r="BV76" s="1">
        <v>1760774</v>
      </c>
      <c r="BW76" s="1">
        <v>144514</v>
      </c>
      <c r="BX76" s="1">
        <v>15049121</v>
      </c>
      <c r="BY76" s="9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</row>
    <row r="77" spans="1:95" x14ac:dyDescent="0.25">
      <c r="A77" t="s">
        <v>173</v>
      </c>
      <c r="B77" t="s">
        <v>174</v>
      </c>
      <c r="C77">
        <f t="shared" si="2"/>
        <v>0</v>
      </c>
      <c r="D77" s="10">
        <f t="shared" si="3"/>
        <v>855001</v>
      </c>
      <c r="E77" s="1">
        <v>12584</v>
      </c>
      <c r="F77" s="1">
        <v>1672</v>
      </c>
      <c r="G77" s="1">
        <v>31940</v>
      </c>
      <c r="H77" s="1">
        <v>3846</v>
      </c>
      <c r="I77" s="1">
        <v>2646</v>
      </c>
      <c r="J77" s="1">
        <v>45724</v>
      </c>
      <c r="K77" s="1">
        <v>11897</v>
      </c>
      <c r="L77" s="1">
        <v>929</v>
      </c>
      <c r="M77" s="1">
        <v>2008</v>
      </c>
      <c r="N77" s="1">
        <v>3345</v>
      </c>
      <c r="O77" s="1">
        <v>4023</v>
      </c>
      <c r="P77" s="1">
        <v>4827</v>
      </c>
      <c r="Q77" s="1">
        <v>11201</v>
      </c>
      <c r="R77" s="1">
        <v>1563</v>
      </c>
      <c r="S77" s="1">
        <v>4879</v>
      </c>
      <c r="T77" s="1">
        <v>3926</v>
      </c>
      <c r="U77" s="1">
        <v>527</v>
      </c>
      <c r="V77" s="1">
        <v>2208</v>
      </c>
      <c r="W77" s="1">
        <v>9189</v>
      </c>
      <c r="X77" s="1">
        <v>811</v>
      </c>
      <c r="Y77" s="1">
        <v>383</v>
      </c>
      <c r="Z77" s="1">
        <v>2357</v>
      </c>
      <c r="AA77" s="1">
        <v>992</v>
      </c>
      <c r="AB77" s="1">
        <v>4900</v>
      </c>
      <c r="AC77" s="1">
        <v>19474</v>
      </c>
      <c r="AD77" s="1">
        <v>2222</v>
      </c>
      <c r="AE77" s="1">
        <v>18303</v>
      </c>
      <c r="AF77" s="1">
        <v>4384</v>
      </c>
      <c r="AG77" s="1">
        <v>4547</v>
      </c>
      <c r="AH77" s="1">
        <v>3516</v>
      </c>
      <c r="AI77" s="1">
        <v>18768</v>
      </c>
      <c r="AJ77" s="1">
        <v>5068</v>
      </c>
      <c r="AK77" s="1">
        <v>1686</v>
      </c>
      <c r="AL77" s="1">
        <v>1164</v>
      </c>
      <c r="AM77" s="1">
        <v>5730</v>
      </c>
      <c r="AN77" s="1">
        <v>1348</v>
      </c>
      <c r="AO77" s="1">
        <v>4832</v>
      </c>
      <c r="AP77" s="1">
        <v>3208</v>
      </c>
      <c r="AQ77" s="1">
        <v>1136</v>
      </c>
      <c r="AR77" s="1">
        <v>6916</v>
      </c>
      <c r="AS77" s="1">
        <v>5069</v>
      </c>
      <c r="AT77" s="1">
        <v>4070</v>
      </c>
      <c r="AU77" s="1">
        <v>5653</v>
      </c>
      <c r="AV77" s="1">
        <v>22805</v>
      </c>
      <c r="AW77" s="1">
        <v>6553</v>
      </c>
      <c r="AX77" s="1">
        <v>9028</v>
      </c>
      <c r="AY77" s="1">
        <v>720</v>
      </c>
      <c r="AZ77" s="1">
        <v>356011</v>
      </c>
      <c r="BA77" s="1">
        <v>40183</v>
      </c>
      <c r="BB77" s="1">
        <v>11487</v>
      </c>
      <c r="BC77" s="1">
        <v>1850</v>
      </c>
      <c r="BD77" s="1">
        <v>3024</v>
      </c>
      <c r="BE77" s="1">
        <v>13924</v>
      </c>
      <c r="BF77" s="1">
        <v>10768</v>
      </c>
      <c r="BG77" s="1">
        <v>6080</v>
      </c>
      <c r="BH77" s="1">
        <v>2654</v>
      </c>
      <c r="BI77" s="1">
        <v>11998</v>
      </c>
      <c r="BJ77" s="1">
        <v>11313</v>
      </c>
      <c r="BK77" s="1">
        <v>16639</v>
      </c>
      <c r="BL77" s="1">
        <v>4937</v>
      </c>
      <c r="BM77" s="1">
        <v>1724</v>
      </c>
      <c r="BN77" s="1">
        <v>3765</v>
      </c>
      <c r="BO77" s="1">
        <v>4989</v>
      </c>
      <c r="BP77" s="1">
        <v>8454</v>
      </c>
      <c r="BQ77" s="1">
        <v>6087</v>
      </c>
      <c r="BR77" s="1">
        <v>14535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855001</v>
      </c>
      <c r="BY77" s="9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</row>
    <row r="78" spans="1:95" x14ac:dyDescent="0.25">
      <c r="A78" t="s">
        <v>175</v>
      </c>
      <c r="B78" t="s">
        <v>176</v>
      </c>
      <c r="C78">
        <f t="shared" si="2"/>
        <v>0</v>
      </c>
      <c r="D78" s="10">
        <f t="shared" si="3"/>
        <v>4883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-2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146</v>
      </c>
      <c r="AW78" s="1">
        <v>1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3</v>
      </c>
      <c r="BG78" s="1">
        <v>0</v>
      </c>
      <c r="BH78" s="1">
        <v>0</v>
      </c>
      <c r="BI78" s="1">
        <v>0</v>
      </c>
      <c r="BJ78" s="1">
        <v>646</v>
      </c>
      <c r="BK78" s="1">
        <v>298</v>
      </c>
      <c r="BL78" s="1">
        <v>50</v>
      </c>
      <c r="BM78" s="1">
        <v>3742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4883</v>
      </c>
      <c r="BY78" s="9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</row>
    <row r="79" spans="1:95" x14ac:dyDescent="0.25">
      <c r="A79" t="s">
        <v>177</v>
      </c>
      <c r="B79" t="s">
        <v>178</v>
      </c>
      <c r="C79">
        <f t="shared" si="2"/>
        <v>0</v>
      </c>
      <c r="D79" s="10">
        <f t="shared" si="3"/>
        <v>12388448</v>
      </c>
      <c r="E79" s="1">
        <v>165755</v>
      </c>
      <c r="F79" s="1">
        <v>15701</v>
      </c>
      <c r="G79" s="1">
        <v>171675</v>
      </c>
      <c r="H79" s="1">
        <v>49165</v>
      </c>
      <c r="I79" s="1">
        <v>30939</v>
      </c>
      <c r="J79" s="1">
        <v>265705</v>
      </c>
      <c r="K79" s="1">
        <v>491187</v>
      </c>
      <c r="L79" s="1">
        <v>26742</v>
      </c>
      <c r="M79" s="1">
        <v>36365</v>
      </c>
      <c r="N79" s="1">
        <v>31686</v>
      </c>
      <c r="O79" s="1">
        <v>56715</v>
      </c>
      <c r="P79" s="1">
        <v>83450</v>
      </c>
      <c r="Q79" s="1">
        <v>100569</v>
      </c>
      <c r="R79" s="1">
        <v>31742</v>
      </c>
      <c r="S79" s="1">
        <v>83984</v>
      </c>
      <c r="T79" s="1">
        <v>86897</v>
      </c>
      <c r="U79" s="1">
        <v>8686</v>
      </c>
      <c r="V79" s="1">
        <v>41566</v>
      </c>
      <c r="W79" s="1">
        <v>176219</v>
      </c>
      <c r="X79" s="1">
        <v>2865</v>
      </c>
      <c r="Y79" s="1">
        <v>4310</v>
      </c>
      <c r="Z79" s="1">
        <v>35413</v>
      </c>
      <c r="AA79" s="1">
        <v>13399</v>
      </c>
      <c r="AB79" s="1">
        <v>166750</v>
      </c>
      <c r="AC79" s="1">
        <v>392366</v>
      </c>
      <c r="AD79" s="1">
        <v>35857</v>
      </c>
      <c r="AE79" s="1">
        <v>644944</v>
      </c>
      <c r="AF79" s="1">
        <v>113557</v>
      </c>
      <c r="AG79" s="1">
        <v>60098</v>
      </c>
      <c r="AH79" s="1">
        <v>39963</v>
      </c>
      <c r="AI79" s="1">
        <v>451114</v>
      </c>
      <c r="AJ79" s="1">
        <v>52740</v>
      </c>
      <c r="AK79" s="1">
        <v>28659</v>
      </c>
      <c r="AL79" s="1">
        <v>12924</v>
      </c>
      <c r="AM79" s="1">
        <v>115757</v>
      </c>
      <c r="AN79" s="1">
        <v>43057</v>
      </c>
      <c r="AO79" s="1">
        <v>32862</v>
      </c>
      <c r="AP79" s="1">
        <v>64884</v>
      </c>
      <c r="AQ79" s="1">
        <v>5124</v>
      </c>
      <c r="AR79" s="1">
        <v>250247</v>
      </c>
      <c r="AS79" s="1">
        <v>70014</v>
      </c>
      <c r="AT79" s="1">
        <v>329281</v>
      </c>
      <c r="AU79" s="1">
        <v>284059</v>
      </c>
      <c r="AV79" s="1">
        <v>633241</v>
      </c>
      <c r="AW79" s="1">
        <v>23268</v>
      </c>
      <c r="AX79" s="1">
        <v>353401</v>
      </c>
      <c r="AY79" s="1">
        <v>20388</v>
      </c>
      <c r="AZ79" s="1">
        <v>2498383</v>
      </c>
      <c r="BA79" s="1">
        <v>645833</v>
      </c>
      <c r="BB79" s="1">
        <v>284822</v>
      </c>
      <c r="BC79" s="1">
        <v>176072</v>
      </c>
      <c r="BD79" s="1">
        <v>64945</v>
      </c>
      <c r="BE79" s="1">
        <v>448387</v>
      </c>
      <c r="BF79" s="1">
        <v>48611</v>
      </c>
      <c r="BG79" s="1">
        <v>219292</v>
      </c>
      <c r="BH79" s="1">
        <v>33613</v>
      </c>
      <c r="BI79" s="1">
        <v>53397</v>
      </c>
      <c r="BJ79" s="1">
        <v>249222</v>
      </c>
      <c r="BK79" s="1">
        <v>108844</v>
      </c>
      <c r="BL79" s="1">
        <v>14121</v>
      </c>
      <c r="BM79" s="1">
        <v>21837</v>
      </c>
      <c r="BN79" s="1">
        <v>91307</v>
      </c>
      <c r="BO79" s="1">
        <v>26404</v>
      </c>
      <c r="BP79" s="1">
        <v>101857</v>
      </c>
      <c r="BQ79" s="1">
        <v>155312</v>
      </c>
      <c r="BR79" s="1">
        <v>154567</v>
      </c>
      <c r="BS79" s="1">
        <v>209673</v>
      </c>
      <c r="BT79" s="1">
        <v>169656</v>
      </c>
      <c r="BU79" s="1">
        <v>12204</v>
      </c>
      <c r="BV79" s="1">
        <v>312559</v>
      </c>
      <c r="BW79" s="1">
        <v>52241</v>
      </c>
      <c r="BX79" s="1">
        <v>12388448</v>
      </c>
      <c r="BY79" s="9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</row>
    <row r="80" spans="1:95" x14ac:dyDescent="0.25">
      <c r="A80" t="s">
        <v>179</v>
      </c>
      <c r="B80" t="s">
        <v>180</v>
      </c>
      <c r="C80">
        <f t="shared" si="2"/>
        <v>0</v>
      </c>
      <c r="D80" s="10">
        <f t="shared" si="3"/>
        <v>28287688</v>
      </c>
      <c r="E80" s="1">
        <v>222866</v>
      </c>
      <c r="F80" s="1">
        <v>52928</v>
      </c>
      <c r="G80" s="1">
        <v>235439</v>
      </c>
      <c r="H80" s="1">
        <v>76669</v>
      </c>
      <c r="I80" s="1">
        <v>70569</v>
      </c>
      <c r="J80" s="1">
        <v>414860</v>
      </c>
      <c r="K80" s="1">
        <v>1302392</v>
      </c>
      <c r="L80" s="1">
        <v>59968</v>
      </c>
      <c r="M80" s="1">
        <v>77315</v>
      </c>
      <c r="N80" s="1">
        <v>76308</v>
      </c>
      <c r="O80" s="1">
        <v>188837</v>
      </c>
      <c r="P80" s="1">
        <v>208289</v>
      </c>
      <c r="Q80" s="1">
        <v>299147</v>
      </c>
      <c r="R80" s="1">
        <v>80595</v>
      </c>
      <c r="S80" s="1">
        <v>185456</v>
      </c>
      <c r="T80" s="1">
        <v>197149</v>
      </c>
      <c r="U80" s="1">
        <v>34391</v>
      </c>
      <c r="V80" s="1">
        <v>113421</v>
      </c>
      <c r="W80" s="1">
        <v>345764</v>
      </c>
      <c r="X80" s="1">
        <v>16317</v>
      </c>
      <c r="Y80" s="1">
        <v>12434</v>
      </c>
      <c r="Z80" s="1">
        <v>74285</v>
      </c>
      <c r="AA80" s="1">
        <v>41235</v>
      </c>
      <c r="AB80" s="1">
        <v>194338</v>
      </c>
      <c r="AC80" s="1">
        <v>548814</v>
      </c>
      <c r="AD80" s="1">
        <v>100417</v>
      </c>
      <c r="AE80" s="1">
        <v>1396294</v>
      </c>
      <c r="AF80" s="1">
        <v>290549</v>
      </c>
      <c r="AG80" s="1">
        <v>203526</v>
      </c>
      <c r="AH80" s="1">
        <v>169967</v>
      </c>
      <c r="AI80" s="1">
        <v>877994</v>
      </c>
      <c r="AJ80" s="1">
        <v>145924</v>
      </c>
      <c r="AK80" s="1">
        <v>56709</v>
      </c>
      <c r="AL80" s="1">
        <v>23970</v>
      </c>
      <c r="AM80" s="1">
        <v>256678</v>
      </c>
      <c r="AN80" s="1">
        <v>82141</v>
      </c>
      <c r="AO80" s="1">
        <v>48413</v>
      </c>
      <c r="AP80" s="1">
        <v>215744</v>
      </c>
      <c r="AQ80" s="1">
        <v>127841</v>
      </c>
      <c r="AR80" s="1">
        <v>441334</v>
      </c>
      <c r="AS80" s="1">
        <v>117663</v>
      </c>
      <c r="AT80" s="1">
        <v>463243</v>
      </c>
      <c r="AU80" s="1">
        <v>526227</v>
      </c>
      <c r="AV80" s="1">
        <v>1009909</v>
      </c>
      <c r="AW80" s="1">
        <v>394337</v>
      </c>
      <c r="AX80" s="1">
        <v>752517</v>
      </c>
      <c r="AY80" s="1">
        <v>27866</v>
      </c>
      <c r="AZ80" s="1">
        <v>2882881</v>
      </c>
      <c r="BA80" s="1">
        <v>829604</v>
      </c>
      <c r="BB80" s="1">
        <v>347815</v>
      </c>
      <c r="BC80" s="1">
        <v>366273</v>
      </c>
      <c r="BD80" s="1">
        <v>513145</v>
      </c>
      <c r="BE80" s="1">
        <v>1435063</v>
      </c>
      <c r="BF80" s="1">
        <v>542220</v>
      </c>
      <c r="BG80" s="1">
        <v>813340</v>
      </c>
      <c r="BH80" s="1">
        <v>85754</v>
      </c>
      <c r="BI80" s="1">
        <v>333398</v>
      </c>
      <c r="BJ80" s="1">
        <v>1076306</v>
      </c>
      <c r="BK80" s="1">
        <v>686751</v>
      </c>
      <c r="BL80" s="1">
        <v>207691</v>
      </c>
      <c r="BM80" s="1">
        <v>224591</v>
      </c>
      <c r="BN80" s="1">
        <v>183931</v>
      </c>
      <c r="BO80" s="1">
        <v>112709</v>
      </c>
      <c r="BP80" s="1">
        <v>218470</v>
      </c>
      <c r="BQ80" s="1">
        <v>620149</v>
      </c>
      <c r="BR80" s="1">
        <v>606756</v>
      </c>
      <c r="BS80" s="1">
        <v>549405</v>
      </c>
      <c r="BT80" s="1">
        <v>437372</v>
      </c>
      <c r="BU80" s="1">
        <v>84927</v>
      </c>
      <c r="BV80" s="1">
        <v>2073333</v>
      </c>
      <c r="BW80" s="1">
        <v>196755</v>
      </c>
      <c r="BX80" s="1">
        <v>28287688</v>
      </c>
      <c r="BY80" s="9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</row>
    <row r="81" spans="1:95" x14ac:dyDescent="0.25">
      <c r="A81" t="s">
        <v>181</v>
      </c>
      <c r="B81" t="s">
        <v>182</v>
      </c>
      <c r="C81">
        <f t="shared" si="2"/>
        <v>0</v>
      </c>
      <c r="D81" s="10">
        <f t="shared" si="3"/>
        <v>49726230</v>
      </c>
      <c r="E81" s="1">
        <v>572741</v>
      </c>
      <c r="F81" s="1">
        <v>67211</v>
      </c>
      <c r="G81" s="1">
        <v>438824</v>
      </c>
      <c r="H81" s="1">
        <v>135721</v>
      </c>
      <c r="I81" s="1">
        <v>110289</v>
      </c>
      <c r="J81" s="1">
        <v>603774</v>
      </c>
      <c r="K81" s="1">
        <v>2508497</v>
      </c>
      <c r="L81" s="1">
        <v>173952</v>
      </c>
      <c r="M81" s="1">
        <v>175089</v>
      </c>
      <c r="N81" s="1">
        <v>301892</v>
      </c>
      <c r="O81" s="1">
        <v>458799</v>
      </c>
      <c r="P81" s="1">
        <v>436395</v>
      </c>
      <c r="Q81" s="1">
        <v>411954</v>
      </c>
      <c r="R81" s="1">
        <v>193119</v>
      </c>
      <c r="S81" s="1">
        <v>770569</v>
      </c>
      <c r="T81" s="1">
        <v>376961</v>
      </c>
      <c r="U81" s="1">
        <v>84552</v>
      </c>
      <c r="V81" s="1">
        <v>177699</v>
      </c>
      <c r="W81" s="1">
        <v>1238463</v>
      </c>
      <c r="X81" s="1">
        <v>46827</v>
      </c>
      <c r="Y81" s="1">
        <v>21862</v>
      </c>
      <c r="Z81" s="1">
        <v>218686</v>
      </c>
      <c r="AA81" s="1">
        <v>84346</v>
      </c>
      <c r="AB81" s="1">
        <v>649257</v>
      </c>
      <c r="AC81" s="1">
        <v>990617</v>
      </c>
      <c r="AD81" s="1">
        <v>297324</v>
      </c>
      <c r="AE81" s="1">
        <v>2629509</v>
      </c>
      <c r="AF81" s="1">
        <v>485502</v>
      </c>
      <c r="AG81" s="1">
        <v>318257</v>
      </c>
      <c r="AH81" s="1">
        <v>254347</v>
      </c>
      <c r="AI81" s="1">
        <v>1468895</v>
      </c>
      <c r="AJ81" s="1">
        <v>299488</v>
      </c>
      <c r="AK81" s="1">
        <v>95998</v>
      </c>
      <c r="AL81" s="1">
        <v>77194</v>
      </c>
      <c r="AM81" s="1">
        <v>526269</v>
      </c>
      <c r="AN81" s="1">
        <v>176504</v>
      </c>
      <c r="AO81" s="1">
        <v>73123</v>
      </c>
      <c r="AP81" s="1">
        <v>354422</v>
      </c>
      <c r="AQ81" s="1">
        <v>188312</v>
      </c>
      <c r="AR81" s="1">
        <v>650245</v>
      </c>
      <c r="AS81" s="1">
        <v>205261</v>
      </c>
      <c r="AT81" s="1">
        <v>900261</v>
      </c>
      <c r="AU81" s="1">
        <v>887224</v>
      </c>
      <c r="AV81" s="1">
        <v>1420519</v>
      </c>
      <c r="AW81" s="1">
        <v>930911</v>
      </c>
      <c r="AX81" s="1">
        <v>1496709</v>
      </c>
      <c r="AY81" s="1">
        <v>264623</v>
      </c>
      <c r="AZ81" s="1">
        <v>3192628</v>
      </c>
      <c r="BA81" s="1">
        <v>2046309</v>
      </c>
      <c r="BB81" s="1">
        <v>649989</v>
      </c>
      <c r="BC81" s="1">
        <v>461439</v>
      </c>
      <c r="BD81" s="1">
        <v>725136</v>
      </c>
      <c r="BE81" s="1">
        <v>2262334</v>
      </c>
      <c r="BF81" s="1">
        <v>855850</v>
      </c>
      <c r="BG81" s="1">
        <v>1327842</v>
      </c>
      <c r="BH81" s="1">
        <v>174691</v>
      </c>
      <c r="BI81" s="1">
        <v>494369</v>
      </c>
      <c r="BJ81" s="1">
        <v>1623303</v>
      </c>
      <c r="BK81" s="1">
        <v>1256063</v>
      </c>
      <c r="BL81" s="1">
        <v>342393</v>
      </c>
      <c r="BM81" s="1">
        <v>352390</v>
      </c>
      <c r="BN81" s="1">
        <v>312772</v>
      </c>
      <c r="BO81" s="1">
        <v>227924</v>
      </c>
      <c r="BP81" s="1">
        <v>345621</v>
      </c>
      <c r="BQ81" s="1">
        <v>1279013</v>
      </c>
      <c r="BR81" s="1">
        <v>1074219</v>
      </c>
      <c r="BS81" s="1">
        <v>891866</v>
      </c>
      <c r="BT81" s="1">
        <v>629608</v>
      </c>
      <c r="BU81" s="1">
        <v>117526</v>
      </c>
      <c r="BV81" s="1">
        <v>3297076</v>
      </c>
      <c r="BW81" s="1">
        <v>536871</v>
      </c>
      <c r="BX81" s="1">
        <v>49726230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</row>
    <row r="82" spans="1:95" x14ac:dyDescent="0.25">
      <c r="A82" t="s">
        <v>183</v>
      </c>
      <c r="B82" t="s">
        <v>184</v>
      </c>
      <c r="C82">
        <f t="shared" si="2"/>
        <v>0</v>
      </c>
      <c r="D82" s="10">
        <f t="shared" si="3"/>
        <v>1099682</v>
      </c>
      <c r="E82" s="1">
        <v>0</v>
      </c>
      <c r="F82" s="1">
        <v>928</v>
      </c>
      <c r="G82" s="1">
        <v>17169</v>
      </c>
      <c r="H82" s="1">
        <v>4130</v>
      </c>
      <c r="I82" s="1">
        <v>271</v>
      </c>
      <c r="J82" s="1">
        <v>39497</v>
      </c>
      <c r="K82" s="1">
        <v>3010</v>
      </c>
      <c r="L82" s="1">
        <v>203</v>
      </c>
      <c r="M82" s="1">
        <v>201</v>
      </c>
      <c r="N82" s="1">
        <v>208</v>
      </c>
      <c r="O82" s="1">
        <v>1697</v>
      </c>
      <c r="P82" s="1">
        <v>332</v>
      </c>
      <c r="Q82" s="1">
        <v>636</v>
      </c>
      <c r="R82" s="1">
        <v>184</v>
      </c>
      <c r="S82" s="1">
        <v>398</v>
      </c>
      <c r="T82" s="1">
        <v>180</v>
      </c>
      <c r="U82" s="1">
        <v>57</v>
      </c>
      <c r="V82" s="1">
        <v>475</v>
      </c>
      <c r="W82" s="1">
        <v>14412</v>
      </c>
      <c r="X82" s="1">
        <v>19</v>
      </c>
      <c r="Y82" s="1">
        <v>20</v>
      </c>
      <c r="Z82" s="1">
        <v>148</v>
      </c>
      <c r="AA82" s="1">
        <v>66</v>
      </c>
      <c r="AB82" s="1">
        <v>1373</v>
      </c>
      <c r="AC82" s="1">
        <v>5257</v>
      </c>
      <c r="AD82" s="1">
        <v>1054</v>
      </c>
      <c r="AE82" s="1">
        <v>309995</v>
      </c>
      <c r="AF82" s="1">
        <v>66301</v>
      </c>
      <c r="AG82" s="1">
        <v>32606</v>
      </c>
      <c r="AH82" s="1">
        <v>54117</v>
      </c>
      <c r="AI82" s="1">
        <v>153979</v>
      </c>
      <c r="AJ82" s="1">
        <v>30189</v>
      </c>
      <c r="AK82" s="1">
        <v>902</v>
      </c>
      <c r="AL82" s="1">
        <v>369</v>
      </c>
      <c r="AM82" s="1">
        <v>678</v>
      </c>
      <c r="AN82" s="1">
        <v>1709</v>
      </c>
      <c r="AO82" s="1">
        <v>88</v>
      </c>
      <c r="AP82" s="1">
        <v>488</v>
      </c>
      <c r="AQ82" s="1">
        <v>307</v>
      </c>
      <c r="AR82" s="1">
        <v>1373</v>
      </c>
      <c r="AS82" s="1">
        <v>1722</v>
      </c>
      <c r="AT82" s="1">
        <v>38302</v>
      </c>
      <c r="AU82" s="1">
        <v>2828</v>
      </c>
      <c r="AV82" s="1">
        <v>3639</v>
      </c>
      <c r="AW82" s="1">
        <v>1744</v>
      </c>
      <c r="AX82" s="1">
        <v>39289</v>
      </c>
      <c r="AY82" s="1">
        <v>115</v>
      </c>
      <c r="AZ82" s="1">
        <v>0</v>
      </c>
      <c r="BA82" s="1">
        <v>1836</v>
      </c>
      <c r="BB82" s="1">
        <v>20354</v>
      </c>
      <c r="BC82" s="1">
        <v>21446</v>
      </c>
      <c r="BD82" s="1">
        <v>9104</v>
      </c>
      <c r="BE82" s="1">
        <v>10038</v>
      </c>
      <c r="BF82" s="1">
        <v>2113</v>
      </c>
      <c r="BG82" s="1">
        <v>9762</v>
      </c>
      <c r="BH82" s="1">
        <v>2847</v>
      </c>
      <c r="BI82" s="1">
        <v>1388</v>
      </c>
      <c r="BJ82" s="1">
        <v>2647</v>
      </c>
      <c r="BK82" s="1">
        <v>4743</v>
      </c>
      <c r="BL82" s="1">
        <v>4624</v>
      </c>
      <c r="BM82" s="1">
        <v>2042</v>
      </c>
      <c r="BN82" s="1">
        <v>6830</v>
      </c>
      <c r="BO82" s="1">
        <v>23295</v>
      </c>
      <c r="BP82" s="1">
        <v>38779</v>
      </c>
      <c r="BQ82" s="1">
        <v>82959</v>
      </c>
      <c r="BR82" s="1">
        <v>21229</v>
      </c>
      <c r="BS82" s="1">
        <v>0</v>
      </c>
      <c r="BT82" s="1">
        <v>0</v>
      </c>
      <c r="BU82" s="1">
        <v>0</v>
      </c>
      <c r="BV82" s="1">
        <v>0</v>
      </c>
      <c r="BW82" s="1">
        <v>977</v>
      </c>
      <c r="BX82" s="1">
        <v>1099682</v>
      </c>
      <c r="BY82" s="9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</row>
    <row r="83" spans="1:95" x14ac:dyDescent="0.25">
      <c r="A83" t="s">
        <v>185</v>
      </c>
      <c r="B83" t="s">
        <v>186</v>
      </c>
      <c r="C83">
        <f t="shared" si="2"/>
        <v>0</v>
      </c>
      <c r="D83" s="10">
        <f t="shared" si="3"/>
        <v>89356</v>
      </c>
      <c r="E83" s="1">
        <v>7036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608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20</v>
      </c>
      <c r="Y83" s="1">
        <v>0</v>
      </c>
      <c r="Z83" s="1">
        <v>0</v>
      </c>
      <c r="AA83" s="1">
        <v>0</v>
      </c>
      <c r="AB83" s="1">
        <v>0</v>
      </c>
      <c r="AC83" s="1">
        <v>50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401</v>
      </c>
      <c r="AK83" s="1">
        <v>4442</v>
      </c>
      <c r="AL83" s="1">
        <v>5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263</v>
      </c>
      <c r="AW83" s="1">
        <v>0</v>
      </c>
      <c r="AX83" s="1">
        <v>0</v>
      </c>
      <c r="AY83" s="1">
        <v>0</v>
      </c>
      <c r="AZ83" s="1">
        <v>28893</v>
      </c>
      <c r="BA83" s="1">
        <v>1198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14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6847</v>
      </c>
      <c r="BV83" s="1">
        <v>0</v>
      </c>
      <c r="BW83" s="1">
        <v>39580</v>
      </c>
      <c r="BX83" s="1">
        <v>89356</v>
      </c>
      <c r="BY83" s="9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</row>
    <row r="84" spans="1:95" x14ac:dyDescent="0.25">
      <c r="A84" t="s">
        <v>187</v>
      </c>
      <c r="B84" t="s">
        <v>188</v>
      </c>
      <c r="C84">
        <f t="shared" si="2"/>
        <v>0</v>
      </c>
      <c r="D84" s="10">
        <f t="shared" si="3"/>
        <v>29298013</v>
      </c>
      <c r="E84" s="1">
        <v>215830</v>
      </c>
      <c r="F84" s="1">
        <v>53856</v>
      </c>
      <c r="G84" s="1">
        <v>252608</v>
      </c>
      <c r="H84" s="1">
        <v>80799</v>
      </c>
      <c r="I84" s="1">
        <v>70840</v>
      </c>
      <c r="J84" s="1">
        <v>454357</v>
      </c>
      <c r="K84" s="1">
        <v>1305402</v>
      </c>
      <c r="L84" s="1">
        <v>60171</v>
      </c>
      <c r="M84" s="1">
        <v>77516</v>
      </c>
      <c r="N84" s="1">
        <v>76516</v>
      </c>
      <c r="O84" s="1">
        <v>190535</v>
      </c>
      <c r="P84" s="1">
        <v>208621</v>
      </c>
      <c r="Q84" s="1">
        <v>299783</v>
      </c>
      <c r="R84" s="1">
        <v>80171</v>
      </c>
      <c r="S84" s="1">
        <v>185854</v>
      </c>
      <c r="T84" s="1">
        <v>197330</v>
      </c>
      <c r="U84" s="1">
        <v>34448</v>
      </c>
      <c r="V84" s="1">
        <v>113897</v>
      </c>
      <c r="W84" s="1">
        <v>360176</v>
      </c>
      <c r="X84" s="1">
        <v>16316</v>
      </c>
      <c r="Y84" s="1">
        <v>12453</v>
      </c>
      <c r="Z84" s="1">
        <v>74433</v>
      </c>
      <c r="AA84" s="1">
        <v>41301</v>
      </c>
      <c r="AB84" s="1">
        <v>195712</v>
      </c>
      <c r="AC84" s="1">
        <v>554021</v>
      </c>
      <c r="AD84" s="1">
        <v>101471</v>
      </c>
      <c r="AE84" s="1">
        <v>1706289</v>
      </c>
      <c r="AF84" s="1">
        <v>356851</v>
      </c>
      <c r="AG84" s="1">
        <v>236132</v>
      </c>
      <c r="AH84" s="1">
        <v>224084</v>
      </c>
      <c r="AI84" s="1">
        <v>1031973</v>
      </c>
      <c r="AJ84" s="1">
        <v>175712</v>
      </c>
      <c r="AK84" s="1">
        <v>53169</v>
      </c>
      <c r="AL84" s="1">
        <v>24335</v>
      </c>
      <c r="AM84" s="1">
        <v>257356</v>
      </c>
      <c r="AN84" s="1">
        <v>83850</v>
      </c>
      <c r="AO84" s="1">
        <v>48501</v>
      </c>
      <c r="AP84" s="1">
        <v>216231</v>
      </c>
      <c r="AQ84" s="1">
        <v>128148</v>
      </c>
      <c r="AR84" s="1">
        <v>442706</v>
      </c>
      <c r="AS84" s="1">
        <v>119385</v>
      </c>
      <c r="AT84" s="1">
        <v>501545</v>
      </c>
      <c r="AU84" s="1">
        <v>529056</v>
      </c>
      <c r="AV84" s="1">
        <v>1013285</v>
      </c>
      <c r="AW84" s="1">
        <v>396082</v>
      </c>
      <c r="AX84" s="1">
        <v>791806</v>
      </c>
      <c r="AY84" s="1">
        <v>27981</v>
      </c>
      <c r="AZ84" s="1">
        <v>2853988</v>
      </c>
      <c r="BA84" s="1">
        <v>830242</v>
      </c>
      <c r="BB84" s="1">
        <v>368169</v>
      </c>
      <c r="BC84" s="1">
        <v>387719</v>
      </c>
      <c r="BD84" s="1">
        <v>522249</v>
      </c>
      <c r="BE84" s="1">
        <v>1445101</v>
      </c>
      <c r="BF84" s="1">
        <v>544333</v>
      </c>
      <c r="BG84" s="1">
        <v>823102</v>
      </c>
      <c r="BH84" s="1">
        <v>88601</v>
      </c>
      <c r="BI84" s="1">
        <v>334785</v>
      </c>
      <c r="BJ84" s="1">
        <v>1078954</v>
      </c>
      <c r="BK84" s="1">
        <v>691481</v>
      </c>
      <c r="BL84" s="1">
        <v>212314</v>
      </c>
      <c r="BM84" s="1">
        <v>226633</v>
      </c>
      <c r="BN84" s="1">
        <v>190761</v>
      </c>
      <c r="BO84" s="1">
        <v>136004</v>
      </c>
      <c r="BP84" s="1">
        <v>257248</v>
      </c>
      <c r="BQ84" s="1">
        <v>703108</v>
      </c>
      <c r="BR84" s="1">
        <v>627985</v>
      </c>
      <c r="BS84" s="1">
        <v>549405</v>
      </c>
      <c r="BT84" s="1">
        <v>437372</v>
      </c>
      <c r="BU84" s="1">
        <v>78079</v>
      </c>
      <c r="BV84" s="1">
        <v>2073333</v>
      </c>
      <c r="BW84" s="1">
        <v>158152</v>
      </c>
      <c r="BX84" s="1">
        <v>29298013</v>
      </c>
      <c r="BY84" s="9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68A5-CB6C-4F2D-85DF-D71CB2EBC789}">
  <dimension ref="A1:CG170"/>
  <sheetViews>
    <sheetView workbookViewId="0">
      <pane xSplit="2" ySplit="1" topLeftCell="C134" activePane="bottomRight" state="frozen"/>
      <selection pane="topRight" activeCell="C1" sqref="C1"/>
      <selection pane="bottomLeft" activeCell="A2" sqref="A2"/>
      <selection pane="bottomRight" activeCell="A88" sqref="A88:C170"/>
    </sheetView>
  </sheetViews>
  <sheetFormatPr defaultRowHeight="15" x14ac:dyDescent="0.25"/>
  <cols>
    <col min="2" max="2" width="18.7109375" customWidth="1"/>
    <col min="3" max="3" width="12.5703125" style="11" customWidth="1"/>
    <col min="4" max="73" width="9.28515625" bestFit="1" customWidth="1"/>
    <col min="74" max="74" width="9.140625" customWidth="1"/>
    <col min="75" max="76" width="9.28515625" bestFit="1" customWidth="1"/>
    <col min="77" max="77" width="9.140625" customWidth="1"/>
    <col min="78" max="78" width="19" customWidth="1"/>
    <col min="79" max="79" width="15.7109375" customWidth="1"/>
    <col min="80" max="80" width="17.5703125" customWidth="1"/>
    <col min="81" max="84" width="9.28515625" bestFit="1" customWidth="1"/>
    <col min="85" max="85" width="9.140625" customWidth="1"/>
  </cols>
  <sheetData>
    <row r="1" spans="1:85" x14ac:dyDescent="0.25">
      <c r="A1" t="s">
        <v>393</v>
      </c>
      <c r="B1" t="s">
        <v>0</v>
      </c>
      <c r="C1" s="1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366</v>
      </c>
      <c r="BW1" t="s">
        <v>367</v>
      </c>
      <c r="BX1" t="s">
        <v>368</v>
      </c>
      <c r="BY1" t="s">
        <v>369</v>
      </c>
      <c r="BZ1" t="s">
        <v>370</v>
      </c>
      <c r="CA1" t="s">
        <v>371</v>
      </c>
      <c r="CB1" t="s">
        <v>372</v>
      </c>
      <c r="CC1" t="s">
        <v>373</v>
      </c>
      <c r="CD1" t="s">
        <v>374</v>
      </c>
      <c r="CE1" t="s">
        <v>375</v>
      </c>
      <c r="CF1" t="s">
        <v>376</v>
      </c>
      <c r="CG1" t="s">
        <v>377</v>
      </c>
    </row>
    <row r="2" spans="1:85" x14ac:dyDescent="0.25"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109</v>
      </c>
      <c r="S2" t="s">
        <v>110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  <c r="Z2" t="s">
        <v>117</v>
      </c>
      <c r="AA2" t="s">
        <v>118</v>
      </c>
      <c r="AB2" t="s">
        <v>119</v>
      </c>
      <c r="AC2" t="s">
        <v>120</v>
      </c>
      <c r="AD2" t="s">
        <v>121</v>
      </c>
      <c r="AE2" t="s">
        <v>122</v>
      </c>
      <c r="AF2" t="s">
        <v>123</v>
      </c>
      <c r="AG2" t="s">
        <v>124</v>
      </c>
      <c r="AH2" t="s">
        <v>125</v>
      </c>
      <c r="AI2" t="s">
        <v>126</v>
      </c>
      <c r="AJ2" t="s">
        <v>127</v>
      </c>
      <c r="AK2" t="s">
        <v>128</v>
      </c>
      <c r="AL2" t="s">
        <v>129</v>
      </c>
      <c r="AM2" t="s">
        <v>130</v>
      </c>
      <c r="AN2" t="s">
        <v>131</v>
      </c>
      <c r="AO2" t="s">
        <v>132</v>
      </c>
      <c r="AP2" t="s">
        <v>133</v>
      </c>
      <c r="AQ2" t="s">
        <v>134</v>
      </c>
      <c r="AR2" t="s">
        <v>135</v>
      </c>
      <c r="AS2" t="s">
        <v>136</v>
      </c>
      <c r="AT2" t="s">
        <v>137</v>
      </c>
      <c r="AU2" t="s">
        <v>138</v>
      </c>
      <c r="AV2" t="s">
        <v>139</v>
      </c>
      <c r="AW2" t="s">
        <v>140</v>
      </c>
      <c r="AX2" t="s">
        <v>141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 t="s">
        <v>156</v>
      </c>
      <c r="BN2" t="s">
        <v>157</v>
      </c>
      <c r="BO2" t="s">
        <v>158</v>
      </c>
      <c r="BP2" t="s">
        <v>159</v>
      </c>
      <c r="BQ2" t="s">
        <v>160</v>
      </c>
      <c r="BR2" t="s">
        <v>161</v>
      </c>
      <c r="BS2" t="s">
        <v>162</v>
      </c>
      <c r="BT2" t="s">
        <v>163</v>
      </c>
      <c r="BU2" t="s">
        <v>164</v>
      </c>
      <c r="BV2" t="s">
        <v>378</v>
      </c>
      <c r="BW2" t="s">
        <v>379</v>
      </c>
      <c r="BX2" t="s">
        <v>380</v>
      </c>
      <c r="BY2" t="s">
        <v>381</v>
      </c>
      <c r="BZ2" t="s">
        <v>382</v>
      </c>
      <c r="CA2" t="s">
        <v>383</v>
      </c>
      <c r="CB2" t="s">
        <v>384</v>
      </c>
      <c r="CC2" t="s">
        <v>385</v>
      </c>
      <c r="CD2" t="s">
        <v>386</v>
      </c>
      <c r="CE2" t="s">
        <v>387</v>
      </c>
      <c r="CF2" t="s">
        <v>388</v>
      </c>
      <c r="CG2" t="s">
        <v>389</v>
      </c>
    </row>
    <row r="3" spans="1:85" x14ac:dyDescent="0.25">
      <c r="A3" t="s">
        <v>1</v>
      </c>
      <c r="B3" t="s">
        <v>94</v>
      </c>
      <c r="C3" s="12">
        <f>'Supply2024-coding'!C2*'Use 2024'!$C2</f>
        <v>0.29873445722784925</v>
      </c>
      <c r="D3" s="12">
        <f>'Supply2024-coding'!D2*'Use 2024'!$C2</f>
        <v>1.3565848160697813E-4</v>
      </c>
      <c r="E3" s="12">
        <f>'Supply2024-coding'!E2*'Use 2024'!$C2</f>
        <v>0</v>
      </c>
      <c r="F3" s="12">
        <f>'Supply2024-coding'!F2*'Use 2024'!$C2</f>
        <v>0</v>
      </c>
      <c r="G3" s="12">
        <f>'Supply2024-coding'!G2*'Use 2024'!$C2</f>
        <v>0</v>
      </c>
      <c r="H3" s="12">
        <f>'Supply2024-coding'!H2*'Use 2024'!$C2</f>
        <v>0</v>
      </c>
      <c r="I3" s="12">
        <f>'Supply2024-coding'!I2*'Use 2024'!$C2</f>
        <v>0</v>
      </c>
      <c r="J3" s="12">
        <f>'Supply2024-coding'!J2*'Use 2024'!$C2</f>
        <v>0</v>
      </c>
      <c r="K3" s="12">
        <f>'Supply2024-coding'!K2*'Use 2024'!$C2</f>
        <v>0</v>
      </c>
      <c r="L3" s="12">
        <f>'Supply2024-coding'!L2*'Use 2024'!$C2</f>
        <v>0</v>
      </c>
      <c r="M3" s="12">
        <f>'Supply2024-coding'!M2*'Use 2024'!$C2</f>
        <v>0</v>
      </c>
      <c r="N3" s="12">
        <f>'Supply2024-coding'!N2*'Use 2024'!$C2</f>
        <v>0</v>
      </c>
      <c r="O3" s="12">
        <f>'Supply2024-coding'!O2*'Use 2024'!$C2</f>
        <v>0</v>
      </c>
      <c r="P3" s="12">
        <f>'Supply2024-coding'!P2*'Use 2024'!$C2</f>
        <v>0</v>
      </c>
      <c r="Q3" s="12">
        <f>'Supply2024-coding'!Q2*'Use 2024'!$C2</f>
        <v>0</v>
      </c>
      <c r="R3" s="12">
        <f>'Supply2024-coding'!R2*'Use 2024'!$C2</f>
        <v>0</v>
      </c>
      <c r="S3" s="12">
        <f>'Supply2024-coding'!S2*'Use 2024'!$C2</f>
        <v>0</v>
      </c>
      <c r="T3" s="12">
        <f>'Supply2024-coding'!T2*'Use 2024'!$C2</f>
        <v>0</v>
      </c>
      <c r="U3" s="12">
        <f>'Supply2024-coding'!U2*'Use 2024'!$C2</f>
        <v>0</v>
      </c>
      <c r="V3" s="12">
        <f>'Supply2024-coding'!V2*'Use 2024'!$C2</f>
        <v>0</v>
      </c>
      <c r="W3" s="12">
        <f>'Supply2024-coding'!W2*'Use 2024'!$C2</f>
        <v>0</v>
      </c>
      <c r="X3" s="12">
        <f>'Supply2024-coding'!X2*'Use 2024'!$C2</f>
        <v>0</v>
      </c>
      <c r="Y3" s="12">
        <f>'Supply2024-coding'!Y2*'Use 2024'!$C2</f>
        <v>0</v>
      </c>
      <c r="Z3" s="12">
        <f>'Supply2024-coding'!Z2*'Use 2024'!$C2</f>
        <v>0</v>
      </c>
      <c r="AA3" s="12">
        <f>'Supply2024-coding'!AA2*'Use 2024'!$C2</f>
        <v>0</v>
      </c>
      <c r="AB3" s="12">
        <f>'Supply2024-coding'!AB2*'Use 2024'!$C2</f>
        <v>0</v>
      </c>
      <c r="AC3" s="12">
        <f>'Supply2024-coding'!AC2*'Use 2024'!$C2</f>
        <v>0</v>
      </c>
      <c r="AD3" s="12">
        <f>'Supply2024-coding'!AD2*'Use 2024'!$C2</f>
        <v>0</v>
      </c>
      <c r="AE3" s="12">
        <f>'Supply2024-coding'!AE2*'Use 2024'!$C2</f>
        <v>0</v>
      </c>
      <c r="AF3" s="12">
        <f>'Supply2024-coding'!AF2*'Use 2024'!$C2</f>
        <v>0</v>
      </c>
      <c r="AG3" s="12">
        <f>'Supply2024-coding'!AG2*'Use 2024'!$C2</f>
        <v>6.2072116844884135E-5</v>
      </c>
      <c r="AH3" s="12">
        <f>'Supply2024-coding'!AH2*'Use 2024'!$C2</f>
        <v>0</v>
      </c>
      <c r="AI3" s="12">
        <f>'Supply2024-coding'!AI2*'Use 2024'!$C2</f>
        <v>0</v>
      </c>
      <c r="AJ3" s="12">
        <f>'Supply2024-coding'!AJ2*'Use 2024'!$C2</f>
        <v>0</v>
      </c>
      <c r="AK3" s="12">
        <f>'Supply2024-coding'!AK2*'Use 2024'!$C2</f>
        <v>0</v>
      </c>
      <c r="AL3" s="12">
        <f>'Supply2024-coding'!AL2*'Use 2024'!$C2</f>
        <v>0</v>
      </c>
      <c r="AM3" s="12">
        <f>'Supply2024-coding'!AM2*'Use 2024'!$C2</f>
        <v>0</v>
      </c>
      <c r="AN3" s="12">
        <f>'Supply2024-coding'!AN2*'Use 2024'!$C2</f>
        <v>0</v>
      </c>
      <c r="AO3" s="12">
        <f>'Supply2024-coding'!AO2*'Use 2024'!$C2</f>
        <v>0</v>
      </c>
      <c r="AP3" s="12">
        <f>'Supply2024-coding'!AP2*'Use 2024'!$C2</f>
        <v>0</v>
      </c>
      <c r="AQ3" s="12">
        <f>'Supply2024-coding'!AQ2*'Use 2024'!$C2</f>
        <v>0</v>
      </c>
      <c r="AR3" s="12">
        <f>'Supply2024-coding'!AR2*'Use 2024'!$C2</f>
        <v>0</v>
      </c>
      <c r="AS3" s="12">
        <f>'Supply2024-coding'!AS2*'Use 2024'!$C2</f>
        <v>0</v>
      </c>
      <c r="AT3" s="12">
        <f>'Supply2024-coding'!AT2*'Use 2024'!$C2</f>
        <v>0</v>
      </c>
      <c r="AU3" s="12">
        <f>'Supply2024-coding'!AU2*'Use 2024'!$C2</f>
        <v>0</v>
      </c>
      <c r="AV3" s="12">
        <f>'Supply2024-coding'!AV2*'Use 2024'!$C2</f>
        <v>0</v>
      </c>
      <c r="AW3" s="12">
        <f>'Supply2024-coding'!AW2*'Use 2024'!$C2</f>
        <v>0</v>
      </c>
      <c r="AX3" s="12">
        <f>'Supply2024-coding'!AX2*'Use 2024'!$C2</f>
        <v>0</v>
      </c>
      <c r="AY3" s="12">
        <f>'Supply2024-coding'!AY2*'Use 2024'!$C2</f>
        <v>0</v>
      </c>
      <c r="AZ3" s="12">
        <f>'Supply2024-coding'!AZ2*'Use 2024'!$C2</f>
        <v>0</v>
      </c>
      <c r="BA3" s="12">
        <f>'Supply2024-coding'!BA2*'Use 2024'!$C2</f>
        <v>0</v>
      </c>
      <c r="BB3" s="12">
        <f>'Supply2024-coding'!BB2*'Use 2024'!$C2</f>
        <v>0</v>
      </c>
      <c r="BC3" s="12">
        <f>'Supply2024-coding'!BC2*'Use 2024'!$C2</f>
        <v>0</v>
      </c>
      <c r="BD3" s="12">
        <f>'Supply2024-coding'!BD2*'Use 2024'!$C2</f>
        <v>0</v>
      </c>
      <c r="BE3" s="12">
        <f>'Supply2024-coding'!BE2*'Use 2024'!$C2</f>
        <v>0</v>
      </c>
      <c r="BF3" s="12">
        <f>'Supply2024-coding'!BF2*'Use 2024'!$C2</f>
        <v>0</v>
      </c>
      <c r="BG3" s="12">
        <f>'Supply2024-coding'!BG2*'Use 2024'!$C2</f>
        <v>0</v>
      </c>
      <c r="BH3" s="12">
        <f>'Supply2024-coding'!BH2*'Use 2024'!$C2</f>
        <v>0</v>
      </c>
      <c r="BI3" s="12">
        <f>'Supply2024-coding'!BI2*'Use 2024'!$C2</f>
        <v>0</v>
      </c>
      <c r="BJ3" s="12">
        <f>'Supply2024-coding'!BJ2*'Use 2024'!$C2</f>
        <v>0</v>
      </c>
      <c r="BK3" s="12">
        <f>'Supply2024-coding'!BK2*'Use 2024'!$C2</f>
        <v>0</v>
      </c>
      <c r="BL3" s="12">
        <f>'Supply2024-coding'!BL2*'Use 2024'!$C2</f>
        <v>0</v>
      </c>
      <c r="BM3" s="12">
        <f>'Supply2024-coding'!BM2*'Use 2024'!$C2</f>
        <v>0</v>
      </c>
      <c r="BN3" s="12">
        <f>'Supply2024-coding'!BN2*'Use 2024'!$C2</f>
        <v>0</v>
      </c>
      <c r="BO3" s="12">
        <f>'Supply2024-coding'!BO2*'Use 2024'!$C2</f>
        <v>0</v>
      </c>
      <c r="BP3" s="12">
        <f>'Supply2024-coding'!BP2*'Use 2024'!$C2</f>
        <v>0</v>
      </c>
      <c r="BQ3" s="12">
        <f>'Supply2024-coding'!BQ2*'Use 2024'!$C2</f>
        <v>0</v>
      </c>
      <c r="BR3" s="12">
        <f>'Supply2024-coding'!BR2*'Use 2024'!$C2</f>
        <v>0</v>
      </c>
      <c r="BS3" s="12">
        <f>'Supply2024-coding'!BS2*'Use 2024'!$C2</f>
        <v>0</v>
      </c>
      <c r="BT3" s="12">
        <f>'Supply2024-coding'!BT2*'Use 2024'!$C2</f>
        <v>7.1163024288038455E-5</v>
      </c>
      <c r="BU3" s="12">
        <f>'Supply2024-coding'!BU2*'Use 2024'!$C2</f>
        <v>0</v>
      </c>
      <c r="BV3" s="12">
        <f>'Supply2024-coding'!BV2*'Use 2024'!$C2</f>
        <v>3.4475306242927229E-3</v>
      </c>
      <c r="BW3" s="12">
        <f>'Supply2024-coding'!BW2*'Use 2024'!$C2</f>
        <v>4.9451411258529957E-3</v>
      </c>
      <c r="BX3" s="12">
        <f>'Supply2024-coding'!BX2*'Use 2024'!$C2</f>
        <v>0</v>
      </c>
      <c r="BY3" s="12">
        <f>'Supply2024-coding'!BY2*'Use 2024'!$C2</f>
        <v>3.5536153999267414E-3</v>
      </c>
      <c r="BZ3" s="12">
        <f>'Supply2024-coding'!BZ2*'Use 2024'!$C2</f>
        <v>-53377.694279377742</v>
      </c>
      <c r="CA3" s="12" t="e">
        <f>'Supply2024-coding'!CA2*'Use 2024'!$C2</f>
        <v>#DIV/0!</v>
      </c>
      <c r="CB3" s="12">
        <f>'Supply2024-coding'!CB2*'Use 2024'!$C2</f>
        <v>-77431.209996420541</v>
      </c>
      <c r="CC3" s="12">
        <f>'Supply2024-coding'!CC2*'Use 2024'!$C2</f>
        <v>6.5812121482960908E-4</v>
      </c>
      <c r="CD3" s="12">
        <f>'Supply2024-coding'!CD2*'Use 2024'!$C2</f>
        <v>3.4403696133468672E-3</v>
      </c>
      <c r="CE3" s="12">
        <f>'Supply2024-coding'!CE2*'Use 2024'!$C2</f>
        <v>2.3931403289638661E-2</v>
      </c>
      <c r="CF3" s="12">
        <f>'Supply2024-coding'!CF2*'Use 2024'!$C2</f>
        <v>1.3982043346889403E-3</v>
      </c>
      <c r="CG3" s="12">
        <f>'Supply2024-coding'!CG2*'Use 2024'!$C2</f>
        <v>4.9364872091591135E-3</v>
      </c>
    </row>
    <row r="4" spans="1:85" x14ac:dyDescent="0.25">
      <c r="A4" t="s">
        <v>2</v>
      </c>
      <c r="B4" t="s">
        <v>95</v>
      </c>
      <c r="C4" s="12">
        <f>'Supply2024-coding'!C3*'Use 2024'!$C3</f>
        <v>1.5325880248023649E-3</v>
      </c>
      <c r="D4" s="12">
        <f>'Supply2024-coding'!D3*'Use 2024'!$C3</f>
        <v>0.12248176889283216</v>
      </c>
      <c r="E4" s="12">
        <f>'Supply2024-coding'!E3*'Use 2024'!$C3</f>
        <v>0</v>
      </c>
      <c r="F4" s="12">
        <f>'Supply2024-coding'!F3*'Use 2024'!$C3</f>
        <v>0</v>
      </c>
      <c r="G4" s="12">
        <f>'Supply2024-coding'!G3*'Use 2024'!$C3</f>
        <v>0</v>
      </c>
      <c r="H4" s="12">
        <f>'Supply2024-coding'!H3*'Use 2024'!$C3</f>
        <v>0</v>
      </c>
      <c r="I4" s="12">
        <f>'Supply2024-coding'!I3*'Use 2024'!$C3</f>
        <v>0</v>
      </c>
      <c r="J4" s="12">
        <f>'Supply2024-coding'!J3*'Use 2024'!$C3</f>
        <v>0</v>
      </c>
      <c r="K4" s="12">
        <f>'Supply2024-coding'!K3*'Use 2024'!$C3</f>
        <v>0</v>
      </c>
      <c r="L4" s="12">
        <f>'Supply2024-coding'!L3*'Use 2024'!$C3</f>
        <v>0</v>
      </c>
      <c r="M4" s="12">
        <f>'Supply2024-coding'!M3*'Use 2024'!$C3</f>
        <v>0</v>
      </c>
      <c r="N4" s="12">
        <f>'Supply2024-coding'!N3*'Use 2024'!$C3</f>
        <v>0</v>
      </c>
      <c r="O4" s="12">
        <f>'Supply2024-coding'!O3*'Use 2024'!$C3</f>
        <v>0</v>
      </c>
      <c r="P4" s="12">
        <f>'Supply2024-coding'!P3*'Use 2024'!$C3</f>
        <v>0</v>
      </c>
      <c r="Q4" s="12">
        <f>'Supply2024-coding'!Q3*'Use 2024'!$C3</f>
        <v>0</v>
      </c>
      <c r="R4" s="12">
        <f>'Supply2024-coding'!R3*'Use 2024'!$C3</f>
        <v>0</v>
      </c>
      <c r="S4" s="12">
        <f>'Supply2024-coding'!S3*'Use 2024'!$C3</f>
        <v>0</v>
      </c>
      <c r="T4" s="12">
        <f>'Supply2024-coding'!T3*'Use 2024'!$C3</f>
        <v>0</v>
      </c>
      <c r="U4" s="12">
        <f>'Supply2024-coding'!U3*'Use 2024'!$C3</f>
        <v>0</v>
      </c>
      <c r="V4" s="12">
        <f>'Supply2024-coding'!V3*'Use 2024'!$C3</f>
        <v>0</v>
      </c>
      <c r="W4" s="12">
        <f>'Supply2024-coding'!W3*'Use 2024'!$C3</f>
        <v>0</v>
      </c>
      <c r="X4" s="12">
        <f>'Supply2024-coding'!X3*'Use 2024'!$C3</f>
        <v>0</v>
      </c>
      <c r="Y4" s="12">
        <f>'Supply2024-coding'!Y3*'Use 2024'!$C3</f>
        <v>0</v>
      </c>
      <c r="Z4" s="12">
        <f>'Supply2024-coding'!Z3*'Use 2024'!$C3</f>
        <v>0</v>
      </c>
      <c r="AA4" s="12">
        <f>'Supply2024-coding'!AA3*'Use 2024'!$C3</f>
        <v>0</v>
      </c>
      <c r="AB4" s="12">
        <f>'Supply2024-coding'!AB3*'Use 2024'!$C3</f>
        <v>0</v>
      </c>
      <c r="AC4" s="12">
        <f>'Supply2024-coding'!AC3*'Use 2024'!$C3</f>
        <v>4.8763576363593695E-6</v>
      </c>
      <c r="AD4" s="12">
        <f>'Supply2024-coding'!AD3*'Use 2024'!$C3</f>
        <v>0</v>
      </c>
      <c r="AE4" s="12">
        <f>'Supply2024-coding'!AE3*'Use 2024'!$C3</f>
        <v>0</v>
      </c>
      <c r="AF4" s="12">
        <f>'Supply2024-coding'!AF3*'Use 2024'!$C3</f>
        <v>0</v>
      </c>
      <c r="AG4" s="12">
        <f>'Supply2024-coding'!AG3*'Use 2024'!$C3</f>
        <v>0</v>
      </c>
      <c r="AH4" s="12">
        <f>'Supply2024-coding'!AH3*'Use 2024'!$C3</f>
        <v>4.1027089955949917E-4</v>
      </c>
      <c r="AI4" s="12">
        <f>'Supply2024-coding'!AI3*'Use 2024'!$C3</f>
        <v>0</v>
      </c>
      <c r="AJ4" s="12">
        <f>'Supply2024-coding'!AJ3*'Use 2024'!$C3</f>
        <v>0</v>
      </c>
      <c r="AK4" s="12">
        <f>'Supply2024-coding'!AK3*'Use 2024'!$C3</f>
        <v>0</v>
      </c>
      <c r="AL4" s="12">
        <f>'Supply2024-coding'!AL3*'Use 2024'!$C3</f>
        <v>0</v>
      </c>
      <c r="AM4" s="12">
        <f>'Supply2024-coding'!AM3*'Use 2024'!$C3</f>
        <v>0</v>
      </c>
      <c r="AN4" s="12">
        <f>'Supply2024-coding'!AN3*'Use 2024'!$C3</f>
        <v>0</v>
      </c>
      <c r="AO4" s="12">
        <f>'Supply2024-coding'!AO3*'Use 2024'!$C3</f>
        <v>0</v>
      </c>
      <c r="AP4" s="12">
        <f>'Supply2024-coding'!AP3*'Use 2024'!$C3</f>
        <v>0</v>
      </c>
      <c r="AQ4" s="12">
        <f>'Supply2024-coding'!AQ3*'Use 2024'!$C3</f>
        <v>0</v>
      </c>
      <c r="AR4" s="12">
        <f>'Supply2024-coding'!AR3*'Use 2024'!$C3</f>
        <v>0</v>
      </c>
      <c r="AS4" s="12">
        <f>'Supply2024-coding'!AS3*'Use 2024'!$C3</f>
        <v>0</v>
      </c>
      <c r="AT4" s="12">
        <f>'Supply2024-coding'!AT3*'Use 2024'!$C3</f>
        <v>0</v>
      </c>
      <c r="AU4" s="12">
        <f>'Supply2024-coding'!AU3*'Use 2024'!$C3</f>
        <v>0</v>
      </c>
      <c r="AV4" s="12">
        <f>'Supply2024-coding'!AV3*'Use 2024'!$C3</f>
        <v>0</v>
      </c>
      <c r="AW4" s="12">
        <f>'Supply2024-coding'!AW3*'Use 2024'!$C3</f>
        <v>0</v>
      </c>
      <c r="AX4" s="12">
        <f>'Supply2024-coding'!AX3*'Use 2024'!$C3</f>
        <v>0</v>
      </c>
      <c r="AY4" s="12">
        <f>'Supply2024-coding'!AY3*'Use 2024'!$C3</f>
        <v>0</v>
      </c>
      <c r="AZ4" s="12">
        <f>'Supply2024-coding'!AZ3*'Use 2024'!$C3</f>
        <v>0</v>
      </c>
      <c r="BA4" s="12">
        <f>'Supply2024-coding'!BA3*'Use 2024'!$C3</f>
        <v>0</v>
      </c>
      <c r="BB4" s="12">
        <f>'Supply2024-coding'!BB3*'Use 2024'!$C3</f>
        <v>0</v>
      </c>
      <c r="BC4" s="12">
        <f>'Supply2024-coding'!BC3*'Use 2024'!$C3</f>
        <v>0</v>
      </c>
      <c r="BD4" s="12">
        <f>'Supply2024-coding'!BD3*'Use 2024'!$C3</f>
        <v>0</v>
      </c>
      <c r="BE4" s="12">
        <f>'Supply2024-coding'!BE3*'Use 2024'!$C3</f>
        <v>0</v>
      </c>
      <c r="BF4" s="12">
        <f>'Supply2024-coding'!BF3*'Use 2024'!$C3</f>
        <v>0</v>
      </c>
      <c r="BG4" s="12">
        <f>'Supply2024-coding'!BG3*'Use 2024'!$C3</f>
        <v>0</v>
      </c>
      <c r="BH4" s="12">
        <f>'Supply2024-coding'!BH3*'Use 2024'!$C3</f>
        <v>0</v>
      </c>
      <c r="BI4" s="12">
        <f>'Supply2024-coding'!BI3*'Use 2024'!$C3</f>
        <v>0</v>
      </c>
      <c r="BJ4" s="12">
        <f>'Supply2024-coding'!BJ3*'Use 2024'!$C3</f>
        <v>0</v>
      </c>
      <c r="BK4" s="12">
        <f>'Supply2024-coding'!BK3*'Use 2024'!$C3</f>
        <v>0</v>
      </c>
      <c r="BL4" s="12">
        <f>'Supply2024-coding'!BL3*'Use 2024'!$C3</f>
        <v>0</v>
      </c>
      <c r="BM4" s="12">
        <f>'Supply2024-coding'!BM3*'Use 2024'!$C3</f>
        <v>0</v>
      </c>
      <c r="BN4" s="12">
        <f>'Supply2024-coding'!BN3*'Use 2024'!$C3</f>
        <v>0</v>
      </c>
      <c r="BO4" s="12">
        <f>'Supply2024-coding'!BO3*'Use 2024'!$C3</f>
        <v>0</v>
      </c>
      <c r="BP4" s="12">
        <f>'Supply2024-coding'!BP3*'Use 2024'!$C3</f>
        <v>0</v>
      </c>
      <c r="BQ4" s="12">
        <f>'Supply2024-coding'!BQ3*'Use 2024'!$C3</f>
        <v>0</v>
      </c>
      <c r="BR4" s="12">
        <f>'Supply2024-coding'!BR3*'Use 2024'!$C3</f>
        <v>-3.5590595445312431E-6</v>
      </c>
      <c r="BS4" s="12">
        <f>'Supply2024-coding'!BS3*'Use 2024'!$C3</f>
        <v>0</v>
      </c>
      <c r="BT4" s="12">
        <f>'Supply2024-coding'!BT3*'Use 2024'!$C3</f>
        <v>1.6949372871482145E-4</v>
      </c>
      <c r="BU4" s="12">
        <f>'Supply2024-coding'!BU3*'Use 2024'!$C3</f>
        <v>0</v>
      </c>
      <c r="BV4" s="12">
        <f>'Supply2024-coding'!BV3*'Use 2024'!$C3</f>
        <v>1.9712051783510551E-4</v>
      </c>
      <c r="BW4" s="12">
        <f>'Supply2024-coding'!BW3*'Use 2024'!$C3</f>
        <v>6.5482106188250247E-4</v>
      </c>
      <c r="BX4" s="12">
        <f>'Supply2024-coding'!BX3*'Use 2024'!$C3</f>
        <v>0</v>
      </c>
      <c r="BY4" s="12">
        <f>'Supply2024-coding'!BY3*'Use 2024'!$C3</f>
        <v>2.2904848132427962E-4</v>
      </c>
      <c r="BZ4" s="12">
        <f>'Supply2024-coding'!BZ3*'Use 2024'!$C3</f>
        <v>-1690.1949686100268</v>
      </c>
      <c r="CA4" s="12" t="e">
        <f>'Supply2024-coding'!CA3*'Use 2024'!$C3</f>
        <v>#DIV/0!</v>
      </c>
      <c r="CB4" s="12">
        <f>'Supply2024-coding'!CB3*'Use 2024'!$C3</f>
        <v>-2304.3020452951018</v>
      </c>
      <c r="CC4" s="12">
        <f>'Supply2024-coding'!CC3*'Use 2024'!$C3</f>
        <v>2.9042156378256541E-4</v>
      </c>
      <c r="CD4" s="12">
        <f>'Supply2024-coding'!CD3*'Use 2024'!$C3</f>
        <v>1.7483269227148898E-4</v>
      </c>
      <c r="CE4" s="12">
        <f>'Supply2024-coding'!CE3*'Use 2024'!$C3</f>
        <v>0</v>
      </c>
      <c r="CF4" s="12">
        <f>'Supply2024-coding'!CF3*'Use 2024'!$C3</f>
        <v>1.9985835433859161E-4</v>
      </c>
      <c r="CG4" s="12">
        <f>'Supply2024-coding'!CG3*'Use 2024'!$C3</f>
        <v>2.7085324450360561E-4</v>
      </c>
    </row>
    <row r="5" spans="1:85" x14ac:dyDescent="0.25">
      <c r="A5" t="s">
        <v>3</v>
      </c>
      <c r="B5" t="s">
        <v>96</v>
      </c>
      <c r="C5" s="12">
        <f>'Supply2024-coding'!C4*'Use 2024'!$C4</f>
        <v>0</v>
      </c>
      <c r="D5" s="12">
        <f>'Supply2024-coding'!D4*'Use 2024'!$C4</f>
        <v>0</v>
      </c>
      <c r="E5" s="12">
        <f>'Supply2024-coding'!E4*'Use 2024'!$C4</f>
        <v>0</v>
      </c>
      <c r="F5" s="12">
        <f>'Supply2024-coding'!F4*'Use 2024'!$C4</f>
        <v>0</v>
      </c>
      <c r="G5" s="12">
        <f>'Supply2024-coding'!G4*'Use 2024'!$C4</f>
        <v>0</v>
      </c>
      <c r="H5" s="12">
        <f>'Supply2024-coding'!H4*'Use 2024'!$C4</f>
        <v>0</v>
      </c>
      <c r="I5" s="12">
        <f>'Supply2024-coding'!I4*'Use 2024'!$C4</f>
        <v>0</v>
      </c>
      <c r="J5" s="12">
        <f>'Supply2024-coding'!J4*'Use 2024'!$C4</f>
        <v>0</v>
      </c>
      <c r="K5" s="12">
        <f>'Supply2024-coding'!K4*'Use 2024'!$C4</f>
        <v>0</v>
      </c>
      <c r="L5" s="12">
        <f>'Supply2024-coding'!L4*'Use 2024'!$C4</f>
        <v>0</v>
      </c>
      <c r="M5" s="12">
        <f>'Supply2024-coding'!M4*'Use 2024'!$C4</f>
        <v>0</v>
      </c>
      <c r="N5" s="12">
        <f>'Supply2024-coding'!N4*'Use 2024'!$C4</f>
        <v>0</v>
      </c>
      <c r="O5" s="12">
        <f>'Supply2024-coding'!O4*'Use 2024'!$C4</f>
        <v>0</v>
      </c>
      <c r="P5" s="12">
        <f>'Supply2024-coding'!P4*'Use 2024'!$C4</f>
        <v>0</v>
      </c>
      <c r="Q5" s="12">
        <f>'Supply2024-coding'!Q4*'Use 2024'!$C4</f>
        <v>0</v>
      </c>
      <c r="R5" s="12">
        <f>'Supply2024-coding'!R4*'Use 2024'!$C4</f>
        <v>0</v>
      </c>
      <c r="S5" s="12">
        <f>'Supply2024-coding'!S4*'Use 2024'!$C4</f>
        <v>0</v>
      </c>
      <c r="T5" s="12">
        <f>'Supply2024-coding'!T4*'Use 2024'!$C4</f>
        <v>0</v>
      </c>
      <c r="U5" s="12">
        <f>'Supply2024-coding'!U4*'Use 2024'!$C4</f>
        <v>0</v>
      </c>
      <c r="V5" s="12">
        <f>'Supply2024-coding'!V4*'Use 2024'!$C4</f>
        <v>0</v>
      </c>
      <c r="W5" s="12">
        <f>'Supply2024-coding'!W4*'Use 2024'!$C4</f>
        <v>0</v>
      </c>
      <c r="X5" s="12">
        <f>'Supply2024-coding'!X4*'Use 2024'!$C4</f>
        <v>0</v>
      </c>
      <c r="Y5" s="12">
        <f>'Supply2024-coding'!Y4*'Use 2024'!$C4</f>
        <v>0</v>
      </c>
      <c r="Z5" s="12">
        <f>'Supply2024-coding'!Z4*'Use 2024'!$C4</f>
        <v>0</v>
      </c>
      <c r="AA5" s="12">
        <f>'Supply2024-coding'!AA4*'Use 2024'!$C4</f>
        <v>0</v>
      </c>
      <c r="AB5" s="12">
        <f>'Supply2024-coding'!AB4*'Use 2024'!$C4</f>
        <v>0</v>
      </c>
      <c r="AC5" s="12">
        <f>'Supply2024-coding'!AC4*'Use 2024'!$C4</f>
        <v>0</v>
      </c>
      <c r="AD5" s="12">
        <f>'Supply2024-coding'!AD4*'Use 2024'!$C4</f>
        <v>0</v>
      </c>
      <c r="AE5" s="12">
        <f>'Supply2024-coding'!AE4*'Use 2024'!$C4</f>
        <v>0</v>
      </c>
      <c r="AF5" s="12">
        <f>'Supply2024-coding'!AF4*'Use 2024'!$C4</f>
        <v>0</v>
      </c>
      <c r="AG5" s="12">
        <f>'Supply2024-coding'!AG4*'Use 2024'!$C4</f>
        <v>0</v>
      </c>
      <c r="AH5" s="12">
        <f>'Supply2024-coding'!AH4*'Use 2024'!$C4</f>
        <v>0</v>
      </c>
      <c r="AI5" s="12">
        <f>'Supply2024-coding'!AI4*'Use 2024'!$C4</f>
        <v>0</v>
      </c>
      <c r="AJ5" s="12">
        <f>'Supply2024-coding'!AJ4*'Use 2024'!$C4</f>
        <v>0</v>
      </c>
      <c r="AK5" s="12">
        <f>'Supply2024-coding'!AK4*'Use 2024'!$C4</f>
        <v>0</v>
      </c>
      <c r="AL5" s="12">
        <f>'Supply2024-coding'!AL4*'Use 2024'!$C4</f>
        <v>0</v>
      </c>
      <c r="AM5" s="12">
        <f>'Supply2024-coding'!AM4*'Use 2024'!$C4</f>
        <v>0</v>
      </c>
      <c r="AN5" s="12">
        <f>'Supply2024-coding'!AN4*'Use 2024'!$C4</f>
        <v>0</v>
      </c>
      <c r="AO5" s="12">
        <f>'Supply2024-coding'!AO4*'Use 2024'!$C4</f>
        <v>0</v>
      </c>
      <c r="AP5" s="12">
        <f>'Supply2024-coding'!AP4*'Use 2024'!$C4</f>
        <v>0</v>
      </c>
      <c r="AQ5" s="12">
        <f>'Supply2024-coding'!AQ4*'Use 2024'!$C4</f>
        <v>0</v>
      </c>
      <c r="AR5" s="12">
        <f>'Supply2024-coding'!AR4*'Use 2024'!$C4</f>
        <v>0</v>
      </c>
      <c r="AS5" s="12">
        <f>'Supply2024-coding'!AS4*'Use 2024'!$C4</f>
        <v>0</v>
      </c>
      <c r="AT5" s="12">
        <f>'Supply2024-coding'!AT4*'Use 2024'!$C4</f>
        <v>0</v>
      </c>
      <c r="AU5" s="12">
        <f>'Supply2024-coding'!AU4*'Use 2024'!$C4</f>
        <v>0</v>
      </c>
      <c r="AV5" s="12">
        <f>'Supply2024-coding'!AV4*'Use 2024'!$C4</f>
        <v>0</v>
      </c>
      <c r="AW5" s="12">
        <f>'Supply2024-coding'!AW4*'Use 2024'!$C4</f>
        <v>0</v>
      </c>
      <c r="AX5" s="12">
        <f>'Supply2024-coding'!AX4*'Use 2024'!$C4</f>
        <v>0</v>
      </c>
      <c r="AY5" s="12">
        <f>'Supply2024-coding'!AY4*'Use 2024'!$C4</f>
        <v>0</v>
      </c>
      <c r="AZ5" s="12">
        <f>'Supply2024-coding'!AZ4*'Use 2024'!$C4</f>
        <v>0</v>
      </c>
      <c r="BA5" s="12">
        <f>'Supply2024-coding'!BA4*'Use 2024'!$C4</f>
        <v>0</v>
      </c>
      <c r="BB5" s="12">
        <f>'Supply2024-coding'!BB4*'Use 2024'!$C4</f>
        <v>0</v>
      </c>
      <c r="BC5" s="12">
        <f>'Supply2024-coding'!BC4*'Use 2024'!$C4</f>
        <v>0</v>
      </c>
      <c r="BD5" s="12">
        <f>'Supply2024-coding'!BD4*'Use 2024'!$C4</f>
        <v>0</v>
      </c>
      <c r="BE5" s="12">
        <f>'Supply2024-coding'!BE4*'Use 2024'!$C4</f>
        <v>0</v>
      </c>
      <c r="BF5" s="12">
        <f>'Supply2024-coding'!BF4*'Use 2024'!$C4</f>
        <v>0</v>
      </c>
      <c r="BG5" s="12">
        <f>'Supply2024-coding'!BG4*'Use 2024'!$C4</f>
        <v>0</v>
      </c>
      <c r="BH5" s="12">
        <f>'Supply2024-coding'!BH4*'Use 2024'!$C4</f>
        <v>0</v>
      </c>
      <c r="BI5" s="12">
        <f>'Supply2024-coding'!BI4*'Use 2024'!$C4</f>
        <v>0</v>
      </c>
      <c r="BJ5" s="12">
        <f>'Supply2024-coding'!BJ4*'Use 2024'!$C4</f>
        <v>0</v>
      </c>
      <c r="BK5" s="12">
        <f>'Supply2024-coding'!BK4*'Use 2024'!$C4</f>
        <v>0</v>
      </c>
      <c r="BL5" s="12">
        <f>'Supply2024-coding'!BL4*'Use 2024'!$C4</f>
        <v>0</v>
      </c>
      <c r="BM5" s="12">
        <f>'Supply2024-coding'!BM4*'Use 2024'!$C4</f>
        <v>0</v>
      </c>
      <c r="BN5" s="12">
        <f>'Supply2024-coding'!BN4*'Use 2024'!$C4</f>
        <v>0</v>
      </c>
      <c r="BO5" s="12">
        <f>'Supply2024-coding'!BO4*'Use 2024'!$C4</f>
        <v>0</v>
      </c>
      <c r="BP5" s="12">
        <f>'Supply2024-coding'!BP4*'Use 2024'!$C4</f>
        <v>0</v>
      </c>
      <c r="BQ5" s="12">
        <f>'Supply2024-coding'!BQ4*'Use 2024'!$C4</f>
        <v>0</v>
      </c>
      <c r="BR5" s="12">
        <f>'Supply2024-coding'!BR4*'Use 2024'!$C4</f>
        <v>0</v>
      </c>
      <c r="BS5" s="12">
        <f>'Supply2024-coding'!BS4*'Use 2024'!$C4</f>
        <v>0</v>
      </c>
      <c r="BT5" s="12">
        <f>'Supply2024-coding'!BT4*'Use 2024'!$C4</f>
        <v>0</v>
      </c>
      <c r="BU5" s="12">
        <f>'Supply2024-coding'!BU4*'Use 2024'!$C4</f>
        <v>0</v>
      </c>
      <c r="BV5" s="12">
        <f>'Supply2024-coding'!BV4*'Use 2024'!$C4</f>
        <v>0</v>
      </c>
      <c r="BW5" s="12">
        <f>'Supply2024-coding'!BW4*'Use 2024'!$C4</f>
        <v>0</v>
      </c>
      <c r="BX5" s="12">
        <f>'Supply2024-coding'!BX4*'Use 2024'!$C4</f>
        <v>0</v>
      </c>
      <c r="BY5" s="12">
        <f>'Supply2024-coding'!BY4*'Use 2024'!$C4</f>
        <v>0</v>
      </c>
      <c r="BZ5" s="12">
        <f>'Supply2024-coding'!BZ4*'Use 2024'!$C4</f>
        <v>0</v>
      </c>
      <c r="CA5" s="12" t="e">
        <f>'Supply2024-coding'!CA4*'Use 2024'!$C4</f>
        <v>#DIV/0!</v>
      </c>
      <c r="CB5" s="12">
        <f>'Supply2024-coding'!CB4*'Use 2024'!$C4</f>
        <v>0</v>
      </c>
      <c r="CC5" s="12">
        <f>'Supply2024-coding'!CC4*'Use 2024'!$C4</f>
        <v>0</v>
      </c>
      <c r="CD5" s="12">
        <f>'Supply2024-coding'!CD4*'Use 2024'!$C4</f>
        <v>0</v>
      </c>
      <c r="CE5" s="12">
        <f>'Supply2024-coding'!CE4*'Use 2024'!$C4</f>
        <v>0</v>
      </c>
      <c r="CF5" s="12">
        <f>'Supply2024-coding'!CF4*'Use 2024'!$C4</f>
        <v>0</v>
      </c>
      <c r="CG5" s="12">
        <f>'Supply2024-coding'!CG4*'Use 2024'!$C4</f>
        <v>0</v>
      </c>
    </row>
    <row r="6" spans="1:85" x14ac:dyDescent="0.25">
      <c r="A6" t="s">
        <v>4</v>
      </c>
      <c r="B6" t="s">
        <v>97</v>
      </c>
      <c r="C6" s="12">
        <f>'Supply2024-coding'!C5*'Use 2024'!$C5</f>
        <v>0</v>
      </c>
      <c r="D6" s="12">
        <f>'Supply2024-coding'!D5*'Use 2024'!$C5</f>
        <v>0</v>
      </c>
      <c r="E6" s="12">
        <f>'Supply2024-coding'!E5*'Use 2024'!$C5</f>
        <v>3.6758739679915801E-7</v>
      </c>
      <c r="F6" s="12">
        <f>'Supply2024-coding'!F5*'Use 2024'!$C5</f>
        <v>2.2661269175447522E-3</v>
      </c>
      <c r="G6" s="12">
        <f>'Supply2024-coding'!G5*'Use 2024'!$C5</f>
        <v>0</v>
      </c>
      <c r="H6" s="12">
        <f>'Supply2024-coding'!H5*'Use 2024'!$C5</f>
        <v>0</v>
      </c>
      <c r="I6" s="12">
        <f>'Supply2024-coding'!I5*'Use 2024'!$C5</f>
        <v>0</v>
      </c>
      <c r="J6" s="12">
        <f>'Supply2024-coding'!J5*'Use 2024'!$C5</f>
        <v>0</v>
      </c>
      <c r="K6" s="12">
        <f>'Supply2024-coding'!K5*'Use 2024'!$C5</f>
        <v>1.2713678021002536E-5</v>
      </c>
      <c r="L6" s="12">
        <f>'Supply2024-coding'!L5*'Use 2024'!$C5</f>
        <v>0</v>
      </c>
      <c r="M6" s="12">
        <f>'Supply2024-coding'!M5*'Use 2024'!$C5</f>
        <v>0</v>
      </c>
      <c r="N6" s="12">
        <f>'Supply2024-coding'!N5*'Use 2024'!$C5</f>
        <v>0</v>
      </c>
      <c r="O6" s="12">
        <f>'Supply2024-coding'!O5*'Use 2024'!$C5</f>
        <v>0</v>
      </c>
      <c r="P6" s="12">
        <f>'Supply2024-coding'!P5*'Use 2024'!$C5</f>
        <v>0</v>
      </c>
      <c r="Q6" s="12">
        <f>'Supply2024-coding'!Q5*'Use 2024'!$C5</f>
        <v>0</v>
      </c>
      <c r="R6" s="12">
        <f>'Supply2024-coding'!R5*'Use 2024'!$C5</f>
        <v>0</v>
      </c>
      <c r="S6" s="12">
        <f>'Supply2024-coding'!S5*'Use 2024'!$C5</f>
        <v>0</v>
      </c>
      <c r="T6" s="12">
        <f>'Supply2024-coding'!T5*'Use 2024'!$C5</f>
        <v>0</v>
      </c>
      <c r="U6" s="12">
        <f>'Supply2024-coding'!U5*'Use 2024'!$C5</f>
        <v>0</v>
      </c>
      <c r="V6" s="12">
        <f>'Supply2024-coding'!V5*'Use 2024'!$C5</f>
        <v>0</v>
      </c>
      <c r="W6" s="12">
        <f>'Supply2024-coding'!W5*'Use 2024'!$C5</f>
        <v>0</v>
      </c>
      <c r="X6" s="12">
        <f>'Supply2024-coding'!X5*'Use 2024'!$C5</f>
        <v>0</v>
      </c>
      <c r="Y6" s="12">
        <f>'Supply2024-coding'!Y5*'Use 2024'!$C5</f>
        <v>0</v>
      </c>
      <c r="Z6" s="12">
        <f>'Supply2024-coding'!Z5*'Use 2024'!$C5</f>
        <v>2.6199900852131071E-7</v>
      </c>
      <c r="AA6" s="12">
        <f>'Supply2024-coding'!AA5*'Use 2024'!$C5</f>
        <v>0</v>
      </c>
      <c r="AB6" s="12">
        <f>'Supply2024-coding'!AB5*'Use 2024'!$C5</f>
        <v>0</v>
      </c>
      <c r="AC6" s="12">
        <f>'Supply2024-coding'!AC5*'Use 2024'!$C5</f>
        <v>0</v>
      </c>
      <c r="AD6" s="12">
        <f>'Supply2024-coding'!AD5*'Use 2024'!$C5</f>
        <v>0</v>
      </c>
      <c r="AE6" s="12">
        <f>'Supply2024-coding'!AE5*'Use 2024'!$C5</f>
        <v>0</v>
      </c>
      <c r="AF6" s="12">
        <f>'Supply2024-coding'!AF5*'Use 2024'!$C5</f>
        <v>0</v>
      </c>
      <c r="AG6" s="12">
        <f>'Supply2024-coding'!AG5*'Use 2024'!$C5</f>
        <v>0</v>
      </c>
      <c r="AH6" s="12">
        <f>'Supply2024-coding'!AH5*'Use 2024'!$C5</f>
        <v>0</v>
      </c>
      <c r="AI6" s="12">
        <f>'Supply2024-coding'!AI5*'Use 2024'!$C5</f>
        <v>0</v>
      </c>
      <c r="AJ6" s="12">
        <f>'Supply2024-coding'!AJ5*'Use 2024'!$C5</f>
        <v>0</v>
      </c>
      <c r="AK6" s="12">
        <f>'Supply2024-coding'!AK5*'Use 2024'!$C5</f>
        <v>0</v>
      </c>
      <c r="AL6" s="12">
        <f>'Supply2024-coding'!AL5*'Use 2024'!$C5</f>
        <v>0</v>
      </c>
      <c r="AM6" s="12">
        <f>'Supply2024-coding'!AM5*'Use 2024'!$C5</f>
        <v>0</v>
      </c>
      <c r="AN6" s="12">
        <f>'Supply2024-coding'!AN5*'Use 2024'!$C5</f>
        <v>0</v>
      </c>
      <c r="AO6" s="12">
        <f>'Supply2024-coding'!AO5*'Use 2024'!$C5</f>
        <v>0</v>
      </c>
      <c r="AP6" s="12">
        <f>'Supply2024-coding'!AP5*'Use 2024'!$C5</f>
        <v>0</v>
      </c>
      <c r="AQ6" s="12">
        <f>'Supply2024-coding'!AQ5*'Use 2024'!$C5</f>
        <v>0</v>
      </c>
      <c r="AR6" s="12">
        <f>'Supply2024-coding'!AR5*'Use 2024'!$C5</f>
        <v>0</v>
      </c>
      <c r="AS6" s="12">
        <f>'Supply2024-coding'!AS5*'Use 2024'!$C5</f>
        <v>0</v>
      </c>
      <c r="AT6" s="12">
        <f>'Supply2024-coding'!AT5*'Use 2024'!$C5</f>
        <v>0</v>
      </c>
      <c r="AU6" s="12">
        <f>'Supply2024-coding'!AU5*'Use 2024'!$C5</f>
        <v>0</v>
      </c>
      <c r="AV6" s="12">
        <f>'Supply2024-coding'!AV5*'Use 2024'!$C5</f>
        <v>0</v>
      </c>
      <c r="AW6" s="12">
        <f>'Supply2024-coding'!AW5*'Use 2024'!$C5</f>
        <v>0</v>
      </c>
      <c r="AX6" s="12">
        <f>'Supply2024-coding'!AX5*'Use 2024'!$C5</f>
        <v>0</v>
      </c>
      <c r="AY6" s="12">
        <f>'Supply2024-coding'!AY5*'Use 2024'!$C5</f>
        <v>0</v>
      </c>
      <c r="AZ6" s="12">
        <f>'Supply2024-coding'!AZ5*'Use 2024'!$C5</f>
        <v>0</v>
      </c>
      <c r="BA6" s="12">
        <f>'Supply2024-coding'!BA5*'Use 2024'!$C5</f>
        <v>0</v>
      </c>
      <c r="BB6" s="12">
        <f>'Supply2024-coding'!BB5*'Use 2024'!$C5</f>
        <v>0</v>
      </c>
      <c r="BC6" s="12">
        <f>'Supply2024-coding'!BC5*'Use 2024'!$C5</f>
        <v>0</v>
      </c>
      <c r="BD6" s="12">
        <f>'Supply2024-coding'!BD5*'Use 2024'!$C5</f>
        <v>0</v>
      </c>
      <c r="BE6" s="12">
        <f>'Supply2024-coding'!BE5*'Use 2024'!$C5</f>
        <v>0</v>
      </c>
      <c r="BF6" s="12">
        <f>'Supply2024-coding'!BF5*'Use 2024'!$C5</f>
        <v>0</v>
      </c>
      <c r="BG6" s="12">
        <f>'Supply2024-coding'!BG5*'Use 2024'!$C5</f>
        <v>0</v>
      </c>
      <c r="BH6" s="12">
        <f>'Supply2024-coding'!BH5*'Use 2024'!$C5</f>
        <v>0</v>
      </c>
      <c r="BI6" s="12">
        <f>'Supply2024-coding'!BI5*'Use 2024'!$C5</f>
        <v>0</v>
      </c>
      <c r="BJ6" s="12">
        <f>'Supply2024-coding'!BJ5*'Use 2024'!$C5</f>
        <v>0</v>
      </c>
      <c r="BK6" s="12">
        <f>'Supply2024-coding'!BK5*'Use 2024'!$C5</f>
        <v>0</v>
      </c>
      <c r="BL6" s="12">
        <f>'Supply2024-coding'!BL5*'Use 2024'!$C5</f>
        <v>0</v>
      </c>
      <c r="BM6" s="12">
        <f>'Supply2024-coding'!BM5*'Use 2024'!$C5</f>
        <v>0</v>
      </c>
      <c r="BN6" s="12">
        <f>'Supply2024-coding'!BN5*'Use 2024'!$C5</f>
        <v>0</v>
      </c>
      <c r="BO6" s="12">
        <f>'Supply2024-coding'!BO5*'Use 2024'!$C5</f>
        <v>0</v>
      </c>
      <c r="BP6" s="12">
        <f>'Supply2024-coding'!BP5*'Use 2024'!$C5</f>
        <v>0</v>
      </c>
      <c r="BQ6" s="12">
        <f>'Supply2024-coding'!BQ5*'Use 2024'!$C5</f>
        <v>0</v>
      </c>
      <c r="BR6" s="12">
        <f>'Supply2024-coding'!BR5*'Use 2024'!$C5</f>
        <v>0</v>
      </c>
      <c r="BS6" s="12">
        <f>'Supply2024-coding'!BS5*'Use 2024'!$C5</f>
        <v>0</v>
      </c>
      <c r="BT6" s="12">
        <f>'Supply2024-coding'!BT5*'Use 2024'!$C5</f>
        <v>8.3704529642202567E-7</v>
      </c>
      <c r="BU6" s="12">
        <f>'Supply2024-coding'!BU5*'Use 2024'!$C5</f>
        <v>0</v>
      </c>
      <c r="BV6" s="12">
        <f>'Supply2024-coding'!BV5*'Use 2024'!$C5</f>
        <v>6.2919573136241698E-6</v>
      </c>
      <c r="BW6" s="12">
        <f>'Supply2024-coding'!BW5*'Use 2024'!$C5</f>
        <v>4.8965928468475907E-6</v>
      </c>
      <c r="BX6" s="12">
        <f>'Supply2024-coding'!BX5*'Use 2024'!$C5</f>
        <v>0</v>
      </c>
      <c r="BY6" s="12">
        <f>'Supply2024-coding'!BY5*'Use 2024'!$C5</f>
        <v>6.1985937264975808E-6</v>
      </c>
      <c r="BZ6" s="12">
        <f>'Supply2024-coding'!BZ5*'Use 2024'!$C5</f>
        <v>-29.524895120752866</v>
      </c>
      <c r="CA6" s="12" t="e">
        <f>'Supply2024-coding'!CA5*'Use 2024'!$C5</f>
        <v>#DIV/0!</v>
      </c>
      <c r="CB6" s="12">
        <f>'Supply2024-coding'!CB5*'Use 2024'!$C5</f>
        <v>-127.45240560867758</v>
      </c>
      <c r="CC6" s="12">
        <f>'Supply2024-coding'!CC5*'Use 2024'!$C5</f>
        <v>3.8595995026258559E-7</v>
      </c>
      <c r="CD6" s="12">
        <f>'Supply2024-coding'!CD5*'Use 2024'!$C5</f>
        <v>1.4651280872945505E-5</v>
      </c>
      <c r="CE6" s="12">
        <f>'Supply2024-coding'!CE5*'Use 2024'!$C5</f>
        <v>0</v>
      </c>
      <c r="CF6" s="12">
        <f>'Supply2024-coding'!CF5*'Use 2024'!$C5</f>
        <v>1.4766871755213825E-5</v>
      </c>
      <c r="CG6" s="12">
        <f>'Supply2024-coding'!CG5*'Use 2024'!$C5</f>
        <v>8.6997687414816747E-6</v>
      </c>
    </row>
    <row r="7" spans="1:85" x14ac:dyDescent="0.25">
      <c r="A7" t="s">
        <v>5</v>
      </c>
      <c r="B7" t="s">
        <v>98</v>
      </c>
      <c r="C7" s="12">
        <f>'Supply2024-coding'!C6*'Use 2024'!$C6</f>
        <v>0</v>
      </c>
      <c r="D7" s="12">
        <f>'Supply2024-coding'!D6*'Use 2024'!$C6</f>
        <v>0</v>
      </c>
      <c r="E7" s="12">
        <f>'Supply2024-coding'!E6*'Use 2024'!$C6</f>
        <v>0</v>
      </c>
      <c r="F7" s="12">
        <f>'Supply2024-coding'!F6*'Use 2024'!$C6</f>
        <v>0</v>
      </c>
      <c r="G7" s="12">
        <f>'Supply2024-coding'!G6*'Use 2024'!$C6</f>
        <v>0</v>
      </c>
      <c r="H7" s="12">
        <f>'Supply2024-coding'!H6*'Use 2024'!$C6</f>
        <v>0</v>
      </c>
      <c r="I7" s="12">
        <f>'Supply2024-coding'!I6*'Use 2024'!$C6</f>
        <v>0</v>
      </c>
      <c r="J7" s="12">
        <f>'Supply2024-coding'!J6*'Use 2024'!$C6</f>
        <v>0</v>
      </c>
      <c r="K7" s="12">
        <f>'Supply2024-coding'!K6*'Use 2024'!$C6</f>
        <v>0</v>
      </c>
      <c r="L7" s="12">
        <f>'Supply2024-coding'!L6*'Use 2024'!$C6</f>
        <v>0</v>
      </c>
      <c r="M7" s="12">
        <f>'Supply2024-coding'!M6*'Use 2024'!$C6</f>
        <v>0</v>
      </c>
      <c r="N7" s="12">
        <f>'Supply2024-coding'!N6*'Use 2024'!$C6</f>
        <v>0</v>
      </c>
      <c r="O7" s="12">
        <f>'Supply2024-coding'!O6*'Use 2024'!$C6</f>
        <v>0</v>
      </c>
      <c r="P7" s="12">
        <f>'Supply2024-coding'!P6*'Use 2024'!$C6</f>
        <v>0</v>
      </c>
      <c r="Q7" s="12">
        <f>'Supply2024-coding'!Q6*'Use 2024'!$C6</f>
        <v>0</v>
      </c>
      <c r="R7" s="12">
        <f>'Supply2024-coding'!R6*'Use 2024'!$C6</f>
        <v>0</v>
      </c>
      <c r="S7" s="12">
        <f>'Supply2024-coding'!S6*'Use 2024'!$C6</f>
        <v>0</v>
      </c>
      <c r="T7" s="12">
        <f>'Supply2024-coding'!T6*'Use 2024'!$C6</f>
        <v>0</v>
      </c>
      <c r="U7" s="12">
        <f>'Supply2024-coding'!U6*'Use 2024'!$C6</f>
        <v>0</v>
      </c>
      <c r="V7" s="12">
        <f>'Supply2024-coding'!V6*'Use 2024'!$C6</f>
        <v>0</v>
      </c>
      <c r="W7" s="12">
        <f>'Supply2024-coding'!W6*'Use 2024'!$C6</f>
        <v>0</v>
      </c>
      <c r="X7" s="12">
        <f>'Supply2024-coding'!X6*'Use 2024'!$C6</f>
        <v>0</v>
      </c>
      <c r="Y7" s="12">
        <f>'Supply2024-coding'!Y6*'Use 2024'!$C6</f>
        <v>0</v>
      </c>
      <c r="Z7" s="12">
        <f>'Supply2024-coding'!Z6*'Use 2024'!$C6</f>
        <v>0</v>
      </c>
      <c r="AA7" s="12">
        <f>'Supply2024-coding'!AA6*'Use 2024'!$C6</f>
        <v>0</v>
      </c>
      <c r="AB7" s="12">
        <f>'Supply2024-coding'!AB6*'Use 2024'!$C6</f>
        <v>0</v>
      </c>
      <c r="AC7" s="12">
        <f>'Supply2024-coding'!AC6*'Use 2024'!$C6</f>
        <v>0</v>
      </c>
      <c r="AD7" s="12">
        <f>'Supply2024-coding'!AD6*'Use 2024'!$C6</f>
        <v>0</v>
      </c>
      <c r="AE7" s="12">
        <f>'Supply2024-coding'!AE6*'Use 2024'!$C6</f>
        <v>0</v>
      </c>
      <c r="AF7" s="12">
        <f>'Supply2024-coding'!AF6*'Use 2024'!$C6</f>
        <v>0</v>
      </c>
      <c r="AG7" s="12">
        <f>'Supply2024-coding'!AG6*'Use 2024'!$C6</f>
        <v>0</v>
      </c>
      <c r="AH7" s="12">
        <f>'Supply2024-coding'!AH6*'Use 2024'!$C6</f>
        <v>0</v>
      </c>
      <c r="AI7" s="12">
        <f>'Supply2024-coding'!AI6*'Use 2024'!$C6</f>
        <v>0</v>
      </c>
      <c r="AJ7" s="12">
        <f>'Supply2024-coding'!AJ6*'Use 2024'!$C6</f>
        <v>0</v>
      </c>
      <c r="AK7" s="12">
        <f>'Supply2024-coding'!AK6*'Use 2024'!$C6</f>
        <v>0</v>
      </c>
      <c r="AL7" s="12">
        <f>'Supply2024-coding'!AL6*'Use 2024'!$C6</f>
        <v>0</v>
      </c>
      <c r="AM7" s="12">
        <f>'Supply2024-coding'!AM6*'Use 2024'!$C6</f>
        <v>0</v>
      </c>
      <c r="AN7" s="12">
        <f>'Supply2024-coding'!AN6*'Use 2024'!$C6</f>
        <v>0</v>
      </c>
      <c r="AO7" s="12">
        <f>'Supply2024-coding'!AO6*'Use 2024'!$C6</f>
        <v>0</v>
      </c>
      <c r="AP7" s="12">
        <f>'Supply2024-coding'!AP6*'Use 2024'!$C6</f>
        <v>0</v>
      </c>
      <c r="AQ7" s="12">
        <f>'Supply2024-coding'!AQ6*'Use 2024'!$C6</f>
        <v>0</v>
      </c>
      <c r="AR7" s="12">
        <f>'Supply2024-coding'!AR6*'Use 2024'!$C6</f>
        <v>0</v>
      </c>
      <c r="AS7" s="12">
        <f>'Supply2024-coding'!AS6*'Use 2024'!$C6</f>
        <v>0</v>
      </c>
      <c r="AT7" s="12">
        <f>'Supply2024-coding'!AT6*'Use 2024'!$C6</f>
        <v>0</v>
      </c>
      <c r="AU7" s="12">
        <f>'Supply2024-coding'!AU6*'Use 2024'!$C6</f>
        <v>0</v>
      </c>
      <c r="AV7" s="12">
        <f>'Supply2024-coding'!AV6*'Use 2024'!$C6</f>
        <v>0</v>
      </c>
      <c r="AW7" s="12">
        <f>'Supply2024-coding'!AW6*'Use 2024'!$C6</f>
        <v>0</v>
      </c>
      <c r="AX7" s="12">
        <f>'Supply2024-coding'!AX6*'Use 2024'!$C6</f>
        <v>0</v>
      </c>
      <c r="AY7" s="12">
        <f>'Supply2024-coding'!AY6*'Use 2024'!$C6</f>
        <v>0</v>
      </c>
      <c r="AZ7" s="12">
        <f>'Supply2024-coding'!AZ6*'Use 2024'!$C6</f>
        <v>0</v>
      </c>
      <c r="BA7" s="12">
        <f>'Supply2024-coding'!BA6*'Use 2024'!$C6</f>
        <v>0</v>
      </c>
      <c r="BB7" s="12">
        <f>'Supply2024-coding'!BB6*'Use 2024'!$C6</f>
        <v>0</v>
      </c>
      <c r="BC7" s="12">
        <f>'Supply2024-coding'!BC6*'Use 2024'!$C6</f>
        <v>0</v>
      </c>
      <c r="BD7" s="12">
        <f>'Supply2024-coding'!BD6*'Use 2024'!$C6</f>
        <v>0</v>
      </c>
      <c r="BE7" s="12">
        <f>'Supply2024-coding'!BE6*'Use 2024'!$C6</f>
        <v>0</v>
      </c>
      <c r="BF7" s="12">
        <f>'Supply2024-coding'!BF6*'Use 2024'!$C6</f>
        <v>0</v>
      </c>
      <c r="BG7" s="12">
        <f>'Supply2024-coding'!BG6*'Use 2024'!$C6</f>
        <v>0</v>
      </c>
      <c r="BH7" s="12">
        <f>'Supply2024-coding'!BH6*'Use 2024'!$C6</f>
        <v>0</v>
      </c>
      <c r="BI7" s="12">
        <f>'Supply2024-coding'!BI6*'Use 2024'!$C6</f>
        <v>0</v>
      </c>
      <c r="BJ7" s="12">
        <f>'Supply2024-coding'!BJ6*'Use 2024'!$C6</f>
        <v>0</v>
      </c>
      <c r="BK7" s="12">
        <f>'Supply2024-coding'!BK6*'Use 2024'!$C6</f>
        <v>0</v>
      </c>
      <c r="BL7" s="12">
        <f>'Supply2024-coding'!BL6*'Use 2024'!$C6</f>
        <v>0</v>
      </c>
      <c r="BM7" s="12">
        <f>'Supply2024-coding'!BM6*'Use 2024'!$C6</f>
        <v>0</v>
      </c>
      <c r="BN7" s="12">
        <f>'Supply2024-coding'!BN6*'Use 2024'!$C6</f>
        <v>0</v>
      </c>
      <c r="BO7" s="12">
        <f>'Supply2024-coding'!BO6*'Use 2024'!$C6</f>
        <v>0</v>
      </c>
      <c r="BP7" s="12">
        <f>'Supply2024-coding'!BP6*'Use 2024'!$C6</f>
        <v>0</v>
      </c>
      <c r="BQ7" s="12">
        <f>'Supply2024-coding'!BQ6*'Use 2024'!$C6</f>
        <v>0</v>
      </c>
      <c r="BR7" s="12">
        <f>'Supply2024-coding'!BR6*'Use 2024'!$C6</f>
        <v>0</v>
      </c>
      <c r="BS7" s="12">
        <f>'Supply2024-coding'!BS6*'Use 2024'!$C6</f>
        <v>0</v>
      </c>
      <c r="BT7" s="12">
        <f>'Supply2024-coding'!BT6*'Use 2024'!$C6</f>
        <v>0</v>
      </c>
      <c r="BU7" s="12">
        <f>'Supply2024-coding'!BU6*'Use 2024'!$C6</f>
        <v>0</v>
      </c>
      <c r="BV7" s="12">
        <f>'Supply2024-coding'!BV6*'Use 2024'!$C6</f>
        <v>0</v>
      </c>
      <c r="BW7" s="12">
        <f>'Supply2024-coding'!BW6*'Use 2024'!$C6</f>
        <v>0</v>
      </c>
      <c r="BX7" s="12">
        <f>'Supply2024-coding'!BX6*'Use 2024'!$C6</f>
        <v>0</v>
      </c>
      <c r="BY7" s="12">
        <f>'Supply2024-coding'!BY6*'Use 2024'!$C6</f>
        <v>0</v>
      </c>
      <c r="BZ7" s="12">
        <f>'Supply2024-coding'!BZ6*'Use 2024'!$C6</f>
        <v>0</v>
      </c>
      <c r="CA7" s="12" t="e">
        <f>'Supply2024-coding'!CA6*'Use 2024'!$C6</f>
        <v>#DIV/0!</v>
      </c>
      <c r="CB7" s="12">
        <f>'Supply2024-coding'!CB6*'Use 2024'!$C6</f>
        <v>0</v>
      </c>
      <c r="CC7" s="12">
        <f>'Supply2024-coding'!CC6*'Use 2024'!$C6</f>
        <v>0</v>
      </c>
      <c r="CD7" s="12">
        <f>'Supply2024-coding'!CD6*'Use 2024'!$C6</f>
        <v>0</v>
      </c>
      <c r="CE7" s="12">
        <f>'Supply2024-coding'!CE6*'Use 2024'!$C6</f>
        <v>0</v>
      </c>
      <c r="CF7" s="12">
        <f>'Supply2024-coding'!CF6*'Use 2024'!$C6</f>
        <v>0</v>
      </c>
      <c r="CG7" s="12">
        <f>'Supply2024-coding'!CG6*'Use 2024'!$C6</f>
        <v>0</v>
      </c>
    </row>
    <row r="8" spans="1:85" x14ac:dyDescent="0.25">
      <c r="A8" t="s">
        <v>6</v>
      </c>
      <c r="B8" t="s">
        <v>99</v>
      </c>
      <c r="C8" s="12">
        <f>'Supply2024-coding'!C7*'Use 2024'!$C7</f>
        <v>0</v>
      </c>
      <c r="D8" s="12">
        <f>'Supply2024-coding'!D7*'Use 2024'!$C7</f>
        <v>0</v>
      </c>
      <c r="E8" s="12">
        <f>'Supply2024-coding'!E7*'Use 2024'!$C7</f>
        <v>0</v>
      </c>
      <c r="F8" s="12">
        <f>'Supply2024-coding'!F7*'Use 2024'!$C7</f>
        <v>0</v>
      </c>
      <c r="G8" s="12">
        <f>'Supply2024-coding'!G7*'Use 2024'!$C7</f>
        <v>0</v>
      </c>
      <c r="H8" s="12">
        <f>'Supply2024-coding'!H7*'Use 2024'!$C7</f>
        <v>0.43313597731734937</v>
      </c>
      <c r="I8" s="12">
        <f>'Supply2024-coding'!I7*'Use 2024'!$C7</f>
        <v>0</v>
      </c>
      <c r="J8" s="12">
        <f>'Supply2024-coding'!J7*'Use 2024'!$C7</f>
        <v>0</v>
      </c>
      <c r="K8" s="12">
        <f>'Supply2024-coding'!K7*'Use 2024'!$C7</f>
        <v>0</v>
      </c>
      <c r="L8" s="12">
        <f>'Supply2024-coding'!L7*'Use 2024'!$C7</f>
        <v>0</v>
      </c>
      <c r="M8" s="12">
        <f>'Supply2024-coding'!M7*'Use 2024'!$C7</f>
        <v>0</v>
      </c>
      <c r="N8" s="12">
        <f>'Supply2024-coding'!N7*'Use 2024'!$C7</f>
        <v>0</v>
      </c>
      <c r="O8" s="12">
        <f>'Supply2024-coding'!O7*'Use 2024'!$C7</f>
        <v>0</v>
      </c>
      <c r="P8" s="12">
        <f>'Supply2024-coding'!P7*'Use 2024'!$C7</f>
        <v>0</v>
      </c>
      <c r="Q8" s="12">
        <f>'Supply2024-coding'!Q7*'Use 2024'!$C7</f>
        <v>0</v>
      </c>
      <c r="R8" s="12">
        <f>'Supply2024-coding'!R7*'Use 2024'!$C7</f>
        <v>0</v>
      </c>
      <c r="S8" s="12">
        <f>'Supply2024-coding'!S7*'Use 2024'!$C7</f>
        <v>0</v>
      </c>
      <c r="T8" s="12">
        <f>'Supply2024-coding'!T7*'Use 2024'!$C7</f>
        <v>0</v>
      </c>
      <c r="U8" s="12">
        <f>'Supply2024-coding'!U7*'Use 2024'!$C7</f>
        <v>0</v>
      </c>
      <c r="V8" s="12">
        <f>'Supply2024-coding'!V7*'Use 2024'!$C7</f>
        <v>0</v>
      </c>
      <c r="W8" s="12">
        <f>'Supply2024-coding'!W7*'Use 2024'!$C7</f>
        <v>0</v>
      </c>
      <c r="X8" s="12">
        <f>'Supply2024-coding'!X7*'Use 2024'!$C7</f>
        <v>0</v>
      </c>
      <c r="Y8" s="12">
        <f>'Supply2024-coding'!Y7*'Use 2024'!$C7</f>
        <v>0</v>
      </c>
      <c r="Z8" s="12">
        <f>'Supply2024-coding'!Z7*'Use 2024'!$C7</f>
        <v>0</v>
      </c>
      <c r="AA8" s="12">
        <f>'Supply2024-coding'!AA7*'Use 2024'!$C7</f>
        <v>0</v>
      </c>
      <c r="AB8" s="12">
        <f>'Supply2024-coding'!AB7*'Use 2024'!$C7</f>
        <v>0</v>
      </c>
      <c r="AC8" s="12">
        <f>'Supply2024-coding'!AC7*'Use 2024'!$C7</f>
        <v>0</v>
      </c>
      <c r="AD8" s="12">
        <f>'Supply2024-coding'!AD7*'Use 2024'!$C7</f>
        <v>0</v>
      </c>
      <c r="AE8" s="12">
        <f>'Supply2024-coding'!AE7*'Use 2024'!$C7</f>
        <v>0</v>
      </c>
      <c r="AF8" s="12">
        <f>'Supply2024-coding'!AF7*'Use 2024'!$C7</f>
        <v>0</v>
      </c>
      <c r="AG8" s="12">
        <f>'Supply2024-coding'!AG7*'Use 2024'!$C7</f>
        <v>0</v>
      </c>
      <c r="AH8" s="12">
        <f>'Supply2024-coding'!AH7*'Use 2024'!$C7</f>
        <v>0</v>
      </c>
      <c r="AI8" s="12">
        <f>'Supply2024-coding'!AI7*'Use 2024'!$C7</f>
        <v>0</v>
      </c>
      <c r="AJ8" s="12">
        <f>'Supply2024-coding'!AJ7*'Use 2024'!$C7</f>
        <v>0</v>
      </c>
      <c r="AK8" s="12">
        <f>'Supply2024-coding'!AK7*'Use 2024'!$C7</f>
        <v>0</v>
      </c>
      <c r="AL8" s="12">
        <f>'Supply2024-coding'!AL7*'Use 2024'!$C7</f>
        <v>0</v>
      </c>
      <c r="AM8" s="12">
        <f>'Supply2024-coding'!AM7*'Use 2024'!$C7</f>
        <v>1.4477944585768272E-3</v>
      </c>
      <c r="AN8" s="12">
        <f>'Supply2024-coding'!AN7*'Use 2024'!$C7</f>
        <v>0</v>
      </c>
      <c r="AO8" s="12">
        <f>'Supply2024-coding'!AO7*'Use 2024'!$C7</f>
        <v>0</v>
      </c>
      <c r="AP8" s="12">
        <f>'Supply2024-coding'!AP7*'Use 2024'!$C7</f>
        <v>0</v>
      </c>
      <c r="AQ8" s="12">
        <f>'Supply2024-coding'!AQ7*'Use 2024'!$C7</f>
        <v>0</v>
      </c>
      <c r="AR8" s="12">
        <f>'Supply2024-coding'!AR7*'Use 2024'!$C7</f>
        <v>0</v>
      </c>
      <c r="AS8" s="12">
        <f>'Supply2024-coding'!AS7*'Use 2024'!$C7</f>
        <v>0</v>
      </c>
      <c r="AT8" s="12">
        <f>'Supply2024-coding'!AT7*'Use 2024'!$C7</f>
        <v>0</v>
      </c>
      <c r="AU8" s="12">
        <f>'Supply2024-coding'!AU7*'Use 2024'!$C7</f>
        <v>0</v>
      </c>
      <c r="AV8" s="12">
        <f>'Supply2024-coding'!AV7*'Use 2024'!$C7</f>
        <v>0</v>
      </c>
      <c r="AW8" s="12">
        <f>'Supply2024-coding'!AW7*'Use 2024'!$C7</f>
        <v>0</v>
      </c>
      <c r="AX8" s="12">
        <f>'Supply2024-coding'!AX7*'Use 2024'!$C7</f>
        <v>0</v>
      </c>
      <c r="AY8" s="12">
        <f>'Supply2024-coding'!AY7*'Use 2024'!$C7</f>
        <v>0</v>
      </c>
      <c r="AZ8" s="12">
        <f>'Supply2024-coding'!AZ7*'Use 2024'!$C7</f>
        <v>0</v>
      </c>
      <c r="BA8" s="12">
        <f>'Supply2024-coding'!BA7*'Use 2024'!$C7</f>
        <v>0</v>
      </c>
      <c r="BB8" s="12">
        <f>'Supply2024-coding'!BB7*'Use 2024'!$C7</f>
        <v>0</v>
      </c>
      <c r="BC8" s="12">
        <f>'Supply2024-coding'!BC7*'Use 2024'!$C7</f>
        <v>0</v>
      </c>
      <c r="BD8" s="12">
        <f>'Supply2024-coding'!BD7*'Use 2024'!$C7</f>
        <v>0</v>
      </c>
      <c r="BE8" s="12">
        <f>'Supply2024-coding'!BE7*'Use 2024'!$C7</f>
        <v>0</v>
      </c>
      <c r="BF8" s="12">
        <f>'Supply2024-coding'!BF7*'Use 2024'!$C7</f>
        <v>0</v>
      </c>
      <c r="BG8" s="12">
        <f>'Supply2024-coding'!BG7*'Use 2024'!$C7</f>
        <v>0</v>
      </c>
      <c r="BH8" s="12">
        <f>'Supply2024-coding'!BH7*'Use 2024'!$C7</f>
        <v>0</v>
      </c>
      <c r="BI8" s="12">
        <f>'Supply2024-coding'!BI7*'Use 2024'!$C7</f>
        <v>0</v>
      </c>
      <c r="BJ8" s="12">
        <f>'Supply2024-coding'!BJ7*'Use 2024'!$C7</f>
        <v>0</v>
      </c>
      <c r="BK8" s="12">
        <f>'Supply2024-coding'!BK7*'Use 2024'!$C7</f>
        <v>0</v>
      </c>
      <c r="BL8" s="12">
        <f>'Supply2024-coding'!BL7*'Use 2024'!$C7</f>
        <v>0</v>
      </c>
      <c r="BM8" s="12">
        <f>'Supply2024-coding'!BM7*'Use 2024'!$C7</f>
        <v>0</v>
      </c>
      <c r="BN8" s="12">
        <f>'Supply2024-coding'!BN7*'Use 2024'!$C7</f>
        <v>0</v>
      </c>
      <c r="BO8" s="12">
        <f>'Supply2024-coding'!BO7*'Use 2024'!$C7</f>
        <v>0</v>
      </c>
      <c r="BP8" s="12">
        <f>'Supply2024-coding'!BP7*'Use 2024'!$C7</f>
        <v>0</v>
      </c>
      <c r="BQ8" s="12">
        <f>'Supply2024-coding'!BQ7*'Use 2024'!$C7</f>
        <v>0</v>
      </c>
      <c r="BR8" s="12">
        <f>'Supply2024-coding'!BR7*'Use 2024'!$C7</f>
        <v>-6.3853519019738861E-6</v>
      </c>
      <c r="BS8" s="12">
        <f>'Supply2024-coding'!BS7*'Use 2024'!$C7</f>
        <v>6.8871065657527611E-2</v>
      </c>
      <c r="BT8" s="12">
        <f>'Supply2024-coding'!BT7*'Use 2024'!$C7</f>
        <v>2.2286892026248471E-4</v>
      </c>
      <c r="BU8" s="12">
        <f>'Supply2024-coding'!BU7*'Use 2024'!$C7</f>
        <v>0.15474972244323126</v>
      </c>
      <c r="BV8" s="12">
        <f>'Supply2024-coding'!BV7*'Use 2024'!$C7</f>
        <v>7.1094809166669069E-3</v>
      </c>
      <c r="BW8" s="12">
        <f>'Supply2024-coding'!BW7*'Use 2024'!$C7</f>
        <v>2.9949638751902702E-4</v>
      </c>
      <c r="BX8" s="12">
        <f>'Supply2024-coding'!BX7*'Use 2024'!$C7</f>
        <v>0</v>
      </c>
      <c r="BY8" s="12">
        <f>'Supply2024-coding'!BY7*'Use 2024'!$C7</f>
        <v>6.6402234010245415E-3</v>
      </c>
      <c r="BZ8" s="12">
        <f>'Supply2024-coding'!BZ7*'Use 2024'!$C7</f>
        <v>0</v>
      </c>
      <c r="CA8" s="12" t="e">
        <f>'Supply2024-coding'!CA7*'Use 2024'!$C7</f>
        <v>#DIV/0!</v>
      </c>
      <c r="CB8" s="12">
        <f>'Supply2024-coding'!CB7*'Use 2024'!$C7</f>
        <v>0</v>
      </c>
      <c r="CC8" s="12">
        <f>'Supply2024-coding'!CC7*'Use 2024'!$C7</f>
        <v>0</v>
      </c>
      <c r="CD8" s="12">
        <f>'Supply2024-coding'!CD7*'Use 2024'!$C7</f>
        <v>1.767363614592677E-2</v>
      </c>
      <c r="CE8" s="12">
        <f>'Supply2024-coding'!CE7*'Use 2024'!$C7</f>
        <v>0</v>
      </c>
      <c r="CF8" s="12">
        <f>'Supply2024-coding'!CF7*'Use 2024'!$C7</f>
        <v>1.7774553282500365E-2</v>
      </c>
      <c r="CG8" s="12">
        <f>'Supply2024-coding'!CG7*'Use 2024'!$C7</f>
        <v>6.8469353444672318E-3</v>
      </c>
    </row>
    <row r="9" spans="1:85" x14ac:dyDescent="0.25">
      <c r="A9" t="s">
        <v>7</v>
      </c>
      <c r="B9" t="s">
        <v>100</v>
      </c>
      <c r="C9" s="12">
        <f>'Supply2024-coding'!C8*'Use 2024'!$C8</f>
        <v>0</v>
      </c>
      <c r="D9" s="12">
        <f>'Supply2024-coding'!D8*'Use 2024'!$C8</f>
        <v>0</v>
      </c>
      <c r="E9" s="12">
        <f>'Supply2024-coding'!E8*'Use 2024'!$C8</f>
        <v>0</v>
      </c>
      <c r="F9" s="12">
        <f>'Supply2024-coding'!F8*'Use 2024'!$C8</f>
        <v>0</v>
      </c>
      <c r="G9" s="12">
        <f>'Supply2024-coding'!G8*'Use 2024'!$C8</f>
        <v>0</v>
      </c>
      <c r="H9" s="12">
        <f>'Supply2024-coding'!H8*'Use 2024'!$C8</f>
        <v>0</v>
      </c>
      <c r="I9" s="12">
        <f>'Supply2024-coding'!I8*'Use 2024'!$C8</f>
        <v>0</v>
      </c>
      <c r="J9" s="12">
        <f>'Supply2024-coding'!J8*'Use 2024'!$C8</f>
        <v>0</v>
      </c>
      <c r="K9" s="12">
        <f>'Supply2024-coding'!K8*'Use 2024'!$C8</f>
        <v>0</v>
      </c>
      <c r="L9" s="12">
        <f>'Supply2024-coding'!L8*'Use 2024'!$C8</f>
        <v>0</v>
      </c>
      <c r="M9" s="12">
        <f>'Supply2024-coding'!M8*'Use 2024'!$C8</f>
        <v>0</v>
      </c>
      <c r="N9" s="12">
        <f>'Supply2024-coding'!N8*'Use 2024'!$C8</f>
        <v>0</v>
      </c>
      <c r="O9" s="12">
        <f>'Supply2024-coding'!O8*'Use 2024'!$C8</f>
        <v>0</v>
      </c>
      <c r="P9" s="12">
        <f>'Supply2024-coding'!P8*'Use 2024'!$C8</f>
        <v>0</v>
      </c>
      <c r="Q9" s="12">
        <f>'Supply2024-coding'!Q8*'Use 2024'!$C8</f>
        <v>0</v>
      </c>
      <c r="R9" s="12">
        <f>'Supply2024-coding'!R8*'Use 2024'!$C8</f>
        <v>0</v>
      </c>
      <c r="S9" s="12">
        <f>'Supply2024-coding'!S8*'Use 2024'!$C8</f>
        <v>0</v>
      </c>
      <c r="T9" s="12">
        <f>'Supply2024-coding'!T8*'Use 2024'!$C8</f>
        <v>0</v>
      </c>
      <c r="U9" s="12">
        <f>'Supply2024-coding'!U8*'Use 2024'!$C8</f>
        <v>0</v>
      </c>
      <c r="V9" s="12">
        <f>'Supply2024-coding'!V8*'Use 2024'!$C8</f>
        <v>0</v>
      </c>
      <c r="W9" s="12">
        <f>'Supply2024-coding'!W8*'Use 2024'!$C8</f>
        <v>0</v>
      </c>
      <c r="X9" s="12">
        <f>'Supply2024-coding'!X8*'Use 2024'!$C8</f>
        <v>0</v>
      </c>
      <c r="Y9" s="12">
        <f>'Supply2024-coding'!Y8*'Use 2024'!$C8</f>
        <v>0</v>
      </c>
      <c r="Z9" s="12">
        <f>'Supply2024-coding'!Z8*'Use 2024'!$C8</f>
        <v>0</v>
      </c>
      <c r="AA9" s="12">
        <f>'Supply2024-coding'!AA8*'Use 2024'!$C8</f>
        <v>0</v>
      </c>
      <c r="AB9" s="12">
        <f>'Supply2024-coding'!AB8*'Use 2024'!$C8</f>
        <v>0</v>
      </c>
      <c r="AC9" s="12">
        <f>'Supply2024-coding'!AC8*'Use 2024'!$C8</f>
        <v>0</v>
      </c>
      <c r="AD9" s="12">
        <f>'Supply2024-coding'!AD8*'Use 2024'!$C8</f>
        <v>0</v>
      </c>
      <c r="AE9" s="12">
        <f>'Supply2024-coding'!AE8*'Use 2024'!$C8</f>
        <v>0</v>
      </c>
      <c r="AF9" s="12">
        <f>'Supply2024-coding'!AF8*'Use 2024'!$C8</f>
        <v>0</v>
      </c>
      <c r="AG9" s="12">
        <f>'Supply2024-coding'!AG8*'Use 2024'!$C8</f>
        <v>0</v>
      </c>
      <c r="AH9" s="12">
        <f>'Supply2024-coding'!AH8*'Use 2024'!$C8</f>
        <v>0</v>
      </c>
      <c r="AI9" s="12">
        <f>'Supply2024-coding'!AI8*'Use 2024'!$C8</f>
        <v>0</v>
      </c>
      <c r="AJ9" s="12">
        <f>'Supply2024-coding'!AJ8*'Use 2024'!$C8</f>
        <v>0</v>
      </c>
      <c r="AK9" s="12">
        <f>'Supply2024-coding'!AK8*'Use 2024'!$C8</f>
        <v>0</v>
      </c>
      <c r="AL9" s="12">
        <f>'Supply2024-coding'!AL8*'Use 2024'!$C8</f>
        <v>0</v>
      </c>
      <c r="AM9" s="12">
        <f>'Supply2024-coding'!AM8*'Use 2024'!$C8</f>
        <v>0</v>
      </c>
      <c r="AN9" s="12">
        <f>'Supply2024-coding'!AN8*'Use 2024'!$C8</f>
        <v>0</v>
      </c>
      <c r="AO9" s="12">
        <f>'Supply2024-coding'!AO8*'Use 2024'!$C8</f>
        <v>0</v>
      </c>
      <c r="AP9" s="12">
        <f>'Supply2024-coding'!AP8*'Use 2024'!$C8</f>
        <v>0</v>
      </c>
      <c r="AQ9" s="12">
        <f>'Supply2024-coding'!AQ8*'Use 2024'!$C8</f>
        <v>0</v>
      </c>
      <c r="AR9" s="12">
        <f>'Supply2024-coding'!AR8*'Use 2024'!$C8</f>
        <v>0</v>
      </c>
      <c r="AS9" s="12">
        <f>'Supply2024-coding'!AS8*'Use 2024'!$C8</f>
        <v>0</v>
      </c>
      <c r="AT9" s="12">
        <f>'Supply2024-coding'!AT8*'Use 2024'!$C8</f>
        <v>0</v>
      </c>
      <c r="AU9" s="12">
        <f>'Supply2024-coding'!AU8*'Use 2024'!$C8</f>
        <v>0</v>
      </c>
      <c r="AV9" s="12">
        <f>'Supply2024-coding'!AV8*'Use 2024'!$C8</f>
        <v>0</v>
      </c>
      <c r="AW9" s="12">
        <f>'Supply2024-coding'!AW8*'Use 2024'!$C8</f>
        <v>0</v>
      </c>
      <c r="AX9" s="12">
        <f>'Supply2024-coding'!AX8*'Use 2024'!$C8</f>
        <v>0</v>
      </c>
      <c r="AY9" s="12">
        <f>'Supply2024-coding'!AY8*'Use 2024'!$C8</f>
        <v>0</v>
      </c>
      <c r="AZ9" s="12">
        <f>'Supply2024-coding'!AZ8*'Use 2024'!$C8</f>
        <v>0</v>
      </c>
      <c r="BA9" s="12">
        <f>'Supply2024-coding'!BA8*'Use 2024'!$C8</f>
        <v>0</v>
      </c>
      <c r="BB9" s="12">
        <f>'Supply2024-coding'!BB8*'Use 2024'!$C8</f>
        <v>0</v>
      </c>
      <c r="BC9" s="12">
        <f>'Supply2024-coding'!BC8*'Use 2024'!$C8</f>
        <v>0</v>
      </c>
      <c r="BD9" s="12">
        <f>'Supply2024-coding'!BD8*'Use 2024'!$C8</f>
        <v>0</v>
      </c>
      <c r="BE9" s="12">
        <f>'Supply2024-coding'!BE8*'Use 2024'!$C8</f>
        <v>0</v>
      </c>
      <c r="BF9" s="12">
        <f>'Supply2024-coding'!BF8*'Use 2024'!$C8</f>
        <v>0</v>
      </c>
      <c r="BG9" s="12">
        <f>'Supply2024-coding'!BG8*'Use 2024'!$C8</f>
        <v>0</v>
      </c>
      <c r="BH9" s="12">
        <f>'Supply2024-coding'!BH8*'Use 2024'!$C8</f>
        <v>0</v>
      </c>
      <c r="BI9" s="12">
        <f>'Supply2024-coding'!BI8*'Use 2024'!$C8</f>
        <v>0</v>
      </c>
      <c r="BJ9" s="12">
        <f>'Supply2024-coding'!BJ8*'Use 2024'!$C8</f>
        <v>0</v>
      </c>
      <c r="BK9" s="12">
        <f>'Supply2024-coding'!BK8*'Use 2024'!$C8</f>
        <v>0</v>
      </c>
      <c r="BL9" s="12">
        <f>'Supply2024-coding'!BL8*'Use 2024'!$C8</f>
        <v>0</v>
      </c>
      <c r="BM9" s="12">
        <f>'Supply2024-coding'!BM8*'Use 2024'!$C8</f>
        <v>0</v>
      </c>
      <c r="BN9" s="12">
        <f>'Supply2024-coding'!BN8*'Use 2024'!$C8</f>
        <v>0</v>
      </c>
      <c r="BO9" s="12">
        <f>'Supply2024-coding'!BO8*'Use 2024'!$C8</f>
        <v>0</v>
      </c>
      <c r="BP9" s="12">
        <f>'Supply2024-coding'!BP8*'Use 2024'!$C8</f>
        <v>0</v>
      </c>
      <c r="BQ9" s="12">
        <f>'Supply2024-coding'!BQ8*'Use 2024'!$C8</f>
        <v>0</v>
      </c>
      <c r="BR9" s="12">
        <f>'Supply2024-coding'!BR8*'Use 2024'!$C8</f>
        <v>0</v>
      </c>
      <c r="BS9" s="12">
        <f>'Supply2024-coding'!BS8*'Use 2024'!$C8</f>
        <v>0</v>
      </c>
      <c r="BT9" s="12">
        <f>'Supply2024-coding'!BT8*'Use 2024'!$C8</f>
        <v>0</v>
      </c>
      <c r="BU9" s="12">
        <f>'Supply2024-coding'!BU8*'Use 2024'!$C8</f>
        <v>0</v>
      </c>
      <c r="BV9" s="12">
        <f>'Supply2024-coding'!BV8*'Use 2024'!$C8</f>
        <v>0</v>
      </c>
      <c r="BW9" s="12">
        <f>'Supply2024-coding'!BW8*'Use 2024'!$C8</f>
        <v>0</v>
      </c>
      <c r="BX9" s="12">
        <f>'Supply2024-coding'!BX8*'Use 2024'!$C8</f>
        <v>0</v>
      </c>
      <c r="BY9" s="12">
        <f>'Supply2024-coding'!BY8*'Use 2024'!$C8</f>
        <v>0</v>
      </c>
      <c r="BZ9" s="12">
        <f>'Supply2024-coding'!BZ8*'Use 2024'!$C8</f>
        <v>0</v>
      </c>
      <c r="CA9" s="12" t="e">
        <f>'Supply2024-coding'!CA8*'Use 2024'!$C8</f>
        <v>#DIV/0!</v>
      </c>
      <c r="CB9" s="12">
        <f>'Supply2024-coding'!CB8*'Use 2024'!$C8</f>
        <v>0</v>
      </c>
      <c r="CC9" s="12">
        <f>'Supply2024-coding'!CC8*'Use 2024'!$C8</f>
        <v>0</v>
      </c>
      <c r="CD9" s="12">
        <f>'Supply2024-coding'!CD8*'Use 2024'!$C8</f>
        <v>0</v>
      </c>
      <c r="CE9" s="12">
        <f>'Supply2024-coding'!CE8*'Use 2024'!$C8</f>
        <v>0</v>
      </c>
      <c r="CF9" s="12">
        <f>'Supply2024-coding'!CF8*'Use 2024'!$C8</f>
        <v>0</v>
      </c>
      <c r="CG9" s="12">
        <f>'Supply2024-coding'!CG8*'Use 2024'!$C8</f>
        <v>0</v>
      </c>
    </row>
    <row r="10" spans="1:85" x14ac:dyDescent="0.25">
      <c r="A10" t="s">
        <v>8</v>
      </c>
      <c r="B10" t="s">
        <v>101</v>
      </c>
      <c r="C10" s="12">
        <f>'Supply2024-coding'!C9*'Use 2024'!$C9</f>
        <v>8.1530169322622064E-7</v>
      </c>
      <c r="D10" s="12">
        <f>'Supply2024-coding'!D9*'Use 2024'!$C9</f>
        <v>0</v>
      </c>
      <c r="E10" s="12">
        <f>'Supply2024-coding'!E9*'Use 2024'!$C9</f>
        <v>0</v>
      </c>
      <c r="F10" s="12">
        <f>'Supply2024-coding'!F9*'Use 2024'!$C9</f>
        <v>0</v>
      </c>
      <c r="G10" s="12">
        <f>'Supply2024-coding'!G9*'Use 2024'!$C9</f>
        <v>0</v>
      </c>
      <c r="H10" s="12">
        <f>'Supply2024-coding'!H9*'Use 2024'!$C9</f>
        <v>0</v>
      </c>
      <c r="I10" s="12">
        <f>'Supply2024-coding'!I9*'Use 2024'!$C9</f>
        <v>0</v>
      </c>
      <c r="J10" s="12">
        <f>'Supply2024-coding'!J9*'Use 2024'!$C9</f>
        <v>3.7555423744636864E-2</v>
      </c>
      <c r="K10" s="12">
        <f>'Supply2024-coding'!K9*'Use 2024'!$C9</f>
        <v>5.1116880856982317E-6</v>
      </c>
      <c r="L10" s="12">
        <f>'Supply2024-coding'!L9*'Use 2024'!$C9</f>
        <v>0</v>
      </c>
      <c r="M10" s="12">
        <f>'Supply2024-coding'!M9*'Use 2024'!$C9</f>
        <v>2.273043269809893E-5</v>
      </c>
      <c r="N10" s="12">
        <f>'Supply2024-coding'!N9*'Use 2024'!$C9</f>
        <v>0</v>
      </c>
      <c r="O10" s="12">
        <f>'Supply2024-coding'!O9*'Use 2024'!$C9</f>
        <v>0</v>
      </c>
      <c r="P10" s="12">
        <f>'Supply2024-coding'!P9*'Use 2024'!$C9</f>
        <v>0</v>
      </c>
      <c r="Q10" s="12">
        <f>'Supply2024-coding'!Q9*'Use 2024'!$C9</f>
        <v>0</v>
      </c>
      <c r="R10" s="12">
        <f>'Supply2024-coding'!R9*'Use 2024'!$C9</f>
        <v>0</v>
      </c>
      <c r="S10" s="12">
        <f>'Supply2024-coding'!S9*'Use 2024'!$C9</f>
        <v>2.6877219239320772E-4</v>
      </c>
      <c r="T10" s="12">
        <f>'Supply2024-coding'!T9*'Use 2024'!$C9</f>
        <v>2.2117282321551217E-5</v>
      </c>
      <c r="U10" s="12">
        <f>'Supply2024-coding'!U9*'Use 2024'!$C9</f>
        <v>0</v>
      </c>
      <c r="V10" s="12">
        <f>'Supply2024-coding'!V9*'Use 2024'!$C9</f>
        <v>0</v>
      </c>
      <c r="W10" s="12">
        <f>'Supply2024-coding'!W9*'Use 2024'!$C9</f>
        <v>0</v>
      </c>
      <c r="X10" s="12">
        <f>'Supply2024-coding'!X9*'Use 2024'!$C9</f>
        <v>3.8968932186840662E-5</v>
      </c>
      <c r="Y10" s="12">
        <f>'Supply2024-coding'!Y9*'Use 2024'!$C9</f>
        <v>8.7656571686085663E-6</v>
      </c>
      <c r="Z10" s="12">
        <f>'Supply2024-coding'!Z9*'Use 2024'!$C9</f>
        <v>0</v>
      </c>
      <c r="AA10" s="12">
        <f>'Supply2024-coding'!AA9*'Use 2024'!$C9</f>
        <v>1.1784491561321852E-7</v>
      </c>
      <c r="AB10" s="12">
        <f>'Supply2024-coding'!AB9*'Use 2024'!$C9</f>
        <v>2.8007811712457582E-5</v>
      </c>
      <c r="AC10" s="12">
        <f>'Supply2024-coding'!AC9*'Use 2024'!$C9</f>
        <v>0</v>
      </c>
      <c r="AD10" s="12">
        <f>'Supply2024-coding'!AD9*'Use 2024'!$C9</f>
        <v>0</v>
      </c>
      <c r="AE10" s="12">
        <f>'Supply2024-coding'!AE9*'Use 2024'!$C9</f>
        <v>0</v>
      </c>
      <c r="AF10" s="12">
        <f>'Supply2024-coding'!AF9*'Use 2024'!$C9</f>
        <v>0</v>
      </c>
      <c r="AG10" s="12">
        <f>'Supply2024-coding'!AG9*'Use 2024'!$C9</f>
        <v>0</v>
      </c>
      <c r="AH10" s="12">
        <f>'Supply2024-coding'!AH9*'Use 2024'!$C9</f>
        <v>0</v>
      </c>
      <c r="AI10" s="12">
        <f>'Supply2024-coding'!AI9*'Use 2024'!$C9</f>
        <v>0</v>
      </c>
      <c r="AJ10" s="12">
        <f>'Supply2024-coding'!AJ9*'Use 2024'!$C9</f>
        <v>0</v>
      </c>
      <c r="AK10" s="12">
        <f>'Supply2024-coding'!AK9*'Use 2024'!$C9</f>
        <v>0</v>
      </c>
      <c r="AL10" s="12">
        <f>'Supply2024-coding'!AL9*'Use 2024'!$C9</f>
        <v>0</v>
      </c>
      <c r="AM10" s="12">
        <f>'Supply2024-coding'!AM9*'Use 2024'!$C9</f>
        <v>0</v>
      </c>
      <c r="AN10" s="12">
        <f>'Supply2024-coding'!AN9*'Use 2024'!$C9</f>
        <v>0</v>
      </c>
      <c r="AO10" s="12">
        <f>'Supply2024-coding'!AO9*'Use 2024'!$C9</f>
        <v>0</v>
      </c>
      <c r="AP10" s="12">
        <f>'Supply2024-coding'!AP9*'Use 2024'!$C9</f>
        <v>0</v>
      </c>
      <c r="AQ10" s="12">
        <f>'Supply2024-coding'!AQ9*'Use 2024'!$C9</f>
        <v>0</v>
      </c>
      <c r="AR10" s="12">
        <f>'Supply2024-coding'!AR9*'Use 2024'!$C9</f>
        <v>0</v>
      </c>
      <c r="AS10" s="12">
        <f>'Supply2024-coding'!AS9*'Use 2024'!$C9</f>
        <v>0</v>
      </c>
      <c r="AT10" s="12">
        <f>'Supply2024-coding'!AT9*'Use 2024'!$C9</f>
        <v>0</v>
      </c>
      <c r="AU10" s="12">
        <f>'Supply2024-coding'!AU9*'Use 2024'!$C9</f>
        <v>0</v>
      </c>
      <c r="AV10" s="12">
        <f>'Supply2024-coding'!AV9*'Use 2024'!$C9</f>
        <v>0</v>
      </c>
      <c r="AW10" s="12">
        <f>'Supply2024-coding'!AW9*'Use 2024'!$C9</f>
        <v>0</v>
      </c>
      <c r="AX10" s="12">
        <f>'Supply2024-coding'!AX9*'Use 2024'!$C9</f>
        <v>0</v>
      </c>
      <c r="AY10" s="12">
        <f>'Supply2024-coding'!AY9*'Use 2024'!$C9</f>
        <v>0</v>
      </c>
      <c r="AZ10" s="12">
        <f>'Supply2024-coding'!AZ9*'Use 2024'!$C9</f>
        <v>0</v>
      </c>
      <c r="BA10" s="12">
        <f>'Supply2024-coding'!BA9*'Use 2024'!$C9</f>
        <v>0</v>
      </c>
      <c r="BB10" s="12">
        <f>'Supply2024-coding'!BB9*'Use 2024'!$C9</f>
        <v>0</v>
      </c>
      <c r="BC10" s="12">
        <f>'Supply2024-coding'!BC9*'Use 2024'!$C9</f>
        <v>0</v>
      </c>
      <c r="BD10" s="12">
        <f>'Supply2024-coding'!BD9*'Use 2024'!$C9</f>
        <v>0</v>
      </c>
      <c r="BE10" s="12">
        <f>'Supply2024-coding'!BE9*'Use 2024'!$C9</f>
        <v>0</v>
      </c>
      <c r="BF10" s="12">
        <f>'Supply2024-coding'!BF9*'Use 2024'!$C9</f>
        <v>0</v>
      </c>
      <c r="BG10" s="12">
        <f>'Supply2024-coding'!BG9*'Use 2024'!$C9</f>
        <v>0</v>
      </c>
      <c r="BH10" s="12">
        <f>'Supply2024-coding'!BH9*'Use 2024'!$C9</f>
        <v>0</v>
      </c>
      <c r="BI10" s="12">
        <f>'Supply2024-coding'!BI9*'Use 2024'!$C9</f>
        <v>0</v>
      </c>
      <c r="BJ10" s="12">
        <f>'Supply2024-coding'!BJ9*'Use 2024'!$C9</f>
        <v>0</v>
      </c>
      <c r="BK10" s="12">
        <f>'Supply2024-coding'!BK9*'Use 2024'!$C9</f>
        <v>0</v>
      </c>
      <c r="BL10" s="12">
        <f>'Supply2024-coding'!BL9*'Use 2024'!$C9</f>
        <v>0</v>
      </c>
      <c r="BM10" s="12">
        <f>'Supply2024-coding'!BM9*'Use 2024'!$C9</f>
        <v>0</v>
      </c>
      <c r="BN10" s="12">
        <f>'Supply2024-coding'!BN9*'Use 2024'!$C9</f>
        <v>0</v>
      </c>
      <c r="BO10" s="12">
        <f>'Supply2024-coding'!BO9*'Use 2024'!$C9</f>
        <v>0</v>
      </c>
      <c r="BP10" s="12">
        <f>'Supply2024-coding'!BP9*'Use 2024'!$C9</f>
        <v>0</v>
      </c>
      <c r="BQ10" s="12">
        <f>'Supply2024-coding'!BQ9*'Use 2024'!$C9</f>
        <v>0</v>
      </c>
      <c r="BR10" s="12">
        <f>'Supply2024-coding'!BR9*'Use 2024'!$C9</f>
        <v>0</v>
      </c>
      <c r="BS10" s="12">
        <f>'Supply2024-coding'!BS9*'Use 2024'!$C9</f>
        <v>0</v>
      </c>
      <c r="BT10" s="12">
        <f>'Supply2024-coding'!BT9*'Use 2024'!$C9</f>
        <v>3.4108628460021031E-6</v>
      </c>
      <c r="BU10" s="12">
        <f>'Supply2024-coding'!BU9*'Use 2024'!$C9</f>
        <v>0</v>
      </c>
      <c r="BV10" s="12">
        <f>'Supply2024-coding'!BV9*'Use 2024'!$C9</f>
        <v>1.3273231053995488E-4</v>
      </c>
      <c r="BW10" s="12">
        <f>'Supply2024-coding'!BW9*'Use 2024'!$C9</f>
        <v>2.5651866000165236E-4</v>
      </c>
      <c r="BX10" s="12">
        <f>'Supply2024-coding'!BX9*'Use 2024'!$C9</f>
        <v>0</v>
      </c>
      <c r="BY10" s="12">
        <f>'Supply2024-coding'!BY9*'Use 2024'!$C9</f>
        <v>1.414130951945641E-4</v>
      </c>
      <c r="BZ10" s="12">
        <f>'Supply2024-coding'!BZ9*'Use 2024'!$C9</f>
        <v>-2059.0066868106842</v>
      </c>
      <c r="CA10" s="12" t="e">
        <f>'Supply2024-coding'!CA9*'Use 2024'!$C9</f>
        <v>#DIV/0!</v>
      </c>
      <c r="CB10" s="12">
        <f>'Supply2024-coding'!CB9*'Use 2024'!$C9</f>
        <v>-2533.7849187343541</v>
      </c>
      <c r="CC10" s="12">
        <f>'Supply2024-coding'!CC9*'Use 2024'!$C9</f>
        <v>2.6768527260124711E-4</v>
      </c>
      <c r="CD10" s="12">
        <f>'Supply2024-coding'!CD9*'Use 2024'!$C9</f>
        <v>2.5195381795664102E-4</v>
      </c>
      <c r="CE10" s="12">
        <f>'Supply2024-coding'!CE9*'Use 2024'!$C9</f>
        <v>0</v>
      </c>
      <c r="CF10" s="12">
        <f>'Supply2024-coding'!CF9*'Use 2024'!$C9</f>
        <v>2.7553880978770578E-4</v>
      </c>
      <c r="CG10" s="12">
        <f>'Supply2024-coding'!CG9*'Use 2024'!$C9</f>
        <v>1.9046472122883547E-4</v>
      </c>
    </row>
    <row r="11" spans="1:85" x14ac:dyDescent="0.25">
      <c r="A11" t="s">
        <v>9</v>
      </c>
      <c r="B11" t="s">
        <v>102</v>
      </c>
      <c r="C11" s="12">
        <f>'Supply2024-coding'!C10*'Use 2024'!$C10</f>
        <v>0</v>
      </c>
      <c r="D11" s="12">
        <f>'Supply2024-coding'!D10*'Use 2024'!$C10</f>
        <v>0</v>
      </c>
      <c r="E11" s="12">
        <f>'Supply2024-coding'!E10*'Use 2024'!$C10</f>
        <v>0</v>
      </c>
      <c r="F11" s="12">
        <f>'Supply2024-coding'!F10*'Use 2024'!$C10</f>
        <v>1.9713371931937598E-4</v>
      </c>
      <c r="G11" s="12">
        <f>'Supply2024-coding'!G10*'Use 2024'!$C10</f>
        <v>0</v>
      </c>
      <c r="H11" s="12">
        <f>'Supply2024-coding'!H10*'Use 2024'!$C10</f>
        <v>0</v>
      </c>
      <c r="I11" s="12">
        <f>'Supply2024-coding'!I10*'Use 2024'!$C10</f>
        <v>0</v>
      </c>
      <c r="J11" s="12">
        <f>'Supply2024-coding'!J10*'Use 2024'!$C10</f>
        <v>2.7859537589804895E-5</v>
      </c>
      <c r="K11" s="12">
        <f>'Supply2024-coding'!K10*'Use 2024'!$C10</f>
        <v>9.6910929262592566E-2</v>
      </c>
      <c r="L11" s="12">
        <f>'Supply2024-coding'!L10*'Use 2024'!$C10</f>
        <v>4.4814162701266327E-5</v>
      </c>
      <c r="M11" s="12">
        <f>'Supply2024-coding'!M10*'Use 2024'!$C10</f>
        <v>5.5014812709624986E-5</v>
      </c>
      <c r="N11" s="12">
        <f>'Supply2024-coding'!N10*'Use 2024'!$C10</f>
        <v>4.765950716768823E-5</v>
      </c>
      <c r="O11" s="12">
        <f>'Supply2024-coding'!O10*'Use 2024'!$C10</f>
        <v>2.9409972247033291E-6</v>
      </c>
      <c r="P11" s="12">
        <f>'Supply2024-coding'!P10*'Use 2024'!$C10</f>
        <v>4.6006559954431509E-5</v>
      </c>
      <c r="Q11" s="12">
        <f>'Supply2024-coding'!Q10*'Use 2024'!$C10</f>
        <v>0</v>
      </c>
      <c r="R11" s="12">
        <f>'Supply2024-coding'!R10*'Use 2024'!$C10</f>
        <v>0</v>
      </c>
      <c r="S11" s="12">
        <f>'Supply2024-coding'!S10*'Use 2024'!$C10</f>
        <v>5.1346005555095988E-5</v>
      </c>
      <c r="T11" s="12">
        <f>'Supply2024-coding'!T10*'Use 2024'!$C10</f>
        <v>1.7045053302289761E-5</v>
      </c>
      <c r="U11" s="12">
        <f>'Supply2024-coding'!U10*'Use 2024'!$C10</f>
        <v>0</v>
      </c>
      <c r="V11" s="12">
        <f>'Supply2024-coding'!V10*'Use 2024'!$C10</f>
        <v>2.1560844005691788E-6</v>
      </c>
      <c r="W11" s="12">
        <f>'Supply2024-coding'!W10*'Use 2024'!$C10</f>
        <v>7.8509303441254223E-5</v>
      </c>
      <c r="X11" s="12">
        <f>'Supply2024-coding'!X10*'Use 2024'!$C10</f>
        <v>1.5235441772404027E-5</v>
      </c>
      <c r="Y11" s="12">
        <f>'Supply2024-coding'!Y10*'Use 2024'!$C10</f>
        <v>0</v>
      </c>
      <c r="Z11" s="12">
        <f>'Supply2024-coding'!Z10*'Use 2024'!$C10</f>
        <v>3.4988713176333735E-5</v>
      </c>
      <c r="AA11" s="12">
        <f>'Supply2024-coding'!AA10*'Use 2024'!$C10</f>
        <v>1.2739909095222086E-5</v>
      </c>
      <c r="AB11" s="12">
        <f>'Supply2024-coding'!AB10*'Use 2024'!$C10</f>
        <v>3.4636364205365863E-5</v>
      </c>
      <c r="AC11" s="12">
        <f>'Supply2024-coding'!AC10*'Use 2024'!$C10</f>
        <v>0</v>
      </c>
      <c r="AD11" s="12">
        <f>'Supply2024-coding'!AD10*'Use 2024'!$C10</f>
        <v>0</v>
      </c>
      <c r="AE11" s="12">
        <f>'Supply2024-coding'!AE10*'Use 2024'!$C10</f>
        <v>0</v>
      </c>
      <c r="AF11" s="12">
        <f>'Supply2024-coding'!AF10*'Use 2024'!$C10</f>
        <v>0</v>
      </c>
      <c r="AG11" s="12">
        <f>'Supply2024-coding'!AG10*'Use 2024'!$C10</f>
        <v>0</v>
      </c>
      <c r="AH11" s="12">
        <f>'Supply2024-coding'!AH10*'Use 2024'!$C10</f>
        <v>0</v>
      </c>
      <c r="AI11" s="12">
        <f>'Supply2024-coding'!AI10*'Use 2024'!$C10</f>
        <v>0</v>
      </c>
      <c r="AJ11" s="12">
        <f>'Supply2024-coding'!AJ10*'Use 2024'!$C10</f>
        <v>0</v>
      </c>
      <c r="AK11" s="12">
        <f>'Supply2024-coding'!AK10*'Use 2024'!$C10</f>
        <v>0</v>
      </c>
      <c r="AL11" s="12">
        <f>'Supply2024-coding'!AL10*'Use 2024'!$C10</f>
        <v>0</v>
      </c>
      <c r="AM11" s="12">
        <f>'Supply2024-coding'!AM10*'Use 2024'!$C10</f>
        <v>0</v>
      </c>
      <c r="AN11" s="12">
        <f>'Supply2024-coding'!AN10*'Use 2024'!$C10</f>
        <v>0</v>
      </c>
      <c r="AO11" s="12">
        <f>'Supply2024-coding'!AO10*'Use 2024'!$C10</f>
        <v>0</v>
      </c>
      <c r="AP11" s="12">
        <f>'Supply2024-coding'!AP10*'Use 2024'!$C10</f>
        <v>0</v>
      </c>
      <c r="AQ11" s="12">
        <f>'Supply2024-coding'!AQ10*'Use 2024'!$C10</f>
        <v>0</v>
      </c>
      <c r="AR11" s="12">
        <f>'Supply2024-coding'!AR10*'Use 2024'!$C10</f>
        <v>0</v>
      </c>
      <c r="AS11" s="12">
        <f>'Supply2024-coding'!AS10*'Use 2024'!$C10</f>
        <v>0</v>
      </c>
      <c r="AT11" s="12">
        <f>'Supply2024-coding'!AT10*'Use 2024'!$C10</f>
        <v>0</v>
      </c>
      <c r="AU11" s="12">
        <f>'Supply2024-coding'!AU10*'Use 2024'!$C10</f>
        <v>0</v>
      </c>
      <c r="AV11" s="12">
        <f>'Supply2024-coding'!AV10*'Use 2024'!$C10</f>
        <v>0</v>
      </c>
      <c r="AW11" s="12">
        <f>'Supply2024-coding'!AW10*'Use 2024'!$C10</f>
        <v>0</v>
      </c>
      <c r="AX11" s="12">
        <f>'Supply2024-coding'!AX10*'Use 2024'!$C10</f>
        <v>0</v>
      </c>
      <c r="AY11" s="12">
        <f>'Supply2024-coding'!AY10*'Use 2024'!$C10</f>
        <v>0</v>
      </c>
      <c r="AZ11" s="12">
        <f>'Supply2024-coding'!AZ10*'Use 2024'!$C10</f>
        <v>0</v>
      </c>
      <c r="BA11" s="12">
        <f>'Supply2024-coding'!BA10*'Use 2024'!$C10</f>
        <v>0</v>
      </c>
      <c r="BB11" s="12">
        <f>'Supply2024-coding'!BB10*'Use 2024'!$C10</f>
        <v>0</v>
      </c>
      <c r="BC11" s="12">
        <f>'Supply2024-coding'!BC10*'Use 2024'!$C10</f>
        <v>0</v>
      </c>
      <c r="BD11" s="12">
        <f>'Supply2024-coding'!BD10*'Use 2024'!$C10</f>
        <v>0</v>
      </c>
      <c r="BE11" s="12">
        <f>'Supply2024-coding'!BE10*'Use 2024'!$C10</f>
        <v>0</v>
      </c>
      <c r="BF11" s="12">
        <f>'Supply2024-coding'!BF10*'Use 2024'!$C10</f>
        <v>0</v>
      </c>
      <c r="BG11" s="12">
        <f>'Supply2024-coding'!BG10*'Use 2024'!$C10</f>
        <v>0</v>
      </c>
      <c r="BH11" s="12">
        <f>'Supply2024-coding'!BH10*'Use 2024'!$C10</f>
        <v>0</v>
      </c>
      <c r="BI11" s="12">
        <f>'Supply2024-coding'!BI10*'Use 2024'!$C10</f>
        <v>0</v>
      </c>
      <c r="BJ11" s="12">
        <f>'Supply2024-coding'!BJ10*'Use 2024'!$C10</f>
        <v>0</v>
      </c>
      <c r="BK11" s="12">
        <f>'Supply2024-coding'!BK10*'Use 2024'!$C10</f>
        <v>0</v>
      </c>
      <c r="BL11" s="12">
        <f>'Supply2024-coding'!BL10*'Use 2024'!$C10</f>
        <v>0</v>
      </c>
      <c r="BM11" s="12">
        <f>'Supply2024-coding'!BM10*'Use 2024'!$C10</f>
        <v>0</v>
      </c>
      <c r="BN11" s="12">
        <f>'Supply2024-coding'!BN10*'Use 2024'!$C10</f>
        <v>0</v>
      </c>
      <c r="BO11" s="12">
        <f>'Supply2024-coding'!BO10*'Use 2024'!$C10</f>
        <v>0</v>
      </c>
      <c r="BP11" s="12">
        <f>'Supply2024-coding'!BP10*'Use 2024'!$C10</f>
        <v>0</v>
      </c>
      <c r="BQ11" s="12">
        <f>'Supply2024-coding'!BQ10*'Use 2024'!$C10</f>
        <v>0</v>
      </c>
      <c r="BR11" s="12">
        <f>'Supply2024-coding'!BR10*'Use 2024'!$C10</f>
        <v>0</v>
      </c>
      <c r="BS11" s="12">
        <f>'Supply2024-coding'!BS10*'Use 2024'!$C10</f>
        <v>0</v>
      </c>
      <c r="BT11" s="12">
        <f>'Supply2024-coding'!BT10*'Use 2024'!$C10</f>
        <v>0</v>
      </c>
      <c r="BU11" s="12">
        <f>'Supply2024-coding'!BU10*'Use 2024'!$C10</f>
        <v>0</v>
      </c>
      <c r="BV11" s="12">
        <f>'Supply2024-coding'!BV10*'Use 2024'!$C10</f>
        <v>3.4443305376671097E-4</v>
      </c>
      <c r="BW11" s="12">
        <f>'Supply2024-coding'!BW10*'Use 2024'!$C10</f>
        <v>8.807379510724462E-4</v>
      </c>
      <c r="BX11" s="12">
        <f>'Supply2024-coding'!BX10*'Use 2024'!$C10</f>
        <v>0</v>
      </c>
      <c r="BY11" s="12">
        <f>'Supply2024-coding'!BY10*'Use 2024'!$C10</f>
        <v>3.8190964813738148E-4</v>
      </c>
      <c r="BZ11" s="12">
        <f>'Supply2024-coding'!BZ10*'Use 2024'!$C10</f>
        <v>-6065.5520017725357</v>
      </c>
      <c r="CA11" s="12" t="e">
        <f>'Supply2024-coding'!CA10*'Use 2024'!$C10</f>
        <v>#DIV/0!</v>
      </c>
      <c r="CB11" s="12">
        <f>'Supply2024-coding'!CB10*'Use 2024'!$C10</f>
        <v>-9641.1553798169516</v>
      </c>
      <c r="CC11" s="12">
        <f>'Supply2024-coding'!CC10*'Use 2024'!$C10</f>
        <v>2.2889303026455469E-3</v>
      </c>
      <c r="CD11" s="12">
        <f>'Supply2024-coding'!CD10*'Use 2024'!$C10</f>
        <v>7.1631295213665086E-4</v>
      </c>
      <c r="CE11" s="12">
        <f>'Supply2024-coding'!CE10*'Use 2024'!$C10</f>
        <v>0</v>
      </c>
      <c r="CF11" s="12">
        <f>'Supply2024-coding'!CF10*'Use 2024'!$C10</f>
        <v>9.0977251531537684E-4</v>
      </c>
      <c r="CG11" s="12">
        <f>'Supply2024-coding'!CG10*'Use 2024'!$C10</f>
        <v>5.6887816079270802E-4</v>
      </c>
    </row>
    <row r="12" spans="1:85" x14ac:dyDescent="0.25">
      <c r="A12" t="s">
        <v>10</v>
      </c>
      <c r="B12" t="s">
        <v>103</v>
      </c>
      <c r="C12" s="12">
        <f>'Supply2024-coding'!C11*'Use 2024'!$C11</f>
        <v>0</v>
      </c>
      <c r="D12" s="12">
        <f>'Supply2024-coding'!D11*'Use 2024'!$C11</f>
        <v>0</v>
      </c>
      <c r="E12" s="12">
        <f>'Supply2024-coding'!E11*'Use 2024'!$C11</f>
        <v>0</v>
      </c>
      <c r="F12" s="12">
        <f>'Supply2024-coding'!F11*'Use 2024'!$C11</f>
        <v>0</v>
      </c>
      <c r="G12" s="12">
        <f>'Supply2024-coding'!G11*'Use 2024'!$C11</f>
        <v>0</v>
      </c>
      <c r="H12" s="12">
        <f>'Supply2024-coding'!H11*'Use 2024'!$C11</f>
        <v>0</v>
      </c>
      <c r="I12" s="12">
        <f>'Supply2024-coding'!I11*'Use 2024'!$C11</f>
        <v>0</v>
      </c>
      <c r="J12" s="12">
        <f>'Supply2024-coding'!J11*'Use 2024'!$C11</f>
        <v>0</v>
      </c>
      <c r="K12" s="12">
        <f>'Supply2024-coding'!K11*'Use 2024'!$C11</f>
        <v>5.3383839744351466E-8</v>
      </c>
      <c r="L12" s="12">
        <f>'Supply2024-coding'!L11*'Use 2024'!$C11</f>
        <v>9.1503198224664652E-3</v>
      </c>
      <c r="M12" s="12">
        <f>'Supply2024-coding'!M11*'Use 2024'!$C11</f>
        <v>8.3059042299577637E-5</v>
      </c>
      <c r="N12" s="12">
        <f>'Supply2024-coding'!N11*'Use 2024'!$C11</f>
        <v>5.1404382453504299E-7</v>
      </c>
      <c r="O12" s="12">
        <f>'Supply2024-coding'!O11*'Use 2024'!$C11</f>
        <v>1.3159759118394962E-6</v>
      </c>
      <c r="P12" s="12">
        <f>'Supply2024-coding'!P11*'Use 2024'!$C11</f>
        <v>5.1110200506168137E-5</v>
      </c>
      <c r="Q12" s="12">
        <f>'Supply2024-coding'!Q11*'Use 2024'!$C11</f>
        <v>2.0620826037509793E-7</v>
      </c>
      <c r="R12" s="12">
        <f>'Supply2024-coding'!R11*'Use 2024'!$C11</f>
        <v>4.9590929125287526E-8</v>
      </c>
      <c r="S12" s="12">
        <f>'Supply2024-coding'!S11*'Use 2024'!$C11</f>
        <v>3.0953004929033631E-6</v>
      </c>
      <c r="T12" s="12">
        <f>'Supply2024-coding'!T11*'Use 2024'!$C11</f>
        <v>4.7339775717921201E-7</v>
      </c>
      <c r="U12" s="12">
        <f>'Supply2024-coding'!U11*'Use 2024'!$C11</f>
        <v>0</v>
      </c>
      <c r="V12" s="12">
        <f>'Supply2024-coding'!V11*'Use 2024'!$C11</f>
        <v>0</v>
      </c>
      <c r="W12" s="12">
        <f>'Supply2024-coding'!W11*'Use 2024'!$C11</f>
        <v>0</v>
      </c>
      <c r="X12" s="12">
        <f>'Supply2024-coding'!X11*'Use 2024'!$C11</f>
        <v>0</v>
      </c>
      <c r="Y12" s="12">
        <f>'Supply2024-coding'!Y11*'Use 2024'!$C11</f>
        <v>0</v>
      </c>
      <c r="Z12" s="12">
        <f>'Supply2024-coding'!Z11*'Use 2024'!$C11</f>
        <v>2.3466030679234831E-6</v>
      </c>
      <c r="AA12" s="12">
        <f>'Supply2024-coding'!AA11*'Use 2024'!$C11</f>
        <v>3.774182400261152E-8</v>
      </c>
      <c r="AB12" s="12">
        <f>'Supply2024-coding'!AB11*'Use 2024'!$C11</f>
        <v>1.8862096131490403E-7</v>
      </c>
      <c r="AC12" s="12">
        <f>'Supply2024-coding'!AC11*'Use 2024'!$C11</f>
        <v>0</v>
      </c>
      <c r="AD12" s="12">
        <f>'Supply2024-coding'!AD11*'Use 2024'!$C11</f>
        <v>0</v>
      </c>
      <c r="AE12" s="12">
        <f>'Supply2024-coding'!AE11*'Use 2024'!$C11</f>
        <v>0</v>
      </c>
      <c r="AF12" s="12">
        <f>'Supply2024-coding'!AF11*'Use 2024'!$C11</f>
        <v>0</v>
      </c>
      <c r="AG12" s="12">
        <f>'Supply2024-coding'!AG11*'Use 2024'!$C11</f>
        <v>0</v>
      </c>
      <c r="AH12" s="12">
        <f>'Supply2024-coding'!AH11*'Use 2024'!$C11</f>
        <v>0</v>
      </c>
      <c r="AI12" s="12">
        <f>'Supply2024-coding'!AI11*'Use 2024'!$C11</f>
        <v>0</v>
      </c>
      <c r="AJ12" s="12">
        <f>'Supply2024-coding'!AJ11*'Use 2024'!$C11</f>
        <v>0</v>
      </c>
      <c r="AK12" s="12">
        <f>'Supply2024-coding'!AK11*'Use 2024'!$C11</f>
        <v>0</v>
      </c>
      <c r="AL12" s="12">
        <f>'Supply2024-coding'!AL11*'Use 2024'!$C11</f>
        <v>0</v>
      </c>
      <c r="AM12" s="12">
        <f>'Supply2024-coding'!AM11*'Use 2024'!$C11</f>
        <v>0</v>
      </c>
      <c r="AN12" s="12">
        <f>'Supply2024-coding'!AN11*'Use 2024'!$C11</f>
        <v>0</v>
      </c>
      <c r="AO12" s="12">
        <f>'Supply2024-coding'!AO11*'Use 2024'!$C11</f>
        <v>0</v>
      </c>
      <c r="AP12" s="12">
        <f>'Supply2024-coding'!AP11*'Use 2024'!$C11</f>
        <v>0</v>
      </c>
      <c r="AQ12" s="12">
        <f>'Supply2024-coding'!AQ11*'Use 2024'!$C11</f>
        <v>0</v>
      </c>
      <c r="AR12" s="12">
        <f>'Supply2024-coding'!AR11*'Use 2024'!$C11</f>
        <v>0</v>
      </c>
      <c r="AS12" s="12">
        <f>'Supply2024-coding'!AS11*'Use 2024'!$C11</f>
        <v>0</v>
      </c>
      <c r="AT12" s="12">
        <f>'Supply2024-coding'!AT11*'Use 2024'!$C11</f>
        <v>0</v>
      </c>
      <c r="AU12" s="12">
        <f>'Supply2024-coding'!AU11*'Use 2024'!$C11</f>
        <v>0</v>
      </c>
      <c r="AV12" s="12">
        <f>'Supply2024-coding'!AV11*'Use 2024'!$C11</f>
        <v>0</v>
      </c>
      <c r="AW12" s="12">
        <f>'Supply2024-coding'!AW11*'Use 2024'!$C11</f>
        <v>0</v>
      </c>
      <c r="AX12" s="12">
        <f>'Supply2024-coding'!AX11*'Use 2024'!$C11</f>
        <v>0</v>
      </c>
      <c r="AY12" s="12">
        <f>'Supply2024-coding'!AY11*'Use 2024'!$C11</f>
        <v>0</v>
      </c>
      <c r="AZ12" s="12">
        <f>'Supply2024-coding'!AZ11*'Use 2024'!$C11</f>
        <v>0</v>
      </c>
      <c r="BA12" s="12">
        <f>'Supply2024-coding'!BA11*'Use 2024'!$C11</f>
        <v>0</v>
      </c>
      <c r="BB12" s="12">
        <f>'Supply2024-coding'!BB11*'Use 2024'!$C11</f>
        <v>0</v>
      </c>
      <c r="BC12" s="12">
        <f>'Supply2024-coding'!BC11*'Use 2024'!$C11</f>
        <v>0</v>
      </c>
      <c r="BD12" s="12">
        <f>'Supply2024-coding'!BD11*'Use 2024'!$C11</f>
        <v>0</v>
      </c>
      <c r="BE12" s="12">
        <f>'Supply2024-coding'!BE11*'Use 2024'!$C11</f>
        <v>0</v>
      </c>
      <c r="BF12" s="12">
        <f>'Supply2024-coding'!BF11*'Use 2024'!$C11</f>
        <v>0</v>
      </c>
      <c r="BG12" s="12">
        <f>'Supply2024-coding'!BG11*'Use 2024'!$C11</f>
        <v>0</v>
      </c>
      <c r="BH12" s="12">
        <f>'Supply2024-coding'!BH11*'Use 2024'!$C11</f>
        <v>0</v>
      </c>
      <c r="BI12" s="12">
        <f>'Supply2024-coding'!BI11*'Use 2024'!$C11</f>
        <v>0</v>
      </c>
      <c r="BJ12" s="12">
        <f>'Supply2024-coding'!BJ11*'Use 2024'!$C11</f>
        <v>0</v>
      </c>
      <c r="BK12" s="12">
        <f>'Supply2024-coding'!BK11*'Use 2024'!$C11</f>
        <v>0</v>
      </c>
      <c r="BL12" s="12">
        <f>'Supply2024-coding'!BL11*'Use 2024'!$C11</f>
        <v>0</v>
      </c>
      <c r="BM12" s="12">
        <f>'Supply2024-coding'!BM11*'Use 2024'!$C11</f>
        <v>0</v>
      </c>
      <c r="BN12" s="12">
        <f>'Supply2024-coding'!BN11*'Use 2024'!$C11</f>
        <v>0</v>
      </c>
      <c r="BO12" s="12">
        <f>'Supply2024-coding'!BO11*'Use 2024'!$C11</f>
        <v>0</v>
      </c>
      <c r="BP12" s="12">
        <f>'Supply2024-coding'!BP11*'Use 2024'!$C11</f>
        <v>0</v>
      </c>
      <c r="BQ12" s="12">
        <f>'Supply2024-coding'!BQ11*'Use 2024'!$C11</f>
        <v>0</v>
      </c>
      <c r="BR12" s="12">
        <f>'Supply2024-coding'!BR11*'Use 2024'!$C11</f>
        <v>0</v>
      </c>
      <c r="BS12" s="12">
        <f>'Supply2024-coding'!BS11*'Use 2024'!$C11</f>
        <v>0</v>
      </c>
      <c r="BT12" s="12">
        <f>'Supply2024-coding'!BT11*'Use 2024'!$C11</f>
        <v>0</v>
      </c>
      <c r="BU12" s="12">
        <f>'Supply2024-coding'!BU11*'Use 2024'!$C11</f>
        <v>0</v>
      </c>
      <c r="BV12" s="12">
        <f>'Supply2024-coding'!BV11*'Use 2024'!$C11</f>
        <v>5.6575822221312662E-5</v>
      </c>
      <c r="BW12" s="12">
        <f>'Supply2024-coding'!BW11*'Use 2024'!$C11</f>
        <v>2.3942350210855669E-4</v>
      </c>
      <c r="BX12" s="12">
        <f>'Supply2024-coding'!BX11*'Use 2024'!$C11</f>
        <v>0</v>
      </c>
      <c r="BY12" s="12">
        <f>'Supply2024-coding'!BY11*'Use 2024'!$C11</f>
        <v>6.9317830588513509E-5</v>
      </c>
      <c r="BZ12" s="12">
        <f>'Supply2024-coding'!BZ11*'Use 2024'!$C11</f>
        <v>-420.265704109615</v>
      </c>
      <c r="CA12" s="12" t="e">
        <f>'Supply2024-coding'!CA11*'Use 2024'!$C11</f>
        <v>#DIV/0!</v>
      </c>
      <c r="CB12" s="12">
        <f>'Supply2024-coding'!CB11*'Use 2024'!$C11</f>
        <v>-564.61023780542678</v>
      </c>
      <c r="CC12" s="12">
        <f>'Supply2024-coding'!CC11*'Use 2024'!$C11</f>
        <v>2.805631270478648E-4</v>
      </c>
      <c r="CD12" s="12">
        <f>'Supply2024-coding'!CD11*'Use 2024'!$C11</f>
        <v>2.5223294265605659E-5</v>
      </c>
      <c r="CE12" s="12">
        <f>'Supply2024-coding'!CE11*'Use 2024'!$C11</f>
        <v>0</v>
      </c>
      <c r="CF12" s="12">
        <f>'Supply2024-coding'!CF11*'Use 2024'!$C11</f>
        <v>4.8579065853358679E-5</v>
      </c>
      <c r="CG12" s="12">
        <f>'Supply2024-coding'!CG11*'Use 2024'!$C11</f>
        <v>7.9308211420338288E-5</v>
      </c>
    </row>
    <row r="13" spans="1:85" x14ac:dyDescent="0.25">
      <c r="A13" t="s">
        <v>11</v>
      </c>
      <c r="B13" t="s">
        <v>104</v>
      </c>
      <c r="C13" s="12">
        <f>'Supply2024-coding'!C12*'Use 2024'!$C12</f>
        <v>0</v>
      </c>
      <c r="D13" s="12">
        <f>'Supply2024-coding'!D12*'Use 2024'!$C12</f>
        <v>0</v>
      </c>
      <c r="E13" s="12">
        <f>'Supply2024-coding'!E12*'Use 2024'!$C12</f>
        <v>0</v>
      </c>
      <c r="F13" s="12">
        <f>'Supply2024-coding'!F12*'Use 2024'!$C12</f>
        <v>0</v>
      </c>
      <c r="G13" s="12">
        <f>'Supply2024-coding'!G12*'Use 2024'!$C12</f>
        <v>6.5413969557400647E-4</v>
      </c>
      <c r="H13" s="12">
        <f>'Supply2024-coding'!H12*'Use 2024'!$C12</f>
        <v>0</v>
      </c>
      <c r="I13" s="12">
        <f>'Supply2024-coding'!I12*'Use 2024'!$C12</f>
        <v>0</v>
      </c>
      <c r="J13" s="12">
        <f>'Supply2024-coding'!J12*'Use 2024'!$C12</f>
        <v>5.5127655862274665E-4</v>
      </c>
      <c r="K13" s="12">
        <f>'Supply2024-coding'!K12*'Use 2024'!$C12</f>
        <v>2.8826139826495463E-5</v>
      </c>
      <c r="L13" s="12">
        <f>'Supply2024-coding'!L12*'Use 2024'!$C12</f>
        <v>8.1428261387502161E-4</v>
      </c>
      <c r="M13" s="12">
        <f>'Supply2024-coding'!M12*'Use 2024'!$C12</f>
        <v>0.13905678815109718</v>
      </c>
      <c r="N13" s="12">
        <f>'Supply2024-coding'!N12*'Use 2024'!$C12</f>
        <v>6.2828047530887055E-4</v>
      </c>
      <c r="O13" s="12">
        <f>'Supply2024-coding'!O12*'Use 2024'!$C12</f>
        <v>4.1439599591883719E-5</v>
      </c>
      <c r="P13" s="12">
        <f>'Supply2024-coding'!P12*'Use 2024'!$C12</f>
        <v>1.3759240481997024E-4</v>
      </c>
      <c r="Q13" s="12">
        <f>'Supply2024-coding'!Q12*'Use 2024'!$C12</f>
        <v>2.1171547013781601E-4</v>
      </c>
      <c r="R13" s="12">
        <f>'Supply2024-coding'!R12*'Use 2024'!$C12</f>
        <v>2.8353227968336484E-5</v>
      </c>
      <c r="S13" s="12">
        <f>'Supply2024-coding'!S12*'Use 2024'!$C12</f>
        <v>4.2662747708606299E-4</v>
      </c>
      <c r="T13" s="12">
        <f>'Supply2024-coding'!T12*'Use 2024'!$C12</f>
        <v>7.7188645776401935E-4</v>
      </c>
      <c r="U13" s="12">
        <f>'Supply2024-coding'!U12*'Use 2024'!$C12</f>
        <v>0</v>
      </c>
      <c r="V13" s="12">
        <f>'Supply2024-coding'!V12*'Use 2024'!$C12</f>
        <v>2.4726616977782965E-4</v>
      </c>
      <c r="W13" s="12">
        <f>'Supply2024-coding'!W12*'Use 2024'!$C12</f>
        <v>0</v>
      </c>
      <c r="X13" s="12">
        <f>'Supply2024-coding'!X12*'Use 2024'!$C12</f>
        <v>0</v>
      </c>
      <c r="Y13" s="12">
        <f>'Supply2024-coding'!Y12*'Use 2024'!$C12</f>
        <v>2.2527443663369852E-4</v>
      </c>
      <c r="Z13" s="12">
        <f>'Supply2024-coding'!Z12*'Use 2024'!$C12</f>
        <v>0</v>
      </c>
      <c r="AA13" s="12">
        <f>'Supply2024-coding'!AA12*'Use 2024'!$C12</f>
        <v>7.7922701590264323E-6</v>
      </c>
      <c r="AB13" s="12">
        <f>'Supply2024-coding'!AB12*'Use 2024'!$C12</f>
        <v>2.7759475678158812E-4</v>
      </c>
      <c r="AC13" s="12">
        <f>'Supply2024-coding'!AC12*'Use 2024'!$C12</f>
        <v>0</v>
      </c>
      <c r="AD13" s="12">
        <f>'Supply2024-coding'!AD12*'Use 2024'!$C12</f>
        <v>0</v>
      </c>
      <c r="AE13" s="12">
        <f>'Supply2024-coding'!AE12*'Use 2024'!$C12</f>
        <v>0</v>
      </c>
      <c r="AF13" s="12">
        <f>'Supply2024-coding'!AF12*'Use 2024'!$C12</f>
        <v>0</v>
      </c>
      <c r="AG13" s="12">
        <f>'Supply2024-coding'!AG12*'Use 2024'!$C12</f>
        <v>0</v>
      </c>
      <c r="AH13" s="12">
        <f>'Supply2024-coding'!AH12*'Use 2024'!$C12</f>
        <v>0</v>
      </c>
      <c r="AI13" s="12">
        <f>'Supply2024-coding'!AI12*'Use 2024'!$C12</f>
        <v>0</v>
      </c>
      <c r="AJ13" s="12">
        <f>'Supply2024-coding'!AJ12*'Use 2024'!$C12</f>
        <v>0</v>
      </c>
      <c r="AK13" s="12">
        <f>'Supply2024-coding'!AK12*'Use 2024'!$C12</f>
        <v>0</v>
      </c>
      <c r="AL13" s="12">
        <f>'Supply2024-coding'!AL12*'Use 2024'!$C12</f>
        <v>0</v>
      </c>
      <c r="AM13" s="12">
        <f>'Supply2024-coding'!AM12*'Use 2024'!$C12</f>
        <v>0</v>
      </c>
      <c r="AN13" s="12">
        <f>'Supply2024-coding'!AN12*'Use 2024'!$C12</f>
        <v>0</v>
      </c>
      <c r="AO13" s="12">
        <f>'Supply2024-coding'!AO12*'Use 2024'!$C12</f>
        <v>0</v>
      </c>
      <c r="AP13" s="12">
        <f>'Supply2024-coding'!AP12*'Use 2024'!$C12</f>
        <v>0</v>
      </c>
      <c r="AQ13" s="12">
        <f>'Supply2024-coding'!AQ12*'Use 2024'!$C12</f>
        <v>0</v>
      </c>
      <c r="AR13" s="12">
        <f>'Supply2024-coding'!AR12*'Use 2024'!$C12</f>
        <v>0</v>
      </c>
      <c r="AS13" s="12">
        <f>'Supply2024-coding'!AS12*'Use 2024'!$C12</f>
        <v>0</v>
      </c>
      <c r="AT13" s="12">
        <f>'Supply2024-coding'!AT12*'Use 2024'!$C12</f>
        <v>0</v>
      </c>
      <c r="AU13" s="12">
        <f>'Supply2024-coding'!AU12*'Use 2024'!$C12</f>
        <v>0</v>
      </c>
      <c r="AV13" s="12">
        <f>'Supply2024-coding'!AV12*'Use 2024'!$C12</f>
        <v>0</v>
      </c>
      <c r="AW13" s="12">
        <f>'Supply2024-coding'!AW12*'Use 2024'!$C12</f>
        <v>0</v>
      </c>
      <c r="AX13" s="12">
        <f>'Supply2024-coding'!AX12*'Use 2024'!$C12</f>
        <v>0</v>
      </c>
      <c r="AY13" s="12">
        <f>'Supply2024-coding'!AY12*'Use 2024'!$C12</f>
        <v>0</v>
      </c>
      <c r="AZ13" s="12">
        <f>'Supply2024-coding'!AZ12*'Use 2024'!$C12</f>
        <v>0</v>
      </c>
      <c r="BA13" s="12">
        <f>'Supply2024-coding'!BA12*'Use 2024'!$C12</f>
        <v>0</v>
      </c>
      <c r="BB13" s="12">
        <f>'Supply2024-coding'!BB12*'Use 2024'!$C12</f>
        <v>0</v>
      </c>
      <c r="BC13" s="12">
        <f>'Supply2024-coding'!BC12*'Use 2024'!$C12</f>
        <v>0</v>
      </c>
      <c r="BD13" s="12">
        <f>'Supply2024-coding'!BD12*'Use 2024'!$C12</f>
        <v>0</v>
      </c>
      <c r="BE13" s="12">
        <f>'Supply2024-coding'!BE12*'Use 2024'!$C12</f>
        <v>0</v>
      </c>
      <c r="BF13" s="12">
        <f>'Supply2024-coding'!BF12*'Use 2024'!$C12</f>
        <v>0</v>
      </c>
      <c r="BG13" s="12">
        <f>'Supply2024-coding'!BG12*'Use 2024'!$C12</f>
        <v>0</v>
      </c>
      <c r="BH13" s="12">
        <f>'Supply2024-coding'!BH12*'Use 2024'!$C12</f>
        <v>0</v>
      </c>
      <c r="BI13" s="12">
        <f>'Supply2024-coding'!BI12*'Use 2024'!$C12</f>
        <v>0</v>
      </c>
      <c r="BJ13" s="12">
        <f>'Supply2024-coding'!BJ12*'Use 2024'!$C12</f>
        <v>0</v>
      </c>
      <c r="BK13" s="12">
        <f>'Supply2024-coding'!BK12*'Use 2024'!$C12</f>
        <v>0</v>
      </c>
      <c r="BL13" s="12">
        <f>'Supply2024-coding'!BL12*'Use 2024'!$C12</f>
        <v>0</v>
      </c>
      <c r="BM13" s="12">
        <f>'Supply2024-coding'!BM12*'Use 2024'!$C12</f>
        <v>0</v>
      </c>
      <c r="BN13" s="12">
        <f>'Supply2024-coding'!BN12*'Use 2024'!$C12</f>
        <v>0</v>
      </c>
      <c r="BO13" s="12">
        <f>'Supply2024-coding'!BO12*'Use 2024'!$C12</f>
        <v>0</v>
      </c>
      <c r="BP13" s="12">
        <f>'Supply2024-coding'!BP12*'Use 2024'!$C12</f>
        <v>0</v>
      </c>
      <c r="BQ13" s="12">
        <f>'Supply2024-coding'!BQ12*'Use 2024'!$C12</f>
        <v>0</v>
      </c>
      <c r="BR13" s="12">
        <f>'Supply2024-coding'!BR12*'Use 2024'!$C12</f>
        <v>0</v>
      </c>
      <c r="BS13" s="12">
        <f>'Supply2024-coding'!BS12*'Use 2024'!$C12</f>
        <v>0</v>
      </c>
      <c r="BT13" s="12">
        <f>'Supply2024-coding'!BT12*'Use 2024'!$C12</f>
        <v>0</v>
      </c>
      <c r="BU13" s="12">
        <f>'Supply2024-coding'!BU12*'Use 2024'!$C12</f>
        <v>0</v>
      </c>
      <c r="BV13" s="12">
        <f>'Supply2024-coding'!BV12*'Use 2024'!$C12</f>
        <v>1.3072355847820883E-3</v>
      </c>
      <c r="BW13" s="12">
        <f>'Supply2024-coding'!BW12*'Use 2024'!$C12</f>
        <v>3.5605367065376895E-3</v>
      </c>
      <c r="BX13" s="12">
        <f>'Supply2024-coding'!BX12*'Use 2024'!$C12</f>
        <v>0</v>
      </c>
      <c r="BY13" s="12">
        <f>'Supply2024-coding'!BY12*'Use 2024'!$C12</f>
        <v>1.4646139719154609E-3</v>
      </c>
      <c r="BZ13" s="12">
        <f>'Supply2024-coding'!BZ12*'Use 2024'!$C12</f>
        <v>-26186.788979079633</v>
      </c>
      <c r="CA13" s="12" t="e">
        <f>'Supply2024-coding'!CA12*'Use 2024'!$C12</f>
        <v>#DIV/0!</v>
      </c>
      <c r="CB13" s="12">
        <f>'Supply2024-coding'!CB12*'Use 2024'!$C12</f>
        <v>-28429.797371455748</v>
      </c>
      <c r="CC13" s="12">
        <f>'Supply2024-coding'!CC12*'Use 2024'!$C12</f>
        <v>1.0749750135744402E-2</v>
      </c>
      <c r="CD13" s="12">
        <f>'Supply2024-coding'!CD12*'Use 2024'!$C12</f>
        <v>2.9227548130950519E-3</v>
      </c>
      <c r="CE13" s="12">
        <f>'Supply2024-coding'!CE12*'Use 2024'!$C12</f>
        <v>0</v>
      </c>
      <c r="CF13" s="12">
        <f>'Supply2024-coding'!CF12*'Use 2024'!$C12</f>
        <v>3.828799730392254E-3</v>
      </c>
      <c r="CG13" s="12">
        <f>'Supply2024-coding'!CG12*'Use 2024'!$C12</f>
        <v>2.0309403076734754E-3</v>
      </c>
    </row>
    <row r="14" spans="1:85" x14ac:dyDescent="0.25">
      <c r="A14" t="s">
        <v>12</v>
      </c>
      <c r="B14" t="s">
        <v>105</v>
      </c>
      <c r="C14" s="12">
        <f>'Supply2024-coding'!C13*'Use 2024'!$C13</f>
        <v>0</v>
      </c>
      <c r="D14" s="12">
        <f>'Supply2024-coding'!D13*'Use 2024'!$C13</f>
        <v>0</v>
      </c>
      <c r="E14" s="12">
        <f>'Supply2024-coding'!E13*'Use 2024'!$C13</f>
        <v>7.090342106095674E-5</v>
      </c>
      <c r="F14" s="12">
        <f>'Supply2024-coding'!F13*'Use 2024'!$C13</f>
        <v>0</v>
      </c>
      <c r="G14" s="12">
        <f>'Supply2024-coding'!G13*'Use 2024'!$C13</f>
        <v>0</v>
      </c>
      <c r="H14" s="12">
        <f>'Supply2024-coding'!H13*'Use 2024'!$C13</f>
        <v>0</v>
      </c>
      <c r="I14" s="12">
        <f>'Supply2024-coding'!I13*'Use 2024'!$C13</f>
        <v>0</v>
      </c>
      <c r="J14" s="12">
        <f>'Supply2024-coding'!J13*'Use 2024'!$C13</f>
        <v>0</v>
      </c>
      <c r="K14" s="12">
        <f>'Supply2024-coding'!K13*'Use 2024'!$C13</f>
        <v>6.3465932924833494E-6</v>
      </c>
      <c r="L14" s="12">
        <f>'Supply2024-coding'!L13*'Use 2024'!$C13</f>
        <v>1.2468873818271281E-4</v>
      </c>
      <c r="M14" s="12">
        <f>'Supply2024-coding'!M13*'Use 2024'!$C13</f>
        <v>9.7425607119734138E-4</v>
      </c>
      <c r="N14" s="12">
        <f>'Supply2024-coding'!N13*'Use 2024'!$C13</f>
        <v>0.13091758646635041</v>
      </c>
      <c r="O14" s="12">
        <f>'Supply2024-coding'!O13*'Use 2024'!$C13</f>
        <v>1.9792421030131137E-4</v>
      </c>
      <c r="P14" s="12">
        <f>'Supply2024-coding'!P13*'Use 2024'!$C13</f>
        <v>3.2942004167658848E-4</v>
      </c>
      <c r="Q14" s="12">
        <f>'Supply2024-coding'!Q13*'Use 2024'!$C13</f>
        <v>2.745351225782735E-4</v>
      </c>
      <c r="R14" s="12">
        <f>'Supply2024-coding'!R13*'Use 2024'!$C13</f>
        <v>2.7599101301849704E-4</v>
      </c>
      <c r="S14" s="12">
        <f>'Supply2024-coding'!S13*'Use 2024'!$C13</f>
        <v>9.0354200690579385E-5</v>
      </c>
      <c r="T14" s="12">
        <f>'Supply2024-coding'!T13*'Use 2024'!$C13</f>
        <v>1.6180610562554993E-4</v>
      </c>
      <c r="U14" s="12">
        <f>'Supply2024-coding'!U13*'Use 2024'!$C13</f>
        <v>0</v>
      </c>
      <c r="V14" s="12">
        <f>'Supply2024-coding'!V13*'Use 2024'!$C13</f>
        <v>1.4831436364004971E-5</v>
      </c>
      <c r="W14" s="12">
        <f>'Supply2024-coding'!W13*'Use 2024'!$C13</f>
        <v>0</v>
      </c>
      <c r="X14" s="12">
        <f>'Supply2024-coding'!X13*'Use 2024'!$C13</f>
        <v>0</v>
      </c>
      <c r="Y14" s="12">
        <f>'Supply2024-coding'!Y13*'Use 2024'!$C13</f>
        <v>1.4821343123693707E-4</v>
      </c>
      <c r="Z14" s="12">
        <f>'Supply2024-coding'!Z13*'Use 2024'!$C13</f>
        <v>0</v>
      </c>
      <c r="AA14" s="12">
        <f>'Supply2024-coding'!AA13*'Use 2024'!$C13</f>
        <v>2.1032699942074306E-5</v>
      </c>
      <c r="AB14" s="12">
        <f>'Supply2024-coding'!AB13*'Use 2024'!$C13</f>
        <v>1.597738435855183E-4</v>
      </c>
      <c r="AC14" s="12">
        <f>'Supply2024-coding'!AC13*'Use 2024'!$C13</f>
        <v>5.2824437613049493E-8</v>
      </c>
      <c r="AD14" s="12">
        <f>'Supply2024-coding'!AD13*'Use 2024'!$C13</f>
        <v>0</v>
      </c>
      <c r="AE14" s="12">
        <f>'Supply2024-coding'!AE13*'Use 2024'!$C13</f>
        <v>0</v>
      </c>
      <c r="AF14" s="12">
        <f>'Supply2024-coding'!AF13*'Use 2024'!$C13</f>
        <v>0</v>
      </c>
      <c r="AG14" s="12">
        <f>'Supply2024-coding'!AG13*'Use 2024'!$C13</f>
        <v>0</v>
      </c>
      <c r="AH14" s="12">
        <f>'Supply2024-coding'!AH13*'Use 2024'!$C13</f>
        <v>0</v>
      </c>
      <c r="AI14" s="12">
        <f>'Supply2024-coding'!AI13*'Use 2024'!$C13</f>
        <v>0</v>
      </c>
      <c r="AJ14" s="12">
        <f>'Supply2024-coding'!AJ13*'Use 2024'!$C13</f>
        <v>0</v>
      </c>
      <c r="AK14" s="12">
        <f>'Supply2024-coding'!AK13*'Use 2024'!$C13</f>
        <v>0</v>
      </c>
      <c r="AL14" s="12">
        <f>'Supply2024-coding'!AL13*'Use 2024'!$C13</f>
        <v>0</v>
      </c>
      <c r="AM14" s="12">
        <f>'Supply2024-coding'!AM13*'Use 2024'!$C13</f>
        <v>0</v>
      </c>
      <c r="AN14" s="12">
        <f>'Supply2024-coding'!AN13*'Use 2024'!$C13</f>
        <v>0</v>
      </c>
      <c r="AO14" s="12">
        <f>'Supply2024-coding'!AO13*'Use 2024'!$C13</f>
        <v>0</v>
      </c>
      <c r="AP14" s="12">
        <f>'Supply2024-coding'!AP13*'Use 2024'!$C13</f>
        <v>0</v>
      </c>
      <c r="AQ14" s="12">
        <f>'Supply2024-coding'!AQ13*'Use 2024'!$C13</f>
        <v>0</v>
      </c>
      <c r="AR14" s="12">
        <f>'Supply2024-coding'!AR13*'Use 2024'!$C13</f>
        <v>0</v>
      </c>
      <c r="AS14" s="12">
        <f>'Supply2024-coding'!AS13*'Use 2024'!$C13</f>
        <v>0</v>
      </c>
      <c r="AT14" s="12">
        <f>'Supply2024-coding'!AT13*'Use 2024'!$C13</f>
        <v>0</v>
      </c>
      <c r="AU14" s="12">
        <f>'Supply2024-coding'!AU13*'Use 2024'!$C13</f>
        <v>0</v>
      </c>
      <c r="AV14" s="12">
        <f>'Supply2024-coding'!AV13*'Use 2024'!$C13</f>
        <v>0</v>
      </c>
      <c r="AW14" s="12">
        <f>'Supply2024-coding'!AW13*'Use 2024'!$C13</f>
        <v>0</v>
      </c>
      <c r="AX14" s="12">
        <f>'Supply2024-coding'!AX13*'Use 2024'!$C13</f>
        <v>0</v>
      </c>
      <c r="AY14" s="12">
        <f>'Supply2024-coding'!AY13*'Use 2024'!$C13</f>
        <v>0</v>
      </c>
      <c r="AZ14" s="12">
        <f>'Supply2024-coding'!AZ13*'Use 2024'!$C13</f>
        <v>0</v>
      </c>
      <c r="BA14" s="12">
        <f>'Supply2024-coding'!BA13*'Use 2024'!$C13</f>
        <v>0</v>
      </c>
      <c r="BB14" s="12">
        <f>'Supply2024-coding'!BB13*'Use 2024'!$C13</f>
        <v>0</v>
      </c>
      <c r="BC14" s="12">
        <f>'Supply2024-coding'!BC13*'Use 2024'!$C13</f>
        <v>0</v>
      </c>
      <c r="BD14" s="12">
        <f>'Supply2024-coding'!BD13*'Use 2024'!$C13</f>
        <v>0</v>
      </c>
      <c r="BE14" s="12">
        <f>'Supply2024-coding'!BE13*'Use 2024'!$C13</f>
        <v>0</v>
      </c>
      <c r="BF14" s="12">
        <f>'Supply2024-coding'!BF13*'Use 2024'!$C13</f>
        <v>0</v>
      </c>
      <c r="BG14" s="12">
        <f>'Supply2024-coding'!BG13*'Use 2024'!$C13</f>
        <v>0</v>
      </c>
      <c r="BH14" s="12">
        <f>'Supply2024-coding'!BH13*'Use 2024'!$C13</f>
        <v>0</v>
      </c>
      <c r="BI14" s="12">
        <f>'Supply2024-coding'!BI13*'Use 2024'!$C13</f>
        <v>0</v>
      </c>
      <c r="BJ14" s="12">
        <f>'Supply2024-coding'!BJ13*'Use 2024'!$C13</f>
        <v>0</v>
      </c>
      <c r="BK14" s="12">
        <f>'Supply2024-coding'!BK13*'Use 2024'!$C13</f>
        <v>0</v>
      </c>
      <c r="BL14" s="12">
        <f>'Supply2024-coding'!BL13*'Use 2024'!$C13</f>
        <v>0</v>
      </c>
      <c r="BM14" s="12">
        <f>'Supply2024-coding'!BM13*'Use 2024'!$C13</f>
        <v>0</v>
      </c>
      <c r="BN14" s="12">
        <f>'Supply2024-coding'!BN13*'Use 2024'!$C13</f>
        <v>0</v>
      </c>
      <c r="BO14" s="12">
        <f>'Supply2024-coding'!BO13*'Use 2024'!$C13</f>
        <v>0</v>
      </c>
      <c r="BP14" s="12">
        <f>'Supply2024-coding'!BP13*'Use 2024'!$C13</f>
        <v>0</v>
      </c>
      <c r="BQ14" s="12">
        <f>'Supply2024-coding'!BQ13*'Use 2024'!$C13</f>
        <v>6.2297400785971054E-7</v>
      </c>
      <c r="BR14" s="12">
        <f>'Supply2024-coding'!BR13*'Use 2024'!$C13</f>
        <v>0</v>
      </c>
      <c r="BS14" s="12">
        <f>'Supply2024-coding'!BS13*'Use 2024'!$C13</f>
        <v>0</v>
      </c>
      <c r="BT14" s="12">
        <f>'Supply2024-coding'!BT13*'Use 2024'!$C13</f>
        <v>0</v>
      </c>
      <c r="BU14" s="12">
        <f>'Supply2024-coding'!BU13*'Use 2024'!$C13</f>
        <v>0</v>
      </c>
      <c r="BV14" s="12">
        <f>'Supply2024-coding'!BV13*'Use 2024'!$C13</f>
        <v>1.1709714846045089E-3</v>
      </c>
      <c r="BW14" s="12">
        <f>'Supply2024-coding'!BW13*'Use 2024'!$C13</f>
        <v>8.6454666463823895E-3</v>
      </c>
      <c r="BX14" s="12">
        <f>'Supply2024-coding'!BX13*'Use 2024'!$C13</f>
        <v>0</v>
      </c>
      <c r="BY14" s="12">
        <f>'Supply2024-coding'!BY13*'Use 2024'!$C13</f>
        <v>1.6911916388164755E-3</v>
      </c>
      <c r="BZ14" s="12">
        <f>'Supply2024-coding'!BZ13*'Use 2024'!$C13</f>
        <v>-36270.594193318197</v>
      </c>
      <c r="CA14" s="12" t="e">
        <f>'Supply2024-coding'!CA13*'Use 2024'!$C13</f>
        <v>#DIV/0!</v>
      </c>
      <c r="CB14" s="12">
        <f>'Supply2024-coding'!CB13*'Use 2024'!$C13</f>
        <v>-38990.44079778951</v>
      </c>
      <c r="CC14" s="12">
        <f>'Supply2024-coding'!CC13*'Use 2024'!$C13</f>
        <v>1.2006285236244174E-2</v>
      </c>
      <c r="CD14" s="12">
        <f>'Supply2024-coding'!CD13*'Use 2024'!$C13</f>
        <v>2.7943279041993964E-3</v>
      </c>
      <c r="CE14" s="12">
        <f>'Supply2024-coding'!CE13*'Use 2024'!$C13</f>
        <v>0</v>
      </c>
      <c r="CF14" s="12">
        <f>'Supply2024-coding'!CF13*'Use 2024'!$C13</f>
        <v>3.8035960431181885E-3</v>
      </c>
      <c r="CG14" s="12">
        <f>'Supply2024-coding'!CG13*'Use 2024'!$C13</f>
        <v>2.4469108980416511E-3</v>
      </c>
    </row>
    <row r="15" spans="1:85" x14ac:dyDescent="0.25">
      <c r="A15" t="s">
        <v>13</v>
      </c>
      <c r="B15" t="s">
        <v>106</v>
      </c>
      <c r="C15" s="12">
        <f>'Supply2024-coding'!C14*'Use 2024'!$C14</f>
        <v>0</v>
      </c>
      <c r="D15" s="12">
        <f>'Supply2024-coding'!D14*'Use 2024'!$C14</f>
        <v>0</v>
      </c>
      <c r="E15" s="12">
        <f>'Supply2024-coding'!E14*'Use 2024'!$C14</f>
        <v>0</v>
      </c>
      <c r="F15" s="12">
        <f>'Supply2024-coding'!F14*'Use 2024'!$C14</f>
        <v>0</v>
      </c>
      <c r="G15" s="12">
        <f>'Supply2024-coding'!G14*'Use 2024'!$C14</f>
        <v>0</v>
      </c>
      <c r="H15" s="12">
        <f>'Supply2024-coding'!H14*'Use 2024'!$C14</f>
        <v>0</v>
      </c>
      <c r="I15" s="12">
        <f>'Supply2024-coding'!I14*'Use 2024'!$C14</f>
        <v>0</v>
      </c>
      <c r="J15" s="12">
        <f>'Supply2024-coding'!J14*'Use 2024'!$C14</f>
        <v>0</v>
      </c>
      <c r="K15" s="12">
        <f>'Supply2024-coding'!K14*'Use 2024'!$C14</f>
        <v>0</v>
      </c>
      <c r="L15" s="12">
        <f>'Supply2024-coding'!L14*'Use 2024'!$C14</f>
        <v>1.162901547784749E-6</v>
      </c>
      <c r="M15" s="12">
        <f>'Supply2024-coding'!M14*'Use 2024'!$C14</f>
        <v>3.6040681754769639E-4</v>
      </c>
      <c r="N15" s="12">
        <f>'Supply2024-coding'!N14*'Use 2024'!$C14</f>
        <v>4.4648592239926579E-4</v>
      </c>
      <c r="O15" s="12">
        <f>'Supply2024-coding'!O14*'Use 2024'!$C14</f>
        <v>0.28189606310135845</v>
      </c>
      <c r="P15" s="12">
        <f>'Supply2024-coding'!P14*'Use 2024'!$C14</f>
        <v>3.3449326077571526E-4</v>
      </c>
      <c r="Q15" s="12">
        <f>'Supply2024-coding'!Q14*'Use 2024'!$C14</f>
        <v>3.0069551835348955E-5</v>
      </c>
      <c r="R15" s="12">
        <f>'Supply2024-coding'!R14*'Use 2024'!$C14</f>
        <v>4.8428551100297755E-4</v>
      </c>
      <c r="S15" s="12">
        <f>'Supply2024-coding'!S14*'Use 2024'!$C14</f>
        <v>2.4912764267941632E-5</v>
      </c>
      <c r="T15" s="12">
        <f>'Supply2024-coding'!T14*'Use 2024'!$C14</f>
        <v>1.6121287685135432E-3</v>
      </c>
      <c r="U15" s="12">
        <f>'Supply2024-coding'!U14*'Use 2024'!$C14</f>
        <v>0</v>
      </c>
      <c r="V15" s="12">
        <f>'Supply2024-coding'!V14*'Use 2024'!$C14</f>
        <v>2.8489302356387707E-4</v>
      </c>
      <c r="W15" s="12">
        <f>'Supply2024-coding'!W14*'Use 2024'!$C14</f>
        <v>0</v>
      </c>
      <c r="X15" s="12">
        <f>'Supply2024-coding'!X14*'Use 2024'!$C14</f>
        <v>1.0434867259060559E-4</v>
      </c>
      <c r="Y15" s="12">
        <f>'Supply2024-coding'!Y14*'Use 2024'!$C14</f>
        <v>4.5784950260856094E-5</v>
      </c>
      <c r="Z15" s="12">
        <f>'Supply2024-coding'!Z14*'Use 2024'!$C14</f>
        <v>0</v>
      </c>
      <c r="AA15" s="12">
        <f>'Supply2024-coding'!AA14*'Use 2024'!$C14</f>
        <v>5.1777251430902224E-4</v>
      </c>
      <c r="AB15" s="12">
        <f>'Supply2024-coding'!AB14*'Use 2024'!$C14</f>
        <v>2.8456509548298781E-4</v>
      </c>
      <c r="AC15" s="12">
        <f>'Supply2024-coding'!AC14*'Use 2024'!$C14</f>
        <v>0</v>
      </c>
      <c r="AD15" s="12">
        <f>'Supply2024-coding'!AD14*'Use 2024'!$C14</f>
        <v>0</v>
      </c>
      <c r="AE15" s="12">
        <f>'Supply2024-coding'!AE14*'Use 2024'!$C14</f>
        <v>0</v>
      </c>
      <c r="AF15" s="12">
        <f>'Supply2024-coding'!AF14*'Use 2024'!$C14</f>
        <v>0</v>
      </c>
      <c r="AG15" s="12">
        <f>'Supply2024-coding'!AG14*'Use 2024'!$C14</f>
        <v>0</v>
      </c>
      <c r="AH15" s="12">
        <f>'Supply2024-coding'!AH14*'Use 2024'!$C14</f>
        <v>0</v>
      </c>
      <c r="AI15" s="12">
        <f>'Supply2024-coding'!AI14*'Use 2024'!$C14</f>
        <v>0</v>
      </c>
      <c r="AJ15" s="12">
        <f>'Supply2024-coding'!AJ14*'Use 2024'!$C14</f>
        <v>0</v>
      </c>
      <c r="AK15" s="12">
        <f>'Supply2024-coding'!AK14*'Use 2024'!$C14</f>
        <v>0</v>
      </c>
      <c r="AL15" s="12">
        <f>'Supply2024-coding'!AL14*'Use 2024'!$C14</f>
        <v>0</v>
      </c>
      <c r="AM15" s="12">
        <f>'Supply2024-coding'!AM14*'Use 2024'!$C14</f>
        <v>0</v>
      </c>
      <c r="AN15" s="12">
        <f>'Supply2024-coding'!AN14*'Use 2024'!$C14</f>
        <v>0</v>
      </c>
      <c r="AO15" s="12">
        <f>'Supply2024-coding'!AO14*'Use 2024'!$C14</f>
        <v>0</v>
      </c>
      <c r="AP15" s="12">
        <f>'Supply2024-coding'!AP14*'Use 2024'!$C14</f>
        <v>0</v>
      </c>
      <c r="AQ15" s="12">
        <f>'Supply2024-coding'!AQ14*'Use 2024'!$C14</f>
        <v>1.5393260612461702E-5</v>
      </c>
      <c r="AR15" s="12">
        <f>'Supply2024-coding'!AR14*'Use 2024'!$C14</f>
        <v>0</v>
      </c>
      <c r="AS15" s="12">
        <f>'Supply2024-coding'!AS14*'Use 2024'!$C14</f>
        <v>4.3803508041786928E-4</v>
      </c>
      <c r="AT15" s="12">
        <f>'Supply2024-coding'!AT14*'Use 2024'!$C14</f>
        <v>0</v>
      </c>
      <c r="AU15" s="12">
        <f>'Supply2024-coding'!AU14*'Use 2024'!$C14</f>
        <v>0</v>
      </c>
      <c r="AV15" s="12">
        <f>'Supply2024-coding'!AV14*'Use 2024'!$C14</f>
        <v>0</v>
      </c>
      <c r="AW15" s="12">
        <f>'Supply2024-coding'!AW14*'Use 2024'!$C14</f>
        <v>0</v>
      </c>
      <c r="AX15" s="12">
        <f>'Supply2024-coding'!AX14*'Use 2024'!$C14</f>
        <v>0</v>
      </c>
      <c r="AY15" s="12">
        <f>'Supply2024-coding'!AY14*'Use 2024'!$C14</f>
        <v>0</v>
      </c>
      <c r="AZ15" s="12">
        <f>'Supply2024-coding'!AZ14*'Use 2024'!$C14</f>
        <v>0</v>
      </c>
      <c r="BA15" s="12">
        <f>'Supply2024-coding'!BA14*'Use 2024'!$C14</f>
        <v>0</v>
      </c>
      <c r="BB15" s="12">
        <f>'Supply2024-coding'!BB14*'Use 2024'!$C14</f>
        <v>0</v>
      </c>
      <c r="BC15" s="12">
        <f>'Supply2024-coding'!BC14*'Use 2024'!$C14</f>
        <v>0</v>
      </c>
      <c r="BD15" s="12">
        <f>'Supply2024-coding'!BD14*'Use 2024'!$C14</f>
        <v>0</v>
      </c>
      <c r="BE15" s="12">
        <f>'Supply2024-coding'!BE14*'Use 2024'!$C14</f>
        <v>0</v>
      </c>
      <c r="BF15" s="12">
        <f>'Supply2024-coding'!BF14*'Use 2024'!$C14</f>
        <v>0</v>
      </c>
      <c r="BG15" s="12">
        <f>'Supply2024-coding'!BG14*'Use 2024'!$C14</f>
        <v>0</v>
      </c>
      <c r="BH15" s="12">
        <f>'Supply2024-coding'!BH14*'Use 2024'!$C14</f>
        <v>0</v>
      </c>
      <c r="BI15" s="12">
        <f>'Supply2024-coding'!BI14*'Use 2024'!$C14</f>
        <v>0</v>
      </c>
      <c r="BJ15" s="12">
        <f>'Supply2024-coding'!BJ14*'Use 2024'!$C14</f>
        <v>0</v>
      </c>
      <c r="BK15" s="12">
        <f>'Supply2024-coding'!BK14*'Use 2024'!$C14</f>
        <v>0</v>
      </c>
      <c r="BL15" s="12">
        <f>'Supply2024-coding'!BL14*'Use 2024'!$C14</f>
        <v>0</v>
      </c>
      <c r="BM15" s="12">
        <f>'Supply2024-coding'!BM14*'Use 2024'!$C14</f>
        <v>0</v>
      </c>
      <c r="BN15" s="12">
        <f>'Supply2024-coding'!BN14*'Use 2024'!$C14</f>
        <v>0</v>
      </c>
      <c r="BO15" s="12">
        <f>'Supply2024-coding'!BO14*'Use 2024'!$C14</f>
        <v>0</v>
      </c>
      <c r="BP15" s="12">
        <f>'Supply2024-coding'!BP14*'Use 2024'!$C14</f>
        <v>0</v>
      </c>
      <c r="BQ15" s="12">
        <f>'Supply2024-coding'!BQ14*'Use 2024'!$C14</f>
        <v>0</v>
      </c>
      <c r="BR15" s="12">
        <f>'Supply2024-coding'!BR14*'Use 2024'!$C14</f>
        <v>0</v>
      </c>
      <c r="BS15" s="12">
        <f>'Supply2024-coding'!BS14*'Use 2024'!$C14</f>
        <v>0</v>
      </c>
      <c r="BT15" s="12">
        <f>'Supply2024-coding'!BT14*'Use 2024'!$C14</f>
        <v>0</v>
      </c>
      <c r="BU15" s="12">
        <f>'Supply2024-coding'!BU14*'Use 2024'!$C14</f>
        <v>0</v>
      </c>
      <c r="BV15" s="12">
        <f>'Supply2024-coding'!BV14*'Use 2024'!$C14</f>
        <v>2.3745487072166825E-3</v>
      </c>
      <c r="BW15" s="12">
        <f>'Supply2024-coding'!BW14*'Use 2024'!$C14</f>
        <v>4.2114401458721536E-2</v>
      </c>
      <c r="BX15" s="12">
        <f>'Supply2024-coding'!BX14*'Use 2024'!$C14</f>
        <v>0</v>
      </c>
      <c r="BY15" s="12">
        <f>'Supply2024-coding'!BY14*'Use 2024'!$C14</f>
        <v>5.1381974704898057E-3</v>
      </c>
      <c r="BZ15" s="12">
        <f>'Supply2024-coding'!BZ14*'Use 2024'!$C14</f>
        <v>-124777.89004644175</v>
      </c>
      <c r="CA15" s="12" t="e">
        <f>'Supply2024-coding'!CA14*'Use 2024'!$C14</f>
        <v>#DIV/0!</v>
      </c>
      <c r="CB15" s="12">
        <f>'Supply2024-coding'!CB14*'Use 2024'!$C14</f>
        <v>-129545.07872955455</v>
      </c>
      <c r="CC15" s="12">
        <f>'Supply2024-coding'!CC14*'Use 2024'!$C14</f>
        <v>2.3272549618812748E-2</v>
      </c>
      <c r="CD15" s="12">
        <f>'Supply2024-coding'!CD14*'Use 2024'!$C14</f>
        <v>8.163012066226218E-3</v>
      </c>
      <c r="CE15" s="12">
        <f>'Supply2024-coding'!CE14*'Use 2024'!$C14</f>
        <v>0</v>
      </c>
      <c r="CF15" s="12">
        <f>'Supply2024-coding'!CF14*'Use 2024'!$C14</f>
        <v>1.0135024091649458E-2</v>
      </c>
      <c r="CG15" s="12">
        <f>'Supply2024-coding'!CG14*'Use 2024'!$C14</f>
        <v>7.6115203657283826E-3</v>
      </c>
    </row>
    <row r="16" spans="1:85" x14ac:dyDescent="0.25">
      <c r="A16" t="s">
        <v>14</v>
      </c>
      <c r="B16" t="s">
        <v>107</v>
      </c>
      <c r="C16" s="12">
        <f>'Supply2024-coding'!C15*'Use 2024'!$C15</f>
        <v>0</v>
      </c>
      <c r="D16" s="12">
        <f>'Supply2024-coding'!D15*'Use 2024'!$C15</f>
        <v>0</v>
      </c>
      <c r="E16" s="12">
        <f>'Supply2024-coding'!E15*'Use 2024'!$C15</f>
        <v>0</v>
      </c>
      <c r="F16" s="12">
        <f>'Supply2024-coding'!F15*'Use 2024'!$C15</f>
        <v>0</v>
      </c>
      <c r="G16" s="12">
        <f>'Supply2024-coding'!G15*'Use 2024'!$C15</f>
        <v>0</v>
      </c>
      <c r="H16" s="12">
        <f>'Supply2024-coding'!H15*'Use 2024'!$C15</f>
        <v>0</v>
      </c>
      <c r="I16" s="12">
        <f>'Supply2024-coding'!I15*'Use 2024'!$C15</f>
        <v>0</v>
      </c>
      <c r="J16" s="12">
        <f>'Supply2024-coding'!J15*'Use 2024'!$C15</f>
        <v>0</v>
      </c>
      <c r="K16" s="12">
        <f>'Supply2024-coding'!K15*'Use 2024'!$C15</f>
        <v>1.6308042482304151E-4</v>
      </c>
      <c r="L16" s="12">
        <f>'Supply2024-coding'!L15*'Use 2024'!$C15</f>
        <v>4.4686629711327487E-4</v>
      </c>
      <c r="M16" s="12">
        <f>'Supply2024-coding'!M15*'Use 2024'!$C15</f>
        <v>2.2098114901666772E-4</v>
      </c>
      <c r="N16" s="12">
        <f>'Supply2024-coding'!N15*'Use 2024'!$C15</f>
        <v>1.1853370318607409E-3</v>
      </c>
      <c r="O16" s="12">
        <f>'Supply2024-coding'!O15*'Use 2024'!$C15</f>
        <v>5.7961377021490139E-4</v>
      </c>
      <c r="P16" s="12">
        <f>'Supply2024-coding'!P15*'Use 2024'!$C15</f>
        <v>0.39419613651050378</v>
      </c>
      <c r="Q16" s="12">
        <f>'Supply2024-coding'!Q15*'Use 2024'!$C15</f>
        <v>8.5925101729261247E-5</v>
      </c>
      <c r="R16" s="12">
        <f>'Supply2024-coding'!R15*'Use 2024'!$C15</f>
        <v>4.7204525927746E-4</v>
      </c>
      <c r="S16" s="12">
        <f>'Supply2024-coding'!S15*'Use 2024'!$C15</f>
        <v>1.3703949581349517E-4</v>
      </c>
      <c r="T16" s="12">
        <f>'Supply2024-coding'!T15*'Use 2024'!$C15</f>
        <v>1.1876727659677215E-4</v>
      </c>
      <c r="U16" s="12">
        <f>'Supply2024-coding'!U15*'Use 2024'!$C15</f>
        <v>0</v>
      </c>
      <c r="V16" s="12">
        <f>'Supply2024-coding'!V15*'Use 2024'!$C15</f>
        <v>0</v>
      </c>
      <c r="W16" s="12">
        <f>'Supply2024-coding'!W15*'Use 2024'!$C15</f>
        <v>0</v>
      </c>
      <c r="X16" s="12">
        <f>'Supply2024-coding'!X15*'Use 2024'!$C15</f>
        <v>0</v>
      </c>
      <c r="Y16" s="12">
        <f>'Supply2024-coding'!Y15*'Use 2024'!$C15</f>
        <v>5.8874652960201227E-5</v>
      </c>
      <c r="Z16" s="12">
        <f>'Supply2024-coding'!Z15*'Use 2024'!$C15</f>
        <v>6.3737491196104842E-6</v>
      </c>
      <c r="AA16" s="12">
        <f>'Supply2024-coding'!AA15*'Use 2024'!$C15</f>
        <v>4.804007418582142E-5</v>
      </c>
      <c r="AB16" s="12">
        <f>'Supply2024-coding'!AB15*'Use 2024'!$C15</f>
        <v>5.2053896114153352E-4</v>
      </c>
      <c r="AC16" s="12">
        <f>'Supply2024-coding'!AC15*'Use 2024'!$C15</f>
        <v>0</v>
      </c>
      <c r="AD16" s="12">
        <f>'Supply2024-coding'!AD15*'Use 2024'!$C15</f>
        <v>0</v>
      </c>
      <c r="AE16" s="12">
        <f>'Supply2024-coding'!AE15*'Use 2024'!$C15</f>
        <v>0</v>
      </c>
      <c r="AF16" s="12">
        <f>'Supply2024-coding'!AF15*'Use 2024'!$C15</f>
        <v>0</v>
      </c>
      <c r="AG16" s="12">
        <f>'Supply2024-coding'!AG15*'Use 2024'!$C15</f>
        <v>0</v>
      </c>
      <c r="AH16" s="12">
        <f>'Supply2024-coding'!AH15*'Use 2024'!$C15</f>
        <v>0</v>
      </c>
      <c r="AI16" s="12">
        <f>'Supply2024-coding'!AI15*'Use 2024'!$C15</f>
        <v>0</v>
      </c>
      <c r="AJ16" s="12">
        <f>'Supply2024-coding'!AJ15*'Use 2024'!$C15</f>
        <v>0</v>
      </c>
      <c r="AK16" s="12">
        <f>'Supply2024-coding'!AK15*'Use 2024'!$C15</f>
        <v>0</v>
      </c>
      <c r="AL16" s="12">
        <f>'Supply2024-coding'!AL15*'Use 2024'!$C15</f>
        <v>0</v>
      </c>
      <c r="AM16" s="12">
        <f>'Supply2024-coding'!AM15*'Use 2024'!$C15</f>
        <v>0</v>
      </c>
      <c r="AN16" s="12">
        <f>'Supply2024-coding'!AN15*'Use 2024'!$C15</f>
        <v>0</v>
      </c>
      <c r="AO16" s="12">
        <f>'Supply2024-coding'!AO15*'Use 2024'!$C15</f>
        <v>0</v>
      </c>
      <c r="AP16" s="12">
        <f>'Supply2024-coding'!AP15*'Use 2024'!$C15</f>
        <v>0</v>
      </c>
      <c r="AQ16" s="12">
        <f>'Supply2024-coding'!AQ15*'Use 2024'!$C15</f>
        <v>0</v>
      </c>
      <c r="AR16" s="12">
        <f>'Supply2024-coding'!AR15*'Use 2024'!$C15</f>
        <v>0</v>
      </c>
      <c r="AS16" s="12">
        <f>'Supply2024-coding'!AS15*'Use 2024'!$C15</f>
        <v>0</v>
      </c>
      <c r="AT16" s="12">
        <f>'Supply2024-coding'!AT15*'Use 2024'!$C15</f>
        <v>0</v>
      </c>
      <c r="AU16" s="12">
        <f>'Supply2024-coding'!AU15*'Use 2024'!$C15</f>
        <v>0</v>
      </c>
      <c r="AV16" s="12">
        <f>'Supply2024-coding'!AV15*'Use 2024'!$C15</f>
        <v>0</v>
      </c>
      <c r="AW16" s="12">
        <f>'Supply2024-coding'!AW15*'Use 2024'!$C15</f>
        <v>0</v>
      </c>
      <c r="AX16" s="12">
        <f>'Supply2024-coding'!AX15*'Use 2024'!$C15</f>
        <v>0</v>
      </c>
      <c r="AY16" s="12">
        <f>'Supply2024-coding'!AY15*'Use 2024'!$C15</f>
        <v>0</v>
      </c>
      <c r="AZ16" s="12">
        <f>'Supply2024-coding'!AZ15*'Use 2024'!$C15</f>
        <v>0</v>
      </c>
      <c r="BA16" s="12">
        <f>'Supply2024-coding'!BA15*'Use 2024'!$C15</f>
        <v>0</v>
      </c>
      <c r="BB16" s="12">
        <f>'Supply2024-coding'!BB15*'Use 2024'!$C15</f>
        <v>0</v>
      </c>
      <c r="BC16" s="12">
        <f>'Supply2024-coding'!BC15*'Use 2024'!$C15</f>
        <v>0</v>
      </c>
      <c r="BD16" s="12">
        <f>'Supply2024-coding'!BD15*'Use 2024'!$C15</f>
        <v>0</v>
      </c>
      <c r="BE16" s="12">
        <f>'Supply2024-coding'!BE15*'Use 2024'!$C15</f>
        <v>0</v>
      </c>
      <c r="BF16" s="12">
        <f>'Supply2024-coding'!BF15*'Use 2024'!$C15</f>
        <v>0</v>
      </c>
      <c r="BG16" s="12">
        <f>'Supply2024-coding'!BG15*'Use 2024'!$C15</f>
        <v>0</v>
      </c>
      <c r="BH16" s="12">
        <f>'Supply2024-coding'!BH15*'Use 2024'!$C15</f>
        <v>0</v>
      </c>
      <c r="BI16" s="12">
        <f>'Supply2024-coding'!BI15*'Use 2024'!$C15</f>
        <v>0</v>
      </c>
      <c r="BJ16" s="12">
        <f>'Supply2024-coding'!BJ15*'Use 2024'!$C15</f>
        <v>0</v>
      </c>
      <c r="BK16" s="12">
        <f>'Supply2024-coding'!BK15*'Use 2024'!$C15</f>
        <v>0</v>
      </c>
      <c r="BL16" s="12">
        <f>'Supply2024-coding'!BL15*'Use 2024'!$C15</f>
        <v>0</v>
      </c>
      <c r="BM16" s="12">
        <f>'Supply2024-coding'!BM15*'Use 2024'!$C15</f>
        <v>0</v>
      </c>
      <c r="BN16" s="12">
        <f>'Supply2024-coding'!BN15*'Use 2024'!$C15</f>
        <v>0</v>
      </c>
      <c r="BO16" s="12">
        <f>'Supply2024-coding'!BO15*'Use 2024'!$C15</f>
        <v>0</v>
      </c>
      <c r="BP16" s="12">
        <f>'Supply2024-coding'!BP15*'Use 2024'!$C15</f>
        <v>0</v>
      </c>
      <c r="BQ16" s="12">
        <f>'Supply2024-coding'!BQ15*'Use 2024'!$C15</f>
        <v>0</v>
      </c>
      <c r="BR16" s="12">
        <f>'Supply2024-coding'!BR15*'Use 2024'!$C15</f>
        <v>0</v>
      </c>
      <c r="BS16" s="12">
        <f>'Supply2024-coding'!BS15*'Use 2024'!$C15</f>
        <v>0</v>
      </c>
      <c r="BT16" s="12">
        <f>'Supply2024-coding'!BT15*'Use 2024'!$C15</f>
        <v>0</v>
      </c>
      <c r="BU16" s="12">
        <f>'Supply2024-coding'!BU15*'Use 2024'!$C15</f>
        <v>0</v>
      </c>
      <c r="BV16" s="12">
        <f>'Supply2024-coding'!BV15*'Use 2024'!$C15</f>
        <v>1.561276201639671E-3</v>
      </c>
      <c r="BW16" s="12">
        <f>'Supply2024-coding'!BW15*'Use 2024'!$C15</f>
        <v>1.9218661895693372E-2</v>
      </c>
      <c r="BX16" s="12">
        <f>'Supply2024-coding'!BX15*'Use 2024'!$C15</f>
        <v>0</v>
      </c>
      <c r="BY16" s="12">
        <f>'Supply2024-coding'!BY15*'Use 2024'!$C15</f>
        <v>2.7895245369461731E-3</v>
      </c>
      <c r="BZ16" s="12">
        <f>'Supply2024-coding'!BZ15*'Use 2024'!$C15</f>
        <v>-68339.910428233561</v>
      </c>
      <c r="CA16" s="12" t="e">
        <f>'Supply2024-coding'!CA15*'Use 2024'!$C15</f>
        <v>#DIV/0!</v>
      </c>
      <c r="CB16" s="12">
        <f>'Supply2024-coding'!CB15*'Use 2024'!$C15</f>
        <v>-73796.956393070999</v>
      </c>
      <c r="CC16" s="12">
        <f>'Supply2024-coding'!CC15*'Use 2024'!$C15</f>
        <v>4.4482680405895932E-2</v>
      </c>
      <c r="CD16" s="12">
        <f>'Supply2024-coding'!CD15*'Use 2024'!$C15</f>
        <v>4.7593010101334944E-3</v>
      </c>
      <c r="CE16" s="12">
        <f>'Supply2024-coding'!CE15*'Use 2024'!$C15</f>
        <v>2.8157329660546287E-3</v>
      </c>
      <c r="CF16" s="12">
        <f>'Supply2024-coding'!CF15*'Use 2024'!$C15</f>
        <v>8.2176180085085804E-3</v>
      </c>
      <c r="CG16" s="12">
        <f>'Supply2024-coding'!CG15*'Use 2024'!$C15</f>
        <v>4.2464208896700623E-3</v>
      </c>
    </row>
    <row r="17" spans="1:85" x14ac:dyDescent="0.25">
      <c r="A17" t="s">
        <v>15</v>
      </c>
      <c r="B17" t="s">
        <v>108</v>
      </c>
      <c r="C17" s="12">
        <f>'Supply2024-coding'!C16*'Use 2024'!$C16</f>
        <v>0</v>
      </c>
      <c r="D17" s="12">
        <f>'Supply2024-coding'!D16*'Use 2024'!$C16</f>
        <v>0</v>
      </c>
      <c r="E17" s="12">
        <f>'Supply2024-coding'!E16*'Use 2024'!$C16</f>
        <v>0</v>
      </c>
      <c r="F17" s="12">
        <f>'Supply2024-coding'!F16*'Use 2024'!$C16</f>
        <v>0</v>
      </c>
      <c r="G17" s="12">
        <f>'Supply2024-coding'!G16*'Use 2024'!$C16</f>
        <v>0</v>
      </c>
      <c r="H17" s="12">
        <f>'Supply2024-coding'!H16*'Use 2024'!$C16</f>
        <v>0</v>
      </c>
      <c r="I17" s="12">
        <f>'Supply2024-coding'!I16*'Use 2024'!$C16</f>
        <v>0</v>
      </c>
      <c r="J17" s="12">
        <f>'Supply2024-coding'!J16*'Use 2024'!$C16</f>
        <v>0</v>
      </c>
      <c r="K17" s="12">
        <f>'Supply2024-coding'!K16*'Use 2024'!$C16</f>
        <v>6.2584814509209221E-5</v>
      </c>
      <c r="L17" s="12">
        <f>'Supply2024-coding'!L16*'Use 2024'!$C16</f>
        <v>0</v>
      </c>
      <c r="M17" s="12">
        <f>'Supply2024-coding'!M16*'Use 2024'!$C16</f>
        <v>1.065005119932543E-3</v>
      </c>
      <c r="N17" s="12">
        <f>'Supply2024-coding'!N16*'Use 2024'!$C16</f>
        <v>1.0146754337843431E-3</v>
      </c>
      <c r="O17" s="12">
        <f>'Supply2024-coding'!O16*'Use 2024'!$C16</f>
        <v>9.6726709448168153E-6</v>
      </c>
      <c r="P17" s="12">
        <f>'Supply2024-coding'!P16*'Use 2024'!$C16</f>
        <v>1.9343782944718021E-4</v>
      </c>
      <c r="Q17" s="12">
        <f>'Supply2024-coding'!Q16*'Use 2024'!$C16</f>
        <v>0.47836433005667139</v>
      </c>
      <c r="R17" s="12">
        <f>'Supply2024-coding'!R16*'Use 2024'!$C16</f>
        <v>3.3231253194291595E-3</v>
      </c>
      <c r="S17" s="12">
        <f>'Supply2024-coding'!S16*'Use 2024'!$C16</f>
        <v>0</v>
      </c>
      <c r="T17" s="12">
        <f>'Supply2024-coding'!T16*'Use 2024'!$C16</f>
        <v>1.4014905424344912E-4</v>
      </c>
      <c r="U17" s="12">
        <f>'Supply2024-coding'!U16*'Use 2024'!$C16</f>
        <v>0</v>
      </c>
      <c r="V17" s="12">
        <f>'Supply2024-coding'!V16*'Use 2024'!$C16</f>
        <v>6.1693130622093514E-3</v>
      </c>
      <c r="W17" s="12">
        <f>'Supply2024-coding'!W16*'Use 2024'!$C16</f>
        <v>0</v>
      </c>
      <c r="X17" s="12">
        <f>'Supply2024-coding'!X16*'Use 2024'!$C16</f>
        <v>0</v>
      </c>
      <c r="Y17" s="12">
        <f>'Supply2024-coding'!Y16*'Use 2024'!$C16</f>
        <v>0</v>
      </c>
      <c r="Z17" s="12">
        <f>'Supply2024-coding'!Z16*'Use 2024'!$C16</f>
        <v>0</v>
      </c>
      <c r="AA17" s="12">
        <f>'Supply2024-coding'!AA16*'Use 2024'!$C16</f>
        <v>5.0280475279561461E-7</v>
      </c>
      <c r="AB17" s="12">
        <f>'Supply2024-coding'!AB16*'Use 2024'!$C16</f>
        <v>2.1509989962713106E-3</v>
      </c>
      <c r="AC17" s="12">
        <f>'Supply2024-coding'!AC16*'Use 2024'!$C16</f>
        <v>1.6669138744309958E-5</v>
      </c>
      <c r="AD17" s="12">
        <f>'Supply2024-coding'!AD16*'Use 2024'!$C16</f>
        <v>0</v>
      </c>
      <c r="AE17" s="12">
        <f>'Supply2024-coding'!AE16*'Use 2024'!$C16</f>
        <v>0</v>
      </c>
      <c r="AF17" s="12">
        <f>'Supply2024-coding'!AF16*'Use 2024'!$C16</f>
        <v>0</v>
      </c>
      <c r="AG17" s="12">
        <f>'Supply2024-coding'!AG16*'Use 2024'!$C16</f>
        <v>0</v>
      </c>
      <c r="AH17" s="12">
        <f>'Supply2024-coding'!AH16*'Use 2024'!$C16</f>
        <v>0</v>
      </c>
      <c r="AI17" s="12">
        <f>'Supply2024-coding'!AI16*'Use 2024'!$C16</f>
        <v>0</v>
      </c>
      <c r="AJ17" s="12">
        <f>'Supply2024-coding'!AJ16*'Use 2024'!$C16</f>
        <v>0</v>
      </c>
      <c r="AK17" s="12">
        <f>'Supply2024-coding'!AK16*'Use 2024'!$C16</f>
        <v>0</v>
      </c>
      <c r="AL17" s="12">
        <f>'Supply2024-coding'!AL16*'Use 2024'!$C16</f>
        <v>0</v>
      </c>
      <c r="AM17" s="12">
        <f>'Supply2024-coding'!AM16*'Use 2024'!$C16</f>
        <v>0</v>
      </c>
      <c r="AN17" s="12">
        <f>'Supply2024-coding'!AN16*'Use 2024'!$C16</f>
        <v>0</v>
      </c>
      <c r="AO17" s="12">
        <f>'Supply2024-coding'!AO16*'Use 2024'!$C16</f>
        <v>0</v>
      </c>
      <c r="AP17" s="12">
        <f>'Supply2024-coding'!AP16*'Use 2024'!$C16</f>
        <v>0</v>
      </c>
      <c r="AQ17" s="12">
        <f>'Supply2024-coding'!AQ16*'Use 2024'!$C16</f>
        <v>0</v>
      </c>
      <c r="AR17" s="12">
        <f>'Supply2024-coding'!AR16*'Use 2024'!$C16</f>
        <v>0</v>
      </c>
      <c r="AS17" s="12">
        <f>'Supply2024-coding'!AS16*'Use 2024'!$C16</f>
        <v>0</v>
      </c>
      <c r="AT17" s="12">
        <f>'Supply2024-coding'!AT16*'Use 2024'!$C16</f>
        <v>0</v>
      </c>
      <c r="AU17" s="12">
        <f>'Supply2024-coding'!AU16*'Use 2024'!$C16</f>
        <v>0</v>
      </c>
      <c r="AV17" s="12">
        <f>'Supply2024-coding'!AV16*'Use 2024'!$C16</f>
        <v>0</v>
      </c>
      <c r="AW17" s="12">
        <f>'Supply2024-coding'!AW16*'Use 2024'!$C16</f>
        <v>0</v>
      </c>
      <c r="AX17" s="12">
        <f>'Supply2024-coding'!AX16*'Use 2024'!$C16</f>
        <v>0</v>
      </c>
      <c r="AY17" s="12">
        <f>'Supply2024-coding'!AY16*'Use 2024'!$C16</f>
        <v>0</v>
      </c>
      <c r="AZ17" s="12">
        <f>'Supply2024-coding'!AZ16*'Use 2024'!$C16</f>
        <v>0</v>
      </c>
      <c r="BA17" s="12">
        <f>'Supply2024-coding'!BA16*'Use 2024'!$C16</f>
        <v>0</v>
      </c>
      <c r="BB17" s="12">
        <f>'Supply2024-coding'!BB16*'Use 2024'!$C16</f>
        <v>0</v>
      </c>
      <c r="BC17" s="12">
        <f>'Supply2024-coding'!BC16*'Use 2024'!$C16</f>
        <v>0</v>
      </c>
      <c r="BD17" s="12">
        <f>'Supply2024-coding'!BD16*'Use 2024'!$C16</f>
        <v>0</v>
      </c>
      <c r="BE17" s="12">
        <f>'Supply2024-coding'!BE16*'Use 2024'!$C16</f>
        <v>0</v>
      </c>
      <c r="BF17" s="12">
        <f>'Supply2024-coding'!BF16*'Use 2024'!$C16</f>
        <v>0</v>
      </c>
      <c r="BG17" s="12">
        <f>'Supply2024-coding'!BG16*'Use 2024'!$C16</f>
        <v>0</v>
      </c>
      <c r="BH17" s="12">
        <f>'Supply2024-coding'!BH16*'Use 2024'!$C16</f>
        <v>0</v>
      </c>
      <c r="BI17" s="12">
        <f>'Supply2024-coding'!BI16*'Use 2024'!$C16</f>
        <v>0</v>
      </c>
      <c r="BJ17" s="12">
        <f>'Supply2024-coding'!BJ16*'Use 2024'!$C16</f>
        <v>0</v>
      </c>
      <c r="BK17" s="12">
        <f>'Supply2024-coding'!BK16*'Use 2024'!$C16</f>
        <v>0</v>
      </c>
      <c r="BL17" s="12">
        <f>'Supply2024-coding'!BL16*'Use 2024'!$C16</f>
        <v>0</v>
      </c>
      <c r="BM17" s="12">
        <f>'Supply2024-coding'!BM16*'Use 2024'!$C16</f>
        <v>0</v>
      </c>
      <c r="BN17" s="12">
        <f>'Supply2024-coding'!BN16*'Use 2024'!$C16</f>
        <v>0</v>
      </c>
      <c r="BO17" s="12">
        <f>'Supply2024-coding'!BO16*'Use 2024'!$C16</f>
        <v>0</v>
      </c>
      <c r="BP17" s="12">
        <f>'Supply2024-coding'!BP16*'Use 2024'!$C16</f>
        <v>0</v>
      </c>
      <c r="BQ17" s="12">
        <f>'Supply2024-coding'!BQ16*'Use 2024'!$C16</f>
        <v>0</v>
      </c>
      <c r="BR17" s="12">
        <f>'Supply2024-coding'!BR16*'Use 2024'!$C16</f>
        <v>0</v>
      </c>
      <c r="BS17" s="12">
        <f>'Supply2024-coding'!BS16*'Use 2024'!$C16</f>
        <v>0</v>
      </c>
      <c r="BT17" s="12">
        <f>'Supply2024-coding'!BT16*'Use 2024'!$C16</f>
        <v>0</v>
      </c>
      <c r="BU17" s="12">
        <f>'Supply2024-coding'!BU16*'Use 2024'!$C16</f>
        <v>0</v>
      </c>
      <c r="BV17" s="12">
        <f>'Supply2024-coding'!BV16*'Use 2024'!$C16</f>
        <v>7.4778804249103449E-3</v>
      </c>
      <c r="BW17" s="12">
        <f>'Supply2024-coding'!BW16*'Use 2024'!$C16</f>
        <v>5.5903097961224432E-2</v>
      </c>
      <c r="BX17" s="12">
        <f>'Supply2024-coding'!BX16*'Use 2024'!$C16</f>
        <v>0</v>
      </c>
      <c r="BY17" s="12">
        <f>'Supply2024-coding'!BY16*'Use 2024'!$C16</f>
        <v>1.0848173173431593E-2</v>
      </c>
      <c r="BZ17" s="12">
        <f>'Supply2024-coding'!BZ16*'Use 2024'!$C16</f>
        <v>-203709.58735128172</v>
      </c>
      <c r="CA17" s="12" t="e">
        <f>'Supply2024-coding'!CA16*'Use 2024'!$C16</f>
        <v>#DIV/0!</v>
      </c>
      <c r="CB17" s="12">
        <f>'Supply2024-coding'!CB16*'Use 2024'!$C16</f>
        <v>-214029.94866106048</v>
      </c>
      <c r="CC17" s="12">
        <f>'Supply2024-coding'!CC16*'Use 2024'!$C16</f>
        <v>5.4428632103059302E-2</v>
      </c>
      <c r="CD17" s="12">
        <f>'Supply2024-coding'!CD16*'Use 2024'!$C16</f>
        <v>2.4118193011777794E-2</v>
      </c>
      <c r="CE17" s="12">
        <f>'Supply2024-coding'!CE16*'Use 2024'!$C16</f>
        <v>0</v>
      </c>
      <c r="CF17" s="12">
        <f>'Supply2024-coding'!CF16*'Use 2024'!$C16</f>
        <v>2.8758936620358951E-2</v>
      </c>
      <c r="CG17" s="12">
        <f>'Supply2024-coding'!CG16*'Use 2024'!$C16</f>
        <v>1.511377988442438E-2</v>
      </c>
    </row>
    <row r="18" spans="1:85" x14ac:dyDescent="0.25">
      <c r="A18" t="s">
        <v>16</v>
      </c>
      <c r="B18" t="s">
        <v>109</v>
      </c>
      <c r="C18" s="12">
        <f>'Supply2024-coding'!C17*'Use 2024'!$C17</f>
        <v>0</v>
      </c>
      <c r="D18" s="12">
        <f>'Supply2024-coding'!D17*'Use 2024'!$C17</f>
        <v>0</v>
      </c>
      <c r="E18" s="12">
        <f>'Supply2024-coding'!E17*'Use 2024'!$C17</f>
        <v>0</v>
      </c>
      <c r="F18" s="12">
        <f>'Supply2024-coding'!F17*'Use 2024'!$C17</f>
        <v>0</v>
      </c>
      <c r="G18" s="12">
        <f>'Supply2024-coding'!G17*'Use 2024'!$C17</f>
        <v>0</v>
      </c>
      <c r="H18" s="12">
        <f>'Supply2024-coding'!H17*'Use 2024'!$C17</f>
        <v>0</v>
      </c>
      <c r="I18" s="12">
        <f>'Supply2024-coding'!I17*'Use 2024'!$C17</f>
        <v>0</v>
      </c>
      <c r="J18" s="12">
        <f>'Supply2024-coding'!J17*'Use 2024'!$C17</f>
        <v>0</v>
      </c>
      <c r="K18" s="12">
        <f>'Supply2024-coding'!K17*'Use 2024'!$C17</f>
        <v>1.6374959488589923E-6</v>
      </c>
      <c r="L18" s="12">
        <f>'Supply2024-coding'!L17*'Use 2024'!$C17</f>
        <v>0</v>
      </c>
      <c r="M18" s="12">
        <f>'Supply2024-coding'!M17*'Use 2024'!$C17</f>
        <v>1.3810484270876711E-4</v>
      </c>
      <c r="N18" s="12">
        <f>'Supply2024-coding'!N17*'Use 2024'!$C17</f>
        <v>2.3323175679686777E-4</v>
      </c>
      <c r="O18" s="12">
        <f>'Supply2024-coding'!O17*'Use 2024'!$C17</f>
        <v>3.5912039826272455E-4</v>
      </c>
      <c r="P18" s="12">
        <f>'Supply2024-coding'!P17*'Use 2024'!$C17</f>
        <v>1.4846158492420328E-6</v>
      </c>
      <c r="Q18" s="12">
        <f>'Supply2024-coding'!Q17*'Use 2024'!$C17</f>
        <v>2.0769086510816137E-3</v>
      </c>
      <c r="R18" s="12">
        <f>'Supply2024-coding'!R17*'Use 2024'!$C17</f>
        <v>0.25997023588106316</v>
      </c>
      <c r="S18" s="12">
        <f>'Supply2024-coding'!S17*'Use 2024'!$C17</f>
        <v>0</v>
      </c>
      <c r="T18" s="12">
        <f>'Supply2024-coding'!T17*'Use 2024'!$C17</f>
        <v>8.3899129797399815E-5</v>
      </c>
      <c r="U18" s="12">
        <f>'Supply2024-coding'!U17*'Use 2024'!$C17</f>
        <v>0</v>
      </c>
      <c r="V18" s="12">
        <f>'Supply2024-coding'!V17*'Use 2024'!$C17</f>
        <v>0</v>
      </c>
      <c r="W18" s="12">
        <f>'Supply2024-coding'!W17*'Use 2024'!$C17</f>
        <v>0</v>
      </c>
      <c r="X18" s="12">
        <f>'Supply2024-coding'!X17*'Use 2024'!$C17</f>
        <v>0</v>
      </c>
      <c r="Y18" s="12">
        <f>'Supply2024-coding'!Y17*'Use 2024'!$C17</f>
        <v>0</v>
      </c>
      <c r="Z18" s="12">
        <f>'Supply2024-coding'!Z17*'Use 2024'!$C17</f>
        <v>0</v>
      </c>
      <c r="AA18" s="12">
        <f>'Supply2024-coding'!AA17*'Use 2024'!$C17</f>
        <v>0</v>
      </c>
      <c r="AB18" s="12">
        <f>'Supply2024-coding'!AB17*'Use 2024'!$C17</f>
        <v>1.0800084472580242E-4</v>
      </c>
      <c r="AC18" s="12">
        <f>'Supply2024-coding'!AC17*'Use 2024'!$C17</f>
        <v>0</v>
      </c>
      <c r="AD18" s="12">
        <f>'Supply2024-coding'!AD17*'Use 2024'!$C17</f>
        <v>0</v>
      </c>
      <c r="AE18" s="12">
        <f>'Supply2024-coding'!AE17*'Use 2024'!$C17</f>
        <v>0</v>
      </c>
      <c r="AF18" s="12">
        <f>'Supply2024-coding'!AF17*'Use 2024'!$C17</f>
        <v>0</v>
      </c>
      <c r="AG18" s="12">
        <f>'Supply2024-coding'!AG17*'Use 2024'!$C17</f>
        <v>0</v>
      </c>
      <c r="AH18" s="12">
        <f>'Supply2024-coding'!AH17*'Use 2024'!$C17</f>
        <v>0</v>
      </c>
      <c r="AI18" s="12">
        <f>'Supply2024-coding'!AI17*'Use 2024'!$C17</f>
        <v>0</v>
      </c>
      <c r="AJ18" s="12">
        <f>'Supply2024-coding'!AJ17*'Use 2024'!$C17</f>
        <v>0</v>
      </c>
      <c r="AK18" s="12">
        <f>'Supply2024-coding'!AK17*'Use 2024'!$C17</f>
        <v>0</v>
      </c>
      <c r="AL18" s="12">
        <f>'Supply2024-coding'!AL17*'Use 2024'!$C17</f>
        <v>0</v>
      </c>
      <c r="AM18" s="12">
        <f>'Supply2024-coding'!AM17*'Use 2024'!$C17</f>
        <v>0</v>
      </c>
      <c r="AN18" s="12">
        <f>'Supply2024-coding'!AN17*'Use 2024'!$C17</f>
        <v>0</v>
      </c>
      <c r="AO18" s="12">
        <f>'Supply2024-coding'!AO17*'Use 2024'!$C17</f>
        <v>0</v>
      </c>
      <c r="AP18" s="12">
        <f>'Supply2024-coding'!AP17*'Use 2024'!$C17</f>
        <v>0</v>
      </c>
      <c r="AQ18" s="12">
        <f>'Supply2024-coding'!AQ17*'Use 2024'!$C17</f>
        <v>0</v>
      </c>
      <c r="AR18" s="12">
        <f>'Supply2024-coding'!AR17*'Use 2024'!$C17</f>
        <v>0</v>
      </c>
      <c r="AS18" s="12">
        <f>'Supply2024-coding'!AS17*'Use 2024'!$C17</f>
        <v>0</v>
      </c>
      <c r="AT18" s="12">
        <f>'Supply2024-coding'!AT17*'Use 2024'!$C17</f>
        <v>0</v>
      </c>
      <c r="AU18" s="12">
        <f>'Supply2024-coding'!AU17*'Use 2024'!$C17</f>
        <v>0</v>
      </c>
      <c r="AV18" s="12">
        <f>'Supply2024-coding'!AV17*'Use 2024'!$C17</f>
        <v>0</v>
      </c>
      <c r="AW18" s="12">
        <f>'Supply2024-coding'!AW17*'Use 2024'!$C17</f>
        <v>0</v>
      </c>
      <c r="AX18" s="12">
        <f>'Supply2024-coding'!AX17*'Use 2024'!$C17</f>
        <v>0</v>
      </c>
      <c r="AY18" s="12">
        <f>'Supply2024-coding'!AY17*'Use 2024'!$C17</f>
        <v>0</v>
      </c>
      <c r="AZ18" s="12">
        <f>'Supply2024-coding'!AZ17*'Use 2024'!$C17</f>
        <v>0</v>
      </c>
      <c r="BA18" s="12">
        <f>'Supply2024-coding'!BA17*'Use 2024'!$C17</f>
        <v>0</v>
      </c>
      <c r="BB18" s="12">
        <f>'Supply2024-coding'!BB17*'Use 2024'!$C17</f>
        <v>0</v>
      </c>
      <c r="BC18" s="12">
        <f>'Supply2024-coding'!BC17*'Use 2024'!$C17</f>
        <v>0</v>
      </c>
      <c r="BD18" s="12">
        <f>'Supply2024-coding'!BD17*'Use 2024'!$C17</f>
        <v>0</v>
      </c>
      <c r="BE18" s="12">
        <f>'Supply2024-coding'!BE17*'Use 2024'!$C17</f>
        <v>0</v>
      </c>
      <c r="BF18" s="12">
        <f>'Supply2024-coding'!BF17*'Use 2024'!$C17</f>
        <v>0</v>
      </c>
      <c r="BG18" s="12">
        <f>'Supply2024-coding'!BG17*'Use 2024'!$C17</f>
        <v>0</v>
      </c>
      <c r="BH18" s="12">
        <f>'Supply2024-coding'!BH17*'Use 2024'!$C17</f>
        <v>0</v>
      </c>
      <c r="BI18" s="12">
        <f>'Supply2024-coding'!BI17*'Use 2024'!$C17</f>
        <v>0</v>
      </c>
      <c r="BJ18" s="12">
        <f>'Supply2024-coding'!BJ17*'Use 2024'!$C17</f>
        <v>0</v>
      </c>
      <c r="BK18" s="12">
        <f>'Supply2024-coding'!BK17*'Use 2024'!$C17</f>
        <v>0</v>
      </c>
      <c r="BL18" s="12">
        <f>'Supply2024-coding'!BL17*'Use 2024'!$C17</f>
        <v>0</v>
      </c>
      <c r="BM18" s="12">
        <f>'Supply2024-coding'!BM17*'Use 2024'!$C17</f>
        <v>0</v>
      </c>
      <c r="BN18" s="12">
        <f>'Supply2024-coding'!BN17*'Use 2024'!$C17</f>
        <v>0</v>
      </c>
      <c r="BO18" s="12">
        <f>'Supply2024-coding'!BO17*'Use 2024'!$C17</f>
        <v>0</v>
      </c>
      <c r="BP18" s="12">
        <f>'Supply2024-coding'!BP17*'Use 2024'!$C17</f>
        <v>0</v>
      </c>
      <c r="BQ18" s="12">
        <f>'Supply2024-coding'!BQ17*'Use 2024'!$C17</f>
        <v>0</v>
      </c>
      <c r="BR18" s="12">
        <f>'Supply2024-coding'!BR17*'Use 2024'!$C17</f>
        <v>0</v>
      </c>
      <c r="BS18" s="12">
        <f>'Supply2024-coding'!BS17*'Use 2024'!$C17</f>
        <v>0</v>
      </c>
      <c r="BT18" s="12">
        <f>'Supply2024-coding'!BT17*'Use 2024'!$C17</f>
        <v>0</v>
      </c>
      <c r="BU18" s="12">
        <f>'Supply2024-coding'!BU17*'Use 2024'!$C17</f>
        <v>0</v>
      </c>
      <c r="BV18" s="12">
        <f>'Supply2024-coding'!BV17*'Use 2024'!$C17</f>
        <v>2.0102068121453744E-3</v>
      </c>
      <c r="BW18" s="12">
        <f>'Supply2024-coding'!BW17*'Use 2024'!$C17</f>
        <v>4.6652326003418275E-3</v>
      </c>
      <c r="BX18" s="12">
        <f>'Supply2024-coding'!BX17*'Use 2024'!$C17</f>
        <v>0</v>
      </c>
      <c r="BY18" s="12">
        <f>'Supply2024-coding'!BY17*'Use 2024'!$C17</f>
        <v>2.1959139209138836E-3</v>
      </c>
      <c r="BZ18" s="12">
        <f>'Supply2024-coding'!BZ17*'Use 2024'!$C17</f>
        <v>-11228.326926496045</v>
      </c>
      <c r="CA18" s="12" t="e">
        <f>'Supply2024-coding'!CA17*'Use 2024'!$C17</f>
        <v>#DIV/0!</v>
      </c>
      <c r="CB18" s="12">
        <f>'Supply2024-coding'!CB17*'Use 2024'!$C17</f>
        <v>-12969.501745192532</v>
      </c>
      <c r="CC18" s="12">
        <f>'Supply2024-coding'!CC17*'Use 2024'!$C17</f>
        <v>2.8640911390342963E-3</v>
      </c>
      <c r="CD18" s="12">
        <f>'Supply2024-coding'!CD17*'Use 2024'!$C17</f>
        <v>1.0778743697045351E-3</v>
      </c>
      <c r="CE18" s="12">
        <f>'Supply2024-coding'!CE17*'Use 2024'!$C17</f>
        <v>0</v>
      </c>
      <c r="CF18" s="12">
        <f>'Supply2024-coding'!CF17*'Use 2024'!$C17</f>
        <v>1.320983072516583E-3</v>
      </c>
      <c r="CG18" s="12">
        <f>'Supply2024-coding'!CG17*'Use 2024'!$C17</f>
        <v>2.4180007363186306E-3</v>
      </c>
    </row>
    <row r="19" spans="1:85" x14ac:dyDescent="0.25">
      <c r="A19" t="s">
        <v>17</v>
      </c>
      <c r="B19" t="s">
        <v>110</v>
      </c>
      <c r="C19" s="12">
        <f>'Supply2024-coding'!C18*'Use 2024'!$C18</f>
        <v>0</v>
      </c>
      <c r="D19" s="12">
        <f>'Supply2024-coding'!D18*'Use 2024'!$C18</f>
        <v>0</v>
      </c>
      <c r="E19" s="12">
        <f>'Supply2024-coding'!E18*'Use 2024'!$C18</f>
        <v>0</v>
      </c>
      <c r="F19" s="12">
        <f>'Supply2024-coding'!F18*'Use 2024'!$C18</f>
        <v>0</v>
      </c>
      <c r="G19" s="12">
        <f>'Supply2024-coding'!G18*'Use 2024'!$C18</f>
        <v>0</v>
      </c>
      <c r="H19" s="12">
        <f>'Supply2024-coding'!H18*'Use 2024'!$C18</f>
        <v>0</v>
      </c>
      <c r="I19" s="12">
        <f>'Supply2024-coding'!I18*'Use 2024'!$C18</f>
        <v>0</v>
      </c>
      <c r="J19" s="12">
        <f>'Supply2024-coding'!J18*'Use 2024'!$C18</f>
        <v>4.0305461239937349E-3</v>
      </c>
      <c r="K19" s="12">
        <f>'Supply2024-coding'!K18*'Use 2024'!$C18</f>
        <v>5.0875223130526174E-4</v>
      </c>
      <c r="L19" s="12">
        <f>'Supply2024-coding'!L18*'Use 2024'!$C18</f>
        <v>7.1386017527155863E-6</v>
      </c>
      <c r="M19" s="12">
        <f>'Supply2024-coding'!M18*'Use 2024'!$C18</f>
        <v>9.5510446753501813E-5</v>
      </c>
      <c r="N19" s="12">
        <f>'Supply2024-coding'!N18*'Use 2024'!$C18</f>
        <v>1.1522899607248554E-5</v>
      </c>
      <c r="O19" s="12">
        <f>'Supply2024-coding'!O18*'Use 2024'!$C18</f>
        <v>0</v>
      </c>
      <c r="P19" s="12">
        <f>'Supply2024-coding'!P18*'Use 2024'!$C18</f>
        <v>5.2077069310686493E-5</v>
      </c>
      <c r="Q19" s="12">
        <f>'Supply2024-coding'!Q18*'Use 2024'!$C18</f>
        <v>0</v>
      </c>
      <c r="R19" s="12">
        <f>'Supply2024-coding'!R18*'Use 2024'!$C18</f>
        <v>0</v>
      </c>
      <c r="S19" s="12">
        <f>'Supply2024-coding'!S18*'Use 2024'!$C18</f>
        <v>0.68649338206661814</v>
      </c>
      <c r="T19" s="12">
        <f>'Supply2024-coding'!T18*'Use 2024'!$C18</f>
        <v>9.5809123329976134E-4</v>
      </c>
      <c r="U19" s="12">
        <f>'Supply2024-coding'!U18*'Use 2024'!$C18</f>
        <v>0</v>
      </c>
      <c r="V19" s="12">
        <f>'Supply2024-coding'!V18*'Use 2024'!$C18</f>
        <v>1.0278316138279521E-3</v>
      </c>
      <c r="W19" s="12">
        <f>'Supply2024-coding'!W18*'Use 2024'!$C18</f>
        <v>0</v>
      </c>
      <c r="X19" s="12">
        <f>'Supply2024-coding'!X18*'Use 2024'!$C18</f>
        <v>0</v>
      </c>
      <c r="Y19" s="12">
        <f>'Supply2024-coding'!Y18*'Use 2024'!$C18</f>
        <v>1.6182015525844127E-4</v>
      </c>
      <c r="Z19" s="12">
        <f>'Supply2024-coding'!Z18*'Use 2024'!$C18</f>
        <v>0</v>
      </c>
      <c r="AA19" s="12">
        <f>'Supply2024-coding'!AA18*'Use 2024'!$C18</f>
        <v>0</v>
      </c>
      <c r="AB19" s="12">
        <f>'Supply2024-coding'!AB18*'Use 2024'!$C18</f>
        <v>6.2576792873058891E-4</v>
      </c>
      <c r="AC19" s="12">
        <f>'Supply2024-coding'!AC18*'Use 2024'!$C18</f>
        <v>0</v>
      </c>
      <c r="AD19" s="12">
        <f>'Supply2024-coding'!AD18*'Use 2024'!$C18</f>
        <v>0</v>
      </c>
      <c r="AE19" s="12">
        <f>'Supply2024-coding'!AE18*'Use 2024'!$C18</f>
        <v>0</v>
      </c>
      <c r="AF19" s="12">
        <f>'Supply2024-coding'!AF18*'Use 2024'!$C18</f>
        <v>0</v>
      </c>
      <c r="AG19" s="12">
        <f>'Supply2024-coding'!AG18*'Use 2024'!$C18</f>
        <v>0</v>
      </c>
      <c r="AH19" s="12">
        <f>'Supply2024-coding'!AH18*'Use 2024'!$C18</f>
        <v>0</v>
      </c>
      <c r="AI19" s="12">
        <f>'Supply2024-coding'!AI18*'Use 2024'!$C18</f>
        <v>0</v>
      </c>
      <c r="AJ19" s="12">
        <f>'Supply2024-coding'!AJ18*'Use 2024'!$C18</f>
        <v>0</v>
      </c>
      <c r="AK19" s="12">
        <f>'Supply2024-coding'!AK18*'Use 2024'!$C18</f>
        <v>0</v>
      </c>
      <c r="AL19" s="12">
        <f>'Supply2024-coding'!AL18*'Use 2024'!$C18</f>
        <v>0</v>
      </c>
      <c r="AM19" s="12">
        <f>'Supply2024-coding'!AM18*'Use 2024'!$C18</f>
        <v>0</v>
      </c>
      <c r="AN19" s="12">
        <f>'Supply2024-coding'!AN18*'Use 2024'!$C18</f>
        <v>0</v>
      </c>
      <c r="AO19" s="12">
        <f>'Supply2024-coding'!AO18*'Use 2024'!$C18</f>
        <v>0</v>
      </c>
      <c r="AP19" s="12">
        <f>'Supply2024-coding'!AP18*'Use 2024'!$C18</f>
        <v>0</v>
      </c>
      <c r="AQ19" s="12">
        <f>'Supply2024-coding'!AQ18*'Use 2024'!$C18</f>
        <v>0</v>
      </c>
      <c r="AR19" s="12">
        <f>'Supply2024-coding'!AR18*'Use 2024'!$C18</f>
        <v>0</v>
      </c>
      <c r="AS19" s="12">
        <f>'Supply2024-coding'!AS18*'Use 2024'!$C18</f>
        <v>0</v>
      </c>
      <c r="AT19" s="12">
        <f>'Supply2024-coding'!AT18*'Use 2024'!$C18</f>
        <v>0</v>
      </c>
      <c r="AU19" s="12">
        <f>'Supply2024-coding'!AU18*'Use 2024'!$C18</f>
        <v>0</v>
      </c>
      <c r="AV19" s="12">
        <f>'Supply2024-coding'!AV18*'Use 2024'!$C18</f>
        <v>0</v>
      </c>
      <c r="AW19" s="12">
        <f>'Supply2024-coding'!AW18*'Use 2024'!$C18</f>
        <v>0</v>
      </c>
      <c r="AX19" s="12">
        <f>'Supply2024-coding'!AX18*'Use 2024'!$C18</f>
        <v>0</v>
      </c>
      <c r="AY19" s="12">
        <f>'Supply2024-coding'!AY18*'Use 2024'!$C18</f>
        <v>0</v>
      </c>
      <c r="AZ19" s="12">
        <f>'Supply2024-coding'!AZ18*'Use 2024'!$C18</f>
        <v>0</v>
      </c>
      <c r="BA19" s="12">
        <f>'Supply2024-coding'!BA18*'Use 2024'!$C18</f>
        <v>0</v>
      </c>
      <c r="BB19" s="12">
        <f>'Supply2024-coding'!BB18*'Use 2024'!$C18</f>
        <v>0</v>
      </c>
      <c r="BC19" s="12">
        <f>'Supply2024-coding'!BC18*'Use 2024'!$C18</f>
        <v>0</v>
      </c>
      <c r="BD19" s="12">
        <f>'Supply2024-coding'!BD18*'Use 2024'!$C18</f>
        <v>0</v>
      </c>
      <c r="BE19" s="12">
        <f>'Supply2024-coding'!BE18*'Use 2024'!$C18</f>
        <v>0</v>
      </c>
      <c r="BF19" s="12">
        <f>'Supply2024-coding'!BF18*'Use 2024'!$C18</f>
        <v>0</v>
      </c>
      <c r="BG19" s="12">
        <f>'Supply2024-coding'!BG18*'Use 2024'!$C18</f>
        <v>0</v>
      </c>
      <c r="BH19" s="12">
        <f>'Supply2024-coding'!BH18*'Use 2024'!$C18</f>
        <v>0</v>
      </c>
      <c r="BI19" s="12">
        <f>'Supply2024-coding'!BI18*'Use 2024'!$C18</f>
        <v>0</v>
      </c>
      <c r="BJ19" s="12">
        <f>'Supply2024-coding'!BJ18*'Use 2024'!$C18</f>
        <v>0</v>
      </c>
      <c r="BK19" s="12">
        <f>'Supply2024-coding'!BK18*'Use 2024'!$C18</f>
        <v>0</v>
      </c>
      <c r="BL19" s="12">
        <f>'Supply2024-coding'!BL18*'Use 2024'!$C18</f>
        <v>0</v>
      </c>
      <c r="BM19" s="12">
        <f>'Supply2024-coding'!BM18*'Use 2024'!$C18</f>
        <v>0</v>
      </c>
      <c r="BN19" s="12">
        <f>'Supply2024-coding'!BN18*'Use 2024'!$C18</f>
        <v>0</v>
      </c>
      <c r="BO19" s="12">
        <f>'Supply2024-coding'!BO18*'Use 2024'!$C18</f>
        <v>0</v>
      </c>
      <c r="BP19" s="12">
        <f>'Supply2024-coding'!BP18*'Use 2024'!$C18</f>
        <v>0</v>
      </c>
      <c r="BQ19" s="12">
        <f>'Supply2024-coding'!BQ18*'Use 2024'!$C18</f>
        <v>0</v>
      </c>
      <c r="BR19" s="12">
        <f>'Supply2024-coding'!BR18*'Use 2024'!$C18</f>
        <v>0</v>
      </c>
      <c r="BS19" s="12">
        <f>'Supply2024-coding'!BS18*'Use 2024'!$C18</f>
        <v>0</v>
      </c>
      <c r="BT19" s="12">
        <f>'Supply2024-coding'!BT18*'Use 2024'!$C18</f>
        <v>0</v>
      </c>
      <c r="BU19" s="12">
        <f>'Supply2024-coding'!BU18*'Use 2024'!$C18</f>
        <v>0</v>
      </c>
      <c r="BV19" s="12">
        <f>'Supply2024-coding'!BV18*'Use 2024'!$C18</f>
        <v>1.1928057796123201E-3</v>
      </c>
      <c r="BW19" s="12">
        <f>'Supply2024-coding'!BW18*'Use 2024'!$C18</f>
        <v>9.6447970155988921E-3</v>
      </c>
      <c r="BX19" s="12">
        <f>'Supply2024-coding'!BX18*'Use 2024'!$C18</f>
        <v>0</v>
      </c>
      <c r="BY19" s="12">
        <f>'Supply2024-coding'!BY18*'Use 2024'!$C18</f>
        <v>1.7809833576731327E-3</v>
      </c>
      <c r="BZ19" s="12">
        <f>'Supply2024-coding'!BZ18*'Use 2024'!$C18</f>
        <v>-69280.292446608117</v>
      </c>
      <c r="CA19" s="12" t="e">
        <f>'Supply2024-coding'!CA18*'Use 2024'!$C18</f>
        <v>#DIV/0!</v>
      </c>
      <c r="CB19" s="12">
        <f>'Supply2024-coding'!CB18*'Use 2024'!$C18</f>
        <v>-85018.172695050598</v>
      </c>
      <c r="CC19" s="12">
        <f>'Supply2024-coding'!CC18*'Use 2024'!$C18</f>
        <v>2.2894912404725166E-2</v>
      </c>
      <c r="CD19" s="12">
        <f>'Supply2024-coding'!CD18*'Use 2024'!$C18</f>
        <v>7.9245764410309696E-3</v>
      </c>
      <c r="CE19" s="12">
        <f>'Supply2024-coding'!CE18*'Use 2024'!$C18</f>
        <v>0</v>
      </c>
      <c r="CF19" s="12">
        <f>'Supply2024-coding'!CF18*'Use 2024'!$C18</f>
        <v>9.8639840427972025E-3</v>
      </c>
      <c r="CG19" s="12">
        <f>'Supply2024-coding'!CG18*'Use 2024'!$C18</f>
        <v>3.4933668423277574E-3</v>
      </c>
    </row>
    <row r="20" spans="1:85" x14ac:dyDescent="0.25">
      <c r="A20" t="s">
        <v>18</v>
      </c>
      <c r="B20" t="s">
        <v>111</v>
      </c>
      <c r="C20" s="12">
        <f>'Supply2024-coding'!C19*'Use 2024'!$C19</f>
        <v>0</v>
      </c>
      <c r="D20" s="12">
        <f>'Supply2024-coding'!D19*'Use 2024'!$C19</f>
        <v>0</v>
      </c>
      <c r="E20" s="12">
        <f>'Supply2024-coding'!E19*'Use 2024'!$C19</f>
        <v>0</v>
      </c>
      <c r="F20" s="12">
        <f>'Supply2024-coding'!F19*'Use 2024'!$C19</f>
        <v>0</v>
      </c>
      <c r="G20" s="12">
        <f>'Supply2024-coding'!G19*'Use 2024'!$C19</f>
        <v>0</v>
      </c>
      <c r="H20" s="12">
        <f>'Supply2024-coding'!H19*'Use 2024'!$C19</f>
        <v>0</v>
      </c>
      <c r="I20" s="12">
        <f>'Supply2024-coding'!I19*'Use 2024'!$C19</f>
        <v>0</v>
      </c>
      <c r="J20" s="12">
        <f>'Supply2024-coding'!J19*'Use 2024'!$C19</f>
        <v>1.2929122875916742E-4</v>
      </c>
      <c r="K20" s="12">
        <f>'Supply2024-coding'!K19*'Use 2024'!$C19</f>
        <v>1.0704302680881669E-4</v>
      </c>
      <c r="L20" s="12">
        <f>'Supply2024-coding'!L19*'Use 2024'!$C19</f>
        <v>0</v>
      </c>
      <c r="M20" s="12">
        <f>'Supply2024-coding'!M19*'Use 2024'!$C19</f>
        <v>8.6439141319587806E-4</v>
      </c>
      <c r="N20" s="12">
        <f>'Supply2024-coding'!N19*'Use 2024'!$C19</f>
        <v>1.1681708941882155E-4</v>
      </c>
      <c r="O20" s="12">
        <f>'Supply2024-coding'!O19*'Use 2024'!$C19</f>
        <v>3.2465594540494491E-3</v>
      </c>
      <c r="P20" s="12">
        <f>'Supply2024-coding'!P19*'Use 2024'!$C19</f>
        <v>5.8229557488167108E-5</v>
      </c>
      <c r="Q20" s="12">
        <f>'Supply2024-coding'!Q19*'Use 2024'!$C19</f>
        <v>9.7289439470982639E-6</v>
      </c>
      <c r="R20" s="12">
        <f>'Supply2024-coding'!R19*'Use 2024'!$C19</f>
        <v>3.9775056880534392E-6</v>
      </c>
      <c r="S20" s="12">
        <f>'Supply2024-coding'!S19*'Use 2024'!$C19</f>
        <v>1.5516415418500135E-3</v>
      </c>
      <c r="T20" s="12">
        <f>'Supply2024-coding'!T19*'Use 2024'!$C19</f>
        <v>0.62599453877218258</v>
      </c>
      <c r="U20" s="12">
        <f>'Supply2024-coding'!U19*'Use 2024'!$C19</f>
        <v>2.4213311526857282E-6</v>
      </c>
      <c r="V20" s="12">
        <f>'Supply2024-coding'!V19*'Use 2024'!$C19</f>
        <v>4.0024038526766407E-4</v>
      </c>
      <c r="W20" s="12">
        <f>'Supply2024-coding'!W19*'Use 2024'!$C19</f>
        <v>2.4004097639100238E-4</v>
      </c>
      <c r="X20" s="12">
        <f>'Supply2024-coding'!X19*'Use 2024'!$C19</f>
        <v>1.7791952542663184E-3</v>
      </c>
      <c r="Y20" s="12">
        <f>'Supply2024-coding'!Y19*'Use 2024'!$C19</f>
        <v>6.6483571373413429E-3</v>
      </c>
      <c r="Z20" s="12">
        <f>'Supply2024-coding'!Z19*'Use 2024'!$C19</f>
        <v>0</v>
      </c>
      <c r="AA20" s="12">
        <f>'Supply2024-coding'!AA19*'Use 2024'!$C19</f>
        <v>1.2577736072683526E-3</v>
      </c>
      <c r="AB20" s="12">
        <f>'Supply2024-coding'!AB19*'Use 2024'!$C19</f>
        <v>3.9914269245174237E-3</v>
      </c>
      <c r="AC20" s="12">
        <f>'Supply2024-coding'!AC19*'Use 2024'!$C19</f>
        <v>1.7106210950496604E-6</v>
      </c>
      <c r="AD20" s="12">
        <f>'Supply2024-coding'!AD19*'Use 2024'!$C19</f>
        <v>0</v>
      </c>
      <c r="AE20" s="12">
        <f>'Supply2024-coding'!AE19*'Use 2024'!$C19</f>
        <v>0</v>
      </c>
      <c r="AF20" s="12">
        <f>'Supply2024-coding'!AF19*'Use 2024'!$C19</f>
        <v>0</v>
      </c>
      <c r="AG20" s="12">
        <f>'Supply2024-coding'!AG19*'Use 2024'!$C19</f>
        <v>1.3106342153998871E-3</v>
      </c>
      <c r="AH20" s="12">
        <f>'Supply2024-coding'!AH19*'Use 2024'!$C19</f>
        <v>0</v>
      </c>
      <c r="AI20" s="12">
        <f>'Supply2024-coding'!AI19*'Use 2024'!$C19</f>
        <v>0</v>
      </c>
      <c r="AJ20" s="12">
        <f>'Supply2024-coding'!AJ19*'Use 2024'!$C19</f>
        <v>0</v>
      </c>
      <c r="AK20" s="12">
        <f>'Supply2024-coding'!AK19*'Use 2024'!$C19</f>
        <v>0</v>
      </c>
      <c r="AL20" s="12">
        <f>'Supply2024-coding'!AL19*'Use 2024'!$C19</f>
        <v>0</v>
      </c>
      <c r="AM20" s="12">
        <f>'Supply2024-coding'!AM19*'Use 2024'!$C19</f>
        <v>0</v>
      </c>
      <c r="AN20" s="12">
        <f>'Supply2024-coding'!AN19*'Use 2024'!$C19</f>
        <v>0</v>
      </c>
      <c r="AO20" s="12">
        <f>'Supply2024-coding'!AO19*'Use 2024'!$C19</f>
        <v>0</v>
      </c>
      <c r="AP20" s="12">
        <f>'Supply2024-coding'!AP19*'Use 2024'!$C19</f>
        <v>0</v>
      </c>
      <c r="AQ20" s="12">
        <f>'Supply2024-coding'!AQ19*'Use 2024'!$C19</f>
        <v>0</v>
      </c>
      <c r="AR20" s="12">
        <f>'Supply2024-coding'!AR19*'Use 2024'!$C19</f>
        <v>0</v>
      </c>
      <c r="AS20" s="12">
        <f>'Supply2024-coding'!AS19*'Use 2024'!$C19</f>
        <v>0</v>
      </c>
      <c r="AT20" s="12">
        <f>'Supply2024-coding'!AT19*'Use 2024'!$C19</f>
        <v>0</v>
      </c>
      <c r="AU20" s="12">
        <f>'Supply2024-coding'!AU19*'Use 2024'!$C19</f>
        <v>0</v>
      </c>
      <c r="AV20" s="12">
        <f>'Supply2024-coding'!AV19*'Use 2024'!$C19</f>
        <v>0</v>
      </c>
      <c r="AW20" s="12">
        <f>'Supply2024-coding'!AW19*'Use 2024'!$C19</f>
        <v>0</v>
      </c>
      <c r="AX20" s="12">
        <f>'Supply2024-coding'!AX19*'Use 2024'!$C19</f>
        <v>0</v>
      </c>
      <c r="AY20" s="12">
        <f>'Supply2024-coding'!AY19*'Use 2024'!$C19</f>
        <v>0</v>
      </c>
      <c r="AZ20" s="12">
        <f>'Supply2024-coding'!AZ19*'Use 2024'!$C19</f>
        <v>0</v>
      </c>
      <c r="BA20" s="12">
        <f>'Supply2024-coding'!BA19*'Use 2024'!$C19</f>
        <v>0</v>
      </c>
      <c r="BB20" s="12">
        <f>'Supply2024-coding'!BB19*'Use 2024'!$C19</f>
        <v>0</v>
      </c>
      <c r="BC20" s="12">
        <f>'Supply2024-coding'!BC19*'Use 2024'!$C19</f>
        <v>0</v>
      </c>
      <c r="BD20" s="12">
        <f>'Supply2024-coding'!BD19*'Use 2024'!$C19</f>
        <v>0</v>
      </c>
      <c r="BE20" s="12">
        <f>'Supply2024-coding'!BE19*'Use 2024'!$C19</f>
        <v>0</v>
      </c>
      <c r="BF20" s="12">
        <f>'Supply2024-coding'!BF19*'Use 2024'!$C19</f>
        <v>0</v>
      </c>
      <c r="BG20" s="12">
        <f>'Supply2024-coding'!BG19*'Use 2024'!$C19</f>
        <v>0</v>
      </c>
      <c r="BH20" s="12">
        <f>'Supply2024-coding'!BH19*'Use 2024'!$C19</f>
        <v>0</v>
      </c>
      <c r="BI20" s="12">
        <f>'Supply2024-coding'!BI19*'Use 2024'!$C19</f>
        <v>0</v>
      </c>
      <c r="BJ20" s="12">
        <f>'Supply2024-coding'!BJ19*'Use 2024'!$C19</f>
        <v>0</v>
      </c>
      <c r="BK20" s="12">
        <f>'Supply2024-coding'!BK19*'Use 2024'!$C19</f>
        <v>0</v>
      </c>
      <c r="BL20" s="12">
        <f>'Supply2024-coding'!BL19*'Use 2024'!$C19</f>
        <v>0</v>
      </c>
      <c r="BM20" s="12">
        <f>'Supply2024-coding'!BM19*'Use 2024'!$C19</f>
        <v>0</v>
      </c>
      <c r="BN20" s="12">
        <f>'Supply2024-coding'!BN19*'Use 2024'!$C19</f>
        <v>0</v>
      </c>
      <c r="BO20" s="12">
        <f>'Supply2024-coding'!BO19*'Use 2024'!$C19</f>
        <v>0</v>
      </c>
      <c r="BP20" s="12">
        <f>'Supply2024-coding'!BP19*'Use 2024'!$C19</f>
        <v>0</v>
      </c>
      <c r="BQ20" s="12">
        <f>'Supply2024-coding'!BQ19*'Use 2024'!$C19</f>
        <v>1.6811544802406555E-6</v>
      </c>
      <c r="BR20" s="12">
        <f>'Supply2024-coding'!BR19*'Use 2024'!$C19</f>
        <v>-1.3097840035718603E-5</v>
      </c>
      <c r="BS20" s="12">
        <f>'Supply2024-coding'!BS19*'Use 2024'!$C19</f>
        <v>0</v>
      </c>
      <c r="BT20" s="12">
        <f>'Supply2024-coding'!BT19*'Use 2024'!$C19</f>
        <v>3.6175826004372229E-4</v>
      </c>
      <c r="BU20" s="12">
        <f>'Supply2024-coding'!BU19*'Use 2024'!$C19</f>
        <v>0</v>
      </c>
      <c r="BV20" s="12">
        <f>'Supply2024-coding'!BV19*'Use 2024'!$C19</f>
        <v>2.4080299155989494E-3</v>
      </c>
      <c r="BW20" s="12">
        <f>'Supply2024-coding'!BW19*'Use 2024'!$C19</f>
        <v>2.5498281125877671E-2</v>
      </c>
      <c r="BX20" s="12">
        <f>'Supply2024-coding'!BX19*'Use 2024'!$C19</f>
        <v>0</v>
      </c>
      <c r="BY20" s="12">
        <f>'Supply2024-coding'!BY19*'Use 2024'!$C19</f>
        <v>4.0143997482219558E-3</v>
      </c>
      <c r="BZ20" s="12">
        <f>'Supply2024-coding'!BZ19*'Use 2024'!$C19</f>
        <v>-210749.17780201969</v>
      </c>
      <c r="CA20" s="12" t="e">
        <f>'Supply2024-coding'!CA19*'Use 2024'!$C19</f>
        <v>#DIV/0!</v>
      </c>
      <c r="CB20" s="12">
        <f>'Supply2024-coding'!CB19*'Use 2024'!$C19</f>
        <v>-228934.22040314661</v>
      </c>
      <c r="CC20" s="12">
        <f>'Supply2024-coding'!CC19*'Use 2024'!$C19</f>
        <v>2.4592684977514236E-2</v>
      </c>
      <c r="CD20" s="12">
        <f>'Supply2024-coding'!CD19*'Use 2024'!$C19</f>
        <v>1.5048316734197726E-2</v>
      </c>
      <c r="CE20" s="12">
        <f>'Supply2024-coding'!CE19*'Use 2024'!$C19</f>
        <v>0</v>
      </c>
      <c r="CF20" s="12">
        <f>'Supply2024-coding'!CF19*'Use 2024'!$C19</f>
        <v>1.7168862477309425E-2</v>
      </c>
      <c r="CG20" s="12">
        <f>'Supply2024-coding'!CG19*'Use 2024'!$C19</f>
        <v>8.4655760986014246E-3</v>
      </c>
    </row>
    <row r="21" spans="1:85" x14ac:dyDescent="0.25">
      <c r="A21" t="s">
        <v>19</v>
      </c>
      <c r="B21" t="s">
        <v>112</v>
      </c>
      <c r="C21" s="12">
        <f>'Supply2024-coding'!C20*'Use 2024'!$C20</f>
        <v>0</v>
      </c>
      <c r="D21" s="12">
        <f>'Supply2024-coding'!D20*'Use 2024'!$C20</f>
        <v>0</v>
      </c>
      <c r="E21" s="12">
        <f>'Supply2024-coding'!E20*'Use 2024'!$C20</f>
        <v>0</v>
      </c>
      <c r="F21" s="12">
        <f>'Supply2024-coding'!F20*'Use 2024'!$C20</f>
        <v>0</v>
      </c>
      <c r="G21" s="12">
        <f>'Supply2024-coding'!G20*'Use 2024'!$C20</f>
        <v>0</v>
      </c>
      <c r="H21" s="12">
        <f>'Supply2024-coding'!H20*'Use 2024'!$C20</f>
        <v>0</v>
      </c>
      <c r="I21" s="12">
        <f>'Supply2024-coding'!I20*'Use 2024'!$C20</f>
        <v>0</v>
      </c>
      <c r="J21" s="12">
        <f>'Supply2024-coding'!J20*'Use 2024'!$C20</f>
        <v>0</v>
      </c>
      <c r="K21" s="12">
        <f>'Supply2024-coding'!K20*'Use 2024'!$C20</f>
        <v>0</v>
      </c>
      <c r="L21" s="12">
        <f>'Supply2024-coding'!L20*'Use 2024'!$C20</f>
        <v>0</v>
      </c>
      <c r="M21" s="12">
        <f>'Supply2024-coding'!M20*'Use 2024'!$C20</f>
        <v>0</v>
      </c>
      <c r="N21" s="12">
        <f>'Supply2024-coding'!N20*'Use 2024'!$C20</f>
        <v>0</v>
      </c>
      <c r="O21" s="12">
        <f>'Supply2024-coding'!O20*'Use 2024'!$C20</f>
        <v>0</v>
      </c>
      <c r="P21" s="12">
        <f>'Supply2024-coding'!P20*'Use 2024'!$C20</f>
        <v>0</v>
      </c>
      <c r="Q21" s="12">
        <f>'Supply2024-coding'!Q20*'Use 2024'!$C20</f>
        <v>0</v>
      </c>
      <c r="R21" s="12">
        <f>'Supply2024-coding'!R20*'Use 2024'!$C20</f>
        <v>0</v>
      </c>
      <c r="S21" s="12">
        <f>'Supply2024-coding'!S20*'Use 2024'!$C20</f>
        <v>0</v>
      </c>
      <c r="T21" s="12">
        <f>'Supply2024-coding'!T20*'Use 2024'!$C20</f>
        <v>1.1681259499447521E-5</v>
      </c>
      <c r="U21" s="12">
        <f>'Supply2024-coding'!U20*'Use 2024'!$C20</f>
        <v>0.68109032109267109</v>
      </c>
      <c r="V21" s="12">
        <f>'Supply2024-coding'!V20*'Use 2024'!$C20</f>
        <v>0</v>
      </c>
      <c r="W21" s="12">
        <f>'Supply2024-coding'!W20*'Use 2024'!$C20</f>
        <v>2.7914644165535796E-2</v>
      </c>
      <c r="X21" s="12">
        <f>'Supply2024-coding'!X20*'Use 2024'!$C20</f>
        <v>0</v>
      </c>
      <c r="Y21" s="12">
        <f>'Supply2024-coding'!Y20*'Use 2024'!$C20</f>
        <v>0</v>
      </c>
      <c r="Z21" s="12">
        <f>'Supply2024-coding'!Z20*'Use 2024'!$C20</f>
        <v>0</v>
      </c>
      <c r="AA21" s="12">
        <f>'Supply2024-coding'!AA20*'Use 2024'!$C20</f>
        <v>9.5920855702065818E-3</v>
      </c>
      <c r="AB21" s="12">
        <f>'Supply2024-coding'!AB20*'Use 2024'!$C20</f>
        <v>0</v>
      </c>
      <c r="AC21" s="12">
        <f>'Supply2024-coding'!AC20*'Use 2024'!$C20</f>
        <v>4.1075384970195569E-4</v>
      </c>
      <c r="AD21" s="12">
        <f>'Supply2024-coding'!AD20*'Use 2024'!$C20</f>
        <v>0</v>
      </c>
      <c r="AE21" s="12">
        <f>'Supply2024-coding'!AE20*'Use 2024'!$C20</f>
        <v>2.5043222647227231E-2</v>
      </c>
      <c r="AF21" s="12">
        <f>'Supply2024-coding'!AF20*'Use 2024'!$C20</f>
        <v>7.5979724970164954E-3</v>
      </c>
      <c r="AG21" s="12">
        <f>'Supply2024-coding'!AG20*'Use 2024'!$C20</f>
        <v>0</v>
      </c>
      <c r="AH21" s="12">
        <f>'Supply2024-coding'!AH20*'Use 2024'!$C20</f>
        <v>0</v>
      </c>
      <c r="AI21" s="12">
        <f>'Supply2024-coding'!AI20*'Use 2024'!$C20</f>
        <v>0</v>
      </c>
      <c r="AJ21" s="12">
        <f>'Supply2024-coding'!AJ20*'Use 2024'!$C20</f>
        <v>0</v>
      </c>
      <c r="AK21" s="12">
        <f>'Supply2024-coding'!AK20*'Use 2024'!$C20</f>
        <v>0</v>
      </c>
      <c r="AL21" s="12">
        <f>'Supply2024-coding'!AL20*'Use 2024'!$C20</f>
        <v>0</v>
      </c>
      <c r="AM21" s="12">
        <f>'Supply2024-coding'!AM20*'Use 2024'!$C20</f>
        <v>0</v>
      </c>
      <c r="AN21" s="12">
        <f>'Supply2024-coding'!AN20*'Use 2024'!$C20</f>
        <v>0</v>
      </c>
      <c r="AO21" s="12">
        <f>'Supply2024-coding'!AO20*'Use 2024'!$C20</f>
        <v>0</v>
      </c>
      <c r="AP21" s="12">
        <f>'Supply2024-coding'!AP20*'Use 2024'!$C20</f>
        <v>0</v>
      </c>
      <c r="AQ21" s="12">
        <f>'Supply2024-coding'!AQ20*'Use 2024'!$C20</f>
        <v>0</v>
      </c>
      <c r="AR21" s="12">
        <f>'Supply2024-coding'!AR20*'Use 2024'!$C20</f>
        <v>0</v>
      </c>
      <c r="AS21" s="12">
        <f>'Supply2024-coding'!AS20*'Use 2024'!$C20</f>
        <v>0</v>
      </c>
      <c r="AT21" s="12">
        <f>'Supply2024-coding'!AT20*'Use 2024'!$C20</f>
        <v>0</v>
      </c>
      <c r="AU21" s="12">
        <f>'Supply2024-coding'!AU20*'Use 2024'!$C20</f>
        <v>0</v>
      </c>
      <c r="AV21" s="12">
        <f>'Supply2024-coding'!AV20*'Use 2024'!$C20</f>
        <v>0</v>
      </c>
      <c r="AW21" s="12">
        <f>'Supply2024-coding'!AW20*'Use 2024'!$C20</f>
        <v>0</v>
      </c>
      <c r="AX21" s="12">
        <f>'Supply2024-coding'!AX20*'Use 2024'!$C20</f>
        <v>0</v>
      </c>
      <c r="AY21" s="12">
        <f>'Supply2024-coding'!AY20*'Use 2024'!$C20</f>
        <v>0</v>
      </c>
      <c r="AZ21" s="12">
        <f>'Supply2024-coding'!AZ20*'Use 2024'!$C20</f>
        <v>0</v>
      </c>
      <c r="BA21" s="12">
        <f>'Supply2024-coding'!BA20*'Use 2024'!$C20</f>
        <v>0</v>
      </c>
      <c r="BB21" s="12">
        <f>'Supply2024-coding'!BB20*'Use 2024'!$C20</f>
        <v>0</v>
      </c>
      <c r="BC21" s="12">
        <f>'Supply2024-coding'!BC20*'Use 2024'!$C20</f>
        <v>0</v>
      </c>
      <c r="BD21" s="12">
        <f>'Supply2024-coding'!BD20*'Use 2024'!$C20</f>
        <v>0</v>
      </c>
      <c r="BE21" s="12">
        <f>'Supply2024-coding'!BE20*'Use 2024'!$C20</f>
        <v>0</v>
      </c>
      <c r="BF21" s="12">
        <f>'Supply2024-coding'!BF20*'Use 2024'!$C20</f>
        <v>0</v>
      </c>
      <c r="BG21" s="12">
        <f>'Supply2024-coding'!BG20*'Use 2024'!$C20</f>
        <v>0</v>
      </c>
      <c r="BH21" s="12">
        <f>'Supply2024-coding'!BH20*'Use 2024'!$C20</f>
        <v>0</v>
      </c>
      <c r="BI21" s="12">
        <f>'Supply2024-coding'!BI20*'Use 2024'!$C20</f>
        <v>0</v>
      </c>
      <c r="BJ21" s="12">
        <f>'Supply2024-coding'!BJ20*'Use 2024'!$C20</f>
        <v>0</v>
      </c>
      <c r="BK21" s="12">
        <f>'Supply2024-coding'!BK20*'Use 2024'!$C20</f>
        <v>0</v>
      </c>
      <c r="BL21" s="12">
        <f>'Supply2024-coding'!BL20*'Use 2024'!$C20</f>
        <v>0</v>
      </c>
      <c r="BM21" s="12">
        <f>'Supply2024-coding'!BM20*'Use 2024'!$C20</f>
        <v>0</v>
      </c>
      <c r="BN21" s="12">
        <f>'Supply2024-coding'!BN20*'Use 2024'!$C20</f>
        <v>0</v>
      </c>
      <c r="BO21" s="12">
        <f>'Supply2024-coding'!BO20*'Use 2024'!$C20</f>
        <v>0</v>
      </c>
      <c r="BP21" s="12">
        <f>'Supply2024-coding'!BP20*'Use 2024'!$C20</f>
        <v>0</v>
      </c>
      <c r="BQ21" s="12">
        <f>'Supply2024-coding'!BQ20*'Use 2024'!$C20</f>
        <v>0</v>
      </c>
      <c r="BR21" s="12">
        <f>'Supply2024-coding'!BR20*'Use 2024'!$C20</f>
        <v>0</v>
      </c>
      <c r="BS21" s="12">
        <f>'Supply2024-coding'!BS20*'Use 2024'!$C20</f>
        <v>0</v>
      </c>
      <c r="BT21" s="12">
        <f>'Supply2024-coding'!BT20*'Use 2024'!$C20</f>
        <v>8.6566208398424751E-4</v>
      </c>
      <c r="BU21" s="12">
        <f>'Supply2024-coding'!BU20*'Use 2024'!$C20</f>
        <v>0</v>
      </c>
      <c r="BV21" s="12">
        <f>'Supply2024-coding'!BV20*'Use 2024'!$C20</f>
        <v>1.7444646982248613E-2</v>
      </c>
      <c r="BW21" s="12">
        <f>'Supply2024-coding'!BW20*'Use 2024'!$C20</f>
        <v>2.9196234115766884E-2</v>
      </c>
      <c r="BX21" s="12">
        <f>'Supply2024-coding'!BX20*'Use 2024'!$C20</f>
        <v>0</v>
      </c>
      <c r="BY21" s="12">
        <f>'Supply2024-coding'!BY20*'Use 2024'!$C20</f>
        <v>1.8271544482549442E-2</v>
      </c>
      <c r="BZ21" s="12">
        <f>'Supply2024-coding'!BZ20*'Use 2024'!$C20</f>
        <v>-524896.505834457</v>
      </c>
      <c r="CA21" s="12" t="e">
        <f>'Supply2024-coding'!CA20*'Use 2024'!$C20</f>
        <v>#DIV/0!</v>
      </c>
      <c r="CB21" s="12">
        <f>'Supply2024-coding'!CB20*'Use 2024'!$C20</f>
        <v>-547825.91161427891</v>
      </c>
      <c r="CC21" s="12">
        <f>'Supply2024-coding'!CC20*'Use 2024'!$C20</f>
        <v>2.8351447599063301E-2</v>
      </c>
      <c r="CD21" s="12">
        <f>'Supply2024-coding'!CD20*'Use 2024'!$C20</f>
        <v>6.9258678564613804E-2</v>
      </c>
      <c r="CE21" s="12">
        <f>'Supply2024-coding'!CE20*'Use 2024'!$C20</f>
        <v>0</v>
      </c>
      <c r="CF21" s="12">
        <f>'Supply2024-coding'!CF20*'Use 2024'!$C20</f>
        <v>7.1999740129991871E-2</v>
      </c>
      <c r="CG21" s="12">
        <f>'Supply2024-coding'!CG20*'Use 2024'!$C20</f>
        <v>2.9336043788277873E-2</v>
      </c>
    </row>
    <row r="22" spans="1:85" x14ac:dyDescent="0.25">
      <c r="A22" t="s">
        <v>20</v>
      </c>
      <c r="B22" t="s">
        <v>113</v>
      </c>
      <c r="C22" s="12">
        <f>'Supply2024-coding'!C21*'Use 2024'!$C21</f>
        <v>0</v>
      </c>
      <c r="D22" s="12">
        <f>'Supply2024-coding'!D21*'Use 2024'!$C21</f>
        <v>0</v>
      </c>
      <c r="E22" s="12">
        <f>'Supply2024-coding'!E21*'Use 2024'!$C21</f>
        <v>0</v>
      </c>
      <c r="F22" s="12">
        <f>'Supply2024-coding'!F21*'Use 2024'!$C21</f>
        <v>0</v>
      </c>
      <c r="G22" s="12">
        <f>'Supply2024-coding'!G21*'Use 2024'!$C21</f>
        <v>0</v>
      </c>
      <c r="H22" s="12">
        <f>'Supply2024-coding'!H21*'Use 2024'!$C21</f>
        <v>0</v>
      </c>
      <c r="I22" s="12">
        <f>'Supply2024-coding'!I21*'Use 2024'!$C21</f>
        <v>0</v>
      </c>
      <c r="J22" s="12">
        <f>'Supply2024-coding'!J21*'Use 2024'!$C21</f>
        <v>0</v>
      </c>
      <c r="K22" s="12">
        <f>'Supply2024-coding'!K21*'Use 2024'!$C21</f>
        <v>9.9288626913771183E-5</v>
      </c>
      <c r="L22" s="12">
        <f>'Supply2024-coding'!L21*'Use 2024'!$C21</f>
        <v>6.6443831662056236E-6</v>
      </c>
      <c r="M22" s="12">
        <f>'Supply2024-coding'!M21*'Use 2024'!$C21</f>
        <v>2.1860184119975719E-4</v>
      </c>
      <c r="N22" s="12">
        <f>'Supply2024-coding'!N21*'Use 2024'!$C21</f>
        <v>0</v>
      </c>
      <c r="O22" s="12">
        <f>'Supply2024-coding'!O21*'Use 2024'!$C21</f>
        <v>3.4084395004503018E-5</v>
      </c>
      <c r="P22" s="12">
        <f>'Supply2024-coding'!P21*'Use 2024'!$C21</f>
        <v>0</v>
      </c>
      <c r="Q22" s="12">
        <f>'Supply2024-coding'!Q21*'Use 2024'!$C21</f>
        <v>4.893871815355716E-4</v>
      </c>
      <c r="R22" s="12">
        <f>'Supply2024-coding'!R21*'Use 2024'!$C21</f>
        <v>0</v>
      </c>
      <c r="S22" s="12">
        <f>'Supply2024-coding'!S21*'Use 2024'!$C21</f>
        <v>4.8238186162180682E-4</v>
      </c>
      <c r="T22" s="12">
        <f>'Supply2024-coding'!T21*'Use 2024'!$C21</f>
        <v>3.9132119815430099E-4</v>
      </c>
      <c r="U22" s="12">
        <f>'Supply2024-coding'!U21*'Use 2024'!$C21</f>
        <v>0</v>
      </c>
      <c r="V22" s="12">
        <f>'Supply2024-coding'!V21*'Use 2024'!$C21</f>
        <v>0.58691170472925547</v>
      </c>
      <c r="W22" s="12">
        <f>'Supply2024-coding'!W21*'Use 2024'!$C21</f>
        <v>5.1381219868941678E-3</v>
      </c>
      <c r="X22" s="12">
        <f>'Supply2024-coding'!X21*'Use 2024'!$C21</f>
        <v>7.3685338125246199E-4</v>
      </c>
      <c r="Y22" s="12">
        <f>'Supply2024-coding'!Y21*'Use 2024'!$C21</f>
        <v>5.0734163192871218E-3</v>
      </c>
      <c r="Z22" s="12">
        <f>'Supply2024-coding'!Z21*'Use 2024'!$C21</f>
        <v>0</v>
      </c>
      <c r="AA22" s="12">
        <f>'Supply2024-coding'!AA21*'Use 2024'!$C21</f>
        <v>1.349923749752022E-6</v>
      </c>
      <c r="AB22" s="12">
        <f>'Supply2024-coding'!AB21*'Use 2024'!$C21</f>
        <v>3.1775852734542845E-3</v>
      </c>
      <c r="AC22" s="12">
        <f>'Supply2024-coding'!AC21*'Use 2024'!$C21</f>
        <v>0</v>
      </c>
      <c r="AD22" s="12">
        <f>'Supply2024-coding'!AD21*'Use 2024'!$C21</f>
        <v>0</v>
      </c>
      <c r="AE22" s="12">
        <f>'Supply2024-coding'!AE21*'Use 2024'!$C21</f>
        <v>0</v>
      </c>
      <c r="AF22" s="12">
        <f>'Supply2024-coding'!AF21*'Use 2024'!$C21</f>
        <v>0</v>
      </c>
      <c r="AG22" s="12">
        <f>'Supply2024-coding'!AG21*'Use 2024'!$C21</f>
        <v>0</v>
      </c>
      <c r="AH22" s="12">
        <f>'Supply2024-coding'!AH21*'Use 2024'!$C21</f>
        <v>0</v>
      </c>
      <c r="AI22" s="12">
        <f>'Supply2024-coding'!AI21*'Use 2024'!$C21</f>
        <v>0</v>
      </c>
      <c r="AJ22" s="12">
        <f>'Supply2024-coding'!AJ21*'Use 2024'!$C21</f>
        <v>0</v>
      </c>
      <c r="AK22" s="12">
        <f>'Supply2024-coding'!AK21*'Use 2024'!$C21</f>
        <v>0</v>
      </c>
      <c r="AL22" s="12">
        <f>'Supply2024-coding'!AL21*'Use 2024'!$C21</f>
        <v>0</v>
      </c>
      <c r="AM22" s="12">
        <f>'Supply2024-coding'!AM21*'Use 2024'!$C21</f>
        <v>0</v>
      </c>
      <c r="AN22" s="12">
        <f>'Supply2024-coding'!AN21*'Use 2024'!$C21</f>
        <v>0</v>
      </c>
      <c r="AO22" s="12">
        <f>'Supply2024-coding'!AO21*'Use 2024'!$C21</f>
        <v>0</v>
      </c>
      <c r="AP22" s="12">
        <f>'Supply2024-coding'!AP21*'Use 2024'!$C21</f>
        <v>0</v>
      </c>
      <c r="AQ22" s="12">
        <f>'Supply2024-coding'!AQ21*'Use 2024'!$C21</f>
        <v>0</v>
      </c>
      <c r="AR22" s="12">
        <f>'Supply2024-coding'!AR21*'Use 2024'!$C21</f>
        <v>0</v>
      </c>
      <c r="AS22" s="12">
        <f>'Supply2024-coding'!AS21*'Use 2024'!$C21</f>
        <v>0</v>
      </c>
      <c r="AT22" s="12">
        <f>'Supply2024-coding'!AT21*'Use 2024'!$C21</f>
        <v>0</v>
      </c>
      <c r="AU22" s="12">
        <f>'Supply2024-coding'!AU21*'Use 2024'!$C21</f>
        <v>0</v>
      </c>
      <c r="AV22" s="12">
        <f>'Supply2024-coding'!AV21*'Use 2024'!$C21</f>
        <v>0</v>
      </c>
      <c r="AW22" s="12">
        <f>'Supply2024-coding'!AW21*'Use 2024'!$C21</f>
        <v>0</v>
      </c>
      <c r="AX22" s="12">
        <f>'Supply2024-coding'!AX21*'Use 2024'!$C21</f>
        <v>0</v>
      </c>
      <c r="AY22" s="12">
        <f>'Supply2024-coding'!AY21*'Use 2024'!$C21</f>
        <v>0</v>
      </c>
      <c r="AZ22" s="12">
        <f>'Supply2024-coding'!AZ21*'Use 2024'!$C21</f>
        <v>0</v>
      </c>
      <c r="BA22" s="12">
        <f>'Supply2024-coding'!BA21*'Use 2024'!$C21</f>
        <v>0</v>
      </c>
      <c r="BB22" s="12">
        <f>'Supply2024-coding'!BB21*'Use 2024'!$C21</f>
        <v>0</v>
      </c>
      <c r="BC22" s="12">
        <f>'Supply2024-coding'!BC21*'Use 2024'!$C21</f>
        <v>0</v>
      </c>
      <c r="BD22" s="12">
        <f>'Supply2024-coding'!BD21*'Use 2024'!$C21</f>
        <v>0</v>
      </c>
      <c r="BE22" s="12">
        <f>'Supply2024-coding'!BE21*'Use 2024'!$C21</f>
        <v>0</v>
      </c>
      <c r="BF22" s="12">
        <f>'Supply2024-coding'!BF21*'Use 2024'!$C21</f>
        <v>0</v>
      </c>
      <c r="BG22" s="12">
        <f>'Supply2024-coding'!BG21*'Use 2024'!$C21</f>
        <v>0</v>
      </c>
      <c r="BH22" s="12">
        <f>'Supply2024-coding'!BH21*'Use 2024'!$C21</f>
        <v>0</v>
      </c>
      <c r="BI22" s="12">
        <f>'Supply2024-coding'!BI21*'Use 2024'!$C21</f>
        <v>0</v>
      </c>
      <c r="BJ22" s="12">
        <f>'Supply2024-coding'!BJ21*'Use 2024'!$C21</f>
        <v>0</v>
      </c>
      <c r="BK22" s="12">
        <f>'Supply2024-coding'!BK21*'Use 2024'!$C21</f>
        <v>0</v>
      </c>
      <c r="BL22" s="12">
        <f>'Supply2024-coding'!BL21*'Use 2024'!$C21</f>
        <v>0</v>
      </c>
      <c r="BM22" s="12">
        <f>'Supply2024-coding'!BM21*'Use 2024'!$C21</f>
        <v>0</v>
      </c>
      <c r="BN22" s="12">
        <f>'Supply2024-coding'!BN21*'Use 2024'!$C21</f>
        <v>0</v>
      </c>
      <c r="BO22" s="12">
        <f>'Supply2024-coding'!BO21*'Use 2024'!$C21</f>
        <v>0</v>
      </c>
      <c r="BP22" s="12">
        <f>'Supply2024-coding'!BP21*'Use 2024'!$C21</f>
        <v>0</v>
      </c>
      <c r="BQ22" s="12">
        <f>'Supply2024-coding'!BQ21*'Use 2024'!$C21</f>
        <v>0</v>
      </c>
      <c r="BR22" s="12">
        <f>'Supply2024-coding'!BR21*'Use 2024'!$C21</f>
        <v>0</v>
      </c>
      <c r="BS22" s="12">
        <f>'Supply2024-coding'!BS21*'Use 2024'!$C21</f>
        <v>0</v>
      </c>
      <c r="BT22" s="12">
        <f>'Supply2024-coding'!BT21*'Use 2024'!$C21</f>
        <v>0</v>
      </c>
      <c r="BU22" s="12">
        <f>'Supply2024-coding'!BU21*'Use 2024'!$C21</f>
        <v>0</v>
      </c>
      <c r="BV22" s="12">
        <f>'Supply2024-coding'!BV21*'Use 2024'!$C21</f>
        <v>5.9832889464906129E-4</v>
      </c>
      <c r="BW22" s="12">
        <f>'Supply2024-coding'!BW21*'Use 2024'!$C21</f>
        <v>6.350517789236924E-3</v>
      </c>
      <c r="BX22" s="12">
        <f>'Supply2024-coding'!BX21*'Use 2024'!$C21</f>
        <v>0</v>
      </c>
      <c r="BY22" s="12">
        <f>'Supply2024-coding'!BY21*'Use 2024'!$C21</f>
        <v>9.9850306105988477E-4</v>
      </c>
      <c r="BZ22" s="12">
        <f>'Supply2024-coding'!BZ21*'Use 2024'!$C21</f>
        <v>-54309.366775138908</v>
      </c>
      <c r="CA22" s="12" t="e">
        <f>'Supply2024-coding'!CA21*'Use 2024'!$C21</f>
        <v>#DIV/0!</v>
      </c>
      <c r="CB22" s="12">
        <f>'Supply2024-coding'!CB21*'Use 2024'!$C21</f>
        <v>-57333.574419632023</v>
      </c>
      <c r="CC22" s="12">
        <f>'Supply2024-coding'!CC21*'Use 2024'!$C21</f>
        <v>2.2885696728620303E-2</v>
      </c>
      <c r="CD22" s="12">
        <f>'Supply2024-coding'!CD21*'Use 2024'!$C21</f>
        <v>5.1175583572763295E-3</v>
      </c>
      <c r="CE22" s="12">
        <f>'Supply2024-coding'!CE21*'Use 2024'!$C21</f>
        <v>1.4965502206993361E-4</v>
      </c>
      <c r="CF22" s="12">
        <f>'Supply2024-coding'!CF21*'Use 2024'!$C21</f>
        <v>7.0269394406753819E-3</v>
      </c>
      <c r="CG22" s="12">
        <f>'Supply2024-coding'!CG21*'Use 2024'!$C21</f>
        <v>2.1639903369019328E-3</v>
      </c>
    </row>
    <row r="23" spans="1:85" x14ac:dyDescent="0.25">
      <c r="A23" t="s">
        <v>21</v>
      </c>
      <c r="B23" t="s">
        <v>114</v>
      </c>
      <c r="C23" s="12">
        <f>'Supply2024-coding'!C22*'Use 2024'!$C22</f>
        <v>0</v>
      </c>
      <c r="D23" s="12">
        <f>'Supply2024-coding'!D22*'Use 2024'!$C22</f>
        <v>0</v>
      </c>
      <c r="E23" s="12">
        <f>'Supply2024-coding'!E22*'Use 2024'!$C22</f>
        <v>0</v>
      </c>
      <c r="F23" s="12">
        <f>'Supply2024-coding'!F22*'Use 2024'!$C22</f>
        <v>0</v>
      </c>
      <c r="G23" s="12">
        <f>'Supply2024-coding'!G22*'Use 2024'!$C22</f>
        <v>0</v>
      </c>
      <c r="H23" s="12">
        <f>'Supply2024-coding'!H22*'Use 2024'!$C22</f>
        <v>0</v>
      </c>
      <c r="I23" s="12">
        <f>'Supply2024-coding'!I22*'Use 2024'!$C22</f>
        <v>0</v>
      </c>
      <c r="J23" s="12">
        <f>'Supply2024-coding'!J22*'Use 2024'!$C22</f>
        <v>0</v>
      </c>
      <c r="K23" s="12">
        <f>'Supply2024-coding'!K22*'Use 2024'!$C22</f>
        <v>6.1928990520865117E-4</v>
      </c>
      <c r="L23" s="12">
        <f>'Supply2024-coding'!L22*'Use 2024'!$C22</f>
        <v>0</v>
      </c>
      <c r="M23" s="12">
        <f>'Supply2024-coding'!M22*'Use 2024'!$C22</f>
        <v>2.1485116618324548E-6</v>
      </c>
      <c r="N23" s="12">
        <f>'Supply2024-coding'!N22*'Use 2024'!$C22</f>
        <v>2.258813693871535E-6</v>
      </c>
      <c r="O23" s="12">
        <f>'Supply2024-coding'!O22*'Use 2024'!$C22</f>
        <v>0</v>
      </c>
      <c r="P23" s="12">
        <f>'Supply2024-coding'!P22*'Use 2024'!$C22</f>
        <v>0</v>
      </c>
      <c r="Q23" s="12">
        <f>'Supply2024-coding'!Q22*'Use 2024'!$C22</f>
        <v>0</v>
      </c>
      <c r="R23" s="12">
        <f>'Supply2024-coding'!R22*'Use 2024'!$C22</f>
        <v>0</v>
      </c>
      <c r="S23" s="12">
        <f>'Supply2024-coding'!S22*'Use 2024'!$C22</f>
        <v>1.39899943505119E-4</v>
      </c>
      <c r="T23" s="12">
        <f>'Supply2024-coding'!T22*'Use 2024'!$C22</f>
        <v>7.7716517128055473E-3</v>
      </c>
      <c r="U23" s="12">
        <f>'Supply2024-coding'!U22*'Use 2024'!$C22</f>
        <v>5.6431731620030753E-4</v>
      </c>
      <c r="V23" s="12">
        <f>'Supply2024-coding'!V22*'Use 2024'!$C22</f>
        <v>8.7570367695094815E-3</v>
      </c>
      <c r="W23" s="12">
        <f>'Supply2024-coding'!W22*'Use 2024'!$C22</f>
        <v>0.90741546583036792</v>
      </c>
      <c r="X23" s="12">
        <f>'Supply2024-coding'!X22*'Use 2024'!$C22</f>
        <v>0</v>
      </c>
      <c r="Y23" s="12">
        <f>'Supply2024-coding'!Y22*'Use 2024'!$C22</f>
        <v>1.0518121804749028E-4</v>
      </c>
      <c r="Z23" s="12">
        <f>'Supply2024-coding'!Z22*'Use 2024'!$C22</f>
        <v>0</v>
      </c>
      <c r="AA23" s="12">
        <f>'Supply2024-coding'!AA22*'Use 2024'!$C22</f>
        <v>2.2588128957984219E-4</v>
      </c>
      <c r="AB23" s="12">
        <f>'Supply2024-coding'!AB22*'Use 2024'!$C22</f>
        <v>0</v>
      </c>
      <c r="AC23" s="12">
        <f>'Supply2024-coding'!AC22*'Use 2024'!$C22</f>
        <v>0</v>
      </c>
      <c r="AD23" s="12">
        <f>'Supply2024-coding'!AD22*'Use 2024'!$C22</f>
        <v>0</v>
      </c>
      <c r="AE23" s="12">
        <f>'Supply2024-coding'!AE22*'Use 2024'!$C22</f>
        <v>0</v>
      </c>
      <c r="AF23" s="12">
        <f>'Supply2024-coding'!AF22*'Use 2024'!$C22</f>
        <v>0</v>
      </c>
      <c r="AG23" s="12">
        <f>'Supply2024-coding'!AG22*'Use 2024'!$C22</f>
        <v>0</v>
      </c>
      <c r="AH23" s="12">
        <f>'Supply2024-coding'!AH22*'Use 2024'!$C22</f>
        <v>0</v>
      </c>
      <c r="AI23" s="12">
        <f>'Supply2024-coding'!AI22*'Use 2024'!$C22</f>
        <v>0</v>
      </c>
      <c r="AJ23" s="12">
        <f>'Supply2024-coding'!AJ22*'Use 2024'!$C22</f>
        <v>0</v>
      </c>
      <c r="AK23" s="12">
        <f>'Supply2024-coding'!AK22*'Use 2024'!$C22</f>
        <v>0</v>
      </c>
      <c r="AL23" s="12">
        <f>'Supply2024-coding'!AL22*'Use 2024'!$C22</f>
        <v>0</v>
      </c>
      <c r="AM23" s="12">
        <f>'Supply2024-coding'!AM22*'Use 2024'!$C22</f>
        <v>0</v>
      </c>
      <c r="AN23" s="12">
        <f>'Supply2024-coding'!AN22*'Use 2024'!$C22</f>
        <v>0</v>
      </c>
      <c r="AO23" s="12">
        <f>'Supply2024-coding'!AO22*'Use 2024'!$C22</f>
        <v>0</v>
      </c>
      <c r="AP23" s="12">
        <f>'Supply2024-coding'!AP22*'Use 2024'!$C22</f>
        <v>0</v>
      </c>
      <c r="AQ23" s="12">
        <f>'Supply2024-coding'!AQ22*'Use 2024'!$C22</f>
        <v>0</v>
      </c>
      <c r="AR23" s="12">
        <f>'Supply2024-coding'!AR22*'Use 2024'!$C22</f>
        <v>0</v>
      </c>
      <c r="AS23" s="12">
        <f>'Supply2024-coding'!AS22*'Use 2024'!$C22</f>
        <v>0</v>
      </c>
      <c r="AT23" s="12">
        <f>'Supply2024-coding'!AT22*'Use 2024'!$C22</f>
        <v>0</v>
      </c>
      <c r="AU23" s="12">
        <f>'Supply2024-coding'!AU22*'Use 2024'!$C22</f>
        <v>0</v>
      </c>
      <c r="AV23" s="12">
        <f>'Supply2024-coding'!AV22*'Use 2024'!$C22</f>
        <v>0</v>
      </c>
      <c r="AW23" s="12">
        <f>'Supply2024-coding'!AW22*'Use 2024'!$C22</f>
        <v>0</v>
      </c>
      <c r="AX23" s="12">
        <f>'Supply2024-coding'!AX22*'Use 2024'!$C22</f>
        <v>0</v>
      </c>
      <c r="AY23" s="12">
        <f>'Supply2024-coding'!AY22*'Use 2024'!$C22</f>
        <v>0</v>
      </c>
      <c r="AZ23" s="12">
        <f>'Supply2024-coding'!AZ22*'Use 2024'!$C22</f>
        <v>0</v>
      </c>
      <c r="BA23" s="12">
        <f>'Supply2024-coding'!BA22*'Use 2024'!$C22</f>
        <v>0</v>
      </c>
      <c r="BB23" s="12">
        <f>'Supply2024-coding'!BB22*'Use 2024'!$C22</f>
        <v>0</v>
      </c>
      <c r="BC23" s="12">
        <f>'Supply2024-coding'!BC22*'Use 2024'!$C22</f>
        <v>0</v>
      </c>
      <c r="BD23" s="12">
        <f>'Supply2024-coding'!BD22*'Use 2024'!$C22</f>
        <v>0</v>
      </c>
      <c r="BE23" s="12">
        <f>'Supply2024-coding'!BE22*'Use 2024'!$C22</f>
        <v>0</v>
      </c>
      <c r="BF23" s="12">
        <f>'Supply2024-coding'!BF22*'Use 2024'!$C22</f>
        <v>0</v>
      </c>
      <c r="BG23" s="12">
        <f>'Supply2024-coding'!BG22*'Use 2024'!$C22</f>
        <v>0</v>
      </c>
      <c r="BH23" s="12">
        <f>'Supply2024-coding'!BH22*'Use 2024'!$C22</f>
        <v>0</v>
      </c>
      <c r="BI23" s="12">
        <f>'Supply2024-coding'!BI22*'Use 2024'!$C22</f>
        <v>0</v>
      </c>
      <c r="BJ23" s="12">
        <f>'Supply2024-coding'!BJ22*'Use 2024'!$C22</f>
        <v>0</v>
      </c>
      <c r="BK23" s="12">
        <f>'Supply2024-coding'!BK22*'Use 2024'!$C22</f>
        <v>0</v>
      </c>
      <c r="BL23" s="12">
        <f>'Supply2024-coding'!BL22*'Use 2024'!$C22</f>
        <v>0</v>
      </c>
      <c r="BM23" s="12">
        <f>'Supply2024-coding'!BM22*'Use 2024'!$C22</f>
        <v>0</v>
      </c>
      <c r="BN23" s="12">
        <f>'Supply2024-coding'!BN22*'Use 2024'!$C22</f>
        <v>0</v>
      </c>
      <c r="BO23" s="12">
        <f>'Supply2024-coding'!BO22*'Use 2024'!$C22</f>
        <v>0</v>
      </c>
      <c r="BP23" s="12">
        <f>'Supply2024-coding'!BP22*'Use 2024'!$C22</f>
        <v>0</v>
      </c>
      <c r="BQ23" s="12">
        <f>'Supply2024-coding'!BQ22*'Use 2024'!$C22</f>
        <v>0</v>
      </c>
      <c r="BR23" s="12">
        <f>'Supply2024-coding'!BR22*'Use 2024'!$C22</f>
        <v>0</v>
      </c>
      <c r="BS23" s="12">
        <f>'Supply2024-coding'!BS22*'Use 2024'!$C22</f>
        <v>0</v>
      </c>
      <c r="BT23" s="12">
        <f>'Supply2024-coding'!BT22*'Use 2024'!$C22</f>
        <v>5.07655277976347E-4</v>
      </c>
      <c r="BU23" s="12">
        <f>'Supply2024-coding'!BU22*'Use 2024'!$C22</f>
        <v>0</v>
      </c>
      <c r="BV23" s="12">
        <f>'Supply2024-coding'!BV22*'Use 2024'!$C22</f>
        <v>4.8983226554405912E-4</v>
      </c>
      <c r="BW23" s="12">
        <f>'Supply2024-coding'!BW22*'Use 2024'!$C22</f>
        <v>4.1289451387112291E-2</v>
      </c>
      <c r="BX23" s="12">
        <f>'Supply2024-coding'!BX22*'Use 2024'!$C22</f>
        <v>0</v>
      </c>
      <c r="BY23" s="12">
        <f>'Supply2024-coding'!BY22*'Use 2024'!$C22</f>
        <v>3.326057985218091E-3</v>
      </c>
      <c r="BZ23" s="12">
        <f>'Supply2024-coding'!BZ22*'Use 2024'!$C22</f>
        <v>-324187.54170206113</v>
      </c>
      <c r="CA23" s="12" t="e">
        <f>'Supply2024-coding'!CA22*'Use 2024'!$C22</f>
        <v>#DIV/0!</v>
      </c>
      <c r="CB23" s="12">
        <f>'Supply2024-coding'!CB22*'Use 2024'!$C22</f>
        <v>-334085.30685651122</v>
      </c>
      <c r="CC23" s="12">
        <f>'Supply2024-coding'!CC22*'Use 2024'!$C22</f>
        <v>0.22490282247169813</v>
      </c>
      <c r="CD23" s="12">
        <f>'Supply2024-coding'!CD22*'Use 2024'!$C22</f>
        <v>3.0983721494413505E-2</v>
      </c>
      <c r="CE23" s="12">
        <f>'Supply2024-coding'!CE22*'Use 2024'!$C22</f>
        <v>0</v>
      </c>
      <c r="CF23" s="12">
        <f>'Supply2024-coding'!CF22*'Use 2024'!$C22</f>
        <v>4.9767457943087602E-2</v>
      </c>
      <c r="CG23" s="12">
        <f>'Supply2024-coding'!CG22*'Use 2024'!$C22</f>
        <v>1.0327521163354909E-2</v>
      </c>
    </row>
    <row r="24" spans="1:85" x14ac:dyDescent="0.25">
      <c r="A24" t="s">
        <v>22</v>
      </c>
      <c r="B24" t="s">
        <v>115</v>
      </c>
      <c r="C24" s="12">
        <f>'Supply2024-coding'!C23*'Use 2024'!$C23</f>
        <v>0</v>
      </c>
      <c r="D24" s="12">
        <f>'Supply2024-coding'!D23*'Use 2024'!$C23</f>
        <v>0</v>
      </c>
      <c r="E24" s="12">
        <f>'Supply2024-coding'!E23*'Use 2024'!$C23</f>
        <v>0</v>
      </c>
      <c r="F24" s="12">
        <f>'Supply2024-coding'!F23*'Use 2024'!$C23</f>
        <v>0</v>
      </c>
      <c r="G24" s="12">
        <f>'Supply2024-coding'!G23*'Use 2024'!$C23</f>
        <v>0</v>
      </c>
      <c r="H24" s="12">
        <f>'Supply2024-coding'!H23*'Use 2024'!$C23</f>
        <v>0</v>
      </c>
      <c r="I24" s="12">
        <f>'Supply2024-coding'!I23*'Use 2024'!$C23</f>
        <v>0</v>
      </c>
      <c r="J24" s="12">
        <f>'Supply2024-coding'!J23*'Use 2024'!$C23</f>
        <v>3.9635114338416924E-5</v>
      </c>
      <c r="K24" s="12">
        <f>'Supply2024-coding'!K23*'Use 2024'!$C23</f>
        <v>4.345128853693946E-5</v>
      </c>
      <c r="L24" s="12">
        <f>'Supply2024-coding'!L23*'Use 2024'!$C23</f>
        <v>1.5750340060858259E-6</v>
      </c>
      <c r="M24" s="12">
        <f>'Supply2024-coding'!M23*'Use 2024'!$C23</f>
        <v>0</v>
      </c>
      <c r="N24" s="12">
        <f>'Supply2024-coding'!N23*'Use 2024'!$C23</f>
        <v>0</v>
      </c>
      <c r="O24" s="12">
        <f>'Supply2024-coding'!O23*'Use 2024'!$C23</f>
        <v>0</v>
      </c>
      <c r="P24" s="12">
        <f>'Supply2024-coding'!P23*'Use 2024'!$C23</f>
        <v>9.8486459885409961E-6</v>
      </c>
      <c r="Q24" s="12">
        <f>'Supply2024-coding'!Q23*'Use 2024'!$C23</f>
        <v>0</v>
      </c>
      <c r="R24" s="12">
        <f>'Supply2024-coding'!R23*'Use 2024'!$C23</f>
        <v>0</v>
      </c>
      <c r="S24" s="12">
        <f>'Supply2024-coding'!S23*'Use 2024'!$C23</f>
        <v>0</v>
      </c>
      <c r="T24" s="12">
        <f>'Supply2024-coding'!T23*'Use 2024'!$C23</f>
        <v>7.7598719288192957E-5</v>
      </c>
      <c r="U24" s="12">
        <f>'Supply2024-coding'!U23*'Use 2024'!$C23</f>
        <v>9.4064247951282549E-6</v>
      </c>
      <c r="V24" s="12">
        <f>'Supply2024-coding'!V23*'Use 2024'!$C23</f>
        <v>0</v>
      </c>
      <c r="W24" s="12">
        <f>'Supply2024-coding'!W23*'Use 2024'!$C23</f>
        <v>0</v>
      </c>
      <c r="X24" s="12">
        <f>'Supply2024-coding'!X23*'Use 2024'!$C23</f>
        <v>0.23217559961943582</v>
      </c>
      <c r="Y24" s="12">
        <f>'Supply2024-coding'!Y23*'Use 2024'!$C23</f>
        <v>1.8462408344097332E-3</v>
      </c>
      <c r="Z24" s="12">
        <f>'Supply2024-coding'!Z23*'Use 2024'!$C23</f>
        <v>0</v>
      </c>
      <c r="AA24" s="12">
        <f>'Supply2024-coding'!AA23*'Use 2024'!$C23</f>
        <v>2.4239694444316761E-5</v>
      </c>
      <c r="AB24" s="12">
        <f>'Supply2024-coding'!AB23*'Use 2024'!$C23</f>
        <v>6.5408604068824651E-4</v>
      </c>
      <c r="AC24" s="12">
        <f>'Supply2024-coding'!AC23*'Use 2024'!$C23</f>
        <v>0</v>
      </c>
      <c r="AD24" s="12">
        <f>'Supply2024-coding'!AD23*'Use 2024'!$C23</f>
        <v>0</v>
      </c>
      <c r="AE24" s="12">
        <f>'Supply2024-coding'!AE23*'Use 2024'!$C23</f>
        <v>0</v>
      </c>
      <c r="AF24" s="12">
        <f>'Supply2024-coding'!AF23*'Use 2024'!$C23</f>
        <v>0</v>
      </c>
      <c r="AG24" s="12">
        <f>'Supply2024-coding'!AG23*'Use 2024'!$C23</f>
        <v>0</v>
      </c>
      <c r="AH24" s="12">
        <f>'Supply2024-coding'!AH23*'Use 2024'!$C23</f>
        <v>0</v>
      </c>
      <c r="AI24" s="12">
        <f>'Supply2024-coding'!AI23*'Use 2024'!$C23</f>
        <v>0</v>
      </c>
      <c r="AJ24" s="12">
        <f>'Supply2024-coding'!AJ23*'Use 2024'!$C23</f>
        <v>0</v>
      </c>
      <c r="AK24" s="12">
        <f>'Supply2024-coding'!AK23*'Use 2024'!$C23</f>
        <v>0</v>
      </c>
      <c r="AL24" s="12">
        <f>'Supply2024-coding'!AL23*'Use 2024'!$C23</f>
        <v>0</v>
      </c>
      <c r="AM24" s="12">
        <f>'Supply2024-coding'!AM23*'Use 2024'!$C23</f>
        <v>0</v>
      </c>
      <c r="AN24" s="12">
        <f>'Supply2024-coding'!AN23*'Use 2024'!$C23</f>
        <v>0</v>
      </c>
      <c r="AO24" s="12">
        <f>'Supply2024-coding'!AO23*'Use 2024'!$C23</f>
        <v>0</v>
      </c>
      <c r="AP24" s="12">
        <f>'Supply2024-coding'!AP23*'Use 2024'!$C23</f>
        <v>0</v>
      </c>
      <c r="AQ24" s="12">
        <f>'Supply2024-coding'!AQ23*'Use 2024'!$C23</f>
        <v>0</v>
      </c>
      <c r="AR24" s="12">
        <f>'Supply2024-coding'!AR23*'Use 2024'!$C23</f>
        <v>0</v>
      </c>
      <c r="AS24" s="12">
        <f>'Supply2024-coding'!AS23*'Use 2024'!$C23</f>
        <v>0</v>
      </c>
      <c r="AT24" s="12">
        <f>'Supply2024-coding'!AT23*'Use 2024'!$C23</f>
        <v>0</v>
      </c>
      <c r="AU24" s="12">
        <f>'Supply2024-coding'!AU23*'Use 2024'!$C23</f>
        <v>0</v>
      </c>
      <c r="AV24" s="12">
        <f>'Supply2024-coding'!AV23*'Use 2024'!$C23</f>
        <v>0</v>
      </c>
      <c r="AW24" s="12">
        <f>'Supply2024-coding'!AW23*'Use 2024'!$C23</f>
        <v>0</v>
      </c>
      <c r="AX24" s="12">
        <f>'Supply2024-coding'!AX23*'Use 2024'!$C23</f>
        <v>0</v>
      </c>
      <c r="AY24" s="12">
        <f>'Supply2024-coding'!AY23*'Use 2024'!$C23</f>
        <v>0</v>
      </c>
      <c r="AZ24" s="12">
        <f>'Supply2024-coding'!AZ23*'Use 2024'!$C23</f>
        <v>0</v>
      </c>
      <c r="BA24" s="12">
        <f>'Supply2024-coding'!BA23*'Use 2024'!$C23</f>
        <v>0</v>
      </c>
      <c r="BB24" s="12">
        <f>'Supply2024-coding'!BB23*'Use 2024'!$C23</f>
        <v>0</v>
      </c>
      <c r="BC24" s="12">
        <f>'Supply2024-coding'!BC23*'Use 2024'!$C23</f>
        <v>0</v>
      </c>
      <c r="BD24" s="12">
        <f>'Supply2024-coding'!BD23*'Use 2024'!$C23</f>
        <v>0</v>
      </c>
      <c r="BE24" s="12">
        <f>'Supply2024-coding'!BE23*'Use 2024'!$C23</f>
        <v>0</v>
      </c>
      <c r="BF24" s="12">
        <f>'Supply2024-coding'!BF23*'Use 2024'!$C23</f>
        <v>0</v>
      </c>
      <c r="BG24" s="12">
        <f>'Supply2024-coding'!BG23*'Use 2024'!$C23</f>
        <v>0</v>
      </c>
      <c r="BH24" s="12">
        <f>'Supply2024-coding'!BH23*'Use 2024'!$C23</f>
        <v>0</v>
      </c>
      <c r="BI24" s="12">
        <f>'Supply2024-coding'!BI23*'Use 2024'!$C23</f>
        <v>0</v>
      </c>
      <c r="BJ24" s="12">
        <f>'Supply2024-coding'!BJ23*'Use 2024'!$C23</f>
        <v>0</v>
      </c>
      <c r="BK24" s="12">
        <f>'Supply2024-coding'!BK23*'Use 2024'!$C23</f>
        <v>0</v>
      </c>
      <c r="BL24" s="12">
        <f>'Supply2024-coding'!BL23*'Use 2024'!$C23</f>
        <v>0</v>
      </c>
      <c r="BM24" s="12">
        <f>'Supply2024-coding'!BM23*'Use 2024'!$C23</f>
        <v>0</v>
      </c>
      <c r="BN24" s="12">
        <f>'Supply2024-coding'!BN23*'Use 2024'!$C23</f>
        <v>0</v>
      </c>
      <c r="BO24" s="12">
        <f>'Supply2024-coding'!BO23*'Use 2024'!$C23</f>
        <v>0</v>
      </c>
      <c r="BP24" s="12">
        <f>'Supply2024-coding'!BP23*'Use 2024'!$C23</f>
        <v>0</v>
      </c>
      <c r="BQ24" s="12">
        <f>'Supply2024-coding'!BQ23*'Use 2024'!$C23</f>
        <v>0</v>
      </c>
      <c r="BR24" s="12">
        <f>'Supply2024-coding'!BR23*'Use 2024'!$C23</f>
        <v>0</v>
      </c>
      <c r="BS24" s="12">
        <f>'Supply2024-coding'!BS23*'Use 2024'!$C23</f>
        <v>0</v>
      </c>
      <c r="BT24" s="12">
        <f>'Supply2024-coding'!BT23*'Use 2024'!$C23</f>
        <v>6.258961944332608E-5</v>
      </c>
      <c r="BU24" s="12">
        <f>'Supply2024-coding'!BU23*'Use 2024'!$C23</f>
        <v>0</v>
      </c>
      <c r="BV24" s="12">
        <f>'Supply2024-coding'!BV23*'Use 2024'!$C23</f>
        <v>1.0335882148325428E-3</v>
      </c>
      <c r="BW24" s="12">
        <f>'Supply2024-coding'!BW23*'Use 2024'!$C23</f>
        <v>1.9327270093749153E-3</v>
      </c>
      <c r="BX24" s="12">
        <f>'Supply2024-coding'!BX23*'Use 2024'!$C23</f>
        <v>0</v>
      </c>
      <c r="BY24" s="12">
        <f>'Supply2024-coding'!BY23*'Use 2024'!$C23</f>
        <v>1.0966823058099553E-3</v>
      </c>
      <c r="BZ24" s="12">
        <f>'Supply2024-coding'!BZ23*'Use 2024'!$C23</f>
        <v>-19603.033080495261</v>
      </c>
      <c r="CA24" s="12" t="e">
        <f>'Supply2024-coding'!CA23*'Use 2024'!$C23</f>
        <v>#DIV/0!</v>
      </c>
      <c r="CB24" s="12">
        <f>'Supply2024-coding'!CB23*'Use 2024'!$C23</f>
        <v>-23241.721577074932</v>
      </c>
      <c r="CC24" s="12">
        <f>'Supply2024-coding'!CC23*'Use 2024'!$C23</f>
        <v>2.3209349276254315E-3</v>
      </c>
      <c r="CD24" s="12">
        <f>'Supply2024-coding'!CD23*'Use 2024'!$C23</f>
        <v>2.043106270060904E-3</v>
      </c>
      <c r="CE24" s="12">
        <f>'Supply2024-coding'!CE23*'Use 2024'!$C23</f>
        <v>0</v>
      </c>
      <c r="CF24" s="12">
        <f>'Supply2024-coding'!CF23*'Use 2024'!$C23</f>
        <v>2.2467897028018297E-3</v>
      </c>
      <c r="CG24" s="12">
        <f>'Supply2024-coding'!CG23*'Use 2024'!$C23</f>
        <v>1.5451307221273219E-3</v>
      </c>
    </row>
    <row r="25" spans="1:85" x14ac:dyDescent="0.25">
      <c r="A25" t="s">
        <v>23</v>
      </c>
      <c r="B25" t="s">
        <v>116</v>
      </c>
      <c r="C25" s="12">
        <f>'Supply2024-coding'!C24*'Use 2024'!$C24</f>
        <v>0</v>
      </c>
      <c r="D25" s="12">
        <f>'Supply2024-coding'!D24*'Use 2024'!$C24</f>
        <v>0</v>
      </c>
      <c r="E25" s="12">
        <f>'Supply2024-coding'!E24*'Use 2024'!$C24</f>
        <v>0</v>
      </c>
      <c r="F25" s="12">
        <f>'Supply2024-coding'!F24*'Use 2024'!$C24</f>
        <v>0</v>
      </c>
      <c r="G25" s="12">
        <f>'Supply2024-coding'!G24*'Use 2024'!$C24</f>
        <v>0</v>
      </c>
      <c r="H25" s="12">
        <f>'Supply2024-coding'!H24*'Use 2024'!$C24</f>
        <v>0</v>
      </c>
      <c r="I25" s="12">
        <f>'Supply2024-coding'!I24*'Use 2024'!$C24</f>
        <v>0</v>
      </c>
      <c r="J25" s="12">
        <f>'Supply2024-coding'!J24*'Use 2024'!$C24</f>
        <v>0</v>
      </c>
      <c r="K25" s="12">
        <f>'Supply2024-coding'!K24*'Use 2024'!$C24</f>
        <v>0</v>
      </c>
      <c r="L25" s="12">
        <f>'Supply2024-coding'!L24*'Use 2024'!$C24</f>
        <v>0</v>
      </c>
      <c r="M25" s="12">
        <f>'Supply2024-coding'!M24*'Use 2024'!$C24</f>
        <v>2.1250867892525894E-5</v>
      </c>
      <c r="N25" s="12">
        <f>'Supply2024-coding'!N24*'Use 2024'!$C24</f>
        <v>0</v>
      </c>
      <c r="O25" s="12">
        <f>'Supply2024-coding'!O24*'Use 2024'!$C24</f>
        <v>0</v>
      </c>
      <c r="P25" s="12">
        <f>'Supply2024-coding'!P24*'Use 2024'!$C24</f>
        <v>0</v>
      </c>
      <c r="Q25" s="12">
        <f>'Supply2024-coding'!Q24*'Use 2024'!$C24</f>
        <v>0</v>
      </c>
      <c r="R25" s="12">
        <f>'Supply2024-coding'!R24*'Use 2024'!$C24</f>
        <v>0</v>
      </c>
      <c r="S25" s="12">
        <f>'Supply2024-coding'!S24*'Use 2024'!$C24</f>
        <v>1.2230081572100677E-5</v>
      </c>
      <c r="T25" s="12">
        <f>'Supply2024-coding'!T24*'Use 2024'!$C24</f>
        <v>3.1257774926274237E-4</v>
      </c>
      <c r="U25" s="12">
        <f>'Supply2024-coding'!U24*'Use 2024'!$C24</f>
        <v>0</v>
      </c>
      <c r="V25" s="12">
        <f>'Supply2024-coding'!V24*'Use 2024'!$C24</f>
        <v>6.4040527591866729E-4</v>
      </c>
      <c r="W25" s="12">
        <f>'Supply2024-coding'!W24*'Use 2024'!$C24</f>
        <v>4.0543063257220867E-5</v>
      </c>
      <c r="X25" s="12">
        <f>'Supply2024-coding'!X24*'Use 2024'!$C24</f>
        <v>2.1819095339450483E-4</v>
      </c>
      <c r="Y25" s="12">
        <f>'Supply2024-coding'!Y24*'Use 2024'!$C24</f>
        <v>0.11364974907133778</v>
      </c>
      <c r="Z25" s="12">
        <f>'Supply2024-coding'!Z24*'Use 2024'!$C24</f>
        <v>0</v>
      </c>
      <c r="AA25" s="12">
        <f>'Supply2024-coding'!AA24*'Use 2024'!$C24</f>
        <v>0</v>
      </c>
      <c r="AB25" s="12">
        <f>'Supply2024-coding'!AB24*'Use 2024'!$C24</f>
        <v>2.4345646498734695E-5</v>
      </c>
      <c r="AC25" s="12">
        <f>'Supply2024-coding'!AC24*'Use 2024'!$C24</f>
        <v>0</v>
      </c>
      <c r="AD25" s="12">
        <f>'Supply2024-coding'!AD24*'Use 2024'!$C24</f>
        <v>0</v>
      </c>
      <c r="AE25" s="12">
        <f>'Supply2024-coding'!AE24*'Use 2024'!$C24</f>
        <v>0</v>
      </c>
      <c r="AF25" s="12">
        <f>'Supply2024-coding'!AF24*'Use 2024'!$C24</f>
        <v>0</v>
      </c>
      <c r="AG25" s="12">
        <f>'Supply2024-coding'!AG24*'Use 2024'!$C24</f>
        <v>0</v>
      </c>
      <c r="AH25" s="12">
        <f>'Supply2024-coding'!AH24*'Use 2024'!$C24</f>
        <v>0</v>
      </c>
      <c r="AI25" s="12">
        <f>'Supply2024-coding'!AI24*'Use 2024'!$C24</f>
        <v>0</v>
      </c>
      <c r="AJ25" s="12">
        <f>'Supply2024-coding'!AJ24*'Use 2024'!$C24</f>
        <v>0</v>
      </c>
      <c r="AK25" s="12">
        <f>'Supply2024-coding'!AK24*'Use 2024'!$C24</f>
        <v>0</v>
      </c>
      <c r="AL25" s="12">
        <f>'Supply2024-coding'!AL24*'Use 2024'!$C24</f>
        <v>0</v>
      </c>
      <c r="AM25" s="12">
        <f>'Supply2024-coding'!AM24*'Use 2024'!$C24</f>
        <v>0</v>
      </c>
      <c r="AN25" s="12">
        <f>'Supply2024-coding'!AN24*'Use 2024'!$C24</f>
        <v>0</v>
      </c>
      <c r="AO25" s="12">
        <f>'Supply2024-coding'!AO24*'Use 2024'!$C24</f>
        <v>0</v>
      </c>
      <c r="AP25" s="12">
        <f>'Supply2024-coding'!AP24*'Use 2024'!$C24</f>
        <v>3.9620929314663665E-4</v>
      </c>
      <c r="AQ25" s="12">
        <f>'Supply2024-coding'!AQ24*'Use 2024'!$C24</f>
        <v>0</v>
      </c>
      <c r="AR25" s="12">
        <f>'Supply2024-coding'!AR24*'Use 2024'!$C24</f>
        <v>0</v>
      </c>
      <c r="AS25" s="12">
        <f>'Supply2024-coding'!AS24*'Use 2024'!$C24</f>
        <v>0</v>
      </c>
      <c r="AT25" s="12">
        <f>'Supply2024-coding'!AT24*'Use 2024'!$C24</f>
        <v>0</v>
      </c>
      <c r="AU25" s="12">
        <f>'Supply2024-coding'!AU24*'Use 2024'!$C24</f>
        <v>0</v>
      </c>
      <c r="AV25" s="12">
        <f>'Supply2024-coding'!AV24*'Use 2024'!$C24</f>
        <v>0</v>
      </c>
      <c r="AW25" s="12">
        <f>'Supply2024-coding'!AW24*'Use 2024'!$C24</f>
        <v>0</v>
      </c>
      <c r="AX25" s="12">
        <f>'Supply2024-coding'!AX24*'Use 2024'!$C24</f>
        <v>0</v>
      </c>
      <c r="AY25" s="12">
        <f>'Supply2024-coding'!AY24*'Use 2024'!$C24</f>
        <v>0</v>
      </c>
      <c r="AZ25" s="12">
        <f>'Supply2024-coding'!AZ24*'Use 2024'!$C24</f>
        <v>0</v>
      </c>
      <c r="BA25" s="12">
        <f>'Supply2024-coding'!BA24*'Use 2024'!$C24</f>
        <v>0</v>
      </c>
      <c r="BB25" s="12">
        <f>'Supply2024-coding'!BB24*'Use 2024'!$C24</f>
        <v>0</v>
      </c>
      <c r="BC25" s="12">
        <f>'Supply2024-coding'!BC24*'Use 2024'!$C24</f>
        <v>7.8357346786934422E-7</v>
      </c>
      <c r="BD25" s="12">
        <f>'Supply2024-coding'!BD24*'Use 2024'!$C24</f>
        <v>0</v>
      </c>
      <c r="BE25" s="12">
        <f>'Supply2024-coding'!BE24*'Use 2024'!$C24</f>
        <v>2.3095966788937196E-4</v>
      </c>
      <c r="BF25" s="12">
        <f>'Supply2024-coding'!BF24*'Use 2024'!$C24</f>
        <v>0</v>
      </c>
      <c r="BG25" s="12">
        <f>'Supply2024-coding'!BG24*'Use 2024'!$C24</f>
        <v>0</v>
      </c>
      <c r="BH25" s="12">
        <f>'Supply2024-coding'!BH24*'Use 2024'!$C24</f>
        <v>0</v>
      </c>
      <c r="BI25" s="12">
        <f>'Supply2024-coding'!BI24*'Use 2024'!$C24</f>
        <v>0</v>
      </c>
      <c r="BJ25" s="12">
        <f>'Supply2024-coding'!BJ24*'Use 2024'!$C24</f>
        <v>0</v>
      </c>
      <c r="BK25" s="12">
        <f>'Supply2024-coding'!BK24*'Use 2024'!$C24</f>
        <v>0</v>
      </c>
      <c r="BL25" s="12">
        <f>'Supply2024-coding'!BL24*'Use 2024'!$C24</f>
        <v>0</v>
      </c>
      <c r="BM25" s="12">
        <f>'Supply2024-coding'!BM24*'Use 2024'!$C24</f>
        <v>0</v>
      </c>
      <c r="BN25" s="12">
        <f>'Supply2024-coding'!BN24*'Use 2024'!$C24</f>
        <v>0</v>
      </c>
      <c r="BO25" s="12">
        <f>'Supply2024-coding'!BO24*'Use 2024'!$C24</f>
        <v>0</v>
      </c>
      <c r="BP25" s="12">
        <f>'Supply2024-coding'!BP24*'Use 2024'!$C24</f>
        <v>0</v>
      </c>
      <c r="BQ25" s="12">
        <f>'Supply2024-coding'!BQ24*'Use 2024'!$C24</f>
        <v>0</v>
      </c>
      <c r="BR25" s="12">
        <f>'Supply2024-coding'!BR24*'Use 2024'!$C24</f>
        <v>-2.3463076732648531E-7</v>
      </c>
      <c r="BS25" s="12">
        <f>'Supply2024-coding'!BS24*'Use 2024'!$C24</f>
        <v>0</v>
      </c>
      <c r="BT25" s="12">
        <f>'Supply2024-coding'!BT24*'Use 2024'!$C24</f>
        <v>1.0578454626272012E-4</v>
      </c>
      <c r="BU25" s="12">
        <f>'Supply2024-coding'!BU24*'Use 2024'!$C24</f>
        <v>0</v>
      </c>
      <c r="BV25" s="12">
        <f>'Supply2024-coding'!BV24*'Use 2024'!$C24</f>
        <v>2.1422253772404199E-4</v>
      </c>
      <c r="BW25" s="12">
        <f>'Supply2024-coding'!BW24*'Use 2024'!$C24</f>
        <v>1.3163604528494512E-4</v>
      </c>
      <c r="BX25" s="12">
        <f>'Supply2024-coding'!BX24*'Use 2024'!$C24</f>
        <v>0</v>
      </c>
      <c r="BY25" s="12">
        <f>'Supply2024-coding'!BY24*'Use 2024'!$C24</f>
        <v>2.0860551282026574E-4</v>
      </c>
      <c r="BZ25" s="12">
        <f>'Supply2024-coding'!BZ24*'Use 2024'!$C24</f>
        <v>-2921.5653970793342</v>
      </c>
      <c r="CA25" s="12" t="e">
        <f>'Supply2024-coding'!CA24*'Use 2024'!$C24</f>
        <v>#DIV/0!</v>
      </c>
      <c r="CB25" s="12">
        <f>'Supply2024-coding'!CB24*'Use 2024'!$C24</f>
        <v>-3468.1494072524411</v>
      </c>
      <c r="CC25" s="12">
        <f>'Supply2024-coding'!CC24*'Use 2024'!$C24</f>
        <v>2.0854436888843319E-4</v>
      </c>
      <c r="CD25" s="12">
        <f>'Supply2024-coding'!CD24*'Use 2024'!$C24</f>
        <v>2.1880507164498902E-4</v>
      </c>
      <c r="CE25" s="12">
        <f>'Supply2024-coding'!CE24*'Use 2024'!$C24</f>
        <v>0</v>
      </c>
      <c r="CF25" s="12">
        <f>'Supply2024-coding'!CF24*'Use 2024'!$C24</f>
        <v>2.3730789610026129E-4</v>
      </c>
      <c r="CG25" s="12">
        <f>'Supply2024-coding'!CG24*'Use 2024'!$C24</f>
        <v>2.728699598088373E-4</v>
      </c>
    </row>
    <row r="26" spans="1:85" x14ac:dyDescent="0.25">
      <c r="A26" t="s">
        <v>24</v>
      </c>
      <c r="B26" t="s">
        <v>117</v>
      </c>
      <c r="C26" s="12">
        <f>'Supply2024-coding'!C25*'Use 2024'!$C25</f>
        <v>0</v>
      </c>
      <c r="D26" s="12">
        <f>'Supply2024-coding'!D25*'Use 2024'!$C25</f>
        <v>0</v>
      </c>
      <c r="E26" s="12">
        <f>'Supply2024-coding'!E25*'Use 2024'!$C25</f>
        <v>4.8963386058322698E-2</v>
      </c>
      <c r="F26" s="12">
        <f>'Supply2024-coding'!F25*'Use 2024'!$C25</f>
        <v>5.560196510479362E-4</v>
      </c>
      <c r="G26" s="12">
        <f>'Supply2024-coding'!G25*'Use 2024'!$C25</f>
        <v>1.0307379271772858E-3</v>
      </c>
      <c r="H26" s="12">
        <f>'Supply2024-coding'!H25*'Use 2024'!$C25</f>
        <v>0</v>
      </c>
      <c r="I26" s="12">
        <f>'Supply2024-coding'!I25*'Use 2024'!$C25</f>
        <v>0</v>
      </c>
      <c r="J26" s="12">
        <f>'Supply2024-coding'!J25*'Use 2024'!$C25</f>
        <v>0</v>
      </c>
      <c r="K26" s="12">
        <f>'Supply2024-coding'!K25*'Use 2024'!$C25</f>
        <v>3.8955864246339512E-4</v>
      </c>
      <c r="L26" s="12">
        <f>'Supply2024-coding'!L25*'Use 2024'!$C25</f>
        <v>1.4148867917842445E-3</v>
      </c>
      <c r="M26" s="12">
        <f>'Supply2024-coding'!M25*'Use 2024'!$C25</f>
        <v>4.2174517437068251E-6</v>
      </c>
      <c r="N26" s="12">
        <f>'Supply2024-coding'!N25*'Use 2024'!$C25</f>
        <v>0</v>
      </c>
      <c r="O26" s="12">
        <f>'Supply2024-coding'!O25*'Use 2024'!$C25</f>
        <v>0</v>
      </c>
      <c r="P26" s="12">
        <f>'Supply2024-coding'!P25*'Use 2024'!$C25</f>
        <v>7.5146514942636956E-6</v>
      </c>
      <c r="Q26" s="12">
        <f>'Supply2024-coding'!Q25*'Use 2024'!$C25</f>
        <v>0</v>
      </c>
      <c r="R26" s="12">
        <f>'Supply2024-coding'!R25*'Use 2024'!$C25</f>
        <v>0</v>
      </c>
      <c r="S26" s="12">
        <f>'Supply2024-coding'!S25*'Use 2024'!$C25</f>
        <v>0</v>
      </c>
      <c r="T26" s="12">
        <f>'Supply2024-coding'!T25*'Use 2024'!$C25</f>
        <v>0</v>
      </c>
      <c r="U26" s="12">
        <f>'Supply2024-coding'!U25*'Use 2024'!$C25</f>
        <v>1.7576891460472101E-5</v>
      </c>
      <c r="V26" s="12">
        <f>'Supply2024-coding'!V25*'Use 2024'!$C25</f>
        <v>0</v>
      </c>
      <c r="W26" s="12">
        <f>'Supply2024-coding'!W25*'Use 2024'!$C25</f>
        <v>0</v>
      </c>
      <c r="X26" s="12">
        <f>'Supply2024-coding'!X25*'Use 2024'!$C25</f>
        <v>0</v>
      </c>
      <c r="Y26" s="12">
        <f>'Supply2024-coding'!Y25*'Use 2024'!$C25</f>
        <v>0</v>
      </c>
      <c r="Z26" s="12">
        <f>'Supply2024-coding'!Z25*'Use 2024'!$C25</f>
        <v>0.45688095667696726</v>
      </c>
      <c r="AA26" s="12">
        <f>'Supply2024-coding'!AA25*'Use 2024'!$C25</f>
        <v>4.994563466030103E-3</v>
      </c>
      <c r="AB26" s="12">
        <f>'Supply2024-coding'!AB25*'Use 2024'!$C25</f>
        <v>3.2539630883496582E-6</v>
      </c>
      <c r="AC26" s="12">
        <f>'Supply2024-coding'!AC25*'Use 2024'!$C25</f>
        <v>0</v>
      </c>
      <c r="AD26" s="12">
        <f>'Supply2024-coding'!AD25*'Use 2024'!$C25</f>
        <v>0</v>
      </c>
      <c r="AE26" s="12">
        <f>'Supply2024-coding'!AE25*'Use 2024'!$C25</f>
        <v>0</v>
      </c>
      <c r="AF26" s="12">
        <f>'Supply2024-coding'!AF25*'Use 2024'!$C25</f>
        <v>0</v>
      </c>
      <c r="AG26" s="12">
        <f>'Supply2024-coding'!AG25*'Use 2024'!$C25</f>
        <v>0</v>
      </c>
      <c r="AH26" s="12">
        <f>'Supply2024-coding'!AH25*'Use 2024'!$C25</f>
        <v>0</v>
      </c>
      <c r="AI26" s="12">
        <f>'Supply2024-coding'!AI25*'Use 2024'!$C25</f>
        <v>0</v>
      </c>
      <c r="AJ26" s="12">
        <f>'Supply2024-coding'!AJ25*'Use 2024'!$C25</f>
        <v>0</v>
      </c>
      <c r="AK26" s="12">
        <f>'Supply2024-coding'!AK25*'Use 2024'!$C25</f>
        <v>0</v>
      </c>
      <c r="AL26" s="12">
        <f>'Supply2024-coding'!AL25*'Use 2024'!$C25</f>
        <v>0</v>
      </c>
      <c r="AM26" s="12">
        <f>'Supply2024-coding'!AM25*'Use 2024'!$C25</f>
        <v>0</v>
      </c>
      <c r="AN26" s="12">
        <f>'Supply2024-coding'!AN25*'Use 2024'!$C25</f>
        <v>0</v>
      </c>
      <c r="AO26" s="12">
        <f>'Supply2024-coding'!AO25*'Use 2024'!$C25</f>
        <v>0</v>
      </c>
      <c r="AP26" s="12">
        <f>'Supply2024-coding'!AP25*'Use 2024'!$C25</f>
        <v>0</v>
      </c>
      <c r="AQ26" s="12">
        <f>'Supply2024-coding'!AQ25*'Use 2024'!$C25</f>
        <v>0</v>
      </c>
      <c r="AR26" s="12">
        <f>'Supply2024-coding'!AR25*'Use 2024'!$C25</f>
        <v>0</v>
      </c>
      <c r="AS26" s="12">
        <f>'Supply2024-coding'!AS25*'Use 2024'!$C25</f>
        <v>0</v>
      </c>
      <c r="AT26" s="12">
        <f>'Supply2024-coding'!AT25*'Use 2024'!$C25</f>
        <v>0</v>
      </c>
      <c r="AU26" s="12">
        <f>'Supply2024-coding'!AU25*'Use 2024'!$C25</f>
        <v>0</v>
      </c>
      <c r="AV26" s="12">
        <f>'Supply2024-coding'!AV25*'Use 2024'!$C25</f>
        <v>0</v>
      </c>
      <c r="AW26" s="12">
        <f>'Supply2024-coding'!AW25*'Use 2024'!$C25</f>
        <v>0</v>
      </c>
      <c r="AX26" s="12">
        <f>'Supply2024-coding'!AX25*'Use 2024'!$C25</f>
        <v>0</v>
      </c>
      <c r="AY26" s="12">
        <f>'Supply2024-coding'!AY25*'Use 2024'!$C25</f>
        <v>0</v>
      </c>
      <c r="AZ26" s="12">
        <f>'Supply2024-coding'!AZ25*'Use 2024'!$C25</f>
        <v>0</v>
      </c>
      <c r="BA26" s="12">
        <f>'Supply2024-coding'!BA25*'Use 2024'!$C25</f>
        <v>0</v>
      </c>
      <c r="BB26" s="12">
        <f>'Supply2024-coding'!BB25*'Use 2024'!$C25</f>
        <v>0</v>
      </c>
      <c r="BC26" s="12">
        <f>'Supply2024-coding'!BC25*'Use 2024'!$C25</f>
        <v>0</v>
      </c>
      <c r="BD26" s="12">
        <f>'Supply2024-coding'!BD25*'Use 2024'!$C25</f>
        <v>0</v>
      </c>
      <c r="BE26" s="12">
        <f>'Supply2024-coding'!BE25*'Use 2024'!$C25</f>
        <v>0</v>
      </c>
      <c r="BF26" s="12">
        <f>'Supply2024-coding'!BF25*'Use 2024'!$C25</f>
        <v>0</v>
      </c>
      <c r="BG26" s="12">
        <f>'Supply2024-coding'!BG25*'Use 2024'!$C25</f>
        <v>0</v>
      </c>
      <c r="BH26" s="12">
        <f>'Supply2024-coding'!BH25*'Use 2024'!$C25</f>
        <v>0</v>
      </c>
      <c r="BI26" s="12">
        <f>'Supply2024-coding'!BI25*'Use 2024'!$C25</f>
        <v>0</v>
      </c>
      <c r="BJ26" s="12">
        <f>'Supply2024-coding'!BJ25*'Use 2024'!$C25</f>
        <v>0</v>
      </c>
      <c r="BK26" s="12">
        <f>'Supply2024-coding'!BK25*'Use 2024'!$C25</f>
        <v>0</v>
      </c>
      <c r="BL26" s="12">
        <f>'Supply2024-coding'!BL25*'Use 2024'!$C25</f>
        <v>0</v>
      </c>
      <c r="BM26" s="12">
        <f>'Supply2024-coding'!BM25*'Use 2024'!$C25</f>
        <v>0</v>
      </c>
      <c r="BN26" s="12">
        <f>'Supply2024-coding'!BN25*'Use 2024'!$C25</f>
        <v>0</v>
      </c>
      <c r="BO26" s="12">
        <f>'Supply2024-coding'!BO25*'Use 2024'!$C25</f>
        <v>0</v>
      </c>
      <c r="BP26" s="12">
        <f>'Supply2024-coding'!BP25*'Use 2024'!$C25</f>
        <v>0</v>
      </c>
      <c r="BQ26" s="12">
        <f>'Supply2024-coding'!BQ25*'Use 2024'!$C25</f>
        <v>0</v>
      </c>
      <c r="BR26" s="12">
        <f>'Supply2024-coding'!BR25*'Use 2024'!$C25</f>
        <v>0</v>
      </c>
      <c r="BS26" s="12">
        <f>'Supply2024-coding'!BS25*'Use 2024'!$C25</f>
        <v>0</v>
      </c>
      <c r="BT26" s="12">
        <f>'Supply2024-coding'!BT25*'Use 2024'!$C25</f>
        <v>0</v>
      </c>
      <c r="BU26" s="12">
        <f>'Supply2024-coding'!BU25*'Use 2024'!$C25</f>
        <v>0</v>
      </c>
      <c r="BV26" s="12">
        <f>'Supply2024-coding'!BV25*'Use 2024'!$C25</f>
        <v>6.5112071178608146E-3</v>
      </c>
      <c r="BW26" s="12">
        <f>'Supply2024-coding'!BW25*'Use 2024'!$C25</f>
        <v>9.2933429776606395E-3</v>
      </c>
      <c r="BX26" s="12">
        <f>'Supply2024-coding'!BX25*'Use 2024'!$C25</f>
        <v>0</v>
      </c>
      <c r="BY26" s="12">
        <f>'Supply2024-coding'!BY25*'Use 2024'!$C25</f>
        <v>6.7083440539320981E-3</v>
      </c>
      <c r="BZ26" s="12">
        <f>'Supply2024-coding'!BZ25*'Use 2024'!$C25</f>
        <v>-96101.854605432018</v>
      </c>
      <c r="CA26" s="12" t="e">
        <f>'Supply2024-coding'!CA25*'Use 2024'!$C25</f>
        <v>#DIV/0!</v>
      </c>
      <c r="CB26" s="12">
        <f>'Supply2024-coding'!CB25*'Use 2024'!$C25</f>
        <v>-114772.79288416324</v>
      </c>
      <c r="CC26" s="12">
        <f>'Supply2024-coding'!CC25*'Use 2024'!$C25</f>
        <v>1.2905615385499279E-3</v>
      </c>
      <c r="CD26" s="12">
        <f>'Supply2024-coding'!CD25*'Use 2024'!$C25</f>
        <v>5.8689966157108461E-2</v>
      </c>
      <c r="CE26" s="12">
        <f>'Supply2024-coding'!CE25*'Use 2024'!$C25</f>
        <v>0</v>
      </c>
      <c r="CF26" s="12">
        <f>'Supply2024-coding'!CF25*'Use 2024'!$C25</f>
        <v>5.9131859745992769E-2</v>
      </c>
      <c r="CG26" s="12">
        <f>'Supply2024-coding'!CG25*'Use 2024'!$C25</f>
        <v>9.7907315660842736E-3</v>
      </c>
    </row>
    <row r="27" spans="1:85" x14ac:dyDescent="0.25">
      <c r="A27" t="s">
        <v>25</v>
      </c>
      <c r="B27" t="s">
        <v>118</v>
      </c>
      <c r="C27" s="12">
        <f>'Supply2024-coding'!C26*'Use 2024'!$C26</f>
        <v>0</v>
      </c>
      <c r="D27" s="12">
        <f>'Supply2024-coding'!D26*'Use 2024'!$C26</f>
        <v>0</v>
      </c>
      <c r="E27" s="12">
        <f>'Supply2024-coding'!E26*'Use 2024'!$C26</f>
        <v>3.2674529188125352E-4</v>
      </c>
      <c r="F27" s="12">
        <f>'Supply2024-coding'!F26*'Use 2024'!$C26</f>
        <v>1.087243266285963E-2</v>
      </c>
      <c r="G27" s="12">
        <f>'Supply2024-coding'!G26*'Use 2024'!$C26</f>
        <v>0</v>
      </c>
      <c r="H27" s="12">
        <f>'Supply2024-coding'!H26*'Use 2024'!$C26</f>
        <v>0</v>
      </c>
      <c r="I27" s="12">
        <f>'Supply2024-coding'!I26*'Use 2024'!$C26</f>
        <v>0</v>
      </c>
      <c r="J27" s="12">
        <f>'Supply2024-coding'!J26*'Use 2024'!$C26</f>
        <v>6.2775644038202388E-5</v>
      </c>
      <c r="K27" s="12">
        <f>'Supply2024-coding'!K26*'Use 2024'!$C26</f>
        <v>5.7487015977898367E-4</v>
      </c>
      <c r="L27" s="12">
        <f>'Supply2024-coding'!L26*'Use 2024'!$C26</f>
        <v>2.4691121422952593E-4</v>
      </c>
      <c r="M27" s="12">
        <f>'Supply2024-coding'!M26*'Use 2024'!$C26</f>
        <v>4.0358490265994274E-5</v>
      </c>
      <c r="N27" s="12">
        <f>'Supply2024-coding'!N26*'Use 2024'!$C26</f>
        <v>9.1388655358164654E-5</v>
      </c>
      <c r="O27" s="12">
        <f>'Supply2024-coding'!O26*'Use 2024'!$C26</f>
        <v>2.9734712873041462E-4</v>
      </c>
      <c r="P27" s="12">
        <f>'Supply2024-coding'!P26*'Use 2024'!$C26</f>
        <v>0</v>
      </c>
      <c r="Q27" s="12">
        <f>'Supply2024-coding'!Q26*'Use 2024'!$C26</f>
        <v>1.2322851918216484E-6</v>
      </c>
      <c r="R27" s="12">
        <f>'Supply2024-coding'!R26*'Use 2024'!$C26</f>
        <v>4.4082314721136341E-5</v>
      </c>
      <c r="S27" s="12">
        <f>'Supply2024-coding'!S26*'Use 2024'!$C26</f>
        <v>6.7382966788022685E-5</v>
      </c>
      <c r="T27" s="12">
        <f>'Supply2024-coding'!T26*'Use 2024'!$C26</f>
        <v>3.5268071675400447E-4</v>
      </c>
      <c r="U27" s="12">
        <f>'Supply2024-coding'!U26*'Use 2024'!$C26</f>
        <v>1.1604385616146066E-3</v>
      </c>
      <c r="V27" s="12">
        <f>'Supply2024-coding'!V26*'Use 2024'!$C26</f>
        <v>3.0538760043844031E-2</v>
      </c>
      <c r="W27" s="12">
        <f>'Supply2024-coding'!W26*'Use 2024'!$C26</f>
        <v>1.1510090728837992E-3</v>
      </c>
      <c r="X27" s="12">
        <f>'Supply2024-coding'!X26*'Use 2024'!$C26</f>
        <v>4.7763315656900639E-5</v>
      </c>
      <c r="Y27" s="12">
        <f>'Supply2024-coding'!Y26*'Use 2024'!$C26</f>
        <v>0</v>
      </c>
      <c r="Z27" s="12">
        <f>'Supply2024-coding'!Z26*'Use 2024'!$C26</f>
        <v>1.796504264635301E-2</v>
      </c>
      <c r="AA27" s="12">
        <f>'Supply2024-coding'!AA26*'Use 2024'!$C26</f>
        <v>0.41783072095310908</v>
      </c>
      <c r="AB27" s="12">
        <f>'Supply2024-coding'!AB26*'Use 2024'!$C26</f>
        <v>3.1425912327601763E-3</v>
      </c>
      <c r="AC27" s="12">
        <f>'Supply2024-coding'!AC26*'Use 2024'!$C26</f>
        <v>0</v>
      </c>
      <c r="AD27" s="12">
        <f>'Supply2024-coding'!AD26*'Use 2024'!$C26</f>
        <v>0</v>
      </c>
      <c r="AE27" s="12">
        <f>'Supply2024-coding'!AE26*'Use 2024'!$C26</f>
        <v>0</v>
      </c>
      <c r="AF27" s="12">
        <f>'Supply2024-coding'!AF26*'Use 2024'!$C26</f>
        <v>0</v>
      </c>
      <c r="AG27" s="12">
        <f>'Supply2024-coding'!AG26*'Use 2024'!$C26</f>
        <v>0</v>
      </c>
      <c r="AH27" s="12">
        <f>'Supply2024-coding'!AH26*'Use 2024'!$C26</f>
        <v>0</v>
      </c>
      <c r="AI27" s="12">
        <f>'Supply2024-coding'!AI26*'Use 2024'!$C26</f>
        <v>0</v>
      </c>
      <c r="AJ27" s="12">
        <f>'Supply2024-coding'!AJ26*'Use 2024'!$C26</f>
        <v>0</v>
      </c>
      <c r="AK27" s="12">
        <f>'Supply2024-coding'!AK26*'Use 2024'!$C26</f>
        <v>0</v>
      </c>
      <c r="AL27" s="12">
        <f>'Supply2024-coding'!AL26*'Use 2024'!$C26</f>
        <v>0</v>
      </c>
      <c r="AM27" s="12">
        <f>'Supply2024-coding'!AM26*'Use 2024'!$C26</f>
        <v>0</v>
      </c>
      <c r="AN27" s="12">
        <f>'Supply2024-coding'!AN26*'Use 2024'!$C26</f>
        <v>0</v>
      </c>
      <c r="AO27" s="12">
        <f>'Supply2024-coding'!AO26*'Use 2024'!$C26</f>
        <v>0</v>
      </c>
      <c r="AP27" s="12">
        <f>'Supply2024-coding'!AP26*'Use 2024'!$C26</f>
        <v>0</v>
      </c>
      <c r="AQ27" s="12">
        <f>'Supply2024-coding'!AQ26*'Use 2024'!$C26</f>
        <v>0</v>
      </c>
      <c r="AR27" s="12">
        <f>'Supply2024-coding'!AR26*'Use 2024'!$C26</f>
        <v>0</v>
      </c>
      <c r="AS27" s="12">
        <f>'Supply2024-coding'!AS26*'Use 2024'!$C26</f>
        <v>0</v>
      </c>
      <c r="AT27" s="12">
        <f>'Supply2024-coding'!AT26*'Use 2024'!$C26</f>
        <v>0</v>
      </c>
      <c r="AU27" s="12">
        <f>'Supply2024-coding'!AU26*'Use 2024'!$C26</f>
        <v>0</v>
      </c>
      <c r="AV27" s="12">
        <f>'Supply2024-coding'!AV26*'Use 2024'!$C26</f>
        <v>0</v>
      </c>
      <c r="AW27" s="12">
        <f>'Supply2024-coding'!AW26*'Use 2024'!$C26</f>
        <v>0</v>
      </c>
      <c r="AX27" s="12">
        <f>'Supply2024-coding'!AX26*'Use 2024'!$C26</f>
        <v>0</v>
      </c>
      <c r="AY27" s="12">
        <f>'Supply2024-coding'!AY26*'Use 2024'!$C26</f>
        <v>0</v>
      </c>
      <c r="AZ27" s="12">
        <f>'Supply2024-coding'!AZ26*'Use 2024'!$C26</f>
        <v>0</v>
      </c>
      <c r="BA27" s="12">
        <f>'Supply2024-coding'!BA26*'Use 2024'!$C26</f>
        <v>0</v>
      </c>
      <c r="BB27" s="12">
        <f>'Supply2024-coding'!BB26*'Use 2024'!$C26</f>
        <v>0</v>
      </c>
      <c r="BC27" s="12">
        <f>'Supply2024-coding'!BC26*'Use 2024'!$C26</f>
        <v>0</v>
      </c>
      <c r="BD27" s="12">
        <f>'Supply2024-coding'!BD26*'Use 2024'!$C26</f>
        <v>0</v>
      </c>
      <c r="BE27" s="12">
        <f>'Supply2024-coding'!BE26*'Use 2024'!$C26</f>
        <v>0</v>
      </c>
      <c r="BF27" s="12">
        <f>'Supply2024-coding'!BF26*'Use 2024'!$C26</f>
        <v>0</v>
      </c>
      <c r="BG27" s="12">
        <f>'Supply2024-coding'!BG26*'Use 2024'!$C26</f>
        <v>0</v>
      </c>
      <c r="BH27" s="12">
        <f>'Supply2024-coding'!BH26*'Use 2024'!$C26</f>
        <v>0</v>
      </c>
      <c r="BI27" s="12">
        <f>'Supply2024-coding'!BI26*'Use 2024'!$C26</f>
        <v>0</v>
      </c>
      <c r="BJ27" s="12">
        <f>'Supply2024-coding'!BJ26*'Use 2024'!$C26</f>
        <v>0</v>
      </c>
      <c r="BK27" s="12">
        <f>'Supply2024-coding'!BK26*'Use 2024'!$C26</f>
        <v>0</v>
      </c>
      <c r="BL27" s="12">
        <f>'Supply2024-coding'!BL26*'Use 2024'!$C26</f>
        <v>0</v>
      </c>
      <c r="BM27" s="12">
        <f>'Supply2024-coding'!BM26*'Use 2024'!$C26</f>
        <v>0</v>
      </c>
      <c r="BN27" s="12">
        <f>'Supply2024-coding'!BN26*'Use 2024'!$C26</f>
        <v>0</v>
      </c>
      <c r="BO27" s="12">
        <f>'Supply2024-coding'!BO26*'Use 2024'!$C26</f>
        <v>0</v>
      </c>
      <c r="BP27" s="12">
        <f>'Supply2024-coding'!BP26*'Use 2024'!$C26</f>
        <v>0</v>
      </c>
      <c r="BQ27" s="12">
        <f>'Supply2024-coding'!BQ26*'Use 2024'!$C26</f>
        <v>0</v>
      </c>
      <c r="BR27" s="12">
        <f>'Supply2024-coding'!BR26*'Use 2024'!$C26</f>
        <v>-7.5408886797564174E-7</v>
      </c>
      <c r="BS27" s="12">
        <f>'Supply2024-coding'!BS26*'Use 2024'!$C26</f>
        <v>0</v>
      </c>
      <c r="BT27" s="12">
        <f>'Supply2024-coding'!BT26*'Use 2024'!$C26</f>
        <v>2.1024063765077769E-5</v>
      </c>
      <c r="BU27" s="12">
        <f>'Supply2024-coding'!BU26*'Use 2024'!$C26</f>
        <v>0</v>
      </c>
      <c r="BV27" s="12">
        <f>'Supply2024-coding'!BV26*'Use 2024'!$C26</f>
        <v>8.6785511394341236E-3</v>
      </c>
      <c r="BW27" s="12">
        <f>'Supply2024-coding'!BW26*'Use 2024'!$C26</f>
        <v>4.7931751730499683E-2</v>
      </c>
      <c r="BX27" s="12">
        <f>'Supply2024-coding'!BX26*'Use 2024'!$C26</f>
        <v>0</v>
      </c>
      <c r="BY27" s="12">
        <f>'Supply2024-coding'!BY26*'Use 2024'!$C26</f>
        <v>1.1412007001255676E-2</v>
      </c>
      <c r="BZ27" s="12">
        <f>'Supply2024-coding'!BZ26*'Use 2024'!$C26</f>
        <v>-310893.31714136933</v>
      </c>
      <c r="CA27" s="12" t="e">
        <f>'Supply2024-coding'!CA26*'Use 2024'!$C26</f>
        <v>#DIV/0!</v>
      </c>
      <c r="CB27" s="12">
        <f>'Supply2024-coding'!CB26*'Use 2024'!$C26</f>
        <v>-330071.12119181309</v>
      </c>
      <c r="CC27" s="12">
        <f>'Supply2024-coding'!CC26*'Use 2024'!$C26</f>
        <v>2.3776791694587379E-2</v>
      </c>
      <c r="CD27" s="12">
        <f>'Supply2024-coding'!CD26*'Use 2024'!$C26</f>
        <v>2.05491531077726E-2</v>
      </c>
      <c r="CE27" s="12">
        <f>'Supply2024-coding'!CE26*'Use 2024'!$C26</f>
        <v>2.6566788127736687E-4</v>
      </c>
      <c r="CF27" s="12">
        <f>'Supply2024-coding'!CF26*'Use 2024'!$C26</f>
        <v>2.2610581312964572E-2</v>
      </c>
      <c r="CG27" s="12">
        <f>'Supply2024-coding'!CG26*'Use 2024'!$C26</f>
        <v>1.7685386722210955E-2</v>
      </c>
    </row>
    <row r="28" spans="1:85" x14ac:dyDescent="0.25">
      <c r="A28" t="s">
        <v>26</v>
      </c>
      <c r="B28" t="s">
        <v>119</v>
      </c>
      <c r="C28" s="12">
        <f>'Supply2024-coding'!C27*'Use 2024'!$C27</f>
        <v>0</v>
      </c>
      <c r="D28" s="12">
        <f>'Supply2024-coding'!D27*'Use 2024'!$C27</f>
        <v>0</v>
      </c>
      <c r="E28" s="12">
        <f>'Supply2024-coding'!E27*'Use 2024'!$C27</f>
        <v>0</v>
      </c>
      <c r="F28" s="12">
        <f>'Supply2024-coding'!F27*'Use 2024'!$C27</f>
        <v>0</v>
      </c>
      <c r="G28" s="12">
        <f>'Supply2024-coding'!G27*'Use 2024'!$C27</f>
        <v>0</v>
      </c>
      <c r="H28" s="12">
        <f>'Supply2024-coding'!H27*'Use 2024'!$C27</f>
        <v>0</v>
      </c>
      <c r="I28" s="12">
        <f>'Supply2024-coding'!I27*'Use 2024'!$C27</f>
        <v>0</v>
      </c>
      <c r="J28" s="12">
        <f>'Supply2024-coding'!J27*'Use 2024'!$C27</f>
        <v>1.7875546793843353E-4</v>
      </c>
      <c r="K28" s="12">
        <f>'Supply2024-coding'!K27*'Use 2024'!$C27</f>
        <v>2.7384825200928045E-4</v>
      </c>
      <c r="L28" s="12">
        <f>'Supply2024-coding'!L27*'Use 2024'!$C27</f>
        <v>7.8625941957167202E-7</v>
      </c>
      <c r="M28" s="12">
        <f>'Supply2024-coding'!M27*'Use 2024'!$C27</f>
        <v>4.0612961563618274E-4</v>
      </c>
      <c r="N28" s="12">
        <f>'Supply2024-coding'!N27*'Use 2024'!$C27</f>
        <v>4.1882097662407915E-5</v>
      </c>
      <c r="O28" s="12">
        <f>'Supply2024-coding'!O27*'Use 2024'!$C27</f>
        <v>8.5852908031737397E-5</v>
      </c>
      <c r="P28" s="12">
        <f>'Supply2024-coding'!P27*'Use 2024'!$C27</f>
        <v>1.4503555106340173E-4</v>
      </c>
      <c r="Q28" s="12">
        <f>'Supply2024-coding'!Q27*'Use 2024'!$C27</f>
        <v>3.1111955318766328E-5</v>
      </c>
      <c r="R28" s="12">
        <f>'Supply2024-coding'!R27*'Use 2024'!$C27</f>
        <v>1.6308755025472871E-4</v>
      </c>
      <c r="S28" s="12">
        <f>'Supply2024-coding'!S27*'Use 2024'!$C27</f>
        <v>2.8073307395842938E-5</v>
      </c>
      <c r="T28" s="12">
        <f>'Supply2024-coding'!T27*'Use 2024'!$C27</f>
        <v>1.2342537443240428E-3</v>
      </c>
      <c r="U28" s="12">
        <f>'Supply2024-coding'!U27*'Use 2024'!$C27</f>
        <v>0</v>
      </c>
      <c r="V28" s="12">
        <f>'Supply2024-coding'!V27*'Use 2024'!$C27</f>
        <v>2.6814938343001304E-3</v>
      </c>
      <c r="W28" s="12">
        <f>'Supply2024-coding'!W27*'Use 2024'!$C27</f>
        <v>1.0857443449516568E-5</v>
      </c>
      <c r="X28" s="12">
        <f>'Supply2024-coding'!X27*'Use 2024'!$C27</f>
        <v>5.1991458229656059E-4</v>
      </c>
      <c r="Y28" s="12">
        <f>'Supply2024-coding'!Y27*'Use 2024'!$C27</f>
        <v>6.0505023556619414E-4</v>
      </c>
      <c r="Z28" s="12">
        <f>'Supply2024-coding'!Z27*'Use 2024'!$C27</f>
        <v>0</v>
      </c>
      <c r="AA28" s="12">
        <f>'Supply2024-coding'!AA27*'Use 2024'!$C27</f>
        <v>7.4232331778269515E-4</v>
      </c>
      <c r="AB28" s="12">
        <f>'Supply2024-coding'!AB27*'Use 2024'!$C27</f>
        <v>0.22600665738846273</v>
      </c>
      <c r="AC28" s="12">
        <f>'Supply2024-coding'!AC27*'Use 2024'!$C27</f>
        <v>0</v>
      </c>
      <c r="AD28" s="12">
        <f>'Supply2024-coding'!AD27*'Use 2024'!$C27</f>
        <v>0</v>
      </c>
      <c r="AE28" s="12">
        <f>'Supply2024-coding'!AE27*'Use 2024'!$C27</f>
        <v>0</v>
      </c>
      <c r="AF28" s="12">
        <f>'Supply2024-coding'!AF27*'Use 2024'!$C27</f>
        <v>0</v>
      </c>
      <c r="AG28" s="12">
        <f>'Supply2024-coding'!AG27*'Use 2024'!$C27</f>
        <v>0</v>
      </c>
      <c r="AH28" s="12">
        <f>'Supply2024-coding'!AH27*'Use 2024'!$C27</f>
        <v>0</v>
      </c>
      <c r="AI28" s="12">
        <f>'Supply2024-coding'!AI27*'Use 2024'!$C27</f>
        <v>0</v>
      </c>
      <c r="AJ28" s="12">
        <f>'Supply2024-coding'!AJ27*'Use 2024'!$C27</f>
        <v>0</v>
      </c>
      <c r="AK28" s="12">
        <f>'Supply2024-coding'!AK27*'Use 2024'!$C27</f>
        <v>0</v>
      </c>
      <c r="AL28" s="12">
        <f>'Supply2024-coding'!AL27*'Use 2024'!$C27</f>
        <v>0</v>
      </c>
      <c r="AM28" s="12">
        <f>'Supply2024-coding'!AM27*'Use 2024'!$C27</f>
        <v>0</v>
      </c>
      <c r="AN28" s="12">
        <f>'Supply2024-coding'!AN27*'Use 2024'!$C27</f>
        <v>0</v>
      </c>
      <c r="AO28" s="12">
        <f>'Supply2024-coding'!AO27*'Use 2024'!$C27</f>
        <v>0</v>
      </c>
      <c r="AP28" s="12">
        <f>'Supply2024-coding'!AP27*'Use 2024'!$C27</f>
        <v>0</v>
      </c>
      <c r="AQ28" s="12">
        <f>'Supply2024-coding'!AQ27*'Use 2024'!$C27</f>
        <v>0</v>
      </c>
      <c r="AR28" s="12">
        <f>'Supply2024-coding'!AR27*'Use 2024'!$C27</f>
        <v>0</v>
      </c>
      <c r="AS28" s="12">
        <f>'Supply2024-coding'!AS27*'Use 2024'!$C27</f>
        <v>0</v>
      </c>
      <c r="AT28" s="12">
        <f>'Supply2024-coding'!AT27*'Use 2024'!$C27</f>
        <v>0</v>
      </c>
      <c r="AU28" s="12">
        <f>'Supply2024-coding'!AU27*'Use 2024'!$C27</f>
        <v>0</v>
      </c>
      <c r="AV28" s="12">
        <f>'Supply2024-coding'!AV27*'Use 2024'!$C27</f>
        <v>0</v>
      </c>
      <c r="AW28" s="12">
        <f>'Supply2024-coding'!AW27*'Use 2024'!$C27</f>
        <v>0</v>
      </c>
      <c r="AX28" s="12">
        <f>'Supply2024-coding'!AX27*'Use 2024'!$C27</f>
        <v>0</v>
      </c>
      <c r="AY28" s="12">
        <f>'Supply2024-coding'!AY27*'Use 2024'!$C27</f>
        <v>0</v>
      </c>
      <c r="AZ28" s="12">
        <f>'Supply2024-coding'!AZ27*'Use 2024'!$C27</f>
        <v>0</v>
      </c>
      <c r="BA28" s="12">
        <f>'Supply2024-coding'!BA27*'Use 2024'!$C27</f>
        <v>0</v>
      </c>
      <c r="BB28" s="12">
        <f>'Supply2024-coding'!BB27*'Use 2024'!$C27</f>
        <v>0</v>
      </c>
      <c r="BC28" s="12">
        <f>'Supply2024-coding'!BC27*'Use 2024'!$C27</f>
        <v>0</v>
      </c>
      <c r="BD28" s="12">
        <f>'Supply2024-coding'!BD27*'Use 2024'!$C27</f>
        <v>0</v>
      </c>
      <c r="BE28" s="12">
        <f>'Supply2024-coding'!BE27*'Use 2024'!$C27</f>
        <v>0</v>
      </c>
      <c r="BF28" s="12">
        <f>'Supply2024-coding'!BF27*'Use 2024'!$C27</f>
        <v>0</v>
      </c>
      <c r="BG28" s="12">
        <f>'Supply2024-coding'!BG27*'Use 2024'!$C27</f>
        <v>0</v>
      </c>
      <c r="BH28" s="12">
        <f>'Supply2024-coding'!BH27*'Use 2024'!$C27</f>
        <v>0</v>
      </c>
      <c r="BI28" s="12">
        <f>'Supply2024-coding'!BI27*'Use 2024'!$C27</f>
        <v>0</v>
      </c>
      <c r="BJ28" s="12">
        <f>'Supply2024-coding'!BJ27*'Use 2024'!$C27</f>
        <v>0</v>
      </c>
      <c r="BK28" s="12">
        <f>'Supply2024-coding'!BK27*'Use 2024'!$C27</f>
        <v>0</v>
      </c>
      <c r="BL28" s="12">
        <f>'Supply2024-coding'!BL27*'Use 2024'!$C27</f>
        <v>0</v>
      </c>
      <c r="BM28" s="12">
        <f>'Supply2024-coding'!BM27*'Use 2024'!$C27</f>
        <v>0</v>
      </c>
      <c r="BN28" s="12">
        <f>'Supply2024-coding'!BN27*'Use 2024'!$C27</f>
        <v>0</v>
      </c>
      <c r="BO28" s="12">
        <f>'Supply2024-coding'!BO27*'Use 2024'!$C27</f>
        <v>0</v>
      </c>
      <c r="BP28" s="12">
        <f>'Supply2024-coding'!BP27*'Use 2024'!$C27</f>
        <v>0</v>
      </c>
      <c r="BQ28" s="12">
        <f>'Supply2024-coding'!BQ27*'Use 2024'!$C27</f>
        <v>0</v>
      </c>
      <c r="BR28" s="12">
        <f>'Supply2024-coding'!BR27*'Use 2024'!$C27</f>
        <v>0</v>
      </c>
      <c r="BS28" s="12">
        <f>'Supply2024-coding'!BS27*'Use 2024'!$C27</f>
        <v>0</v>
      </c>
      <c r="BT28" s="12">
        <f>'Supply2024-coding'!BT27*'Use 2024'!$C27</f>
        <v>0</v>
      </c>
      <c r="BU28" s="12">
        <f>'Supply2024-coding'!BU27*'Use 2024'!$C27</f>
        <v>0</v>
      </c>
      <c r="BV28" s="12">
        <f>'Supply2024-coding'!BV27*'Use 2024'!$C27</f>
        <v>1.3851392039275063E-3</v>
      </c>
      <c r="BW28" s="12">
        <f>'Supply2024-coding'!BW27*'Use 2024'!$C27</f>
        <v>4.7243874175025829E-3</v>
      </c>
      <c r="BX28" s="12">
        <f>'Supply2024-coding'!BX27*'Use 2024'!$C27</f>
        <v>0</v>
      </c>
      <c r="BY28" s="12">
        <f>'Supply2024-coding'!BY27*'Use 2024'!$C27</f>
        <v>1.6180456639155738E-3</v>
      </c>
      <c r="BZ28" s="12">
        <f>'Supply2024-coding'!BZ27*'Use 2024'!$C27</f>
        <v>-36444.613190716685</v>
      </c>
      <c r="CA28" s="12" t="e">
        <f>'Supply2024-coding'!CA27*'Use 2024'!$C27</f>
        <v>#DIV/0!</v>
      </c>
      <c r="CB28" s="12">
        <f>'Supply2024-coding'!CB27*'Use 2024'!$C27</f>
        <v>-38170.259857317207</v>
      </c>
      <c r="CC28" s="12">
        <f>'Supply2024-coding'!CC27*'Use 2024'!$C27</f>
        <v>1.1509470162753437E-2</v>
      </c>
      <c r="CD28" s="12">
        <f>'Supply2024-coding'!CD27*'Use 2024'!$C27</f>
        <v>3.1331176018334489E-3</v>
      </c>
      <c r="CE28" s="12">
        <f>'Supply2024-coding'!CE27*'Use 2024'!$C27</f>
        <v>0</v>
      </c>
      <c r="CF28" s="12">
        <f>'Supply2024-coding'!CF27*'Use 2024'!$C27</f>
        <v>4.1032173893664316E-3</v>
      </c>
      <c r="CG28" s="12">
        <f>'Supply2024-coding'!CG27*'Use 2024'!$C27</f>
        <v>2.3656113209786036E-3</v>
      </c>
    </row>
    <row r="29" spans="1:85" x14ac:dyDescent="0.25">
      <c r="A29" t="s">
        <v>27</v>
      </c>
      <c r="B29" t="s">
        <v>120</v>
      </c>
      <c r="C29" s="12">
        <f>'Supply2024-coding'!C28*'Use 2024'!$C28</f>
        <v>0</v>
      </c>
      <c r="D29" s="12">
        <f>'Supply2024-coding'!D28*'Use 2024'!$C28</f>
        <v>0</v>
      </c>
      <c r="E29" s="12">
        <f>'Supply2024-coding'!E28*'Use 2024'!$C28</f>
        <v>0</v>
      </c>
      <c r="F29" s="12">
        <f>'Supply2024-coding'!F28*'Use 2024'!$C28</f>
        <v>0</v>
      </c>
      <c r="G29" s="12">
        <f>'Supply2024-coding'!G28*'Use 2024'!$C28</f>
        <v>0</v>
      </c>
      <c r="H29" s="12">
        <f>'Supply2024-coding'!H28*'Use 2024'!$C28</f>
        <v>0</v>
      </c>
      <c r="I29" s="12">
        <f>'Supply2024-coding'!I28*'Use 2024'!$C28</f>
        <v>0</v>
      </c>
      <c r="J29" s="12">
        <f>'Supply2024-coding'!J28*'Use 2024'!$C28</f>
        <v>0</v>
      </c>
      <c r="K29" s="12">
        <f>'Supply2024-coding'!K28*'Use 2024'!$C28</f>
        <v>0</v>
      </c>
      <c r="L29" s="12">
        <f>'Supply2024-coding'!L28*'Use 2024'!$C28</f>
        <v>0</v>
      </c>
      <c r="M29" s="12">
        <f>'Supply2024-coding'!M28*'Use 2024'!$C28</f>
        <v>0</v>
      </c>
      <c r="N29" s="12">
        <f>'Supply2024-coding'!N28*'Use 2024'!$C28</f>
        <v>0</v>
      </c>
      <c r="O29" s="12">
        <f>'Supply2024-coding'!O28*'Use 2024'!$C28</f>
        <v>0</v>
      </c>
      <c r="P29" s="12">
        <f>'Supply2024-coding'!P28*'Use 2024'!$C28</f>
        <v>0</v>
      </c>
      <c r="Q29" s="12">
        <f>'Supply2024-coding'!Q28*'Use 2024'!$C28</f>
        <v>0</v>
      </c>
      <c r="R29" s="12">
        <f>'Supply2024-coding'!R28*'Use 2024'!$C28</f>
        <v>0</v>
      </c>
      <c r="S29" s="12">
        <f>'Supply2024-coding'!S28*'Use 2024'!$C28</f>
        <v>0</v>
      </c>
      <c r="T29" s="12">
        <f>'Supply2024-coding'!T28*'Use 2024'!$C28</f>
        <v>0</v>
      </c>
      <c r="U29" s="12">
        <f>'Supply2024-coding'!U28*'Use 2024'!$C28</f>
        <v>0</v>
      </c>
      <c r="V29" s="12">
        <f>'Supply2024-coding'!V28*'Use 2024'!$C28</f>
        <v>0</v>
      </c>
      <c r="W29" s="12">
        <f>'Supply2024-coding'!W28*'Use 2024'!$C28</f>
        <v>0</v>
      </c>
      <c r="X29" s="12">
        <f>'Supply2024-coding'!X28*'Use 2024'!$C28</f>
        <v>0</v>
      </c>
      <c r="Y29" s="12">
        <f>'Supply2024-coding'!Y28*'Use 2024'!$C28</f>
        <v>0</v>
      </c>
      <c r="Z29" s="12">
        <f>'Supply2024-coding'!Z28*'Use 2024'!$C28</f>
        <v>0</v>
      </c>
      <c r="AA29" s="12">
        <f>'Supply2024-coding'!AA28*'Use 2024'!$C28</f>
        <v>0</v>
      </c>
      <c r="AB29" s="12">
        <f>'Supply2024-coding'!AB28*'Use 2024'!$C28</f>
        <v>0</v>
      </c>
      <c r="AC29" s="12">
        <f>'Supply2024-coding'!AC28*'Use 2024'!$C28</f>
        <v>0</v>
      </c>
      <c r="AD29" s="12">
        <f>'Supply2024-coding'!AD28*'Use 2024'!$C28</f>
        <v>0</v>
      </c>
      <c r="AE29" s="12">
        <f>'Supply2024-coding'!AE28*'Use 2024'!$C28</f>
        <v>0</v>
      </c>
      <c r="AF29" s="12">
        <f>'Supply2024-coding'!AF28*'Use 2024'!$C28</f>
        <v>0</v>
      </c>
      <c r="AG29" s="12">
        <f>'Supply2024-coding'!AG28*'Use 2024'!$C28</f>
        <v>0</v>
      </c>
      <c r="AH29" s="12">
        <f>'Supply2024-coding'!AH28*'Use 2024'!$C28</f>
        <v>0</v>
      </c>
      <c r="AI29" s="12">
        <f>'Supply2024-coding'!AI28*'Use 2024'!$C28</f>
        <v>0</v>
      </c>
      <c r="AJ29" s="12">
        <f>'Supply2024-coding'!AJ28*'Use 2024'!$C28</f>
        <v>0</v>
      </c>
      <c r="AK29" s="12">
        <f>'Supply2024-coding'!AK28*'Use 2024'!$C28</f>
        <v>0</v>
      </c>
      <c r="AL29" s="12">
        <f>'Supply2024-coding'!AL28*'Use 2024'!$C28</f>
        <v>0</v>
      </c>
      <c r="AM29" s="12">
        <f>'Supply2024-coding'!AM28*'Use 2024'!$C28</f>
        <v>0</v>
      </c>
      <c r="AN29" s="12">
        <f>'Supply2024-coding'!AN28*'Use 2024'!$C28</f>
        <v>0</v>
      </c>
      <c r="AO29" s="12">
        <f>'Supply2024-coding'!AO28*'Use 2024'!$C28</f>
        <v>0</v>
      </c>
      <c r="AP29" s="12">
        <f>'Supply2024-coding'!AP28*'Use 2024'!$C28</f>
        <v>0</v>
      </c>
      <c r="AQ29" s="12">
        <f>'Supply2024-coding'!AQ28*'Use 2024'!$C28</f>
        <v>0</v>
      </c>
      <c r="AR29" s="12">
        <f>'Supply2024-coding'!AR28*'Use 2024'!$C28</f>
        <v>0</v>
      </c>
      <c r="AS29" s="12">
        <f>'Supply2024-coding'!AS28*'Use 2024'!$C28</f>
        <v>0</v>
      </c>
      <c r="AT29" s="12">
        <f>'Supply2024-coding'!AT28*'Use 2024'!$C28</f>
        <v>0</v>
      </c>
      <c r="AU29" s="12">
        <f>'Supply2024-coding'!AU28*'Use 2024'!$C28</f>
        <v>0</v>
      </c>
      <c r="AV29" s="12">
        <f>'Supply2024-coding'!AV28*'Use 2024'!$C28</f>
        <v>0</v>
      </c>
      <c r="AW29" s="12">
        <f>'Supply2024-coding'!AW28*'Use 2024'!$C28</f>
        <v>0</v>
      </c>
      <c r="AX29" s="12">
        <f>'Supply2024-coding'!AX28*'Use 2024'!$C28</f>
        <v>0</v>
      </c>
      <c r="AY29" s="12">
        <f>'Supply2024-coding'!AY28*'Use 2024'!$C28</f>
        <v>0</v>
      </c>
      <c r="AZ29" s="12">
        <f>'Supply2024-coding'!AZ28*'Use 2024'!$C28</f>
        <v>0</v>
      </c>
      <c r="BA29" s="12">
        <f>'Supply2024-coding'!BA28*'Use 2024'!$C28</f>
        <v>0</v>
      </c>
      <c r="BB29" s="12">
        <f>'Supply2024-coding'!BB28*'Use 2024'!$C28</f>
        <v>0</v>
      </c>
      <c r="BC29" s="12">
        <f>'Supply2024-coding'!BC28*'Use 2024'!$C28</f>
        <v>0</v>
      </c>
      <c r="BD29" s="12">
        <f>'Supply2024-coding'!BD28*'Use 2024'!$C28</f>
        <v>0</v>
      </c>
      <c r="BE29" s="12">
        <f>'Supply2024-coding'!BE28*'Use 2024'!$C28</f>
        <v>0</v>
      </c>
      <c r="BF29" s="12">
        <f>'Supply2024-coding'!BF28*'Use 2024'!$C28</f>
        <v>0</v>
      </c>
      <c r="BG29" s="12">
        <f>'Supply2024-coding'!BG28*'Use 2024'!$C28</f>
        <v>0</v>
      </c>
      <c r="BH29" s="12">
        <f>'Supply2024-coding'!BH28*'Use 2024'!$C28</f>
        <v>0</v>
      </c>
      <c r="BI29" s="12">
        <f>'Supply2024-coding'!BI28*'Use 2024'!$C28</f>
        <v>0</v>
      </c>
      <c r="BJ29" s="12">
        <f>'Supply2024-coding'!BJ28*'Use 2024'!$C28</f>
        <v>0</v>
      </c>
      <c r="BK29" s="12">
        <f>'Supply2024-coding'!BK28*'Use 2024'!$C28</f>
        <v>0</v>
      </c>
      <c r="BL29" s="12">
        <f>'Supply2024-coding'!BL28*'Use 2024'!$C28</f>
        <v>0</v>
      </c>
      <c r="BM29" s="12">
        <f>'Supply2024-coding'!BM28*'Use 2024'!$C28</f>
        <v>0</v>
      </c>
      <c r="BN29" s="12">
        <f>'Supply2024-coding'!BN28*'Use 2024'!$C28</f>
        <v>0</v>
      </c>
      <c r="BO29" s="12">
        <f>'Supply2024-coding'!BO28*'Use 2024'!$C28</f>
        <v>0</v>
      </c>
      <c r="BP29" s="12">
        <f>'Supply2024-coding'!BP28*'Use 2024'!$C28</f>
        <v>0</v>
      </c>
      <c r="BQ29" s="12">
        <f>'Supply2024-coding'!BQ28*'Use 2024'!$C28</f>
        <v>0</v>
      </c>
      <c r="BR29" s="12">
        <f>'Supply2024-coding'!BR28*'Use 2024'!$C28</f>
        <v>0</v>
      </c>
      <c r="BS29" s="12">
        <f>'Supply2024-coding'!BS28*'Use 2024'!$C28</f>
        <v>0</v>
      </c>
      <c r="BT29" s="12">
        <f>'Supply2024-coding'!BT28*'Use 2024'!$C28</f>
        <v>0</v>
      </c>
      <c r="BU29" s="12">
        <f>'Supply2024-coding'!BU28*'Use 2024'!$C28</f>
        <v>0</v>
      </c>
      <c r="BV29" s="12">
        <f>'Supply2024-coding'!BV28*'Use 2024'!$C28</f>
        <v>0</v>
      </c>
      <c r="BW29" s="12">
        <f>'Supply2024-coding'!BW28*'Use 2024'!$C28</f>
        <v>0</v>
      </c>
      <c r="BX29" s="12">
        <f>'Supply2024-coding'!BX28*'Use 2024'!$C28</f>
        <v>0</v>
      </c>
      <c r="BY29" s="12">
        <f>'Supply2024-coding'!BY28*'Use 2024'!$C28</f>
        <v>0</v>
      </c>
      <c r="BZ29" s="12">
        <f>'Supply2024-coding'!BZ28*'Use 2024'!$C28</f>
        <v>0</v>
      </c>
      <c r="CA29" s="12" t="e">
        <f>'Supply2024-coding'!CA28*'Use 2024'!$C28</f>
        <v>#DIV/0!</v>
      </c>
      <c r="CB29" s="12">
        <f>'Supply2024-coding'!CB28*'Use 2024'!$C28</f>
        <v>0</v>
      </c>
      <c r="CC29" s="12">
        <f>'Supply2024-coding'!CC28*'Use 2024'!$C28</f>
        <v>0</v>
      </c>
      <c r="CD29" s="12">
        <f>'Supply2024-coding'!CD28*'Use 2024'!$C28</f>
        <v>0</v>
      </c>
      <c r="CE29" s="12">
        <f>'Supply2024-coding'!CE28*'Use 2024'!$C28</f>
        <v>0</v>
      </c>
      <c r="CF29" s="12">
        <f>'Supply2024-coding'!CF28*'Use 2024'!$C28</f>
        <v>0</v>
      </c>
      <c r="CG29" s="12">
        <f>'Supply2024-coding'!CG28*'Use 2024'!$C28</f>
        <v>0</v>
      </c>
    </row>
    <row r="30" spans="1:85" x14ac:dyDescent="0.25">
      <c r="A30" t="s">
        <v>28</v>
      </c>
      <c r="B30" t="s">
        <v>121</v>
      </c>
      <c r="C30" s="12">
        <f>'Supply2024-coding'!C29*'Use 2024'!$C29</f>
        <v>0</v>
      </c>
      <c r="D30" s="12">
        <f>'Supply2024-coding'!D29*'Use 2024'!$C29</f>
        <v>0</v>
      </c>
      <c r="E30" s="12">
        <f>'Supply2024-coding'!E29*'Use 2024'!$C29</f>
        <v>0</v>
      </c>
      <c r="F30" s="12">
        <f>'Supply2024-coding'!F29*'Use 2024'!$C29</f>
        <v>0</v>
      </c>
      <c r="G30" s="12">
        <f>'Supply2024-coding'!G29*'Use 2024'!$C29</f>
        <v>0</v>
      </c>
      <c r="H30" s="12">
        <f>'Supply2024-coding'!H29*'Use 2024'!$C29</f>
        <v>0</v>
      </c>
      <c r="I30" s="12">
        <f>'Supply2024-coding'!I29*'Use 2024'!$C29</f>
        <v>0</v>
      </c>
      <c r="J30" s="12">
        <f>'Supply2024-coding'!J29*'Use 2024'!$C29</f>
        <v>0</v>
      </c>
      <c r="K30" s="12">
        <f>'Supply2024-coding'!K29*'Use 2024'!$C29</f>
        <v>0</v>
      </c>
      <c r="L30" s="12">
        <f>'Supply2024-coding'!L29*'Use 2024'!$C29</f>
        <v>0</v>
      </c>
      <c r="M30" s="12">
        <f>'Supply2024-coding'!M29*'Use 2024'!$C29</f>
        <v>0</v>
      </c>
      <c r="N30" s="12">
        <f>'Supply2024-coding'!N29*'Use 2024'!$C29</f>
        <v>0</v>
      </c>
      <c r="O30" s="12">
        <f>'Supply2024-coding'!O29*'Use 2024'!$C29</f>
        <v>0</v>
      </c>
      <c r="P30" s="12">
        <f>'Supply2024-coding'!P29*'Use 2024'!$C29</f>
        <v>0</v>
      </c>
      <c r="Q30" s="12">
        <f>'Supply2024-coding'!Q29*'Use 2024'!$C29</f>
        <v>0</v>
      </c>
      <c r="R30" s="12">
        <f>'Supply2024-coding'!R29*'Use 2024'!$C29</f>
        <v>0</v>
      </c>
      <c r="S30" s="12">
        <f>'Supply2024-coding'!S29*'Use 2024'!$C29</f>
        <v>0</v>
      </c>
      <c r="T30" s="12">
        <f>'Supply2024-coding'!T29*'Use 2024'!$C29</f>
        <v>0</v>
      </c>
      <c r="U30" s="12">
        <f>'Supply2024-coding'!U29*'Use 2024'!$C29</f>
        <v>0</v>
      </c>
      <c r="V30" s="12">
        <f>'Supply2024-coding'!V29*'Use 2024'!$C29</f>
        <v>0</v>
      </c>
      <c r="W30" s="12">
        <f>'Supply2024-coding'!W29*'Use 2024'!$C29</f>
        <v>0</v>
      </c>
      <c r="X30" s="12">
        <f>'Supply2024-coding'!X29*'Use 2024'!$C29</f>
        <v>0</v>
      </c>
      <c r="Y30" s="12">
        <f>'Supply2024-coding'!Y29*'Use 2024'!$C29</f>
        <v>0</v>
      </c>
      <c r="Z30" s="12">
        <f>'Supply2024-coding'!Z29*'Use 2024'!$C29</f>
        <v>0</v>
      </c>
      <c r="AA30" s="12">
        <f>'Supply2024-coding'!AA29*'Use 2024'!$C29</f>
        <v>0</v>
      </c>
      <c r="AB30" s="12">
        <f>'Supply2024-coding'!AB29*'Use 2024'!$C29</f>
        <v>0</v>
      </c>
      <c r="AC30" s="12">
        <f>'Supply2024-coding'!AC29*'Use 2024'!$C29</f>
        <v>0</v>
      </c>
      <c r="AD30" s="12">
        <f>'Supply2024-coding'!AD29*'Use 2024'!$C29</f>
        <v>0</v>
      </c>
      <c r="AE30" s="12">
        <f>'Supply2024-coding'!AE29*'Use 2024'!$C29</f>
        <v>0</v>
      </c>
      <c r="AF30" s="12">
        <f>'Supply2024-coding'!AF29*'Use 2024'!$C29</f>
        <v>0</v>
      </c>
      <c r="AG30" s="12">
        <f>'Supply2024-coding'!AG29*'Use 2024'!$C29</f>
        <v>0</v>
      </c>
      <c r="AH30" s="12">
        <f>'Supply2024-coding'!AH29*'Use 2024'!$C29</f>
        <v>0</v>
      </c>
      <c r="AI30" s="12">
        <f>'Supply2024-coding'!AI29*'Use 2024'!$C29</f>
        <v>0</v>
      </c>
      <c r="AJ30" s="12">
        <f>'Supply2024-coding'!AJ29*'Use 2024'!$C29</f>
        <v>0</v>
      </c>
      <c r="AK30" s="12">
        <f>'Supply2024-coding'!AK29*'Use 2024'!$C29</f>
        <v>0</v>
      </c>
      <c r="AL30" s="12">
        <f>'Supply2024-coding'!AL29*'Use 2024'!$C29</f>
        <v>0</v>
      </c>
      <c r="AM30" s="12">
        <f>'Supply2024-coding'!AM29*'Use 2024'!$C29</f>
        <v>0</v>
      </c>
      <c r="AN30" s="12">
        <f>'Supply2024-coding'!AN29*'Use 2024'!$C29</f>
        <v>0</v>
      </c>
      <c r="AO30" s="12">
        <f>'Supply2024-coding'!AO29*'Use 2024'!$C29</f>
        <v>0</v>
      </c>
      <c r="AP30" s="12">
        <f>'Supply2024-coding'!AP29*'Use 2024'!$C29</f>
        <v>0</v>
      </c>
      <c r="AQ30" s="12">
        <f>'Supply2024-coding'!AQ29*'Use 2024'!$C29</f>
        <v>0</v>
      </c>
      <c r="AR30" s="12">
        <f>'Supply2024-coding'!AR29*'Use 2024'!$C29</f>
        <v>0</v>
      </c>
      <c r="AS30" s="12">
        <f>'Supply2024-coding'!AS29*'Use 2024'!$C29</f>
        <v>0</v>
      </c>
      <c r="AT30" s="12">
        <f>'Supply2024-coding'!AT29*'Use 2024'!$C29</f>
        <v>0</v>
      </c>
      <c r="AU30" s="12">
        <f>'Supply2024-coding'!AU29*'Use 2024'!$C29</f>
        <v>0</v>
      </c>
      <c r="AV30" s="12">
        <f>'Supply2024-coding'!AV29*'Use 2024'!$C29</f>
        <v>0</v>
      </c>
      <c r="AW30" s="12">
        <f>'Supply2024-coding'!AW29*'Use 2024'!$C29</f>
        <v>0</v>
      </c>
      <c r="AX30" s="12">
        <f>'Supply2024-coding'!AX29*'Use 2024'!$C29</f>
        <v>0</v>
      </c>
      <c r="AY30" s="12">
        <f>'Supply2024-coding'!AY29*'Use 2024'!$C29</f>
        <v>0</v>
      </c>
      <c r="AZ30" s="12">
        <f>'Supply2024-coding'!AZ29*'Use 2024'!$C29</f>
        <v>0</v>
      </c>
      <c r="BA30" s="12">
        <f>'Supply2024-coding'!BA29*'Use 2024'!$C29</f>
        <v>0</v>
      </c>
      <c r="BB30" s="12">
        <f>'Supply2024-coding'!BB29*'Use 2024'!$C29</f>
        <v>0</v>
      </c>
      <c r="BC30" s="12">
        <f>'Supply2024-coding'!BC29*'Use 2024'!$C29</f>
        <v>0</v>
      </c>
      <c r="BD30" s="12">
        <f>'Supply2024-coding'!BD29*'Use 2024'!$C29</f>
        <v>0</v>
      </c>
      <c r="BE30" s="12">
        <f>'Supply2024-coding'!BE29*'Use 2024'!$C29</f>
        <v>0</v>
      </c>
      <c r="BF30" s="12">
        <f>'Supply2024-coding'!BF29*'Use 2024'!$C29</f>
        <v>0</v>
      </c>
      <c r="BG30" s="12">
        <f>'Supply2024-coding'!BG29*'Use 2024'!$C29</f>
        <v>0</v>
      </c>
      <c r="BH30" s="12">
        <f>'Supply2024-coding'!BH29*'Use 2024'!$C29</f>
        <v>0</v>
      </c>
      <c r="BI30" s="12">
        <f>'Supply2024-coding'!BI29*'Use 2024'!$C29</f>
        <v>0</v>
      </c>
      <c r="BJ30" s="12">
        <f>'Supply2024-coding'!BJ29*'Use 2024'!$C29</f>
        <v>0</v>
      </c>
      <c r="BK30" s="12">
        <f>'Supply2024-coding'!BK29*'Use 2024'!$C29</f>
        <v>0</v>
      </c>
      <c r="BL30" s="12">
        <f>'Supply2024-coding'!BL29*'Use 2024'!$C29</f>
        <v>0</v>
      </c>
      <c r="BM30" s="12">
        <f>'Supply2024-coding'!BM29*'Use 2024'!$C29</f>
        <v>0</v>
      </c>
      <c r="BN30" s="12">
        <f>'Supply2024-coding'!BN29*'Use 2024'!$C29</f>
        <v>0</v>
      </c>
      <c r="BO30" s="12">
        <f>'Supply2024-coding'!BO29*'Use 2024'!$C29</f>
        <v>0</v>
      </c>
      <c r="BP30" s="12">
        <f>'Supply2024-coding'!BP29*'Use 2024'!$C29</f>
        <v>0</v>
      </c>
      <c r="BQ30" s="12">
        <f>'Supply2024-coding'!BQ29*'Use 2024'!$C29</f>
        <v>0</v>
      </c>
      <c r="BR30" s="12">
        <f>'Supply2024-coding'!BR29*'Use 2024'!$C29</f>
        <v>0</v>
      </c>
      <c r="BS30" s="12">
        <f>'Supply2024-coding'!BS29*'Use 2024'!$C29</f>
        <v>0</v>
      </c>
      <c r="BT30" s="12">
        <f>'Supply2024-coding'!BT29*'Use 2024'!$C29</f>
        <v>0</v>
      </c>
      <c r="BU30" s="12">
        <f>'Supply2024-coding'!BU29*'Use 2024'!$C29</f>
        <v>0</v>
      </c>
      <c r="BV30" s="12">
        <f>'Supply2024-coding'!BV29*'Use 2024'!$C29</f>
        <v>0</v>
      </c>
      <c r="BW30" s="12">
        <f>'Supply2024-coding'!BW29*'Use 2024'!$C29</f>
        <v>0</v>
      </c>
      <c r="BX30" s="12">
        <f>'Supply2024-coding'!BX29*'Use 2024'!$C29</f>
        <v>0</v>
      </c>
      <c r="BY30" s="12">
        <f>'Supply2024-coding'!BY29*'Use 2024'!$C29</f>
        <v>0</v>
      </c>
      <c r="BZ30" s="12">
        <f>'Supply2024-coding'!BZ29*'Use 2024'!$C29</f>
        <v>0</v>
      </c>
      <c r="CA30" s="12" t="e">
        <f>'Supply2024-coding'!CA29*'Use 2024'!$C29</f>
        <v>#DIV/0!</v>
      </c>
      <c r="CB30" s="12">
        <f>'Supply2024-coding'!CB29*'Use 2024'!$C29</f>
        <v>0</v>
      </c>
      <c r="CC30" s="12">
        <f>'Supply2024-coding'!CC29*'Use 2024'!$C29</f>
        <v>0</v>
      </c>
      <c r="CD30" s="12">
        <f>'Supply2024-coding'!CD29*'Use 2024'!$C29</f>
        <v>0</v>
      </c>
      <c r="CE30" s="12">
        <f>'Supply2024-coding'!CE29*'Use 2024'!$C29</f>
        <v>0</v>
      </c>
      <c r="CF30" s="12">
        <f>'Supply2024-coding'!CF29*'Use 2024'!$C29</f>
        <v>0</v>
      </c>
      <c r="CG30" s="12">
        <f>'Supply2024-coding'!CG29*'Use 2024'!$C29</f>
        <v>0</v>
      </c>
    </row>
    <row r="31" spans="1:85" x14ac:dyDescent="0.25">
      <c r="A31" t="s">
        <v>29</v>
      </c>
      <c r="B31" t="s">
        <v>122</v>
      </c>
      <c r="C31" s="12">
        <f>'Supply2024-coding'!C30*'Use 2024'!$C30</f>
        <v>0</v>
      </c>
      <c r="D31" s="12">
        <f>'Supply2024-coding'!D30*'Use 2024'!$C30</f>
        <v>0</v>
      </c>
      <c r="E31" s="12">
        <f>'Supply2024-coding'!E30*'Use 2024'!$C30</f>
        <v>0</v>
      </c>
      <c r="F31" s="12">
        <f>'Supply2024-coding'!F30*'Use 2024'!$C30</f>
        <v>0</v>
      </c>
      <c r="G31" s="12">
        <f>'Supply2024-coding'!G30*'Use 2024'!$C30</f>
        <v>0</v>
      </c>
      <c r="H31" s="12">
        <f>'Supply2024-coding'!H30*'Use 2024'!$C30</f>
        <v>0</v>
      </c>
      <c r="I31" s="12">
        <f>'Supply2024-coding'!I30*'Use 2024'!$C30</f>
        <v>0</v>
      </c>
      <c r="J31" s="12">
        <f>'Supply2024-coding'!J30*'Use 2024'!$C30</f>
        <v>0</v>
      </c>
      <c r="K31" s="12">
        <f>'Supply2024-coding'!K30*'Use 2024'!$C30</f>
        <v>0</v>
      </c>
      <c r="L31" s="12">
        <f>'Supply2024-coding'!L30*'Use 2024'!$C30</f>
        <v>0</v>
      </c>
      <c r="M31" s="12">
        <f>'Supply2024-coding'!M30*'Use 2024'!$C30</f>
        <v>0</v>
      </c>
      <c r="N31" s="12">
        <f>'Supply2024-coding'!N30*'Use 2024'!$C30</f>
        <v>0</v>
      </c>
      <c r="O31" s="12">
        <f>'Supply2024-coding'!O30*'Use 2024'!$C30</f>
        <v>0</v>
      </c>
      <c r="P31" s="12">
        <f>'Supply2024-coding'!P30*'Use 2024'!$C30</f>
        <v>0</v>
      </c>
      <c r="Q31" s="12">
        <f>'Supply2024-coding'!Q30*'Use 2024'!$C30</f>
        <v>0</v>
      </c>
      <c r="R31" s="12">
        <f>'Supply2024-coding'!R30*'Use 2024'!$C30</f>
        <v>0</v>
      </c>
      <c r="S31" s="12">
        <f>'Supply2024-coding'!S30*'Use 2024'!$C30</f>
        <v>0</v>
      </c>
      <c r="T31" s="12">
        <f>'Supply2024-coding'!T30*'Use 2024'!$C30</f>
        <v>0</v>
      </c>
      <c r="U31" s="12">
        <f>'Supply2024-coding'!U30*'Use 2024'!$C30</f>
        <v>0</v>
      </c>
      <c r="V31" s="12">
        <f>'Supply2024-coding'!V30*'Use 2024'!$C30</f>
        <v>0</v>
      </c>
      <c r="W31" s="12">
        <f>'Supply2024-coding'!W30*'Use 2024'!$C30</f>
        <v>0</v>
      </c>
      <c r="X31" s="12">
        <f>'Supply2024-coding'!X30*'Use 2024'!$C30</f>
        <v>0</v>
      </c>
      <c r="Y31" s="12">
        <f>'Supply2024-coding'!Y30*'Use 2024'!$C30</f>
        <v>0</v>
      </c>
      <c r="Z31" s="12">
        <f>'Supply2024-coding'!Z30*'Use 2024'!$C30</f>
        <v>0</v>
      </c>
      <c r="AA31" s="12">
        <f>'Supply2024-coding'!AA30*'Use 2024'!$C30</f>
        <v>0</v>
      </c>
      <c r="AB31" s="12">
        <f>'Supply2024-coding'!AB30*'Use 2024'!$C30</f>
        <v>0</v>
      </c>
      <c r="AC31" s="12">
        <f>'Supply2024-coding'!AC30*'Use 2024'!$C30</f>
        <v>0</v>
      </c>
      <c r="AD31" s="12">
        <f>'Supply2024-coding'!AD30*'Use 2024'!$C30</f>
        <v>0</v>
      </c>
      <c r="AE31" s="12">
        <f>'Supply2024-coding'!AE30*'Use 2024'!$C30</f>
        <v>0</v>
      </c>
      <c r="AF31" s="12">
        <f>'Supply2024-coding'!AF30*'Use 2024'!$C30</f>
        <v>0</v>
      </c>
      <c r="AG31" s="12">
        <f>'Supply2024-coding'!AG30*'Use 2024'!$C30</f>
        <v>0</v>
      </c>
      <c r="AH31" s="12">
        <f>'Supply2024-coding'!AH30*'Use 2024'!$C30</f>
        <v>0</v>
      </c>
      <c r="AI31" s="12">
        <f>'Supply2024-coding'!AI30*'Use 2024'!$C30</f>
        <v>0</v>
      </c>
      <c r="AJ31" s="12">
        <f>'Supply2024-coding'!AJ30*'Use 2024'!$C30</f>
        <v>0</v>
      </c>
      <c r="AK31" s="12">
        <f>'Supply2024-coding'!AK30*'Use 2024'!$C30</f>
        <v>0</v>
      </c>
      <c r="AL31" s="12">
        <f>'Supply2024-coding'!AL30*'Use 2024'!$C30</f>
        <v>0</v>
      </c>
      <c r="AM31" s="12">
        <f>'Supply2024-coding'!AM30*'Use 2024'!$C30</f>
        <v>0</v>
      </c>
      <c r="AN31" s="12">
        <f>'Supply2024-coding'!AN30*'Use 2024'!$C30</f>
        <v>0</v>
      </c>
      <c r="AO31" s="12">
        <f>'Supply2024-coding'!AO30*'Use 2024'!$C30</f>
        <v>0</v>
      </c>
      <c r="AP31" s="12">
        <f>'Supply2024-coding'!AP30*'Use 2024'!$C30</f>
        <v>0</v>
      </c>
      <c r="AQ31" s="12">
        <f>'Supply2024-coding'!AQ30*'Use 2024'!$C30</f>
        <v>0</v>
      </c>
      <c r="AR31" s="12">
        <f>'Supply2024-coding'!AR30*'Use 2024'!$C30</f>
        <v>0</v>
      </c>
      <c r="AS31" s="12">
        <f>'Supply2024-coding'!AS30*'Use 2024'!$C30</f>
        <v>0</v>
      </c>
      <c r="AT31" s="12">
        <f>'Supply2024-coding'!AT30*'Use 2024'!$C30</f>
        <v>0</v>
      </c>
      <c r="AU31" s="12">
        <f>'Supply2024-coding'!AU30*'Use 2024'!$C30</f>
        <v>0</v>
      </c>
      <c r="AV31" s="12">
        <f>'Supply2024-coding'!AV30*'Use 2024'!$C30</f>
        <v>0</v>
      </c>
      <c r="AW31" s="12">
        <f>'Supply2024-coding'!AW30*'Use 2024'!$C30</f>
        <v>0</v>
      </c>
      <c r="AX31" s="12">
        <f>'Supply2024-coding'!AX30*'Use 2024'!$C30</f>
        <v>0</v>
      </c>
      <c r="AY31" s="12">
        <f>'Supply2024-coding'!AY30*'Use 2024'!$C30</f>
        <v>0</v>
      </c>
      <c r="AZ31" s="12">
        <f>'Supply2024-coding'!AZ30*'Use 2024'!$C30</f>
        <v>0</v>
      </c>
      <c r="BA31" s="12">
        <f>'Supply2024-coding'!BA30*'Use 2024'!$C30</f>
        <v>0</v>
      </c>
      <c r="BB31" s="12">
        <f>'Supply2024-coding'!BB30*'Use 2024'!$C30</f>
        <v>0</v>
      </c>
      <c r="BC31" s="12">
        <f>'Supply2024-coding'!BC30*'Use 2024'!$C30</f>
        <v>0</v>
      </c>
      <c r="BD31" s="12">
        <f>'Supply2024-coding'!BD30*'Use 2024'!$C30</f>
        <v>0</v>
      </c>
      <c r="BE31" s="12">
        <f>'Supply2024-coding'!BE30*'Use 2024'!$C30</f>
        <v>0</v>
      </c>
      <c r="BF31" s="12">
        <f>'Supply2024-coding'!BF30*'Use 2024'!$C30</f>
        <v>0</v>
      </c>
      <c r="BG31" s="12">
        <f>'Supply2024-coding'!BG30*'Use 2024'!$C30</f>
        <v>0</v>
      </c>
      <c r="BH31" s="12">
        <f>'Supply2024-coding'!BH30*'Use 2024'!$C30</f>
        <v>0</v>
      </c>
      <c r="BI31" s="12">
        <f>'Supply2024-coding'!BI30*'Use 2024'!$C30</f>
        <v>0</v>
      </c>
      <c r="BJ31" s="12">
        <f>'Supply2024-coding'!BJ30*'Use 2024'!$C30</f>
        <v>0</v>
      </c>
      <c r="BK31" s="12">
        <f>'Supply2024-coding'!BK30*'Use 2024'!$C30</f>
        <v>0</v>
      </c>
      <c r="BL31" s="12">
        <f>'Supply2024-coding'!BL30*'Use 2024'!$C30</f>
        <v>0</v>
      </c>
      <c r="BM31" s="12">
        <f>'Supply2024-coding'!BM30*'Use 2024'!$C30</f>
        <v>0</v>
      </c>
      <c r="BN31" s="12">
        <f>'Supply2024-coding'!BN30*'Use 2024'!$C30</f>
        <v>0</v>
      </c>
      <c r="BO31" s="12">
        <f>'Supply2024-coding'!BO30*'Use 2024'!$C30</f>
        <v>0</v>
      </c>
      <c r="BP31" s="12">
        <f>'Supply2024-coding'!BP30*'Use 2024'!$C30</f>
        <v>0</v>
      </c>
      <c r="BQ31" s="12">
        <f>'Supply2024-coding'!BQ30*'Use 2024'!$C30</f>
        <v>0</v>
      </c>
      <c r="BR31" s="12">
        <f>'Supply2024-coding'!BR30*'Use 2024'!$C30</f>
        <v>0</v>
      </c>
      <c r="BS31" s="12">
        <f>'Supply2024-coding'!BS30*'Use 2024'!$C30</f>
        <v>0</v>
      </c>
      <c r="BT31" s="12">
        <f>'Supply2024-coding'!BT30*'Use 2024'!$C30</f>
        <v>0</v>
      </c>
      <c r="BU31" s="12">
        <f>'Supply2024-coding'!BU30*'Use 2024'!$C30</f>
        <v>0</v>
      </c>
      <c r="BV31" s="12">
        <f>'Supply2024-coding'!BV30*'Use 2024'!$C30</f>
        <v>0</v>
      </c>
      <c r="BW31" s="12">
        <f>'Supply2024-coding'!BW30*'Use 2024'!$C30</f>
        <v>0</v>
      </c>
      <c r="BX31" s="12">
        <f>'Supply2024-coding'!BX30*'Use 2024'!$C30</f>
        <v>0</v>
      </c>
      <c r="BY31" s="12">
        <f>'Supply2024-coding'!BY30*'Use 2024'!$C30</f>
        <v>0</v>
      </c>
      <c r="BZ31" s="12">
        <f>'Supply2024-coding'!BZ30*'Use 2024'!$C30</f>
        <v>0</v>
      </c>
      <c r="CA31" s="12" t="e">
        <f>'Supply2024-coding'!CA30*'Use 2024'!$C30</f>
        <v>#DIV/0!</v>
      </c>
      <c r="CB31" s="12">
        <f>'Supply2024-coding'!CB30*'Use 2024'!$C30</f>
        <v>0</v>
      </c>
      <c r="CC31" s="12">
        <f>'Supply2024-coding'!CC30*'Use 2024'!$C30</f>
        <v>0</v>
      </c>
      <c r="CD31" s="12">
        <f>'Supply2024-coding'!CD30*'Use 2024'!$C30</f>
        <v>0</v>
      </c>
      <c r="CE31" s="12">
        <f>'Supply2024-coding'!CE30*'Use 2024'!$C30</f>
        <v>0</v>
      </c>
      <c r="CF31" s="12">
        <f>'Supply2024-coding'!CF30*'Use 2024'!$C30</f>
        <v>0</v>
      </c>
      <c r="CG31" s="12">
        <f>'Supply2024-coding'!CG30*'Use 2024'!$C30</f>
        <v>0</v>
      </c>
    </row>
    <row r="32" spans="1:85" x14ac:dyDescent="0.25">
      <c r="A32" t="s">
        <v>30</v>
      </c>
      <c r="B32" t="s">
        <v>123</v>
      </c>
      <c r="C32" s="12">
        <f>'Supply2024-coding'!C31*'Use 2024'!$C31</f>
        <v>0</v>
      </c>
      <c r="D32" s="12">
        <f>'Supply2024-coding'!D31*'Use 2024'!$C31</f>
        <v>0</v>
      </c>
      <c r="E32" s="12">
        <f>'Supply2024-coding'!E31*'Use 2024'!$C31</f>
        <v>0</v>
      </c>
      <c r="F32" s="12">
        <f>'Supply2024-coding'!F31*'Use 2024'!$C31</f>
        <v>0</v>
      </c>
      <c r="G32" s="12">
        <f>'Supply2024-coding'!G31*'Use 2024'!$C31</f>
        <v>0</v>
      </c>
      <c r="H32" s="12">
        <f>'Supply2024-coding'!H31*'Use 2024'!$C31</f>
        <v>0</v>
      </c>
      <c r="I32" s="12">
        <f>'Supply2024-coding'!I31*'Use 2024'!$C31</f>
        <v>0</v>
      </c>
      <c r="J32" s="12">
        <f>'Supply2024-coding'!J31*'Use 2024'!$C31</f>
        <v>0</v>
      </c>
      <c r="K32" s="12">
        <f>'Supply2024-coding'!K31*'Use 2024'!$C31</f>
        <v>0</v>
      </c>
      <c r="L32" s="12">
        <f>'Supply2024-coding'!L31*'Use 2024'!$C31</f>
        <v>0</v>
      </c>
      <c r="M32" s="12">
        <f>'Supply2024-coding'!M31*'Use 2024'!$C31</f>
        <v>0</v>
      </c>
      <c r="N32" s="12">
        <f>'Supply2024-coding'!N31*'Use 2024'!$C31</f>
        <v>0</v>
      </c>
      <c r="O32" s="12">
        <f>'Supply2024-coding'!O31*'Use 2024'!$C31</f>
        <v>0</v>
      </c>
      <c r="P32" s="12">
        <f>'Supply2024-coding'!P31*'Use 2024'!$C31</f>
        <v>0</v>
      </c>
      <c r="Q32" s="12">
        <f>'Supply2024-coding'!Q31*'Use 2024'!$C31</f>
        <v>0</v>
      </c>
      <c r="R32" s="12">
        <f>'Supply2024-coding'!R31*'Use 2024'!$C31</f>
        <v>0</v>
      </c>
      <c r="S32" s="12">
        <f>'Supply2024-coding'!S31*'Use 2024'!$C31</f>
        <v>0</v>
      </c>
      <c r="T32" s="12">
        <f>'Supply2024-coding'!T31*'Use 2024'!$C31</f>
        <v>0</v>
      </c>
      <c r="U32" s="12">
        <f>'Supply2024-coding'!U31*'Use 2024'!$C31</f>
        <v>0</v>
      </c>
      <c r="V32" s="12">
        <f>'Supply2024-coding'!V31*'Use 2024'!$C31</f>
        <v>0</v>
      </c>
      <c r="W32" s="12">
        <f>'Supply2024-coding'!W31*'Use 2024'!$C31</f>
        <v>0</v>
      </c>
      <c r="X32" s="12">
        <f>'Supply2024-coding'!X31*'Use 2024'!$C31</f>
        <v>0</v>
      </c>
      <c r="Y32" s="12">
        <f>'Supply2024-coding'!Y31*'Use 2024'!$C31</f>
        <v>0</v>
      </c>
      <c r="Z32" s="12">
        <f>'Supply2024-coding'!Z31*'Use 2024'!$C31</f>
        <v>0</v>
      </c>
      <c r="AA32" s="12">
        <f>'Supply2024-coding'!AA31*'Use 2024'!$C31</f>
        <v>0</v>
      </c>
      <c r="AB32" s="12">
        <f>'Supply2024-coding'!AB31*'Use 2024'!$C31</f>
        <v>0</v>
      </c>
      <c r="AC32" s="12">
        <f>'Supply2024-coding'!AC31*'Use 2024'!$C31</f>
        <v>0</v>
      </c>
      <c r="AD32" s="12">
        <f>'Supply2024-coding'!AD31*'Use 2024'!$C31</f>
        <v>0</v>
      </c>
      <c r="AE32" s="12">
        <f>'Supply2024-coding'!AE31*'Use 2024'!$C31</f>
        <v>0</v>
      </c>
      <c r="AF32" s="12">
        <f>'Supply2024-coding'!AF31*'Use 2024'!$C31</f>
        <v>0</v>
      </c>
      <c r="AG32" s="12">
        <f>'Supply2024-coding'!AG31*'Use 2024'!$C31</f>
        <v>0</v>
      </c>
      <c r="AH32" s="12">
        <f>'Supply2024-coding'!AH31*'Use 2024'!$C31</f>
        <v>0</v>
      </c>
      <c r="AI32" s="12">
        <f>'Supply2024-coding'!AI31*'Use 2024'!$C31</f>
        <v>0</v>
      </c>
      <c r="AJ32" s="12">
        <f>'Supply2024-coding'!AJ31*'Use 2024'!$C31</f>
        <v>0</v>
      </c>
      <c r="AK32" s="12">
        <f>'Supply2024-coding'!AK31*'Use 2024'!$C31</f>
        <v>0</v>
      </c>
      <c r="AL32" s="12">
        <f>'Supply2024-coding'!AL31*'Use 2024'!$C31</f>
        <v>0</v>
      </c>
      <c r="AM32" s="12">
        <f>'Supply2024-coding'!AM31*'Use 2024'!$C31</f>
        <v>0</v>
      </c>
      <c r="AN32" s="12">
        <f>'Supply2024-coding'!AN31*'Use 2024'!$C31</f>
        <v>0</v>
      </c>
      <c r="AO32" s="12">
        <f>'Supply2024-coding'!AO31*'Use 2024'!$C31</f>
        <v>0</v>
      </c>
      <c r="AP32" s="12">
        <f>'Supply2024-coding'!AP31*'Use 2024'!$C31</f>
        <v>0</v>
      </c>
      <c r="AQ32" s="12">
        <f>'Supply2024-coding'!AQ31*'Use 2024'!$C31</f>
        <v>0</v>
      </c>
      <c r="AR32" s="12">
        <f>'Supply2024-coding'!AR31*'Use 2024'!$C31</f>
        <v>0</v>
      </c>
      <c r="AS32" s="12">
        <f>'Supply2024-coding'!AS31*'Use 2024'!$C31</f>
        <v>0</v>
      </c>
      <c r="AT32" s="12">
        <f>'Supply2024-coding'!AT31*'Use 2024'!$C31</f>
        <v>0</v>
      </c>
      <c r="AU32" s="12">
        <f>'Supply2024-coding'!AU31*'Use 2024'!$C31</f>
        <v>0</v>
      </c>
      <c r="AV32" s="12">
        <f>'Supply2024-coding'!AV31*'Use 2024'!$C31</f>
        <v>0</v>
      </c>
      <c r="AW32" s="12">
        <f>'Supply2024-coding'!AW31*'Use 2024'!$C31</f>
        <v>0</v>
      </c>
      <c r="AX32" s="12">
        <f>'Supply2024-coding'!AX31*'Use 2024'!$C31</f>
        <v>0</v>
      </c>
      <c r="AY32" s="12">
        <f>'Supply2024-coding'!AY31*'Use 2024'!$C31</f>
        <v>0</v>
      </c>
      <c r="AZ32" s="12">
        <f>'Supply2024-coding'!AZ31*'Use 2024'!$C31</f>
        <v>0</v>
      </c>
      <c r="BA32" s="12">
        <f>'Supply2024-coding'!BA31*'Use 2024'!$C31</f>
        <v>0</v>
      </c>
      <c r="BB32" s="12">
        <f>'Supply2024-coding'!BB31*'Use 2024'!$C31</f>
        <v>0</v>
      </c>
      <c r="BC32" s="12">
        <f>'Supply2024-coding'!BC31*'Use 2024'!$C31</f>
        <v>0</v>
      </c>
      <c r="BD32" s="12">
        <f>'Supply2024-coding'!BD31*'Use 2024'!$C31</f>
        <v>0</v>
      </c>
      <c r="BE32" s="12">
        <f>'Supply2024-coding'!BE31*'Use 2024'!$C31</f>
        <v>0</v>
      </c>
      <c r="BF32" s="12">
        <f>'Supply2024-coding'!BF31*'Use 2024'!$C31</f>
        <v>0</v>
      </c>
      <c r="BG32" s="12">
        <f>'Supply2024-coding'!BG31*'Use 2024'!$C31</f>
        <v>0</v>
      </c>
      <c r="BH32" s="12">
        <f>'Supply2024-coding'!BH31*'Use 2024'!$C31</f>
        <v>0</v>
      </c>
      <c r="BI32" s="12">
        <f>'Supply2024-coding'!BI31*'Use 2024'!$C31</f>
        <v>0</v>
      </c>
      <c r="BJ32" s="12">
        <f>'Supply2024-coding'!BJ31*'Use 2024'!$C31</f>
        <v>0</v>
      </c>
      <c r="BK32" s="12">
        <f>'Supply2024-coding'!BK31*'Use 2024'!$C31</f>
        <v>0</v>
      </c>
      <c r="BL32" s="12">
        <f>'Supply2024-coding'!BL31*'Use 2024'!$C31</f>
        <v>0</v>
      </c>
      <c r="BM32" s="12">
        <f>'Supply2024-coding'!BM31*'Use 2024'!$C31</f>
        <v>0</v>
      </c>
      <c r="BN32" s="12">
        <f>'Supply2024-coding'!BN31*'Use 2024'!$C31</f>
        <v>0</v>
      </c>
      <c r="BO32" s="12">
        <f>'Supply2024-coding'!BO31*'Use 2024'!$C31</f>
        <v>0</v>
      </c>
      <c r="BP32" s="12">
        <f>'Supply2024-coding'!BP31*'Use 2024'!$C31</f>
        <v>0</v>
      </c>
      <c r="BQ32" s="12">
        <f>'Supply2024-coding'!BQ31*'Use 2024'!$C31</f>
        <v>0</v>
      </c>
      <c r="BR32" s="12">
        <f>'Supply2024-coding'!BR31*'Use 2024'!$C31</f>
        <v>0</v>
      </c>
      <c r="BS32" s="12">
        <f>'Supply2024-coding'!BS31*'Use 2024'!$C31</f>
        <v>0</v>
      </c>
      <c r="BT32" s="12">
        <f>'Supply2024-coding'!BT31*'Use 2024'!$C31</f>
        <v>0</v>
      </c>
      <c r="BU32" s="12">
        <f>'Supply2024-coding'!BU31*'Use 2024'!$C31</f>
        <v>0</v>
      </c>
      <c r="BV32" s="12">
        <f>'Supply2024-coding'!BV31*'Use 2024'!$C31</f>
        <v>0</v>
      </c>
      <c r="BW32" s="12">
        <f>'Supply2024-coding'!BW31*'Use 2024'!$C31</f>
        <v>0</v>
      </c>
      <c r="BX32" s="12">
        <f>'Supply2024-coding'!BX31*'Use 2024'!$C31</f>
        <v>0</v>
      </c>
      <c r="BY32" s="12">
        <f>'Supply2024-coding'!BY31*'Use 2024'!$C31</f>
        <v>0</v>
      </c>
      <c r="BZ32" s="12">
        <f>'Supply2024-coding'!BZ31*'Use 2024'!$C31</f>
        <v>0</v>
      </c>
      <c r="CA32" s="12" t="e">
        <f>'Supply2024-coding'!CA31*'Use 2024'!$C31</f>
        <v>#DIV/0!</v>
      </c>
      <c r="CB32" s="12">
        <f>'Supply2024-coding'!CB31*'Use 2024'!$C31</f>
        <v>0</v>
      </c>
      <c r="CC32" s="12">
        <f>'Supply2024-coding'!CC31*'Use 2024'!$C31</f>
        <v>0</v>
      </c>
      <c r="CD32" s="12">
        <f>'Supply2024-coding'!CD31*'Use 2024'!$C31</f>
        <v>0</v>
      </c>
      <c r="CE32" s="12">
        <f>'Supply2024-coding'!CE31*'Use 2024'!$C31</f>
        <v>0</v>
      </c>
      <c r="CF32" s="12">
        <f>'Supply2024-coding'!CF31*'Use 2024'!$C31</f>
        <v>0</v>
      </c>
      <c r="CG32" s="12">
        <f>'Supply2024-coding'!CG31*'Use 2024'!$C31</f>
        <v>0</v>
      </c>
    </row>
    <row r="33" spans="1:85" x14ac:dyDescent="0.25">
      <c r="A33" t="s">
        <v>31</v>
      </c>
      <c r="B33" t="s">
        <v>124</v>
      </c>
      <c r="C33" s="12">
        <f>'Supply2024-coding'!C32*'Use 2024'!$C32</f>
        <v>0</v>
      </c>
      <c r="D33" s="12">
        <f>'Supply2024-coding'!D32*'Use 2024'!$C32</f>
        <v>0</v>
      </c>
      <c r="E33" s="12">
        <f>'Supply2024-coding'!E32*'Use 2024'!$C32</f>
        <v>0</v>
      </c>
      <c r="F33" s="12">
        <f>'Supply2024-coding'!F32*'Use 2024'!$C32</f>
        <v>0</v>
      </c>
      <c r="G33" s="12">
        <f>'Supply2024-coding'!G32*'Use 2024'!$C32</f>
        <v>0</v>
      </c>
      <c r="H33" s="12">
        <f>'Supply2024-coding'!H32*'Use 2024'!$C32</f>
        <v>1.5784315443405756E-3</v>
      </c>
      <c r="I33" s="12">
        <f>'Supply2024-coding'!I32*'Use 2024'!$C32</f>
        <v>0</v>
      </c>
      <c r="J33" s="12">
        <f>'Supply2024-coding'!J32*'Use 2024'!$C32</f>
        <v>0</v>
      </c>
      <c r="K33" s="12">
        <f>'Supply2024-coding'!K32*'Use 2024'!$C32</f>
        <v>0</v>
      </c>
      <c r="L33" s="12">
        <f>'Supply2024-coding'!L32*'Use 2024'!$C32</f>
        <v>0</v>
      </c>
      <c r="M33" s="12">
        <f>'Supply2024-coding'!M32*'Use 2024'!$C32</f>
        <v>0</v>
      </c>
      <c r="N33" s="12">
        <f>'Supply2024-coding'!N32*'Use 2024'!$C32</f>
        <v>0</v>
      </c>
      <c r="O33" s="12">
        <f>'Supply2024-coding'!O32*'Use 2024'!$C32</f>
        <v>0</v>
      </c>
      <c r="P33" s="12">
        <f>'Supply2024-coding'!P32*'Use 2024'!$C32</f>
        <v>0</v>
      </c>
      <c r="Q33" s="12">
        <f>'Supply2024-coding'!Q32*'Use 2024'!$C32</f>
        <v>0</v>
      </c>
      <c r="R33" s="12">
        <f>'Supply2024-coding'!R32*'Use 2024'!$C32</f>
        <v>0</v>
      </c>
      <c r="S33" s="12">
        <f>'Supply2024-coding'!S32*'Use 2024'!$C32</f>
        <v>0</v>
      </c>
      <c r="T33" s="12">
        <f>'Supply2024-coding'!T32*'Use 2024'!$C32</f>
        <v>0</v>
      </c>
      <c r="U33" s="12">
        <f>'Supply2024-coding'!U32*'Use 2024'!$C32</f>
        <v>0</v>
      </c>
      <c r="V33" s="12">
        <f>'Supply2024-coding'!V32*'Use 2024'!$C32</f>
        <v>0</v>
      </c>
      <c r="W33" s="12">
        <f>'Supply2024-coding'!W32*'Use 2024'!$C32</f>
        <v>0</v>
      </c>
      <c r="X33" s="12">
        <f>'Supply2024-coding'!X32*'Use 2024'!$C32</f>
        <v>0</v>
      </c>
      <c r="Y33" s="12">
        <f>'Supply2024-coding'!Y32*'Use 2024'!$C32</f>
        <v>0</v>
      </c>
      <c r="Z33" s="12">
        <f>'Supply2024-coding'!Z32*'Use 2024'!$C32</f>
        <v>0</v>
      </c>
      <c r="AA33" s="12">
        <f>'Supply2024-coding'!AA32*'Use 2024'!$C32</f>
        <v>0</v>
      </c>
      <c r="AB33" s="12">
        <f>'Supply2024-coding'!AB32*'Use 2024'!$C32</f>
        <v>0</v>
      </c>
      <c r="AC33" s="12">
        <f>'Supply2024-coding'!AC32*'Use 2024'!$C32</f>
        <v>0</v>
      </c>
      <c r="AD33" s="12">
        <f>'Supply2024-coding'!AD32*'Use 2024'!$C32</f>
        <v>0</v>
      </c>
      <c r="AE33" s="12">
        <f>'Supply2024-coding'!AE32*'Use 2024'!$C32</f>
        <v>0</v>
      </c>
      <c r="AF33" s="12">
        <f>'Supply2024-coding'!AF32*'Use 2024'!$C32</f>
        <v>0</v>
      </c>
      <c r="AG33" s="12">
        <f>'Supply2024-coding'!AG32*'Use 2024'!$C32</f>
        <v>0.84558235406973414</v>
      </c>
      <c r="AH33" s="12">
        <f>'Supply2024-coding'!AH32*'Use 2024'!$C32</f>
        <v>0</v>
      </c>
      <c r="AI33" s="12">
        <f>'Supply2024-coding'!AI32*'Use 2024'!$C32</f>
        <v>0</v>
      </c>
      <c r="AJ33" s="12">
        <f>'Supply2024-coding'!AJ32*'Use 2024'!$C32</f>
        <v>0</v>
      </c>
      <c r="AK33" s="12">
        <f>'Supply2024-coding'!AK32*'Use 2024'!$C32</f>
        <v>0</v>
      </c>
      <c r="AL33" s="12">
        <f>'Supply2024-coding'!AL32*'Use 2024'!$C32</f>
        <v>0</v>
      </c>
      <c r="AM33" s="12">
        <f>'Supply2024-coding'!AM32*'Use 2024'!$C32</f>
        <v>0</v>
      </c>
      <c r="AN33" s="12">
        <f>'Supply2024-coding'!AN32*'Use 2024'!$C32</f>
        <v>0</v>
      </c>
      <c r="AO33" s="12">
        <f>'Supply2024-coding'!AO32*'Use 2024'!$C32</f>
        <v>0</v>
      </c>
      <c r="AP33" s="12">
        <f>'Supply2024-coding'!AP32*'Use 2024'!$C32</f>
        <v>5.0873868109245915E-3</v>
      </c>
      <c r="AQ33" s="12">
        <f>'Supply2024-coding'!AQ32*'Use 2024'!$C32</f>
        <v>7.5653231897515084E-4</v>
      </c>
      <c r="AR33" s="12">
        <f>'Supply2024-coding'!AR32*'Use 2024'!$C32</f>
        <v>4.2294700643178869E-3</v>
      </c>
      <c r="AS33" s="12">
        <f>'Supply2024-coding'!AS32*'Use 2024'!$C32</f>
        <v>2.3603401786591752E-4</v>
      </c>
      <c r="AT33" s="12">
        <f>'Supply2024-coding'!AT32*'Use 2024'!$C32</f>
        <v>0</v>
      </c>
      <c r="AU33" s="12">
        <f>'Supply2024-coding'!AU32*'Use 2024'!$C32</f>
        <v>0</v>
      </c>
      <c r="AV33" s="12">
        <f>'Supply2024-coding'!AV32*'Use 2024'!$C32</f>
        <v>0</v>
      </c>
      <c r="AW33" s="12">
        <f>'Supply2024-coding'!AW32*'Use 2024'!$C32</f>
        <v>0</v>
      </c>
      <c r="AX33" s="12">
        <f>'Supply2024-coding'!AX32*'Use 2024'!$C32</f>
        <v>0</v>
      </c>
      <c r="AY33" s="12">
        <f>'Supply2024-coding'!AY32*'Use 2024'!$C32</f>
        <v>0</v>
      </c>
      <c r="AZ33" s="12">
        <f>'Supply2024-coding'!AZ32*'Use 2024'!$C32</f>
        <v>4.0136287682755582E-4</v>
      </c>
      <c r="BA33" s="12">
        <f>'Supply2024-coding'!BA32*'Use 2024'!$C32</f>
        <v>0</v>
      </c>
      <c r="BB33" s="12">
        <f>'Supply2024-coding'!BB32*'Use 2024'!$C32</f>
        <v>2.4951326354780193E-3</v>
      </c>
      <c r="BC33" s="12">
        <f>'Supply2024-coding'!BC32*'Use 2024'!$C32</f>
        <v>1.166487580366171E-3</v>
      </c>
      <c r="BD33" s="12">
        <f>'Supply2024-coding'!BD32*'Use 2024'!$C32</f>
        <v>0</v>
      </c>
      <c r="BE33" s="12">
        <f>'Supply2024-coding'!BE32*'Use 2024'!$C32</f>
        <v>6.0678568226918514E-4</v>
      </c>
      <c r="BF33" s="12">
        <f>'Supply2024-coding'!BF32*'Use 2024'!$C32</f>
        <v>4.6223916383260951E-4</v>
      </c>
      <c r="BG33" s="12">
        <f>'Supply2024-coding'!BG32*'Use 2024'!$C32</f>
        <v>1.608246656373703E-3</v>
      </c>
      <c r="BH33" s="12">
        <f>'Supply2024-coding'!BH32*'Use 2024'!$C32</f>
        <v>6.705007169309888E-3</v>
      </c>
      <c r="BI33" s="12">
        <f>'Supply2024-coding'!BI32*'Use 2024'!$C32</f>
        <v>1.4270389406392152E-3</v>
      </c>
      <c r="BJ33" s="12">
        <f>'Supply2024-coding'!BJ32*'Use 2024'!$C32</f>
        <v>5.9607215726266834E-5</v>
      </c>
      <c r="BK33" s="12">
        <f>'Supply2024-coding'!BK32*'Use 2024'!$C32</f>
        <v>3.0468962909348284E-4</v>
      </c>
      <c r="BL33" s="12">
        <f>'Supply2024-coding'!BL32*'Use 2024'!$C32</f>
        <v>4.3946007758032856E-3</v>
      </c>
      <c r="BM33" s="12">
        <f>'Supply2024-coding'!BM32*'Use 2024'!$C32</f>
        <v>1.157835293185501E-2</v>
      </c>
      <c r="BN33" s="12">
        <f>'Supply2024-coding'!BN32*'Use 2024'!$C32</f>
        <v>1.6919252415512024E-3</v>
      </c>
      <c r="BO33" s="12">
        <f>'Supply2024-coding'!BO32*'Use 2024'!$C32</f>
        <v>1.7330590190683679E-3</v>
      </c>
      <c r="BP33" s="12">
        <f>'Supply2024-coding'!BP32*'Use 2024'!$C32</f>
        <v>4.9694791803488502E-3</v>
      </c>
      <c r="BQ33" s="12">
        <f>'Supply2024-coding'!BQ32*'Use 2024'!$C32</f>
        <v>0</v>
      </c>
      <c r="BR33" s="12">
        <f>'Supply2024-coding'!BR32*'Use 2024'!$C32</f>
        <v>0</v>
      </c>
      <c r="BS33" s="12">
        <f>'Supply2024-coding'!BS32*'Use 2024'!$C32</f>
        <v>4.4546535546830239E-4</v>
      </c>
      <c r="BT33" s="12">
        <f>'Supply2024-coding'!BT32*'Use 2024'!$C32</f>
        <v>0</v>
      </c>
      <c r="BU33" s="12">
        <f>'Supply2024-coding'!BU32*'Use 2024'!$C32</f>
        <v>0</v>
      </c>
      <c r="BV33" s="12">
        <f>'Supply2024-coding'!BV32*'Use 2024'!$C32</f>
        <v>2.5779285759611362E-2</v>
      </c>
      <c r="BW33" s="12">
        <f>'Supply2024-coding'!BW32*'Use 2024'!$C32</f>
        <v>0</v>
      </c>
      <c r="BX33" s="12">
        <f>'Supply2024-coding'!BX32*'Use 2024'!$C32</f>
        <v>0</v>
      </c>
      <c r="BY33" s="12">
        <f>'Supply2024-coding'!BY32*'Use 2024'!$C32</f>
        <v>2.400225174956121E-2</v>
      </c>
      <c r="BZ33" s="12">
        <f>'Supply2024-coding'!BZ32*'Use 2024'!$C32</f>
        <v>1265806.5802700468</v>
      </c>
      <c r="CA33" s="12" t="e">
        <f>'Supply2024-coding'!CA32*'Use 2024'!$C32</f>
        <v>#DIV/0!</v>
      </c>
      <c r="CB33" s="12">
        <f>'Supply2024-coding'!CB32*'Use 2024'!$C32</f>
        <v>1265806.5802700468</v>
      </c>
      <c r="CC33" s="12">
        <f>'Supply2024-coding'!CC32*'Use 2024'!$C32</f>
        <v>0</v>
      </c>
      <c r="CD33" s="12">
        <f>'Supply2024-coding'!CD32*'Use 2024'!$C32</f>
        <v>0</v>
      </c>
      <c r="CE33" s="12">
        <f>'Supply2024-coding'!CE32*'Use 2024'!$C32</f>
        <v>0</v>
      </c>
      <c r="CF33" s="12">
        <f>'Supply2024-coding'!CF32*'Use 2024'!$C32</f>
        <v>0</v>
      </c>
      <c r="CG33" s="12">
        <f>'Supply2024-coding'!CG32*'Use 2024'!$C32</f>
        <v>2.9585955803287678E-4</v>
      </c>
    </row>
    <row r="34" spans="1:85" x14ac:dyDescent="0.25">
      <c r="A34" t="s">
        <v>32</v>
      </c>
      <c r="B34" t="s">
        <v>125</v>
      </c>
      <c r="C34" s="12">
        <f>'Supply2024-coding'!C33*'Use 2024'!$C33</f>
        <v>0</v>
      </c>
      <c r="D34" s="12">
        <f>'Supply2024-coding'!D33*'Use 2024'!$C33</f>
        <v>0</v>
      </c>
      <c r="E34" s="12">
        <f>'Supply2024-coding'!E33*'Use 2024'!$C33</f>
        <v>0</v>
      </c>
      <c r="F34" s="12">
        <f>'Supply2024-coding'!F33*'Use 2024'!$C33</f>
        <v>0</v>
      </c>
      <c r="G34" s="12">
        <f>'Supply2024-coding'!G33*'Use 2024'!$C33</f>
        <v>0</v>
      </c>
      <c r="H34" s="12">
        <f>'Supply2024-coding'!H33*'Use 2024'!$C33</f>
        <v>0</v>
      </c>
      <c r="I34" s="12">
        <f>'Supply2024-coding'!I33*'Use 2024'!$C33</f>
        <v>0</v>
      </c>
      <c r="J34" s="12">
        <f>'Supply2024-coding'!J33*'Use 2024'!$C33</f>
        <v>0</v>
      </c>
      <c r="K34" s="12">
        <f>'Supply2024-coding'!K33*'Use 2024'!$C33</f>
        <v>0</v>
      </c>
      <c r="L34" s="12">
        <f>'Supply2024-coding'!L33*'Use 2024'!$C33</f>
        <v>0</v>
      </c>
      <c r="M34" s="12">
        <f>'Supply2024-coding'!M33*'Use 2024'!$C33</f>
        <v>0</v>
      </c>
      <c r="N34" s="12">
        <f>'Supply2024-coding'!N33*'Use 2024'!$C33</f>
        <v>0</v>
      </c>
      <c r="O34" s="12">
        <f>'Supply2024-coding'!O33*'Use 2024'!$C33</f>
        <v>0</v>
      </c>
      <c r="P34" s="12">
        <f>'Supply2024-coding'!P33*'Use 2024'!$C33</f>
        <v>0</v>
      </c>
      <c r="Q34" s="12">
        <f>'Supply2024-coding'!Q33*'Use 2024'!$C33</f>
        <v>0</v>
      </c>
      <c r="R34" s="12">
        <f>'Supply2024-coding'!R33*'Use 2024'!$C33</f>
        <v>0</v>
      </c>
      <c r="S34" s="12">
        <f>'Supply2024-coding'!S33*'Use 2024'!$C33</f>
        <v>0</v>
      </c>
      <c r="T34" s="12">
        <f>'Supply2024-coding'!T33*'Use 2024'!$C33</f>
        <v>0</v>
      </c>
      <c r="U34" s="12">
        <f>'Supply2024-coding'!U33*'Use 2024'!$C33</f>
        <v>0</v>
      </c>
      <c r="V34" s="12">
        <f>'Supply2024-coding'!V33*'Use 2024'!$C33</f>
        <v>0</v>
      </c>
      <c r="W34" s="12">
        <f>'Supply2024-coding'!W33*'Use 2024'!$C33</f>
        <v>0</v>
      </c>
      <c r="X34" s="12">
        <f>'Supply2024-coding'!X33*'Use 2024'!$C33</f>
        <v>0</v>
      </c>
      <c r="Y34" s="12">
        <f>'Supply2024-coding'!Y33*'Use 2024'!$C33</f>
        <v>0</v>
      </c>
      <c r="Z34" s="12">
        <f>'Supply2024-coding'!Z33*'Use 2024'!$C33</f>
        <v>0</v>
      </c>
      <c r="AA34" s="12">
        <f>'Supply2024-coding'!AA33*'Use 2024'!$C33</f>
        <v>0</v>
      </c>
      <c r="AB34" s="12">
        <f>'Supply2024-coding'!AB33*'Use 2024'!$C33</f>
        <v>0</v>
      </c>
      <c r="AC34" s="12">
        <f>'Supply2024-coding'!AC33*'Use 2024'!$C33</f>
        <v>0</v>
      </c>
      <c r="AD34" s="12">
        <f>'Supply2024-coding'!AD33*'Use 2024'!$C33</f>
        <v>0</v>
      </c>
      <c r="AE34" s="12">
        <f>'Supply2024-coding'!AE33*'Use 2024'!$C33</f>
        <v>0</v>
      </c>
      <c r="AF34" s="12">
        <f>'Supply2024-coding'!AF33*'Use 2024'!$C33</f>
        <v>0</v>
      </c>
      <c r="AG34" s="12">
        <f>'Supply2024-coding'!AG33*'Use 2024'!$C33</f>
        <v>0</v>
      </c>
      <c r="AH34" s="12">
        <f>'Supply2024-coding'!AH33*'Use 2024'!$C33</f>
        <v>0.7793684260132232</v>
      </c>
      <c r="AI34" s="12">
        <f>'Supply2024-coding'!AI33*'Use 2024'!$C33</f>
        <v>0</v>
      </c>
      <c r="AJ34" s="12">
        <f>'Supply2024-coding'!AJ33*'Use 2024'!$C33</f>
        <v>0</v>
      </c>
      <c r="AK34" s="12">
        <f>'Supply2024-coding'!AK33*'Use 2024'!$C33</f>
        <v>0</v>
      </c>
      <c r="AL34" s="12">
        <f>'Supply2024-coding'!AL33*'Use 2024'!$C33</f>
        <v>0</v>
      </c>
      <c r="AM34" s="12">
        <f>'Supply2024-coding'!AM33*'Use 2024'!$C33</f>
        <v>0</v>
      </c>
      <c r="AN34" s="12">
        <f>'Supply2024-coding'!AN33*'Use 2024'!$C33</f>
        <v>7.6322560991856666E-5</v>
      </c>
      <c r="AO34" s="12">
        <f>'Supply2024-coding'!AO33*'Use 2024'!$C33</f>
        <v>0</v>
      </c>
      <c r="AP34" s="12">
        <f>'Supply2024-coding'!AP33*'Use 2024'!$C33</f>
        <v>0</v>
      </c>
      <c r="AQ34" s="12">
        <f>'Supply2024-coding'!AQ33*'Use 2024'!$C33</f>
        <v>0</v>
      </c>
      <c r="AR34" s="12">
        <f>'Supply2024-coding'!AR33*'Use 2024'!$C33</f>
        <v>0</v>
      </c>
      <c r="AS34" s="12">
        <f>'Supply2024-coding'!AS33*'Use 2024'!$C33</f>
        <v>0</v>
      </c>
      <c r="AT34" s="12">
        <f>'Supply2024-coding'!AT33*'Use 2024'!$C33</f>
        <v>0</v>
      </c>
      <c r="AU34" s="12">
        <f>'Supply2024-coding'!AU33*'Use 2024'!$C33</f>
        <v>0</v>
      </c>
      <c r="AV34" s="12">
        <f>'Supply2024-coding'!AV33*'Use 2024'!$C33</f>
        <v>0</v>
      </c>
      <c r="AW34" s="12">
        <f>'Supply2024-coding'!AW33*'Use 2024'!$C33</f>
        <v>0</v>
      </c>
      <c r="AX34" s="12">
        <f>'Supply2024-coding'!AX33*'Use 2024'!$C33</f>
        <v>0</v>
      </c>
      <c r="AY34" s="12">
        <f>'Supply2024-coding'!AY33*'Use 2024'!$C33</f>
        <v>0</v>
      </c>
      <c r="AZ34" s="12">
        <f>'Supply2024-coding'!AZ33*'Use 2024'!$C33</f>
        <v>0</v>
      </c>
      <c r="BA34" s="12">
        <f>'Supply2024-coding'!BA33*'Use 2024'!$C33</f>
        <v>0</v>
      </c>
      <c r="BB34" s="12">
        <f>'Supply2024-coding'!BB33*'Use 2024'!$C33</f>
        <v>0</v>
      </c>
      <c r="BC34" s="12">
        <f>'Supply2024-coding'!BC33*'Use 2024'!$C33</f>
        <v>0</v>
      </c>
      <c r="BD34" s="12">
        <f>'Supply2024-coding'!BD33*'Use 2024'!$C33</f>
        <v>0</v>
      </c>
      <c r="BE34" s="12">
        <f>'Supply2024-coding'!BE33*'Use 2024'!$C33</f>
        <v>0</v>
      </c>
      <c r="BF34" s="12">
        <f>'Supply2024-coding'!BF33*'Use 2024'!$C33</f>
        <v>0</v>
      </c>
      <c r="BG34" s="12">
        <f>'Supply2024-coding'!BG33*'Use 2024'!$C33</f>
        <v>0</v>
      </c>
      <c r="BH34" s="12">
        <f>'Supply2024-coding'!BH33*'Use 2024'!$C33</f>
        <v>0</v>
      </c>
      <c r="BI34" s="12">
        <f>'Supply2024-coding'!BI33*'Use 2024'!$C33</f>
        <v>0</v>
      </c>
      <c r="BJ34" s="12">
        <f>'Supply2024-coding'!BJ33*'Use 2024'!$C33</f>
        <v>0</v>
      </c>
      <c r="BK34" s="12">
        <f>'Supply2024-coding'!BK33*'Use 2024'!$C33</f>
        <v>0</v>
      </c>
      <c r="BL34" s="12">
        <f>'Supply2024-coding'!BL33*'Use 2024'!$C33</f>
        <v>0</v>
      </c>
      <c r="BM34" s="12">
        <f>'Supply2024-coding'!BM33*'Use 2024'!$C33</f>
        <v>0</v>
      </c>
      <c r="BN34" s="12">
        <f>'Supply2024-coding'!BN33*'Use 2024'!$C33</f>
        <v>0</v>
      </c>
      <c r="BO34" s="12">
        <f>'Supply2024-coding'!BO33*'Use 2024'!$C33</f>
        <v>0</v>
      </c>
      <c r="BP34" s="12">
        <f>'Supply2024-coding'!BP33*'Use 2024'!$C33</f>
        <v>0</v>
      </c>
      <c r="BQ34" s="12">
        <f>'Supply2024-coding'!BQ33*'Use 2024'!$C33</f>
        <v>0</v>
      </c>
      <c r="BR34" s="12">
        <f>'Supply2024-coding'!BR33*'Use 2024'!$C33</f>
        <v>0</v>
      </c>
      <c r="BS34" s="12">
        <f>'Supply2024-coding'!BS33*'Use 2024'!$C33</f>
        <v>0</v>
      </c>
      <c r="BT34" s="12">
        <f>'Supply2024-coding'!BT33*'Use 2024'!$C33</f>
        <v>0</v>
      </c>
      <c r="BU34" s="12">
        <f>'Supply2024-coding'!BU33*'Use 2024'!$C33</f>
        <v>0</v>
      </c>
      <c r="BV34" s="12">
        <f>'Supply2024-coding'!BV33*'Use 2024'!$C33</f>
        <v>4.6944749594843614E-3</v>
      </c>
      <c r="BW34" s="12">
        <f>'Supply2024-coding'!BW33*'Use 2024'!$C33</f>
        <v>1.5183229314322476E-2</v>
      </c>
      <c r="BX34" s="12">
        <f>'Supply2024-coding'!BX33*'Use 2024'!$C33</f>
        <v>3.2303638198627131E-2</v>
      </c>
      <c r="BY34" s="12">
        <f>'Supply2024-coding'!BY33*'Use 2024'!$C33</f>
        <v>5.4076385281610056E-3</v>
      </c>
      <c r="BZ34" s="12">
        <f>'Supply2024-coding'!BZ33*'Use 2024'!$C33</f>
        <v>0</v>
      </c>
      <c r="CA34" s="12" t="e">
        <f>'Supply2024-coding'!CA33*'Use 2024'!$C33</f>
        <v>#DIV/0!</v>
      </c>
      <c r="CB34" s="12">
        <f>'Supply2024-coding'!CB33*'Use 2024'!$C33</f>
        <v>10753.327497807157</v>
      </c>
      <c r="CC34" s="12">
        <f>'Supply2024-coding'!CC33*'Use 2024'!$C33</f>
        <v>0</v>
      </c>
      <c r="CD34" s="12">
        <f>'Supply2024-coding'!CD33*'Use 2024'!$C33</f>
        <v>2.3553347788732557E-2</v>
      </c>
      <c r="CE34" s="12">
        <f>'Supply2024-coding'!CE33*'Use 2024'!$C33</f>
        <v>3.5703874124961444E-3</v>
      </c>
      <c r="CF34" s="12">
        <f>'Supply2024-coding'!CF33*'Use 2024'!$C33</f>
        <v>2.3372063456509287E-2</v>
      </c>
      <c r="CG34" s="12">
        <f>'Supply2024-coding'!CG33*'Use 2024'!$C33</f>
        <v>5.5435603994685905E-3</v>
      </c>
    </row>
    <row r="35" spans="1:85" x14ac:dyDescent="0.25">
      <c r="A35" t="s">
        <v>33</v>
      </c>
      <c r="B35" t="s">
        <v>126</v>
      </c>
      <c r="C35" s="12">
        <f>'Supply2024-coding'!C34*'Use 2024'!$C34</f>
        <v>0</v>
      </c>
      <c r="D35" s="12">
        <f>'Supply2024-coding'!D34*'Use 2024'!$C34</f>
        <v>0</v>
      </c>
      <c r="E35" s="12">
        <f>'Supply2024-coding'!E34*'Use 2024'!$C34</f>
        <v>0</v>
      </c>
      <c r="F35" s="12">
        <f>'Supply2024-coding'!F34*'Use 2024'!$C34</f>
        <v>0</v>
      </c>
      <c r="G35" s="12">
        <f>'Supply2024-coding'!G34*'Use 2024'!$C34</f>
        <v>0</v>
      </c>
      <c r="H35" s="12">
        <f>'Supply2024-coding'!H34*'Use 2024'!$C34</f>
        <v>0</v>
      </c>
      <c r="I35" s="12">
        <f>'Supply2024-coding'!I34*'Use 2024'!$C34</f>
        <v>0</v>
      </c>
      <c r="J35" s="12">
        <f>'Supply2024-coding'!J34*'Use 2024'!$C34</f>
        <v>0</v>
      </c>
      <c r="K35" s="12">
        <f>'Supply2024-coding'!K34*'Use 2024'!$C34</f>
        <v>0</v>
      </c>
      <c r="L35" s="12">
        <f>'Supply2024-coding'!L34*'Use 2024'!$C34</f>
        <v>0</v>
      </c>
      <c r="M35" s="12">
        <f>'Supply2024-coding'!M34*'Use 2024'!$C34</f>
        <v>0</v>
      </c>
      <c r="N35" s="12">
        <f>'Supply2024-coding'!N34*'Use 2024'!$C34</f>
        <v>0</v>
      </c>
      <c r="O35" s="12">
        <f>'Supply2024-coding'!O34*'Use 2024'!$C34</f>
        <v>0</v>
      </c>
      <c r="P35" s="12">
        <f>'Supply2024-coding'!P34*'Use 2024'!$C34</f>
        <v>0</v>
      </c>
      <c r="Q35" s="12">
        <f>'Supply2024-coding'!Q34*'Use 2024'!$C34</f>
        <v>0</v>
      </c>
      <c r="R35" s="12">
        <f>'Supply2024-coding'!R34*'Use 2024'!$C34</f>
        <v>0</v>
      </c>
      <c r="S35" s="12">
        <f>'Supply2024-coding'!S34*'Use 2024'!$C34</f>
        <v>0</v>
      </c>
      <c r="T35" s="12">
        <f>'Supply2024-coding'!T34*'Use 2024'!$C34</f>
        <v>0</v>
      </c>
      <c r="U35" s="12">
        <f>'Supply2024-coding'!U34*'Use 2024'!$C34</f>
        <v>0</v>
      </c>
      <c r="V35" s="12">
        <f>'Supply2024-coding'!V34*'Use 2024'!$C34</f>
        <v>0</v>
      </c>
      <c r="W35" s="12">
        <f>'Supply2024-coding'!W34*'Use 2024'!$C34</f>
        <v>0</v>
      </c>
      <c r="X35" s="12">
        <f>'Supply2024-coding'!X34*'Use 2024'!$C34</f>
        <v>0</v>
      </c>
      <c r="Y35" s="12">
        <f>'Supply2024-coding'!Y34*'Use 2024'!$C34</f>
        <v>0</v>
      </c>
      <c r="Z35" s="12">
        <f>'Supply2024-coding'!Z34*'Use 2024'!$C34</f>
        <v>0</v>
      </c>
      <c r="AA35" s="12">
        <f>'Supply2024-coding'!AA34*'Use 2024'!$C34</f>
        <v>0</v>
      </c>
      <c r="AB35" s="12">
        <f>'Supply2024-coding'!AB34*'Use 2024'!$C34</f>
        <v>0</v>
      </c>
      <c r="AC35" s="12">
        <f>'Supply2024-coding'!AC34*'Use 2024'!$C34</f>
        <v>0</v>
      </c>
      <c r="AD35" s="12">
        <f>'Supply2024-coding'!AD34*'Use 2024'!$C34</f>
        <v>0</v>
      </c>
      <c r="AE35" s="12">
        <f>'Supply2024-coding'!AE34*'Use 2024'!$C34</f>
        <v>0</v>
      </c>
      <c r="AF35" s="12">
        <f>'Supply2024-coding'!AF34*'Use 2024'!$C34</f>
        <v>0</v>
      </c>
      <c r="AG35" s="12">
        <f>'Supply2024-coding'!AG34*'Use 2024'!$C34</f>
        <v>0</v>
      </c>
      <c r="AH35" s="12">
        <f>'Supply2024-coding'!AH34*'Use 2024'!$C34</f>
        <v>0</v>
      </c>
      <c r="AI35" s="12">
        <f>'Supply2024-coding'!AI34*'Use 2024'!$C34</f>
        <v>0.16695524918006091</v>
      </c>
      <c r="AJ35" s="12">
        <f>'Supply2024-coding'!AJ34*'Use 2024'!$C34</f>
        <v>0</v>
      </c>
      <c r="AK35" s="12">
        <f>'Supply2024-coding'!AK34*'Use 2024'!$C34</f>
        <v>0</v>
      </c>
      <c r="AL35" s="12">
        <f>'Supply2024-coding'!AL34*'Use 2024'!$C34</f>
        <v>0</v>
      </c>
      <c r="AM35" s="12">
        <f>'Supply2024-coding'!AM34*'Use 2024'!$C34</f>
        <v>0</v>
      </c>
      <c r="AN35" s="12">
        <f>'Supply2024-coding'!AN34*'Use 2024'!$C34</f>
        <v>0</v>
      </c>
      <c r="AO35" s="12">
        <f>'Supply2024-coding'!AO34*'Use 2024'!$C34</f>
        <v>0</v>
      </c>
      <c r="AP35" s="12">
        <f>'Supply2024-coding'!AP34*'Use 2024'!$C34</f>
        <v>0</v>
      </c>
      <c r="AQ35" s="12">
        <f>'Supply2024-coding'!AQ34*'Use 2024'!$C34</f>
        <v>0</v>
      </c>
      <c r="AR35" s="12">
        <f>'Supply2024-coding'!AR34*'Use 2024'!$C34</f>
        <v>0</v>
      </c>
      <c r="AS35" s="12">
        <f>'Supply2024-coding'!AS34*'Use 2024'!$C34</f>
        <v>0</v>
      </c>
      <c r="AT35" s="12">
        <f>'Supply2024-coding'!AT34*'Use 2024'!$C34</f>
        <v>0</v>
      </c>
      <c r="AU35" s="12">
        <f>'Supply2024-coding'!AU34*'Use 2024'!$C34</f>
        <v>0</v>
      </c>
      <c r="AV35" s="12">
        <f>'Supply2024-coding'!AV34*'Use 2024'!$C34</f>
        <v>0</v>
      </c>
      <c r="AW35" s="12">
        <f>'Supply2024-coding'!AW34*'Use 2024'!$C34</f>
        <v>0</v>
      </c>
      <c r="AX35" s="12">
        <f>'Supply2024-coding'!AX34*'Use 2024'!$C34</f>
        <v>0</v>
      </c>
      <c r="AY35" s="12">
        <f>'Supply2024-coding'!AY34*'Use 2024'!$C34</f>
        <v>0</v>
      </c>
      <c r="AZ35" s="12">
        <f>'Supply2024-coding'!AZ34*'Use 2024'!$C34</f>
        <v>0</v>
      </c>
      <c r="BA35" s="12">
        <f>'Supply2024-coding'!BA34*'Use 2024'!$C34</f>
        <v>0</v>
      </c>
      <c r="BB35" s="12">
        <f>'Supply2024-coding'!BB34*'Use 2024'!$C34</f>
        <v>0</v>
      </c>
      <c r="BC35" s="12">
        <f>'Supply2024-coding'!BC34*'Use 2024'!$C34</f>
        <v>0</v>
      </c>
      <c r="BD35" s="12">
        <f>'Supply2024-coding'!BD34*'Use 2024'!$C34</f>
        <v>0</v>
      </c>
      <c r="BE35" s="12">
        <f>'Supply2024-coding'!BE34*'Use 2024'!$C34</f>
        <v>0</v>
      </c>
      <c r="BF35" s="12">
        <f>'Supply2024-coding'!BF34*'Use 2024'!$C34</f>
        <v>0</v>
      </c>
      <c r="BG35" s="12">
        <f>'Supply2024-coding'!BG34*'Use 2024'!$C34</f>
        <v>0</v>
      </c>
      <c r="BH35" s="12">
        <f>'Supply2024-coding'!BH34*'Use 2024'!$C34</f>
        <v>0</v>
      </c>
      <c r="BI35" s="12">
        <f>'Supply2024-coding'!BI34*'Use 2024'!$C34</f>
        <v>0</v>
      </c>
      <c r="BJ35" s="12">
        <f>'Supply2024-coding'!BJ34*'Use 2024'!$C34</f>
        <v>0</v>
      </c>
      <c r="BK35" s="12">
        <f>'Supply2024-coding'!BK34*'Use 2024'!$C34</f>
        <v>0</v>
      </c>
      <c r="BL35" s="12">
        <f>'Supply2024-coding'!BL34*'Use 2024'!$C34</f>
        <v>0</v>
      </c>
      <c r="BM35" s="12">
        <f>'Supply2024-coding'!BM34*'Use 2024'!$C34</f>
        <v>0</v>
      </c>
      <c r="BN35" s="12">
        <f>'Supply2024-coding'!BN34*'Use 2024'!$C34</f>
        <v>0</v>
      </c>
      <c r="BO35" s="12">
        <f>'Supply2024-coding'!BO34*'Use 2024'!$C34</f>
        <v>0</v>
      </c>
      <c r="BP35" s="12">
        <f>'Supply2024-coding'!BP34*'Use 2024'!$C34</f>
        <v>0</v>
      </c>
      <c r="BQ35" s="12">
        <f>'Supply2024-coding'!BQ34*'Use 2024'!$C34</f>
        <v>0</v>
      </c>
      <c r="BR35" s="12">
        <f>'Supply2024-coding'!BR34*'Use 2024'!$C34</f>
        <v>0</v>
      </c>
      <c r="BS35" s="12">
        <f>'Supply2024-coding'!BS34*'Use 2024'!$C34</f>
        <v>0</v>
      </c>
      <c r="BT35" s="12">
        <f>'Supply2024-coding'!BT34*'Use 2024'!$C34</f>
        <v>0</v>
      </c>
      <c r="BU35" s="12">
        <f>'Supply2024-coding'!BU34*'Use 2024'!$C34</f>
        <v>4.7938490492163549E-5</v>
      </c>
      <c r="BV35" s="12">
        <f>'Supply2024-coding'!BV34*'Use 2024'!$C34</f>
        <v>3.2283318559246199E-4</v>
      </c>
      <c r="BW35" s="12">
        <f>'Supply2024-coding'!BW34*'Use 2024'!$C34</f>
        <v>0</v>
      </c>
      <c r="BX35" s="12">
        <f>'Supply2024-coding'!BX34*'Use 2024'!$C34</f>
        <v>2.9398055729530316E-3</v>
      </c>
      <c r="BY35" s="12">
        <f>'Supply2024-coding'!BY34*'Use 2024'!$C34</f>
        <v>2.9888484356872054E-4</v>
      </c>
      <c r="BZ35" s="12">
        <f>'Supply2024-coding'!BZ34*'Use 2024'!$C34</f>
        <v>0</v>
      </c>
      <c r="CA35" s="12" t="e">
        <f>'Supply2024-coding'!CA34*'Use 2024'!$C34</f>
        <v>#DIV/0!</v>
      </c>
      <c r="CB35" s="12">
        <f>'Supply2024-coding'!CB34*'Use 2024'!$C34</f>
        <v>13522.37971952535</v>
      </c>
      <c r="CC35" s="12">
        <f>'Supply2024-coding'!CC34*'Use 2024'!$C34</f>
        <v>0</v>
      </c>
      <c r="CD35" s="12">
        <f>'Supply2024-coding'!CD34*'Use 2024'!$C34</f>
        <v>1.341939774900113E-4</v>
      </c>
      <c r="CE35" s="12">
        <f>'Supply2024-coding'!CE34*'Use 2024'!$C34</f>
        <v>8.488161700554846E-3</v>
      </c>
      <c r="CF35" s="12">
        <f>'Supply2024-coding'!CF34*'Use 2024'!$C34</f>
        <v>-6.1575605038083326E-4</v>
      </c>
      <c r="CG35" s="12">
        <f>'Supply2024-coding'!CG34*'Use 2024'!$C34</f>
        <v>3.3413121451448596E-5</v>
      </c>
    </row>
    <row r="36" spans="1:85" x14ac:dyDescent="0.25">
      <c r="A36" t="s">
        <v>34</v>
      </c>
      <c r="B36" t="s">
        <v>127</v>
      </c>
      <c r="C36" s="12">
        <f>'Supply2024-coding'!C35*'Use 2024'!$C35</f>
        <v>0</v>
      </c>
      <c r="D36" s="12">
        <f>'Supply2024-coding'!D35*'Use 2024'!$C35</f>
        <v>0</v>
      </c>
      <c r="E36" s="12">
        <f>'Supply2024-coding'!E35*'Use 2024'!$C35</f>
        <v>0</v>
      </c>
      <c r="F36" s="12">
        <f>'Supply2024-coding'!F35*'Use 2024'!$C35</f>
        <v>0</v>
      </c>
      <c r="G36" s="12">
        <f>'Supply2024-coding'!G35*'Use 2024'!$C35</f>
        <v>0</v>
      </c>
      <c r="H36" s="12">
        <f>'Supply2024-coding'!H35*'Use 2024'!$C35</f>
        <v>0</v>
      </c>
      <c r="I36" s="12">
        <f>'Supply2024-coding'!I35*'Use 2024'!$C35</f>
        <v>0</v>
      </c>
      <c r="J36" s="12">
        <f>'Supply2024-coding'!J35*'Use 2024'!$C35</f>
        <v>0</v>
      </c>
      <c r="K36" s="12">
        <f>'Supply2024-coding'!K35*'Use 2024'!$C35</f>
        <v>0</v>
      </c>
      <c r="L36" s="12">
        <f>'Supply2024-coding'!L35*'Use 2024'!$C35</f>
        <v>0</v>
      </c>
      <c r="M36" s="12">
        <f>'Supply2024-coding'!M35*'Use 2024'!$C35</f>
        <v>0</v>
      </c>
      <c r="N36" s="12">
        <f>'Supply2024-coding'!N35*'Use 2024'!$C35</f>
        <v>0</v>
      </c>
      <c r="O36" s="12">
        <f>'Supply2024-coding'!O35*'Use 2024'!$C35</f>
        <v>0</v>
      </c>
      <c r="P36" s="12">
        <f>'Supply2024-coding'!P35*'Use 2024'!$C35</f>
        <v>0</v>
      </c>
      <c r="Q36" s="12">
        <f>'Supply2024-coding'!Q35*'Use 2024'!$C35</f>
        <v>0</v>
      </c>
      <c r="R36" s="12">
        <f>'Supply2024-coding'!R35*'Use 2024'!$C35</f>
        <v>0</v>
      </c>
      <c r="S36" s="12">
        <f>'Supply2024-coding'!S35*'Use 2024'!$C35</f>
        <v>0</v>
      </c>
      <c r="T36" s="12">
        <f>'Supply2024-coding'!T35*'Use 2024'!$C35</f>
        <v>0</v>
      </c>
      <c r="U36" s="12">
        <f>'Supply2024-coding'!U35*'Use 2024'!$C35</f>
        <v>0</v>
      </c>
      <c r="V36" s="12">
        <f>'Supply2024-coding'!V35*'Use 2024'!$C35</f>
        <v>0</v>
      </c>
      <c r="W36" s="12">
        <f>'Supply2024-coding'!W35*'Use 2024'!$C35</f>
        <v>0</v>
      </c>
      <c r="X36" s="12">
        <f>'Supply2024-coding'!X35*'Use 2024'!$C35</f>
        <v>0</v>
      </c>
      <c r="Y36" s="12">
        <f>'Supply2024-coding'!Y35*'Use 2024'!$C35</f>
        <v>0</v>
      </c>
      <c r="Z36" s="12">
        <f>'Supply2024-coding'!Z35*'Use 2024'!$C35</f>
        <v>0</v>
      </c>
      <c r="AA36" s="12">
        <f>'Supply2024-coding'!AA35*'Use 2024'!$C35</f>
        <v>0</v>
      </c>
      <c r="AB36" s="12">
        <f>'Supply2024-coding'!AB35*'Use 2024'!$C35</f>
        <v>0</v>
      </c>
      <c r="AC36" s="12">
        <f>'Supply2024-coding'!AC35*'Use 2024'!$C35</f>
        <v>0</v>
      </c>
      <c r="AD36" s="12">
        <f>'Supply2024-coding'!AD35*'Use 2024'!$C35</f>
        <v>0</v>
      </c>
      <c r="AE36" s="12">
        <f>'Supply2024-coding'!AE35*'Use 2024'!$C35</f>
        <v>0</v>
      </c>
      <c r="AF36" s="12">
        <f>'Supply2024-coding'!AF35*'Use 2024'!$C35</f>
        <v>0</v>
      </c>
      <c r="AG36" s="12">
        <f>'Supply2024-coding'!AG35*'Use 2024'!$C35</f>
        <v>0</v>
      </c>
      <c r="AH36" s="12">
        <f>'Supply2024-coding'!AH35*'Use 2024'!$C35</f>
        <v>0</v>
      </c>
      <c r="AI36" s="12">
        <f>'Supply2024-coding'!AI35*'Use 2024'!$C35</f>
        <v>0</v>
      </c>
      <c r="AJ36" s="12">
        <f>'Supply2024-coding'!AJ35*'Use 2024'!$C35</f>
        <v>0.81367070329416036</v>
      </c>
      <c r="AK36" s="12">
        <f>'Supply2024-coding'!AK35*'Use 2024'!$C35</f>
        <v>0</v>
      </c>
      <c r="AL36" s="12">
        <f>'Supply2024-coding'!AL35*'Use 2024'!$C35</f>
        <v>0</v>
      </c>
      <c r="AM36" s="12">
        <f>'Supply2024-coding'!AM35*'Use 2024'!$C35</f>
        <v>0</v>
      </c>
      <c r="AN36" s="12">
        <f>'Supply2024-coding'!AN35*'Use 2024'!$C35</f>
        <v>9.1298950531497846E-4</v>
      </c>
      <c r="AO36" s="12">
        <f>'Supply2024-coding'!AO35*'Use 2024'!$C35</f>
        <v>0</v>
      </c>
      <c r="AP36" s="12">
        <f>'Supply2024-coding'!AP35*'Use 2024'!$C35</f>
        <v>0</v>
      </c>
      <c r="AQ36" s="12">
        <f>'Supply2024-coding'!AQ35*'Use 2024'!$C35</f>
        <v>0</v>
      </c>
      <c r="AR36" s="12">
        <f>'Supply2024-coding'!AR35*'Use 2024'!$C35</f>
        <v>0</v>
      </c>
      <c r="AS36" s="12">
        <f>'Supply2024-coding'!AS35*'Use 2024'!$C35</f>
        <v>0</v>
      </c>
      <c r="AT36" s="12">
        <f>'Supply2024-coding'!AT35*'Use 2024'!$C35</f>
        <v>0</v>
      </c>
      <c r="AU36" s="12">
        <f>'Supply2024-coding'!AU35*'Use 2024'!$C35</f>
        <v>0</v>
      </c>
      <c r="AV36" s="12">
        <f>'Supply2024-coding'!AV35*'Use 2024'!$C35</f>
        <v>0</v>
      </c>
      <c r="AW36" s="12">
        <f>'Supply2024-coding'!AW35*'Use 2024'!$C35</f>
        <v>0</v>
      </c>
      <c r="AX36" s="12">
        <f>'Supply2024-coding'!AX35*'Use 2024'!$C35</f>
        <v>0</v>
      </c>
      <c r="AY36" s="12">
        <f>'Supply2024-coding'!AY35*'Use 2024'!$C35</f>
        <v>0</v>
      </c>
      <c r="AZ36" s="12">
        <f>'Supply2024-coding'!AZ35*'Use 2024'!$C35</f>
        <v>0</v>
      </c>
      <c r="BA36" s="12">
        <f>'Supply2024-coding'!BA35*'Use 2024'!$C35</f>
        <v>0</v>
      </c>
      <c r="BB36" s="12">
        <f>'Supply2024-coding'!BB35*'Use 2024'!$C35</f>
        <v>0</v>
      </c>
      <c r="BC36" s="12">
        <f>'Supply2024-coding'!BC35*'Use 2024'!$C35</f>
        <v>0</v>
      </c>
      <c r="BD36" s="12">
        <f>'Supply2024-coding'!BD35*'Use 2024'!$C35</f>
        <v>0</v>
      </c>
      <c r="BE36" s="12">
        <f>'Supply2024-coding'!BE35*'Use 2024'!$C35</f>
        <v>0</v>
      </c>
      <c r="BF36" s="12">
        <f>'Supply2024-coding'!BF35*'Use 2024'!$C35</f>
        <v>0</v>
      </c>
      <c r="BG36" s="12">
        <f>'Supply2024-coding'!BG35*'Use 2024'!$C35</f>
        <v>0</v>
      </c>
      <c r="BH36" s="12">
        <f>'Supply2024-coding'!BH35*'Use 2024'!$C35</f>
        <v>0</v>
      </c>
      <c r="BI36" s="12">
        <f>'Supply2024-coding'!BI35*'Use 2024'!$C35</f>
        <v>0</v>
      </c>
      <c r="BJ36" s="12">
        <f>'Supply2024-coding'!BJ35*'Use 2024'!$C35</f>
        <v>0</v>
      </c>
      <c r="BK36" s="12">
        <f>'Supply2024-coding'!BK35*'Use 2024'!$C35</f>
        <v>0</v>
      </c>
      <c r="BL36" s="12">
        <f>'Supply2024-coding'!BL35*'Use 2024'!$C35</f>
        <v>0</v>
      </c>
      <c r="BM36" s="12">
        <f>'Supply2024-coding'!BM35*'Use 2024'!$C35</f>
        <v>0</v>
      </c>
      <c r="BN36" s="12">
        <f>'Supply2024-coding'!BN35*'Use 2024'!$C35</f>
        <v>0</v>
      </c>
      <c r="BO36" s="12">
        <f>'Supply2024-coding'!BO35*'Use 2024'!$C35</f>
        <v>0</v>
      </c>
      <c r="BP36" s="12">
        <f>'Supply2024-coding'!BP35*'Use 2024'!$C35</f>
        <v>0</v>
      </c>
      <c r="BQ36" s="12">
        <f>'Supply2024-coding'!BQ35*'Use 2024'!$C35</f>
        <v>0</v>
      </c>
      <c r="BR36" s="12">
        <f>'Supply2024-coding'!BR35*'Use 2024'!$C35</f>
        <v>0</v>
      </c>
      <c r="BS36" s="12">
        <f>'Supply2024-coding'!BS35*'Use 2024'!$C35</f>
        <v>0</v>
      </c>
      <c r="BT36" s="12">
        <f>'Supply2024-coding'!BT35*'Use 2024'!$C35</f>
        <v>0</v>
      </c>
      <c r="BU36" s="12">
        <f>'Supply2024-coding'!BU35*'Use 2024'!$C35</f>
        <v>1.200633577024279E-3</v>
      </c>
      <c r="BV36" s="12">
        <f>'Supply2024-coding'!BV35*'Use 2024'!$C35</f>
        <v>1.2825960300162059E-3</v>
      </c>
      <c r="BW36" s="12">
        <f>'Supply2024-coding'!BW35*'Use 2024'!$C35</f>
        <v>0</v>
      </c>
      <c r="BX36" s="12">
        <f>'Supply2024-coding'!BX35*'Use 2024'!$C35</f>
        <v>0.46468082559148755</v>
      </c>
      <c r="BY36" s="12">
        <f>'Supply2024-coding'!BY35*'Use 2024'!$C35</f>
        <v>9.2634206102012811E-4</v>
      </c>
      <c r="BZ36" s="12">
        <f>'Supply2024-coding'!BZ35*'Use 2024'!$C35</f>
        <v>0</v>
      </c>
      <c r="CA36" s="12" t="e">
        <f>'Supply2024-coding'!CA35*'Use 2024'!$C35</f>
        <v>#DIV/0!</v>
      </c>
      <c r="CB36" s="12">
        <f>'Supply2024-coding'!CB35*'Use 2024'!$C35</f>
        <v>13454.535845537819</v>
      </c>
      <c r="CC36" s="12">
        <f>'Supply2024-coding'!CC35*'Use 2024'!$C35</f>
        <v>0</v>
      </c>
      <c r="CD36" s="12">
        <f>'Supply2024-coding'!CD35*'Use 2024'!$C35</f>
        <v>2.8712036429905531E-4</v>
      </c>
      <c r="CE36" s="12">
        <f>'Supply2024-coding'!CE35*'Use 2024'!$C35</f>
        <v>4.8155389208874713E-5</v>
      </c>
      <c r="CF36" s="12">
        <f>'Supply2024-coding'!CF35*'Use 2024'!$C35</f>
        <v>2.8450083795161199E-4</v>
      </c>
      <c r="CG36" s="12">
        <f>'Supply2024-coding'!CG35*'Use 2024'!$C35</f>
        <v>6.6718187458081639E-4</v>
      </c>
    </row>
    <row r="37" spans="1:85" x14ac:dyDescent="0.25">
      <c r="A37" t="s">
        <v>35</v>
      </c>
      <c r="B37" t="s">
        <v>128</v>
      </c>
      <c r="C37" s="12">
        <f>'Supply2024-coding'!C36*'Use 2024'!$C36</f>
        <v>0</v>
      </c>
      <c r="D37" s="12">
        <f>'Supply2024-coding'!D36*'Use 2024'!$C36</f>
        <v>0</v>
      </c>
      <c r="E37" s="12">
        <f>'Supply2024-coding'!E36*'Use 2024'!$C36</f>
        <v>0</v>
      </c>
      <c r="F37" s="12">
        <f>'Supply2024-coding'!F36*'Use 2024'!$C36</f>
        <v>0</v>
      </c>
      <c r="G37" s="12">
        <f>'Supply2024-coding'!G36*'Use 2024'!$C36</f>
        <v>0</v>
      </c>
      <c r="H37" s="12">
        <f>'Supply2024-coding'!H36*'Use 2024'!$C36</f>
        <v>0</v>
      </c>
      <c r="I37" s="12">
        <f>'Supply2024-coding'!I36*'Use 2024'!$C36</f>
        <v>0</v>
      </c>
      <c r="J37" s="12">
        <f>'Supply2024-coding'!J36*'Use 2024'!$C36</f>
        <v>0</v>
      </c>
      <c r="K37" s="12">
        <f>'Supply2024-coding'!K36*'Use 2024'!$C36</f>
        <v>0</v>
      </c>
      <c r="L37" s="12">
        <f>'Supply2024-coding'!L36*'Use 2024'!$C36</f>
        <v>0</v>
      </c>
      <c r="M37" s="12">
        <f>'Supply2024-coding'!M36*'Use 2024'!$C36</f>
        <v>0</v>
      </c>
      <c r="N37" s="12">
        <f>'Supply2024-coding'!N36*'Use 2024'!$C36</f>
        <v>0</v>
      </c>
      <c r="O37" s="12">
        <f>'Supply2024-coding'!O36*'Use 2024'!$C36</f>
        <v>0</v>
      </c>
      <c r="P37" s="12">
        <f>'Supply2024-coding'!P36*'Use 2024'!$C36</f>
        <v>0</v>
      </c>
      <c r="Q37" s="12">
        <f>'Supply2024-coding'!Q36*'Use 2024'!$C36</f>
        <v>0</v>
      </c>
      <c r="R37" s="12">
        <f>'Supply2024-coding'!R36*'Use 2024'!$C36</f>
        <v>0</v>
      </c>
      <c r="S37" s="12">
        <f>'Supply2024-coding'!S36*'Use 2024'!$C36</f>
        <v>0</v>
      </c>
      <c r="T37" s="12">
        <f>'Supply2024-coding'!T36*'Use 2024'!$C36</f>
        <v>0</v>
      </c>
      <c r="U37" s="12">
        <f>'Supply2024-coding'!U36*'Use 2024'!$C36</f>
        <v>0</v>
      </c>
      <c r="V37" s="12">
        <f>'Supply2024-coding'!V36*'Use 2024'!$C36</f>
        <v>0</v>
      </c>
      <c r="W37" s="12">
        <f>'Supply2024-coding'!W36*'Use 2024'!$C36</f>
        <v>0</v>
      </c>
      <c r="X37" s="12">
        <f>'Supply2024-coding'!X36*'Use 2024'!$C36</f>
        <v>0</v>
      </c>
      <c r="Y37" s="12">
        <f>'Supply2024-coding'!Y36*'Use 2024'!$C36</f>
        <v>0</v>
      </c>
      <c r="Z37" s="12">
        <f>'Supply2024-coding'!Z36*'Use 2024'!$C36</f>
        <v>0</v>
      </c>
      <c r="AA37" s="12">
        <f>'Supply2024-coding'!AA36*'Use 2024'!$C36</f>
        <v>0</v>
      </c>
      <c r="AB37" s="12">
        <f>'Supply2024-coding'!AB36*'Use 2024'!$C36</f>
        <v>0</v>
      </c>
      <c r="AC37" s="12">
        <f>'Supply2024-coding'!AC36*'Use 2024'!$C36</f>
        <v>0</v>
      </c>
      <c r="AD37" s="12">
        <f>'Supply2024-coding'!AD36*'Use 2024'!$C36</f>
        <v>0</v>
      </c>
      <c r="AE37" s="12">
        <f>'Supply2024-coding'!AE36*'Use 2024'!$C36</f>
        <v>0</v>
      </c>
      <c r="AF37" s="12">
        <f>'Supply2024-coding'!AF36*'Use 2024'!$C36</f>
        <v>0</v>
      </c>
      <c r="AG37" s="12">
        <f>'Supply2024-coding'!AG36*'Use 2024'!$C36</f>
        <v>0</v>
      </c>
      <c r="AH37" s="12">
        <f>'Supply2024-coding'!AH36*'Use 2024'!$C36</f>
        <v>0</v>
      </c>
      <c r="AI37" s="12">
        <f>'Supply2024-coding'!AI36*'Use 2024'!$C36</f>
        <v>0</v>
      </c>
      <c r="AJ37" s="12">
        <f>'Supply2024-coding'!AJ36*'Use 2024'!$C36</f>
        <v>0</v>
      </c>
      <c r="AK37" s="12">
        <f>'Supply2024-coding'!AK36*'Use 2024'!$C36</f>
        <v>0.17255863783241851</v>
      </c>
      <c r="AL37" s="12">
        <f>'Supply2024-coding'!AL36*'Use 2024'!$C36</f>
        <v>0</v>
      </c>
      <c r="AM37" s="12">
        <f>'Supply2024-coding'!AM36*'Use 2024'!$C36</f>
        <v>0</v>
      </c>
      <c r="AN37" s="12">
        <f>'Supply2024-coding'!AN36*'Use 2024'!$C36</f>
        <v>4.7408566060638758E-4</v>
      </c>
      <c r="AO37" s="12">
        <f>'Supply2024-coding'!AO36*'Use 2024'!$C36</f>
        <v>4.7999700142426459E-4</v>
      </c>
      <c r="AP37" s="12">
        <f>'Supply2024-coding'!AP36*'Use 2024'!$C36</f>
        <v>0</v>
      </c>
      <c r="AQ37" s="12">
        <f>'Supply2024-coding'!AQ36*'Use 2024'!$C36</f>
        <v>0</v>
      </c>
      <c r="AR37" s="12">
        <f>'Supply2024-coding'!AR36*'Use 2024'!$C36</f>
        <v>0</v>
      </c>
      <c r="AS37" s="12">
        <f>'Supply2024-coding'!AS36*'Use 2024'!$C36</f>
        <v>0</v>
      </c>
      <c r="AT37" s="12">
        <f>'Supply2024-coding'!AT36*'Use 2024'!$C36</f>
        <v>0</v>
      </c>
      <c r="AU37" s="12">
        <f>'Supply2024-coding'!AU36*'Use 2024'!$C36</f>
        <v>0</v>
      </c>
      <c r="AV37" s="12">
        <f>'Supply2024-coding'!AV36*'Use 2024'!$C36</f>
        <v>0</v>
      </c>
      <c r="AW37" s="12">
        <f>'Supply2024-coding'!AW36*'Use 2024'!$C36</f>
        <v>0</v>
      </c>
      <c r="AX37" s="12">
        <f>'Supply2024-coding'!AX36*'Use 2024'!$C36</f>
        <v>0</v>
      </c>
      <c r="AY37" s="12">
        <f>'Supply2024-coding'!AY36*'Use 2024'!$C36</f>
        <v>0</v>
      </c>
      <c r="AZ37" s="12">
        <f>'Supply2024-coding'!AZ36*'Use 2024'!$C36</f>
        <v>4.7604435456529841E-4</v>
      </c>
      <c r="BA37" s="12">
        <f>'Supply2024-coding'!BA36*'Use 2024'!$C36</f>
        <v>0</v>
      </c>
      <c r="BB37" s="12">
        <f>'Supply2024-coding'!BB36*'Use 2024'!$C36</f>
        <v>0</v>
      </c>
      <c r="BC37" s="12">
        <f>'Supply2024-coding'!BC36*'Use 2024'!$C36</f>
        <v>0</v>
      </c>
      <c r="BD37" s="12">
        <f>'Supply2024-coding'!BD36*'Use 2024'!$C36</f>
        <v>0</v>
      </c>
      <c r="BE37" s="12">
        <f>'Supply2024-coding'!BE36*'Use 2024'!$C36</f>
        <v>0</v>
      </c>
      <c r="BF37" s="12">
        <f>'Supply2024-coding'!BF36*'Use 2024'!$C36</f>
        <v>0</v>
      </c>
      <c r="BG37" s="12">
        <f>'Supply2024-coding'!BG36*'Use 2024'!$C36</f>
        <v>0</v>
      </c>
      <c r="BH37" s="12">
        <f>'Supply2024-coding'!BH36*'Use 2024'!$C36</f>
        <v>0</v>
      </c>
      <c r="BI37" s="12">
        <f>'Supply2024-coding'!BI36*'Use 2024'!$C36</f>
        <v>0</v>
      </c>
      <c r="BJ37" s="12">
        <f>'Supply2024-coding'!BJ36*'Use 2024'!$C36</f>
        <v>0</v>
      </c>
      <c r="BK37" s="12">
        <f>'Supply2024-coding'!BK36*'Use 2024'!$C36</f>
        <v>0</v>
      </c>
      <c r="BL37" s="12">
        <f>'Supply2024-coding'!BL36*'Use 2024'!$C36</f>
        <v>0</v>
      </c>
      <c r="BM37" s="12">
        <f>'Supply2024-coding'!BM36*'Use 2024'!$C36</f>
        <v>0</v>
      </c>
      <c r="BN37" s="12">
        <f>'Supply2024-coding'!BN36*'Use 2024'!$C36</f>
        <v>0</v>
      </c>
      <c r="BO37" s="12">
        <f>'Supply2024-coding'!BO36*'Use 2024'!$C36</f>
        <v>0</v>
      </c>
      <c r="BP37" s="12">
        <f>'Supply2024-coding'!BP36*'Use 2024'!$C36</f>
        <v>0</v>
      </c>
      <c r="BQ37" s="12">
        <f>'Supply2024-coding'!BQ36*'Use 2024'!$C36</f>
        <v>0</v>
      </c>
      <c r="BR37" s="12">
        <f>'Supply2024-coding'!BR36*'Use 2024'!$C36</f>
        <v>0</v>
      </c>
      <c r="BS37" s="12">
        <f>'Supply2024-coding'!BS36*'Use 2024'!$C36</f>
        <v>0</v>
      </c>
      <c r="BT37" s="12">
        <f>'Supply2024-coding'!BT36*'Use 2024'!$C36</f>
        <v>0</v>
      </c>
      <c r="BU37" s="12">
        <f>'Supply2024-coding'!BU36*'Use 2024'!$C36</f>
        <v>0</v>
      </c>
      <c r="BV37" s="12">
        <f>'Supply2024-coding'!BV36*'Use 2024'!$C36</f>
        <v>1.8376639642849306E-3</v>
      </c>
      <c r="BW37" s="12">
        <f>'Supply2024-coding'!BW36*'Use 2024'!$C36</f>
        <v>0</v>
      </c>
      <c r="BX37" s="12">
        <f>'Supply2024-coding'!BX36*'Use 2024'!$C36</f>
        <v>4.3474231502946117E-2</v>
      </c>
      <c r="BY37" s="12">
        <f>'Supply2024-coding'!BY36*'Use 2024'!$C36</f>
        <v>1.6859289693531947E-3</v>
      </c>
      <c r="BZ37" s="12">
        <f>'Supply2024-coding'!BZ36*'Use 2024'!$C36</f>
        <v>0</v>
      </c>
      <c r="CA37" s="12" t="e">
        <f>'Supply2024-coding'!CA36*'Use 2024'!$C36</f>
        <v>#DIV/0!</v>
      </c>
      <c r="CB37" s="12">
        <f>'Supply2024-coding'!CB36*'Use 2024'!$C36</f>
        <v>76256.788383180421</v>
      </c>
      <c r="CC37" s="12">
        <f>'Supply2024-coding'!CC36*'Use 2024'!$C36</f>
        <v>0</v>
      </c>
      <c r="CD37" s="12">
        <f>'Supply2024-coding'!CD36*'Use 2024'!$C36</f>
        <v>7.733021019266352E-5</v>
      </c>
      <c r="CE37" s="12">
        <f>'Supply2024-coding'!CE36*'Use 2024'!$C36</f>
        <v>0</v>
      </c>
      <c r="CF37" s="12">
        <f>'Supply2024-coding'!CF36*'Use 2024'!$C36</f>
        <v>7.7771768642709822E-5</v>
      </c>
      <c r="CG37" s="12">
        <f>'Supply2024-coding'!CG36*'Use 2024'!$C36</f>
        <v>2.5475883491908971E-4</v>
      </c>
    </row>
    <row r="38" spans="1:85" x14ac:dyDescent="0.25">
      <c r="A38" t="s">
        <v>36</v>
      </c>
      <c r="B38" t="s">
        <v>129</v>
      </c>
      <c r="C38" s="12">
        <f>'Supply2024-coding'!C37*'Use 2024'!$C37</f>
        <v>0</v>
      </c>
      <c r="D38" s="12">
        <f>'Supply2024-coding'!D37*'Use 2024'!$C37</f>
        <v>0</v>
      </c>
      <c r="E38" s="12">
        <f>'Supply2024-coding'!E37*'Use 2024'!$C37</f>
        <v>0</v>
      </c>
      <c r="F38" s="12">
        <f>'Supply2024-coding'!F37*'Use 2024'!$C37</f>
        <v>0</v>
      </c>
      <c r="G38" s="12">
        <f>'Supply2024-coding'!G37*'Use 2024'!$C37</f>
        <v>0</v>
      </c>
      <c r="H38" s="12">
        <f>'Supply2024-coding'!H37*'Use 2024'!$C37</f>
        <v>0</v>
      </c>
      <c r="I38" s="12">
        <f>'Supply2024-coding'!I37*'Use 2024'!$C37</f>
        <v>0</v>
      </c>
      <c r="J38" s="12">
        <f>'Supply2024-coding'!J37*'Use 2024'!$C37</f>
        <v>0</v>
      </c>
      <c r="K38" s="12">
        <f>'Supply2024-coding'!K37*'Use 2024'!$C37</f>
        <v>0</v>
      </c>
      <c r="L38" s="12">
        <f>'Supply2024-coding'!L37*'Use 2024'!$C37</f>
        <v>0</v>
      </c>
      <c r="M38" s="12">
        <f>'Supply2024-coding'!M37*'Use 2024'!$C37</f>
        <v>0</v>
      </c>
      <c r="N38" s="12">
        <f>'Supply2024-coding'!N37*'Use 2024'!$C37</f>
        <v>0</v>
      </c>
      <c r="O38" s="12">
        <f>'Supply2024-coding'!O37*'Use 2024'!$C37</f>
        <v>0</v>
      </c>
      <c r="P38" s="12">
        <f>'Supply2024-coding'!P37*'Use 2024'!$C37</f>
        <v>0</v>
      </c>
      <c r="Q38" s="12">
        <f>'Supply2024-coding'!Q37*'Use 2024'!$C37</f>
        <v>0</v>
      </c>
      <c r="R38" s="12">
        <f>'Supply2024-coding'!R37*'Use 2024'!$C37</f>
        <v>0</v>
      </c>
      <c r="S38" s="12">
        <f>'Supply2024-coding'!S37*'Use 2024'!$C37</f>
        <v>0</v>
      </c>
      <c r="T38" s="12">
        <f>'Supply2024-coding'!T37*'Use 2024'!$C37</f>
        <v>0</v>
      </c>
      <c r="U38" s="12">
        <f>'Supply2024-coding'!U37*'Use 2024'!$C37</f>
        <v>0</v>
      </c>
      <c r="V38" s="12">
        <f>'Supply2024-coding'!V37*'Use 2024'!$C37</f>
        <v>0</v>
      </c>
      <c r="W38" s="12">
        <f>'Supply2024-coding'!W37*'Use 2024'!$C37</f>
        <v>0</v>
      </c>
      <c r="X38" s="12">
        <f>'Supply2024-coding'!X37*'Use 2024'!$C37</f>
        <v>0</v>
      </c>
      <c r="Y38" s="12">
        <f>'Supply2024-coding'!Y37*'Use 2024'!$C37</f>
        <v>0</v>
      </c>
      <c r="Z38" s="12">
        <f>'Supply2024-coding'!Z37*'Use 2024'!$C37</f>
        <v>0</v>
      </c>
      <c r="AA38" s="12">
        <f>'Supply2024-coding'!AA37*'Use 2024'!$C37</f>
        <v>0</v>
      </c>
      <c r="AB38" s="12">
        <f>'Supply2024-coding'!AB37*'Use 2024'!$C37</f>
        <v>0</v>
      </c>
      <c r="AC38" s="12">
        <f>'Supply2024-coding'!AC37*'Use 2024'!$C37</f>
        <v>0</v>
      </c>
      <c r="AD38" s="12">
        <f>'Supply2024-coding'!AD37*'Use 2024'!$C37</f>
        <v>0</v>
      </c>
      <c r="AE38" s="12">
        <f>'Supply2024-coding'!AE37*'Use 2024'!$C37</f>
        <v>0</v>
      </c>
      <c r="AF38" s="12">
        <f>'Supply2024-coding'!AF37*'Use 2024'!$C37</f>
        <v>0</v>
      </c>
      <c r="AG38" s="12">
        <f>'Supply2024-coding'!AG37*'Use 2024'!$C37</f>
        <v>0</v>
      </c>
      <c r="AH38" s="12">
        <f>'Supply2024-coding'!AH37*'Use 2024'!$C37</f>
        <v>0</v>
      </c>
      <c r="AI38" s="12">
        <f>'Supply2024-coding'!AI37*'Use 2024'!$C37</f>
        <v>0</v>
      </c>
      <c r="AJ38" s="12">
        <f>'Supply2024-coding'!AJ37*'Use 2024'!$C37</f>
        <v>0</v>
      </c>
      <c r="AK38" s="12">
        <f>'Supply2024-coding'!AK37*'Use 2024'!$C37</f>
        <v>0</v>
      </c>
      <c r="AL38" s="12">
        <f>'Supply2024-coding'!AL37*'Use 2024'!$C37</f>
        <v>0.43573687504807057</v>
      </c>
      <c r="AM38" s="12">
        <f>'Supply2024-coding'!AM37*'Use 2024'!$C37</f>
        <v>0</v>
      </c>
      <c r="AN38" s="12">
        <f>'Supply2024-coding'!AN37*'Use 2024'!$C37</f>
        <v>6.9663069546801115E-4</v>
      </c>
      <c r="AO38" s="12">
        <f>'Supply2024-coding'!AO37*'Use 2024'!$C37</f>
        <v>0</v>
      </c>
      <c r="AP38" s="12">
        <f>'Supply2024-coding'!AP37*'Use 2024'!$C37</f>
        <v>0</v>
      </c>
      <c r="AQ38" s="12">
        <f>'Supply2024-coding'!AQ37*'Use 2024'!$C37</f>
        <v>0</v>
      </c>
      <c r="AR38" s="12">
        <f>'Supply2024-coding'!AR37*'Use 2024'!$C37</f>
        <v>0</v>
      </c>
      <c r="AS38" s="12">
        <f>'Supply2024-coding'!AS37*'Use 2024'!$C37</f>
        <v>0</v>
      </c>
      <c r="AT38" s="12">
        <f>'Supply2024-coding'!AT37*'Use 2024'!$C37</f>
        <v>0</v>
      </c>
      <c r="AU38" s="12">
        <f>'Supply2024-coding'!AU37*'Use 2024'!$C37</f>
        <v>0</v>
      </c>
      <c r="AV38" s="12">
        <f>'Supply2024-coding'!AV37*'Use 2024'!$C37</f>
        <v>0</v>
      </c>
      <c r="AW38" s="12">
        <f>'Supply2024-coding'!AW37*'Use 2024'!$C37</f>
        <v>0</v>
      </c>
      <c r="AX38" s="12">
        <f>'Supply2024-coding'!AX37*'Use 2024'!$C37</f>
        <v>0</v>
      </c>
      <c r="AY38" s="12">
        <f>'Supply2024-coding'!AY37*'Use 2024'!$C37</f>
        <v>0</v>
      </c>
      <c r="AZ38" s="12">
        <f>'Supply2024-coding'!AZ37*'Use 2024'!$C37</f>
        <v>0</v>
      </c>
      <c r="BA38" s="12">
        <f>'Supply2024-coding'!BA37*'Use 2024'!$C37</f>
        <v>0</v>
      </c>
      <c r="BB38" s="12">
        <f>'Supply2024-coding'!BB37*'Use 2024'!$C37</f>
        <v>0</v>
      </c>
      <c r="BC38" s="12">
        <f>'Supply2024-coding'!BC37*'Use 2024'!$C37</f>
        <v>0</v>
      </c>
      <c r="BD38" s="12">
        <f>'Supply2024-coding'!BD37*'Use 2024'!$C37</f>
        <v>0</v>
      </c>
      <c r="BE38" s="12">
        <f>'Supply2024-coding'!BE37*'Use 2024'!$C37</f>
        <v>0</v>
      </c>
      <c r="BF38" s="12">
        <f>'Supply2024-coding'!BF37*'Use 2024'!$C37</f>
        <v>0</v>
      </c>
      <c r="BG38" s="12">
        <f>'Supply2024-coding'!BG37*'Use 2024'!$C37</f>
        <v>0</v>
      </c>
      <c r="BH38" s="12">
        <f>'Supply2024-coding'!BH37*'Use 2024'!$C37</f>
        <v>0</v>
      </c>
      <c r="BI38" s="12">
        <f>'Supply2024-coding'!BI37*'Use 2024'!$C37</f>
        <v>0</v>
      </c>
      <c r="BJ38" s="12">
        <f>'Supply2024-coding'!BJ37*'Use 2024'!$C37</f>
        <v>0</v>
      </c>
      <c r="BK38" s="12">
        <f>'Supply2024-coding'!BK37*'Use 2024'!$C37</f>
        <v>0</v>
      </c>
      <c r="BL38" s="12">
        <f>'Supply2024-coding'!BL37*'Use 2024'!$C37</f>
        <v>0</v>
      </c>
      <c r="BM38" s="12">
        <f>'Supply2024-coding'!BM37*'Use 2024'!$C37</f>
        <v>0</v>
      </c>
      <c r="BN38" s="12">
        <f>'Supply2024-coding'!BN37*'Use 2024'!$C37</f>
        <v>0</v>
      </c>
      <c r="BO38" s="12">
        <f>'Supply2024-coding'!BO37*'Use 2024'!$C37</f>
        <v>0</v>
      </c>
      <c r="BP38" s="12">
        <f>'Supply2024-coding'!BP37*'Use 2024'!$C37</f>
        <v>0</v>
      </c>
      <c r="BQ38" s="12">
        <f>'Supply2024-coding'!BQ37*'Use 2024'!$C37</f>
        <v>0</v>
      </c>
      <c r="BR38" s="12">
        <f>'Supply2024-coding'!BR37*'Use 2024'!$C37</f>
        <v>0</v>
      </c>
      <c r="BS38" s="12">
        <f>'Supply2024-coding'!BS37*'Use 2024'!$C37</f>
        <v>0</v>
      </c>
      <c r="BT38" s="12">
        <f>'Supply2024-coding'!BT37*'Use 2024'!$C37</f>
        <v>0</v>
      </c>
      <c r="BU38" s="12">
        <f>'Supply2024-coding'!BU37*'Use 2024'!$C37</f>
        <v>1.6647831231680912E-2</v>
      </c>
      <c r="BV38" s="12">
        <f>'Supply2024-coding'!BV37*'Use 2024'!$C37</f>
        <v>1.7313586901524121E-3</v>
      </c>
      <c r="BW38" s="12">
        <f>'Supply2024-coding'!BW37*'Use 2024'!$C37</f>
        <v>0</v>
      </c>
      <c r="BX38" s="12">
        <f>'Supply2024-coding'!BX37*'Use 2024'!$C37</f>
        <v>0</v>
      </c>
      <c r="BY38" s="12">
        <f>'Supply2024-coding'!BY37*'Use 2024'!$C37</f>
        <v>1.6120115792709699E-3</v>
      </c>
      <c r="BZ38" s="12">
        <f>'Supply2024-coding'!BZ37*'Use 2024'!$C37</f>
        <v>0</v>
      </c>
      <c r="CA38" s="12" t="e">
        <f>'Supply2024-coding'!CA37*'Use 2024'!$C37</f>
        <v>#DIV/0!</v>
      </c>
      <c r="CB38" s="12">
        <f>'Supply2024-coding'!CB37*'Use 2024'!$C37</f>
        <v>0</v>
      </c>
      <c r="CC38" s="12">
        <f>'Supply2024-coding'!CC37*'Use 2024'!$C37</f>
        <v>0</v>
      </c>
      <c r="CD38" s="12">
        <f>'Supply2024-coding'!CD37*'Use 2024'!$C37</f>
        <v>7.3197612625381704E-4</v>
      </c>
      <c r="CE38" s="12">
        <f>'Supply2024-coding'!CE37*'Use 2024'!$C37</f>
        <v>2.9071329524860582E-2</v>
      </c>
      <c r="CF38" s="12">
        <f>'Supply2024-coding'!CF37*'Use 2024'!$C37</f>
        <v>-1.8349923084406122E-3</v>
      </c>
      <c r="CG38" s="12">
        <f>'Supply2024-coding'!CG37*'Use 2024'!$C37</f>
        <v>1.5480145830912265E-3</v>
      </c>
    </row>
    <row r="39" spans="1:85" x14ac:dyDescent="0.25">
      <c r="A39" t="s">
        <v>37</v>
      </c>
      <c r="B39" t="s">
        <v>130</v>
      </c>
      <c r="C39" s="12">
        <f>'Supply2024-coding'!C38*'Use 2024'!$C38</f>
        <v>0</v>
      </c>
      <c r="D39" s="12">
        <f>'Supply2024-coding'!D38*'Use 2024'!$C38</f>
        <v>0</v>
      </c>
      <c r="E39" s="12">
        <f>'Supply2024-coding'!E38*'Use 2024'!$C38</f>
        <v>0</v>
      </c>
      <c r="F39" s="12">
        <f>'Supply2024-coding'!F38*'Use 2024'!$C38</f>
        <v>0</v>
      </c>
      <c r="G39" s="12">
        <f>'Supply2024-coding'!G38*'Use 2024'!$C38</f>
        <v>0</v>
      </c>
      <c r="H39" s="12">
        <f>'Supply2024-coding'!H38*'Use 2024'!$C38</f>
        <v>0</v>
      </c>
      <c r="I39" s="12">
        <f>'Supply2024-coding'!I38*'Use 2024'!$C38</f>
        <v>0</v>
      </c>
      <c r="J39" s="12">
        <f>'Supply2024-coding'!J38*'Use 2024'!$C38</f>
        <v>0</v>
      </c>
      <c r="K39" s="12">
        <f>'Supply2024-coding'!K38*'Use 2024'!$C38</f>
        <v>0</v>
      </c>
      <c r="L39" s="12">
        <f>'Supply2024-coding'!L38*'Use 2024'!$C38</f>
        <v>0</v>
      </c>
      <c r="M39" s="12">
        <f>'Supply2024-coding'!M38*'Use 2024'!$C38</f>
        <v>0</v>
      </c>
      <c r="N39" s="12">
        <f>'Supply2024-coding'!N38*'Use 2024'!$C38</f>
        <v>0</v>
      </c>
      <c r="O39" s="12">
        <f>'Supply2024-coding'!O38*'Use 2024'!$C38</f>
        <v>0</v>
      </c>
      <c r="P39" s="12">
        <f>'Supply2024-coding'!P38*'Use 2024'!$C38</f>
        <v>0</v>
      </c>
      <c r="Q39" s="12">
        <f>'Supply2024-coding'!Q38*'Use 2024'!$C38</f>
        <v>0</v>
      </c>
      <c r="R39" s="12">
        <f>'Supply2024-coding'!R38*'Use 2024'!$C38</f>
        <v>0</v>
      </c>
      <c r="S39" s="12">
        <f>'Supply2024-coding'!S38*'Use 2024'!$C38</f>
        <v>0</v>
      </c>
      <c r="T39" s="12">
        <f>'Supply2024-coding'!T38*'Use 2024'!$C38</f>
        <v>0</v>
      </c>
      <c r="U39" s="12">
        <f>'Supply2024-coding'!U38*'Use 2024'!$C38</f>
        <v>0</v>
      </c>
      <c r="V39" s="12">
        <f>'Supply2024-coding'!V38*'Use 2024'!$C38</f>
        <v>0</v>
      </c>
      <c r="W39" s="12">
        <f>'Supply2024-coding'!W38*'Use 2024'!$C38</f>
        <v>0</v>
      </c>
      <c r="X39" s="12">
        <f>'Supply2024-coding'!X38*'Use 2024'!$C38</f>
        <v>0</v>
      </c>
      <c r="Y39" s="12">
        <f>'Supply2024-coding'!Y38*'Use 2024'!$C38</f>
        <v>0</v>
      </c>
      <c r="Z39" s="12">
        <f>'Supply2024-coding'!Z38*'Use 2024'!$C38</f>
        <v>0</v>
      </c>
      <c r="AA39" s="12">
        <f>'Supply2024-coding'!AA38*'Use 2024'!$C38</f>
        <v>0</v>
      </c>
      <c r="AB39" s="12">
        <f>'Supply2024-coding'!AB38*'Use 2024'!$C38</f>
        <v>0</v>
      </c>
      <c r="AC39" s="12">
        <f>'Supply2024-coding'!AC38*'Use 2024'!$C38</f>
        <v>0</v>
      </c>
      <c r="AD39" s="12">
        <f>'Supply2024-coding'!AD38*'Use 2024'!$C38</f>
        <v>0</v>
      </c>
      <c r="AE39" s="12">
        <f>'Supply2024-coding'!AE38*'Use 2024'!$C38</f>
        <v>0</v>
      </c>
      <c r="AF39" s="12">
        <f>'Supply2024-coding'!AF38*'Use 2024'!$C38</f>
        <v>0</v>
      </c>
      <c r="AG39" s="12">
        <f>'Supply2024-coding'!AG38*'Use 2024'!$C38</f>
        <v>0</v>
      </c>
      <c r="AH39" s="12">
        <f>'Supply2024-coding'!AH38*'Use 2024'!$C38</f>
        <v>0</v>
      </c>
      <c r="AI39" s="12">
        <f>'Supply2024-coding'!AI38*'Use 2024'!$C38</f>
        <v>0</v>
      </c>
      <c r="AJ39" s="12">
        <f>'Supply2024-coding'!AJ38*'Use 2024'!$C38</f>
        <v>0</v>
      </c>
      <c r="AK39" s="12">
        <f>'Supply2024-coding'!AK38*'Use 2024'!$C38</f>
        <v>0</v>
      </c>
      <c r="AL39" s="12">
        <f>'Supply2024-coding'!AL38*'Use 2024'!$C38</f>
        <v>0</v>
      </c>
      <c r="AM39" s="12">
        <f>'Supply2024-coding'!AM38*'Use 2024'!$C38</f>
        <v>0</v>
      </c>
      <c r="AN39" s="12">
        <f>'Supply2024-coding'!AN38*'Use 2024'!$C38</f>
        <v>0</v>
      </c>
      <c r="AO39" s="12">
        <f>'Supply2024-coding'!AO38*'Use 2024'!$C38</f>
        <v>0</v>
      </c>
      <c r="AP39" s="12">
        <f>'Supply2024-coding'!AP38*'Use 2024'!$C38</f>
        <v>0</v>
      </c>
      <c r="AQ39" s="12">
        <f>'Supply2024-coding'!AQ38*'Use 2024'!$C38</f>
        <v>0</v>
      </c>
      <c r="AR39" s="12">
        <f>'Supply2024-coding'!AR38*'Use 2024'!$C38</f>
        <v>0</v>
      </c>
      <c r="AS39" s="12">
        <f>'Supply2024-coding'!AS38*'Use 2024'!$C38</f>
        <v>0</v>
      </c>
      <c r="AT39" s="12">
        <f>'Supply2024-coding'!AT38*'Use 2024'!$C38</f>
        <v>0</v>
      </c>
      <c r="AU39" s="12">
        <f>'Supply2024-coding'!AU38*'Use 2024'!$C38</f>
        <v>0</v>
      </c>
      <c r="AV39" s="12">
        <f>'Supply2024-coding'!AV38*'Use 2024'!$C38</f>
        <v>0</v>
      </c>
      <c r="AW39" s="12">
        <f>'Supply2024-coding'!AW38*'Use 2024'!$C38</f>
        <v>0</v>
      </c>
      <c r="AX39" s="12">
        <f>'Supply2024-coding'!AX38*'Use 2024'!$C38</f>
        <v>0</v>
      </c>
      <c r="AY39" s="12">
        <f>'Supply2024-coding'!AY38*'Use 2024'!$C38</f>
        <v>0</v>
      </c>
      <c r="AZ39" s="12">
        <f>'Supply2024-coding'!AZ38*'Use 2024'!$C38</f>
        <v>0</v>
      </c>
      <c r="BA39" s="12">
        <f>'Supply2024-coding'!BA38*'Use 2024'!$C38</f>
        <v>0</v>
      </c>
      <c r="BB39" s="12">
        <f>'Supply2024-coding'!BB38*'Use 2024'!$C38</f>
        <v>0</v>
      </c>
      <c r="BC39" s="12">
        <f>'Supply2024-coding'!BC38*'Use 2024'!$C38</f>
        <v>0</v>
      </c>
      <c r="BD39" s="12">
        <f>'Supply2024-coding'!BD38*'Use 2024'!$C38</f>
        <v>0</v>
      </c>
      <c r="BE39" s="12">
        <f>'Supply2024-coding'!BE38*'Use 2024'!$C38</f>
        <v>0</v>
      </c>
      <c r="BF39" s="12">
        <f>'Supply2024-coding'!BF38*'Use 2024'!$C38</f>
        <v>0</v>
      </c>
      <c r="BG39" s="12">
        <f>'Supply2024-coding'!BG38*'Use 2024'!$C38</f>
        <v>0</v>
      </c>
      <c r="BH39" s="12">
        <f>'Supply2024-coding'!BH38*'Use 2024'!$C38</f>
        <v>0</v>
      </c>
      <c r="BI39" s="12">
        <f>'Supply2024-coding'!BI38*'Use 2024'!$C38</f>
        <v>0</v>
      </c>
      <c r="BJ39" s="12">
        <f>'Supply2024-coding'!BJ38*'Use 2024'!$C38</f>
        <v>0</v>
      </c>
      <c r="BK39" s="12">
        <f>'Supply2024-coding'!BK38*'Use 2024'!$C38</f>
        <v>0</v>
      </c>
      <c r="BL39" s="12">
        <f>'Supply2024-coding'!BL38*'Use 2024'!$C38</f>
        <v>0</v>
      </c>
      <c r="BM39" s="12">
        <f>'Supply2024-coding'!BM38*'Use 2024'!$C38</f>
        <v>0</v>
      </c>
      <c r="BN39" s="12">
        <f>'Supply2024-coding'!BN38*'Use 2024'!$C38</f>
        <v>0</v>
      </c>
      <c r="BO39" s="12">
        <f>'Supply2024-coding'!BO38*'Use 2024'!$C38</f>
        <v>0</v>
      </c>
      <c r="BP39" s="12">
        <f>'Supply2024-coding'!BP38*'Use 2024'!$C38</f>
        <v>0</v>
      </c>
      <c r="BQ39" s="12">
        <f>'Supply2024-coding'!BQ38*'Use 2024'!$C38</f>
        <v>0</v>
      </c>
      <c r="BR39" s="12">
        <f>'Supply2024-coding'!BR38*'Use 2024'!$C38</f>
        <v>0</v>
      </c>
      <c r="BS39" s="12">
        <f>'Supply2024-coding'!BS38*'Use 2024'!$C38</f>
        <v>0</v>
      </c>
      <c r="BT39" s="12">
        <f>'Supply2024-coding'!BT38*'Use 2024'!$C38</f>
        <v>0</v>
      </c>
      <c r="BU39" s="12">
        <f>'Supply2024-coding'!BU38*'Use 2024'!$C38</f>
        <v>0</v>
      </c>
      <c r="BV39" s="12">
        <f>'Supply2024-coding'!BV38*'Use 2024'!$C38</f>
        <v>0</v>
      </c>
      <c r="BW39" s="12">
        <f>'Supply2024-coding'!BW38*'Use 2024'!$C38</f>
        <v>0</v>
      </c>
      <c r="BX39" s="12">
        <f>'Supply2024-coding'!BX38*'Use 2024'!$C38</f>
        <v>0</v>
      </c>
      <c r="BY39" s="12">
        <f>'Supply2024-coding'!BY38*'Use 2024'!$C38</f>
        <v>0</v>
      </c>
      <c r="BZ39" s="12">
        <f>'Supply2024-coding'!BZ38*'Use 2024'!$C38</f>
        <v>0</v>
      </c>
      <c r="CA39" s="12" t="e">
        <f>'Supply2024-coding'!CA38*'Use 2024'!$C38</f>
        <v>#DIV/0!</v>
      </c>
      <c r="CB39" s="12">
        <f>'Supply2024-coding'!CB38*'Use 2024'!$C38</f>
        <v>0</v>
      </c>
      <c r="CC39" s="12">
        <f>'Supply2024-coding'!CC38*'Use 2024'!$C38</f>
        <v>0</v>
      </c>
      <c r="CD39" s="12">
        <f>'Supply2024-coding'!CD38*'Use 2024'!$C38</f>
        <v>0</v>
      </c>
      <c r="CE39" s="12">
        <f>'Supply2024-coding'!CE38*'Use 2024'!$C38</f>
        <v>0</v>
      </c>
      <c r="CF39" s="12">
        <f>'Supply2024-coding'!CF38*'Use 2024'!$C38</f>
        <v>0</v>
      </c>
      <c r="CG39" s="12">
        <f>'Supply2024-coding'!CG38*'Use 2024'!$C38</f>
        <v>0</v>
      </c>
    </row>
    <row r="40" spans="1:85" x14ac:dyDescent="0.25">
      <c r="A40" t="s">
        <v>38</v>
      </c>
      <c r="B40" t="s">
        <v>131</v>
      </c>
      <c r="C40" s="12">
        <f>'Supply2024-coding'!C39*'Use 2024'!$C39</f>
        <v>0</v>
      </c>
      <c r="D40" s="12">
        <f>'Supply2024-coding'!D39*'Use 2024'!$C39</f>
        <v>0</v>
      </c>
      <c r="E40" s="12">
        <f>'Supply2024-coding'!E39*'Use 2024'!$C39</f>
        <v>0</v>
      </c>
      <c r="F40" s="12">
        <f>'Supply2024-coding'!F39*'Use 2024'!$C39</f>
        <v>0</v>
      </c>
      <c r="G40" s="12">
        <f>'Supply2024-coding'!G39*'Use 2024'!$C39</f>
        <v>0</v>
      </c>
      <c r="H40" s="12">
        <f>'Supply2024-coding'!H39*'Use 2024'!$C39</f>
        <v>0</v>
      </c>
      <c r="I40" s="12">
        <f>'Supply2024-coding'!I39*'Use 2024'!$C39</f>
        <v>0</v>
      </c>
      <c r="J40" s="12">
        <f>'Supply2024-coding'!J39*'Use 2024'!$C39</f>
        <v>0</v>
      </c>
      <c r="K40" s="12">
        <f>'Supply2024-coding'!K39*'Use 2024'!$C39</f>
        <v>0</v>
      </c>
      <c r="L40" s="12">
        <f>'Supply2024-coding'!L39*'Use 2024'!$C39</f>
        <v>0</v>
      </c>
      <c r="M40" s="12">
        <f>'Supply2024-coding'!M39*'Use 2024'!$C39</f>
        <v>0</v>
      </c>
      <c r="N40" s="12">
        <f>'Supply2024-coding'!N39*'Use 2024'!$C39</f>
        <v>0</v>
      </c>
      <c r="O40" s="12">
        <f>'Supply2024-coding'!O39*'Use 2024'!$C39</f>
        <v>0</v>
      </c>
      <c r="P40" s="12">
        <f>'Supply2024-coding'!P39*'Use 2024'!$C39</f>
        <v>0</v>
      </c>
      <c r="Q40" s="12">
        <f>'Supply2024-coding'!Q39*'Use 2024'!$C39</f>
        <v>0</v>
      </c>
      <c r="R40" s="12">
        <f>'Supply2024-coding'!R39*'Use 2024'!$C39</f>
        <v>0</v>
      </c>
      <c r="S40" s="12">
        <f>'Supply2024-coding'!S39*'Use 2024'!$C39</f>
        <v>0</v>
      </c>
      <c r="T40" s="12">
        <f>'Supply2024-coding'!T39*'Use 2024'!$C39</f>
        <v>0</v>
      </c>
      <c r="U40" s="12">
        <f>'Supply2024-coding'!U39*'Use 2024'!$C39</f>
        <v>0</v>
      </c>
      <c r="V40" s="12">
        <f>'Supply2024-coding'!V39*'Use 2024'!$C39</f>
        <v>0</v>
      </c>
      <c r="W40" s="12">
        <f>'Supply2024-coding'!W39*'Use 2024'!$C39</f>
        <v>0</v>
      </c>
      <c r="X40" s="12">
        <f>'Supply2024-coding'!X39*'Use 2024'!$C39</f>
        <v>0</v>
      </c>
      <c r="Y40" s="12">
        <f>'Supply2024-coding'!Y39*'Use 2024'!$C39</f>
        <v>0</v>
      </c>
      <c r="Z40" s="12">
        <f>'Supply2024-coding'!Z39*'Use 2024'!$C39</f>
        <v>0</v>
      </c>
      <c r="AA40" s="12">
        <f>'Supply2024-coding'!AA39*'Use 2024'!$C39</f>
        <v>0</v>
      </c>
      <c r="AB40" s="12">
        <f>'Supply2024-coding'!AB39*'Use 2024'!$C39</f>
        <v>0</v>
      </c>
      <c r="AC40" s="12">
        <f>'Supply2024-coding'!AC39*'Use 2024'!$C39</f>
        <v>1.9507330207543039E-5</v>
      </c>
      <c r="AD40" s="12">
        <f>'Supply2024-coding'!AD39*'Use 2024'!$C39</f>
        <v>0</v>
      </c>
      <c r="AE40" s="12">
        <f>'Supply2024-coding'!AE39*'Use 2024'!$C39</f>
        <v>0</v>
      </c>
      <c r="AF40" s="12">
        <f>'Supply2024-coding'!AF39*'Use 2024'!$C39</f>
        <v>0</v>
      </c>
      <c r="AG40" s="12">
        <f>'Supply2024-coding'!AG39*'Use 2024'!$C39</f>
        <v>0</v>
      </c>
      <c r="AH40" s="12">
        <f>'Supply2024-coding'!AH39*'Use 2024'!$C39</f>
        <v>3.9200827430669363E-4</v>
      </c>
      <c r="AI40" s="12">
        <f>'Supply2024-coding'!AI39*'Use 2024'!$C39</f>
        <v>0</v>
      </c>
      <c r="AJ40" s="12">
        <f>'Supply2024-coding'!AJ39*'Use 2024'!$C39</f>
        <v>3.2771476513822509E-3</v>
      </c>
      <c r="AK40" s="12">
        <f>'Supply2024-coding'!AK39*'Use 2024'!$C39</f>
        <v>3.4145281812099542E-3</v>
      </c>
      <c r="AL40" s="12">
        <f>'Supply2024-coding'!AL39*'Use 2024'!$C39</f>
        <v>5.0507945079609001E-6</v>
      </c>
      <c r="AM40" s="12">
        <f>'Supply2024-coding'!AM39*'Use 2024'!$C39</f>
        <v>0</v>
      </c>
      <c r="AN40" s="12">
        <f>'Supply2024-coding'!AN39*'Use 2024'!$C39</f>
        <v>6.5689760901921537E-2</v>
      </c>
      <c r="AO40" s="12">
        <f>'Supply2024-coding'!AO39*'Use 2024'!$C39</f>
        <v>8.9401416473329693E-4</v>
      </c>
      <c r="AP40" s="12">
        <f>'Supply2024-coding'!AP39*'Use 2024'!$C39</f>
        <v>0</v>
      </c>
      <c r="AQ40" s="12">
        <f>'Supply2024-coding'!AQ39*'Use 2024'!$C39</f>
        <v>0</v>
      </c>
      <c r="AR40" s="12">
        <f>'Supply2024-coding'!AR39*'Use 2024'!$C39</f>
        <v>0</v>
      </c>
      <c r="AS40" s="12">
        <f>'Supply2024-coding'!AS39*'Use 2024'!$C39</f>
        <v>0</v>
      </c>
      <c r="AT40" s="12">
        <f>'Supply2024-coding'!AT39*'Use 2024'!$C39</f>
        <v>0</v>
      </c>
      <c r="AU40" s="12">
        <f>'Supply2024-coding'!AU39*'Use 2024'!$C39</f>
        <v>0</v>
      </c>
      <c r="AV40" s="12">
        <f>'Supply2024-coding'!AV39*'Use 2024'!$C39</f>
        <v>0</v>
      </c>
      <c r="AW40" s="12">
        <f>'Supply2024-coding'!AW39*'Use 2024'!$C39</f>
        <v>0</v>
      </c>
      <c r="AX40" s="12">
        <f>'Supply2024-coding'!AX39*'Use 2024'!$C39</f>
        <v>0</v>
      </c>
      <c r="AY40" s="12">
        <f>'Supply2024-coding'!AY39*'Use 2024'!$C39</f>
        <v>0</v>
      </c>
      <c r="AZ40" s="12">
        <f>'Supply2024-coding'!AZ39*'Use 2024'!$C39</f>
        <v>0</v>
      </c>
      <c r="BA40" s="12">
        <f>'Supply2024-coding'!BA39*'Use 2024'!$C39</f>
        <v>0</v>
      </c>
      <c r="BB40" s="12">
        <f>'Supply2024-coding'!BB39*'Use 2024'!$C39</f>
        <v>0</v>
      </c>
      <c r="BC40" s="12">
        <f>'Supply2024-coding'!BC39*'Use 2024'!$C39</f>
        <v>0</v>
      </c>
      <c r="BD40" s="12">
        <f>'Supply2024-coding'!BD39*'Use 2024'!$C39</f>
        <v>0</v>
      </c>
      <c r="BE40" s="12">
        <f>'Supply2024-coding'!BE39*'Use 2024'!$C39</f>
        <v>0</v>
      </c>
      <c r="BF40" s="12">
        <f>'Supply2024-coding'!BF39*'Use 2024'!$C39</f>
        <v>2.8067673126161153E-4</v>
      </c>
      <c r="BG40" s="12">
        <f>'Supply2024-coding'!BG39*'Use 2024'!$C39</f>
        <v>0</v>
      </c>
      <c r="BH40" s="12">
        <f>'Supply2024-coding'!BH39*'Use 2024'!$C39</f>
        <v>0</v>
      </c>
      <c r="BI40" s="12">
        <f>'Supply2024-coding'!BI39*'Use 2024'!$C39</f>
        <v>0</v>
      </c>
      <c r="BJ40" s="12">
        <f>'Supply2024-coding'!BJ39*'Use 2024'!$C39</f>
        <v>0</v>
      </c>
      <c r="BK40" s="12">
        <f>'Supply2024-coding'!BK39*'Use 2024'!$C39</f>
        <v>0</v>
      </c>
      <c r="BL40" s="12">
        <f>'Supply2024-coding'!BL39*'Use 2024'!$C39</f>
        <v>0</v>
      </c>
      <c r="BM40" s="12">
        <f>'Supply2024-coding'!BM39*'Use 2024'!$C39</f>
        <v>0</v>
      </c>
      <c r="BN40" s="12">
        <f>'Supply2024-coding'!BN39*'Use 2024'!$C39</f>
        <v>0</v>
      </c>
      <c r="BO40" s="12">
        <f>'Supply2024-coding'!BO39*'Use 2024'!$C39</f>
        <v>0</v>
      </c>
      <c r="BP40" s="12">
        <f>'Supply2024-coding'!BP39*'Use 2024'!$C39</f>
        <v>0</v>
      </c>
      <c r="BQ40" s="12">
        <f>'Supply2024-coding'!BQ39*'Use 2024'!$C39</f>
        <v>0</v>
      </c>
      <c r="BR40" s="12">
        <f>'Supply2024-coding'!BR39*'Use 2024'!$C39</f>
        <v>0</v>
      </c>
      <c r="BS40" s="12">
        <f>'Supply2024-coding'!BS39*'Use 2024'!$C39</f>
        <v>0</v>
      </c>
      <c r="BT40" s="12">
        <f>'Supply2024-coding'!BT39*'Use 2024'!$C39</f>
        <v>0</v>
      </c>
      <c r="BU40" s="12">
        <f>'Supply2024-coding'!BU39*'Use 2024'!$C39</f>
        <v>2.9249434292330156E-3</v>
      </c>
      <c r="BV40" s="12">
        <f>'Supply2024-coding'!BV39*'Use 2024'!$C39</f>
        <v>5.4879005738150597E-4</v>
      </c>
      <c r="BW40" s="12">
        <f>'Supply2024-coding'!BW39*'Use 2024'!$C39</f>
        <v>5.5417417177931005E-7</v>
      </c>
      <c r="BX40" s="12">
        <f>'Supply2024-coding'!BX39*'Use 2024'!$C39</f>
        <v>9.5091957808835052E-3</v>
      </c>
      <c r="BY40" s="12">
        <f>'Supply2024-coding'!BY39*'Use 2024'!$C39</f>
        <v>5.0551633635075629E-4</v>
      </c>
      <c r="BZ40" s="12">
        <f>'Supply2024-coding'!BZ39*'Use 2024'!$C39</f>
        <v>0</v>
      </c>
      <c r="CA40" s="12" t="e">
        <f>'Supply2024-coding'!CA39*'Use 2024'!$C39</f>
        <v>#DIV/0!</v>
      </c>
      <c r="CB40" s="12">
        <f>'Supply2024-coding'!CB39*'Use 2024'!$C39</f>
        <v>0</v>
      </c>
      <c r="CC40" s="12">
        <f>'Supply2024-coding'!CC39*'Use 2024'!$C39</f>
        <v>0</v>
      </c>
      <c r="CD40" s="12">
        <f>'Supply2024-coding'!CD39*'Use 2024'!$C39</f>
        <v>4.2585911201421242E-5</v>
      </c>
      <c r="CE40" s="12">
        <f>'Supply2024-coding'!CE39*'Use 2024'!$C39</f>
        <v>0</v>
      </c>
      <c r="CF40" s="12">
        <f>'Supply2024-coding'!CF39*'Use 2024'!$C39</f>
        <v>4.2829078378867923E-5</v>
      </c>
      <c r="CG40" s="12">
        <f>'Supply2024-coding'!CG39*'Use 2024'!$C39</f>
        <v>4.9692484565006E-4</v>
      </c>
    </row>
    <row r="41" spans="1:85" x14ac:dyDescent="0.25">
      <c r="A41" t="s">
        <v>39</v>
      </c>
      <c r="B41" t="s">
        <v>132</v>
      </c>
      <c r="C41" s="12">
        <f>'Supply2024-coding'!C40*'Use 2024'!$C40</f>
        <v>0</v>
      </c>
      <c r="D41" s="12">
        <f>'Supply2024-coding'!D40*'Use 2024'!$C40</f>
        <v>0</v>
      </c>
      <c r="E41" s="12">
        <f>'Supply2024-coding'!E40*'Use 2024'!$C40</f>
        <v>0</v>
      </c>
      <c r="F41" s="12">
        <f>'Supply2024-coding'!F40*'Use 2024'!$C40</f>
        <v>0</v>
      </c>
      <c r="G41" s="12">
        <f>'Supply2024-coding'!G40*'Use 2024'!$C40</f>
        <v>0</v>
      </c>
      <c r="H41" s="12">
        <f>'Supply2024-coding'!H40*'Use 2024'!$C40</f>
        <v>0</v>
      </c>
      <c r="I41" s="12">
        <f>'Supply2024-coding'!I40*'Use 2024'!$C40</f>
        <v>0</v>
      </c>
      <c r="J41" s="12">
        <f>'Supply2024-coding'!J40*'Use 2024'!$C40</f>
        <v>0</v>
      </c>
      <c r="K41" s="12">
        <f>'Supply2024-coding'!K40*'Use 2024'!$C40</f>
        <v>0</v>
      </c>
      <c r="L41" s="12">
        <f>'Supply2024-coding'!L40*'Use 2024'!$C40</f>
        <v>0</v>
      </c>
      <c r="M41" s="12">
        <f>'Supply2024-coding'!M40*'Use 2024'!$C40</f>
        <v>0</v>
      </c>
      <c r="N41" s="12">
        <f>'Supply2024-coding'!N40*'Use 2024'!$C40</f>
        <v>0</v>
      </c>
      <c r="O41" s="12">
        <f>'Supply2024-coding'!O40*'Use 2024'!$C40</f>
        <v>0</v>
      </c>
      <c r="P41" s="12">
        <f>'Supply2024-coding'!P40*'Use 2024'!$C40</f>
        <v>0</v>
      </c>
      <c r="Q41" s="12">
        <f>'Supply2024-coding'!Q40*'Use 2024'!$C40</f>
        <v>0</v>
      </c>
      <c r="R41" s="12">
        <f>'Supply2024-coding'!R40*'Use 2024'!$C40</f>
        <v>0</v>
      </c>
      <c r="S41" s="12">
        <f>'Supply2024-coding'!S40*'Use 2024'!$C40</f>
        <v>0</v>
      </c>
      <c r="T41" s="12">
        <f>'Supply2024-coding'!T40*'Use 2024'!$C40</f>
        <v>0</v>
      </c>
      <c r="U41" s="12">
        <f>'Supply2024-coding'!U40*'Use 2024'!$C40</f>
        <v>0</v>
      </c>
      <c r="V41" s="12">
        <f>'Supply2024-coding'!V40*'Use 2024'!$C40</f>
        <v>0</v>
      </c>
      <c r="W41" s="12">
        <f>'Supply2024-coding'!W40*'Use 2024'!$C40</f>
        <v>0</v>
      </c>
      <c r="X41" s="12">
        <f>'Supply2024-coding'!X40*'Use 2024'!$C40</f>
        <v>0</v>
      </c>
      <c r="Y41" s="12">
        <f>'Supply2024-coding'!Y40*'Use 2024'!$C40</f>
        <v>0</v>
      </c>
      <c r="Z41" s="12">
        <f>'Supply2024-coding'!Z40*'Use 2024'!$C40</f>
        <v>0</v>
      </c>
      <c r="AA41" s="12">
        <f>'Supply2024-coding'!AA40*'Use 2024'!$C40</f>
        <v>0</v>
      </c>
      <c r="AB41" s="12">
        <f>'Supply2024-coding'!AB40*'Use 2024'!$C40</f>
        <v>0</v>
      </c>
      <c r="AC41" s="12">
        <f>'Supply2024-coding'!AC40*'Use 2024'!$C40</f>
        <v>1.9872796487933469E-7</v>
      </c>
      <c r="AD41" s="12">
        <f>'Supply2024-coding'!AD40*'Use 2024'!$C40</f>
        <v>0</v>
      </c>
      <c r="AE41" s="12">
        <f>'Supply2024-coding'!AE40*'Use 2024'!$C40</f>
        <v>0</v>
      </c>
      <c r="AF41" s="12">
        <f>'Supply2024-coding'!AF40*'Use 2024'!$C40</f>
        <v>0</v>
      </c>
      <c r="AG41" s="12">
        <f>'Supply2024-coding'!AG40*'Use 2024'!$C40</f>
        <v>0</v>
      </c>
      <c r="AH41" s="12">
        <f>'Supply2024-coding'!AH40*'Use 2024'!$C40</f>
        <v>0</v>
      </c>
      <c r="AI41" s="12">
        <f>'Supply2024-coding'!AI40*'Use 2024'!$C40</f>
        <v>0</v>
      </c>
      <c r="AJ41" s="12">
        <f>'Supply2024-coding'!AJ40*'Use 2024'!$C40</f>
        <v>0</v>
      </c>
      <c r="AK41" s="12">
        <f>'Supply2024-coding'!AK40*'Use 2024'!$C40</f>
        <v>1.9377860847486368E-5</v>
      </c>
      <c r="AL41" s="12">
        <f>'Supply2024-coding'!AL40*'Use 2024'!$C40</f>
        <v>0</v>
      </c>
      <c r="AM41" s="12">
        <f>'Supply2024-coding'!AM40*'Use 2024'!$C40</f>
        <v>0</v>
      </c>
      <c r="AN41" s="12">
        <f>'Supply2024-coding'!AN40*'Use 2024'!$C40</f>
        <v>6.8722855259911625E-6</v>
      </c>
      <c r="AO41" s="12">
        <f>'Supply2024-coding'!AO40*'Use 2024'!$C40</f>
        <v>1.2141645124202237E-3</v>
      </c>
      <c r="AP41" s="12">
        <f>'Supply2024-coding'!AP40*'Use 2024'!$C40</f>
        <v>0</v>
      </c>
      <c r="AQ41" s="12">
        <f>'Supply2024-coding'!AQ40*'Use 2024'!$C40</f>
        <v>0</v>
      </c>
      <c r="AR41" s="12">
        <f>'Supply2024-coding'!AR40*'Use 2024'!$C40</f>
        <v>0</v>
      </c>
      <c r="AS41" s="12">
        <f>'Supply2024-coding'!AS40*'Use 2024'!$C40</f>
        <v>0</v>
      </c>
      <c r="AT41" s="12">
        <f>'Supply2024-coding'!AT40*'Use 2024'!$C40</f>
        <v>0</v>
      </c>
      <c r="AU41" s="12">
        <f>'Supply2024-coding'!AU40*'Use 2024'!$C40</f>
        <v>0</v>
      </c>
      <c r="AV41" s="12">
        <f>'Supply2024-coding'!AV40*'Use 2024'!$C40</f>
        <v>0</v>
      </c>
      <c r="AW41" s="12">
        <f>'Supply2024-coding'!AW40*'Use 2024'!$C40</f>
        <v>0</v>
      </c>
      <c r="AX41" s="12">
        <f>'Supply2024-coding'!AX40*'Use 2024'!$C40</f>
        <v>0</v>
      </c>
      <c r="AY41" s="12">
        <f>'Supply2024-coding'!AY40*'Use 2024'!$C40</f>
        <v>0</v>
      </c>
      <c r="AZ41" s="12">
        <f>'Supply2024-coding'!AZ40*'Use 2024'!$C40</f>
        <v>0</v>
      </c>
      <c r="BA41" s="12">
        <f>'Supply2024-coding'!BA40*'Use 2024'!$C40</f>
        <v>0</v>
      </c>
      <c r="BB41" s="12">
        <f>'Supply2024-coding'!BB40*'Use 2024'!$C40</f>
        <v>0</v>
      </c>
      <c r="BC41" s="12">
        <f>'Supply2024-coding'!BC40*'Use 2024'!$C40</f>
        <v>0</v>
      </c>
      <c r="BD41" s="12">
        <f>'Supply2024-coding'!BD40*'Use 2024'!$C40</f>
        <v>0</v>
      </c>
      <c r="BE41" s="12">
        <f>'Supply2024-coding'!BE40*'Use 2024'!$C40</f>
        <v>0</v>
      </c>
      <c r="BF41" s="12">
        <f>'Supply2024-coding'!BF40*'Use 2024'!$C40</f>
        <v>0</v>
      </c>
      <c r="BG41" s="12">
        <f>'Supply2024-coding'!BG40*'Use 2024'!$C40</f>
        <v>0</v>
      </c>
      <c r="BH41" s="12">
        <f>'Supply2024-coding'!BH40*'Use 2024'!$C40</f>
        <v>0</v>
      </c>
      <c r="BI41" s="12">
        <f>'Supply2024-coding'!BI40*'Use 2024'!$C40</f>
        <v>0</v>
      </c>
      <c r="BJ41" s="12">
        <f>'Supply2024-coding'!BJ40*'Use 2024'!$C40</f>
        <v>0</v>
      </c>
      <c r="BK41" s="12">
        <f>'Supply2024-coding'!BK40*'Use 2024'!$C40</f>
        <v>0</v>
      </c>
      <c r="BL41" s="12">
        <f>'Supply2024-coding'!BL40*'Use 2024'!$C40</f>
        <v>0</v>
      </c>
      <c r="BM41" s="12">
        <f>'Supply2024-coding'!BM40*'Use 2024'!$C40</f>
        <v>0</v>
      </c>
      <c r="BN41" s="12">
        <f>'Supply2024-coding'!BN40*'Use 2024'!$C40</f>
        <v>0</v>
      </c>
      <c r="BO41" s="12">
        <f>'Supply2024-coding'!BO40*'Use 2024'!$C40</f>
        <v>0</v>
      </c>
      <c r="BP41" s="12">
        <f>'Supply2024-coding'!BP40*'Use 2024'!$C40</f>
        <v>0</v>
      </c>
      <c r="BQ41" s="12">
        <f>'Supply2024-coding'!BQ40*'Use 2024'!$C40</f>
        <v>0</v>
      </c>
      <c r="BR41" s="12">
        <f>'Supply2024-coding'!BR40*'Use 2024'!$C40</f>
        <v>0</v>
      </c>
      <c r="BS41" s="12">
        <f>'Supply2024-coding'!BS40*'Use 2024'!$C40</f>
        <v>0</v>
      </c>
      <c r="BT41" s="12">
        <f>'Supply2024-coding'!BT40*'Use 2024'!$C40</f>
        <v>0</v>
      </c>
      <c r="BU41" s="12">
        <f>'Supply2024-coding'!BU40*'Use 2024'!$C40</f>
        <v>0</v>
      </c>
      <c r="BV41" s="12">
        <f>'Supply2024-coding'!BV40*'Use 2024'!$C40</f>
        <v>4.8625838167526002E-6</v>
      </c>
      <c r="BW41" s="12">
        <f>'Supply2024-coding'!BW40*'Use 2024'!$C40</f>
        <v>0</v>
      </c>
      <c r="BX41" s="12">
        <f>'Supply2024-coding'!BX40*'Use 2024'!$C40</f>
        <v>0</v>
      </c>
      <c r="BY41" s="12">
        <f>'Supply2024-coding'!BY40*'Use 2024'!$C40</f>
        <v>4.5273931175352185E-6</v>
      </c>
      <c r="BZ41" s="12">
        <f>'Supply2024-coding'!BZ40*'Use 2024'!$C40</f>
        <v>0</v>
      </c>
      <c r="CA41" s="12" t="e">
        <f>'Supply2024-coding'!CA40*'Use 2024'!$C40</f>
        <v>#DIV/0!</v>
      </c>
      <c r="CB41" s="12">
        <f>'Supply2024-coding'!CB40*'Use 2024'!$C40</f>
        <v>0</v>
      </c>
      <c r="CC41" s="12">
        <f>'Supply2024-coding'!CC40*'Use 2024'!$C40</f>
        <v>0</v>
      </c>
      <c r="CD41" s="12">
        <f>'Supply2024-coding'!CD40*'Use 2024'!$C40</f>
        <v>4.2958919923840831E-7</v>
      </c>
      <c r="CE41" s="12">
        <f>'Supply2024-coding'!CE40*'Use 2024'!$C40</f>
        <v>0</v>
      </c>
      <c r="CF41" s="12">
        <f>'Supply2024-coding'!CF40*'Use 2024'!$C40</f>
        <v>4.3204216995321364E-7</v>
      </c>
      <c r="CG41" s="12">
        <f>'Supply2024-coding'!CG40*'Use 2024'!$C40</f>
        <v>4.451359020516886E-6</v>
      </c>
    </row>
    <row r="42" spans="1:85" x14ac:dyDescent="0.25">
      <c r="A42" t="s">
        <v>40</v>
      </c>
      <c r="B42" t="s">
        <v>133</v>
      </c>
      <c r="C42" s="12">
        <f>'Supply2024-coding'!C41*'Use 2024'!$C41</f>
        <v>0</v>
      </c>
      <c r="D42" s="12">
        <f>'Supply2024-coding'!D41*'Use 2024'!$C41</f>
        <v>0</v>
      </c>
      <c r="E42" s="12">
        <f>'Supply2024-coding'!E41*'Use 2024'!$C41</f>
        <v>0</v>
      </c>
      <c r="F42" s="12">
        <f>'Supply2024-coding'!F41*'Use 2024'!$C41</f>
        <v>0</v>
      </c>
      <c r="G42" s="12">
        <f>'Supply2024-coding'!G41*'Use 2024'!$C41</f>
        <v>0</v>
      </c>
      <c r="H42" s="12">
        <f>'Supply2024-coding'!H41*'Use 2024'!$C41</f>
        <v>0</v>
      </c>
      <c r="I42" s="12">
        <f>'Supply2024-coding'!I41*'Use 2024'!$C41</f>
        <v>0</v>
      </c>
      <c r="J42" s="12">
        <f>'Supply2024-coding'!J41*'Use 2024'!$C41</f>
        <v>0</v>
      </c>
      <c r="K42" s="12">
        <f>'Supply2024-coding'!K41*'Use 2024'!$C41</f>
        <v>0</v>
      </c>
      <c r="L42" s="12">
        <f>'Supply2024-coding'!L41*'Use 2024'!$C41</f>
        <v>0</v>
      </c>
      <c r="M42" s="12">
        <f>'Supply2024-coding'!M41*'Use 2024'!$C41</f>
        <v>0</v>
      </c>
      <c r="N42" s="12">
        <f>'Supply2024-coding'!N41*'Use 2024'!$C41</f>
        <v>0</v>
      </c>
      <c r="O42" s="12">
        <f>'Supply2024-coding'!O41*'Use 2024'!$C41</f>
        <v>0</v>
      </c>
      <c r="P42" s="12">
        <f>'Supply2024-coding'!P41*'Use 2024'!$C41</f>
        <v>0</v>
      </c>
      <c r="Q42" s="12">
        <f>'Supply2024-coding'!Q41*'Use 2024'!$C41</f>
        <v>0</v>
      </c>
      <c r="R42" s="12">
        <f>'Supply2024-coding'!R41*'Use 2024'!$C41</f>
        <v>0</v>
      </c>
      <c r="S42" s="12">
        <f>'Supply2024-coding'!S41*'Use 2024'!$C41</f>
        <v>0</v>
      </c>
      <c r="T42" s="12">
        <f>'Supply2024-coding'!T41*'Use 2024'!$C41</f>
        <v>0</v>
      </c>
      <c r="U42" s="12">
        <f>'Supply2024-coding'!U41*'Use 2024'!$C41</f>
        <v>0</v>
      </c>
      <c r="V42" s="12">
        <f>'Supply2024-coding'!V41*'Use 2024'!$C41</f>
        <v>0</v>
      </c>
      <c r="W42" s="12">
        <f>'Supply2024-coding'!W41*'Use 2024'!$C41</f>
        <v>0</v>
      </c>
      <c r="X42" s="12">
        <f>'Supply2024-coding'!X41*'Use 2024'!$C41</f>
        <v>0</v>
      </c>
      <c r="Y42" s="12">
        <f>'Supply2024-coding'!Y41*'Use 2024'!$C41</f>
        <v>0</v>
      </c>
      <c r="Z42" s="12">
        <f>'Supply2024-coding'!Z41*'Use 2024'!$C41</f>
        <v>0</v>
      </c>
      <c r="AA42" s="12">
        <f>'Supply2024-coding'!AA41*'Use 2024'!$C41</f>
        <v>0</v>
      </c>
      <c r="AB42" s="12">
        <f>'Supply2024-coding'!AB41*'Use 2024'!$C41</f>
        <v>0</v>
      </c>
      <c r="AC42" s="12">
        <f>'Supply2024-coding'!AC41*'Use 2024'!$C41</f>
        <v>0</v>
      </c>
      <c r="AD42" s="12">
        <f>'Supply2024-coding'!AD41*'Use 2024'!$C41</f>
        <v>0</v>
      </c>
      <c r="AE42" s="12">
        <f>'Supply2024-coding'!AE41*'Use 2024'!$C41</f>
        <v>0</v>
      </c>
      <c r="AF42" s="12">
        <f>'Supply2024-coding'!AF41*'Use 2024'!$C41</f>
        <v>0</v>
      </c>
      <c r="AG42" s="12">
        <f>'Supply2024-coding'!AG41*'Use 2024'!$C41</f>
        <v>0</v>
      </c>
      <c r="AH42" s="12">
        <f>'Supply2024-coding'!AH41*'Use 2024'!$C41</f>
        <v>0</v>
      </c>
      <c r="AI42" s="12">
        <f>'Supply2024-coding'!AI41*'Use 2024'!$C41</f>
        <v>0</v>
      </c>
      <c r="AJ42" s="12">
        <f>'Supply2024-coding'!AJ41*'Use 2024'!$C41</f>
        <v>0</v>
      </c>
      <c r="AK42" s="12">
        <f>'Supply2024-coding'!AK41*'Use 2024'!$C41</f>
        <v>0</v>
      </c>
      <c r="AL42" s="12">
        <f>'Supply2024-coding'!AL41*'Use 2024'!$C41</f>
        <v>0</v>
      </c>
      <c r="AM42" s="12">
        <f>'Supply2024-coding'!AM41*'Use 2024'!$C41</f>
        <v>0</v>
      </c>
      <c r="AN42" s="12">
        <f>'Supply2024-coding'!AN41*'Use 2024'!$C41</f>
        <v>0</v>
      </c>
      <c r="AO42" s="12">
        <f>'Supply2024-coding'!AO41*'Use 2024'!$C41</f>
        <v>0</v>
      </c>
      <c r="AP42" s="12">
        <f>'Supply2024-coding'!AP41*'Use 2024'!$C41</f>
        <v>0.49267637975344425</v>
      </c>
      <c r="AQ42" s="12">
        <f>'Supply2024-coding'!AQ41*'Use 2024'!$C41</f>
        <v>0</v>
      </c>
      <c r="AR42" s="12">
        <f>'Supply2024-coding'!AR41*'Use 2024'!$C41</f>
        <v>0</v>
      </c>
      <c r="AS42" s="12">
        <f>'Supply2024-coding'!AS41*'Use 2024'!$C41</f>
        <v>1.9729842271249076E-2</v>
      </c>
      <c r="AT42" s="12">
        <f>'Supply2024-coding'!AT41*'Use 2024'!$C41</f>
        <v>0</v>
      </c>
      <c r="AU42" s="12">
        <f>'Supply2024-coding'!AU41*'Use 2024'!$C41</f>
        <v>0</v>
      </c>
      <c r="AV42" s="12">
        <f>'Supply2024-coding'!AV41*'Use 2024'!$C41</f>
        <v>0</v>
      </c>
      <c r="AW42" s="12">
        <f>'Supply2024-coding'!AW41*'Use 2024'!$C41</f>
        <v>0</v>
      </c>
      <c r="AX42" s="12">
        <f>'Supply2024-coding'!AX41*'Use 2024'!$C41</f>
        <v>0</v>
      </c>
      <c r="AY42" s="12">
        <f>'Supply2024-coding'!AY41*'Use 2024'!$C41</f>
        <v>0</v>
      </c>
      <c r="AZ42" s="12">
        <f>'Supply2024-coding'!AZ41*'Use 2024'!$C41</f>
        <v>0</v>
      </c>
      <c r="BA42" s="12">
        <f>'Supply2024-coding'!BA41*'Use 2024'!$C41</f>
        <v>0</v>
      </c>
      <c r="BB42" s="12">
        <f>'Supply2024-coding'!BB41*'Use 2024'!$C41</f>
        <v>1.581771348024814E-2</v>
      </c>
      <c r="BC42" s="12">
        <f>'Supply2024-coding'!BC41*'Use 2024'!$C41</f>
        <v>0</v>
      </c>
      <c r="BD42" s="12">
        <f>'Supply2024-coding'!BD41*'Use 2024'!$C41</f>
        <v>0</v>
      </c>
      <c r="BE42" s="12">
        <f>'Supply2024-coding'!BE41*'Use 2024'!$C41</f>
        <v>0</v>
      </c>
      <c r="BF42" s="12">
        <f>'Supply2024-coding'!BF41*'Use 2024'!$C41</f>
        <v>0</v>
      </c>
      <c r="BG42" s="12">
        <f>'Supply2024-coding'!BG41*'Use 2024'!$C41</f>
        <v>0</v>
      </c>
      <c r="BH42" s="12">
        <f>'Supply2024-coding'!BH41*'Use 2024'!$C41</f>
        <v>0</v>
      </c>
      <c r="BI42" s="12">
        <f>'Supply2024-coding'!BI41*'Use 2024'!$C41</f>
        <v>0</v>
      </c>
      <c r="BJ42" s="12">
        <f>'Supply2024-coding'!BJ41*'Use 2024'!$C41</f>
        <v>0</v>
      </c>
      <c r="BK42" s="12">
        <f>'Supply2024-coding'!BK41*'Use 2024'!$C41</f>
        <v>0</v>
      </c>
      <c r="BL42" s="12">
        <f>'Supply2024-coding'!BL41*'Use 2024'!$C41</f>
        <v>0</v>
      </c>
      <c r="BM42" s="12">
        <f>'Supply2024-coding'!BM41*'Use 2024'!$C41</f>
        <v>0</v>
      </c>
      <c r="BN42" s="12">
        <f>'Supply2024-coding'!BN41*'Use 2024'!$C41</f>
        <v>0</v>
      </c>
      <c r="BO42" s="12">
        <f>'Supply2024-coding'!BO41*'Use 2024'!$C41</f>
        <v>0</v>
      </c>
      <c r="BP42" s="12">
        <f>'Supply2024-coding'!BP41*'Use 2024'!$C41</f>
        <v>0</v>
      </c>
      <c r="BQ42" s="12">
        <f>'Supply2024-coding'!BQ41*'Use 2024'!$C41</f>
        <v>0</v>
      </c>
      <c r="BR42" s="12">
        <f>'Supply2024-coding'!BR41*'Use 2024'!$C41</f>
        <v>-3.2874616685175131E-5</v>
      </c>
      <c r="BS42" s="12">
        <f>'Supply2024-coding'!BS41*'Use 2024'!$C41</f>
        <v>0</v>
      </c>
      <c r="BT42" s="12">
        <f>'Supply2024-coding'!BT41*'Use 2024'!$C41</f>
        <v>1.4693789592636294E-4</v>
      </c>
      <c r="BU42" s="12">
        <f>'Supply2024-coding'!BU41*'Use 2024'!$C41</f>
        <v>0</v>
      </c>
      <c r="BV42" s="12">
        <f>'Supply2024-coding'!BV41*'Use 2024'!$C41</f>
        <v>7.0345077380498701E-3</v>
      </c>
      <c r="BW42" s="12">
        <f>'Supply2024-coding'!BW41*'Use 2024'!$C41</f>
        <v>1.085657495778099E-3</v>
      </c>
      <c r="BX42" s="12">
        <f>'Supply2024-coding'!BX41*'Use 2024'!$C41</f>
        <v>0</v>
      </c>
      <c r="BY42" s="12">
        <f>'Supply2024-coding'!BY41*'Use 2024'!$C41</f>
        <v>6.6250636442325116E-3</v>
      </c>
      <c r="BZ42" s="12">
        <f>'Supply2024-coding'!BZ41*'Use 2024'!$C41</f>
        <v>-102921.40996389593</v>
      </c>
      <c r="CA42" s="12" t="e">
        <f>'Supply2024-coding'!CA41*'Use 2024'!$C41</f>
        <v>#DIV/0!</v>
      </c>
      <c r="CB42" s="12">
        <f>'Supply2024-coding'!CB41*'Use 2024'!$C41</f>
        <v>-108815.84692342952</v>
      </c>
      <c r="CC42" s="12">
        <f>'Supply2024-coding'!CC41*'Use 2024'!$C41</f>
        <v>3.7917378054978177E-4</v>
      </c>
      <c r="CD42" s="12">
        <f>'Supply2024-coding'!CD41*'Use 2024'!$C41</f>
        <v>9.2073585552411193E-3</v>
      </c>
      <c r="CE42" s="12">
        <f>'Supply2024-coding'!CE41*'Use 2024'!$C41</f>
        <v>0</v>
      </c>
      <c r="CF42" s="12">
        <f>'Supply2024-coding'!CF41*'Use 2024'!$C41</f>
        <v>9.2913029952535527E-3</v>
      </c>
      <c r="CG42" s="12">
        <f>'Supply2024-coding'!CG41*'Use 2024'!$C41</f>
        <v>8.6741796679221071E-3</v>
      </c>
    </row>
    <row r="43" spans="1:85" x14ac:dyDescent="0.25">
      <c r="A43" t="s">
        <v>41</v>
      </c>
      <c r="B43" t="s">
        <v>134</v>
      </c>
      <c r="C43" s="12">
        <f>'Supply2024-coding'!C42*'Use 2024'!$C42</f>
        <v>0</v>
      </c>
      <c r="D43" s="12">
        <f>'Supply2024-coding'!D42*'Use 2024'!$C42</f>
        <v>0</v>
      </c>
      <c r="E43" s="12">
        <f>'Supply2024-coding'!E42*'Use 2024'!$C42</f>
        <v>0</v>
      </c>
      <c r="F43" s="12">
        <f>'Supply2024-coding'!F42*'Use 2024'!$C42</f>
        <v>0</v>
      </c>
      <c r="G43" s="12">
        <f>'Supply2024-coding'!G42*'Use 2024'!$C42</f>
        <v>0</v>
      </c>
      <c r="H43" s="12">
        <f>'Supply2024-coding'!H42*'Use 2024'!$C42</f>
        <v>0</v>
      </c>
      <c r="I43" s="12">
        <f>'Supply2024-coding'!I42*'Use 2024'!$C42</f>
        <v>0</v>
      </c>
      <c r="J43" s="12">
        <f>'Supply2024-coding'!J42*'Use 2024'!$C42</f>
        <v>0</v>
      </c>
      <c r="K43" s="12">
        <f>'Supply2024-coding'!K42*'Use 2024'!$C42</f>
        <v>0</v>
      </c>
      <c r="L43" s="12">
        <f>'Supply2024-coding'!L42*'Use 2024'!$C42</f>
        <v>0</v>
      </c>
      <c r="M43" s="12">
        <f>'Supply2024-coding'!M42*'Use 2024'!$C42</f>
        <v>0</v>
      </c>
      <c r="N43" s="12">
        <f>'Supply2024-coding'!N42*'Use 2024'!$C42</f>
        <v>0</v>
      </c>
      <c r="O43" s="12">
        <f>'Supply2024-coding'!O42*'Use 2024'!$C42</f>
        <v>0</v>
      </c>
      <c r="P43" s="12">
        <f>'Supply2024-coding'!P42*'Use 2024'!$C42</f>
        <v>0</v>
      </c>
      <c r="Q43" s="12">
        <f>'Supply2024-coding'!Q42*'Use 2024'!$C42</f>
        <v>0</v>
      </c>
      <c r="R43" s="12">
        <f>'Supply2024-coding'!R42*'Use 2024'!$C42</f>
        <v>0</v>
      </c>
      <c r="S43" s="12">
        <f>'Supply2024-coding'!S42*'Use 2024'!$C42</f>
        <v>0</v>
      </c>
      <c r="T43" s="12">
        <f>'Supply2024-coding'!T42*'Use 2024'!$C42</f>
        <v>0</v>
      </c>
      <c r="U43" s="12">
        <f>'Supply2024-coding'!U42*'Use 2024'!$C42</f>
        <v>0</v>
      </c>
      <c r="V43" s="12">
        <f>'Supply2024-coding'!V42*'Use 2024'!$C42</f>
        <v>0</v>
      </c>
      <c r="W43" s="12">
        <f>'Supply2024-coding'!W42*'Use 2024'!$C42</f>
        <v>0</v>
      </c>
      <c r="X43" s="12">
        <f>'Supply2024-coding'!X42*'Use 2024'!$C42</f>
        <v>0</v>
      </c>
      <c r="Y43" s="12">
        <f>'Supply2024-coding'!Y42*'Use 2024'!$C42</f>
        <v>0</v>
      </c>
      <c r="Z43" s="12">
        <f>'Supply2024-coding'!Z42*'Use 2024'!$C42</f>
        <v>0</v>
      </c>
      <c r="AA43" s="12">
        <f>'Supply2024-coding'!AA42*'Use 2024'!$C42</f>
        <v>0</v>
      </c>
      <c r="AB43" s="12">
        <f>'Supply2024-coding'!AB42*'Use 2024'!$C42</f>
        <v>0</v>
      </c>
      <c r="AC43" s="12">
        <f>'Supply2024-coding'!AC42*'Use 2024'!$C42</f>
        <v>0</v>
      </c>
      <c r="AD43" s="12">
        <f>'Supply2024-coding'!AD42*'Use 2024'!$C42</f>
        <v>0</v>
      </c>
      <c r="AE43" s="12">
        <f>'Supply2024-coding'!AE42*'Use 2024'!$C42</f>
        <v>0</v>
      </c>
      <c r="AF43" s="12">
        <f>'Supply2024-coding'!AF42*'Use 2024'!$C42</f>
        <v>0</v>
      </c>
      <c r="AG43" s="12">
        <f>'Supply2024-coding'!AG42*'Use 2024'!$C42</f>
        <v>1.4129470935085795E-4</v>
      </c>
      <c r="AH43" s="12">
        <f>'Supply2024-coding'!AH42*'Use 2024'!$C42</f>
        <v>0</v>
      </c>
      <c r="AI43" s="12">
        <f>'Supply2024-coding'!AI42*'Use 2024'!$C42</f>
        <v>0</v>
      </c>
      <c r="AJ43" s="12">
        <f>'Supply2024-coding'!AJ42*'Use 2024'!$C42</f>
        <v>0</v>
      </c>
      <c r="AK43" s="12">
        <f>'Supply2024-coding'!AK42*'Use 2024'!$C42</f>
        <v>0</v>
      </c>
      <c r="AL43" s="12">
        <f>'Supply2024-coding'!AL42*'Use 2024'!$C42</f>
        <v>0</v>
      </c>
      <c r="AM43" s="12">
        <f>'Supply2024-coding'!AM42*'Use 2024'!$C42</f>
        <v>0</v>
      </c>
      <c r="AN43" s="12">
        <f>'Supply2024-coding'!AN42*'Use 2024'!$C42</f>
        <v>0</v>
      </c>
      <c r="AO43" s="12">
        <f>'Supply2024-coding'!AO42*'Use 2024'!$C42</f>
        <v>0</v>
      </c>
      <c r="AP43" s="12">
        <f>'Supply2024-coding'!AP42*'Use 2024'!$C42</f>
        <v>0</v>
      </c>
      <c r="AQ43" s="12">
        <f>'Supply2024-coding'!AQ42*'Use 2024'!$C42</f>
        <v>0.20089099425082041</v>
      </c>
      <c r="AR43" s="12">
        <f>'Supply2024-coding'!AR42*'Use 2024'!$C42</f>
        <v>2.9513816139069228E-4</v>
      </c>
      <c r="AS43" s="12">
        <f>'Supply2024-coding'!AS42*'Use 2024'!$C42</f>
        <v>0</v>
      </c>
      <c r="AT43" s="12">
        <f>'Supply2024-coding'!AT42*'Use 2024'!$C42</f>
        <v>0</v>
      </c>
      <c r="AU43" s="12">
        <f>'Supply2024-coding'!AU42*'Use 2024'!$C42</f>
        <v>0</v>
      </c>
      <c r="AV43" s="12">
        <f>'Supply2024-coding'!AV42*'Use 2024'!$C42</f>
        <v>0</v>
      </c>
      <c r="AW43" s="12">
        <f>'Supply2024-coding'!AW42*'Use 2024'!$C42</f>
        <v>0</v>
      </c>
      <c r="AX43" s="12">
        <f>'Supply2024-coding'!AX42*'Use 2024'!$C42</f>
        <v>0</v>
      </c>
      <c r="AY43" s="12">
        <f>'Supply2024-coding'!AY42*'Use 2024'!$C42</f>
        <v>0</v>
      </c>
      <c r="AZ43" s="12">
        <f>'Supply2024-coding'!AZ42*'Use 2024'!$C42</f>
        <v>0</v>
      </c>
      <c r="BA43" s="12">
        <f>'Supply2024-coding'!BA42*'Use 2024'!$C42</f>
        <v>0</v>
      </c>
      <c r="BB43" s="12">
        <f>'Supply2024-coding'!BB42*'Use 2024'!$C42</f>
        <v>0</v>
      </c>
      <c r="BC43" s="12">
        <f>'Supply2024-coding'!BC42*'Use 2024'!$C42</f>
        <v>0</v>
      </c>
      <c r="BD43" s="12">
        <f>'Supply2024-coding'!BD42*'Use 2024'!$C42</f>
        <v>0</v>
      </c>
      <c r="BE43" s="12">
        <f>'Supply2024-coding'!BE42*'Use 2024'!$C42</f>
        <v>0</v>
      </c>
      <c r="BF43" s="12">
        <f>'Supply2024-coding'!BF42*'Use 2024'!$C42</f>
        <v>0</v>
      </c>
      <c r="BG43" s="12">
        <f>'Supply2024-coding'!BG42*'Use 2024'!$C42</f>
        <v>0</v>
      </c>
      <c r="BH43" s="12">
        <f>'Supply2024-coding'!BH42*'Use 2024'!$C42</f>
        <v>0</v>
      </c>
      <c r="BI43" s="12">
        <f>'Supply2024-coding'!BI42*'Use 2024'!$C42</f>
        <v>0</v>
      </c>
      <c r="BJ43" s="12">
        <f>'Supply2024-coding'!BJ42*'Use 2024'!$C42</f>
        <v>0</v>
      </c>
      <c r="BK43" s="12">
        <f>'Supply2024-coding'!BK42*'Use 2024'!$C42</f>
        <v>0</v>
      </c>
      <c r="BL43" s="12">
        <f>'Supply2024-coding'!BL42*'Use 2024'!$C42</f>
        <v>0</v>
      </c>
      <c r="BM43" s="12">
        <f>'Supply2024-coding'!BM42*'Use 2024'!$C42</f>
        <v>0</v>
      </c>
      <c r="BN43" s="12">
        <f>'Supply2024-coding'!BN42*'Use 2024'!$C42</f>
        <v>0</v>
      </c>
      <c r="BO43" s="12">
        <f>'Supply2024-coding'!BO42*'Use 2024'!$C42</f>
        <v>0</v>
      </c>
      <c r="BP43" s="12">
        <f>'Supply2024-coding'!BP42*'Use 2024'!$C42</f>
        <v>0</v>
      </c>
      <c r="BQ43" s="12">
        <f>'Supply2024-coding'!BQ42*'Use 2024'!$C42</f>
        <v>1.6128490072682846E-5</v>
      </c>
      <c r="BR43" s="12">
        <f>'Supply2024-coding'!BR42*'Use 2024'!$C42</f>
        <v>0</v>
      </c>
      <c r="BS43" s="12">
        <f>'Supply2024-coding'!BS42*'Use 2024'!$C42</f>
        <v>3.3221170101704402E-5</v>
      </c>
      <c r="BT43" s="12">
        <f>'Supply2024-coding'!BT42*'Use 2024'!$C42</f>
        <v>6.2325578903260943E-8</v>
      </c>
      <c r="BU43" s="12">
        <f>'Supply2024-coding'!BU42*'Use 2024'!$C42</f>
        <v>0</v>
      </c>
      <c r="BV43" s="12">
        <f>'Supply2024-coding'!BV42*'Use 2024'!$C42</f>
        <v>8.3913116145455319E-4</v>
      </c>
      <c r="BW43" s="12">
        <f>'Supply2024-coding'!BW42*'Use 2024'!$C42</f>
        <v>6.2018678246502452E-4</v>
      </c>
      <c r="BX43" s="12">
        <f>'Supply2024-coding'!BX42*'Use 2024'!$C42</f>
        <v>0</v>
      </c>
      <c r="BY43" s="12">
        <f>'Supply2024-coding'!BY42*'Use 2024'!$C42</f>
        <v>8.2439624534925212E-4</v>
      </c>
      <c r="BZ43" s="12">
        <f>'Supply2024-coding'!BZ42*'Use 2024'!$C42</f>
        <v>-2216.4385498054858</v>
      </c>
      <c r="CA43" s="12" t="e">
        <f>'Supply2024-coding'!CA42*'Use 2024'!$C42</f>
        <v>#DIV/0!</v>
      </c>
      <c r="CB43" s="12">
        <f>'Supply2024-coding'!CB42*'Use 2024'!$C42</f>
        <v>-2249.1118048971853</v>
      </c>
      <c r="CC43" s="12">
        <f>'Supply2024-coding'!CC42*'Use 2024'!$C42</f>
        <v>2.4584226062431714E-6</v>
      </c>
      <c r="CD43" s="12">
        <f>'Supply2024-coding'!CD42*'Use 2024'!$C42</f>
        <v>5.2237859266341031E-4</v>
      </c>
      <c r="CE43" s="12">
        <f>'Supply2024-coding'!CE42*'Use 2024'!$C42</f>
        <v>0</v>
      </c>
      <c r="CF43" s="12">
        <f>'Supply2024-coding'!CF42*'Use 2024'!$C42</f>
        <v>5.2536139435422626E-4</v>
      </c>
      <c r="CG43" s="12">
        <f>'Supply2024-coding'!CG42*'Use 2024'!$C42</f>
        <v>8.6017461789533983E-4</v>
      </c>
    </row>
    <row r="44" spans="1:85" x14ac:dyDescent="0.25">
      <c r="A44" t="s">
        <v>42</v>
      </c>
      <c r="B44" t="s">
        <v>135</v>
      </c>
      <c r="C44" s="12">
        <f>'Supply2024-coding'!C43*'Use 2024'!$C43</f>
        <v>0</v>
      </c>
      <c r="D44" s="12">
        <f>'Supply2024-coding'!D43*'Use 2024'!$C43</f>
        <v>0</v>
      </c>
      <c r="E44" s="12">
        <f>'Supply2024-coding'!E43*'Use 2024'!$C43</f>
        <v>0</v>
      </c>
      <c r="F44" s="12">
        <f>'Supply2024-coding'!F43*'Use 2024'!$C43</f>
        <v>0</v>
      </c>
      <c r="G44" s="12">
        <f>'Supply2024-coding'!G43*'Use 2024'!$C43</f>
        <v>0</v>
      </c>
      <c r="H44" s="12">
        <f>'Supply2024-coding'!H43*'Use 2024'!$C43</f>
        <v>0</v>
      </c>
      <c r="I44" s="12">
        <f>'Supply2024-coding'!I43*'Use 2024'!$C43</f>
        <v>0</v>
      </c>
      <c r="J44" s="12">
        <f>'Supply2024-coding'!J43*'Use 2024'!$C43</f>
        <v>0</v>
      </c>
      <c r="K44" s="12">
        <f>'Supply2024-coding'!K43*'Use 2024'!$C43</f>
        <v>0</v>
      </c>
      <c r="L44" s="12">
        <f>'Supply2024-coding'!L43*'Use 2024'!$C43</f>
        <v>0</v>
      </c>
      <c r="M44" s="12">
        <f>'Supply2024-coding'!M43*'Use 2024'!$C43</f>
        <v>0</v>
      </c>
      <c r="N44" s="12">
        <f>'Supply2024-coding'!N43*'Use 2024'!$C43</f>
        <v>0</v>
      </c>
      <c r="O44" s="12">
        <f>'Supply2024-coding'!O43*'Use 2024'!$C43</f>
        <v>0</v>
      </c>
      <c r="P44" s="12">
        <f>'Supply2024-coding'!P43*'Use 2024'!$C43</f>
        <v>0</v>
      </c>
      <c r="Q44" s="12">
        <f>'Supply2024-coding'!Q43*'Use 2024'!$C43</f>
        <v>0</v>
      </c>
      <c r="R44" s="12">
        <f>'Supply2024-coding'!R43*'Use 2024'!$C43</f>
        <v>0</v>
      </c>
      <c r="S44" s="12">
        <f>'Supply2024-coding'!S43*'Use 2024'!$C43</f>
        <v>0</v>
      </c>
      <c r="T44" s="12">
        <f>'Supply2024-coding'!T43*'Use 2024'!$C43</f>
        <v>0</v>
      </c>
      <c r="U44" s="12">
        <f>'Supply2024-coding'!U43*'Use 2024'!$C43</f>
        <v>0</v>
      </c>
      <c r="V44" s="12">
        <f>'Supply2024-coding'!V43*'Use 2024'!$C43</f>
        <v>0</v>
      </c>
      <c r="W44" s="12">
        <f>'Supply2024-coding'!W43*'Use 2024'!$C43</f>
        <v>0</v>
      </c>
      <c r="X44" s="12">
        <f>'Supply2024-coding'!X43*'Use 2024'!$C43</f>
        <v>0</v>
      </c>
      <c r="Y44" s="12">
        <f>'Supply2024-coding'!Y43*'Use 2024'!$C43</f>
        <v>0</v>
      </c>
      <c r="Z44" s="12">
        <f>'Supply2024-coding'!Z43*'Use 2024'!$C43</f>
        <v>0</v>
      </c>
      <c r="AA44" s="12">
        <f>'Supply2024-coding'!AA43*'Use 2024'!$C43</f>
        <v>0</v>
      </c>
      <c r="AB44" s="12">
        <f>'Supply2024-coding'!AB43*'Use 2024'!$C43</f>
        <v>0</v>
      </c>
      <c r="AC44" s="12">
        <f>'Supply2024-coding'!AC43*'Use 2024'!$C43</f>
        <v>0</v>
      </c>
      <c r="AD44" s="12">
        <f>'Supply2024-coding'!AD43*'Use 2024'!$C43</f>
        <v>0</v>
      </c>
      <c r="AE44" s="12">
        <f>'Supply2024-coding'!AE43*'Use 2024'!$C43</f>
        <v>0</v>
      </c>
      <c r="AF44" s="12">
        <f>'Supply2024-coding'!AF43*'Use 2024'!$C43</f>
        <v>0</v>
      </c>
      <c r="AG44" s="12">
        <f>'Supply2024-coding'!AG43*'Use 2024'!$C43</f>
        <v>0</v>
      </c>
      <c r="AH44" s="12">
        <f>'Supply2024-coding'!AH43*'Use 2024'!$C43</f>
        <v>0</v>
      </c>
      <c r="AI44" s="12">
        <f>'Supply2024-coding'!AI43*'Use 2024'!$C43</f>
        <v>0</v>
      </c>
      <c r="AJ44" s="12">
        <f>'Supply2024-coding'!AJ43*'Use 2024'!$C43</f>
        <v>0</v>
      </c>
      <c r="AK44" s="12">
        <f>'Supply2024-coding'!AK43*'Use 2024'!$C43</f>
        <v>0</v>
      </c>
      <c r="AL44" s="12">
        <f>'Supply2024-coding'!AL43*'Use 2024'!$C43</f>
        <v>0</v>
      </c>
      <c r="AM44" s="12">
        <f>'Supply2024-coding'!AM43*'Use 2024'!$C43</f>
        <v>0</v>
      </c>
      <c r="AN44" s="12">
        <f>'Supply2024-coding'!AN43*'Use 2024'!$C43</f>
        <v>0</v>
      </c>
      <c r="AO44" s="12">
        <f>'Supply2024-coding'!AO43*'Use 2024'!$C43</f>
        <v>0</v>
      </c>
      <c r="AP44" s="12">
        <f>'Supply2024-coding'!AP43*'Use 2024'!$C43</f>
        <v>0</v>
      </c>
      <c r="AQ44" s="12">
        <f>'Supply2024-coding'!AQ43*'Use 2024'!$C43</f>
        <v>0</v>
      </c>
      <c r="AR44" s="12">
        <f>'Supply2024-coding'!AR43*'Use 2024'!$C43</f>
        <v>0.44483161811690453</v>
      </c>
      <c r="AS44" s="12">
        <f>'Supply2024-coding'!AS43*'Use 2024'!$C43</f>
        <v>2.6881743135377962E-3</v>
      </c>
      <c r="AT44" s="12">
        <f>'Supply2024-coding'!AT43*'Use 2024'!$C43</f>
        <v>0</v>
      </c>
      <c r="AU44" s="12">
        <f>'Supply2024-coding'!AU43*'Use 2024'!$C43</f>
        <v>0</v>
      </c>
      <c r="AV44" s="12">
        <f>'Supply2024-coding'!AV43*'Use 2024'!$C43</f>
        <v>0</v>
      </c>
      <c r="AW44" s="12">
        <f>'Supply2024-coding'!AW43*'Use 2024'!$C43</f>
        <v>0</v>
      </c>
      <c r="AX44" s="12">
        <f>'Supply2024-coding'!AX43*'Use 2024'!$C43</f>
        <v>0</v>
      </c>
      <c r="AY44" s="12">
        <f>'Supply2024-coding'!AY43*'Use 2024'!$C43</f>
        <v>0</v>
      </c>
      <c r="AZ44" s="12">
        <f>'Supply2024-coding'!AZ43*'Use 2024'!$C43</f>
        <v>0</v>
      </c>
      <c r="BA44" s="12">
        <f>'Supply2024-coding'!BA43*'Use 2024'!$C43</f>
        <v>0</v>
      </c>
      <c r="BB44" s="12">
        <f>'Supply2024-coding'!BB43*'Use 2024'!$C43</f>
        <v>1.5877195849645605E-4</v>
      </c>
      <c r="BC44" s="12">
        <f>'Supply2024-coding'!BC43*'Use 2024'!$C43</f>
        <v>0</v>
      </c>
      <c r="BD44" s="12">
        <f>'Supply2024-coding'!BD43*'Use 2024'!$C43</f>
        <v>0</v>
      </c>
      <c r="BE44" s="12">
        <f>'Supply2024-coding'!BE43*'Use 2024'!$C43</f>
        <v>0</v>
      </c>
      <c r="BF44" s="12">
        <f>'Supply2024-coding'!BF43*'Use 2024'!$C43</f>
        <v>0</v>
      </c>
      <c r="BG44" s="12">
        <f>'Supply2024-coding'!BG43*'Use 2024'!$C43</f>
        <v>0</v>
      </c>
      <c r="BH44" s="12">
        <f>'Supply2024-coding'!BH43*'Use 2024'!$C43</f>
        <v>0</v>
      </c>
      <c r="BI44" s="12">
        <f>'Supply2024-coding'!BI43*'Use 2024'!$C43</f>
        <v>0</v>
      </c>
      <c r="BJ44" s="12">
        <f>'Supply2024-coding'!BJ43*'Use 2024'!$C43</f>
        <v>0</v>
      </c>
      <c r="BK44" s="12">
        <f>'Supply2024-coding'!BK43*'Use 2024'!$C43</f>
        <v>0</v>
      </c>
      <c r="BL44" s="12">
        <f>'Supply2024-coding'!BL43*'Use 2024'!$C43</f>
        <v>0</v>
      </c>
      <c r="BM44" s="12">
        <f>'Supply2024-coding'!BM43*'Use 2024'!$C43</f>
        <v>0</v>
      </c>
      <c r="BN44" s="12">
        <f>'Supply2024-coding'!BN43*'Use 2024'!$C43</f>
        <v>2.8574474948689631E-4</v>
      </c>
      <c r="BO44" s="12">
        <f>'Supply2024-coding'!BO43*'Use 2024'!$C43</f>
        <v>0</v>
      </c>
      <c r="BP44" s="12">
        <f>'Supply2024-coding'!BP43*'Use 2024'!$C43</f>
        <v>0</v>
      </c>
      <c r="BQ44" s="12">
        <f>'Supply2024-coding'!BQ43*'Use 2024'!$C43</f>
        <v>0</v>
      </c>
      <c r="BR44" s="12">
        <f>'Supply2024-coding'!BR43*'Use 2024'!$C43</f>
        <v>0</v>
      </c>
      <c r="BS44" s="12">
        <f>'Supply2024-coding'!BS43*'Use 2024'!$C43</f>
        <v>0</v>
      </c>
      <c r="BT44" s="12">
        <f>'Supply2024-coding'!BT43*'Use 2024'!$C43</f>
        <v>0</v>
      </c>
      <c r="BU44" s="12">
        <f>'Supply2024-coding'!BU43*'Use 2024'!$C43</f>
        <v>0</v>
      </c>
      <c r="BV44" s="12">
        <f>'Supply2024-coding'!BV43*'Use 2024'!$C43</f>
        <v>8.1056508963912102E-3</v>
      </c>
      <c r="BW44" s="12">
        <f>'Supply2024-coding'!BW43*'Use 2024'!$C43</f>
        <v>1.9347720739189122E-5</v>
      </c>
      <c r="BX44" s="12">
        <f>'Supply2024-coding'!BX43*'Use 2024'!$C43</f>
        <v>0</v>
      </c>
      <c r="BY44" s="12">
        <f>'Supply2024-coding'!BY43*'Use 2024'!$C43</f>
        <v>7.5482518906556982E-3</v>
      </c>
      <c r="BZ44" s="12">
        <f>'Supply2024-coding'!BZ43*'Use 2024'!$C43</f>
        <v>0</v>
      </c>
      <c r="CA44" s="12" t="e">
        <f>'Supply2024-coding'!CA43*'Use 2024'!$C43</f>
        <v>#DIV/0!</v>
      </c>
      <c r="CB44" s="12">
        <f>'Supply2024-coding'!CB43*'Use 2024'!$C43</f>
        <v>0</v>
      </c>
      <c r="CC44" s="12">
        <f>'Supply2024-coding'!CC43*'Use 2024'!$C43</f>
        <v>0</v>
      </c>
      <c r="CD44" s="12">
        <f>'Supply2024-coding'!CD43*'Use 2024'!$C43</f>
        <v>1.5437377786555639E-2</v>
      </c>
      <c r="CE44" s="12">
        <f>'Supply2024-coding'!CE43*'Use 2024'!$C43</f>
        <v>0</v>
      </c>
      <c r="CF44" s="12">
        <f>'Supply2024-coding'!CF43*'Use 2024'!$C43</f>
        <v>1.552552580259268E-2</v>
      </c>
      <c r="CG44" s="12">
        <f>'Supply2024-coding'!CG43*'Use 2024'!$C43</f>
        <v>7.6963581921198412E-3</v>
      </c>
    </row>
    <row r="45" spans="1:85" x14ac:dyDescent="0.25">
      <c r="A45" t="s">
        <v>43</v>
      </c>
      <c r="B45" t="s">
        <v>136</v>
      </c>
      <c r="C45" s="12">
        <f>'Supply2024-coding'!C44*'Use 2024'!$C44</f>
        <v>0</v>
      </c>
      <c r="D45" s="12">
        <f>'Supply2024-coding'!D44*'Use 2024'!$C44</f>
        <v>0</v>
      </c>
      <c r="E45" s="12">
        <f>'Supply2024-coding'!E44*'Use 2024'!$C44</f>
        <v>0</v>
      </c>
      <c r="F45" s="12">
        <f>'Supply2024-coding'!F44*'Use 2024'!$C44</f>
        <v>0</v>
      </c>
      <c r="G45" s="12">
        <f>'Supply2024-coding'!G44*'Use 2024'!$C44</f>
        <v>0</v>
      </c>
      <c r="H45" s="12">
        <f>'Supply2024-coding'!H44*'Use 2024'!$C44</f>
        <v>0</v>
      </c>
      <c r="I45" s="12">
        <f>'Supply2024-coding'!I44*'Use 2024'!$C44</f>
        <v>0</v>
      </c>
      <c r="J45" s="12">
        <f>'Supply2024-coding'!J44*'Use 2024'!$C44</f>
        <v>0</v>
      </c>
      <c r="K45" s="12">
        <f>'Supply2024-coding'!K44*'Use 2024'!$C44</f>
        <v>0</v>
      </c>
      <c r="L45" s="12">
        <f>'Supply2024-coding'!L44*'Use 2024'!$C44</f>
        <v>0</v>
      </c>
      <c r="M45" s="12">
        <f>'Supply2024-coding'!M44*'Use 2024'!$C44</f>
        <v>0</v>
      </c>
      <c r="N45" s="12">
        <f>'Supply2024-coding'!N44*'Use 2024'!$C44</f>
        <v>0</v>
      </c>
      <c r="O45" s="12">
        <f>'Supply2024-coding'!O44*'Use 2024'!$C44</f>
        <v>0</v>
      </c>
      <c r="P45" s="12">
        <f>'Supply2024-coding'!P44*'Use 2024'!$C44</f>
        <v>0</v>
      </c>
      <c r="Q45" s="12">
        <f>'Supply2024-coding'!Q44*'Use 2024'!$C44</f>
        <v>0</v>
      </c>
      <c r="R45" s="12">
        <f>'Supply2024-coding'!R44*'Use 2024'!$C44</f>
        <v>0</v>
      </c>
      <c r="S45" s="12">
        <f>'Supply2024-coding'!S44*'Use 2024'!$C44</f>
        <v>0</v>
      </c>
      <c r="T45" s="12">
        <f>'Supply2024-coding'!T44*'Use 2024'!$C44</f>
        <v>0</v>
      </c>
      <c r="U45" s="12">
        <f>'Supply2024-coding'!U44*'Use 2024'!$C44</f>
        <v>0</v>
      </c>
      <c r="V45" s="12">
        <f>'Supply2024-coding'!V44*'Use 2024'!$C44</f>
        <v>0</v>
      </c>
      <c r="W45" s="12">
        <f>'Supply2024-coding'!W44*'Use 2024'!$C44</f>
        <v>0</v>
      </c>
      <c r="X45" s="12">
        <f>'Supply2024-coding'!X44*'Use 2024'!$C44</f>
        <v>0</v>
      </c>
      <c r="Y45" s="12">
        <f>'Supply2024-coding'!Y44*'Use 2024'!$C44</f>
        <v>0</v>
      </c>
      <c r="Z45" s="12">
        <f>'Supply2024-coding'!Z44*'Use 2024'!$C44</f>
        <v>0</v>
      </c>
      <c r="AA45" s="12">
        <f>'Supply2024-coding'!AA44*'Use 2024'!$C44</f>
        <v>0</v>
      </c>
      <c r="AB45" s="12">
        <f>'Supply2024-coding'!AB44*'Use 2024'!$C44</f>
        <v>0</v>
      </c>
      <c r="AC45" s="12">
        <f>'Supply2024-coding'!AC44*'Use 2024'!$C44</f>
        <v>0</v>
      </c>
      <c r="AD45" s="12">
        <f>'Supply2024-coding'!AD44*'Use 2024'!$C44</f>
        <v>0</v>
      </c>
      <c r="AE45" s="12">
        <f>'Supply2024-coding'!AE44*'Use 2024'!$C44</f>
        <v>0</v>
      </c>
      <c r="AF45" s="12">
        <f>'Supply2024-coding'!AF44*'Use 2024'!$C44</f>
        <v>0</v>
      </c>
      <c r="AG45" s="12">
        <f>'Supply2024-coding'!AG44*'Use 2024'!$C44</f>
        <v>0</v>
      </c>
      <c r="AH45" s="12">
        <f>'Supply2024-coding'!AH44*'Use 2024'!$C44</f>
        <v>0</v>
      </c>
      <c r="AI45" s="12">
        <f>'Supply2024-coding'!AI44*'Use 2024'!$C44</f>
        <v>0</v>
      </c>
      <c r="AJ45" s="12">
        <f>'Supply2024-coding'!AJ44*'Use 2024'!$C44</f>
        <v>0</v>
      </c>
      <c r="AK45" s="12">
        <f>'Supply2024-coding'!AK44*'Use 2024'!$C44</f>
        <v>0</v>
      </c>
      <c r="AL45" s="12">
        <f>'Supply2024-coding'!AL44*'Use 2024'!$C44</f>
        <v>0</v>
      </c>
      <c r="AM45" s="12">
        <f>'Supply2024-coding'!AM44*'Use 2024'!$C44</f>
        <v>0</v>
      </c>
      <c r="AN45" s="12">
        <f>'Supply2024-coding'!AN44*'Use 2024'!$C44</f>
        <v>0</v>
      </c>
      <c r="AO45" s="12">
        <f>'Supply2024-coding'!AO44*'Use 2024'!$C44</f>
        <v>0</v>
      </c>
      <c r="AP45" s="12">
        <f>'Supply2024-coding'!AP44*'Use 2024'!$C44</f>
        <v>2.9003180170486469E-2</v>
      </c>
      <c r="AQ45" s="12">
        <f>'Supply2024-coding'!AQ44*'Use 2024'!$C44</f>
        <v>0</v>
      </c>
      <c r="AR45" s="12">
        <f>'Supply2024-coding'!AR44*'Use 2024'!$C44</f>
        <v>2.2105633476697004E-6</v>
      </c>
      <c r="AS45" s="12">
        <f>'Supply2024-coding'!AS44*'Use 2024'!$C44</f>
        <v>0.15468780084189437</v>
      </c>
      <c r="AT45" s="12">
        <f>'Supply2024-coding'!AT44*'Use 2024'!$C44</f>
        <v>0</v>
      </c>
      <c r="AU45" s="12">
        <f>'Supply2024-coding'!AU44*'Use 2024'!$C44</f>
        <v>0</v>
      </c>
      <c r="AV45" s="12">
        <f>'Supply2024-coding'!AV44*'Use 2024'!$C44</f>
        <v>0</v>
      </c>
      <c r="AW45" s="12">
        <f>'Supply2024-coding'!AW44*'Use 2024'!$C44</f>
        <v>0</v>
      </c>
      <c r="AX45" s="12">
        <f>'Supply2024-coding'!AX44*'Use 2024'!$C44</f>
        <v>0</v>
      </c>
      <c r="AY45" s="12">
        <f>'Supply2024-coding'!AY44*'Use 2024'!$C44</f>
        <v>0</v>
      </c>
      <c r="AZ45" s="12">
        <f>'Supply2024-coding'!AZ44*'Use 2024'!$C44</f>
        <v>0</v>
      </c>
      <c r="BA45" s="12">
        <f>'Supply2024-coding'!BA44*'Use 2024'!$C44</f>
        <v>0</v>
      </c>
      <c r="BB45" s="12">
        <f>'Supply2024-coding'!BB44*'Use 2024'!$C44</f>
        <v>1.1091412115304242E-2</v>
      </c>
      <c r="BC45" s="12">
        <f>'Supply2024-coding'!BC44*'Use 2024'!$C44</f>
        <v>1.0936180294187421E-2</v>
      </c>
      <c r="BD45" s="12">
        <f>'Supply2024-coding'!BD44*'Use 2024'!$C44</f>
        <v>0</v>
      </c>
      <c r="BE45" s="12">
        <f>'Supply2024-coding'!BE44*'Use 2024'!$C44</f>
        <v>0</v>
      </c>
      <c r="BF45" s="12">
        <f>'Supply2024-coding'!BF44*'Use 2024'!$C44</f>
        <v>0</v>
      </c>
      <c r="BG45" s="12">
        <f>'Supply2024-coding'!BG44*'Use 2024'!$C44</f>
        <v>0</v>
      </c>
      <c r="BH45" s="12">
        <f>'Supply2024-coding'!BH44*'Use 2024'!$C44</f>
        <v>0</v>
      </c>
      <c r="BI45" s="12">
        <f>'Supply2024-coding'!BI44*'Use 2024'!$C44</f>
        <v>0</v>
      </c>
      <c r="BJ45" s="12">
        <f>'Supply2024-coding'!BJ44*'Use 2024'!$C44</f>
        <v>0</v>
      </c>
      <c r="BK45" s="12">
        <f>'Supply2024-coding'!BK44*'Use 2024'!$C44</f>
        <v>0</v>
      </c>
      <c r="BL45" s="12">
        <f>'Supply2024-coding'!BL44*'Use 2024'!$C44</f>
        <v>0</v>
      </c>
      <c r="BM45" s="12">
        <f>'Supply2024-coding'!BM44*'Use 2024'!$C44</f>
        <v>0</v>
      </c>
      <c r="BN45" s="12">
        <f>'Supply2024-coding'!BN44*'Use 2024'!$C44</f>
        <v>0</v>
      </c>
      <c r="BO45" s="12">
        <f>'Supply2024-coding'!BO44*'Use 2024'!$C44</f>
        <v>0</v>
      </c>
      <c r="BP45" s="12">
        <f>'Supply2024-coding'!BP44*'Use 2024'!$C44</f>
        <v>2.4295352974735017E-4</v>
      </c>
      <c r="BQ45" s="12">
        <f>'Supply2024-coding'!BQ44*'Use 2024'!$C44</f>
        <v>7.3316477248726431E-6</v>
      </c>
      <c r="BR45" s="12">
        <f>'Supply2024-coding'!BR44*'Use 2024'!$C44</f>
        <v>0</v>
      </c>
      <c r="BS45" s="12">
        <f>'Supply2024-coding'!BS44*'Use 2024'!$C44</f>
        <v>0</v>
      </c>
      <c r="BT45" s="12">
        <f>'Supply2024-coding'!BT44*'Use 2024'!$C44</f>
        <v>2.8006602275789917E-4</v>
      </c>
      <c r="BU45" s="12">
        <f>'Supply2024-coding'!BU44*'Use 2024'!$C44</f>
        <v>0</v>
      </c>
      <c r="BV45" s="12">
        <f>'Supply2024-coding'!BV44*'Use 2024'!$C44</f>
        <v>3.8225132795760355E-3</v>
      </c>
      <c r="BW45" s="12">
        <f>'Supply2024-coding'!BW44*'Use 2024'!$C44</f>
        <v>1.5860160842405048E-4</v>
      </c>
      <c r="BX45" s="12">
        <f>'Supply2024-coding'!BX44*'Use 2024'!$C44</f>
        <v>0</v>
      </c>
      <c r="BY45" s="12">
        <f>'Supply2024-coding'!BY44*'Use 2024'!$C44</f>
        <v>3.570041629068705E-3</v>
      </c>
      <c r="BZ45" s="12">
        <f>'Supply2024-coding'!BZ44*'Use 2024'!$C44</f>
        <v>0</v>
      </c>
      <c r="CA45" s="12" t="e">
        <f>'Supply2024-coding'!CA44*'Use 2024'!$C44</f>
        <v>#DIV/0!</v>
      </c>
      <c r="CB45" s="12">
        <f>'Supply2024-coding'!CB44*'Use 2024'!$C44</f>
        <v>0</v>
      </c>
      <c r="CC45" s="12">
        <f>'Supply2024-coding'!CC44*'Use 2024'!$C44</f>
        <v>0</v>
      </c>
      <c r="CD45" s="12">
        <f>'Supply2024-coding'!CD44*'Use 2024'!$C44</f>
        <v>7.9293738293592653E-4</v>
      </c>
      <c r="CE45" s="12">
        <f>'Supply2024-coding'!CE44*'Use 2024'!$C44</f>
        <v>0</v>
      </c>
      <c r="CF45" s="12">
        <f>'Supply2024-coding'!CF44*'Use 2024'!$C44</f>
        <v>7.9746508563996205E-4</v>
      </c>
      <c r="CG45" s="12">
        <f>'Supply2024-coding'!CG44*'Use 2024'!$C44</f>
        <v>3.5185608949326584E-3</v>
      </c>
    </row>
    <row r="46" spans="1:85" x14ac:dyDescent="0.25">
      <c r="A46" t="s">
        <v>44</v>
      </c>
      <c r="B46" t="s">
        <v>137</v>
      </c>
      <c r="C46" s="12">
        <f>'Supply2024-coding'!C45*'Use 2024'!$C45</f>
        <v>0</v>
      </c>
      <c r="D46" s="12">
        <f>'Supply2024-coding'!D45*'Use 2024'!$C45</f>
        <v>0</v>
      </c>
      <c r="E46" s="12">
        <f>'Supply2024-coding'!E45*'Use 2024'!$C45</f>
        <v>0</v>
      </c>
      <c r="F46" s="12">
        <f>'Supply2024-coding'!F45*'Use 2024'!$C45</f>
        <v>0</v>
      </c>
      <c r="G46" s="12">
        <f>'Supply2024-coding'!G45*'Use 2024'!$C45</f>
        <v>0</v>
      </c>
      <c r="H46" s="12">
        <f>'Supply2024-coding'!H45*'Use 2024'!$C45</f>
        <v>0</v>
      </c>
      <c r="I46" s="12">
        <f>'Supply2024-coding'!I45*'Use 2024'!$C45</f>
        <v>0</v>
      </c>
      <c r="J46" s="12">
        <f>'Supply2024-coding'!J45*'Use 2024'!$C45</f>
        <v>0</v>
      </c>
      <c r="K46" s="12">
        <f>'Supply2024-coding'!K45*'Use 2024'!$C45</f>
        <v>0</v>
      </c>
      <c r="L46" s="12">
        <f>'Supply2024-coding'!L45*'Use 2024'!$C45</f>
        <v>0</v>
      </c>
      <c r="M46" s="12">
        <f>'Supply2024-coding'!M45*'Use 2024'!$C45</f>
        <v>0</v>
      </c>
      <c r="N46" s="12">
        <f>'Supply2024-coding'!N45*'Use 2024'!$C45</f>
        <v>0</v>
      </c>
      <c r="O46" s="12">
        <f>'Supply2024-coding'!O45*'Use 2024'!$C45</f>
        <v>0</v>
      </c>
      <c r="P46" s="12">
        <f>'Supply2024-coding'!P45*'Use 2024'!$C45</f>
        <v>0</v>
      </c>
      <c r="Q46" s="12">
        <f>'Supply2024-coding'!Q45*'Use 2024'!$C45</f>
        <v>0</v>
      </c>
      <c r="R46" s="12">
        <f>'Supply2024-coding'!R45*'Use 2024'!$C45</f>
        <v>0</v>
      </c>
      <c r="S46" s="12">
        <f>'Supply2024-coding'!S45*'Use 2024'!$C45</f>
        <v>0</v>
      </c>
      <c r="T46" s="12">
        <f>'Supply2024-coding'!T45*'Use 2024'!$C45</f>
        <v>0</v>
      </c>
      <c r="U46" s="12">
        <f>'Supply2024-coding'!U45*'Use 2024'!$C45</f>
        <v>0</v>
      </c>
      <c r="V46" s="12">
        <f>'Supply2024-coding'!V45*'Use 2024'!$C45</f>
        <v>0</v>
      </c>
      <c r="W46" s="12">
        <f>'Supply2024-coding'!W45*'Use 2024'!$C45</f>
        <v>0</v>
      </c>
      <c r="X46" s="12">
        <f>'Supply2024-coding'!X45*'Use 2024'!$C45</f>
        <v>0</v>
      </c>
      <c r="Y46" s="12">
        <f>'Supply2024-coding'!Y45*'Use 2024'!$C45</f>
        <v>0</v>
      </c>
      <c r="Z46" s="12">
        <f>'Supply2024-coding'!Z45*'Use 2024'!$C45</f>
        <v>0</v>
      </c>
      <c r="AA46" s="12">
        <f>'Supply2024-coding'!AA45*'Use 2024'!$C45</f>
        <v>0</v>
      </c>
      <c r="AB46" s="12">
        <f>'Supply2024-coding'!AB45*'Use 2024'!$C45</f>
        <v>0</v>
      </c>
      <c r="AC46" s="12">
        <f>'Supply2024-coding'!AC45*'Use 2024'!$C45</f>
        <v>0</v>
      </c>
      <c r="AD46" s="12">
        <f>'Supply2024-coding'!AD45*'Use 2024'!$C45</f>
        <v>3.2226851068640813E-3</v>
      </c>
      <c r="AE46" s="12">
        <f>'Supply2024-coding'!AE45*'Use 2024'!$C45</f>
        <v>4.8866919509536027E-5</v>
      </c>
      <c r="AF46" s="12">
        <f>'Supply2024-coding'!AF45*'Use 2024'!$C45</f>
        <v>0</v>
      </c>
      <c r="AG46" s="12">
        <f>'Supply2024-coding'!AG45*'Use 2024'!$C45</f>
        <v>9.1098450288724209E-5</v>
      </c>
      <c r="AH46" s="12">
        <f>'Supply2024-coding'!AH45*'Use 2024'!$C45</f>
        <v>0</v>
      </c>
      <c r="AI46" s="12">
        <f>'Supply2024-coding'!AI45*'Use 2024'!$C45</f>
        <v>0</v>
      </c>
      <c r="AJ46" s="12">
        <f>'Supply2024-coding'!AJ45*'Use 2024'!$C45</f>
        <v>0</v>
      </c>
      <c r="AK46" s="12">
        <f>'Supply2024-coding'!AK45*'Use 2024'!$C45</f>
        <v>0</v>
      </c>
      <c r="AL46" s="12">
        <f>'Supply2024-coding'!AL45*'Use 2024'!$C45</f>
        <v>0</v>
      </c>
      <c r="AM46" s="12">
        <f>'Supply2024-coding'!AM45*'Use 2024'!$C45</f>
        <v>0</v>
      </c>
      <c r="AN46" s="12">
        <f>'Supply2024-coding'!AN45*'Use 2024'!$C45</f>
        <v>0</v>
      </c>
      <c r="AO46" s="12">
        <f>'Supply2024-coding'!AO45*'Use 2024'!$C45</f>
        <v>0</v>
      </c>
      <c r="AP46" s="12">
        <f>'Supply2024-coding'!AP45*'Use 2024'!$C45</f>
        <v>0</v>
      </c>
      <c r="AQ46" s="12">
        <f>'Supply2024-coding'!AQ45*'Use 2024'!$C45</f>
        <v>0</v>
      </c>
      <c r="AR46" s="12">
        <f>'Supply2024-coding'!AR45*'Use 2024'!$C45</f>
        <v>0</v>
      </c>
      <c r="AS46" s="12">
        <f>'Supply2024-coding'!AS45*'Use 2024'!$C45</f>
        <v>0</v>
      </c>
      <c r="AT46" s="12">
        <f>'Supply2024-coding'!AT45*'Use 2024'!$C45</f>
        <v>0.30228085956743095</v>
      </c>
      <c r="AU46" s="12">
        <f>'Supply2024-coding'!AU45*'Use 2024'!$C45</f>
        <v>1.4280553638502882E-2</v>
      </c>
      <c r="AV46" s="12">
        <f>'Supply2024-coding'!AV45*'Use 2024'!$C45</f>
        <v>0</v>
      </c>
      <c r="AW46" s="12">
        <f>'Supply2024-coding'!AW45*'Use 2024'!$C45</f>
        <v>0</v>
      </c>
      <c r="AX46" s="12">
        <f>'Supply2024-coding'!AX45*'Use 2024'!$C45</f>
        <v>0</v>
      </c>
      <c r="AY46" s="12">
        <f>'Supply2024-coding'!AY45*'Use 2024'!$C45</f>
        <v>2.6568830128556332E-4</v>
      </c>
      <c r="AZ46" s="12">
        <f>'Supply2024-coding'!AZ45*'Use 2024'!$C45</f>
        <v>4.8850808815929577E-5</v>
      </c>
      <c r="BA46" s="12">
        <f>'Supply2024-coding'!BA45*'Use 2024'!$C45</f>
        <v>0</v>
      </c>
      <c r="BB46" s="12">
        <f>'Supply2024-coding'!BB45*'Use 2024'!$C45</f>
        <v>0</v>
      </c>
      <c r="BC46" s="12">
        <f>'Supply2024-coding'!BC45*'Use 2024'!$C45</f>
        <v>0</v>
      </c>
      <c r="BD46" s="12">
        <f>'Supply2024-coding'!BD45*'Use 2024'!$C45</f>
        <v>0</v>
      </c>
      <c r="BE46" s="12">
        <f>'Supply2024-coding'!BE45*'Use 2024'!$C45</f>
        <v>0</v>
      </c>
      <c r="BF46" s="12">
        <f>'Supply2024-coding'!BF45*'Use 2024'!$C45</f>
        <v>0</v>
      </c>
      <c r="BG46" s="12">
        <f>'Supply2024-coding'!BG45*'Use 2024'!$C45</f>
        <v>0</v>
      </c>
      <c r="BH46" s="12">
        <f>'Supply2024-coding'!BH45*'Use 2024'!$C45</f>
        <v>0</v>
      </c>
      <c r="BI46" s="12">
        <f>'Supply2024-coding'!BI45*'Use 2024'!$C45</f>
        <v>0</v>
      </c>
      <c r="BJ46" s="12">
        <f>'Supply2024-coding'!BJ45*'Use 2024'!$C45</f>
        <v>0</v>
      </c>
      <c r="BK46" s="12">
        <f>'Supply2024-coding'!BK45*'Use 2024'!$C45</f>
        <v>0</v>
      </c>
      <c r="BL46" s="12">
        <f>'Supply2024-coding'!BL45*'Use 2024'!$C45</f>
        <v>0</v>
      </c>
      <c r="BM46" s="12">
        <f>'Supply2024-coding'!BM45*'Use 2024'!$C45</f>
        <v>0</v>
      </c>
      <c r="BN46" s="12">
        <f>'Supply2024-coding'!BN45*'Use 2024'!$C45</f>
        <v>0</v>
      </c>
      <c r="BO46" s="12">
        <f>'Supply2024-coding'!BO45*'Use 2024'!$C45</f>
        <v>0</v>
      </c>
      <c r="BP46" s="12">
        <f>'Supply2024-coding'!BP45*'Use 2024'!$C45</f>
        <v>0</v>
      </c>
      <c r="BQ46" s="12">
        <f>'Supply2024-coding'!BQ45*'Use 2024'!$C45</f>
        <v>0</v>
      </c>
      <c r="BR46" s="12">
        <f>'Supply2024-coding'!BR45*'Use 2024'!$C45</f>
        <v>0</v>
      </c>
      <c r="BS46" s="12">
        <f>'Supply2024-coding'!BS45*'Use 2024'!$C45</f>
        <v>0</v>
      </c>
      <c r="BT46" s="12">
        <f>'Supply2024-coding'!BT45*'Use 2024'!$C45</f>
        <v>0</v>
      </c>
      <c r="BU46" s="12">
        <f>'Supply2024-coding'!BU45*'Use 2024'!$C45</f>
        <v>1.5087655292529157E-5</v>
      </c>
      <c r="BV46" s="12">
        <f>'Supply2024-coding'!BV45*'Use 2024'!$C45</f>
        <v>8.9487474148389392E-3</v>
      </c>
      <c r="BW46" s="12">
        <f>'Supply2024-coding'!BW45*'Use 2024'!$C45</f>
        <v>7.3680262544774508E-4</v>
      </c>
      <c r="BX46" s="12">
        <f>'Supply2024-coding'!BX45*'Use 2024'!$C45</f>
        <v>0</v>
      </c>
      <c r="BY46" s="12">
        <f>'Supply2024-coding'!BY45*'Use 2024'!$C45</f>
        <v>8.3831072333313481E-3</v>
      </c>
      <c r="BZ46" s="12">
        <f>'Supply2024-coding'!BZ45*'Use 2024'!$C45</f>
        <v>0</v>
      </c>
      <c r="CA46" s="12" t="e">
        <f>'Supply2024-coding'!CA45*'Use 2024'!$C45</f>
        <v>#DIV/0!</v>
      </c>
      <c r="CB46" s="12">
        <f>'Supply2024-coding'!CB45*'Use 2024'!$C45</f>
        <v>0</v>
      </c>
      <c r="CC46" s="12">
        <f>'Supply2024-coding'!CC45*'Use 2024'!$C45</f>
        <v>0</v>
      </c>
      <c r="CD46" s="12">
        <f>'Supply2024-coding'!CD45*'Use 2024'!$C45</f>
        <v>0</v>
      </c>
      <c r="CE46" s="12">
        <f>'Supply2024-coding'!CE45*'Use 2024'!$C45</f>
        <v>9.5363837492191939E-4</v>
      </c>
      <c r="CF46" s="12">
        <f>'Supply2024-coding'!CF45*'Use 2024'!$C45</f>
        <v>-8.4342391099034411E-5</v>
      </c>
      <c r="CG46" s="12">
        <f>'Supply2024-coding'!CG45*'Use 2024'!$C45</f>
        <v>8.2258949637791338E-3</v>
      </c>
    </row>
    <row r="47" spans="1:85" x14ac:dyDescent="0.25">
      <c r="A47" t="s">
        <v>45</v>
      </c>
      <c r="B47" t="s">
        <v>138</v>
      </c>
      <c r="C47" s="12">
        <f>'Supply2024-coding'!C46*'Use 2024'!$C46</f>
        <v>0</v>
      </c>
      <c r="D47" s="12">
        <f>'Supply2024-coding'!D46*'Use 2024'!$C46</f>
        <v>0</v>
      </c>
      <c r="E47" s="12">
        <f>'Supply2024-coding'!E46*'Use 2024'!$C46</f>
        <v>0</v>
      </c>
      <c r="F47" s="12">
        <f>'Supply2024-coding'!F46*'Use 2024'!$C46</f>
        <v>0</v>
      </c>
      <c r="G47" s="12">
        <f>'Supply2024-coding'!G46*'Use 2024'!$C46</f>
        <v>0</v>
      </c>
      <c r="H47" s="12">
        <f>'Supply2024-coding'!H46*'Use 2024'!$C46</f>
        <v>0</v>
      </c>
      <c r="I47" s="12">
        <f>'Supply2024-coding'!I46*'Use 2024'!$C46</f>
        <v>0</v>
      </c>
      <c r="J47" s="12">
        <f>'Supply2024-coding'!J46*'Use 2024'!$C46</f>
        <v>0</v>
      </c>
      <c r="K47" s="12">
        <f>'Supply2024-coding'!K46*'Use 2024'!$C46</f>
        <v>0</v>
      </c>
      <c r="L47" s="12">
        <f>'Supply2024-coding'!L46*'Use 2024'!$C46</f>
        <v>0</v>
      </c>
      <c r="M47" s="12">
        <f>'Supply2024-coding'!M46*'Use 2024'!$C46</f>
        <v>0</v>
      </c>
      <c r="N47" s="12">
        <f>'Supply2024-coding'!N46*'Use 2024'!$C46</f>
        <v>0</v>
      </c>
      <c r="O47" s="12">
        <f>'Supply2024-coding'!O46*'Use 2024'!$C46</f>
        <v>0</v>
      </c>
      <c r="P47" s="12">
        <f>'Supply2024-coding'!P46*'Use 2024'!$C46</f>
        <v>0</v>
      </c>
      <c r="Q47" s="12">
        <f>'Supply2024-coding'!Q46*'Use 2024'!$C46</f>
        <v>0</v>
      </c>
      <c r="R47" s="12">
        <f>'Supply2024-coding'!R46*'Use 2024'!$C46</f>
        <v>0</v>
      </c>
      <c r="S47" s="12">
        <f>'Supply2024-coding'!S46*'Use 2024'!$C46</f>
        <v>0</v>
      </c>
      <c r="T47" s="12">
        <f>'Supply2024-coding'!T46*'Use 2024'!$C46</f>
        <v>0</v>
      </c>
      <c r="U47" s="12">
        <f>'Supply2024-coding'!U46*'Use 2024'!$C46</f>
        <v>0</v>
      </c>
      <c r="V47" s="12">
        <f>'Supply2024-coding'!V46*'Use 2024'!$C46</f>
        <v>0</v>
      </c>
      <c r="W47" s="12">
        <f>'Supply2024-coding'!W46*'Use 2024'!$C46</f>
        <v>0</v>
      </c>
      <c r="X47" s="12">
        <f>'Supply2024-coding'!X46*'Use 2024'!$C46</f>
        <v>0</v>
      </c>
      <c r="Y47" s="12">
        <f>'Supply2024-coding'!Y46*'Use 2024'!$C46</f>
        <v>0</v>
      </c>
      <c r="Z47" s="12">
        <f>'Supply2024-coding'!Z46*'Use 2024'!$C46</f>
        <v>0</v>
      </c>
      <c r="AA47" s="12">
        <f>'Supply2024-coding'!AA46*'Use 2024'!$C46</f>
        <v>0</v>
      </c>
      <c r="AB47" s="12">
        <f>'Supply2024-coding'!AB46*'Use 2024'!$C46</f>
        <v>0</v>
      </c>
      <c r="AC47" s="12">
        <f>'Supply2024-coding'!AC46*'Use 2024'!$C46</f>
        <v>0</v>
      </c>
      <c r="AD47" s="12">
        <f>'Supply2024-coding'!AD46*'Use 2024'!$C46</f>
        <v>0</v>
      </c>
      <c r="AE47" s="12">
        <f>'Supply2024-coding'!AE46*'Use 2024'!$C46</f>
        <v>0</v>
      </c>
      <c r="AF47" s="12">
        <f>'Supply2024-coding'!AF46*'Use 2024'!$C46</f>
        <v>0</v>
      </c>
      <c r="AG47" s="12">
        <f>'Supply2024-coding'!AG46*'Use 2024'!$C46</f>
        <v>0</v>
      </c>
      <c r="AH47" s="12">
        <f>'Supply2024-coding'!AH46*'Use 2024'!$C46</f>
        <v>0</v>
      </c>
      <c r="AI47" s="12">
        <f>'Supply2024-coding'!AI46*'Use 2024'!$C46</f>
        <v>0</v>
      </c>
      <c r="AJ47" s="12">
        <f>'Supply2024-coding'!AJ46*'Use 2024'!$C46</f>
        <v>0</v>
      </c>
      <c r="AK47" s="12">
        <f>'Supply2024-coding'!AK46*'Use 2024'!$C46</f>
        <v>0</v>
      </c>
      <c r="AL47" s="12">
        <f>'Supply2024-coding'!AL46*'Use 2024'!$C46</f>
        <v>0</v>
      </c>
      <c r="AM47" s="12">
        <f>'Supply2024-coding'!AM46*'Use 2024'!$C46</f>
        <v>0</v>
      </c>
      <c r="AN47" s="12">
        <f>'Supply2024-coding'!AN46*'Use 2024'!$C46</f>
        <v>0</v>
      </c>
      <c r="AO47" s="12">
        <f>'Supply2024-coding'!AO46*'Use 2024'!$C46</f>
        <v>0</v>
      </c>
      <c r="AP47" s="12">
        <f>'Supply2024-coding'!AP46*'Use 2024'!$C46</f>
        <v>0</v>
      </c>
      <c r="AQ47" s="12">
        <f>'Supply2024-coding'!AQ46*'Use 2024'!$C46</f>
        <v>0</v>
      </c>
      <c r="AR47" s="12">
        <f>'Supply2024-coding'!AR46*'Use 2024'!$C46</f>
        <v>0</v>
      </c>
      <c r="AS47" s="12">
        <f>'Supply2024-coding'!AS46*'Use 2024'!$C46</f>
        <v>0</v>
      </c>
      <c r="AT47" s="12">
        <f>'Supply2024-coding'!AT46*'Use 2024'!$C46</f>
        <v>9.1808588966363503E-3</v>
      </c>
      <c r="AU47" s="12">
        <f>'Supply2024-coding'!AU46*'Use 2024'!$C46</f>
        <v>0.39169103647449366</v>
      </c>
      <c r="AV47" s="12">
        <f>'Supply2024-coding'!AV46*'Use 2024'!$C46</f>
        <v>6.2310516816154165E-4</v>
      </c>
      <c r="AW47" s="12">
        <f>'Supply2024-coding'!AW46*'Use 2024'!$C46</f>
        <v>0</v>
      </c>
      <c r="AX47" s="12">
        <f>'Supply2024-coding'!AX46*'Use 2024'!$C46</f>
        <v>0</v>
      </c>
      <c r="AY47" s="12">
        <f>'Supply2024-coding'!AY46*'Use 2024'!$C46</f>
        <v>0</v>
      </c>
      <c r="AZ47" s="12">
        <f>'Supply2024-coding'!AZ46*'Use 2024'!$C46</f>
        <v>8.0950762252556826E-5</v>
      </c>
      <c r="BA47" s="12">
        <f>'Supply2024-coding'!BA46*'Use 2024'!$C46</f>
        <v>0</v>
      </c>
      <c r="BB47" s="12">
        <f>'Supply2024-coding'!BB46*'Use 2024'!$C46</f>
        <v>0</v>
      </c>
      <c r="BC47" s="12">
        <f>'Supply2024-coding'!BC46*'Use 2024'!$C46</f>
        <v>1.1757135790864878E-4</v>
      </c>
      <c r="BD47" s="12">
        <f>'Supply2024-coding'!BD46*'Use 2024'!$C46</f>
        <v>0</v>
      </c>
      <c r="BE47" s="12">
        <f>'Supply2024-coding'!BE46*'Use 2024'!$C46</f>
        <v>0</v>
      </c>
      <c r="BF47" s="12">
        <f>'Supply2024-coding'!BF46*'Use 2024'!$C46</f>
        <v>0</v>
      </c>
      <c r="BG47" s="12">
        <f>'Supply2024-coding'!BG46*'Use 2024'!$C46</f>
        <v>0</v>
      </c>
      <c r="BH47" s="12">
        <f>'Supply2024-coding'!BH46*'Use 2024'!$C46</f>
        <v>0</v>
      </c>
      <c r="BI47" s="12">
        <f>'Supply2024-coding'!BI46*'Use 2024'!$C46</f>
        <v>0</v>
      </c>
      <c r="BJ47" s="12">
        <f>'Supply2024-coding'!BJ46*'Use 2024'!$C46</f>
        <v>0</v>
      </c>
      <c r="BK47" s="12">
        <f>'Supply2024-coding'!BK46*'Use 2024'!$C46</f>
        <v>0</v>
      </c>
      <c r="BL47" s="12">
        <f>'Supply2024-coding'!BL46*'Use 2024'!$C46</f>
        <v>0</v>
      </c>
      <c r="BM47" s="12">
        <f>'Supply2024-coding'!BM46*'Use 2024'!$C46</f>
        <v>0</v>
      </c>
      <c r="BN47" s="12">
        <f>'Supply2024-coding'!BN46*'Use 2024'!$C46</f>
        <v>0</v>
      </c>
      <c r="BO47" s="12">
        <f>'Supply2024-coding'!BO46*'Use 2024'!$C46</f>
        <v>0</v>
      </c>
      <c r="BP47" s="12">
        <f>'Supply2024-coding'!BP46*'Use 2024'!$C46</f>
        <v>0</v>
      </c>
      <c r="BQ47" s="12">
        <f>'Supply2024-coding'!BQ46*'Use 2024'!$C46</f>
        <v>0</v>
      </c>
      <c r="BR47" s="12">
        <f>'Supply2024-coding'!BR46*'Use 2024'!$C46</f>
        <v>0</v>
      </c>
      <c r="BS47" s="12">
        <f>'Supply2024-coding'!BS46*'Use 2024'!$C46</f>
        <v>0</v>
      </c>
      <c r="BT47" s="12">
        <f>'Supply2024-coding'!BT46*'Use 2024'!$C46</f>
        <v>0</v>
      </c>
      <c r="BU47" s="12">
        <f>'Supply2024-coding'!BU46*'Use 2024'!$C46</f>
        <v>0</v>
      </c>
      <c r="BV47" s="12">
        <f>'Supply2024-coding'!BV46*'Use 2024'!$C46</f>
        <v>7.6201609200043426E-3</v>
      </c>
      <c r="BW47" s="12">
        <f>'Supply2024-coding'!BW46*'Use 2024'!$C46</f>
        <v>5.4685657173604715E-6</v>
      </c>
      <c r="BX47" s="12">
        <f>'Supply2024-coding'!BX46*'Use 2024'!$C46</f>
        <v>0</v>
      </c>
      <c r="BY47" s="12">
        <f>'Supply2024-coding'!BY46*'Use 2024'!$C46</f>
        <v>7.095263288907817E-3</v>
      </c>
      <c r="BZ47" s="12">
        <f>'Supply2024-coding'!BZ46*'Use 2024'!$C46</f>
        <v>0</v>
      </c>
      <c r="CA47" s="12" t="e">
        <f>'Supply2024-coding'!CA46*'Use 2024'!$C46</f>
        <v>#DIV/0!</v>
      </c>
      <c r="CB47" s="12">
        <f>'Supply2024-coding'!CB46*'Use 2024'!$C46</f>
        <v>0</v>
      </c>
      <c r="CC47" s="12">
        <f>'Supply2024-coding'!CC46*'Use 2024'!$C46</f>
        <v>0</v>
      </c>
      <c r="CD47" s="12">
        <f>'Supply2024-coding'!CD46*'Use 2024'!$C46</f>
        <v>7.2864076813857176E-4</v>
      </c>
      <c r="CE47" s="12">
        <f>'Supply2024-coding'!CE46*'Use 2024'!$C46</f>
        <v>0</v>
      </c>
      <c r="CF47" s="12">
        <f>'Supply2024-coding'!CF46*'Use 2024'!$C46</f>
        <v>7.3280133471944904E-4</v>
      </c>
      <c r="CG47" s="12">
        <f>'Supply2024-coding'!CG46*'Use 2024'!$C46</f>
        <v>6.9771381156510858E-3</v>
      </c>
    </row>
    <row r="48" spans="1:85" x14ac:dyDescent="0.25">
      <c r="A48" t="s">
        <v>46</v>
      </c>
      <c r="B48" t="s">
        <v>139</v>
      </c>
      <c r="C48" s="12">
        <f>'Supply2024-coding'!C47*'Use 2024'!$C47</f>
        <v>0</v>
      </c>
      <c r="D48" s="12">
        <f>'Supply2024-coding'!D47*'Use 2024'!$C47</f>
        <v>0</v>
      </c>
      <c r="E48" s="12">
        <f>'Supply2024-coding'!E47*'Use 2024'!$C47</f>
        <v>0</v>
      </c>
      <c r="F48" s="12">
        <f>'Supply2024-coding'!F47*'Use 2024'!$C47</f>
        <v>0</v>
      </c>
      <c r="G48" s="12">
        <f>'Supply2024-coding'!G47*'Use 2024'!$C47</f>
        <v>0</v>
      </c>
      <c r="H48" s="12">
        <f>'Supply2024-coding'!H47*'Use 2024'!$C47</f>
        <v>0</v>
      </c>
      <c r="I48" s="12">
        <f>'Supply2024-coding'!I47*'Use 2024'!$C47</f>
        <v>0</v>
      </c>
      <c r="J48" s="12">
        <f>'Supply2024-coding'!J47*'Use 2024'!$C47</f>
        <v>0</v>
      </c>
      <c r="K48" s="12">
        <f>'Supply2024-coding'!K47*'Use 2024'!$C47</f>
        <v>0</v>
      </c>
      <c r="L48" s="12">
        <f>'Supply2024-coding'!L47*'Use 2024'!$C47</f>
        <v>0</v>
      </c>
      <c r="M48" s="12">
        <f>'Supply2024-coding'!M47*'Use 2024'!$C47</f>
        <v>0</v>
      </c>
      <c r="N48" s="12">
        <f>'Supply2024-coding'!N47*'Use 2024'!$C47</f>
        <v>0</v>
      </c>
      <c r="O48" s="12">
        <f>'Supply2024-coding'!O47*'Use 2024'!$C47</f>
        <v>0</v>
      </c>
      <c r="P48" s="12">
        <f>'Supply2024-coding'!P47*'Use 2024'!$C47</f>
        <v>0</v>
      </c>
      <c r="Q48" s="12">
        <f>'Supply2024-coding'!Q47*'Use 2024'!$C47</f>
        <v>0</v>
      </c>
      <c r="R48" s="12">
        <f>'Supply2024-coding'!R47*'Use 2024'!$C47</f>
        <v>0</v>
      </c>
      <c r="S48" s="12">
        <f>'Supply2024-coding'!S47*'Use 2024'!$C47</f>
        <v>0</v>
      </c>
      <c r="T48" s="12">
        <f>'Supply2024-coding'!T47*'Use 2024'!$C47</f>
        <v>0</v>
      </c>
      <c r="U48" s="12">
        <f>'Supply2024-coding'!U47*'Use 2024'!$C47</f>
        <v>0</v>
      </c>
      <c r="V48" s="12">
        <f>'Supply2024-coding'!V47*'Use 2024'!$C47</f>
        <v>0</v>
      </c>
      <c r="W48" s="12">
        <f>'Supply2024-coding'!W47*'Use 2024'!$C47</f>
        <v>0</v>
      </c>
      <c r="X48" s="12">
        <f>'Supply2024-coding'!X47*'Use 2024'!$C47</f>
        <v>0</v>
      </c>
      <c r="Y48" s="12">
        <f>'Supply2024-coding'!Y47*'Use 2024'!$C47</f>
        <v>0</v>
      </c>
      <c r="Z48" s="12">
        <f>'Supply2024-coding'!Z47*'Use 2024'!$C47</f>
        <v>0</v>
      </c>
      <c r="AA48" s="12">
        <f>'Supply2024-coding'!AA47*'Use 2024'!$C47</f>
        <v>0</v>
      </c>
      <c r="AB48" s="12">
        <f>'Supply2024-coding'!AB47*'Use 2024'!$C47</f>
        <v>0</v>
      </c>
      <c r="AC48" s="12">
        <f>'Supply2024-coding'!AC47*'Use 2024'!$C47</f>
        <v>0</v>
      </c>
      <c r="AD48" s="12">
        <f>'Supply2024-coding'!AD47*'Use 2024'!$C47</f>
        <v>0</v>
      </c>
      <c r="AE48" s="12">
        <f>'Supply2024-coding'!AE47*'Use 2024'!$C47</f>
        <v>0</v>
      </c>
      <c r="AF48" s="12">
        <f>'Supply2024-coding'!AF47*'Use 2024'!$C47</f>
        <v>0</v>
      </c>
      <c r="AG48" s="12">
        <f>'Supply2024-coding'!AG47*'Use 2024'!$C47</f>
        <v>0</v>
      </c>
      <c r="AH48" s="12">
        <f>'Supply2024-coding'!AH47*'Use 2024'!$C47</f>
        <v>0</v>
      </c>
      <c r="AI48" s="12">
        <f>'Supply2024-coding'!AI47*'Use 2024'!$C47</f>
        <v>0</v>
      </c>
      <c r="AJ48" s="12">
        <f>'Supply2024-coding'!AJ47*'Use 2024'!$C47</f>
        <v>0</v>
      </c>
      <c r="AK48" s="12">
        <f>'Supply2024-coding'!AK47*'Use 2024'!$C47</f>
        <v>0</v>
      </c>
      <c r="AL48" s="12">
        <f>'Supply2024-coding'!AL47*'Use 2024'!$C47</f>
        <v>0</v>
      </c>
      <c r="AM48" s="12">
        <f>'Supply2024-coding'!AM47*'Use 2024'!$C47</f>
        <v>0</v>
      </c>
      <c r="AN48" s="12">
        <f>'Supply2024-coding'!AN47*'Use 2024'!$C47</f>
        <v>0</v>
      </c>
      <c r="AO48" s="12">
        <f>'Supply2024-coding'!AO47*'Use 2024'!$C47</f>
        <v>0</v>
      </c>
      <c r="AP48" s="12">
        <f>'Supply2024-coding'!AP47*'Use 2024'!$C47</f>
        <v>0</v>
      </c>
      <c r="AQ48" s="12">
        <f>'Supply2024-coding'!AQ47*'Use 2024'!$C47</f>
        <v>0</v>
      </c>
      <c r="AR48" s="12">
        <f>'Supply2024-coding'!AR47*'Use 2024'!$C47</f>
        <v>0</v>
      </c>
      <c r="AS48" s="12">
        <f>'Supply2024-coding'!AS47*'Use 2024'!$C47</f>
        <v>0</v>
      </c>
      <c r="AT48" s="12">
        <f>'Supply2024-coding'!AT47*'Use 2024'!$C47</f>
        <v>0</v>
      </c>
      <c r="AU48" s="12">
        <f>'Supply2024-coding'!AU47*'Use 2024'!$C47</f>
        <v>2.1699497907426693E-3</v>
      </c>
      <c r="AV48" s="12">
        <f>'Supply2024-coding'!AV47*'Use 2024'!$C47</f>
        <v>0.32206316958241049</v>
      </c>
      <c r="AW48" s="12">
        <f>'Supply2024-coding'!AW47*'Use 2024'!$C47</f>
        <v>0</v>
      </c>
      <c r="AX48" s="12">
        <f>'Supply2024-coding'!AX47*'Use 2024'!$C47</f>
        <v>0</v>
      </c>
      <c r="AY48" s="12">
        <f>'Supply2024-coding'!AY47*'Use 2024'!$C47</f>
        <v>6.7122295261715968E-5</v>
      </c>
      <c r="AZ48" s="12">
        <f>'Supply2024-coding'!AZ47*'Use 2024'!$C47</f>
        <v>4.0464731008782071E-4</v>
      </c>
      <c r="BA48" s="12">
        <f>'Supply2024-coding'!BA47*'Use 2024'!$C47</f>
        <v>0</v>
      </c>
      <c r="BB48" s="12">
        <f>'Supply2024-coding'!BB47*'Use 2024'!$C47</f>
        <v>0</v>
      </c>
      <c r="BC48" s="12">
        <f>'Supply2024-coding'!BC47*'Use 2024'!$C47</f>
        <v>0</v>
      </c>
      <c r="BD48" s="12">
        <f>'Supply2024-coding'!BD47*'Use 2024'!$C47</f>
        <v>0</v>
      </c>
      <c r="BE48" s="12">
        <f>'Supply2024-coding'!BE47*'Use 2024'!$C47</f>
        <v>4.9152691273613309E-5</v>
      </c>
      <c r="BF48" s="12">
        <f>'Supply2024-coding'!BF47*'Use 2024'!$C47</f>
        <v>0</v>
      </c>
      <c r="BG48" s="12">
        <f>'Supply2024-coding'!BG47*'Use 2024'!$C47</f>
        <v>8.1445688889376821E-5</v>
      </c>
      <c r="BH48" s="12">
        <f>'Supply2024-coding'!BH47*'Use 2024'!$C47</f>
        <v>0</v>
      </c>
      <c r="BI48" s="12">
        <f>'Supply2024-coding'!BI47*'Use 2024'!$C47</f>
        <v>0</v>
      </c>
      <c r="BJ48" s="12">
        <f>'Supply2024-coding'!BJ47*'Use 2024'!$C47</f>
        <v>0</v>
      </c>
      <c r="BK48" s="12">
        <f>'Supply2024-coding'!BK47*'Use 2024'!$C47</f>
        <v>0</v>
      </c>
      <c r="BL48" s="12">
        <f>'Supply2024-coding'!BL47*'Use 2024'!$C47</f>
        <v>0</v>
      </c>
      <c r="BM48" s="12">
        <f>'Supply2024-coding'!BM47*'Use 2024'!$C47</f>
        <v>0</v>
      </c>
      <c r="BN48" s="12">
        <f>'Supply2024-coding'!BN47*'Use 2024'!$C47</f>
        <v>0</v>
      </c>
      <c r="BO48" s="12">
        <f>'Supply2024-coding'!BO47*'Use 2024'!$C47</f>
        <v>0</v>
      </c>
      <c r="BP48" s="12">
        <f>'Supply2024-coding'!BP47*'Use 2024'!$C47</f>
        <v>0</v>
      </c>
      <c r="BQ48" s="12">
        <f>'Supply2024-coding'!BQ47*'Use 2024'!$C47</f>
        <v>0</v>
      </c>
      <c r="BR48" s="12">
        <f>'Supply2024-coding'!BR47*'Use 2024'!$C47</f>
        <v>0</v>
      </c>
      <c r="BS48" s="12">
        <f>'Supply2024-coding'!BS47*'Use 2024'!$C47</f>
        <v>3.0891879928459591E-2</v>
      </c>
      <c r="BT48" s="12">
        <f>'Supply2024-coding'!BT47*'Use 2024'!$C47</f>
        <v>0</v>
      </c>
      <c r="BU48" s="12">
        <f>'Supply2024-coding'!BU47*'Use 2024'!$C47</f>
        <v>3.2841843708670561E-4</v>
      </c>
      <c r="BV48" s="12">
        <f>'Supply2024-coding'!BV47*'Use 2024'!$C47</f>
        <v>9.8211284570812497E-3</v>
      </c>
      <c r="BW48" s="12">
        <f>'Supply2024-coding'!BW47*'Use 2024'!$C47</f>
        <v>8.3305892101881128E-3</v>
      </c>
      <c r="BX48" s="12">
        <f>'Supply2024-coding'!BX47*'Use 2024'!$C47</f>
        <v>1.0294237850064617E-2</v>
      </c>
      <c r="BY48" s="12">
        <f>'Supply2024-coding'!BY47*'Use 2024'!$C47</f>
        <v>9.717243672447716E-3</v>
      </c>
      <c r="BZ48" s="12">
        <f>'Supply2024-coding'!BZ47*'Use 2024'!$C47</f>
        <v>0</v>
      </c>
      <c r="CA48" s="12" t="e">
        <f>'Supply2024-coding'!CA47*'Use 2024'!$C47</f>
        <v>#DIV/0!</v>
      </c>
      <c r="CB48" s="12">
        <f>'Supply2024-coding'!CB47*'Use 2024'!$C47</f>
        <v>0</v>
      </c>
      <c r="CC48" s="12">
        <f>'Supply2024-coding'!CC47*'Use 2024'!$C47</f>
        <v>0</v>
      </c>
      <c r="CD48" s="12">
        <f>'Supply2024-coding'!CD47*'Use 2024'!$C47</f>
        <v>1.2564136844607299E-2</v>
      </c>
      <c r="CE48" s="12">
        <f>'Supply2024-coding'!CE47*'Use 2024'!$C47</f>
        <v>2.4881367981947868E-2</v>
      </c>
      <c r="CF48" s="12">
        <f>'Supply2024-coding'!CF47*'Use 2024'!$C47</f>
        <v>1.0434980786641439E-2</v>
      </c>
      <c r="CG48" s="12">
        <f>'Supply2024-coding'!CG47*'Use 2024'!$C47</f>
        <v>9.730575499914294E-3</v>
      </c>
    </row>
    <row r="49" spans="1:85" x14ac:dyDescent="0.25">
      <c r="A49" t="s">
        <v>47</v>
      </c>
      <c r="B49" t="s">
        <v>140</v>
      </c>
      <c r="C49" s="12">
        <f>'Supply2024-coding'!C48*'Use 2024'!$C48</f>
        <v>0</v>
      </c>
      <c r="D49" s="12">
        <f>'Supply2024-coding'!D48*'Use 2024'!$C48</f>
        <v>0</v>
      </c>
      <c r="E49" s="12">
        <f>'Supply2024-coding'!E48*'Use 2024'!$C48</f>
        <v>0</v>
      </c>
      <c r="F49" s="12">
        <f>'Supply2024-coding'!F48*'Use 2024'!$C48</f>
        <v>0</v>
      </c>
      <c r="G49" s="12">
        <f>'Supply2024-coding'!G48*'Use 2024'!$C48</f>
        <v>0</v>
      </c>
      <c r="H49" s="12">
        <f>'Supply2024-coding'!H48*'Use 2024'!$C48</f>
        <v>0</v>
      </c>
      <c r="I49" s="12">
        <f>'Supply2024-coding'!I48*'Use 2024'!$C48</f>
        <v>0</v>
      </c>
      <c r="J49" s="12">
        <f>'Supply2024-coding'!J48*'Use 2024'!$C48</f>
        <v>0</v>
      </c>
      <c r="K49" s="12">
        <f>'Supply2024-coding'!K48*'Use 2024'!$C48</f>
        <v>0</v>
      </c>
      <c r="L49" s="12">
        <f>'Supply2024-coding'!L48*'Use 2024'!$C48</f>
        <v>0</v>
      </c>
      <c r="M49" s="12">
        <f>'Supply2024-coding'!M48*'Use 2024'!$C48</f>
        <v>0</v>
      </c>
      <c r="N49" s="12">
        <f>'Supply2024-coding'!N48*'Use 2024'!$C48</f>
        <v>0</v>
      </c>
      <c r="O49" s="12">
        <f>'Supply2024-coding'!O48*'Use 2024'!$C48</f>
        <v>0</v>
      </c>
      <c r="P49" s="12">
        <f>'Supply2024-coding'!P48*'Use 2024'!$C48</f>
        <v>0</v>
      </c>
      <c r="Q49" s="12">
        <f>'Supply2024-coding'!Q48*'Use 2024'!$C48</f>
        <v>0</v>
      </c>
      <c r="R49" s="12">
        <f>'Supply2024-coding'!R48*'Use 2024'!$C48</f>
        <v>0</v>
      </c>
      <c r="S49" s="12">
        <f>'Supply2024-coding'!S48*'Use 2024'!$C48</f>
        <v>0</v>
      </c>
      <c r="T49" s="12">
        <f>'Supply2024-coding'!T48*'Use 2024'!$C48</f>
        <v>0</v>
      </c>
      <c r="U49" s="12">
        <f>'Supply2024-coding'!U48*'Use 2024'!$C48</f>
        <v>0</v>
      </c>
      <c r="V49" s="12">
        <f>'Supply2024-coding'!V48*'Use 2024'!$C48</f>
        <v>0</v>
      </c>
      <c r="W49" s="12">
        <f>'Supply2024-coding'!W48*'Use 2024'!$C48</f>
        <v>0</v>
      </c>
      <c r="X49" s="12">
        <f>'Supply2024-coding'!X48*'Use 2024'!$C48</f>
        <v>0</v>
      </c>
      <c r="Y49" s="12">
        <f>'Supply2024-coding'!Y48*'Use 2024'!$C48</f>
        <v>0</v>
      </c>
      <c r="Z49" s="12">
        <f>'Supply2024-coding'!Z48*'Use 2024'!$C48</f>
        <v>0</v>
      </c>
      <c r="AA49" s="12">
        <f>'Supply2024-coding'!AA48*'Use 2024'!$C48</f>
        <v>0</v>
      </c>
      <c r="AB49" s="12">
        <f>'Supply2024-coding'!AB48*'Use 2024'!$C48</f>
        <v>0</v>
      </c>
      <c r="AC49" s="12">
        <f>'Supply2024-coding'!AC48*'Use 2024'!$C48</f>
        <v>0</v>
      </c>
      <c r="AD49" s="12">
        <f>'Supply2024-coding'!AD48*'Use 2024'!$C48</f>
        <v>0</v>
      </c>
      <c r="AE49" s="12">
        <f>'Supply2024-coding'!AE48*'Use 2024'!$C48</f>
        <v>0</v>
      </c>
      <c r="AF49" s="12">
        <f>'Supply2024-coding'!AF48*'Use 2024'!$C48</f>
        <v>0</v>
      </c>
      <c r="AG49" s="12">
        <f>'Supply2024-coding'!AG48*'Use 2024'!$C48</f>
        <v>0</v>
      </c>
      <c r="AH49" s="12">
        <f>'Supply2024-coding'!AH48*'Use 2024'!$C48</f>
        <v>0</v>
      </c>
      <c r="AI49" s="12">
        <f>'Supply2024-coding'!AI48*'Use 2024'!$C48</f>
        <v>0</v>
      </c>
      <c r="AJ49" s="12">
        <f>'Supply2024-coding'!AJ48*'Use 2024'!$C48</f>
        <v>0</v>
      </c>
      <c r="AK49" s="12">
        <f>'Supply2024-coding'!AK48*'Use 2024'!$C48</f>
        <v>0</v>
      </c>
      <c r="AL49" s="12">
        <f>'Supply2024-coding'!AL48*'Use 2024'!$C48</f>
        <v>0</v>
      </c>
      <c r="AM49" s="12">
        <f>'Supply2024-coding'!AM48*'Use 2024'!$C48</f>
        <v>0</v>
      </c>
      <c r="AN49" s="12">
        <f>'Supply2024-coding'!AN48*'Use 2024'!$C48</f>
        <v>0</v>
      </c>
      <c r="AO49" s="12">
        <f>'Supply2024-coding'!AO48*'Use 2024'!$C48</f>
        <v>0</v>
      </c>
      <c r="AP49" s="12">
        <f>'Supply2024-coding'!AP48*'Use 2024'!$C48</f>
        <v>0</v>
      </c>
      <c r="AQ49" s="12">
        <f>'Supply2024-coding'!AQ48*'Use 2024'!$C48</f>
        <v>0</v>
      </c>
      <c r="AR49" s="12">
        <f>'Supply2024-coding'!AR48*'Use 2024'!$C48</f>
        <v>0</v>
      </c>
      <c r="AS49" s="12">
        <f>'Supply2024-coding'!AS48*'Use 2024'!$C48</f>
        <v>0</v>
      </c>
      <c r="AT49" s="12">
        <f>'Supply2024-coding'!AT48*'Use 2024'!$C48</f>
        <v>0</v>
      </c>
      <c r="AU49" s="12">
        <f>'Supply2024-coding'!AU48*'Use 2024'!$C48</f>
        <v>0</v>
      </c>
      <c r="AV49" s="12">
        <f>'Supply2024-coding'!AV48*'Use 2024'!$C48</f>
        <v>0</v>
      </c>
      <c r="AW49" s="12">
        <f>'Supply2024-coding'!AW48*'Use 2024'!$C48</f>
        <v>0.92943157852673053</v>
      </c>
      <c r="AX49" s="12">
        <f>'Supply2024-coding'!AX48*'Use 2024'!$C48</f>
        <v>0</v>
      </c>
      <c r="AY49" s="12">
        <f>'Supply2024-coding'!AY48*'Use 2024'!$C48</f>
        <v>0</v>
      </c>
      <c r="AZ49" s="12">
        <f>'Supply2024-coding'!AZ48*'Use 2024'!$C48</f>
        <v>0</v>
      </c>
      <c r="BA49" s="12">
        <f>'Supply2024-coding'!BA48*'Use 2024'!$C48</f>
        <v>0</v>
      </c>
      <c r="BB49" s="12">
        <f>'Supply2024-coding'!BB48*'Use 2024'!$C48</f>
        <v>0</v>
      </c>
      <c r="BC49" s="12">
        <f>'Supply2024-coding'!BC48*'Use 2024'!$C48</f>
        <v>0</v>
      </c>
      <c r="BD49" s="12">
        <f>'Supply2024-coding'!BD48*'Use 2024'!$C48</f>
        <v>0</v>
      </c>
      <c r="BE49" s="12">
        <f>'Supply2024-coding'!BE48*'Use 2024'!$C48</f>
        <v>0</v>
      </c>
      <c r="BF49" s="12">
        <f>'Supply2024-coding'!BF48*'Use 2024'!$C48</f>
        <v>0</v>
      </c>
      <c r="BG49" s="12">
        <f>'Supply2024-coding'!BG48*'Use 2024'!$C48</f>
        <v>0</v>
      </c>
      <c r="BH49" s="12">
        <f>'Supply2024-coding'!BH48*'Use 2024'!$C48</f>
        <v>0</v>
      </c>
      <c r="BI49" s="12">
        <f>'Supply2024-coding'!BI48*'Use 2024'!$C48</f>
        <v>0</v>
      </c>
      <c r="BJ49" s="12">
        <f>'Supply2024-coding'!BJ48*'Use 2024'!$C48</f>
        <v>0</v>
      </c>
      <c r="BK49" s="12">
        <f>'Supply2024-coding'!BK48*'Use 2024'!$C48</f>
        <v>0</v>
      </c>
      <c r="BL49" s="12">
        <f>'Supply2024-coding'!BL48*'Use 2024'!$C48</f>
        <v>0</v>
      </c>
      <c r="BM49" s="12">
        <f>'Supply2024-coding'!BM48*'Use 2024'!$C48</f>
        <v>0</v>
      </c>
      <c r="BN49" s="12">
        <f>'Supply2024-coding'!BN48*'Use 2024'!$C48</f>
        <v>0</v>
      </c>
      <c r="BO49" s="12">
        <f>'Supply2024-coding'!BO48*'Use 2024'!$C48</f>
        <v>0</v>
      </c>
      <c r="BP49" s="12">
        <f>'Supply2024-coding'!BP48*'Use 2024'!$C48</f>
        <v>0</v>
      </c>
      <c r="BQ49" s="12">
        <f>'Supply2024-coding'!BQ48*'Use 2024'!$C48</f>
        <v>0</v>
      </c>
      <c r="BR49" s="12">
        <f>'Supply2024-coding'!BR48*'Use 2024'!$C48</f>
        <v>-2.0669159609882638E-5</v>
      </c>
      <c r="BS49" s="12">
        <f>'Supply2024-coding'!BS48*'Use 2024'!$C48</f>
        <v>0</v>
      </c>
      <c r="BT49" s="12">
        <f>'Supply2024-coding'!BT48*'Use 2024'!$C48</f>
        <v>1.1973986804513292E-2</v>
      </c>
      <c r="BU49" s="12">
        <f>'Supply2024-coding'!BU48*'Use 2024'!$C48</f>
        <v>0</v>
      </c>
      <c r="BV49" s="12">
        <f>'Supply2024-coding'!BV48*'Use 2024'!$C48</f>
        <v>5.7397293873618169E-3</v>
      </c>
      <c r="BW49" s="12">
        <f>'Supply2024-coding'!BW48*'Use 2024'!$C48</f>
        <v>0</v>
      </c>
      <c r="BX49" s="12">
        <f>'Supply2024-coding'!BX48*'Use 2024'!$C48</f>
        <v>0</v>
      </c>
      <c r="BY49" s="12">
        <f>'Supply2024-coding'!BY48*'Use 2024'!$C48</f>
        <v>5.3440747356023714E-3</v>
      </c>
      <c r="BZ49" s="12">
        <f>'Supply2024-coding'!BZ48*'Use 2024'!$C48</f>
        <v>0</v>
      </c>
      <c r="CA49" s="12" t="e">
        <f>'Supply2024-coding'!CA48*'Use 2024'!$C48</f>
        <v>#DIV/0!</v>
      </c>
      <c r="CB49" s="12">
        <f>'Supply2024-coding'!CB48*'Use 2024'!$C48</f>
        <v>0</v>
      </c>
      <c r="CC49" s="12">
        <f>'Supply2024-coding'!CC48*'Use 2024'!$C48</f>
        <v>0</v>
      </c>
      <c r="CD49" s="12">
        <f>'Supply2024-coding'!CD48*'Use 2024'!$C48</f>
        <v>1.0520310235479835E-4</v>
      </c>
      <c r="CE49" s="12">
        <f>'Supply2024-coding'!CE48*'Use 2024'!$C48</f>
        <v>0</v>
      </c>
      <c r="CF49" s="12">
        <f>'Supply2024-coding'!CF48*'Use 2024'!$C48</f>
        <v>1.0580381608233265E-4</v>
      </c>
      <c r="CG49" s="12">
        <f>'Supply2024-coding'!CG48*'Use 2024'!$C48</f>
        <v>5.2468212226183895E-3</v>
      </c>
    </row>
    <row r="50" spans="1:85" x14ac:dyDescent="0.25">
      <c r="A50" t="s">
        <v>48</v>
      </c>
      <c r="B50" t="s">
        <v>141</v>
      </c>
      <c r="C50" s="12">
        <f>'Supply2024-coding'!C49*'Use 2024'!$C49</f>
        <v>0</v>
      </c>
      <c r="D50" s="12">
        <f>'Supply2024-coding'!D49*'Use 2024'!$C49</f>
        <v>0</v>
      </c>
      <c r="E50" s="12">
        <f>'Supply2024-coding'!E49*'Use 2024'!$C49</f>
        <v>0</v>
      </c>
      <c r="F50" s="12">
        <f>'Supply2024-coding'!F49*'Use 2024'!$C49</f>
        <v>0</v>
      </c>
      <c r="G50" s="12">
        <f>'Supply2024-coding'!G49*'Use 2024'!$C49</f>
        <v>0</v>
      </c>
      <c r="H50" s="12">
        <f>'Supply2024-coding'!H49*'Use 2024'!$C49</f>
        <v>0</v>
      </c>
      <c r="I50" s="12">
        <f>'Supply2024-coding'!I49*'Use 2024'!$C49</f>
        <v>0</v>
      </c>
      <c r="J50" s="12">
        <f>'Supply2024-coding'!J49*'Use 2024'!$C49</f>
        <v>0</v>
      </c>
      <c r="K50" s="12">
        <f>'Supply2024-coding'!K49*'Use 2024'!$C49</f>
        <v>0</v>
      </c>
      <c r="L50" s="12">
        <f>'Supply2024-coding'!L49*'Use 2024'!$C49</f>
        <v>0</v>
      </c>
      <c r="M50" s="12">
        <f>'Supply2024-coding'!M49*'Use 2024'!$C49</f>
        <v>0</v>
      </c>
      <c r="N50" s="12">
        <f>'Supply2024-coding'!N49*'Use 2024'!$C49</f>
        <v>0</v>
      </c>
      <c r="O50" s="12">
        <f>'Supply2024-coding'!O49*'Use 2024'!$C49</f>
        <v>0</v>
      </c>
      <c r="P50" s="12">
        <f>'Supply2024-coding'!P49*'Use 2024'!$C49</f>
        <v>0</v>
      </c>
      <c r="Q50" s="12">
        <f>'Supply2024-coding'!Q49*'Use 2024'!$C49</f>
        <v>0</v>
      </c>
      <c r="R50" s="12">
        <f>'Supply2024-coding'!R49*'Use 2024'!$C49</f>
        <v>0</v>
      </c>
      <c r="S50" s="12">
        <f>'Supply2024-coding'!S49*'Use 2024'!$C49</f>
        <v>0</v>
      </c>
      <c r="T50" s="12">
        <f>'Supply2024-coding'!T49*'Use 2024'!$C49</f>
        <v>0</v>
      </c>
      <c r="U50" s="12">
        <f>'Supply2024-coding'!U49*'Use 2024'!$C49</f>
        <v>0</v>
      </c>
      <c r="V50" s="12">
        <f>'Supply2024-coding'!V49*'Use 2024'!$C49</f>
        <v>0</v>
      </c>
      <c r="W50" s="12">
        <f>'Supply2024-coding'!W49*'Use 2024'!$C49</f>
        <v>0</v>
      </c>
      <c r="X50" s="12">
        <f>'Supply2024-coding'!X49*'Use 2024'!$C49</f>
        <v>0</v>
      </c>
      <c r="Y50" s="12">
        <f>'Supply2024-coding'!Y49*'Use 2024'!$C49</f>
        <v>0</v>
      </c>
      <c r="Z50" s="12">
        <f>'Supply2024-coding'!Z49*'Use 2024'!$C49</f>
        <v>0</v>
      </c>
      <c r="AA50" s="12">
        <f>'Supply2024-coding'!AA49*'Use 2024'!$C49</f>
        <v>0</v>
      </c>
      <c r="AB50" s="12">
        <f>'Supply2024-coding'!AB49*'Use 2024'!$C49</f>
        <v>0</v>
      </c>
      <c r="AC50" s="12">
        <f>'Supply2024-coding'!AC49*'Use 2024'!$C49</f>
        <v>0</v>
      </c>
      <c r="AD50" s="12">
        <f>'Supply2024-coding'!AD49*'Use 2024'!$C49</f>
        <v>0</v>
      </c>
      <c r="AE50" s="12">
        <f>'Supply2024-coding'!AE49*'Use 2024'!$C49</f>
        <v>0</v>
      </c>
      <c r="AF50" s="12">
        <f>'Supply2024-coding'!AF49*'Use 2024'!$C49</f>
        <v>0</v>
      </c>
      <c r="AG50" s="12">
        <f>'Supply2024-coding'!AG49*'Use 2024'!$C49</f>
        <v>0</v>
      </c>
      <c r="AH50" s="12">
        <f>'Supply2024-coding'!AH49*'Use 2024'!$C49</f>
        <v>0</v>
      </c>
      <c r="AI50" s="12">
        <f>'Supply2024-coding'!AI49*'Use 2024'!$C49</f>
        <v>0</v>
      </c>
      <c r="AJ50" s="12">
        <f>'Supply2024-coding'!AJ49*'Use 2024'!$C49</f>
        <v>0</v>
      </c>
      <c r="AK50" s="12">
        <f>'Supply2024-coding'!AK49*'Use 2024'!$C49</f>
        <v>0</v>
      </c>
      <c r="AL50" s="12">
        <f>'Supply2024-coding'!AL49*'Use 2024'!$C49</f>
        <v>0</v>
      </c>
      <c r="AM50" s="12">
        <f>'Supply2024-coding'!AM49*'Use 2024'!$C49</f>
        <v>0</v>
      </c>
      <c r="AN50" s="12">
        <f>'Supply2024-coding'!AN49*'Use 2024'!$C49</f>
        <v>0</v>
      </c>
      <c r="AO50" s="12">
        <f>'Supply2024-coding'!AO49*'Use 2024'!$C49</f>
        <v>0</v>
      </c>
      <c r="AP50" s="12">
        <f>'Supply2024-coding'!AP49*'Use 2024'!$C49</f>
        <v>0</v>
      </c>
      <c r="AQ50" s="12">
        <f>'Supply2024-coding'!AQ49*'Use 2024'!$C49</f>
        <v>0</v>
      </c>
      <c r="AR50" s="12">
        <f>'Supply2024-coding'!AR49*'Use 2024'!$C49</f>
        <v>0</v>
      </c>
      <c r="AS50" s="12">
        <f>'Supply2024-coding'!AS49*'Use 2024'!$C49</f>
        <v>0</v>
      </c>
      <c r="AT50" s="12">
        <f>'Supply2024-coding'!AT49*'Use 2024'!$C49</f>
        <v>0</v>
      </c>
      <c r="AU50" s="12">
        <f>'Supply2024-coding'!AU49*'Use 2024'!$C49</f>
        <v>0</v>
      </c>
      <c r="AV50" s="12">
        <f>'Supply2024-coding'!AV49*'Use 2024'!$C49</f>
        <v>0</v>
      </c>
      <c r="AW50" s="12">
        <f>'Supply2024-coding'!AW49*'Use 2024'!$C49</f>
        <v>0</v>
      </c>
      <c r="AX50" s="12">
        <f>'Supply2024-coding'!AX49*'Use 2024'!$C49</f>
        <v>0.99063999939861458</v>
      </c>
      <c r="AY50" s="12">
        <f>'Supply2024-coding'!AY49*'Use 2024'!$C49</f>
        <v>0</v>
      </c>
      <c r="AZ50" s="12">
        <f>'Supply2024-coding'!AZ49*'Use 2024'!$C49</f>
        <v>0</v>
      </c>
      <c r="BA50" s="12">
        <f>'Supply2024-coding'!BA49*'Use 2024'!$C49</f>
        <v>0</v>
      </c>
      <c r="BB50" s="12">
        <f>'Supply2024-coding'!BB49*'Use 2024'!$C49</f>
        <v>0</v>
      </c>
      <c r="BC50" s="12">
        <f>'Supply2024-coding'!BC49*'Use 2024'!$C49</f>
        <v>0</v>
      </c>
      <c r="BD50" s="12">
        <f>'Supply2024-coding'!BD49*'Use 2024'!$C49</f>
        <v>0</v>
      </c>
      <c r="BE50" s="12">
        <f>'Supply2024-coding'!BE49*'Use 2024'!$C49</f>
        <v>0</v>
      </c>
      <c r="BF50" s="12">
        <f>'Supply2024-coding'!BF49*'Use 2024'!$C49</f>
        <v>0</v>
      </c>
      <c r="BG50" s="12">
        <f>'Supply2024-coding'!BG49*'Use 2024'!$C49</f>
        <v>0</v>
      </c>
      <c r="BH50" s="12">
        <f>'Supply2024-coding'!BH49*'Use 2024'!$C49</f>
        <v>0</v>
      </c>
      <c r="BI50" s="12">
        <f>'Supply2024-coding'!BI49*'Use 2024'!$C49</f>
        <v>0</v>
      </c>
      <c r="BJ50" s="12">
        <f>'Supply2024-coding'!BJ49*'Use 2024'!$C49</f>
        <v>0</v>
      </c>
      <c r="BK50" s="12">
        <f>'Supply2024-coding'!BK49*'Use 2024'!$C49</f>
        <v>0</v>
      </c>
      <c r="BL50" s="12">
        <f>'Supply2024-coding'!BL49*'Use 2024'!$C49</f>
        <v>0</v>
      </c>
      <c r="BM50" s="12">
        <f>'Supply2024-coding'!BM49*'Use 2024'!$C49</f>
        <v>0</v>
      </c>
      <c r="BN50" s="12">
        <f>'Supply2024-coding'!BN49*'Use 2024'!$C49</f>
        <v>0</v>
      </c>
      <c r="BO50" s="12">
        <f>'Supply2024-coding'!BO49*'Use 2024'!$C49</f>
        <v>0</v>
      </c>
      <c r="BP50" s="12">
        <f>'Supply2024-coding'!BP49*'Use 2024'!$C49</f>
        <v>0</v>
      </c>
      <c r="BQ50" s="12">
        <f>'Supply2024-coding'!BQ49*'Use 2024'!$C49</f>
        <v>0</v>
      </c>
      <c r="BR50" s="12">
        <f>'Supply2024-coding'!BR49*'Use 2024'!$C49</f>
        <v>0</v>
      </c>
      <c r="BS50" s="12">
        <f>'Supply2024-coding'!BS49*'Use 2024'!$C49</f>
        <v>0</v>
      </c>
      <c r="BT50" s="12">
        <f>'Supply2024-coding'!BT49*'Use 2024'!$C49</f>
        <v>0</v>
      </c>
      <c r="BU50" s="12">
        <f>'Supply2024-coding'!BU49*'Use 2024'!$C49</f>
        <v>8.0944956982217334E-2</v>
      </c>
      <c r="BV50" s="12">
        <f>'Supply2024-coding'!BV49*'Use 2024'!$C49</f>
        <v>6.4477077791740903E-2</v>
      </c>
      <c r="BW50" s="12">
        <f>'Supply2024-coding'!BW49*'Use 2024'!$C49</f>
        <v>0</v>
      </c>
      <c r="BX50" s="12">
        <f>'Supply2024-coding'!BX49*'Use 2024'!$C49</f>
        <v>0</v>
      </c>
      <c r="BY50" s="12">
        <f>'Supply2024-coding'!BY49*'Use 2024'!$C49</f>
        <v>6.0032503136996852E-2</v>
      </c>
      <c r="BZ50" s="12">
        <f>'Supply2024-coding'!BZ49*'Use 2024'!$C49</f>
        <v>0</v>
      </c>
      <c r="CA50" s="12" t="e">
        <f>'Supply2024-coding'!CA49*'Use 2024'!$C49</f>
        <v>#DIV/0!</v>
      </c>
      <c r="CB50" s="12">
        <f>'Supply2024-coding'!CB49*'Use 2024'!$C49</f>
        <v>0</v>
      </c>
      <c r="CC50" s="12">
        <f>'Supply2024-coding'!CC49*'Use 2024'!$C49</f>
        <v>0</v>
      </c>
      <c r="CD50" s="12">
        <f>'Supply2024-coding'!CD49*'Use 2024'!$C49</f>
        <v>0</v>
      </c>
      <c r="CE50" s="12">
        <f>'Supply2024-coding'!CE49*'Use 2024'!$C49</f>
        <v>0.69956130534043603</v>
      </c>
      <c r="CF50" s="12">
        <f>'Supply2024-coding'!CF49*'Use 2024'!$C49</f>
        <v>-6.1871118826992477E-2</v>
      </c>
      <c r="CG50" s="12">
        <f>'Supply2024-coding'!CG49*'Use 2024'!$C49</f>
        <v>5.7769224984955368E-2</v>
      </c>
    </row>
    <row r="51" spans="1:85" x14ac:dyDescent="0.25">
      <c r="A51" t="s">
        <v>49</v>
      </c>
      <c r="B51" t="s">
        <v>142</v>
      </c>
      <c r="C51" s="12">
        <f>'Supply2024-coding'!C50*'Use 2024'!$C50</f>
        <v>0</v>
      </c>
      <c r="D51" s="12">
        <f>'Supply2024-coding'!D50*'Use 2024'!$C50</f>
        <v>0</v>
      </c>
      <c r="E51" s="12">
        <f>'Supply2024-coding'!E50*'Use 2024'!$C50</f>
        <v>0</v>
      </c>
      <c r="F51" s="12">
        <f>'Supply2024-coding'!F50*'Use 2024'!$C50</f>
        <v>0</v>
      </c>
      <c r="G51" s="12">
        <f>'Supply2024-coding'!G50*'Use 2024'!$C50</f>
        <v>0</v>
      </c>
      <c r="H51" s="12">
        <f>'Supply2024-coding'!H50*'Use 2024'!$C50</f>
        <v>0</v>
      </c>
      <c r="I51" s="12">
        <f>'Supply2024-coding'!I50*'Use 2024'!$C50</f>
        <v>0</v>
      </c>
      <c r="J51" s="12">
        <f>'Supply2024-coding'!J50*'Use 2024'!$C50</f>
        <v>0</v>
      </c>
      <c r="K51" s="12">
        <f>'Supply2024-coding'!K50*'Use 2024'!$C50</f>
        <v>0</v>
      </c>
      <c r="L51" s="12">
        <f>'Supply2024-coding'!L50*'Use 2024'!$C50</f>
        <v>0</v>
      </c>
      <c r="M51" s="12">
        <f>'Supply2024-coding'!M50*'Use 2024'!$C50</f>
        <v>0</v>
      </c>
      <c r="N51" s="12">
        <f>'Supply2024-coding'!N50*'Use 2024'!$C50</f>
        <v>0</v>
      </c>
      <c r="O51" s="12">
        <f>'Supply2024-coding'!O50*'Use 2024'!$C50</f>
        <v>0</v>
      </c>
      <c r="P51" s="12">
        <f>'Supply2024-coding'!P50*'Use 2024'!$C50</f>
        <v>0</v>
      </c>
      <c r="Q51" s="12">
        <f>'Supply2024-coding'!Q50*'Use 2024'!$C50</f>
        <v>0</v>
      </c>
      <c r="R51" s="12">
        <f>'Supply2024-coding'!R50*'Use 2024'!$C50</f>
        <v>0</v>
      </c>
      <c r="S51" s="12">
        <f>'Supply2024-coding'!S50*'Use 2024'!$C50</f>
        <v>0</v>
      </c>
      <c r="T51" s="12">
        <f>'Supply2024-coding'!T50*'Use 2024'!$C50</f>
        <v>0</v>
      </c>
      <c r="U51" s="12">
        <f>'Supply2024-coding'!U50*'Use 2024'!$C50</f>
        <v>0</v>
      </c>
      <c r="V51" s="12">
        <f>'Supply2024-coding'!V50*'Use 2024'!$C50</f>
        <v>0</v>
      </c>
      <c r="W51" s="12">
        <f>'Supply2024-coding'!W50*'Use 2024'!$C50</f>
        <v>0</v>
      </c>
      <c r="X51" s="12">
        <f>'Supply2024-coding'!X50*'Use 2024'!$C50</f>
        <v>0</v>
      </c>
      <c r="Y51" s="12">
        <f>'Supply2024-coding'!Y50*'Use 2024'!$C50</f>
        <v>0</v>
      </c>
      <c r="Z51" s="12">
        <f>'Supply2024-coding'!Z50*'Use 2024'!$C50</f>
        <v>0</v>
      </c>
      <c r="AA51" s="12">
        <f>'Supply2024-coding'!AA50*'Use 2024'!$C50</f>
        <v>0</v>
      </c>
      <c r="AB51" s="12">
        <f>'Supply2024-coding'!AB50*'Use 2024'!$C50</f>
        <v>0</v>
      </c>
      <c r="AC51" s="12">
        <f>'Supply2024-coding'!AC50*'Use 2024'!$C50</f>
        <v>0</v>
      </c>
      <c r="AD51" s="12">
        <f>'Supply2024-coding'!AD50*'Use 2024'!$C50</f>
        <v>0</v>
      </c>
      <c r="AE51" s="12">
        <f>'Supply2024-coding'!AE50*'Use 2024'!$C50</f>
        <v>0</v>
      </c>
      <c r="AF51" s="12">
        <f>'Supply2024-coding'!AF50*'Use 2024'!$C50</f>
        <v>0</v>
      </c>
      <c r="AG51" s="12">
        <f>'Supply2024-coding'!AG50*'Use 2024'!$C50</f>
        <v>0</v>
      </c>
      <c r="AH51" s="12">
        <f>'Supply2024-coding'!AH50*'Use 2024'!$C50</f>
        <v>0</v>
      </c>
      <c r="AI51" s="12">
        <f>'Supply2024-coding'!AI50*'Use 2024'!$C50</f>
        <v>0</v>
      </c>
      <c r="AJ51" s="12">
        <f>'Supply2024-coding'!AJ50*'Use 2024'!$C50</f>
        <v>0</v>
      </c>
      <c r="AK51" s="12">
        <f>'Supply2024-coding'!AK50*'Use 2024'!$C50</f>
        <v>0</v>
      </c>
      <c r="AL51" s="12">
        <f>'Supply2024-coding'!AL50*'Use 2024'!$C50</f>
        <v>0</v>
      </c>
      <c r="AM51" s="12">
        <f>'Supply2024-coding'!AM50*'Use 2024'!$C50</f>
        <v>0</v>
      </c>
      <c r="AN51" s="12">
        <f>'Supply2024-coding'!AN50*'Use 2024'!$C50</f>
        <v>0</v>
      </c>
      <c r="AO51" s="12">
        <f>'Supply2024-coding'!AO50*'Use 2024'!$C50</f>
        <v>0</v>
      </c>
      <c r="AP51" s="12">
        <f>'Supply2024-coding'!AP50*'Use 2024'!$C50</f>
        <v>0</v>
      </c>
      <c r="AQ51" s="12">
        <f>'Supply2024-coding'!AQ50*'Use 2024'!$C50</f>
        <v>2.6703893944466233E-6</v>
      </c>
      <c r="AR51" s="12">
        <f>'Supply2024-coding'!AR50*'Use 2024'!$C50</f>
        <v>0</v>
      </c>
      <c r="AS51" s="12">
        <f>'Supply2024-coding'!AS50*'Use 2024'!$C50</f>
        <v>0</v>
      </c>
      <c r="AT51" s="12">
        <f>'Supply2024-coding'!AT50*'Use 2024'!$C50</f>
        <v>0</v>
      </c>
      <c r="AU51" s="12">
        <f>'Supply2024-coding'!AU50*'Use 2024'!$C50</f>
        <v>0</v>
      </c>
      <c r="AV51" s="12">
        <f>'Supply2024-coding'!AV50*'Use 2024'!$C50</f>
        <v>0</v>
      </c>
      <c r="AW51" s="12">
        <f>'Supply2024-coding'!AW50*'Use 2024'!$C50</f>
        <v>0</v>
      </c>
      <c r="AX51" s="12">
        <f>'Supply2024-coding'!AX50*'Use 2024'!$C50</f>
        <v>0</v>
      </c>
      <c r="AY51" s="12">
        <f>'Supply2024-coding'!AY50*'Use 2024'!$C50</f>
        <v>4.2733593322919353E-3</v>
      </c>
      <c r="AZ51" s="12">
        <f>'Supply2024-coding'!AZ50*'Use 2024'!$C50</f>
        <v>1.007990616193442E-5</v>
      </c>
      <c r="BA51" s="12">
        <f>'Supply2024-coding'!BA50*'Use 2024'!$C50</f>
        <v>0</v>
      </c>
      <c r="BB51" s="12">
        <f>'Supply2024-coding'!BB50*'Use 2024'!$C50</f>
        <v>0</v>
      </c>
      <c r="BC51" s="12">
        <f>'Supply2024-coding'!BC50*'Use 2024'!$C50</f>
        <v>0</v>
      </c>
      <c r="BD51" s="12">
        <f>'Supply2024-coding'!BD50*'Use 2024'!$C50</f>
        <v>0</v>
      </c>
      <c r="BE51" s="12">
        <f>'Supply2024-coding'!BE50*'Use 2024'!$C50</f>
        <v>1.2190358106220595E-6</v>
      </c>
      <c r="BF51" s="12">
        <f>'Supply2024-coding'!BF50*'Use 2024'!$C50</f>
        <v>0</v>
      </c>
      <c r="BG51" s="12">
        <f>'Supply2024-coding'!BG50*'Use 2024'!$C50</f>
        <v>6.4965247700877789E-7</v>
      </c>
      <c r="BH51" s="12">
        <f>'Supply2024-coding'!BH50*'Use 2024'!$C50</f>
        <v>0</v>
      </c>
      <c r="BI51" s="12">
        <f>'Supply2024-coding'!BI50*'Use 2024'!$C50</f>
        <v>0</v>
      </c>
      <c r="BJ51" s="12">
        <f>'Supply2024-coding'!BJ50*'Use 2024'!$C50</f>
        <v>2.6014142985602833E-6</v>
      </c>
      <c r="BK51" s="12">
        <f>'Supply2024-coding'!BK50*'Use 2024'!$C50</f>
        <v>0</v>
      </c>
      <c r="BL51" s="12">
        <f>'Supply2024-coding'!BL50*'Use 2024'!$C50</f>
        <v>2.0605335871350829E-5</v>
      </c>
      <c r="BM51" s="12">
        <f>'Supply2024-coding'!BM50*'Use 2024'!$C50</f>
        <v>1.6345577151654452E-6</v>
      </c>
      <c r="BN51" s="12">
        <f>'Supply2024-coding'!BN50*'Use 2024'!$C50</f>
        <v>1.7135355656320483E-5</v>
      </c>
      <c r="BO51" s="12">
        <f>'Supply2024-coding'!BO50*'Use 2024'!$C50</f>
        <v>0</v>
      </c>
      <c r="BP51" s="12">
        <f>'Supply2024-coding'!BP50*'Use 2024'!$C50</f>
        <v>9.1885961759087933E-6</v>
      </c>
      <c r="BQ51" s="12">
        <f>'Supply2024-coding'!BQ50*'Use 2024'!$C50</f>
        <v>0</v>
      </c>
      <c r="BR51" s="12">
        <f>'Supply2024-coding'!BR50*'Use 2024'!$C50</f>
        <v>0</v>
      </c>
      <c r="BS51" s="12">
        <f>'Supply2024-coding'!BS50*'Use 2024'!$C50</f>
        <v>3.2428519126168256E-5</v>
      </c>
      <c r="BT51" s="12">
        <f>'Supply2024-coding'!BT50*'Use 2024'!$C50</f>
        <v>0</v>
      </c>
      <c r="BU51" s="12">
        <f>'Supply2024-coding'!BU50*'Use 2024'!$C50</f>
        <v>3.6777093535433035E-4</v>
      </c>
      <c r="BV51" s="12">
        <f>'Supply2024-coding'!BV50*'Use 2024'!$C50</f>
        <v>1.8055675787197984E-4</v>
      </c>
      <c r="BW51" s="12">
        <f>'Supply2024-coding'!BW50*'Use 2024'!$C50</f>
        <v>0</v>
      </c>
      <c r="BX51" s="12">
        <f>'Supply2024-coding'!BX50*'Use 2024'!$C50</f>
        <v>0</v>
      </c>
      <c r="BY51" s="12">
        <f>'Supply2024-coding'!BY50*'Use 2024'!$C50</f>
        <v>1.6811050538559076E-4</v>
      </c>
      <c r="BZ51" s="12">
        <f>'Supply2024-coding'!BZ50*'Use 2024'!$C50</f>
        <v>0</v>
      </c>
      <c r="CA51" s="12" t="e">
        <f>'Supply2024-coding'!CA50*'Use 2024'!$C50</f>
        <v>#DIV/0!</v>
      </c>
      <c r="CB51" s="12">
        <f>'Supply2024-coding'!CB50*'Use 2024'!$C50</f>
        <v>0</v>
      </c>
      <c r="CC51" s="12">
        <f>'Supply2024-coding'!CC50*'Use 2024'!$C50</f>
        <v>0</v>
      </c>
      <c r="CD51" s="12">
        <f>'Supply2024-coding'!CD50*'Use 2024'!$C50</f>
        <v>7.7207985366780054E-6</v>
      </c>
      <c r="CE51" s="12">
        <f>'Supply2024-coding'!CE50*'Use 2024'!$C50</f>
        <v>5.741219666604151E-5</v>
      </c>
      <c r="CF51" s="12">
        <f>'Supply2024-coding'!CF50*'Use 2024'!$C50</f>
        <v>2.6871925931184919E-6</v>
      </c>
      <c r="CG51" s="12">
        <f>'Supply2024-coding'!CG50*'Use 2024'!$C50</f>
        <v>1.6503934193026873E-4</v>
      </c>
    </row>
    <row r="52" spans="1:85" x14ac:dyDescent="0.25">
      <c r="A52" t="s">
        <v>50</v>
      </c>
      <c r="B52" t="s">
        <v>143</v>
      </c>
      <c r="C52" s="12">
        <f>'Supply2024-coding'!C51*'Use 2024'!$C51</f>
        <v>0</v>
      </c>
      <c r="D52" s="12">
        <f>'Supply2024-coding'!D51*'Use 2024'!$C51</f>
        <v>0</v>
      </c>
      <c r="E52" s="12">
        <f>'Supply2024-coding'!E51*'Use 2024'!$C51</f>
        <v>0</v>
      </c>
      <c r="F52" s="12">
        <f>'Supply2024-coding'!F51*'Use 2024'!$C51</f>
        <v>0</v>
      </c>
      <c r="G52" s="12">
        <f>'Supply2024-coding'!G51*'Use 2024'!$C51</f>
        <v>0</v>
      </c>
      <c r="H52" s="12">
        <f>'Supply2024-coding'!H51*'Use 2024'!$C51</f>
        <v>0</v>
      </c>
      <c r="I52" s="12">
        <f>'Supply2024-coding'!I51*'Use 2024'!$C51</f>
        <v>0</v>
      </c>
      <c r="J52" s="12">
        <f>'Supply2024-coding'!J51*'Use 2024'!$C51</f>
        <v>0</v>
      </c>
      <c r="K52" s="12">
        <f>'Supply2024-coding'!K51*'Use 2024'!$C51</f>
        <v>0</v>
      </c>
      <c r="L52" s="12">
        <f>'Supply2024-coding'!L51*'Use 2024'!$C51</f>
        <v>0</v>
      </c>
      <c r="M52" s="12">
        <f>'Supply2024-coding'!M51*'Use 2024'!$C51</f>
        <v>0</v>
      </c>
      <c r="N52" s="12">
        <f>'Supply2024-coding'!N51*'Use 2024'!$C51</f>
        <v>4.2571055005491233E-6</v>
      </c>
      <c r="O52" s="12">
        <f>'Supply2024-coding'!O51*'Use 2024'!$C51</f>
        <v>0</v>
      </c>
      <c r="P52" s="12">
        <f>'Supply2024-coding'!P51*'Use 2024'!$C51</f>
        <v>0</v>
      </c>
      <c r="Q52" s="12">
        <f>'Supply2024-coding'!Q51*'Use 2024'!$C51</f>
        <v>0</v>
      </c>
      <c r="R52" s="12">
        <f>'Supply2024-coding'!R51*'Use 2024'!$C51</f>
        <v>0</v>
      </c>
      <c r="S52" s="12">
        <f>'Supply2024-coding'!S51*'Use 2024'!$C51</f>
        <v>0</v>
      </c>
      <c r="T52" s="12">
        <f>'Supply2024-coding'!T51*'Use 2024'!$C51</f>
        <v>0</v>
      </c>
      <c r="U52" s="12">
        <f>'Supply2024-coding'!U51*'Use 2024'!$C51</f>
        <v>0</v>
      </c>
      <c r="V52" s="12">
        <f>'Supply2024-coding'!V51*'Use 2024'!$C51</f>
        <v>0</v>
      </c>
      <c r="W52" s="12">
        <f>'Supply2024-coding'!W51*'Use 2024'!$C51</f>
        <v>0</v>
      </c>
      <c r="X52" s="12">
        <f>'Supply2024-coding'!X51*'Use 2024'!$C51</f>
        <v>0</v>
      </c>
      <c r="Y52" s="12">
        <f>'Supply2024-coding'!Y51*'Use 2024'!$C51</f>
        <v>0</v>
      </c>
      <c r="Z52" s="12">
        <f>'Supply2024-coding'!Z51*'Use 2024'!$C51</f>
        <v>0</v>
      </c>
      <c r="AA52" s="12">
        <f>'Supply2024-coding'!AA51*'Use 2024'!$C51</f>
        <v>0</v>
      </c>
      <c r="AB52" s="12">
        <f>'Supply2024-coding'!AB51*'Use 2024'!$C51</f>
        <v>0</v>
      </c>
      <c r="AC52" s="12">
        <f>'Supply2024-coding'!AC51*'Use 2024'!$C51</f>
        <v>1.0075502819557379E-3</v>
      </c>
      <c r="AD52" s="12">
        <f>'Supply2024-coding'!AD51*'Use 2024'!$C51</f>
        <v>7.8269577366263122E-5</v>
      </c>
      <c r="AE52" s="12">
        <f>'Supply2024-coding'!AE51*'Use 2024'!$C51</f>
        <v>1.0613375381943379E-6</v>
      </c>
      <c r="AF52" s="12">
        <f>'Supply2024-coding'!AF51*'Use 2024'!$C51</f>
        <v>0</v>
      </c>
      <c r="AG52" s="12">
        <f>'Supply2024-coding'!AG51*'Use 2024'!$C51</f>
        <v>1.5924306017004784E-4</v>
      </c>
      <c r="AH52" s="12">
        <f>'Supply2024-coding'!AH51*'Use 2024'!$C51</f>
        <v>3.3497200544013538E-4</v>
      </c>
      <c r="AI52" s="12">
        <f>'Supply2024-coding'!AI51*'Use 2024'!$C51</f>
        <v>1.4056787777536989E-3</v>
      </c>
      <c r="AJ52" s="12">
        <f>'Supply2024-coding'!AJ51*'Use 2024'!$C51</f>
        <v>0</v>
      </c>
      <c r="AK52" s="12">
        <f>'Supply2024-coding'!AK51*'Use 2024'!$C51</f>
        <v>1.3639003330955654E-4</v>
      </c>
      <c r="AL52" s="12">
        <f>'Supply2024-coding'!AL51*'Use 2024'!$C51</f>
        <v>0</v>
      </c>
      <c r="AM52" s="12">
        <f>'Supply2024-coding'!AM51*'Use 2024'!$C51</f>
        <v>0</v>
      </c>
      <c r="AN52" s="12">
        <f>'Supply2024-coding'!AN51*'Use 2024'!$C51</f>
        <v>2.3825982930878681E-6</v>
      </c>
      <c r="AO52" s="12">
        <f>'Supply2024-coding'!AO51*'Use 2024'!$C51</f>
        <v>0</v>
      </c>
      <c r="AP52" s="12">
        <f>'Supply2024-coding'!AP51*'Use 2024'!$C51</f>
        <v>0</v>
      </c>
      <c r="AQ52" s="12">
        <f>'Supply2024-coding'!AQ51*'Use 2024'!$C51</f>
        <v>6.0887308027561345E-5</v>
      </c>
      <c r="AR52" s="12">
        <f>'Supply2024-coding'!AR51*'Use 2024'!$C51</f>
        <v>1.6756440616539573E-3</v>
      </c>
      <c r="AS52" s="12">
        <f>'Supply2024-coding'!AS51*'Use 2024'!$C51</f>
        <v>7.4239120756604308E-6</v>
      </c>
      <c r="AT52" s="12">
        <f>'Supply2024-coding'!AT51*'Use 2024'!$C51</f>
        <v>6.5773706995854789E-3</v>
      </c>
      <c r="AU52" s="12">
        <f>'Supply2024-coding'!AU51*'Use 2024'!$C51</f>
        <v>0</v>
      </c>
      <c r="AV52" s="12">
        <f>'Supply2024-coding'!AV51*'Use 2024'!$C51</f>
        <v>0</v>
      </c>
      <c r="AW52" s="12">
        <f>'Supply2024-coding'!AW51*'Use 2024'!$C51</f>
        <v>0</v>
      </c>
      <c r="AX52" s="12">
        <f>'Supply2024-coding'!AX51*'Use 2024'!$C51</f>
        <v>0</v>
      </c>
      <c r="AY52" s="12">
        <f>'Supply2024-coding'!AY51*'Use 2024'!$C51</f>
        <v>0</v>
      </c>
      <c r="AZ52" s="12">
        <f>'Supply2024-coding'!AZ51*'Use 2024'!$C51</f>
        <v>0.16605868189183701</v>
      </c>
      <c r="BA52" s="12">
        <f>'Supply2024-coding'!BA51*'Use 2024'!$C51</f>
        <v>0</v>
      </c>
      <c r="BB52" s="12">
        <f>'Supply2024-coding'!BB51*'Use 2024'!$C51</f>
        <v>3.7497982615531141E-5</v>
      </c>
      <c r="BC52" s="12">
        <f>'Supply2024-coding'!BC51*'Use 2024'!$C51</f>
        <v>3.9565862837527784E-6</v>
      </c>
      <c r="BD52" s="12">
        <f>'Supply2024-coding'!BD51*'Use 2024'!$C51</f>
        <v>0</v>
      </c>
      <c r="BE52" s="12">
        <f>'Supply2024-coding'!BE51*'Use 2024'!$C51</f>
        <v>3.3832705561945129E-5</v>
      </c>
      <c r="BF52" s="12">
        <f>'Supply2024-coding'!BF51*'Use 2024'!$C51</f>
        <v>1.9722462113730971E-4</v>
      </c>
      <c r="BG52" s="12">
        <f>'Supply2024-coding'!BG51*'Use 2024'!$C51</f>
        <v>0</v>
      </c>
      <c r="BH52" s="12">
        <f>'Supply2024-coding'!BH51*'Use 2024'!$C51</f>
        <v>6.9811090627960526E-5</v>
      </c>
      <c r="BI52" s="12">
        <f>'Supply2024-coding'!BI51*'Use 2024'!$C51</f>
        <v>2.6891812026396394E-5</v>
      </c>
      <c r="BJ52" s="12">
        <f>'Supply2024-coding'!BJ51*'Use 2024'!$C51</f>
        <v>0</v>
      </c>
      <c r="BK52" s="12">
        <f>'Supply2024-coding'!BK51*'Use 2024'!$C51</f>
        <v>0</v>
      </c>
      <c r="BL52" s="12">
        <f>'Supply2024-coding'!BL51*'Use 2024'!$C51</f>
        <v>1.1744455536981026E-3</v>
      </c>
      <c r="BM52" s="12">
        <f>'Supply2024-coding'!BM51*'Use 2024'!$C51</f>
        <v>2.0599478784218882E-4</v>
      </c>
      <c r="BN52" s="12">
        <f>'Supply2024-coding'!BN51*'Use 2024'!$C51</f>
        <v>5.9029391425706684E-4</v>
      </c>
      <c r="BO52" s="12">
        <f>'Supply2024-coding'!BO51*'Use 2024'!$C51</f>
        <v>0</v>
      </c>
      <c r="BP52" s="12">
        <f>'Supply2024-coding'!BP51*'Use 2024'!$C51</f>
        <v>7.8767378228950899E-5</v>
      </c>
      <c r="BQ52" s="12">
        <f>'Supply2024-coding'!BQ51*'Use 2024'!$C51</f>
        <v>0</v>
      </c>
      <c r="BR52" s="12">
        <f>'Supply2024-coding'!BR51*'Use 2024'!$C51</f>
        <v>0</v>
      </c>
      <c r="BS52" s="12">
        <f>'Supply2024-coding'!BS51*'Use 2024'!$C51</f>
        <v>0</v>
      </c>
      <c r="BT52" s="12">
        <f>'Supply2024-coding'!BT51*'Use 2024'!$C51</f>
        <v>0</v>
      </c>
      <c r="BU52" s="12">
        <f>'Supply2024-coding'!BU51*'Use 2024'!$C51</f>
        <v>0</v>
      </c>
      <c r="BV52" s="12">
        <f>'Supply2024-coding'!BV51*'Use 2024'!$C51</f>
        <v>2.4736361004048589E-3</v>
      </c>
      <c r="BW52" s="12">
        <f>'Supply2024-coding'!BW51*'Use 2024'!$C51</f>
        <v>0</v>
      </c>
      <c r="BX52" s="12">
        <f>'Supply2024-coding'!BX51*'Use 2024'!$C51</f>
        <v>0</v>
      </c>
      <c r="BY52" s="12">
        <f>'Supply2024-coding'!BY51*'Use 2024'!$C51</f>
        <v>2.3031218542035889E-3</v>
      </c>
      <c r="BZ52" s="12">
        <f>'Supply2024-coding'!BZ51*'Use 2024'!$C51</f>
        <v>0</v>
      </c>
      <c r="CA52" s="12" t="e">
        <f>'Supply2024-coding'!CA51*'Use 2024'!$C51</f>
        <v>#DIV/0!</v>
      </c>
      <c r="CB52" s="12">
        <f>'Supply2024-coding'!CB51*'Use 2024'!$C51</f>
        <v>0</v>
      </c>
      <c r="CC52" s="12">
        <f>'Supply2024-coding'!CC51*'Use 2024'!$C51</f>
        <v>0</v>
      </c>
      <c r="CD52" s="12">
        <f>'Supply2024-coding'!CD51*'Use 2024'!$C51</f>
        <v>4.3938628263644171E-3</v>
      </c>
      <c r="CE52" s="12">
        <f>'Supply2024-coding'!CE51*'Use 2024'!$C51</f>
        <v>0</v>
      </c>
      <c r="CF52" s="12">
        <f>'Supply2024-coding'!CF51*'Use 2024'!$C51</f>
        <v>4.4189519507117038E-3</v>
      </c>
      <c r="CG52" s="12">
        <f>'Supply2024-coding'!CG51*'Use 2024'!$C51</f>
        <v>2.3424044289092286E-3</v>
      </c>
    </row>
    <row r="53" spans="1:85" x14ac:dyDescent="0.25">
      <c r="A53" t="s">
        <v>51</v>
      </c>
      <c r="B53" t="s">
        <v>144</v>
      </c>
      <c r="C53" s="12">
        <f>'Supply2024-coding'!C52*'Use 2024'!$C52</f>
        <v>0</v>
      </c>
      <c r="D53" s="12">
        <f>'Supply2024-coding'!D52*'Use 2024'!$C52</f>
        <v>0</v>
      </c>
      <c r="E53" s="12">
        <f>'Supply2024-coding'!E52*'Use 2024'!$C52</f>
        <v>0</v>
      </c>
      <c r="F53" s="12">
        <f>'Supply2024-coding'!F52*'Use 2024'!$C52</f>
        <v>0</v>
      </c>
      <c r="G53" s="12">
        <f>'Supply2024-coding'!G52*'Use 2024'!$C52</f>
        <v>0</v>
      </c>
      <c r="H53" s="12">
        <f>'Supply2024-coding'!H52*'Use 2024'!$C52</f>
        <v>0</v>
      </c>
      <c r="I53" s="12">
        <f>'Supply2024-coding'!I52*'Use 2024'!$C52</f>
        <v>0</v>
      </c>
      <c r="J53" s="12">
        <f>'Supply2024-coding'!J52*'Use 2024'!$C52</f>
        <v>0</v>
      </c>
      <c r="K53" s="12">
        <f>'Supply2024-coding'!K52*'Use 2024'!$C52</f>
        <v>0</v>
      </c>
      <c r="L53" s="12">
        <f>'Supply2024-coding'!L52*'Use 2024'!$C52</f>
        <v>0</v>
      </c>
      <c r="M53" s="12">
        <f>'Supply2024-coding'!M52*'Use 2024'!$C52</f>
        <v>0</v>
      </c>
      <c r="N53" s="12">
        <f>'Supply2024-coding'!N52*'Use 2024'!$C52</f>
        <v>0</v>
      </c>
      <c r="O53" s="12">
        <f>'Supply2024-coding'!O52*'Use 2024'!$C52</f>
        <v>0</v>
      </c>
      <c r="P53" s="12">
        <f>'Supply2024-coding'!P52*'Use 2024'!$C52</f>
        <v>0</v>
      </c>
      <c r="Q53" s="12">
        <f>'Supply2024-coding'!Q52*'Use 2024'!$C52</f>
        <v>0</v>
      </c>
      <c r="R53" s="12">
        <f>'Supply2024-coding'!R52*'Use 2024'!$C52</f>
        <v>0</v>
      </c>
      <c r="S53" s="12">
        <f>'Supply2024-coding'!S52*'Use 2024'!$C52</f>
        <v>0</v>
      </c>
      <c r="T53" s="12">
        <f>'Supply2024-coding'!T52*'Use 2024'!$C52</f>
        <v>0</v>
      </c>
      <c r="U53" s="12">
        <f>'Supply2024-coding'!U52*'Use 2024'!$C52</f>
        <v>0</v>
      </c>
      <c r="V53" s="12">
        <f>'Supply2024-coding'!V52*'Use 2024'!$C52</f>
        <v>0</v>
      </c>
      <c r="W53" s="12">
        <f>'Supply2024-coding'!W52*'Use 2024'!$C52</f>
        <v>0</v>
      </c>
      <c r="X53" s="12">
        <f>'Supply2024-coding'!X52*'Use 2024'!$C52</f>
        <v>0</v>
      </c>
      <c r="Y53" s="12">
        <f>'Supply2024-coding'!Y52*'Use 2024'!$C52</f>
        <v>0</v>
      </c>
      <c r="Z53" s="12">
        <f>'Supply2024-coding'!Z52*'Use 2024'!$C52</f>
        <v>0</v>
      </c>
      <c r="AA53" s="12">
        <f>'Supply2024-coding'!AA52*'Use 2024'!$C52</f>
        <v>0</v>
      </c>
      <c r="AB53" s="12">
        <f>'Supply2024-coding'!AB52*'Use 2024'!$C52</f>
        <v>0</v>
      </c>
      <c r="AC53" s="12">
        <f>'Supply2024-coding'!AC52*'Use 2024'!$C52</f>
        <v>0</v>
      </c>
      <c r="AD53" s="12">
        <f>'Supply2024-coding'!AD52*'Use 2024'!$C52</f>
        <v>0</v>
      </c>
      <c r="AE53" s="12">
        <f>'Supply2024-coding'!AE52*'Use 2024'!$C52</f>
        <v>0</v>
      </c>
      <c r="AF53" s="12">
        <f>'Supply2024-coding'!AF52*'Use 2024'!$C52</f>
        <v>0</v>
      </c>
      <c r="AG53" s="12">
        <f>'Supply2024-coding'!AG52*'Use 2024'!$C52</f>
        <v>0</v>
      </c>
      <c r="AH53" s="12">
        <f>'Supply2024-coding'!AH52*'Use 2024'!$C52</f>
        <v>0</v>
      </c>
      <c r="AI53" s="12">
        <f>'Supply2024-coding'!AI52*'Use 2024'!$C52</f>
        <v>0</v>
      </c>
      <c r="AJ53" s="12">
        <f>'Supply2024-coding'!AJ52*'Use 2024'!$C52</f>
        <v>0</v>
      </c>
      <c r="AK53" s="12">
        <f>'Supply2024-coding'!AK52*'Use 2024'!$C52</f>
        <v>0</v>
      </c>
      <c r="AL53" s="12">
        <f>'Supply2024-coding'!AL52*'Use 2024'!$C52</f>
        <v>0</v>
      </c>
      <c r="AM53" s="12">
        <f>'Supply2024-coding'!AM52*'Use 2024'!$C52</f>
        <v>0</v>
      </c>
      <c r="AN53" s="12">
        <f>'Supply2024-coding'!AN52*'Use 2024'!$C52</f>
        <v>0</v>
      </c>
      <c r="AO53" s="12">
        <f>'Supply2024-coding'!AO52*'Use 2024'!$C52</f>
        <v>0</v>
      </c>
      <c r="AP53" s="12">
        <f>'Supply2024-coding'!AP52*'Use 2024'!$C52</f>
        <v>0</v>
      </c>
      <c r="AQ53" s="12">
        <f>'Supply2024-coding'!AQ52*'Use 2024'!$C52</f>
        <v>0</v>
      </c>
      <c r="AR53" s="12">
        <f>'Supply2024-coding'!AR52*'Use 2024'!$C52</f>
        <v>0</v>
      </c>
      <c r="AS53" s="12">
        <f>'Supply2024-coding'!AS52*'Use 2024'!$C52</f>
        <v>0</v>
      </c>
      <c r="AT53" s="12">
        <f>'Supply2024-coding'!AT52*'Use 2024'!$C52</f>
        <v>0</v>
      </c>
      <c r="AU53" s="12">
        <f>'Supply2024-coding'!AU52*'Use 2024'!$C52</f>
        <v>0</v>
      </c>
      <c r="AV53" s="12">
        <f>'Supply2024-coding'!AV52*'Use 2024'!$C52</f>
        <v>2.6196320043848761E-5</v>
      </c>
      <c r="AW53" s="12">
        <f>'Supply2024-coding'!AW52*'Use 2024'!$C52</f>
        <v>0</v>
      </c>
      <c r="AX53" s="12">
        <f>'Supply2024-coding'!AX52*'Use 2024'!$C52</f>
        <v>0</v>
      </c>
      <c r="AY53" s="12">
        <f>'Supply2024-coding'!AY52*'Use 2024'!$C52</f>
        <v>0</v>
      </c>
      <c r="AZ53" s="12">
        <f>'Supply2024-coding'!AZ52*'Use 2024'!$C52</f>
        <v>0</v>
      </c>
      <c r="BA53" s="12">
        <f>'Supply2024-coding'!BA52*'Use 2024'!$C52</f>
        <v>0.31055631732495542</v>
      </c>
      <c r="BB53" s="12">
        <f>'Supply2024-coding'!BB52*'Use 2024'!$C52</f>
        <v>0</v>
      </c>
      <c r="BC53" s="12">
        <f>'Supply2024-coding'!BC52*'Use 2024'!$C52</f>
        <v>0</v>
      </c>
      <c r="BD53" s="12">
        <f>'Supply2024-coding'!BD52*'Use 2024'!$C52</f>
        <v>0</v>
      </c>
      <c r="BE53" s="12">
        <f>'Supply2024-coding'!BE52*'Use 2024'!$C52</f>
        <v>0</v>
      </c>
      <c r="BF53" s="12">
        <f>'Supply2024-coding'!BF52*'Use 2024'!$C52</f>
        <v>0</v>
      </c>
      <c r="BG53" s="12">
        <f>'Supply2024-coding'!BG52*'Use 2024'!$C52</f>
        <v>0</v>
      </c>
      <c r="BH53" s="12">
        <f>'Supply2024-coding'!BH52*'Use 2024'!$C52</f>
        <v>0</v>
      </c>
      <c r="BI53" s="12">
        <f>'Supply2024-coding'!BI52*'Use 2024'!$C52</f>
        <v>0</v>
      </c>
      <c r="BJ53" s="12">
        <f>'Supply2024-coding'!BJ52*'Use 2024'!$C52</f>
        <v>0</v>
      </c>
      <c r="BK53" s="12">
        <f>'Supply2024-coding'!BK52*'Use 2024'!$C52</f>
        <v>0</v>
      </c>
      <c r="BL53" s="12">
        <f>'Supply2024-coding'!BL52*'Use 2024'!$C52</f>
        <v>0</v>
      </c>
      <c r="BM53" s="12">
        <f>'Supply2024-coding'!BM52*'Use 2024'!$C52</f>
        <v>0</v>
      </c>
      <c r="BN53" s="12">
        <f>'Supply2024-coding'!BN52*'Use 2024'!$C52</f>
        <v>0</v>
      </c>
      <c r="BO53" s="12">
        <f>'Supply2024-coding'!BO52*'Use 2024'!$C52</f>
        <v>0</v>
      </c>
      <c r="BP53" s="12">
        <f>'Supply2024-coding'!BP52*'Use 2024'!$C52</f>
        <v>0</v>
      </c>
      <c r="BQ53" s="12">
        <f>'Supply2024-coding'!BQ52*'Use 2024'!$C52</f>
        <v>0</v>
      </c>
      <c r="BR53" s="12">
        <f>'Supply2024-coding'!BR52*'Use 2024'!$C52</f>
        <v>0</v>
      </c>
      <c r="BS53" s="12">
        <f>'Supply2024-coding'!BS52*'Use 2024'!$C52</f>
        <v>0</v>
      </c>
      <c r="BT53" s="12">
        <f>'Supply2024-coding'!BT52*'Use 2024'!$C52</f>
        <v>0</v>
      </c>
      <c r="BU53" s="12">
        <f>'Supply2024-coding'!BU52*'Use 2024'!$C52</f>
        <v>0</v>
      </c>
      <c r="BV53" s="12">
        <f>'Supply2024-coding'!BV52*'Use 2024'!$C52</f>
        <v>2.8826298706903092E-3</v>
      </c>
      <c r="BW53" s="12">
        <f>'Supply2024-coding'!BW52*'Use 2024'!$C52</f>
        <v>5.0503129524337356E-4</v>
      </c>
      <c r="BX53" s="12">
        <f>'Supply2024-coding'!BX52*'Use 2024'!$C52</f>
        <v>0</v>
      </c>
      <c r="BY53" s="12">
        <f>'Supply2024-coding'!BY52*'Use 2024'!$C52</f>
        <v>2.7190210340969439E-3</v>
      </c>
      <c r="BZ53" s="12">
        <f>'Supply2024-coding'!BZ52*'Use 2024'!$C52</f>
        <v>0</v>
      </c>
      <c r="CA53" s="12" t="e">
        <f>'Supply2024-coding'!CA52*'Use 2024'!$C52</f>
        <v>#DIV/0!</v>
      </c>
      <c r="CB53" s="12">
        <f>'Supply2024-coding'!CB52*'Use 2024'!$C52</f>
        <v>0</v>
      </c>
      <c r="CC53" s="12">
        <f>'Supply2024-coding'!CC52*'Use 2024'!$C52</f>
        <v>0</v>
      </c>
      <c r="CD53" s="12">
        <f>'Supply2024-coding'!CD52*'Use 2024'!$C52</f>
        <v>6.5677876094122909E-3</v>
      </c>
      <c r="CE53" s="12">
        <f>'Supply2024-coding'!CE52*'Use 2024'!$C52</f>
        <v>0</v>
      </c>
      <c r="CF53" s="12">
        <f>'Supply2024-coding'!CF52*'Use 2024'!$C52</f>
        <v>6.6052899271975395E-3</v>
      </c>
      <c r="CG53" s="12">
        <f>'Supply2024-coding'!CG52*'Use 2024'!$C52</f>
        <v>2.7911735811530377E-3</v>
      </c>
    </row>
    <row r="54" spans="1:85" x14ac:dyDescent="0.25">
      <c r="A54" t="s">
        <v>52</v>
      </c>
      <c r="B54" t="s">
        <v>145</v>
      </c>
      <c r="C54" s="12">
        <f>'Supply2024-coding'!C53*'Use 2024'!$C53</f>
        <v>0</v>
      </c>
      <c r="D54" s="12">
        <f>'Supply2024-coding'!D53*'Use 2024'!$C53</f>
        <v>0</v>
      </c>
      <c r="E54" s="12">
        <f>'Supply2024-coding'!E53*'Use 2024'!$C53</f>
        <v>0</v>
      </c>
      <c r="F54" s="12">
        <f>'Supply2024-coding'!F53*'Use 2024'!$C53</f>
        <v>0</v>
      </c>
      <c r="G54" s="12">
        <f>'Supply2024-coding'!G53*'Use 2024'!$C53</f>
        <v>0</v>
      </c>
      <c r="H54" s="12">
        <f>'Supply2024-coding'!H53*'Use 2024'!$C53</f>
        <v>0</v>
      </c>
      <c r="I54" s="12">
        <f>'Supply2024-coding'!I53*'Use 2024'!$C53</f>
        <v>0</v>
      </c>
      <c r="J54" s="12">
        <f>'Supply2024-coding'!J53*'Use 2024'!$C53</f>
        <v>0</v>
      </c>
      <c r="K54" s="12">
        <f>'Supply2024-coding'!K53*'Use 2024'!$C53</f>
        <v>0</v>
      </c>
      <c r="L54" s="12">
        <f>'Supply2024-coding'!L53*'Use 2024'!$C53</f>
        <v>0</v>
      </c>
      <c r="M54" s="12">
        <f>'Supply2024-coding'!M53*'Use 2024'!$C53</f>
        <v>0</v>
      </c>
      <c r="N54" s="12">
        <f>'Supply2024-coding'!N53*'Use 2024'!$C53</f>
        <v>0</v>
      </c>
      <c r="O54" s="12">
        <f>'Supply2024-coding'!O53*'Use 2024'!$C53</f>
        <v>0</v>
      </c>
      <c r="P54" s="12">
        <f>'Supply2024-coding'!P53*'Use 2024'!$C53</f>
        <v>0</v>
      </c>
      <c r="Q54" s="12">
        <f>'Supply2024-coding'!Q53*'Use 2024'!$C53</f>
        <v>0</v>
      </c>
      <c r="R54" s="12">
        <f>'Supply2024-coding'!R53*'Use 2024'!$C53</f>
        <v>0</v>
      </c>
      <c r="S54" s="12">
        <f>'Supply2024-coding'!S53*'Use 2024'!$C53</f>
        <v>0</v>
      </c>
      <c r="T54" s="12">
        <f>'Supply2024-coding'!T53*'Use 2024'!$C53</f>
        <v>0</v>
      </c>
      <c r="U54" s="12">
        <f>'Supply2024-coding'!U53*'Use 2024'!$C53</f>
        <v>0</v>
      </c>
      <c r="V54" s="12">
        <f>'Supply2024-coding'!V53*'Use 2024'!$C53</f>
        <v>0</v>
      </c>
      <c r="W54" s="12">
        <f>'Supply2024-coding'!W53*'Use 2024'!$C53</f>
        <v>0</v>
      </c>
      <c r="X54" s="12">
        <f>'Supply2024-coding'!X53*'Use 2024'!$C53</f>
        <v>0</v>
      </c>
      <c r="Y54" s="12">
        <f>'Supply2024-coding'!Y53*'Use 2024'!$C53</f>
        <v>0</v>
      </c>
      <c r="Z54" s="12">
        <f>'Supply2024-coding'!Z53*'Use 2024'!$C53</f>
        <v>0</v>
      </c>
      <c r="AA54" s="12">
        <f>'Supply2024-coding'!AA53*'Use 2024'!$C53</f>
        <v>0</v>
      </c>
      <c r="AB54" s="12">
        <f>'Supply2024-coding'!AB53*'Use 2024'!$C53</f>
        <v>0</v>
      </c>
      <c r="AC54" s="12">
        <f>'Supply2024-coding'!AC53*'Use 2024'!$C53</f>
        <v>0</v>
      </c>
      <c r="AD54" s="12">
        <f>'Supply2024-coding'!AD53*'Use 2024'!$C53</f>
        <v>0</v>
      </c>
      <c r="AE54" s="12">
        <f>'Supply2024-coding'!AE53*'Use 2024'!$C53</f>
        <v>0</v>
      </c>
      <c r="AF54" s="12">
        <f>'Supply2024-coding'!AF53*'Use 2024'!$C53</f>
        <v>0</v>
      </c>
      <c r="AG54" s="12">
        <f>'Supply2024-coding'!AG53*'Use 2024'!$C53</f>
        <v>0</v>
      </c>
      <c r="AH54" s="12">
        <f>'Supply2024-coding'!AH53*'Use 2024'!$C53</f>
        <v>0</v>
      </c>
      <c r="AI54" s="12">
        <f>'Supply2024-coding'!AI53*'Use 2024'!$C53</f>
        <v>0</v>
      </c>
      <c r="AJ54" s="12">
        <f>'Supply2024-coding'!AJ53*'Use 2024'!$C53</f>
        <v>0</v>
      </c>
      <c r="AK54" s="12">
        <f>'Supply2024-coding'!AK53*'Use 2024'!$C53</f>
        <v>0</v>
      </c>
      <c r="AL54" s="12">
        <f>'Supply2024-coding'!AL53*'Use 2024'!$C53</f>
        <v>0</v>
      </c>
      <c r="AM54" s="12">
        <f>'Supply2024-coding'!AM53*'Use 2024'!$C53</f>
        <v>0</v>
      </c>
      <c r="AN54" s="12">
        <f>'Supply2024-coding'!AN53*'Use 2024'!$C53</f>
        <v>0</v>
      </c>
      <c r="AO54" s="12">
        <f>'Supply2024-coding'!AO53*'Use 2024'!$C53</f>
        <v>0</v>
      </c>
      <c r="AP54" s="12">
        <f>'Supply2024-coding'!AP53*'Use 2024'!$C53</f>
        <v>0</v>
      </c>
      <c r="AQ54" s="12">
        <f>'Supply2024-coding'!AQ53*'Use 2024'!$C53</f>
        <v>0</v>
      </c>
      <c r="AR54" s="12">
        <f>'Supply2024-coding'!AR53*'Use 2024'!$C53</f>
        <v>0</v>
      </c>
      <c r="AS54" s="12">
        <f>'Supply2024-coding'!AS53*'Use 2024'!$C53</f>
        <v>0</v>
      </c>
      <c r="AT54" s="12">
        <f>'Supply2024-coding'!AT53*'Use 2024'!$C53</f>
        <v>0</v>
      </c>
      <c r="AU54" s="12">
        <f>'Supply2024-coding'!AU53*'Use 2024'!$C53</f>
        <v>0</v>
      </c>
      <c r="AV54" s="12">
        <f>'Supply2024-coding'!AV53*'Use 2024'!$C53</f>
        <v>0</v>
      </c>
      <c r="AW54" s="12">
        <f>'Supply2024-coding'!AW53*'Use 2024'!$C53</f>
        <v>0</v>
      </c>
      <c r="AX54" s="12">
        <f>'Supply2024-coding'!AX53*'Use 2024'!$C53</f>
        <v>0</v>
      </c>
      <c r="AY54" s="12">
        <f>'Supply2024-coding'!AY53*'Use 2024'!$C53</f>
        <v>0</v>
      </c>
      <c r="AZ54" s="12">
        <f>'Supply2024-coding'!AZ53*'Use 2024'!$C53</f>
        <v>0</v>
      </c>
      <c r="BA54" s="12">
        <f>'Supply2024-coding'!BA53*'Use 2024'!$C53</f>
        <v>0</v>
      </c>
      <c r="BB54" s="12">
        <f>'Supply2024-coding'!BB53*'Use 2024'!$C53</f>
        <v>0</v>
      </c>
      <c r="BC54" s="12">
        <f>'Supply2024-coding'!BC53*'Use 2024'!$C53</f>
        <v>0</v>
      </c>
      <c r="BD54" s="12">
        <f>'Supply2024-coding'!BD53*'Use 2024'!$C53</f>
        <v>0</v>
      </c>
      <c r="BE54" s="12">
        <f>'Supply2024-coding'!BE53*'Use 2024'!$C53</f>
        <v>0</v>
      </c>
      <c r="BF54" s="12">
        <f>'Supply2024-coding'!BF53*'Use 2024'!$C53</f>
        <v>0</v>
      </c>
      <c r="BG54" s="12">
        <f>'Supply2024-coding'!BG53*'Use 2024'!$C53</f>
        <v>0</v>
      </c>
      <c r="BH54" s="12">
        <f>'Supply2024-coding'!BH53*'Use 2024'!$C53</f>
        <v>0</v>
      </c>
      <c r="BI54" s="12">
        <f>'Supply2024-coding'!BI53*'Use 2024'!$C53</f>
        <v>0</v>
      </c>
      <c r="BJ54" s="12">
        <f>'Supply2024-coding'!BJ53*'Use 2024'!$C53</f>
        <v>0</v>
      </c>
      <c r="BK54" s="12">
        <f>'Supply2024-coding'!BK53*'Use 2024'!$C53</f>
        <v>0</v>
      </c>
      <c r="BL54" s="12">
        <f>'Supply2024-coding'!BL53*'Use 2024'!$C53</f>
        <v>0</v>
      </c>
      <c r="BM54" s="12">
        <f>'Supply2024-coding'!BM53*'Use 2024'!$C53</f>
        <v>0</v>
      </c>
      <c r="BN54" s="12">
        <f>'Supply2024-coding'!BN53*'Use 2024'!$C53</f>
        <v>0</v>
      </c>
      <c r="BO54" s="12">
        <f>'Supply2024-coding'!BO53*'Use 2024'!$C53</f>
        <v>0</v>
      </c>
      <c r="BP54" s="12">
        <f>'Supply2024-coding'!BP53*'Use 2024'!$C53</f>
        <v>0</v>
      </c>
      <c r="BQ54" s="12">
        <f>'Supply2024-coding'!BQ53*'Use 2024'!$C53</f>
        <v>0</v>
      </c>
      <c r="BR54" s="12">
        <f>'Supply2024-coding'!BR53*'Use 2024'!$C53</f>
        <v>0</v>
      </c>
      <c r="BS54" s="12">
        <f>'Supply2024-coding'!BS53*'Use 2024'!$C53</f>
        <v>0</v>
      </c>
      <c r="BT54" s="12">
        <f>'Supply2024-coding'!BT53*'Use 2024'!$C53</f>
        <v>0</v>
      </c>
      <c r="BU54" s="12">
        <f>'Supply2024-coding'!BU53*'Use 2024'!$C53</f>
        <v>0</v>
      </c>
      <c r="BV54" s="12">
        <f>'Supply2024-coding'!BV53*'Use 2024'!$C53</f>
        <v>0</v>
      </c>
      <c r="BW54" s="12">
        <f>'Supply2024-coding'!BW53*'Use 2024'!$C53</f>
        <v>0</v>
      </c>
      <c r="BX54" s="12">
        <f>'Supply2024-coding'!BX53*'Use 2024'!$C53</f>
        <v>0</v>
      </c>
      <c r="BY54" s="12">
        <f>'Supply2024-coding'!BY53*'Use 2024'!$C53</f>
        <v>0</v>
      </c>
      <c r="BZ54" s="12">
        <f>'Supply2024-coding'!BZ53*'Use 2024'!$C53</f>
        <v>0</v>
      </c>
      <c r="CA54" s="12" t="e">
        <f>'Supply2024-coding'!CA53*'Use 2024'!$C53</f>
        <v>#DIV/0!</v>
      </c>
      <c r="CB54" s="12">
        <f>'Supply2024-coding'!CB53*'Use 2024'!$C53</f>
        <v>0</v>
      </c>
      <c r="CC54" s="12">
        <f>'Supply2024-coding'!CC53*'Use 2024'!$C53</f>
        <v>0</v>
      </c>
      <c r="CD54" s="12">
        <f>'Supply2024-coding'!CD53*'Use 2024'!$C53</f>
        <v>0</v>
      </c>
      <c r="CE54" s="12">
        <f>'Supply2024-coding'!CE53*'Use 2024'!$C53</f>
        <v>0</v>
      </c>
      <c r="CF54" s="12">
        <f>'Supply2024-coding'!CF53*'Use 2024'!$C53</f>
        <v>0</v>
      </c>
      <c r="CG54" s="12">
        <f>'Supply2024-coding'!CG53*'Use 2024'!$C53</f>
        <v>0</v>
      </c>
    </row>
    <row r="55" spans="1:85" x14ac:dyDescent="0.25">
      <c r="A55" t="s">
        <v>53</v>
      </c>
      <c r="B55" t="s">
        <v>146</v>
      </c>
      <c r="C55" s="12">
        <f>'Supply2024-coding'!C54*'Use 2024'!$C54</f>
        <v>0</v>
      </c>
      <c r="D55" s="12">
        <f>'Supply2024-coding'!D54*'Use 2024'!$C54</f>
        <v>0</v>
      </c>
      <c r="E55" s="12">
        <f>'Supply2024-coding'!E54*'Use 2024'!$C54</f>
        <v>6.2366525702246456E-5</v>
      </c>
      <c r="F55" s="12">
        <f>'Supply2024-coding'!F54*'Use 2024'!$C54</f>
        <v>2.2405382508366916E-5</v>
      </c>
      <c r="G55" s="12">
        <f>'Supply2024-coding'!G54*'Use 2024'!$C54</f>
        <v>9.1365817219546215E-5</v>
      </c>
      <c r="H55" s="12">
        <f>'Supply2024-coding'!H54*'Use 2024'!$C54</f>
        <v>3.2490076064967817E-5</v>
      </c>
      <c r="I55" s="12">
        <f>'Supply2024-coding'!I54*'Use 2024'!$C54</f>
        <v>9.032318597737189E-7</v>
      </c>
      <c r="J55" s="12">
        <f>'Supply2024-coding'!J54*'Use 2024'!$C54</f>
        <v>5.1415145615187729E-5</v>
      </c>
      <c r="K55" s="12">
        <f>'Supply2024-coding'!K54*'Use 2024'!$C54</f>
        <v>2.7107124027979281E-4</v>
      </c>
      <c r="L55" s="12">
        <f>'Supply2024-coding'!L54*'Use 2024'!$C54</f>
        <v>9.7567366267103231E-5</v>
      </c>
      <c r="M55" s="12">
        <f>'Supply2024-coding'!M54*'Use 2024'!$C54</f>
        <v>4.8461757286724904E-4</v>
      </c>
      <c r="N55" s="12">
        <f>'Supply2024-coding'!N54*'Use 2024'!$C54</f>
        <v>1.6289156240356175E-3</v>
      </c>
      <c r="O55" s="12">
        <f>'Supply2024-coding'!O54*'Use 2024'!$C54</f>
        <v>1.0613297870545034E-2</v>
      </c>
      <c r="P55" s="12">
        <f>'Supply2024-coding'!P54*'Use 2024'!$C54</f>
        <v>1.2034999271394711E-3</v>
      </c>
      <c r="Q55" s="12">
        <f>'Supply2024-coding'!Q54*'Use 2024'!$C54</f>
        <v>1.2594049191011218E-3</v>
      </c>
      <c r="R55" s="12">
        <f>'Supply2024-coding'!R54*'Use 2024'!$C54</f>
        <v>4.1091807648672837E-3</v>
      </c>
      <c r="S55" s="12">
        <f>'Supply2024-coding'!S54*'Use 2024'!$C54</f>
        <v>2.2354482204141392E-4</v>
      </c>
      <c r="T55" s="12">
        <f>'Supply2024-coding'!T54*'Use 2024'!$C54</f>
        <v>5.6340515359194375E-3</v>
      </c>
      <c r="U55" s="12">
        <f>'Supply2024-coding'!U54*'Use 2024'!$C54</f>
        <v>1.8559684256886608E-4</v>
      </c>
      <c r="V55" s="12">
        <f>'Supply2024-coding'!V54*'Use 2024'!$C54</f>
        <v>3.0814013471328636E-4</v>
      </c>
      <c r="W55" s="12">
        <f>'Supply2024-coding'!W54*'Use 2024'!$C54</f>
        <v>5.427407418048285E-4</v>
      </c>
      <c r="X55" s="12">
        <f>'Supply2024-coding'!X54*'Use 2024'!$C54</f>
        <v>2.7183377408165058E-4</v>
      </c>
      <c r="Y55" s="12">
        <f>'Supply2024-coding'!Y54*'Use 2024'!$C54</f>
        <v>1.1047605267533763E-2</v>
      </c>
      <c r="Z55" s="12">
        <f>'Supply2024-coding'!Z54*'Use 2024'!$C54</f>
        <v>5.2346476292441851E-5</v>
      </c>
      <c r="AA55" s="12">
        <f>'Supply2024-coding'!AA54*'Use 2024'!$C54</f>
        <v>4.528325258082843E-3</v>
      </c>
      <c r="AB55" s="12">
        <f>'Supply2024-coding'!AB54*'Use 2024'!$C54</f>
        <v>3.7861800303552853E-4</v>
      </c>
      <c r="AC55" s="12">
        <f>'Supply2024-coding'!AC54*'Use 2024'!$C54</f>
        <v>3.4670656182000126E-5</v>
      </c>
      <c r="AD55" s="12">
        <f>'Supply2024-coding'!AD54*'Use 2024'!$C54</f>
        <v>6.1405633825422867E-7</v>
      </c>
      <c r="AE55" s="12">
        <f>'Supply2024-coding'!AE54*'Use 2024'!$C54</f>
        <v>3.74697908086992E-7</v>
      </c>
      <c r="AF55" s="12">
        <f>'Supply2024-coding'!AF54*'Use 2024'!$C54</f>
        <v>0</v>
      </c>
      <c r="AG55" s="12">
        <f>'Supply2024-coding'!AG54*'Use 2024'!$C54</f>
        <v>1.9029443501556885E-4</v>
      </c>
      <c r="AH55" s="12">
        <f>'Supply2024-coding'!AH54*'Use 2024'!$C54</f>
        <v>4.7184369683873662E-4</v>
      </c>
      <c r="AI55" s="12">
        <f>'Supply2024-coding'!AI54*'Use 2024'!$C54</f>
        <v>6.2110789877935907E-4</v>
      </c>
      <c r="AJ55" s="12">
        <f>'Supply2024-coding'!AJ54*'Use 2024'!$C54</f>
        <v>8.3419858217455471E-5</v>
      </c>
      <c r="AK55" s="12">
        <f>'Supply2024-coding'!AK54*'Use 2024'!$C54</f>
        <v>9.0071745197383129E-5</v>
      </c>
      <c r="AL55" s="12">
        <f>'Supply2024-coding'!AL54*'Use 2024'!$C54</f>
        <v>6.0130482368273358E-5</v>
      </c>
      <c r="AM55" s="12">
        <f>'Supply2024-coding'!AM54*'Use 2024'!$C54</f>
        <v>4.9169132815138339E-4</v>
      </c>
      <c r="AN55" s="12">
        <f>'Supply2024-coding'!AN54*'Use 2024'!$C54</f>
        <v>1.5300698902143636E-3</v>
      </c>
      <c r="AO55" s="12">
        <f>'Supply2024-coding'!AO54*'Use 2024'!$C54</f>
        <v>4.9995782674405254E-4</v>
      </c>
      <c r="AP55" s="12">
        <f>'Supply2024-coding'!AP54*'Use 2024'!$C54</f>
        <v>5.1999186182571516E-3</v>
      </c>
      <c r="AQ55" s="12">
        <f>'Supply2024-coding'!AQ54*'Use 2024'!$C54</f>
        <v>1.0222145631164545E-3</v>
      </c>
      <c r="AR55" s="12">
        <f>'Supply2024-coding'!AR54*'Use 2024'!$C54</f>
        <v>8.0580513555626263E-3</v>
      </c>
      <c r="AS55" s="12">
        <f>'Supply2024-coding'!AS54*'Use 2024'!$C54</f>
        <v>2.2450883344577781E-2</v>
      </c>
      <c r="AT55" s="12">
        <f>'Supply2024-coding'!AT54*'Use 2024'!$C54</f>
        <v>2.709013389448173E-4</v>
      </c>
      <c r="AU55" s="12">
        <f>'Supply2024-coding'!AU54*'Use 2024'!$C54</f>
        <v>1.7556183474006033E-4</v>
      </c>
      <c r="AV55" s="12">
        <f>'Supply2024-coding'!AV54*'Use 2024'!$C54</f>
        <v>2.7599406705800585E-4</v>
      </c>
      <c r="AW55" s="12">
        <f>'Supply2024-coding'!AW54*'Use 2024'!$C54</f>
        <v>2.9291728567481728E-6</v>
      </c>
      <c r="AX55" s="12">
        <f>'Supply2024-coding'!AX54*'Use 2024'!$C54</f>
        <v>4.1086921291001022E-6</v>
      </c>
      <c r="AY55" s="12">
        <f>'Supply2024-coding'!AY54*'Use 2024'!$C54</f>
        <v>2.8992195453709976E-5</v>
      </c>
      <c r="AZ55" s="12">
        <f>'Supply2024-coding'!AZ54*'Use 2024'!$C54</f>
        <v>3.0546922563794099E-5</v>
      </c>
      <c r="BA55" s="12">
        <f>'Supply2024-coding'!BA54*'Use 2024'!$C54</f>
        <v>5.4787413314472473E-5</v>
      </c>
      <c r="BB55" s="12">
        <f>'Supply2024-coding'!BB54*'Use 2024'!$C54</f>
        <v>1.1388316916112833E-3</v>
      </c>
      <c r="BC55" s="12">
        <f>'Supply2024-coding'!BC54*'Use 2024'!$C54</f>
        <v>5.6588057602237597E-2</v>
      </c>
      <c r="BD55" s="12">
        <f>'Supply2024-coding'!BD54*'Use 2024'!$C54</f>
        <v>5.5497303802055106E-4</v>
      </c>
      <c r="BE55" s="12">
        <f>'Supply2024-coding'!BE54*'Use 2024'!$C54</f>
        <v>3.0928820932492468E-3</v>
      </c>
      <c r="BF55" s="12">
        <f>'Supply2024-coding'!BF54*'Use 2024'!$C54</f>
        <v>7.8844369838639835E-5</v>
      </c>
      <c r="BG55" s="12">
        <f>'Supply2024-coding'!BG54*'Use 2024'!$C54</f>
        <v>6.3093937864511429E-3</v>
      </c>
      <c r="BH55" s="12">
        <f>'Supply2024-coding'!BH54*'Use 2024'!$C54</f>
        <v>1.9540752248751543E-5</v>
      </c>
      <c r="BI55" s="12">
        <f>'Supply2024-coding'!BI54*'Use 2024'!$C54</f>
        <v>3.2502602951515341E-4</v>
      </c>
      <c r="BJ55" s="12">
        <f>'Supply2024-coding'!BJ54*'Use 2024'!$C54</f>
        <v>4.7018430102530261E-6</v>
      </c>
      <c r="BK55" s="12">
        <f>'Supply2024-coding'!BK54*'Use 2024'!$C54</f>
        <v>6.0912743789913238E-6</v>
      </c>
      <c r="BL55" s="12">
        <f>'Supply2024-coding'!BL54*'Use 2024'!$C54</f>
        <v>2.3625326545169967E-3</v>
      </c>
      <c r="BM55" s="12">
        <f>'Supply2024-coding'!BM54*'Use 2024'!$C54</f>
        <v>2.9560897999216242E-5</v>
      </c>
      <c r="BN55" s="12">
        <f>'Supply2024-coding'!BN54*'Use 2024'!$C54</f>
        <v>1.2076112634045569E-6</v>
      </c>
      <c r="BO55" s="12">
        <f>'Supply2024-coding'!BO54*'Use 2024'!$C54</f>
        <v>0</v>
      </c>
      <c r="BP55" s="12">
        <f>'Supply2024-coding'!BP54*'Use 2024'!$C54</f>
        <v>8.9419440527462916E-5</v>
      </c>
      <c r="BQ55" s="12">
        <f>'Supply2024-coding'!BQ54*'Use 2024'!$C54</f>
        <v>2.1158731226497531E-3</v>
      </c>
      <c r="BR55" s="12">
        <f>'Supply2024-coding'!BR54*'Use 2024'!$C54</f>
        <v>3.2240337660665998E-3</v>
      </c>
      <c r="BS55" s="12">
        <f>'Supply2024-coding'!BS54*'Use 2024'!$C54</f>
        <v>0</v>
      </c>
      <c r="BT55" s="12">
        <f>'Supply2024-coding'!BT54*'Use 2024'!$C54</f>
        <v>1.4716412573401283E-3</v>
      </c>
      <c r="BU55" s="12">
        <f>'Supply2024-coding'!BU54*'Use 2024'!$C54</f>
        <v>0</v>
      </c>
      <c r="BV55" s="12">
        <f>'Supply2024-coding'!BV54*'Use 2024'!$C54</f>
        <v>3.9189597164589205E-3</v>
      </c>
      <c r="BW55" s="12">
        <f>'Supply2024-coding'!BW54*'Use 2024'!$C54</f>
        <v>2.1655744553634049E-3</v>
      </c>
      <c r="BX55" s="12">
        <f>'Supply2024-coding'!BX54*'Use 2024'!$C54</f>
        <v>0</v>
      </c>
      <c r="BY55" s="12">
        <f>'Supply2024-coding'!BY54*'Use 2024'!$C54</f>
        <v>3.7993425646584509E-3</v>
      </c>
      <c r="BZ55" s="12">
        <f>'Supply2024-coding'!BZ54*'Use 2024'!$C54</f>
        <v>0</v>
      </c>
      <c r="CA55" s="12" t="e">
        <f>'Supply2024-coding'!CA54*'Use 2024'!$C54</f>
        <v>#DIV/0!</v>
      </c>
      <c r="CB55" s="12">
        <f>'Supply2024-coding'!CB54*'Use 2024'!$C54</f>
        <v>0</v>
      </c>
      <c r="CC55" s="12">
        <f>'Supply2024-coding'!CC54*'Use 2024'!$C54</f>
        <v>3.5666500811741603E-6</v>
      </c>
      <c r="CD55" s="12">
        <f>'Supply2024-coding'!CD54*'Use 2024'!$C54</f>
        <v>6.7641186395420703E-4</v>
      </c>
      <c r="CE55" s="12">
        <f>'Supply2024-coding'!CE54*'Use 2024'!$C54</f>
        <v>0</v>
      </c>
      <c r="CF55" s="12">
        <f>'Supply2024-coding'!CF54*'Use 2024'!$C54</f>
        <v>6.8056928009858713E-4</v>
      </c>
      <c r="CG55" s="12">
        <f>'Supply2024-coding'!CG54*'Use 2024'!$C54</f>
        <v>3.7414395764608661E-3</v>
      </c>
    </row>
    <row r="56" spans="1:85" x14ac:dyDescent="0.25">
      <c r="A56" t="s">
        <v>54</v>
      </c>
      <c r="B56" t="s">
        <v>147</v>
      </c>
      <c r="C56" s="12">
        <f>'Supply2024-coding'!C55*'Use 2024'!$C55</f>
        <v>0</v>
      </c>
      <c r="D56" s="12">
        <f>'Supply2024-coding'!D55*'Use 2024'!$C55</f>
        <v>0</v>
      </c>
      <c r="E56" s="12">
        <f>'Supply2024-coding'!E55*'Use 2024'!$C55</f>
        <v>0</v>
      </c>
      <c r="F56" s="12">
        <f>'Supply2024-coding'!F55*'Use 2024'!$C55</f>
        <v>0</v>
      </c>
      <c r="G56" s="12">
        <f>'Supply2024-coding'!G55*'Use 2024'!$C55</f>
        <v>0</v>
      </c>
      <c r="H56" s="12">
        <f>'Supply2024-coding'!H55*'Use 2024'!$C55</f>
        <v>0</v>
      </c>
      <c r="I56" s="12">
        <f>'Supply2024-coding'!I55*'Use 2024'!$C55</f>
        <v>0</v>
      </c>
      <c r="J56" s="12">
        <f>'Supply2024-coding'!J55*'Use 2024'!$C55</f>
        <v>0</v>
      </c>
      <c r="K56" s="12">
        <f>'Supply2024-coding'!K55*'Use 2024'!$C55</f>
        <v>0</v>
      </c>
      <c r="L56" s="12">
        <f>'Supply2024-coding'!L55*'Use 2024'!$C55</f>
        <v>0</v>
      </c>
      <c r="M56" s="12">
        <f>'Supply2024-coding'!M55*'Use 2024'!$C55</f>
        <v>0</v>
      </c>
      <c r="N56" s="12">
        <f>'Supply2024-coding'!N55*'Use 2024'!$C55</f>
        <v>0</v>
      </c>
      <c r="O56" s="12">
        <f>'Supply2024-coding'!O55*'Use 2024'!$C55</f>
        <v>0</v>
      </c>
      <c r="P56" s="12">
        <f>'Supply2024-coding'!P55*'Use 2024'!$C55</f>
        <v>0</v>
      </c>
      <c r="Q56" s="12">
        <f>'Supply2024-coding'!Q55*'Use 2024'!$C55</f>
        <v>0</v>
      </c>
      <c r="R56" s="12">
        <f>'Supply2024-coding'!R55*'Use 2024'!$C55</f>
        <v>0</v>
      </c>
      <c r="S56" s="12">
        <f>'Supply2024-coding'!S55*'Use 2024'!$C55</f>
        <v>0</v>
      </c>
      <c r="T56" s="12">
        <f>'Supply2024-coding'!T55*'Use 2024'!$C55</f>
        <v>0</v>
      </c>
      <c r="U56" s="12">
        <f>'Supply2024-coding'!U55*'Use 2024'!$C55</f>
        <v>0</v>
      </c>
      <c r="V56" s="12">
        <f>'Supply2024-coding'!V55*'Use 2024'!$C55</f>
        <v>0</v>
      </c>
      <c r="W56" s="12">
        <f>'Supply2024-coding'!W55*'Use 2024'!$C55</f>
        <v>0</v>
      </c>
      <c r="X56" s="12">
        <f>'Supply2024-coding'!X55*'Use 2024'!$C55</f>
        <v>0</v>
      </c>
      <c r="Y56" s="12">
        <f>'Supply2024-coding'!Y55*'Use 2024'!$C55</f>
        <v>0</v>
      </c>
      <c r="Z56" s="12">
        <f>'Supply2024-coding'!Z55*'Use 2024'!$C55</f>
        <v>0</v>
      </c>
      <c r="AA56" s="12">
        <f>'Supply2024-coding'!AA55*'Use 2024'!$C55</f>
        <v>0</v>
      </c>
      <c r="AB56" s="12">
        <f>'Supply2024-coding'!AB55*'Use 2024'!$C55</f>
        <v>0</v>
      </c>
      <c r="AC56" s="12">
        <f>'Supply2024-coding'!AC55*'Use 2024'!$C55</f>
        <v>0</v>
      </c>
      <c r="AD56" s="12">
        <f>'Supply2024-coding'!AD55*'Use 2024'!$C55</f>
        <v>0</v>
      </c>
      <c r="AE56" s="12">
        <f>'Supply2024-coding'!AE55*'Use 2024'!$C55</f>
        <v>0</v>
      </c>
      <c r="AF56" s="12">
        <f>'Supply2024-coding'!AF55*'Use 2024'!$C55</f>
        <v>0</v>
      </c>
      <c r="AG56" s="12">
        <f>'Supply2024-coding'!AG55*'Use 2024'!$C55</f>
        <v>0</v>
      </c>
      <c r="AH56" s="12">
        <f>'Supply2024-coding'!AH55*'Use 2024'!$C55</f>
        <v>0</v>
      </c>
      <c r="AI56" s="12">
        <f>'Supply2024-coding'!AI55*'Use 2024'!$C55</f>
        <v>0</v>
      </c>
      <c r="AJ56" s="12">
        <f>'Supply2024-coding'!AJ55*'Use 2024'!$C55</f>
        <v>0</v>
      </c>
      <c r="AK56" s="12">
        <f>'Supply2024-coding'!AK55*'Use 2024'!$C55</f>
        <v>0</v>
      </c>
      <c r="AL56" s="12">
        <f>'Supply2024-coding'!AL55*'Use 2024'!$C55</f>
        <v>0</v>
      </c>
      <c r="AM56" s="12">
        <f>'Supply2024-coding'!AM55*'Use 2024'!$C55</f>
        <v>0</v>
      </c>
      <c r="AN56" s="12">
        <f>'Supply2024-coding'!AN55*'Use 2024'!$C55</f>
        <v>0</v>
      </c>
      <c r="AO56" s="12">
        <f>'Supply2024-coding'!AO55*'Use 2024'!$C55</f>
        <v>0</v>
      </c>
      <c r="AP56" s="12">
        <f>'Supply2024-coding'!AP55*'Use 2024'!$C55</f>
        <v>0</v>
      </c>
      <c r="AQ56" s="12">
        <f>'Supply2024-coding'!AQ55*'Use 2024'!$C55</f>
        <v>0</v>
      </c>
      <c r="AR56" s="12">
        <f>'Supply2024-coding'!AR55*'Use 2024'!$C55</f>
        <v>0</v>
      </c>
      <c r="AS56" s="12">
        <f>'Supply2024-coding'!AS55*'Use 2024'!$C55</f>
        <v>0</v>
      </c>
      <c r="AT56" s="12">
        <f>'Supply2024-coding'!AT55*'Use 2024'!$C55</f>
        <v>0</v>
      </c>
      <c r="AU56" s="12">
        <f>'Supply2024-coding'!AU55*'Use 2024'!$C55</f>
        <v>0</v>
      </c>
      <c r="AV56" s="12">
        <f>'Supply2024-coding'!AV55*'Use 2024'!$C55</f>
        <v>0</v>
      </c>
      <c r="AW56" s="12">
        <f>'Supply2024-coding'!AW55*'Use 2024'!$C55</f>
        <v>0</v>
      </c>
      <c r="AX56" s="12">
        <f>'Supply2024-coding'!AX55*'Use 2024'!$C55</f>
        <v>0</v>
      </c>
      <c r="AY56" s="12">
        <f>'Supply2024-coding'!AY55*'Use 2024'!$C55</f>
        <v>0</v>
      </c>
      <c r="AZ56" s="12">
        <f>'Supply2024-coding'!AZ55*'Use 2024'!$C55</f>
        <v>0</v>
      </c>
      <c r="BA56" s="12">
        <f>'Supply2024-coding'!BA55*'Use 2024'!$C55</f>
        <v>0</v>
      </c>
      <c r="BB56" s="12">
        <f>'Supply2024-coding'!BB55*'Use 2024'!$C55</f>
        <v>0</v>
      </c>
      <c r="BC56" s="12">
        <f>'Supply2024-coding'!BC55*'Use 2024'!$C55</f>
        <v>0</v>
      </c>
      <c r="BD56" s="12">
        <f>'Supply2024-coding'!BD55*'Use 2024'!$C55</f>
        <v>0</v>
      </c>
      <c r="BE56" s="12">
        <f>'Supply2024-coding'!BE55*'Use 2024'!$C55</f>
        <v>0</v>
      </c>
      <c r="BF56" s="12">
        <f>'Supply2024-coding'!BF55*'Use 2024'!$C55</f>
        <v>0</v>
      </c>
      <c r="BG56" s="12">
        <f>'Supply2024-coding'!BG55*'Use 2024'!$C55</f>
        <v>0</v>
      </c>
      <c r="BH56" s="12">
        <f>'Supply2024-coding'!BH55*'Use 2024'!$C55</f>
        <v>0</v>
      </c>
      <c r="BI56" s="12">
        <f>'Supply2024-coding'!BI55*'Use 2024'!$C55</f>
        <v>0</v>
      </c>
      <c r="BJ56" s="12">
        <f>'Supply2024-coding'!BJ55*'Use 2024'!$C55</f>
        <v>0</v>
      </c>
      <c r="BK56" s="12">
        <f>'Supply2024-coding'!BK55*'Use 2024'!$C55</f>
        <v>0</v>
      </c>
      <c r="BL56" s="12">
        <f>'Supply2024-coding'!BL55*'Use 2024'!$C55</f>
        <v>0</v>
      </c>
      <c r="BM56" s="12">
        <f>'Supply2024-coding'!BM55*'Use 2024'!$C55</f>
        <v>0</v>
      </c>
      <c r="BN56" s="12">
        <f>'Supply2024-coding'!BN55*'Use 2024'!$C55</f>
        <v>0</v>
      </c>
      <c r="BO56" s="12">
        <f>'Supply2024-coding'!BO55*'Use 2024'!$C55</f>
        <v>0</v>
      </c>
      <c r="BP56" s="12">
        <f>'Supply2024-coding'!BP55*'Use 2024'!$C55</f>
        <v>0</v>
      </c>
      <c r="BQ56" s="12">
        <f>'Supply2024-coding'!BQ55*'Use 2024'!$C55</f>
        <v>0</v>
      </c>
      <c r="BR56" s="12">
        <f>'Supply2024-coding'!BR55*'Use 2024'!$C55</f>
        <v>0</v>
      </c>
      <c r="BS56" s="12">
        <f>'Supply2024-coding'!BS55*'Use 2024'!$C55</f>
        <v>0</v>
      </c>
      <c r="BT56" s="12">
        <f>'Supply2024-coding'!BT55*'Use 2024'!$C55</f>
        <v>0</v>
      </c>
      <c r="BU56" s="12">
        <f>'Supply2024-coding'!BU55*'Use 2024'!$C55</f>
        <v>0</v>
      </c>
      <c r="BV56" s="12">
        <f>'Supply2024-coding'!BV55*'Use 2024'!$C55</f>
        <v>0</v>
      </c>
      <c r="BW56" s="12">
        <f>'Supply2024-coding'!BW55*'Use 2024'!$C55</f>
        <v>0</v>
      </c>
      <c r="BX56" s="12">
        <f>'Supply2024-coding'!BX55*'Use 2024'!$C55</f>
        <v>0</v>
      </c>
      <c r="BY56" s="12">
        <f>'Supply2024-coding'!BY55*'Use 2024'!$C55</f>
        <v>0</v>
      </c>
      <c r="BZ56" s="12">
        <f>'Supply2024-coding'!BZ55*'Use 2024'!$C55</f>
        <v>0</v>
      </c>
      <c r="CA56" s="12" t="e">
        <f>'Supply2024-coding'!CA55*'Use 2024'!$C55</f>
        <v>#DIV/0!</v>
      </c>
      <c r="CB56" s="12">
        <f>'Supply2024-coding'!CB55*'Use 2024'!$C55</f>
        <v>0</v>
      </c>
      <c r="CC56" s="12">
        <f>'Supply2024-coding'!CC55*'Use 2024'!$C55</f>
        <v>0</v>
      </c>
      <c r="CD56" s="12">
        <f>'Supply2024-coding'!CD55*'Use 2024'!$C55</f>
        <v>0</v>
      </c>
      <c r="CE56" s="12">
        <f>'Supply2024-coding'!CE55*'Use 2024'!$C55</f>
        <v>0</v>
      </c>
      <c r="CF56" s="12">
        <f>'Supply2024-coding'!CF55*'Use 2024'!$C55</f>
        <v>0</v>
      </c>
      <c r="CG56" s="12">
        <f>'Supply2024-coding'!CG55*'Use 2024'!$C55</f>
        <v>0</v>
      </c>
    </row>
    <row r="57" spans="1:85" x14ac:dyDescent="0.25">
      <c r="A57" t="s">
        <v>55</v>
      </c>
      <c r="B57" t="s">
        <v>148</v>
      </c>
      <c r="C57" s="12">
        <f>'Supply2024-coding'!C56*'Use 2024'!$C56</f>
        <v>0</v>
      </c>
      <c r="D57" s="12">
        <f>'Supply2024-coding'!D56*'Use 2024'!$C56</f>
        <v>0</v>
      </c>
      <c r="E57" s="12">
        <f>'Supply2024-coding'!E56*'Use 2024'!$C56</f>
        <v>0</v>
      </c>
      <c r="F57" s="12">
        <f>'Supply2024-coding'!F56*'Use 2024'!$C56</f>
        <v>0</v>
      </c>
      <c r="G57" s="12">
        <f>'Supply2024-coding'!G56*'Use 2024'!$C56</f>
        <v>0</v>
      </c>
      <c r="H57" s="12">
        <f>'Supply2024-coding'!H56*'Use 2024'!$C56</f>
        <v>0</v>
      </c>
      <c r="I57" s="12">
        <f>'Supply2024-coding'!I56*'Use 2024'!$C56</f>
        <v>0</v>
      </c>
      <c r="J57" s="12">
        <f>'Supply2024-coding'!J56*'Use 2024'!$C56</f>
        <v>0</v>
      </c>
      <c r="K57" s="12">
        <f>'Supply2024-coding'!K56*'Use 2024'!$C56</f>
        <v>0</v>
      </c>
      <c r="L57" s="12">
        <f>'Supply2024-coding'!L56*'Use 2024'!$C56</f>
        <v>0</v>
      </c>
      <c r="M57" s="12">
        <f>'Supply2024-coding'!M56*'Use 2024'!$C56</f>
        <v>0</v>
      </c>
      <c r="N57" s="12">
        <f>'Supply2024-coding'!N56*'Use 2024'!$C56</f>
        <v>0</v>
      </c>
      <c r="O57" s="12">
        <f>'Supply2024-coding'!O56*'Use 2024'!$C56</f>
        <v>0</v>
      </c>
      <c r="P57" s="12">
        <f>'Supply2024-coding'!P56*'Use 2024'!$C56</f>
        <v>0</v>
      </c>
      <c r="Q57" s="12">
        <f>'Supply2024-coding'!Q56*'Use 2024'!$C56</f>
        <v>0</v>
      </c>
      <c r="R57" s="12">
        <f>'Supply2024-coding'!R56*'Use 2024'!$C56</f>
        <v>0</v>
      </c>
      <c r="S57" s="12">
        <f>'Supply2024-coding'!S56*'Use 2024'!$C56</f>
        <v>0</v>
      </c>
      <c r="T57" s="12">
        <f>'Supply2024-coding'!T56*'Use 2024'!$C56</f>
        <v>0</v>
      </c>
      <c r="U57" s="12">
        <f>'Supply2024-coding'!U56*'Use 2024'!$C56</f>
        <v>0</v>
      </c>
      <c r="V57" s="12">
        <f>'Supply2024-coding'!V56*'Use 2024'!$C56</f>
        <v>0</v>
      </c>
      <c r="W57" s="12">
        <f>'Supply2024-coding'!W56*'Use 2024'!$C56</f>
        <v>0</v>
      </c>
      <c r="X57" s="12">
        <f>'Supply2024-coding'!X56*'Use 2024'!$C56</f>
        <v>0</v>
      </c>
      <c r="Y57" s="12">
        <f>'Supply2024-coding'!Y56*'Use 2024'!$C56</f>
        <v>2.7747481532790084E-4</v>
      </c>
      <c r="Z57" s="12">
        <f>'Supply2024-coding'!Z56*'Use 2024'!$C56</f>
        <v>0</v>
      </c>
      <c r="AA57" s="12">
        <f>'Supply2024-coding'!AA56*'Use 2024'!$C56</f>
        <v>0</v>
      </c>
      <c r="AB57" s="12">
        <f>'Supply2024-coding'!AB56*'Use 2024'!$C56</f>
        <v>0</v>
      </c>
      <c r="AC57" s="12">
        <f>'Supply2024-coding'!AC56*'Use 2024'!$C56</f>
        <v>8.4766470791413282E-7</v>
      </c>
      <c r="AD57" s="12">
        <f>'Supply2024-coding'!AD56*'Use 2024'!$C56</f>
        <v>0</v>
      </c>
      <c r="AE57" s="12">
        <f>'Supply2024-coding'!AE56*'Use 2024'!$C56</f>
        <v>5.0025652638379482E-7</v>
      </c>
      <c r="AF57" s="12">
        <f>'Supply2024-coding'!AF56*'Use 2024'!$C56</f>
        <v>0</v>
      </c>
      <c r="AG57" s="12">
        <f>'Supply2024-coding'!AG56*'Use 2024'!$C56</f>
        <v>3.2516308105887905E-6</v>
      </c>
      <c r="AH57" s="12">
        <f>'Supply2024-coding'!AH56*'Use 2024'!$C56</f>
        <v>0</v>
      </c>
      <c r="AI57" s="12">
        <f>'Supply2024-coding'!AI56*'Use 2024'!$C56</f>
        <v>0</v>
      </c>
      <c r="AJ57" s="12">
        <f>'Supply2024-coding'!AJ56*'Use 2024'!$C56</f>
        <v>0</v>
      </c>
      <c r="AK57" s="12">
        <f>'Supply2024-coding'!AK56*'Use 2024'!$C56</f>
        <v>0</v>
      </c>
      <c r="AL57" s="12">
        <f>'Supply2024-coding'!AL56*'Use 2024'!$C56</f>
        <v>0</v>
      </c>
      <c r="AM57" s="12">
        <f>'Supply2024-coding'!AM56*'Use 2024'!$C56</f>
        <v>0</v>
      </c>
      <c r="AN57" s="12">
        <f>'Supply2024-coding'!AN56*'Use 2024'!$C56</f>
        <v>1.1230266554935033E-6</v>
      </c>
      <c r="AO57" s="12">
        <f>'Supply2024-coding'!AO56*'Use 2024'!$C56</f>
        <v>0</v>
      </c>
      <c r="AP57" s="12">
        <f>'Supply2024-coding'!AP56*'Use 2024'!$C56</f>
        <v>2.2281021553225004E-5</v>
      </c>
      <c r="AQ57" s="12">
        <f>'Supply2024-coding'!AQ56*'Use 2024'!$C56</f>
        <v>0</v>
      </c>
      <c r="AR57" s="12">
        <f>'Supply2024-coding'!AR56*'Use 2024'!$C56</f>
        <v>0</v>
      </c>
      <c r="AS57" s="12">
        <f>'Supply2024-coding'!AS56*'Use 2024'!$C56</f>
        <v>1.0049060793858522E-5</v>
      </c>
      <c r="AT57" s="12">
        <f>'Supply2024-coding'!AT56*'Use 2024'!$C56</f>
        <v>0</v>
      </c>
      <c r="AU57" s="12">
        <f>'Supply2024-coding'!AU56*'Use 2024'!$C56</f>
        <v>0</v>
      </c>
      <c r="AV57" s="12">
        <f>'Supply2024-coding'!AV56*'Use 2024'!$C56</f>
        <v>0</v>
      </c>
      <c r="AW57" s="12">
        <f>'Supply2024-coding'!AW56*'Use 2024'!$C56</f>
        <v>0</v>
      </c>
      <c r="AX57" s="12">
        <f>'Supply2024-coding'!AX56*'Use 2024'!$C56</f>
        <v>0</v>
      </c>
      <c r="AY57" s="12">
        <f>'Supply2024-coding'!AY56*'Use 2024'!$C56</f>
        <v>0</v>
      </c>
      <c r="AZ57" s="12">
        <f>'Supply2024-coding'!AZ56*'Use 2024'!$C56</f>
        <v>0</v>
      </c>
      <c r="BA57" s="12">
        <f>'Supply2024-coding'!BA56*'Use 2024'!$C56</f>
        <v>0</v>
      </c>
      <c r="BB57" s="12">
        <f>'Supply2024-coding'!BB56*'Use 2024'!$C56</f>
        <v>9.3817564408461298E-4</v>
      </c>
      <c r="BC57" s="12">
        <f>'Supply2024-coding'!BC56*'Use 2024'!$C56</f>
        <v>5.8938465033572269E-5</v>
      </c>
      <c r="BD57" s="12">
        <f>'Supply2024-coding'!BD56*'Use 2024'!$C56</f>
        <v>0</v>
      </c>
      <c r="BE57" s="12">
        <f>'Supply2024-coding'!BE56*'Use 2024'!$C56</f>
        <v>7.4007592768027528E-2</v>
      </c>
      <c r="BF57" s="12">
        <f>'Supply2024-coding'!BF56*'Use 2024'!$C56</f>
        <v>0</v>
      </c>
      <c r="BG57" s="12">
        <f>'Supply2024-coding'!BG56*'Use 2024'!$C56</f>
        <v>0</v>
      </c>
      <c r="BH57" s="12">
        <f>'Supply2024-coding'!BH56*'Use 2024'!$C56</f>
        <v>0</v>
      </c>
      <c r="BI57" s="12">
        <f>'Supply2024-coding'!BI56*'Use 2024'!$C56</f>
        <v>0</v>
      </c>
      <c r="BJ57" s="12">
        <f>'Supply2024-coding'!BJ56*'Use 2024'!$C56</f>
        <v>0</v>
      </c>
      <c r="BK57" s="12">
        <f>'Supply2024-coding'!BK56*'Use 2024'!$C56</f>
        <v>0</v>
      </c>
      <c r="BL57" s="12">
        <f>'Supply2024-coding'!BL56*'Use 2024'!$C56</f>
        <v>0</v>
      </c>
      <c r="BM57" s="12">
        <f>'Supply2024-coding'!BM56*'Use 2024'!$C56</f>
        <v>0</v>
      </c>
      <c r="BN57" s="12">
        <f>'Supply2024-coding'!BN56*'Use 2024'!$C56</f>
        <v>0</v>
      </c>
      <c r="BO57" s="12">
        <f>'Supply2024-coding'!BO56*'Use 2024'!$C56</f>
        <v>0</v>
      </c>
      <c r="BP57" s="12">
        <f>'Supply2024-coding'!BP56*'Use 2024'!$C56</f>
        <v>0</v>
      </c>
      <c r="BQ57" s="12">
        <f>'Supply2024-coding'!BQ56*'Use 2024'!$C56</f>
        <v>0</v>
      </c>
      <c r="BR57" s="12">
        <f>'Supply2024-coding'!BR56*'Use 2024'!$C56</f>
        <v>0</v>
      </c>
      <c r="BS57" s="12">
        <f>'Supply2024-coding'!BS56*'Use 2024'!$C56</f>
        <v>0</v>
      </c>
      <c r="BT57" s="12">
        <f>'Supply2024-coding'!BT56*'Use 2024'!$C56</f>
        <v>2.9960465630860731E-4</v>
      </c>
      <c r="BU57" s="12">
        <f>'Supply2024-coding'!BU56*'Use 2024'!$C56</f>
        <v>0</v>
      </c>
      <c r="BV57" s="12">
        <f>'Supply2024-coding'!BV56*'Use 2024'!$C56</f>
        <v>2.0135510496898574E-3</v>
      </c>
      <c r="BW57" s="12">
        <f>'Supply2024-coding'!BW56*'Use 2024'!$C56</f>
        <v>9.8018054992169803E-5</v>
      </c>
      <c r="BX57" s="12">
        <f>'Supply2024-coding'!BX56*'Use 2024'!$C56</f>
        <v>0</v>
      </c>
      <c r="BY57" s="12">
        <f>'Supply2024-coding'!BY56*'Use 2024'!$C56</f>
        <v>1.8815648201512567E-3</v>
      </c>
      <c r="BZ57" s="12">
        <f>'Supply2024-coding'!BZ56*'Use 2024'!$C56</f>
        <v>0</v>
      </c>
      <c r="CA57" s="12" t="e">
        <f>'Supply2024-coding'!CA56*'Use 2024'!$C56</f>
        <v>#DIV/0!</v>
      </c>
      <c r="CB57" s="12">
        <f>'Supply2024-coding'!CB56*'Use 2024'!$C56</f>
        <v>0</v>
      </c>
      <c r="CC57" s="12">
        <f>'Supply2024-coding'!CC56*'Use 2024'!$C56</f>
        <v>0</v>
      </c>
      <c r="CD57" s="12">
        <f>'Supply2024-coding'!CD56*'Use 2024'!$C56</f>
        <v>7.5257363607450424E-4</v>
      </c>
      <c r="CE57" s="12">
        <f>'Supply2024-coding'!CE56*'Use 2024'!$C56</f>
        <v>0</v>
      </c>
      <c r="CF57" s="12">
        <f>'Supply2024-coding'!CF56*'Use 2024'!$C56</f>
        <v>7.5687086024424138E-4</v>
      </c>
      <c r="CG57" s="12">
        <f>'Supply2024-coding'!CG56*'Use 2024'!$C56</f>
        <v>1.8606838273629138E-3</v>
      </c>
    </row>
    <row r="58" spans="1:85" x14ac:dyDescent="0.25">
      <c r="A58" t="s">
        <v>56</v>
      </c>
      <c r="B58" t="s">
        <v>149</v>
      </c>
      <c r="C58" s="12">
        <f>'Supply2024-coding'!C57*'Use 2024'!$C57</f>
        <v>0</v>
      </c>
      <c r="D58" s="12">
        <f>'Supply2024-coding'!D57*'Use 2024'!$C57</f>
        <v>0</v>
      </c>
      <c r="E58" s="12">
        <f>'Supply2024-coding'!E57*'Use 2024'!$C57</f>
        <v>0</v>
      </c>
      <c r="F58" s="12">
        <f>'Supply2024-coding'!F57*'Use 2024'!$C57</f>
        <v>0</v>
      </c>
      <c r="G58" s="12">
        <f>'Supply2024-coding'!G57*'Use 2024'!$C57</f>
        <v>0</v>
      </c>
      <c r="H58" s="12">
        <f>'Supply2024-coding'!H57*'Use 2024'!$C57</f>
        <v>3.0218546316265186E-6</v>
      </c>
      <c r="I58" s="12">
        <f>'Supply2024-coding'!I57*'Use 2024'!$C57</f>
        <v>0</v>
      </c>
      <c r="J58" s="12">
        <f>'Supply2024-coding'!J57*'Use 2024'!$C57</f>
        <v>0</v>
      </c>
      <c r="K58" s="12">
        <f>'Supply2024-coding'!K57*'Use 2024'!$C57</f>
        <v>0</v>
      </c>
      <c r="L58" s="12">
        <f>'Supply2024-coding'!L57*'Use 2024'!$C57</f>
        <v>0</v>
      </c>
      <c r="M58" s="12">
        <f>'Supply2024-coding'!M57*'Use 2024'!$C57</f>
        <v>0</v>
      </c>
      <c r="N58" s="12">
        <f>'Supply2024-coding'!N57*'Use 2024'!$C57</f>
        <v>0</v>
      </c>
      <c r="O58" s="12">
        <f>'Supply2024-coding'!O57*'Use 2024'!$C57</f>
        <v>0</v>
      </c>
      <c r="P58" s="12">
        <f>'Supply2024-coding'!P57*'Use 2024'!$C57</f>
        <v>0</v>
      </c>
      <c r="Q58" s="12">
        <f>'Supply2024-coding'!Q57*'Use 2024'!$C57</f>
        <v>0</v>
      </c>
      <c r="R58" s="12">
        <f>'Supply2024-coding'!R57*'Use 2024'!$C57</f>
        <v>0</v>
      </c>
      <c r="S58" s="12">
        <f>'Supply2024-coding'!S57*'Use 2024'!$C57</f>
        <v>0</v>
      </c>
      <c r="T58" s="12">
        <f>'Supply2024-coding'!T57*'Use 2024'!$C57</f>
        <v>0</v>
      </c>
      <c r="U58" s="12">
        <f>'Supply2024-coding'!U57*'Use 2024'!$C57</f>
        <v>0</v>
      </c>
      <c r="V58" s="12">
        <f>'Supply2024-coding'!V57*'Use 2024'!$C57</f>
        <v>0</v>
      </c>
      <c r="W58" s="12">
        <f>'Supply2024-coding'!W57*'Use 2024'!$C57</f>
        <v>0</v>
      </c>
      <c r="X58" s="12">
        <f>'Supply2024-coding'!X57*'Use 2024'!$C57</f>
        <v>0</v>
      </c>
      <c r="Y58" s="12">
        <f>'Supply2024-coding'!Y57*'Use 2024'!$C57</f>
        <v>0</v>
      </c>
      <c r="Z58" s="12">
        <f>'Supply2024-coding'!Z57*'Use 2024'!$C57</f>
        <v>0</v>
      </c>
      <c r="AA58" s="12">
        <f>'Supply2024-coding'!AA57*'Use 2024'!$C57</f>
        <v>0</v>
      </c>
      <c r="AB58" s="12">
        <f>'Supply2024-coding'!AB57*'Use 2024'!$C57</f>
        <v>0</v>
      </c>
      <c r="AC58" s="12">
        <f>'Supply2024-coding'!AC57*'Use 2024'!$C57</f>
        <v>0</v>
      </c>
      <c r="AD58" s="12">
        <f>'Supply2024-coding'!AD57*'Use 2024'!$C57</f>
        <v>0</v>
      </c>
      <c r="AE58" s="12">
        <f>'Supply2024-coding'!AE57*'Use 2024'!$C57</f>
        <v>0</v>
      </c>
      <c r="AF58" s="12">
        <f>'Supply2024-coding'!AF57*'Use 2024'!$C57</f>
        <v>0</v>
      </c>
      <c r="AG58" s="12">
        <f>'Supply2024-coding'!AG57*'Use 2024'!$C57</f>
        <v>0</v>
      </c>
      <c r="AH58" s="12">
        <f>'Supply2024-coding'!AH57*'Use 2024'!$C57</f>
        <v>0</v>
      </c>
      <c r="AI58" s="12">
        <f>'Supply2024-coding'!AI57*'Use 2024'!$C57</f>
        <v>0</v>
      </c>
      <c r="AJ58" s="12">
        <f>'Supply2024-coding'!AJ57*'Use 2024'!$C57</f>
        <v>0</v>
      </c>
      <c r="AK58" s="12">
        <f>'Supply2024-coding'!AK57*'Use 2024'!$C57</f>
        <v>2.4206603364665068E-3</v>
      </c>
      <c r="AL58" s="12">
        <f>'Supply2024-coding'!AL57*'Use 2024'!$C57</f>
        <v>0</v>
      </c>
      <c r="AM58" s="12">
        <f>'Supply2024-coding'!AM57*'Use 2024'!$C57</f>
        <v>0</v>
      </c>
      <c r="AN58" s="12">
        <f>'Supply2024-coding'!AN57*'Use 2024'!$C57</f>
        <v>0</v>
      </c>
      <c r="AO58" s="12">
        <f>'Supply2024-coding'!AO57*'Use 2024'!$C57</f>
        <v>0</v>
      </c>
      <c r="AP58" s="12">
        <f>'Supply2024-coding'!AP57*'Use 2024'!$C57</f>
        <v>3.1176578030941667E-7</v>
      </c>
      <c r="AQ58" s="12">
        <f>'Supply2024-coding'!AQ57*'Use 2024'!$C57</f>
        <v>0</v>
      </c>
      <c r="AR58" s="12">
        <f>'Supply2024-coding'!AR57*'Use 2024'!$C57</f>
        <v>0</v>
      </c>
      <c r="AS58" s="12">
        <f>'Supply2024-coding'!AS57*'Use 2024'!$C57</f>
        <v>0</v>
      </c>
      <c r="AT58" s="12">
        <f>'Supply2024-coding'!AT57*'Use 2024'!$C57</f>
        <v>0</v>
      </c>
      <c r="AU58" s="12">
        <f>'Supply2024-coding'!AU57*'Use 2024'!$C57</f>
        <v>0</v>
      </c>
      <c r="AV58" s="12">
        <f>'Supply2024-coding'!AV57*'Use 2024'!$C57</f>
        <v>0</v>
      </c>
      <c r="AW58" s="12">
        <f>'Supply2024-coding'!AW57*'Use 2024'!$C57</f>
        <v>0</v>
      </c>
      <c r="AX58" s="12">
        <f>'Supply2024-coding'!AX57*'Use 2024'!$C57</f>
        <v>0</v>
      </c>
      <c r="AY58" s="12">
        <f>'Supply2024-coding'!AY57*'Use 2024'!$C57</f>
        <v>0</v>
      </c>
      <c r="AZ58" s="12">
        <f>'Supply2024-coding'!AZ57*'Use 2024'!$C57</f>
        <v>0</v>
      </c>
      <c r="BA58" s="12">
        <f>'Supply2024-coding'!BA57*'Use 2024'!$C57</f>
        <v>0</v>
      </c>
      <c r="BB58" s="12">
        <f>'Supply2024-coding'!BB57*'Use 2024'!$C57</f>
        <v>0</v>
      </c>
      <c r="BC58" s="12">
        <f>'Supply2024-coding'!BC57*'Use 2024'!$C57</f>
        <v>0</v>
      </c>
      <c r="BD58" s="12">
        <f>'Supply2024-coding'!BD57*'Use 2024'!$C57</f>
        <v>0</v>
      </c>
      <c r="BE58" s="12">
        <f>'Supply2024-coding'!BE57*'Use 2024'!$C57</f>
        <v>1.0534359997193544E-4</v>
      </c>
      <c r="BF58" s="12">
        <f>'Supply2024-coding'!BF57*'Use 2024'!$C57</f>
        <v>0.19923691929562709</v>
      </c>
      <c r="BG58" s="12">
        <f>'Supply2024-coding'!BG57*'Use 2024'!$C57</f>
        <v>0</v>
      </c>
      <c r="BH58" s="12">
        <f>'Supply2024-coding'!BH57*'Use 2024'!$C57</f>
        <v>0</v>
      </c>
      <c r="BI58" s="12">
        <f>'Supply2024-coding'!BI57*'Use 2024'!$C57</f>
        <v>0</v>
      </c>
      <c r="BJ58" s="12">
        <f>'Supply2024-coding'!BJ57*'Use 2024'!$C57</f>
        <v>0</v>
      </c>
      <c r="BK58" s="12">
        <f>'Supply2024-coding'!BK57*'Use 2024'!$C57</f>
        <v>0</v>
      </c>
      <c r="BL58" s="12">
        <f>'Supply2024-coding'!BL57*'Use 2024'!$C57</f>
        <v>0</v>
      </c>
      <c r="BM58" s="12">
        <f>'Supply2024-coding'!BM57*'Use 2024'!$C57</f>
        <v>0</v>
      </c>
      <c r="BN58" s="12">
        <f>'Supply2024-coding'!BN57*'Use 2024'!$C57</f>
        <v>0</v>
      </c>
      <c r="BO58" s="12">
        <f>'Supply2024-coding'!BO57*'Use 2024'!$C57</f>
        <v>0</v>
      </c>
      <c r="BP58" s="12">
        <f>'Supply2024-coding'!BP57*'Use 2024'!$C57</f>
        <v>0</v>
      </c>
      <c r="BQ58" s="12">
        <f>'Supply2024-coding'!BQ57*'Use 2024'!$C57</f>
        <v>0</v>
      </c>
      <c r="BR58" s="12">
        <f>'Supply2024-coding'!BR57*'Use 2024'!$C57</f>
        <v>0</v>
      </c>
      <c r="BS58" s="12">
        <f>'Supply2024-coding'!BS57*'Use 2024'!$C57</f>
        <v>0</v>
      </c>
      <c r="BT58" s="12">
        <f>'Supply2024-coding'!BT57*'Use 2024'!$C57</f>
        <v>1.2155174827781152E-3</v>
      </c>
      <c r="BU58" s="12">
        <f>'Supply2024-coding'!BU57*'Use 2024'!$C57</f>
        <v>0</v>
      </c>
      <c r="BV58" s="12">
        <f>'Supply2024-coding'!BV57*'Use 2024'!$C57</f>
        <v>8.0900117111923321E-4</v>
      </c>
      <c r="BW58" s="12">
        <f>'Supply2024-coding'!BW57*'Use 2024'!$C57</f>
        <v>3.0416888687041926E-5</v>
      </c>
      <c r="BX58" s="12">
        <f>'Supply2024-coding'!BX57*'Use 2024'!$C57</f>
        <v>0</v>
      </c>
      <c r="BY58" s="12">
        <f>'Supply2024-coding'!BY57*'Use 2024'!$C57</f>
        <v>7.5534884085069016E-4</v>
      </c>
      <c r="BZ58" s="12">
        <f>'Supply2024-coding'!BZ57*'Use 2024'!$C57</f>
        <v>0</v>
      </c>
      <c r="CA58" s="12" t="e">
        <f>'Supply2024-coding'!CA57*'Use 2024'!$C57</f>
        <v>#DIV/0!</v>
      </c>
      <c r="CB58" s="12">
        <f>'Supply2024-coding'!CB57*'Use 2024'!$C57</f>
        <v>0</v>
      </c>
      <c r="CC58" s="12">
        <f>'Supply2024-coding'!CC57*'Use 2024'!$C57</f>
        <v>0</v>
      </c>
      <c r="CD58" s="12">
        <f>'Supply2024-coding'!CD57*'Use 2024'!$C57</f>
        <v>5.6821296256714265E-4</v>
      </c>
      <c r="CE58" s="12">
        <f>'Supply2024-coding'!CE57*'Use 2024'!$C57</f>
        <v>0</v>
      </c>
      <c r="CF58" s="12">
        <f>'Supply2024-coding'!CF57*'Use 2024'!$C57</f>
        <v>5.7145748025851149E-4</v>
      </c>
      <c r="CG58" s="12">
        <f>'Supply2024-coding'!CG57*'Use 2024'!$C57</f>
        <v>7.5193474261137712E-4</v>
      </c>
    </row>
    <row r="59" spans="1:85" x14ac:dyDescent="0.25">
      <c r="A59" t="s">
        <v>57</v>
      </c>
      <c r="B59" t="s">
        <v>150</v>
      </c>
      <c r="C59" s="12">
        <f>'Supply2024-coding'!C58*'Use 2024'!$C58</f>
        <v>0</v>
      </c>
      <c r="D59" s="12">
        <f>'Supply2024-coding'!D58*'Use 2024'!$C58</f>
        <v>0</v>
      </c>
      <c r="E59" s="12">
        <f>'Supply2024-coding'!E58*'Use 2024'!$C58</f>
        <v>0</v>
      </c>
      <c r="F59" s="12">
        <f>'Supply2024-coding'!F58*'Use 2024'!$C58</f>
        <v>0</v>
      </c>
      <c r="G59" s="12">
        <f>'Supply2024-coding'!G58*'Use 2024'!$C58</f>
        <v>0</v>
      </c>
      <c r="H59" s="12">
        <f>'Supply2024-coding'!H58*'Use 2024'!$C58</f>
        <v>0</v>
      </c>
      <c r="I59" s="12">
        <f>'Supply2024-coding'!I58*'Use 2024'!$C58</f>
        <v>0</v>
      </c>
      <c r="J59" s="12">
        <f>'Supply2024-coding'!J58*'Use 2024'!$C58</f>
        <v>0</v>
      </c>
      <c r="K59" s="12">
        <f>'Supply2024-coding'!K58*'Use 2024'!$C58</f>
        <v>0</v>
      </c>
      <c r="L59" s="12">
        <f>'Supply2024-coding'!L58*'Use 2024'!$C58</f>
        <v>0</v>
      </c>
      <c r="M59" s="12">
        <f>'Supply2024-coding'!M58*'Use 2024'!$C58</f>
        <v>0</v>
      </c>
      <c r="N59" s="12">
        <f>'Supply2024-coding'!N58*'Use 2024'!$C58</f>
        <v>0</v>
      </c>
      <c r="O59" s="12">
        <f>'Supply2024-coding'!O58*'Use 2024'!$C58</f>
        <v>0</v>
      </c>
      <c r="P59" s="12">
        <f>'Supply2024-coding'!P58*'Use 2024'!$C58</f>
        <v>0</v>
      </c>
      <c r="Q59" s="12">
        <f>'Supply2024-coding'!Q58*'Use 2024'!$C58</f>
        <v>0</v>
      </c>
      <c r="R59" s="12">
        <f>'Supply2024-coding'!R58*'Use 2024'!$C58</f>
        <v>0</v>
      </c>
      <c r="S59" s="12">
        <f>'Supply2024-coding'!S58*'Use 2024'!$C58</f>
        <v>0</v>
      </c>
      <c r="T59" s="12">
        <f>'Supply2024-coding'!T58*'Use 2024'!$C58</f>
        <v>0</v>
      </c>
      <c r="U59" s="12">
        <f>'Supply2024-coding'!U58*'Use 2024'!$C58</f>
        <v>0</v>
      </c>
      <c r="V59" s="12">
        <f>'Supply2024-coding'!V58*'Use 2024'!$C58</f>
        <v>0</v>
      </c>
      <c r="W59" s="12">
        <f>'Supply2024-coding'!W58*'Use 2024'!$C58</f>
        <v>0</v>
      </c>
      <c r="X59" s="12">
        <f>'Supply2024-coding'!X58*'Use 2024'!$C58</f>
        <v>0</v>
      </c>
      <c r="Y59" s="12">
        <f>'Supply2024-coding'!Y58*'Use 2024'!$C58</f>
        <v>0</v>
      </c>
      <c r="Z59" s="12">
        <f>'Supply2024-coding'!Z58*'Use 2024'!$C58</f>
        <v>0</v>
      </c>
      <c r="AA59" s="12">
        <f>'Supply2024-coding'!AA58*'Use 2024'!$C58</f>
        <v>0</v>
      </c>
      <c r="AB59" s="12">
        <f>'Supply2024-coding'!AB58*'Use 2024'!$C58</f>
        <v>0</v>
      </c>
      <c r="AC59" s="12">
        <f>'Supply2024-coding'!AC58*'Use 2024'!$C58</f>
        <v>0</v>
      </c>
      <c r="AD59" s="12">
        <f>'Supply2024-coding'!AD58*'Use 2024'!$C58</f>
        <v>0</v>
      </c>
      <c r="AE59" s="12">
        <f>'Supply2024-coding'!AE58*'Use 2024'!$C58</f>
        <v>0</v>
      </c>
      <c r="AF59" s="12">
        <f>'Supply2024-coding'!AF58*'Use 2024'!$C58</f>
        <v>0</v>
      </c>
      <c r="AG59" s="12">
        <f>'Supply2024-coding'!AG58*'Use 2024'!$C58</f>
        <v>1.0097106854968572E-4</v>
      </c>
      <c r="AH59" s="12">
        <f>'Supply2024-coding'!AH58*'Use 2024'!$C58</f>
        <v>0</v>
      </c>
      <c r="AI59" s="12">
        <f>'Supply2024-coding'!AI58*'Use 2024'!$C58</f>
        <v>0</v>
      </c>
      <c r="AJ59" s="12">
        <f>'Supply2024-coding'!AJ58*'Use 2024'!$C58</f>
        <v>0</v>
      </c>
      <c r="AK59" s="12">
        <f>'Supply2024-coding'!AK58*'Use 2024'!$C58</f>
        <v>0</v>
      </c>
      <c r="AL59" s="12">
        <f>'Supply2024-coding'!AL58*'Use 2024'!$C58</f>
        <v>0</v>
      </c>
      <c r="AM59" s="12">
        <f>'Supply2024-coding'!AM58*'Use 2024'!$C58</f>
        <v>0</v>
      </c>
      <c r="AN59" s="12">
        <f>'Supply2024-coding'!AN58*'Use 2024'!$C58</f>
        <v>0</v>
      </c>
      <c r="AO59" s="12">
        <f>'Supply2024-coding'!AO58*'Use 2024'!$C58</f>
        <v>0</v>
      </c>
      <c r="AP59" s="12">
        <f>'Supply2024-coding'!AP58*'Use 2024'!$C58</f>
        <v>8.0908223053257396E-4</v>
      </c>
      <c r="AQ59" s="12">
        <f>'Supply2024-coding'!AQ58*'Use 2024'!$C58</f>
        <v>0</v>
      </c>
      <c r="AR59" s="12">
        <f>'Supply2024-coding'!AR58*'Use 2024'!$C58</f>
        <v>0</v>
      </c>
      <c r="AS59" s="12">
        <f>'Supply2024-coding'!AS58*'Use 2024'!$C58</f>
        <v>2.1763445124902309E-4</v>
      </c>
      <c r="AT59" s="12">
        <f>'Supply2024-coding'!AT58*'Use 2024'!$C58</f>
        <v>0</v>
      </c>
      <c r="AU59" s="12">
        <f>'Supply2024-coding'!AU58*'Use 2024'!$C58</f>
        <v>0</v>
      </c>
      <c r="AV59" s="12">
        <f>'Supply2024-coding'!AV58*'Use 2024'!$C58</f>
        <v>0</v>
      </c>
      <c r="AW59" s="12">
        <f>'Supply2024-coding'!AW58*'Use 2024'!$C58</f>
        <v>0</v>
      </c>
      <c r="AX59" s="12">
        <f>'Supply2024-coding'!AX58*'Use 2024'!$C58</f>
        <v>0</v>
      </c>
      <c r="AY59" s="12">
        <f>'Supply2024-coding'!AY58*'Use 2024'!$C58</f>
        <v>0</v>
      </c>
      <c r="AZ59" s="12">
        <f>'Supply2024-coding'!AZ58*'Use 2024'!$C58</f>
        <v>5.7404318429071674E-6</v>
      </c>
      <c r="BA59" s="12">
        <f>'Supply2024-coding'!BA58*'Use 2024'!$C58</f>
        <v>0</v>
      </c>
      <c r="BB59" s="12">
        <f>'Supply2024-coding'!BB58*'Use 2024'!$C58</f>
        <v>6.9979367625791109E-4</v>
      </c>
      <c r="BC59" s="12">
        <f>'Supply2024-coding'!BC58*'Use 2024'!$C58</f>
        <v>0</v>
      </c>
      <c r="BD59" s="12">
        <f>'Supply2024-coding'!BD58*'Use 2024'!$C58</f>
        <v>0</v>
      </c>
      <c r="BE59" s="12">
        <f>'Supply2024-coding'!BE58*'Use 2024'!$C58</f>
        <v>2.0372399171181929E-5</v>
      </c>
      <c r="BF59" s="12">
        <f>'Supply2024-coding'!BF58*'Use 2024'!$C58</f>
        <v>0</v>
      </c>
      <c r="BG59" s="12">
        <f>'Supply2024-coding'!BG58*'Use 2024'!$C58</f>
        <v>0.73786548117040252</v>
      </c>
      <c r="BH59" s="12">
        <f>'Supply2024-coding'!BH58*'Use 2024'!$C58</f>
        <v>0</v>
      </c>
      <c r="BI59" s="12">
        <f>'Supply2024-coding'!BI58*'Use 2024'!$C58</f>
        <v>0</v>
      </c>
      <c r="BJ59" s="12">
        <f>'Supply2024-coding'!BJ58*'Use 2024'!$C58</f>
        <v>0</v>
      </c>
      <c r="BK59" s="12">
        <f>'Supply2024-coding'!BK58*'Use 2024'!$C58</f>
        <v>0</v>
      </c>
      <c r="BL59" s="12">
        <f>'Supply2024-coding'!BL58*'Use 2024'!$C58</f>
        <v>1.2197926758421543E-3</v>
      </c>
      <c r="BM59" s="12">
        <f>'Supply2024-coding'!BM58*'Use 2024'!$C58</f>
        <v>1.8670493758250428E-2</v>
      </c>
      <c r="BN59" s="12">
        <f>'Supply2024-coding'!BN58*'Use 2024'!$C58</f>
        <v>0</v>
      </c>
      <c r="BO59" s="12">
        <f>'Supply2024-coding'!BO58*'Use 2024'!$C58</f>
        <v>0</v>
      </c>
      <c r="BP59" s="12">
        <f>'Supply2024-coding'!BP58*'Use 2024'!$C58</f>
        <v>1.2156982362058251E-5</v>
      </c>
      <c r="BQ59" s="12">
        <f>'Supply2024-coding'!BQ58*'Use 2024'!$C58</f>
        <v>4.0790176038899364E-4</v>
      </c>
      <c r="BR59" s="12">
        <f>'Supply2024-coding'!BR58*'Use 2024'!$C58</f>
        <v>0</v>
      </c>
      <c r="BS59" s="12">
        <f>'Supply2024-coding'!BS58*'Use 2024'!$C58</f>
        <v>0</v>
      </c>
      <c r="BT59" s="12">
        <f>'Supply2024-coding'!BT58*'Use 2024'!$C58</f>
        <v>3.1625498755759658E-2</v>
      </c>
      <c r="BU59" s="12">
        <f>'Supply2024-coding'!BU58*'Use 2024'!$C58</f>
        <v>0</v>
      </c>
      <c r="BV59" s="12">
        <f>'Supply2024-coding'!BV58*'Use 2024'!$C58</f>
        <v>9.5617541406404702E-3</v>
      </c>
      <c r="BW59" s="12">
        <f>'Supply2024-coding'!BW58*'Use 2024'!$C58</f>
        <v>6.8320952905686521E-4</v>
      </c>
      <c r="BX59" s="12">
        <f>'Supply2024-coding'!BX58*'Use 2024'!$C58</f>
        <v>0</v>
      </c>
      <c r="BY59" s="12">
        <f>'Supply2024-coding'!BY58*'Use 2024'!$C58</f>
        <v>8.9501265196607147E-3</v>
      </c>
      <c r="BZ59" s="12">
        <f>'Supply2024-coding'!BZ58*'Use 2024'!$C58</f>
        <v>0</v>
      </c>
      <c r="CA59" s="12" t="e">
        <f>'Supply2024-coding'!CA58*'Use 2024'!$C58</f>
        <v>#DIV/0!</v>
      </c>
      <c r="CB59" s="12">
        <f>'Supply2024-coding'!CB58*'Use 2024'!$C58</f>
        <v>0</v>
      </c>
      <c r="CC59" s="12">
        <f>'Supply2024-coding'!CC58*'Use 2024'!$C58</f>
        <v>0</v>
      </c>
      <c r="CD59" s="12">
        <f>'Supply2024-coding'!CD58*'Use 2024'!$C58</f>
        <v>8.2438978705710821E-4</v>
      </c>
      <c r="CE59" s="12">
        <f>'Supply2024-coding'!CE58*'Use 2024'!$C58</f>
        <v>0</v>
      </c>
      <c r="CF59" s="12">
        <f>'Supply2024-coding'!CF58*'Use 2024'!$C58</f>
        <v>8.2909708418846229E-4</v>
      </c>
      <c r="CG59" s="12">
        <f>'Supply2024-coding'!CG58*'Use 2024'!$C58</f>
        <v>8.7993518602851178E-3</v>
      </c>
    </row>
    <row r="60" spans="1:85" x14ac:dyDescent="0.25">
      <c r="A60" t="s">
        <v>58</v>
      </c>
      <c r="B60" t="s">
        <v>151</v>
      </c>
      <c r="C60" s="12">
        <f>'Supply2024-coding'!C59*'Use 2024'!$C59</f>
        <v>0</v>
      </c>
      <c r="D60" s="12">
        <f>'Supply2024-coding'!D59*'Use 2024'!$C59</f>
        <v>0</v>
      </c>
      <c r="E60" s="12">
        <f>'Supply2024-coding'!E59*'Use 2024'!$C59</f>
        <v>0</v>
      </c>
      <c r="F60" s="12">
        <f>'Supply2024-coding'!F59*'Use 2024'!$C59</f>
        <v>0</v>
      </c>
      <c r="G60" s="12">
        <f>'Supply2024-coding'!G59*'Use 2024'!$C59</f>
        <v>0</v>
      </c>
      <c r="H60" s="12">
        <f>'Supply2024-coding'!H59*'Use 2024'!$C59</f>
        <v>0</v>
      </c>
      <c r="I60" s="12">
        <f>'Supply2024-coding'!I59*'Use 2024'!$C59</f>
        <v>0</v>
      </c>
      <c r="J60" s="12">
        <f>'Supply2024-coding'!J59*'Use 2024'!$C59</f>
        <v>0</v>
      </c>
      <c r="K60" s="12">
        <f>'Supply2024-coding'!K59*'Use 2024'!$C59</f>
        <v>0</v>
      </c>
      <c r="L60" s="12">
        <f>'Supply2024-coding'!L59*'Use 2024'!$C59</f>
        <v>0</v>
      </c>
      <c r="M60" s="12">
        <f>'Supply2024-coding'!M59*'Use 2024'!$C59</f>
        <v>0</v>
      </c>
      <c r="N60" s="12">
        <f>'Supply2024-coding'!N59*'Use 2024'!$C59</f>
        <v>0</v>
      </c>
      <c r="O60" s="12">
        <f>'Supply2024-coding'!O59*'Use 2024'!$C59</f>
        <v>0</v>
      </c>
      <c r="P60" s="12">
        <f>'Supply2024-coding'!P59*'Use 2024'!$C59</f>
        <v>0</v>
      </c>
      <c r="Q60" s="12">
        <f>'Supply2024-coding'!Q59*'Use 2024'!$C59</f>
        <v>0</v>
      </c>
      <c r="R60" s="12">
        <f>'Supply2024-coding'!R59*'Use 2024'!$C59</f>
        <v>0</v>
      </c>
      <c r="S60" s="12">
        <f>'Supply2024-coding'!S59*'Use 2024'!$C59</f>
        <v>0</v>
      </c>
      <c r="T60" s="12">
        <f>'Supply2024-coding'!T59*'Use 2024'!$C59</f>
        <v>0</v>
      </c>
      <c r="U60" s="12">
        <f>'Supply2024-coding'!U59*'Use 2024'!$C59</f>
        <v>0</v>
      </c>
      <c r="V60" s="12">
        <f>'Supply2024-coding'!V59*'Use 2024'!$C59</f>
        <v>0</v>
      </c>
      <c r="W60" s="12">
        <f>'Supply2024-coding'!W59*'Use 2024'!$C59</f>
        <v>0</v>
      </c>
      <c r="X60" s="12">
        <f>'Supply2024-coding'!X59*'Use 2024'!$C59</f>
        <v>0</v>
      </c>
      <c r="Y60" s="12">
        <f>'Supply2024-coding'!Y59*'Use 2024'!$C59</f>
        <v>0</v>
      </c>
      <c r="Z60" s="12">
        <f>'Supply2024-coding'!Z59*'Use 2024'!$C59</f>
        <v>0</v>
      </c>
      <c r="AA60" s="12">
        <f>'Supply2024-coding'!AA59*'Use 2024'!$C59</f>
        <v>0</v>
      </c>
      <c r="AB60" s="12">
        <f>'Supply2024-coding'!AB59*'Use 2024'!$C59</f>
        <v>0</v>
      </c>
      <c r="AC60" s="12">
        <f>'Supply2024-coding'!AC59*'Use 2024'!$C59</f>
        <v>0</v>
      </c>
      <c r="AD60" s="12">
        <f>'Supply2024-coding'!AD59*'Use 2024'!$C59</f>
        <v>0</v>
      </c>
      <c r="AE60" s="12">
        <f>'Supply2024-coding'!AE59*'Use 2024'!$C59</f>
        <v>0</v>
      </c>
      <c r="AF60" s="12">
        <f>'Supply2024-coding'!AF59*'Use 2024'!$C59</f>
        <v>0</v>
      </c>
      <c r="AG60" s="12">
        <f>'Supply2024-coding'!AG59*'Use 2024'!$C59</f>
        <v>1.0474489718102718E-5</v>
      </c>
      <c r="AH60" s="12">
        <f>'Supply2024-coding'!AH59*'Use 2024'!$C59</f>
        <v>2.9540105798301378E-4</v>
      </c>
      <c r="AI60" s="12">
        <f>'Supply2024-coding'!AI59*'Use 2024'!$C59</f>
        <v>0</v>
      </c>
      <c r="AJ60" s="12">
        <f>'Supply2024-coding'!AJ59*'Use 2024'!$C59</f>
        <v>0</v>
      </c>
      <c r="AK60" s="12">
        <f>'Supply2024-coding'!AK59*'Use 2024'!$C59</f>
        <v>0</v>
      </c>
      <c r="AL60" s="12">
        <f>'Supply2024-coding'!AL59*'Use 2024'!$C59</f>
        <v>0</v>
      </c>
      <c r="AM60" s="12">
        <f>'Supply2024-coding'!AM59*'Use 2024'!$C59</f>
        <v>0</v>
      </c>
      <c r="AN60" s="12">
        <f>'Supply2024-coding'!AN59*'Use 2024'!$C59</f>
        <v>0</v>
      </c>
      <c r="AO60" s="12">
        <f>'Supply2024-coding'!AO59*'Use 2024'!$C59</f>
        <v>0</v>
      </c>
      <c r="AP60" s="12">
        <f>'Supply2024-coding'!AP59*'Use 2024'!$C59</f>
        <v>0</v>
      </c>
      <c r="AQ60" s="12">
        <f>'Supply2024-coding'!AQ59*'Use 2024'!$C59</f>
        <v>0</v>
      </c>
      <c r="AR60" s="12">
        <f>'Supply2024-coding'!AR59*'Use 2024'!$C59</f>
        <v>0</v>
      </c>
      <c r="AS60" s="12">
        <f>'Supply2024-coding'!AS59*'Use 2024'!$C59</f>
        <v>0</v>
      </c>
      <c r="AT60" s="12">
        <f>'Supply2024-coding'!AT59*'Use 2024'!$C59</f>
        <v>0</v>
      </c>
      <c r="AU60" s="12">
        <f>'Supply2024-coding'!AU59*'Use 2024'!$C59</f>
        <v>0</v>
      </c>
      <c r="AV60" s="12">
        <f>'Supply2024-coding'!AV59*'Use 2024'!$C59</f>
        <v>0</v>
      </c>
      <c r="AW60" s="12">
        <f>'Supply2024-coding'!AW59*'Use 2024'!$C59</f>
        <v>0</v>
      </c>
      <c r="AX60" s="12">
        <f>'Supply2024-coding'!AX59*'Use 2024'!$C59</f>
        <v>0</v>
      </c>
      <c r="AY60" s="12">
        <f>'Supply2024-coding'!AY59*'Use 2024'!$C59</f>
        <v>0</v>
      </c>
      <c r="AZ60" s="12">
        <f>'Supply2024-coding'!AZ59*'Use 2024'!$C59</f>
        <v>0</v>
      </c>
      <c r="BA60" s="12">
        <f>'Supply2024-coding'!BA59*'Use 2024'!$C59</f>
        <v>0</v>
      </c>
      <c r="BB60" s="12">
        <f>'Supply2024-coding'!BB59*'Use 2024'!$C59</f>
        <v>0</v>
      </c>
      <c r="BC60" s="12">
        <f>'Supply2024-coding'!BC59*'Use 2024'!$C59</f>
        <v>0</v>
      </c>
      <c r="BD60" s="12">
        <f>'Supply2024-coding'!BD59*'Use 2024'!$C59</f>
        <v>0</v>
      </c>
      <c r="BE60" s="12">
        <f>'Supply2024-coding'!BE59*'Use 2024'!$C59</f>
        <v>0</v>
      </c>
      <c r="BF60" s="12">
        <f>'Supply2024-coding'!BF59*'Use 2024'!$C59</f>
        <v>0</v>
      </c>
      <c r="BG60" s="12">
        <f>'Supply2024-coding'!BG59*'Use 2024'!$C59</f>
        <v>0</v>
      </c>
      <c r="BH60" s="12">
        <f>'Supply2024-coding'!BH59*'Use 2024'!$C59</f>
        <v>0.95230331711726857</v>
      </c>
      <c r="BI60" s="12">
        <f>'Supply2024-coding'!BI59*'Use 2024'!$C59</f>
        <v>3.7842762521972189E-3</v>
      </c>
      <c r="BJ60" s="12">
        <f>'Supply2024-coding'!BJ59*'Use 2024'!$C59</f>
        <v>5.5328002802537603E-4</v>
      </c>
      <c r="BK60" s="12">
        <f>'Supply2024-coding'!BK59*'Use 2024'!$C59</f>
        <v>1.0205908519063949E-3</v>
      </c>
      <c r="BL60" s="12">
        <f>'Supply2024-coding'!BL59*'Use 2024'!$C59</f>
        <v>0</v>
      </c>
      <c r="BM60" s="12">
        <f>'Supply2024-coding'!BM59*'Use 2024'!$C59</f>
        <v>0</v>
      </c>
      <c r="BN60" s="12">
        <f>'Supply2024-coding'!BN59*'Use 2024'!$C59</f>
        <v>0</v>
      </c>
      <c r="BO60" s="12">
        <f>'Supply2024-coding'!BO59*'Use 2024'!$C59</f>
        <v>0</v>
      </c>
      <c r="BP60" s="12">
        <f>'Supply2024-coding'!BP59*'Use 2024'!$C59</f>
        <v>0</v>
      </c>
      <c r="BQ60" s="12">
        <f>'Supply2024-coding'!BQ59*'Use 2024'!$C59</f>
        <v>0</v>
      </c>
      <c r="BR60" s="12">
        <f>'Supply2024-coding'!BR59*'Use 2024'!$C59</f>
        <v>0</v>
      </c>
      <c r="BS60" s="12">
        <f>'Supply2024-coding'!BS59*'Use 2024'!$C59</f>
        <v>0</v>
      </c>
      <c r="BT60" s="12">
        <f>'Supply2024-coding'!BT59*'Use 2024'!$C59</f>
        <v>1.3792240353483465E-2</v>
      </c>
      <c r="BU60" s="12">
        <f>'Supply2024-coding'!BU59*'Use 2024'!$C59</f>
        <v>0</v>
      </c>
      <c r="BV60" s="12">
        <f>'Supply2024-coding'!BV59*'Use 2024'!$C59</f>
        <v>3.211098222127827E-2</v>
      </c>
      <c r="BW60" s="12">
        <f>'Supply2024-coding'!BW59*'Use 2024'!$C59</f>
        <v>7.7710378868158918E-5</v>
      </c>
      <c r="BX60" s="12">
        <f>'Supply2024-coding'!BX59*'Use 2024'!$C59</f>
        <v>0</v>
      </c>
      <c r="BY60" s="12">
        <f>'Supply2024-coding'!BY59*'Use 2024'!$C59</f>
        <v>2.9902871281671364E-2</v>
      </c>
      <c r="BZ60" s="12">
        <f>'Supply2024-coding'!BZ59*'Use 2024'!$C59</f>
        <v>0</v>
      </c>
      <c r="CA60" s="12" t="e">
        <f>'Supply2024-coding'!CA59*'Use 2024'!$C59</f>
        <v>#DIV/0!</v>
      </c>
      <c r="CB60" s="12">
        <f>'Supply2024-coding'!CB59*'Use 2024'!$C59</f>
        <v>0</v>
      </c>
      <c r="CC60" s="12">
        <f>'Supply2024-coding'!CC59*'Use 2024'!$C59</f>
        <v>0</v>
      </c>
      <c r="CD60" s="12">
        <f>'Supply2024-coding'!CD59*'Use 2024'!$C59</f>
        <v>6.3881205514549147E-4</v>
      </c>
      <c r="CE60" s="12">
        <f>'Supply2024-coding'!CE59*'Use 2024'!$C59</f>
        <v>0</v>
      </c>
      <c r="CF60" s="12">
        <f>'Supply2024-coding'!CF59*'Use 2024'!$C59</f>
        <v>6.4245969634856297E-4</v>
      </c>
      <c r="CG60" s="12">
        <f>'Supply2024-coding'!CG59*'Use 2024'!$C59</f>
        <v>2.9359623738379876E-2</v>
      </c>
    </row>
    <row r="61" spans="1:85" x14ac:dyDescent="0.25">
      <c r="A61" t="s">
        <v>59</v>
      </c>
      <c r="B61" t="s">
        <v>152</v>
      </c>
      <c r="C61" s="12">
        <f>'Supply2024-coding'!C60*'Use 2024'!$C60</f>
        <v>0</v>
      </c>
      <c r="D61" s="12">
        <f>'Supply2024-coding'!D60*'Use 2024'!$C60</f>
        <v>0</v>
      </c>
      <c r="E61" s="12">
        <f>'Supply2024-coding'!E60*'Use 2024'!$C60</f>
        <v>0</v>
      </c>
      <c r="F61" s="12">
        <f>'Supply2024-coding'!F60*'Use 2024'!$C60</f>
        <v>0</v>
      </c>
      <c r="G61" s="12">
        <f>'Supply2024-coding'!G60*'Use 2024'!$C60</f>
        <v>0</v>
      </c>
      <c r="H61" s="12">
        <f>'Supply2024-coding'!H60*'Use 2024'!$C60</f>
        <v>0</v>
      </c>
      <c r="I61" s="12">
        <f>'Supply2024-coding'!I60*'Use 2024'!$C60</f>
        <v>0</v>
      </c>
      <c r="J61" s="12">
        <f>'Supply2024-coding'!J60*'Use 2024'!$C60</f>
        <v>0</v>
      </c>
      <c r="K61" s="12">
        <f>'Supply2024-coding'!K60*'Use 2024'!$C60</f>
        <v>0</v>
      </c>
      <c r="L61" s="12">
        <f>'Supply2024-coding'!L60*'Use 2024'!$C60</f>
        <v>0</v>
      </c>
      <c r="M61" s="12">
        <f>'Supply2024-coding'!M60*'Use 2024'!$C60</f>
        <v>0</v>
      </c>
      <c r="N61" s="12">
        <f>'Supply2024-coding'!N60*'Use 2024'!$C60</f>
        <v>0</v>
      </c>
      <c r="O61" s="12">
        <f>'Supply2024-coding'!O60*'Use 2024'!$C60</f>
        <v>0</v>
      </c>
      <c r="P61" s="12">
        <f>'Supply2024-coding'!P60*'Use 2024'!$C60</f>
        <v>0</v>
      </c>
      <c r="Q61" s="12">
        <f>'Supply2024-coding'!Q60*'Use 2024'!$C60</f>
        <v>0</v>
      </c>
      <c r="R61" s="12">
        <f>'Supply2024-coding'!R60*'Use 2024'!$C60</f>
        <v>0</v>
      </c>
      <c r="S61" s="12">
        <f>'Supply2024-coding'!S60*'Use 2024'!$C60</f>
        <v>0</v>
      </c>
      <c r="T61" s="12">
        <f>'Supply2024-coding'!T60*'Use 2024'!$C60</f>
        <v>0</v>
      </c>
      <c r="U61" s="12">
        <f>'Supply2024-coding'!U60*'Use 2024'!$C60</f>
        <v>0</v>
      </c>
      <c r="V61" s="12">
        <f>'Supply2024-coding'!V60*'Use 2024'!$C60</f>
        <v>0</v>
      </c>
      <c r="W61" s="12">
        <f>'Supply2024-coding'!W60*'Use 2024'!$C60</f>
        <v>0</v>
      </c>
      <c r="X61" s="12">
        <f>'Supply2024-coding'!X60*'Use 2024'!$C60</f>
        <v>0</v>
      </c>
      <c r="Y61" s="12">
        <f>'Supply2024-coding'!Y60*'Use 2024'!$C60</f>
        <v>0</v>
      </c>
      <c r="Z61" s="12">
        <f>'Supply2024-coding'!Z60*'Use 2024'!$C60</f>
        <v>0</v>
      </c>
      <c r="AA61" s="12">
        <f>'Supply2024-coding'!AA60*'Use 2024'!$C60</f>
        <v>0</v>
      </c>
      <c r="AB61" s="12">
        <f>'Supply2024-coding'!AB60*'Use 2024'!$C60</f>
        <v>0</v>
      </c>
      <c r="AC61" s="12">
        <f>'Supply2024-coding'!AC60*'Use 2024'!$C60</f>
        <v>0</v>
      </c>
      <c r="AD61" s="12">
        <f>'Supply2024-coding'!AD60*'Use 2024'!$C60</f>
        <v>0</v>
      </c>
      <c r="AE61" s="12">
        <f>'Supply2024-coding'!AE60*'Use 2024'!$C60</f>
        <v>0</v>
      </c>
      <c r="AF61" s="12">
        <f>'Supply2024-coding'!AF60*'Use 2024'!$C60</f>
        <v>0</v>
      </c>
      <c r="AG61" s="12">
        <f>'Supply2024-coding'!AG60*'Use 2024'!$C60</f>
        <v>0</v>
      </c>
      <c r="AH61" s="12">
        <f>'Supply2024-coding'!AH60*'Use 2024'!$C60</f>
        <v>0</v>
      </c>
      <c r="AI61" s="12">
        <f>'Supply2024-coding'!AI60*'Use 2024'!$C60</f>
        <v>0</v>
      </c>
      <c r="AJ61" s="12">
        <f>'Supply2024-coding'!AJ60*'Use 2024'!$C60</f>
        <v>0</v>
      </c>
      <c r="AK61" s="12">
        <f>'Supply2024-coding'!AK60*'Use 2024'!$C60</f>
        <v>0</v>
      </c>
      <c r="AL61" s="12">
        <f>'Supply2024-coding'!AL60*'Use 2024'!$C60</f>
        <v>0</v>
      </c>
      <c r="AM61" s="12">
        <f>'Supply2024-coding'!AM60*'Use 2024'!$C60</f>
        <v>0</v>
      </c>
      <c r="AN61" s="12">
        <f>'Supply2024-coding'!AN60*'Use 2024'!$C60</f>
        <v>0</v>
      </c>
      <c r="AO61" s="12">
        <f>'Supply2024-coding'!AO60*'Use 2024'!$C60</f>
        <v>0</v>
      </c>
      <c r="AP61" s="12">
        <f>'Supply2024-coding'!AP60*'Use 2024'!$C60</f>
        <v>0</v>
      </c>
      <c r="AQ61" s="12">
        <f>'Supply2024-coding'!AQ60*'Use 2024'!$C60</f>
        <v>0</v>
      </c>
      <c r="AR61" s="12">
        <f>'Supply2024-coding'!AR60*'Use 2024'!$C60</f>
        <v>0</v>
      </c>
      <c r="AS61" s="12">
        <f>'Supply2024-coding'!AS60*'Use 2024'!$C60</f>
        <v>0</v>
      </c>
      <c r="AT61" s="12">
        <f>'Supply2024-coding'!AT60*'Use 2024'!$C60</f>
        <v>0</v>
      </c>
      <c r="AU61" s="12">
        <f>'Supply2024-coding'!AU60*'Use 2024'!$C60</f>
        <v>0</v>
      </c>
      <c r="AV61" s="12">
        <f>'Supply2024-coding'!AV60*'Use 2024'!$C60</f>
        <v>0</v>
      </c>
      <c r="AW61" s="12">
        <f>'Supply2024-coding'!AW60*'Use 2024'!$C60</f>
        <v>0</v>
      </c>
      <c r="AX61" s="12">
        <f>'Supply2024-coding'!AX60*'Use 2024'!$C60</f>
        <v>0</v>
      </c>
      <c r="AY61" s="12">
        <f>'Supply2024-coding'!AY60*'Use 2024'!$C60</f>
        <v>0</v>
      </c>
      <c r="AZ61" s="12">
        <f>'Supply2024-coding'!AZ60*'Use 2024'!$C60</f>
        <v>0</v>
      </c>
      <c r="BA61" s="12">
        <f>'Supply2024-coding'!BA60*'Use 2024'!$C60</f>
        <v>0</v>
      </c>
      <c r="BB61" s="12">
        <f>'Supply2024-coding'!BB60*'Use 2024'!$C60</f>
        <v>0</v>
      </c>
      <c r="BC61" s="12">
        <f>'Supply2024-coding'!BC60*'Use 2024'!$C60</f>
        <v>0</v>
      </c>
      <c r="BD61" s="12">
        <f>'Supply2024-coding'!BD60*'Use 2024'!$C60</f>
        <v>0</v>
      </c>
      <c r="BE61" s="12">
        <f>'Supply2024-coding'!BE60*'Use 2024'!$C60</f>
        <v>0</v>
      </c>
      <c r="BF61" s="12">
        <f>'Supply2024-coding'!BF60*'Use 2024'!$C60</f>
        <v>0</v>
      </c>
      <c r="BG61" s="12">
        <f>'Supply2024-coding'!BG60*'Use 2024'!$C60</f>
        <v>0</v>
      </c>
      <c r="BH61" s="12">
        <f>'Supply2024-coding'!BH60*'Use 2024'!$C60</f>
        <v>0</v>
      </c>
      <c r="BI61" s="12">
        <f>'Supply2024-coding'!BI60*'Use 2024'!$C60</f>
        <v>0.98217258168117461</v>
      </c>
      <c r="BJ61" s="12">
        <f>'Supply2024-coding'!BJ60*'Use 2024'!$C60</f>
        <v>0</v>
      </c>
      <c r="BK61" s="12">
        <f>'Supply2024-coding'!BK60*'Use 2024'!$C60</f>
        <v>0</v>
      </c>
      <c r="BL61" s="12">
        <f>'Supply2024-coding'!BL60*'Use 2024'!$C60</f>
        <v>0</v>
      </c>
      <c r="BM61" s="12">
        <f>'Supply2024-coding'!BM60*'Use 2024'!$C60</f>
        <v>0</v>
      </c>
      <c r="BN61" s="12">
        <f>'Supply2024-coding'!BN60*'Use 2024'!$C60</f>
        <v>0</v>
      </c>
      <c r="BO61" s="12">
        <f>'Supply2024-coding'!BO60*'Use 2024'!$C60</f>
        <v>0</v>
      </c>
      <c r="BP61" s="12">
        <f>'Supply2024-coding'!BP60*'Use 2024'!$C60</f>
        <v>0</v>
      </c>
      <c r="BQ61" s="12">
        <f>'Supply2024-coding'!BQ60*'Use 2024'!$C60</f>
        <v>2.7755291380941486E-3</v>
      </c>
      <c r="BR61" s="12">
        <f>'Supply2024-coding'!BR60*'Use 2024'!$C60</f>
        <v>-3.8094334977901843E-4</v>
      </c>
      <c r="BS61" s="12">
        <f>'Supply2024-coding'!BS60*'Use 2024'!$C60</f>
        <v>0</v>
      </c>
      <c r="BT61" s="12">
        <f>'Supply2024-coding'!BT60*'Use 2024'!$C60</f>
        <v>9.4246283888802324E-2</v>
      </c>
      <c r="BU61" s="12">
        <f>'Supply2024-coding'!BU60*'Use 2024'!$C60</f>
        <v>0</v>
      </c>
      <c r="BV61" s="12">
        <f>'Supply2024-coding'!BV60*'Use 2024'!$C60</f>
        <v>3.1103149301661921E-2</v>
      </c>
      <c r="BW61" s="12">
        <f>'Supply2024-coding'!BW60*'Use 2024'!$C60</f>
        <v>2.8502795174604814E-3</v>
      </c>
      <c r="BX61" s="12">
        <f>'Supply2024-coding'!BX60*'Use 2024'!$C60</f>
        <v>0</v>
      </c>
      <c r="BY61" s="12">
        <f>'Supply2024-coding'!BY60*'Use 2024'!$C60</f>
        <v>2.9157247630310204E-2</v>
      </c>
      <c r="BZ61" s="12">
        <f>'Supply2024-coding'!BZ60*'Use 2024'!$C60</f>
        <v>0</v>
      </c>
      <c r="CA61" s="12" t="e">
        <f>'Supply2024-coding'!CA60*'Use 2024'!$C60</f>
        <v>#DIV/0!</v>
      </c>
      <c r="CB61" s="12">
        <f>'Supply2024-coding'!CB60*'Use 2024'!$C60</f>
        <v>0</v>
      </c>
      <c r="CC61" s="12">
        <f>'Supply2024-coding'!CC60*'Use 2024'!$C60</f>
        <v>0</v>
      </c>
      <c r="CD61" s="12">
        <f>'Supply2024-coding'!CD60*'Use 2024'!$C60</f>
        <v>3.8849208376279189E-3</v>
      </c>
      <c r="CE61" s="12">
        <f>'Supply2024-coding'!CE60*'Use 2024'!$C60</f>
        <v>1.5657546443194242E-4</v>
      </c>
      <c r="CF61" s="12">
        <f>'Supply2024-coding'!CF60*'Use 2024'!$C60</f>
        <v>3.8932559206728912E-3</v>
      </c>
      <c r="CG61" s="12">
        <f>'Supply2024-coding'!CG60*'Use 2024'!$C60</f>
        <v>2.8688197569283886E-2</v>
      </c>
    </row>
    <row r="62" spans="1:85" x14ac:dyDescent="0.25">
      <c r="A62" t="s">
        <v>60</v>
      </c>
      <c r="B62" t="s">
        <v>153</v>
      </c>
      <c r="C62" s="12">
        <f>'Supply2024-coding'!C61*'Use 2024'!$C61</f>
        <v>0</v>
      </c>
      <c r="D62" s="12">
        <f>'Supply2024-coding'!D61*'Use 2024'!$C61</f>
        <v>0</v>
      </c>
      <c r="E62" s="12">
        <f>'Supply2024-coding'!E61*'Use 2024'!$C61</f>
        <v>0</v>
      </c>
      <c r="F62" s="12">
        <f>'Supply2024-coding'!F61*'Use 2024'!$C61</f>
        <v>0</v>
      </c>
      <c r="G62" s="12">
        <f>'Supply2024-coding'!G61*'Use 2024'!$C61</f>
        <v>0</v>
      </c>
      <c r="H62" s="12">
        <f>'Supply2024-coding'!H61*'Use 2024'!$C61</f>
        <v>0</v>
      </c>
      <c r="I62" s="12">
        <f>'Supply2024-coding'!I61*'Use 2024'!$C61</f>
        <v>0</v>
      </c>
      <c r="J62" s="12">
        <f>'Supply2024-coding'!J61*'Use 2024'!$C61</f>
        <v>0</v>
      </c>
      <c r="K62" s="12">
        <f>'Supply2024-coding'!K61*'Use 2024'!$C61</f>
        <v>0</v>
      </c>
      <c r="L62" s="12">
        <f>'Supply2024-coding'!L61*'Use 2024'!$C61</f>
        <v>0</v>
      </c>
      <c r="M62" s="12">
        <f>'Supply2024-coding'!M61*'Use 2024'!$C61</f>
        <v>0</v>
      </c>
      <c r="N62" s="12">
        <f>'Supply2024-coding'!N61*'Use 2024'!$C61</f>
        <v>0</v>
      </c>
      <c r="O62" s="12">
        <f>'Supply2024-coding'!O61*'Use 2024'!$C61</f>
        <v>0</v>
      </c>
      <c r="P62" s="12">
        <f>'Supply2024-coding'!P61*'Use 2024'!$C61</f>
        <v>0</v>
      </c>
      <c r="Q62" s="12">
        <f>'Supply2024-coding'!Q61*'Use 2024'!$C61</f>
        <v>0</v>
      </c>
      <c r="R62" s="12">
        <f>'Supply2024-coding'!R61*'Use 2024'!$C61</f>
        <v>0</v>
      </c>
      <c r="S62" s="12">
        <f>'Supply2024-coding'!S61*'Use 2024'!$C61</f>
        <v>0</v>
      </c>
      <c r="T62" s="12">
        <f>'Supply2024-coding'!T61*'Use 2024'!$C61</f>
        <v>0</v>
      </c>
      <c r="U62" s="12">
        <f>'Supply2024-coding'!U61*'Use 2024'!$C61</f>
        <v>0</v>
      </c>
      <c r="V62" s="12">
        <f>'Supply2024-coding'!V61*'Use 2024'!$C61</f>
        <v>0</v>
      </c>
      <c r="W62" s="12">
        <f>'Supply2024-coding'!W61*'Use 2024'!$C61</f>
        <v>0</v>
      </c>
      <c r="X62" s="12">
        <f>'Supply2024-coding'!X61*'Use 2024'!$C61</f>
        <v>0</v>
      </c>
      <c r="Y62" s="12">
        <f>'Supply2024-coding'!Y61*'Use 2024'!$C61</f>
        <v>0</v>
      </c>
      <c r="Z62" s="12">
        <f>'Supply2024-coding'!Z61*'Use 2024'!$C61</f>
        <v>0</v>
      </c>
      <c r="AA62" s="12">
        <f>'Supply2024-coding'!AA61*'Use 2024'!$C61</f>
        <v>0</v>
      </c>
      <c r="AB62" s="12">
        <f>'Supply2024-coding'!AB61*'Use 2024'!$C61</f>
        <v>0</v>
      </c>
      <c r="AC62" s="12">
        <f>'Supply2024-coding'!AC61*'Use 2024'!$C61</f>
        <v>0</v>
      </c>
      <c r="AD62" s="12">
        <f>'Supply2024-coding'!AD61*'Use 2024'!$C61</f>
        <v>0</v>
      </c>
      <c r="AE62" s="12">
        <f>'Supply2024-coding'!AE61*'Use 2024'!$C61</f>
        <v>0</v>
      </c>
      <c r="AF62" s="12">
        <f>'Supply2024-coding'!AF61*'Use 2024'!$C61</f>
        <v>0</v>
      </c>
      <c r="AG62" s="12">
        <f>'Supply2024-coding'!AG61*'Use 2024'!$C61</f>
        <v>0</v>
      </c>
      <c r="AH62" s="12">
        <f>'Supply2024-coding'!AH61*'Use 2024'!$C61</f>
        <v>0</v>
      </c>
      <c r="AI62" s="12">
        <f>'Supply2024-coding'!AI61*'Use 2024'!$C61</f>
        <v>0</v>
      </c>
      <c r="AJ62" s="12">
        <f>'Supply2024-coding'!AJ61*'Use 2024'!$C61</f>
        <v>0</v>
      </c>
      <c r="AK62" s="12">
        <f>'Supply2024-coding'!AK61*'Use 2024'!$C61</f>
        <v>0</v>
      </c>
      <c r="AL62" s="12">
        <f>'Supply2024-coding'!AL61*'Use 2024'!$C61</f>
        <v>0</v>
      </c>
      <c r="AM62" s="12">
        <f>'Supply2024-coding'!AM61*'Use 2024'!$C61</f>
        <v>0</v>
      </c>
      <c r="AN62" s="12">
        <f>'Supply2024-coding'!AN61*'Use 2024'!$C61</f>
        <v>0</v>
      </c>
      <c r="AO62" s="12">
        <f>'Supply2024-coding'!AO61*'Use 2024'!$C61</f>
        <v>0</v>
      </c>
      <c r="AP62" s="12">
        <f>'Supply2024-coding'!AP61*'Use 2024'!$C61</f>
        <v>0</v>
      </c>
      <c r="AQ62" s="12">
        <f>'Supply2024-coding'!AQ61*'Use 2024'!$C61</f>
        <v>0</v>
      </c>
      <c r="AR62" s="12">
        <f>'Supply2024-coding'!AR61*'Use 2024'!$C61</f>
        <v>0</v>
      </c>
      <c r="AS62" s="12">
        <f>'Supply2024-coding'!AS61*'Use 2024'!$C61</f>
        <v>0</v>
      </c>
      <c r="AT62" s="12">
        <f>'Supply2024-coding'!AT61*'Use 2024'!$C61</f>
        <v>0</v>
      </c>
      <c r="AU62" s="12">
        <f>'Supply2024-coding'!AU61*'Use 2024'!$C61</f>
        <v>0</v>
      </c>
      <c r="AV62" s="12">
        <f>'Supply2024-coding'!AV61*'Use 2024'!$C61</f>
        <v>0</v>
      </c>
      <c r="AW62" s="12">
        <f>'Supply2024-coding'!AW61*'Use 2024'!$C61</f>
        <v>0</v>
      </c>
      <c r="AX62" s="12">
        <f>'Supply2024-coding'!AX61*'Use 2024'!$C61</f>
        <v>0</v>
      </c>
      <c r="AY62" s="12">
        <f>'Supply2024-coding'!AY61*'Use 2024'!$C61</f>
        <v>0</v>
      </c>
      <c r="AZ62" s="12">
        <f>'Supply2024-coding'!AZ61*'Use 2024'!$C61</f>
        <v>0</v>
      </c>
      <c r="BA62" s="12">
        <f>'Supply2024-coding'!BA61*'Use 2024'!$C61</f>
        <v>0</v>
      </c>
      <c r="BB62" s="12">
        <f>'Supply2024-coding'!BB61*'Use 2024'!$C61</f>
        <v>0</v>
      </c>
      <c r="BC62" s="12">
        <f>'Supply2024-coding'!BC61*'Use 2024'!$C61</f>
        <v>0</v>
      </c>
      <c r="BD62" s="12">
        <f>'Supply2024-coding'!BD61*'Use 2024'!$C61</f>
        <v>0</v>
      </c>
      <c r="BE62" s="12">
        <f>'Supply2024-coding'!BE61*'Use 2024'!$C61</f>
        <v>0</v>
      </c>
      <c r="BF62" s="12">
        <f>'Supply2024-coding'!BF61*'Use 2024'!$C61</f>
        <v>0</v>
      </c>
      <c r="BG62" s="12">
        <f>'Supply2024-coding'!BG61*'Use 2024'!$C61</f>
        <v>0</v>
      </c>
      <c r="BH62" s="12">
        <f>'Supply2024-coding'!BH61*'Use 2024'!$C61</f>
        <v>0</v>
      </c>
      <c r="BI62" s="12">
        <f>'Supply2024-coding'!BI61*'Use 2024'!$C61</f>
        <v>0</v>
      </c>
      <c r="BJ62" s="12">
        <f>'Supply2024-coding'!BJ61*'Use 2024'!$C61</f>
        <v>0.9715114619464349</v>
      </c>
      <c r="BK62" s="12">
        <f>'Supply2024-coding'!BK61*'Use 2024'!$C61</f>
        <v>8.5777390745303984E-3</v>
      </c>
      <c r="BL62" s="12">
        <f>'Supply2024-coding'!BL61*'Use 2024'!$C61</f>
        <v>0</v>
      </c>
      <c r="BM62" s="12">
        <f>'Supply2024-coding'!BM61*'Use 2024'!$C61</f>
        <v>0</v>
      </c>
      <c r="BN62" s="12">
        <f>'Supply2024-coding'!BN61*'Use 2024'!$C61</f>
        <v>0</v>
      </c>
      <c r="BO62" s="12">
        <f>'Supply2024-coding'!BO61*'Use 2024'!$C61</f>
        <v>0</v>
      </c>
      <c r="BP62" s="12">
        <f>'Supply2024-coding'!BP61*'Use 2024'!$C61</f>
        <v>0</v>
      </c>
      <c r="BQ62" s="12">
        <f>'Supply2024-coding'!BQ61*'Use 2024'!$C61</f>
        <v>0</v>
      </c>
      <c r="BR62" s="12">
        <f>'Supply2024-coding'!BR61*'Use 2024'!$C61</f>
        <v>0</v>
      </c>
      <c r="BS62" s="12">
        <f>'Supply2024-coding'!BS61*'Use 2024'!$C61</f>
        <v>0</v>
      </c>
      <c r="BT62" s="12">
        <f>'Supply2024-coding'!BT61*'Use 2024'!$C61</f>
        <v>0</v>
      </c>
      <c r="BU62" s="12">
        <f>'Supply2024-coding'!BU61*'Use 2024'!$C61</f>
        <v>0</v>
      </c>
      <c r="BV62" s="12">
        <f>'Supply2024-coding'!BV61*'Use 2024'!$C61</f>
        <v>6.7501886522002459E-3</v>
      </c>
      <c r="BW62" s="12">
        <f>'Supply2024-coding'!BW61*'Use 2024'!$C61</f>
        <v>2.2632299196705496E-5</v>
      </c>
      <c r="BX62" s="12">
        <f>'Supply2024-coding'!BX61*'Use 2024'!$C61</f>
        <v>0</v>
      </c>
      <c r="BY62" s="12">
        <f>'Supply2024-coding'!BY61*'Use 2024'!$C61</f>
        <v>6.2864535340661038E-3</v>
      </c>
      <c r="BZ62" s="12">
        <f>'Supply2024-coding'!BZ61*'Use 2024'!$C61</f>
        <v>0</v>
      </c>
      <c r="CA62" s="12" t="e">
        <f>'Supply2024-coding'!CA61*'Use 2024'!$C61</f>
        <v>#DIV/0!</v>
      </c>
      <c r="CB62" s="12">
        <f>'Supply2024-coding'!CB61*'Use 2024'!$C61</f>
        <v>0</v>
      </c>
      <c r="CC62" s="12">
        <f>'Supply2024-coding'!CC61*'Use 2024'!$C61</f>
        <v>0</v>
      </c>
      <c r="CD62" s="12">
        <f>'Supply2024-coding'!CD61*'Use 2024'!$C61</f>
        <v>4.1641845362764413E-3</v>
      </c>
      <c r="CE62" s="12">
        <f>'Supply2024-coding'!CE61*'Use 2024'!$C61</f>
        <v>0</v>
      </c>
      <c r="CF62" s="12">
        <f>'Supply2024-coding'!CF61*'Use 2024'!$C61</f>
        <v>4.1879621888259938E-3</v>
      </c>
      <c r="CG62" s="12">
        <f>'Supply2024-coding'!CG61*'Use 2024'!$C61</f>
        <v>6.2474931862103941E-3</v>
      </c>
    </row>
    <row r="63" spans="1:85" x14ac:dyDescent="0.25">
      <c r="A63" t="s">
        <v>61</v>
      </c>
      <c r="B63" t="s">
        <v>154</v>
      </c>
      <c r="C63" s="12">
        <f>'Supply2024-coding'!C62*'Use 2024'!$C62</f>
        <v>0</v>
      </c>
      <c r="D63" s="12">
        <f>'Supply2024-coding'!D62*'Use 2024'!$C62</f>
        <v>0</v>
      </c>
      <c r="E63" s="12">
        <f>'Supply2024-coding'!E62*'Use 2024'!$C62</f>
        <v>0</v>
      </c>
      <c r="F63" s="12">
        <f>'Supply2024-coding'!F62*'Use 2024'!$C62</f>
        <v>0</v>
      </c>
      <c r="G63" s="12">
        <f>'Supply2024-coding'!G62*'Use 2024'!$C62</f>
        <v>0</v>
      </c>
      <c r="H63" s="12">
        <f>'Supply2024-coding'!H62*'Use 2024'!$C62</f>
        <v>0</v>
      </c>
      <c r="I63" s="12">
        <f>'Supply2024-coding'!I62*'Use 2024'!$C62</f>
        <v>0</v>
      </c>
      <c r="J63" s="12">
        <f>'Supply2024-coding'!J62*'Use 2024'!$C62</f>
        <v>0</v>
      </c>
      <c r="K63" s="12">
        <f>'Supply2024-coding'!K62*'Use 2024'!$C62</f>
        <v>0</v>
      </c>
      <c r="L63" s="12">
        <f>'Supply2024-coding'!L62*'Use 2024'!$C62</f>
        <v>0</v>
      </c>
      <c r="M63" s="12">
        <f>'Supply2024-coding'!M62*'Use 2024'!$C62</f>
        <v>0</v>
      </c>
      <c r="N63" s="12">
        <f>'Supply2024-coding'!N62*'Use 2024'!$C62</f>
        <v>0</v>
      </c>
      <c r="O63" s="12">
        <f>'Supply2024-coding'!O62*'Use 2024'!$C62</f>
        <v>0</v>
      </c>
      <c r="P63" s="12">
        <f>'Supply2024-coding'!P62*'Use 2024'!$C62</f>
        <v>0</v>
      </c>
      <c r="Q63" s="12">
        <f>'Supply2024-coding'!Q62*'Use 2024'!$C62</f>
        <v>0</v>
      </c>
      <c r="R63" s="12">
        <f>'Supply2024-coding'!R62*'Use 2024'!$C62</f>
        <v>0</v>
      </c>
      <c r="S63" s="12">
        <f>'Supply2024-coding'!S62*'Use 2024'!$C62</f>
        <v>0</v>
      </c>
      <c r="T63" s="12">
        <f>'Supply2024-coding'!T62*'Use 2024'!$C62</f>
        <v>0</v>
      </c>
      <c r="U63" s="12">
        <f>'Supply2024-coding'!U62*'Use 2024'!$C62</f>
        <v>0</v>
      </c>
      <c r="V63" s="12">
        <f>'Supply2024-coding'!V62*'Use 2024'!$C62</f>
        <v>0</v>
      </c>
      <c r="W63" s="12">
        <f>'Supply2024-coding'!W62*'Use 2024'!$C62</f>
        <v>0</v>
      </c>
      <c r="X63" s="12">
        <f>'Supply2024-coding'!X62*'Use 2024'!$C62</f>
        <v>0</v>
      </c>
      <c r="Y63" s="12">
        <f>'Supply2024-coding'!Y62*'Use 2024'!$C62</f>
        <v>0</v>
      </c>
      <c r="Z63" s="12">
        <f>'Supply2024-coding'!Z62*'Use 2024'!$C62</f>
        <v>0</v>
      </c>
      <c r="AA63" s="12">
        <f>'Supply2024-coding'!AA62*'Use 2024'!$C62</f>
        <v>0</v>
      </c>
      <c r="AB63" s="12">
        <f>'Supply2024-coding'!AB62*'Use 2024'!$C62</f>
        <v>0</v>
      </c>
      <c r="AC63" s="12">
        <f>'Supply2024-coding'!AC62*'Use 2024'!$C62</f>
        <v>0</v>
      </c>
      <c r="AD63" s="12">
        <f>'Supply2024-coding'!AD62*'Use 2024'!$C62</f>
        <v>0</v>
      </c>
      <c r="AE63" s="12">
        <f>'Supply2024-coding'!AE62*'Use 2024'!$C62</f>
        <v>0</v>
      </c>
      <c r="AF63" s="12">
        <f>'Supply2024-coding'!AF62*'Use 2024'!$C62</f>
        <v>0</v>
      </c>
      <c r="AG63" s="12">
        <f>'Supply2024-coding'!AG62*'Use 2024'!$C62</f>
        <v>0</v>
      </c>
      <c r="AH63" s="12">
        <f>'Supply2024-coding'!AH62*'Use 2024'!$C62</f>
        <v>0</v>
      </c>
      <c r="AI63" s="12">
        <f>'Supply2024-coding'!AI62*'Use 2024'!$C62</f>
        <v>0</v>
      </c>
      <c r="AJ63" s="12">
        <f>'Supply2024-coding'!AJ62*'Use 2024'!$C62</f>
        <v>0</v>
      </c>
      <c r="AK63" s="12">
        <f>'Supply2024-coding'!AK62*'Use 2024'!$C62</f>
        <v>0</v>
      </c>
      <c r="AL63" s="12">
        <f>'Supply2024-coding'!AL62*'Use 2024'!$C62</f>
        <v>0</v>
      </c>
      <c r="AM63" s="12">
        <f>'Supply2024-coding'!AM62*'Use 2024'!$C62</f>
        <v>0</v>
      </c>
      <c r="AN63" s="12">
        <f>'Supply2024-coding'!AN62*'Use 2024'!$C62</f>
        <v>0</v>
      </c>
      <c r="AO63" s="12">
        <f>'Supply2024-coding'!AO62*'Use 2024'!$C62</f>
        <v>0</v>
      </c>
      <c r="AP63" s="12">
        <f>'Supply2024-coding'!AP62*'Use 2024'!$C62</f>
        <v>0</v>
      </c>
      <c r="AQ63" s="12">
        <f>'Supply2024-coding'!AQ62*'Use 2024'!$C62</f>
        <v>0</v>
      </c>
      <c r="AR63" s="12">
        <f>'Supply2024-coding'!AR62*'Use 2024'!$C62</f>
        <v>0</v>
      </c>
      <c r="AS63" s="12">
        <f>'Supply2024-coding'!AS62*'Use 2024'!$C62</f>
        <v>0</v>
      </c>
      <c r="AT63" s="12">
        <f>'Supply2024-coding'!AT62*'Use 2024'!$C62</f>
        <v>0</v>
      </c>
      <c r="AU63" s="12">
        <f>'Supply2024-coding'!AU62*'Use 2024'!$C62</f>
        <v>0</v>
      </c>
      <c r="AV63" s="12">
        <f>'Supply2024-coding'!AV62*'Use 2024'!$C62</f>
        <v>0</v>
      </c>
      <c r="AW63" s="12">
        <f>'Supply2024-coding'!AW62*'Use 2024'!$C62</f>
        <v>0</v>
      </c>
      <c r="AX63" s="12">
        <f>'Supply2024-coding'!AX62*'Use 2024'!$C62</f>
        <v>0</v>
      </c>
      <c r="AY63" s="12">
        <f>'Supply2024-coding'!AY62*'Use 2024'!$C62</f>
        <v>0</v>
      </c>
      <c r="AZ63" s="12">
        <f>'Supply2024-coding'!AZ62*'Use 2024'!$C62</f>
        <v>0</v>
      </c>
      <c r="BA63" s="12">
        <f>'Supply2024-coding'!BA62*'Use 2024'!$C62</f>
        <v>0</v>
      </c>
      <c r="BB63" s="12">
        <f>'Supply2024-coding'!BB62*'Use 2024'!$C62</f>
        <v>0</v>
      </c>
      <c r="BC63" s="12">
        <f>'Supply2024-coding'!BC62*'Use 2024'!$C62</f>
        <v>0</v>
      </c>
      <c r="BD63" s="12">
        <f>'Supply2024-coding'!BD62*'Use 2024'!$C62</f>
        <v>0</v>
      </c>
      <c r="BE63" s="12">
        <f>'Supply2024-coding'!BE62*'Use 2024'!$C62</f>
        <v>2.936899068799592E-5</v>
      </c>
      <c r="BF63" s="12">
        <f>'Supply2024-coding'!BF62*'Use 2024'!$C62</f>
        <v>0</v>
      </c>
      <c r="BG63" s="12">
        <f>'Supply2024-coding'!BG62*'Use 2024'!$C62</f>
        <v>0</v>
      </c>
      <c r="BH63" s="12">
        <f>'Supply2024-coding'!BH62*'Use 2024'!$C62</f>
        <v>0</v>
      </c>
      <c r="BI63" s="12">
        <f>'Supply2024-coding'!BI62*'Use 2024'!$C62</f>
        <v>0</v>
      </c>
      <c r="BJ63" s="12">
        <f>'Supply2024-coding'!BJ62*'Use 2024'!$C62</f>
        <v>2.2253632410743004E-3</v>
      </c>
      <c r="BK63" s="12">
        <f>'Supply2024-coding'!BK62*'Use 2024'!$C62</f>
        <v>0.98874424799527227</v>
      </c>
      <c r="BL63" s="12">
        <f>'Supply2024-coding'!BL62*'Use 2024'!$C62</f>
        <v>0</v>
      </c>
      <c r="BM63" s="12">
        <f>'Supply2024-coding'!BM62*'Use 2024'!$C62</f>
        <v>4.2993899165744498E-3</v>
      </c>
      <c r="BN63" s="12">
        <f>'Supply2024-coding'!BN62*'Use 2024'!$C62</f>
        <v>0</v>
      </c>
      <c r="BO63" s="12">
        <f>'Supply2024-coding'!BO62*'Use 2024'!$C62</f>
        <v>0</v>
      </c>
      <c r="BP63" s="12">
        <f>'Supply2024-coding'!BP62*'Use 2024'!$C62</f>
        <v>0</v>
      </c>
      <c r="BQ63" s="12">
        <f>'Supply2024-coding'!BQ62*'Use 2024'!$C62</f>
        <v>0</v>
      </c>
      <c r="BR63" s="12">
        <f>'Supply2024-coding'!BR62*'Use 2024'!$C62</f>
        <v>0</v>
      </c>
      <c r="BS63" s="12">
        <f>'Supply2024-coding'!BS62*'Use 2024'!$C62</f>
        <v>0</v>
      </c>
      <c r="BT63" s="12">
        <f>'Supply2024-coding'!BT62*'Use 2024'!$C62</f>
        <v>1.5470244635588338E-3</v>
      </c>
      <c r="BU63" s="12">
        <f>'Supply2024-coding'!BU62*'Use 2024'!$C62</f>
        <v>0</v>
      </c>
      <c r="BV63" s="12">
        <f>'Supply2024-coding'!BV62*'Use 2024'!$C62</f>
        <v>7.145225429399057E-3</v>
      </c>
      <c r="BW63" s="12">
        <f>'Supply2024-coding'!BW62*'Use 2024'!$C62</f>
        <v>0</v>
      </c>
      <c r="BX63" s="12">
        <f>'Supply2024-coding'!BX62*'Use 2024'!$C62</f>
        <v>0</v>
      </c>
      <c r="BY63" s="12">
        <f>'Supply2024-coding'!BY62*'Use 2024'!$C62</f>
        <v>6.6526862366565534E-3</v>
      </c>
      <c r="BZ63" s="12">
        <f>'Supply2024-coding'!BZ62*'Use 2024'!$C62</f>
        <v>0</v>
      </c>
      <c r="CA63" s="12" t="e">
        <f>'Supply2024-coding'!CA62*'Use 2024'!$C62</f>
        <v>#DIV/0!</v>
      </c>
      <c r="CB63" s="12">
        <f>'Supply2024-coding'!CB62*'Use 2024'!$C62</f>
        <v>0</v>
      </c>
      <c r="CC63" s="12">
        <f>'Supply2024-coding'!CC62*'Use 2024'!$C62</f>
        <v>0</v>
      </c>
      <c r="CD63" s="12">
        <f>'Supply2024-coding'!CD62*'Use 2024'!$C62</f>
        <v>1.8028598663055037E-3</v>
      </c>
      <c r="CE63" s="12">
        <f>'Supply2024-coding'!CE62*'Use 2024'!$C62</f>
        <v>0</v>
      </c>
      <c r="CF63" s="12">
        <f>'Supply2024-coding'!CF62*'Use 2024'!$C62</f>
        <v>1.8131542649141867E-3</v>
      </c>
      <c r="CG63" s="12">
        <f>'Supply2024-coding'!CG62*'Use 2024'!$C62</f>
        <v>6.562835756902319E-3</v>
      </c>
    </row>
    <row r="64" spans="1:85" x14ac:dyDescent="0.25">
      <c r="A64" t="s">
        <v>62</v>
      </c>
      <c r="B64" t="s">
        <v>155</v>
      </c>
      <c r="C64" s="12">
        <f>'Supply2024-coding'!C63*'Use 2024'!$C63</f>
        <v>0</v>
      </c>
      <c r="D64" s="12">
        <f>'Supply2024-coding'!D63*'Use 2024'!$C63</f>
        <v>0</v>
      </c>
      <c r="E64" s="12">
        <f>'Supply2024-coding'!E63*'Use 2024'!$C63</f>
        <v>0</v>
      </c>
      <c r="F64" s="12">
        <f>'Supply2024-coding'!F63*'Use 2024'!$C63</f>
        <v>0</v>
      </c>
      <c r="G64" s="12">
        <f>'Supply2024-coding'!G63*'Use 2024'!$C63</f>
        <v>0</v>
      </c>
      <c r="H64" s="12">
        <f>'Supply2024-coding'!H63*'Use 2024'!$C63</f>
        <v>0</v>
      </c>
      <c r="I64" s="12">
        <f>'Supply2024-coding'!I63*'Use 2024'!$C63</f>
        <v>0</v>
      </c>
      <c r="J64" s="12">
        <f>'Supply2024-coding'!J63*'Use 2024'!$C63</f>
        <v>0</v>
      </c>
      <c r="K64" s="12">
        <f>'Supply2024-coding'!K63*'Use 2024'!$C63</f>
        <v>0</v>
      </c>
      <c r="L64" s="12">
        <f>'Supply2024-coding'!L63*'Use 2024'!$C63</f>
        <v>0</v>
      </c>
      <c r="M64" s="12">
        <f>'Supply2024-coding'!M63*'Use 2024'!$C63</f>
        <v>0</v>
      </c>
      <c r="N64" s="12">
        <f>'Supply2024-coding'!N63*'Use 2024'!$C63</f>
        <v>0</v>
      </c>
      <c r="O64" s="12">
        <f>'Supply2024-coding'!O63*'Use 2024'!$C63</f>
        <v>0</v>
      </c>
      <c r="P64" s="12">
        <f>'Supply2024-coding'!P63*'Use 2024'!$C63</f>
        <v>0</v>
      </c>
      <c r="Q64" s="12">
        <f>'Supply2024-coding'!Q63*'Use 2024'!$C63</f>
        <v>0</v>
      </c>
      <c r="R64" s="12">
        <f>'Supply2024-coding'!R63*'Use 2024'!$C63</f>
        <v>0</v>
      </c>
      <c r="S64" s="12">
        <f>'Supply2024-coding'!S63*'Use 2024'!$C63</f>
        <v>0</v>
      </c>
      <c r="T64" s="12">
        <f>'Supply2024-coding'!T63*'Use 2024'!$C63</f>
        <v>0</v>
      </c>
      <c r="U64" s="12">
        <f>'Supply2024-coding'!U63*'Use 2024'!$C63</f>
        <v>0</v>
      </c>
      <c r="V64" s="12">
        <f>'Supply2024-coding'!V63*'Use 2024'!$C63</f>
        <v>0</v>
      </c>
      <c r="W64" s="12">
        <f>'Supply2024-coding'!W63*'Use 2024'!$C63</f>
        <v>0</v>
      </c>
      <c r="X64" s="12">
        <f>'Supply2024-coding'!X63*'Use 2024'!$C63</f>
        <v>0</v>
      </c>
      <c r="Y64" s="12">
        <f>'Supply2024-coding'!Y63*'Use 2024'!$C63</f>
        <v>0</v>
      </c>
      <c r="Z64" s="12">
        <f>'Supply2024-coding'!Z63*'Use 2024'!$C63</f>
        <v>0</v>
      </c>
      <c r="AA64" s="12">
        <f>'Supply2024-coding'!AA63*'Use 2024'!$C63</f>
        <v>0</v>
      </c>
      <c r="AB64" s="12">
        <f>'Supply2024-coding'!AB63*'Use 2024'!$C63</f>
        <v>0</v>
      </c>
      <c r="AC64" s="12">
        <f>'Supply2024-coding'!AC63*'Use 2024'!$C63</f>
        <v>0</v>
      </c>
      <c r="AD64" s="12">
        <f>'Supply2024-coding'!AD63*'Use 2024'!$C63</f>
        <v>0</v>
      </c>
      <c r="AE64" s="12">
        <f>'Supply2024-coding'!AE63*'Use 2024'!$C63</f>
        <v>0</v>
      </c>
      <c r="AF64" s="12">
        <f>'Supply2024-coding'!AF63*'Use 2024'!$C63</f>
        <v>0</v>
      </c>
      <c r="AG64" s="12">
        <f>'Supply2024-coding'!AG63*'Use 2024'!$C63</f>
        <v>0</v>
      </c>
      <c r="AH64" s="12">
        <f>'Supply2024-coding'!AH63*'Use 2024'!$C63</f>
        <v>0</v>
      </c>
      <c r="AI64" s="12">
        <f>'Supply2024-coding'!AI63*'Use 2024'!$C63</f>
        <v>0</v>
      </c>
      <c r="AJ64" s="12">
        <f>'Supply2024-coding'!AJ63*'Use 2024'!$C63</f>
        <v>0</v>
      </c>
      <c r="AK64" s="12">
        <f>'Supply2024-coding'!AK63*'Use 2024'!$C63</f>
        <v>0</v>
      </c>
      <c r="AL64" s="12">
        <f>'Supply2024-coding'!AL63*'Use 2024'!$C63</f>
        <v>0</v>
      </c>
      <c r="AM64" s="12">
        <f>'Supply2024-coding'!AM63*'Use 2024'!$C63</f>
        <v>0</v>
      </c>
      <c r="AN64" s="12">
        <f>'Supply2024-coding'!AN63*'Use 2024'!$C63</f>
        <v>0</v>
      </c>
      <c r="AO64" s="12">
        <f>'Supply2024-coding'!AO63*'Use 2024'!$C63</f>
        <v>0</v>
      </c>
      <c r="AP64" s="12">
        <f>'Supply2024-coding'!AP63*'Use 2024'!$C63</f>
        <v>0</v>
      </c>
      <c r="AQ64" s="12">
        <f>'Supply2024-coding'!AQ63*'Use 2024'!$C63</f>
        <v>0</v>
      </c>
      <c r="AR64" s="12">
        <f>'Supply2024-coding'!AR63*'Use 2024'!$C63</f>
        <v>0</v>
      </c>
      <c r="AS64" s="12">
        <f>'Supply2024-coding'!AS63*'Use 2024'!$C63</f>
        <v>0</v>
      </c>
      <c r="AT64" s="12">
        <f>'Supply2024-coding'!AT63*'Use 2024'!$C63</f>
        <v>0</v>
      </c>
      <c r="AU64" s="12">
        <f>'Supply2024-coding'!AU63*'Use 2024'!$C63</f>
        <v>0</v>
      </c>
      <c r="AV64" s="12">
        <f>'Supply2024-coding'!AV63*'Use 2024'!$C63</f>
        <v>0</v>
      </c>
      <c r="AW64" s="12">
        <f>'Supply2024-coding'!AW63*'Use 2024'!$C63</f>
        <v>0</v>
      </c>
      <c r="AX64" s="12">
        <f>'Supply2024-coding'!AX63*'Use 2024'!$C63</f>
        <v>0</v>
      </c>
      <c r="AY64" s="12">
        <f>'Supply2024-coding'!AY63*'Use 2024'!$C63</f>
        <v>0</v>
      </c>
      <c r="AZ64" s="12">
        <f>'Supply2024-coding'!AZ63*'Use 2024'!$C63</f>
        <v>0</v>
      </c>
      <c r="BA64" s="12">
        <f>'Supply2024-coding'!BA63*'Use 2024'!$C63</f>
        <v>0</v>
      </c>
      <c r="BB64" s="12">
        <f>'Supply2024-coding'!BB63*'Use 2024'!$C63</f>
        <v>0</v>
      </c>
      <c r="BC64" s="12">
        <f>'Supply2024-coding'!BC63*'Use 2024'!$C63</f>
        <v>0</v>
      </c>
      <c r="BD64" s="12">
        <f>'Supply2024-coding'!BD63*'Use 2024'!$C63</f>
        <v>0</v>
      </c>
      <c r="BE64" s="12">
        <f>'Supply2024-coding'!BE63*'Use 2024'!$C63</f>
        <v>0</v>
      </c>
      <c r="BF64" s="12">
        <f>'Supply2024-coding'!BF63*'Use 2024'!$C63</f>
        <v>0</v>
      </c>
      <c r="BG64" s="12">
        <f>'Supply2024-coding'!BG63*'Use 2024'!$C63</f>
        <v>1.7374554201379697E-3</v>
      </c>
      <c r="BH64" s="12">
        <f>'Supply2024-coding'!BH63*'Use 2024'!$C63</f>
        <v>0</v>
      </c>
      <c r="BI64" s="12">
        <f>'Supply2024-coding'!BI63*'Use 2024'!$C63</f>
        <v>0</v>
      </c>
      <c r="BJ64" s="12">
        <f>'Supply2024-coding'!BJ63*'Use 2024'!$C63</f>
        <v>0</v>
      </c>
      <c r="BK64" s="12">
        <f>'Supply2024-coding'!BK63*'Use 2024'!$C63</f>
        <v>0</v>
      </c>
      <c r="BL64" s="12">
        <f>'Supply2024-coding'!BL63*'Use 2024'!$C63</f>
        <v>0.40152176895508596</v>
      </c>
      <c r="BM64" s="12">
        <f>'Supply2024-coding'!BM63*'Use 2024'!$C63</f>
        <v>3.2870924921129624E-5</v>
      </c>
      <c r="BN64" s="12">
        <f>'Supply2024-coding'!BN63*'Use 2024'!$C63</f>
        <v>1.5441770081844526E-3</v>
      </c>
      <c r="BO64" s="12">
        <f>'Supply2024-coding'!BO63*'Use 2024'!$C63</f>
        <v>0</v>
      </c>
      <c r="BP64" s="12">
        <f>'Supply2024-coding'!BP63*'Use 2024'!$C63</f>
        <v>0</v>
      </c>
      <c r="BQ64" s="12">
        <f>'Supply2024-coding'!BQ63*'Use 2024'!$C63</f>
        <v>1.7295037081561328E-5</v>
      </c>
      <c r="BR64" s="12">
        <f>'Supply2024-coding'!BR63*'Use 2024'!$C63</f>
        <v>0</v>
      </c>
      <c r="BS64" s="12">
        <f>'Supply2024-coding'!BS63*'Use 2024'!$C63</f>
        <v>0</v>
      </c>
      <c r="BT64" s="12">
        <f>'Supply2024-coding'!BT63*'Use 2024'!$C63</f>
        <v>5.8185231982507083E-4</v>
      </c>
      <c r="BU64" s="12">
        <f>'Supply2024-coding'!BU63*'Use 2024'!$C63</f>
        <v>1.600728682973237E-4</v>
      </c>
      <c r="BV64" s="12">
        <f>'Supply2024-coding'!BV63*'Use 2024'!$C63</f>
        <v>2.5942983722738035E-3</v>
      </c>
      <c r="BW64" s="12">
        <f>'Supply2024-coding'!BW63*'Use 2024'!$C63</f>
        <v>7.5503016628432232E-5</v>
      </c>
      <c r="BX64" s="12">
        <f>'Supply2024-coding'!BX63*'Use 2024'!$C63</f>
        <v>0</v>
      </c>
      <c r="BY64" s="12">
        <f>'Supply2024-coding'!BY63*'Use 2024'!$C63</f>
        <v>2.4207147021949108E-3</v>
      </c>
      <c r="BZ64" s="12">
        <f>'Supply2024-coding'!BZ63*'Use 2024'!$C63</f>
        <v>0</v>
      </c>
      <c r="CA64" s="12" t="e">
        <f>'Supply2024-coding'!CA63*'Use 2024'!$C63</f>
        <v>#DIV/0!</v>
      </c>
      <c r="CB64" s="12">
        <f>'Supply2024-coding'!CB63*'Use 2024'!$C63</f>
        <v>0</v>
      </c>
      <c r="CC64" s="12">
        <f>'Supply2024-coding'!CC63*'Use 2024'!$C63</f>
        <v>0</v>
      </c>
      <c r="CD64" s="12">
        <f>'Supply2024-coding'!CD63*'Use 2024'!$C63</f>
        <v>2.6166887793416817E-3</v>
      </c>
      <c r="CE64" s="12">
        <f>'Supply2024-coding'!CE63*'Use 2024'!$C63</f>
        <v>0</v>
      </c>
      <c r="CF64" s="12">
        <f>'Supply2024-coding'!CF63*'Use 2024'!$C63</f>
        <v>2.6316301720882033E-3</v>
      </c>
      <c r="CG64" s="12">
        <f>'Supply2024-coding'!CG63*'Use 2024'!$C63</f>
        <v>2.4246225480324033E-3</v>
      </c>
    </row>
    <row r="65" spans="1:85" x14ac:dyDescent="0.25">
      <c r="A65" t="s">
        <v>63</v>
      </c>
      <c r="B65" t="s">
        <v>156</v>
      </c>
      <c r="C65" s="12">
        <f>'Supply2024-coding'!C64*'Use 2024'!$C64</f>
        <v>4.1894536896080114E-3</v>
      </c>
      <c r="D65" s="12">
        <f>'Supply2024-coding'!D64*'Use 2024'!$C64</f>
        <v>0</v>
      </c>
      <c r="E65" s="12">
        <f>'Supply2024-coding'!E64*'Use 2024'!$C64</f>
        <v>0</v>
      </c>
      <c r="F65" s="12">
        <f>'Supply2024-coding'!F64*'Use 2024'!$C64</f>
        <v>0</v>
      </c>
      <c r="G65" s="12">
        <f>'Supply2024-coding'!G64*'Use 2024'!$C64</f>
        <v>0</v>
      </c>
      <c r="H65" s="12">
        <f>'Supply2024-coding'!H64*'Use 2024'!$C64</f>
        <v>0</v>
      </c>
      <c r="I65" s="12">
        <f>'Supply2024-coding'!I64*'Use 2024'!$C64</f>
        <v>0</v>
      </c>
      <c r="J65" s="12">
        <f>'Supply2024-coding'!J64*'Use 2024'!$C64</f>
        <v>0</v>
      </c>
      <c r="K65" s="12">
        <f>'Supply2024-coding'!K64*'Use 2024'!$C64</f>
        <v>0</v>
      </c>
      <c r="L65" s="12">
        <f>'Supply2024-coding'!L64*'Use 2024'!$C64</f>
        <v>0</v>
      </c>
      <c r="M65" s="12">
        <f>'Supply2024-coding'!M64*'Use 2024'!$C64</f>
        <v>0</v>
      </c>
      <c r="N65" s="12">
        <f>'Supply2024-coding'!N64*'Use 2024'!$C64</f>
        <v>0</v>
      </c>
      <c r="O65" s="12">
        <f>'Supply2024-coding'!O64*'Use 2024'!$C64</f>
        <v>0</v>
      </c>
      <c r="P65" s="12">
        <f>'Supply2024-coding'!P64*'Use 2024'!$C64</f>
        <v>0</v>
      </c>
      <c r="Q65" s="12">
        <f>'Supply2024-coding'!Q64*'Use 2024'!$C64</f>
        <v>0</v>
      </c>
      <c r="R65" s="12">
        <f>'Supply2024-coding'!R64*'Use 2024'!$C64</f>
        <v>0</v>
      </c>
      <c r="S65" s="12">
        <f>'Supply2024-coding'!S64*'Use 2024'!$C64</f>
        <v>0</v>
      </c>
      <c r="T65" s="12">
        <f>'Supply2024-coding'!T64*'Use 2024'!$C64</f>
        <v>0</v>
      </c>
      <c r="U65" s="12">
        <f>'Supply2024-coding'!U64*'Use 2024'!$C64</f>
        <v>0</v>
      </c>
      <c r="V65" s="12">
        <f>'Supply2024-coding'!V64*'Use 2024'!$C64</f>
        <v>0</v>
      </c>
      <c r="W65" s="12">
        <f>'Supply2024-coding'!W64*'Use 2024'!$C64</f>
        <v>0</v>
      </c>
      <c r="X65" s="12">
        <f>'Supply2024-coding'!X64*'Use 2024'!$C64</f>
        <v>0</v>
      </c>
      <c r="Y65" s="12">
        <f>'Supply2024-coding'!Y64*'Use 2024'!$C64</f>
        <v>0</v>
      </c>
      <c r="Z65" s="12">
        <f>'Supply2024-coding'!Z64*'Use 2024'!$C64</f>
        <v>0</v>
      </c>
      <c r="AA65" s="12">
        <f>'Supply2024-coding'!AA64*'Use 2024'!$C64</f>
        <v>0</v>
      </c>
      <c r="AB65" s="12">
        <f>'Supply2024-coding'!AB64*'Use 2024'!$C64</f>
        <v>0</v>
      </c>
      <c r="AC65" s="12">
        <f>'Supply2024-coding'!AC64*'Use 2024'!$C64</f>
        <v>0</v>
      </c>
      <c r="AD65" s="12">
        <f>'Supply2024-coding'!AD64*'Use 2024'!$C64</f>
        <v>2.6184101989660754E-4</v>
      </c>
      <c r="AE65" s="12">
        <f>'Supply2024-coding'!AE64*'Use 2024'!$C64</f>
        <v>2.7738837122951203E-6</v>
      </c>
      <c r="AF65" s="12">
        <f>'Supply2024-coding'!AF64*'Use 2024'!$C64</f>
        <v>0</v>
      </c>
      <c r="AG65" s="12">
        <f>'Supply2024-coding'!AG64*'Use 2024'!$C64</f>
        <v>3.4858079508873446E-4</v>
      </c>
      <c r="AH65" s="12">
        <f>'Supply2024-coding'!AH64*'Use 2024'!$C64</f>
        <v>0</v>
      </c>
      <c r="AI65" s="12">
        <f>'Supply2024-coding'!AI64*'Use 2024'!$C64</f>
        <v>0</v>
      </c>
      <c r="AJ65" s="12">
        <f>'Supply2024-coding'!AJ64*'Use 2024'!$C64</f>
        <v>4.2657117122667267E-3</v>
      </c>
      <c r="AK65" s="12">
        <f>'Supply2024-coding'!AK64*'Use 2024'!$C64</f>
        <v>0</v>
      </c>
      <c r="AL65" s="12">
        <f>'Supply2024-coding'!AL64*'Use 2024'!$C64</f>
        <v>0</v>
      </c>
      <c r="AM65" s="12">
        <f>'Supply2024-coding'!AM64*'Use 2024'!$C64</f>
        <v>0</v>
      </c>
      <c r="AN65" s="12">
        <f>'Supply2024-coding'!AN64*'Use 2024'!$C64</f>
        <v>0</v>
      </c>
      <c r="AO65" s="12">
        <f>'Supply2024-coding'!AO64*'Use 2024'!$C64</f>
        <v>0</v>
      </c>
      <c r="AP65" s="12">
        <f>'Supply2024-coding'!AP64*'Use 2024'!$C64</f>
        <v>0</v>
      </c>
      <c r="AQ65" s="12">
        <f>'Supply2024-coding'!AQ64*'Use 2024'!$C64</f>
        <v>1.6343436175263935E-4</v>
      </c>
      <c r="AR65" s="12">
        <f>'Supply2024-coding'!AR64*'Use 2024'!$C64</f>
        <v>0</v>
      </c>
      <c r="AS65" s="12">
        <f>'Supply2024-coding'!AS64*'Use 2024'!$C64</f>
        <v>0</v>
      </c>
      <c r="AT65" s="12">
        <f>'Supply2024-coding'!AT64*'Use 2024'!$C64</f>
        <v>0</v>
      </c>
      <c r="AU65" s="12">
        <f>'Supply2024-coding'!AU64*'Use 2024'!$C64</f>
        <v>0</v>
      </c>
      <c r="AV65" s="12">
        <f>'Supply2024-coding'!AV64*'Use 2024'!$C64</f>
        <v>0</v>
      </c>
      <c r="AW65" s="12">
        <f>'Supply2024-coding'!AW64*'Use 2024'!$C64</f>
        <v>0</v>
      </c>
      <c r="AX65" s="12">
        <f>'Supply2024-coding'!AX64*'Use 2024'!$C64</f>
        <v>0</v>
      </c>
      <c r="AY65" s="12">
        <f>'Supply2024-coding'!AY64*'Use 2024'!$C64</f>
        <v>0</v>
      </c>
      <c r="AZ65" s="12">
        <f>'Supply2024-coding'!AZ64*'Use 2024'!$C64</f>
        <v>0</v>
      </c>
      <c r="BA65" s="12">
        <f>'Supply2024-coding'!BA64*'Use 2024'!$C64</f>
        <v>0</v>
      </c>
      <c r="BB65" s="12">
        <f>'Supply2024-coding'!BB64*'Use 2024'!$C64</f>
        <v>0</v>
      </c>
      <c r="BC65" s="12">
        <f>'Supply2024-coding'!BC64*'Use 2024'!$C64</f>
        <v>0</v>
      </c>
      <c r="BD65" s="12">
        <f>'Supply2024-coding'!BD64*'Use 2024'!$C64</f>
        <v>0</v>
      </c>
      <c r="BE65" s="12">
        <f>'Supply2024-coding'!BE64*'Use 2024'!$C64</f>
        <v>0</v>
      </c>
      <c r="BF65" s="12">
        <f>'Supply2024-coding'!BF64*'Use 2024'!$C64</f>
        <v>0</v>
      </c>
      <c r="BG65" s="12">
        <f>'Supply2024-coding'!BG64*'Use 2024'!$C64</f>
        <v>0</v>
      </c>
      <c r="BH65" s="12">
        <f>'Supply2024-coding'!BH64*'Use 2024'!$C64</f>
        <v>0</v>
      </c>
      <c r="BI65" s="12">
        <f>'Supply2024-coding'!BI64*'Use 2024'!$C64</f>
        <v>0</v>
      </c>
      <c r="BJ65" s="12">
        <f>'Supply2024-coding'!BJ64*'Use 2024'!$C64</f>
        <v>0</v>
      </c>
      <c r="BK65" s="12">
        <f>'Supply2024-coding'!BK64*'Use 2024'!$C64</f>
        <v>0</v>
      </c>
      <c r="BL65" s="12">
        <f>'Supply2024-coding'!BL64*'Use 2024'!$C64</f>
        <v>7.0196285752805844E-3</v>
      </c>
      <c r="BM65" s="12">
        <f>'Supply2024-coding'!BM64*'Use 2024'!$C64</f>
        <v>0.77726169361363495</v>
      </c>
      <c r="BN65" s="12">
        <f>'Supply2024-coding'!BN64*'Use 2024'!$C64</f>
        <v>9.6587007897970492E-2</v>
      </c>
      <c r="BO65" s="12">
        <f>'Supply2024-coding'!BO64*'Use 2024'!$C64</f>
        <v>1.4322187580537563E-3</v>
      </c>
      <c r="BP65" s="12">
        <f>'Supply2024-coding'!BP64*'Use 2024'!$C64</f>
        <v>0</v>
      </c>
      <c r="BQ65" s="12">
        <f>'Supply2024-coding'!BQ64*'Use 2024'!$C64</f>
        <v>0</v>
      </c>
      <c r="BR65" s="12">
        <f>'Supply2024-coding'!BR64*'Use 2024'!$C64</f>
        <v>0</v>
      </c>
      <c r="BS65" s="12">
        <f>'Supply2024-coding'!BS64*'Use 2024'!$C64</f>
        <v>0</v>
      </c>
      <c r="BT65" s="12">
        <f>'Supply2024-coding'!BT64*'Use 2024'!$C64</f>
        <v>9.9444130879275893E-4</v>
      </c>
      <c r="BU65" s="12">
        <f>'Supply2024-coding'!BU64*'Use 2024'!$C64</f>
        <v>9.0054888276135128E-2</v>
      </c>
      <c r="BV65" s="12">
        <f>'Supply2024-coding'!BV64*'Use 2024'!$C64</f>
        <v>5.4215580942168001E-3</v>
      </c>
      <c r="BW65" s="12">
        <f>'Supply2024-coding'!BW64*'Use 2024'!$C64</f>
        <v>7.134139492866798E-7</v>
      </c>
      <c r="BX65" s="12">
        <f>'Supply2024-coding'!BX64*'Use 2024'!$C64</f>
        <v>0</v>
      </c>
      <c r="BY65" s="12">
        <f>'Supply2024-coding'!BY64*'Use 2024'!$C64</f>
        <v>5.0478854157528568E-3</v>
      </c>
      <c r="BZ65" s="12">
        <f>'Supply2024-coding'!BZ64*'Use 2024'!$C64</f>
        <v>0</v>
      </c>
      <c r="CA65" s="12" t="e">
        <f>'Supply2024-coding'!CA64*'Use 2024'!$C64</f>
        <v>#DIV/0!</v>
      </c>
      <c r="CB65" s="12">
        <f>'Supply2024-coding'!CB64*'Use 2024'!$C64</f>
        <v>0</v>
      </c>
      <c r="CC65" s="12">
        <f>'Supply2024-coding'!CC64*'Use 2024'!$C64</f>
        <v>0</v>
      </c>
      <c r="CD65" s="12">
        <f>'Supply2024-coding'!CD64*'Use 2024'!$C64</f>
        <v>1.9997726229138504E-2</v>
      </c>
      <c r="CE65" s="12">
        <f>'Supply2024-coding'!CE64*'Use 2024'!$C64</f>
        <v>0</v>
      </c>
      <c r="CF65" s="12">
        <f>'Supply2024-coding'!CF64*'Use 2024'!$C64</f>
        <v>2.011191400874222E-2</v>
      </c>
      <c r="CG65" s="12">
        <f>'Supply2024-coding'!CG64*'Use 2024'!$C64</f>
        <v>5.3275480514825843E-3</v>
      </c>
    </row>
    <row r="66" spans="1:85" x14ac:dyDescent="0.25">
      <c r="A66" t="s">
        <v>64</v>
      </c>
      <c r="B66" t="s">
        <v>157</v>
      </c>
      <c r="C66" s="12">
        <f>'Supply2024-coding'!C65*'Use 2024'!$C65</f>
        <v>0</v>
      </c>
      <c r="D66" s="12">
        <f>'Supply2024-coding'!D65*'Use 2024'!$C65</f>
        <v>0</v>
      </c>
      <c r="E66" s="12">
        <f>'Supply2024-coding'!E65*'Use 2024'!$C65</f>
        <v>0</v>
      </c>
      <c r="F66" s="12">
        <f>'Supply2024-coding'!F65*'Use 2024'!$C65</f>
        <v>0</v>
      </c>
      <c r="G66" s="12">
        <f>'Supply2024-coding'!G65*'Use 2024'!$C65</f>
        <v>0</v>
      </c>
      <c r="H66" s="12">
        <f>'Supply2024-coding'!H65*'Use 2024'!$C65</f>
        <v>0</v>
      </c>
      <c r="I66" s="12">
        <f>'Supply2024-coding'!I65*'Use 2024'!$C65</f>
        <v>0</v>
      </c>
      <c r="J66" s="12">
        <f>'Supply2024-coding'!J65*'Use 2024'!$C65</f>
        <v>0</v>
      </c>
      <c r="K66" s="12">
        <f>'Supply2024-coding'!K65*'Use 2024'!$C65</f>
        <v>0</v>
      </c>
      <c r="L66" s="12">
        <f>'Supply2024-coding'!L65*'Use 2024'!$C65</f>
        <v>0</v>
      </c>
      <c r="M66" s="12">
        <f>'Supply2024-coding'!M65*'Use 2024'!$C65</f>
        <v>0</v>
      </c>
      <c r="N66" s="12">
        <f>'Supply2024-coding'!N65*'Use 2024'!$C65</f>
        <v>0</v>
      </c>
      <c r="O66" s="12">
        <f>'Supply2024-coding'!O65*'Use 2024'!$C65</f>
        <v>0</v>
      </c>
      <c r="P66" s="12">
        <f>'Supply2024-coding'!P65*'Use 2024'!$C65</f>
        <v>0</v>
      </c>
      <c r="Q66" s="12">
        <f>'Supply2024-coding'!Q65*'Use 2024'!$C65</f>
        <v>0</v>
      </c>
      <c r="R66" s="12">
        <f>'Supply2024-coding'!R65*'Use 2024'!$C65</f>
        <v>0</v>
      </c>
      <c r="S66" s="12">
        <f>'Supply2024-coding'!S65*'Use 2024'!$C65</f>
        <v>0</v>
      </c>
      <c r="T66" s="12">
        <f>'Supply2024-coding'!T65*'Use 2024'!$C65</f>
        <v>0</v>
      </c>
      <c r="U66" s="12">
        <f>'Supply2024-coding'!U65*'Use 2024'!$C65</f>
        <v>0</v>
      </c>
      <c r="V66" s="12">
        <f>'Supply2024-coding'!V65*'Use 2024'!$C65</f>
        <v>0</v>
      </c>
      <c r="W66" s="12">
        <f>'Supply2024-coding'!W65*'Use 2024'!$C65</f>
        <v>0</v>
      </c>
      <c r="X66" s="12">
        <f>'Supply2024-coding'!X65*'Use 2024'!$C65</f>
        <v>0</v>
      </c>
      <c r="Y66" s="12">
        <f>'Supply2024-coding'!Y65*'Use 2024'!$C65</f>
        <v>0</v>
      </c>
      <c r="Z66" s="12">
        <f>'Supply2024-coding'!Z65*'Use 2024'!$C65</f>
        <v>0</v>
      </c>
      <c r="AA66" s="12">
        <f>'Supply2024-coding'!AA65*'Use 2024'!$C65</f>
        <v>0</v>
      </c>
      <c r="AB66" s="12">
        <f>'Supply2024-coding'!AB65*'Use 2024'!$C65</f>
        <v>0</v>
      </c>
      <c r="AC66" s="12">
        <f>'Supply2024-coding'!AC65*'Use 2024'!$C65</f>
        <v>0</v>
      </c>
      <c r="AD66" s="12">
        <f>'Supply2024-coding'!AD65*'Use 2024'!$C65</f>
        <v>0</v>
      </c>
      <c r="AE66" s="12">
        <f>'Supply2024-coding'!AE65*'Use 2024'!$C65</f>
        <v>0</v>
      </c>
      <c r="AF66" s="12">
        <f>'Supply2024-coding'!AF65*'Use 2024'!$C65</f>
        <v>0</v>
      </c>
      <c r="AG66" s="12">
        <f>'Supply2024-coding'!AG65*'Use 2024'!$C65</f>
        <v>0</v>
      </c>
      <c r="AH66" s="12">
        <f>'Supply2024-coding'!AH65*'Use 2024'!$C65</f>
        <v>0</v>
      </c>
      <c r="AI66" s="12">
        <f>'Supply2024-coding'!AI65*'Use 2024'!$C65</f>
        <v>0</v>
      </c>
      <c r="AJ66" s="12">
        <f>'Supply2024-coding'!AJ65*'Use 2024'!$C65</f>
        <v>0</v>
      </c>
      <c r="AK66" s="12">
        <f>'Supply2024-coding'!AK65*'Use 2024'!$C65</f>
        <v>0</v>
      </c>
      <c r="AL66" s="12">
        <f>'Supply2024-coding'!AL65*'Use 2024'!$C65</f>
        <v>0</v>
      </c>
      <c r="AM66" s="12">
        <f>'Supply2024-coding'!AM65*'Use 2024'!$C65</f>
        <v>0</v>
      </c>
      <c r="AN66" s="12">
        <f>'Supply2024-coding'!AN65*'Use 2024'!$C65</f>
        <v>0</v>
      </c>
      <c r="AO66" s="12">
        <f>'Supply2024-coding'!AO65*'Use 2024'!$C65</f>
        <v>0</v>
      </c>
      <c r="AP66" s="12">
        <f>'Supply2024-coding'!AP65*'Use 2024'!$C65</f>
        <v>0</v>
      </c>
      <c r="AQ66" s="12">
        <f>'Supply2024-coding'!AQ65*'Use 2024'!$C65</f>
        <v>0</v>
      </c>
      <c r="AR66" s="12">
        <f>'Supply2024-coding'!AR65*'Use 2024'!$C65</f>
        <v>0</v>
      </c>
      <c r="AS66" s="12">
        <f>'Supply2024-coding'!AS65*'Use 2024'!$C65</f>
        <v>0</v>
      </c>
      <c r="AT66" s="12">
        <f>'Supply2024-coding'!AT65*'Use 2024'!$C65</f>
        <v>0</v>
      </c>
      <c r="AU66" s="12">
        <f>'Supply2024-coding'!AU65*'Use 2024'!$C65</f>
        <v>0</v>
      </c>
      <c r="AV66" s="12">
        <f>'Supply2024-coding'!AV65*'Use 2024'!$C65</f>
        <v>0</v>
      </c>
      <c r="AW66" s="12">
        <f>'Supply2024-coding'!AW65*'Use 2024'!$C65</f>
        <v>0</v>
      </c>
      <c r="AX66" s="12">
        <f>'Supply2024-coding'!AX65*'Use 2024'!$C65</f>
        <v>0</v>
      </c>
      <c r="AY66" s="12">
        <f>'Supply2024-coding'!AY65*'Use 2024'!$C65</f>
        <v>2.2030703564822793E-5</v>
      </c>
      <c r="AZ66" s="12">
        <f>'Supply2024-coding'!AZ65*'Use 2024'!$C65</f>
        <v>0</v>
      </c>
      <c r="BA66" s="12">
        <f>'Supply2024-coding'!BA65*'Use 2024'!$C65</f>
        <v>0</v>
      </c>
      <c r="BB66" s="12">
        <f>'Supply2024-coding'!BB65*'Use 2024'!$C65</f>
        <v>0</v>
      </c>
      <c r="BC66" s="12">
        <f>'Supply2024-coding'!BC65*'Use 2024'!$C65</f>
        <v>0</v>
      </c>
      <c r="BD66" s="12">
        <f>'Supply2024-coding'!BD65*'Use 2024'!$C65</f>
        <v>0</v>
      </c>
      <c r="BE66" s="12">
        <f>'Supply2024-coding'!BE65*'Use 2024'!$C65</f>
        <v>0</v>
      </c>
      <c r="BF66" s="12">
        <f>'Supply2024-coding'!BF65*'Use 2024'!$C65</f>
        <v>0</v>
      </c>
      <c r="BG66" s="12">
        <f>'Supply2024-coding'!BG65*'Use 2024'!$C65</f>
        <v>4.3528587486901575E-2</v>
      </c>
      <c r="BH66" s="12">
        <f>'Supply2024-coding'!BH65*'Use 2024'!$C65</f>
        <v>0</v>
      </c>
      <c r="BI66" s="12">
        <f>'Supply2024-coding'!BI65*'Use 2024'!$C65</f>
        <v>0</v>
      </c>
      <c r="BJ66" s="12">
        <f>'Supply2024-coding'!BJ65*'Use 2024'!$C65</f>
        <v>0</v>
      </c>
      <c r="BK66" s="12">
        <f>'Supply2024-coding'!BK65*'Use 2024'!$C65</f>
        <v>0</v>
      </c>
      <c r="BL66" s="12">
        <f>'Supply2024-coding'!BL65*'Use 2024'!$C65</f>
        <v>2.331607730002717E-5</v>
      </c>
      <c r="BM66" s="12">
        <f>'Supply2024-coding'!BM65*'Use 2024'!$C65</f>
        <v>6.3700776347826356E-4</v>
      </c>
      <c r="BN66" s="12">
        <f>'Supply2024-coding'!BN65*'Use 2024'!$C65</f>
        <v>0.46894450147165173</v>
      </c>
      <c r="BO66" s="12">
        <f>'Supply2024-coding'!BO65*'Use 2024'!$C65</f>
        <v>1.3476870578498386E-5</v>
      </c>
      <c r="BP66" s="12">
        <f>'Supply2024-coding'!BP65*'Use 2024'!$C65</f>
        <v>0</v>
      </c>
      <c r="BQ66" s="12">
        <f>'Supply2024-coding'!BQ65*'Use 2024'!$C65</f>
        <v>0</v>
      </c>
      <c r="BR66" s="12">
        <f>'Supply2024-coding'!BR65*'Use 2024'!$C65</f>
        <v>0</v>
      </c>
      <c r="BS66" s="12">
        <f>'Supply2024-coding'!BS65*'Use 2024'!$C65</f>
        <v>0</v>
      </c>
      <c r="BT66" s="12">
        <f>'Supply2024-coding'!BT65*'Use 2024'!$C65</f>
        <v>2.9009332924407639E-3</v>
      </c>
      <c r="BU66" s="12">
        <f>'Supply2024-coding'!BU65*'Use 2024'!$C65</f>
        <v>0</v>
      </c>
      <c r="BV66" s="12">
        <f>'Supply2024-coding'!BV65*'Use 2024'!$C65</f>
        <v>3.8888057678978633E-3</v>
      </c>
      <c r="BW66" s="12">
        <f>'Supply2024-coding'!BW65*'Use 2024'!$C65</f>
        <v>0</v>
      </c>
      <c r="BX66" s="12">
        <f>'Supply2024-coding'!BX65*'Use 2024'!$C65</f>
        <v>0</v>
      </c>
      <c r="BY66" s="12">
        <f>'Supply2024-coding'!BY65*'Use 2024'!$C65</f>
        <v>3.6207401522530538E-3</v>
      </c>
      <c r="BZ66" s="12">
        <f>'Supply2024-coding'!BZ65*'Use 2024'!$C65</f>
        <v>0</v>
      </c>
      <c r="CA66" s="12" t="e">
        <f>'Supply2024-coding'!CA65*'Use 2024'!$C65</f>
        <v>#DIV/0!</v>
      </c>
      <c r="CB66" s="12">
        <f>'Supply2024-coding'!CB65*'Use 2024'!$C65</f>
        <v>0</v>
      </c>
      <c r="CC66" s="12">
        <f>'Supply2024-coding'!CC65*'Use 2024'!$C65</f>
        <v>0</v>
      </c>
      <c r="CD66" s="12">
        <f>'Supply2024-coding'!CD65*'Use 2024'!$C65</f>
        <v>1.8623271372545786E-2</v>
      </c>
      <c r="CE66" s="12">
        <f>'Supply2024-coding'!CE65*'Use 2024'!$C65</f>
        <v>0</v>
      </c>
      <c r="CF66" s="12">
        <f>'Supply2024-coding'!CF65*'Use 2024'!$C65</f>
        <v>1.8729610962488253E-2</v>
      </c>
      <c r="CG66" s="12">
        <f>'Supply2024-coding'!CG65*'Use 2024'!$C65</f>
        <v>3.9012514985843801E-3</v>
      </c>
    </row>
    <row r="67" spans="1:85" x14ac:dyDescent="0.25">
      <c r="A67" t="s">
        <v>65</v>
      </c>
      <c r="B67" t="s">
        <v>158</v>
      </c>
      <c r="C67" s="12">
        <f>'Supply2024-coding'!C66*'Use 2024'!$C66</f>
        <v>0</v>
      </c>
      <c r="D67" s="12">
        <f>'Supply2024-coding'!D66*'Use 2024'!$C66</f>
        <v>0</v>
      </c>
      <c r="E67" s="12">
        <f>'Supply2024-coding'!E66*'Use 2024'!$C66</f>
        <v>0</v>
      </c>
      <c r="F67" s="12">
        <f>'Supply2024-coding'!F66*'Use 2024'!$C66</f>
        <v>0</v>
      </c>
      <c r="G67" s="12">
        <f>'Supply2024-coding'!G66*'Use 2024'!$C66</f>
        <v>0</v>
      </c>
      <c r="H67" s="12">
        <f>'Supply2024-coding'!H66*'Use 2024'!$C66</f>
        <v>0</v>
      </c>
      <c r="I67" s="12">
        <f>'Supply2024-coding'!I66*'Use 2024'!$C66</f>
        <v>0</v>
      </c>
      <c r="J67" s="12">
        <f>'Supply2024-coding'!J66*'Use 2024'!$C66</f>
        <v>0</v>
      </c>
      <c r="K67" s="12">
        <f>'Supply2024-coding'!K66*'Use 2024'!$C66</f>
        <v>0</v>
      </c>
      <c r="L67" s="12">
        <f>'Supply2024-coding'!L66*'Use 2024'!$C66</f>
        <v>0</v>
      </c>
      <c r="M67" s="12">
        <f>'Supply2024-coding'!M66*'Use 2024'!$C66</f>
        <v>0</v>
      </c>
      <c r="N67" s="12">
        <f>'Supply2024-coding'!N66*'Use 2024'!$C66</f>
        <v>0</v>
      </c>
      <c r="O67" s="12">
        <f>'Supply2024-coding'!O66*'Use 2024'!$C66</f>
        <v>0</v>
      </c>
      <c r="P67" s="12">
        <f>'Supply2024-coding'!P66*'Use 2024'!$C66</f>
        <v>0</v>
      </c>
      <c r="Q67" s="12">
        <f>'Supply2024-coding'!Q66*'Use 2024'!$C66</f>
        <v>0</v>
      </c>
      <c r="R67" s="12">
        <f>'Supply2024-coding'!R66*'Use 2024'!$C66</f>
        <v>0</v>
      </c>
      <c r="S67" s="12">
        <f>'Supply2024-coding'!S66*'Use 2024'!$C66</f>
        <v>0</v>
      </c>
      <c r="T67" s="12">
        <f>'Supply2024-coding'!T66*'Use 2024'!$C66</f>
        <v>0</v>
      </c>
      <c r="U67" s="12">
        <f>'Supply2024-coding'!U66*'Use 2024'!$C66</f>
        <v>0</v>
      </c>
      <c r="V67" s="12">
        <f>'Supply2024-coding'!V66*'Use 2024'!$C66</f>
        <v>0</v>
      </c>
      <c r="W67" s="12">
        <f>'Supply2024-coding'!W66*'Use 2024'!$C66</f>
        <v>0</v>
      </c>
      <c r="X67" s="12">
        <f>'Supply2024-coding'!X66*'Use 2024'!$C66</f>
        <v>0</v>
      </c>
      <c r="Y67" s="12">
        <f>'Supply2024-coding'!Y66*'Use 2024'!$C66</f>
        <v>0</v>
      </c>
      <c r="Z67" s="12">
        <f>'Supply2024-coding'!Z66*'Use 2024'!$C66</f>
        <v>0</v>
      </c>
      <c r="AA67" s="12">
        <f>'Supply2024-coding'!AA66*'Use 2024'!$C66</f>
        <v>0</v>
      </c>
      <c r="AB67" s="12">
        <f>'Supply2024-coding'!AB66*'Use 2024'!$C66</f>
        <v>0</v>
      </c>
      <c r="AC67" s="12">
        <f>'Supply2024-coding'!AC66*'Use 2024'!$C66</f>
        <v>0</v>
      </c>
      <c r="AD67" s="12">
        <f>'Supply2024-coding'!AD66*'Use 2024'!$C66</f>
        <v>0</v>
      </c>
      <c r="AE67" s="12">
        <f>'Supply2024-coding'!AE66*'Use 2024'!$C66</f>
        <v>3.8044842236566352E-2</v>
      </c>
      <c r="AF67" s="12">
        <f>'Supply2024-coding'!AF66*'Use 2024'!$C66</f>
        <v>3.5476145089281333E-2</v>
      </c>
      <c r="AG67" s="12">
        <f>'Supply2024-coding'!AG66*'Use 2024'!$C66</f>
        <v>1.4560539095681189E-2</v>
      </c>
      <c r="AH67" s="12">
        <f>'Supply2024-coding'!AH66*'Use 2024'!$C66</f>
        <v>0</v>
      </c>
      <c r="AI67" s="12">
        <f>'Supply2024-coding'!AI66*'Use 2024'!$C66</f>
        <v>0</v>
      </c>
      <c r="AJ67" s="12">
        <f>'Supply2024-coding'!AJ66*'Use 2024'!$C66</f>
        <v>0</v>
      </c>
      <c r="AK67" s="12">
        <f>'Supply2024-coding'!AK66*'Use 2024'!$C66</f>
        <v>0</v>
      </c>
      <c r="AL67" s="12">
        <f>'Supply2024-coding'!AL66*'Use 2024'!$C66</f>
        <v>0</v>
      </c>
      <c r="AM67" s="12">
        <f>'Supply2024-coding'!AM66*'Use 2024'!$C66</f>
        <v>0</v>
      </c>
      <c r="AN67" s="12">
        <f>'Supply2024-coding'!AN66*'Use 2024'!$C66</f>
        <v>7.8510036949301534E-5</v>
      </c>
      <c r="AO67" s="12">
        <f>'Supply2024-coding'!AO66*'Use 2024'!$C66</f>
        <v>0</v>
      </c>
      <c r="AP67" s="12">
        <f>'Supply2024-coding'!AP66*'Use 2024'!$C66</f>
        <v>0</v>
      </c>
      <c r="AQ67" s="12">
        <f>'Supply2024-coding'!AQ66*'Use 2024'!$C66</f>
        <v>0</v>
      </c>
      <c r="AR67" s="12">
        <f>'Supply2024-coding'!AR66*'Use 2024'!$C66</f>
        <v>0</v>
      </c>
      <c r="AS67" s="12">
        <f>'Supply2024-coding'!AS66*'Use 2024'!$C66</f>
        <v>0</v>
      </c>
      <c r="AT67" s="12">
        <f>'Supply2024-coding'!AT66*'Use 2024'!$C66</f>
        <v>0</v>
      </c>
      <c r="AU67" s="12">
        <f>'Supply2024-coding'!AU66*'Use 2024'!$C66</f>
        <v>0</v>
      </c>
      <c r="AV67" s="12">
        <f>'Supply2024-coding'!AV66*'Use 2024'!$C66</f>
        <v>0</v>
      </c>
      <c r="AW67" s="12">
        <f>'Supply2024-coding'!AW66*'Use 2024'!$C66</f>
        <v>0</v>
      </c>
      <c r="AX67" s="12">
        <f>'Supply2024-coding'!AX66*'Use 2024'!$C66</f>
        <v>0</v>
      </c>
      <c r="AY67" s="12">
        <f>'Supply2024-coding'!AY66*'Use 2024'!$C66</f>
        <v>0</v>
      </c>
      <c r="AZ67" s="12">
        <f>'Supply2024-coding'!AZ66*'Use 2024'!$C66</f>
        <v>0</v>
      </c>
      <c r="BA67" s="12">
        <f>'Supply2024-coding'!BA66*'Use 2024'!$C66</f>
        <v>0</v>
      </c>
      <c r="BB67" s="12">
        <f>'Supply2024-coding'!BB66*'Use 2024'!$C66</f>
        <v>0</v>
      </c>
      <c r="BC67" s="12">
        <f>'Supply2024-coding'!BC66*'Use 2024'!$C66</f>
        <v>0</v>
      </c>
      <c r="BD67" s="12">
        <f>'Supply2024-coding'!BD66*'Use 2024'!$C66</f>
        <v>0</v>
      </c>
      <c r="BE67" s="12">
        <f>'Supply2024-coding'!BE66*'Use 2024'!$C66</f>
        <v>0</v>
      </c>
      <c r="BF67" s="12">
        <f>'Supply2024-coding'!BF66*'Use 2024'!$C66</f>
        <v>0</v>
      </c>
      <c r="BG67" s="12">
        <f>'Supply2024-coding'!BG66*'Use 2024'!$C66</f>
        <v>1.3303644974245859E-2</v>
      </c>
      <c r="BH67" s="12">
        <f>'Supply2024-coding'!BH66*'Use 2024'!$C66</f>
        <v>3.0473598106954739E-5</v>
      </c>
      <c r="BI67" s="12">
        <f>'Supply2024-coding'!BI66*'Use 2024'!$C66</f>
        <v>1.3777995031284687E-3</v>
      </c>
      <c r="BJ67" s="12">
        <f>'Supply2024-coding'!BJ66*'Use 2024'!$C66</f>
        <v>1.3702732094078966E-3</v>
      </c>
      <c r="BK67" s="12">
        <f>'Supply2024-coding'!BK66*'Use 2024'!$C66</f>
        <v>0</v>
      </c>
      <c r="BL67" s="12">
        <f>'Supply2024-coding'!BL66*'Use 2024'!$C66</f>
        <v>1.4313440564107919E-2</v>
      </c>
      <c r="BM67" s="12">
        <f>'Supply2024-coding'!BM66*'Use 2024'!$C66</f>
        <v>4.6428907584874834E-2</v>
      </c>
      <c r="BN67" s="12">
        <f>'Supply2024-coding'!BN66*'Use 2024'!$C66</f>
        <v>0.12150857168224079</v>
      </c>
      <c r="BO67" s="12">
        <f>'Supply2024-coding'!BO66*'Use 2024'!$C66</f>
        <v>0.76866251467625979</v>
      </c>
      <c r="BP67" s="12">
        <f>'Supply2024-coding'!BP66*'Use 2024'!$C66</f>
        <v>3.2278236002152112E-3</v>
      </c>
      <c r="BQ67" s="12">
        <f>'Supply2024-coding'!BQ66*'Use 2024'!$C66</f>
        <v>0</v>
      </c>
      <c r="BR67" s="12">
        <f>'Supply2024-coding'!BR66*'Use 2024'!$C66</f>
        <v>0</v>
      </c>
      <c r="BS67" s="12">
        <f>'Supply2024-coding'!BS66*'Use 2024'!$C66</f>
        <v>1.0279414433438293E-2</v>
      </c>
      <c r="BT67" s="12">
        <f>'Supply2024-coding'!BT66*'Use 2024'!$C66</f>
        <v>6.0691751422551907E-3</v>
      </c>
      <c r="BU67" s="12">
        <f>'Supply2024-coding'!BU66*'Use 2024'!$C66</f>
        <v>0</v>
      </c>
      <c r="BV67" s="12">
        <f>'Supply2024-coding'!BV66*'Use 2024'!$C66</f>
        <v>2.2447797287406923E-2</v>
      </c>
      <c r="BW67" s="12">
        <f>'Supply2024-coding'!BW66*'Use 2024'!$C66</f>
        <v>0</v>
      </c>
      <c r="BX67" s="12">
        <f>'Supply2024-coding'!BX66*'Use 2024'!$C66</f>
        <v>0</v>
      </c>
      <c r="BY67" s="12">
        <f>'Supply2024-coding'!BY66*'Use 2024'!$C66</f>
        <v>2.0900411545132773E-2</v>
      </c>
      <c r="BZ67" s="12">
        <f>'Supply2024-coding'!BZ66*'Use 2024'!$C66</f>
        <v>0</v>
      </c>
      <c r="CA67" s="12" t="e">
        <f>'Supply2024-coding'!CA66*'Use 2024'!$C66</f>
        <v>#DIV/0!</v>
      </c>
      <c r="CB67" s="12">
        <f>'Supply2024-coding'!CB66*'Use 2024'!$C66</f>
        <v>0</v>
      </c>
      <c r="CC67" s="12">
        <f>'Supply2024-coding'!CC66*'Use 2024'!$C66</f>
        <v>0</v>
      </c>
      <c r="CD67" s="12">
        <f>'Supply2024-coding'!CD66*'Use 2024'!$C66</f>
        <v>7.3822148084800643E-2</v>
      </c>
      <c r="CE67" s="12">
        <f>'Supply2024-coding'!CE66*'Use 2024'!$C66</f>
        <v>0</v>
      </c>
      <c r="CF67" s="12">
        <f>'Supply2024-coding'!CF66*'Use 2024'!$C66</f>
        <v>7.4243675366392134E-2</v>
      </c>
      <c r="CG67" s="12">
        <f>'Supply2024-coding'!CG66*'Use 2024'!$C66</f>
        <v>2.1890783059156101E-2</v>
      </c>
    </row>
    <row r="68" spans="1:85" x14ac:dyDescent="0.25">
      <c r="A68" t="s">
        <v>66</v>
      </c>
      <c r="B68" t="s">
        <v>159</v>
      </c>
      <c r="C68" s="12">
        <f>'Supply2024-coding'!C67*'Use 2024'!$C67</f>
        <v>0</v>
      </c>
      <c r="D68" s="12">
        <f>'Supply2024-coding'!D67*'Use 2024'!$C67</f>
        <v>0</v>
      </c>
      <c r="E68" s="12">
        <f>'Supply2024-coding'!E67*'Use 2024'!$C67</f>
        <v>0</v>
      </c>
      <c r="F68" s="12">
        <f>'Supply2024-coding'!F67*'Use 2024'!$C67</f>
        <v>0</v>
      </c>
      <c r="G68" s="12">
        <f>'Supply2024-coding'!G67*'Use 2024'!$C67</f>
        <v>0</v>
      </c>
      <c r="H68" s="12">
        <f>'Supply2024-coding'!H67*'Use 2024'!$C67</f>
        <v>0</v>
      </c>
      <c r="I68" s="12">
        <f>'Supply2024-coding'!I67*'Use 2024'!$C67</f>
        <v>0</v>
      </c>
      <c r="J68" s="12">
        <f>'Supply2024-coding'!J67*'Use 2024'!$C67</f>
        <v>0</v>
      </c>
      <c r="K68" s="12">
        <f>'Supply2024-coding'!K67*'Use 2024'!$C67</f>
        <v>0</v>
      </c>
      <c r="L68" s="12">
        <f>'Supply2024-coding'!L67*'Use 2024'!$C67</f>
        <v>0</v>
      </c>
      <c r="M68" s="12">
        <f>'Supply2024-coding'!M67*'Use 2024'!$C67</f>
        <v>7.1115476259665605E-4</v>
      </c>
      <c r="N68" s="12">
        <f>'Supply2024-coding'!N67*'Use 2024'!$C67</f>
        <v>0</v>
      </c>
      <c r="O68" s="12">
        <f>'Supply2024-coding'!O67*'Use 2024'!$C67</f>
        <v>0</v>
      </c>
      <c r="P68" s="12">
        <f>'Supply2024-coding'!P67*'Use 2024'!$C67</f>
        <v>0</v>
      </c>
      <c r="Q68" s="12">
        <f>'Supply2024-coding'!Q67*'Use 2024'!$C67</f>
        <v>0</v>
      </c>
      <c r="R68" s="12">
        <f>'Supply2024-coding'!R67*'Use 2024'!$C67</f>
        <v>0</v>
      </c>
      <c r="S68" s="12">
        <f>'Supply2024-coding'!S67*'Use 2024'!$C67</f>
        <v>0</v>
      </c>
      <c r="T68" s="12">
        <f>'Supply2024-coding'!T67*'Use 2024'!$C67</f>
        <v>0</v>
      </c>
      <c r="U68" s="12">
        <f>'Supply2024-coding'!U67*'Use 2024'!$C67</f>
        <v>0</v>
      </c>
      <c r="V68" s="12">
        <f>'Supply2024-coding'!V67*'Use 2024'!$C67</f>
        <v>0</v>
      </c>
      <c r="W68" s="12">
        <f>'Supply2024-coding'!W67*'Use 2024'!$C67</f>
        <v>0</v>
      </c>
      <c r="X68" s="12">
        <f>'Supply2024-coding'!X67*'Use 2024'!$C67</f>
        <v>0</v>
      </c>
      <c r="Y68" s="12">
        <f>'Supply2024-coding'!Y67*'Use 2024'!$C67</f>
        <v>0</v>
      </c>
      <c r="Z68" s="12">
        <f>'Supply2024-coding'!Z67*'Use 2024'!$C67</f>
        <v>0</v>
      </c>
      <c r="AA68" s="12">
        <f>'Supply2024-coding'!AA67*'Use 2024'!$C67</f>
        <v>0</v>
      </c>
      <c r="AB68" s="12">
        <f>'Supply2024-coding'!AB67*'Use 2024'!$C67</f>
        <v>0</v>
      </c>
      <c r="AC68" s="12">
        <f>'Supply2024-coding'!AC67*'Use 2024'!$C67</f>
        <v>2.8898497604025783E-2</v>
      </c>
      <c r="AD68" s="12">
        <f>'Supply2024-coding'!AD67*'Use 2024'!$C67</f>
        <v>0.10032607285160203</v>
      </c>
      <c r="AE68" s="12">
        <f>'Supply2024-coding'!AE67*'Use 2024'!$C67</f>
        <v>0</v>
      </c>
      <c r="AF68" s="12">
        <f>'Supply2024-coding'!AF67*'Use 2024'!$C67</f>
        <v>6.6508401546273117E-3</v>
      </c>
      <c r="AG68" s="12">
        <f>'Supply2024-coding'!AG67*'Use 2024'!$C67</f>
        <v>1.1138429092726897E-2</v>
      </c>
      <c r="AH68" s="12">
        <f>'Supply2024-coding'!AH67*'Use 2024'!$C67</f>
        <v>0</v>
      </c>
      <c r="AI68" s="12">
        <f>'Supply2024-coding'!AI67*'Use 2024'!$C67</f>
        <v>0</v>
      </c>
      <c r="AJ68" s="12">
        <f>'Supply2024-coding'!AJ67*'Use 2024'!$C67</f>
        <v>0</v>
      </c>
      <c r="AK68" s="12">
        <f>'Supply2024-coding'!AK67*'Use 2024'!$C67</f>
        <v>0</v>
      </c>
      <c r="AL68" s="12">
        <f>'Supply2024-coding'!AL67*'Use 2024'!$C67</f>
        <v>0</v>
      </c>
      <c r="AM68" s="12">
        <f>'Supply2024-coding'!AM67*'Use 2024'!$C67</f>
        <v>0</v>
      </c>
      <c r="AN68" s="12">
        <f>'Supply2024-coding'!AN67*'Use 2024'!$C67</f>
        <v>2.541231068428804E-3</v>
      </c>
      <c r="AO68" s="12">
        <f>'Supply2024-coding'!AO67*'Use 2024'!$C67</f>
        <v>0</v>
      </c>
      <c r="AP68" s="12">
        <f>'Supply2024-coding'!AP67*'Use 2024'!$C67</f>
        <v>2.2056071607469893E-6</v>
      </c>
      <c r="AQ68" s="12">
        <f>'Supply2024-coding'!AQ67*'Use 2024'!$C67</f>
        <v>0</v>
      </c>
      <c r="AR68" s="12">
        <f>'Supply2024-coding'!AR67*'Use 2024'!$C67</f>
        <v>6.1891038651147969E-4</v>
      </c>
      <c r="AS68" s="12">
        <f>'Supply2024-coding'!AS67*'Use 2024'!$C67</f>
        <v>1.414425105396084E-4</v>
      </c>
      <c r="AT68" s="12">
        <f>'Supply2024-coding'!AT67*'Use 2024'!$C67</f>
        <v>0</v>
      </c>
      <c r="AU68" s="12">
        <f>'Supply2024-coding'!AU67*'Use 2024'!$C67</f>
        <v>0</v>
      </c>
      <c r="AV68" s="12">
        <f>'Supply2024-coding'!AV67*'Use 2024'!$C67</f>
        <v>0</v>
      </c>
      <c r="AW68" s="12">
        <f>'Supply2024-coding'!AW67*'Use 2024'!$C67</f>
        <v>0</v>
      </c>
      <c r="AX68" s="12">
        <f>'Supply2024-coding'!AX67*'Use 2024'!$C67</f>
        <v>0</v>
      </c>
      <c r="AY68" s="12">
        <f>'Supply2024-coding'!AY67*'Use 2024'!$C67</f>
        <v>8.5155018587686898E-5</v>
      </c>
      <c r="AZ68" s="12">
        <f>'Supply2024-coding'!AZ67*'Use 2024'!$C67</f>
        <v>1.6184500325605292E-3</v>
      </c>
      <c r="BA68" s="12">
        <f>'Supply2024-coding'!BA67*'Use 2024'!$C67</f>
        <v>0</v>
      </c>
      <c r="BB68" s="12">
        <f>'Supply2024-coding'!BB67*'Use 2024'!$C67</f>
        <v>5.3104339059489546E-3</v>
      </c>
      <c r="BC68" s="12">
        <f>'Supply2024-coding'!BC67*'Use 2024'!$C67</f>
        <v>9.9845620473275982E-4</v>
      </c>
      <c r="BD68" s="12">
        <f>'Supply2024-coding'!BD67*'Use 2024'!$C67</f>
        <v>0</v>
      </c>
      <c r="BE68" s="12">
        <f>'Supply2024-coding'!BE67*'Use 2024'!$C67</f>
        <v>0</v>
      </c>
      <c r="BF68" s="12">
        <f>'Supply2024-coding'!BF67*'Use 2024'!$C67</f>
        <v>0</v>
      </c>
      <c r="BG68" s="12">
        <f>'Supply2024-coding'!BG67*'Use 2024'!$C67</f>
        <v>2.6109374281476661E-5</v>
      </c>
      <c r="BH68" s="12">
        <f>'Supply2024-coding'!BH67*'Use 2024'!$C67</f>
        <v>0</v>
      </c>
      <c r="BI68" s="12">
        <f>'Supply2024-coding'!BI67*'Use 2024'!$C67</f>
        <v>0</v>
      </c>
      <c r="BJ68" s="12">
        <f>'Supply2024-coding'!BJ67*'Use 2024'!$C67</f>
        <v>0</v>
      </c>
      <c r="BK68" s="12">
        <f>'Supply2024-coding'!BK67*'Use 2024'!$C67</f>
        <v>0</v>
      </c>
      <c r="BL68" s="12">
        <f>'Supply2024-coding'!BL67*'Use 2024'!$C67</f>
        <v>9.9503200775025885E-4</v>
      </c>
      <c r="BM68" s="12">
        <f>'Supply2024-coding'!BM67*'Use 2024'!$C67</f>
        <v>1.090469917138955E-2</v>
      </c>
      <c r="BN68" s="12">
        <f>'Supply2024-coding'!BN67*'Use 2024'!$C67</f>
        <v>4.769952317601636E-3</v>
      </c>
      <c r="BO68" s="12">
        <f>'Supply2024-coding'!BO67*'Use 2024'!$C67</f>
        <v>0</v>
      </c>
      <c r="BP68" s="12">
        <f>'Supply2024-coding'!BP67*'Use 2024'!$C67</f>
        <v>0.70293382559882867</v>
      </c>
      <c r="BQ68" s="12">
        <f>'Supply2024-coding'!BQ67*'Use 2024'!$C67</f>
        <v>0</v>
      </c>
      <c r="BR68" s="12">
        <f>'Supply2024-coding'!BR67*'Use 2024'!$C67</f>
        <v>0</v>
      </c>
      <c r="BS68" s="12">
        <f>'Supply2024-coding'!BS67*'Use 2024'!$C67</f>
        <v>0</v>
      </c>
      <c r="BT68" s="12">
        <f>'Supply2024-coding'!BT67*'Use 2024'!$C67</f>
        <v>3.4059478068199279E-4</v>
      </c>
      <c r="BU68" s="12">
        <f>'Supply2024-coding'!BU67*'Use 2024'!$C67</f>
        <v>4.8979703677008157E-3</v>
      </c>
      <c r="BV68" s="12">
        <f>'Supply2024-coding'!BV67*'Use 2024'!$C67</f>
        <v>1.8407010281555693E-2</v>
      </c>
      <c r="BW68" s="12">
        <f>'Supply2024-coding'!BW67*'Use 2024'!$C67</f>
        <v>0</v>
      </c>
      <c r="BX68" s="12">
        <f>'Supply2024-coding'!BX67*'Use 2024'!$C67</f>
        <v>0</v>
      </c>
      <c r="BY68" s="12">
        <f>'Supply2024-coding'!BY67*'Use 2024'!$C67</f>
        <v>1.7138166621623339E-2</v>
      </c>
      <c r="BZ68" s="12">
        <f>'Supply2024-coding'!BZ67*'Use 2024'!$C67</f>
        <v>0</v>
      </c>
      <c r="CA68" s="12" t="e">
        <f>'Supply2024-coding'!CA67*'Use 2024'!$C67</f>
        <v>#DIV/0!</v>
      </c>
      <c r="CB68" s="12">
        <f>'Supply2024-coding'!CB67*'Use 2024'!$C67</f>
        <v>0</v>
      </c>
      <c r="CC68" s="12">
        <f>'Supply2024-coding'!CC67*'Use 2024'!$C67</f>
        <v>0</v>
      </c>
      <c r="CD68" s="12">
        <f>'Supply2024-coding'!CD67*'Use 2024'!$C67</f>
        <v>1.991862878817614E-2</v>
      </c>
      <c r="CE68" s="12">
        <f>'Supply2024-coding'!CE67*'Use 2024'!$C67</f>
        <v>0</v>
      </c>
      <c r="CF68" s="12">
        <f>'Supply2024-coding'!CF67*'Use 2024'!$C67</f>
        <v>2.00323649183747E-2</v>
      </c>
      <c r="CG68" s="12">
        <f>'Supply2024-coding'!CG67*'Use 2024'!$C67</f>
        <v>1.7191914098789778E-2</v>
      </c>
    </row>
    <row r="69" spans="1:85" x14ac:dyDescent="0.25">
      <c r="A69" t="s">
        <v>67</v>
      </c>
      <c r="B69" t="s">
        <v>160</v>
      </c>
      <c r="C69" s="12">
        <f>'Supply2024-coding'!C68*'Use 2024'!$C68</f>
        <v>0</v>
      </c>
      <c r="D69" s="12">
        <f>'Supply2024-coding'!D68*'Use 2024'!$C68</f>
        <v>0</v>
      </c>
      <c r="E69" s="12">
        <f>'Supply2024-coding'!E68*'Use 2024'!$C68</f>
        <v>0</v>
      </c>
      <c r="F69" s="12">
        <f>'Supply2024-coding'!F68*'Use 2024'!$C68</f>
        <v>0</v>
      </c>
      <c r="G69" s="12">
        <f>'Supply2024-coding'!G68*'Use 2024'!$C68</f>
        <v>0</v>
      </c>
      <c r="H69" s="12">
        <f>'Supply2024-coding'!H68*'Use 2024'!$C68</f>
        <v>0</v>
      </c>
      <c r="I69" s="12">
        <f>'Supply2024-coding'!I68*'Use 2024'!$C68</f>
        <v>0</v>
      </c>
      <c r="J69" s="12">
        <f>'Supply2024-coding'!J68*'Use 2024'!$C68</f>
        <v>0</v>
      </c>
      <c r="K69" s="12">
        <f>'Supply2024-coding'!K68*'Use 2024'!$C68</f>
        <v>0</v>
      </c>
      <c r="L69" s="12">
        <f>'Supply2024-coding'!L68*'Use 2024'!$C68</f>
        <v>0</v>
      </c>
      <c r="M69" s="12">
        <f>'Supply2024-coding'!M68*'Use 2024'!$C68</f>
        <v>0</v>
      </c>
      <c r="N69" s="12">
        <f>'Supply2024-coding'!N68*'Use 2024'!$C68</f>
        <v>0</v>
      </c>
      <c r="O69" s="12">
        <f>'Supply2024-coding'!O68*'Use 2024'!$C68</f>
        <v>0</v>
      </c>
      <c r="P69" s="12">
        <f>'Supply2024-coding'!P68*'Use 2024'!$C68</f>
        <v>0</v>
      </c>
      <c r="Q69" s="12">
        <f>'Supply2024-coding'!Q68*'Use 2024'!$C68</f>
        <v>0</v>
      </c>
      <c r="R69" s="12">
        <f>'Supply2024-coding'!R68*'Use 2024'!$C68</f>
        <v>0</v>
      </c>
      <c r="S69" s="12">
        <f>'Supply2024-coding'!S68*'Use 2024'!$C68</f>
        <v>0</v>
      </c>
      <c r="T69" s="12">
        <f>'Supply2024-coding'!T68*'Use 2024'!$C68</f>
        <v>0</v>
      </c>
      <c r="U69" s="12">
        <f>'Supply2024-coding'!U68*'Use 2024'!$C68</f>
        <v>0</v>
      </c>
      <c r="V69" s="12">
        <f>'Supply2024-coding'!V68*'Use 2024'!$C68</f>
        <v>0</v>
      </c>
      <c r="W69" s="12">
        <f>'Supply2024-coding'!W68*'Use 2024'!$C68</f>
        <v>0</v>
      </c>
      <c r="X69" s="12">
        <f>'Supply2024-coding'!X68*'Use 2024'!$C68</f>
        <v>0</v>
      </c>
      <c r="Y69" s="12">
        <f>'Supply2024-coding'!Y68*'Use 2024'!$C68</f>
        <v>0</v>
      </c>
      <c r="Z69" s="12">
        <f>'Supply2024-coding'!Z68*'Use 2024'!$C68</f>
        <v>0</v>
      </c>
      <c r="AA69" s="12">
        <f>'Supply2024-coding'!AA68*'Use 2024'!$C68</f>
        <v>0</v>
      </c>
      <c r="AB69" s="12">
        <f>'Supply2024-coding'!AB68*'Use 2024'!$C68</f>
        <v>0</v>
      </c>
      <c r="AC69" s="12">
        <f>'Supply2024-coding'!AC68*'Use 2024'!$C68</f>
        <v>0</v>
      </c>
      <c r="AD69" s="12">
        <f>'Supply2024-coding'!AD68*'Use 2024'!$C68</f>
        <v>0</v>
      </c>
      <c r="AE69" s="12">
        <f>'Supply2024-coding'!AE68*'Use 2024'!$C68</f>
        <v>0</v>
      </c>
      <c r="AF69" s="12">
        <f>'Supply2024-coding'!AF68*'Use 2024'!$C68</f>
        <v>0</v>
      </c>
      <c r="AG69" s="12">
        <f>'Supply2024-coding'!AG68*'Use 2024'!$C68</f>
        <v>0</v>
      </c>
      <c r="AH69" s="12">
        <f>'Supply2024-coding'!AH68*'Use 2024'!$C68</f>
        <v>0</v>
      </c>
      <c r="AI69" s="12">
        <f>'Supply2024-coding'!AI68*'Use 2024'!$C68</f>
        <v>0</v>
      </c>
      <c r="AJ69" s="12">
        <f>'Supply2024-coding'!AJ68*'Use 2024'!$C68</f>
        <v>0</v>
      </c>
      <c r="AK69" s="12">
        <f>'Supply2024-coding'!AK68*'Use 2024'!$C68</f>
        <v>0</v>
      </c>
      <c r="AL69" s="12">
        <f>'Supply2024-coding'!AL68*'Use 2024'!$C68</f>
        <v>0</v>
      </c>
      <c r="AM69" s="12">
        <f>'Supply2024-coding'!AM68*'Use 2024'!$C68</f>
        <v>0</v>
      </c>
      <c r="AN69" s="12">
        <f>'Supply2024-coding'!AN68*'Use 2024'!$C68</f>
        <v>0</v>
      </c>
      <c r="AO69" s="12">
        <f>'Supply2024-coding'!AO68*'Use 2024'!$C68</f>
        <v>0</v>
      </c>
      <c r="AP69" s="12">
        <f>'Supply2024-coding'!AP68*'Use 2024'!$C68</f>
        <v>0</v>
      </c>
      <c r="AQ69" s="12">
        <f>'Supply2024-coding'!AQ68*'Use 2024'!$C68</f>
        <v>0</v>
      </c>
      <c r="AR69" s="12">
        <f>'Supply2024-coding'!AR68*'Use 2024'!$C68</f>
        <v>0</v>
      </c>
      <c r="AS69" s="12">
        <f>'Supply2024-coding'!AS68*'Use 2024'!$C68</f>
        <v>0</v>
      </c>
      <c r="AT69" s="12">
        <f>'Supply2024-coding'!AT68*'Use 2024'!$C68</f>
        <v>0</v>
      </c>
      <c r="AU69" s="12">
        <f>'Supply2024-coding'!AU68*'Use 2024'!$C68</f>
        <v>0</v>
      </c>
      <c r="AV69" s="12">
        <f>'Supply2024-coding'!AV68*'Use 2024'!$C68</f>
        <v>0</v>
      </c>
      <c r="AW69" s="12">
        <f>'Supply2024-coding'!AW68*'Use 2024'!$C68</f>
        <v>0</v>
      </c>
      <c r="AX69" s="12">
        <f>'Supply2024-coding'!AX68*'Use 2024'!$C68</f>
        <v>0</v>
      </c>
      <c r="AY69" s="12">
        <f>'Supply2024-coding'!AY68*'Use 2024'!$C68</f>
        <v>0</v>
      </c>
      <c r="AZ69" s="12">
        <f>'Supply2024-coding'!AZ68*'Use 2024'!$C68</f>
        <v>0</v>
      </c>
      <c r="BA69" s="12">
        <f>'Supply2024-coding'!BA68*'Use 2024'!$C68</f>
        <v>0</v>
      </c>
      <c r="BB69" s="12">
        <f>'Supply2024-coding'!BB68*'Use 2024'!$C68</f>
        <v>0</v>
      </c>
      <c r="BC69" s="12">
        <f>'Supply2024-coding'!BC68*'Use 2024'!$C68</f>
        <v>0</v>
      </c>
      <c r="BD69" s="12">
        <f>'Supply2024-coding'!BD68*'Use 2024'!$C68</f>
        <v>0</v>
      </c>
      <c r="BE69" s="12">
        <f>'Supply2024-coding'!BE68*'Use 2024'!$C68</f>
        <v>0</v>
      </c>
      <c r="BF69" s="12">
        <f>'Supply2024-coding'!BF68*'Use 2024'!$C68</f>
        <v>0</v>
      </c>
      <c r="BG69" s="12">
        <f>'Supply2024-coding'!BG68*'Use 2024'!$C68</f>
        <v>0</v>
      </c>
      <c r="BH69" s="12">
        <f>'Supply2024-coding'!BH68*'Use 2024'!$C68</f>
        <v>0</v>
      </c>
      <c r="BI69" s="12">
        <f>'Supply2024-coding'!BI68*'Use 2024'!$C68</f>
        <v>0</v>
      </c>
      <c r="BJ69" s="12">
        <f>'Supply2024-coding'!BJ68*'Use 2024'!$C68</f>
        <v>0</v>
      </c>
      <c r="BK69" s="12">
        <f>'Supply2024-coding'!BK68*'Use 2024'!$C68</f>
        <v>0</v>
      </c>
      <c r="BL69" s="12">
        <f>'Supply2024-coding'!BL68*'Use 2024'!$C68</f>
        <v>0</v>
      </c>
      <c r="BM69" s="12">
        <f>'Supply2024-coding'!BM68*'Use 2024'!$C68</f>
        <v>0</v>
      </c>
      <c r="BN69" s="12">
        <f>'Supply2024-coding'!BN68*'Use 2024'!$C68</f>
        <v>0</v>
      </c>
      <c r="BO69" s="12">
        <f>'Supply2024-coding'!BO68*'Use 2024'!$C68</f>
        <v>0</v>
      </c>
      <c r="BP69" s="12">
        <f>'Supply2024-coding'!BP68*'Use 2024'!$C68</f>
        <v>0</v>
      </c>
      <c r="BQ69" s="12">
        <f>'Supply2024-coding'!BQ68*'Use 2024'!$C68</f>
        <v>0</v>
      </c>
      <c r="BR69" s="12">
        <f>'Supply2024-coding'!BR68*'Use 2024'!$C68</f>
        <v>0</v>
      </c>
      <c r="BS69" s="12">
        <f>'Supply2024-coding'!BS68*'Use 2024'!$C68</f>
        <v>0</v>
      </c>
      <c r="BT69" s="12">
        <f>'Supply2024-coding'!BT68*'Use 2024'!$C68</f>
        <v>0</v>
      </c>
      <c r="BU69" s="12">
        <f>'Supply2024-coding'!BU68*'Use 2024'!$C68</f>
        <v>0</v>
      </c>
      <c r="BV69" s="12">
        <f>'Supply2024-coding'!BV68*'Use 2024'!$C68</f>
        <v>0</v>
      </c>
      <c r="BW69" s="12">
        <f>'Supply2024-coding'!BW68*'Use 2024'!$C68</f>
        <v>0</v>
      </c>
      <c r="BX69" s="12">
        <f>'Supply2024-coding'!BX68*'Use 2024'!$C68</f>
        <v>0</v>
      </c>
      <c r="BY69" s="12">
        <f>'Supply2024-coding'!BY68*'Use 2024'!$C68</f>
        <v>0</v>
      </c>
      <c r="BZ69" s="12">
        <f>'Supply2024-coding'!BZ68*'Use 2024'!$C68</f>
        <v>0</v>
      </c>
      <c r="CA69" s="12" t="e">
        <f>'Supply2024-coding'!CA68*'Use 2024'!$C68</f>
        <v>#DIV/0!</v>
      </c>
      <c r="CB69" s="12">
        <f>'Supply2024-coding'!CB68*'Use 2024'!$C68</f>
        <v>0</v>
      </c>
      <c r="CC69" s="12">
        <f>'Supply2024-coding'!CC68*'Use 2024'!$C68</f>
        <v>0</v>
      </c>
      <c r="CD69" s="12">
        <f>'Supply2024-coding'!CD68*'Use 2024'!$C68</f>
        <v>0</v>
      </c>
      <c r="CE69" s="12">
        <f>'Supply2024-coding'!CE68*'Use 2024'!$C68</f>
        <v>0</v>
      </c>
      <c r="CF69" s="12">
        <f>'Supply2024-coding'!CF68*'Use 2024'!$C68</f>
        <v>0</v>
      </c>
      <c r="CG69" s="12">
        <f>'Supply2024-coding'!CG68*'Use 2024'!$C68</f>
        <v>0</v>
      </c>
    </row>
    <row r="70" spans="1:85" x14ac:dyDescent="0.25">
      <c r="A70" t="s">
        <v>68</v>
      </c>
      <c r="B70" t="s">
        <v>161</v>
      </c>
      <c r="C70" s="12">
        <f>'Supply2024-coding'!C69*'Use 2024'!$C69</f>
        <v>0</v>
      </c>
      <c r="D70" s="12">
        <f>'Supply2024-coding'!D69*'Use 2024'!$C69</f>
        <v>0</v>
      </c>
      <c r="E70" s="12">
        <f>'Supply2024-coding'!E69*'Use 2024'!$C69</f>
        <v>0</v>
      </c>
      <c r="F70" s="12">
        <f>'Supply2024-coding'!F69*'Use 2024'!$C69</f>
        <v>0</v>
      </c>
      <c r="G70" s="12">
        <f>'Supply2024-coding'!G69*'Use 2024'!$C69</f>
        <v>0</v>
      </c>
      <c r="H70" s="12">
        <f>'Supply2024-coding'!H69*'Use 2024'!$C69</f>
        <v>0</v>
      </c>
      <c r="I70" s="12">
        <f>'Supply2024-coding'!I69*'Use 2024'!$C69</f>
        <v>0</v>
      </c>
      <c r="J70" s="12">
        <f>'Supply2024-coding'!J69*'Use 2024'!$C69</f>
        <v>0</v>
      </c>
      <c r="K70" s="12">
        <f>'Supply2024-coding'!K69*'Use 2024'!$C69</f>
        <v>0</v>
      </c>
      <c r="L70" s="12">
        <f>'Supply2024-coding'!L69*'Use 2024'!$C69</f>
        <v>0</v>
      </c>
      <c r="M70" s="12">
        <f>'Supply2024-coding'!M69*'Use 2024'!$C69</f>
        <v>0</v>
      </c>
      <c r="N70" s="12">
        <f>'Supply2024-coding'!N69*'Use 2024'!$C69</f>
        <v>0</v>
      </c>
      <c r="O70" s="12">
        <f>'Supply2024-coding'!O69*'Use 2024'!$C69</f>
        <v>0</v>
      </c>
      <c r="P70" s="12">
        <f>'Supply2024-coding'!P69*'Use 2024'!$C69</f>
        <v>0</v>
      </c>
      <c r="Q70" s="12">
        <f>'Supply2024-coding'!Q69*'Use 2024'!$C69</f>
        <v>0</v>
      </c>
      <c r="R70" s="12">
        <f>'Supply2024-coding'!R69*'Use 2024'!$C69</f>
        <v>0</v>
      </c>
      <c r="S70" s="12">
        <f>'Supply2024-coding'!S69*'Use 2024'!$C69</f>
        <v>0</v>
      </c>
      <c r="T70" s="12">
        <f>'Supply2024-coding'!T69*'Use 2024'!$C69</f>
        <v>0</v>
      </c>
      <c r="U70" s="12">
        <f>'Supply2024-coding'!U69*'Use 2024'!$C69</f>
        <v>0</v>
      </c>
      <c r="V70" s="12">
        <f>'Supply2024-coding'!V69*'Use 2024'!$C69</f>
        <v>0</v>
      </c>
      <c r="W70" s="12">
        <f>'Supply2024-coding'!W69*'Use 2024'!$C69</f>
        <v>0</v>
      </c>
      <c r="X70" s="12">
        <f>'Supply2024-coding'!X69*'Use 2024'!$C69</f>
        <v>0</v>
      </c>
      <c r="Y70" s="12">
        <f>'Supply2024-coding'!Y69*'Use 2024'!$C69</f>
        <v>0</v>
      </c>
      <c r="Z70" s="12">
        <f>'Supply2024-coding'!Z69*'Use 2024'!$C69</f>
        <v>0</v>
      </c>
      <c r="AA70" s="12">
        <f>'Supply2024-coding'!AA69*'Use 2024'!$C69</f>
        <v>0</v>
      </c>
      <c r="AB70" s="12">
        <f>'Supply2024-coding'!AB69*'Use 2024'!$C69</f>
        <v>0</v>
      </c>
      <c r="AC70" s="12">
        <f>'Supply2024-coding'!AC69*'Use 2024'!$C69</f>
        <v>0</v>
      </c>
      <c r="AD70" s="12">
        <f>'Supply2024-coding'!AD69*'Use 2024'!$C69</f>
        <v>0</v>
      </c>
      <c r="AE70" s="12">
        <f>'Supply2024-coding'!AE69*'Use 2024'!$C69</f>
        <v>0</v>
      </c>
      <c r="AF70" s="12">
        <f>'Supply2024-coding'!AF69*'Use 2024'!$C69</f>
        <v>0</v>
      </c>
      <c r="AG70" s="12">
        <f>'Supply2024-coding'!AG69*'Use 2024'!$C69</f>
        <v>0</v>
      </c>
      <c r="AH70" s="12">
        <f>'Supply2024-coding'!AH69*'Use 2024'!$C69</f>
        <v>0</v>
      </c>
      <c r="AI70" s="12">
        <f>'Supply2024-coding'!AI69*'Use 2024'!$C69</f>
        <v>0</v>
      </c>
      <c r="AJ70" s="12">
        <f>'Supply2024-coding'!AJ69*'Use 2024'!$C69</f>
        <v>0</v>
      </c>
      <c r="AK70" s="12">
        <f>'Supply2024-coding'!AK69*'Use 2024'!$C69</f>
        <v>0</v>
      </c>
      <c r="AL70" s="12">
        <f>'Supply2024-coding'!AL69*'Use 2024'!$C69</f>
        <v>0</v>
      </c>
      <c r="AM70" s="12">
        <f>'Supply2024-coding'!AM69*'Use 2024'!$C69</f>
        <v>0</v>
      </c>
      <c r="AN70" s="12">
        <f>'Supply2024-coding'!AN69*'Use 2024'!$C69</f>
        <v>0</v>
      </c>
      <c r="AO70" s="12">
        <f>'Supply2024-coding'!AO69*'Use 2024'!$C69</f>
        <v>0</v>
      </c>
      <c r="AP70" s="12">
        <f>'Supply2024-coding'!AP69*'Use 2024'!$C69</f>
        <v>0</v>
      </c>
      <c r="AQ70" s="12">
        <f>'Supply2024-coding'!AQ69*'Use 2024'!$C69</f>
        <v>0</v>
      </c>
      <c r="AR70" s="12">
        <f>'Supply2024-coding'!AR69*'Use 2024'!$C69</f>
        <v>0</v>
      </c>
      <c r="AS70" s="12">
        <f>'Supply2024-coding'!AS69*'Use 2024'!$C69</f>
        <v>0</v>
      </c>
      <c r="AT70" s="12">
        <f>'Supply2024-coding'!AT69*'Use 2024'!$C69</f>
        <v>0</v>
      </c>
      <c r="AU70" s="12">
        <f>'Supply2024-coding'!AU69*'Use 2024'!$C69</f>
        <v>0</v>
      </c>
      <c r="AV70" s="12">
        <f>'Supply2024-coding'!AV69*'Use 2024'!$C69</f>
        <v>0</v>
      </c>
      <c r="AW70" s="12">
        <f>'Supply2024-coding'!AW69*'Use 2024'!$C69</f>
        <v>0</v>
      </c>
      <c r="AX70" s="12">
        <f>'Supply2024-coding'!AX69*'Use 2024'!$C69</f>
        <v>0</v>
      </c>
      <c r="AY70" s="12">
        <f>'Supply2024-coding'!AY69*'Use 2024'!$C69</f>
        <v>0</v>
      </c>
      <c r="AZ70" s="12">
        <f>'Supply2024-coding'!AZ69*'Use 2024'!$C69</f>
        <v>0</v>
      </c>
      <c r="BA70" s="12">
        <f>'Supply2024-coding'!BA69*'Use 2024'!$C69</f>
        <v>0</v>
      </c>
      <c r="BB70" s="12">
        <f>'Supply2024-coding'!BB69*'Use 2024'!$C69</f>
        <v>0</v>
      </c>
      <c r="BC70" s="12">
        <f>'Supply2024-coding'!BC69*'Use 2024'!$C69</f>
        <v>0</v>
      </c>
      <c r="BD70" s="12">
        <f>'Supply2024-coding'!BD69*'Use 2024'!$C69</f>
        <v>0</v>
      </c>
      <c r="BE70" s="12">
        <f>'Supply2024-coding'!BE69*'Use 2024'!$C69</f>
        <v>0</v>
      </c>
      <c r="BF70" s="12">
        <f>'Supply2024-coding'!BF69*'Use 2024'!$C69</f>
        <v>0</v>
      </c>
      <c r="BG70" s="12">
        <f>'Supply2024-coding'!BG69*'Use 2024'!$C69</f>
        <v>0</v>
      </c>
      <c r="BH70" s="12">
        <f>'Supply2024-coding'!BH69*'Use 2024'!$C69</f>
        <v>0</v>
      </c>
      <c r="BI70" s="12">
        <f>'Supply2024-coding'!BI69*'Use 2024'!$C69</f>
        <v>0</v>
      </c>
      <c r="BJ70" s="12">
        <f>'Supply2024-coding'!BJ69*'Use 2024'!$C69</f>
        <v>0</v>
      </c>
      <c r="BK70" s="12">
        <f>'Supply2024-coding'!BK69*'Use 2024'!$C69</f>
        <v>0</v>
      </c>
      <c r="BL70" s="12">
        <f>'Supply2024-coding'!BL69*'Use 2024'!$C69</f>
        <v>0</v>
      </c>
      <c r="BM70" s="12">
        <f>'Supply2024-coding'!BM69*'Use 2024'!$C69</f>
        <v>0</v>
      </c>
      <c r="BN70" s="12">
        <f>'Supply2024-coding'!BN69*'Use 2024'!$C69</f>
        <v>0</v>
      </c>
      <c r="BO70" s="12">
        <f>'Supply2024-coding'!BO69*'Use 2024'!$C69</f>
        <v>0</v>
      </c>
      <c r="BP70" s="12">
        <f>'Supply2024-coding'!BP69*'Use 2024'!$C69</f>
        <v>0</v>
      </c>
      <c r="BQ70" s="12">
        <f>'Supply2024-coding'!BQ69*'Use 2024'!$C69</f>
        <v>0</v>
      </c>
      <c r="BR70" s="12">
        <f>'Supply2024-coding'!BR69*'Use 2024'!$C69</f>
        <v>0</v>
      </c>
      <c r="BS70" s="12">
        <f>'Supply2024-coding'!BS69*'Use 2024'!$C69</f>
        <v>0</v>
      </c>
      <c r="BT70" s="12">
        <f>'Supply2024-coding'!BT69*'Use 2024'!$C69</f>
        <v>0</v>
      </c>
      <c r="BU70" s="12">
        <f>'Supply2024-coding'!BU69*'Use 2024'!$C69</f>
        <v>0</v>
      </c>
      <c r="BV70" s="12">
        <f>'Supply2024-coding'!BV69*'Use 2024'!$C69</f>
        <v>0</v>
      </c>
      <c r="BW70" s="12">
        <f>'Supply2024-coding'!BW69*'Use 2024'!$C69</f>
        <v>0</v>
      </c>
      <c r="BX70" s="12">
        <f>'Supply2024-coding'!BX69*'Use 2024'!$C69</f>
        <v>0</v>
      </c>
      <c r="BY70" s="12">
        <f>'Supply2024-coding'!BY69*'Use 2024'!$C69</f>
        <v>0</v>
      </c>
      <c r="BZ70" s="12">
        <f>'Supply2024-coding'!BZ69*'Use 2024'!$C69</f>
        <v>0</v>
      </c>
      <c r="CA70" s="12" t="e">
        <f>'Supply2024-coding'!CA69*'Use 2024'!$C69</f>
        <v>#DIV/0!</v>
      </c>
      <c r="CB70" s="12">
        <f>'Supply2024-coding'!CB69*'Use 2024'!$C69</f>
        <v>0</v>
      </c>
      <c r="CC70" s="12">
        <f>'Supply2024-coding'!CC69*'Use 2024'!$C69</f>
        <v>0</v>
      </c>
      <c r="CD70" s="12">
        <f>'Supply2024-coding'!CD69*'Use 2024'!$C69</f>
        <v>0</v>
      </c>
      <c r="CE70" s="12">
        <f>'Supply2024-coding'!CE69*'Use 2024'!$C69</f>
        <v>0</v>
      </c>
      <c r="CF70" s="12">
        <f>'Supply2024-coding'!CF69*'Use 2024'!$C69</f>
        <v>0</v>
      </c>
      <c r="CG70" s="12">
        <f>'Supply2024-coding'!CG69*'Use 2024'!$C69</f>
        <v>0</v>
      </c>
    </row>
    <row r="71" spans="1:85" x14ac:dyDescent="0.25">
      <c r="A71" t="s">
        <v>69</v>
      </c>
      <c r="B71" t="s">
        <v>162</v>
      </c>
      <c r="C71" s="12">
        <f>'Supply2024-coding'!C70*'Use 2024'!$C70</f>
        <v>0</v>
      </c>
      <c r="D71" s="12">
        <f>'Supply2024-coding'!D70*'Use 2024'!$C70</f>
        <v>0</v>
      </c>
      <c r="E71" s="12">
        <f>'Supply2024-coding'!E70*'Use 2024'!$C70</f>
        <v>0</v>
      </c>
      <c r="F71" s="12">
        <f>'Supply2024-coding'!F70*'Use 2024'!$C70</f>
        <v>0</v>
      </c>
      <c r="G71" s="12">
        <f>'Supply2024-coding'!G70*'Use 2024'!$C70</f>
        <v>0</v>
      </c>
      <c r="H71" s="12">
        <f>'Supply2024-coding'!H70*'Use 2024'!$C70</f>
        <v>0</v>
      </c>
      <c r="I71" s="12">
        <f>'Supply2024-coding'!I70*'Use 2024'!$C70</f>
        <v>0</v>
      </c>
      <c r="J71" s="12">
        <f>'Supply2024-coding'!J70*'Use 2024'!$C70</f>
        <v>0</v>
      </c>
      <c r="K71" s="12">
        <f>'Supply2024-coding'!K70*'Use 2024'!$C70</f>
        <v>0</v>
      </c>
      <c r="L71" s="12">
        <f>'Supply2024-coding'!L70*'Use 2024'!$C70</f>
        <v>0</v>
      </c>
      <c r="M71" s="12">
        <f>'Supply2024-coding'!M70*'Use 2024'!$C70</f>
        <v>0</v>
      </c>
      <c r="N71" s="12">
        <f>'Supply2024-coding'!N70*'Use 2024'!$C70</f>
        <v>0</v>
      </c>
      <c r="O71" s="12">
        <f>'Supply2024-coding'!O70*'Use 2024'!$C70</f>
        <v>0</v>
      </c>
      <c r="P71" s="12">
        <f>'Supply2024-coding'!P70*'Use 2024'!$C70</f>
        <v>0</v>
      </c>
      <c r="Q71" s="12">
        <f>'Supply2024-coding'!Q70*'Use 2024'!$C70</f>
        <v>0</v>
      </c>
      <c r="R71" s="12">
        <f>'Supply2024-coding'!R70*'Use 2024'!$C70</f>
        <v>0</v>
      </c>
      <c r="S71" s="12">
        <f>'Supply2024-coding'!S70*'Use 2024'!$C70</f>
        <v>0</v>
      </c>
      <c r="T71" s="12">
        <f>'Supply2024-coding'!T70*'Use 2024'!$C70</f>
        <v>0</v>
      </c>
      <c r="U71" s="12">
        <f>'Supply2024-coding'!U70*'Use 2024'!$C70</f>
        <v>0</v>
      </c>
      <c r="V71" s="12">
        <f>'Supply2024-coding'!V70*'Use 2024'!$C70</f>
        <v>0</v>
      </c>
      <c r="W71" s="12">
        <f>'Supply2024-coding'!W70*'Use 2024'!$C70</f>
        <v>0</v>
      </c>
      <c r="X71" s="12">
        <f>'Supply2024-coding'!X70*'Use 2024'!$C70</f>
        <v>0</v>
      </c>
      <c r="Y71" s="12">
        <f>'Supply2024-coding'!Y70*'Use 2024'!$C70</f>
        <v>0</v>
      </c>
      <c r="Z71" s="12">
        <f>'Supply2024-coding'!Z70*'Use 2024'!$C70</f>
        <v>0</v>
      </c>
      <c r="AA71" s="12">
        <f>'Supply2024-coding'!AA70*'Use 2024'!$C70</f>
        <v>0</v>
      </c>
      <c r="AB71" s="12">
        <f>'Supply2024-coding'!AB70*'Use 2024'!$C70</f>
        <v>0</v>
      </c>
      <c r="AC71" s="12">
        <f>'Supply2024-coding'!AC70*'Use 2024'!$C70</f>
        <v>0</v>
      </c>
      <c r="AD71" s="12">
        <f>'Supply2024-coding'!AD70*'Use 2024'!$C70</f>
        <v>0</v>
      </c>
      <c r="AE71" s="12">
        <f>'Supply2024-coding'!AE70*'Use 2024'!$C70</f>
        <v>0</v>
      </c>
      <c r="AF71" s="12">
        <f>'Supply2024-coding'!AF70*'Use 2024'!$C70</f>
        <v>0</v>
      </c>
      <c r="AG71" s="12">
        <f>'Supply2024-coding'!AG70*'Use 2024'!$C70</f>
        <v>0</v>
      </c>
      <c r="AH71" s="12">
        <f>'Supply2024-coding'!AH70*'Use 2024'!$C70</f>
        <v>0</v>
      </c>
      <c r="AI71" s="12">
        <f>'Supply2024-coding'!AI70*'Use 2024'!$C70</f>
        <v>0</v>
      </c>
      <c r="AJ71" s="12">
        <f>'Supply2024-coding'!AJ70*'Use 2024'!$C70</f>
        <v>0</v>
      </c>
      <c r="AK71" s="12">
        <f>'Supply2024-coding'!AK70*'Use 2024'!$C70</f>
        <v>0</v>
      </c>
      <c r="AL71" s="12">
        <f>'Supply2024-coding'!AL70*'Use 2024'!$C70</f>
        <v>0</v>
      </c>
      <c r="AM71" s="12">
        <f>'Supply2024-coding'!AM70*'Use 2024'!$C70</f>
        <v>0</v>
      </c>
      <c r="AN71" s="12">
        <f>'Supply2024-coding'!AN70*'Use 2024'!$C70</f>
        <v>0</v>
      </c>
      <c r="AO71" s="12">
        <f>'Supply2024-coding'!AO70*'Use 2024'!$C70</f>
        <v>0</v>
      </c>
      <c r="AP71" s="12">
        <f>'Supply2024-coding'!AP70*'Use 2024'!$C70</f>
        <v>0</v>
      </c>
      <c r="AQ71" s="12">
        <f>'Supply2024-coding'!AQ70*'Use 2024'!$C70</f>
        <v>0</v>
      </c>
      <c r="AR71" s="12">
        <f>'Supply2024-coding'!AR70*'Use 2024'!$C70</f>
        <v>0</v>
      </c>
      <c r="AS71" s="12">
        <f>'Supply2024-coding'!AS70*'Use 2024'!$C70</f>
        <v>0</v>
      </c>
      <c r="AT71" s="12">
        <f>'Supply2024-coding'!AT70*'Use 2024'!$C70</f>
        <v>0</v>
      </c>
      <c r="AU71" s="12">
        <f>'Supply2024-coding'!AU70*'Use 2024'!$C70</f>
        <v>0</v>
      </c>
      <c r="AV71" s="12">
        <f>'Supply2024-coding'!AV70*'Use 2024'!$C70</f>
        <v>0</v>
      </c>
      <c r="AW71" s="12">
        <f>'Supply2024-coding'!AW70*'Use 2024'!$C70</f>
        <v>0</v>
      </c>
      <c r="AX71" s="12">
        <f>'Supply2024-coding'!AX70*'Use 2024'!$C70</f>
        <v>0</v>
      </c>
      <c r="AY71" s="12">
        <f>'Supply2024-coding'!AY70*'Use 2024'!$C70</f>
        <v>0</v>
      </c>
      <c r="AZ71" s="12">
        <f>'Supply2024-coding'!AZ70*'Use 2024'!$C70</f>
        <v>0</v>
      </c>
      <c r="BA71" s="12">
        <f>'Supply2024-coding'!BA70*'Use 2024'!$C70</f>
        <v>0</v>
      </c>
      <c r="BB71" s="12">
        <f>'Supply2024-coding'!BB70*'Use 2024'!$C70</f>
        <v>0</v>
      </c>
      <c r="BC71" s="12">
        <f>'Supply2024-coding'!BC70*'Use 2024'!$C70</f>
        <v>0</v>
      </c>
      <c r="BD71" s="12">
        <f>'Supply2024-coding'!BD70*'Use 2024'!$C70</f>
        <v>0</v>
      </c>
      <c r="BE71" s="12">
        <f>'Supply2024-coding'!BE70*'Use 2024'!$C70</f>
        <v>0</v>
      </c>
      <c r="BF71" s="12">
        <f>'Supply2024-coding'!BF70*'Use 2024'!$C70</f>
        <v>0</v>
      </c>
      <c r="BG71" s="12">
        <f>'Supply2024-coding'!BG70*'Use 2024'!$C70</f>
        <v>0</v>
      </c>
      <c r="BH71" s="12">
        <f>'Supply2024-coding'!BH70*'Use 2024'!$C70</f>
        <v>0</v>
      </c>
      <c r="BI71" s="12">
        <f>'Supply2024-coding'!BI70*'Use 2024'!$C70</f>
        <v>0</v>
      </c>
      <c r="BJ71" s="12">
        <f>'Supply2024-coding'!BJ70*'Use 2024'!$C70</f>
        <v>0</v>
      </c>
      <c r="BK71" s="12">
        <f>'Supply2024-coding'!BK70*'Use 2024'!$C70</f>
        <v>0</v>
      </c>
      <c r="BL71" s="12">
        <f>'Supply2024-coding'!BL70*'Use 2024'!$C70</f>
        <v>0</v>
      </c>
      <c r="BM71" s="12">
        <f>'Supply2024-coding'!BM70*'Use 2024'!$C70</f>
        <v>0</v>
      </c>
      <c r="BN71" s="12">
        <f>'Supply2024-coding'!BN70*'Use 2024'!$C70</f>
        <v>0</v>
      </c>
      <c r="BO71" s="12">
        <f>'Supply2024-coding'!BO70*'Use 2024'!$C70</f>
        <v>0</v>
      </c>
      <c r="BP71" s="12">
        <f>'Supply2024-coding'!BP70*'Use 2024'!$C70</f>
        <v>0</v>
      </c>
      <c r="BQ71" s="12">
        <f>'Supply2024-coding'!BQ70*'Use 2024'!$C70</f>
        <v>0</v>
      </c>
      <c r="BR71" s="12">
        <f>'Supply2024-coding'!BR70*'Use 2024'!$C70</f>
        <v>-1.0355881154849383E-5</v>
      </c>
      <c r="BS71" s="12">
        <f>'Supply2024-coding'!BS70*'Use 2024'!$C70</f>
        <v>5.6866670067359772E-2</v>
      </c>
      <c r="BT71" s="12">
        <f>'Supply2024-coding'!BT70*'Use 2024'!$C70</f>
        <v>0</v>
      </c>
      <c r="BU71" s="12">
        <f>'Supply2024-coding'!BU70*'Use 2024'!$C70</f>
        <v>0</v>
      </c>
      <c r="BV71" s="12">
        <f>'Supply2024-coding'!BV70*'Use 2024'!$C70</f>
        <v>1.3427103001201543E-4</v>
      </c>
      <c r="BW71" s="12">
        <f>'Supply2024-coding'!BW70*'Use 2024'!$C70</f>
        <v>4.3250154336005384E-6</v>
      </c>
      <c r="BX71" s="12">
        <f>'Supply2024-coding'!BX70*'Use 2024'!$C70</f>
        <v>0</v>
      </c>
      <c r="BY71" s="12">
        <f>'Supply2024-coding'!BY70*'Use 2024'!$C70</f>
        <v>1.2531600233338543E-4</v>
      </c>
      <c r="BZ71" s="12">
        <f>'Supply2024-coding'!BZ70*'Use 2024'!$C70</f>
        <v>0</v>
      </c>
      <c r="CA71" s="12" t="e">
        <f>'Supply2024-coding'!CA70*'Use 2024'!$C70</f>
        <v>#DIV/0!</v>
      </c>
      <c r="CB71" s="12">
        <f>'Supply2024-coding'!CB70*'Use 2024'!$C70</f>
        <v>0</v>
      </c>
      <c r="CC71" s="12">
        <f>'Supply2024-coding'!CC70*'Use 2024'!$C70</f>
        <v>0</v>
      </c>
      <c r="CD71" s="12">
        <f>'Supply2024-coding'!CD70*'Use 2024'!$C70</f>
        <v>0</v>
      </c>
      <c r="CE71" s="12">
        <f>'Supply2024-coding'!CE70*'Use 2024'!$C70</f>
        <v>0</v>
      </c>
      <c r="CF71" s="12">
        <f>'Supply2024-coding'!CF70*'Use 2024'!$C70</f>
        <v>0</v>
      </c>
      <c r="CG71" s="12">
        <f>'Supply2024-coding'!CG70*'Use 2024'!$C70</f>
        <v>1.2298939072154363E-4</v>
      </c>
    </row>
    <row r="72" spans="1:85" x14ac:dyDescent="0.25">
      <c r="A72" t="s">
        <v>70</v>
      </c>
      <c r="B72" t="s">
        <v>163</v>
      </c>
      <c r="C72" s="12">
        <f>'Supply2024-coding'!C71*'Use 2024'!$C71</f>
        <v>0</v>
      </c>
      <c r="D72" s="12">
        <f>'Supply2024-coding'!D71*'Use 2024'!$C71</f>
        <v>0</v>
      </c>
      <c r="E72" s="12">
        <f>'Supply2024-coding'!E71*'Use 2024'!$C71</f>
        <v>0</v>
      </c>
      <c r="F72" s="12">
        <f>'Supply2024-coding'!F71*'Use 2024'!$C71</f>
        <v>0</v>
      </c>
      <c r="G72" s="12">
        <f>'Supply2024-coding'!G71*'Use 2024'!$C71</f>
        <v>0</v>
      </c>
      <c r="H72" s="12">
        <f>'Supply2024-coding'!H71*'Use 2024'!$C71</f>
        <v>0</v>
      </c>
      <c r="I72" s="12">
        <f>'Supply2024-coding'!I71*'Use 2024'!$C71</f>
        <v>0</v>
      </c>
      <c r="J72" s="12">
        <f>'Supply2024-coding'!J71*'Use 2024'!$C71</f>
        <v>0</v>
      </c>
      <c r="K72" s="12">
        <f>'Supply2024-coding'!K71*'Use 2024'!$C71</f>
        <v>0</v>
      </c>
      <c r="L72" s="12">
        <f>'Supply2024-coding'!L71*'Use 2024'!$C71</f>
        <v>0</v>
      </c>
      <c r="M72" s="12">
        <f>'Supply2024-coding'!M71*'Use 2024'!$C71</f>
        <v>0</v>
      </c>
      <c r="N72" s="12">
        <f>'Supply2024-coding'!N71*'Use 2024'!$C71</f>
        <v>0</v>
      </c>
      <c r="O72" s="12">
        <f>'Supply2024-coding'!O71*'Use 2024'!$C71</f>
        <v>0</v>
      </c>
      <c r="P72" s="12">
        <f>'Supply2024-coding'!P71*'Use 2024'!$C71</f>
        <v>0</v>
      </c>
      <c r="Q72" s="12">
        <f>'Supply2024-coding'!Q71*'Use 2024'!$C71</f>
        <v>0</v>
      </c>
      <c r="R72" s="12">
        <f>'Supply2024-coding'!R71*'Use 2024'!$C71</f>
        <v>0</v>
      </c>
      <c r="S72" s="12">
        <f>'Supply2024-coding'!S71*'Use 2024'!$C71</f>
        <v>0</v>
      </c>
      <c r="T72" s="12">
        <f>'Supply2024-coding'!T71*'Use 2024'!$C71</f>
        <v>0</v>
      </c>
      <c r="U72" s="12">
        <f>'Supply2024-coding'!U71*'Use 2024'!$C71</f>
        <v>0</v>
      </c>
      <c r="V72" s="12">
        <f>'Supply2024-coding'!V71*'Use 2024'!$C71</f>
        <v>0</v>
      </c>
      <c r="W72" s="12">
        <f>'Supply2024-coding'!W71*'Use 2024'!$C71</f>
        <v>0</v>
      </c>
      <c r="X72" s="12">
        <f>'Supply2024-coding'!X71*'Use 2024'!$C71</f>
        <v>0</v>
      </c>
      <c r="Y72" s="12">
        <f>'Supply2024-coding'!Y71*'Use 2024'!$C71</f>
        <v>0</v>
      </c>
      <c r="Z72" s="12">
        <f>'Supply2024-coding'!Z71*'Use 2024'!$C71</f>
        <v>0</v>
      </c>
      <c r="AA72" s="12">
        <f>'Supply2024-coding'!AA71*'Use 2024'!$C71</f>
        <v>0</v>
      </c>
      <c r="AB72" s="12">
        <f>'Supply2024-coding'!AB71*'Use 2024'!$C71</f>
        <v>0</v>
      </c>
      <c r="AC72" s="12">
        <f>'Supply2024-coding'!AC71*'Use 2024'!$C71</f>
        <v>0</v>
      </c>
      <c r="AD72" s="12">
        <f>'Supply2024-coding'!AD71*'Use 2024'!$C71</f>
        <v>0</v>
      </c>
      <c r="AE72" s="12">
        <f>'Supply2024-coding'!AE71*'Use 2024'!$C71</f>
        <v>0</v>
      </c>
      <c r="AF72" s="12">
        <f>'Supply2024-coding'!AF71*'Use 2024'!$C71</f>
        <v>0</v>
      </c>
      <c r="AG72" s="12">
        <f>'Supply2024-coding'!AG71*'Use 2024'!$C71</f>
        <v>0</v>
      </c>
      <c r="AH72" s="12">
        <f>'Supply2024-coding'!AH71*'Use 2024'!$C71</f>
        <v>0</v>
      </c>
      <c r="AI72" s="12">
        <f>'Supply2024-coding'!AI71*'Use 2024'!$C71</f>
        <v>0</v>
      </c>
      <c r="AJ72" s="12">
        <f>'Supply2024-coding'!AJ71*'Use 2024'!$C71</f>
        <v>0</v>
      </c>
      <c r="AK72" s="12">
        <f>'Supply2024-coding'!AK71*'Use 2024'!$C71</f>
        <v>0</v>
      </c>
      <c r="AL72" s="12">
        <f>'Supply2024-coding'!AL71*'Use 2024'!$C71</f>
        <v>0</v>
      </c>
      <c r="AM72" s="12">
        <f>'Supply2024-coding'!AM71*'Use 2024'!$C71</f>
        <v>0</v>
      </c>
      <c r="AN72" s="12">
        <f>'Supply2024-coding'!AN71*'Use 2024'!$C71</f>
        <v>0</v>
      </c>
      <c r="AO72" s="12">
        <f>'Supply2024-coding'!AO71*'Use 2024'!$C71</f>
        <v>0</v>
      </c>
      <c r="AP72" s="12">
        <f>'Supply2024-coding'!AP71*'Use 2024'!$C71</f>
        <v>0</v>
      </c>
      <c r="AQ72" s="12">
        <f>'Supply2024-coding'!AQ71*'Use 2024'!$C71</f>
        <v>0</v>
      </c>
      <c r="AR72" s="12">
        <f>'Supply2024-coding'!AR71*'Use 2024'!$C71</f>
        <v>0</v>
      </c>
      <c r="AS72" s="12">
        <f>'Supply2024-coding'!AS71*'Use 2024'!$C71</f>
        <v>0</v>
      </c>
      <c r="AT72" s="12">
        <f>'Supply2024-coding'!AT71*'Use 2024'!$C71</f>
        <v>0</v>
      </c>
      <c r="AU72" s="12">
        <f>'Supply2024-coding'!AU71*'Use 2024'!$C71</f>
        <v>0</v>
      </c>
      <c r="AV72" s="12">
        <f>'Supply2024-coding'!AV71*'Use 2024'!$C71</f>
        <v>0</v>
      </c>
      <c r="AW72" s="12">
        <f>'Supply2024-coding'!AW71*'Use 2024'!$C71</f>
        <v>0</v>
      </c>
      <c r="AX72" s="12">
        <f>'Supply2024-coding'!AX71*'Use 2024'!$C71</f>
        <v>0</v>
      </c>
      <c r="AY72" s="12">
        <f>'Supply2024-coding'!AY71*'Use 2024'!$C71</f>
        <v>0</v>
      </c>
      <c r="AZ72" s="12">
        <f>'Supply2024-coding'!AZ71*'Use 2024'!$C71</f>
        <v>0</v>
      </c>
      <c r="BA72" s="12">
        <f>'Supply2024-coding'!BA71*'Use 2024'!$C71</f>
        <v>0</v>
      </c>
      <c r="BB72" s="12">
        <f>'Supply2024-coding'!BB71*'Use 2024'!$C71</f>
        <v>0</v>
      </c>
      <c r="BC72" s="12">
        <f>'Supply2024-coding'!BC71*'Use 2024'!$C71</f>
        <v>0</v>
      </c>
      <c r="BD72" s="12">
        <f>'Supply2024-coding'!BD71*'Use 2024'!$C71</f>
        <v>0</v>
      </c>
      <c r="BE72" s="12">
        <f>'Supply2024-coding'!BE71*'Use 2024'!$C71</f>
        <v>0</v>
      </c>
      <c r="BF72" s="12">
        <f>'Supply2024-coding'!BF71*'Use 2024'!$C71</f>
        <v>0</v>
      </c>
      <c r="BG72" s="12">
        <f>'Supply2024-coding'!BG71*'Use 2024'!$C71</f>
        <v>0</v>
      </c>
      <c r="BH72" s="12">
        <f>'Supply2024-coding'!BH71*'Use 2024'!$C71</f>
        <v>0</v>
      </c>
      <c r="BI72" s="12">
        <f>'Supply2024-coding'!BI71*'Use 2024'!$C71</f>
        <v>0</v>
      </c>
      <c r="BJ72" s="12">
        <f>'Supply2024-coding'!BJ71*'Use 2024'!$C71</f>
        <v>0</v>
      </c>
      <c r="BK72" s="12">
        <f>'Supply2024-coding'!BK71*'Use 2024'!$C71</f>
        <v>0</v>
      </c>
      <c r="BL72" s="12">
        <f>'Supply2024-coding'!BL71*'Use 2024'!$C71</f>
        <v>0</v>
      </c>
      <c r="BM72" s="12">
        <f>'Supply2024-coding'!BM71*'Use 2024'!$C71</f>
        <v>0</v>
      </c>
      <c r="BN72" s="12">
        <f>'Supply2024-coding'!BN71*'Use 2024'!$C71</f>
        <v>0</v>
      </c>
      <c r="BO72" s="12">
        <f>'Supply2024-coding'!BO71*'Use 2024'!$C71</f>
        <v>0</v>
      </c>
      <c r="BP72" s="12">
        <f>'Supply2024-coding'!BP71*'Use 2024'!$C71</f>
        <v>0</v>
      </c>
      <c r="BQ72" s="12">
        <f>'Supply2024-coding'!BQ71*'Use 2024'!$C71</f>
        <v>0</v>
      </c>
      <c r="BR72" s="12">
        <f>'Supply2024-coding'!BR71*'Use 2024'!$C71</f>
        <v>0</v>
      </c>
      <c r="BS72" s="12">
        <f>'Supply2024-coding'!BS71*'Use 2024'!$C71</f>
        <v>0</v>
      </c>
      <c r="BT72" s="12">
        <f>'Supply2024-coding'!BT71*'Use 2024'!$C71</f>
        <v>0</v>
      </c>
      <c r="BU72" s="12">
        <f>'Supply2024-coding'!BU71*'Use 2024'!$C71</f>
        <v>0</v>
      </c>
      <c r="BV72" s="12">
        <f>'Supply2024-coding'!BV71*'Use 2024'!$C71</f>
        <v>0</v>
      </c>
      <c r="BW72" s="12">
        <f>'Supply2024-coding'!BW71*'Use 2024'!$C71</f>
        <v>0</v>
      </c>
      <c r="BX72" s="12">
        <f>'Supply2024-coding'!BX71*'Use 2024'!$C71</f>
        <v>0</v>
      </c>
      <c r="BY72" s="12">
        <f>'Supply2024-coding'!BY71*'Use 2024'!$C71</f>
        <v>0</v>
      </c>
      <c r="BZ72" s="12">
        <f>'Supply2024-coding'!BZ71*'Use 2024'!$C71</f>
        <v>0</v>
      </c>
      <c r="CA72" s="12" t="e">
        <f>'Supply2024-coding'!CA71*'Use 2024'!$C71</f>
        <v>#DIV/0!</v>
      </c>
      <c r="CB72" s="12">
        <f>'Supply2024-coding'!CB71*'Use 2024'!$C71</f>
        <v>0</v>
      </c>
      <c r="CC72" s="12">
        <f>'Supply2024-coding'!CC71*'Use 2024'!$C71</f>
        <v>0</v>
      </c>
      <c r="CD72" s="12">
        <f>'Supply2024-coding'!CD71*'Use 2024'!$C71</f>
        <v>0</v>
      </c>
      <c r="CE72" s="12">
        <f>'Supply2024-coding'!CE71*'Use 2024'!$C71</f>
        <v>0</v>
      </c>
      <c r="CF72" s="12">
        <f>'Supply2024-coding'!CF71*'Use 2024'!$C71</f>
        <v>0</v>
      </c>
      <c r="CG72" s="12">
        <f>'Supply2024-coding'!CG71*'Use 2024'!$C71</f>
        <v>0</v>
      </c>
    </row>
    <row r="73" spans="1:85" x14ac:dyDescent="0.25">
      <c r="A73" t="s">
        <v>71</v>
      </c>
      <c r="B73" t="s">
        <v>164</v>
      </c>
      <c r="C73" s="12">
        <f>'Supply2024-coding'!C72*'Use 2024'!$C72</f>
        <v>0</v>
      </c>
      <c r="D73" s="12">
        <f>'Supply2024-coding'!D72*'Use 2024'!$C72</f>
        <v>0</v>
      </c>
      <c r="E73" s="12">
        <f>'Supply2024-coding'!E72*'Use 2024'!$C72</f>
        <v>0</v>
      </c>
      <c r="F73" s="12">
        <f>'Supply2024-coding'!F72*'Use 2024'!$C72</f>
        <v>0</v>
      </c>
      <c r="G73" s="12">
        <f>'Supply2024-coding'!G72*'Use 2024'!$C72</f>
        <v>0</v>
      </c>
      <c r="H73" s="12">
        <f>'Supply2024-coding'!H72*'Use 2024'!$C72</f>
        <v>7.1380135521527362E-3</v>
      </c>
      <c r="I73" s="12">
        <f>'Supply2024-coding'!I72*'Use 2024'!$C72</f>
        <v>0</v>
      </c>
      <c r="J73" s="12">
        <f>'Supply2024-coding'!J72*'Use 2024'!$C72</f>
        <v>0</v>
      </c>
      <c r="K73" s="12">
        <f>'Supply2024-coding'!K72*'Use 2024'!$C72</f>
        <v>0</v>
      </c>
      <c r="L73" s="12">
        <f>'Supply2024-coding'!L72*'Use 2024'!$C72</f>
        <v>0</v>
      </c>
      <c r="M73" s="12">
        <f>'Supply2024-coding'!M72*'Use 2024'!$C72</f>
        <v>0</v>
      </c>
      <c r="N73" s="12">
        <f>'Supply2024-coding'!N72*'Use 2024'!$C72</f>
        <v>0</v>
      </c>
      <c r="O73" s="12">
        <f>'Supply2024-coding'!O72*'Use 2024'!$C72</f>
        <v>0</v>
      </c>
      <c r="P73" s="12">
        <f>'Supply2024-coding'!P72*'Use 2024'!$C72</f>
        <v>0</v>
      </c>
      <c r="Q73" s="12">
        <f>'Supply2024-coding'!Q72*'Use 2024'!$C72</f>
        <v>0</v>
      </c>
      <c r="R73" s="12">
        <f>'Supply2024-coding'!R72*'Use 2024'!$C72</f>
        <v>0</v>
      </c>
      <c r="S73" s="12">
        <f>'Supply2024-coding'!S72*'Use 2024'!$C72</f>
        <v>0</v>
      </c>
      <c r="T73" s="12">
        <f>'Supply2024-coding'!T72*'Use 2024'!$C72</f>
        <v>0</v>
      </c>
      <c r="U73" s="12">
        <f>'Supply2024-coding'!U72*'Use 2024'!$C72</f>
        <v>0</v>
      </c>
      <c r="V73" s="12">
        <f>'Supply2024-coding'!V72*'Use 2024'!$C72</f>
        <v>0</v>
      </c>
      <c r="W73" s="12">
        <f>'Supply2024-coding'!W72*'Use 2024'!$C72</f>
        <v>0</v>
      </c>
      <c r="X73" s="12">
        <f>'Supply2024-coding'!X72*'Use 2024'!$C72</f>
        <v>0</v>
      </c>
      <c r="Y73" s="12">
        <f>'Supply2024-coding'!Y72*'Use 2024'!$C72</f>
        <v>0</v>
      </c>
      <c r="Z73" s="12">
        <f>'Supply2024-coding'!Z72*'Use 2024'!$C72</f>
        <v>0</v>
      </c>
      <c r="AA73" s="12">
        <f>'Supply2024-coding'!AA72*'Use 2024'!$C72</f>
        <v>0</v>
      </c>
      <c r="AB73" s="12">
        <f>'Supply2024-coding'!AB72*'Use 2024'!$C72</f>
        <v>0</v>
      </c>
      <c r="AC73" s="12">
        <f>'Supply2024-coding'!AC72*'Use 2024'!$C72</f>
        <v>0</v>
      </c>
      <c r="AD73" s="12">
        <f>'Supply2024-coding'!AD72*'Use 2024'!$C72</f>
        <v>0</v>
      </c>
      <c r="AE73" s="12">
        <f>'Supply2024-coding'!AE72*'Use 2024'!$C72</f>
        <v>0</v>
      </c>
      <c r="AF73" s="12">
        <f>'Supply2024-coding'!AF72*'Use 2024'!$C72</f>
        <v>0</v>
      </c>
      <c r="AG73" s="12">
        <f>'Supply2024-coding'!AG72*'Use 2024'!$C72</f>
        <v>0</v>
      </c>
      <c r="AH73" s="12">
        <f>'Supply2024-coding'!AH72*'Use 2024'!$C72</f>
        <v>0</v>
      </c>
      <c r="AI73" s="12">
        <f>'Supply2024-coding'!AI72*'Use 2024'!$C72</f>
        <v>0</v>
      </c>
      <c r="AJ73" s="12">
        <f>'Supply2024-coding'!AJ72*'Use 2024'!$C72</f>
        <v>0</v>
      </c>
      <c r="AK73" s="12">
        <f>'Supply2024-coding'!AK72*'Use 2024'!$C72</f>
        <v>0</v>
      </c>
      <c r="AL73" s="12">
        <f>'Supply2024-coding'!AL72*'Use 2024'!$C72</f>
        <v>0</v>
      </c>
      <c r="AM73" s="12">
        <f>'Supply2024-coding'!AM72*'Use 2024'!$C72</f>
        <v>0</v>
      </c>
      <c r="AN73" s="12">
        <f>'Supply2024-coding'!AN72*'Use 2024'!$C72</f>
        <v>0</v>
      </c>
      <c r="AO73" s="12">
        <f>'Supply2024-coding'!AO72*'Use 2024'!$C72</f>
        <v>0</v>
      </c>
      <c r="AP73" s="12">
        <f>'Supply2024-coding'!AP72*'Use 2024'!$C72</f>
        <v>0</v>
      </c>
      <c r="AQ73" s="12">
        <f>'Supply2024-coding'!AQ72*'Use 2024'!$C72</f>
        <v>0</v>
      </c>
      <c r="AR73" s="12">
        <f>'Supply2024-coding'!AR72*'Use 2024'!$C72</f>
        <v>0</v>
      </c>
      <c r="AS73" s="12">
        <f>'Supply2024-coding'!AS72*'Use 2024'!$C72</f>
        <v>0</v>
      </c>
      <c r="AT73" s="12">
        <f>'Supply2024-coding'!AT72*'Use 2024'!$C72</f>
        <v>0</v>
      </c>
      <c r="AU73" s="12">
        <f>'Supply2024-coding'!AU72*'Use 2024'!$C72</f>
        <v>0</v>
      </c>
      <c r="AV73" s="12">
        <f>'Supply2024-coding'!AV72*'Use 2024'!$C72</f>
        <v>0</v>
      </c>
      <c r="AW73" s="12">
        <f>'Supply2024-coding'!AW72*'Use 2024'!$C72</f>
        <v>0</v>
      </c>
      <c r="AX73" s="12">
        <f>'Supply2024-coding'!AX72*'Use 2024'!$C72</f>
        <v>0</v>
      </c>
      <c r="AY73" s="12">
        <f>'Supply2024-coding'!AY72*'Use 2024'!$C72</f>
        <v>0</v>
      </c>
      <c r="AZ73" s="12">
        <f>'Supply2024-coding'!AZ72*'Use 2024'!$C72</f>
        <v>0</v>
      </c>
      <c r="BA73" s="12">
        <f>'Supply2024-coding'!BA72*'Use 2024'!$C72</f>
        <v>0</v>
      </c>
      <c r="BB73" s="12">
        <f>'Supply2024-coding'!BB72*'Use 2024'!$C72</f>
        <v>0</v>
      </c>
      <c r="BC73" s="12">
        <f>'Supply2024-coding'!BC72*'Use 2024'!$C72</f>
        <v>0</v>
      </c>
      <c r="BD73" s="12">
        <f>'Supply2024-coding'!BD72*'Use 2024'!$C72</f>
        <v>0</v>
      </c>
      <c r="BE73" s="12">
        <f>'Supply2024-coding'!BE72*'Use 2024'!$C72</f>
        <v>0</v>
      </c>
      <c r="BF73" s="12">
        <f>'Supply2024-coding'!BF72*'Use 2024'!$C72</f>
        <v>0</v>
      </c>
      <c r="BG73" s="12">
        <f>'Supply2024-coding'!BG72*'Use 2024'!$C72</f>
        <v>0</v>
      </c>
      <c r="BH73" s="12">
        <f>'Supply2024-coding'!BH72*'Use 2024'!$C72</f>
        <v>0</v>
      </c>
      <c r="BI73" s="12">
        <f>'Supply2024-coding'!BI72*'Use 2024'!$C72</f>
        <v>0</v>
      </c>
      <c r="BJ73" s="12">
        <f>'Supply2024-coding'!BJ72*'Use 2024'!$C72</f>
        <v>0</v>
      </c>
      <c r="BK73" s="12">
        <f>'Supply2024-coding'!BK72*'Use 2024'!$C72</f>
        <v>0</v>
      </c>
      <c r="BL73" s="12">
        <f>'Supply2024-coding'!BL72*'Use 2024'!$C72</f>
        <v>0</v>
      </c>
      <c r="BM73" s="12">
        <f>'Supply2024-coding'!BM72*'Use 2024'!$C72</f>
        <v>0</v>
      </c>
      <c r="BN73" s="12">
        <f>'Supply2024-coding'!BN72*'Use 2024'!$C72</f>
        <v>0</v>
      </c>
      <c r="BO73" s="12">
        <f>'Supply2024-coding'!BO72*'Use 2024'!$C72</f>
        <v>0</v>
      </c>
      <c r="BP73" s="12">
        <f>'Supply2024-coding'!BP72*'Use 2024'!$C72</f>
        <v>0</v>
      </c>
      <c r="BQ73" s="12">
        <f>'Supply2024-coding'!BQ72*'Use 2024'!$C72</f>
        <v>0</v>
      </c>
      <c r="BR73" s="12">
        <f>'Supply2024-coding'!BR72*'Use 2024'!$C72</f>
        <v>0</v>
      </c>
      <c r="BS73" s="12">
        <f>'Supply2024-coding'!BS72*'Use 2024'!$C72</f>
        <v>0</v>
      </c>
      <c r="BT73" s="12">
        <f>'Supply2024-coding'!BT72*'Use 2024'!$C72</f>
        <v>0</v>
      </c>
      <c r="BU73" s="12">
        <f>'Supply2024-coding'!BU72*'Use 2024'!$C72</f>
        <v>0.19191750143721889</v>
      </c>
      <c r="BV73" s="12">
        <f>'Supply2024-coding'!BV72*'Use 2024'!$C72</f>
        <v>2.1586997445814811E-3</v>
      </c>
      <c r="BW73" s="12">
        <f>'Supply2024-coding'!BW72*'Use 2024'!$C72</f>
        <v>0</v>
      </c>
      <c r="BX73" s="12">
        <f>'Supply2024-coding'!BX72*'Use 2024'!$C72</f>
        <v>0</v>
      </c>
      <c r="BY73" s="12">
        <f>'Supply2024-coding'!BY72*'Use 2024'!$C72</f>
        <v>2.0098948901964972E-3</v>
      </c>
      <c r="BZ73" s="12">
        <f>'Supply2024-coding'!BZ72*'Use 2024'!$C72</f>
        <v>0</v>
      </c>
      <c r="CA73" s="12" t="e">
        <f>'Supply2024-coding'!CA72*'Use 2024'!$C72</f>
        <v>#DIV/0!</v>
      </c>
      <c r="CB73" s="12">
        <f>'Supply2024-coding'!CB72*'Use 2024'!$C72</f>
        <v>0</v>
      </c>
      <c r="CC73" s="12">
        <f>'Supply2024-coding'!CC72*'Use 2024'!$C72</f>
        <v>0</v>
      </c>
      <c r="CD73" s="12">
        <f>'Supply2024-coding'!CD72*'Use 2024'!$C72</f>
        <v>0</v>
      </c>
      <c r="CE73" s="12">
        <f>'Supply2024-coding'!CE72*'Use 2024'!$C72</f>
        <v>0</v>
      </c>
      <c r="CF73" s="12">
        <f>'Supply2024-coding'!CF72*'Use 2024'!$C72</f>
        <v>0</v>
      </c>
      <c r="CG73" s="12">
        <f>'Supply2024-coding'!CG72*'Use 2024'!$C72</f>
        <v>1.9725792664689532E-3</v>
      </c>
    </row>
    <row r="74" spans="1:85" x14ac:dyDescent="0.25">
      <c r="A74" t="s">
        <v>166</v>
      </c>
      <c r="B74" t="s">
        <v>167</v>
      </c>
      <c r="C74" s="12">
        <f>'Supply2024-coding'!C73*'Use 2024'!$C73</f>
        <v>0</v>
      </c>
      <c r="D74" s="12">
        <f>'Supply2024-coding'!D73*'Use 2024'!$C73</f>
        <v>0</v>
      </c>
      <c r="E74" s="12">
        <f>'Supply2024-coding'!E73*'Use 2024'!$C73</f>
        <v>0</v>
      </c>
      <c r="F74" s="12">
        <f>'Supply2024-coding'!F73*'Use 2024'!$C73</f>
        <v>0</v>
      </c>
      <c r="G74" s="12">
        <f>'Supply2024-coding'!G73*'Use 2024'!$C73</f>
        <v>0</v>
      </c>
      <c r="H74" s="12">
        <f>'Supply2024-coding'!H73*'Use 2024'!$C73</f>
        <v>0</v>
      </c>
      <c r="I74" s="12">
        <f>'Supply2024-coding'!I73*'Use 2024'!$C73</f>
        <v>0</v>
      </c>
      <c r="J74" s="12">
        <f>'Supply2024-coding'!J73*'Use 2024'!$C73</f>
        <v>1.4318438928183487E-3</v>
      </c>
      <c r="K74" s="12">
        <f>'Supply2024-coding'!K73*'Use 2024'!$C73</f>
        <v>2.3068309091009382E-5</v>
      </c>
      <c r="L74" s="12">
        <f>'Supply2024-coding'!L73*'Use 2024'!$C73</f>
        <v>1.342357706620423E-3</v>
      </c>
      <c r="M74" s="12">
        <f>'Supply2024-coding'!M73*'Use 2024'!$C73</f>
        <v>5.3583574311885781E-3</v>
      </c>
      <c r="N74" s="12">
        <f>'Supply2024-coding'!N73*'Use 2024'!$C73</f>
        <v>6.1702619117019243E-4</v>
      </c>
      <c r="O74" s="12">
        <f>'Supply2024-coding'!O73*'Use 2024'!$C73</f>
        <v>0</v>
      </c>
      <c r="P74" s="12">
        <f>'Supply2024-coding'!P73*'Use 2024'!$C73</f>
        <v>0</v>
      </c>
      <c r="Q74" s="12">
        <f>'Supply2024-coding'!Q73*'Use 2024'!$C73</f>
        <v>3.3808258896102152E-4</v>
      </c>
      <c r="R74" s="12">
        <f>'Supply2024-coding'!R73*'Use 2024'!$C73</f>
        <v>7.1431035225319367E-5</v>
      </c>
      <c r="S74" s="12">
        <f>'Supply2024-coding'!S73*'Use 2024'!$C73</f>
        <v>0</v>
      </c>
      <c r="T74" s="12">
        <f>'Supply2024-coding'!T73*'Use 2024'!$C73</f>
        <v>0</v>
      </c>
      <c r="U74" s="12">
        <f>'Supply2024-coding'!U73*'Use 2024'!$C73</f>
        <v>5.4355104814539496E-7</v>
      </c>
      <c r="V74" s="12">
        <f>'Supply2024-coding'!V73*'Use 2024'!$C73</f>
        <v>0</v>
      </c>
      <c r="W74" s="12">
        <f>'Supply2024-coding'!W73*'Use 2024'!$C73</f>
        <v>0</v>
      </c>
      <c r="X74" s="12">
        <f>'Supply2024-coding'!X73*'Use 2024'!$C73</f>
        <v>1.7730658952188581E-3</v>
      </c>
      <c r="Y74" s="12">
        <f>'Supply2024-coding'!Y73*'Use 2024'!$C73</f>
        <v>1.3727369670068282E-3</v>
      </c>
      <c r="Z74" s="12">
        <f>'Supply2024-coding'!Z73*'Use 2024'!$C73</f>
        <v>0</v>
      </c>
      <c r="AA74" s="12">
        <f>'Supply2024-coding'!AA73*'Use 2024'!$C73</f>
        <v>0</v>
      </c>
      <c r="AB74" s="12">
        <f>'Supply2024-coding'!AB73*'Use 2024'!$C73</f>
        <v>6.362088803754174E-4</v>
      </c>
      <c r="AC74" s="12">
        <f>'Supply2024-coding'!AC73*'Use 2024'!$C73</f>
        <v>0</v>
      </c>
      <c r="AD74" s="12">
        <f>'Supply2024-coding'!AD73*'Use 2024'!$C73</f>
        <v>0</v>
      </c>
      <c r="AE74" s="12">
        <f>'Supply2024-coding'!AE73*'Use 2024'!$C73</f>
        <v>0</v>
      </c>
      <c r="AF74" s="12">
        <f>'Supply2024-coding'!AF73*'Use 2024'!$C73</f>
        <v>0</v>
      </c>
      <c r="AG74" s="12">
        <f>'Supply2024-coding'!AG73*'Use 2024'!$C73</f>
        <v>0</v>
      </c>
      <c r="AH74" s="12">
        <f>'Supply2024-coding'!AH73*'Use 2024'!$C73</f>
        <v>0</v>
      </c>
      <c r="AI74" s="12">
        <f>'Supply2024-coding'!AI73*'Use 2024'!$C73</f>
        <v>0</v>
      </c>
      <c r="AJ74" s="12">
        <f>'Supply2024-coding'!AJ73*'Use 2024'!$C73</f>
        <v>0</v>
      </c>
      <c r="AK74" s="12">
        <f>'Supply2024-coding'!AK73*'Use 2024'!$C73</f>
        <v>0</v>
      </c>
      <c r="AL74" s="12">
        <f>'Supply2024-coding'!AL73*'Use 2024'!$C73</f>
        <v>0</v>
      </c>
      <c r="AM74" s="12">
        <f>'Supply2024-coding'!AM73*'Use 2024'!$C73</f>
        <v>0</v>
      </c>
      <c r="AN74" s="12">
        <f>'Supply2024-coding'!AN73*'Use 2024'!$C73</f>
        <v>0</v>
      </c>
      <c r="AO74" s="12">
        <f>'Supply2024-coding'!AO73*'Use 2024'!$C73</f>
        <v>0</v>
      </c>
      <c r="AP74" s="12">
        <f>'Supply2024-coding'!AP73*'Use 2024'!$C73</f>
        <v>0</v>
      </c>
      <c r="AQ74" s="12">
        <f>'Supply2024-coding'!AQ73*'Use 2024'!$C73</f>
        <v>0</v>
      </c>
      <c r="AR74" s="12">
        <f>'Supply2024-coding'!AR73*'Use 2024'!$C73</f>
        <v>0</v>
      </c>
      <c r="AS74" s="12">
        <f>'Supply2024-coding'!AS73*'Use 2024'!$C73</f>
        <v>0</v>
      </c>
      <c r="AT74" s="12">
        <f>'Supply2024-coding'!AT73*'Use 2024'!$C73</f>
        <v>0</v>
      </c>
      <c r="AU74" s="12">
        <f>'Supply2024-coding'!AU73*'Use 2024'!$C73</f>
        <v>0</v>
      </c>
      <c r="AV74" s="12">
        <f>'Supply2024-coding'!AV73*'Use 2024'!$C73</f>
        <v>0</v>
      </c>
      <c r="AW74" s="12">
        <f>'Supply2024-coding'!AW73*'Use 2024'!$C73</f>
        <v>0</v>
      </c>
      <c r="AX74" s="12">
        <f>'Supply2024-coding'!AX73*'Use 2024'!$C73</f>
        <v>0</v>
      </c>
      <c r="AY74" s="12">
        <f>'Supply2024-coding'!AY73*'Use 2024'!$C73</f>
        <v>0</v>
      </c>
      <c r="AZ74" s="12">
        <f>'Supply2024-coding'!AZ73*'Use 2024'!$C73</f>
        <v>0</v>
      </c>
      <c r="BA74" s="12">
        <f>'Supply2024-coding'!BA73*'Use 2024'!$C73</f>
        <v>0</v>
      </c>
      <c r="BB74" s="12">
        <f>'Supply2024-coding'!BB73*'Use 2024'!$C73</f>
        <v>0</v>
      </c>
      <c r="BC74" s="12">
        <f>'Supply2024-coding'!BC73*'Use 2024'!$C73</f>
        <v>0</v>
      </c>
      <c r="BD74" s="12">
        <f>'Supply2024-coding'!BD73*'Use 2024'!$C73</f>
        <v>0</v>
      </c>
      <c r="BE74" s="12">
        <f>'Supply2024-coding'!BE73*'Use 2024'!$C73</f>
        <v>0</v>
      </c>
      <c r="BF74" s="12">
        <f>'Supply2024-coding'!BF73*'Use 2024'!$C73</f>
        <v>5.3023852273629641E-3</v>
      </c>
      <c r="BG74" s="12">
        <f>'Supply2024-coding'!BG73*'Use 2024'!$C73</f>
        <v>0</v>
      </c>
      <c r="BH74" s="12">
        <f>'Supply2024-coding'!BH73*'Use 2024'!$C73</f>
        <v>0</v>
      </c>
      <c r="BI74" s="12">
        <f>'Supply2024-coding'!BI73*'Use 2024'!$C73</f>
        <v>0</v>
      </c>
      <c r="BJ74" s="12">
        <f>'Supply2024-coding'!BJ73*'Use 2024'!$C73</f>
        <v>0</v>
      </c>
      <c r="BK74" s="12">
        <f>'Supply2024-coding'!BK73*'Use 2024'!$C73</f>
        <v>0</v>
      </c>
      <c r="BL74" s="12">
        <f>'Supply2024-coding'!BL73*'Use 2024'!$C73</f>
        <v>0</v>
      </c>
      <c r="BM74" s="12">
        <f>'Supply2024-coding'!BM73*'Use 2024'!$C73</f>
        <v>0</v>
      </c>
      <c r="BN74" s="12">
        <f>'Supply2024-coding'!BN73*'Use 2024'!$C73</f>
        <v>0</v>
      </c>
      <c r="BO74" s="12">
        <f>'Supply2024-coding'!BO73*'Use 2024'!$C73</f>
        <v>6.8421370248862003E-6</v>
      </c>
      <c r="BP74" s="12">
        <f>'Supply2024-coding'!BP73*'Use 2024'!$C73</f>
        <v>0</v>
      </c>
      <c r="BQ74" s="12">
        <f>'Supply2024-coding'!BQ73*'Use 2024'!$C73</f>
        <v>0</v>
      </c>
      <c r="BR74" s="12">
        <f>'Supply2024-coding'!BR73*'Use 2024'!$C73</f>
        <v>0</v>
      </c>
      <c r="BS74" s="12">
        <f>'Supply2024-coding'!BS73*'Use 2024'!$C73</f>
        <v>0</v>
      </c>
      <c r="BT74" s="12">
        <f>'Supply2024-coding'!BT73*'Use 2024'!$C73</f>
        <v>1.1590797273383904E-3</v>
      </c>
      <c r="BU74" s="12">
        <f>'Supply2024-coding'!BU73*'Use 2024'!$C73</f>
        <v>0</v>
      </c>
      <c r="BV74" s="12">
        <f>'Supply2024-coding'!BV73*'Use 2024'!$C73</f>
        <v>1.8347347124752074E-4</v>
      </c>
      <c r="BW74" s="12">
        <f>'Supply2024-coding'!BW73*'Use 2024'!$C73</f>
        <v>3.1479456210702726E-3</v>
      </c>
      <c r="BX74" s="12">
        <f>'Supply2024-coding'!BX73*'Use 2024'!$C73</f>
        <v>0</v>
      </c>
      <c r="BY74" s="12">
        <f>'Supply2024-coding'!BY73*'Use 2024'!$C73</f>
        <v>3.896369177971767E-4</v>
      </c>
      <c r="BZ74" s="12">
        <f>'Supply2024-coding'!BZ73*'Use 2024'!$C73</f>
        <v>-141338.99741864315</v>
      </c>
      <c r="CA74" s="12" t="e">
        <f>'Supply2024-coding'!CA73*'Use 2024'!$C73</f>
        <v>#DIV/0!</v>
      </c>
      <c r="CB74" s="12">
        <f>'Supply2024-coding'!CB73*'Use 2024'!$C73</f>
        <v>-170259.63509468653</v>
      </c>
      <c r="CC74" s="12">
        <f>'Supply2024-coding'!CC73*'Use 2024'!$C73</f>
        <v>7.1676145447015487E-4</v>
      </c>
      <c r="CD74" s="12">
        <f>'Supply2024-coding'!CD73*'Use 2024'!$C73</f>
        <v>1.5411850238059544E-2</v>
      </c>
      <c r="CE74" s="12">
        <f>'Supply2024-coding'!CE73*'Use 2024'!$C73</f>
        <v>0</v>
      </c>
      <c r="CF74" s="12">
        <f>'Supply2024-coding'!CF73*'Use 2024'!$C73</f>
        <v>1.5558485814949004E-2</v>
      </c>
      <c r="CG74" s="12">
        <f>'Supply2024-coding'!CG73*'Use 2024'!$C73</f>
        <v>3.7999938686587428E-3</v>
      </c>
    </row>
    <row r="75" spans="1:85" x14ac:dyDescent="0.25">
      <c r="A75" t="s">
        <v>168</v>
      </c>
      <c r="B75" t="s">
        <v>169</v>
      </c>
      <c r="C75" s="12">
        <f>'Supply2024-coding'!C74*'Use 2024'!$C74</f>
        <v>0</v>
      </c>
      <c r="D75" s="12">
        <f>'Supply2024-coding'!D74*'Use 2024'!$C74</f>
        <v>0</v>
      </c>
      <c r="E75" s="12">
        <f>'Supply2024-coding'!E74*'Use 2024'!$C74</f>
        <v>0</v>
      </c>
      <c r="F75" s="12">
        <f>'Supply2024-coding'!F74*'Use 2024'!$C74</f>
        <v>0</v>
      </c>
      <c r="G75" s="12">
        <f>'Supply2024-coding'!G74*'Use 2024'!$C74</f>
        <v>0</v>
      </c>
      <c r="H75" s="12">
        <f>'Supply2024-coding'!H74*'Use 2024'!$C74</f>
        <v>0</v>
      </c>
      <c r="I75" s="12">
        <f>'Supply2024-coding'!I74*'Use 2024'!$C74</f>
        <v>0</v>
      </c>
      <c r="J75" s="12">
        <f>'Supply2024-coding'!J74*'Use 2024'!$C74</f>
        <v>0</v>
      </c>
      <c r="K75" s="12">
        <f>'Supply2024-coding'!K74*'Use 2024'!$C74</f>
        <v>0</v>
      </c>
      <c r="L75" s="12">
        <f>'Supply2024-coding'!L74*'Use 2024'!$C74</f>
        <v>0</v>
      </c>
      <c r="M75" s="12">
        <f>'Supply2024-coding'!M74*'Use 2024'!$C74</f>
        <v>0</v>
      </c>
      <c r="N75" s="12">
        <f>'Supply2024-coding'!N74*'Use 2024'!$C74</f>
        <v>0</v>
      </c>
      <c r="O75" s="12">
        <f>'Supply2024-coding'!O74*'Use 2024'!$C74</f>
        <v>0</v>
      </c>
      <c r="P75" s="12">
        <f>'Supply2024-coding'!P74*'Use 2024'!$C74</f>
        <v>0</v>
      </c>
      <c r="Q75" s="12">
        <f>'Supply2024-coding'!Q74*'Use 2024'!$C74</f>
        <v>0</v>
      </c>
      <c r="R75" s="12">
        <f>'Supply2024-coding'!R74*'Use 2024'!$C74</f>
        <v>0</v>
      </c>
      <c r="S75" s="12">
        <f>'Supply2024-coding'!S74*'Use 2024'!$C74</f>
        <v>0</v>
      </c>
      <c r="T75" s="12">
        <f>'Supply2024-coding'!T74*'Use 2024'!$C74</f>
        <v>0</v>
      </c>
      <c r="U75" s="12">
        <f>'Supply2024-coding'!U74*'Use 2024'!$C74</f>
        <v>0</v>
      </c>
      <c r="V75" s="12">
        <f>'Supply2024-coding'!V74*'Use 2024'!$C74</f>
        <v>0</v>
      </c>
      <c r="W75" s="12">
        <f>'Supply2024-coding'!W74*'Use 2024'!$C74</f>
        <v>0</v>
      </c>
      <c r="X75" s="12">
        <f>'Supply2024-coding'!X74*'Use 2024'!$C74</f>
        <v>0</v>
      </c>
      <c r="Y75" s="12">
        <f>'Supply2024-coding'!Y74*'Use 2024'!$C74</f>
        <v>0</v>
      </c>
      <c r="Z75" s="12">
        <f>'Supply2024-coding'!Z74*'Use 2024'!$C74</f>
        <v>0</v>
      </c>
      <c r="AA75" s="12">
        <f>'Supply2024-coding'!AA74*'Use 2024'!$C74</f>
        <v>0</v>
      </c>
      <c r="AB75" s="12">
        <f>'Supply2024-coding'!AB74*'Use 2024'!$C74</f>
        <v>0</v>
      </c>
      <c r="AC75" s="12">
        <f>'Supply2024-coding'!AC74*'Use 2024'!$C74</f>
        <v>0</v>
      </c>
      <c r="AD75" s="12">
        <f>'Supply2024-coding'!AD74*'Use 2024'!$C74</f>
        <v>0</v>
      </c>
      <c r="AE75" s="12">
        <f>'Supply2024-coding'!AE74*'Use 2024'!$C74</f>
        <v>0</v>
      </c>
      <c r="AF75" s="12">
        <f>'Supply2024-coding'!AF74*'Use 2024'!$C74</f>
        <v>0</v>
      </c>
      <c r="AG75" s="12">
        <f>'Supply2024-coding'!AG74*'Use 2024'!$C74</f>
        <v>0</v>
      </c>
      <c r="AH75" s="12">
        <f>'Supply2024-coding'!AH74*'Use 2024'!$C74</f>
        <v>0</v>
      </c>
      <c r="AI75" s="12">
        <f>'Supply2024-coding'!AI74*'Use 2024'!$C74</f>
        <v>0</v>
      </c>
      <c r="AJ75" s="12">
        <f>'Supply2024-coding'!AJ74*'Use 2024'!$C74</f>
        <v>0</v>
      </c>
      <c r="AK75" s="12">
        <f>'Supply2024-coding'!AK74*'Use 2024'!$C74</f>
        <v>0</v>
      </c>
      <c r="AL75" s="12">
        <f>'Supply2024-coding'!AL74*'Use 2024'!$C74</f>
        <v>0</v>
      </c>
      <c r="AM75" s="12">
        <f>'Supply2024-coding'!AM74*'Use 2024'!$C74</f>
        <v>0</v>
      </c>
      <c r="AN75" s="12">
        <f>'Supply2024-coding'!AN74*'Use 2024'!$C74</f>
        <v>0</v>
      </c>
      <c r="AO75" s="12">
        <f>'Supply2024-coding'!AO74*'Use 2024'!$C74</f>
        <v>0</v>
      </c>
      <c r="AP75" s="12">
        <f>'Supply2024-coding'!AP74*'Use 2024'!$C74</f>
        <v>0</v>
      </c>
      <c r="AQ75" s="12">
        <f>'Supply2024-coding'!AQ74*'Use 2024'!$C74</f>
        <v>0</v>
      </c>
      <c r="AR75" s="12">
        <f>'Supply2024-coding'!AR74*'Use 2024'!$C74</f>
        <v>0</v>
      </c>
      <c r="AS75" s="12">
        <f>'Supply2024-coding'!AS74*'Use 2024'!$C74</f>
        <v>0</v>
      </c>
      <c r="AT75" s="12">
        <f>'Supply2024-coding'!AT74*'Use 2024'!$C74</f>
        <v>0</v>
      </c>
      <c r="AU75" s="12">
        <f>'Supply2024-coding'!AU74*'Use 2024'!$C74</f>
        <v>0</v>
      </c>
      <c r="AV75" s="12">
        <f>'Supply2024-coding'!AV74*'Use 2024'!$C74</f>
        <v>0</v>
      </c>
      <c r="AW75" s="12">
        <f>'Supply2024-coding'!AW74*'Use 2024'!$C74</f>
        <v>0</v>
      </c>
      <c r="AX75" s="12">
        <f>'Supply2024-coding'!AX74*'Use 2024'!$C74</f>
        <v>0</v>
      </c>
      <c r="AY75" s="12">
        <f>'Supply2024-coding'!AY74*'Use 2024'!$C74</f>
        <v>0</v>
      </c>
      <c r="AZ75" s="12">
        <f>'Supply2024-coding'!AZ74*'Use 2024'!$C74</f>
        <v>0</v>
      </c>
      <c r="BA75" s="12">
        <f>'Supply2024-coding'!BA74*'Use 2024'!$C74</f>
        <v>0</v>
      </c>
      <c r="BB75" s="12">
        <f>'Supply2024-coding'!BB74*'Use 2024'!$C74</f>
        <v>0</v>
      </c>
      <c r="BC75" s="12">
        <f>'Supply2024-coding'!BC74*'Use 2024'!$C74</f>
        <v>0</v>
      </c>
      <c r="BD75" s="12">
        <f>'Supply2024-coding'!BD74*'Use 2024'!$C74</f>
        <v>0</v>
      </c>
      <c r="BE75" s="12">
        <f>'Supply2024-coding'!BE74*'Use 2024'!$C74</f>
        <v>0</v>
      </c>
      <c r="BF75" s="12">
        <f>'Supply2024-coding'!BF74*'Use 2024'!$C74</f>
        <v>0</v>
      </c>
      <c r="BG75" s="12">
        <f>'Supply2024-coding'!BG74*'Use 2024'!$C74</f>
        <v>0</v>
      </c>
      <c r="BH75" s="12">
        <f>'Supply2024-coding'!BH74*'Use 2024'!$C74</f>
        <v>0</v>
      </c>
      <c r="BI75" s="12">
        <f>'Supply2024-coding'!BI74*'Use 2024'!$C74</f>
        <v>0</v>
      </c>
      <c r="BJ75" s="12">
        <f>'Supply2024-coding'!BJ74*'Use 2024'!$C74</f>
        <v>0</v>
      </c>
      <c r="BK75" s="12">
        <f>'Supply2024-coding'!BK74*'Use 2024'!$C74</f>
        <v>0</v>
      </c>
      <c r="BL75" s="12">
        <f>'Supply2024-coding'!BL74*'Use 2024'!$C74</f>
        <v>0</v>
      </c>
      <c r="BM75" s="12">
        <f>'Supply2024-coding'!BM74*'Use 2024'!$C74</f>
        <v>0</v>
      </c>
      <c r="BN75" s="12">
        <f>'Supply2024-coding'!BN74*'Use 2024'!$C74</f>
        <v>0</v>
      </c>
      <c r="BO75" s="12">
        <f>'Supply2024-coding'!BO74*'Use 2024'!$C74</f>
        <v>0</v>
      </c>
      <c r="BP75" s="12">
        <f>'Supply2024-coding'!BP74*'Use 2024'!$C74</f>
        <v>0</v>
      </c>
      <c r="BQ75" s="12">
        <f>'Supply2024-coding'!BQ74*'Use 2024'!$C74</f>
        <v>0</v>
      </c>
      <c r="BR75" s="12">
        <f>'Supply2024-coding'!BR74*'Use 2024'!$C74</f>
        <v>-2.6075348204238165E-3</v>
      </c>
      <c r="BS75" s="12">
        <f>'Supply2024-coding'!BS74*'Use 2024'!$C74</f>
        <v>0</v>
      </c>
      <c r="BT75" s="12">
        <f>'Supply2024-coding'!BT74*'Use 2024'!$C74</f>
        <v>0</v>
      </c>
      <c r="BU75" s="12">
        <f>'Supply2024-coding'!BU74*'Use 2024'!$C74</f>
        <v>0</v>
      </c>
      <c r="BV75" s="12">
        <f>'Supply2024-coding'!BV74*'Use 2024'!$C74</f>
        <v>-3.301526745979734E-5</v>
      </c>
      <c r="BW75" s="12">
        <f>'Supply2024-coding'!BW74*'Use 2024'!$C74</f>
        <v>-2.6389797490274904E-2</v>
      </c>
      <c r="BX75" s="12">
        <f>'Supply2024-coding'!BX74*'Use 2024'!$C74</f>
        <v>0</v>
      </c>
      <c r="BY75" s="12">
        <f>'Supply2024-coding'!BY74*'Use 2024'!$C74</f>
        <v>-1.8650695786707409E-3</v>
      </c>
      <c r="BZ75" s="12">
        <f>'Supply2024-coding'!BZ74*'Use 2024'!$C74</f>
        <v>0</v>
      </c>
      <c r="CA75" s="12" t="e">
        <f>'Supply2024-coding'!CA74*'Use 2024'!$C74</f>
        <v>#DIV/0!</v>
      </c>
      <c r="CB75" s="12">
        <f>'Supply2024-coding'!CB74*'Use 2024'!$C74</f>
        <v>0</v>
      </c>
      <c r="CC75" s="12">
        <f>'Supply2024-coding'!CC74*'Use 2024'!$C74</f>
        <v>0</v>
      </c>
      <c r="CD75" s="12">
        <f>'Supply2024-coding'!CD74*'Use 2024'!$C74</f>
        <v>0</v>
      </c>
      <c r="CE75" s="12">
        <f>'Supply2024-coding'!CE74*'Use 2024'!$C74</f>
        <v>0</v>
      </c>
      <c r="CF75" s="12">
        <f>'Supply2024-coding'!CF74*'Use 2024'!$C74</f>
        <v>0</v>
      </c>
      <c r="CG75" s="12">
        <f>'Supply2024-coding'!CG74*'Use 2024'!$C74</f>
        <v>-1.8304427755663445E-3</v>
      </c>
    </row>
    <row r="76" spans="1:85" s="2" customFormat="1" x14ac:dyDescent="0.25">
      <c r="A76" s="2" t="s">
        <v>390</v>
      </c>
      <c r="B76" s="2" t="s">
        <v>391</v>
      </c>
      <c r="C76" s="13">
        <f>SUM(C3:C75)</f>
        <v>0.30445731424395284</v>
      </c>
      <c r="D76" s="13">
        <f t="shared" ref="D76:BO76" si="0">SUM(D3:D75)</f>
        <v>0.12261742737443913</v>
      </c>
      <c r="E76" s="13">
        <f t="shared" si="0"/>
        <v>4.942376888436395E-2</v>
      </c>
      <c r="F76" s="13">
        <f t="shared" si="0"/>
        <v>1.3914118333280061E-2</v>
      </c>
      <c r="G76" s="13">
        <f t="shared" si="0"/>
        <v>1.7762434399708387E-3</v>
      </c>
      <c r="H76" s="13">
        <f t="shared" si="0"/>
        <v>0.44188793434453927</v>
      </c>
      <c r="I76" s="13">
        <f t="shared" si="0"/>
        <v>9.032318597737189E-7</v>
      </c>
      <c r="J76" s="13">
        <f t="shared" si="0"/>
        <v>4.405882245835091E-2</v>
      </c>
      <c r="K76" s="13">
        <f t="shared" si="0"/>
        <v>0.10010152516333504</v>
      </c>
      <c r="L76" s="13">
        <f t="shared" si="0"/>
        <v>1.3700001893132401E-2</v>
      </c>
      <c r="M76" s="13">
        <f t="shared" si="0"/>
        <v>0.15018308484420931</v>
      </c>
      <c r="N76" s="13">
        <f t="shared" si="0"/>
        <v>0.13698783911393955</v>
      </c>
      <c r="O76" s="13">
        <f t="shared" si="0"/>
        <v>0.29736523248017188</v>
      </c>
      <c r="P76" s="13">
        <f t="shared" si="0"/>
        <v>0.39676588682601766</v>
      </c>
      <c r="Q76" s="13">
        <f t="shared" si="0"/>
        <v>0.48317263803634947</v>
      </c>
      <c r="R76" s="13">
        <f t="shared" si="0"/>
        <v>0.26894584497344526</v>
      </c>
      <c r="S76" s="13">
        <f t="shared" si="0"/>
        <v>0.69000068402769199</v>
      </c>
      <c r="T76" s="13">
        <f t="shared" si="0"/>
        <v>0.64566671916741181</v>
      </c>
      <c r="U76" s="13">
        <f t="shared" si="0"/>
        <v>0.68303062201151132</v>
      </c>
      <c r="V76" s="13">
        <f t="shared" si="0"/>
        <v>0.63798407256295231</v>
      </c>
      <c r="W76" s="13">
        <f t="shared" si="0"/>
        <v>0.94253193258402546</v>
      </c>
      <c r="X76" s="13">
        <f t="shared" si="0"/>
        <v>0.23768096982215292</v>
      </c>
      <c r="Y76" s="13">
        <f t="shared" si="0"/>
        <v>0.14127454514937687</v>
      </c>
      <c r="Z76" s="13">
        <f t="shared" si="0"/>
        <v>0.47494231686398508</v>
      </c>
      <c r="AA76" s="13">
        <f t="shared" si="0"/>
        <v>0.43980529893943709</v>
      </c>
      <c r="AB76" s="13">
        <f t="shared" si="0"/>
        <v>0.24220484657647937</v>
      </c>
      <c r="AC76" s="13">
        <f t="shared" si="0"/>
        <v>3.0395335056659145E-2</v>
      </c>
      <c r="AD76" s="13">
        <f t="shared" si="0"/>
        <v>0.10388948261206724</v>
      </c>
      <c r="AE76" s="13">
        <f t="shared" si="0"/>
        <v>6.3141641978988083E-2</v>
      </c>
      <c r="AF76" s="13">
        <f t="shared" si="0"/>
        <v>4.9724957740925134E-2</v>
      </c>
      <c r="AG76" s="13">
        <f t="shared" si="0"/>
        <v>0.87369923722937937</v>
      </c>
      <c r="AH76" s="13">
        <f t="shared" si="0"/>
        <v>0.78127292194735121</v>
      </c>
      <c r="AI76" s="13">
        <f t="shared" si="0"/>
        <v>0.16898203585659397</v>
      </c>
      <c r="AJ76" s="13">
        <f t="shared" si="0"/>
        <v>0.82129698251602679</v>
      </c>
      <c r="AK76" s="13">
        <f t="shared" si="0"/>
        <v>0.17863966598944941</v>
      </c>
      <c r="AL76" s="13">
        <f t="shared" si="0"/>
        <v>0.43580205632494678</v>
      </c>
      <c r="AM76" s="13">
        <f t="shared" si="0"/>
        <v>1.9394857867282107E-3</v>
      </c>
      <c r="AN76" s="13">
        <f t="shared" si="0"/>
        <v>7.2009978230369823E-2</v>
      </c>
      <c r="AO76" s="13">
        <f t="shared" si="0"/>
        <v>3.0881335053218376E-3</v>
      </c>
      <c r="AP76" s="13">
        <f t="shared" si="0"/>
        <v>0.53319695527128597</v>
      </c>
      <c r="AQ76" s="13">
        <f t="shared" si="0"/>
        <v>0.20291212645269913</v>
      </c>
      <c r="AR76" s="13">
        <f t="shared" si="0"/>
        <v>0.45971104270968882</v>
      </c>
      <c r="AS76" s="13">
        <f t="shared" si="0"/>
        <v>0.20060731980420099</v>
      </c>
      <c r="AT76" s="13">
        <f t="shared" si="0"/>
        <v>0.31830999050259756</v>
      </c>
      <c r="AU76" s="13">
        <f t="shared" si="0"/>
        <v>0.40831710173847924</v>
      </c>
      <c r="AV76" s="13">
        <f t="shared" si="0"/>
        <v>0.32298846513767393</v>
      </c>
      <c r="AW76" s="13">
        <f t="shared" si="0"/>
        <v>0.92943450769958724</v>
      </c>
      <c r="AX76" s="13">
        <f t="shared" si="0"/>
        <v>0.99064410809074366</v>
      </c>
      <c r="AY76" s="13">
        <f t="shared" si="0"/>
        <v>4.7423478464454346E-3</v>
      </c>
      <c r="AZ76" s="13">
        <f t="shared" si="0"/>
        <v>0.16913535529751533</v>
      </c>
      <c r="BA76" s="13">
        <f t="shared" si="0"/>
        <v>0.31061110473826992</v>
      </c>
      <c r="BB76" s="13">
        <f t="shared" si="0"/>
        <v>3.7687763090045151E-2</v>
      </c>
      <c r="BC76" s="13">
        <f t="shared" si="0"/>
        <v>6.9870431664217789E-2</v>
      </c>
      <c r="BD76" s="13">
        <f t="shared" si="0"/>
        <v>5.5497303802055106E-4</v>
      </c>
      <c r="BE76" s="13">
        <f t="shared" si="0"/>
        <v>7.8177509633912637E-2</v>
      </c>
      <c r="BF76" s="13">
        <f t="shared" si="0"/>
        <v>0.20555828940906021</v>
      </c>
      <c r="BG76" s="13">
        <f t="shared" si="0"/>
        <v>0.80446101421016059</v>
      </c>
      <c r="BH76" s="13">
        <f t="shared" si="0"/>
        <v>0.95912814972756211</v>
      </c>
      <c r="BI76" s="13">
        <f t="shared" si="0"/>
        <v>0.98911361421868105</v>
      </c>
      <c r="BJ76" s="13">
        <f t="shared" si="0"/>
        <v>0.97572728889797744</v>
      </c>
      <c r="BK76" s="13">
        <f t="shared" si="0"/>
        <v>0.99865335882518158</v>
      </c>
      <c r="BL76" s="13">
        <f t="shared" si="0"/>
        <v>0.43304516317525671</v>
      </c>
      <c r="BM76" s="13">
        <f t="shared" si="0"/>
        <v>0.87005060590853522</v>
      </c>
      <c r="BN76" s="13">
        <f t="shared" si="0"/>
        <v>0.69594051724986405</v>
      </c>
      <c r="BO76" s="13">
        <f t="shared" si="0"/>
        <v>0.77184811146098531</v>
      </c>
      <c r="BP76" s="13">
        <f t="shared" ref="BP76:CG76" si="1">SUM(BP3:BP75)</f>
        <v>0.71156361430643444</v>
      </c>
      <c r="BQ76" s="13">
        <f t="shared" si="1"/>
        <v>5.3423633245001127E-3</v>
      </c>
      <c r="BR76" s="13">
        <f t="shared" si="1"/>
        <v>1.4762496729633185E-4</v>
      </c>
      <c r="BS76" s="13">
        <f t="shared" si="1"/>
        <v>0.16742014513148143</v>
      </c>
      <c r="BT76" s="13">
        <f t="shared" si="1"/>
        <v>0.17103718791102496</v>
      </c>
      <c r="BU76" s="13">
        <f t="shared" si="1"/>
        <v>0.54425773613096462</v>
      </c>
      <c r="BV76" s="13">
        <f t="shared" si="1"/>
        <v>0.37391568193935337</v>
      </c>
      <c r="BW76" s="13">
        <f t="shared" si="1"/>
        <v>0.32679355865702947</v>
      </c>
      <c r="BX76" s="13">
        <f t="shared" si="1"/>
        <v>0.56320193449696199</v>
      </c>
      <c r="BY76" s="13">
        <f t="shared" si="1"/>
        <v>0.37053115276221238</v>
      </c>
      <c r="BZ76" s="13">
        <f t="shared" si="1"/>
        <v>-1164212.8700983273</v>
      </c>
      <c r="CA76" s="13" t="e">
        <f t="shared" si="1"/>
        <v>#DIV/0!</v>
      </c>
      <c r="CB76" s="13">
        <f t="shared" si="1"/>
        <v>-1254816.4516949612</v>
      </c>
      <c r="CC76" s="13">
        <f t="shared" si="1"/>
        <v>0.51542592326138104</v>
      </c>
      <c r="CD76" s="13">
        <f t="shared" si="1"/>
        <v>0.51795651004311583</v>
      </c>
      <c r="CE76" s="13">
        <f t="shared" si="1"/>
        <v>0.7939507925445648</v>
      </c>
      <c r="CF76" s="13">
        <f t="shared" si="1"/>
        <v>0.4933370367929823</v>
      </c>
      <c r="CG76" s="13">
        <f t="shared" si="1"/>
        <v>0.39586993761466405</v>
      </c>
    </row>
    <row r="81" spans="1:85" x14ac:dyDescent="0.25">
      <c r="D81" s="11"/>
    </row>
    <row r="83" spans="1:85" x14ac:dyDescent="0.25">
      <c r="A83" t="s">
        <v>393</v>
      </c>
      <c r="B83" t="s">
        <v>0</v>
      </c>
      <c r="C83" s="11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10</v>
      </c>
      <c r="M83" t="s">
        <v>11</v>
      </c>
      <c r="N83" t="s">
        <v>12</v>
      </c>
      <c r="O83" t="s">
        <v>13</v>
      </c>
      <c r="P83" t="s">
        <v>14</v>
      </c>
      <c r="Q83" t="s">
        <v>15</v>
      </c>
      <c r="R83" t="s">
        <v>16</v>
      </c>
      <c r="S83" t="s">
        <v>17</v>
      </c>
      <c r="T83" t="s">
        <v>18</v>
      </c>
      <c r="U83" t="s">
        <v>19</v>
      </c>
      <c r="V83" t="s">
        <v>20</v>
      </c>
      <c r="W83" t="s">
        <v>21</v>
      </c>
      <c r="X83" t="s">
        <v>22</v>
      </c>
      <c r="Y83" t="s">
        <v>23</v>
      </c>
      <c r="Z83" t="s">
        <v>24</v>
      </c>
      <c r="AA83" t="s">
        <v>25</v>
      </c>
      <c r="AB83" t="s">
        <v>26</v>
      </c>
      <c r="AC83" t="s">
        <v>27</v>
      </c>
      <c r="AD83" t="s">
        <v>28</v>
      </c>
      <c r="AE83" t="s">
        <v>29</v>
      </c>
      <c r="AF83" t="s">
        <v>30</v>
      </c>
      <c r="AG83" t="s">
        <v>31</v>
      </c>
      <c r="AH83" t="s">
        <v>32</v>
      </c>
      <c r="AI83" t="s">
        <v>33</v>
      </c>
      <c r="AJ83" t="s">
        <v>34</v>
      </c>
      <c r="AK83" t="s">
        <v>35</v>
      </c>
      <c r="AL83" t="s">
        <v>36</v>
      </c>
      <c r="AM83" t="s">
        <v>37</v>
      </c>
      <c r="AN83" t="s">
        <v>38</v>
      </c>
      <c r="AO83" t="s">
        <v>39</v>
      </c>
      <c r="AP83" t="s">
        <v>40</v>
      </c>
      <c r="AQ83" t="s">
        <v>41</v>
      </c>
      <c r="AR83" t="s">
        <v>42</v>
      </c>
      <c r="AS83" t="s">
        <v>43</v>
      </c>
      <c r="AT83" t="s">
        <v>44</v>
      </c>
      <c r="AU83" t="s">
        <v>45</v>
      </c>
      <c r="AV83" t="s">
        <v>46</v>
      </c>
      <c r="AW83" t="s">
        <v>47</v>
      </c>
      <c r="AX83" t="s">
        <v>48</v>
      </c>
      <c r="AY83" t="s">
        <v>49</v>
      </c>
      <c r="AZ83" t="s">
        <v>50</v>
      </c>
      <c r="BA83" t="s">
        <v>51</v>
      </c>
      <c r="BB83" t="s">
        <v>52</v>
      </c>
      <c r="BC83" t="s">
        <v>53</v>
      </c>
      <c r="BD83" t="s">
        <v>54</v>
      </c>
      <c r="BE83" t="s">
        <v>55</v>
      </c>
      <c r="BF83" t="s">
        <v>56</v>
      </c>
      <c r="BG83" t="s">
        <v>57</v>
      </c>
      <c r="BH83" t="s">
        <v>58</v>
      </c>
      <c r="BI83" t="s">
        <v>59</v>
      </c>
      <c r="BJ83" t="s">
        <v>60</v>
      </c>
      <c r="BK83" t="s">
        <v>61</v>
      </c>
      <c r="BL83" t="s">
        <v>62</v>
      </c>
      <c r="BM83" t="s">
        <v>63</v>
      </c>
      <c r="BN83" t="s">
        <v>64</v>
      </c>
      <c r="BO83" t="s">
        <v>65</v>
      </c>
      <c r="BP83" t="s">
        <v>66</v>
      </c>
      <c r="BQ83" t="s">
        <v>67</v>
      </c>
      <c r="BR83" t="s">
        <v>68</v>
      </c>
      <c r="BS83" t="s">
        <v>69</v>
      </c>
      <c r="BT83" t="s">
        <v>70</v>
      </c>
      <c r="BU83" t="s">
        <v>71</v>
      </c>
      <c r="BV83" t="s">
        <v>366</v>
      </c>
      <c r="BW83" t="s">
        <v>367</v>
      </c>
      <c r="BX83" t="s">
        <v>368</v>
      </c>
      <c r="BY83" t="s">
        <v>369</v>
      </c>
      <c r="BZ83" t="s">
        <v>370</v>
      </c>
      <c r="CA83" t="s">
        <v>371</v>
      </c>
      <c r="CB83" t="s">
        <v>372</v>
      </c>
      <c r="CC83" t="s">
        <v>373</v>
      </c>
      <c r="CD83" t="s">
        <v>374</v>
      </c>
      <c r="CE83" t="s">
        <v>375</v>
      </c>
      <c r="CF83" t="s">
        <v>376</v>
      </c>
      <c r="CG83" t="s">
        <v>377</v>
      </c>
    </row>
    <row r="84" spans="1:85" x14ac:dyDescent="0.25">
      <c r="C84" t="s">
        <v>94</v>
      </c>
      <c r="D84" t="s">
        <v>95</v>
      </c>
      <c r="E84" t="s">
        <v>96</v>
      </c>
      <c r="F84" t="s">
        <v>97</v>
      </c>
      <c r="G84" t="s">
        <v>98</v>
      </c>
      <c r="H84" t="s">
        <v>99</v>
      </c>
      <c r="I84" t="s">
        <v>100</v>
      </c>
      <c r="J84" t="s">
        <v>101</v>
      </c>
      <c r="K84" t="s">
        <v>102</v>
      </c>
      <c r="L84" t="s">
        <v>103</v>
      </c>
      <c r="M84" t="s">
        <v>104</v>
      </c>
      <c r="N84" t="s">
        <v>105</v>
      </c>
      <c r="O84" t="s">
        <v>106</v>
      </c>
      <c r="P84" t="s">
        <v>107</v>
      </c>
      <c r="Q84" t="s">
        <v>108</v>
      </c>
      <c r="R84" t="s">
        <v>109</v>
      </c>
      <c r="S84" t="s">
        <v>110</v>
      </c>
      <c r="T84" t="s">
        <v>111</v>
      </c>
      <c r="U84" t="s">
        <v>112</v>
      </c>
      <c r="V84" t="s">
        <v>113</v>
      </c>
      <c r="W84" t="s">
        <v>114</v>
      </c>
      <c r="X84" t="s">
        <v>115</v>
      </c>
      <c r="Y84" t="s">
        <v>116</v>
      </c>
      <c r="Z84" t="s">
        <v>117</v>
      </c>
      <c r="AA84" t="s">
        <v>118</v>
      </c>
      <c r="AB84" t="s">
        <v>119</v>
      </c>
      <c r="AC84" t="s">
        <v>120</v>
      </c>
      <c r="AD84" t="s">
        <v>121</v>
      </c>
      <c r="AE84" t="s">
        <v>122</v>
      </c>
      <c r="AF84" t="s">
        <v>123</v>
      </c>
      <c r="AG84" t="s">
        <v>124</v>
      </c>
      <c r="AH84" t="s">
        <v>125</v>
      </c>
      <c r="AI84" t="s">
        <v>126</v>
      </c>
      <c r="AJ84" t="s">
        <v>127</v>
      </c>
      <c r="AK84" t="s">
        <v>128</v>
      </c>
      <c r="AL84" t="s">
        <v>129</v>
      </c>
      <c r="AM84" t="s">
        <v>130</v>
      </c>
      <c r="AN84" t="s">
        <v>131</v>
      </c>
      <c r="AO84" t="s">
        <v>132</v>
      </c>
      <c r="AP84" t="s">
        <v>133</v>
      </c>
      <c r="AQ84" t="s">
        <v>134</v>
      </c>
      <c r="AR84" t="s">
        <v>135</v>
      </c>
      <c r="AS84" t="s">
        <v>136</v>
      </c>
      <c r="AT84" t="s">
        <v>137</v>
      </c>
      <c r="AU84" t="s">
        <v>138</v>
      </c>
      <c r="AV84" t="s">
        <v>139</v>
      </c>
      <c r="AW84" t="s">
        <v>140</v>
      </c>
      <c r="AX84" t="s">
        <v>141</v>
      </c>
      <c r="AY84" t="s">
        <v>142</v>
      </c>
      <c r="AZ84" t="s">
        <v>143</v>
      </c>
      <c r="BA84" t="s">
        <v>144</v>
      </c>
      <c r="BB84" t="s">
        <v>145</v>
      </c>
      <c r="BC84" t="s">
        <v>146</v>
      </c>
      <c r="BD84" t="s">
        <v>147</v>
      </c>
      <c r="BE84" t="s">
        <v>148</v>
      </c>
      <c r="BF84" t="s">
        <v>149</v>
      </c>
      <c r="BG84" t="s">
        <v>150</v>
      </c>
      <c r="BH84" t="s">
        <v>151</v>
      </c>
      <c r="BI84" t="s">
        <v>152</v>
      </c>
      <c r="BJ84" t="s">
        <v>153</v>
      </c>
      <c r="BK84" t="s">
        <v>154</v>
      </c>
      <c r="BL84" t="s">
        <v>155</v>
      </c>
      <c r="BM84" t="s">
        <v>156</v>
      </c>
      <c r="BN84" t="s">
        <v>157</v>
      </c>
      <c r="BO84" t="s">
        <v>158</v>
      </c>
      <c r="BP84" t="s">
        <v>159</v>
      </c>
      <c r="BQ84" t="s">
        <v>160</v>
      </c>
      <c r="BR84" t="s">
        <v>161</v>
      </c>
      <c r="BS84" t="s">
        <v>162</v>
      </c>
      <c r="BT84" t="s">
        <v>163</v>
      </c>
      <c r="BU84" t="s">
        <v>164</v>
      </c>
      <c r="BV84" t="s">
        <v>378</v>
      </c>
      <c r="BW84" t="s">
        <v>379</v>
      </c>
      <c r="BX84" t="s">
        <v>380</v>
      </c>
      <c r="BY84" t="s">
        <v>381</v>
      </c>
      <c r="BZ84" t="s">
        <v>382</v>
      </c>
      <c r="CA84" t="s">
        <v>383</v>
      </c>
      <c r="CB84" t="s">
        <v>384</v>
      </c>
      <c r="CC84" t="s">
        <v>385</v>
      </c>
      <c r="CD84" t="s">
        <v>386</v>
      </c>
      <c r="CE84" t="s">
        <v>387</v>
      </c>
      <c r="CF84" t="s">
        <v>388</v>
      </c>
      <c r="CG84" t="s">
        <v>389</v>
      </c>
    </row>
    <row r="85" spans="1:85" x14ac:dyDescent="0.25">
      <c r="A85" s="2" t="s">
        <v>390</v>
      </c>
      <c r="B85" s="2" t="s">
        <v>391</v>
      </c>
      <c r="C85" s="13">
        <f>SUM(C11:C83)</f>
        <v>0.30864676793356083</v>
      </c>
      <c r="D85" s="13">
        <f t="shared" ref="D85" si="2">SUM(D11:D83)</f>
        <v>0.12261742737443913</v>
      </c>
      <c r="E85" s="13">
        <f t="shared" ref="E85" si="3">SUM(E11:E83)</f>
        <v>9.8847170181331101E-2</v>
      </c>
      <c r="F85" s="13">
        <f t="shared" ref="F85" si="4">SUM(F11:F83)</f>
        <v>2.556210974901537E-2</v>
      </c>
      <c r="G85" s="13">
        <f t="shared" ref="G85" si="5">SUM(G11:G83)</f>
        <v>3.5524868799416773E-3</v>
      </c>
      <c r="H85" s="13">
        <f t="shared" ref="H85" si="6">SUM(H11:H83)</f>
        <v>0.45063989137172916</v>
      </c>
      <c r="I85" s="13">
        <f t="shared" ref="I85" si="7">SUM(I11:I83)</f>
        <v>1.8064637195474378E-6</v>
      </c>
      <c r="J85" s="13">
        <f t="shared" ref="J85" si="8">SUM(J11:J83)</f>
        <v>5.056222117206495E-2</v>
      </c>
      <c r="K85" s="13">
        <f t="shared" ref="K85" si="9">SUM(K11:K83)</f>
        <v>0.20018522496056337</v>
      </c>
      <c r="L85" s="13">
        <f t="shared" ref="L85" si="10">SUM(L11:L83)</f>
        <v>2.7400003786264802E-2</v>
      </c>
      <c r="M85" s="13">
        <f t="shared" ref="M85" si="11">SUM(M11:M83)</f>
        <v>0.30034343925572049</v>
      </c>
      <c r="N85" s="13">
        <f t="shared" ref="N85" si="12">SUM(N11:N83)</f>
        <v>0.2739756782278791</v>
      </c>
      <c r="O85" s="13">
        <f t="shared" ref="O85" si="13">SUM(O11:O83)</f>
        <v>0.59473046496034376</v>
      </c>
      <c r="P85" s="13">
        <f t="shared" ref="P85" si="14">SUM(P11:P83)</f>
        <v>0.79353177365203531</v>
      </c>
      <c r="Q85" s="13">
        <f t="shared" ref="Q85" si="15">SUM(Q11:Q83)</f>
        <v>0.96634527607269893</v>
      </c>
      <c r="R85" s="13">
        <f t="shared" ref="R85" si="16">SUM(R11:R83)</f>
        <v>0.53789168994689052</v>
      </c>
      <c r="S85" s="13">
        <f t="shared" ref="S85" si="17">SUM(S11:S83)</f>
        <v>1.3797325958629907</v>
      </c>
      <c r="T85" s="13">
        <f t="shared" ref="T85" si="18">SUM(T11:T83)</f>
        <v>1.2913113210525022</v>
      </c>
      <c r="U85" s="13">
        <f t="shared" ref="U85" si="19">SUM(U11:U83)</f>
        <v>1.3660612440230226</v>
      </c>
      <c r="V85" s="13">
        <f t="shared" ref="V85" si="20">SUM(V11:V83)</f>
        <v>1.2759681451259046</v>
      </c>
      <c r="W85" s="13">
        <f t="shared" ref="W85" si="21">SUM(W11:W83)</f>
        <v>1.8850638651680509</v>
      </c>
      <c r="X85" s="13">
        <f t="shared" ref="X85" si="22">SUM(X11:X83)</f>
        <v>0.47532297071211904</v>
      </c>
      <c r="Y85" s="13">
        <f t="shared" ref="Y85" si="23">SUM(Y11:Y83)</f>
        <v>0.28254032464158518</v>
      </c>
      <c r="Z85" s="13">
        <f t="shared" ref="Z85" si="24">SUM(Z11:Z83)</f>
        <v>0.94988437172896167</v>
      </c>
      <c r="AA85" s="13">
        <f t="shared" ref="AA85" si="25">SUM(AA11:AA83)</f>
        <v>0.87961048003395859</v>
      </c>
      <c r="AB85" s="13">
        <f t="shared" ref="AB85" si="26">SUM(AB11:AB83)</f>
        <v>0.48438168534124626</v>
      </c>
      <c r="AC85" s="13">
        <f t="shared" ref="AC85" si="27">SUM(AC11:AC83)</f>
        <v>6.0785793755681931E-2</v>
      </c>
      <c r="AD85" s="13">
        <f t="shared" ref="AD85" si="28">SUM(AD11:AD83)</f>
        <v>0.20777896522413447</v>
      </c>
      <c r="AE85" s="13">
        <f t="shared" ref="AE85" si="29">SUM(AE11:AE83)</f>
        <v>0.12628328395797617</v>
      </c>
      <c r="AF85" s="13">
        <f t="shared" ref="AF85" si="30">SUM(AF11:AF83)</f>
        <v>9.9449915481850268E-2</v>
      </c>
      <c r="AG85" s="13">
        <f t="shared" ref="AG85" si="31">SUM(AG11:AG83)</f>
        <v>1.7473364023419138</v>
      </c>
      <c r="AH85" s="13">
        <f t="shared" ref="AH85" si="32">SUM(AH11:AH83)</f>
        <v>1.5621355729951429</v>
      </c>
      <c r="AI85" s="13">
        <f t="shared" ref="AI85" si="33">SUM(AI11:AI83)</f>
        <v>0.33796407171318793</v>
      </c>
      <c r="AJ85" s="13">
        <f t="shared" ref="AJ85" si="34">SUM(AJ11:AJ83)</f>
        <v>1.6425939650320536</v>
      </c>
      <c r="AK85" s="13">
        <f t="shared" ref="AK85" si="35">SUM(AK11:AK83)</f>
        <v>0.35727933197889883</v>
      </c>
      <c r="AL85" s="13">
        <f t="shared" ref="AL85" si="36">SUM(AL11:AL83)</f>
        <v>0.87160411264989357</v>
      </c>
      <c r="AM85" s="13">
        <f t="shared" ref="AM85" si="37">SUM(AM11:AM83)</f>
        <v>2.4311771148795942E-3</v>
      </c>
      <c r="AN85" s="13">
        <f t="shared" ref="AN85" si="38">SUM(AN11:AN83)</f>
        <v>0.14401995646073965</v>
      </c>
      <c r="AO85" s="13">
        <f t="shared" ref="AO85" si="39">SUM(AO11:AO83)</f>
        <v>6.1762670106436752E-3</v>
      </c>
      <c r="AP85" s="13">
        <f t="shared" ref="AP85" si="40">SUM(AP11:AP83)</f>
        <v>1.0663939105425719</v>
      </c>
      <c r="AQ85" s="13">
        <f t="shared" ref="AQ85" si="41">SUM(AQ11:AQ83)</f>
        <v>0.40582425290539825</v>
      </c>
      <c r="AR85" s="13">
        <f t="shared" ref="AR85" si="42">SUM(AR11:AR83)</f>
        <v>0.91942208541937764</v>
      </c>
      <c r="AS85" s="13">
        <f t="shared" ref="AS85" si="43">SUM(AS11:AS83)</f>
        <v>0.40121463960840198</v>
      </c>
      <c r="AT85" s="13">
        <f t="shared" ref="AT85" si="44">SUM(AT11:AT83)</f>
        <v>0.63661998100519512</v>
      </c>
      <c r="AU85" s="13">
        <f t="shared" ref="AU85" si="45">SUM(AU11:AU83)</f>
        <v>0.81663420347695848</v>
      </c>
      <c r="AV85" s="13">
        <f t="shared" ref="AV85" si="46">SUM(AV11:AV83)</f>
        <v>0.64597693027534786</v>
      </c>
      <c r="AW85" s="13">
        <f t="shared" ref="AW85" si="47">SUM(AW11:AW83)</f>
        <v>1.8588690153991745</v>
      </c>
      <c r="AX85" s="13">
        <f t="shared" ref="AX85" si="48">SUM(AX11:AX83)</f>
        <v>1.9812882161814873</v>
      </c>
      <c r="AY85" s="13">
        <f t="shared" ref="AY85" si="49">SUM(AY11:AY83)</f>
        <v>9.4846956928908693E-3</v>
      </c>
      <c r="AZ85" s="13">
        <f t="shared" ref="AZ85" si="50">SUM(AZ11:AZ83)</f>
        <v>0.33827071059503067</v>
      </c>
      <c r="BA85" s="13">
        <f t="shared" ref="BA85" si="51">SUM(BA11:BA83)</f>
        <v>0.62122220947653983</v>
      </c>
      <c r="BB85" s="13">
        <f t="shared" ref="BB85" si="52">SUM(BB11:BB83)</f>
        <v>7.5375526180090302E-2</v>
      </c>
      <c r="BC85" s="13">
        <f t="shared" ref="BC85" si="53">SUM(BC11:BC83)</f>
        <v>0.13974086332843558</v>
      </c>
      <c r="BD85" s="13">
        <f t="shared" ref="BD85" si="54">SUM(BD11:BD83)</f>
        <v>1.1099460760411021E-3</v>
      </c>
      <c r="BE85" s="13">
        <f t="shared" ref="BE85" si="55">SUM(BE11:BE83)</f>
        <v>0.15635501926782527</v>
      </c>
      <c r="BF85" s="13">
        <f t="shared" ref="BF85" si="56">SUM(BF11:BF83)</f>
        <v>0.41111657881812042</v>
      </c>
      <c r="BG85" s="13">
        <f t="shared" ref="BG85" si="57">SUM(BG11:BG83)</f>
        <v>1.6089220284203212</v>
      </c>
      <c r="BH85" s="13">
        <f t="shared" ref="BH85" si="58">SUM(BH11:BH83)</f>
        <v>1.9182562994551242</v>
      </c>
      <c r="BI85" s="13">
        <f t="shared" ref="BI85" si="59">SUM(BI11:BI83)</f>
        <v>1.9782272284373621</v>
      </c>
      <c r="BJ85" s="13">
        <f t="shared" ref="BJ85" si="60">SUM(BJ11:BJ83)</f>
        <v>1.9514545777959549</v>
      </c>
      <c r="BK85" s="13">
        <f t="shared" ref="BK85" si="61">SUM(BK11:BK83)</f>
        <v>1.9973067176503632</v>
      </c>
      <c r="BL85" s="13">
        <f t="shared" ref="BL85" si="62">SUM(BL11:BL83)</f>
        <v>0.86609032635051342</v>
      </c>
      <c r="BM85" s="13">
        <f t="shared" ref="BM85" si="63">SUM(BM11:BM83)</f>
        <v>1.7401012118170704</v>
      </c>
      <c r="BN85" s="13">
        <f t="shared" ref="BN85" si="64">SUM(BN11:BN83)</f>
        <v>1.3918810344997281</v>
      </c>
      <c r="BO85" s="13">
        <f t="shared" ref="BO85" si="65">SUM(BO11:BO83)</f>
        <v>1.5436962229219706</v>
      </c>
      <c r="BP85" s="13">
        <f t="shared" ref="BP85" si="66">SUM(BP11:BP83)</f>
        <v>1.4231272286128689</v>
      </c>
      <c r="BQ85" s="13">
        <f t="shared" ref="BQ85" si="67">SUM(BQ11:BQ83)</f>
        <v>1.0684726649000225E-2</v>
      </c>
      <c r="BR85" s="13">
        <f t="shared" ref="BR85" si="68">SUM(BR11:BR83)</f>
        <v>3.0519434603916862E-4</v>
      </c>
      <c r="BS85" s="13">
        <f t="shared" ref="BS85" si="69">SUM(BS11:BS83)</f>
        <v>0.26596922460543526</v>
      </c>
      <c r="BT85" s="13">
        <f t="shared" ref="BT85" si="70">SUM(BT11:BT83)</f>
        <v>0.34160660224064215</v>
      </c>
      <c r="BU85" s="13">
        <f t="shared" ref="BU85" si="71">SUM(BU11:BU83)</f>
        <v>0.93376574981869798</v>
      </c>
      <c r="BV85" s="13">
        <f t="shared" ref="BV85" si="72">SUM(BV11:BV83)</f>
        <v>0.73693820755205841</v>
      </c>
      <c r="BW85" s="13">
        <f t="shared" ref="BW85" si="73">SUM(BW11:BW83)</f>
        <v>0.6474262434859559</v>
      </c>
      <c r="BX85" s="13">
        <f t="shared" ref="BX85" si="74">SUM(BX11:BX83)</f>
        <v>1.126403868993924</v>
      </c>
      <c r="BY85" s="13">
        <f t="shared" ref="BY85" si="75">SUM(BY11:BY83)</f>
        <v>0.73049180655322821</v>
      </c>
      <c r="BZ85" s="13">
        <f t="shared" ref="BZ85" si="76">SUM(BZ11:BZ83)</f>
        <v>-2271269.3193667354</v>
      </c>
      <c r="CA85" s="13" t="e">
        <f t="shared" ref="CA85" si="77">SUM(CA11:CA83)</f>
        <v>#DIV/0!</v>
      </c>
      <c r="CB85" s="13">
        <f t="shared" ref="CB85" si="78">SUM(CB11:CB83)</f>
        <v>-2427236.1540238634</v>
      </c>
      <c r="CC85" s="13">
        <f t="shared" ref="CC85" si="79">SUM(CC11:CC83)</f>
        <v>1.0296352325115983</v>
      </c>
      <c r="CD85" s="13">
        <f t="shared" ref="CD85" si="80">SUM(CD11:CD83)</f>
        <v>1.0143575765358568</v>
      </c>
      <c r="CE85" s="13">
        <f t="shared" ref="CE85" si="81">SUM(CE11:CE83)</f>
        <v>1.5639701817994909</v>
      </c>
      <c r="CF85" s="13">
        <f t="shared" ref="CF85" si="82">SUM(CF11:CF83)</f>
        <v>0.96701115193289378</v>
      </c>
      <c r="CG85" s="13">
        <f t="shared" ref="CG85" si="83">SUM(CG11:CG83)</f>
        <v>0.77948643494122782</v>
      </c>
    </row>
    <row r="88" spans="1:85" x14ac:dyDescent="0.25">
      <c r="A88" t="s">
        <v>1</v>
      </c>
      <c r="B88" t="s">
        <v>94</v>
      </c>
      <c r="C88" s="14">
        <v>0.30864676793356083</v>
      </c>
    </row>
    <row r="89" spans="1:85" x14ac:dyDescent="0.25">
      <c r="A89" t="s">
        <v>2</v>
      </c>
      <c r="B89" t="s">
        <v>95</v>
      </c>
      <c r="C89" s="14">
        <v>0.12261742737443913</v>
      </c>
    </row>
    <row r="90" spans="1:85" x14ac:dyDescent="0.25">
      <c r="A90" t="s">
        <v>3</v>
      </c>
      <c r="B90" t="s">
        <v>96</v>
      </c>
      <c r="C90" s="14">
        <v>9.8847170181331101E-2</v>
      </c>
    </row>
    <row r="91" spans="1:85" x14ac:dyDescent="0.25">
      <c r="A91" t="s">
        <v>4</v>
      </c>
      <c r="B91" t="s">
        <v>97</v>
      </c>
      <c r="C91" s="14">
        <v>2.556210974901537E-2</v>
      </c>
    </row>
    <row r="92" spans="1:85" x14ac:dyDescent="0.25">
      <c r="A92" t="s">
        <v>5</v>
      </c>
      <c r="B92" t="s">
        <v>98</v>
      </c>
      <c r="C92" s="14">
        <v>3.5524868799416773E-3</v>
      </c>
    </row>
    <row r="93" spans="1:85" x14ac:dyDescent="0.25">
      <c r="A93" t="s">
        <v>6</v>
      </c>
      <c r="B93" t="s">
        <v>99</v>
      </c>
      <c r="C93" s="14">
        <v>0.45063989137172916</v>
      </c>
    </row>
    <row r="94" spans="1:85" x14ac:dyDescent="0.25">
      <c r="A94" t="s">
        <v>7</v>
      </c>
      <c r="B94" t="s">
        <v>100</v>
      </c>
      <c r="C94" s="14">
        <v>1.8064637195474378E-6</v>
      </c>
    </row>
    <row r="95" spans="1:85" x14ac:dyDescent="0.25">
      <c r="A95" t="s">
        <v>8</v>
      </c>
      <c r="B95" t="s">
        <v>101</v>
      </c>
      <c r="C95" s="14">
        <v>5.056222117206495E-2</v>
      </c>
    </row>
    <row r="96" spans="1:85" x14ac:dyDescent="0.25">
      <c r="A96" t="s">
        <v>9</v>
      </c>
      <c r="B96" t="s">
        <v>102</v>
      </c>
      <c r="C96" s="14">
        <v>0.20018522496056337</v>
      </c>
    </row>
    <row r="97" spans="1:3" x14ac:dyDescent="0.25">
      <c r="A97" t="s">
        <v>10</v>
      </c>
      <c r="B97" t="s">
        <v>103</v>
      </c>
      <c r="C97" s="14">
        <v>2.7400003786264802E-2</v>
      </c>
    </row>
    <row r="98" spans="1:3" x14ac:dyDescent="0.25">
      <c r="A98" t="s">
        <v>11</v>
      </c>
      <c r="B98" t="s">
        <v>104</v>
      </c>
      <c r="C98" s="14">
        <v>0.30034343925572049</v>
      </c>
    </row>
    <row r="99" spans="1:3" x14ac:dyDescent="0.25">
      <c r="A99" t="s">
        <v>12</v>
      </c>
      <c r="B99" t="s">
        <v>105</v>
      </c>
      <c r="C99" s="14">
        <v>0.2739756782278791</v>
      </c>
    </row>
    <row r="100" spans="1:3" x14ac:dyDescent="0.25">
      <c r="A100" t="s">
        <v>13</v>
      </c>
      <c r="B100" t="s">
        <v>106</v>
      </c>
      <c r="C100" s="14">
        <v>0.59473046496034376</v>
      </c>
    </row>
    <row r="101" spans="1:3" x14ac:dyDescent="0.25">
      <c r="A101" t="s">
        <v>14</v>
      </c>
      <c r="B101" t="s">
        <v>107</v>
      </c>
      <c r="C101" s="14">
        <v>0.79353177365203531</v>
      </c>
    </row>
    <row r="102" spans="1:3" x14ac:dyDescent="0.25">
      <c r="A102" t="s">
        <v>15</v>
      </c>
      <c r="B102" t="s">
        <v>108</v>
      </c>
      <c r="C102" s="14">
        <v>0.96634527607269893</v>
      </c>
    </row>
    <row r="103" spans="1:3" x14ac:dyDescent="0.25">
      <c r="A103" t="s">
        <v>16</v>
      </c>
      <c r="B103" t="s">
        <v>109</v>
      </c>
      <c r="C103" s="14">
        <v>0.53789168994689052</v>
      </c>
    </row>
    <row r="104" spans="1:3" x14ac:dyDescent="0.25">
      <c r="A104" t="s">
        <v>17</v>
      </c>
      <c r="B104" t="s">
        <v>110</v>
      </c>
      <c r="C104" s="14">
        <v>1.3797325958629907</v>
      </c>
    </row>
    <row r="105" spans="1:3" x14ac:dyDescent="0.25">
      <c r="A105" t="s">
        <v>18</v>
      </c>
      <c r="B105" t="s">
        <v>111</v>
      </c>
      <c r="C105" s="14">
        <v>1.2913113210525022</v>
      </c>
    </row>
    <row r="106" spans="1:3" x14ac:dyDescent="0.25">
      <c r="A106" t="s">
        <v>19</v>
      </c>
      <c r="B106" t="s">
        <v>112</v>
      </c>
      <c r="C106" s="14">
        <v>1.3660612440230226</v>
      </c>
    </row>
    <row r="107" spans="1:3" x14ac:dyDescent="0.25">
      <c r="A107" t="s">
        <v>20</v>
      </c>
      <c r="B107" t="s">
        <v>113</v>
      </c>
      <c r="C107" s="14">
        <v>1.2759681451259046</v>
      </c>
    </row>
    <row r="108" spans="1:3" x14ac:dyDescent="0.25">
      <c r="A108" t="s">
        <v>21</v>
      </c>
      <c r="B108" t="s">
        <v>114</v>
      </c>
      <c r="C108" s="14">
        <v>1.8850638651680509</v>
      </c>
    </row>
    <row r="109" spans="1:3" x14ac:dyDescent="0.25">
      <c r="A109" t="s">
        <v>22</v>
      </c>
      <c r="B109" t="s">
        <v>115</v>
      </c>
      <c r="C109" s="14">
        <v>0.47532297071211904</v>
      </c>
    </row>
    <row r="110" spans="1:3" x14ac:dyDescent="0.25">
      <c r="A110" t="s">
        <v>23</v>
      </c>
      <c r="B110" t="s">
        <v>116</v>
      </c>
      <c r="C110" s="14">
        <v>0.28254032464158518</v>
      </c>
    </row>
    <row r="111" spans="1:3" x14ac:dyDescent="0.25">
      <c r="A111" t="s">
        <v>24</v>
      </c>
      <c r="B111" t="s">
        <v>117</v>
      </c>
      <c r="C111" s="14">
        <v>0.94988437172896167</v>
      </c>
    </row>
    <row r="112" spans="1:3" x14ac:dyDescent="0.25">
      <c r="A112" t="s">
        <v>25</v>
      </c>
      <c r="B112" t="s">
        <v>118</v>
      </c>
      <c r="C112" s="14">
        <v>0.87961048003395859</v>
      </c>
    </row>
    <row r="113" spans="1:3" x14ac:dyDescent="0.25">
      <c r="A113" t="s">
        <v>26</v>
      </c>
      <c r="B113" t="s">
        <v>119</v>
      </c>
      <c r="C113" s="14">
        <v>0.48438168534124626</v>
      </c>
    </row>
    <row r="114" spans="1:3" x14ac:dyDescent="0.25">
      <c r="A114" t="s">
        <v>27</v>
      </c>
      <c r="B114" t="s">
        <v>120</v>
      </c>
      <c r="C114" s="14">
        <v>6.0785793755681931E-2</v>
      </c>
    </row>
    <row r="115" spans="1:3" x14ac:dyDescent="0.25">
      <c r="A115" t="s">
        <v>28</v>
      </c>
      <c r="B115" t="s">
        <v>121</v>
      </c>
      <c r="C115" s="14">
        <v>0.20777896522413447</v>
      </c>
    </row>
    <row r="116" spans="1:3" x14ac:dyDescent="0.25">
      <c r="A116" t="s">
        <v>29</v>
      </c>
      <c r="B116" t="s">
        <v>122</v>
      </c>
      <c r="C116" s="14">
        <v>0.12628328395797617</v>
      </c>
    </row>
    <row r="117" spans="1:3" x14ac:dyDescent="0.25">
      <c r="A117" t="s">
        <v>30</v>
      </c>
      <c r="B117" t="s">
        <v>123</v>
      </c>
      <c r="C117" s="14">
        <v>9.9449915481850268E-2</v>
      </c>
    </row>
    <row r="118" spans="1:3" x14ac:dyDescent="0.25">
      <c r="A118" t="s">
        <v>31</v>
      </c>
      <c r="B118" t="s">
        <v>124</v>
      </c>
      <c r="C118" s="14">
        <v>1.7473364023419138</v>
      </c>
    </row>
    <row r="119" spans="1:3" x14ac:dyDescent="0.25">
      <c r="A119" t="s">
        <v>32</v>
      </c>
      <c r="B119" t="s">
        <v>125</v>
      </c>
      <c r="C119" s="14">
        <v>1.5621355729951429</v>
      </c>
    </row>
    <row r="120" spans="1:3" x14ac:dyDescent="0.25">
      <c r="A120" t="s">
        <v>33</v>
      </c>
      <c r="B120" t="s">
        <v>126</v>
      </c>
      <c r="C120" s="14">
        <v>0.33796407171318793</v>
      </c>
    </row>
    <row r="121" spans="1:3" x14ac:dyDescent="0.25">
      <c r="A121" t="s">
        <v>34</v>
      </c>
      <c r="B121" t="s">
        <v>127</v>
      </c>
      <c r="C121" s="14">
        <v>1.6425939650320536</v>
      </c>
    </row>
    <row r="122" spans="1:3" x14ac:dyDescent="0.25">
      <c r="A122" t="s">
        <v>35</v>
      </c>
      <c r="B122" t="s">
        <v>128</v>
      </c>
      <c r="C122" s="14">
        <v>0.35727933197889883</v>
      </c>
    </row>
    <row r="123" spans="1:3" x14ac:dyDescent="0.25">
      <c r="A123" t="s">
        <v>36</v>
      </c>
      <c r="B123" t="s">
        <v>129</v>
      </c>
      <c r="C123" s="14">
        <v>0.87160411264989357</v>
      </c>
    </row>
    <row r="124" spans="1:3" x14ac:dyDescent="0.25">
      <c r="A124" t="s">
        <v>37</v>
      </c>
      <c r="B124" t="s">
        <v>130</v>
      </c>
      <c r="C124" s="14">
        <v>2.4311771148795942E-3</v>
      </c>
    </row>
    <row r="125" spans="1:3" x14ac:dyDescent="0.25">
      <c r="A125" t="s">
        <v>38</v>
      </c>
      <c r="B125" t="s">
        <v>131</v>
      </c>
      <c r="C125" s="14">
        <v>0.14401995646073965</v>
      </c>
    </row>
    <row r="126" spans="1:3" x14ac:dyDescent="0.25">
      <c r="A126" t="s">
        <v>39</v>
      </c>
      <c r="B126" t="s">
        <v>132</v>
      </c>
      <c r="C126" s="14">
        <v>6.1762670106436752E-3</v>
      </c>
    </row>
    <row r="127" spans="1:3" x14ac:dyDescent="0.25">
      <c r="A127" t="s">
        <v>40</v>
      </c>
      <c r="B127" t="s">
        <v>133</v>
      </c>
      <c r="C127" s="14">
        <v>1.0663939105425719</v>
      </c>
    </row>
    <row r="128" spans="1:3" x14ac:dyDescent="0.25">
      <c r="A128" t="s">
        <v>41</v>
      </c>
      <c r="B128" t="s">
        <v>134</v>
      </c>
      <c r="C128" s="14">
        <v>0.40582425290539825</v>
      </c>
    </row>
    <row r="129" spans="1:3" x14ac:dyDescent="0.25">
      <c r="A129" t="s">
        <v>42</v>
      </c>
      <c r="B129" t="s">
        <v>135</v>
      </c>
      <c r="C129" s="14">
        <v>0.91942208541937764</v>
      </c>
    </row>
    <row r="130" spans="1:3" x14ac:dyDescent="0.25">
      <c r="A130" t="s">
        <v>43</v>
      </c>
      <c r="B130" t="s">
        <v>136</v>
      </c>
      <c r="C130" s="14">
        <v>0.40121463960840198</v>
      </c>
    </row>
    <row r="131" spans="1:3" x14ac:dyDescent="0.25">
      <c r="A131" t="s">
        <v>44</v>
      </c>
      <c r="B131" t="s">
        <v>137</v>
      </c>
      <c r="C131" s="14">
        <v>0.63661998100519512</v>
      </c>
    </row>
    <row r="132" spans="1:3" x14ac:dyDescent="0.25">
      <c r="A132" t="s">
        <v>45</v>
      </c>
      <c r="B132" t="s">
        <v>138</v>
      </c>
      <c r="C132" s="14">
        <v>0.81663420347695848</v>
      </c>
    </row>
    <row r="133" spans="1:3" x14ac:dyDescent="0.25">
      <c r="A133" t="s">
        <v>46</v>
      </c>
      <c r="B133" t="s">
        <v>139</v>
      </c>
      <c r="C133" s="14">
        <v>0.64597693027534786</v>
      </c>
    </row>
    <row r="134" spans="1:3" x14ac:dyDescent="0.25">
      <c r="A134" t="s">
        <v>47</v>
      </c>
      <c r="B134" t="s">
        <v>140</v>
      </c>
      <c r="C134" s="14">
        <v>1.8588690153991745</v>
      </c>
    </row>
    <row r="135" spans="1:3" x14ac:dyDescent="0.25">
      <c r="A135" t="s">
        <v>48</v>
      </c>
      <c r="B135" t="s">
        <v>141</v>
      </c>
      <c r="C135" s="14">
        <v>1.9812882161814873</v>
      </c>
    </row>
    <row r="136" spans="1:3" x14ac:dyDescent="0.25">
      <c r="A136" t="s">
        <v>49</v>
      </c>
      <c r="B136" t="s">
        <v>142</v>
      </c>
      <c r="C136" s="14">
        <v>9.4846956928908693E-3</v>
      </c>
    </row>
    <row r="137" spans="1:3" x14ac:dyDescent="0.25">
      <c r="A137" t="s">
        <v>50</v>
      </c>
      <c r="B137" t="s">
        <v>143</v>
      </c>
      <c r="C137" s="14">
        <v>0.33827071059503067</v>
      </c>
    </row>
    <row r="138" spans="1:3" x14ac:dyDescent="0.25">
      <c r="A138" t="s">
        <v>51</v>
      </c>
      <c r="B138" t="s">
        <v>144</v>
      </c>
      <c r="C138" s="14">
        <v>0.62122220947653983</v>
      </c>
    </row>
    <row r="139" spans="1:3" x14ac:dyDescent="0.25">
      <c r="A139" t="s">
        <v>52</v>
      </c>
      <c r="B139" t="s">
        <v>145</v>
      </c>
      <c r="C139" s="14">
        <v>7.5375526180090302E-2</v>
      </c>
    </row>
    <row r="140" spans="1:3" x14ac:dyDescent="0.25">
      <c r="A140" t="s">
        <v>53</v>
      </c>
      <c r="B140" t="s">
        <v>146</v>
      </c>
      <c r="C140" s="14">
        <v>0.13974086332843558</v>
      </c>
    </row>
    <row r="141" spans="1:3" x14ac:dyDescent="0.25">
      <c r="A141" t="s">
        <v>54</v>
      </c>
      <c r="B141" t="s">
        <v>147</v>
      </c>
      <c r="C141" s="14">
        <v>1.1099460760411021E-3</v>
      </c>
    </row>
    <row r="142" spans="1:3" x14ac:dyDescent="0.25">
      <c r="A142" t="s">
        <v>55</v>
      </c>
      <c r="B142" t="s">
        <v>148</v>
      </c>
      <c r="C142" s="14">
        <v>0.15635501926782527</v>
      </c>
    </row>
    <row r="143" spans="1:3" x14ac:dyDescent="0.25">
      <c r="A143" t="s">
        <v>56</v>
      </c>
      <c r="B143" t="s">
        <v>149</v>
      </c>
      <c r="C143" s="14">
        <v>0.41111657881812042</v>
      </c>
    </row>
    <row r="144" spans="1:3" x14ac:dyDescent="0.25">
      <c r="A144" t="s">
        <v>57</v>
      </c>
      <c r="B144" t="s">
        <v>150</v>
      </c>
      <c r="C144" s="14">
        <v>1.6089220284203212</v>
      </c>
    </row>
    <row r="145" spans="1:3" x14ac:dyDescent="0.25">
      <c r="A145" t="s">
        <v>58</v>
      </c>
      <c r="B145" t="s">
        <v>151</v>
      </c>
      <c r="C145" s="14">
        <v>1.9182562994551242</v>
      </c>
    </row>
    <row r="146" spans="1:3" x14ac:dyDescent="0.25">
      <c r="A146" t="s">
        <v>59</v>
      </c>
      <c r="B146" t="s">
        <v>152</v>
      </c>
      <c r="C146" s="14">
        <v>1.9782272284373621</v>
      </c>
    </row>
    <row r="147" spans="1:3" x14ac:dyDescent="0.25">
      <c r="A147" t="s">
        <v>60</v>
      </c>
      <c r="B147" t="s">
        <v>153</v>
      </c>
      <c r="C147" s="14">
        <v>1.9514545777959549</v>
      </c>
    </row>
    <row r="148" spans="1:3" x14ac:dyDescent="0.25">
      <c r="A148" t="s">
        <v>61</v>
      </c>
      <c r="B148" t="s">
        <v>154</v>
      </c>
      <c r="C148" s="14">
        <v>1.9973067176503632</v>
      </c>
    </row>
    <row r="149" spans="1:3" x14ac:dyDescent="0.25">
      <c r="A149" t="s">
        <v>62</v>
      </c>
      <c r="B149" t="s">
        <v>155</v>
      </c>
      <c r="C149" s="14">
        <v>0.86609032635051342</v>
      </c>
    </row>
    <row r="150" spans="1:3" x14ac:dyDescent="0.25">
      <c r="A150" t="s">
        <v>63</v>
      </c>
      <c r="B150" t="s">
        <v>156</v>
      </c>
      <c r="C150" s="14">
        <v>1.7401012118170704</v>
      </c>
    </row>
    <row r="151" spans="1:3" x14ac:dyDescent="0.25">
      <c r="A151" t="s">
        <v>64</v>
      </c>
      <c r="B151" t="s">
        <v>157</v>
      </c>
      <c r="C151" s="14">
        <v>1.3918810344997281</v>
      </c>
    </row>
    <row r="152" spans="1:3" x14ac:dyDescent="0.25">
      <c r="A152" t="s">
        <v>65</v>
      </c>
      <c r="B152" t="s">
        <v>158</v>
      </c>
      <c r="C152" s="14">
        <v>1.5436962229219706</v>
      </c>
    </row>
    <row r="153" spans="1:3" x14ac:dyDescent="0.25">
      <c r="A153" t="s">
        <v>66</v>
      </c>
      <c r="B153" t="s">
        <v>159</v>
      </c>
      <c r="C153" s="14">
        <v>1.4231272286128689</v>
      </c>
    </row>
    <row r="154" spans="1:3" x14ac:dyDescent="0.25">
      <c r="A154" t="s">
        <v>67</v>
      </c>
      <c r="B154" t="s">
        <v>160</v>
      </c>
      <c r="C154" s="14">
        <v>1.0684726649000225E-2</v>
      </c>
    </row>
    <row r="155" spans="1:3" x14ac:dyDescent="0.25">
      <c r="A155" t="s">
        <v>68</v>
      </c>
      <c r="B155" t="s">
        <v>161</v>
      </c>
      <c r="C155" s="14">
        <v>3.0519434603916862E-4</v>
      </c>
    </row>
    <row r="156" spans="1:3" x14ac:dyDescent="0.25">
      <c r="A156" t="s">
        <v>69</v>
      </c>
      <c r="B156" t="s">
        <v>162</v>
      </c>
      <c r="C156" s="14">
        <v>0.26596922460543526</v>
      </c>
    </row>
    <row r="157" spans="1:3" x14ac:dyDescent="0.25">
      <c r="A157" t="s">
        <v>70</v>
      </c>
      <c r="B157" t="s">
        <v>163</v>
      </c>
      <c r="C157" s="14">
        <v>0.34160660224064215</v>
      </c>
    </row>
    <row r="158" spans="1:3" x14ac:dyDescent="0.25">
      <c r="A158" t="s">
        <v>71</v>
      </c>
      <c r="B158" t="s">
        <v>164</v>
      </c>
      <c r="C158" s="14">
        <v>0.93376574981869798</v>
      </c>
    </row>
    <row r="159" spans="1:3" x14ac:dyDescent="0.25">
      <c r="A159" t="s">
        <v>366</v>
      </c>
      <c r="B159" t="s">
        <v>378</v>
      </c>
      <c r="C159" s="14">
        <v>0.73693820755205841</v>
      </c>
    </row>
    <row r="160" spans="1:3" x14ac:dyDescent="0.25">
      <c r="A160" t="s">
        <v>367</v>
      </c>
      <c r="B160" t="s">
        <v>379</v>
      </c>
      <c r="C160" s="14">
        <v>0.6474262434859559</v>
      </c>
    </row>
    <row r="161" spans="1:3" x14ac:dyDescent="0.25">
      <c r="A161" t="s">
        <v>368</v>
      </c>
      <c r="B161" t="s">
        <v>380</v>
      </c>
      <c r="C161" s="14">
        <v>1.126403868993924</v>
      </c>
    </row>
    <row r="162" spans="1:3" x14ac:dyDescent="0.25">
      <c r="A162" t="s">
        <v>369</v>
      </c>
      <c r="B162" t="s">
        <v>381</v>
      </c>
      <c r="C162" s="14">
        <v>0.73049180655322821</v>
      </c>
    </row>
    <row r="163" spans="1:3" x14ac:dyDescent="0.25">
      <c r="A163" t="s">
        <v>370</v>
      </c>
      <c r="B163" t="s">
        <v>382</v>
      </c>
      <c r="C163" s="14">
        <v>-2271269.3193667354</v>
      </c>
    </row>
    <row r="164" spans="1:3" x14ac:dyDescent="0.25">
      <c r="A164" t="s">
        <v>371</v>
      </c>
      <c r="B164" t="s">
        <v>383</v>
      </c>
      <c r="C164" s="14" t="e">
        <v>#DIV/0!</v>
      </c>
    </row>
    <row r="165" spans="1:3" x14ac:dyDescent="0.25">
      <c r="A165" t="s">
        <v>372</v>
      </c>
      <c r="B165" t="s">
        <v>384</v>
      </c>
      <c r="C165" s="14">
        <v>-2427236.1540238634</v>
      </c>
    </row>
    <row r="166" spans="1:3" x14ac:dyDescent="0.25">
      <c r="A166" t="s">
        <v>373</v>
      </c>
      <c r="B166" t="s">
        <v>385</v>
      </c>
      <c r="C166" s="14">
        <v>1.0296352325115983</v>
      </c>
    </row>
    <row r="167" spans="1:3" x14ac:dyDescent="0.25">
      <c r="A167" t="s">
        <v>374</v>
      </c>
      <c r="B167" t="s">
        <v>386</v>
      </c>
      <c r="C167" s="14">
        <v>1.0143575765358568</v>
      </c>
    </row>
    <row r="168" spans="1:3" x14ac:dyDescent="0.25">
      <c r="A168" t="s">
        <v>375</v>
      </c>
      <c r="B168" t="s">
        <v>387</v>
      </c>
      <c r="C168" s="14">
        <v>1.5639701817994909</v>
      </c>
    </row>
    <row r="169" spans="1:3" x14ac:dyDescent="0.25">
      <c r="A169" t="s">
        <v>376</v>
      </c>
      <c r="B169" t="s">
        <v>388</v>
      </c>
      <c r="C169" s="14">
        <v>0.96701115193289378</v>
      </c>
    </row>
    <row r="170" spans="1:3" x14ac:dyDescent="0.25">
      <c r="A170" t="s">
        <v>377</v>
      </c>
      <c r="B170" t="s">
        <v>389</v>
      </c>
      <c r="C170" s="14">
        <v>0.77948643494122782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2C3F-65CF-4791-9516-7F76F3B2C2D4}">
  <dimension ref="A1:L84"/>
  <sheetViews>
    <sheetView workbookViewId="0">
      <selection activeCell="B19" sqref="B1:B1048576"/>
    </sheetView>
  </sheetViews>
  <sheetFormatPr defaultRowHeight="15" x14ac:dyDescent="0.25"/>
  <cols>
    <col min="1" max="1" width="9.140625" style="3"/>
    <col min="2" max="2" width="33" style="3" customWidth="1"/>
    <col min="3" max="3" width="11" style="3" customWidth="1"/>
    <col min="8" max="8" width="10" customWidth="1"/>
  </cols>
  <sheetData>
    <row r="1" spans="1:12" x14ac:dyDescent="0.25">
      <c r="A1" s="3" t="s">
        <v>92</v>
      </c>
      <c r="B1" s="3" t="s">
        <v>93</v>
      </c>
      <c r="C1" s="3" t="s">
        <v>394</v>
      </c>
      <c r="H1" s="5" t="s">
        <v>192</v>
      </c>
    </row>
    <row r="2" spans="1:12" x14ac:dyDescent="0.25">
      <c r="A2" s="3" t="s">
        <v>1</v>
      </c>
      <c r="B2" s="3" t="s">
        <v>94</v>
      </c>
      <c r="C2" s="15">
        <v>0.30864676793356083</v>
      </c>
      <c r="G2" s="6" t="s">
        <v>191</v>
      </c>
      <c r="H2" s="6" t="s">
        <v>189</v>
      </c>
      <c r="I2" s="6" t="s">
        <v>190</v>
      </c>
      <c r="J2" s="6" t="s">
        <v>193</v>
      </c>
      <c r="K2" s="6" t="s">
        <v>194</v>
      </c>
      <c r="L2" s="6" t="s">
        <v>195</v>
      </c>
    </row>
    <row r="3" spans="1:12" ht="15.75" thickBot="1" x14ac:dyDescent="0.3">
      <c r="A3" s="3" t="s">
        <v>2</v>
      </c>
      <c r="B3" s="3" t="s">
        <v>95</v>
      </c>
      <c r="C3" s="15">
        <v>0.12261742737443913</v>
      </c>
      <c r="G3" s="7">
        <f>COUNT(#REF!)</f>
        <v>0</v>
      </c>
      <c r="H3" s="8" t="e">
        <f>AVERAGE(#REF!)</f>
        <v>#REF!</v>
      </c>
      <c r="I3" s="7" t="e">
        <f>_xlfn.STDEV.S(#REF!)</f>
        <v>#REF!</v>
      </c>
      <c r="J3" s="8" t="e">
        <f>_xlfn.PERCENTILE.INC(#REF!, 0.25)</f>
        <v>#REF!</v>
      </c>
      <c r="K3" s="8" t="e">
        <f>MEDIAN(#REF!)</f>
        <v>#REF!</v>
      </c>
      <c r="L3" s="8" t="e">
        <f>_xlfn.PERCENTILE.INC(#REF!, 0.75)</f>
        <v>#REF!</v>
      </c>
    </row>
    <row r="4" spans="1:12" x14ac:dyDescent="0.25">
      <c r="A4" s="3" t="s">
        <v>3</v>
      </c>
      <c r="B4" s="3" t="s">
        <v>96</v>
      </c>
      <c r="C4" s="15">
        <v>9.8847170181331101E-2</v>
      </c>
    </row>
    <row r="5" spans="1:12" x14ac:dyDescent="0.25">
      <c r="A5" s="3" t="s">
        <v>4</v>
      </c>
      <c r="B5" s="3" t="s">
        <v>97</v>
      </c>
      <c r="C5" s="15">
        <v>2.556210974901537E-2</v>
      </c>
    </row>
    <row r="6" spans="1:12" x14ac:dyDescent="0.25">
      <c r="A6" s="3" t="s">
        <v>5</v>
      </c>
      <c r="B6" s="3" t="s">
        <v>98</v>
      </c>
      <c r="C6" s="15">
        <v>3.5524868799416773E-3</v>
      </c>
    </row>
    <row r="7" spans="1:12" x14ac:dyDescent="0.25">
      <c r="A7" s="3" t="s">
        <v>6</v>
      </c>
      <c r="B7" s="3" t="s">
        <v>99</v>
      </c>
      <c r="C7" s="15">
        <v>0.45063989137172916</v>
      </c>
    </row>
    <row r="8" spans="1:12" x14ac:dyDescent="0.25">
      <c r="A8" s="3" t="s">
        <v>7</v>
      </c>
      <c r="B8" s="3" t="s">
        <v>100</v>
      </c>
      <c r="C8" s="15">
        <v>1.8064637195474378E-6</v>
      </c>
    </row>
    <row r="9" spans="1:12" x14ac:dyDescent="0.25">
      <c r="A9" s="3" t="s">
        <v>8</v>
      </c>
      <c r="B9" s="3" t="s">
        <v>101</v>
      </c>
      <c r="C9" s="15">
        <v>5.056222117206495E-2</v>
      </c>
    </row>
    <row r="10" spans="1:12" x14ac:dyDescent="0.25">
      <c r="A10" s="3" t="s">
        <v>9</v>
      </c>
      <c r="B10" s="3" t="s">
        <v>102</v>
      </c>
      <c r="C10" s="15">
        <v>0.20018522496056337</v>
      </c>
    </row>
    <row r="11" spans="1:12" x14ac:dyDescent="0.25">
      <c r="A11" s="3" t="s">
        <v>10</v>
      </c>
      <c r="B11" s="3" t="s">
        <v>103</v>
      </c>
      <c r="C11" s="15">
        <v>2.7400003786264802E-2</v>
      </c>
    </row>
    <row r="12" spans="1:12" x14ac:dyDescent="0.25">
      <c r="A12" s="3" t="s">
        <v>11</v>
      </c>
      <c r="B12" s="3" t="s">
        <v>104</v>
      </c>
      <c r="C12" s="15">
        <v>0.30034343925572049</v>
      </c>
    </row>
    <row r="13" spans="1:12" x14ac:dyDescent="0.25">
      <c r="A13" s="3" t="s">
        <v>12</v>
      </c>
      <c r="B13" s="3" t="s">
        <v>105</v>
      </c>
      <c r="C13" s="15">
        <v>0.2739756782278791</v>
      </c>
    </row>
    <row r="14" spans="1:12" x14ac:dyDescent="0.25">
      <c r="A14" s="3" t="s">
        <v>13</v>
      </c>
      <c r="B14" s="3" t="s">
        <v>106</v>
      </c>
      <c r="C14" s="15">
        <v>0.59473046496034376</v>
      </c>
    </row>
    <row r="15" spans="1:12" x14ac:dyDescent="0.25">
      <c r="A15" s="3" t="s">
        <v>14</v>
      </c>
      <c r="B15" s="3" t="s">
        <v>107</v>
      </c>
      <c r="C15" s="15">
        <v>0.79353177365203531</v>
      </c>
    </row>
    <row r="16" spans="1:12" x14ac:dyDescent="0.25">
      <c r="A16" s="3" t="s">
        <v>15</v>
      </c>
      <c r="B16" s="3" t="s">
        <v>108</v>
      </c>
      <c r="C16" s="15">
        <v>0.96634527607269893</v>
      </c>
    </row>
    <row r="17" spans="1:3" x14ac:dyDescent="0.25">
      <c r="A17" s="3" t="s">
        <v>16</v>
      </c>
      <c r="B17" s="3" t="s">
        <v>109</v>
      </c>
      <c r="C17" s="15">
        <v>0.53789168994689052</v>
      </c>
    </row>
    <row r="18" spans="1:3" x14ac:dyDescent="0.25">
      <c r="A18" s="3" t="s">
        <v>17</v>
      </c>
      <c r="B18" s="3" t="s">
        <v>110</v>
      </c>
      <c r="C18" s="15">
        <v>1.3797325958629907</v>
      </c>
    </row>
    <row r="19" spans="1:3" x14ac:dyDescent="0.25">
      <c r="A19" s="3" t="s">
        <v>18</v>
      </c>
      <c r="B19" s="3" t="s">
        <v>111</v>
      </c>
      <c r="C19" s="15">
        <v>1.2913113210525022</v>
      </c>
    </row>
    <row r="20" spans="1:3" x14ac:dyDescent="0.25">
      <c r="A20" s="3" t="s">
        <v>19</v>
      </c>
      <c r="B20" s="3" t="s">
        <v>112</v>
      </c>
      <c r="C20" s="15">
        <v>1.3660612440230226</v>
      </c>
    </row>
    <row r="21" spans="1:3" x14ac:dyDescent="0.25">
      <c r="A21" s="3" t="s">
        <v>20</v>
      </c>
      <c r="B21" s="3" t="s">
        <v>113</v>
      </c>
      <c r="C21" s="15">
        <v>1.2759681451259046</v>
      </c>
    </row>
    <row r="22" spans="1:3" x14ac:dyDescent="0.25">
      <c r="A22" s="3" t="s">
        <v>21</v>
      </c>
      <c r="B22" s="3" t="s">
        <v>114</v>
      </c>
      <c r="C22" s="15">
        <v>1.8850638651680509</v>
      </c>
    </row>
    <row r="23" spans="1:3" x14ac:dyDescent="0.25">
      <c r="A23" s="3" t="s">
        <v>22</v>
      </c>
      <c r="B23" s="3" t="s">
        <v>115</v>
      </c>
      <c r="C23" s="15">
        <v>0.47532297071211904</v>
      </c>
    </row>
    <row r="24" spans="1:3" x14ac:dyDescent="0.25">
      <c r="A24" s="3" t="s">
        <v>23</v>
      </c>
      <c r="B24" s="3" t="s">
        <v>116</v>
      </c>
      <c r="C24" s="15">
        <v>0.28254032464158518</v>
      </c>
    </row>
    <row r="25" spans="1:3" x14ac:dyDescent="0.25">
      <c r="A25" s="3" t="s">
        <v>24</v>
      </c>
      <c r="B25" s="3" t="s">
        <v>117</v>
      </c>
      <c r="C25" s="15">
        <v>0.94988437172896167</v>
      </c>
    </row>
    <row r="26" spans="1:3" x14ac:dyDescent="0.25">
      <c r="A26" s="3" t="s">
        <v>25</v>
      </c>
      <c r="B26" s="3" t="s">
        <v>118</v>
      </c>
      <c r="C26" s="15">
        <v>0.87961048003395859</v>
      </c>
    </row>
    <row r="27" spans="1:3" x14ac:dyDescent="0.25">
      <c r="A27" s="3" t="s">
        <v>26</v>
      </c>
      <c r="B27" s="3" t="s">
        <v>119</v>
      </c>
      <c r="C27" s="15">
        <v>0.48438168534124626</v>
      </c>
    </row>
    <row r="28" spans="1:3" x14ac:dyDescent="0.25">
      <c r="A28" s="3" t="s">
        <v>27</v>
      </c>
      <c r="B28" s="3" t="s">
        <v>120</v>
      </c>
      <c r="C28" s="15">
        <v>6.0785793755681931E-2</v>
      </c>
    </row>
    <row r="29" spans="1:3" x14ac:dyDescent="0.25">
      <c r="A29" s="3" t="s">
        <v>28</v>
      </c>
      <c r="B29" s="3" t="s">
        <v>121</v>
      </c>
      <c r="C29" s="15">
        <v>0.20777896522413447</v>
      </c>
    </row>
    <row r="30" spans="1:3" x14ac:dyDescent="0.25">
      <c r="A30" s="3" t="s">
        <v>29</v>
      </c>
      <c r="B30" s="3" t="s">
        <v>122</v>
      </c>
      <c r="C30" s="15">
        <v>0.12628328395797617</v>
      </c>
    </row>
    <row r="31" spans="1:3" x14ac:dyDescent="0.25">
      <c r="A31" s="3" t="s">
        <v>30</v>
      </c>
      <c r="B31" s="3" t="s">
        <v>123</v>
      </c>
      <c r="C31" s="15">
        <v>9.9449915481850268E-2</v>
      </c>
    </row>
    <row r="32" spans="1:3" x14ac:dyDescent="0.25">
      <c r="A32" s="3" t="s">
        <v>31</v>
      </c>
      <c r="B32" s="3" t="s">
        <v>124</v>
      </c>
      <c r="C32" s="15">
        <v>1.7473364023419138</v>
      </c>
    </row>
    <row r="33" spans="1:3" x14ac:dyDescent="0.25">
      <c r="A33" s="3" t="s">
        <v>32</v>
      </c>
      <c r="B33" s="3" t="s">
        <v>125</v>
      </c>
      <c r="C33" s="15">
        <v>1.5621355729951429</v>
      </c>
    </row>
    <row r="34" spans="1:3" x14ac:dyDescent="0.25">
      <c r="A34" s="3" t="s">
        <v>33</v>
      </c>
      <c r="B34" s="3" t="s">
        <v>126</v>
      </c>
      <c r="C34" s="15">
        <v>0.33796407171318793</v>
      </c>
    </row>
    <row r="35" spans="1:3" x14ac:dyDescent="0.25">
      <c r="A35" s="3" t="s">
        <v>34</v>
      </c>
      <c r="B35" s="3" t="s">
        <v>127</v>
      </c>
      <c r="C35" s="15">
        <v>1.6425939650320536</v>
      </c>
    </row>
    <row r="36" spans="1:3" x14ac:dyDescent="0.25">
      <c r="A36" s="3" t="s">
        <v>35</v>
      </c>
      <c r="B36" s="3" t="s">
        <v>128</v>
      </c>
      <c r="C36" s="15">
        <v>0.35727933197889883</v>
      </c>
    </row>
    <row r="37" spans="1:3" x14ac:dyDescent="0.25">
      <c r="A37" s="3" t="s">
        <v>36</v>
      </c>
      <c r="B37" s="3" t="s">
        <v>129</v>
      </c>
      <c r="C37" s="15">
        <v>0.87160411264989357</v>
      </c>
    </row>
    <row r="38" spans="1:3" x14ac:dyDescent="0.25">
      <c r="A38" s="3" t="s">
        <v>37</v>
      </c>
      <c r="B38" s="3" t="s">
        <v>130</v>
      </c>
      <c r="C38" s="15">
        <v>2.4311771148795942E-3</v>
      </c>
    </row>
    <row r="39" spans="1:3" x14ac:dyDescent="0.25">
      <c r="A39" s="3" t="s">
        <v>38</v>
      </c>
      <c r="B39" s="3" t="s">
        <v>131</v>
      </c>
      <c r="C39" s="15">
        <v>0.14401995646073965</v>
      </c>
    </row>
    <row r="40" spans="1:3" x14ac:dyDescent="0.25">
      <c r="A40" s="3" t="s">
        <v>39</v>
      </c>
      <c r="B40" s="3" t="s">
        <v>132</v>
      </c>
      <c r="C40" s="15">
        <v>6.1762670106436752E-3</v>
      </c>
    </row>
    <row r="41" spans="1:3" x14ac:dyDescent="0.25">
      <c r="A41" s="3" t="s">
        <v>40</v>
      </c>
      <c r="B41" s="3" t="s">
        <v>133</v>
      </c>
      <c r="C41" s="15">
        <v>1.0663939105425719</v>
      </c>
    </row>
    <row r="42" spans="1:3" x14ac:dyDescent="0.25">
      <c r="A42" s="3" t="s">
        <v>41</v>
      </c>
      <c r="B42" s="3" t="s">
        <v>134</v>
      </c>
      <c r="C42" s="15">
        <v>0.40582425290539825</v>
      </c>
    </row>
    <row r="43" spans="1:3" x14ac:dyDescent="0.25">
      <c r="A43" s="3" t="s">
        <v>42</v>
      </c>
      <c r="B43" s="3" t="s">
        <v>135</v>
      </c>
      <c r="C43" s="15">
        <v>0.91942208541937764</v>
      </c>
    </row>
    <row r="44" spans="1:3" x14ac:dyDescent="0.25">
      <c r="A44" s="3" t="s">
        <v>43</v>
      </c>
      <c r="B44" s="3" t="s">
        <v>136</v>
      </c>
      <c r="C44" s="15">
        <v>0.40121463960840198</v>
      </c>
    </row>
    <row r="45" spans="1:3" x14ac:dyDescent="0.25">
      <c r="A45" s="3" t="s">
        <v>44</v>
      </c>
      <c r="B45" s="3" t="s">
        <v>137</v>
      </c>
      <c r="C45" s="15">
        <v>0.63661998100519512</v>
      </c>
    </row>
    <row r="46" spans="1:3" x14ac:dyDescent="0.25">
      <c r="A46" s="3" t="s">
        <v>45</v>
      </c>
      <c r="B46" s="3" t="s">
        <v>138</v>
      </c>
      <c r="C46" s="15">
        <v>0.81663420347695848</v>
      </c>
    </row>
    <row r="47" spans="1:3" x14ac:dyDescent="0.25">
      <c r="A47" s="3" t="s">
        <v>46</v>
      </c>
      <c r="B47" s="3" t="s">
        <v>139</v>
      </c>
      <c r="C47" s="15">
        <v>0.64597693027534786</v>
      </c>
    </row>
    <row r="48" spans="1:3" x14ac:dyDescent="0.25">
      <c r="A48" s="3" t="s">
        <v>47</v>
      </c>
      <c r="B48" s="3" t="s">
        <v>140</v>
      </c>
      <c r="C48" s="15">
        <v>1.8588690153991745</v>
      </c>
    </row>
    <row r="49" spans="1:3" x14ac:dyDescent="0.25">
      <c r="A49" s="3" t="s">
        <v>48</v>
      </c>
      <c r="B49" s="3" t="s">
        <v>141</v>
      </c>
      <c r="C49" s="15">
        <v>1.9812882161814873</v>
      </c>
    </row>
    <row r="50" spans="1:3" x14ac:dyDescent="0.25">
      <c r="A50" s="3" t="s">
        <v>49</v>
      </c>
      <c r="B50" s="3" t="s">
        <v>142</v>
      </c>
      <c r="C50" s="15">
        <v>9.4846956928908693E-3</v>
      </c>
    </row>
    <row r="51" spans="1:3" x14ac:dyDescent="0.25">
      <c r="A51" s="3" t="s">
        <v>50</v>
      </c>
      <c r="B51" s="3" t="s">
        <v>143</v>
      </c>
      <c r="C51" s="15">
        <v>0.33827071059503067</v>
      </c>
    </row>
    <row r="52" spans="1:3" x14ac:dyDescent="0.25">
      <c r="A52" s="3" t="s">
        <v>51</v>
      </c>
      <c r="B52" s="3" t="s">
        <v>144</v>
      </c>
      <c r="C52" s="15">
        <v>0.62122220947653983</v>
      </c>
    </row>
    <row r="53" spans="1:3" x14ac:dyDescent="0.25">
      <c r="A53" s="3" t="s">
        <v>52</v>
      </c>
      <c r="B53" s="3" t="s">
        <v>145</v>
      </c>
      <c r="C53" s="15">
        <v>7.5375526180090302E-2</v>
      </c>
    </row>
    <row r="54" spans="1:3" x14ac:dyDescent="0.25">
      <c r="A54" s="3" t="s">
        <v>53</v>
      </c>
      <c r="B54" s="3" t="s">
        <v>146</v>
      </c>
      <c r="C54" s="15">
        <v>0.13974086332843558</v>
      </c>
    </row>
    <row r="55" spans="1:3" x14ac:dyDescent="0.25">
      <c r="A55" s="3" t="s">
        <v>54</v>
      </c>
      <c r="B55" s="3" t="s">
        <v>147</v>
      </c>
      <c r="C55" s="15">
        <v>1.1099460760411021E-3</v>
      </c>
    </row>
    <row r="56" spans="1:3" x14ac:dyDescent="0.25">
      <c r="A56" s="3" t="s">
        <v>55</v>
      </c>
      <c r="B56" s="3" t="s">
        <v>148</v>
      </c>
      <c r="C56" s="15">
        <v>0.15635501926782527</v>
      </c>
    </row>
    <row r="57" spans="1:3" x14ac:dyDescent="0.25">
      <c r="A57" s="3" t="s">
        <v>56</v>
      </c>
      <c r="B57" s="3" t="s">
        <v>149</v>
      </c>
      <c r="C57" s="15">
        <v>0.41111657881812042</v>
      </c>
    </row>
    <row r="58" spans="1:3" x14ac:dyDescent="0.25">
      <c r="A58" s="3" t="s">
        <v>57</v>
      </c>
      <c r="B58" s="3" t="s">
        <v>150</v>
      </c>
      <c r="C58" s="15">
        <v>1.6089220284203212</v>
      </c>
    </row>
    <row r="59" spans="1:3" x14ac:dyDescent="0.25">
      <c r="A59" s="3" t="s">
        <v>58</v>
      </c>
      <c r="B59" s="3" t="s">
        <v>151</v>
      </c>
      <c r="C59" s="15">
        <v>1.9182562994551242</v>
      </c>
    </row>
    <row r="60" spans="1:3" x14ac:dyDescent="0.25">
      <c r="A60" s="3" t="s">
        <v>59</v>
      </c>
      <c r="B60" s="3" t="s">
        <v>152</v>
      </c>
      <c r="C60" s="15">
        <v>1.9782272284373621</v>
      </c>
    </row>
    <row r="61" spans="1:3" x14ac:dyDescent="0.25">
      <c r="A61" s="3" t="s">
        <v>60</v>
      </c>
      <c r="B61" s="3" t="s">
        <v>153</v>
      </c>
      <c r="C61" s="15">
        <v>1.9514545777959549</v>
      </c>
    </row>
    <row r="62" spans="1:3" x14ac:dyDescent="0.25">
      <c r="A62" s="3" t="s">
        <v>61</v>
      </c>
      <c r="B62" s="3" t="s">
        <v>154</v>
      </c>
      <c r="C62" s="15">
        <v>1.9973067176503632</v>
      </c>
    </row>
    <row r="63" spans="1:3" x14ac:dyDescent="0.25">
      <c r="A63" s="3" t="s">
        <v>62</v>
      </c>
      <c r="B63" s="3" t="s">
        <v>155</v>
      </c>
      <c r="C63" s="15">
        <v>0.86609032635051342</v>
      </c>
    </row>
    <row r="64" spans="1:3" x14ac:dyDescent="0.25">
      <c r="A64" s="3" t="s">
        <v>63</v>
      </c>
      <c r="B64" s="3" t="s">
        <v>156</v>
      </c>
      <c r="C64" s="15">
        <v>1.7401012118170704</v>
      </c>
    </row>
    <row r="65" spans="1:3" x14ac:dyDescent="0.25">
      <c r="A65" s="3" t="s">
        <v>64</v>
      </c>
      <c r="B65" s="3" t="s">
        <v>157</v>
      </c>
      <c r="C65" s="15">
        <v>1.3918810344997281</v>
      </c>
    </row>
    <row r="66" spans="1:3" x14ac:dyDescent="0.25">
      <c r="A66" s="3" t="s">
        <v>65</v>
      </c>
      <c r="B66" s="3" t="s">
        <v>158</v>
      </c>
      <c r="C66" s="15">
        <v>1.5436962229219706</v>
      </c>
    </row>
    <row r="67" spans="1:3" x14ac:dyDescent="0.25">
      <c r="A67" s="3" t="s">
        <v>66</v>
      </c>
      <c r="B67" s="3" t="s">
        <v>159</v>
      </c>
      <c r="C67" s="15">
        <v>1.4231272286128689</v>
      </c>
    </row>
    <row r="68" spans="1:3" x14ac:dyDescent="0.25">
      <c r="A68" s="3" t="s">
        <v>67</v>
      </c>
      <c r="B68" s="3" t="s">
        <v>160</v>
      </c>
      <c r="C68" s="15">
        <v>1.0684726649000225E-2</v>
      </c>
    </row>
    <row r="69" spans="1:3" x14ac:dyDescent="0.25">
      <c r="A69" s="3" t="s">
        <v>68</v>
      </c>
      <c r="B69" s="3" t="s">
        <v>161</v>
      </c>
      <c r="C69" s="15">
        <v>3.0519434603916862E-4</v>
      </c>
    </row>
    <row r="70" spans="1:3" x14ac:dyDescent="0.25">
      <c r="A70" s="3" t="s">
        <v>69</v>
      </c>
      <c r="B70" s="3" t="s">
        <v>162</v>
      </c>
      <c r="C70" s="15">
        <v>0.26596922460543526</v>
      </c>
    </row>
    <row r="71" spans="1:3" x14ac:dyDescent="0.25">
      <c r="A71" s="3" t="s">
        <v>70</v>
      </c>
      <c r="B71" s="3" t="s">
        <v>163</v>
      </c>
      <c r="C71" s="15">
        <v>0.34160660224064215</v>
      </c>
    </row>
    <row r="72" spans="1:3" x14ac:dyDescent="0.25">
      <c r="A72" s="3" t="s">
        <v>71</v>
      </c>
      <c r="B72" s="3" t="s">
        <v>164</v>
      </c>
      <c r="C72" s="15">
        <v>0.93376574981869798</v>
      </c>
    </row>
    <row r="73" spans="1:3" x14ac:dyDescent="0.25">
      <c r="A73" s="3" t="s">
        <v>366</v>
      </c>
      <c r="B73" s="3" t="s">
        <v>378</v>
      </c>
      <c r="C73" s="15">
        <v>0.73693820755205841</v>
      </c>
    </row>
    <row r="74" spans="1:3" x14ac:dyDescent="0.25">
      <c r="A74" s="3" t="s">
        <v>367</v>
      </c>
      <c r="B74" s="3" t="s">
        <v>379</v>
      </c>
      <c r="C74" s="15">
        <v>0.6474262434859559</v>
      </c>
    </row>
    <row r="75" spans="1:3" x14ac:dyDescent="0.25">
      <c r="A75" s="3" t="s">
        <v>368</v>
      </c>
      <c r="B75" s="3" t="s">
        <v>380</v>
      </c>
      <c r="C75" s="15">
        <v>1.126403868993924</v>
      </c>
    </row>
    <row r="76" spans="1:3" x14ac:dyDescent="0.25">
      <c r="A76" s="3" t="s">
        <v>369</v>
      </c>
      <c r="B76" s="3" t="s">
        <v>381</v>
      </c>
      <c r="C76" s="15">
        <v>0.73049180655322821</v>
      </c>
    </row>
    <row r="77" spans="1:3" x14ac:dyDescent="0.25">
      <c r="A77" s="3" t="s">
        <v>370</v>
      </c>
      <c r="B77" s="3" t="s">
        <v>382</v>
      </c>
      <c r="C77" s="15">
        <v>-2271269.3193667354</v>
      </c>
    </row>
    <row r="78" spans="1:3" x14ac:dyDescent="0.25">
      <c r="A78" s="3" t="s">
        <v>371</v>
      </c>
      <c r="B78" s="3" t="s">
        <v>383</v>
      </c>
      <c r="C78" s="15" t="e">
        <v>#DIV/0!</v>
      </c>
    </row>
    <row r="79" spans="1:3" x14ac:dyDescent="0.25">
      <c r="A79" s="3" t="s">
        <v>372</v>
      </c>
      <c r="B79" s="3" t="s">
        <v>384</v>
      </c>
      <c r="C79" s="15">
        <v>-2427236.1540238634</v>
      </c>
    </row>
    <row r="80" spans="1:3" x14ac:dyDescent="0.25">
      <c r="A80" s="3" t="s">
        <v>373</v>
      </c>
      <c r="B80" s="3" t="s">
        <v>385</v>
      </c>
      <c r="C80" s="15">
        <v>1.0296352325115983</v>
      </c>
    </row>
    <row r="81" spans="1:3" x14ac:dyDescent="0.25">
      <c r="A81" s="3" t="s">
        <v>374</v>
      </c>
      <c r="B81" s="3" t="s">
        <v>386</v>
      </c>
      <c r="C81" s="15">
        <v>1.0143575765358568</v>
      </c>
    </row>
    <row r="82" spans="1:3" x14ac:dyDescent="0.25">
      <c r="A82" s="3" t="s">
        <v>375</v>
      </c>
      <c r="B82" s="3" t="s">
        <v>387</v>
      </c>
      <c r="C82" s="15">
        <v>1.5639701817994909</v>
      </c>
    </row>
    <row r="83" spans="1:3" x14ac:dyDescent="0.25">
      <c r="A83" s="3" t="s">
        <v>376</v>
      </c>
      <c r="B83" s="3" t="s">
        <v>388</v>
      </c>
      <c r="C83" s="15">
        <v>0.96701115193289378</v>
      </c>
    </row>
    <row r="84" spans="1:3" x14ac:dyDescent="0.25">
      <c r="A84" s="3" t="s">
        <v>377</v>
      </c>
      <c r="B84" s="3" t="s">
        <v>389</v>
      </c>
      <c r="C84" s="15">
        <v>0.77948643494122782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36F8-B12E-4F09-A6D7-21659D481B2A}">
  <dimension ref="A1:E78"/>
  <sheetViews>
    <sheetView tabSelected="1" workbookViewId="0">
      <selection activeCell="G4" sqref="G4"/>
    </sheetView>
  </sheetViews>
  <sheetFormatPr defaultRowHeight="15" x14ac:dyDescent="0.25"/>
  <cols>
    <col min="1" max="1" width="23.5703125" style="3" customWidth="1"/>
    <col min="2" max="2" width="54.7109375" style="3" customWidth="1"/>
    <col min="3" max="3" width="11.42578125" style="3" customWidth="1"/>
    <col min="4" max="4" width="40" style="3" customWidth="1"/>
    <col min="5" max="5" width="9.140625" customWidth="1"/>
  </cols>
  <sheetData>
    <row r="1" spans="1:5" x14ac:dyDescent="0.25">
      <c r="A1" s="4" t="s">
        <v>352</v>
      </c>
      <c r="B1" s="4" t="s">
        <v>351</v>
      </c>
      <c r="C1" s="4" t="s">
        <v>269</v>
      </c>
      <c r="D1" s="3" t="s">
        <v>354</v>
      </c>
      <c r="E1" s="4" t="s">
        <v>394</v>
      </c>
    </row>
    <row r="2" spans="1:5" x14ac:dyDescent="0.25">
      <c r="A2" s="3" t="s">
        <v>353</v>
      </c>
      <c r="B2" s="3" t="s">
        <v>202</v>
      </c>
      <c r="C2" s="3" t="s">
        <v>276</v>
      </c>
      <c r="D2" s="3" t="s">
        <v>114</v>
      </c>
      <c r="E2">
        <f>_xlfn.XLOOKUP(D2, 'personal consumption'!$B$2:$B$83,'personal consumption'!$C$2:$C$83)</f>
        <v>1.8850638651680509</v>
      </c>
    </row>
    <row r="3" spans="1:5" x14ac:dyDescent="0.25">
      <c r="A3" s="3" t="s">
        <v>353</v>
      </c>
      <c r="B3" s="3" t="s">
        <v>203</v>
      </c>
      <c r="C3" s="3" t="s">
        <v>277</v>
      </c>
      <c r="D3" s="3" t="s">
        <v>107</v>
      </c>
      <c r="E3">
        <f>_xlfn.XLOOKUP(D3, 'personal consumption'!$B$2:$B$83,'personal consumption'!$C$2:$C$83)</f>
        <v>0.79353177365203531</v>
      </c>
    </row>
    <row r="4" spans="1:5" x14ac:dyDescent="0.25">
      <c r="A4" s="3" t="s">
        <v>353</v>
      </c>
      <c r="B4" s="3" t="s">
        <v>209</v>
      </c>
      <c r="C4" s="3" t="s">
        <v>283</v>
      </c>
      <c r="D4" s="3" t="s">
        <v>111</v>
      </c>
      <c r="E4">
        <f>_xlfn.XLOOKUP(D4, 'personal consumption'!$B$2:$B$83,'personal consumption'!$C$2:$C$83)</f>
        <v>1.2913113210525022</v>
      </c>
    </row>
    <row r="5" spans="1:5" x14ac:dyDescent="0.25">
      <c r="A5" s="3" t="s">
        <v>353</v>
      </c>
      <c r="B5" s="3" t="s">
        <v>220</v>
      </c>
      <c r="C5" s="3" t="s">
        <v>294</v>
      </c>
      <c r="D5" s="3" t="s">
        <v>111</v>
      </c>
      <c r="E5">
        <f>_xlfn.XLOOKUP(D5, 'personal consumption'!$B$2:$B$83,'personal consumption'!$C$2:$C$83)</f>
        <v>1.2913113210525022</v>
      </c>
    </row>
    <row r="6" spans="1:5" x14ac:dyDescent="0.25">
      <c r="A6" s="3" t="s">
        <v>353</v>
      </c>
      <c r="B6" s="3" t="s">
        <v>235</v>
      </c>
      <c r="C6" s="3" t="s">
        <v>309</v>
      </c>
      <c r="D6" s="3" t="s">
        <v>141</v>
      </c>
      <c r="E6">
        <f>_xlfn.XLOOKUP(D6, 'personal consumption'!$B$2:$B$83,'personal consumption'!$C$2:$C$83)</f>
        <v>1.9812882161814873</v>
      </c>
    </row>
    <row r="7" spans="1:5" x14ac:dyDescent="0.25">
      <c r="A7" s="3" t="s">
        <v>353</v>
      </c>
      <c r="B7" s="3" t="s">
        <v>249</v>
      </c>
      <c r="C7" s="3" t="s">
        <v>323</v>
      </c>
      <c r="D7" s="3" t="s">
        <v>111</v>
      </c>
      <c r="E7">
        <f>_xlfn.XLOOKUP(D7, 'personal consumption'!$B$2:$B$83,'personal consumption'!$C$2:$C$83)</f>
        <v>1.2913113210525022</v>
      </c>
    </row>
    <row r="8" spans="1:5" x14ac:dyDescent="0.25">
      <c r="A8" s="3" t="s">
        <v>353</v>
      </c>
      <c r="B8" s="3" t="s">
        <v>265</v>
      </c>
      <c r="C8" s="3" t="s">
        <v>343</v>
      </c>
      <c r="D8" s="3" t="s">
        <v>111</v>
      </c>
      <c r="E8">
        <f>_xlfn.XLOOKUP(D8, 'personal consumption'!$B$2:$B$83,'personal consumption'!$C$2:$C$83)</f>
        <v>1.2913113210525022</v>
      </c>
    </row>
    <row r="9" spans="1:5" x14ac:dyDescent="0.25">
      <c r="A9" s="3" t="s">
        <v>356</v>
      </c>
      <c r="B9" s="3" t="s">
        <v>215</v>
      </c>
      <c r="C9" s="3" t="s">
        <v>289</v>
      </c>
      <c r="D9" s="3" t="s">
        <v>102</v>
      </c>
      <c r="E9">
        <f>_xlfn.XLOOKUP(D9, 'personal consumption'!$B$2:$B$83,'personal consumption'!$C$2:$C$83)</f>
        <v>0.20018522496056337</v>
      </c>
    </row>
    <row r="10" spans="1:5" x14ac:dyDescent="0.25">
      <c r="A10" s="3" t="s">
        <v>356</v>
      </c>
      <c r="B10" s="3" t="s">
        <v>213</v>
      </c>
      <c r="C10" s="3" t="s">
        <v>287</v>
      </c>
      <c r="D10" s="3" t="s">
        <v>97</v>
      </c>
      <c r="E10">
        <f>_xlfn.XLOOKUP(D10, 'personal consumption'!$B$2:$B$83,'personal consumption'!$C$2:$C$83)</f>
        <v>2.556210974901537E-2</v>
      </c>
    </row>
    <row r="11" spans="1:5" x14ac:dyDescent="0.25">
      <c r="A11" s="3" t="s">
        <v>356</v>
      </c>
      <c r="B11" s="3" t="s">
        <v>347</v>
      </c>
      <c r="C11" s="3" t="s">
        <v>325</v>
      </c>
      <c r="D11" s="3" t="s">
        <v>96</v>
      </c>
      <c r="E11">
        <f>_xlfn.XLOOKUP(D11, 'personal consumption'!$B$2:$B$83,'personal consumption'!$C$2:$C$83)</f>
        <v>9.8847170181331101E-2</v>
      </c>
    </row>
    <row r="12" spans="1:5" x14ac:dyDescent="0.25">
      <c r="A12" s="3" t="s">
        <v>356</v>
      </c>
      <c r="B12" s="3" t="s">
        <v>240</v>
      </c>
      <c r="C12" s="3" t="s">
        <v>314</v>
      </c>
      <c r="D12" s="3" t="s">
        <v>97</v>
      </c>
      <c r="E12">
        <f>_xlfn.XLOOKUP(D12, 'personal consumption'!$B$2:$B$83,'personal consumption'!$C$2:$C$83)</f>
        <v>2.556210974901537E-2</v>
      </c>
    </row>
    <row r="13" spans="1:5" x14ac:dyDescent="0.25">
      <c r="A13" s="3" t="s">
        <v>356</v>
      </c>
      <c r="B13" s="3" t="s">
        <v>348</v>
      </c>
      <c r="C13" s="3" t="s">
        <v>326</v>
      </c>
      <c r="D13" s="3" t="s">
        <v>96</v>
      </c>
      <c r="E13">
        <f>_xlfn.XLOOKUP(D13, 'personal consumption'!$B$2:$B$83,'personal consumption'!$C$2:$C$83)</f>
        <v>9.8847170181331101E-2</v>
      </c>
    </row>
    <row r="14" spans="1:5" x14ac:dyDescent="0.25">
      <c r="A14" s="3" t="s">
        <v>356</v>
      </c>
      <c r="B14" s="3" t="s">
        <v>247</v>
      </c>
      <c r="C14" s="3" t="s">
        <v>321</v>
      </c>
      <c r="D14" s="3" t="s">
        <v>97</v>
      </c>
      <c r="E14">
        <f>_xlfn.XLOOKUP(D14, 'personal consumption'!$B$2:$B$83,'personal consumption'!$C$2:$C$83)</f>
        <v>2.556210974901537E-2</v>
      </c>
    </row>
    <row r="15" spans="1:5" x14ac:dyDescent="0.25">
      <c r="A15" s="3" t="s">
        <v>356</v>
      </c>
      <c r="B15" s="3" t="s">
        <v>349</v>
      </c>
      <c r="C15" s="3" t="s">
        <v>327</v>
      </c>
      <c r="D15" s="3" t="s">
        <v>96</v>
      </c>
      <c r="E15">
        <f>_xlfn.XLOOKUP(D15, 'personal consumption'!$B$2:$B$83,'personal consumption'!$C$2:$C$83)</f>
        <v>9.8847170181331101E-2</v>
      </c>
    </row>
    <row r="16" spans="1:5" x14ac:dyDescent="0.25">
      <c r="A16" s="3" t="s">
        <v>356</v>
      </c>
      <c r="B16" s="3" t="s">
        <v>350</v>
      </c>
      <c r="C16" s="3" t="s">
        <v>328</v>
      </c>
      <c r="D16" s="3" t="s">
        <v>96</v>
      </c>
      <c r="E16">
        <f>_xlfn.XLOOKUP(D16, 'personal consumption'!$B$2:$B$83,'personal consumption'!$C$2:$C$83)</f>
        <v>9.8847170181331101E-2</v>
      </c>
    </row>
    <row r="17" spans="1:5" x14ac:dyDescent="0.25">
      <c r="A17" s="3" t="s">
        <v>355</v>
      </c>
      <c r="B17" s="3" t="s">
        <v>201</v>
      </c>
      <c r="C17" s="3" t="s">
        <v>275</v>
      </c>
      <c r="D17" s="3" t="s">
        <v>112</v>
      </c>
      <c r="E17">
        <f>_xlfn.XLOOKUP(D17, 'personal consumption'!$B$2:$B$83,'personal consumption'!$C$2:$C$83)</f>
        <v>1.3660612440230226</v>
      </c>
    </row>
    <row r="18" spans="1:5" x14ac:dyDescent="0.25">
      <c r="A18" s="3" t="s">
        <v>355</v>
      </c>
      <c r="B18" s="3" t="s">
        <v>198</v>
      </c>
      <c r="C18" s="3" t="s">
        <v>272</v>
      </c>
      <c r="D18" s="3" t="s">
        <v>112</v>
      </c>
      <c r="E18">
        <f>_xlfn.XLOOKUP(D18, 'personal consumption'!$B$2:$B$83,'personal consumption'!$C$2:$C$83)</f>
        <v>1.3660612440230226</v>
      </c>
    </row>
    <row r="19" spans="1:5" x14ac:dyDescent="0.25">
      <c r="A19" s="3" t="s">
        <v>355</v>
      </c>
      <c r="B19" s="3" t="s">
        <v>226</v>
      </c>
      <c r="C19" s="3" t="s">
        <v>300</v>
      </c>
      <c r="D19" s="3" t="s">
        <v>158</v>
      </c>
      <c r="E19">
        <f>_xlfn.XLOOKUP(D19, 'personal consumption'!$B$2:$B$83,'personal consumption'!$C$2:$C$83)</f>
        <v>1.5436962229219706</v>
      </c>
    </row>
    <row r="20" spans="1:5" x14ac:dyDescent="0.25">
      <c r="A20" s="3" t="s">
        <v>355</v>
      </c>
      <c r="B20" s="3" t="s">
        <v>244</v>
      </c>
      <c r="C20" s="3" t="s">
        <v>318</v>
      </c>
      <c r="D20" s="3" t="s">
        <v>112</v>
      </c>
      <c r="E20">
        <f>_xlfn.XLOOKUP(D20, 'personal consumption'!$B$2:$B$83,'personal consumption'!$C$2:$C$83)</f>
        <v>1.3660612440230226</v>
      </c>
    </row>
    <row r="21" spans="1:5" x14ac:dyDescent="0.25">
      <c r="A21" s="3" t="s">
        <v>355</v>
      </c>
      <c r="B21" s="3" t="s">
        <v>250</v>
      </c>
      <c r="C21" s="3" t="s">
        <v>324</v>
      </c>
      <c r="D21" s="3" t="s">
        <v>112</v>
      </c>
      <c r="E21">
        <f>_xlfn.XLOOKUP(D21, 'personal consumption'!$B$2:$B$83,'personal consumption'!$C$2:$C$83)</f>
        <v>1.3660612440230226</v>
      </c>
    </row>
    <row r="22" spans="1:5" x14ac:dyDescent="0.25">
      <c r="A22" s="3" t="s">
        <v>355</v>
      </c>
      <c r="B22" s="3" t="s">
        <v>251</v>
      </c>
      <c r="C22" s="3" t="s">
        <v>329</v>
      </c>
      <c r="D22" s="3" t="s">
        <v>112</v>
      </c>
      <c r="E22">
        <f>_xlfn.XLOOKUP(D22, 'personal consumption'!$B$2:$B$83,'personal consumption'!$C$2:$C$83)</f>
        <v>1.3660612440230226</v>
      </c>
    </row>
    <row r="23" spans="1:5" x14ac:dyDescent="0.25">
      <c r="A23" s="3" t="s">
        <v>355</v>
      </c>
      <c r="B23" s="3" t="s">
        <v>257</v>
      </c>
      <c r="C23" s="3" t="s">
        <v>335</v>
      </c>
      <c r="D23" s="3" t="s">
        <v>158</v>
      </c>
      <c r="E23">
        <f>_xlfn.XLOOKUP(D23, 'personal consumption'!$B$2:$B$83,'personal consumption'!$C$2:$C$83)</f>
        <v>1.5436962229219706</v>
      </c>
    </row>
    <row r="24" spans="1:5" x14ac:dyDescent="0.25">
      <c r="A24" s="3" t="s">
        <v>355</v>
      </c>
      <c r="B24" s="3" t="s">
        <v>264</v>
      </c>
      <c r="C24" s="3" t="s">
        <v>342</v>
      </c>
      <c r="D24" s="3" t="s">
        <v>112</v>
      </c>
      <c r="E24">
        <f>_xlfn.XLOOKUP(D24, 'personal consumption'!$B$2:$B$83,'personal consumption'!$C$2:$C$83)</f>
        <v>1.3660612440230226</v>
      </c>
    </row>
    <row r="25" spans="1:5" x14ac:dyDescent="0.25">
      <c r="A25" s="3" t="s">
        <v>357</v>
      </c>
      <c r="B25" s="3" t="s">
        <v>204</v>
      </c>
      <c r="C25" s="3" t="s">
        <v>278</v>
      </c>
      <c r="D25" s="3" t="s">
        <v>138</v>
      </c>
      <c r="E25">
        <f>_xlfn.XLOOKUP(D25, 'personal consumption'!$B$2:$B$83,'personal consumption'!$C$2:$C$83)</f>
        <v>0.81663420347695848</v>
      </c>
    </row>
    <row r="26" spans="1:5" x14ac:dyDescent="0.25">
      <c r="A26" s="3" t="s">
        <v>357</v>
      </c>
      <c r="B26" s="3" t="s">
        <v>214</v>
      </c>
      <c r="C26" s="3" t="s">
        <v>288</v>
      </c>
      <c r="D26" s="3" t="s">
        <v>137</v>
      </c>
      <c r="E26">
        <f>_xlfn.XLOOKUP(D26, 'personal consumption'!$B$2:$B$83,'personal consumption'!$C$2:$C$83)</f>
        <v>0.63661998100519512</v>
      </c>
    </row>
    <row r="27" spans="1:5" x14ac:dyDescent="0.25">
      <c r="A27" s="3" t="s">
        <v>357</v>
      </c>
      <c r="B27" s="3" t="s">
        <v>216</v>
      </c>
      <c r="C27" s="3" t="s">
        <v>290</v>
      </c>
      <c r="D27" s="3" t="s">
        <v>137</v>
      </c>
      <c r="E27">
        <f>_xlfn.XLOOKUP(D27, 'personal consumption'!$B$2:$B$83,'personal consumption'!$C$2:$C$83)</f>
        <v>0.63661998100519512</v>
      </c>
    </row>
    <row r="28" spans="1:5" x14ac:dyDescent="0.25">
      <c r="A28" s="3" t="s">
        <v>357</v>
      </c>
      <c r="B28" s="3" t="s">
        <v>259</v>
      </c>
      <c r="C28" s="3" t="s">
        <v>337</v>
      </c>
      <c r="D28" s="3" t="s">
        <v>138</v>
      </c>
      <c r="E28">
        <f>_xlfn.XLOOKUP(D28, 'personal consumption'!$B$2:$B$83,'personal consumption'!$C$2:$C$83)</f>
        <v>0.81663420347695848</v>
      </c>
    </row>
    <row r="29" spans="1:5" x14ac:dyDescent="0.25">
      <c r="A29" s="3" t="s">
        <v>357</v>
      </c>
      <c r="B29" s="3" t="s">
        <v>239</v>
      </c>
      <c r="C29" s="3" t="s">
        <v>313</v>
      </c>
      <c r="D29" s="3" t="s">
        <v>138</v>
      </c>
      <c r="E29">
        <f>_xlfn.XLOOKUP(D29, 'personal consumption'!$B$2:$B$83,'personal consumption'!$C$2:$C$83)</f>
        <v>0.81663420347695848</v>
      </c>
    </row>
    <row r="30" spans="1:5" x14ac:dyDescent="0.25">
      <c r="A30" s="3" t="s">
        <v>357</v>
      </c>
      <c r="B30" s="3" t="s">
        <v>237</v>
      </c>
      <c r="C30" s="3" t="s">
        <v>311</v>
      </c>
      <c r="D30" s="3" t="s">
        <v>139</v>
      </c>
      <c r="E30">
        <f>_xlfn.XLOOKUP(D30, 'personal consumption'!$B$2:$B$83,'personal consumption'!$C$2:$C$83)</f>
        <v>0.64597693027534786</v>
      </c>
    </row>
    <row r="31" spans="1:5" x14ac:dyDescent="0.25">
      <c r="A31" s="3" t="s">
        <v>357</v>
      </c>
      <c r="B31" s="3" t="s">
        <v>248</v>
      </c>
      <c r="C31" s="3" t="s">
        <v>322</v>
      </c>
      <c r="D31" s="3" t="s">
        <v>137</v>
      </c>
      <c r="E31">
        <f>_xlfn.XLOOKUP(D31, 'personal consumption'!$B$2:$B$83,'personal consumption'!$C$2:$C$83)</f>
        <v>0.63661998100519512</v>
      </c>
    </row>
    <row r="32" spans="1:5" x14ac:dyDescent="0.25">
      <c r="A32" s="3" t="s">
        <v>358</v>
      </c>
      <c r="B32" s="3" t="s">
        <v>208</v>
      </c>
      <c r="C32" s="3" t="s">
        <v>282</v>
      </c>
      <c r="D32" s="3" t="s">
        <v>118</v>
      </c>
      <c r="E32">
        <f>_xlfn.XLOOKUP(D32, 'personal consumption'!$B$2:$B$83,'personal consumption'!$C$2:$C$83)</f>
        <v>0.87961048003395859</v>
      </c>
    </row>
    <row r="33" spans="1:5" x14ac:dyDescent="0.25">
      <c r="A33" s="3" t="s">
        <v>358</v>
      </c>
      <c r="B33" s="3" t="s">
        <v>232</v>
      </c>
      <c r="C33" s="3" t="s">
        <v>306</v>
      </c>
      <c r="D33" s="3" t="s">
        <v>151</v>
      </c>
      <c r="E33">
        <f>_xlfn.XLOOKUP(D33, 'personal consumption'!$B$2:$B$83,'personal consumption'!$C$2:$C$83)</f>
        <v>1.9182562994551242</v>
      </c>
    </row>
    <row r="34" spans="1:5" x14ac:dyDescent="0.25">
      <c r="A34" s="3" t="s">
        <v>358</v>
      </c>
      <c r="B34" s="3" t="s">
        <v>219</v>
      </c>
      <c r="C34" s="3" t="s">
        <v>293</v>
      </c>
      <c r="D34" s="3" t="s">
        <v>124</v>
      </c>
      <c r="E34">
        <f>_xlfn.XLOOKUP(D34, 'personal consumption'!$B$2:$B$83,'personal consumption'!$C$2:$C$83)</f>
        <v>1.7473364023419138</v>
      </c>
    </row>
    <row r="35" spans="1:5" x14ac:dyDescent="0.25">
      <c r="A35" s="3" t="s">
        <v>358</v>
      </c>
      <c r="B35" s="3" t="s">
        <v>231</v>
      </c>
      <c r="C35" s="3" t="s">
        <v>305</v>
      </c>
      <c r="D35" s="3" t="s">
        <v>151</v>
      </c>
      <c r="E35">
        <f>_xlfn.XLOOKUP(D35, 'personal consumption'!$B$2:$B$83,'personal consumption'!$C$2:$C$83)</f>
        <v>1.9182562994551242</v>
      </c>
    </row>
    <row r="36" spans="1:5" x14ac:dyDescent="0.25">
      <c r="A36" s="3" t="s">
        <v>358</v>
      </c>
      <c r="B36" s="3" t="s">
        <v>242</v>
      </c>
      <c r="C36" s="3" t="s">
        <v>316</v>
      </c>
      <c r="D36" s="3" t="s">
        <v>151</v>
      </c>
      <c r="E36">
        <f>_xlfn.XLOOKUP(D36, 'personal consumption'!$B$2:$B$83,'personal consumption'!$C$2:$C$83)</f>
        <v>1.9182562994551242</v>
      </c>
    </row>
    <row r="37" spans="1:5" x14ac:dyDescent="0.25">
      <c r="A37" s="3" t="s">
        <v>358</v>
      </c>
      <c r="B37" s="3" t="s">
        <v>246</v>
      </c>
      <c r="C37" s="3" t="s">
        <v>320</v>
      </c>
      <c r="D37" s="3" t="s">
        <v>111</v>
      </c>
      <c r="E37">
        <f>_xlfn.XLOOKUP(D37, 'personal consumption'!$B$2:$B$83,'personal consumption'!$C$2:$C$83)</f>
        <v>1.2913113210525022</v>
      </c>
    </row>
    <row r="38" spans="1:5" x14ac:dyDescent="0.25">
      <c r="A38" s="3" t="s">
        <v>359</v>
      </c>
      <c r="B38" s="3" t="s">
        <v>225</v>
      </c>
      <c r="C38" s="3" t="s">
        <v>299</v>
      </c>
      <c r="D38" s="3" t="s">
        <v>100</v>
      </c>
      <c r="E38">
        <f>_xlfn.XLOOKUP(D38, 'personal consumption'!$B$2:$B$83,'personal consumption'!$C$2:$C$83)</f>
        <v>1.8064637195474378E-6</v>
      </c>
    </row>
    <row r="39" spans="1:5" x14ac:dyDescent="0.25">
      <c r="A39" s="3" t="s">
        <v>359</v>
      </c>
      <c r="B39" s="3" t="s">
        <v>222</v>
      </c>
      <c r="C39" s="3" t="s">
        <v>296</v>
      </c>
      <c r="D39" s="3" t="s">
        <v>99</v>
      </c>
      <c r="E39">
        <f>_xlfn.XLOOKUP(D39, 'personal consumption'!$B$2:$B$83,'personal consumption'!$C$2:$C$83)</f>
        <v>0.45063989137172916</v>
      </c>
    </row>
    <row r="40" spans="1:5" x14ac:dyDescent="0.25">
      <c r="A40" s="3" t="s">
        <v>359</v>
      </c>
      <c r="B40" s="3" t="s">
        <v>229</v>
      </c>
      <c r="C40" s="3" t="s">
        <v>303</v>
      </c>
      <c r="D40" s="3" t="s">
        <v>99</v>
      </c>
      <c r="E40">
        <f>_xlfn.XLOOKUP(D40, 'personal consumption'!$B$2:$B$83,'personal consumption'!$C$2:$C$83)</f>
        <v>0.45063989137172916</v>
      </c>
    </row>
    <row r="41" spans="1:5" x14ac:dyDescent="0.25">
      <c r="A41" s="3" t="s">
        <v>359</v>
      </c>
      <c r="B41" s="3" t="s">
        <v>233</v>
      </c>
      <c r="C41" s="3" t="s">
        <v>307</v>
      </c>
      <c r="D41" s="3" t="s">
        <v>100</v>
      </c>
      <c r="E41">
        <f>_xlfn.XLOOKUP(D41, 'personal consumption'!$B$2:$B$83,'personal consumption'!$C$2:$C$83)</f>
        <v>1.8064637195474378E-6</v>
      </c>
    </row>
    <row r="42" spans="1:5" x14ac:dyDescent="0.25">
      <c r="A42" s="3" t="s">
        <v>359</v>
      </c>
      <c r="B42" s="3" t="s">
        <v>255</v>
      </c>
      <c r="C42" s="3" t="s">
        <v>333</v>
      </c>
      <c r="D42" s="3" t="s">
        <v>142</v>
      </c>
      <c r="E42">
        <f>_xlfn.XLOOKUP(D42, 'personal consumption'!$B$2:$B$83,'personal consumption'!$C$2:$C$83)</f>
        <v>9.4846956928908693E-3</v>
      </c>
    </row>
    <row r="43" spans="1:5" x14ac:dyDescent="0.25">
      <c r="A43" s="3" t="s">
        <v>359</v>
      </c>
      <c r="B43" s="3" t="s">
        <v>256</v>
      </c>
      <c r="C43" s="3" t="s">
        <v>334</v>
      </c>
      <c r="D43" s="3" t="s">
        <v>142</v>
      </c>
      <c r="E43">
        <f>_xlfn.XLOOKUP(D43, 'personal consumption'!$B$2:$B$83,'personal consumption'!$C$2:$C$83)</f>
        <v>9.4846956928908693E-3</v>
      </c>
    </row>
    <row r="44" spans="1:5" x14ac:dyDescent="0.25">
      <c r="A44" s="3" t="s">
        <v>359</v>
      </c>
      <c r="B44" s="3" t="s">
        <v>266</v>
      </c>
      <c r="C44" s="3" t="s">
        <v>344</v>
      </c>
      <c r="D44" s="3" t="s">
        <v>149</v>
      </c>
      <c r="E44">
        <f>_xlfn.XLOOKUP(D44, 'personal consumption'!$B$2:$B$83,'personal consumption'!$C$2:$C$83)</f>
        <v>0.41111657881812042</v>
      </c>
    </row>
    <row r="45" spans="1:5" x14ac:dyDescent="0.25">
      <c r="A45" s="3" t="s">
        <v>359</v>
      </c>
      <c r="B45" s="3" t="s">
        <v>267</v>
      </c>
      <c r="C45" s="3" t="s">
        <v>345</v>
      </c>
      <c r="D45" s="3" t="s">
        <v>99</v>
      </c>
      <c r="E45">
        <f>_xlfn.XLOOKUP(D45, 'personal consumption'!$B$2:$B$83,'personal consumption'!$C$2:$C$83)</f>
        <v>0.45063989137172916</v>
      </c>
    </row>
    <row r="46" spans="1:5" x14ac:dyDescent="0.25">
      <c r="A46" s="3" t="s">
        <v>360</v>
      </c>
      <c r="B46" s="3" t="s">
        <v>207</v>
      </c>
      <c r="C46" s="3" t="s">
        <v>281</v>
      </c>
      <c r="D46" s="3" t="s">
        <v>117</v>
      </c>
      <c r="E46">
        <f>_xlfn.XLOOKUP(D46, 'personal consumption'!$B$2:$B$83,'personal consumption'!$C$2:$C$83)</f>
        <v>0.94988437172896167</v>
      </c>
    </row>
    <row r="47" spans="1:5" x14ac:dyDescent="0.25">
      <c r="A47" s="3" t="s">
        <v>360</v>
      </c>
      <c r="B47" s="3" t="s">
        <v>228</v>
      </c>
      <c r="C47" s="3" t="s">
        <v>302</v>
      </c>
      <c r="D47" s="3" t="s">
        <v>118</v>
      </c>
      <c r="E47">
        <f>_xlfn.XLOOKUP(D47, 'personal consumption'!$B$2:$B$83,'personal consumption'!$C$2:$C$83)</f>
        <v>0.87961048003395859</v>
      </c>
    </row>
    <row r="48" spans="1:5" x14ac:dyDescent="0.25">
      <c r="A48" s="3" t="s">
        <v>360</v>
      </c>
      <c r="B48" s="3" t="s">
        <v>227</v>
      </c>
      <c r="C48" s="3" t="s">
        <v>301</v>
      </c>
      <c r="D48" s="3" t="s">
        <v>95</v>
      </c>
      <c r="E48">
        <f>_xlfn.XLOOKUP(D48, 'personal consumption'!$B$2:$B$83,'personal consumption'!$C$2:$C$83)</f>
        <v>0.12261742737443913</v>
      </c>
    </row>
    <row r="49" spans="1:5" x14ac:dyDescent="0.25">
      <c r="A49" s="3" t="s">
        <v>360</v>
      </c>
      <c r="B49" s="3" t="s">
        <v>253</v>
      </c>
      <c r="C49" s="3" t="s">
        <v>331</v>
      </c>
      <c r="D49" s="3" t="s">
        <v>115</v>
      </c>
      <c r="E49">
        <f>_xlfn.XLOOKUP(D49, 'personal consumption'!$B$2:$B$83,'personal consumption'!$C$2:$C$83)</f>
        <v>0.47532297071211904</v>
      </c>
    </row>
    <row r="50" spans="1:5" x14ac:dyDescent="0.25">
      <c r="A50" s="3" t="s">
        <v>360</v>
      </c>
      <c r="B50" s="3" t="s">
        <v>262</v>
      </c>
      <c r="C50" s="3" t="s">
        <v>340</v>
      </c>
      <c r="D50" s="3" t="s">
        <v>107</v>
      </c>
      <c r="E50">
        <f>_xlfn.XLOOKUP(D50, 'personal consumption'!$B$2:$B$83,'personal consumption'!$C$2:$C$83)</f>
        <v>0.79353177365203531</v>
      </c>
    </row>
    <row r="51" spans="1:5" x14ac:dyDescent="0.25">
      <c r="A51" s="3" t="s">
        <v>360</v>
      </c>
      <c r="B51" s="3" t="s">
        <v>268</v>
      </c>
      <c r="C51" s="3" t="s">
        <v>346</v>
      </c>
      <c r="D51" s="3" t="s">
        <v>107</v>
      </c>
      <c r="E51">
        <f>_xlfn.XLOOKUP(D51, 'personal consumption'!$B$2:$B$83,'personal consumption'!$C$2:$C$83)</f>
        <v>0.79353177365203531</v>
      </c>
    </row>
    <row r="52" spans="1:5" x14ac:dyDescent="0.25">
      <c r="A52" s="3" t="s">
        <v>361</v>
      </c>
      <c r="B52" s="3" t="s">
        <v>197</v>
      </c>
      <c r="C52" s="3" t="s">
        <v>271</v>
      </c>
      <c r="D52" s="3" t="s">
        <v>109</v>
      </c>
      <c r="E52">
        <f>_xlfn.XLOOKUP(D52, 'personal consumption'!$B$2:$B$83,'personal consumption'!$C$2:$C$83)</f>
        <v>0.53789168994689052</v>
      </c>
    </row>
    <row r="53" spans="1:5" x14ac:dyDescent="0.25">
      <c r="A53" s="3" t="s">
        <v>361</v>
      </c>
      <c r="B53" s="3" t="s">
        <v>212</v>
      </c>
      <c r="C53" s="3" t="s">
        <v>286</v>
      </c>
      <c r="D53" s="3" t="s">
        <v>118</v>
      </c>
      <c r="E53">
        <f>_xlfn.XLOOKUP(D53, 'personal consumption'!$B$2:$B$83,'personal consumption'!$C$2:$C$83)</f>
        <v>0.87961048003395859</v>
      </c>
    </row>
    <row r="54" spans="1:5" x14ac:dyDescent="0.25">
      <c r="A54" s="3" t="s">
        <v>361</v>
      </c>
      <c r="B54" s="3" t="s">
        <v>217</v>
      </c>
      <c r="C54" s="3" t="s">
        <v>291</v>
      </c>
      <c r="D54" s="3" t="s">
        <v>115</v>
      </c>
      <c r="E54">
        <f>_xlfn.XLOOKUP(D54, 'personal consumption'!$B$2:$B$83,'personal consumption'!$C$2:$C$83)</f>
        <v>0.47532297071211904</v>
      </c>
    </row>
    <row r="55" spans="1:5" x14ac:dyDescent="0.25">
      <c r="A55" s="3" t="s">
        <v>361</v>
      </c>
      <c r="B55" s="3" t="s">
        <v>223</v>
      </c>
      <c r="C55" s="3" t="s">
        <v>297</v>
      </c>
      <c r="D55" s="3" t="s">
        <v>107</v>
      </c>
      <c r="E55">
        <f>_xlfn.XLOOKUP(D55, 'personal consumption'!$B$2:$B$83,'personal consumption'!$C$2:$C$83)</f>
        <v>0.79353177365203531</v>
      </c>
    </row>
    <row r="56" spans="1:5" x14ac:dyDescent="0.25">
      <c r="A56" s="3" t="s">
        <v>361</v>
      </c>
      <c r="B56" s="3" t="s">
        <v>236</v>
      </c>
      <c r="C56" s="3" t="s">
        <v>310</v>
      </c>
      <c r="D56" s="3" t="s">
        <v>105</v>
      </c>
      <c r="E56">
        <f>_xlfn.XLOOKUP(D56, 'personal consumption'!$B$2:$B$83,'personal consumption'!$C$2:$C$83)</f>
        <v>0.2739756782278791</v>
      </c>
    </row>
    <row r="57" spans="1:5" x14ac:dyDescent="0.25">
      <c r="A57" s="3" t="s">
        <v>362</v>
      </c>
      <c r="B57" s="3" t="s">
        <v>196</v>
      </c>
      <c r="C57" s="3" t="s">
        <v>270</v>
      </c>
      <c r="D57" s="3" t="s">
        <v>136</v>
      </c>
      <c r="E57">
        <f>_xlfn.XLOOKUP(D57, 'personal consumption'!$B$2:$B$83,'personal consumption'!$C$2:$C$83)</f>
        <v>0.40121463960840198</v>
      </c>
    </row>
    <row r="58" spans="1:5" x14ac:dyDescent="0.25">
      <c r="A58" s="3" t="s">
        <v>362</v>
      </c>
      <c r="B58" s="3" t="s">
        <v>211</v>
      </c>
      <c r="C58" s="3" t="s">
        <v>285</v>
      </c>
      <c r="D58" s="3" t="s">
        <v>156</v>
      </c>
      <c r="E58">
        <f>_xlfn.XLOOKUP(D58, 'personal consumption'!$B$2:$B$83,'personal consumption'!$C$2:$C$83)</f>
        <v>1.7401012118170704</v>
      </c>
    </row>
    <row r="59" spans="1:5" x14ac:dyDescent="0.25">
      <c r="A59" s="3" t="s">
        <v>362</v>
      </c>
      <c r="B59" s="3" t="s">
        <v>221</v>
      </c>
      <c r="C59" s="3" t="s">
        <v>295</v>
      </c>
      <c r="D59" s="3" t="s">
        <v>150</v>
      </c>
      <c r="E59">
        <f>_xlfn.XLOOKUP(D59, 'personal consumption'!$B$2:$B$83,'personal consumption'!$C$2:$C$83)</f>
        <v>1.6089220284203212</v>
      </c>
    </row>
    <row r="60" spans="1:5" x14ac:dyDescent="0.25">
      <c r="A60" s="3" t="s">
        <v>362</v>
      </c>
      <c r="B60" s="3" t="s">
        <v>234</v>
      </c>
      <c r="C60" s="3" t="s">
        <v>308</v>
      </c>
      <c r="D60" s="3" t="s">
        <v>157</v>
      </c>
      <c r="E60">
        <f>_xlfn.XLOOKUP(D60, 'personal consumption'!$B$2:$B$83,'personal consumption'!$C$2:$C$83)</f>
        <v>1.3918810344997281</v>
      </c>
    </row>
    <row r="61" spans="1:5" x14ac:dyDescent="0.25">
      <c r="A61" s="3" t="s">
        <v>362</v>
      </c>
      <c r="B61" s="3" t="s">
        <v>241</v>
      </c>
      <c r="C61" s="3" t="s">
        <v>315</v>
      </c>
      <c r="D61" s="3" t="s">
        <v>156</v>
      </c>
      <c r="E61">
        <f>_xlfn.XLOOKUP(D61, 'personal consumption'!$B$2:$B$83,'personal consumption'!$C$2:$C$83)</f>
        <v>1.7401012118170704</v>
      </c>
    </row>
    <row r="62" spans="1:5" x14ac:dyDescent="0.25">
      <c r="A62" s="3" t="s">
        <v>362</v>
      </c>
      <c r="B62" s="3" t="s">
        <v>245</v>
      </c>
      <c r="C62" s="3" t="s">
        <v>319</v>
      </c>
      <c r="D62" s="3" t="s">
        <v>134</v>
      </c>
      <c r="E62">
        <f>_xlfn.XLOOKUP(D62, 'personal consumption'!$B$2:$B$83,'personal consumption'!$C$2:$C$83)</f>
        <v>0.40582425290539825</v>
      </c>
    </row>
    <row r="63" spans="1:5" x14ac:dyDescent="0.25">
      <c r="A63" s="3" t="s">
        <v>362</v>
      </c>
      <c r="B63" s="3" t="s">
        <v>252</v>
      </c>
      <c r="C63" s="3" t="s">
        <v>330</v>
      </c>
      <c r="D63" s="3" t="s">
        <v>146</v>
      </c>
      <c r="E63">
        <f>_xlfn.XLOOKUP(D63, 'personal consumption'!$B$2:$B$83,'personal consumption'!$C$2:$C$83)</f>
        <v>0.13974086332843558</v>
      </c>
    </row>
    <row r="64" spans="1:5" x14ac:dyDescent="0.25">
      <c r="A64" s="3" t="s">
        <v>363</v>
      </c>
      <c r="B64" s="3" t="s">
        <v>224</v>
      </c>
      <c r="C64" s="3" t="s">
        <v>298</v>
      </c>
      <c r="D64" s="3" t="s">
        <v>106</v>
      </c>
      <c r="E64">
        <f>_xlfn.XLOOKUP(D64, 'personal consumption'!$B$2:$B$83,'personal consumption'!$C$2:$C$83)</f>
        <v>0.59473046496034376</v>
      </c>
    </row>
    <row r="65" spans="1:5" x14ac:dyDescent="0.25">
      <c r="A65" s="3" t="s">
        <v>363</v>
      </c>
      <c r="B65" s="3" t="s">
        <v>230</v>
      </c>
      <c r="C65" s="3" t="s">
        <v>304</v>
      </c>
      <c r="D65" s="3" t="s">
        <v>104</v>
      </c>
      <c r="E65">
        <f>_xlfn.XLOOKUP(D65, 'personal consumption'!$B$2:$B$83,'personal consumption'!$C$2:$C$83)</f>
        <v>0.30034343925572049</v>
      </c>
    </row>
    <row r="66" spans="1:5" x14ac:dyDescent="0.25">
      <c r="A66" s="3" t="s">
        <v>363</v>
      </c>
      <c r="B66" s="3" t="s">
        <v>238</v>
      </c>
      <c r="C66" s="3" t="s">
        <v>312</v>
      </c>
      <c r="D66" s="3" t="s">
        <v>106</v>
      </c>
      <c r="E66">
        <f>_xlfn.XLOOKUP(D66, 'personal consumption'!$B$2:$B$83,'personal consumption'!$C$2:$C$83)</f>
        <v>0.59473046496034376</v>
      </c>
    </row>
    <row r="67" spans="1:5" x14ac:dyDescent="0.25">
      <c r="A67" s="3" t="s">
        <v>363</v>
      </c>
      <c r="B67" s="3" t="s">
        <v>260</v>
      </c>
      <c r="C67" s="3" t="s">
        <v>338</v>
      </c>
      <c r="D67" s="3" t="s">
        <v>106</v>
      </c>
      <c r="E67">
        <f>_xlfn.XLOOKUP(D67, 'personal consumption'!$B$2:$B$83,'personal consumption'!$C$2:$C$83)</f>
        <v>0.59473046496034376</v>
      </c>
    </row>
    <row r="68" spans="1:5" x14ac:dyDescent="0.25">
      <c r="A68" s="3" t="s">
        <v>363</v>
      </c>
      <c r="B68" s="3" t="s">
        <v>261</v>
      </c>
      <c r="C68" s="3" t="s">
        <v>339</v>
      </c>
      <c r="D68" s="3" t="s">
        <v>145</v>
      </c>
      <c r="E68">
        <f>_xlfn.XLOOKUP(D68, 'personal consumption'!$B$2:$B$83,'personal consumption'!$C$2:$C$83)</f>
        <v>7.5375526180090302E-2</v>
      </c>
    </row>
    <row r="69" spans="1:5" x14ac:dyDescent="0.25">
      <c r="A69" s="3" t="s">
        <v>363</v>
      </c>
      <c r="B69" s="3" t="s">
        <v>263</v>
      </c>
      <c r="C69" s="3" t="s">
        <v>341</v>
      </c>
      <c r="D69" s="3" t="s">
        <v>135</v>
      </c>
      <c r="E69">
        <f>_xlfn.XLOOKUP(D69, 'personal consumption'!$B$2:$B$83,'personal consumption'!$C$2:$C$83)</f>
        <v>0.91942208541937764</v>
      </c>
    </row>
    <row r="70" spans="1:5" x14ac:dyDescent="0.25">
      <c r="A70" s="3" t="s">
        <v>364</v>
      </c>
      <c r="B70" s="3" t="s">
        <v>199</v>
      </c>
      <c r="C70" s="3" t="s">
        <v>273</v>
      </c>
      <c r="D70" s="3" t="s">
        <v>125</v>
      </c>
      <c r="E70">
        <f>_xlfn.XLOOKUP(D70, 'personal consumption'!$B$2:$B$83,'personal consumption'!$C$2:$C$83)</f>
        <v>1.5621355729951429</v>
      </c>
    </row>
    <row r="71" spans="1:5" x14ac:dyDescent="0.25">
      <c r="A71" s="3" t="s">
        <v>364</v>
      </c>
      <c r="B71" s="3" t="s">
        <v>200</v>
      </c>
      <c r="C71" s="3" t="s">
        <v>274</v>
      </c>
      <c r="D71" s="3" t="s">
        <v>125</v>
      </c>
      <c r="E71">
        <f>_xlfn.XLOOKUP(D71, 'personal consumption'!$B$2:$B$83,'personal consumption'!$C$2:$C$83)</f>
        <v>1.5621355729951429</v>
      </c>
    </row>
    <row r="72" spans="1:5" x14ac:dyDescent="0.25">
      <c r="A72" s="3" t="s">
        <v>364</v>
      </c>
      <c r="B72" s="3" t="s">
        <v>205</v>
      </c>
      <c r="C72" s="3" t="s">
        <v>279</v>
      </c>
      <c r="D72" s="3" t="s">
        <v>108</v>
      </c>
      <c r="E72">
        <f>_xlfn.XLOOKUP(D72, 'personal consumption'!$B$2:$B$83,'personal consumption'!$C$2:$C$83)</f>
        <v>0.96634527607269893</v>
      </c>
    </row>
    <row r="73" spans="1:5" x14ac:dyDescent="0.25">
      <c r="A73" s="3" t="s">
        <v>364</v>
      </c>
      <c r="B73" s="3" t="s">
        <v>206</v>
      </c>
      <c r="C73" s="3" t="s">
        <v>280</v>
      </c>
      <c r="D73" s="3" t="s">
        <v>108</v>
      </c>
      <c r="E73">
        <f>_xlfn.XLOOKUP(D73, 'personal consumption'!$B$2:$B$83,'personal consumption'!$C$2:$C$83)</f>
        <v>0.96634527607269893</v>
      </c>
    </row>
    <row r="74" spans="1:5" x14ac:dyDescent="0.25">
      <c r="A74" s="3" t="s">
        <v>364</v>
      </c>
      <c r="B74" s="3" t="s">
        <v>218</v>
      </c>
      <c r="C74" s="3" t="s">
        <v>292</v>
      </c>
      <c r="D74" s="3" t="s">
        <v>127</v>
      </c>
      <c r="E74">
        <f>_xlfn.XLOOKUP(D74, 'personal consumption'!$B$2:$B$83,'personal consumption'!$C$2:$C$83)</f>
        <v>1.6425939650320536</v>
      </c>
    </row>
    <row r="75" spans="1:5" x14ac:dyDescent="0.25">
      <c r="A75" s="3" t="s">
        <v>364</v>
      </c>
      <c r="B75" s="3" t="s">
        <v>210</v>
      </c>
      <c r="C75" s="3" t="s">
        <v>284</v>
      </c>
      <c r="D75" s="3" t="s">
        <v>143</v>
      </c>
      <c r="E75">
        <f>_xlfn.XLOOKUP(D75, 'personal consumption'!$B$2:$B$83,'personal consumption'!$C$2:$C$83)</f>
        <v>0.33827071059503067</v>
      </c>
    </row>
    <row r="76" spans="1:5" x14ac:dyDescent="0.25">
      <c r="A76" s="3" t="s">
        <v>364</v>
      </c>
      <c r="B76" s="3" t="s">
        <v>243</v>
      </c>
      <c r="C76" s="3" t="s">
        <v>317</v>
      </c>
      <c r="D76" s="3" t="s">
        <v>127</v>
      </c>
      <c r="E76">
        <f>_xlfn.XLOOKUP(D76, 'personal consumption'!$B$2:$B$83,'personal consumption'!$C$2:$C$83)</f>
        <v>1.6425939650320536</v>
      </c>
    </row>
    <row r="77" spans="1:5" x14ac:dyDescent="0.25">
      <c r="A77" s="3" t="s">
        <v>364</v>
      </c>
      <c r="B77" s="3" t="s">
        <v>254</v>
      </c>
      <c r="C77" s="3" t="s">
        <v>332</v>
      </c>
      <c r="D77" s="3" t="s">
        <v>126</v>
      </c>
      <c r="E77">
        <f>_xlfn.XLOOKUP(D77, 'personal consumption'!$B$2:$B$83,'personal consumption'!$C$2:$C$83)</f>
        <v>0.33796407171318793</v>
      </c>
    </row>
    <row r="78" spans="1:5" x14ac:dyDescent="0.25">
      <c r="A78" s="3" t="s">
        <v>364</v>
      </c>
      <c r="B78" s="3" t="s">
        <v>258</v>
      </c>
      <c r="C78" s="3" t="s">
        <v>336</v>
      </c>
      <c r="D78" s="3" t="s">
        <v>129</v>
      </c>
      <c r="E78">
        <f>_xlfn.XLOOKUP(D78, 'personal consumption'!$B$2:$B$83,'personal consumption'!$C$2:$C$83)</f>
        <v>0.87160411264989357</v>
      </c>
    </row>
  </sheetData>
  <sortState xmlns:xlrd2="http://schemas.microsoft.com/office/spreadsheetml/2017/richdata2" ref="B2:C78">
    <sortCondition ref="C2:C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Supply 2024</vt:lpstr>
      <vt:lpstr>Supply2024-coding</vt:lpstr>
      <vt:lpstr>Use 2024</vt:lpstr>
      <vt:lpstr>B2C</vt:lpstr>
      <vt:lpstr>personal consumption</vt:lpstr>
      <vt:lpstr>SASB Industries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Ren, Huiping</dc:creator>
  <cp:lastModifiedBy>Ren, Huiping</cp:lastModifiedBy>
  <dcterms:created xsi:type="dcterms:W3CDTF">2015-06-05T18:17:20Z</dcterms:created>
  <dcterms:modified xsi:type="dcterms:W3CDTF">2026-03-05T21:43:33Z</dcterms:modified>
</cp:coreProperties>
</file>