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012796524\Dropbox\Research Projects\SASB 2\SASB Project\Data and Descriptive\BLS Union Data\"/>
    </mc:Choice>
  </mc:AlternateContent>
  <xr:revisionPtr revIDLastSave="0" documentId="13_ncr:1_{7C0F4CEA-3B34-4EF1-896D-39741EA984B0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raw_data" sheetId="1" r:id="rId1"/>
    <sheet name="sasb_ind" sheetId="3" r:id="rId2"/>
    <sheet name="analysis_data" sheetId="4" r:id="rId3"/>
  </sheets>
  <definedNames>
    <definedName name="_xlnm._FilterDatabase" localSheetId="0" hidden="1">raw_data!$A$3:$J$253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</calcChain>
</file>

<file path=xl/sharedStrings.xml><?xml version="1.0" encoding="utf-8"?>
<sst xmlns="http://schemas.openxmlformats.org/spreadsheetml/2006/main" count="1200" uniqueCount="61">
  <si>
    <t>Agriculture and related industries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</si>
  <si>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</si>
  <si>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</si>
  <si>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</si>
  <si>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</si>
  <si>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</si>
  <si>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</si>
  <si>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Wholesale trade</t>
  </si>
  <si>
    <t>Retail trade</t>
  </si>
  <si>
    <t>Transportation and warehousing</t>
  </si>
  <si>
    <t>Utilities</t>
  </si>
  <si>
    <t>Publishing, except Internet</t>
  </si>
  <si>
    <t>Motion pictures and sound recording industries</t>
  </si>
  <si>
    <t>Broadcasting and content providers</t>
  </si>
  <si>
    <t>Telecommunications</t>
  </si>
  <si>
    <t>Financial activities</t>
  </si>
  <si>
    <t>Finance and insurance</t>
  </si>
  <si>
    <t>Real estate and rental and leasing</t>
  </si>
  <si>
    <t>Professional and business services</t>
  </si>
  <si>
    <t>Professional and technical services</t>
  </si>
  <si>
    <t>Management, administrative, and waste services</t>
  </si>
  <si>
    <t>Education and health services</t>
  </si>
  <si>
    <t>Educational services</t>
  </si>
  <si>
    <t>Health care and social assistance</t>
  </si>
  <si>
    <t>Leisure and hospitality</t>
  </si>
  <si>
    <t>Arts, entertainment, and recreation</t>
  </si>
  <si>
    <t>Accommodation and food services</t>
  </si>
  <si>
    <t>Federal government</t>
  </si>
  <si>
    <t>State government</t>
  </si>
  <si>
    <t>Local government</t>
  </si>
  <si>
    <t>Total
employed</t>
  </si>
  <si>
    <t>union members</t>
  </si>
  <si>
    <t>percent union members</t>
  </si>
  <si>
    <t>union represents</t>
  </si>
  <si>
    <t>percent union represents</t>
  </si>
  <si>
    <t>year</t>
  </si>
  <si>
    <t>Broadcasting (except internet)</t>
  </si>
  <si>
    <t>Radio and television broadcasting and cable subscription programming</t>
  </si>
  <si>
    <t>Industry Category</t>
  </si>
  <si>
    <t>Private Sector</t>
  </si>
  <si>
    <t>Public Sector</t>
  </si>
  <si>
    <t>Industry</t>
  </si>
  <si>
    <t>Information</t>
  </si>
  <si>
    <t>Other Services</t>
  </si>
  <si>
    <t xml:space="preserve">Sub Industry </t>
  </si>
  <si>
    <t>SASB Main Industry</t>
  </si>
  <si>
    <t>Food &amp; Beverage</t>
  </si>
  <si>
    <t>Infrastructure</t>
  </si>
  <si>
    <t>Healthcare</t>
  </si>
  <si>
    <t>Financials</t>
  </si>
  <si>
    <t>Technology &amp; Communication</t>
  </si>
  <si>
    <t>Services</t>
  </si>
  <si>
    <t>Resource Transformation</t>
  </si>
  <si>
    <t>Consumer Goods</t>
  </si>
  <si>
    <t>Extractives &amp; Minerals</t>
  </si>
  <si>
    <t>Transportation</t>
  </si>
  <si>
    <t>(blank)</t>
  </si>
  <si>
    <t>Grand Total</t>
  </si>
  <si>
    <t>Sum of Total
employed</t>
  </si>
  <si>
    <t>Sum of union members</t>
  </si>
  <si>
    <t>union participation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</si>
</sst>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,##0.0"/>
    <numFmt numFmtId="169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pivotButton="1"/>
    <xf numFmtId="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zanne Haley" refreshedDate="46270.505546296299" createdVersion="8" refreshedVersion="8" minRefreshableVersion="3" recordCount="250" xr:uid="{1FD1E19E-289E-4E24-AE8B-2298693140FA}">
  <cacheSource type="worksheet">
    <worksheetSource ref="A3:J253" sheet="raw_data"/>
  </cacheSource>
  <cacheFields count="10">
    <cacheField name="Industry Category" numFmtId="0">
      <sharedItems/>
    </cacheField>
    <cacheField name="Industry" numFmtId="0">
      <sharedItems/>
    </cacheField>
    <cacheField name="Sub Industry " numFmtId="0">
      <sharedItems/>
    </cacheField>
    <cacheField name="SASB Main Industry" numFmtId="0">
      <sharedItems containsBlank="1" count="11">
        <s v="Food &amp; Beverage"/>
        <s v="Extractives &amp; Minerals"/>
        <s v="Infrastructure"/>
        <s v="Resource Transformation"/>
        <s v="Consumer Goods"/>
        <s v="Transportation"/>
        <s v="Technology &amp; Communication"/>
        <s v="Financials"/>
        <s v="Services"/>
        <s v="Healthcare"/>
        <m/>
      </sharedItems>
    </cacheField>
    <cacheField name="year" numFmtId="0">
      <sharedItems containsSemiMixedTypes="0" containsString="0" containsNumber="1" containsInteger="1" minValue="2016" maxValue="2025" count="10">
        <n v="2024"/>
        <n v="2025"/>
        <n v="2022"/>
        <n v="2023"/>
        <n v="2020"/>
        <n v="2021"/>
        <n v="2018"/>
        <n v="2019"/>
        <n v="2016"/>
        <n v="2017"/>
      </sharedItems>
    </cacheField>
    <cacheField name="Total_x000a_employed" numFmtId="3">
      <sharedItems containsString="0" containsBlank="1" containsNumber="1" containsInteger="1" minValue="270" maxValue="20179"/>
    </cacheField>
    <cacheField name="union members" numFmtId="3">
      <sharedItems containsString="0" containsBlank="1" containsNumber="1" containsInteger="1" minValue="8" maxValue="4155"/>
    </cacheField>
    <cacheField name="percent union members" numFmtId="0">
      <sharedItems containsString="0" containsBlank="1" containsNumber="1" minValue="0.9" maxValue="41.7"/>
    </cacheField>
    <cacheField name="union represents" numFmtId="3">
      <sharedItems containsString="0" containsBlank="1" containsNumber="1" containsInteger="1" minValue="9" maxValue="4481"/>
    </cacheField>
    <cacheField name="percent union represents" numFmtId="0">
      <sharedItems containsString="0" containsBlank="1" containsNumber="1" minValue="1.4" maxValue="45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Private Sector"/>
    <s v="Agriculture and related industries"/>
    <s v="Agriculture and related industries"/>
    <x v="0"/>
    <x v="0"/>
    <n v="1287"/>
    <n v="18"/>
    <n v="1.4"/>
    <n v="19"/>
    <n v="1.5"/>
  </r>
  <r>
    <s v="Private Sector"/>
    <s v="Mining, quarrying, and oil and gas extraction"/>
    <s v="Mining, quarrying, and oil and gas extraction"/>
    <x v="1"/>
    <x v="0"/>
    <n v="538"/>
    <n v="35"/>
    <n v="6.6"/>
    <n v="40"/>
    <n v="7.5"/>
  </r>
  <r>
    <s v="Private Sector"/>
    <s v="Construction"/>
    <s v="Construction"/>
    <x v="2"/>
    <x v="0"/>
    <n v="8894"/>
    <n v="916"/>
    <n v="10.3"/>
    <n v="994"/>
    <n v="11.2"/>
  </r>
  <r>
    <s v="Private Sector"/>
    <s v="Manufacturing"/>
    <s v="Durable goods"/>
    <x v="3"/>
    <x v="0"/>
    <n v="9213"/>
    <n v="713"/>
    <n v="7.7"/>
    <n v="786"/>
    <n v="8.5"/>
  </r>
  <r>
    <s v="Private Sector"/>
    <s v="Manufacturing"/>
    <s v="Nondurable goods"/>
    <x v="4"/>
    <x v="0"/>
    <n v="5125"/>
    <n v="411"/>
    <n v="8"/>
    <n v="458"/>
    <n v="8.9"/>
  </r>
  <r>
    <s v="Private Sector"/>
    <s v="Wholesale and retail trade"/>
    <s v="Wholesale trade"/>
    <x v="4"/>
    <x v="0"/>
    <n v="2955"/>
    <n v="136"/>
    <n v="4.5999999999999996"/>
    <n v="156"/>
    <n v="5.3"/>
  </r>
  <r>
    <s v="Private Sector"/>
    <s v="Wholesale and retail trade"/>
    <s v="Retail trade"/>
    <x v="4"/>
    <x v="0"/>
    <n v="15031"/>
    <n v="596"/>
    <n v="4"/>
    <n v="687"/>
    <n v="4.5999999999999996"/>
  </r>
  <r>
    <s v="Private Sector"/>
    <s v="Transportation and warehousing"/>
    <s v="Transportation and warehousing"/>
    <x v="5"/>
    <x v="0"/>
    <n v="6387"/>
    <n v="1006"/>
    <n v="15.8"/>
    <n v="1079"/>
    <n v="16.899999999999999"/>
  </r>
  <r>
    <s v="Private Sector"/>
    <s v="Utilities"/>
    <s v="Utilities"/>
    <x v="2"/>
    <x v="0"/>
    <n v="1153"/>
    <n v="215"/>
    <n v="18.7"/>
    <n v="229"/>
    <n v="19.8"/>
  </r>
  <r>
    <s v="Private Sector"/>
    <s v="Information"/>
    <s v="Publishing, except Internet"/>
    <x v="6"/>
    <x v="0"/>
    <n v="503"/>
    <n v="17"/>
    <n v="3.3"/>
    <n v="17"/>
    <n v="3.4"/>
  </r>
  <r>
    <s v="Private Sector"/>
    <s v="Information"/>
    <s v="Motion pictures and sound recording industries"/>
    <x v="6"/>
    <x v="0"/>
    <n v="356"/>
    <n v="30"/>
    <n v="8.4"/>
    <n v="36"/>
    <n v="10.199999999999999"/>
  </r>
  <r>
    <s v="Private Sector"/>
    <s v="Information"/>
    <s v="Broadcasting and content providers"/>
    <x v="6"/>
    <x v="0"/>
    <m/>
    <m/>
    <m/>
    <m/>
    <m/>
  </r>
  <r>
    <s v="Private Sector"/>
    <s v="Information"/>
    <s v="Telecommunications"/>
    <x v="6"/>
    <x v="0"/>
    <n v="770"/>
    <n v="69"/>
    <n v="9"/>
    <n v="83"/>
    <n v="10.7"/>
  </r>
  <r>
    <s v="Private Sector"/>
    <s v="Financial activities"/>
    <s v="Finance and insurance"/>
    <x v="7"/>
    <x v="0"/>
    <n v="7149"/>
    <n v="67"/>
    <n v="0.9"/>
    <n v="102"/>
    <n v="1.4"/>
  </r>
  <r>
    <s v="Private Sector"/>
    <s v="Financial activities"/>
    <s v="Real estate and rental and leasing"/>
    <x v="7"/>
    <x v="0"/>
    <n v="2082"/>
    <n v="55"/>
    <n v="2.6"/>
    <n v="68"/>
    <n v="3.3"/>
  </r>
  <r>
    <s v="Private Sector"/>
    <s v="Professional and business services"/>
    <s v="Professional and technical services"/>
    <x v="8"/>
    <x v="0"/>
    <n v="11304"/>
    <n v="131"/>
    <n v="1.2"/>
    <n v="211"/>
    <n v="1.9"/>
  </r>
  <r>
    <s v="Private Sector"/>
    <s v="Professional and business services"/>
    <s v="Management, administrative, and waste services"/>
    <x v="2"/>
    <x v="0"/>
    <n v="5943"/>
    <n v="218"/>
    <n v="3.7"/>
    <n v="265"/>
    <n v="4.5"/>
  </r>
  <r>
    <s v="Private Sector"/>
    <s v="Education and health services"/>
    <s v="Educational services"/>
    <x v="9"/>
    <x v="0"/>
    <n v="5207"/>
    <n v="689"/>
    <n v="13.2"/>
    <n v="805"/>
    <n v="15.5"/>
  </r>
  <r>
    <s v="Private Sector"/>
    <s v="Education and health services"/>
    <s v="Health care and social assistance"/>
    <x v="9"/>
    <x v="0"/>
    <n v="19670"/>
    <n v="1337"/>
    <n v="6.8"/>
    <n v="1528"/>
    <n v="7.8"/>
  </r>
  <r>
    <s v="Private Sector"/>
    <s v="Leisure and hospitality"/>
    <s v="Arts, entertainment, and recreation"/>
    <x v="8"/>
    <x v="0"/>
    <n v="2467"/>
    <n v="146"/>
    <n v="5.9"/>
    <n v="167"/>
    <n v="6.8"/>
  </r>
  <r>
    <s v="Private Sector"/>
    <s v="Leisure and hospitality"/>
    <s v="Accommodation and food services"/>
    <x v="8"/>
    <x v="0"/>
    <n v="9991"/>
    <n v="224"/>
    <n v="2.2000000000000002"/>
    <n v="258"/>
    <n v="2.6"/>
  </r>
  <r>
    <s v="Private Sector"/>
    <s v="Other Services"/>
    <s v="Other Services"/>
    <x v="8"/>
    <x v="0"/>
    <n v="5933"/>
    <n v="160"/>
    <n v="2.7"/>
    <n v="184"/>
    <n v="3.1"/>
  </r>
  <r>
    <s v="Public Sector"/>
    <s v="Federal government"/>
    <s v="Federal government"/>
    <x v="10"/>
    <x v="0"/>
    <n v="4170"/>
    <n v="1056"/>
    <n v="25.3"/>
    <n v="1246"/>
    <n v="29.9"/>
  </r>
  <r>
    <s v="Public Sector"/>
    <s v="State government"/>
    <s v="State government"/>
    <x v="10"/>
    <x v="0"/>
    <n v="7524"/>
    <n v="2096"/>
    <n v="27.9"/>
    <n v="2364"/>
    <n v="31.4"/>
  </r>
  <r>
    <s v="Public Sector"/>
    <s v="Local government"/>
    <s v="Local government"/>
    <x v="10"/>
    <x v="0"/>
    <n v="10144"/>
    <n v="3873"/>
    <n v="38.200000000000003"/>
    <n v="4197"/>
    <n v="41.4"/>
  </r>
  <r>
    <s v="Private Sector"/>
    <s v="Agriculture and related industries"/>
    <s v="Agriculture and related industries"/>
    <x v="0"/>
    <x v="1"/>
    <n v="1243"/>
    <n v="19"/>
    <n v="1.6"/>
    <n v="19"/>
    <n v="1.6"/>
  </r>
  <r>
    <s v="Private Sector"/>
    <s v="Mining, quarrying, and oil and gas extraction"/>
    <s v="Mining, quarrying, and oil and gas extraction"/>
    <x v="1"/>
    <x v="1"/>
    <n v="487"/>
    <n v="23"/>
    <n v="4.7"/>
    <n v="30"/>
    <n v="6.1"/>
  </r>
  <r>
    <s v="Private Sector"/>
    <s v="Construction"/>
    <s v="Construction"/>
    <x v="2"/>
    <x v="1"/>
    <n v="9000"/>
    <n v="995"/>
    <n v="11.1"/>
    <n v="1078"/>
    <n v="12"/>
  </r>
  <r>
    <s v="Private Sector"/>
    <s v="Manufacturing"/>
    <s v="Durable goods"/>
    <x v="3"/>
    <x v="1"/>
    <n v="9328"/>
    <n v="694"/>
    <n v="7.4"/>
    <n v="767"/>
    <n v="8.1999999999999993"/>
  </r>
  <r>
    <s v="Private Sector"/>
    <s v="Manufacturing"/>
    <s v="Nondurable goods"/>
    <x v="4"/>
    <x v="1"/>
    <n v="5043"/>
    <n v="413"/>
    <n v="8.1999999999999993"/>
    <n v="443"/>
    <n v="8.8000000000000007"/>
  </r>
  <r>
    <s v="Private Sector"/>
    <s v="Wholesale and retail trade"/>
    <s v="Wholesale trade"/>
    <x v="4"/>
    <x v="1"/>
    <n v="2676"/>
    <n v="157"/>
    <n v="5.8"/>
    <n v="171"/>
    <n v="6.4"/>
  </r>
  <r>
    <s v="Private Sector"/>
    <s v="Wholesale and retail trade"/>
    <s v="Retail trade"/>
    <x v="4"/>
    <x v="1"/>
    <n v="15396"/>
    <n v="623"/>
    <n v="4"/>
    <n v="729"/>
    <n v="4.7"/>
  </r>
  <r>
    <s v="Private Sector"/>
    <s v="Transportation and warehousing"/>
    <s v="Transportation and warehousing"/>
    <x v="5"/>
    <x v="1"/>
    <n v="6558"/>
    <n v="895"/>
    <n v="13.6"/>
    <n v="979"/>
    <n v="14.9"/>
  </r>
  <r>
    <s v="Private Sector"/>
    <s v="Utilities"/>
    <s v="Utilities"/>
    <x v="2"/>
    <x v="1"/>
    <n v="1257"/>
    <n v="224"/>
    <n v="17.8"/>
    <n v="236"/>
    <n v="18.8"/>
  </r>
  <r>
    <s v="Private Sector"/>
    <s v="Information"/>
    <s v="Publishing, except Internet"/>
    <x v="6"/>
    <x v="1"/>
    <n v="381"/>
    <n v="13"/>
    <n v="3.5"/>
    <n v="13"/>
    <n v="3.5"/>
  </r>
  <r>
    <s v="Private Sector"/>
    <s v="Information"/>
    <s v="Motion pictures and sound recording industries"/>
    <x v="6"/>
    <x v="1"/>
    <n v="395"/>
    <n v="44"/>
    <n v="11"/>
    <n v="51"/>
    <n v="12.8"/>
  </r>
  <r>
    <s v="Private Sector"/>
    <s v="Information"/>
    <s v="Broadcasting and content providers"/>
    <x v="6"/>
    <x v="1"/>
    <n v="449"/>
    <n v="24"/>
    <n v="5.2"/>
    <n v="28"/>
    <n v="6.2"/>
  </r>
  <r>
    <s v="Private Sector"/>
    <s v="Information"/>
    <s v="Telecommunications"/>
    <x v="6"/>
    <x v="1"/>
    <n v="724"/>
    <n v="69"/>
    <n v="9.6"/>
    <n v="79"/>
    <n v="10.9"/>
  </r>
  <r>
    <s v="Private Sector"/>
    <s v="Financial activities"/>
    <s v="Finance and insurance"/>
    <x v="7"/>
    <x v="1"/>
    <n v="7453"/>
    <n v="72"/>
    <n v="1"/>
    <n v="102"/>
    <n v="1.4"/>
  </r>
  <r>
    <s v="Private Sector"/>
    <s v="Financial activities"/>
    <s v="Real estate and rental and leasing"/>
    <x v="7"/>
    <x v="1"/>
    <n v="2181"/>
    <n v="74"/>
    <n v="3.4"/>
    <n v="87"/>
    <n v="4"/>
  </r>
  <r>
    <s v="Private Sector"/>
    <s v="Professional and business services"/>
    <s v="Professional and technical services"/>
    <x v="8"/>
    <x v="1"/>
    <n v="11946"/>
    <n v="154"/>
    <n v="1.3"/>
    <n v="235"/>
    <n v="2"/>
  </r>
  <r>
    <s v="Private Sector"/>
    <s v="Professional and business services"/>
    <s v="Management, administrative, and waste services"/>
    <x v="2"/>
    <x v="1"/>
    <n v="5755"/>
    <n v="214"/>
    <n v="3.7"/>
    <n v="257"/>
    <n v="4.5"/>
  </r>
  <r>
    <s v="Private Sector"/>
    <s v="Education and health services"/>
    <s v="Educational services"/>
    <x v="9"/>
    <x v="1"/>
    <n v="5343"/>
    <n v="717"/>
    <n v="13.4"/>
    <n v="839"/>
    <n v="15.7"/>
  </r>
  <r>
    <s v="Private Sector"/>
    <s v="Education and health services"/>
    <s v="Health care and social assistance"/>
    <x v="9"/>
    <x v="1"/>
    <n v="20179"/>
    <n v="1370"/>
    <n v="6.8"/>
    <n v="1606"/>
    <n v="8"/>
  </r>
  <r>
    <s v="Private Sector"/>
    <s v="Leisure and hospitality"/>
    <s v="Arts, entertainment, and recreation"/>
    <x v="8"/>
    <x v="1"/>
    <n v="2402"/>
    <n v="129"/>
    <n v="5.4"/>
    <n v="147"/>
    <n v="6.1"/>
  </r>
  <r>
    <s v="Private Sector"/>
    <s v="Leisure and hospitality"/>
    <s v="Accommodation and food services"/>
    <x v="8"/>
    <x v="1"/>
    <n v="9809"/>
    <n v="238"/>
    <n v="2.4"/>
    <n v="286"/>
    <n v="2.9"/>
  </r>
  <r>
    <s v="Private Sector"/>
    <s v="Other Services"/>
    <s v="Other Services"/>
    <x v="8"/>
    <x v="1"/>
    <n v="6130"/>
    <n v="215"/>
    <n v="3.5"/>
    <n v="248"/>
    <n v="4"/>
  </r>
  <r>
    <s v="Public Sector"/>
    <s v="Federal government"/>
    <s v="Federal government"/>
    <x v="10"/>
    <x v="1"/>
    <n v="4131"/>
    <n v="1124"/>
    <n v="27.2"/>
    <n v="1286"/>
    <n v="31.1"/>
  </r>
  <r>
    <s v="Public Sector"/>
    <s v="State government"/>
    <s v="State government"/>
    <x v="10"/>
    <x v="1"/>
    <n v="7783"/>
    <n v="2304"/>
    <n v="29.6"/>
    <n v="2544"/>
    <n v="32.700000000000003"/>
  </r>
  <r>
    <s v="Public Sector"/>
    <s v="Local government"/>
    <s v="Local government"/>
    <x v="10"/>
    <x v="1"/>
    <n v="10186"/>
    <n v="3853"/>
    <n v="37.799999999999997"/>
    <n v="4213"/>
    <n v="41.4"/>
  </r>
  <r>
    <s v="Private Sector"/>
    <s v="Agriculture and related industries"/>
    <s v="Agriculture and related industries"/>
    <x v="0"/>
    <x v="2"/>
    <n v="1252"/>
    <n v="48"/>
    <n v="3.9"/>
    <n v="54"/>
    <n v="4.3"/>
  </r>
  <r>
    <s v="Private Sector"/>
    <s v="Mining, quarrying, and oil and gas extraction"/>
    <s v="Mining, quarrying, and oil and gas extraction"/>
    <x v="1"/>
    <x v="2"/>
    <n v="556"/>
    <n v="36"/>
    <n v="6.5"/>
    <n v="43"/>
    <n v="7.7"/>
  </r>
  <r>
    <s v="Private Sector"/>
    <s v="Construction"/>
    <s v="Construction"/>
    <x v="2"/>
    <x v="2"/>
    <n v="8671"/>
    <n v="1019"/>
    <n v="11.7"/>
    <n v="1076"/>
    <n v="12.4"/>
  </r>
  <r>
    <s v="Private Sector"/>
    <s v="Manufacturing"/>
    <s v="Durable goods"/>
    <x v="3"/>
    <x v="2"/>
    <n v="9305"/>
    <n v="741"/>
    <n v="8"/>
    <n v="825"/>
    <n v="8.9"/>
  </r>
  <r>
    <s v="Private Sector"/>
    <s v="Manufacturing"/>
    <s v="Nondurable goods"/>
    <x v="4"/>
    <x v="2"/>
    <n v="5272"/>
    <n v="398"/>
    <n v="7.5"/>
    <n v="429"/>
    <n v="8.1"/>
  </r>
  <r>
    <s v="Private Sector"/>
    <s v="Wholesale and retail trade"/>
    <s v="Wholesale trade"/>
    <x v="4"/>
    <x v="2"/>
    <n v="2879"/>
    <n v="94"/>
    <n v="3.3"/>
    <n v="112"/>
    <n v="3.9"/>
  </r>
  <r>
    <s v="Private Sector"/>
    <s v="Wholesale and retail trade"/>
    <s v="Retail trade"/>
    <x v="4"/>
    <x v="2"/>
    <n v="14988"/>
    <n v="648"/>
    <n v="4.3"/>
    <n v="749"/>
    <n v="5"/>
  </r>
  <r>
    <s v="Private Sector"/>
    <s v="Transportation and warehousing"/>
    <s v="Transportation and warehousing"/>
    <x v="5"/>
    <x v="2"/>
    <n v="6596"/>
    <n v="958"/>
    <n v="14.5"/>
    <n v="1020"/>
    <n v="15.5"/>
  </r>
  <r>
    <s v="Private Sector"/>
    <s v="Utilities"/>
    <s v="Utilities"/>
    <x v="2"/>
    <x v="2"/>
    <n v="968"/>
    <n v="190"/>
    <n v="19.600000000000001"/>
    <n v="200"/>
    <n v="20.7"/>
  </r>
  <r>
    <s v="Private Sector"/>
    <s v="Information"/>
    <s v="Publishing, except Internet"/>
    <x v="6"/>
    <x v="2"/>
    <n v="398"/>
    <n v="19"/>
    <n v="4.8"/>
    <n v="24"/>
    <n v="6"/>
  </r>
  <r>
    <s v="Private Sector"/>
    <s v="Information"/>
    <s v="Motion pictures and sound recording industries"/>
    <x v="6"/>
    <x v="2"/>
    <n v="429"/>
    <n v="74"/>
    <n v="17.3"/>
    <n v="76"/>
    <n v="17.8"/>
  </r>
  <r>
    <s v="Private Sector"/>
    <s v="Information"/>
    <s v="Broadcasting (except internet)"/>
    <x v="6"/>
    <x v="2"/>
    <n v="308"/>
    <n v="35"/>
    <n v="11.3"/>
    <n v="35"/>
    <n v="11.5"/>
  </r>
  <r>
    <s v="Private Sector"/>
    <s v="Information"/>
    <s v="Telecommunications"/>
    <x v="6"/>
    <x v="2"/>
    <n v="771"/>
    <n v="64"/>
    <n v="8.3000000000000007"/>
    <n v="72"/>
    <n v="9.3000000000000007"/>
  </r>
  <r>
    <s v="Private Sector"/>
    <s v="Financial activities"/>
    <s v="Finance and insurance"/>
    <x v="7"/>
    <x v="2"/>
    <n v="7117"/>
    <n v="90"/>
    <n v="1.3"/>
    <n v="136"/>
    <n v="1.9"/>
  </r>
  <r>
    <s v="Private Sector"/>
    <s v="Financial activities"/>
    <s v="Real estate and rental and leasing"/>
    <x v="7"/>
    <x v="2"/>
    <n v="2219"/>
    <n v="80"/>
    <n v="3.6"/>
    <n v="100"/>
    <n v="4.5"/>
  </r>
  <r>
    <s v="Private Sector"/>
    <s v="Professional and business services"/>
    <s v="Professional and technical services"/>
    <x v="8"/>
    <x v="2"/>
    <n v="11182"/>
    <n v="143"/>
    <n v="1.3"/>
    <n v="202"/>
    <n v="1.8"/>
  </r>
  <r>
    <s v="Private Sector"/>
    <s v="Professional and business services"/>
    <s v="Management, administrative, and waste services"/>
    <x v="2"/>
    <x v="2"/>
    <n v="5390"/>
    <n v="230"/>
    <n v="4.3"/>
    <n v="265"/>
    <n v="4.9000000000000004"/>
  </r>
  <r>
    <s v="Private Sector"/>
    <s v="Education and health services"/>
    <s v="Educational services"/>
    <x v="9"/>
    <x v="2"/>
    <n v="4897"/>
    <n v="606"/>
    <n v="12.4"/>
    <n v="704"/>
    <n v="14.4"/>
  </r>
  <r>
    <s v="Private Sector"/>
    <s v="Education and health services"/>
    <s v="Health care and social assistance"/>
    <x v="9"/>
    <x v="2"/>
    <n v="18747"/>
    <n v="1235"/>
    <n v="6.6"/>
    <n v="1436"/>
    <n v="7.7"/>
  </r>
  <r>
    <s v="Private Sector"/>
    <s v="Leisure and hospitality"/>
    <s v="Arts, entertainment, and recreation"/>
    <x v="8"/>
    <x v="2"/>
    <n v="2281"/>
    <n v="144"/>
    <n v="6.3"/>
    <n v="173"/>
    <n v="7.6"/>
  </r>
  <r>
    <s v="Private Sector"/>
    <s v="Leisure and hospitality"/>
    <s v="Accommodation and food services"/>
    <x v="8"/>
    <x v="2"/>
    <n v="9745"/>
    <n v="198"/>
    <n v="2"/>
    <n v="233"/>
    <n v="2.4"/>
  </r>
  <r>
    <s v="Private Sector"/>
    <s v="Other Services"/>
    <s v="Other Services"/>
    <x v="8"/>
    <x v="2"/>
    <n v="5932"/>
    <n v="168"/>
    <n v="2.8"/>
    <n v="194"/>
    <n v="3.3"/>
  </r>
  <r>
    <s v="Public Sector"/>
    <s v="Federal government"/>
    <s v="Federal government"/>
    <x v="10"/>
    <x v="2"/>
    <n v="3989"/>
    <n v="972"/>
    <n v="24.4"/>
    <n v="1124"/>
    <n v="28.2"/>
  </r>
  <r>
    <s v="Public Sector"/>
    <s v="State government"/>
    <s v="State government"/>
    <x v="10"/>
    <x v="2"/>
    <n v="7157"/>
    <n v="2142"/>
    <n v="29.9"/>
    <n v="2372"/>
    <n v="33.1"/>
  </r>
  <r>
    <s v="Public Sector"/>
    <s v="Local government"/>
    <s v="Local government"/>
    <x v="10"/>
    <x v="2"/>
    <n v="10171"/>
    <n v="3948"/>
    <n v="38.799999999999997"/>
    <n v="4339"/>
    <n v="42.7"/>
  </r>
  <r>
    <s v="Private Sector"/>
    <s v="Agriculture and related industries"/>
    <s v="Agriculture and related industries"/>
    <x v="0"/>
    <x v="3"/>
    <n v="1248"/>
    <n v="28"/>
    <n v="2.2000000000000002"/>
    <n v="33"/>
    <n v="2.6"/>
  </r>
  <r>
    <s v="Private Sector"/>
    <s v="Mining, quarrying, and oil and gas extraction"/>
    <s v="Mining, quarrying, and oil and gas extraction"/>
    <x v="1"/>
    <x v="3"/>
    <n v="577"/>
    <n v="25"/>
    <n v="4.3"/>
    <n v="28"/>
    <n v="4.9000000000000004"/>
  </r>
  <r>
    <s v="Private Sector"/>
    <s v="Construction"/>
    <s v="Construction"/>
    <x v="2"/>
    <x v="3"/>
    <n v="8920"/>
    <n v="954"/>
    <n v="10.7"/>
    <n v="1017"/>
    <n v="11.4"/>
  </r>
  <r>
    <s v="Private Sector"/>
    <s v="Manufacturing"/>
    <s v="Durable goods"/>
    <x v="3"/>
    <x v="3"/>
    <n v="9599"/>
    <n v="772"/>
    <n v="8"/>
    <n v="878"/>
    <n v="9.1"/>
  </r>
  <r>
    <s v="Private Sector"/>
    <s v="Manufacturing"/>
    <s v="Nondurable goods"/>
    <x v="4"/>
    <x v="3"/>
    <n v="5323"/>
    <n v="409"/>
    <n v="7.7"/>
    <n v="475"/>
    <n v="8.9"/>
  </r>
  <r>
    <s v="Private Sector"/>
    <s v="Wholesale and retail trade"/>
    <s v="Wholesale trade"/>
    <x v="4"/>
    <x v="3"/>
    <n v="2927"/>
    <n v="137"/>
    <n v="4.7"/>
    <n v="150"/>
    <n v="5.0999999999999996"/>
  </r>
  <r>
    <s v="Private Sector"/>
    <s v="Wholesale and retail trade"/>
    <s v="Retail trade"/>
    <x v="4"/>
    <x v="3"/>
    <n v="15085"/>
    <n v="563"/>
    <n v="3.7"/>
    <n v="677"/>
    <n v="4.5"/>
  </r>
  <r>
    <s v="Private Sector"/>
    <s v="Transportation and warehousing"/>
    <s v="Transportation and warehousing"/>
    <x v="5"/>
    <x v="3"/>
    <n v="6495"/>
    <n v="1031"/>
    <n v="15.9"/>
    <n v="1103"/>
    <n v="17"/>
  </r>
  <r>
    <s v="Private Sector"/>
    <s v="Utilities"/>
    <s v="Utilities"/>
    <x v="2"/>
    <x v="3"/>
    <n v="1129"/>
    <n v="224"/>
    <n v="19.899999999999999"/>
    <n v="234"/>
    <n v="20.8"/>
  </r>
  <r>
    <s v="Private Sector"/>
    <s v="Information"/>
    <s v="Publishing, except Internet"/>
    <x v="6"/>
    <x v="3"/>
    <n v="579"/>
    <n v="21"/>
    <n v="3.6"/>
    <n v="23"/>
    <n v="4.0999999999999996"/>
  </r>
  <r>
    <s v="Private Sector"/>
    <s v="Information"/>
    <s v="Motion pictures and sound recording industries"/>
    <x v="6"/>
    <x v="3"/>
    <n v="391"/>
    <n v="47"/>
    <n v="12.1"/>
    <n v="49"/>
    <n v="12.5"/>
  </r>
  <r>
    <s v="Private Sector"/>
    <s v="Information"/>
    <s v="Broadcasting (except internet)"/>
    <x v="6"/>
    <x v="3"/>
    <n v="270"/>
    <n v="26"/>
    <n v="9.6999999999999993"/>
    <n v="27"/>
    <n v="10.1"/>
  </r>
  <r>
    <s v="Private Sector"/>
    <s v="Information"/>
    <s v="Telecommunications"/>
    <x v="6"/>
    <x v="3"/>
    <n v="884"/>
    <n v="83"/>
    <n v="9.4"/>
    <n v="88"/>
    <n v="9.9"/>
  </r>
  <r>
    <s v="Private Sector"/>
    <s v="Financial activities"/>
    <s v="Finance and insurance"/>
    <x v="7"/>
    <x v="3"/>
    <n v="7025"/>
    <n v="95"/>
    <n v="1.3"/>
    <n v="134"/>
    <n v="1.9"/>
  </r>
  <r>
    <s v="Private Sector"/>
    <s v="Financial activities"/>
    <s v="Real estate and rental and leasing"/>
    <x v="7"/>
    <x v="3"/>
    <n v="2259"/>
    <n v="67"/>
    <n v="3"/>
    <n v="85"/>
    <n v="3.8"/>
  </r>
  <r>
    <s v="Private Sector"/>
    <s v="Professional and business services"/>
    <s v="Professional and technical services"/>
    <x v="8"/>
    <x v="3"/>
    <n v="11361"/>
    <n v="152"/>
    <n v="1.3"/>
    <n v="228"/>
    <n v="2"/>
  </r>
  <r>
    <s v="Private Sector"/>
    <s v="Professional and business services"/>
    <s v="Management, administrative, and waste services"/>
    <x v="2"/>
    <x v="3"/>
    <n v="5459"/>
    <n v="230"/>
    <n v="4.2"/>
    <n v="276"/>
    <n v="5.0999999999999996"/>
  </r>
  <r>
    <s v="Private Sector"/>
    <s v="Education and health services"/>
    <s v="Educational services"/>
    <x v="9"/>
    <x v="3"/>
    <n v="5156"/>
    <n v="666"/>
    <n v="12.9"/>
    <n v="766"/>
    <n v="14.8"/>
  </r>
  <r>
    <s v="Private Sector"/>
    <s v="Education and health services"/>
    <s v="Health care and social assistance"/>
    <x v="9"/>
    <x v="3"/>
    <n v="19188"/>
    <n v="1316"/>
    <n v="6.9"/>
    <n v="1498"/>
    <n v="7.8"/>
  </r>
  <r>
    <s v="Private Sector"/>
    <s v="Leisure and hospitality"/>
    <s v="Arts, entertainment, and recreation"/>
    <x v="8"/>
    <x v="3"/>
    <n v="2537"/>
    <n v="156"/>
    <n v="6.2"/>
    <n v="190"/>
    <n v="7.5"/>
  </r>
  <r>
    <s v="Private Sector"/>
    <s v="Leisure and hospitality"/>
    <s v="Accommodation and food services"/>
    <x v="8"/>
    <x v="3"/>
    <n v="10123"/>
    <n v="216"/>
    <n v="2.1"/>
    <n v="245"/>
    <n v="2.4"/>
  </r>
  <r>
    <s v="Private Sector"/>
    <s v="Other Services"/>
    <s v="Other Services"/>
    <x v="8"/>
    <x v="3"/>
    <n v="5970"/>
    <n v="182"/>
    <n v="3"/>
    <n v="212"/>
    <n v="3.6"/>
  </r>
  <r>
    <s v="Public Sector"/>
    <s v="Federal government"/>
    <s v="Federal government"/>
    <x v="10"/>
    <x v="3"/>
    <n v="4106"/>
    <n v="1032"/>
    <n v="25.1"/>
    <n v="1192"/>
    <n v="29"/>
  </r>
  <r>
    <s v="Public Sector"/>
    <s v="State government"/>
    <s v="State government"/>
    <x v="10"/>
    <x v="3"/>
    <n v="7417"/>
    <n v="2122"/>
    <n v="28.6"/>
    <n v="2377"/>
    <n v="32"/>
  </r>
  <r>
    <s v="Public Sector"/>
    <s v="Local government"/>
    <s v="Local government"/>
    <x v="10"/>
    <x v="3"/>
    <n v="10053"/>
    <n v="3856"/>
    <n v="38.4"/>
    <n v="4195"/>
    <n v="41.7"/>
  </r>
  <r>
    <s v="Private Sector"/>
    <s v="Agriculture and related industries"/>
    <s v="Agriculture and related industries"/>
    <x v="0"/>
    <x v="4"/>
    <n v="1281"/>
    <n v="21"/>
    <n v="1.7"/>
    <n v="25"/>
    <n v="1.9"/>
  </r>
  <r>
    <s v="Private Sector"/>
    <s v="Mining, quarrying, and oil and gas extraction"/>
    <s v="Mining, quarrying, and oil and gas extraction"/>
    <x v="1"/>
    <x v="4"/>
    <n v="656"/>
    <n v="37"/>
    <n v="5.6"/>
    <n v="43"/>
    <n v="6.6"/>
  </r>
  <r>
    <s v="Private Sector"/>
    <s v="Construction"/>
    <s v="Construction"/>
    <x v="2"/>
    <x v="4"/>
    <n v="7829"/>
    <n v="993"/>
    <n v="12.7"/>
    <n v="1050"/>
    <n v="13.4"/>
  </r>
  <r>
    <s v="Private Sector"/>
    <s v="Manufacturing"/>
    <s v="Durable goods"/>
    <x v="3"/>
    <x v="4"/>
    <n v="8705"/>
    <n v="754"/>
    <n v="8.6999999999999993"/>
    <n v="821"/>
    <n v="9.4"/>
  </r>
  <r>
    <s v="Private Sector"/>
    <s v="Manufacturing"/>
    <s v="Nondurable goods"/>
    <x v="4"/>
    <x v="4"/>
    <n v="5182"/>
    <n v="427"/>
    <n v="8.1999999999999993"/>
    <n v="468"/>
    <n v="9"/>
  </r>
  <r>
    <s v="Private Sector"/>
    <s v="Wholesale and retail trade"/>
    <s v="Wholesale trade"/>
    <x v="4"/>
    <x v="4"/>
    <n v="3116"/>
    <n v="133"/>
    <n v="4.3"/>
    <n v="146"/>
    <n v="4.7"/>
  </r>
  <r>
    <s v="Private Sector"/>
    <s v="Wholesale and retail trade"/>
    <s v="Retail trade"/>
    <x v="4"/>
    <x v="4"/>
    <n v="14292"/>
    <n v="655"/>
    <n v="4.5999999999999996"/>
    <n v="728"/>
    <n v="5.0999999999999996"/>
  </r>
  <r>
    <s v="Private Sector"/>
    <s v="Transportation and warehousing"/>
    <s v="Transportation and warehousing"/>
    <x v="5"/>
    <x v="4"/>
    <n v="5377"/>
    <n v="916"/>
    <n v="17"/>
    <n v="979"/>
    <n v="18.2"/>
  </r>
  <r>
    <s v="Private Sector"/>
    <s v="Utilities"/>
    <s v="Utilities"/>
    <x v="2"/>
    <x v="4"/>
    <n v="1064"/>
    <n v="219"/>
    <n v="20.6"/>
    <n v="234"/>
    <n v="22"/>
  </r>
  <r>
    <s v="Private Sector"/>
    <s v="Information"/>
    <s v="Publishing, except Internet"/>
    <x v="6"/>
    <x v="4"/>
    <n v="338"/>
    <n v="8"/>
    <n v="2.4"/>
    <n v="9"/>
    <n v="2.6"/>
  </r>
  <r>
    <s v="Private Sector"/>
    <s v="Information"/>
    <s v="Motion pictures and sound recording industries"/>
    <x v="6"/>
    <x v="4"/>
    <n v="285"/>
    <n v="40"/>
    <n v="14"/>
    <n v="43"/>
    <n v="15.1"/>
  </r>
  <r>
    <s v="Private Sector"/>
    <s v="Information"/>
    <s v="Broadcasting (except internet)"/>
    <x v="6"/>
    <x v="4"/>
    <n v="398"/>
    <n v="30"/>
    <n v="7.6"/>
    <n v="35"/>
    <n v="8.6999999999999993"/>
  </r>
  <r>
    <s v="Private Sector"/>
    <s v="Information"/>
    <s v="Telecommunications"/>
    <x v="6"/>
    <x v="4"/>
    <n v="778"/>
    <n v="111"/>
    <n v="14.3"/>
    <n v="122"/>
    <n v="15.7"/>
  </r>
  <r>
    <s v="Private Sector"/>
    <s v="Financial activities"/>
    <s v="Finance and insurance"/>
    <x v="7"/>
    <x v="4"/>
    <n v="6977"/>
    <n v="96"/>
    <n v="1.4"/>
    <n v="152"/>
    <n v="2.2000000000000002"/>
  </r>
  <r>
    <s v="Private Sector"/>
    <s v="Financial activities"/>
    <s v="Real estate and rental and leasing"/>
    <x v="7"/>
    <x v="4"/>
    <n v="2131"/>
    <n v="74"/>
    <n v="3.5"/>
    <n v="93"/>
    <n v="4.3"/>
  </r>
  <r>
    <s v="Private Sector"/>
    <s v="Professional and business services"/>
    <s v="Professional and technical services"/>
    <x v="8"/>
    <x v="4"/>
    <n v="10153"/>
    <n v="132"/>
    <n v="1.3"/>
    <n v="208"/>
    <n v="2.1"/>
  </r>
  <r>
    <s v="Private Sector"/>
    <s v="Professional and business services"/>
    <s v="Management, administrative, and waste services"/>
    <x v="2"/>
    <x v="4"/>
    <n v="4785"/>
    <n v="191"/>
    <n v="4"/>
    <n v="233"/>
    <n v="4.9000000000000004"/>
  </r>
  <r>
    <s v="Private Sector"/>
    <s v="Education and health services"/>
    <s v="Educational services"/>
    <x v="9"/>
    <x v="4"/>
    <n v="4507"/>
    <n v="607"/>
    <n v="13.5"/>
    <n v="697"/>
    <n v="15.5"/>
  </r>
  <r>
    <s v="Private Sector"/>
    <s v="Education and health services"/>
    <s v="Health care and social assistance"/>
    <x v="9"/>
    <x v="4"/>
    <n v="17858"/>
    <n v="1269"/>
    <n v="7.1"/>
    <n v="1478"/>
    <n v="8.3000000000000007"/>
  </r>
  <r>
    <s v="Private Sector"/>
    <s v="Leisure and hospitality"/>
    <s v="Arts, entertainment, and recreation"/>
    <x v="8"/>
    <x v="4"/>
    <n v="1810"/>
    <n v="86"/>
    <n v="4.8"/>
    <n v="106"/>
    <n v="5.9"/>
  </r>
  <r>
    <s v="Private Sector"/>
    <s v="Leisure and hospitality"/>
    <s v="Accommodation and food services"/>
    <x v="8"/>
    <x v="4"/>
    <n v="8317"/>
    <n v="137"/>
    <n v="1.6"/>
    <n v="174"/>
    <n v="2.1"/>
  </r>
  <r>
    <s v="Private Sector"/>
    <s v="Other Services"/>
    <s v="Other Services"/>
    <x v="8"/>
    <x v="4"/>
    <n v="5344"/>
    <n v="134"/>
    <n v="2.5"/>
    <n v="162"/>
    <n v="3"/>
  </r>
  <r>
    <s v="Public Sector"/>
    <s v="Federal government"/>
    <s v="Federal government"/>
    <x v="10"/>
    <x v="4"/>
    <n v="3892"/>
    <n v="1014"/>
    <n v="26"/>
    <n v="1167"/>
    <n v="30"/>
  </r>
  <r>
    <s v="Public Sector"/>
    <s v="State government"/>
    <s v="State government"/>
    <x v="10"/>
    <x v="4"/>
    <n v="6980"/>
    <n v="2085"/>
    <n v="29.9"/>
    <n v="2350"/>
    <n v="33.700000000000003"/>
  </r>
  <r>
    <s v="Public Sector"/>
    <s v="Local government"/>
    <s v="Local government"/>
    <x v="10"/>
    <x v="4"/>
    <n v="9760"/>
    <n v="4074"/>
    <n v="41.7"/>
    <n v="4404"/>
    <n v="45.1"/>
  </r>
  <r>
    <s v="Private Sector"/>
    <s v="Agriculture and related industries"/>
    <s v="Agriculture and related industries"/>
    <x v="0"/>
    <x v="5"/>
    <n v="1308"/>
    <n v="37"/>
    <n v="2.9"/>
    <n v="41"/>
    <n v="3.1"/>
  </r>
  <r>
    <s v="Private Sector"/>
    <s v="Mining, quarrying, and oil and gas extraction"/>
    <s v="Mining, quarrying, and oil and gas extraction"/>
    <x v="1"/>
    <x v="5"/>
    <n v="561"/>
    <n v="32"/>
    <n v="5.7"/>
    <n v="34"/>
    <n v="6"/>
  </r>
  <r>
    <s v="Private Sector"/>
    <s v="Construction"/>
    <s v="Construction"/>
    <x v="2"/>
    <x v="5"/>
    <n v="8157"/>
    <n v="1024"/>
    <n v="12.6"/>
    <n v="1112"/>
    <n v="13.6"/>
  </r>
  <r>
    <s v="Private Sector"/>
    <s v="Manufacturing"/>
    <s v="Durable goods"/>
    <x v="3"/>
    <x v="5"/>
    <n v="8986"/>
    <n v="668"/>
    <n v="7.4"/>
    <n v="749"/>
    <n v="8.3000000000000007"/>
  </r>
  <r>
    <s v="Private Sector"/>
    <s v="Manufacturing"/>
    <s v="Nondurable goods"/>
    <x v="4"/>
    <x v="5"/>
    <n v="5148"/>
    <n v="414"/>
    <n v="8"/>
    <n v="453"/>
    <n v="8.8000000000000007"/>
  </r>
  <r>
    <s v="Private Sector"/>
    <s v="Wholesale and retail trade"/>
    <s v="Wholesale trade"/>
    <x v="4"/>
    <x v="5"/>
    <n v="3117"/>
    <n v="116"/>
    <n v="3.7"/>
    <n v="140"/>
    <n v="4.5"/>
  </r>
  <r>
    <s v="Private Sector"/>
    <s v="Wholesale and retail trade"/>
    <s v="Retail trade"/>
    <x v="4"/>
    <x v="5"/>
    <n v="14953"/>
    <n v="653"/>
    <n v="4.4000000000000004"/>
    <n v="740"/>
    <n v="5"/>
  </r>
  <r>
    <s v="Private Sector"/>
    <s v="Transportation and warehousing"/>
    <s v="Transportation and warehousing"/>
    <x v="5"/>
    <x v="5"/>
    <n v="6055"/>
    <n v="889"/>
    <n v="14.7"/>
    <n v="974"/>
    <n v="16.100000000000001"/>
  </r>
  <r>
    <s v="Private Sector"/>
    <s v="Utilities"/>
    <s v="Utilities"/>
    <x v="2"/>
    <x v="5"/>
    <n v="1002"/>
    <n v="197"/>
    <n v="19.7"/>
    <n v="209"/>
    <n v="20.9"/>
  </r>
  <r>
    <s v="Private Sector"/>
    <s v="Information"/>
    <s v="Publishing, except Internet"/>
    <x v="6"/>
    <x v="5"/>
    <n v="311"/>
    <n v="17"/>
    <n v="5.6"/>
    <n v="22"/>
    <n v="7.2"/>
  </r>
  <r>
    <s v="Private Sector"/>
    <s v="Information"/>
    <s v="Motion pictures and sound recording industries"/>
    <x v="6"/>
    <x v="5"/>
    <n v="352"/>
    <n v="61"/>
    <n v="17.3"/>
    <n v="64"/>
    <n v="18.3"/>
  </r>
  <r>
    <s v="Private Sector"/>
    <s v="Information"/>
    <s v="Broadcasting (except internet)"/>
    <x v="6"/>
    <x v="5"/>
    <n v="368"/>
    <n v="33"/>
    <n v="8.9"/>
    <n v="39"/>
    <n v="10.7"/>
  </r>
  <r>
    <s v="Private Sector"/>
    <s v="Information"/>
    <s v="Telecommunications"/>
    <x v="6"/>
    <x v="5"/>
    <n v="843"/>
    <n v="100"/>
    <n v="11.9"/>
    <n v="109"/>
    <n v="13"/>
  </r>
  <r>
    <s v="Private Sector"/>
    <s v="Financial activities"/>
    <s v="Finance and insurance"/>
    <x v="7"/>
    <x v="5"/>
    <n v="6896"/>
    <n v="91"/>
    <n v="1.3"/>
    <n v="135"/>
    <n v="2"/>
  </r>
  <r>
    <s v="Private Sector"/>
    <s v="Financial activities"/>
    <s v="Real estate and rental and leasing"/>
    <x v="7"/>
    <x v="5"/>
    <n v="2205"/>
    <n v="114"/>
    <n v="5.2"/>
    <n v="143"/>
    <n v="6.5"/>
  </r>
  <r>
    <s v="Private Sector"/>
    <s v="Professional and business services"/>
    <s v="Professional and technical services"/>
    <x v="8"/>
    <x v="5"/>
    <n v="10506"/>
    <n v="128"/>
    <n v="1.2"/>
    <n v="204"/>
    <n v="1.9"/>
  </r>
  <r>
    <s v="Private Sector"/>
    <s v="Professional and business services"/>
    <s v="Management, administrative, and waste services"/>
    <x v="2"/>
    <x v="5"/>
    <n v="4868"/>
    <n v="206"/>
    <n v="4.2"/>
    <n v="247"/>
    <n v="5.0999999999999996"/>
  </r>
  <r>
    <s v="Private Sector"/>
    <s v="Education and health services"/>
    <s v="Educational services"/>
    <x v="9"/>
    <x v="5"/>
    <n v="4694"/>
    <n v="607"/>
    <n v="12.9"/>
    <n v="712"/>
    <n v="15.2"/>
  </r>
  <r>
    <s v="Private Sector"/>
    <s v="Education and health services"/>
    <s v="Health care and social assistance"/>
    <x v="9"/>
    <x v="5"/>
    <n v="18197"/>
    <n v="1200"/>
    <n v="6.6"/>
    <n v="1397"/>
    <n v="7.7"/>
  </r>
  <r>
    <s v="Private Sector"/>
    <s v="Leisure and hospitality"/>
    <s v="Arts, entertainment, and recreation"/>
    <x v="8"/>
    <x v="5"/>
    <n v="2004"/>
    <n v="96"/>
    <n v="4.8"/>
    <n v="111"/>
    <n v="5.5"/>
  </r>
  <r>
    <s v="Private Sector"/>
    <s v="Leisure and hospitality"/>
    <s v="Accommodation and food services"/>
    <x v="8"/>
    <x v="5"/>
    <n v="9203"/>
    <n v="156"/>
    <n v="1.7"/>
    <n v="192"/>
    <n v="2.1"/>
  </r>
  <r>
    <s v="Private Sector"/>
    <s v="Other Services"/>
    <s v="Other Services"/>
    <x v="8"/>
    <x v="5"/>
    <n v="5632"/>
    <n v="176"/>
    <n v="3.1"/>
    <n v="208"/>
    <n v="3.7"/>
  </r>
  <r>
    <s v="Public Sector"/>
    <s v="Federal government"/>
    <s v="Federal government"/>
    <x v="10"/>
    <x v="5"/>
    <n v="3820"/>
    <n v="951"/>
    <n v="24.9"/>
    <n v="1108"/>
    <n v="29"/>
  </r>
  <r>
    <s v="Public Sector"/>
    <s v="State government"/>
    <s v="State government"/>
    <x v="10"/>
    <x v="5"/>
    <n v="6866"/>
    <n v="2033"/>
    <n v="29.6"/>
    <n v="2273"/>
    <n v="33.1"/>
  </r>
  <r>
    <s v="Public Sector"/>
    <s v="Local government"/>
    <s v="Local government"/>
    <x v="10"/>
    <x v="5"/>
    <n v="9940"/>
    <n v="3999"/>
    <n v="40.200000000000003"/>
    <n v="4367"/>
    <n v="43.9"/>
  </r>
  <r>
    <s v="Private Sector"/>
    <s v="Agriculture and related industries"/>
    <s v="Agriculture and related industries"/>
    <x v="0"/>
    <x v="6"/>
    <n v="1344"/>
    <n v="29"/>
    <n v="2.2000000000000002"/>
    <n v="35"/>
    <n v="2.6"/>
  </r>
  <r>
    <s v="Private Sector"/>
    <s v="Mining, quarrying, and oil and gas extraction"/>
    <s v="Mining, quarrying, and oil and gas extraction"/>
    <x v="1"/>
    <x v="6"/>
    <n v="721"/>
    <n v="34"/>
    <n v="4.7"/>
    <n v="38"/>
    <n v="5.3"/>
  </r>
  <r>
    <s v="Private Sector"/>
    <s v="Construction"/>
    <s v="Construction"/>
    <x v="2"/>
    <x v="6"/>
    <n v="8169"/>
    <n v="1048"/>
    <n v="12.8"/>
    <n v="1125"/>
    <n v="13.8"/>
  </r>
  <r>
    <s v="Private Sector"/>
    <s v="Manufacturing"/>
    <s v="Durable goods"/>
    <x v="3"/>
    <x v="6"/>
    <n v="9401"/>
    <n v="850"/>
    <n v="9"/>
    <n v="917"/>
    <n v="9.8000000000000007"/>
  </r>
  <r>
    <s v="Private Sector"/>
    <s v="Manufacturing"/>
    <s v="Nondurable goods"/>
    <x v="4"/>
    <x v="6"/>
    <n v="5460"/>
    <n v="490"/>
    <n v="9"/>
    <n v="527"/>
    <n v="9.6"/>
  </r>
  <r>
    <s v="Private Sector"/>
    <s v="Wholesale and retail trade"/>
    <s v="Wholesale trade"/>
    <x v="4"/>
    <x v="6"/>
    <n v="3351"/>
    <n v="137"/>
    <n v="4.0999999999999996"/>
    <n v="158"/>
    <n v="4.7"/>
  </r>
  <r>
    <s v="Private Sector"/>
    <s v="Wholesale and retail trade"/>
    <s v="Retail trade"/>
    <x v="4"/>
    <x v="6"/>
    <n v="15385"/>
    <n v="669"/>
    <n v="4.3"/>
    <n v="769"/>
    <n v="5"/>
  </r>
  <r>
    <s v="Private Sector"/>
    <s v="Transportation and warehousing"/>
    <s v="Transportation and warehousing"/>
    <x v="5"/>
    <x v="6"/>
    <n v="5410"/>
    <n v="904"/>
    <n v="16.7"/>
    <n v="968"/>
    <n v="17.899999999999999"/>
  </r>
  <r>
    <s v="Private Sector"/>
    <s v="Utilities"/>
    <s v="Utilities"/>
    <x v="2"/>
    <x v="6"/>
    <n v="1057"/>
    <n v="212"/>
    <n v="20.100000000000001"/>
    <n v="217"/>
    <n v="20.5"/>
  </r>
  <r>
    <s v="Private Sector"/>
    <s v="Information"/>
    <s v="Publishing, except Internet"/>
    <x v="6"/>
    <x v="6"/>
    <n v="437"/>
    <n v="17"/>
    <n v="3.9"/>
    <n v="18"/>
    <n v="4.2"/>
  </r>
  <r>
    <s v="Private Sector"/>
    <s v="Information"/>
    <s v="Motion pictures and sound recording industries"/>
    <x v="6"/>
    <x v="6"/>
    <n v="395"/>
    <n v="49"/>
    <n v="12.5"/>
    <n v="50"/>
    <n v="12.6"/>
  </r>
  <r>
    <s v="Private Sector"/>
    <s v="Information"/>
    <s v="Radio and television broadcasting and cable subscription programming"/>
    <x v="6"/>
    <x v="6"/>
    <n v="526"/>
    <n v="41"/>
    <n v="7.7"/>
    <n v="45"/>
    <n v="8.6"/>
  </r>
  <r>
    <s v="Private Sector"/>
    <s v="Information"/>
    <s v="Telecommunications"/>
    <x v="6"/>
    <x v="6"/>
    <n v="851"/>
    <n v="131"/>
    <n v="15.4"/>
    <n v="138"/>
    <n v="16.2"/>
  </r>
  <r>
    <s v="Private Sector"/>
    <s v="Financial activities"/>
    <s v="Finance and insurance"/>
    <x v="7"/>
    <x v="6"/>
    <n v="6770"/>
    <n v="99"/>
    <n v="1.5"/>
    <n v="137"/>
    <n v="2"/>
  </r>
  <r>
    <s v="Private Sector"/>
    <s v="Financial activities"/>
    <s v="Real estate and rental and leasing"/>
    <x v="7"/>
    <x v="6"/>
    <n v="2379"/>
    <n v="94"/>
    <n v="3.9"/>
    <n v="115"/>
    <n v="4.8"/>
  </r>
  <r>
    <s v="Private Sector"/>
    <s v="Professional and business services"/>
    <s v="Professional and technical services"/>
    <x v="8"/>
    <x v="6"/>
    <n v="9718"/>
    <n v="148"/>
    <n v="1.5"/>
    <n v="203"/>
    <n v="2.1"/>
  </r>
  <r>
    <s v="Private Sector"/>
    <s v="Professional and business services"/>
    <s v="Management, administrative, and waste services"/>
    <x v="2"/>
    <x v="6"/>
    <n v="5510"/>
    <n v="242"/>
    <n v="4.4000000000000004"/>
    <n v="278"/>
    <n v="5"/>
  </r>
  <r>
    <s v="Private Sector"/>
    <s v="Education and health services"/>
    <s v="Educational services"/>
    <x v="9"/>
    <x v="6"/>
    <n v="4828"/>
    <n v="632"/>
    <n v="13.1"/>
    <n v="748"/>
    <n v="15.5"/>
  </r>
  <r>
    <s v="Private Sector"/>
    <s v="Education and health services"/>
    <s v="Health care and social assistance"/>
    <x v="9"/>
    <x v="6"/>
    <n v="18154"/>
    <n v="1221"/>
    <n v="6.7"/>
    <n v="1396"/>
    <n v="7.7"/>
  </r>
  <r>
    <s v="Private Sector"/>
    <s v="Leisure and hospitality"/>
    <s v="Arts, entertainment, and recreation"/>
    <x v="8"/>
    <x v="6"/>
    <n v="2390"/>
    <n v="136"/>
    <n v="5.7"/>
    <n v="159"/>
    <n v="6.6"/>
  </r>
  <r>
    <s v="Private Sector"/>
    <s v="Leisure and hospitality"/>
    <s v="Accommodation and food services"/>
    <x v="8"/>
    <x v="6"/>
    <n v="10193"/>
    <n v="231"/>
    <n v="2.2999999999999998"/>
    <n v="277"/>
    <n v="2.7"/>
  </r>
  <r>
    <s v="Private Sector"/>
    <s v="Other Services"/>
    <s v="Other Services"/>
    <x v="8"/>
    <x v="6"/>
    <n v="6192"/>
    <n v="159"/>
    <n v="2.6"/>
    <n v="184"/>
    <n v="3"/>
  </r>
  <r>
    <s v="Public Sector"/>
    <s v="Federal government"/>
    <s v="Federal government"/>
    <x v="10"/>
    <x v="6"/>
    <n v="3707"/>
    <n v="977"/>
    <n v="26.4"/>
    <n v="1128"/>
    <n v="30.4"/>
  </r>
  <r>
    <s v="Public Sector"/>
    <s v="State government"/>
    <s v="State government"/>
    <x v="10"/>
    <x v="6"/>
    <n v="7109"/>
    <n v="2035"/>
    <n v="28.6"/>
    <n v="2259"/>
    <n v="31.8"/>
  </r>
  <r>
    <s v="Public Sector"/>
    <s v="Local government"/>
    <s v="Local government"/>
    <x v="10"/>
    <x v="6"/>
    <n v="10315"/>
    <n v="4155"/>
    <n v="40.299999999999997"/>
    <n v="4481"/>
    <n v="43.4"/>
  </r>
  <r>
    <s v="Private Sector"/>
    <s v="Agriculture and related industries"/>
    <s v="Agriculture and related industries"/>
    <x v="0"/>
    <x v="7"/>
    <n v="1352"/>
    <n v="23"/>
    <n v="1.7"/>
    <n v="38"/>
    <n v="2.8"/>
  </r>
  <r>
    <s v="Private Sector"/>
    <s v="Mining, quarrying, and oil and gas extraction"/>
    <s v="Mining, quarrying, and oil and gas extraction"/>
    <x v="1"/>
    <x v="7"/>
    <n v="710"/>
    <n v="28"/>
    <n v="4"/>
    <n v="33"/>
    <n v="4.7"/>
  </r>
  <r>
    <s v="Private Sector"/>
    <s v="Construction"/>
    <s v="Construction"/>
    <x v="2"/>
    <x v="7"/>
    <n v="8352"/>
    <n v="1055"/>
    <n v="12.6"/>
    <n v="1133"/>
    <n v="13.6"/>
  </r>
  <r>
    <s v="Private Sector"/>
    <s v="Manufacturing"/>
    <s v="Durable goods"/>
    <x v="3"/>
    <x v="7"/>
    <n v="9502"/>
    <n v="835"/>
    <n v="8.8000000000000007"/>
    <n v="912"/>
    <n v="9.6"/>
  </r>
  <r>
    <s v="Private Sector"/>
    <s v="Manufacturing"/>
    <s v="Nondurable goods"/>
    <x v="4"/>
    <x v="7"/>
    <n v="5568"/>
    <n v="455"/>
    <n v="8.1999999999999993"/>
    <n v="510"/>
    <n v="9.1999999999999993"/>
  </r>
  <r>
    <s v="Private Sector"/>
    <s v="Wholesale and retail trade"/>
    <s v="Wholesale trade"/>
    <x v="4"/>
    <x v="7"/>
    <n v="3186"/>
    <n v="143"/>
    <n v="4.5"/>
    <n v="160"/>
    <n v="5"/>
  </r>
  <r>
    <s v="Private Sector"/>
    <s v="Wholesale and retail trade"/>
    <s v="Retail trade"/>
    <x v="4"/>
    <x v="7"/>
    <n v="14927"/>
    <n v="598"/>
    <n v="4"/>
    <n v="704"/>
    <n v="4.7"/>
  </r>
  <r>
    <s v="Private Sector"/>
    <s v="Transportation and warehousing"/>
    <s v="Transportation and warehousing"/>
    <x v="5"/>
    <x v="7"/>
    <n v="5659"/>
    <n v="912"/>
    <n v="16.100000000000001"/>
    <n v="997"/>
    <n v="17.600000000000001"/>
  </r>
  <r>
    <s v="Private Sector"/>
    <s v="Utilities"/>
    <s v="Utilities"/>
    <x v="2"/>
    <x v="7"/>
    <n v="1086"/>
    <n v="254"/>
    <n v="23.4"/>
    <n v="261"/>
    <n v="24"/>
  </r>
  <r>
    <s v="Private Sector"/>
    <s v="Information"/>
    <s v="Publishing, except Internet"/>
    <x v="6"/>
    <x v="7"/>
    <n v="355"/>
    <n v="12"/>
    <n v="3.3"/>
    <n v="13"/>
    <n v="3.8"/>
  </r>
  <r>
    <s v="Private Sector"/>
    <s v="Information"/>
    <s v="Motion pictures and sound recording industries"/>
    <x v="6"/>
    <x v="7"/>
    <n v="386"/>
    <n v="53"/>
    <n v="13.6"/>
    <n v="57"/>
    <n v="14.7"/>
  </r>
  <r>
    <s v="Private Sector"/>
    <s v="Information"/>
    <s v="Radio and television broadcasting and cable subscription programming"/>
    <x v="6"/>
    <x v="7"/>
    <n v="482"/>
    <n v="53"/>
    <n v="11"/>
    <n v="57"/>
    <n v="11.9"/>
  </r>
  <r>
    <s v="Private Sector"/>
    <s v="Information"/>
    <s v="Telecommunications"/>
    <x v="6"/>
    <x v="7"/>
    <n v="821"/>
    <n v="115"/>
    <n v="14.1"/>
    <n v="125"/>
    <n v="15.3"/>
  </r>
  <r>
    <s v="Private Sector"/>
    <s v="Financial activities"/>
    <s v="Finance and insurance"/>
    <x v="7"/>
    <x v="7"/>
    <n v="6982"/>
    <n v="87"/>
    <n v="1.2"/>
    <n v="125"/>
    <n v="1.8"/>
  </r>
  <r>
    <s v="Private Sector"/>
    <s v="Financial activities"/>
    <s v="Real estate and rental and leasing"/>
    <x v="7"/>
    <x v="7"/>
    <n v="2382"/>
    <n v="95"/>
    <n v="4"/>
    <n v="112"/>
    <n v="4.7"/>
  </r>
  <r>
    <s v="Private Sector"/>
    <s v="Professional and business services"/>
    <s v="Professional and technical services"/>
    <x v="8"/>
    <x v="7"/>
    <n v="10280"/>
    <n v="143"/>
    <n v="1.4"/>
    <n v="227"/>
    <n v="2.2000000000000002"/>
  </r>
  <r>
    <s v="Private Sector"/>
    <s v="Professional and business services"/>
    <s v="Management, administrative, and waste services"/>
    <x v="2"/>
    <x v="7"/>
    <n v="5440"/>
    <n v="197"/>
    <n v="3.6"/>
    <n v="244"/>
    <n v="4.5"/>
  </r>
  <r>
    <s v="Private Sector"/>
    <s v="Education and health services"/>
    <s v="Educational services"/>
    <x v="9"/>
    <x v="7"/>
    <n v="4922"/>
    <n v="608"/>
    <n v="12.3"/>
    <n v="693"/>
    <n v="14.1"/>
  </r>
  <r>
    <s v="Private Sector"/>
    <s v="Education and health services"/>
    <s v="Health care and social assistance"/>
    <x v="9"/>
    <x v="7"/>
    <n v="18768"/>
    <n v="1278"/>
    <n v="6.8"/>
    <n v="1489"/>
    <n v="7.9"/>
  </r>
  <r>
    <s v="Private Sector"/>
    <s v="Leisure and hospitality"/>
    <s v="Arts, entertainment, and recreation"/>
    <x v="8"/>
    <x v="7"/>
    <n v="2498"/>
    <n v="164"/>
    <n v="6.6"/>
    <n v="184"/>
    <n v="7.4"/>
  </r>
  <r>
    <s v="Private Sector"/>
    <s v="Leisure and hospitality"/>
    <s v="Accommodation and food services"/>
    <x v="8"/>
    <x v="7"/>
    <n v="10599"/>
    <n v="220"/>
    <n v="2.1"/>
    <n v="274"/>
    <n v="2.6"/>
  </r>
  <r>
    <s v="Private Sector"/>
    <s v="Other Services"/>
    <s v="Other Services"/>
    <x v="8"/>
    <x v="7"/>
    <n v="6150"/>
    <n v="172"/>
    <n v="2.8"/>
    <n v="202"/>
    <n v="3.3"/>
  </r>
  <r>
    <s v="Public Sector"/>
    <s v="Federal government"/>
    <s v="Federal government"/>
    <x v="10"/>
    <x v="7"/>
    <n v="3798"/>
    <n v="974"/>
    <n v="25.6"/>
    <n v="1158"/>
    <n v="30.5"/>
  </r>
  <r>
    <s v="Public Sector"/>
    <s v="State government"/>
    <s v="State government"/>
    <x v="10"/>
    <x v="7"/>
    <n v="6958"/>
    <n v="2043"/>
    <n v="29.4"/>
    <n v="2249"/>
    <n v="32.299999999999997"/>
  </r>
  <r>
    <s v="Public Sector"/>
    <s v="Local government"/>
    <s v="Local government"/>
    <x v="10"/>
    <x v="7"/>
    <n v="10267"/>
    <n v="4050"/>
    <n v="39.4"/>
    <n v="4414"/>
    <n v="43"/>
  </r>
  <r>
    <s v="Private Sector"/>
    <s v="Agriculture and related industries"/>
    <s v="Agriculture and related industries"/>
    <x v="0"/>
    <x v="8"/>
    <n v="1315"/>
    <n v="17"/>
    <n v="1.3"/>
    <n v="28"/>
    <n v="2.1"/>
  </r>
  <r>
    <s v="Private Sector"/>
    <s v="Mining, quarrying, and oil and gas extraction"/>
    <s v="Mining, quarrying, and oil and gas extraction"/>
    <x v="1"/>
    <x v="8"/>
    <n v="765"/>
    <n v="43"/>
    <n v="5.6"/>
    <n v="48"/>
    <n v="6.3"/>
  </r>
  <r>
    <s v="Private Sector"/>
    <s v="Construction"/>
    <s v="Construction"/>
    <x v="2"/>
    <x v="8"/>
    <n v="7488"/>
    <n v="1039"/>
    <n v="13.9"/>
    <n v="1095"/>
    <n v="14.6"/>
  </r>
  <r>
    <s v="Private Sector"/>
    <s v="Manufacturing"/>
    <s v="Durable goods"/>
    <x v="3"/>
    <x v="8"/>
    <n v="9247"/>
    <n v="827"/>
    <n v="8.9"/>
    <n v="906"/>
    <n v="9.8000000000000007"/>
  </r>
  <r>
    <s v="Private Sector"/>
    <s v="Manufacturing"/>
    <s v="Nondurable goods"/>
    <x v="4"/>
    <x v="8"/>
    <n v="5536"/>
    <n v="468"/>
    <n v="8.4"/>
    <n v="515"/>
    <n v="9.3000000000000007"/>
  </r>
  <r>
    <s v="Private Sector"/>
    <s v="Wholesale and retail trade"/>
    <s v="Wholesale trade"/>
    <x v="4"/>
    <x v="8"/>
    <n v="3288"/>
    <n v="120"/>
    <n v="3.7"/>
    <n v="137"/>
    <n v="4.2"/>
  </r>
  <r>
    <s v="Private Sector"/>
    <s v="Wholesale and retail trade"/>
    <s v="Retail trade"/>
    <x v="4"/>
    <x v="8"/>
    <n v="15227"/>
    <n v="660"/>
    <n v="4.3"/>
    <n v="750"/>
    <n v="4.9000000000000004"/>
  </r>
  <r>
    <s v="Private Sector"/>
    <s v="Transportation and warehousing"/>
    <s v="Transportation and warehousing"/>
    <x v="5"/>
    <x v="8"/>
    <n v="5073"/>
    <n v="935"/>
    <n v="18.399999999999999"/>
    <n v="1014"/>
    <n v="20"/>
  </r>
  <r>
    <s v="Private Sector"/>
    <s v="Utilities"/>
    <s v="Utilities"/>
    <x v="2"/>
    <x v="8"/>
    <n v="975"/>
    <n v="210"/>
    <n v="21.5"/>
    <n v="225"/>
    <n v="23"/>
  </r>
  <r>
    <s v="Private Sector"/>
    <s v="Information"/>
    <s v="Publishing, except Internet"/>
    <x v="6"/>
    <x v="8"/>
    <n v="455"/>
    <n v="22"/>
    <n v="4.9000000000000004"/>
    <n v="24"/>
    <n v="5.2"/>
  </r>
  <r>
    <s v="Private Sector"/>
    <s v="Information"/>
    <s v="Motion pictures and sound recording industries"/>
    <x v="6"/>
    <x v="8"/>
    <n v="349"/>
    <n v="38"/>
    <n v="11"/>
    <n v="43"/>
    <n v="12.3"/>
  </r>
  <r>
    <s v="Private Sector"/>
    <s v="Information"/>
    <s v="Radio and television broadcasting and cable subscription programming"/>
    <x v="6"/>
    <x v="8"/>
    <n v="534"/>
    <n v="32"/>
    <n v="5.9"/>
    <n v="43"/>
    <n v="8"/>
  </r>
  <r>
    <s v="Private Sector"/>
    <s v="Information"/>
    <s v="Telecommunications"/>
    <x v="6"/>
    <x v="8"/>
    <n v="821"/>
    <n v="119"/>
    <n v="14.6"/>
    <n v="129"/>
    <n v="15.8"/>
  </r>
  <r>
    <s v="Private Sector"/>
    <s v="Financial activities"/>
    <s v="Finance and insurance"/>
    <x v="7"/>
    <x v="8"/>
    <n v="6616"/>
    <n v="91"/>
    <n v="1.4"/>
    <n v="138"/>
    <n v="2.1"/>
  </r>
  <r>
    <s v="Private Sector"/>
    <s v="Financial activities"/>
    <s v="Real estate and rental and leasing"/>
    <x v="7"/>
    <x v="8"/>
    <n v="2347"/>
    <n v="114"/>
    <n v="4.9000000000000004"/>
    <n v="136"/>
    <n v="5.8"/>
  </r>
  <r>
    <s v="Private Sector"/>
    <s v="Professional and business services"/>
    <s v="Professional and technical services"/>
    <x v="8"/>
    <x v="8"/>
    <n v="8728"/>
    <n v="141"/>
    <n v="1.6"/>
    <n v="211"/>
    <n v="2.4"/>
  </r>
  <r>
    <s v="Private Sector"/>
    <s v="Professional and business services"/>
    <s v="Management, administrative, and waste services"/>
    <x v="2"/>
    <x v="8"/>
    <n v="5529"/>
    <n v="205"/>
    <n v="3.7"/>
    <n v="253"/>
    <n v="4.5999999999999996"/>
  </r>
  <r>
    <s v="Private Sector"/>
    <s v="Education and health services"/>
    <s v="Educational services"/>
    <x v="9"/>
    <x v="8"/>
    <n v="4557"/>
    <n v="561"/>
    <n v="12.3"/>
    <n v="652"/>
    <n v="14.3"/>
  </r>
  <r>
    <s v="Private Sector"/>
    <s v="Education and health services"/>
    <s v="Health care and social assistance"/>
    <x v="9"/>
    <x v="8"/>
    <n v="17595"/>
    <n v="1247"/>
    <n v="7.1"/>
    <n v="1454"/>
    <n v="8.3000000000000007"/>
  </r>
  <r>
    <s v="Private Sector"/>
    <s v="Leisure and hospitality"/>
    <s v="Arts, entertainment, and recreation"/>
    <x v="8"/>
    <x v="8"/>
    <n v="2329"/>
    <n v="126"/>
    <n v="5.4"/>
    <n v="139"/>
    <n v="6"/>
  </r>
  <r>
    <s v="Private Sector"/>
    <s v="Leisure and hospitality"/>
    <s v="Accommodation and food services"/>
    <x v="8"/>
    <x v="8"/>
    <n v="10358"/>
    <n v="255"/>
    <n v="2.5"/>
    <n v="299"/>
    <n v="2.9"/>
  </r>
  <r>
    <s v="Private Sector"/>
    <s v="Other Services"/>
    <s v="Other Services"/>
    <x v="8"/>
    <x v="8"/>
    <n v="5973"/>
    <n v="155"/>
    <n v="2.6"/>
    <n v="186"/>
    <n v="3.1"/>
  </r>
  <r>
    <s v="Public Sector"/>
    <s v="Federal government"/>
    <s v="Federal government"/>
    <x v="10"/>
    <x v="8"/>
    <n v="3674"/>
    <n v="1006"/>
    <n v="27.4"/>
    <n v="1144"/>
    <n v="31.1"/>
  </r>
  <r>
    <s v="Public Sector"/>
    <s v="State government"/>
    <s v="State government"/>
    <x v="10"/>
    <x v="8"/>
    <n v="6965"/>
    <n v="2064"/>
    <n v="29.6"/>
    <n v="2282"/>
    <n v="32.799999999999997"/>
  </r>
  <r>
    <s v="Public Sector"/>
    <s v="Local government"/>
    <s v="Local government"/>
    <x v="10"/>
    <x v="8"/>
    <n v="10045"/>
    <n v="4050"/>
    <n v="40.299999999999997"/>
    <n v="4409"/>
    <n v="43.9"/>
  </r>
  <r>
    <s v="Private Sector"/>
    <s v="Agriculture and related industries"/>
    <s v="Agriculture and related industries"/>
    <x v="0"/>
    <x v="9"/>
    <n v="1337"/>
    <n v="28"/>
    <n v="2.1"/>
    <n v="30"/>
    <n v="2.2999999999999998"/>
  </r>
  <r>
    <s v="Private Sector"/>
    <s v="Mining, quarrying, and oil and gas extraction"/>
    <s v="Mining, quarrying, and oil and gas extraction"/>
    <x v="1"/>
    <x v="9"/>
    <n v="735"/>
    <n v="32"/>
    <n v="4.4000000000000004"/>
    <n v="35"/>
    <n v="4.8"/>
  </r>
  <r>
    <s v="Private Sector"/>
    <s v="Construction"/>
    <s v="Construction"/>
    <x v="2"/>
    <x v="9"/>
    <n v="7844"/>
    <n v="1102"/>
    <n v="14"/>
    <n v="1156"/>
    <n v="14.7"/>
  </r>
  <r>
    <s v="Private Sector"/>
    <s v="Manufacturing"/>
    <s v="Durable goods"/>
    <x v="3"/>
    <x v="9"/>
    <n v="9194"/>
    <n v="836"/>
    <n v="9.1"/>
    <n v="913"/>
    <n v="9.9"/>
  </r>
  <r>
    <s v="Private Sector"/>
    <s v="Manufacturing"/>
    <s v="Nondurable goods"/>
    <x v="4"/>
    <x v="9"/>
    <n v="5477"/>
    <n v="492"/>
    <n v="9"/>
    <n v="548"/>
    <n v="10"/>
  </r>
  <r>
    <s v="Private Sector"/>
    <s v="Wholesale and retail trade"/>
    <s v="Wholesale trade"/>
    <x v="4"/>
    <x v="9"/>
    <n v="3291"/>
    <n v="147"/>
    <n v="4.5"/>
    <n v="160"/>
    <n v="4.9000000000000004"/>
  </r>
  <r>
    <s v="Private Sector"/>
    <s v="Wholesale and retail trade"/>
    <s v="Retail trade"/>
    <x v="4"/>
    <x v="9"/>
    <n v="15487"/>
    <n v="692"/>
    <n v="4.5"/>
    <n v="780"/>
    <n v="5"/>
  </r>
  <r>
    <s v="Private Sector"/>
    <s v="Transportation and warehousing"/>
    <s v="Transportation and warehousing"/>
    <x v="5"/>
    <x v="9"/>
    <n v="5205"/>
    <n v="903"/>
    <n v="17.3"/>
    <n v="978"/>
    <n v="18.8"/>
  </r>
  <r>
    <s v="Private Sector"/>
    <s v="Utilities"/>
    <s v="Utilities"/>
    <x v="2"/>
    <x v="9"/>
    <n v="1028"/>
    <n v="237"/>
    <n v="23"/>
    <n v="247"/>
    <n v="24.1"/>
  </r>
  <r>
    <s v="Private Sector"/>
    <s v="Information"/>
    <s v="Publishing, except Internet"/>
    <x v="6"/>
    <x v="9"/>
    <n v="458"/>
    <n v="17"/>
    <n v="3.6"/>
    <n v="19"/>
    <n v="4.0999999999999996"/>
  </r>
  <r>
    <s v="Private Sector"/>
    <s v="Information"/>
    <s v="Motion pictures and sound recording industries"/>
    <x v="6"/>
    <x v="9"/>
    <n v="379"/>
    <n v="43"/>
    <n v="11.4"/>
    <n v="45"/>
    <n v="11.8"/>
  </r>
  <r>
    <s v="Private Sector"/>
    <s v="Information"/>
    <s v="Radio and television broadcasting and cable subscription programming"/>
    <x v="6"/>
    <x v="9"/>
    <n v="544"/>
    <n v="42"/>
    <n v="7.8"/>
    <n v="47"/>
    <n v="8.6999999999999993"/>
  </r>
  <r>
    <s v="Private Sector"/>
    <s v="Information"/>
    <s v="Telecommunications"/>
    <x v="6"/>
    <x v="9"/>
    <n v="814"/>
    <n v="131"/>
    <n v="16.100000000000001"/>
    <n v="138"/>
    <n v="17"/>
  </r>
  <r>
    <s v="Private Sector"/>
    <s v="Financial activities"/>
    <s v="Finance and insurance"/>
    <x v="7"/>
    <x v="9"/>
    <n v="6720"/>
    <n v="101"/>
    <n v="1.5"/>
    <n v="142"/>
    <n v="2.1"/>
  </r>
  <r>
    <s v="Private Sector"/>
    <s v="Financial activities"/>
    <s v="Real estate and rental and leasing"/>
    <x v="7"/>
    <x v="9"/>
    <n v="2348"/>
    <n v="117"/>
    <n v="5"/>
    <n v="135"/>
    <n v="5.8"/>
  </r>
  <r>
    <s v="Private Sector"/>
    <s v="Professional and business services"/>
    <s v="Professional and technical services"/>
    <x v="8"/>
    <x v="9"/>
    <n v="9328"/>
    <n v="162"/>
    <n v="1.7"/>
    <n v="210"/>
    <n v="2.2000000000000002"/>
  </r>
  <r>
    <s v="Private Sector"/>
    <s v="Professional and business services"/>
    <s v="Management, administrative, and waste services"/>
    <x v="2"/>
    <x v="9"/>
    <n v="5412"/>
    <n v="173"/>
    <n v="3.2"/>
    <n v="198"/>
    <n v="3.7"/>
  </r>
  <r>
    <s v="Private Sector"/>
    <s v="Education and health services"/>
    <s v="Educational services"/>
    <x v="9"/>
    <x v="9"/>
    <n v="4600"/>
    <n v="526"/>
    <n v="11.4"/>
    <n v="621"/>
    <n v="13.5"/>
  </r>
  <r>
    <s v="Private Sector"/>
    <s v="Education and health services"/>
    <s v="Health care and social assistance"/>
    <x v="9"/>
    <x v="9"/>
    <n v="17724"/>
    <n v="1272"/>
    <n v="7.2"/>
    <n v="1456"/>
    <n v="8.1999999999999993"/>
  </r>
  <r>
    <s v="Private Sector"/>
    <s v="Leisure and hospitality"/>
    <s v="Arts, entertainment, and recreation"/>
    <x v="8"/>
    <x v="9"/>
    <n v="2424"/>
    <n v="144"/>
    <n v="5.9"/>
    <n v="157"/>
    <n v="6.5"/>
  </r>
  <r>
    <s v="Private Sector"/>
    <s v="Leisure and hospitality"/>
    <s v="Accommodation and food services"/>
    <x v="8"/>
    <x v="9"/>
    <n v="10324"/>
    <n v="230"/>
    <n v="2.2000000000000002"/>
    <n v="271"/>
    <n v="2.6"/>
  </r>
  <r>
    <s v="Private Sector"/>
    <s v="Other Services"/>
    <s v="Other Services"/>
    <x v="8"/>
    <x v="9"/>
    <n v="5994"/>
    <n v="167"/>
    <n v="2.8"/>
    <n v="192"/>
    <n v="3.2"/>
  </r>
  <r>
    <s v="Public Sector"/>
    <s v="Federal government"/>
    <s v="Federal government"/>
    <x v="10"/>
    <x v="9"/>
    <n v="3652"/>
    <n v="972"/>
    <n v="26.6"/>
    <n v="1131"/>
    <n v="31"/>
  </r>
  <r>
    <s v="Public Sector"/>
    <s v="State government"/>
    <s v="State government"/>
    <x v="10"/>
    <x v="9"/>
    <n v="7103"/>
    <n v="2153"/>
    <n v="30.3"/>
    <n v="2371"/>
    <n v="33.4"/>
  </r>
  <r>
    <s v="Public Sector"/>
    <s v="Local government"/>
    <s v="Local government"/>
    <x v="10"/>
    <x v="9"/>
    <n v="10201"/>
    <n v="4091"/>
    <n v="40.1"/>
    <n v="4449"/>
    <n v="4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D392A-F69F-4065-AD72-6A25EEC0F057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14" firstHeaderRow="0" firstDataRow="1" firstDataCol="2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4"/>
        <item x="1"/>
        <item x="7"/>
        <item x="0"/>
        <item x="9"/>
        <item x="2"/>
        <item x="3"/>
        <item x="8"/>
        <item x="6"/>
        <item x="5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8"/>
        <item x="9"/>
        <item x="6"/>
        <item x="7"/>
        <item x="4"/>
        <item x="5"/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11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x000a_employed" fld="5" baseField="0" baseItem="0"/>
    <dataField name="Sum of union member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3"/>
  <sheetViews>
    <sheetView topLeftCell="A3" workbookViewId="0">
      <selection activeCell="B28" sqref="B28"/>
    </sheetView>
  </sheetViews>
  <sheetFormatPr defaultRowHeight="15" x14ac:dyDescent="0.25"/>
  <cols>
    <col min="1" max="1" width="16.7109375" bestFit="1" customWidth="1"/>
    <col min="2" max="2" width="45.28515625" style="4" bestFit="1" customWidth="1"/>
    <col min="3" max="4" width="45.28515625" style="4" customWidth="1"/>
    <col min="5" max="5" width="14.28515625" style="4" customWidth="1"/>
    <col min="6" max="6" width="10" bestFit="1" customWidth="1"/>
    <col min="7" max="7" width="13.140625" customWidth="1"/>
    <col min="8" max="8" width="17.5703125" customWidth="1"/>
    <col min="9" max="9" width="16.42578125" customWidth="1"/>
    <col min="10" max="10" width="16.5703125" customWidth="1"/>
    <col min="11" max="11" width="19.28515625" customWidth="1"/>
    <col min="12" max="12" width="16.85546875" customWidth="1"/>
    <col min="13" max="13" width="14.85546875" customWidth="1"/>
    <col min="14" max="14" width="16.140625" customWidth="1"/>
    <col min="15" max="15" width="16.85546875" customWidth="1"/>
  </cols>
  <sheetData>
    <row r="1" spans="1:15" x14ac:dyDescent="0.25"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K2" s="7"/>
      <c r="L2" s="7"/>
      <c r="M2" s="7"/>
      <c r="N2" s="7"/>
      <c r="O2" s="7"/>
    </row>
    <row r="3" spans="1:15" ht="30" x14ac:dyDescent="0.25">
      <c r="A3" s="9" t="s">
        <v>38</v>
      </c>
      <c r="B3" s="9" t="s">
        <v>41</v>
      </c>
      <c r="C3" s="9" t="s">
        <v>44</v>
      </c>
      <c r="D3" s="9" t="s">
        <v>45</v>
      </c>
      <c r="E3" s="9" t="s">
        <v>35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5" x14ac:dyDescent="0.25">
      <c r="A4" t="s">
        <v>39</v>
      </c>
      <c r="B4" s="4" t="s">
        <v>0</v>
      </c>
      <c r="C4" s="4" t="s">
        <v>0</v>
      </c>
      <c r="D4" s="4" t="s">
        <v>46</v>
      </c>
      <c r="E4" s="5">
        <v>2024</v>
      </c>
      <c r="F4" s="1">
        <v>1287</v>
      </c>
      <c r="G4" s="1">
        <v>18</v>
      </c>
      <c r="H4" s="2">
        <v>1.4</v>
      </c>
      <c r="I4" s="1">
        <v>19</v>
      </c>
      <c r="J4" s="2">
        <v>1.5</v>
      </c>
    </row>
    <row r="5" spans="1:15" x14ac:dyDescent="0.25">
      <c r="A5" t="s">
        <v>39</v>
      </c>
      <c r="B5" s="4" t="s">
        <v>1</v>
      </c>
      <c r="C5" s="4" t="s">
        <v>1</v>
      </c>
      <c r="D5" s="4" t="s">
        <v>54</v>
      </c>
      <c r="E5" s="5">
        <v>2024</v>
      </c>
      <c r="F5" s="1">
        <v>538</v>
      </c>
      <c r="G5" s="1">
        <v>35</v>
      </c>
      <c r="H5" s="2">
        <v>6.6</v>
      </c>
      <c r="I5" s="1">
        <v>40</v>
      </c>
      <c r="J5" s="2">
        <v>7.5</v>
      </c>
    </row>
    <row r="6" spans="1:15" x14ac:dyDescent="0.25">
      <c r="A6" t="s">
        <v>39</v>
      </c>
      <c r="B6" s="4" t="s">
        <v>2</v>
      </c>
      <c r="C6" s="4" t="s">
        <v>2</v>
      </c>
      <c r="D6" s="4" t="s">
        <v>47</v>
      </c>
      <c r="E6" s="5">
        <v>2024</v>
      </c>
      <c r="F6" s="1">
        <v>8894</v>
      </c>
      <c r="G6" s="1">
        <v>916</v>
      </c>
      <c r="H6" s="2">
        <v>10.3</v>
      </c>
      <c r="I6" s="1">
        <v>994</v>
      </c>
      <c r="J6" s="2">
        <v>11.2</v>
      </c>
    </row>
    <row r="7" spans="1:15" x14ac:dyDescent="0.25">
      <c r="A7" t="s">
        <v>39</v>
      </c>
      <c r="B7" s="4" t="s">
        <v>3</v>
      </c>
      <c r="C7" s="4" t="s">
        <v>4</v>
      </c>
      <c r="D7" s="4" t="s">
        <v>52</v>
      </c>
      <c r="E7" s="5">
        <v>2024</v>
      </c>
      <c r="F7" s="1">
        <v>9213</v>
      </c>
      <c r="G7" s="1">
        <v>713</v>
      </c>
      <c r="H7" s="2">
        <v>7.7</v>
      </c>
      <c r="I7" s="1">
        <v>786</v>
      </c>
      <c r="J7" s="2">
        <v>8.5</v>
      </c>
    </row>
    <row r="8" spans="1:15" x14ac:dyDescent="0.25">
      <c r="A8" t="s">
        <v>39</v>
      </c>
      <c r="B8" s="4" t="s">
        <v>3</v>
      </c>
      <c r="C8" s="4" t="s">
        <v>5</v>
      </c>
      <c r="D8" s="4" t="s">
        <v>53</v>
      </c>
      <c r="E8" s="5">
        <v>2024</v>
      </c>
      <c r="F8" s="1">
        <v>5125</v>
      </c>
      <c r="G8" s="1">
        <v>411</v>
      </c>
      <c r="H8" s="2">
        <v>8</v>
      </c>
      <c r="I8" s="1">
        <v>458</v>
      </c>
      <c r="J8" s="2">
        <v>8.9</v>
      </c>
    </row>
    <row r="9" spans="1:15" x14ac:dyDescent="0.25">
      <c r="A9" t="s">
        <v>39</v>
      </c>
      <c r="B9" s="4" t="s">
        <v>6</v>
      </c>
      <c r="C9" s="4" t="s">
        <v>7</v>
      </c>
      <c r="D9" s="4" t="s">
        <v>53</v>
      </c>
      <c r="E9" s="5">
        <v>2024</v>
      </c>
      <c r="F9" s="1">
        <v>2955</v>
      </c>
      <c r="G9" s="1">
        <v>136</v>
      </c>
      <c r="H9" s="2">
        <v>4.5999999999999996</v>
      </c>
      <c r="I9" s="1">
        <v>156</v>
      </c>
      <c r="J9" s="2">
        <v>5.3</v>
      </c>
    </row>
    <row r="10" spans="1:15" x14ac:dyDescent="0.25">
      <c r="A10" t="s">
        <v>39</v>
      </c>
      <c r="B10" s="4" t="s">
        <v>6</v>
      </c>
      <c r="C10" s="4" t="s">
        <v>8</v>
      </c>
      <c r="D10" s="4" t="s">
        <v>53</v>
      </c>
      <c r="E10" s="5">
        <v>2024</v>
      </c>
      <c r="F10" s="1">
        <v>15031</v>
      </c>
      <c r="G10" s="1">
        <v>596</v>
      </c>
      <c r="H10" s="2">
        <v>4</v>
      </c>
      <c r="I10" s="1">
        <v>687</v>
      </c>
      <c r="J10" s="2">
        <v>4.5999999999999996</v>
      </c>
    </row>
    <row r="11" spans="1:15" x14ac:dyDescent="0.25">
      <c r="A11" t="s">
        <v>39</v>
      </c>
      <c r="B11" s="4" t="s">
        <v>9</v>
      </c>
      <c r="C11" s="4" t="s">
        <v>9</v>
      </c>
      <c r="D11" s="4" t="s">
        <v>55</v>
      </c>
      <c r="E11" s="5">
        <v>2024</v>
      </c>
      <c r="F11" s="1">
        <v>6387</v>
      </c>
      <c r="G11" s="1">
        <v>1006</v>
      </c>
      <c r="H11" s="2">
        <v>15.8</v>
      </c>
      <c r="I11" s="1">
        <v>1079</v>
      </c>
      <c r="J11" s="2">
        <v>16.899999999999999</v>
      </c>
    </row>
    <row r="12" spans="1:15" x14ac:dyDescent="0.25">
      <c r="A12" t="s">
        <v>39</v>
      </c>
      <c r="B12" s="4" t="s">
        <v>10</v>
      </c>
      <c r="C12" s="4" t="s">
        <v>10</v>
      </c>
      <c r="D12" s="4" t="s">
        <v>47</v>
      </c>
      <c r="E12" s="5">
        <v>2024</v>
      </c>
      <c r="F12" s="1">
        <v>1153</v>
      </c>
      <c r="G12" s="1">
        <v>215</v>
      </c>
      <c r="H12" s="2">
        <v>18.7</v>
      </c>
      <c r="I12" s="1">
        <v>229</v>
      </c>
      <c r="J12" s="2">
        <v>19.8</v>
      </c>
    </row>
    <row r="13" spans="1:15" x14ac:dyDescent="0.25">
      <c r="A13" t="s">
        <v>39</v>
      </c>
      <c r="B13" s="4" t="s">
        <v>42</v>
      </c>
      <c r="C13" s="4" t="s">
        <v>11</v>
      </c>
      <c r="D13" s="4" t="s">
        <v>50</v>
      </c>
      <c r="E13" s="5">
        <v>2024</v>
      </c>
      <c r="F13" s="1">
        <v>503</v>
      </c>
      <c r="G13" s="1">
        <v>17</v>
      </c>
      <c r="H13" s="2">
        <v>3.3</v>
      </c>
      <c r="I13" s="1">
        <v>17</v>
      </c>
      <c r="J13" s="2">
        <v>3.4</v>
      </c>
    </row>
    <row r="14" spans="1:15" x14ac:dyDescent="0.25">
      <c r="A14" t="s">
        <v>39</v>
      </c>
      <c r="B14" s="4" t="s">
        <v>42</v>
      </c>
      <c r="C14" s="4" t="s">
        <v>12</v>
      </c>
      <c r="D14" s="4" t="s">
        <v>50</v>
      </c>
      <c r="E14" s="5">
        <v>2024</v>
      </c>
      <c r="F14" s="1">
        <v>356</v>
      </c>
      <c r="G14" s="1">
        <v>30</v>
      </c>
      <c r="H14" s="2">
        <v>8.4</v>
      </c>
      <c r="I14" s="1">
        <v>36</v>
      </c>
      <c r="J14" s="2">
        <v>10.199999999999999</v>
      </c>
    </row>
    <row r="15" spans="1:15" x14ac:dyDescent="0.25">
      <c r="A15" t="s">
        <v>39</v>
      </c>
      <c r="B15" s="4" t="s">
        <v>42</v>
      </c>
      <c r="C15" s="4" t="s">
        <v>13</v>
      </c>
      <c r="D15" s="4" t="s">
        <v>50</v>
      </c>
      <c r="E15" s="5">
        <v>2024</v>
      </c>
      <c r="F15" s="1"/>
      <c r="G15" s="1"/>
      <c r="H15" s="3"/>
      <c r="I15" s="1"/>
      <c r="J15" s="3"/>
    </row>
    <row r="16" spans="1:15" x14ac:dyDescent="0.25">
      <c r="A16" t="s">
        <v>39</v>
      </c>
      <c r="B16" s="4" t="s">
        <v>42</v>
      </c>
      <c r="C16" s="4" t="s">
        <v>14</v>
      </c>
      <c r="D16" s="4" t="s">
        <v>50</v>
      </c>
      <c r="E16" s="5">
        <v>2024</v>
      </c>
      <c r="F16" s="1">
        <v>770</v>
      </c>
      <c r="G16" s="1">
        <v>69</v>
      </c>
      <c r="H16" s="2">
        <v>9</v>
      </c>
      <c r="I16" s="1">
        <v>83</v>
      </c>
      <c r="J16" s="2">
        <v>10.7</v>
      </c>
    </row>
    <row r="17" spans="1:10" x14ac:dyDescent="0.25">
      <c r="A17" t="s">
        <v>39</v>
      </c>
      <c r="B17" s="4" t="s">
        <v>15</v>
      </c>
      <c r="C17" s="4" t="s">
        <v>16</v>
      </c>
      <c r="D17" s="4" t="s">
        <v>49</v>
      </c>
      <c r="E17" s="5">
        <v>2024</v>
      </c>
      <c r="F17" s="1">
        <v>7149</v>
      </c>
      <c r="G17" s="1">
        <v>67</v>
      </c>
      <c r="H17" s="2">
        <v>0.9</v>
      </c>
      <c r="I17" s="1">
        <v>102</v>
      </c>
      <c r="J17" s="2">
        <v>1.4</v>
      </c>
    </row>
    <row r="18" spans="1:10" x14ac:dyDescent="0.25">
      <c r="A18" t="s">
        <v>39</v>
      </c>
      <c r="B18" s="4" t="s">
        <v>15</v>
      </c>
      <c r="C18" s="4" t="s">
        <v>17</v>
      </c>
      <c r="D18" s="4" t="s">
        <v>49</v>
      </c>
      <c r="E18" s="5">
        <v>2024</v>
      </c>
      <c r="F18" s="1">
        <v>2082</v>
      </c>
      <c r="G18" s="1">
        <v>55</v>
      </c>
      <c r="H18" s="2">
        <v>2.6</v>
      </c>
      <c r="I18" s="1">
        <v>68</v>
      </c>
      <c r="J18" s="2">
        <v>3.3</v>
      </c>
    </row>
    <row r="19" spans="1:10" x14ac:dyDescent="0.25">
      <c r="A19" t="s">
        <v>39</v>
      </c>
      <c r="B19" s="4" t="s">
        <v>18</v>
      </c>
      <c r="C19" s="4" t="s">
        <v>19</v>
      </c>
      <c r="D19" s="4" t="s">
        <v>51</v>
      </c>
      <c r="E19" s="5">
        <v>2024</v>
      </c>
      <c r="F19" s="1">
        <v>11304</v>
      </c>
      <c r="G19" s="1">
        <v>131</v>
      </c>
      <c r="H19" s="2">
        <v>1.2</v>
      </c>
      <c r="I19" s="1">
        <v>211</v>
      </c>
      <c r="J19" s="2">
        <v>1.9</v>
      </c>
    </row>
    <row r="20" spans="1:10" x14ac:dyDescent="0.25">
      <c r="A20" t="s">
        <v>39</v>
      </c>
      <c r="B20" s="4" t="s">
        <v>18</v>
      </c>
      <c r="C20" s="4" t="s">
        <v>20</v>
      </c>
      <c r="D20" s="4" t="s">
        <v>47</v>
      </c>
      <c r="E20" s="5">
        <v>2024</v>
      </c>
      <c r="F20" s="1">
        <v>5943</v>
      </c>
      <c r="G20" s="1">
        <v>218</v>
      </c>
      <c r="H20" s="2">
        <v>3.7</v>
      </c>
      <c r="I20" s="1">
        <v>265</v>
      </c>
      <c r="J20" s="2">
        <v>4.5</v>
      </c>
    </row>
    <row r="21" spans="1:10" x14ac:dyDescent="0.25">
      <c r="A21" t="s">
        <v>39</v>
      </c>
      <c r="B21" s="4" t="s">
        <v>21</v>
      </c>
      <c r="C21" s="4" t="s">
        <v>22</v>
      </c>
      <c r="D21" s="4" t="s">
        <v>48</v>
      </c>
      <c r="E21" s="5">
        <v>2024</v>
      </c>
      <c r="F21" s="1">
        <v>5207</v>
      </c>
      <c r="G21" s="1">
        <v>689</v>
      </c>
      <c r="H21" s="2">
        <v>13.2</v>
      </c>
      <c r="I21" s="1">
        <v>805</v>
      </c>
      <c r="J21" s="2">
        <v>15.5</v>
      </c>
    </row>
    <row r="22" spans="1:10" x14ac:dyDescent="0.25">
      <c r="A22" t="s">
        <v>39</v>
      </c>
      <c r="B22" s="4" t="s">
        <v>21</v>
      </c>
      <c r="C22" s="4" t="s">
        <v>23</v>
      </c>
      <c r="D22" s="4" t="s">
        <v>48</v>
      </c>
      <c r="E22" s="5">
        <v>2024</v>
      </c>
      <c r="F22" s="1">
        <v>19670</v>
      </c>
      <c r="G22" s="1">
        <v>1337</v>
      </c>
      <c r="H22" s="2">
        <v>6.8</v>
      </c>
      <c r="I22" s="1">
        <v>1528</v>
      </c>
      <c r="J22" s="2">
        <v>7.8</v>
      </c>
    </row>
    <row r="23" spans="1:10" x14ac:dyDescent="0.25">
      <c r="A23" t="s">
        <v>39</v>
      </c>
      <c r="B23" s="4" t="s">
        <v>24</v>
      </c>
      <c r="C23" s="4" t="s">
        <v>25</v>
      </c>
      <c r="D23" s="4" t="s">
        <v>51</v>
      </c>
      <c r="E23" s="5">
        <v>2024</v>
      </c>
      <c r="F23" s="1">
        <v>2467</v>
      </c>
      <c r="G23" s="1">
        <v>146</v>
      </c>
      <c r="H23" s="2">
        <v>5.9</v>
      </c>
      <c r="I23" s="1">
        <v>167</v>
      </c>
      <c r="J23" s="2">
        <v>6.8</v>
      </c>
    </row>
    <row r="24" spans="1:10" x14ac:dyDescent="0.25">
      <c r="A24" t="s">
        <v>39</v>
      </c>
      <c r="B24" s="4" t="s">
        <v>24</v>
      </c>
      <c r="C24" s="4" t="s">
        <v>26</v>
      </c>
      <c r="D24" s="4" t="s">
        <v>51</v>
      </c>
      <c r="E24" s="5">
        <v>2024</v>
      </c>
      <c r="F24" s="1">
        <v>9991</v>
      </c>
      <c r="G24" s="1">
        <v>224</v>
      </c>
      <c r="H24" s="2">
        <v>2.2000000000000002</v>
      </c>
      <c r="I24" s="1">
        <v>258</v>
      </c>
      <c r="J24" s="2">
        <v>2.6</v>
      </c>
    </row>
    <row r="25" spans="1:10" x14ac:dyDescent="0.25">
      <c r="A25" t="s">
        <v>39</v>
      </c>
      <c r="B25" s="10" t="s">
        <v>43</v>
      </c>
      <c r="C25" s="10" t="s">
        <v>43</v>
      </c>
      <c r="D25" s="10" t="s">
        <v>51</v>
      </c>
      <c r="E25" s="5">
        <v>2024</v>
      </c>
      <c r="F25" s="1">
        <v>5933</v>
      </c>
      <c r="G25" s="1">
        <v>160</v>
      </c>
      <c r="H25" s="2">
        <v>2.7</v>
      </c>
      <c r="I25" s="1">
        <v>184</v>
      </c>
      <c r="J25" s="2">
        <v>3.1</v>
      </c>
    </row>
    <row r="26" spans="1:10" x14ac:dyDescent="0.25">
      <c r="A26" t="s">
        <v>40</v>
      </c>
      <c r="B26" s="4" t="s">
        <v>27</v>
      </c>
      <c r="C26" s="4" t="s">
        <v>27</v>
      </c>
      <c r="E26" s="5">
        <v>2024</v>
      </c>
      <c r="F26" s="1">
        <v>4170</v>
      </c>
      <c r="G26" s="1">
        <v>1056</v>
      </c>
      <c r="H26" s="2">
        <v>25.3</v>
      </c>
      <c r="I26" s="1">
        <v>1246</v>
      </c>
      <c r="J26" s="2">
        <v>29.9</v>
      </c>
    </row>
    <row r="27" spans="1:10" x14ac:dyDescent="0.25">
      <c r="A27" t="s">
        <v>40</v>
      </c>
      <c r="B27" s="4" t="s">
        <v>28</v>
      </c>
      <c r="C27" s="4" t="s">
        <v>28</v>
      </c>
      <c r="E27" s="5">
        <v>2024</v>
      </c>
      <c r="F27" s="1">
        <v>7524</v>
      </c>
      <c r="G27" s="1">
        <v>2096</v>
      </c>
      <c r="H27" s="2">
        <v>27.9</v>
      </c>
      <c r="I27" s="1">
        <v>2364</v>
      </c>
      <c r="J27" s="2">
        <v>31.4</v>
      </c>
    </row>
    <row r="28" spans="1:10" x14ac:dyDescent="0.25">
      <c r="A28" t="s">
        <v>40</v>
      </c>
      <c r="B28" s="4" t="s">
        <v>29</v>
      </c>
      <c r="C28" s="4" t="s">
        <v>29</v>
      </c>
      <c r="E28" s="5">
        <v>2024</v>
      </c>
      <c r="F28" s="1">
        <v>10144</v>
      </c>
      <c r="G28" s="1">
        <v>3873</v>
      </c>
      <c r="H28" s="2">
        <v>38.200000000000003</v>
      </c>
      <c r="I28" s="1">
        <v>4197</v>
      </c>
      <c r="J28" s="2">
        <v>41.4</v>
      </c>
    </row>
    <row r="29" spans="1:10" x14ac:dyDescent="0.25">
      <c r="A29" t="s">
        <v>39</v>
      </c>
      <c r="B29" s="4" t="s">
        <v>0</v>
      </c>
      <c r="C29" s="4" t="s">
        <v>0</v>
      </c>
      <c r="D29" s="4" t="s">
        <v>46</v>
      </c>
      <c r="E29" s="5">
        <v>2025</v>
      </c>
      <c r="F29" s="1">
        <v>1243</v>
      </c>
      <c r="G29" s="1">
        <v>19</v>
      </c>
      <c r="H29" s="2">
        <v>1.6</v>
      </c>
      <c r="I29" s="1">
        <v>19</v>
      </c>
      <c r="J29" s="2">
        <v>1.6</v>
      </c>
    </row>
    <row r="30" spans="1:10" x14ac:dyDescent="0.25">
      <c r="A30" t="s">
        <v>39</v>
      </c>
      <c r="B30" s="4" t="s">
        <v>1</v>
      </c>
      <c r="C30" s="4" t="s">
        <v>1</v>
      </c>
      <c r="D30" s="4" t="s">
        <v>54</v>
      </c>
      <c r="E30" s="5">
        <v>2025</v>
      </c>
      <c r="F30" s="1">
        <v>487</v>
      </c>
      <c r="G30" s="1">
        <v>23</v>
      </c>
      <c r="H30" s="2">
        <v>4.7</v>
      </c>
      <c r="I30" s="1">
        <v>30</v>
      </c>
      <c r="J30" s="2">
        <v>6.1</v>
      </c>
    </row>
    <row r="31" spans="1:10" x14ac:dyDescent="0.25">
      <c r="A31" t="s">
        <v>39</v>
      </c>
      <c r="B31" s="4" t="s">
        <v>2</v>
      </c>
      <c r="C31" s="4" t="s">
        <v>2</v>
      </c>
      <c r="D31" s="4" t="s">
        <v>47</v>
      </c>
      <c r="E31" s="5">
        <v>2025</v>
      </c>
      <c r="F31" s="1">
        <v>9000</v>
      </c>
      <c r="G31" s="1">
        <v>995</v>
      </c>
      <c r="H31" s="2">
        <v>11.1</v>
      </c>
      <c r="I31" s="1">
        <v>1078</v>
      </c>
      <c r="J31" s="2">
        <v>12</v>
      </c>
    </row>
    <row r="32" spans="1:10" x14ac:dyDescent="0.25">
      <c r="A32" t="s">
        <v>39</v>
      </c>
      <c r="B32" s="4" t="s">
        <v>3</v>
      </c>
      <c r="C32" s="4" t="s">
        <v>4</v>
      </c>
      <c r="D32" s="4" t="s">
        <v>52</v>
      </c>
      <c r="E32" s="5">
        <v>2025</v>
      </c>
      <c r="F32" s="1">
        <v>9328</v>
      </c>
      <c r="G32" s="1">
        <v>694</v>
      </c>
      <c r="H32" s="2">
        <v>7.4</v>
      </c>
      <c r="I32" s="1">
        <v>767</v>
      </c>
      <c r="J32" s="2">
        <v>8.1999999999999993</v>
      </c>
    </row>
    <row r="33" spans="1:10" x14ac:dyDescent="0.25">
      <c r="A33" t="s">
        <v>39</v>
      </c>
      <c r="B33" s="4" t="s">
        <v>3</v>
      </c>
      <c r="C33" s="4" t="s">
        <v>5</v>
      </c>
      <c r="D33" s="4" t="s">
        <v>53</v>
      </c>
      <c r="E33" s="5">
        <v>2025</v>
      </c>
      <c r="F33" s="1">
        <v>5043</v>
      </c>
      <c r="G33" s="1">
        <v>413</v>
      </c>
      <c r="H33" s="2">
        <v>8.1999999999999993</v>
      </c>
      <c r="I33" s="1">
        <v>443</v>
      </c>
      <c r="J33" s="2">
        <v>8.8000000000000007</v>
      </c>
    </row>
    <row r="34" spans="1:10" x14ac:dyDescent="0.25">
      <c r="A34" t="s">
        <v>39</v>
      </c>
      <c r="B34" s="4" t="s">
        <v>6</v>
      </c>
      <c r="C34" s="4" t="s">
        <v>7</v>
      </c>
      <c r="D34" s="4" t="s">
        <v>53</v>
      </c>
      <c r="E34" s="5">
        <v>2025</v>
      </c>
      <c r="F34" s="1">
        <v>2676</v>
      </c>
      <c r="G34" s="1">
        <v>157</v>
      </c>
      <c r="H34" s="2">
        <v>5.8</v>
      </c>
      <c r="I34" s="1">
        <v>171</v>
      </c>
      <c r="J34" s="2">
        <v>6.4</v>
      </c>
    </row>
    <row r="35" spans="1:10" x14ac:dyDescent="0.25">
      <c r="A35" t="s">
        <v>39</v>
      </c>
      <c r="B35" s="4" t="s">
        <v>6</v>
      </c>
      <c r="C35" s="4" t="s">
        <v>8</v>
      </c>
      <c r="D35" s="4" t="s">
        <v>53</v>
      </c>
      <c r="E35" s="5">
        <v>2025</v>
      </c>
      <c r="F35" s="1">
        <v>15396</v>
      </c>
      <c r="G35" s="1">
        <v>623</v>
      </c>
      <c r="H35" s="2">
        <v>4</v>
      </c>
      <c r="I35" s="1">
        <v>729</v>
      </c>
      <c r="J35" s="2">
        <v>4.7</v>
      </c>
    </row>
    <row r="36" spans="1:10" x14ac:dyDescent="0.25">
      <c r="A36" t="s">
        <v>39</v>
      </c>
      <c r="B36" s="4" t="s">
        <v>9</v>
      </c>
      <c r="C36" s="4" t="s">
        <v>9</v>
      </c>
      <c r="D36" s="4" t="s">
        <v>55</v>
      </c>
      <c r="E36" s="5">
        <v>2025</v>
      </c>
      <c r="F36" s="1">
        <v>6558</v>
      </c>
      <c r="G36" s="1">
        <v>895</v>
      </c>
      <c r="H36" s="2">
        <v>13.6</v>
      </c>
      <c r="I36" s="1">
        <v>979</v>
      </c>
      <c r="J36" s="2">
        <v>14.9</v>
      </c>
    </row>
    <row r="37" spans="1:10" x14ac:dyDescent="0.25">
      <c r="A37" t="s">
        <v>39</v>
      </c>
      <c r="B37" s="4" t="s">
        <v>10</v>
      </c>
      <c r="C37" s="4" t="s">
        <v>10</v>
      </c>
      <c r="D37" s="4" t="s">
        <v>47</v>
      </c>
      <c r="E37" s="5">
        <v>2025</v>
      </c>
      <c r="F37" s="1">
        <v>1257</v>
      </c>
      <c r="G37" s="1">
        <v>224</v>
      </c>
      <c r="H37" s="2">
        <v>17.8</v>
      </c>
      <c r="I37" s="1">
        <v>236</v>
      </c>
      <c r="J37" s="2">
        <v>18.8</v>
      </c>
    </row>
    <row r="38" spans="1:10" x14ac:dyDescent="0.25">
      <c r="A38" t="s">
        <v>39</v>
      </c>
      <c r="B38" s="4" t="s">
        <v>42</v>
      </c>
      <c r="C38" s="4" t="s">
        <v>11</v>
      </c>
      <c r="D38" s="4" t="s">
        <v>50</v>
      </c>
      <c r="E38" s="5">
        <v>2025</v>
      </c>
      <c r="F38" s="1">
        <v>381</v>
      </c>
      <c r="G38" s="1">
        <v>13</v>
      </c>
      <c r="H38" s="2">
        <v>3.5</v>
      </c>
      <c r="I38" s="1">
        <v>13</v>
      </c>
      <c r="J38" s="2">
        <v>3.5</v>
      </c>
    </row>
    <row r="39" spans="1:10" x14ac:dyDescent="0.25">
      <c r="A39" t="s">
        <v>39</v>
      </c>
      <c r="B39" s="4" t="s">
        <v>42</v>
      </c>
      <c r="C39" s="4" t="s">
        <v>12</v>
      </c>
      <c r="D39" s="4" t="s">
        <v>50</v>
      </c>
      <c r="E39" s="5">
        <v>2025</v>
      </c>
      <c r="F39" s="1">
        <v>395</v>
      </c>
      <c r="G39" s="1">
        <v>44</v>
      </c>
      <c r="H39" s="2">
        <v>11</v>
      </c>
      <c r="I39" s="1">
        <v>51</v>
      </c>
      <c r="J39" s="2">
        <v>12.8</v>
      </c>
    </row>
    <row r="40" spans="1:10" x14ac:dyDescent="0.25">
      <c r="A40" t="s">
        <v>39</v>
      </c>
      <c r="B40" s="4" t="s">
        <v>42</v>
      </c>
      <c r="C40" s="4" t="s">
        <v>13</v>
      </c>
      <c r="D40" s="4" t="s">
        <v>50</v>
      </c>
      <c r="E40" s="5">
        <v>2025</v>
      </c>
      <c r="F40" s="1">
        <v>449</v>
      </c>
      <c r="G40" s="1">
        <v>24</v>
      </c>
      <c r="H40" s="2">
        <v>5.2</v>
      </c>
      <c r="I40" s="1">
        <v>28</v>
      </c>
      <c r="J40" s="2">
        <v>6.2</v>
      </c>
    </row>
    <row r="41" spans="1:10" x14ac:dyDescent="0.25">
      <c r="A41" t="s">
        <v>39</v>
      </c>
      <c r="B41" s="4" t="s">
        <v>42</v>
      </c>
      <c r="C41" s="4" t="s">
        <v>14</v>
      </c>
      <c r="D41" s="4" t="s">
        <v>50</v>
      </c>
      <c r="E41" s="5">
        <v>2025</v>
      </c>
      <c r="F41" s="1">
        <v>724</v>
      </c>
      <c r="G41" s="1">
        <v>69</v>
      </c>
      <c r="H41" s="2">
        <v>9.6</v>
      </c>
      <c r="I41" s="1">
        <v>79</v>
      </c>
      <c r="J41" s="2">
        <v>10.9</v>
      </c>
    </row>
    <row r="42" spans="1:10" x14ac:dyDescent="0.25">
      <c r="A42" t="s">
        <v>39</v>
      </c>
      <c r="B42" s="4" t="s">
        <v>15</v>
      </c>
      <c r="C42" s="4" t="s">
        <v>16</v>
      </c>
      <c r="D42" s="4" t="s">
        <v>49</v>
      </c>
      <c r="E42" s="5">
        <v>2025</v>
      </c>
      <c r="F42" s="1">
        <v>7453</v>
      </c>
      <c r="G42" s="1">
        <v>72</v>
      </c>
      <c r="H42" s="2">
        <v>1</v>
      </c>
      <c r="I42" s="1">
        <v>102</v>
      </c>
      <c r="J42" s="2">
        <v>1.4</v>
      </c>
    </row>
    <row r="43" spans="1:10" x14ac:dyDescent="0.25">
      <c r="A43" t="s">
        <v>39</v>
      </c>
      <c r="B43" s="4" t="s">
        <v>15</v>
      </c>
      <c r="C43" s="4" t="s">
        <v>17</v>
      </c>
      <c r="D43" s="4" t="s">
        <v>49</v>
      </c>
      <c r="E43" s="5">
        <v>2025</v>
      </c>
      <c r="F43" s="1">
        <v>2181</v>
      </c>
      <c r="G43" s="1">
        <v>74</v>
      </c>
      <c r="H43" s="2">
        <v>3.4</v>
      </c>
      <c r="I43" s="1">
        <v>87</v>
      </c>
      <c r="J43" s="2">
        <v>4</v>
      </c>
    </row>
    <row r="44" spans="1:10" x14ac:dyDescent="0.25">
      <c r="A44" t="s">
        <v>39</v>
      </c>
      <c r="B44" s="4" t="s">
        <v>18</v>
      </c>
      <c r="C44" s="4" t="s">
        <v>19</v>
      </c>
      <c r="D44" s="4" t="s">
        <v>51</v>
      </c>
      <c r="E44" s="5">
        <v>2025</v>
      </c>
      <c r="F44" s="1">
        <v>11946</v>
      </c>
      <c r="G44" s="1">
        <v>154</v>
      </c>
      <c r="H44" s="2">
        <v>1.3</v>
      </c>
      <c r="I44" s="1">
        <v>235</v>
      </c>
      <c r="J44" s="2">
        <v>2</v>
      </c>
    </row>
    <row r="45" spans="1:10" x14ac:dyDescent="0.25">
      <c r="A45" t="s">
        <v>39</v>
      </c>
      <c r="B45" s="4" t="s">
        <v>18</v>
      </c>
      <c r="C45" s="4" t="s">
        <v>20</v>
      </c>
      <c r="D45" s="4" t="s">
        <v>47</v>
      </c>
      <c r="E45" s="5">
        <v>2025</v>
      </c>
      <c r="F45" s="1">
        <v>5755</v>
      </c>
      <c r="G45" s="1">
        <v>214</v>
      </c>
      <c r="H45" s="2">
        <v>3.7</v>
      </c>
      <c r="I45" s="1">
        <v>257</v>
      </c>
      <c r="J45" s="2">
        <v>4.5</v>
      </c>
    </row>
    <row r="46" spans="1:10" x14ac:dyDescent="0.25">
      <c r="A46" t="s">
        <v>39</v>
      </c>
      <c r="B46" s="4" t="s">
        <v>21</v>
      </c>
      <c r="C46" s="4" t="s">
        <v>22</v>
      </c>
      <c r="D46" s="4" t="s">
        <v>48</v>
      </c>
      <c r="E46" s="5">
        <v>2025</v>
      </c>
      <c r="F46" s="1">
        <v>5343</v>
      </c>
      <c r="G46" s="1">
        <v>717</v>
      </c>
      <c r="H46" s="2">
        <v>13.4</v>
      </c>
      <c r="I46" s="1">
        <v>839</v>
      </c>
      <c r="J46" s="2">
        <v>15.7</v>
      </c>
    </row>
    <row r="47" spans="1:10" x14ac:dyDescent="0.25">
      <c r="A47" t="s">
        <v>39</v>
      </c>
      <c r="B47" s="4" t="s">
        <v>21</v>
      </c>
      <c r="C47" s="4" t="s">
        <v>23</v>
      </c>
      <c r="D47" s="4" t="s">
        <v>48</v>
      </c>
      <c r="E47" s="5">
        <v>2025</v>
      </c>
      <c r="F47" s="1">
        <v>20179</v>
      </c>
      <c r="G47" s="1">
        <v>1370</v>
      </c>
      <c r="H47" s="2">
        <v>6.8</v>
      </c>
      <c r="I47" s="1">
        <v>1606</v>
      </c>
      <c r="J47" s="2">
        <v>8</v>
      </c>
    </row>
    <row r="48" spans="1:10" x14ac:dyDescent="0.25">
      <c r="A48" t="s">
        <v>39</v>
      </c>
      <c r="B48" s="4" t="s">
        <v>24</v>
      </c>
      <c r="C48" s="4" t="s">
        <v>25</v>
      </c>
      <c r="D48" s="4" t="s">
        <v>51</v>
      </c>
      <c r="E48" s="5">
        <v>2025</v>
      </c>
      <c r="F48" s="1">
        <v>2402</v>
      </c>
      <c r="G48" s="1">
        <v>129</v>
      </c>
      <c r="H48" s="2">
        <v>5.4</v>
      </c>
      <c r="I48" s="1">
        <v>147</v>
      </c>
      <c r="J48" s="2">
        <v>6.1</v>
      </c>
    </row>
    <row r="49" spans="1:10" x14ac:dyDescent="0.25">
      <c r="A49" t="s">
        <v>39</v>
      </c>
      <c r="B49" s="4" t="s">
        <v>24</v>
      </c>
      <c r="C49" s="4" t="s">
        <v>26</v>
      </c>
      <c r="D49" s="4" t="s">
        <v>51</v>
      </c>
      <c r="E49" s="5">
        <v>2025</v>
      </c>
      <c r="F49" s="1">
        <v>9809</v>
      </c>
      <c r="G49" s="1">
        <v>238</v>
      </c>
      <c r="H49" s="2">
        <v>2.4</v>
      </c>
      <c r="I49" s="1">
        <v>286</v>
      </c>
      <c r="J49" s="2">
        <v>2.9</v>
      </c>
    </row>
    <row r="50" spans="1:10" x14ac:dyDescent="0.25">
      <c r="A50" t="s">
        <v>39</v>
      </c>
      <c r="B50" s="10" t="s">
        <v>43</v>
      </c>
      <c r="C50" s="10" t="s">
        <v>43</v>
      </c>
      <c r="D50" s="10" t="s">
        <v>51</v>
      </c>
      <c r="E50" s="5">
        <v>2025</v>
      </c>
      <c r="F50" s="1">
        <v>6130</v>
      </c>
      <c r="G50" s="1">
        <v>215</v>
      </c>
      <c r="H50" s="2">
        <v>3.5</v>
      </c>
      <c r="I50" s="1">
        <v>248</v>
      </c>
      <c r="J50" s="2">
        <v>4</v>
      </c>
    </row>
    <row r="51" spans="1:10" x14ac:dyDescent="0.25">
      <c r="A51" t="s">
        <v>40</v>
      </c>
      <c r="B51" s="4" t="s">
        <v>27</v>
      </c>
      <c r="C51" s="4" t="s">
        <v>27</v>
      </c>
      <c r="E51" s="5">
        <v>2025</v>
      </c>
      <c r="F51" s="1">
        <v>4131</v>
      </c>
      <c r="G51" s="1">
        <v>1124</v>
      </c>
      <c r="H51" s="2">
        <v>27.2</v>
      </c>
      <c r="I51" s="1">
        <v>1286</v>
      </c>
      <c r="J51" s="2">
        <v>31.1</v>
      </c>
    </row>
    <row r="52" spans="1:10" x14ac:dyDescent="0.25">
      <c r="A52" t="s">
        <v>40</v>
      </c>
      <c r="B52" s="4" t="s">
        <v>28</v>
      </c>
      <c r="C52" s="4" t="s">
        <v>28</v>
      </c>
      <c r="E52" s="5">
        <v>2025</v>
      </c>
      <c r="F52" s="1">
        <v>7783</v>
      </c>
      <c r="G52" s="1">
        <v>2304</v>
      </c>
      <c r="H52" s="2">
        <v>29.6</v>
      </c>
      <c r="I52" s="1">
        <v>2544</v>
      </c>
      <c r="J52" s="2">
        <v>32.700000000000003</v>
      </c>
    </row>
    <row r="53" spans="1:10" x14ac:dyDescent="0.25">
      <c r="A53" t="s">
        <v>40</v>
      </c>
      <c r="B53" s="4" t="s">
        <v>29</v>
      </c>
      <c r="C53" s="4" t="s">
        <v>29</v>
      </c>
      <c r="E53" s="5">
        <v>2025</v>
      </c>
      <c r="F53" s="1">
        <v>10186</v>
      </c>
      <c r="G53" s="1">
        <v>3853</v>
      </c>
      <c r="H53" s="2">
        <v>37.799999999999997</v>
      </c>
      <c r="I53" s="1">
        <v>4213</v>
      </c>
      <c r="J53" s="2">
        <v>41.4</v>
      </c>
    </row>
    <row r="54" spans="1:10" x14ac:dyDescent="0.25">
      <c r="A54" t="s">
        <v>39</v>
      </c>
      <c r="B54" s="6" t="s">
        <v>0</v>
      </c>
      <c r="C54" s="4" t="s">
        <v>0</v>
      </c>
      <c r="D54" s="4" t="s">
        <v>46</v>
      </c>
      <c r="E54" s="5">
        <v>2022</v>
      </c>
      <c r="F54" s="1">
        <v>1252</v>
      </c>
      <c r="G54" s="1">
        <v>48</v>
      </c>
      <c r="H54" s="8">
        <v>3.9</v>
      </c>
      <c r="I54" s="1">
        <v>54</v>
      </c>
      <c r="J54" s="8">
        <v>4.3</v>
      </c>
    </row>
    <row r="55" spans="1:10" x14ac:dyDescent="0.25">
      <c r="A55" t="s">
        <v>39</v>
      </c>
      <c r="B55" s="6" t="s">
        <v>1</v>
      </c>
      <c r="C55" s="6" t="s">
        <v>1</v>
      </c>
      <c r="D55" s="4" t="s">
        <v>54</v>
      </c>
      <c r="E55" s="5">
        <v>2022</v>
      </c>
      <c r="F55" s="1">
        <v>556</v>
      </c>
      <c r="G55" s="1">
        <v>36</v>
      </c>
      <c r="H55" s="8">
        <v>6.5</v>
      </c>
      <c r="I55" s="1">
        <v>43</v>
      </c>
      <c r="J55" s="8">
        <v>7.7</v>
      </c>
    </row>
    <row r="56" spans="1:10" x14ac:dyDescent="0.25">
      <c r="A56" t="s">
        <v>39</v>
      </c>
      <c r="B56" s="6" t="s">
        <v>2</v>
      </c>
      <c r="C56" s="4" t="s">
        <v>2</v>
      </c>
      <c r="D56" s="4" t="s">
        <v>47</v>
      </c>
      <c r="E56" s="5">
        <v>2022</v>
      </c>
      <c r="F56" s="1">
        <v>8671</v>
      </c>
      <c r="G56" s="1">
        <v>1019</v>
      </c>
      <c r="H56" s="8">
        <v>11.7</v>
      </c>
      <c r="I56" s="1">
        <v>1076</v>
      </c>
      <c r="J56" s="8">
        <v>12.4</v>
      </c>
    </row>
    <row r="57" spans="1:10" x14ac:dyDescent="0.25">
      <c r="A57" t="s">
        <v>39</v>
      </c>
      <c r="B57" s="4" t="s">
        <v>3</v>
      </c>
      <c r="C57" s="6" t="s">
        <v>4</v>
      </c>
      <c r="D57" s="4" t="s">
        <v>52</v>
      </c>
      <c r="E57" s="5">
        <v>2022</v>
      </c>
      <c r="F57" s="1">
        <v>9305</v>
      </c>
      <c r="G57" s="1">
        <v>741</v>
      </c>
      <c r="H57" s="8">
        <v>8</v>
      </c>
      <c r="I57" s="1">
        <v>825</v>
      </c>
      <c r="J57" s="8">
        <v>8.9</v>
      </c>
    </row>
    <row r="58" spans="1:10" x14ac:dyDescent="0.25">
      <c r="A58" t="s">
        <v>39</v>
      </c>
      <c r="B58" s="4" t="s">
        <v>3</v>
      </c>
      <c r="C58" s="6" t="s">
        <v>5</v>
      </c>
      <c r="D58" s="4" t="s">
        <v>53</v>
      </c>
      <c r="E58" s="5">
        <v>2022</v>
      </c>
      <c r="F58" s="1">
        <v>5272</v>
      </c>
      <c r="G58" s="1">
        <v>398</v>
      </c>
      <c r="H58" s="8">
        <v>7.5</v>
      </c>
      <c r="I58" s="1">
        <v>429</v>
      </c>
      <c r="J58" s="8">
        <v>8.1</v>
      </c>
    </row>
    <row r="59" spans="1:10" x14ac:dyDescent="0.25">
      <c r="A59" t="s">
        <v>39</v>
      </c>
      <c r="B59" s="4" t="s">
        <v>6</v>
      </c>
      <c r="C59" s="6" t="s">
        <v>7</v>
      </c>
      <c r="D59" s="4" t="s">
        <v>53</v>
      </c>
      <c r="E59" s="5">
        <v>2022</v>
      </c>
      <c r="F59" s="1">
        <v>2879</v>
      </c>
      <c r="G59" s="1">
        <v>94</v>
      </c>
      <c r="H59" s="8">
        <v>3.3</v>
      </c>
      <c r="I59" s="1">
        <v>112</v>
      </c>
      <c r="J59" s="8">
        <v>3.9</v>
      </c>
    </row>
    <row r="60" spans="1:10" x14ac:dyDescent="0.25">
      <c r="A60" t="s">
        <v>39</v>
      </c>
      <c r="B60" s="4" t="s">
        <v>6</v>
      </c>
      <c r="C60" s="6" t="s">
        <v>8</v>
      </c>
      <c r="D60" s="4" t="s">
        <v>53</v>
      </c>
      <c r="E60" s="5">
        <v>2022</v>
      </c>
      <c r="F60" s="1">
        <v>14988</v>
      </c>
      <c r="G60" s="1">
        <v>648</v>
      </c>
      <c r="H60" s="8">
        <v>4.3</v>
      </c>
      <c r="I60" s="1">
        <v>749</v>
      </c>
      <c r="J60" s="8">
        <v>5</v>
      </c>
    </row>
    <row r="61" spans="1:10" x14ac:dyDescent="0.25">
      <c r="A61" t="s">
        <v>39</v>
      </c>
      <c r="B61" s="6" t="s">
        <v>9</v>
      </c>
      <c r="C61" s="4" t="s">
        <v>9</v>
      </c>
      <c r="D61" s="4" t="s">
        <v>55</v>
      </c>
      <c r="E61" s="5">
        <v>2022</v>
      </c>
      <c r="F61" s="1">
        <v>6596</v>
      </c>
      <c r="G61" s="1">
        <v>958</v>
      </c>
      <c r="H61" s="8">
        <v>14.5</v>
      </c>
      <c r="I61" s="1">
        <v>1020</v>
      </c>
      <c r="J61" s="8">
        <v>15.5</v>
      </c>
    </row>
    <row r="62" spans="1:10" x14ac:dyDescent="0.25">
      <c r="A62" t="s">
        <v>39</v>
      </c>
      <c r="B62" s="6" t="s">
        <v>10</v>
      </c>
      <c r="C62" s="4" t="s">
        <v>10</v>
      </c>
      <c r="D62" s="4" t="s">
        <v>47</v>
      </c>
      <c r="E62" s="5">
        <v>2022</v>
      </c>
      <c r="F62" s="1">
        <v>968</v>
      </c>
      <c r="G62" s="1">
        <v>190</v>
      </c>
      <c r="H62" s="8">
        <v>19.600000000000001</v>
      </c>
      <c r="I62" s="1">
        <v>200</v>
      </c>
      <c r="J62" s="8">
        <v>20.7</v>
      </c>
    </row>
    <row r="63" spans="1:10" x14ac:dyDescent="0.25">
      <c r="A63" t="s">
        <v>39</v>
      </c>
      <c r="B63" s="4" t="s">
        <v>42</v>
      </c>
      <c r="C63" s="6" t="s">
        <v>11</v>
      </c>
      <c r="D63" s="4" t="s">
        <v>50</v>
      </c>
      <c r="E63" s="5">
        <v>2022</v>
      </c>
      <c r="F63" s="1">
        <v>398</v>
      </c>
      <c r="G63" s="1">
        <v>19</v>
      </c>
      <c r="H63" s="8">
        <v>4.8</v>
      </c>
      <c r="I63" s="1">
        <v>24</v>
      </c>
      <c r="J63" s="8">
        <v>6</v>
      </c>
    </row>
    <row r="64" spans="1:10" x14ac:dyDescent="0.25">
      <c r="A64" t="s">
        <v>39</v>
      </c>
      <c r="B64" s="4" t="s">
        <v>42</v>
      </c>
      <c r="C64" s="6" t="s">
        <v>12</v>
      </c>
      <c r="D64" s="4" t="s">
        <v>50</v>
      </c>
      <c r="E64" s="5">
        <v>2022</v>
      </c>
      <c r="F64" s="1">
        <v>429</v>
      </c>
      <c r="G64" s="1">
        <v>74</v>
      </c>
      <c r="H64" s="8">
        <v>17.3</v>
      </c>
      <c r="I64" s="1">
        <v>76</v>
      </c>
      <c r="J64" s="8">
        <v>17.8</v>
      </c>
    </row>
    <row r="65" spans="1:10" x14ac:dyDescent="0.25">
      <c r="A65" t="s">
        <v>39</v>
      </c>
      <c r="B65" s="4" t="s">
        <v>42</v>
      </c>
      <c r="C65" s="6" t="s">
        <v>36</v>
      </c>
      <c r="D65" s="4" t="s">
        <v>50</v>
      </c>
      <c r="E65" s="5">
        <v>2022</v>
      </c>
      <c r="F65" s="1">
        <v>308</v>
      </c>
      <c r="G65" s="1">
        <v>35</v>
      </c>
      <c r="H65" s="8">
        <v>11.3</v>
      </c>
      <c r="I65" s="1">
        <v>35</v>
      </c>
      <c r="J65" s="8">
        <v>11.5</v>
      </c>
    </row>
    <row r="66" spans="1:10" x14ac:dyDescent="0.25">
      <c r="A66" t="s">
        <v>39</v>
      </c>
      <c r="B66" s="4" t="s">
        <v>42</v>
      </c>
      <c r="C66" s="6" t="s">
        <v>14</v>
      </c>
      <c r="D66" s="4" t="s">
        <v>50</v>
      </c>
      <c r="E66" s="5">
        <v>2022</v>
      </c>
      <c r="F66" s="1">
        <v>771</v>
      </c>
      <c r="G66" s="1">
        <v>64</v>
      </c>
      <c r="H66" s="8">
        <v>8.3000000000000007</v>
      </c>
      <c r="I66" s="1">
        <v>72</v>
      </c>
      <c r="J66" s="8">
        <v>9.3000000000000007</v>
      </c>
    </row>
    <row r="67" spans="1:10" x14ac:dyDescent="0.25">
      <c r="A67" t="s">
        <v>39</v>
      </c>
      <c r="B67" s="4" t="s">
        <v>15</v>
      </c>
      <c r="C67" s="6" t="s">
        <v>16</v>
      </c>
      <c r="D67" s="4" t="s">
        <v>49</v>
      </c>
      <c r="E67" s="5">
        <v>2022</v>
      </c>
      <c r="F67" s="1">
        <v>7117</v>
      </c>
      <c r="G67" s="1">
        <v>90</v>
      </c>
      <c r="H67" s="8">
        <v>1.3</v>
      </c>
      <c r="I67" s="1">
        <v>136</v>
      </c>
      <c r="J67" s="8">
        <v>1.9</v>
      </c>
    </row>
    <row r="68" spans="1:10" x14ac:dyDescent="0.25">
      <c r="A68" t="s">
        <v>39</v>
      </c>
      <c r="B68" s="4" t="s">
        <v>15</v>
      </c>
      <c r="C68" s="6" t="s">
        <v>17</v>
      </c>
      <c r="D68" s="4" t="s">
        <v>49</v>
      </c>
      <c r="E68" s="5">
        <v>2022</v>
      </c>
      <c r="F68" s="1">
        <v>2219</v>
      </c>
      <c r="G68" s="1">
        <v>80</v>
      </c>
      <c r="H68" s="8">
        <v>3.6</v>
      </c>
      <c r="I68" s="1">
        <v>100</v>
      </c>
      <c r="J68" s="8">
        <v>4.5</v>
      </c>
    </row>
    <row r="69" spans="1:10" x14ac:dyDescent="0.25">
      <c r="A69" t="s">
        <v>39</v>
      </c>
      <c r="B69" s="4" t="s">
        <v>18</v>
      </c>
      <c r="C69" s="4" t="s">
        <v>19</v>
      </c>
      <c r="D69" s="4" t="s">
        <v>51</v>
      </c>
      <c r="E69" s="5">
        <v>2022</v>
      </c>
      <c r="F69" s="1">
        <v>11182</v>
      </c>
      <c r="G69" s="1">
        <v>143</v>
      </c>
      <c r="H69" s="8">
        <v>1.3</v>
      </c>
      <c r="I69" s="1">
        <v>202</v>
      </c>
      <c r="J69" s="8">
        <v>1.8</v>
      </c>
    </row>
    <row r="70" spans="1:10" x14ac:dyDescent="0.25">
      <c r="A70" t="s">
        <v>39</v>
      </c>
      <c r="B70" s="4" t="s">
        <v>18</v>
      </c>
      <c r="C70" s="4" t="s">
        <v>20</v>
      </c>
      <c r="D70" s="4" t="s">
        <v>47</v>
      </c>
      <c r="E70" s="5">
        <v>2022</v>
      </c>
      <c r="F70" s="1">
        <v>5390</v>
      </c>
      <c r="G70" s="1">
        <v>230</v>
      </c>
      <c r="H70" s="8">
        <v>4.3</v>
      </c>
      <c r="I70" s="1">
        <v>265</v>
      </c>
      <c r="J70" s="8">
        <v>4.9000000000000004</v>
      </c>
    </row>
    <row r="71" spans="1:10" x14ac:dyDescent="0.25">
      <c r="A71" t="s">
        <v>39</v>
      </c>
      <c r="B71" s="4" t="s">
        <v>21</v>
      </c>
      <c r="C71" s="6" t="s">
        <v>22</v>
      </c>
      <c r="D71" s="4" t="s">
        <v>48</v>
      </c>
      <c r="E71" s="5">
        <v>2022</v>
      </c>
      <c r="F71" s="1">
        <v>4897</v>
      </c>
      <c r="G71" s="1">
        <v>606</v>
      </c>
      <c r="H71" s="8">
        <v>12.4</v>
      </c>
      <c r="I71" s="1">
        <v>704</v>
      </c>
      <c r="J71" s="8">
        <v>14.4</v>
      </c>
    </row>
    <row r="72" spans="1:10" x14ac:dyDescent="0.25">
      <c r="A72" t="s">
        <v>39</v>
      </c>
      <c r="B72" s="4" t="s">
        <v>21</v>
      </c>
      <c r="C72" s="6" t="s">
        <v>23</v>
      </c>
      <c r="D72" s="4" t="s">
        <v>48</v>
      </c>
      <c r="E72" s="5">
        <v>2022</v>
      </c>
      <c r="F72" s="1">
        <v>18747</v>
      </c>
      <c r="G72" s="1">
        <v>1235</v>
      </c>
      <c r="H72" s="8">
        <v>6.6</v>
      </c>
      <c r="I72" s="1">
        <v>1436</v>
      </c>
      <c r="J72" s="8">
        <v>7.7</v>
      </c>
    </row>
    <row r="73" spans="1:10" x14ac:dyDescent="0.25">
      <c r="A73" t="s">
        <v>39</v>
      </c>
      <c r="B73" s="4" t="s">
        <v>24</v>
      </c>
      <c r="C73" s="6" t="s">
        <v>25</v>
      </c>
      <c r="D73" s="4" t="s">
        <v>51</v>
      </c>
      <c r="E73" s="5">
        <v>2022</v>
      </c>
      <c r="F73" s="1">
        <v>2281</v>
      </c>
      <c r="G73" s="1">
        <v>144</v>
      </c>
      <c r="H73" s="8">
        <v>6.3</v>
      </c>
      <c r="I73" s="1">
        <v>173</v>
      </c>
      <c r="J73" s="8">
        <v>7.6</v>
      </c>
    </row>
    <row r="74" spans="1:10" x14ac:dyDescent="0.25">
      <c r="A74" t="s">
        <v>39</v>
      </c>
      <c r="B74" s="4" t="s">
        <v>24</v>
      </c>
      <c r="C74" s="6" t="s">
        <v>26</v>
      </c>
      <c r="D74" s="4" t="s">
        <v>51</v>
      </c>
      <c r="E74" s="5">
        <v>2022</v>
      </c>
      <c r="F74" s="1">
        <v>9745</v>
      </c>
      <c r="G74" s="1">
        <v>198</v>
      </c>
      <c r="H74" s="8">
        <v>2</v>
      </c>
      <c r="I74" s="1">
        <v>233</v>
      </c>
      <c r="J74" s="8">
        <v>2.4</v>
      </c>
    </row>
    <row r="75" spans="1:10" x14ac:dyDescent="0.25">
      <c r="A75" t="s">
        <v>39</v>
      </c>
      <c r="B75" s="10" t="s">
        <v>43</v>
      </c>
      <c r="C75" s="10" t="s">
        <v>43</v>
      </c>
      <c r="D75" s="10" t="s">
        <v>51</v>
      </c>
      <c r="E75" s="5">
        <v>2022</v>
      </c>
      <c r="F75" s="1">
        <v>5932</v>
      </c>
      <c r="G75" s="1">
        <v>168</v>
      </c>
      <c r="H75" s="8">
        <v>2.8</v>
      </c>
      <c r="I75" s="1">
        <v>194</v>
      </c>
      <c r="J75" s="8">
        <v>3.3</v>
      </c>
    </row>
    <row r="76" spans="1:10" x14ac:dyDescent="0.25">
      <c r="A76" t="s">
        <v>40</v>
      </c>
      <c r="B76" s="6" t="s">
        <v>27</v>
      </c>
      <c r="C76" s="6" t="s">
        <v>27</v>
      </c>
      <c r="D76" s="6"/>
      <c r="E76" s="5">
        <v>2022</v>
      </c>
      <c r="F76" s="1">
        <v>3989</v>
      </c>
      <c r="G76" s="1">
        <v>972</v>
      </c>
      <c r="H76" s="8">
        <v>24.4</v>
      </c>
      <c r="I76" s="1">
        <v>1124</v>
      </c>
      <c r="J76" s="8">
        <v>28.2</v>
      </c>
    </row>
    <row r="77" spans="1:10" x14ac:dyDescent="0.25">
      <c r="A77" t="s">
        <v>40</v>
      </c>
      <c r="B77" s="6" t="s">
        <v>28</v>
      </c>
      <c r="C77" s="6" t="s">
        <v>28</v>
      </c>
      <c r="D77" s="6"/>
      <c r="E77" s="5">
        <v>2022</v>
      </c>
      <c r="F77" s="1">
        <v>7157</v>
      </c>
      <c r="G77" s="1">
        <v>2142</v>
      </c>
      <c r="H77" s="8">
        <v>29.9</v>
      </c>
      <c r="I77" s="1">
        <v>2372</v>
      </c>
      <c r="J77" s="8">
        <v>33.1</v>
      </c>
    </row>
    <row r="78" spans="1:10" x14ac:dyDescent="0.25">
      <c r="A78" t="s">
        <v>40</v>
      </c>
      <c r="B78" s="6" t="s">
        <v>29</v>
      </c>
      <c r="C78" s="6" t="s">
        <v>29</v>
      </c>
      <c r="D78" s="6"/>
      <c r="E78" s="5">
        <v>2022</v>
      </c>
      <c r="F78" s="1">
        <v>10171</v>
      </c>
      <c r="G78" s="1">
        <v>3948</v>
      </c>
      <c r="H78" s="8">
        <v>38.799999999999997</v>
      </c>
      <c r="I78" s="1">
        <v>4339</v>
      </c>
      <c r="J78" s="8">
        <v>42.7</v>
      </c>
    </row>
    <row r="79" spans="1:10" x14ac:dyDescent="0.25">
      <c r="A79" t="s">
        <v>39</v>
      </c>
      <c r="B79" s="6" t="s">
        <v>0</v>
      </c>
      <c r="C79" s="4" t="s">
        <v>0</v>
      </c>
      <c r="D79" s="4" t="s">
        <v>46</v>
      </c>
      <c r="E79" s="5">
        <v>2023</v>
      </c>
      <c r="F79" s="1">
        <v>1248</v>
      </c>
      <c r="G79" s="1">
        <v>28</v>
      </c>
      <c r="H79" s="8">
        <v>2.2000000000000002</v>
      </c>
      <c r="I79" s="1">
        <v>33</v>
      </c>
      <c r="J79" s="8">
        <v>2.6</v>
      </c>
    </row>
    <row r="80" spans="1:10" x14ac:dyDescent="0.25">
      <c r="A80" t="s">
        <v>39</v>
      </c>
      <c r="B80" s="6" t="s">
        <v>1</v>
      </c>
      <c r="C80" s="6" t="s">
        <v>1</v>
      </c>
      <c r="D80" s="4" t="s">
        <v>54</v>
      </c>
      <c r="E80" s="5">
        <v>2023</v>
      </c>
      <c r="F80" s="1">
        <v>577</v>
      </c>
      <c r="G80" s="1">
        <v>25</v>
      </c>
      <c r="H80" s="8">
        <v>4.3</v>
      </c>
      <c r="I80" s="1">
        <v>28</v>
      </c>
      <c r="J80" s="8">
        <v>4.9000000000000004</v>
      </c>
    </row>
    <row r="81" spans="1:10" x14ac:dyDescent="0.25">
      <c r="A81" t="s">
        <v>39</v>
      </c>
      <c r="B81" s="6" t="s">
        <v>2</v>
      </c>
      <c r="C81" s="4" t="s">
        <v>2</v>
      </c>
      <c r="D81" s="4" t="s">
        <v>47</v>
      </c>
      <c r="E81" s="5">
        <v>2023</v>
      </c>
      <c r="F81" s="1">
        <v>8920</v>
      </c>
      <c r="G81" s="1">
        <v>954</v>
      </c>
      <c r="H81" s="8">
        <v>10.7</v>
      </c>
      <c r="I81" s="1">
        <v>1017</v>
      </c>
      <c r="J81" s="8">
        <v>11.4</v>
      </c>
    </row>
    <row r="82" spans="1:10" x14ac:dyDescent="0.25">
      <c r="A82" t="s">
        <v>39</v>
      </c>
      <c r="B82" s="4" t="s">
        <v>3</v>
      </c>
      <c r="C82" s="6" t="s">
        <v>4</v>
      </c>
      <c r="D82" s="4" t="s">
        <v>52</v>
      </c>
      <c r="E82" s="5">
        <v>2023</v>
      </c>
      <c r="F82" s="1">
        <v>9599</v>
      </c>
      <c r="G82" s="1">
        <v>772</v>
      </c>
      <c r="H82" s="8">
        <v>8</v>
      </c>
      <c r="I82" s="1">
        <v>878</v>
      </c>
      <c r="J82" s="8">
        <v>9.1</v>
      </c>
    </row>
    <row r="83" spans="1:10" x14ac:dyDescent="0.25">
      <c r="A83" t="s">
        <v>39</v>
      </c>
      <c r="B83" s="4" t="s">
        <v>3</v>
      </c>
      <c r="C83" s="6" t="s">
        <v>5</v>
      </c>
      <c r="D83" s="4" t="s">
        <v>53</v>
      </c>
      <c r="E83" s="5">
        <v>2023</v>
      </c>
      <c r="F83" s="1">
        <v>5323</v>
      </c>
      <c r="G83" s="1">
        <v>409</v>
      </c>
      <c r="H83" s="8">
        <v>7.7</v>
      </c>
      <c r="I83" s="1">
        <v>475</v>
      </c>
      <c r="J83" s="8">
        <v>8.9</v>
      </c>
    </row>
    <row r="84" spans="1:10" x14ac:dyDescent="0.25">
      <c r="A84" t="s">
        <v>39</v>
      </c>
      <c r="B84" s="4" t="s">
        <v>6</v>
      </c>
      <c r="C84" s="6" t="s">
        <v>7</v>
      </c>
      <c r="D84" s="4" t="s">
        <v>53</v>
      </c>
      <c r="E84" s="5">
        <v>2023</v>
      </c>
      <c r="F84" s="1">
        <v>2927</v>
      </c>
      <c r="G84" s="1">
        <v>137</v>
      </c>
      <c r="H84" s="8">
        <v>4.7</v>
      </c>
      <c r="I84" s="1">
        <v>150</v>
      </c>
      <c r="J84" s="8">
        <v>5.0999999999999996</v>
      </c>
    </row>
    <row r="85" spans="1:10" x14ac:dyDescent="0.25">
      <c r="A85" t="s">
        <v>39</v>
      </c>
      <c r="B85" s="4" t="s">
        <v>6</v>
      </c>
      <c r="C85" s="6" t="s">
        <v>8</v>
      </c>
      <c r="D85" s="4" t="s">
        <v>53</v>
      </c>
      <c r="E85" s="5">
        <v>2023</v>
      </c>
      <c r="F85" s="1">
        <v>15085</v>
      </c>
      <c r="G85" s="1">
        <v>563</v>
      </c>
      <c r="H85" s="8">
        <v>3.7</v>
      </c>
      <c r="I85" s="1">
        <v>677</v>
      </c>
      <c r="J85" s="8">
        <v>4.5</v>
      </c>
    </row>
    <row r="86" spans="1:10" x14ac:dyDescent="0.25">
      <c r="A86" t="s">
        <v>39</v>
      </c>
      <c r="B86" s="6" t="s">
        <v>9</v>
      </c>
      <c r="C86" s="4" t="s">
        <v>9</v>
      </c>
      <c r="D86" s="4" t="s">
        <v>55</v>
      </c>
      <c r="E86" s="5">
        <v>2023</v>
      </c>
      <c r="F86" s="1">
        <v>6495</v>
      </c>
      <c r="G86" s="1">
        <v>1031</v>
      </c>
      <c r="H86" s="8">
        <v>15.9</v>
      </c>
      <c r="I86" s="1">
        <v>1103</v>
      </c>
      <c r="J86" s="8">
        <v>17</v>
      </c>
    </row>
    <row r="87" spans="1:10" x14ac:dyDescent="0.25">
      <c r="A87" t="s">
        <v>39</v>
      </c>
      <c r="B87" s="6" t="s">
        <v>10</v>
      </c>
      <c r="C87" s="4" t="s">
        <v>10</v>
      </c>
      <c r="D87" s="4" t="s">
        <v>47</v>
      </c>
      <c r="E87" s="5">
        <v>2023</v>
      </c>
      <c r="F87" s="1">
        <v>1129</v>
      </c>
      <c r="G87" s="1">
        <v>224</v>
      </c>
      <c r="H87" s="8">
        <v>19.899999999999999</v>
      </c>
      <c r="I87" s="1">
        <v>234</v>
      </c>
      <c r="J87" s="8">
        <v>20.8</v>
      </c>
    </row>
    <row r="88" spans="1:10" x14ac:dyDescent="0.25">
      <c r="A88" t="s">
        <v>39</v>
      </c>
      <c r="B88" s="4" t="s">
        <v>42</v>
      </c>
      <c r="C88" s="6" t="s">
        <v>11</v>
      </c>
      <c r="D88" s="4" t="s">
        <v>50</v>
      </c>
      <c r="E88" s="5">
        <v>2023</v>
      </c>
      <c r="F88" s="1">
        <v>579</v>
      </c>
      <c r="G88" s="1">
        <v>21</v>
      </c>
      <c r="H88" s="8">
        <v>3.6</v>
      </c>
      <c r="I88" s="1">
        <v>23</v>
      </c>
      <c r="J88" s="8">
        <v>4.0999999999999996</v>
      </c>
    </row>
    <row r="89" spans="1:10" x14ac:dyDescent="0.25">
      <c r="A89" t="s">
        <v>39</v>
      </c>
      <c r="B89" s="4" t="s">
        <v>42</v>
      </c>
      <c r="C89" s="6" t="s">
        <v>12</v>
      </c>
      <c r="D89" s="4" t="s">
        <v>50</v>
      </c>
      <c r="E89" s="5">
        <v>2023</v>
      </c>
      <c r="F89" s="1">
        <v>391</v>
      </c>
      <c r="G89" s="1">
        <v>47</v>
      </c>
      <c r="H89" s="8">
        <v>12.1</v>
      </c>
      <c r="I89" s="1">
        <v>49</v>
      </c>
      <c r="J89" s="8">
        <v>12.5</v>
      </c>
    </row>
    <row r="90" spans="1:10" x14ac:dyDescent="0.25">
      <c r="A90" t="s">
        <v>39</v>
      </c>
      <c r="B90" s="4" t="s">
        <v>42</v>
      </c>
      <c r="C90" s="6" t="s">
        <v>36</v>
      </c>
      <c r="D90" s="4" t="s">
        <v>50</v>
      </c>
      <c r="E90" s="5">
        <v>2023</v>
      </c>
      <c r="F90" s="1">
        <v>270</v>
      </c>
      <c r="G90" s="1">
        <v>26</v>
      </c>
      <c r="H90" s="8">
        <v>9.6999999999999993</v>
      </c>
      <c r="I90" s="1">
        <v>27</v>
      </c>
      <c r="J90" s="8">
        <v>10.1</v>
      </c>
    </row>
    <row r="91" spans="1:10" x14ac:dyDescent="0.25">
      <c r="A91" t="s">
        <v>39</v>
      </c>
      <c r="B91" s="4" t="s">
        <v>42</v>
      </c>
      <c r="C91" s="6" t="s">
        <v>14</v>
      </c>
      <c r="D91" s="4" t="s">
        <v>50</v>
      </c>
      <c r="E91" s="5">
        <v>2023</v>
      </c>
      <c r="F91" s="1">
        <v>884</v>
      </c>
      <c r="G91" s="1">
        <v>83</v>
      </c>
      <c r="H91" s="8">
        <v>9.4</v>
      </c>
      <c r="I91" s="1">
        <v>88</v>
      </c>
      <c r="J91" s="8">
        <v>9.9</v>
      </c>
    </row>
    <row r="92" spans="1:10" x14ac:dyDescent="0.25">
      <c r="A92" t="s">
        <v>39</v>
      </c>
      <c r="B92" s="4" t="s">
        <v>15</v>
      </c>
      <c r="C92" s="6" t="s">
        <v>16</v>
      </c>
      <c r="D92" s="4" t="s">
        <v>49</v>
      </c>
      <c r="E92" s="5">
        <v>2023</v>
      </c>
      <c r="F92" s="1">
        <v>7025</v>
      </c>
      <c r="G92" s="1">
        <v>95</v>
      </c>
      <c r="H92" s="8">
        <v>1.3</v>
      </c>
      <c r="I92" s="1">
        <v>134</v>
      </c>
      <c r="J92" s="8">
        <v>1.9</v>
      </c>
    </row>
    <row r="93" spans="1:10" x14ac:dyDescent="0.25">
      <c r="A93" t="s">
        <v>39</v>
      </c>
      <c r="B93" s="4" t="s">
        <v>15</v>
      </c>
      <c r="C93" s="6" t="s">
        <v>17</v>
      </c>
      <c r="D93" s="4" t="s">
        <v>49</v>
      </c>
      <c r="E93" s="5">
        <v>2023</v>
      </c>
      <c r="F93" s="1">
        <v>2259</v>
      </c>
      <c r="G93" s="1">
        <v>67</v>
      </c>
      <c r="H93" s="8">
        <v>3</v>
      </c>
      <c r="I93" s="1">
        <v>85</v>
      </c>
      <c r="J93" s="8">
        <v>3.8</v>
      </c>
    </row>
    <row r="94" spans="1:10" x14ac:dyDescent="0.25">
      <c r="A94" t="s">
        <v>39</v>
      </c>
      <c r="B94" s="4" t="s">
        <v>18</v>
      </c>
      <c r="C94" s="4" t="s">
        <v>19</v>
      </c>
      <c r="D94" s="4" t="s">
        <v>51</v>
      </c>
      <c r="E94" s="5">
        <v>2023</v>
      </c>
      <c r="F94" s="1">
        <v>11361</v>
      </c>
      <c r="G94" s="1">
        <v>152</v>
      </c>
      <c r="H94" s="8">
        <v>1.3</v>
      </c>
      <c r="I94" s="1">
        <v>228</v>
      </c>
      <c r="J94" s="8">
        <v>2</v>
      </c>
    </row>
    <row r="95" spans="1:10" x14ac:dyDescent="0.25">
      <c r="A95" t="s">
        <v>39</v>
      </c>
      <c r="B95" s="4" t="s">
        <v>18</v>
      </c>
      <c r="C95" s="4" t="s">
        <v>20</v>
      </c>
      <c r="D95" s="4" t="s">
        <v>47</v>
      </c>
      <c r="E95" s="5">
        <v>2023</v>
      </c>
      <c r="F95" s="1">
        <v>5459</v>
      </c>
      <c r="G95" s="1">
        <v>230</v>
      </c>
      <c r="H95" s="8">
        <v>4.2</v>
      </c>
      <c r="I95" s="1">
        <v>276</v>
      </c>
      <c r="J95" s="8">
        <v>5.0999999999999996</v>
      </c>
    </row>
    <row r="96" spans="1:10" x14ac:dyDescent="0.25">
      <c r="A96" t="s">
        <v>39</v>
      </c>
      <c r="B96" s="4" t="s">
        <v>21</v>
      </c>
      <c r="C96" s="6" t="s">
        <v>22</v>
      </c>
      <c r="D96" s="4" t="s">
        <v>48</v>
      </c>
      <c r="E96" s="5">
        <v>2023</v>
      </c>
      <c r="F96" s="1">
        <v>5156</v>
      </c>
      <c r="G96" s="1">
        <v>666</v>
      </c>
      <c r="H96" s="8">
        <v>12.9</v>
      </c>
      <c r="I96" s="1">
        <v>766</v>
      </c>
      <c r="J96" s="8">
        <v>14.8</v>
      </c>
    </row>
    <row r="97" spans="1:10" x14ac:dyDescent="0.25">
      <c r="A97" t="s">
        <v>39</v>
      </c>
      <c r="B97" s="4" t="s">
        <v>21</v>
      </c>
      <c r="C97" s="6" t="s">
        <v>23</v>
      </c>
      <c r="D97" s="4" t="s">
        <v>48</v>
      </c>
      <c r="E97" s="5">
        <v>2023</v>
      </c>
      <c r="F97" s="1">
        <v>19188</v>
      </c>
      <c r="G97" s="1">
        <v>1316</v>
      </c>
      <c r="H97" s="8">
        <v>6.9</v>
      </c>
      <c r="I97" s="1">
        <v>1498</v>
      </c>
      <c r="J97" s="8">
        <v>7.8</v>
      </c>
    </row>
    <row r="98" spans="1:10" x14ac:dyDescent="0.25">
      <c r="A98" t="s">
        <v>39</v>
      </c>
      <c r="B98" s="4" t="s">
        <v>24</v>
      </c>
      <c r="C98" s="6" t="s">
        <v>25</v>
      </c>
      <c r="D98" s="4" t="s">
        <v>51</v>
      </c>
      <c r="E98" s="5">
        <v>2023</v>
      </c>
      <c r="F98" s="1">
        <v>2537</v>
      </c>
      <c r="G98" s="1">
        <v>156</v>
      </c>
      <c r="H98" s="8">
        <v>6.2</v>
      </c>
      <c r="I98" s="1">
        <v>190</v>
      </c>
      <c r="J98" s="8">
        <v>7.5</v>
      </c>
    </row>
    <row r="99" spans="1:10" x14ac:dyDescent="0.25">
      <c r="A99" t="s">
        <v>39</v>
      </c>
      <c r="B99" s="4" t="s">
        <v>24</v>
      </c>
      <c r="C99" s="6" t="s">
        <v>26</v>
      </c>
      <c r="D99" s="4" t="s">
        <v>51</v>
      </c>
      <c r="E99" s="5">
        <v>2023</v>
      </c>
      <c r="F99" s="1">
        <v>10123</v>
      </c>
      <c r="G99" s="1">
        <v>216</v>
      </c>
      <c r="H99" s="8">
        <v>2.1</v>
      </c>
      <c r="I99" s="1">
        <v>245</v>
      </c>
      <c r="J99" s="8">
        <v>2.4</v>
      </c>
    </row>
    <row r="100" spans="1:10" x14ac:dyDescent="0.25">
      <c r="A100" t="s">
        <v>39</v>
      </c>
      <c r="B100" s="10" t="s">
        <v>43</v>
      </c>
      <c r="C100" s="10" t="s">
        <v>43</v>
      </c>
      <c r="D100" s="10" t="s">
        <v>51</v>
      </c>
      <c r="E100" s="5">
        <v>2023</v>
      </c>
      <c r="F100" s="1">
        <v>5970</v>
      </c>
      <c r="G100" s="1">
        <v>182</v>
      </c>
      <c r="H100" s="8">
        <v>3</v>
      </c>
      <c r="I100" s="1">
        <v>212</v>
      </c>
      <c r="J100" s="8">
        <v>3.6</v>
      </c>
    </row>
    <row r="101" spans="1:10" x14ac:dyDescent="0.25">
      <c r="A101" t="s">
        <v>40</v>
      </c>
      <c r="B101" s="6" t="s">
        <v>27</v>
      </c>
      <c r="C101" s="6" t="s">
        <v>27</v>
      </c>
      <c r="D101" s="6"/>
      <c r="E101" s="5">
        <v>2023</v>
      </c>
      <c r="F101" s="1">
        <v>4106</v>
      </c>
      <c r="G101" s="1">
        <v>1032</v>
      </c>
      <c r="H101" s="8">
        <v>25.1</v>
      </c>
      <c r="I101" s="1">
        <v>1192</v>
      </c>
      <c r="J101" s="8">
        <v>29</v>
      </c>
    </row>
    <row r="102" spans="1:10" x14ac:dyDescent="0.25">
      <c r="A102" t="s">
        <v>40</v>
      </c>
      <c r="B102" s="6" t="s">
        <v>28</v>
      </c>
      <c r="C102" s="6" t="s">
        <v>28</v>
      </c>
      <c r="D102" s="6"/>
      <c r="E102" s="5">
        <v>2023</v>
      </c>
      <c r="F102" s="1">
        <v>7417</v>
      </c>
      <c r="G102" s="1">
        <v>2122</v>
      </c>
      <c r="H102" s="8">
        <v>28.6</v>
      </c>
      <c r="I102" s="1">
        <v>2377</v>
      </c>
      <c r="J102" s="8">
        <v>32</v>
      </c>
    </row>
    <row r="103" spans="1:10" x14ac:dyDescent="0.25">
      <c r="A103" t="s">
        <v>40</v>
      </c>
      <c r="B103" s="6" t="s">
        <v>29</v>
      </c>
      <c r="C103" s="6" t="s">
        <v>29</v>
      </c>
      <c r="D103" s="6"/>
      <c r="E103" s="5">
        <v>2023</v>
      </c>
      <c r="F103" s="1">
        <v>10053</v>
      </c>
      <c r="G103" s="1">
        <v>3856</v>
      </c>
      <c r="H103" s="8">
        <v>38.4</v>
      </c>
      <c r="I103" s="1">
        <v>4195</v>
      </c>
      <c r="J103" s="8">
        <v>41.7</v>
      </c>
    </row>
    <row r="104" spans="1:10" x14ac:dyDescent="0.25">
      <c r="A104" t="s">
        <v>39</v>
      </c>
      <c r="B104" s="6" t="s">
        <v>0</v>
      </c>
      <c r="C104" s="4" t="s">
        <v>0</v>
      </c>
      <c r="D104" s="4" t="s">
        <v>46</v>
      </c>
      <c r="E104" s="5">
        <v>2020</v>
      </c>
      <c r="F104" s="1">
        <v>1281</v>
      </c>
      <c r="G104" s="1">
        <v>21</v>
      </c>
      <c r="H104" s="8">
        <v>1.7</v>
      </c>
      <c r="I104" s="1">
        <v>25</v>
      </c>
      <c r="J104" s="8">
        <v>1.9</v>
      </c>
    </row>
    <row r="105" spans="1:10" x14ac:dyDescent="0.25">
      <c r="A105" t="s">
        <v>39</v>
      </c>
      <c r="B105" s="6" t="s">
        <v>1</v>
      </c>
      <c r="C105" s="6" t="s">
        <v>1</v>
      </c>
      <c r="D105" s="4" t="s">
        <v>54</v>
      </c>
      <c r="E105" s="5">
        <v>2020</v>
      </c>
      <c r="F105" s="1">
        <v>656</v>
      </c>
      <c r="G105" s="1">
        <v>37</v>
      </c>
      <c r="H105" s="8">
        <v>5.6</v>
      </c>
      <c r="I105" s="1">
        <v>43</v>
      </c>
      <c r="J105" s="8">
        <v>6.6</v>
      </c>
    </row>
    <row r="106" spans="1:10" x14ac:dyDescent="0.25">
      <c r="A106" t="s">
        <v>39</v>
      </c>
      <c r="B106" s="6" t="s">
        <v>2</v>
      </c>
      <c r="C106" s="4" t="s">
        <v>2</v>
      </c>
      <c r="D106" s="4" t="s">
        <v>47</v>
      </c>
      <c r="E106" s="5">
        <v>2020</v>
      </c>
      <c r="F106" s="1">
        <v>7829</v>
      </c>
      <c r="G106" s="1">
        <v>993</v>
      </c>
      <c r="H106" s="8">
        <v>12.7</v>
      </c>
      <c r="I106" s="1">
        <v>1050</v>
      </c>
      <c r="J106" s="8">
        <v>13.4</v>
      </c>
    </row>
    <row r="107" spans="1:10" x14ac:dyDescent="0.25">
      <c r="A107" t="s">
        <v>39</v>
      </c>
      <c r="B107" s="4" t="s">
        <v>3</v>
      </c>
      <c r="C107" s="6" t="s">
        <v>4</v>
      </c>
      <c r="D107" s="4" t="s">
        <v>52</v>
      </c>
      <c r="E107" s="5">
        <v>2020</v>
      </c>
      <c r="F107" s="1">
        <v>8705</v>
      </c>
      <c r="G107" s="1">
        <v>754</v>
      </c>
      <c r="H107" s="8">
        <v>8.6999999999999993</v>
      </c>
      <c r="I107" s="1">
        <v>821</v>
      </c>
      <c r="J107" s="8">
        <v>9.4</v>
      </c>
    </row>
    <row r="108" spans="1:10" x14ac:dyDescent="0.25">
      <c r="A108" t="s">
        <v>39</v>
      </c>
      <c r="B108" s="4" t="s">
        <v>3</v>
      </c>
      <c r="C108" s="6" t="s">
        <v>5</v>
      </c>
      <c r="D108" s="4" t="s">
        <v>53</v>
      </c>
      <c r="E108" s="5">
        <v>2020</v>
      </c>
      <c r="F108" s="1">
        <v>5182</v>
      </c>
      <c r="G108" s="1">
        <v>427</v>
      </c>
      <c r="H108" s="8">
        <v>8.1999999999999993</v>
      </c>
      <c r="I108" s="1">
        <v>468</v>
      </c>
      <c r="J108" s="8">
        <v>9</v>
      </c>
    </row>
    <row r="109" spans="1:10" x14ac:dyDescent="0.25">
      <c r="A109" t="s">
        <v>39</v>
      </c>
      <c r="B109" s="4" t="s">
        <v>6</v>
      </c>
      <c r="C109" s="6" t="s">
        <v>7</v>
      </c>
      <c r="D109" s="4" t="s">
        <v>53</v>
      </c>
      <c r="E109" s="5">
        <v>2020</v>
      </c>
      <c r="F109" s="1">
        <v>3116</v>
      </c>
      <c r="G109" s="1">
        <v>133</v>
      </c>
      <c r="H109" s="8">
        <v>4.3</v>
      </c>
      <c r="I109" s="1">
        <v>146</v>
      </c>
      <c r="J109" s="8">
        <v>4.7</v>
      </c>
    </row>
    <row r="110" spans="1:10" x14ac:dyDescent="0.25">
      <c r="A110" t="s">
        <v>39</v>
      </c>
      <c r="B110" s="4" t="s">
        <v>6</v>
      </c>
      <c r="C110" s="6" t="s">
        <v>8</v>
      </c>
      <c r="D110" s="4" t="s">
        <v>53</v>
      </c>
      <c r="E110" s="5">
        <v>2020</v>
      </c>
      <c r="F110" s="1">
        <v>14292</v>
      </c>
      <c r="G110" s="1">
        <v>655</v>
      </c>
      <c r="H110" s="8">
        <v>4.5999999999999996</v>
      </c>
      <c r="I110" s="1">
        <v>728</v>
      </c>
      <c r="J110" s="8">
        <v>5.0999999999999996</v>
      </c>
    </row>
    <row r="111" spans="1:10" x14ac:dyDescent="0.25">
      <c r="A111" t="s">
        <v>39</v>
      </c>
      <c r="B111" s="6" t="s">
        <v>9</v>
      </c>
      <c r="C111" s="4" t="s">
        <v>9</v>
      </c>
      <c r="D111" s="4" t="s">
        <v>55</v>
      </c>
      <c r="E111" s="5">
        <v>2020</v>
      </c>
      <c r="F111" s="1">
        <v>5377</v>
      </c>
      <c r="G111" s="1">
        <v>916</v>
      </c>
      <c r="H111" s="8">
        <v>17</v>
      </c>
      <c r="I111" s="1">
        <v>979</v>
      </c>
      <c r="J111" s="8">
        <v>18.2</v>
      </c>
    </row>
    <row r="112" spans="1:10" x14ac:dyDescent="0.25">
      <c r="A112" t="s">
        <v>39</v>
      </c>
      <c r="B112" s="6" t="s">
        <v>10</v>
      </c>
      <c r="C112" s="4" t="s">
        <v>10</v>
      </c>
      <c r="D112" s="4" t="s">
        <v>47</v>
      </c>
      <c r="E112" s="5">
        <v>2020</v>
      </c>
      <c r="F112" s="1">
        <v>1064</v>
      </c>
      <c r="G112" s="1">
        <v>219</v>
      </c>
      <c r="H112" s="8">
        <v>20.6</v>
      </c>
      <c r="I112" s="1">
        <v>234</v>
      </c>
      <c r="J112" s="8">
        <v>22</v>
      </c>
    </row>
    <row r="113" spans="1:10" x14ac:dyDescent="0.25">
      <c r="A113" t="s">
        <v>39</v>
      </c>
      <c r="B113" s="4" t="s">
        <v>42</v>
      </c>
      <c r="C113" s="6" t="s">
        <v>11</v>
      </c>
      <c r="D113" s="4" t="s">
        <v>50</v>
      </c>
      <c r="E113" s="5">
        <v>2020</v>
      </c>
      <c r="F113" s="1">
        <v>338</v>
      </c>
      <c r="G113" s="1">
        <v>8</v>
      </c>
      <c r="H113" s="8">
        <v>2.4</v>
      </c>
      <c r="I113" s="1">
        <v>9</v>
      </c>
      <c r="J113" s="8">
        <v>2.6</v>
      </c>
    </row>
    <row r="114" spans="1:10" x14ac:dyDescent="0.25">
      <c r="A114" t="s">
        <v>39</v>
      </c>
      <c r="B114" s="4" t="s">
        <v>42</v>
      </c>
      <c r="C114" s="6" t="s">
        <v>12</v>
      </c>
      <c r="D114" s="4" t="s">
        <v>50</v>
      </c>
      <c r="E114" s="5">
        <v>2020</v>
      </c>
      <c r="F114" s="1">
        <v>285</v>
      </c>
      <c r="G114" s="1">
        <v>40</v>
      </c>
      <c r="H114" s="8">
        <v>14</v>
      </c>
      <c r="I114" s="1">
        <v>43</v>
      </c>
      <c r="J114" s="8">
        <v>15.1</v>
      </c>
    </row>
    <row r="115" spans="1:10" x14ac:dyDescent="0.25">
      <c r="A115" t="s">
        <v>39</v>
      </c>
      <c r="B115" s="4" t="s">
        <v>42</v>
      </c>
      <c r="C115" s="6" t="s">
        <v>36</v>
      </c>
      <c r="D115" s="4" t="s">
        <v>50</v>
      </c>
      <c r="E115" s="5">
        <v>2020</v>
      </c>
      <c r="F115" s="1">
        <v>398</v>
      </c>
      <c r="G115" s="1">
        <v>30</v>
      </c>
      <c r="H115" s="8">
        <v>7.6</v>
      </c>
      <c r="I115" s="1">
        <v>35</v>
      </c>
      <c r="J115" s="8">
        <v>8.6999999999999993</v>
      </c>
    </row>
    <row r="116" spans="1:10" x14ac:dyDescent="0.25">
      <c r="A116" t="s">
        <v>39</v>
      </c>
      <c r="B116" s="4" t="s">
        <v>42</v>
      </c>
      <c r="C116" s="6" t="s">
        <v>14</v>
      </c>
      <c r="D116" s="4" t="s">
        <v>50</v>
      </c>
      <c r="E116" s="5">
        <v>2020</v>
      </c>
      <c r="F116" s="1">
        <v>778</v>
      </c>
      <c r="G116" s="1">
        <v>111</v>
      </c>
      <c r="H116" s="8">
        <v>14.3</v>
      </c>
      <c r="I116" s="1">
        <v>122</v>
      </c>
      <c r="J116" s="8">
        <v>15.7</v>
      </c>
    </row>
    <row r="117" spans="1:10" x14ac:dyDescent="0.25">
      <c r="A117" t="s">
        <v>39</v>
      </c>
      <c r="B117" s="4" t="s">
        <v>15</v>
      </c>
      <c r="C117" s="6" t="s">
        <v>16</v>
      </c>
      <c r="D117" s="4" t="s">
        <v>49</v>
      </c>
      <c r="E117" s="5">
        <v>2020</v>
      </c>
      <c r="F117" s="1">
        <v>6977</v>
      </c>
      <c r="G117" s="1">
        <v>96</v>
      </c>
      <c r="H117" s="8">
        <v>1.4</v>
      </c>
      <c r="I117" s="1">
        <v>152</v>
      </c>
      <c r="J117" s="8">
        <v>2.2000000000000002</v>
      </c>
    </row>
    <row r="118" spans="1:10" x14ac:dyDescent="0.25">
      <c r="A118" t="s">
        <v>39</v>
      </c>
      <c r="B118" s="4" t="s">
        <v>15</v>
      </c>
      <c r="C118" s="6" t="s">
        <v>17</v>
      </c>
      <c r="D118" s="4" t="s">
        <v>49</v>
      </c>
      <c r="E118" s="5">
        <v>2020</v>
      </c>
      <c r="F118" s="1">
        <v>2131</v>
      </c>
      <c r="G118" s="1">
        <v>74</v>
      </c>
      <c r="H118" s="8">
        <v>3.5</v>
      </c>
      <c r="I118" s="1">
        <v>93</v>
      </c>
      <c r="J118" s="8">
        <v>4.3</v>
      </c>
    </row>
    <row r="119" spans="1:10" x14ac:dyDescent="0.25">
      <c r="A119" t="s">
        <v>39</v>
      </c>
      <c r="B119" s="4" t="s">
        <v>18</v>
      </c>
      <c r="C119" s="4" t="s">
        <v>19</v>
      </c>
      <c r="D119" s="4" t="s">
        <v>51</v>
      </c>
      <c r="E119" s="5">
        <v>2020</v>
      </c>
      <c r="F119" s="1">
        <v>10153</v>
      </c>
      <c r="G119" s="1">
        <v>132</v>
      </c>
      <c r="H119" s="8">
        <v>1.3</v>
      </c>
      <c r="I119" s="1">
        <v>208</v>
      </c>
      <c r="J119" s="8">
        <v>2.1</v>
      </c>
    </row>
    <row r="120" spans="1:10" x14ac:dyDescent="0.25">
      <c r="A120" t="s">
        <v>39</v>
      </c>
      <c r="B120" s="4" t="s">
        <v>18</v>
      </c>
      <c r="C120" s="4" t="s">
        <v>20</v>
      </c>
      <c r="D120" s="4" t="s">
        <v>47</v>
      </c>
      <c r="E120" s="5">
        <v>2020</v>
      </c>
      <c r="F120" s="1">
        <v>4785</v>
      </c>
      <c r="G120" s="1">
        <v>191</v>
      </c>
      <c r="H120" s="8">
        <v>4</v>
      </c>
      <c r="I120" s="1">
        <v>233</v>
      </c>
      <c r="J120" s="8">
        <v>4.9000000000000004</v>
      </c>
    </row>
    <row r="121" spans="1:10" x14ac:dyDescent="0.25">
      <c r="A121" t="s">
        <v>39</v>
      </c>
      <c r="B121" s="4" t="s">
        <v>21</v>
      </c>
      <c r="C121" s="6" t="s">
        <v>22</v>
      </c>
      <c r="D121" s="4" t="s">
        <v>48</v>
      </c>
      <c r="E121" s="5">
        <v>2020</v>
      </c>
      <c r="F121" s="1">
        <v>4507</v>
      </c>
      <c r="G121" s="1">
        <v>607</v>
      </c>
      <c r="H121" s="8">
        <v>13.5</v>
      </c>
      <c r="I121" s="1">
        <v>697</v>
      </c>
      <c r="J121" s="8">
        <v>15.5</v>
      </c>
    </row>
    <row r="122" spans="1:10" x14ac:dyDescent="0.25">
      <c r="A122" t="s">
        <v>39</v>
      </c>
      <c r="B122" s="4" t="s">
        <v>21</v>
      </c>
      <c r="C122" s="6" t="s">
        <v>23</v>
      </c>
      <c r="D122" s="4" t="s">
        <v>48</v>
      </c>
      <c r="E122" s="5">
        <v>2020</v>
      </c>
      <c r="F122" s="1">
        <v>17858</v>
      </c>
      <c r="G122" s="1">
        <v>1269</v>
      </c>
      <c r="H122" s="8">
        <v>7.1</v>
      </c>
      <c r="I122" s="1">
        <v>1478</v>
      </c>
      <c r="J122" s="8">
        <v>8.3000000000000007</v>
      </c>
    </row>
    <row r="123" spans="1:10" x14ac:dyDescent="0.25">
      <c r="A123" t="s">
        <v>39</v>
      </c>
      <c r="B123" s="4" t="s">
        <v>24</v>
      </c>
      <c r="C123" s="6" t="s">
        <v>25</v>
      </c>
      <c r="D123" s="4" t="s">
        <v>51</v>
      </c>
      <c r="E123" s="5">
        <v>2020</v>
      </c>
      <c r="F123" s="1">
        <v>1810</v>
      </c>
      <c r="G123" s="1">
        <v>86</v>
      </c>
      <c r="H123" s="8">
        <v>4.8</v>
      </c>
      <c r="I123" s="1">
        <v>106</v>
      </c>
      <c r="J123" s="8">
        <v>5.9</v>
      </c>
    </row>
    <row r="124" spans="1:10" x14ac:dyDescent="0.25">
      <c r="A124" t="s">
        <v>39</v>
      </c>
      <c r="B124" s="4" t="s">
        <v>24</v>
      </c>
      <c r="C124" s="6" t="s">
        <v>26</v>
      </c>
      <c r="D124" s="4" t="s">
        <v>51</v>
      </c>
      <c r="E124" s="5">
        <v>2020</v>
      </c>
      <c r="F124" s="1">
        <v>8317</v>
      </c>
      <c r="G124" s="1">
        <v>137</v>
      </c>
      <c r="H124" s="8">
        <v>1.6</v>
      </c>
      <c r="I124" s="1">
        <v>174</v>
      </c>
      <c r="J124" s="8">
        <v>2.1</v>
      </c>
    </row>
    <row r="125" spans="1:10" x14ac:dyDescent="0.25">
      <c r="A125" t="s">
        <v>39</v>
      </c>
      <c r="B125" s="10" t="s">
        <v>43</v>
      </c>
      <c r="C125" s="10" t="s">
        <v>43</v>
      </c>
      <c r="D125" s="10" t="s">
        <v>51</v>
      </c>
      <c r="E125" s="5">
        <v>2020</v>
      </c>
      <c r="F125" s="1">
        <v>5344</v>
      </c>
      <c r="G125" s="1">
        <v>134</v>
      </c>
      <c r="H125" s="8">
        <v>2.5</v>
      </c>
      <c r="I125" s="1">
        <v>162</v>
      </c>
      <c r="J125" s="8">
        <v>3</v>
      </c>
    </row>
    <row r="126" spans="1:10" x14ac:dyDescent="0.25">
      <c r="A126" t="s">
        <v>40</v>
      </c>
      <c r="B126" s="6" t="s">
        <v>27</v>
      </c>
      <c r="C126" s="6" t="s">
        <v>27</v>
      </c>
      <c r="D126" s="6"/>
      <c r="E126" s="5">
        <v>2020</v>
      </c>
      <c r="F126" s="1">
        <v>3892</v>
      </c>
      <c r="G126" s="1">
        <v>1014</v>
      </c>
      <c r="H126" s="8">
        <v>26</v>
      </c>
      <c r="I126" s="1">
        <v>1167</v>
      </c>
      <c r="J126" s="8">
        <v>30</v>
      </c>
    </row>
    <row r="127" spans="1:10" x14ac:dyDescent="0.25">
      <c r="A127" t="s">
        <v>40</v>
      </c>
      <c r="B127" s="6" t="s">
        <v>28</v>
      </c>
      <c r="C127" s="6" t="s">
        <v>28</v>
      </c>
      <c r="D127" s="6"/>
      <c r="E127" s="5">
        <v>2020</v>
      </c>
      <c r="F127" s="1">
        <v>6980</v>
      </c>
      <c r="G127" s="1">
        <v>2085</v>
      </c>
      <c r="H127" s="8">
        <v>29.9</v>
      </c>
      <c r="I127" s="1">
        <v>2350</v>
      </c>
      <c r="J127" s="8">
        <v>33.700000000000003</v>
      </c>
    </row>
    <row r="128" spans="1:10" x14ac:dyDescent="0.25">
      <c r="A128" t="s">
        <v>40</v>
      </c>
      <c r="B128" s="6" t="s">
        <v>29</v>
      </c>
      <c r="C128" s="6" t="s">
        <v>29</v>
      </c>
      <c r="D128" s="6"/>
      <c r="E128" s="5">
        <v>2020</v>
      </c>
      <c r="F128" s="1">
        <v>9760</v>
      </c>
      <c r="G128" s="1">
        <v>4074</v>
      </c>
      <c r="H128" s="8">
        <v>41.7</v>
      </c>
      <c r="I128" s="1">
        <v>4404</v>
      </c>
      <c r="J128" s="8">
        <v>45.1</v>
      </c>
    </row>
    <row r="129" spans="1:10" x14ac:dyDescent="0.25">
      <c r="A129" t="s">
        <v>39</v>
      </c>
      <c r="B129" s="6" t="s">
        <v>0</v>
      </c>
      <c r="C129" s="4" t="s">
        <v>0</v>
      </c>
      <c r="D129" s="4" t="s">
        <v>46</v>
      </c>
      <c r="E129" s="5">
        <v>2021</v>
      </c>
      <c r="F129" s="1">
        <v>1308</v>
      </c>
      <c r="G129" s="1">
        <v>37</v>
      </c>
      <c r="H129" s="8">
        <v>2.9</v>
      </c>
      <c r="I129" s="1">
        <v>41</v>
      </c>
      <c r="J129" s="8">
        <v>3.1</v>
      </c>
    </row>
    <row r="130" spans="1:10" x14ac:dyDescent="0.25">
      <c r="A130" t="s">
        <v>39</v>
      </c>
      <c r="B130" s="6" t="s">
        <v>1</v>
      </c>
      <c r="C130" s="6" t="s">
        <v>1</v>
      </c>
      <c r="D130" s="4" t="s">
        <v>54</v>
      </c>
      <c r="E130" s="5">
        <v>2021</v>
      </c>
      <c r="F130" s="1">
        <v>561</v>
      </c>
      <c r="G130" s="1">
        <v>32</v>
      </c>
      <c r="H130" s="8">
        <v>5.7</v>
      </c>
      <c r="I130" s="1">
        <v>34</v>
      </c>
      <c r="J130" s="8">
        <v>6</v>
      </c>
    </row>
    <row r="131" spans="1:10" x14ac:dyDescent="0.25">
      <c r="A131" t="s">
        <v>39</v>
      </c>
      <c r="B131" s="6" t="s">
        <v>2</v>
      </c>
      <c r="C131" s="4" t="s">
        <v>2</v>
      </c>
      <c r="D131" s="4" t="s">
        <v>47</v>
      </c>
      <c r="E131" s="5">
        <v>2021</v>
      </c>
      <c r="F131" s="1">
        <v>8157</v>
      </c>
      <c r="G131" s="1">
        <v>1024</v>
      </c>
      <c r="H131" s="8">
        <v>12.6</v>
      </c>
      <c r="I131" s="1">
        <v>1112</v>
      </c>
      <c r="J131" s="8">
        <v>13.6</v>
      </c>
    </row>
    <row r="132" spans="1:10" x14ac:dyDescent="0.25">
      <c r="A132" t="s">
        <v>39</v>
      </c>
      <c r="B132" s="4" t="s">
        <v>3</v>
      </c>
      <c r="C132" s="6" t="s">
        <v>4</v>
      </c>
      <c r="D132" s="4" t="s">
        <v>52</v>
      </c>
      <c r="E132" s="5">
        <v>2021</v>
      </c>
      <c r="F132" s="1">
        <v>8986</v>
      </c>
      <c r="G132" s="1">
        <v>668</v>
      </c>
      <c r="H132" s="8">
        <v>7.4</v>
      </c>
      <c r="I132" s="1">
        <v>749</v>
      </c>
      <c r="J132" s="8">
        <v>8.3000000000000007</v>
      </c>
    </row>
    <row r="133" spans="1:10" x14ac:dyDescent="0.25">
      <c r="A133" t="s">
        <v>39</v>
      </c>
      <c r="B133" s="4" t="s">
        <v>3</v>
      </c>
      <c r="C133" s="6" t="s">
        <v>5</v>
      </c>
      <c r="D133" s="4" t="s">
        <v>53</v>
      </c>
      <c r="E133" s="5">
        <v>2021</v>
      </c>
      <c r="F133" s="1">
        <v>5148</v>
      </c>
      <c r="G133" s="1">
        <v>414</v>
      </c>
      <c r="H133" s="8">
        <v>8</v>
      </c>
      <c r="I133" s="1">
        <v>453</v>
      </c>
      <c r="J133" s="8">
        <v>8.8000000000000007</v>
      </c>
    </row>
    <row r="134" spans="1:10" x14ac:dyDescent="0.25">
      <c r="A134" t="s">
        <v>39</v>
      </c>
      <c r="B134" s="4" t="s">
        <v>6</v>
      </c>
      <c r="C134" s="6" t="s">
        <v>7</v>
      </c>
      <c r="D134" s="4" t="s">
        <v>53</v>
      </c>
      <c r="E134" s="5">
        <v>2021</v>
      </c>
      <c r="F134" s="1">
        <v>3117</v>
      </c>
      <c r="G134" s="1">
        <v>116</v>
      </c>
      <c r="H134" s="8">
        <v>3.7</v>
      </c>
      <c r="I134" s="1">
        <v>140</v>
      </c>
      <c r="J134" s="8">
        <v>4.5</v>
      </c>
    </row>
    <row r="135" spans="1:10" x14ac:dyDescent="0.25">
      <c r="A135" t="s">
        <v>39</v>
      </c>
      <c r="B135" s="4" t="s">
        <v>6</v>
      </c>
      <c r="C135" s="6" t="s">
        <v>8</v>
      </c>
      <c r="D135" s="4" t="s">
        <v>53</v>
      </c>
      <c r="E135" s="5">
        <v>2021</v>
      </c>
      <c r="F135" s="1">
        <v>14953</v>
      </c>
      <c r="G135" s="1">
        <v>653</v>
      </c>
      <c r="H135" s="8">
        <v>4.4000000000000004</v>
      </c>
      <c r="I135" s="1">
        <v>740</v>
      </c>
      <c r="J135" s="8">
        <v>5</v>
      </c>
    </row>
    <row r="136" spans="1:10" x14ac:dyDescent="0.25">
      <c r="A136" t="s">
        <v>39</v>
      </c>
      <c r="B136" s="6" t="s">
        <v>9</v>
      </c>
      <c r="C136" s="4" t="s">
        <v>9</v>
      </c>
      <c r="D136" s="4" t="s">
        <v>55</v>
      </c>
      <c r="E136" s="5">
        <v>2021</v>
      </c>
      <c r="F136" s="1">
        <v>6055</v>
      </c>
      <c r="G136" s="1">
        <v>889</v>
      </c>
      <c r="H136" s="8">
        <v>14.7</v>
      </c>
      <c r="I136" s="1">
        <v>974</v>
      </c>
      <c r="J136" s="8">
        <v>16.100000000000001</v>
      </c>
    </row>
    <row r="137" spans="1:10" x14ac:dyDescent="0.25">
      <c r="A137" t="s">
        <v>39</v>
      </c>
      <c r="B137" s="6" t="s">
        <v>10</v>
      </c>
      <c r="C137" s="4" t="s">
        <v>10</v>
      </c>
      <c r="D137" s="4" t="s">
        <v>47</v>
      </c>
      <c r="E137" s="5">
        <v>2021</v>
      </c>
      <c r="F137" s="1">
        <v>1002</v>
      </c>
      <c r="G137" s="1">
        <v>197</v>
      </c>
      <c r="H137" s="8">
        <v>19.7</v>
      </c>
      <c r="I137" s="1">
        <v>209</v>
      </c>
      <c r="J137" s="8">
        <v>20.9</v>
      </c>
    </row>
    <row r="138" spans="1:10" x14ac:dyDescent="0.25">
      <c r="A138" t="s">
        <v>39</v>
      </c>
      <c r="B138" s="4" t="s">
        <v>42</v>
      </c>
      <c r="C138" s="6" t="s">
        <v>11</v>
      </c>
      <c r="D138" s="4" t="s">
        <v>50</v>
      </c>
      <c r="E138" s="5">
        <v>2021</v>
      </c>
      <c r="F138" s="1">
        <v>311</v>
      </c>
      <c r="G138" s="1">
        <v>17</v>
      </c>
      <c r="H138" s="8">
        <v>5.6</v>
      </c>
      <c r="I138" s="1">
        <v>22</v>
      </c>
      <c r="J138" s="8">
        <v>7.2</v>
      </c>
    </row>
    <row r="139" spans="1:10" x14ac:dyDescent="0.25">
      <c r="A139" t="s">
        <v>39</v>
      </c>
      <c r="B139" s="4" t="s">
        <v>42</v>
      </c>
      <c r="C139" s="6" t="s">
        <v>12</v>
      </c>
      <c r="D139" s="4" t="s">
        <v>50</v>
      </c>
      <c r="E139" s="5">
        <v>2021</v>
      </c>
      <c r="F139" s="1">
        <v>352</v>
      </c>
      <c r="G139" s="1">
        <v>61</v>
      </c>
      <c r="H139" s="8">
        <v>17.3</v>
      </c>
      <c r="I139" s="1">
        <v>64</v>
      </c>
      <c r="J139" s="8">
        <v>18.3</v>
      </c>
    </row>
    <row r="140" spans="1:10" x14ac:dyDescent="0.25">
      <c r="A140" t="s">
        <v>39</v>
      </c>
      <c r="B140" s="4" t="s">
        <v>42</v>
      </c>
      <c r="C140" s="6" t="s">
        <v>36</v>
      </c>
      <c r="D140" s="4" t="s">
        <v>50</v>
      </c>
      <c r="E140" s="5">
        <v>2021</v>
      </c>
      <c r="F140" s="1">
        <v>368</v>
      </c>
      <c r="G140" s="1">
        <v>33</v>
      </c>
      <c r="H140" s="8">
        <v>8.9</v>
      </c>
      <c r="I140" s="1">
        <v>39</v>
      </c>
      <c r="J140" s="8">
        <v>10.7</v>
      </c>
    </row>
    <row r="141" spans="1:10" x14ac:dyDescent="0.25">
      <c r="A141" t="s">
        <v>39</v>
      </c>
      <c r="B141" s="4" t="s">
        <v>42</v>
      </c>
      <c r="C141" s="6" t="s">
        <v>14</v>
      </c>
      <c r="D141" s="4" t="s">
        <v>50</v>
      </c>
      <c r="E141" s="5">
        <v>2021</v>
      </c>
      <c r="F141" s="1">
        <v>843</v>
      </c>
      <c r="G141" s="1">
        <v>100</v>
      </c>
      <c r="H141" s="8">
        <v>11.9</v>
      </c>
      <c r="I141" s="1">
        <v>109</v>
      </c>
      <c r="J141" s="8">
        <v>13</v>
      </c>
    </row>
    <row r="142" spans="1:10" x14ac:dyDescent="0.25">
      <c r="A142" t="s">
        <v>39</v>
      </c>
      <c r="B142" s="4" t="s">
        <v>15</v>
      </c>
      <c r="C142" s="6" t="s">
        <v>16</v>
      </c>
      <c r="D142" s="4" t="s">
        <v>49</v>
      </c>
      <c r="E142" s="5">
        <v>2021</v>
      </c>
      <c r="F142" s="1">
        <v>6896</v>
      </c>
      <c r="G142" s="1">
        <v>91</v>
      </c>
      <c r="H142" s="8">
        <v>1.3</v>
      </c>
      <c r="I142" s="1">
        <v>135</v>
      </c>
      <c r="J142" s="8">
        <v>2</v>
      </c>
    </row>
    <row r="143" spans="1:10" x14ac:dyDescent="0.25">
      <c r="A143" t="s">
        <v>39</v>
      </c>
      <c r="B143" s="4" t="s">
        <v>15</v>
      </c>
      <c r="C143" s="6" t="s">
        <v>17</v>
      </c>
      <c r="D143" s="4" t="s">
        <v>49</v>
      </c>
      <c r="E143" s="5">
        <v>2021</v>
      </c>
      <c r="F143" s="1">
        <v>2205</v>
      </c>
      <c r="G143" s="1">
        <v>114</v>
      </c>
      <c r="H143" s="8">
        <v>5.2</v>
      </c>
      <c r="I143" s="1">
        <v>143</v>
      </c>
      <c r="J143" s="8">
        <v>6.5</v>
      </c>
    </row>
    <row r="144" spans="1:10" x14ac:dyDescent="0.25">
      <c r="A144" t="s">
        <v>39</v>
      </c>
      <c r="B144" s="4" t="s">
        <v>18</v>
      </c>
      <c r="C144" s="4" t="s">
        <v>19</v>
      </c>
      <c r="D144" s="4" t="s">
        <v>51</v>
      </c>
      <c r="E144" s="5">
        <v>2021</v>
      </c>
      <c r="F144" s="1">
        <v>10506</v>
      </c>
      <c r="G144" s="1">
        <v>128</v>
      </c>
      <c r="H144" s="8">
        <v>1.2</v>
      </c>
      <c r="I144" s="1">
        <v>204</v>
      </c>
      <c r="J144" s="8">
        <v>1.9</v>
      </c>
    </row>
    <row r="145" spans="1:10" x14ac:dyDescent="0.25">
      <c r="A145" t="s">
        <v>39</v>
      </c>
      <c r="B145" s="4" t="s">
        <v>18</v>
      </c>
      <c r="C145" s="4" t="s">
        <v>20</v>
      </c>
      <c r="D145" s="4" t="s">
        <v>47</v>
      </c>
      <c r="E145" s="5">
        <v>2021</v>
      </c>
      <c r="F145" s="1">
        <v>4868</v>
      </c>
      <c r="G145" s="1">
        <v>206</v>
      </c>
      <c r="H145" s="8">
        <v>4.2</v>
      </c>
      <c r="I145" s="1">
        <v>247</v>
      </c>
      <c r="J145" s="8">
        <v>5.0999999999999996</v>
      </c>
    </row>
    <row r="146" spans="1:10" x14ac:dyDescent="0.25">
      <c r="A146" t="s">
        <v>39</v>
      </c>
      <c r="B146" s="4" t="s">
        <v>21</v>
      </c>
      <c r="C146" s="6" t="s">
        <v>22</v>
      </c>
      <c r="D146" s="4" t="s">
        <v>48</v>
      </c>
      <c r="E146" s="5">
        <v>2021</v>
      </c>
      <c r="F146" s="1">
        <v>4694</v>
      </c>
      <c r="G146" s="1">
        <v>607</v>
      </c>
      <c r="H146" s="8">
        <v>12.9</v>
      </c>
      <c r="I146" s="1">
        <v>712</v>
      </c>
      <c r="J146" s="8">
        <v>15.2</v>
      </c>
    </row>
    <row r="147" spans="1:10" x14ac:dyDescent="0.25">
      <c r="A147" t="s">
        <v>39</v>
      </c>
      <c r="B147" s="4" t="s">
        <v>21</v>
      </c>
      <c r="C147" s="6" t="s">
        <v>23</v>
      </c>
      <c r="D147" s="4" t="s">
        <v>48</v>
      </c>
      <c r="E147" s="5">
        <v>2021</v>
      </c>
      <c r="F147" s="1">
        <v>18197</v>
      </c>
      <c r="G147" s="1">
        <v>1200</v>
      </c>
      <c r="H147" s="8">
        <v>6.6</v>
      </c>
      <c r="I147" s="1">
        <v>1397</v>
      </c>
      <c r="J147" s="8">
        <v>7.7</v>
      </c>
    </row>
    <row r="148" spans="1:10" x14ac:dyDescent="0.25">
      <c r="A148" t="s">
        <v>39</v>
      </c>
      <c r="B148" s="4" t="s">
        <v>24</v>
      </c>
      <c r="C148" s="6" t="s">
        <v>25</v>
      </c>
      <c r="D148" s="4" t="s">
        <v>51</v>
      </c>
      <c r="E148" s="5">
        <v>2021</v>
      </c>
      <c r="F148" s="1">
        <v>2004</v>
      </c>
      <c r="G148" s="1">
        <v>96</v>
      </c>
      <c r="H148" s="8">
        <v>4.8</v>
      </c>
      <c r="I148" s="1">
        <v>111</v>
      </c>
      <c r="J148" s="8">
        <v>5.5</v>
      </c>
    </row>
    <row r="149" spans="1:10" x14ac:dyDescent="0.25">
      <c r="A149" t="s">
        <v>39</v>
      </c>
      <c r="B149" s="4" t="s">
        <v>24</v>
      </c>
      <c r="C149" s="6" t="s">
        <v>26</v>
      </c>
      <c r="D149" s="4" t="s">
        <v>51</v>
      </c>
      <c r="E149" s="5">
        <v>2021</v>
      </c>
      <c r="F149" s="1">
        <v>9203</v>
      </c>
      <c r="G149" s="1">
        <v>156</v>
      </c>
      <c r="H149" s="8">
        <v>1.7</v>
      </c>
      <c r="I149" s="1">
        <v>192</v>
      </c>
      <c r="J149" s="8">
        <v>2.1</v>
      </c>
    </row>
    <row r="150" spans="1:10" x14ac:dyDescent="0.25">
      <c r="A150" t="s">
        <v>39</v>
      </c>
      <c r="B150" s="10" t="s">
        <v>43</v>
      </c>
      <c r="C150" s="10" t="s">
        <v>43</v>
      </c>
      <c r="D150" s="10" t="s">
        <v>51</v>
      </c>
      <c r="E150" s="5">
        <v>2021</v>
      </c>
      <c r="F150" s="1">
        <v>5632</v>
      </c>
      <c r="G150" s="1">
        <v>176</v>
      </c>
      <c r="H150" s="8">
        <v>3.1</v>
      </c>
      <c r="I150" s="1">
        <v>208</v>
      </c>
      <c r="J150" s="8">
        <v>3.7</v>
      </c>
    </row>
    <row r="151" spans="1:10" x14ac:dyDescent="0.25">
      <c r="A151" t="s">
        <v>40</v>
      </c>
      <c r="B151" s="6" t="s">
        <v>27</v>
      </c>
      <c r="C151" s="6" t="s">
        <v>27</v>
      </c>
      <c r="D151" s="6"/>
      <c r="E151" s="5">
        <v>2021</v>
      </c>
      <c r="F151" s="1">
        <v>3820</v>
      </c>
      <c r="G151" s="1">
        <v>951</v>
      </c>
      <c r="H151" s="8">
        <v>24.9</v>
      </c>
      <c r="I151" s="1">
        <v>1108</v>
      </c>
      <c r="J151" s="8">
        <v>29</v>
      </c>
    </row>
    <row r="152" spans="1:10" x14ac:dyDescent="0.25">
      <c r="A152" t="s">
        <v>40</v>
      </c>
      <c r="B152" s="6" t="s">
        <v>28</v>
      </c>
      <c r="C152" s="6" t="s">
        <v>28</v>
      </c>
      <c r="D152" s="6"/>
      <c r="E152" s="5">
        <v>2021</v>
      </c>
      <c r="F152" s="1">
        <v>6866</v>
      </c>
      <c r="G152" s="1">
        <v>2033</v>
      </c>
      <c r="H152" s="8">
        <v>29.6</v>
      </c>
      <c r="I152" s="1">
        <v>2273</v>
      </c>
      <c r="J152" s="8">
        <v>33.1</v>
      </c>
    </row>
    <row r="153" spans="1:10" x14ac:dyDescent="0.25">
      <c r="A153" t="s">
        <v>40</v>
      </c>
      <c r="B153" s="6" t="s">
        <v>29</v>
      </c>
      <c r="C153" s="6" t="s">
        <v>29</v>
      </c>
      <c r="D153" s="6"/>
      <c r="E153" s="5">
        <v>2021</v>
      </c>
      <c r="F153" s="1">
        <v>9940</v>
      </c>
      <c r="G153" s="1">
        <v>3999</v>
      </c>
      <c r="H153" s="8">
        <v>40.200000000000003</v>
      </c>
      <c r="I153" s="1">
        <v>4367</v>
      </c>
      <c r="J153" s="8">
        <v>43.9</v>
      </c>
    </row>
    <row r="154" spans="1:10" x14ac:dyDescent="0.25">
      <c r="A154" t="s">
        <v>39</v>
      </c>
      <c r="B154" s="6" t="s">
        <v>0</v>
      </c>
      <c r="C154" s="4" t="s">
        <v>0</v>
      </c>
      <c r="D154" s="4" t="s">
        <v>46</v>
      </c>
      <c r="E154" s="5">
        <v>2018</v>
      </c>
      <c r="F154" s="1">
        <v>1344</v>
      </c>
      <c r="G154" s="1">
        <v>29</v>
      </c>
      <c r="H154" s="8">
        <v>2.2000000000000002</v>
      </c>
      <c r="I154" s="1">
        <v>35</v>
      </c>
      <c r="J154" s="8">
        <v>2.6</v>
      </c>
    </row>
    <row r="155" spans="1:10" x14ac:dyDescent="0.25">
      <c r="A155" t="s">
        <v>39</v>
      </c>
      <c r="B155" s="6" t="s">
        <v>1</v>
      </c>
      <c r="C155" s="6" t="s">
        <v>1</v>
      </c>
      <c r="D155" s="4" t="s">
        <v>54</v>
      </c>
      <c r="E155" s="5">
        <v>2018</v>
      </c>
      <c r="F155" s="1">
        <v>721</v>
      </c>
      <c r="G155" s="1">
        <v>34</v>
      </c>
      <c r="H155" s="8">
        <v>4.7</v>
      </c>
      <c r="I155" s="1">
        <v>38</v>
      </c>
      <c r="J155" s="8">
        <v>5.3</v>
      </c>
    </row>
    <row r="156" spans="1:10" x14ac:dyDescent="0.25">
      <c r="A156" t="s">
        <v>39</v>
      </c>
      <c r="B156" s="6" t="s">
        <v>2</v>
      </c>
      <c r="C156" s="4" t="s">
        <v>2</v>
      </c>
      <c r="D156" s="4" t="s">
        <v>47</v>
      </c>
      <c r="E156" s="5">
        <v>2018</v>
      </c>
      <c r="F156" s="1">
        <v>8169</v>
      </c>
      <c r="G156" s="1">
        <v>1048</v>
      </c>
      <c r="H156" s="8">
        <v>12.8</v>
      </c>
      <c r="I156" s="1">
        <v>1125</v>
      </c>
      <c r="J156" s="8">
        <v>13.8</v>
      </c>
    </row>
    <row r="157" spans="1:10" x14ac:dyDescent="0.25">
      <c r="A157" t="s">
        <v>39</v>
      </c>
      <c r="B157" s="4" t="s">
        <v>3</v>
      </c>
      <c r="C157" s="6" t="s">
        <v>4</v>
      </c>
      <c r="D157" s="4" t="s">
        <v>52</v>
      </c>
      <c r="E157" s="5">
        <v>2018</v>
      </c>
      <c r="F157" s="1">
        <v>9401</v>
      </c>
      <c r="G157" s="1">
        <v>850</v>
      </c>
      <c r="H157" s="8">
        <v>9</v>
      </c>
      <c r="I157" s="1">
        <v>917</v>
      </c>
      <c r="J157" s="8">
        <v>9.8000000000000007</v>
      </c>
    </row>
    <row r="158" spans="1:10" x14ac:dyDescent="0.25">
      <c r="A158" t="s">
        <v>39</v>
      </c>
      <c r="B158" s="4" t="s">
        <v>3</v>
      </c>
      <c r="C158" s="6" t="s">
        <v>5</v>
      </c>
      <c r="D158" s="4" t="s">
        <v>53</v>
      </c>
      <c r="E158" s="5">
        <v>2018</v>
      </c>
      <c r="F158" s="1">
        <v>5460</v>
      </c>
      <c r="G158" s="1">
        <v>490</v>
      </c>
      <c r="H158" s="8">
        <v>9</v>
      </c>
      <c r="I158" s="1">
        <v>527</v>
      </c>
      <c r="J158" s="8">
        <v>9.6</v>
      </c>
    </row>
    <row r="159" spans="1:10" x14ac:dyDescent="0.25">
      <c r="A159" t="s">
        <v>39</v>
      </c>
      <c r="B159" s="4" t="s">
        <v>6</v>
      </c>
      <c r="C159" s="6" t="s">
        <v>7</v>
      </c>
      <c r="D159" s="4" t="s">
        <v>53</v>
      </c>
      <c r="E159" s="5">
        <v>2018</v>
      </c>
      <c r="F159" s="1">
        <v>3351</v>
      </c>
      <c r="G159" s="1">
        <v>137</v>
      </c>
      <c r="H159" s="8">
        <v>4.0999999999999996</v>
      </c>
      <c r="I159" s="1">
        <v>158</v>
      </c>
      <c r="J159" s="8">
        <v>4.7</v>
      </c>
    </row>
    <row r="160" spans="1:10" x14ac:dyDescent="0.25">
      <c r="A160" t="s">
        <v>39</v>
      </c>
      <c r="B160" s="4" t="s">
        <v>6</v>
      </c>
      <c r="C160" s="6" t="s">
        <v>8</v>
      </c>
      <c r="D160" s="4" t="s">
        <v>53</v>
      </c>
      <c r="E160" s="5">
        <v>2018</v>
      </c>
      <c r="F160" s="1">
        <v>15385</v>
      </c>
      <c r="G160" s="1">
        <v>669</v>
      </c>
      <c r="H160" s="8">
        <v>4.3</v>
      </c>
      <c r="I160" s="1">
        <v>769</v>
      </c>
      <c r="J160" s="8">
        <v>5</v>
      </c>
    </row>
    <row r="161" spans="1:10" x14ac:dyDescent="0.25">
      <c r="A161" t="s">
        <v>39</v>
      </c>
      <c r="B161" s="6" t="s">
        <v>9</v>
      </c>
      <c r="C161" s="4" t="s">
        <v>9</v>
      </c>
      <c r="D161" s="4" t="s">
        <v>55</v>
      </c>
      <c r="E161" s="5">
        <v>2018</v>
      </c>
      <c r="F161" s="1">
        <v>5410</v>
      </c>
      <c r="G161" s="1">
        <v>904</v>
      </c>
      <c r="H161" s="8">
        <v>16.7</v>
      </c>
      <c r="I161" s="1">
        <v>968</v>
      </c>
      <c r="J161" s="8">
        <v>17.899999999999999</v>
      </c>
    </row>
    <row r="162" spans="1:10" x14ac:dyDescent="0.25">
      <c r="A162" t="s">
        <v>39</v>
      </c>
      <c r="B162" s="6" t="s">
        <v>10</v>
      </c>
      <c r="C162" s="4" t="s">
        <v>10</v>
      </c>
      <c r="D162" s="4" t="s">
        <v>47</v>
      </c>
      <c r="E162" s="5">
        <v>2018</v>
      </c>
      <c r="F162" s="1">
        <v>1057</v>
      </c>
      <c r="G162" s="1">
        <v>212</v>
      </c>
      <c r="H162" s="8">
        <v>20.100000000000001</v>
      </c>
      <c r="I162" s="1">
        <v>217</v>
      </c>
      <c r="J162" s="8">
        <v>20.5</v>
      </c>
    </row>
    <row r="163" spans="1:10" x14ac:dyDescent="0.25">
      <c r="A163" t="s">
        <v>39</v>
      </c>
      <c r="B163" s="4" t="s">
        <v>42</v>
      </c>
      <c r="C163" s="6" t="s">
        <v>11</v>
      </c>
      <c r="D163" s="4" t="s">
        <v>50</v>
      </c>
      <c r="E163" s="5">
        <v>2018</v>
      </c>
      <c r="F163" s="1">
        <v>437</v>
      </c>
      <c r="G163" s="1">
        <v>17</v>
      </c>
      <c r="H163" s="8">
        <v>3.9</v>
      </c>
      <c r="I163" s="1">
        <v>18</v>
      </c>
      <c r="J163" s="8">
        <v>4.2</v>
      </c>
    </row>
    <row r="164" spans="1:10" x14ac:dyDescent="0.25">
      <c r="A164" t="s">
        <v>39</v>
      </c>
      <c r="B164" s="4" t="s">
        <v>42</v>
      </c>
      <c r="C164" s="6" t="s">
        <v>12</v>
      </c>
      <c r="D164" s="4" t="s">
        <v>50</v>
      </c>
      <c r="E164" s="5">
        <v>2018</v>
      </c>
      <c r="F164" s="1">
        <v>395</v>
      </c>
      <c r="G164" s="1">
        <v>49</v>
      </c>
      <c r="H164" s="8">
        <v>12.5</v>
      </c>
      <c r="I164" s="1">
        <v>50</v>
      </c>
      <c r="J164" s="8">
        <v>12.6</v>
      </c>
    </row>
    <row r="165" spans="1:10" ht="30" x14ac:dyDescent="0.25">
      <c r="A165" t="s">
        <v>39</v>
      </c>
      <c r="B165" s="4" t="s">
        <v>42</v>
      </c>
      <c r="C165" s="6" t="s">
        <v>37</v>
      </c>
      <c r="D165" s="4" t="s">
        <v>50</v>
      </c>
      <c r="E165" s="5">
        <v>2018</v>
      </c>
      <c r="F165" s="1">
        <v>526</v>
      </c>
      <c r="G165" s="1">
        <v>41</v>
      </c>
      <c r="H165" s="8">
        <v>7.7</v>
      </c>
      <c r="I165" s="1">
        <v>45</v>
      </c>
      <c r="J165" s="8">
        <v>8.6</v>
      </c>
    </row>
    <row r="166" spans="1:10" x14ac:dyDescent="0.25">
      <c r="A166" t="s">
        <v>39</v>
      </c>
      <c r="B166" s="4" t="s">
        <v>42</v>
      </c>
      <c r="C166" s="6" t="s">
        <v>14</v>
      </c>
      <c r="D166" s="4" t="s">
        <v>50</v>
      </c>
      <c r="E166" s="5">
        <v>2018</v>
      </c>
      <c r="F166" s="1">
        <v>851</v>
      </c>
      <c r="G166" s="1">
        <v>131</v>
      </c>
      <c r="H166" s="8">
        <v>15.4</v>
      </c>
      <c r="I166" s="1">
        <v>138</v>
      </c>
      <c r="J166" s="8">
        <v>16.2</v>
      </c>
    </row>
    <row r="167" spans="1:10" x14ac:dyDescent="0.25">
      <c r="A167" t="s">
        <v>39</v>
      </c>
      <c r="B167" s="4" t="s">
        <v>15</v>
      </c>
      <c r="C167" s="6" t="s">
        <v>16</v>
      </c>
      <c r="D167" s="4" t="s">
        <v>49</v>
      </c>
      <c r="E167" s="5">
        <v>2018</v>
      </c>
      <c r="F167" s="1">
        <v>6770</v>
      </c>
      <c r="G167" s="1">
        <v>99</v>
      </c>
      <c r="H167" s="8">
        <v>1.5</v>
      </c>
      <c r="I167" s="1">
        <v>137</v>
      </c>
      <c r="J167" s="8">
        <v>2</v>
      </c>
    </row>
    <row r="168" spans="1:10" x14ac:dyDescent="0.25">
      <c r="A168" t="s">
        <v>39</v>
      </c>
      <c r="B168" s="4" t="s">
        <v>15</v>
      </c>
      <c r="C168" s="6" t="s">
        <v>17</v>
      </c>
      <c r="D168" s="4" t="s">
        <v>49</v>
      </c>
      <c r="E168" s="5">
        <v>2018</v>
      </c>
      <c r="F168" s="1">
        <v>2379</v>
      </c>
      <c r="G168" s="1">
        <v>94</v>
      </c>
      <c r="H168" s="8">
        <v>3.9</v>
      </c>
      <c r="I168" s="1">
        <v>115</v>
      </c>
      <c r="J168" s="8">
        <v>4.8</v>
      </c>
    </row>
    <row r="169" spans="1:10" x14ac:dyDescent="0.25">
      <c r="A169" t="s">
        <v>39</v>
      </c>
      <c r="B169" s="4" t="s">
        <v>18</v>
      </c>
      <c r="C169" s="4" t="s">
        <v>19</v>
      </c>
      <c r="D169" s="4" t="s">
        <v>51</v>
      </c>
      <c r="E169" s="5">
        <v>2018</v>
      </c>
      <c r="F169" s="1">
        <v>9718</v>
      </c>
      <c r="G169" s="1">
        <v>148</v>
      </c>
      <c r="H169" s="8">
        <v>1.5</v>
      </c>
      <c r="I169" s="1">
        <v>203</v>
      </c>
      <c r="J169" s="8">
        <v>2.1</v>
      </c>
    </row>
    <row r="170" spans="1:10" x14ac:dyDescent="0.25">
      <c r="A170" t="s">
        <v>39</v>
      </c>
      <c r="B170" s="4" t="s">
        <v>18</v>
      </c>
      <c r="C170" s="4" t="s">
        <v>20</v>
      </c>
      <c r="D170" s="4" t="s">
        <v>47</v>
      </c>
      <c r="E170" s="5">
        <v>2018</v>
      </c>
      <c r="F170" s="1">
        <v>5510</v>
      </c>
      <c r="G170" s="1">
        <v>242</v>
      </c>
      <c r="H170" s="8">
        <v>4.4000000000000004</v>
      </c>
      <c r="I170" s="1">
        <v>278</v>
      </c>
      <c r="J170" s="8">
        <v>5</v>
      </c>
    </row>
    <row r="171" spans="1:10" x14ac:dyDescent="0.25">
      <c r="A171" t="s">
        <v>39</v>
      </c>
      <c r="B171" s="4" t="s">
        <v>21</v>
      </c>
      <c r="C171" s="6" t="s">
        <v>22</v>
      </c>
      <c r="D171" s="4" t="s">
        <v>48</v>
      </c>
      <c r="E171" s="5">
        <v>2018</v>
      </c>
      <c r="F171" s="1">
        <v>4828</v>
      </c>
      <c r="G171" s="1">
        <v>632</v>
      </c>
      <c r="H171" s="8">
        <v>13.1</v>
      </c>
      <c r="I171" s="1">
        <v>748</v>
      </c>
      <c r="J171" s="8">
        <v>15.5</v>
      </c>
    </row>
    <row r="172" spans="1:10" x14ac:dyDescent="0.25">
      <c r="A172" t="s">
        <v>39</v>
      </c>
      <c r="B172" s="4" t="s">
        <v>21</v>
      </c>
      <c r="C172" s="6" t="s">
        <v>23</v>
      </c>
      <c r="D172" s="4" t="s">
        <v>48</v>
      </c>
      <c r="E172" s="5">
        <v>2018</v>
      </c>
      <c r="F172" s="1">
        <v>18154</v>
      </c>
      <c r="G172" s="1">
        <v>1221</v>
      </c>
      <c r="H172" s="8">
        <v>6.7</v>
      </c>
      <c r="I172" s="1">
        <v>1396</v>
      </c>
      <c r="J172" s="8">
        <v>7.7</v>
      </c>
    </row>
    <row r="173" spans="1:10" x14ac:dyDescent="0.25">
      <c r="A173" t="s">
        <v>39</v>
      </c>
      <c r="B173" s="4" t="s">
        <v>24</v>
      </c>
      <c r="C173" s="6" t="s">
        <v>25</v>
      </c>
      <c r="D173" s="4" t="s">
        <v>51</v>
      </c>
      <c r="E173" s="5">
        <v>2018</v>
      </c>
      <c r="F173" s="1">
        <v>2390</v>
      </c>
      <c r="G173" s="1">
        <v>136</v>
      </c>
      <c r="H173" s="8">
        <v>5.7</v>
      </c>
      <c r="I173" s="1">
        <v>159</v>
      </c>
      <c r="J173" s="8">
        <v>6.6</v>
      </c>
    </row>
    <row r="174" spans="1:10" x14ac:dyDescent="0.25">
      <c r="A174" t="s">
        <v>39</v>
      </c>
      <c r="B174" s="4" t="s">
        <v>24</v>
      </c>
      <c r="C174" s="6" t="s">
        <v>26</v>
      </c>
      <c r="D174" s="4" t="s">
        <v>51</v>
      </c>
      <c r="E174" s="5">
        <v>2018</v>
      </c>
      <c r="F174" s="1">
        <v>10193</v>
      </c>
      <c r="G174" s="1">
        <v>231</v>
      </c>
      <c r="H174" s="8">
        <v>2.2999999999999998</v>
      </c>
      <c r="I174" s="1">
        <v>277</v>
      </c>
      <c r="J174" s="8">
        <v>2.7</v>
      </c>
    </row>
    <row r="175" spans="1:10" x14ac:dyDescent="0.25">
      <c r="A175" t="s">
        <v>39</v>
      </c>
      <c r="B175" s="10" t="s">
        <v>43</v>
      </c>
      <c r="C175" s="10" t="s">
        <v>43</v>
      </c>
      <c r="D175" s="10" t="s">
        <v>51</v>
      </c>
      <c r="E175" s="5">
        <v>2018</v>
      </c>
      <c r="F175" s="1">
        <v>6192</v>
      </c>
      <c r="G175" s="1">
        <v>159</v>
      </c>
      <c r="H175" s="8">
        <v>2.6</v>
      </c>
      <c r="I175" s="1">
        <v>184</v>
      </c>
      <c r="J175" s="8">
        <v>3</v>
      </c>
    </row>
    <row r="176" spans="1:10" x14ac:dyDescent="0.25">
      <c r="A176" t="s">
        <v>40</v>
      </c>
      <c r="B176" s="6" t="s">
        <v>27</v>
      </c>
      <c r="C176" s="6" t="s">
        <v>27</v>
      </c>
      <c r="D176" s="6"/>
      <c r="E176" s="5">
        <v>2018</v>
      </c>
      <c r="F176" s="1">
        <v>3707</v>
      </c>
      <c r="G176" s="1">
        <v>977</v>
      </c>
      <c r="H176" s="8">
        <v>26.4</v>
      </c>
      <c r="I176" s="1">
        <v>1128</v>
      </c>
      <c r="J176" s="8">
        <v>30.4</v>
      </c>
    </row>
    <row r="177" spans="1:10" x14ac:dyDescent="0.25">
      <c r="A177" t="s">
        <v>40</v>
      </c>
      <c r="B177" s="6" t="s">
        <v>28</v>
      </c>
      <c r="C177" s="6" t="s">
        <v>28</v>
      </c>
      <c r="D177" s="6"/>
      <c r="E177" s="5">
        <v>2018</v>
      </c>
      <c r="F177" s="1">
        <v>7109</v>
      </c>
      <c r="G177" s="1">
        <v>2035</v>
      </c>
      <c r="H177" s="8">
        <v>28.6</v>
      </c>
      <c r="I177" s="1">
        <v>2259</v>
      </c>
      <c r="J177" s="8">
        <v>31.8</v>
      </c>
    </row>
    <row r="178" spans="1:10" x14ac:dyDescent="0.25">
      <c r="A178" t="s">
        <v>40</v>
      </c>
      <c r="B178" s="6" t="s">
        <v>29</v>
      </c>
      <c r="C178" s="6" t="s">
        <v>29</v>
      </c>
      <c r="D178" s="6"/>
      <c r="E178" s="5">
        <v>2018</v>
      </c>
      <c r="F178" s="1">
        <v>10315</v>
      </c>
      <c r="G178" s="1">
        <v>4155</v>
      </c>
      <c r="H178" s="8">
        <v>40.299999999999997</v>
      </c>
      <c r="I178" s="1">
        <v>4481</v>
      </c>
      <c r="J178" s="8">
        <v>43.4</v>
      </c>
    </row>
    <row r="179" spans="1:10" x14ac:dyDescent="0.25">
      <c r="A179" t="s">
        <v>39</v>
      </c>
      <c r="B179" s="6" t="s">
        <v>0</v>
      </c>
      <c r="C179" s="4" t="s">
        <v>0</v>
      </c>
      <c r="D179" s="4" t="s">
        <v>46</v>
      </c>
      <c r="E179" s="5">
        <v>2019</v>
      </c>
      <c r="F179" s="1">
        <v>1352</v>
      </c>
      <c r="G179" s="1">
        <v>23</v>
      </c>
      <c r="H179" s="8">
        <v>1.7</v>
      </c>
      <c r="I179" s="1">
        <v>38</v>
      </c>
      <c r="J179" s="8">
        <v>2.8</v>
      </c>
    </row>
    <row r="180" spans="1:10" x14ac:dyDescent="0.25">
      <c r="A180" t="s">
        <v>39</v>
      </c>
      <c r="B180" s="6" t="s">
        <v>1</v>
      </c>
      <c r="C180" s="6" t="s">
        <v>1</v>
      </c>
      <c r="D180" s="4" t="s">
        <v>54</v>
      </c>
      <c r="E180" s="5">
        <v>2019</v>
      </c>
      <c r="F180" s="1">
        <v>710</v>
      </c>
      <c r="G180" s="1">
        <v>28</v>
      </c>
      <c r="H180" s="8">
        <v>4</v>
      </c>
      <c r="I180" s="1">
        <v>33</v>
      </c>
      <c r="J180" s="8">
        <v>4.7</v>
      </c>
    </row>
    <row r="181" spans="1:10" x14ac:dyDescent="0.25">
      <c r="A181" t="s">
        <v>39</v>
      </c>
      <c r="B181" s="6" t="s">
        <v>2</v>
      </c>
      <c r="C181" s="4" t="s">
        <v>2</v>
      </c>
      <c r="D181" s="4" t="s">
        <v>47</v>
      </c>
      <c r="E181" s="5">
        <v>2019</v>
      </c>
      <c r="F181" s="1">
        <v>8352</v>
      </c>
      <c r="G181" s="1">
        <v>1055</v>
      </c>
      <c r="H181" s="8">
        <v>12.6</v>
      </c>
      <c r="I181" s="1">
        <v>1133</v>
      </c>
      <c r="J181" s="8">
        <v>13.6</v>
      </c>
    </row>
    <row r="182" spans="1:10" x14ac:dyDescent="0.25">
      <c r="A182" t="s">
        <v>39</v>
      </c>
      <c r="B182" s="4" t="s">
        <v>3</v>
      </c>
      <c r="C182" s="6" t="s">
        <v>4</v>
      </c>
      <c r="D182" s="4" t="s">
        <v>52</v>
      </c>
      <c r="E182" s="5">
        <v>2019</v>
      </c>
      <c r="F182" s="1">
        <v>9502</v>
      </c>
      <c r="G182" s="1">
        <v>835</v>
      </c>
      <c r="H182" s="8">
        <v>8.8000000000000007</v>
      </c>
      <c r="I182" s="1">
        <v>912</v>
      </c>
      <c r="J182" s="8">
        <v>9.6</v>
      </c>
    </row>
    <row r="183" spans="1:10" x14ac:dyDescent="0.25">
      <c r="A183" t="s">
        <v>39</v>
      </c>
      <c r="B183" s="4" t="s">
        <v>3</v>
      </c>
      <c r="C183" s="6" t="s">
        <v>5</v>
      </c>
      <c r="D183" s="4" t="s">
        <v>53</v>
      </c>
      <c r="E183" s="5">
        <v>2019</v>
      </c>
      <c r="F183" s="1">
        <v>5568</v>
      </c>
      <c r="G183" s="1">
        <v>455</v>
      </c>
      <c r="H183" s="8">
        <v>8.1999999999999993</v>
      </c>
      <c r="I183" s="1">
        <v>510</v>
      </c>
      <c r="J183" s="8">
        <v>9.1999999999999993</v>
      </c>
    </row>
    <row r="184" spans="1:10" x14ac:dyDescent="0.25">
      <c r="A184" t="s">
        <v>39</v>
      </c>
      <c r="B184" s="4" t="s">
        <v>6</v>
      </c>
      <c r="C184" s="6" t="s">
        <v>7</v>
      </c>
      <c r="D184" s="4" t="s">
        <v>53</v>
      </c>
      <c r="E184" s="5">
        <v>2019</v>
      </c>
      <c r="F184" s="1">
        <v>3186</v>
      </c>
      <c r="G184" s="1">
        <v>143</v>
      </c>
      <c r="H184" s="8">
        <v>4.5</v>
      </c>
      <c r="I184" s="1">
        <v>160</v>
      </c>
      <c r="J184" s="8">
        <v>5</v>
      </c>
    </row>
    <row r="185" spans="1:10" x14ac:dyDescent="0.25">
      <c r="A185" t="s">
        <v>39</v>
      </c>
      <c r="B185" s="4" t="s">
        <v>6</v>
      </c>
      <c r="C185" s="6" t="s">
        <v>8</v>
      </c>
      <c r="D185" s="4" t="s">
        <v>53</v>
      </c>
      <c r="E185" s="5">
        <v>2019</v>
      </c>
      <c r="F185" s="1">
        <v>14927</v>
      </c>
      <c r="G185" s="1">
        <v>598</v>
      </c>
      <c r="H185" s="8">
        <v>4</v>
      </c>
      <c r="I185" s="1">
        <v>704</v>
      </c>
      <c r="J185" s="8">
        <v>4.7</v>
      </c>
    </row>
    <row r="186" spans="1:10" x14ac:dyDescent="0.25">
      <c r="A186" t="s">
        <v>39</v>
      </c>
      <c r="B186" s="6" t="s">
        <v>9</v>
      </c>
      <c r="C186" s="4" t="s">
        <v>9</v>
      </c>
      <c r="D186" s="4" t="s">
        <v>55</v>
      </c>
      <c r="E186" s="5">
        <v>2019</v>
      </c>
      <c r="F186" s="1">
        <v>5659</v>
      </c>
      <c r="G186" s="1">
        <v>912</v>
      </c>
      <c r="H186" s="8">
        <v>16.100000000000001</v>
      </c>
      <c r="I186" s="1">
        <v>997</v>
      </c>
      <c r="J186" s="8">
        <v>17.600000000000001</v>
      </c>
    </row>
    <row r="187" spans="1:10" x14ac:dyDescent="0.25">
      <c r="A187" t="s">
        <v>39</v>
      </c>
      <c r="B187" s="6" t="s">
        <v>10</v>
      </c>
      <c r="C187" s="4" t="s">
        <v>10</v>
      </c>
      <c r="D187" s="4" t="s">
        <v>47</v>
      </c>
      <c r="E187" s="5">
        <v>2019</v>
      </c>
      <c r="F187" s="1">
        <v>1086</v>
      </c>
      <c r="G187" s="1">
        <v>254</v>
      </c>
      <c r="H187" s="8">
        <v>23.4</v>
      </c>
      <c r="I187" s="1">
        <v>261</v>
      </c>
      <c r="J187" s="8">
        <v>24</v>
      </c>
    </row>
    <row r="188" spans="1:10" x14ac:dyDescent="0.25">
      <c r="A188" t="s">
        <v>39</v>
      </c>
      <c r="B188" s="4" t="s">
        <v>42</v>
      </c>
      <c r="C188" s="6" t="s">
        <v>11</v>
      </c>
      <c r="D188" s="4" t="s">
        <v>50</v>
      </c>
      <c r="E188" s="5">
        <v>2019</v>
      </c>
      <c r="F188" s="1">
        <v>355</v>
      </c>
      <c r="G188" s="1">
        <v>12</v>
      </c>
      <c r="H188" s="8">
        <v>3.3</v>
      </c>
      <c r="I188" s="1">
        <v>13</v>
      </c>
      <c r="J188" s="8">
        <v>3.8</v>
      </c>
    </row>
    <row r="189" spans="1:10" x14ac:dyDescent="0.25">
      <c r="A189" t="s">
        <v>39</v>
      </c>
      <c r="B189" s="4" t="s">
        <v>42</v>
      </c>
      <c r="C189" s="6" t="s">
        <v>12</v>
      </c>
      <c r="D189" s="4" t="s">
        <v>50</v>
      </c>
      <c r="E189" s="5">
        <v>2019</v>
      </c>
      <c r="F189" s="1">
        <v>386</v>
      </c>
      <c r="G189" s="1">
        <v>53</v>
      </c>
      <c r="H189" s="8">
        <v>13.6</v>
      </c>
      <c r="I189" s="1">
        <v>57</v>
      </c>
      <c r="J189" s="8">
        <v>14.7</v>
      </c>
    </row>
    <row r="190" spans="1:10" ht="30" x14ac:dyDescent="0.25">
      <c r="A190" t="s">
        <v>39</v>
      </c>
      <c r="B190" s="4" t="s">
        <v>42</v>
      </c>
      <c r="C190" s="6" t="s">
        <v>37</v>
      </c>
      <c r="D190" s="4" t="s">
        <v>50</v>
      </c>
      <c r="E190" s="5">
        <v>2019</v>
      </c>
      <c r="F190" s="1">
        <v>482</v>
      </c>
      <c r="G190" s="1">
        <v>53</v>
      </c>
      <c r="H190" s="8">
        <v>11</v>
      </c>
      <c r="I190" s="1">
        <v>57</v>
      </c>
      <c r="J190" s="8">
        <v>11.9</v>
      </c>
    </row>
    <row r="191" spans="1:10" x14ac:dyDescent="0.25">
      <c r="A191" t="s">
        <v>39</v>
      </c>
      <c r="B191" s="4" t="s">
        <v>42</v>
      </c>
      <c r="C191" s="6" t="s">
        <v>14</v>
      </c>
      <c r="D191" s="4" t="s">
        <v>50</v>
      </c>
      <c r="E191" s="5">
        <v>2019</v>
      </c>
      <c r="F191" s="1">
        <v>821</v>
      </c>
      <c r="G191" s="1">
        <v>115</v>
      </c>
      <c r="H191" s="8">
        <v>14.1</v>
      </c>
      <c r="I191" s="1">
        <v>125</v>
      </c>
      <c r="J191" s="8">
        <v>15.3</v>
      </c>
    </row>
    <row r="192" spans="1:10" x14ac:dyDescent="0.25">
      <c r="A192" t="s">
        <v>39</v>
      </c>
      <c r="B192" s="4" t="s">
        <v>15</v>
      </c>
      <c r="C192" s="6" t="s">
        <v>16</v>
      </c>
      <c r="D192" s="4" t="s">
        <v>49</v>
      </c>
      <c r="E192" s="5">
        <v>2019</v>
      </c>
      <c r="F192" s="1">
        <v>6982</v>
      </c>
      <c r="G192" s="1">
        <v>87</v>
      </c>
      <c r="H192" s="8">
        <v>1.2</v>
      </c>
      <c r="I192" s="1">
        <v>125</v>
      </c>
      <c r="J192" s="8">
        <v>1.8</v>
      </c>
    </row>
    <row r="193" spans="1:10" x14ac:dyDescent="0.25">
      <c r="A193" t="s">
        <v>39</v>
      </c>
      <c r="B193" s="4" t="s">
        <v>15</v>
      </c>
      <c r="C193" s="6" t="s">
        <v>17</v>
      </c>
      <c r="D193" s="4" t="s">
        <v>49</v>
      </c>
      <c r="E193" s="5">
        <v>2019</v>
      </c>
      <c r="F193" s="1">
        <v>2382</v>
      </c>
      <c r="G193" s="1">
        <v>95</v>
      </c>
      <c r="H193" s="8">
        <v>4</v>
      </c>
      <c r="I193" s="1">
        <v>112</v>
      </c>
      <c r="J193" s="8">
        <v>4.7</v>
      </c>
    </row>
    <row r="194" spans="1:10" x14ac:dyDescent="0.25">
      <c r="A194" t="s">
        <v>39</v>
      </c>
      <c r="B194" s="4" t="s">
        <v>18</v>
      </c>
      <c r="C194" s="4" t="s">
        <v>19</v>
      </c>
      <c r="D194" s="4" t="s">
        <v>51</v>
      </c>
      <c r="E194" s="5">
        <v>2019</v>
      </c>
      <c r="F194" s="1">
        <v>10280</v>
      </c>
      <c r="G194" s="1">
        <v>143</v>
      </c>
      <c r="H194" s="8">
        <v>1.4</v>
      </c>
      <c r="I194" s="1">
        <v>227</v>
      </c>
      <c r="J194" s="8">
        <v>2.2000000000000002</v>
      </c>
    </row>
    <row r="195" spans="1:10" x14ac:dyDescent="0.25">
      <c r="A195" t="s">
        <v>39</v>
      </c>
      <c r="B195" s="4" t="s">
        <v>18</v>
      </c>
      <c r="C195" s="4" t="s">
        <v>20</v>
      </c>
      <c r="D195" s="4" t="s">
        <v>47</v>
      </c>
      <c r="E195" s="5">
        <v>2019</v>
      </c>
      <c r="F195" s="1">
        <v>5440</v>
      </c>
      <c r="G195" s="1">
        <v>197</v>
      </c>
      <c r="H195" s="8">
        <v>3.6</v>
      </c>
      <c r="I195" s="1">
        <v>244</v>
      </c>
      <c r="J195" s="8">
        <v>4.5</v>
      </c>
    </row>
    <row r="196" spans="1:10" x14ac:dyDescent="0.25">
      <c r="A196" t="s">
        <v>39</v>
      </c>
      <c r="B196" s="4" t="s">
        <v>21</v>
      </c>
      <c r="C196" s="6" t="s">
        <v>22</v>
      </c>
      <c r="D196" s="4" t="s">
        <v>48</v>
      </c>
      <c r="E196" s="5">
        <v>2019</v>
      </c>
      <c r="F196" s="1">
        <v>4922</v>
      </c>
      <c r="G196" s="1">
        <v>608</v>
      </c>
      <c r="H196" s="8">
        <v>12.3</v>
      </c>
      <c r="I196" s="1">
        <v>693</v>
      </c>
      <c r="J196" s="8">
        <v>14.1</v>
      </c>
    </row>
    <row r="197" spans="1:10" x14ac:dyDescent="0.25">
      <c r="A197" t="s">
        <v>39</v>
      </c>
      <c r="B197" s="4" t="s">
        <v>21</v>
      </c>
      <c r="C197" s="6" t="s">
        <v>23</v>
      </c>
      <c r="D197" s="4" t="s">
        <v>48</v>
      </c>
      <c r="E197" s="5">
        <v>2019</v>
      </c>
      <c r="F197" s="1">
        <v>18768</v>
      </c>
      <c r="G197" s="1">
        <v>1278</v>
      </c>
      <c r="H197" s="8">
        <v>6.8</v>
      </c>
      <c r="I197" s="1">
        <v>1489</v>
      </c>
      <c r="J197" s="8">
        <v>7.9</v>
      </c>
    </row>
    <row r="198" spans="1:10" x14ac:dyDescent="0.25">
      <c r="A198" t="s">
        <v>39</v>
      </c>
      <c r="B198" s="4" t="s">
        <v>24</v>
      </c>
      <c r="C198" s="6" t="s">
        <v>25</v>
      </c>
      <c r="D198" s="4" t="s">
        <v>51</v>
      </c>
      <c r="E198" s="5">
        <v>2019</v>
      </c>
      <c r="F198" s="1">
        <v>2498</v>
      </c>
      <c r="G198" s="1">
        <v>164</v>
      </c>
      <c r="H198" s="8">
        <v>6.6</v>
      </c>
      <c r="I198" s="1">
        <v>184</v>
      </c>
      <c r="J198" s="8">
        <v>7.4</v>
      </c>
    </row>
    <row r="199" spans="1:10" x14ac:dyDescent="0.25">
      <c r="A199" t="s">
        <v>39</v>
      </c>
      <c r="B199" s="4" t="s">
        <v>24</v>
      </c>
      <c r="C199" s="6" t="s">
        <v>26</v>
      </c>
      <c r="D199" s="4" t="s">
        <v>51</v>
      </c>
      <c r="E199" s="5">
        <v>2019</v>
      </c>
      <c r="F199" s="1">
        <v>10599</v>
      </c>
      <c r="G199" s="1">
        <v>220</v>
      </c>
      <c r="H199" s="8">
        <v>2.1</v>
      </c>
      <c r="I199" s="1">
        <v>274</v>
      </c>
      <c r="J199" s="8">
        <v>2.6</v>
      </c>
    </row>
    <row r="200" spans="1:10" x14ac:dyDescent="0.25">
      <c r="A200" t="s">
        <v>39</v>
      </c>
      <c r="B200" s="10" t="s">
        <v>43</v>
      </c>
      <c r="C200" s="10" t="s">
        <v>43</v>
      </c>
      <c r="D200" s="10" t="s">
        <v>51</v>
      </c>
      <c r="E200" s="5">
        <v>2019</v>
      </c>
      <c r="F200" s="1">
        <v>6150</v>
      </c>
      <c r="G200" s="1">
        <v>172</v>
      </c>
      <c r="H200" s="8">
        <v>2.8</v>
      </c>
      <c r="I200" s="1">
        <v>202</v>
      </c>
      <c r="J200" s="8">
        <v>3.3</v>
      </c>
    </row>
    <row r="201" spans="1:10" x14ac:dyDescent="0.25">
      <c r="A201" t="s">
        <v>40</v>
      </c>
      <c r="B201" s="6" t="s">
        <v>27</v>
      </c>
      <c r="C201" s="6" t="s">
        <v>27</v>
      </c>
      <c r="D201" s="6"/>
      <c r="E201" s="5">
        <v>2019</v>
      </c>
      <c r="F201" s="1">
        <v>3798</v>
      </c>
      <c r="G201" s="1">
        <v>974</v>
      </c>
      <c r="H201" s="8">
        <v>25.6</v>
      </c>
      <c r="I201" s="1">
        <v>1158</v>
      </c>
      <c r="J201" s="8">
        <v>30.5</v>
      </c>
    </row>
    <row r="202" spans="1:10" x14ac:dyDescent="0.25">
      <c r="A202" t="s">
        <v>40</v>
      </c>
      <c r="B202" s="6" t="s">
        <v>28</v>
      </c>
      <c r="C202" s="6" t="s">
        <v>28</v>
      </c>
      <c r="D202" s="6"/>
      <c r="E202" s="5">
        <v>2019</v>
      </c>
      <c r="F202" s="1">
        <v>6958</v>
      </c>
      <c r="G202" s="1">
        <v>2043</v>
      </c>
      <c r="H202" s="8">
        <v>29.4</v>
      </c>
      <c r="I202" s="1">
        <v>2249</v>
      </c>
      <c r="J202" s="8">
        <v>32.299999999999997</v>
      </c>
    </row>
    <row r="203" spans="1:10" x14ac:dyDescent="0.25">
      <c r="A203" t="s">
        <v>40</v>
      </c>
      <c r="B203" s="6" t="s">
        <v>29</v>
      </c>
      <c r="C203" s="6" t="s">
        <v>29</v>
      </c>
      <c r="D203" s="6"/>
      <c r="E203" s="5">
        <v>2019</v>
      </c>
      <c r="F203" s="1">
        <v>10267</v>
      </c>
      <c r="G203" s="1">
        <v>4050</v>
      </c>
      <c r="H203" s="8">
        <v>39.4</v>
      </c>
      <c r="I203" s="1">
        <v>4414</v>
      </c>
      <c r="J203" s="8">
        <v>43</v>
      </c>
    </row>
    <row r="204" spans="1:10" x14ac:dyDescent="0.25">
      <c r="A204" t="s">
        <v>39</v>
      </c>
      <c r="B204" s="6" t="s">
        <v>0</v>
      </c>
      <c r="C204" s="4" t="s">
        <v>0</v>
      </c>
      <c r="D204" s="4" t="s">
        <v>46</v>
      </c>
      <c r="E204" s="5">
        <v>2016</v>
      </c>
      <c r="F204" s="1">
        <v>1315</v>
      </c>
      <c r="G204" s="1">
        <v>17</v>
      </c>
      <c r="H204" s="2">
        <v>1.3</v>
      </c>
      <c r="I204" s="1">
        <v>28</v>
      </c>
      <c r="J204" s="2">
        <v>2.1</v>
      </c>
    </row>
    <row r="205" spans="1:10" x14ac:dyDescent="0.25">
      <c r="A205" t="s">
        <v>39</v>
      </c>
      <c r="B205" s="6" t="s">
        <v>1</v>
      </c>
      <c r="C205" s="6" t="s">
        <v>1</v>
      </c>
      <c r="D205" s="4" t="s">
        <v>54</v>
      </c>
      <c r="E205" s="5">
        <v>2016</v>
      </c>
      <c r="F205" s="1">
        <v>765</v>
      </c>
      <c r="G205" s="1">
        <v>43</v>
      </c>
      <c r="H205" s="2">
        <v>5.6</v>
      </c>
      <c r="I205" s="1">
        <v>48</v>
      </c>
      <c r="J205" s="2">
        <v>6.3</v>
      </c>
    </row>
    <row r="206" spans="1:10" x14ac:dyDescent="0.25">
      <c r="A206" t="s">
        <v>39</v>
      </c>
      <c r="B206" s="6" t="s">
        <v>2</v>
      </c>
      <c r="C206" s="4" t="s">
        <v>2</v>
      </c>
      <c r="D206" s="4" t="s">
        <v>47</v>
      </c>
      <c r="E206" s="5">
        <v>2016</v>
      </c>
      <c r="F206" s="1">
        <v>7488</v>
      </c>
      <c r="G206" s="1">
        <v>1039</v>
      </c>
      <c r="H206" s="2">
        <v>13.9</v>
      </c>
      <c r="I206" s="1">
        <v>1095</v>
      </c>
      <c r="J206" s="2">
        <v>14.6</v>
      </c>
    </row>
    <row r="207" spans="1:10" x14ac:dyDescent="0.25">
      <c r="A207" t="s">
        <v>39</v>
      </c>
      <c r="B207" s="4" t="s">
        <v>3</v>
      </c>
      <c r="C207" s="6" t="s">
        <v>4</v>
      </c>
      <c r="D207" s="4" t="s">
        <v>52</v>
      </c>
      <c r="E207" s="5">
        <v>2016</v>
      </c>
      <c r="F207" s="1">
        <v>9247</v>
      </c>
      <c r="G207" s="1">
        <v>827</v>
      </c>
      <c r="H207" s="2">
        <v>8.9</v>
      </c>
      <c r="I207" s="1">
        <v>906</v>
      </c>
      <c r="J207" s="2">
        <v>9.8000000000000007</v>
      </c>
    </row>
    <row r="208" spans="1:10" x14ac:dyDescent="0.25">
      <c r="A208" t="s">
        <v>39</v>
      </c>
      <c r="B208" s="4" t="s">
        <v>3</v>
      </c>
      <c r="C208" s="6" t="s">
        <v>5</v>
      </c>
      <c r="D208" s="4" t="s">
        <v>53</v>
      </c>
      <c r="E208" s="5">
        <v>2016</v>
      </c>
      <c r="F208" s="1">
        <v>5536</v>
      </c>
      <c r="G208" s="1">
        <v>468</v>
      </c>
      <c r="H208" s="2">
        <v>8.4</v>
      </c>
      <c r="I208" s="1">
        <v>515</v>
      </c>
      <c r="J208" s="2">
        <v>9.3000000000000007</v>
      </c>
    </row>
    <row r="209" spans="1:10" x14ac:dyDescent="0.25">
      <c r="A209" t="s">
        <v>39</v>
      </c>
      <c r="B209" s="4" t="s">
        <v>6</v>
      </c>
      <c r="C209" s="6" t="s">
        <v>7</v>
      </c>
      <c r="D209" s="4" t="s">
        <v>53</v>
      </c>
      <c r="E209" s="5">
        <v>2016</v>
      </c>
      <c r="F209" s="1">
        <v>3288</v>
      </c>
      <c r="G209" s="1">
        <v>120</v>
      </c>
      <c r="H209" s="2">
        <v>3.7</v>
      </c>
      <c r="I209" s="1">
        <v>137</v>
      </c>
      <c r="J209" s="2">
        <v>4.2</v>
      </c>
    </row>
    <row r="210" spans="1:10" x14ac:dyDescent="0.25">
      <c r="A210" t="s">
        <v>39</v>
      </c>
      <c r="B210" s="4" t="s">
        <v>6</v>
      </c>
      <c r="C210" s="6" t="s">
        <v>8</v>
      </c>
      <c r="D210" s="4" t="s">
        <v>53</v>
      </c>
      <c r="E210" s="5">
        <v>2016</v>
      </c>
      <c r="F210" s="1">
        <v>15227</v>
      </c>
      <c r="G210" s="1">
        <v>660</v>
      </c>
      <c r="H210" s="2">
        <v>4.3</v>
      </c>
      <c r="I210" s="1">
        <v>750</v>
      </c>
      <c r="J210" s="2">
        <v>4.9000000000000004</v>
      </c>
    </row>
    <row r="211" spans="1:10" x14ac:dyDescent="0.25">
      <c r="A211" t="s">
        <v>39</v>
      </c>
      <c r="B211" s="6" t="s">
        <v>9</v>
      </c>
      <c r="C211" s="4" t="s">
        <v>9</v>
      </c>
      <c r="D211" s="4" t="s">
        <v>55</v>
      </c>
      <c r="E211" s="5">
        <v>2016</v>
      </c>
      <c r="F211" s="1">
        <v>5073</v>
      </c>
      <c r="G211" s="1">
        <v>935</v>
      </c>
      <c r="H211" s="2">
        <v>18.399999999999999</v>
      </c>
      <c r="I211" s="1">
        <v>1014</v>
      </c>
      <c r="J211" s="2">
        <v>20</v>
      </c>
    </row>
    <row r="212" spans="1:10" x14ac:dyDescent="0.25">
      <c r="A212" t="s">
        <v>39</v>
      </c>
      <c r="B212" s="6" t="s">
        <v>10</v>
      </c>
      <c r="C212" s="4" t="s">
        <v>10</v>
      </c>
      <c r="D212" s="4" t="s">
        <v>47</v>
      </c>
      <c r="E212" s="5">
        <v>2016</v>
      </c>
      <c r="F212" s="1">
        <v>975</v>
      </c>
      <c r="G212" s="1">
        <v>210</v>
      </c>
      <c r="H212" s="2">
        <v>21.5</v>
      </c>
      <c r="I212" s="1">
        <v>225</v>
      </c>
      <c r="J212" s="2">
        <v>23</v>
      </c>
    </row>
    <row r="213" spans="1:10" x14ac:dyDescent="0.25">
      <c r="A213" t="s">
        <v>39</v>
      </c>
      <c r="B213" s="4" t="s">
        <v>42</v>
      </c>
      <c r="C213" s="6" t="s">
        <v>11</v>
      </c>
      <c r="D213" s="4" t="s">
        <v>50</v>
      </c>
      <c r="E213" s="5">
        <v>2016</v>
      </c>
      <c r="F213" s="1">
        <v>455</v>
      </c>
      <c r="G213" s="1">
        <v>22</v>
      </c>
      <c r="H213" s="2">
        <v>4.9000000000000004</v>
      </c>
      <c r="I213" s="1">
        <v>24</v>
      </c>
      <c r="J213" s="2">
        <v>5.2</v>
      </c>
    </row>
    <row r="214" spans="1:10" x14ac:dyDescent="0.25">
      <c r="A214" t="s">
        <v>39</v>
      </c>
      <c r="B214" s="4" t="s">
        <v>42</v>
      </c>
      <c r="C214" s="6" t="s">
        <v>12</v>
      </c>
      <c r="D214" s="4" t="s">
        <v>50</v>
      </c>
      <c r="E214" s="5">
        <v>2016</v>
      </c>
      <c r="F214" s="1">
        <v>349</v>
      </c>
      <c r="G214" s="1">
        <v>38</v>
      </c>
      <c r="H214" s="2">
        <v>11</v>
      </c>
      <c r="I214" s="1">
        <v>43</v>
      </c>
      <c r="J214" s="2">
        <v>12.3</v>
      </c>
    </row>
    <row r="215" spans="1:10" ht="30" x14ac:dyDescent="0.25">
      <c r="A215" t="s">
        <v>39</v>
      </c>
      <c r="B215" s="4" t="s">
        <v>42</v>
      </c>
      <c r="C215" s="6" t="s">
        <v>37</v>
      </c>
      <c r="D215" s="4" t="s">
        <v>50</v>
      </c>
      <c r="E215" s="5">
        <v>2016</v>
      </c>
      <c r="F215" s="1">
        <v>534</v>
      </c>
      <c r="G215" s="1">
        <v>32</v>
      </c>
      <c r="H215" s="2">
        <v>5.9</v>
      </c>
      <c r="I215" s="1">
        <v>43</v>
      </c>
      <c r="J215" s="2">
        <v>8</v>
      </c>
    </row>
    <row r="216" spans="1:10" x14ac:dyDescent="0.25">
      <c r="A216" t="s">
        <v>39</v>
      </c>
      <c r="B216" s="4" t="s">
        <v>42</v>
      </c>
      <c r="C216" s="6" t="s">
        <v>14</v>
      </c>
      <c r="D216" s="4" t="s">
        <v>50</v>
      </c>
      <c r="E216" s="5">
        <v>2016</v>
      </c>
      <c r="F216" s="1">
        <v>821</v>
      </c>
      <c r="G216" s="1">
        <v>119</v>
      </c>
      <c r="H216" s="2">
        <v>14.6</v>
      </c>
      <c r="I216" s="1">
        <v>129</v>
      </c>
      <c r="J216" s="2">
        <v>15.8</v>
      </c>
    </row>
    <row r="217" spans="1:10" x14ac:dyDescent="0.25">
      <c r="A217" t="s">
        <v>39</v>
      </c>
      <c r="B217" s="4" t="s">
        <v>15</v>
      </c>
      <c r="C217" s="6" t="s">
        <v>16</v>
      </c>
      <c r="D217" s="4" t="s">
        <v>49</v>
      </c>
      <c r="E217" s="5">
        <v>2016</v>
      </c>
      <c r="F217" s="1">
        <v>6616</v>
      </c>
      <c r="G217" s="1">
        <v>91</v>
      </c>
      <c r="H217" s="2">
        <v>1.4</v>
      </c>
      <c r="I217" s="1">
        <v>138</v>
      </c>
      <c r="J217" s="2">
        <v>2.1</v>
      </c>
    </row>
    <row r="218" spans="1:10" x14ac:dyDescent="0.25">
      <c r="A218" t="s">
        <v>39</v>
      </c>
      <c r="B218" s="4" t="s">
        <v>15</v>
      </c>
      <c r="C218" s="6" t="s">
        <v>17</v>
      </c>
      <c r="D218" s="4" t="s">
        <v>49</v>
      </c>
      <c r="E218" s="5">
        <v>2016</v>
      </c>
      <c r="F218" s="1">
        <v>2347</v>
      </c>
      <c r="G218" s="1">
        <v>114</v>
      </c>
      <c r="H218" s="2">
        <v>4.9000000000000004</v>
      </c>
      <c r="I218" s="1">
        <v>136</v>
      </c>
      <c r="J218" s="2">
        <v>5.8</v>
      </c>
    </row>
    <row r="219" spans="1:10" x14ac:dyDescent="0.25">
      <c r="A219" t="s">
        <v>39</v>
      </c>
      <c r="B219" s="4" t="s">
        <v>18</v>
      </c>
      <c r="C219" s="4" t="s">
        <v>19</v>
      </c>
      <c r="D219" s="4" t="s">
        <v>51</v>
      </c>
      <c r="E219" s="5">
        <v>2016</v>
      </c>
      <c r="F219" s="1">
        <v>8728</v>
      </c>
      <c r="G219" s="1">
        <v>141</v>
      </c>
      <c r="H219" s="2">
        <v>1.6</v>
      </c>
      <c r="I219" s="1">
        <v>211</v>
      </c>
      <c r="J219" s="2">
        <v>2.4</v>
      </c>
    </row>
    <row r="220" spans="1:10" x14ac:dyDescent="0.25">
      <c r="A220" t="s">
        <v>39</v>
      </c>
      <c r="B220" s="4" t="s">
        <v>18</v>
      </c>
      <c r="C220" s="4" t="s">
        <v>20</v>
      </c>
      <c r="D220" s="4" t="s">
        <v>47</v>
      </c>
      <c r="E220" s="5">
        <v>2016</v>
      </c>
      <c r="F220" s="1">
        <v>5529</v>
      </c>
      <c r="G220" s="1">
        <v>205</v>
      </c>
      <c r="H220" s="2">
        <v>3.7</v>
      </c>
      <c r="I220" s="1">
        <v>253</v>
      </c>
      <c r="J220" s="2">
        <v>4.5999999999999996</v>
      </c>
    </row>
    <row r="221" spans="1:10" x14ac:dyDescent="0.25">
      <c r="A221" t="s">
        <v>39</v>
      </c>
      <c r="B221" s="4" t="s">
        <v>21</v>
      </c>
      <c r="C221" s="6" t="s">
        <v>22</v>
      </c>
      <c r="D221" s="4" t="s">
        <v>48</v>
      </c>
      <c r="E221" s="5">
        <v>2016</v>
      </c>
      <c r="F221" s="1">
        <v>4557</v>
      </c>
      <c r="G221" s="1">
        <v>561</v>
      </c>
      <c r="H221" s="2">
        <v>12.3</v>
      </c>
      <c r="I221" s="1">
        <v>652</v>
      </c>
      <c r="J221" s="2">
        <v>14.3</v>
      </c>
    </row>
    <row r="222" spans="1:10" x14ac:dyDescent="0.25">
      <c r="A222" t="s">
        <v>39</v>
      </c>
      <c r="B222" s="4" t="s">
        <v>21</v>
      </c>
      <c r="C222" s="6" t="s">
        <v>23</v>
      </c>
      <c r="D222" s="4" t="s">
        <v>48</v>
      </c>
      <c r="E222" s="5">
        <v>2016</v>
      </c>
      <c r="F222" s="1">
        <v>17595</v>
      </c>
      <c r="G222" s="1">
        <v>1247</v>
      </c>
      <c r="H222" s="2">
        <v>7.1</v>
      </c>
      <c r="I222" s="1">
        <v>1454</v>
      </c>
      <c r="J222" s="2">
        <v>8.3000000000000007</v>
      </c>
    </row>
    <row r="223" spans="1:10" x14ac:dyDescent="0.25">
      <c r="A223" t="s">
        <v>39</v>
      </c>
      <c r="B223" s="4" t="s">
        <v>24</v>
      </c>
      <c r="C223" s="6" t="s">
        <v>25</v>
      </c>
      <c r="D223" s="4" t="s">
        <v>51</v>
      </c>
      <c r="E223" s="5">
        <v>2016</v>
      </c>
      <c r="F223" s="1">
        <v>2329</v>
      </c>
      <c r="G223" s="1">
        <v>126</v>
      </c>
      <c r="H223" s="2">
        <v>5.4</v>
      </c>
      <c r="I223" s="1">
        <v>139</v>
      </c>
      <c r="J223" s="2">
        <v>6</v>
      </c>
    </row>
    <row r="224" spans="1:10" x14ac:dyDescent="0.25">
      <c r="A224" t="s">
        <v>39</v>
      </c>
      <c r="B224" s="4" t="s">
        <v>24</v>
      </c>
      <c r="C224" s="6" t="s">
        <v>26</v>
      </c>
      <c r="D224" s="4" t="s">
        <v>51</v>
      </c>
      <c r="E224" s="5">
        <v>2016</v>
      </c>
      <c r="F224" s="1">
        <v>10358</v>
      </c>
      <c r="G224" s="1">
        <v>255</v>
      </c>
      <c r="H224" s="2">
        <v>2.5</v>
      </c>
      <c r="I224" s="1">
        <v>299</v>
      </c>
      <c r="J224" s="2">
        <v>2.9</v>
      </c>
    </row>
    <row r="225" spans="1:10" x14ac:dyDescent="0.25">
      <c r="A225" t="s">
        <v>39</v>
      </c>
      <c r="B225" s="10" t="s">
        <v>43</v>
      </c>
      <c r="C225" s="10" t="s">
        <v>43</v>
      </c>
      <c r="D225" s="10" t="s">
        <v>51</v>
      </c>
      <c r="E225" s="5">
        <v>2016</v>
      </c>
      <c r="F225" s="1">
        <v>5973</v>
      </c>
      <c r="G225" s="1">
        <v>155</v>
      </c>
      <c r="H225" s="2">
        <v>2.6</v>
      </c>
      <c r="I225" s="1">
        <v>186</v>
      </c>
      <c r="J225" s="2">
        <v>3.1</v>
      </c>
    </row>
    <row r="226" spans="1:10" x14ac:dyDescent="0.25">
      <c r="A226" t="s">
        <v>40</v>
      </c>
      <c r="B226" s="6" t="s">
        <v>27</v>
      </c>
      <c r="C226" s="6" t="s">
        <v>27</v>
      </c>
      <c r="D226" s="6"/>
      <c r="E226" s="5">
        <v>2016</v>
      </c>
      <c r="F226" s="1">
        <v>3674</v>
      </c>
      <c r="G226" s="1">
        <v>1006</v>
      </c>
      <c r="H226" s="2">
        <v>27.4</v>
      </c>
      <c r="I226" s="1">
        <v>1144</v>
      </c>
      <c r="J226" s="2">
        <v>31.1</v>
      </c>
    </row>
    <row r="227" spans="1:10" x14ac:dyDescent="0.25">
      <c r="A227" t="s">
        <v>40</v>
      </c>
      <c r="B227" s="6" t="s">
        <v>28</v>
      </c>
      <c r="C227" s="6" t="s">
        <v>28</v>
      </c>
      <c r="D227" s="6"/>
      <c r="E227" s="5">
        <v>2016</v>
      </c>
      <c r="F227" s="1">
        <v>6965</v>
      </c>
      <c r="G227" s="1">
        <v>2064</v>
      </c>
      <c r="H227" s="2">
        <v>29.6</v>
      </c>
      <c r="I227" s="1">
        <v>2282</v>
      </c>
      <c r="J227" s="2">
        <v>32.799999999999997</v>
      </c>
    </row>
    <row r="228" spans="1:10" x14ac:dyDescent="0.25">
      <c r="A228" t="s">
        <v>40</v>
      </c>
      <c r="B228" s="6" t="s">
        <v>29</v>
      </c>
      <c r="C228" s="6" t="s">
        <v>29</v>
      </c>
      <c r="D228" s="6"/>
      <c r="E228" s="5">
        <v>2016</v>
      </c>
      <c r="F228" s="1">
        <v>10045</v>
      </c>
      <c r="G228" s="1">
        <v>4050</v>
      </c>
      <c r="H228" s="2">
        <v>40.299999999999997</v>
      </c>
      <c r="I228" s="1">
        <v>4409</v>
      </c>
      <c r="J228" s="2">
        <v>43.9</v>
      </c>
    </row>
    <row r="229" spans="1:10" x14ac:dyDescent="0.25">
      <c r="A229" t="s">
        <v>39</v>
      </c>
      <c r="B229" s="6" t="s">
        <v>0</v>
      </c>
      <c r="C229" s="4" t="s">
        <v>0</v>
      </c>
      <c r="D229" s="4" t="s">
        <v>46</v>
      </c>
      <c r="E229" s="5">
        <v>2017</v>
      </c>
      <c r="F229" s="1">
        <v>1337</v>
      </c>
      <c r="G229" s="1">
        <v>28</v>
      </c>
      <c r="H229" s="2">
        <v>2.1</v>
      </c>
      <c r="I229" s="1">
        <v>30</v>
      </c>
      <c r="J229" s="2">
        <v>2.2999999999999998</v>
      </c>
    </row>
    <row r="230" spans="1:10" x14ac:dyDescent="0.25">
      <c r="A230" t="s">
        <v>39</v>
      </c>
      <c r="B230" s="6" t="s">
        <v>1</v>
      </c>
      <c r="C230" s="6" t="s">
        <v>1</v>
      </c>
      <c r="D230" s="4" t="s">
        <v>54</v>
      </c>
      <c r="E230" s="5">
        <v>2017</v>
      </c>
      <c r="F230" s="1">
        <v>735</v>
      </c>
      <c r="G230" s="1">
        <v>32</v>
      </c>
      <c r="H230" s="2">
        <v>4.4000000000000004</v>
      </c>
      <c r="I230" s="1">
        <v>35</v>
      </c>
      <c r="J230" s="2">
        <v>4.8</v>
      </c>
    </row>
    <row r="231" spans="1:10" x14ac:dyDescent="0.25">
      <c r="A231" t="s">
        <v>39</v>
      </c>
      <c r="B231" s="6" t="s">
        <v>2</v>
      </c>
      <c r="C231" s="4" t="s">
        <v>2</v>
      </c>
      <c r="D231" s="4" t="s">
        <v>47</v>
      </c>
      <c r="E231" s="5">
        <v>2017</v>
      </c>
      <c r="F231" s="1">
        <v>7844</v>
      </c>
      <c r="G231" s="1">
        <v>1102</v>
      </c>
      <c r="H231" s="2">
        <v>14</v>
      </c>
      <c r="I231" s="1">
        <v>1156</v>
      </c>
      <c r="J231" s="2">
        <v>14.7</v>
      </c>
    </row>
    <row r="232" spans="1:10" x14ac:dyDescent="0.25">
      <c r="A232" t="s">
        <v>39</v>
      </c>
      <c r="B232" s="4" t="s">
        <v>3</v>
      </c>
      <c r="C232" s="6" t="s">
        <v>4</v>
      </c>
      <c r="D232" s="4" t="s">
        <v>52</v>
      </c>
      <c r="E232" s="5">
        <v>2017</v>
      </c>
      <c r="F232" s="1">
        <v>9194</v>
      </c>
      <c r="G232" s="1">
        <v>836</v>
      </c>
      <c r="H232" s="2">
        <v>9.1</v>
      </c>
      <c r="I232" s="1">
        <v>913</v>
      </c>
      <c r="J232" s="2">
        <v>9.9</v>
      </c>
    </row>
    <row r="233" spans="1:10" x14ac:dyDescent="0.25">
      <c r="A233" t="s">
        <v>39</v>
      </c>
      <c r="B233" s="4" t="s">
        <v>3</v>
      </c>
      <c r="C233" s="6" t="s">
        <v>5</v>
      </c>
      <c r="D233" s="4" t="s">
        <v>53</v>
      </c>
      <c r="E233" s="5">
        <v>2017</v>
      </c>
      <c r="F233" s="1">
        <v>5477</v>
      </c>
      <c r="G233" s="1">
        <v>492</v>
      </c>
      <c r="H233" s="2">
        <v>9</v>
      </c>
      <c r="I233" s="1">
        <v>548</v>
      </c>
      <c r="J233" s="2">
        <v>10</v>
      </c>
    </row>
    <row r="234" spans="1:10" x14ac:dyDescent="0.25">
      <c r="A234" t="s">
        <v>39</v>
      </c>
      <c r="B234" s="4" t="s">
        <v>6</v>
      </c>
      <c r="C234" s="6" t="s">
        <v>7</v>
      </c>
      <c r="D234" s="4" t="s">
        <v>53</v>
      </c>
      <c r="E234" s="5">
        <v>2017</v>
      </c>
      <c r="F234" s="1">
        <v>3291</v>
      </c>
      <c r="G234" s="1">
        <v>147</v>
      </c>
      <c r="H234" s="2">
        <v>4.5</v>
      </c>
      <c r="I234" s="1">
        <v>160</v>
      </c>
      <c r="J234" s="2">
        <v>4.9000000000000004</v>
      </c>
    </row>
    <row r="235" spans="1:10" x14ac:dyDescent="0.25">
      <c r="A235" t="s">
        <v>39</v>
      </c>
      <c r="B235" s="4" t="s">
        <v>6</v>
      </c>
      <c r="C235" s="6" t="s">
        <v>8</v>
      </c>
      <c r="D235" s="4" t="s">
        <v>53</v>
      </c>
      <c r="E235" s="5">
        <v>2017</v>
      </c>
      <c r="F235" s="1">
        <v>15487</v>
      </c>
      <c r="G235" s="1">
        <v>692</v>
      </c>
      <c r="H235" s="2">
        <v>4.5</v>
      </c>
      <c r="I235" s="1">
        <v>780</v>
      </c>
      <c r="J235" s="2">
        <v>5</v>
      </c>
    </row>
    <row r="236" spans="1:10" x14ac:dyDescent="0.25">
      <c r="A236" t="s">
        <v>39</v>
      </c>
      <c r="B236" s="6" t="s">
        <v>9</v>
      </c>
      <c r="C236" s="4" t="s">
        <v>9</v>
      </c>
      <c r="D236" s="4" t="s">
        <v>55</v>
      </c>
      <c r="E236" s="5">
        <v>2017</v>
      </c>
      <c r="F236" s="1">
        <v>5205</v>
      </c>
      <c r="G236" s="1">
        <v>903</v>
      </c>
      <c r="H236" s="2">
        <v>17.3</v>
      </c>
      <c r="I236" s="1">
        <v>978</v>
      </c>
      <c r="J236" s="2">
        <v>18.8</v>
      </c>
    </row>
    <row r="237" spans="1:10" x14ac:dyDescent="0.25">
      <c r="A237" t="s">
        <v>39</v>
      </c>
      <c r="B237" s="6" t="s">
        <v>10</v>
      </c>
      <c r="C237" s="4" t="s">
        <v>10</v>
      </c>
      <c r="D237" s="4" t="s">
        <v>47</v>
      </c>
      <c r="E237" s="5">
        <v>2017</v>
      </c>
      <c r="F237" s="1">
        <v>1028</v>
      </c>
      <c r="G237" s="1">
        <v>237</v>
      </c>
      <c r="H237" s="2">
        <v>23</v>
      </c>
      <c r="I237" s="1">
        <v>247</v>
      </c>
      <c r="J237" s="2">
        <v>24.1</v>
      </c>
    </row>
    <row r="238" spans="1:10" x14ac:dyDescent="0.25">
      <c r="A238" t="s">
        <v>39</v>
      </c>
      <c r="B238" s="4" t="s">
        <v>42</v>
      </c>
      <c r="C238" s="6" t="s">
        <v>11</v>
      </c>
      <c r="D238" s="4" t="s">
        <v>50</v>
      </c>
      <c r="E238" s="5">
        <v>2017</v>
      </c>
      <c r="F238" s="1">
        <v>458</v>
      </c>
      <c r="G238" s="1">
        <v>17</v>
      </c>
      <c r="H238" s="2">
        <v>3.6</v>
      </c>
      <c r="I238" s="1">
        <v>19</v>
      </c>
      <c r="J238" s="2">
        <v>4.0999999999999996</v>
      </c>
    </row>
    <row r="239" spans="1:10" x14ac:dyDescent="0.25">
      <c r="A239" t="s">
        <v>39</v>
      </c>
      <c r="B239" s="4" t="s">
        <v>42</v>
      </c>
      <c r="C239" s="6" t="s">
        <v>12</v>
      </c>
      <c r="D239" s="4" t="s">
        <v>50</v>
      </c>
      <c r="E239" s="5">
        <v>2017</v>
      </c>
      <c r="F239" s="1">
        <v>379</v>
      </c>
      <c r="G239" s="1">
        <v>43</v>
      </c>
      <c r="H239" s="2">
        <v>11.4</v>
      </c>
      <c r="I239" s="1">
        <v>45</v>
      </c>
      <c r="J239" s="2">
        <v>11.8</v>
      </c>
    </row>
    <row r="240" spans="1:10" ht="30" x14ac:dyDescent="0.25">
      <c r="A240" t="s">
        <v>39</v>
      </c>
      <c r="B240" s="4" t="s">
        <v>42</v>
      </c>
      <c r="C240" s="6" t="s">
        <v>37</v>
      </c>
      <c r="D240" s="4" t="s">
        <v>50</v>
      </c>
      <c r="E240" s="5">
        <v>2017</v>
      </c>
      <c r="F240" s="1">
        <v>544</v>
      </c>
      <c r="G240" s="1">
        <v>42</v>
      </c>
      <c r="H240" s="2">
        <v>7.8</v>
      </c>
      <c r="I240" s="1">
        <v>47</v>
      </c>
      <c r="J240" s="2">
        <v>8.6999999999999993</v>
      </c>
    </row>
    <row r="241" spans="1:10" x14ac:dyDescent="0.25">
      <c r="A241" t="s">
        <v>39</v>
      </c>
      <c r="B241" s="4" t="s">
        <v>42</v>
      </c>
      <c r="C241" s="6" t="s">
        <v>14</v>
      </c>
      <c r="D241" s="4" t="s">
        <v>50</v>
      </c>
      <c r="E241" s="5">
        <v>2017</v>
      </c>
      <c r="F241" s="1">
        <v>814</v>
      </c>
      <c r="G241" s="1">
        <v>131</v>
      </c>
      <c r="H241" s="2">
        <v>16.100000000000001</v>
      </c>
      <c r="I241" s="1">
        <v>138</v>
      </c>
      <c r="J241" s="2">
        <v>17</v>
      </c>
    </row>
    <row r="242" spans="1:10" x14ac:dyDescent="0.25">
      <c r="A242" t="s">
        <v>39</v>
      </c>
      <c r="B242" s="4" t="s">
        <v>15</v>
      </c>
      <c r="C242" s="6" t="s">
        <v>16</v>
      </c>
      <c r="D242" s="4" t="s">
        <v>49</v>
      </c>
      <c r="E242" s="5">
        <v>2017</v>
      </c>
      <c r="F242" s="1">
        <v>6720</v>
      </c>
      <c r="G242" s="1">
        <v>101</v>
      </c>
      <c r="H242" s="2">
        <v>1.5</v>
      </c>
      <c r="I242" s="1">
        <v>142</v>
      </c>
      <c r="J242" s="2">
        <v>2.1</v>
      </c>
    </row>
    <row r="243" spans="1:10" x14ac:dyDescent="0.25">
      <c r="A243" t="s">
        <v>39</v>
      </c>
      <c r="B243" s="4" t="s">
        <v>15</v>
      </c>
      <c r="C243" s="6" t="s">
        <v>17</v>
      </c>
      <c r="D243" s="4" t="s">
        <v>49</v>
      </c>
      <c r="E243" s="5">
        <v>2017</v>
      </c>
      <c r="F243" s="1">
        <v>2348</v>
      </c>
      <c r="G243" s="1">
        <v>117</v>
      </c>
      <c r="H243" s="2">
        <v>5</v>
      </c>
      <c r="I243" s="1">
        <v>135</v>
      </c>
      <c r="J243" s="2">
        <v>5.8</v>
      </c>
    </row>
    <row r="244" spans="1:10" x14ac:dyDescent="0.25">
      <c r="A244" t="s">
        <v>39</v>
      </c>
      <c r="B244" s="4" t="s">
        <v>18</v>
      </c>
      <c r="C244" s="4" t="s">
        <v>19</v>
      </c>
      <c r="D244" s="4" t="s">
        <v>51</v>
      </c>
      <c r="E244" s="5">
        <v>2017</v>
      </c>
      <c r="F244" s="1">
        <v>9328</v>
      </c>
      <c r="G244" s="1">
        <v>162</v>
      </c>
      <c r="H244" s="2">
        <v>1.7</v>
      </c>
      <c r="I244" s="1">
        <v>210</v>
      </c>
      <c r="J244" s="2">
        <v>2.2000000000000002</v>
      </c>
    </row>
    <row r="245" spans="1:10" x14ac:dyDescent="0.25">
      <c r="A245" t="s">
        <v>39</v>
      </c>
      <c r="B245" s="4" t="s">
        <v>18</v>
      </c>
      <c r="C245" s="4" t="s">
        <v>20</v>
      </c>
      <c r="D245" s="4" t="s">
        <v>47</v>
      </c>
      <c r="E245" s="5">
        <v>2017</v>
      </c>
      <c r="F245" s="1">
        <v>5412</v>
      </c>
      <c r="G245" s="1">
        <v>173</v>
      </c>
      <c r="H245" s="2">
        <v>3.2</v>
      </c>
      <c r="I245" s="1">
        <v>198</v>
      </c>
      <c r="J245" s="2">
        <v>3.7</v>
      </c>
    </row>
    <row r="246" spans="1:10" x14ac:dyDescent="0.25">
      <c r="A246" t="s">
        <v>39</v>
      </c>
      <c r="B246" s="4" t="s">
        <v>21</v>
      </c>
      <c r="C246" s="6" t="s">
        <v>22</v>
      </c>
      <c r="D246" s="4" t="s">
        <v>48</v>
      </c>
      <c r="E246" s="5">
        <v>2017</v>
      </c>
      <c r="F246" s="1">
        <v>4600</v>
      </c>
      <c r="G246" s="1">
        <v>526</v>
      </c>
      <c r="H246" s="2">
        <v>11.4</v>
      </c>
      <c r="I246" s="1">
        <v>621</v>
      </c>
      <c r="J246" s="2">
        <v>13.5</v>
      </c>
    </row>
    <row r="247" spans="1:10" x14ac:dyDescent="0.25">
      <c r="A247" t="s">
        <v>39</v>
      </c>
      <c r="B247" s="4" t="s">
        <v>21</v>
      </c>
      <c r="C247" s="6" t="s">
        <v>23</v>
      </c>
      <c r="D247" s="4" t="s">
        <v>48</v>
      </c>
      <c r="E247" s="5">
        <v>2017</v>
      </c>
      <c r="F247" s="1">
        <v>17724</v>
      </c>
      <c r="G247" s="1">
        <v>1272</v>
      </c>
      <c r="H247" s="2">
        <v>7.2</v>
      </c>
      <c r="I247" s="1">
        <v>1456</v>
      </c>
      <c r="J247" s="2">
        <v>8.1999999999999993</v>
      </c>
    </row>
    <row r="248" spans="1:10" x14ac:dyDescent="0.25">
      <c r="A248" t="s">
        <v>39</v>
      </c>
      <c r="B248" s="4" t="s">
        <v>24</v>
      </c>
      <c r="C248" s="6" t="s">
        <v>25</v>
      </c>
      <c r="D248" s="4" t="s">
        <v>51</v>
      </c>
      <c r="E248" s="5">
        <v>2017</v>
      </c>
      <c r="F248" s="1">
        <v>2424</v>
      </c>
      <c r="G248" s="1">
        <v>144</v>
      </c>
      <c r="H248" s="2">
        <v>5.9</v>
      </c>
      <c r="I248" s="1">
        <v>157</v>
      </c>
      <c r="J248" s="2">
        <v>6.5</v>
      </c>
    </row>
    <row r="249" spans="1:10" x14ac:dyDescent="0.25">
      <c r="A249" t="s">
        <v>39</v>
      </c>
      <c r="B249" s="4" t="s">
        <v>24</v>
      </c>
      <c r="C249" s="6" t="s">
        <v>26</v>
      </c>
      <c r="D249" s="4" t="s">
        <v>51</v>
      </c>
      <c r="E249" s="5">
        <v>2017</v>
      </c>
      <c r="F249" s="1">
        <v>10324</v>
      </c>
      <c r="G249" s="1">
        <v>230</v>
      </c>
      <c r="H249" s="2">
        <v>2.2000000000000002</v>
      </c>
      <c r="I249" s="1">
        <v>271</v>
      </c>
      <c r="J249" s="2">
        <v>2.6</v>
      </c>
    </row>
    <row r="250" spans="1:10" x14ac:dyDescent="0.25">
      <c r="A250" t="s">
        <v>39</v>
      </c>
      <c r="B250" s="10" t="s">
        <v>43</v>
      </c>
      <c r="C250" s="10" t="s">
        <v>43</v>
      </c>
      <c r="D250" s="10" t="s">
        <v>51</v>
      </c>
      <c r="E250" s="5">
        <v>2017</v>
      </c>
      <c r="F250" s="1">
        <v>5994</v>
      </c>
      <c r="G250" s="1">
        <v>167</v>
      </c>
      <c r="H250" s="2">
        <v>2.8</v>
      </c>
      <c r="I250" s="1">
        <v>192</v>
      </c>
      <c r="J250" s="2">
        <v>3.2</v>
      </c>
    </row>
    <row r="251" spans="1:10" x14ac:dyDescent="0.25">
      <c r="A251" t="s">
        <v>40</v>
      </c>
      <c r="B251" s="6" t="s">
        <v>27</v>
      </c>
      <c r="C251" s="6" t="s">
        <v>27</v>
      </c>
      <c r="D251" s="6"/>
      <c r="E251" s="5">
        <v>2017</v>
      </c>
      <c r="F251" s="1">
        <v>3652</v>
      </c>
      <c r="G251" s="1">
        <v>972</v>
      </c>
      <c r="H251" s="2">
        <v>26.6</v>
      </c>
      <c r="I251" s="1">
        <v>1131</v>
      </c>
      <c r="J251" s="2">
        <v>31</v>
      </c>
    </row>
    <row r="252" spans="1:10" x14ac:dyDescent="0.25">
      <c r="A252" t="s">
        <v>40</v>
      </c>
      <c r="B252" s="6" t="s">
        <v>28</v>
      </c>
      <c r="C252" s="6" t="s">
        <v>28</v>
      </c>
      <c r="D252" s="6"/>
      <c r="E252" s="5">
        <v>2017</v>
      </c>
      <c r="F252" s="1">
        <v>7103</v>
      </c>
      <c r="G252" s="1">
        <v>2153</v>
      </c>
      <c r="H252" s="2">
        <v>30.3</v>
      </c>
      <c r="I252" s="1">
        <v>2371</v>
      </c>
      <c r="J252" s="2">
        <v>33.4</v>
      </c>
    </row>
    <row r="253" spans="1:10" x14ac:dyDescent="0.25">
      <c r="A253" t="s">
        <v>40</v>
      </c>
      <c r="B253" s="6" t="s">
        <v>29</v>
      </c>
      <c r="C253" s="6" t="s">
        <v>29</v>
      </c>
      <c r="D253" s="6"/>
      <c r="E253" s="5">
        <v>2017</v>
      </c>
      <c r="F253" s="1">
        <v>10201</v>
      </c>
      <c r="G253" s="1">
        <v>4091</v>
      </c>
      <c r="H253" s="2">
        <v>40.1</v>
      </c>
      <c r="I253" s="1">
        <v>4449</v>
      </c>
      <c r="J253" s="2">
        <v>43.6</v>
      </c>
    </row>
  </sheetData>
  <autoFilter ref="A3:J253" xr:uid="{00000000-0001-0000-0000-0000000000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5A45-50BC-4C2E-B1F3-C6F34E9117C5}">
  <dimension ref="A3:D114"/>
  <sheetViews>
    <sheetView workbookViewId="0">
      <selection activeCell="F110" sqref="F110"/>
    </sheetView>
  </sheetViews>
  <sheetFormatPr defaultRowHeight="15" x14ac:dyDescent="0.25"/>
  <cols>
    <col min="1" max="1" width="30" bestFit="1" customWidth="1"/>
    <col min="2" max="2" width="7.140625" bestFit="1" customWidth="1"/>
    <col min="3" max="3" width="22.5703125" bestFit="1" customWidth="1"/>
    <col min="4" max="4" width="22" bestFit="1" customWidth="1"/>
    <col min="5" max="11" width="7" bestFit="1" customWidth="1"/>
    <col min="12" max="12" width="22" bestFit="1" customWidth="1"/>
    <col min="13" max="21" width="6" bestFit="1" customWidth="1"/>
    <col min="22" max="22" width="27.5703125" bestFit="1" customWidth="1"/>
    <col min="23" max="23" width="27" bestFit="1" customWidth="1"/>
  </cols>
  <sheetData>
    <row r="3" spans="1:4" x14ac:dyDescent="0.25">
      <c r="A3" s="11" t="s">
        <v>45</v>
      </c>
      <c r="B3" s="11" t="s">
        <v>35</v>
      </c>
      <c r="C3" t="s">
        <v>58</v>
      </c>
      <c r="D3" t="s">
        <v>59</v>
      </c>
    </row>
    <row r="4" spans="1:4" x14ac:dyDescent="0.25">
      <c r="A4" t="s">
        <v>53</v>
      </c>
      <c r="B4">
        <v>2016</v>
      </c>
      <c r="C4" s="12">
        <v>24051</v>
      </c>
      <c r="D4" s="12">
        <v>1248</v>
      </c>
    </row>
    <row r="5" spans="1:4" x14ac:dyDescent="0.25">
      <c r="A5" t="s">
        <v>53</v>
      </c>
      <c r="B5">
        <v>2017</v>
      </c>
      <c r="C5" s="12">
        <v>24255</v>
      </c>
      <c r="D5" s="12">
        <v>1331</v>
      </c>
    </row>
    <row r="6" spans="1:4" x14ac:dyDescent="0.25">
      <c r="A6" t="s">
        <v>53</v>
      </c>
      <c r="B6">
        <v>2018</v>
      </c>
      <c r="C6" s="12">
        <v>24196</v>
      </c>
      <c r="D6" s="12">
        <v>1296</v>
      </c>
    </row>
    <row r="7" spans="1:4" x14ac:dyDescent="0.25">
      <c r="A7" t="s">
        <v>53</v>
      </c>
      <c r="B7">
        <v>2019</v>
      </c>
      <c r="C7" s="12">
        <v>23681</v>
      </c>
      <c r="D7" s="12">
        <v>1196</v>
      </c>
    </row>
    <row r="8" spans="1:4" x14ac:dyDescent="0.25">
      <c r="A8" t="s">
        <v>53</v>
      </c>
      <c r="B8">
        <v>2020</v>
      </c>
      <c r="C8" s="12">
        <v>22590</v>
      </c>
      <c r="D8" s="12">
        <v>1215</v>
      </c>
    </row>
    <row r="9" spans="1:4" x14ac:dyDescent="0.25">
      <c r="A9" t="s">
        <v>53</v>
      </c>
      <c r="B9">
        <v>2021</v>
      </c>
      <c r="C9" s="12">
        <v>23218</v>
      </c>
      <c r="D9" s="12">
        <v>1183</v>
      </c>
    </row>
    <row r="10" spans="1:4" x14ac:dyDescent="0.25">
      <c r="A10" t="s">
        <v>53</v>
      </c>
      <c r="B10">
        <v>2022</v>
      </c>
      <c r="C10" s="12">
        <v>23139</v>
      </c>
      <c r="D10" s="12">
        <v>1140</v>
      </c>
    </row>
    <row r="11" spans="1:4" x14ac:dyDescent="0.25">
      <c r="A11" t="s">
        <v>53</v>
      </c>
      <c r="B11">
        <v>2023</v>
      </c>
      <c r="C11" s="12">
        <v>23335</v>
      </c>
      <c r="D11" s="12">
        <v>1109</v>
      </c>
    </row>
    <row r="12" spans="1:4" x14ac:dyDescent="0.25">
      <c r="A12" t="s">
        <v>53</v>
      </c>
      <c r="B12">
        <v>2024</v>
      </c>
      <c r="C12" s="12">
        <v>23111</v>
      </c>
      <c r="D12" s="12">
        <v>1143</v>
      </c>
    </row>
    <row r="13" spans="1:4" x14ac:dyDescent="0.25">
      <c r="A13" t="s">
        <v>53</v>
      </c>
      <c r="B13">
        <v>2025</v>
      </c>
      <c r="C13" s="12">
        <v>23115</v>
      </c>
      <c r="D13" s="12">
        <v>1193</v>
      </c>
    </row>
    <row r="14" spans="1:4" x14ac:dyDescent="0.25">
      <c r="A14" t="s">
        <v>54</v>
      </c>
      <c r="B14">
        <v>2016</v>
      </c>
      <c r="C14" s="12">
        <v>765</v>
      </c>
      <c r="D14" s="12">
        <v>43</v>
      </c>
    </row>
    <row r="15" spans="1:4" x14ac:dyDescent="0.25">
      <c r="A15" t="s">
        <v>54</v>
      </c>
      <c r="B15">
        <v>2017</v>
      </c>
      <c r="C15" s="12">
        <v>735</v>
      </c>
      <c r="D15" s="12">
        <v>32</v>
      </c>
    </row>
    <row r="16" spans="1:4" x14ac:dyDescent="0.25">
      <c r="A16" t="s">
        <v>54</v>
      </c>
      <c r="B16">
        <v>2018</v>
      </c>
      <c r="C16" s="12">
        <v>721</v>
      </c>
      <c r="D16" s="12">
        <v>34</v>
      </c>
    </row>
    <row r="17" spans="1:4" x14ac:dyDescent="0.25">
      <c r="A17" t="s">
        <v>54</v>
      </c>
      <c r="B17">
        <v>2019</v>
      </c>
      <c r="C17" s="12">
        <v>710</v>
      </c>
      <c r="D17" s="12">
        <v>28</v>
      </c>
    </row>
    <row r="18" spans="1:4" x14ac:dyDescent="0.25">
      <c r="A18" t="s">
        <v>54</v>
      </c>
      <c r="B18">
        <v>2020</v>
      </c>
      <c r="C18" s="12">
        <v>656</v>
      </c>
      <c r="D18" s="12">
        <v>37</v>
      </c>
    </row>
    <row r="19" spans="1:4" x14ac:dyDescent="0.25">
      <c r="A19" t="s">
        <v>54</v>
      </c>
      <c r="B19">
        <v>2021</v>
      </c>
      <c r="C19" s="12">
        <v>561</v>
      </c>
      <c r="D19" s="12">
        <v>32</v>
      </c>
    </row>
    <row r="20" spans="1:4" x14ac:dyDescent="0.25">
      <c r="A20" t="s">
        <v>54</v>
      </c>
      <c r="B20">
        <v>2022</v>
      </c>
      <c r="C20" s="12">
        <v>556</v>
      </c>
      <c r="D20" s="12">
        <v>36</v>
      </c>
    </row>
    <row r="21" spans="1:4" x14ac:dyDescent="0.25">
      <c r="A21" t="s">
        <v>54</v>
      </c>
      <c r="B21">
        <v>2023</v>
      </c>
      <c r="C21" s="12">
        <v>577</v>
      </c>
      <c r="D21" s="12">
        <v>25</v>
      </c>
    </row>
    <row r="22" spans="1:4" x14ac:dyDescent="0.25">
      <c r="A22" t="s">
        <v>54</v>
      </c>
      <c r="B22">
        <v>2024</v>
      </c>
      <c r="C22" s="12">
        <v>538</v>
      </c>
      <c r="D22" s="12">
        <v>35</v>
      </c>
    </row>
    <row r="23" spans="1:4" x14ac:dyDescent="0.25">
      <c r="A23" t="s">
        <v>54</v>
      </c>
      <c r="B23">
        <v>2025</v>
      </c>
      <c r="C23" s="12">
        <v>487</v>
      </c>
      <c r="D23" s="12">
        <v>23</v>
      </c>
    </row>
    <row r="24" spans="1:4" x14ac:dyDescent="0.25">
      <c r="A24" t="s">
        <v>49</v>
      </c>
      <c r="B24">
        <v>2016</v>
      </c>
      <c r="C24" s="12">
        <v>8963</v>
      </c>
      <c r="D24" s="12">
        <v>205</v>
      </c>
    </row>
    <row r="25" spans="1:4" x14ac:dyDescent="0.25">
      <c r="A25" t="s">
        <v>49</v>
      </c>
      <c r="B25">
        <v>2017</v>
      </c>
      <c r="C25" s="12">
        <v>9068</v>
      </c>
      <c r="D25" s="12">
        <v>218</v>
      </c>
    </row>
    <row r="26" spans="1:4" x14ac:dyDescent="0.25">
      <c r="A26" t="s">
        <v>49</v>
      </c>
      <c r="B26">
        <v>2018</v>
      </c>
      <c r="C26" s="12">
        <v>9149</v>
      </c>
      <c r="D26" s="12">
        <v>193</v>
      </c>
    </row>
    <row r="27" spans="1:4" x14ac:dyDescent="0.25">
      <c r="A27" t="s">
        <v>49</v>
      </c>
      <c r="B27">
        <v>2019</v>
      </c>
      <c r="C27" s="12">
        <v>9364</v>
      </c>
      <c r="D27" s="12">
        <v>182</v>
      </c>
    </row>
    <row r="28" spans="1:4" x14ac:dyDescent="0.25">
      <c r="A28" t="s">
        <v>49</v>
      </c>
      <c r="B28">
        <v>2020</v>
      </c>
      <c r="C28" s="12">
        <v>9108</v>
      </c>
      <c r="D28" s="12">
        <v>170</v>
      </c>
    </row>
    <row r="29" spans="1:4" x14ac:dyDescent="0.25">
      <c r="A29" t="s">
        <v>49</v>
      </c>
      <c r="B29">
        <v>2021</v>
      </c>
      <c r="C29" s="12">
        <v>9101</v>
      </c>
      <c r="D29" s="12">
        <v>205</v>
      </c>
    </row>
    <row r="30" spans="1:4" x14ac:dyDescent="0.25">
      <c r="A30" t="s">
        <v>49</v>
      </c>
      <c r="B30">
        <v>2022</v>
      </c>
      <c r="C30" s="12">
        <v>9336</v>
      </c>
      <c r="D30" s="12">
        <v>170</v>
      </c>
    </row>
    <row r="31" spans="1:4" x14ac:dyDescent="0.25">
      <c r="A31" t="s">
        <v>49</v>
      </c>
      <c r="B31">
        <v>2023</v>
      </c>
      <c r="C31" s="12">
        <v>9284</v>
      </c>
      <c r="D31" s="12">
        <v>162</v>
      </c>
    </row>
    <row r="32" spans="1:4" x14ac:dyDescent="0.25">
      <c r="A32" t="s">
        <v>49</v>
      </c>
      <c r="B32">
        <v>2024</v>
      </c>
      <c r="C32" s="12">
        <v>9231</v>
      </c>
      <c r="D32" s="12">
        <v>122</v>
      </c>
    </row>
    <row r="33" spans="1:4" x14ac:dyDescent="0.25">
      <c r="A33" t="s">
        <v>49</v>
      </c>
      <c r="B33">
        <v>2025</v>
      </c>
      <c r="C33" s="12">
        <v>9634</v>
      </c>
      <c r="D33" s="12">
        <v>146</v>
      </c>
    </row>
    <row r="34" spans="1:4" x14ac:dyDescent="0.25">
      <c r="A34" t="s">
        <v>46</v>
      </c>
      <c r="B34">
        <v>2016</v>
      </c>
      <c r="C34" s="12">
        <v>1315</v>
      </c>
      <c r="D34" s="12">
        <v>17</v>
      </c>
    </row>
    <row r="35" spans="1:4" x14ac:dyDescent="0.25">
      <c r="A35" t="s">
        <v>46</v>
      </c>
      <c r="B35">
        <v>2017</v>
      </c>
      <c r="C35" s="12">
        <v>1337</v>
      </c>
      <c r="D35" s="12">
        <v>28</v>
      </c>
    </row>
    <row r="36" spans="1:4" x14ac:dyDescent="0.25">
      <c r="A36" t="s">
        <v>46</v>
      </c>
      <c r="B36">
        <v>2018</v>
      </c>
      <c r="C36" s="12">
        <v>1344</v>
      </c>
      <c r="D36" s="12">
        <v>29</v>
      </c>
    </row>
    <row r="37" spans="1:4" x14ac:dyDescent="0.25">
      <c r="A37" t="s">
        <v>46</v>
      </c>
      <c r="B37">
        <v>2019</v>
      </c>
      <c r="C37" s="12">
        <v>1352</v>
      </c>
      <c r="D37" s="12">
        <v>23</v>
      </c>
    </row>
    <row r="38" spans="1:4" x14ac:dyDescent="0.25">
      <c r="A38" t="s">
        <v>46</v>
      </c>
      <c r="B38">
        <v>2020</v>
      </c>
      <c r="C38" s="12">
        <v>1281</v>
      </c>
      <c r="D38" s="12">
        <v>21</v>
      </c>
    </row>
    <row r="39" spans="1:4" x14ac:dyDescent="0.25">
      <c r="A39" t="s">
        <v>46</v>
      </c>
      <c r="B39">
        <v>2021</v>
      </c>
      <c r="C39" s="12">
        <v>1308</v>
      </c>
      <c r="D39" s="12">
        <v>37</v>
      </c>
    </row>
    <row r="40" spans="1:4" x14ac:dyDescent="0.25">
      <c r="A40" t="s">
        <v>46</v>
      </c>
      <c r="B40">
        <v>2022</v>
      </c>
      <c r="C40" s="12">
        <v>1252</v>
      </c>
      <c r="D40" s="12">
        <v>48</v>
      </c>
    </row>
    <row r="41" spans="1:4" x14ac:dyDescent="0.25">
      <c r="A41" t="s">
        <v>46</v>
      </c>
      <c r="B41">
        <v>2023</v>
      </c>
      <c r="C41" s="12">
        <v>1248</v>
      </c>
      <c r="D41" s="12">
        <v>28</v>
      </c>
    </row>
    <row r="42" spans="1:4" x14ac:dyDescent="0.25">
      <c r="A42" t="s">
        <v>46</v>
      </c>
      <c r="B42">
        <v>2024</v>
      </c>
      <c r="C42" s="12">
        <v>1287</v>
      </c>
      <c r="D42" s="12">
        <v>18</v>
      </c>
    </row>
    <row r="43" spans="1:4" x14ac:dyDescent="0.25">
      <c r="A43" t="s">
        <v>46</v>
      </c>
      <c r="B43">
        <v>2025</v>
      </c>
      <c r="C43" s="12">
        <v>1243</v>
      </c>
      <c r="D43" s="12">
        <v>19</v>
      </c>
    </row>
    <row r="44" spans="1:4" x14ac:dyDescent="0.25">
      <c r="A44" t="s">
        <v>48</v>
      </c>
      <c r="B44">
        <v>2016</v>
      </c>
      <c r="C44" s="12">
        <v>22152</v>
      </c>
      <c r="D44" s="12">
        <v>1808</v>
      </c>
    </row>
    <row r="45" spans="1:4" x14ac:dyDescent="0.25">
      <c r="A45" t="s">
        <v>48</v>
      </c>
      <c r="B45">
        <v>2017</v>
      </c>
      <c r="C45" s="12">
        <v>22324</v>
      </c>
      <c r="D45" s="12">
        <v>1798</v>
      </c>
    </row>
    <row r="46" spans="1:4" x14ac:dyDescent="0.25">
      <c r="A46" t="s">
        <v>48</v>
      </c>
      <c r="B46">
        <v>2018</v>
      </c>
      <c r="C46" s="12">
        <v>22982</v>
      </c>
      <c r="D46" s="12">
        <v>1853</v>
      </c>
    </row>
    <row r="47" spans="1:4" x14ac:dyDescent="0.25">
      <c r="A47" t="s">
        <v>48</v>
      </c>
      <c r="B47">
        <v>2019</v>
      </c>
      <c r="C47" s="12">
        <v>23690</v>
      </c>
      <c r="D47" s="12">
        <v>1886</v>
      </c>
    </row>
    <row r="48" spans="1:4" x14ac:dyDescent="0.25">
      <c r="A48" t="s">
        <v>48</v>
      </c>
      <c r="B48">
        <v>2020</v>
      </c>
      <c r="C48" s="12">
        <v>22365</v>
      </c>
      <c r="D48" s="12">
        <v>1876</v>
      </c>
    </row>
    <row r="49" spans="1:4" x14ac:dyDescent="0.25">
      <c r="A49" t="s">
        <v>48</v>
      </c>
      <c r="B49">
        <v>2021</v>
      </c>
      <c r="C49" s="12">
        <v>22891</v>
      </c>
      <c r="D49" s="12">
        <v>1807</v>
      </c>
    </row>
    <row r="50" spans="1:4" x14ac:dyDescent="0.25">
      <c r="A50" t="s">
        <v>48</v>
      </c>
      <c r="B50">
        <v>2022</v>
      </c>
      <c r="C50" s="12">
        <v>23644</v>
      </c>
      <c r="D50" s="12">
        <v>1841</v>
      </c>
    </row>
    <row r="51" spans="1:4" x14ac:dyDescent="0.25">
      <c r="A51" t="s">
        <v>48</v>
      </c>
      <c r="B51">
        <v>2023</v>
      </c>
      <c r="C51" s="12">
        <v>24344</v>
      </c>
      <c r="D51" s="12">
        <v>1982</v>
      </c>
    </row>
    <row r="52" spans="1:4" x14ac:dyDescent="0.25">
      <c r="A52" t="s">
        <v>48</v>
      </c>
      <c r="B52">
        <v>2024</v>
      </c>
      <c r="C52" s="12">
        <v>24877</v>
      </c>
      <c r="D52" s="12">
        <v>2026</v>
      </c>
    </row>
    <row r="53" spans="1:4" x14ac:dyDescent="0.25">
      <c r="A53" t="s">
        <v>48</v>
      </c>
      <c r="B53">
        <v>2025</v>
      </c>
      <c r="C53" s="12">
        <v>25522</v>
      </c>
      <c r="D53" s="12">
        <v>2087</v>
      </c>
    </row>
    <row r="54" spans="1:4" x14ac:dyDescent="0.25">
      <c r="A54" t="s">
        <v>47</v>
      </c>
      <c r="B54">
        <v>2016</v>
      </c>
      <c r="C54" s="12">
        <v>13992</v>
      </c>
      <c r="D54" s="12">
        <v>1454</v>
      </c>
    </row>
    <row r="55" spans="1:4" x14ac:dyDescent="0.25">
      <c r="A55" t="s">
        <v>47</v>
      </c>
      <c r="B55">
        <v>2017</v>
      </c>
      <c r="C55" s="12">
        <v>14284</v>
      </c>
      <c r="D55" s="12">
        <v>1512</v>
      </c>
    </row>
    <row r="56" spans="1:4" x14ac:dyDescent="0.25">
      <c r="A56" t="s">
        <v>47</v>
      </c>
      <c r="B56">
        <v>2018</v>
      </c>
      <c r="C56" s="12">
        <v>14736</v>
      </c>
      <c r="D56" s="12">
        <v>1502</v>
      </c>
    </row>
    <row r="57" spans="1:4" x14ac:dyDescent="0.25">
      <c r="A57" t="s">
        <v>47</v>
      </c>
      <c r="B57">
        <v>2019</v>
      </c>
      <c r="C57" s="12">
        <v>14878</v>
      </c>
      <c r="D57" s="12">
        <v>1506</v>
      </c>
    </row>
    <row r="58" spans="1:4" x14ac:dyDescent="0.25">
      <c r="A58" t="s">
        <v>47</v>
      </c>
      <c r="B58">
        <v>2020</v>
      </c>
      <c r="C58" s="12">
        <v>13678</v>
      </c>
      <c r="D58" s="12">
        <v>1403</v>
      </c>
    </row>
    <row r="59" spans="1:4" x14ac:dyDescent="0.25">
      <c r="A59" t="s">
        <v>47</v>
      </c>
      <c r="B59">
        <v>2021</v>
      </c>
      <c r="C59" s="12">
        <v>14027</v>
      </c>
      <c r="D59" s="12">
        <v>1427</v>
      </c>
    </row>
    <row r="60" spans="1:4" x14ac:dyDescent="0.25">
      <c r="A60" t="s">
        <v>47</v>
      </c>
      <c r="B60">
        <v>2022</v>
      </c>
      <c r="C60" s="12">
        <v>15029</v>
      </c>
      <c r="D60" s="12">
        <v>1439</v>
      </c>
    </row>
    <row r="61" spans="1:4" x14ac:dyDescent="0.25">
      <c r="A61" t="s">
        <v>47</v>
      </c>
      <c r="B61">
        <v>2023</v>
      </c>
      <c r="C61" s="12">
        <v>15508</v>
      </c>
      <c r="D61" s="12">
        <v>1408</v>
      </c>
    </row>
    <row r="62" spans="1:4" x14ac:dyDescent="0.25">
      <c r="A62" t="s">
        <v>47</v>
      </c>
      <c r="B62">
        <v>2024</v>
      </c>
      <c r="C62" s="12">
        <v>15990</v>
      </c>
      <c r="D62" s="12">
        <v>1349</v>
      </c>
    </row>
    <row r="63" spans="1:4" x14ac:dyDescent="0.25">
      <c r="A63" t="s">
        <v>47</v>
      </c>
      <c r="B63">
        <v>2025</v>
      </c>
      <c r="C63" s="12">
        <v>16012</v>
      </c>
      <c r="D63" s="12">
        <v>1433</v>
      </c>
    </row>
    <row r="64" spans="1:4" x14ac:dyDescent="0.25">
      <c r="A64" t="s">
        <v>52</v>
      </c>
      <c r="B64">
        <v>2016</v>
      </c>
      <c r="C64" s="12">
        <v>9247</v>
      </c>
      <c r="D64" s="12">
        <v>827</v>
      </c>
    </row>
    <row r="65" spans="1:4" x14ac:dyDescent="0.25">
      <c r="A65" t="s">
        <v>52</v>
      </c>
      <c r="B65">
        <v>2017</v>
      </c>
      <c r="C65" s="12">
        <v>9194</v>
      </c>
      <c r="D65" s="12">
        <v>836</v>
      </c>
    </row>
    <row r="66" spans="1:4" x14ac:dyDescent="0.25">
      <c r="A66" t="s">
        <v>52</v>
      </c>
      <c r="B66">
        <v>2018</v>
      </c>
      <c r="C66" s="12">
        <v>9401</v>
      </c>
      <c r="D66" s="12">
        <v>850</v>
      </c>
    </row>
    <row r="67" spans="1:4" x14ac:dyDescent="0.25">
      <c r="A67" t="s">
        <v>52</v>
      </c>
      <c r="B67">
        <v>2019</v>
      </c>
      <c r="C67" s="12">
        <v>9502</v>
      </c>
      <c r="D67" s="12">
        <v>835</v>
      </c>
    </row>
    <row r="68" spans="1:4" x14ac:dyDescent="0.25">
      <c r="A68" t="s">
        <v>52</v>
      </c>
      <c r="B68">
        <v>2020</v>
      </c>
      <c r="C68" s="12">
        <v>8705</v>
      </c>
      <c r="D68" s="12">
        <v>754</v>
      </c>
    </row>
    <row r="69" spans="1:4" x14ac:dyDescent="0.25">
      <c r="A69" t="s">
        <v>52</v>
      </c>
      <c r="B69">
        <v>2021</v>
      </c>
      <c r="C69" s="12">
        <v>8986</v>
      </c>
      <c r="D69" s="12">
        <v>668</v>
      </c>
    </row>
    <row r="70" spans="1:4" x14ac:dyDescent="0.25">
      <c r="A70" t="s">
        <v>52</v>
      </c>
      <c r="B70">
        <v>2022</v>
      </c>
      <c r="C70" s="12">
        <v>9305</v>
      </c>
      <c r="D70" s="12">
        <v>741</v>
      </c>
    </row>
    <row r="71" spans="1:4" x14ac:dyDescent="0.25">
      <c r="A71" t="s">
        <v>52</v>
      </c>
      <c r="B71">
        <v>2023</v>
      </c>
      <c r="C71" s="12">
        <v>9599</v>
      </c>
      <c r="D71" s="12">
        <v>772</v>
      </c>
    </row>
    <row r="72" spans="1:4" x14ac:dyDescent="0.25">
      <c r="A72" t="s">
        <v>52</v>
      </c>
      <c r="B72">
        <v>2024</v>
      </c>
      <c r="C72" s="12">
        <v>9213</v>
      </c>
      <c r="D72" s="12">
        <v>713</v>
      </c>
    </row>
    <row r="73" spans="1:4" x14ac:dyDescent="0.25">
      <c r="A73" t="s">
        <v>52</v>
      </c>
      <c r="B73">
        <v>2025</v>
      </c>
      <c r="C73" s="12">
        <v>9328</v>
      </c>
      <c r="D73" s="12">
        <v>694</v>
      </c>
    </row>
    <row r="74" spans="1:4" x14ac:dyDescent="0.25">
      <c r="A74" t="s">
        <v>51</v>
      </c>
      <c r="B74">
        <v>2016</v>
      </c>
      <c r="C74" s="12">
        <v>27388</v>
      </c>
      <c r="D74" s="12">
        <v>677</v>
      </c>
    </row>
    <row r="75" spans="1:4" x14ac:dyDescent="0.25">
      <c r="A75" t="s">
        <v>51</v>
      </c>
      <c r="B75">
        <v>2017</v>
      </c>
      <c r="C75" s="12">
        <v>28070</v>
      </c>
      <c r="D75" s="12">
        <v>703</v>
      </c>
    </row>
    <row r="76" spans="1:4" x14ac:dyDescent="0.25">
      <c r="A76" t="s">
        <v>51</v>
      </c>
      <c r="B76">
        <v>2018</v>
      </c>
      <c r="C76" s="12">
        <v>28493</v>
      </c>
      <c r="D76" s="12">
        <v>674</v>
      </c>
    </row>
    <row r="77" spans="1:4" x14ac:dyDescent="0.25">
      <c r="A77" t="s">
        <v>51</v>
      </c>
      <c r="B77">
        <v>2019</v>
      </c>
      <c r="C77" s="12">
        <v>29527</v>
      </c>
      <c r="D77" s="12">
        <v>699</v>
      </c>
    </row>
    <row r="78" spans="1:4" x14ac:dyDescent="0.25">
      <c r="A78" t="s">
        <v>51</v>
      </c>
      <c r="B78">
        <v>2020</v>
      </c>
      <c r="C78" s="12">
        <v>25624</v>
      </c>
      <c r="D78" s="12">
        <v>489</v>
      </c>
    </row>
    <row r="79" spans="1:4" x14ac:dyDescent="0.25">
      <c r="A79" t="s">
        <v>51</v>
      </c>
      <c r="B79">
        <v>2021</v>
      </c>
      <c r="C79" s="12">
        <v>27345</v>
      </c>
      <c r="D79" s="12">
        <v>556</v>
      </c>
    </row>
    <row r="80" spans="1:4" x14ac:dyDescent="0.25">
      <c r="A80" t="s">
        <v>51</v>
      </c>
      <c r="B80">
        <v>2022</v>
      </c>
      <c r="C80" s="12">
        <v>29140</v>
      </c>
      <c r="D80" s="12">
        <v>653</v>
      </c>
    </row>
    <row r="81" spans="1:4" x14ac:dyDescent="0.25">
      <c r="A81" t="s">
        <v>51</v>
      </c>
      <c r="B81">
        <v>2023</v>
      </c>
      <c r="C81" s="12">
        <v>29991</v>
      </c>
      <c r="D81" s="12">
        <v>706</v>
      </c>
    </row>
    <row r="82" spans="1:4" x14ac:dyDescent="0.25">
      <c r="A82" t="s">
        <v>51</v>
      </c>
      <c r="B82">
        <v>2024</v>
      </c>
      <c r="C82" s="12">
        <v>29695</v>
      </c>
      <c r="D82" s="12">
        <v>661</v>
      </c>
    </row>
    <row r="83" spans="1:4" x14ac:dyDescent="0.25">
      <c r="A83" t="s">
        <v>51</v>
      </c>
      <c r="B83">
        <v>2025</v>
      </c>
      <c r="C83" s="12">
        <v>30287</v>
      </c>
      <c r="D83" s="12">
        <v>736</v>
      </c>
    </row>
    <row r="84" spans="1:4" x14ac:dyDescent="0.25">
      <c r="A84" t="s">
        <v>50</v>
      </c>
      <c r="B84">
        <v>2016</v>
      </c>
      <c r="C84" s="12">
        <v>2159</v>
      </c>
      <c r="D84" s="12">
        <v>211</v>
      </c>
    </row>
    <row r="85" spans="1:4" x14ac:dyDescent="0.25">
      <c r="A85" t="s">
        <v>50</v>
      </c>
      <c r="B85">
        <v>2017</v>
      </c>
      <c r="C85" s="12">
        <v>2195</v>
      </c>
      <c r="D85" s="12">
        <v>233</v>
      </c>
    </row>
    <row r="86" spans="1:4" x14ac:dyDescent="0.25">
      <c r="A86" t="s">
        <v>50</v>
      </c>
      <c r="B86">
        <v>2018</v>
      </c>
      <c r="C86" s="12">
        <v>2209</v>
      </c>
      <c r="D86" s="12">
        <v>238</v>
      </c>
    </row>
    <row r="87" spans="1:4" x14ac:dyDescent="0.25">
      <c r="A87" t="s">
        <v>50</v>
      </c>
      <c r="B87">
        <v>2019</v>
      </c>
      <c r="C87" s="12">
        <v>2044</v>
      </c>
      <c r="D87" s="12">
        <v>233</v>
      </c>
    </row>
    <row r="88" spans="1:4" x14ac:dyDescent="0.25">
      <c r="A88" t="s">
        <v>50</v>
      </c>
      <c r="B88">
        <v>2020</v>
      </c>
      <c r="C88" s="12">
        <v>1799</v>
      </c>
      <c r="D88" s="12">
        <v>189</v>
      </c>
    </row>
    <row r="89" spans="1:4" x14ac:dyDescent="0.25">
      <c r="A89" t="s">
        <v>50</v>
      </c>
      <c r="B89">
        <v>2021</v>
      </c>
      <c r="C89" s="12">
        <v>1874</v>
      </c>
      <c r="D89" s="12">
        <v>211</v>
      </c>
    </row>
    <row r="90" spans="1:4" x14ac:dyDescent="0.25">
      <c r="A90" t="s">
        <v>50</v>
      </c>
      <c r="B90">
        <v>2022</v>
      </c>
      <c r="C90" s="12">
        <v>1906</v>
      </c>
      <c r="D90" s="12">
        <v>192</v>
      </c>
    </row>
    <row r="91" spans="1:4" x14ac:dyDescent="0.25">
      <c r="A91" t="s">
        <v>50</v>
      </c>
      <c r="B91">
        <v>2023</v>
      </c>
      <c r="C91" s="12">
        <v>2124</v>
      </c>
      <c r="D91" s="12">
        <v>177</v>
      </c>
    </row>
    <row r="92" spans="1:4" x14ac:dyDescent="0.25">
      <c r="A92" t="s">
        <v>50</v>
      </c>
      <c r="B92">
        <v>2024</v>
      </c>
      <c r="C92" s="12">
        <v>1629</v>
      </c>
      <c r="D92" s="12">
        <v>116</v>
      </c>
    </row>
    <row r="93" spans="1:4" x14ac:dyDescent="0.25">
      <c r="A93" t="s">
        <v>50</v>
      </c>
      <c r="B93">
        <v>2025</v>
      </c>
      <c r="C93" s="12">
        <v>1949</v>
      </c>
      <c r="D93" s="12">
        <v>150</v>
      </c>
    </row>
    <row r="94" spans="1:4" x14ac:dyDescent="0.25">
      <c r="A94" t="s">
        <v>55</v>
      </c>
      <c r="B94">
        <v>2016</v>
      </c>
      <c r="C94" s="12">
        <v>5073</v>
      </c>
      <c r="D94" s="12">
        <v>935</v>
      </c>
    </row>
    <row r="95" spans="1:4" x14ac:dyDescent="0.25">
      <c r="A95" t="s">
        <v>55</v>
      </c>
      <c r="B95">
        <v>2017</v>
      </c>
      <c r="C95" s="12">
        <v>5205</v>
      </c>
      <c r="D95" s="12">
        <v>903</v>
      </c>
    </row>
    <row r="96" spans="1:4" x14ac:dyDescent="0.25">
      <c r="A96" t="s">
        <v>55</v>
      </c>
      <c r="B96">
        <v>2018</v>
      </c>
      <c r="C96" s="12">
        <v>5410</v>
      </c>
      <c r="D96" s="12">
        <v>904</v>
      </c>
    </row>
    <row r="97" spans="1:4" x14ac:dyDescent="0.25">
      <c r="A97" t="s">
        <v>55</v>
      </c>
      <c r="B97">
        <v>2019</v>
      </c>
      <c r="C97" s="12">
        <v>5659</v>
      </c>
      <c r="D97" s="12">
        <v>912</v>
      </c>
    </row>
    <row r="98" spans="1:4" x14ac:dyDescent="0.25">
      <c r="A98" t="s">
        <v>55</v>
      </c>
      <c r="B98">
        <v>2020</v>
      </c>
      <c r="C98" s="12">
        <v>5377</v>
      </c>
      <c r="D98" s="12">
        <v>916</v>
      </c>
    </row>
    <row r="99" spans="1:4" x14ac:dyDescent="0.25">
      <c r="A99" t="s">
        <v>55</v>
      </c>
      <c r="B99">
        <v>2021</v>
      </c>
      <c r="C99" s="12">
        <v>6055</v>
      </c>
      <c r="D99" s="12">
        <v>889</v>
      </c>
    </row>
    <row r="100" spans="1:4" x14ac:dyDescent="0.25">
      <c r="A100" t="s">
        <v>55</v>
      </c>
      <c r="B100">
        <v>2022</v>
      </c>
      <c r="C100" s="12">
        <v>6596</v>
      </c>
      <c r="D100" s="12">
        <v>958</v>
      </c>
    </row>
    <row r="101" spans="1:4" x14ac:dyDescent="0.25">
      <c r="A101" t="s">
        <v>55</v>
      </c>
      <c r="B101">
        <v>2023</v>
      </c>
      <c r="C101" s="12">
        <v>6495</v>
      </c>
      <c r="D101" s="12">
        <v>1031</v>
      </c>
    </row>
    <row r="102" spans="1:4" x14ac:dyDescent="0.25">
      <c r="A102" t="s">
        <v>55</v>
      </c>
      <c r="B102">
        <v>2024</v>
      </c>
      <c r="C102" s="12">
        <v>6387</v>
      </c>
      <c r="D102" s="12">
        <v>1006</v>
      </c>
    </row>
    <row r="103" spans="1:4" x14ac:dyDescent="0.25">
      <c r="A103" t="s">
        <v>55</v>
      </c>
      <c r="B103">
        <v>2025</v>
      </c>
      <c r="C103" s="12">
        <v>6558</v>
      </c>
      <c r="D103" s="12">
        <v>895</v>
      </c>
    </row>
    <row r="104" spans="1:4" x14ac:dyDescent="0.25">
      <c r="A104" t="s">
        <v>56</v>
      </c>
      <c r="B104">
        <v>2016</v>
      </c>
      <c r="C104" s="12">
        <v>20684</v>
      </c>
      <c r="D104" s="12">
        <v>7120</v>
      </c>
    </row>
    <row r="105" spans="1:4" x14ac:dyDescent="0.25">
      <c r="A105" t="s">
        <v>56</v>
      </c>
      <c r="B105">
        <v>2017</v>
      </c>
      <c r="C105" s="12">
        <v>20956</v>
      </c>
      <c r="D105" s="12">
        <v>7216</v>
      </c>
    </row>
    <row r="106" spans="1:4" x14ac:dyDescent="0.25">
      <c r="A106" t="s">
        <v>56</v>
      </c>
      <c r="B106">
        <v>2018</v>
      </c>
      <c r="C106" s="12">
        <v>21131</v>
      </c>
      <c r="D106" s="12">
        <v>7167</v>
      </c>
    </row>
    <row r="107" spans="1:4" x14ac:dyDescent="0.25">
      <c r="A107" t="s">
        <v>56</v>
      </c>
      <c r="B107">
        <v>2019</v>
      </c>
      <c r="C107" s="12">
        <v>21023</v>
      </c>
      <c r="D107" s="12">
        <v>7067</v>
      </c>
    </row>
    <row r="108" spans="1:4" x14ac:dyDescent="0.25">
      <c r="A108" t="s">
        <v>56</v>
      </c>
      <c r="B108">
        <v>2020</v>
      </c>
      <c r="C108" s="12">
        <v>20632</v>
      </c>
      <c r="D108" s="12">
        <v>7173</v>
      </c>
    </row>
    <row r="109" spans="1:4" x14ac:dyDescent="0.25">
      <c r="A109" t="s">
        <v>56</v>
      </c>
      <c r="B109">
        <v>2021</v>
      </c>
      <c r="C109" s="12">
        <v>20626</v>
      </c>
      <c r="D109" s="12">
        <v>6983</v>
      </c>
    </row>
    <row r="110" spans="1:4" x14ac:dyDescent="0.25">
      <c r="A110" t="s">
        <v>56</v>
      </c>
      <c r="B110">
        <v>2022</v>
      </c>
      <c r="C110" s="12">
        <v>21317</v>
      </c>
      <c r="D110" s="12">
        <v>7062</v>
      </c>
    </row>
    <row r="111" spans="1:4" x14ac:dyDescent="0.25">
      <c r="A111" t="s">
        <v>56</v>
      </c>
      <c r="B111">
        <v>2023</v>
      </c>
      <c r="C111" s="12">
        <v>21576</v>
      </c>
      <c r="D111" s="12">
        <v>7010</v>
      </c>
    </row>
    <row r="112" spans="1:4" x14ac:dyDescent="0.25">
      <c r="A112" t="s">
        <v>56</v>
      </c>
      <c r="B112">
        <v>2024</v>
      </c>
      <c r="C112" s="12">
        <v>21838</v>
      </c>
      <c r="D112" s="12">
        <v>7025</v>
      </c>
    </row>
    <row r="113" spans="1:4" x14ac:dyDescent="0.25">
      <c r="A113" t="s">
        <v>56</v>
      </c>
      <c r="B113">
        <v>2025</v>
      </c>
      <c r="C113" s="12">
        <v>22100</v>
      </c>
      <c r="D113" s="12">
        <v>7281</v>
      </c>
    </row>
    <row r="114" spans="1:4" x14ac:dyDescent="0.25">
      <c r="A114" t="s">
        <v>57</v>
      </c>
      <c r="C114" s="12">
        <v>1397753</v>
      </c>
      <c r="D114" s="12">
        <v>144464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69E7-6C74-44C8-B5A4-174238BF4F47}">
  <dimension ref="A1:E101"/>
  <sheetViews>
    <sheetView tabSelected="1" workbookViewId="0">
      <selection activeCell="G19" sqref="G19"/>
    </sheetView>
  </sheetViews>
  <sheetFormatPr defaultRowHeight="15" x14ac:dyDescent="0.25"/>
  <cols>
    <col min="1" max="1" width="28" bestFit="1" customWidth="1"/>
    <col min="2" max="2" width="5" bestFit="1" customWidth="1"/>
    <col min="3" max="3" width="22.5703125" bestFit="1" customWidth="1"/>
    <col min="4" max="4" width="22" bestFit="1" customWidth="1"/>
    <col min="5" max="5" width="18.5703125" customWidth="1"/>
  </cols>
  <sheetData>
    <row r="1" spans="1:5" x14ac:dyDescent="0.25">
      <c r="A1" t="s">
        <v>45</v>
      </c>
      <c r="B1" t="s">
        <v>35</v>
      </c>
      <c r="C1" t="s">
        <v>58</v>
      </c>
      <c r="D1" t="s">
        <v>59</v>
      </c>
      <c r="E1" t="s">
        <v>60</v>
      </c>
    </row>
    <row r="2" spans="1:5" x14ac:dyDescent="0.25">
      <c r="A2" t="s">
        <v>53</v>
      </c>
      <c r="B2">
        <v>2016</v>
      </c>
      <c r="C2">
        <v>24051</v>
      </c>
      <c r="D2">
        <v>1248</v>
      </c>
      <c r="E2" s="13">
        <f>D2/C2</f>
        <v>5.1889734314581513E-2</v>
      </c>
    </row>
    <row r="3" spans="1:5" x14ac:dyDescent="0.25">
      <c r="A3" t="s">
        <v>53</v>
      </c>
      <c r="B3">
        <v>2017</v>
      </c>
      <c r="C3">
        <v>24255</v>
      </c>
      <c r="D3">
        <v>1331</v>
      </c>
      <c r="E3" s="13">
        <f t="shared" ref="E3:E66" si="0">D3/C3</f>
        <v>5.4875283446712018E-2</v>
      </c>
    </row>
    <row r="4" spans="1:5" x14ac:dyDescent="0.25">
      <c r="A4" t="s">
        <v>53</v>
      </c>
      <c r="B4">
        <v>2018</v>
      </c>
      <c r="C4">
        <v>24196</v>
      </c>
      <c r="D4">
        <v>1296</v>
      </c>
      <c r="E4" s="13">
        <f t="shared" si="0"/>
        <v>5.3562572326004296E-2</v>
      </c>
    </row>
    <row r="5" spans="1:5" x14ac:dyDescent="0.25">
      <c r="A5" t="s">
        <v>53</v>
      </c>
      <c r="B5">
        <v>2019</v>
      </c>
      <c r="C5">
        <v>23681</v>
      </c>
      <c r="D5">
        <v>1196</v>
      </c>
      <c r="E5" s="13">
        <f t="shared" si="0"/>
        <v>5.0504623960136816E-2</v>
      </c>
    </row>
    <row r="6" spans="1:5" x14ac:dyDescent="0.25">
      <c r="A6" t="s">
        <v>53</v>
      </c>
      <c r="B6">
        <v>2020</v>
      </c>
      <c r="C6">
        <v>22590</v>
      </c>
      <c r="D6">
        <v>1215</v>
      </c>
      <c r="E6" s="13">
        <f t="shared" si="0"/>
        <v>5.3784860557768925E-2</v>
      </c>
    </row>
    <row r="7" spans="1:5" x14ac:dyDescent="0.25">
      <c r="A7" t="s">
        <v>53</v>
      </c>
      <c r="B7">
        <v>2021</v>
      </c>
      <c r="C7">
        <v>23218</v>
      </c>
      <c r="D7">
        <v>1183</v>
      </c>
      <c r="E7" s="13">
        <f t="shared" si="0"/>
        <v>5.0951847704367302E-2</v>
      </c>
    </row>
    <row r="8" spans="1:5" x14ac:dyDescent="0.25">
      <c r="A8" t="s">
        <v>53</v>
      </c>
      <c r="B8">
        <v>2022</v>
      </c>
      <c r="C8">
        <v>23139</v>
      </c>
      <c r="D8">
        <v>1140</v>
      </c>
      <c r="E8" s="13">
        <f t="shared" si="0"/>
        <v>4.9267470504343318E-2</v>
      </c>
    </row>
    <row r="9" spans="1:5" x14ac:dyDescent="0.25">
      <c r="A9" t="s">
        <v>53</v>
      </c>
      <c r="B9">
        <v>2023</v>
      </c>
      <c r="C9">
        <v>23335</v>
      </c>
      <c r="D9">
        <v>1109</v>
      </c>
      <c r="E9" s="13">
        <f t="shared" si="0"/>
        <v>4.7525176773087638E-2</v>
      </c>
    </row>
    <row r="10" spans="1:5" x14ac:dyDescent="0.25">
      <c r="A10" t="s">
        <v>53</v>
      </c>
      <c r="B10">
        <v>2024</v>
      </c>
      <c r="C10">
        <v>23111</v>
      </c>
      <c r="D10">
        <v>1143</v>
      </c>
      <c r="E10" s="13">
        <f t="shared" si="0"/>
        <v>4.9456968543117999E-2</v>
      </c>
    </row>
    <row r="11" spans="1:5" x14ac:dyDescent="0.25">
      <c r="A11" t="s">
        <v>53</v>
      </c>
      <c r="B11">
        <v>2025</v>
      </c>
      <c r="C11">
        <v>23115</v>
      </c>
      <c r="D11">
        <v>1193</v>
      </c>
      <c r="E11" s="13">
        <f t="shared" si="0"/>
        <v>5.1611507678996325E-2</v>
      </c>
    </row>
    <row r="12" spans="1:5" x14ac:dyDescent="0.25">
      <c r="A12" t="s">
        <v>54</v>
      </c>
      <c r="B12">
        <v>2016</v>
      </c>
      <c r="C12">
        <v>765</v>
      </c>
      <c r="D12">
        <v>43</v>
      </c>
      <c r="E12" s="13">
        <f t="shared" si="0"/>
        <v>5.6209150326797387E-2</v>
      </c>
    </row>
    <row r="13" spans="1:5" x14ac:dyDescent="0.25">
      <c r="A13" t="s">
        <v>54</v>
      </c>
      <c r="B13">
        <v>2017</v>
      </c>
      <c r="C13">
        <v>735</v>
      </c>
      <c r="D13">
        <v>32</v>
      </c>
      <c r="E13" s="13">
        <f t="shared" si="0"/>
        <v>4.3537414965986392E-2</v>
      </c>
    </row>
    <row r="14" spans="1:5" x14ac:dyDescent="0.25">
      <c r="A14" t="s">
        <v>54</v>
      </c>
      <c r="B14">
        <v>2018</v>
      </c>
      <c r="C14">
        <v>721</v>
      </c>
      <c r="D14">
        <v>34</v>
      </c>
      <c r="E14" s="13">
        <f t="shared" si="0"/>
        <v>4.7156726768377254E-2</v>
      </c>
    </row>
    <row r="15" spans="1:5" x14ac:dyDescent="0.25">
      <c r="A15" t="s">
        <v>54</v>
      </c>
      <c r="B15">
        <v>2019</v>
      </c>
      <c r="C15">
        <v>710</v>
      </c>
      <c r="D15">
        <v>28</v>
      </c>
      <c r="E15" s="13">
        <f t="shared" si="0"/>
        <v>3.9436619718309862E-2</v>
      </c>
    </row>
    <row r="16" spans="1:5" x14ac:dyDescent="0.25">
      <c r="A16" t="s">
        <v>54</v>
      </c>
      <c r="B16">
        <v>2020</v>
      </c>
      <c r="C16">
        <v>656</v>
      </c>
      <c r="D16">
        <v>37</v>
      </c>
      <c r="E16" s="13">
        <f t="shared" si="0"/>
        <v>5.6402439024390245E-2</v>
      </c>
    </row>
    <row r="17" spans="1:5" x14ac:dyDescent="0.25">
      <c r="A17" t="s">
        <v>54</v>
      </c>
      <c r="B17">
        <v>2021</v>
      </c>
      <c r="C17">
        <v>561</v>
      </c>
      <c r="D17">
        <v>32</v>
      </c>
      <c r="E17" s="13">
        <f t="shared" si="0"/>
        <v>5.7040998217468802E-2</v>
      </c>
    </row>
    <row r="18" spans="1:5" x14ac:dyDescent="0.25">
      <c r="A18" t="s">
        <v>54</v>
      </c>
      <c r="B18">
        <v>2022</v>
      </c>
      <c r="C18">
        <v>556</v>
      </c>
      <c r="D18">
        <v>36</v>
      </c>
      <c r="E18" s="13">
        <f t="shared" si="0"/>
        <v>6.4748201438848921E-2</v>
      </c>
    </row>
    <row r="19" spans="1:5" x14ac:dyDescent="0.25">
      <c r="A19" t="s">
        <v>54</v>
      </c>
      <c r="B19">
        <v>2023</v>
      </c>
      <c r="C19">
        <v>577</v>
      </c>
      <c r="D19">
        <v>25</v>
      </c>
      <c r="E19" s="13">
        <f t="shared" si="0"/>
        <v>4.3327556325823226E-2</v>
      </c>
    </row>
    <row r="20" spans="1:5" x14ac:dyDescent="0.25">
      <c r="A20" t="s">
        <v>54</v>
      </c>
      <c r="B20">
        <v>2024</v>
      </c>
      <c r="C20">
        <v>538</v>
      </c>
      <c r="D20">
        <v>35</v>
      </c>
      <c r="E20" s="13">
        <f t="shared" si="0"/>
        <v>6.5055762081784388E-2</v>
      </c>
    </row>
    <row r="21" spans="1:5" x14ac:dyDescent="0.25">
      <c r="A21" t="s">
        <v>54</v>
      </c>
      <c r="B21">
        <v>2025</v>
      </c>
      <c r="C21">
        <v>487</v>
      </c>
      <c r="D21">
        <v>23</v>
      </c>
      <c r="E21" s="13">
        <f t="shared" si="0"/>
        <v>4.7227926078028747E-2</v>
      </c>
    </row>
    <row r="22" spans="1:5" x14ac:dyDescent="0.25">
      <c r="A22" t="s">
        <v>49</v>
      </c>
      <c r="B22">
        <v>2016</v>
      </c>
      <c r="C22">
        <v>8963</v>
      </c>
      <c r="D22">
        <v>205</v>
      </c>
      <c r="E22" s="13">
        <f t="shared" si="0"/>
        <v>2.2871806314849939E-2</v>
      </c>
    </row>
    <row r="23" spans="1:5" x14ac:dyDescent="0.25">
      <c r="A23" t="s">
        <v>49</v>
      </c>
      <c r="B23">
        <v>2017</v>
      </c>
      <c r="C23">
        <v>9068</v>
      </c>
      <c r="D23">
        <v>218</v>
      </c>
      <c r="E23" s="13">
        <f t="shared" si="0"/>
        <v>2.4040582267313631E-2</v>
      </c>
    </row>
    <row r="24" spans="1:5" x14ac:dyDescent="0.25">
      <c r="A24" t="s">
        <v>49</v>
      </c>
      <c r="B24">
        <v>2018</v>
      </c>
      <c r="C24">
        <v>9149</v>
      </c>
      <c r="D24">
        <v>193</v>
      </c>
      <c r="E24" s="13">
        <f t="shared" si="0"/>
        <v>2.1095201661383758E-2</v>
      </c>
    </row>
    <row r="25" spans="1:5" x14ac:dyDescent="0.25">
      <c r="A25" t="s">
        <v>49</v>
      </c>
      <c r="B25">
        <v>2019</v>
      </c>
      <c r="C25">
        <v>9364</v>
      </c>
      <c r="D25">
        <v>182</v>
      </c>
      <c r="E25" s="13">
        <f t="shared" si="0"/>
        <v>1.9436138402392139E-2</v>
      </c>
    </row>
    <row r="26" spans="1:5" x14ac:dyDescent="0.25">
      <c r="A26" t="s">
        <v>49</v>
      </c>
      <c r="B26">
        <v>2020</v>
      </c>
      <c r="C26">
        <v>9108</v>
      </c>
      <c r="D26">
        <v>170</v>
      </c>
      <c r="E26" s="13">
        <f t="shared" si="0"/>
        <v>1.8664909969257796E-2</v>
      </c>
    </row>
    <row r="27" spans="1:5" x14ac:dyDescent="0.25">
      <c r="A27" t="s">
        <v>49</v>
      </c>
      <c r="B27">
        <v>2021</v>
      </c>
      <c r="C27">
        <v>9101</v>
      </c>
      <c r="D27">
        <v>205</v>
      </c>
      <c r="E27" s="13">
        <f t="shared" si="0"/>
        <v>2.2524997253049114E-2</v>
      </c>
    </row>
    <row r="28" spans="1:5" x14ac:dyDescent="0.25">
      <c r="A28" t="s">
        <v>49</v>
      </c>
      <c r="B28">
        <v>2022</v>
      </c>
      <c r="C28">
        <v>9336</v>
      </c>
      <c r="D28">
        <v>170</v>
      </c>
      <c r="E28" s="13">
        <f t="shared" si="0"/>
        <v>1.8209083119108824E-2</v>
      </c>
    </row>
    <row r="29" spans="1:5" x14ac:dyDescent="0.25">
      <c r="A29" t="s">
        <v>49</v>
      </c>
      <c r="B29">
        <v>2023</v>
      </c>
      <c r="C29">
        <v>9284</v>
      </c>
      <c r="D29">
        <v>162</v>
      </c>
      <c r="E29" s="13">
        <f t="shared" si="0"/>
        <v>1.7449375269280483E-2</v>
      </c>
    </row>
    <row r="30" spans="1:5" x14ac:dyDescent="0.25">
      <c r="A30" t="s">
        <v>49</v>
      </c>
      <c r="B30">
        <v>2024</v>
      </c>
      <c r="C30">
        <v>9231</v>
      </c>
      <c r="D30">
        <v>122</v>
      </c>
      <c r="E30" s="13">
        <f t="shared" si="0"/>
        <v>1.321633625826021E-2</v>
      </c>
    </row>
    <row r="31" spans="1:5" x14ac:dyDescent="0.25">
      <c r="A31" t="s">
        <v>49</v>
      </c>
      <c r="B31">
        <v>2025</v>
      </c>
      <c r="C31">
        <v>9634</v>
      </c>
      <c r="D31">
        <v>146</v>
      </c>
      <c r="E31" s="13">
        <f t="shared" si="0"/>
        <v>1.515466057712269E-2</v>
      </c>
    </row>
    <row r="32" spans="1:5" x14ac:dyDescent="0.25">
      <c r="A32" t="s">
        <v>46</v>
      </c>
      <c r="B32">
        <v>2016</v>
      </c>
      <c r="C32">
        <v>1315</v>
      </c>
      <c r="D32">
        <v>17</v>
      </c>
      <c r="E32" s="13">
        <f t="shared" si="0"/>
        <v>1.2927756653992395E-2</v>
      </c>
    </row>
    <row r="33" spans="1:5" x14ac:dyDescent="0.25">
      <c r="A33" t="s">
        <v>46</v>
      </c>
      <c r="B33">
        <v>2017</v>
      </c>
      <c r="C33">
        <v>1337</v>
      </c>
      <c r="D33">
        <v>28</v>
      </c>
      <c r="E33" s="13">
        <f t="shared" si="0"/>
        <v>2.0942408376963352E-2</v>
      </c>
    </row>
    <row r="34" spans="1:5" x14ac:dyDescent="0.25">
      <c r="A34" t="s">
        <v>46</v>
      </c>
      <c r="B34">
        <v>2018</v>
      </c>
      <c r="C34">
        <v>1344</v>
      </c>
      <c r="D34">
        <v>29</v>
      </c>
      <c r="E34" s="13">
        <f t="shared" si="0"/>
        <v>2.1577380952380952E-2</v>
      </c>
    </row>
    <row r="35" spans="1:5" x14ac:dyDescent="0.25">
      <c r="A35" t="s">
        <v>46</v>
      </c>
      <c r="B35">
        <v>2019</v>
      </c>
      <c r="C35">
        <v>1352</v>
      </c>
      <c r="D35">
        <v>23</v>
      </c>
      <c r="E35" s="13">
        <f t="shared" si="0"/>
        <v>1.7011834319526627E-2</v>
      </c>
    </row>
    <row r="36" spans="1:5" x14ac:dyDescent="0.25">
      <c r="A36" t="s">
        <v>46</v>
      </c>
      <c r="B36">
        <v>2020</v>
      </c>
      <c r="C36">
        <v>1281</v>
      </c>
      <c r="D36">
        <v>21</v>
      </c>
      <c r="E36" s="13">
        <f t="shared" si="0"/>
        <v>1.6393442622950821E-2</v>
      </c>
    </row>
    <row r="37" spans="1:5" x14ac:dyDescent="0.25">
      <c r="A37" t="s">
        <v>46</v>
      </c>
      <c r="B37">
        <v>2021</v>
      </c>
      <c r="C37">
        <v>1308</v>
      </c>
      <c r="D37">
        <v>37</v>
      </c>
      <c r="E37" s="13">
        <f t="shared" si="0"/>
        <v>2.8287461773700305E-2</v>
      </c>
    </row>
    <row r="38" spans="1:5" x14ac:dyDescent="0.25">
      <c r="A38" t="s">
        <v>46</v>
      </c>
      <c r="B38">
        <v>2022</v>
      </c>
      <c r="C38">
        <v>1252</v>
      </c>
      <c r="D38">
        <v>48</v>
      </c>
      <c r="E38" s="13">
        <f t="shared" si="0"/>
        <v>3.8338658146964855E-2</v>
      </c>
    </row>
    <row r="39" spans="1:5" x14ac:dyDescent="0.25">
      <c r="A39" t="s">
        <v>46</v>
      </c>
      <c r="B39">
        <v>2023</v>
      </c>
      <c r="C39">
        <v>1248</v>
      </c>
      <c r="D39">
        <v>28</v>
      </c>
      <c r="E39" s="13">
        <f t="shared" si="0"/>
        <v>2.2435897435897436E-2</v>
      </c>
    </row>
    <row r="40" spans="1:5" x14ac:dyDescent="0.25">
      <c r="A40" t="s">
        <v>46</v>
      </c>
      <c r="B40">
        <v>2024</v>
      </c>
      <c r="C40">
        <v>1287</v>
      </c>
      <c r="D40">
        <v>18</v>
      </c>
      <c r="E40" s="13">
        <f t="shared" si="0"/>
        <v>1.3986013986013986E-2</v>
      </c>
    </row>
    <row r="41" spans="1:5" x14ac:dyDescent="0.25">
      <c r="A41" t="s">
        <v>46</v>
      </c>
      <c r="B41">
        <v>2025</v>
      </c>
      <c r="C41">
        <v>1243</v>
      </c>
      <c r="D41">
        <v>19</v>
      </c>
      <c r="E41" s="13">
        <f t="shared" si="0"/>
        <v>1.5285599356395816E-2</v>
      </c>
    </row>
    <row r="42" spans="1:5" x14ac:dyDescent="0.25">
      <c r="A42" t="s">
        <v>48</v>
      </c>
      <c r="B42">
        <v>2016</v>
      </c>
      <c r="C42">
        <v>22152</v>
      </c>
      <c r="D42">
        <v>1808</v>
      </c>
      <c r="E42" s="13">
        <f t="shared" si="0"/>
        <v>8.1617912603828099E-2</v>
      </c>
    </row>
    <row r="43" spans="1:5" x14ac:dyDescent="0.25">
      <c r="A43" t="s">
        <v>48</v>
      </c>
      <c r="B43">
        <v>2017</v>
      </c>
      <c r="C43">
        <v>22324</v>
      </c>
      <c r="D43">
        <v>1798</v>
      </c>
      <c r="E43" s="13">
        <f t="shared" si="0"/>
        <v>8.0541121662784446E-2</v>
      </c>
    </row>
    <row r="44" spans="1:5" x14ac:dyDescent="0.25">
      <c r="A44" t="s">
        <v>48</v>
      </c>
      <c r="B44">
        <v>2018</v>
      </c>
      <c r="C44">
        <v>22982</v>
      </c>
      <c r="D44">
        <v>1853</v>
      </c>
      <c r="E44" s="13">
        <f t="shared" si="0"/>
        <v>8.062831781394135E-2</v>
      </c>
    </row>
    <row r="45" spans="1:5" x14ac:dyDescent="0.25">
      <c r="A45" t="s">
        <v>48</v>
      </c>
      <c r="B45">
        <v>2019</v>
      </c>
      <c r="C45">
        <v>23690</v>
      </c>
      <c r="D45">
        <v>1886</v>
      </c>
      <c r="E45" s="13">
        <f t="shared" si="0"/>
        <v>7.9611650485436891E-2</v>
      </c>
    </row>
    <row r="46" spans="1:5" x14ac:dyDescent="0.25">
      <c r="A46" t="s">
        <v>48</v>
      </c>
      <c r="B46">
        <v>2020</v>
      </c>
      <c r="C46">
        <v>22365</v>
      </c>
      <c r="D46">
        <v>1876</v>
      </c>
      <c r="E46" s="13">
        <f t="shared" si="0"/>
        <v>8.3881064162754301E-2</v>
      </c>
    </row>
    <row r="47" spans="1:5" x14ac:dyDescent="0.25">
      <c r="A47" t="s">
        <v>48</v>
      </c>
      <c r="B47">
        <v>2021</v>
      </c>
      <c r="C47">
        <v>22891</v>
      </c>
      <c r="D47">
        <v>1807</v>
      </c>
      <c r="E47" s="13">
        <f t="shared" si="0"/>
        <v>7.8939321130575335E-2</v>
      </c>
    </row>
    <row r="48" spans="1:5" x14ac:dyDescent="0.25">
      <c r="A48" t="s">
        <v>48</v>
      </c>
      <c r="B48">
        <v>2022</v>
      </c>
      <c r="C48">
        <v>23644</v>
      </c>
      <c r="D48">
        <v>1841</v>
      </c>
      <c r="E48" s="13">
        <f t="shared" si="0"/>
        <v>7.7863305701234981E-2</v>
      </c>
    </row>
    <row r="49" spans="1:5" x14ac:dyDescent="0.25">
      <c r="A49" t="s">
        <v>48</v>
      </c>
      <c r="B49">
        <v>2023</v>
      </c>
      <c r="C49">
        <v>24344</v>
      </c>
      <c r="D49">
        <v>1982</v>
      </c>
      <c r="E49" s="13">
        <f t="shared" si="0"/>
        <v>8.141636542885311E-2</v>
      </c>
    </row>
    <row r="50" spans="1:5" x14ac:dyDescent="0.25">
      <c r="A50" t="s">
        <v>48</v>
      </c>
      <c r="B50">
        <v>2024</v>
      </c>
      <c r="C50">
        <v>24877</v>
      </c>
      <c r="D50">
        <v>2026</v>
      </c>
      <c r="E50" s="13">
        <f t="shared" si="0"/>
        <v>8.1440688185874507E-2</v>
      </c>
    </row>
    <row r="51" spans="1:5" x14ac:dyDescent="0.25">
      <c r="A51" t="s">
        <v>48</v>
      </c>
      <c r="B51">
        <v>2025</v>
      </c>
      <c r="C51">
        <v>25522</v>
      </c>
      <c r="D51">
        <v>2087</v>
      </c>
      <c r="E51" s="13">
        <f t="shared" si="0"/>
        <v>8.1772588355144588E-2</v>
      </c>
    </row>
    <row r="52" spans="1:5" x14ac:dyDescent="0.25">
      <c r="A52" t="s">
        <v>47</v>
      </c>
      <c r="B52">
        <v>2016</v>
      </c>
      <c r="C52">
        <v>13992</v>
      </c>
      <c r="D52">
        <v>1454</v>
      </c>
      <c r="E52" s="13">
        <f t="shared" si="0"/>
        <v>0.10391652372784448</v>
      </c>
    </row>
    <row r="53" spans="1:5" x14ac:dyDescent="0.25">
      <c r="A53" t="s">
        <v>47</v>
      </c>
      <c r="B53">
        <v>2017</v>
      </c>
      <c r="C53">
        <v>14284</v>
      </c>
      <c r="D53">
        <v>1512</v>
      </c>
      <c r="E53" s="13">
        <f t="shared" si="0"/>
        <v>0.10585270232427892</v>
      </c>
    </row>
    <row r="54" spans="1:5" x14ac:dyDescent="0.25">
      <c r="A54" t="s">
        <v>47</v>
      </c>
      <c r="B54">
        <v>2018</v>
      </c>
      <c r="C54">
        <v>14736</v>
      </c>
      <c r="D54">
        <v>1502</v>
      </c>
      <c r="E54" s="13">
        <f t="shared" si="0"/>
        <v>0.10192725298588491</v>
      </c>
    </row>
    <row r="55" spans="1:5" x14ac:dyDescent="0.25">
      <c r="A55" t="s">
        <v>47</v>
      </c>
      <c r="B55">
        <v>2019</v>
      </c>
      <c r="C55">
        <v>14878</v>
      </c>
      <c r="D55">
        <v>1506</v>
      </c>
      <c r="E55" s="13">
        <f t="shared" si="0"/>
        <v>0.10122328269928754</v>
      </c>
    </row>
    <row r="56" spans="1:5" x14ac:dyDescent="0.25">
      <c r="A56" t="s">
        <v>47</v>
      </c>
      <c r="B56">
        <v>2020</v>
      </c>
      <c r="C56">
        <v>13678</v>
      </c>
      <c r="D56">
        <v>1403</v>
      </c>
      <c r="E56" s="13">
        <f t="shared" si="0"/>
        <v>0.10257347565433543</v>
      </c>
    </row>
    <row r="57" spans="1:5" x14ac:dyDescent="0.25">
      <c r="A57" t="s">
        <v>47</v>
      </c>
      <c r="B57">
        <v>2021</v>
      </c>
      <c r="C57">
        <v>14027</v>
      </c>
      <c r="D57">
        <v>1427</v>
      </c>
      <c r="E57" s="13">
        <f t="shared" si="0"/>
        <v>0.10173237328010266</v>
      </c>
    </row>
    <row r="58" spans="1:5" x14ac:dyDescent="0.25">
      <c r="A58" t="s">
        <v>47</v>
      </c>
      <c r="B58">
        <v>2022</v>
      </c>
      <c r="C58">
        <v>15029</v>
      </c>
      <c r="D58">
        <v>1439</v>
      </c>
      <c r="E58" s="13">
        <f t="shared" si="0"/>
        <v>9.5748220107791604E-2</v>
      </c>
    </row>
    <row r="59" spans="1:5" x14ac:dyDescent="0.25">
      <c r="A59" t="s">
        <v>47</v>
      </c>
      <c r="B59">
        <v>2023</v>
      </c>
      <c r="C59">
        <v>15508</v>
      </c>
      <c r="D59">
        <v>1408</v>
      </c>
      <c r="E59" s="13">
        <f t="shared" si="0"/>
        <v>9.0791849368068098E-2</v>
      </c>
    </row>
    <row r="60" spans="1:5" x14ac:dyDescent="0.25">
      <c r="A60" t="s">
        <v>47</v>
      </c>
      <c r="B60">
        <v>2024</v>
      </c>
      <c r="C60">
        <v>15990</v>
      </c>
      <c r="D60">
        <v>1349</v>
      </c>
      <c r="E60" s="13">
        <f t="shared" si="0"/>
        <v>8.4365228267667292E-2</v>
      </c>
    </row>
    <row r="61" spans="1:5" x14ac:dyDescent="0.25">
      <c r="A61" t="s">
        <v>47</v>
      </c>
      <c r="B61">
        <v>2025</v>
      </c>
      <c r="C61">
        <v>16012</v>
      </c>
      <c r="D61">
        <v>1433</v>
      </c>
      <c r="E61" s="13">
        <f t="shared" si="0"/>
        <v>8.9495378466150383E-2</v>
      </c>
    </row>
    <row r="62" spans="1:5" x14ac:dyDescent="0.25">
      <c r="A62" t="s">
        <v>52</v>
      </c>
      <c r="B62">
        <v>2016</v>
      </c>
      <c r="C62">
        <v>9247</v>
      </c>
      <c r="D62">
        <v>827</v>
      </c>
      <c r="E62" s="13">
        <f t="shared" si="0"/>
        <v>8.9434411160376343E-2</v>
      </c>
    </row>
    <row r="63" spans="1:5" x14ac:dyDescent="0.25">
      <c r="A63" t="s">
        <v>52</v>
      </c>
      <c r="B63">
        <v>2017</v>
      </c>
      <c r="C63">
        <v>9194</v>
      </c>
      <c r="D63">
        <v>836</v>
      </c>
      <c r="E63" s="13">
        <f t="shared" si="0"/>
        <v>9.0928866652164458E-2</v>
      </c>
    </row>
    <row r="64" spans="1:5" x14ac:dyDescent="0.25">
      <c r="A64" t="s">
        <v>52</v>
      </c>
      <c r="B64">
        <v>2018</v>
      </c>
      <c r="C64">
        <v>9401</v>
      </c>
      <c r="D64">
        <v>850</v>
      </c>
      <c r="E64" s="13">
        <f t="shared" si="0"/>
        <v>9.0415913200723327E-2</v>
      </c>
    </row>
    <row r="65" spans="1:5" x14ac:dyDescent="0.25">
      <c r="A65" t="s">
        <v>52</v>
      </c>
      <c r="B65">
        <v>2019</v>
      </c>
      <c r="C65">
        <v>9502</v>
      </c>
      <c r="D65">
        <v>835</v>
      </c>
      <c r="E65" s="13">
        <f t="shared" si="0"/>
        <v>8.7876236581772252E-2</v>
      </c>
    </row>
    <row r="66" spans="1:5" x14ac:dyDescent="0.25">
      <c r="A66" t="s">
        <v>52</v>
      </c>
      <c r="B66">
        <v>2020</v>
      </c>
      <c r="C66">
        <v>8705</v>
      </c>
      <c r="D66">
        <v>754</v>
      </c>
      <c r="E66" s="13">
        <f t="shared" si="0"/>
        <v>8.6616886846639859E-2</v>
      </c>
    </row>
    <row r="67" spans="1:5" x14ac:dyDescent="0.25">
      <c r="A67" t="s">
        <v>52</v>
      </c>
      <c r="B67">
        <v>2021</v>
      </c>
      <c r="C67">
        <v>8986</v>
      </c>
      <c r="D67">
        <v>668</v>
      </c>
      <c r="E67" s="13">
        <f t="shared" ref="E67:E101" si="1">D67/C67</f>
        <v>7.4337858891609168E-2</v>
      </c>
    </row>
    <row r="68" spans="1:5" x14ac:dyDescent="0.25">
      <c r="A68" t="s">
        <v>52</v>
      </c>
      <c r="B68">
        <v>2022</v>
      </c>
      <c r="C68">
        <v>9305</v>
      </c>
      <c r="D68">
        <v>741</v>
      </c>
      <c r="E68" s="13">
        <f t="shared" si="1"/>
        <v>7.963460505104783E-2</v>
      </c>
    </row>
    <row r="69" spans="1:5" x14ac:dyDescent="0.25">
      <c r="A69" t="s">
        <v>52</v>
      </c>
      <c r="B69">
        <v>2023</v>
      </c>
      <c r="C69">
        <v>9599</v>
      </c>
      <c r="D69">
        <v>772</v>
      </c>
      <c r="E69" s="13">
        <f t="shared" si="1"/>
        <v>8.0425044275445362E-2</v>
      </c>
    </row>
    <row r="70" spans="1:5" x14ac:dyDescent="0.25">
      <c r="A70" t="s">
        <v>52</v>
      </c>
      <c r="B70">
        <v>2024</v>
      </c>
      <c r="C70">
        <v>9213</v>
      </c>
      <c r="D70">
        <v>713</v>
      </c>
      <c r="E70" s="13">
        <f t="shared" si="1"/>
        <v>7.7390643655703903E-2</v>
      </c>
    </row>
    <row r="71" spans="1:5" x14ac:dyDescent="0.25">
      <c r="A71" t="s">
        <v>52</v>
      </c>
      <c r="B71">
        <v>2025</v>
      </c>
      <c r="C71">
        <v>9328</v>
      </c>
      <c r="D71">
        <v>694</v>
      </c>
      <c r="E71" s="13">
        <f t="shared" si="1"/>
        <v>7.4399656946826764E-2</v>
      </c>
    </row>
    <row r="72" spans="1:5" x14ac:dyDescent="0.25">
      <c r="A72" t="s">
        <v>51</v>
      </c>
      <c r="B72">
        <v>2016</v>
      </c>
      <c r="C72">
        <v>27388</v>
      </c>
      <c r="D72">
        <v>677</v>
      </c>
      <c r="E72" s="13">
        <f t="shared" si="1"/>
        <v>2.4718854972980868E-2</v>
      </c>
    </row>
    <row r="73" spans="1:5" x14ac:dyDescent="0.25">
      <c r="A73" t="s">
        <v>51</v>
      </c>
      <c r="B73">
        <v>2017</v>
      </c>
      <c r="C73">
        <v>28070</v>
      </c>
      <c r="D73">
        <v>703</v>
      </c>
      <c r="E73" s="13">
        <f t="shared" si="1"/>
        <v>2.5044531528322051E-2</v>
      </c>
    </row>
    <row r="74" spans="1:5" x14ac:dyDescent="0.25">
      <c r="A74" t="s">
        <v>51</v>
      </c>
      <c r="B74">
        <v>2018</v>
      </c>
      <c r="C74">
        <v>28493</v>
      </c>
      <c r="D74">
        <v>674</v>
      </c>
      <c r="E74" s="13">
        <f t="shared" si="1"/>
        <v>2.3654932790509949E-2</v>
      </c>
    </row>
    <row r="75" spans="1:5" x14ac:dyDescent="0.25">
      <c r="A75" t="s">
        <v>51</v>
      </c>
      <c r="B75">
        <v>2019</v>
      </c>
      <c r="C75">
        <v>29527</v>
      </c>
      <c r="D75">
        <v>699</v>
      </c>
      <c r="E75" s="13">
        <f t="shared" si="1"/>
        <v>2.3673248213499511E-2</v>
      </c>
    </row>
    <row r="76" spans="1:5" x14ac:dyDescent="0.25">
      <c r="A76" t="s">
        <v>51</v>
      </c>
      <c r="B76">
        <v>2020</v>
      </c>
      <c r="C76">
        <v>25624</v>
      </c>
      <c r="D76">
        <v>489</v>
      </c>
      <c r="E76" s="13">
        <f t="shared" si="1"/>
        <v>1.9083671557914454E-2</v>
      </c>
    </row>
    <row r="77" spans="1:5" x14ac:dyDescent="0.25">
      <c r="A77" t="s">
        <v>51</v>
      </c>
      <c r="B77">
        <v>2021</v>
      </c>
      <c r="C77">
        <v>27345</v>
      </c>
      <c r="D77">
        <v>556</v>
      </c>
      <c r="E77" s="13">
        <f t="shared" si="1"/>
        <v>2.0332784786981167E-2</v>
      </c>
    </row>
    <row r="78" spans="1:5" x14ac:dyDescent="0.25">
      <c r="A78" t="s">
        <v>51</v>
      </c>
      <c r="B78">
        <v>2022</v>
      </c>
      <c r="C78">
        <v>29140</v>
      </c>
      <c r="D78">
        <v>653</v>
      </c>
      <c r="E78" s="13">
        <f t="shared" si="1"/>
        <v>2.2409059711736446E-2</v>
      </c>
    </row>
    <row r="79" spans="1:5" x14ac:dyDescent="0.25">
      <c r="A79" t="s">
        <v>51</v>
      </c>
      <c r="B79">
        <v>2023</v>
      </c>
      <c r="C79">
        <v>29991</v>
      </c>
      <c r="D79">
        <v>706</v>
      </c>
      <c r="E79" s="13">
        <f t="shared" si="1"/>
        <v>2.3540395451968923E-2</v>
      </c>
    </row>
    <row r="80" spans="1:5" x14ac:dyDescent="0.25">
      <c r="A80" t="s">
        <v>51</v>
      </c>
      <c r="B80">
        <v>2024</v>
      </c>
      <c r="C80">
        <v>29695</v>
      </c>
      <c r="D80">
        <v>661</v>
      </c>
      <c r="E80" s="13">
        <f t="shared" si="1"/>
        <v>2.2259639669978112E-2</v>
      </c>
    </row>
    <row r="81" spans="1:5" x14ac:dyDescent="0.25">
      <c r="A81" t="s">
        <v>51</v>
      </c>
      <c r="B81">
        <v>2025</v>
      </c>
      <c r="C81">
        <v>30287</v>
      </c>
      <c r="D81">
        <v>736</v>
      </c>
      <c r="E81" s="13">
        <f t="shared" si="1"/>
        <v>2.4300855152375608E-2</v>
      </c>
    </row>
    <row r="82" spans="1:5" x14ac:dyDescent="0.25">
      <c r="A82" t="s">
        <v>50</v>
      </c>
      <c r="B82">
        <v>2016</v>
      </c>
      <c r="C82">
        <v>2159</v>
      </c>
      <c r="D82">
        <v>211</v>
      </c>
      <c r="E82" s="13">
        <f t="shared" si="1"/>
        <v>9.7730430754979156E-2</v>
      </c>
    </row>
    <row r="83" spans="1:5" x14ac:dyDescent="0.25">
      <c r="A83" t="s">
        <v>50</v>
      </c>
      <c r="B83">
        <v>2017</v>
      </c>
      <c r="C83">
        <v>2195</v>
      </c>
      <c r="D83">
        <v>233</v>
      </c>
      <c r="E83" s="13">
        <f t="shared" si="1"/>
        <v>0.1061503416856492</v>
      </c>
    </row>
    <row r="84" spans="1:5" x14ac:dyDescent="0.25">
      <c r="A84" t="s">
        <v>50</v>
      </c>
      <c r="B84">
        <v>2018</v>
      </c>
      <c r="C84">
        <v>2209</v>
      </c>
      <c r="D84">
        <v>238</v>
      </c>
      <c r="E84" s="13">
        <f t="shared" si="1"/>
        <v>0.10774105930285197</v>
      </c>
    </row>
    <row r="85" spans="1:5" x14ac:dyDescent="0.25">
      <c r="A85" t="s">
        <v>50</v>
      </c>
      <c r="B85">
        <v>2019</v>
      </c>
      <c r="C85">
        <v>2044</v>
      </c>
      <c r="D85">
        <v>233</v>
      </c>
      <c r="E85" s="13">
        <f t="shared" si="1"/>
        <v>0.11399217221135029</v>
      </c>
    </row>
    <row r="86" spans="1:5" x14ac:dyDescent="0.25">
      <c r="A86" t="s">
        <v>50</v>
      </c>
      <c r="B86">
        <v>2020</v>
      </c>
      <c r="C86">
        <v>1799</v>
      </c>
      <c r="D86">
        <v>189</v>
      </c>
      <c r="E86" s="13">
        <f t="shared" si="1"/>
        <v>0.10505836575875487</v>
      </c>
    </row>
    <row r="87" spans="1:5" x14ac:dyDescent="0.25">
      <c r="A87" t="s">
        <v>50</v>
      </c>
      <c r="B87">
        <v>2021</v>
      </c>
      <c r="C87">
        <v>1874</v>
      </c>
      <c r="D87">
        <v>211</v>
      </c>
      <c r="E87" s="13">
        <f t="shared" si="1"/>
        <v>0.11259338313767342</v>
      </c>
    </row>
    <row r="88" spans="1:5" x14ac:dyDescent="0.25">
      <c r="A88" t="s">
        <v>50</v>
      </c>
      <c r="B88">
        <v>2022</v>
      </c>
      <c r="C88">
        <v>1906</v>
      </c>
      <c r="D88">
        <v>192</v>
      </c>
      <c r="E88" s="13">
        <f t="shared" si="1"/>
        <v>0.10073452256033578</v>
      </c>
    </row>
    <row r="89" spans="1:5" x14ac:dyDescent="0.25">
      <c r="A89" t="s">
        <v>50</v>
      </c>
      <c r="B89">
        <v>2023</v>
      </c>
      <c r="C89">
        <v>2124</v>
      </c>
      <c r="D89">
        <v>177</v>
      </c>
      <c r="E89" s="13">
        <f t="shared" si="1"/>
        <v>8.3333333333333329E-2</v>
      </c>
    </row>
    <row r="90" spans="1:5" x14ac:dyDescent="0.25">
      <c r="A90" t="s">
        <v>50</v>
      </c>
      <c r="B90">
        <v>2024</v>
      </c>
      <c r="C90">
        <v>1629</v>
      </c>
      <c r="D90">
        <v>116</v>
      </c>
      <c r="E90" s="13">
        <f t="shared" si="1"/>
        <v>7.1209330877839164E-2</v>
      </c>
    </row>
    <row r="91" spans="1:5" x14ac:dyDescent="0.25">
      <c r="A91" t="s">
        <v>50</v>
      </c>
      <c r="B91">
        <v>2025</v>
      </c>
      <c r="C91">
        <v>1949</v>
      </c>
      <c r="D91">
        <v>150</v>
      </c>
      <c r="E91" s="13">
        <f t="shared" si="1"/>
        <v>7.6962544894817853E-2</v>
      </c>
    </row>
    <row r="92" spans="1:5" x14ac:dyDescent="0.25">
      <c r="A92" t="s">
        <v>55</v>
      </c>
      <c r="B92">
        <v>2016</v>
      </c>
      <c r="C92">
        <v>5073</v>
      </c>
      <c r="D92">
        <v>935</v>
      </c>
      <c r="E92" s="13">
        <f t="shared" si="1"/>
        <v>0.18430908732505422</v>
      </c>
    </row>
    <row r="93" spans="1:5" x14ac:dyDescent="0.25">
      <c r="A93" t="s">
        <v>55</v>
      </c>
      <c r="B93">
        <v>2017</v>
      </c>
      <c r="C93">
        <v>5205</v>
      </c>
      <c r="D93">
        <v>903</v>
      </c>
      <c r="E93" s="13">
        <f t="shared" si="1"/>
        <v>0.17348703170028817</v>
      </c>
    </row>
    <row r="94" spans="1:5" x14ac:dyDescent="0.25">
      <c r="A94" t="s">
        <v>55</v>
      </c>
      <c r="B94">
        <v>2018</v>
      </c>
      <c r="C94">
        <v>5410</v>
      </c>
      <c r="D94">
        <v>904</v>
      </c>
      <c r="E94" s="13">
        <f t="shared" si="1"/>
        <v>0.16709796672828095</v>
      </c>
    </row>
    <row r="95" spans="1:5" x14ac:dyDescent="0.25">
      <c r="A95" t="s">
        <v>55</v>
      </c>
      <c r="B95">
        <v>2019</v>
      </c>
      <c r="C95">
        <v>5659</v>
      </c>
      <c r="D95">
        <v>912</v>
      </c>
      <c r="E95" s="13">
        <f t="shared" si="1"/>
        <v>0.16115921540908287</v>
      </c>
    </row>
    <row r="96" spans="1:5" x14ac:dyDescent="0.25">
      <c r="A96" t="s">
        <v>55</v>
      </c>
      <c r="B96">
        <v>2020</v>
      </c>
      <c r="C96">
        <v>5377</v>
      </c>
      <c r="D96">
        <v>916</v>
      </c>
      <c r="E96" s="13">
        <f t="shared" si="1"/>
        <v>0.17035521666356704</v>
      </c>
    </row>
    <row r="97" spans="1:5" x14ac:dyDescent="0.25">
      <c r="A97" t="s">
        <v>55</v>
      </c>
      <c r="B97">
        <v>2021</v>
      </c>
      <c r="C97">
        <v>6055</v>
      </c>
      <c r="D97">
        <v>889</v>
      </c>
      <c r="E97" s="13">
        <f t="shared" si="1"/>
        <v>0.14682080924855492</v>
      </c>
    </row>
    <row r="98" spans="1:5" x14ac:dyDescent="0.25">
      <c r="A98" t="s">
        <v>55</v>
      </c>
      <c r="B98">
        <v>2022</v>
      </c>
      <c r="C98">
        <v>6596</v>
      </c>
      <c r="D98">
        <v>958</v>
      </c>
      <c r="E98" s="13">
        <f t="shared" si="1"/>
        <v>0.14523953911461493</v>
      </c>
    </row>
    <row r="99" spans="1:5" x14ac:dyDescent="0.25">
      <c r="A99" t="s">
        <v>55</v>
      </c>
      <c r="B99">
        <v>2023</v>
      </c>
      <c r="C99">
        <v>6495</v>
      </c>
      <c r="D99">
        <v>1031</v>
      </c>
      <c r="E99" s="13">
        <f t="shared" si="1"/>
        <v>0.15873749037721324</v>
      </c>
    </row>
    <row r="100" spans="1:5" x14ac:dyDescent="0.25">
      <c r="A100" t="s">
        <v>55</v>
      </c>
      <c r="B100">
        <v>2024</v>
      </c>
      <c r="C100">
        <v>6387</v>
      </c>
      <c r="D100">
        <v>1006</v>
      </c>
      <c r="E100" s="13">
        <f t="shared" si="1"/>
        <v>0.1575074369813684</v>
      </c>
    </row>
    <row r="101" spans="1:5" x14ac:dyDescent="0.25">
      <c r="A101" t="s">
        <v>55</v>
      </c>
      <c r="B101">
        <v>2025</v>
      </c>
      <c r="C101">
        <v>6558</v>
      </c>
      <c r="D101">
        <v>895</v>
      </c>
      <c r="E101" s="13">
        <f t="shared" si="1"/>
        <v>0.13647453491918268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sasb_ind</vt:lpstr>
      <vt:lpstr>analysis_data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Haley</dc:creator>
  <cp:lastModifiedBy>Suzanne Haley</cp:lastModifiedBy>
  <dcterms:created xsi:type="dcterms:W3CDTF">2015-06-05T18:17:20Z</dcterms:created>
  <dcterms:modified xsi:type="dcterms:W3CDTF">2026-09-05T19:20:31Z</dcterms:modified>
</cp:coreProperties>
</file>